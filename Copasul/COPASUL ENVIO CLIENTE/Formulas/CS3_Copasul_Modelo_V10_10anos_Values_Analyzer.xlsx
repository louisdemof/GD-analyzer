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elexia-my.sharepoint.com/personal/louis_demoffarts_helexia_eu/Documents/Bureau/COPASUL/Copasul Enviar Cliente/"/>
    </mc:Choice>
  </mc:AlternateContent>
  <xr:revisionPtr revIDLastSave="50" documentId="8_{060A2C5E-9B5D-4C0F-B12B-FE056E3A73C5}" xr6:coauthVersionLast="47" xr6:coauthVersionMax="47" xr10:uidLastSave="{92053131-5610-4324-BC5B-31262C78D03E}"/>
  <bookViews>
    <workbookView xWindow="-28920" yWindow="-120" windowWidth="29040" windowHeight="15720" tabRatio="500" activeTab="1" xr2:uid="{00000000-000D-0000-FFFF-FFFF00000000}"/>
  </bookViews>
  <sheets>
    <sheet name="Resumo" sheetId="1" r:id="rId1"/>
    <sheet name="Premissas" sheetId="2" r:id="rId2"/>
    <sheet name="Input_Consumo_GrupoA" sheetId="3" r:id="rId3"/>
    <sheet name="Simulacao" sheetId="4" r:id="rId4"/>
    <sheet name="Dados_Produção_Copasul" sheetId="5" r:id="rId5"/>
    <sheet name="Amandina" sheetId="6" r:id="rId6"/>
    <sheet name="Batayporã" sheetId="7" r:id="rId7"/>
    <sheet name="Novo Horizonte do Sul" sheetId="8" r:id="rId8"/>
    <sheet name="Dados_Consumo_Copasul" sheetId="9" r:id="rId9"/>
    <sheet name="Formula Dados Copasul" sheetId="10" r:id="rId10"/>
    <sheet name="Memória de Massa - 2025" sheetId="11" r:id="rId11"/>
    <sheet name="Dados_Produção_Helexia" sheetId="12" r:id="rId12"/>
    <sheet name="Usinas_Helexia_PR" sheetId="13" r:id="rId13"/>
    <sheet name="PVSYST_Helexia" sheetId="14" r:id="rId14"/>
    <sheet name="Usinas" sheetId="15" r:id="rId15"/>
  </sheets>
  <definedNames>
    <definedName name="_xlnm._FilterDatabase" localSheetId="5" hidden="1">Amandina!$A$1:$D$356</definedName>
    <definedName name="_xlnm._FilterDatabase" localSheetId="6" hidden="1">Batayporã!$A$1:$D$366</definedName>
    <definedName name="_xlnm._FilterDatabase" localSheetId="10" hidden="1">'Memória de Massa - 2025'!$B$1:$L$217</definedName>
    <definedName name="_xlnm._FilterDatabase" localSheetId="7" hidden="1">'Novo Horizonte do Sul'!$A$1:$D$364</definedName>
    <definedName name="solver_adj" localSheetId="1" hidden="1">Premissas!$B$33:$E$50</definedName>
    <definedName name="solver_cvg" localSheetId="1" hidden="1">0.000001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5000</definedName>
    <definedName name="solver_lhs1" localSheetId="1" hidden="1">Premissas!$B$33:$K$50</definedName>
    <definedName name="solver_lhs10" localSheetId="1" hidden="1">Premissas!$I$51</definedName>
    <definedName name="solver_lhs11" localSheetId="1" hidden="1">Premissas!$J$51</definedName>
    <definedName name="solver_lhs12" localSheetId="1" hidden="1">Premissas!$K$51</definedName>
    <definedName name="solver_lhs2" localSheetId="1" hidden="1">Premissas!$B$34:$K$34</definedName>
    <definedName name="solver_lhs3" localSheetId="1" hidden="1">Premissas!$B$51</definedName>
    <definedName name="solver_lhs4" localSheetId="1" hidden="1">Premissas!$C$51</definedName>
    <definedName name="solver_lhs5" localSheetId="1" hidden="1">Premissas!$D$51</definedName>
    <definedName name="solver_lhs6" localSheetId="1" hidden="1">Premissas!$E$51</definedName>
    <definedName name="solver_lhs7" localSheetId="1" hidden="1">Premissas!$F$51</definedName>
    <definedName name="solver_lhs8" localSheetId="1" hidden="1">Premissas!$G$51</definedName>
    <definedName name="solver_lhs9" localSheetId="1" hidden="1">Premissas!$H$51</definedName>
    <definedName name="solver_mip" localSheetId="1" hidden="1">2147483647</definedName>
    <definedName name="solver_mni" localSheetId="1" hidden="1">300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12</definedName>
    <definedName name="solver_nwt" localSheetId="1" hidden="1">1</definedName>
    <definedName name="solver_opt" localSheetId="1" hidden="1">Premissas!$Q$5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10" localSheetId="1" hidden="1">2</definedName>
    <definedName name="solver_rel11" localSheetId="1" hidden="1">2</definedName>
    <definedName name="solver_rel12" localSheetId="1" hidden="1">2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1" hidden="1">0</definedName>
    <definedName name="solver_rhs10" localSheetId="1" hidden="1">1</definedName>
    <definedName name="solver_rhs11" localSheetId="1" hidden="1">1</definedName>
    <definedName name="solver_rhs12" localSheetId="1" hidden="1">1</definedName>
    <definedName name="solver_rhs2" localSheetId="1" hidden="1">0</definedName>
    <definedName name="solver_rhs3" localSheetId="1" hidden="1">1</definedName>
    <definedName name="solver_rhs4" localSheetId="1" hidden="1">1</definedName>
    <definedName name="solver_rhs5" localSheetId="1" hidden="1">1</definedName>
    <definedName name="solver_rhs6" localSheetId="1" hidden="1">1</definedName>
    <definedName name="solver_rhs7" localSheetId="1" hidden="1">1</definedName>
    <definedName name="solver_rhs8" localSheetId="1" hidden="1">1</definedName>
    <definedName name="solver_rhs9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200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" i="15" l="1"/>
  <c r="H4" i="15"/>
  <c r="I3" i="15"/>
  <c r="H3" i="15"/>
  <c r="I2" i="15"/>
  <c r="H2" i="15"/>
  <c r="U2" i="14"/>
  <c r="T2" i="14"/>
  <c r="S2" i="14"/>
  <c r="R2" i="14"/>
  <c r="Q2" i="14"/>
  <c r="P2" i="14"/>
  <c r="O2" i="14"/>
  <c r="N2" i="14"/>
  <c r="M2" i="14"/>
  <c r="L2" i="14"/>
  <c r="K2" i="14"/>
  <c r="J2" i="14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L30" i="10"/>
  <c r="K30" i="10"/>
  <c r="D30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Q28" i="10" s="1"/>
  <c r="S28" i="10" s="1"/>
  <c r="O27" i="10"/>
  <c r="N27" i="10"/>
  <c r="M27" i="10"/>
  <c r="L27" i="10"/>
  <c r="K27" i="10"/>
  <c r="J27" i="10"/>
  <c r="I27" i="10"/>
  <c r="H27" i="10"/>
  <c r="Q27" i="10" s="1"/>
  <c r="S27" i="10" s="1"/>
  <c r="G27" i="10"/>
  <c r="F27" i="10"/>
  <c r="E27" i="10"/>
  <c r="D27" i="10"/>
  <c r="O26" i="10"/>
  <c r="O30" i="10" s="1"/>
  <c r="N26" i="10"/>
  <c r="N30" i="10" s="1"/>
  <c r="M26" i="10"/>
  <c r="M30" i="10" s="1"/>
  <c r="L26" i="10"/>
  <c r="K26" i="10"/>
  <c r="J26" i="10"/>
  <c r="J30" i="10" s="1"/>
  <c r="I26" i="10"/>
  <c r="I30" i="10" s="1"/>
  <c r="H26" i="10"/>
  <c r="H30" i="10" s="1"/>
  <c r="G26" i="10"/>
  <c r="G30" i="10" s="1"/>
  <c r="F26" i="10"/>
  <c r="F30" i="10" s="1"/>
  <c r="E26" i="10"/>
  <c r="E30" i="10" s="1"/>
  <c r="D26" i="10"/>
  <c r="Q26" i="10" s="1"/>
  <c r="L24" i="10"/>
  <c r="K24" i="10"/>
  <c r="D24" i="10"/>
  <c r="O22" i="10"/>
  <c r="N22" i="10"/>
  <c r="M22" i="10"/>
  <c r="L22" i="10"/>
  <c r="K22" i="10"/>
  <c r="J22" i="10"/>
  <c r="I22" i="10"/>
  <c r="H22" i="10"/>
  <c r="G22" i="10"/>
  <c r="F22" i="10"/>
  <c r="Q22" i="10" s="1"/>
  <c r="S22" i="10" s="1"/>
  <c r="E22" i="10"/>
  <c r="D22" i="10"/>
  <c r="O21" i="10"/>
  <c r="N21" i="10"/>
  <c r="M21" i="10"/>
  <c r="L21" i="10"/>
  <c r="K21" i="10"/>
  <c r="J21" i="10"/>
  <c r="I21" i="10"/>
  <c r="H21" i="10"/>
  <c r="Q21" i="10" s="1"/>
  <c r="S21" i="10" s="1"/>
  <c r="G21" i="10"/>
  <c r="F21" i="10"/>
  <c r="E21" i="10"/>
  <c r="D21" i="10"/>
  <c r="O20" i="10"/>
  <c r="O24" i="10" s="1"/>
  <c r="N20" i="10"/>
  <c r="N24" i="10" s="1"/>
  <c r="M20" i="10"/>
  <c r="M24" i="10" s="1"/>
  <c r="L20" i="10"/>
  <c r="K20" i="10"/>
  <c r="J20" i="10"/>
  <c r="J24" i="10" s="1"/>
  <c r="I20" i="10"/>
  <c r="I24" i="10" s="1"/>
  <c r="H20" i="10"/>
  <c r="G20" i="10"/>
  <c r="G24" i="10" s="1"/>
  <c r="F20" i="10"/>
  <c r="F24" i="10" s="1"/>
  <c r="E20" i="10"/>
  <c r="E24" i="10" s="1"/>
  <c r="D20" i="10"/>
  <c r="Q20" i="10" s="1"/>
  <c r="J14" i="10"/>
  <c r="J17" i="10" s="1"/>
  <c r="I14" i="10"/>
  <c r="O12" i="10"/>
  <c r="N12" i="10"/>
  <c r="M12" i="10"/>
  <c r="L12" i="10"/>
  <c r="K12" i="10"/>
  <c r="J12" i="10"/>
  <c r="I12" i="10"/>
  <c r="H12" i="10"/>
  <c r="Q12" i="10" s="1"/>
  <c r="S12" i="10" s="1"/>
  <c r="G12" i="10"/>
  <c r="F12" i="10"/>
  <c r="E12" i="10"/>
  <c r="D12" i="10"/>
  <c r="O11" i="10"/>
  <c r="O14" i="10" s="1"/>
  <c r="N11" i="10"/>
  <c r="N14" i="10" s="1"/>
  <c r="M11" i="10"/>
  <c r="M14" i="10" s="1"/>
  <c r="L11" i="10"/>
  <c r="L14" i="10" s="1"/>
  <c r="L17" i="10" s="1"/>
  <c r="K11" i="10"/>
  <c r="K14" i="10" s="1"/>
  <c r="K17" i="10" s="1"/>
  <c r="J11" i="10"/>
  <c r="I11" i="10"/>
  <c r="H11" i="10"/>
  <c r="G11" i="10"/>
  <c r="G14" i="10" s="1"/>
  <c r="F11" i="10"/>
  <c r="F14" i="10" s="1"/>
  <c r="F17" i="10" s="1"/>
  <c r="E11" i="10"/>
  <c r="E14" i="10" s="1"/>
  <c r="D11" i="10"/>
  <c r="D14" i="10" s="1"/>
  <c r="L9" i="10"/>
  <c r="K9" i="10"/>
  <c r="D9" i="10"/>
  <c r="O7" i="10"/>
  <c r="N7" i="10"/>
  <c r="M7" i="10"/>
  <c r="L7" i="10"/>
  <c r="K7" i="10"/>
  <c r="J7" i="10"/>
  <c r="I7" i="10"/>
  <c r="H7" i="10"/>
  <c r="G7" i="10"/>
  <c r="F7" i="10"/>
  <c r="Q7" i="10" s="1"/>
  <c r="S7" i="10" s="1"/>
  <c r="E7" i="10"/>
  <c r="D7" i="10"/>
  <c r="O6" i="10"/>
  <c r="N6" i="10"/>
  <c r="M6" i="10"/>
  <c r="L6" i="10"/>
  <c r="K6" i="10"/>
  <c r="J6" i="10"/>
  <c r="I6" i="10"/>
  <c r="H6" i="10"/>
  <c r="Q6" i="10" s="1"/>
  <c r="S6" i="10" s="1"/>
  <c r="G6" i="10"/>
  <c r="F6" i="10"/>
  <c r="E6" i="10"/>
  <c r="D6" i="10"/>
  <c r="O5" i="10"/>
  <c r="O9" i="10" s="1"/>
  <c r="N5" i="10"/>
  <c r="N9" i="10" s="1"/>
  <c r="M5" i="10"/>
  <c r="M9" i="10" s="1"/>
  <c r="L5" i="10"/>
  <c r="K5" i="10"/>
  <c r="J5" i="10"/>
  <c r="J9" i="10" s="1"/>
  <c r="I5" i="10"/>
  <c r="I9" i="10" s="1"/>
  <c r="H5" i="10"/>
  <c r="G5" i="10"/>
  <c r="G9" i="10" s="1"/>
  <c r="F5" i="10"/>
  <c r="F9" i="10" s="1"/>
  <c r="E5" i="10"/>
  <c r="E9" i="10" s="1"/>
  <c r="D5" i="10"/>
  <c r="Q5" i="10" s="1"/>
  <c r="S5" i="10" s="1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G3" i="8"/>
  <c r="F3" i="8"/>
  <c r="H3" i="8" s="1"/>
  <c r="D3" i="8"/>
  <c r="D2" i="8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F4" i="7"/>
  <c r="D4" i="7"/>
  <c r="G3" i="7"/>
  <c r="F3" i="7"/>
  <c r="I3" i="7" s="1"/>
  <c r="J3" i="7" s="1"/>
  <c r="D3" i="7"/>
  <c r="D2" i="7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F5" i="6"/>
  <c r="D5" i="6"/>
  <c r="I4" i="6"/>
  <c r="J4" i="6" s="1"/>
  <c r="H4" i="6"/>
  <c r="G4" i="6"/>
  <c r="F4" i="6"/>
  <c r="D4" i="6"/>
  <c r="H3" i="6"/>
  <c r="G3" i="6"/>
  <c r="D3" i="6"/>
  <c r="D2" i="6"/>
  <c r="A271" i="4"/>
  <c r="A270" i="4"/>
  <c r="A246" i="4"/>
  <c r="DS245" i="4"/>
  <c r="DR245" i="4"/>
  <c r="DQ245" i="4"/>
  <c r="DP245" i="4"/>
  <c r="DO245" i="4"/>
  <c r="DN245" i="4"/>
  <c r="DM245" i="4"/>
  <c r="DL245" i="4"/>
  <c r="DK245" i="4"/>
  <c r="DJ245" i="4"/>
  <c r="DI245" i="4"/>
  <c r="DH245" i="4"/>
  <c r="DG245" i="4"/>
  <c r="DF245" i="4"/>
  <c r="DE245" i="4"/>
  <c r="DD245" i="4"/>
  <c r="DC245" i="4"/>
  <c r="DB245" i="4"/>
  <c r="DA245" i="4"/>
  <c r="CZ245" i="4"/>
  <c r="CY245" i="4"/>
  <c r="CX245" i="4"/>
  <c r="CW245" i="4"/>
  <c r="CV245" i="4"/>
  <c r="CU245" i="4"/>
  <c r="CT245" i="4"/>
  <c r="CS245" i="4"/>
  <c r="CR245" i="4"/>
  <c r="CQ245" i="4"/>
  <c r="CP245" i="4"/>
  <c r="CO245" i="4"/>
  <c r="CN245" i="4"/>
  <c r="CM245" i="4"/>
  <c r="CL245" i="4"/>
  <c r="CK245" i="4"/>
  <c r="CJ245" i="4"/>
  <c r="CI245" i="4"/>
  <c r="CH245" i="4"/>
  <c r="CG245" i="4"/>
  <c r="CF245" i="4"/>
  <c r="CE245" i="4"/>
  <c r="CD245" i="4"/>
  <c r="CC245" i="4"/>
  <c r="CB245" i="4"/>
  <c r="CA245" i="4"/>
  <c r="BZ245" i="4"/>
  <c r="BY245" i="4"/>
  <c r="BX245" i="4"/>
  <c r="BW245" i="4"/>
  <c r="BV245" i="4"/>
  <c r="BU245" i="4"/>
  <c r="BT245" i="4"/>
  <c r="BS245" i="4"/>
  <c r="BR245" i="4"/>
  <c r="BQ245" i="4"/>
  <c r="BP245" i="4"/>
  <c r="BO245" i="4"/>
  <c r="BN245" i="4"/>
  <c r="BM245" i="4"/>
  <c r="BL245" i="4"/>
  <c r="BK245" i="4"/>
  <c r="BJ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B245" i="4"/>
  <c r="DS244" i="4"/>
  <c r="DR244" i="4"/>
  <c r="DQ244" i="4"/>
  <c r="DP244" i="4"/>
  <c r="DO244" i="4"/>
  <c r="DN244" i="4"/>
  <c r="DM244" i="4"/>
  <c r="DL244" i="4"/>
  <c r="DK244" i="4"/>
  <c r="DJ244" i="4"/>
  <c r="DI244" i="4"/>
  <c r="DH244" i="4"/>
  <c r="DG244" i="4"/>
  <c r="DF244" i="4"/>
  <c r="DE244" i="4"/>
  <c r="DD244" i="4"/>
  <c r="DC244" i="4"/>
  <c r="DB244" i="4"/>
  <c r="DA244" i="4"/>
  <c r="CZ244" i="4"/>
  <c r="CY244" i="4"/>
  <c r="CX244" i="4"/>
  <c r="CW244" i="4"/>
  <c r="CV244" i="4"/>
  <c r="CU244" i="4"/>
  <c r="CT244" i="4"/>
  <c r="CS244" i="4"/>
  <c r="CR244" i="4"/>
  <c r="CQ244" i="4"/>
  <c r="CP244" i="4"/>
  <c r="CO244" i="4"/>
  <c r="CN244" i="4"/>
  <c r="CM244" i="4"/>
  <c r="CL244" i="4"/>
  <c r="CK244" i="4"/>
  <c r="CJ244" i="4"/>
  <c r="CI244" i="4"/>
  <c r="CH244" i="4"/>
  <c r="CG244" i="4"/>
  <c r="CF244" i="4"/>
  <c r="CE244" i="4"/>
  <c r="CD244" i="4"/>
  <c r="CC244" i="4"/>
  <c r="CB244" i="4"/>
  <c r="CA244" i="4"/>
  <c r="BZ244" i="4"/>
  <c r="BY244" i="4"/>
  <c r="BX244" i="4"/>
  <c r="BW244" i="4"/>
  <c r="BV244" i="4"/>
  <c r="BU244" i="4"/>
  <c r="BT244" i="4"/>
  <c r="BS244" i="4"/>
  <c r="BR244" i="4"/>
  <c r="BQ244" i="4"/>
  <c r="BP244" i="4"/>
  <c r="BO244" i="4"/>
  <c r="BN244" i="4"/>
  <c r="BM244" i="4"/>
  <c r="BL244" i="4"/>
  <c r="BK244" i="4"/>
  <c r="BJ244" i="4"/>
  <c r="BI244" i="4"/>
  <c r="BH244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DS243" i="4"/>
  <c r="DR243" i="4"/>
  <c r="DQ243" i="4"/>
  <c r="DP243" i="4"/>
  <c r="DO243" i="4"/>
  <c r="DN243" i="4"/>
  <c r="DM243" i="4"/>
  <c r="DL243" i="4"/>
  <c r="DK243" i="4"/>
  <c r="DJ243" i="4"/>
  <c r="DI243" i="4"/>
  <c r="DH243" i="4"/>
  <c r="DG243" i="4"/>
  <c r="DF243" i="4"/>
  <c r="DE243" i="4"/>
  <c r="DD243" i="4"/>
  <c r="DC243" i="4"/>
  <c r="DB243" i="4"/>
  <c r="DA243" i="4"/>
  <c r="CZ243" i="4"/>
  <c r="CY243" i="4"/>
  <c r="CX243" i="4"/>
  <c r="CW243" i="4"/>
  <c r="CV243" i="4"/>
  <c r="CU243" i="4"/>
  <c r="CT243" i="4"/>
  <c r="CS243" i="4"/>
  <c r="CR243" i="4"/>
  <c r="CQ243" i="4"/>
  <c r="CP243" i="4"/>
  <c r="CO243" i="4"/>
  <c r="CN243" i="4"/>
  <c r="CM243" i="4"/>
  <c r="CL243" i="4"/>
  <c r="CK243" i="4"/>
  <c r="CJ243" i="4"/>
  <c r="CI243" i="4"/>
  <c r="CH243" i="4"/>
  <c r="CG243" i="4"/>
  <c r="CF243" i="4"/>
  <c r="CE243" i="4"/>
  <c r="CD243" i="4"/>
  <c r="CC243" i="4"/>
  <c r="CB243" i="4"/>
  <c r="CA243" i="4"/>
  <c r="BZ243" i="4"/>
  <c r="BY243" i="4"/>
  <c r="BX243" i="4"/>
  <c r="BW243" i="4"/>
  <c r="BV243" i="4"/>
  <c r="BU243" i="4"/>
  <c r="BT243" i="4"/>
  <c r="BS243" i="4"/>
  <c r="BR243" i="4"/>
  <c r="BQ243" i="4"/>
  <c r="BP243" i="4"/>
  <c r="BO243" i="4"/>
  <c r="BN243" i="4"/>
  <c r="BM243" i="4"/>
  <c r="BL243" i="4"/>
  <c r="BK243" i="4"/>
  <c r="BJ243" i="4"/>
  <c r="BI243" i="4"/>
  <c r="BH243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B243" i="4"/>
  <c r="D240" i="4"/>
  <c r="A239" i="4"/>
  <c r="A234" i="4"/>
  <c r="DS233" i="4"/>
  <c r="DR233" i="4"/>
  <c r="DQ233" i="4"/>
  <c r="DP233" i="4"/>
  <c r="DO233" i="4"/>
  <c r="DN233" i="4"/>
  <c r="DM233" i="4"/>
  <c r="DL233" i="4"/>
  <c r="DK233" i="4"/>
  <c r="DJ233" i="4"/>
  <c r="DI233" i="4"/>
  <c r="DH233" i="4"/>
  <c r="DG233" i="4"/>
  <c r="DF233" i="4"/>
  <c r="DE233" i="4"/>
  <c r="DD233" i="4"/>
  <c r="DC233" i="4"/>
  <c r="DB233" i="4"/>
  <c r="DA233" i="4"/>
  <c r="CZ233" i="4"/>
  <c r="CY233" i="4"/>
  <c r="CX233" i="4"/>
  <c r="CW233" i="4"/>
  <c r="CV233" i="4"/>
  <c r="CU233" i="4"/>
  <c r="CT233" i="4"/>
  <c r="CS233" i="4"/>
  <c r="CR233" i="4"/>
  <c r="CQ233" i="4"/>
  <c r="CP233" i="4"/>
  <c r="CO233" i="4"/>
  <c r="CN233" i="4"/>
  <c r="CM233" i="4"/>
  <c r="CL233" i="4"/>
  <c r="CK233" i="4"/>
  <c r="CJ233" i="4"/>
  <c r="CI233" i="4"/>
  <c r="CH233" i="4"/>
  <c r="CG233" i="4"/>
  <c r="CF233" i="4"/>
  <c r="CE233" i="4"/>
  <c r="CD233" i="4"/>
  <c r="CC233" i="4"/>
  <c r="CB233" i="4"/>
  <c r="CA233" i="4"/>
  <c r="BZ233" i="4"/>
  <c r="BY233" i="4"/>
  <c r="BX233" i="4"/>
  <c r="BW233" i="4"/>
  <c r="BV233" i="4"/>
  <c r="BU233" i="4"/>
  <c r="BT233" i="4"/>
  <c r="BS233" i="4"/>
  <c r="BR233" i="4"/>
  <c r="BQ233" i="4"/>
  <c r="BP233" i="4"/>
  <c r="BO233" i="4"/>
  <c r="BN233" i="4"/>
  <c r="BM233" i="4"/>
  <c r="BL233" i="4"/>
  <c r="BK233" i="4"/>
  <c r="BJ233" i="4"/>
  <c r="BI233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B233" i="4"/>
  <c r="DS232" i="4"/>
  <c r="DR232" i="4"/>
  <c r="DQ232" i="4"/>
  <c r="DP232" i="4"/>
  <c r="DO232" i="4"/>
  <c r="DN232" i="4"/>
  <c r="DM232" i="4"/>
  <c r="DL232" i="4"/>
  <c r="DK232" i="4"/>
  <c r="DJ232" i="4"/>
  <c r="DI232" i="4"/>
  <c r="DH232" i="4"/>
  <c r="DG232" i="4"/>
  <c r="DF232" i="4"/>
  <c r="DE232" i="4"/>
  <c r="DD232" i="4"/>
  <c r="DC232" i="4"/>
  <c r="DB232" i="4"/>
  <c r="DA232" i="4"/>
  <c r="CZ232" i="4"/>
  <c r="CY232" i="4"/>
  <c r="CX232" i="4"/>
  <c r="CW232" i="4"/>
  <c r="CV232" i="4"/>
  <c r="CU232" i="4"/>
  <c r="CT232" i="4"/>
  <c r="CS232" i="4"/>
  <c r="CR232" i="4"/>
  <c r="CQ232" i="4"/>
  <c r="CP232" i="4"/>
  <c r="CO232" i="4"/>
  <c r="CN232" i="4"/>
  <c r="CM232" i="4"/>
  <c r="CL232" i="4"/>
  <c r="CK232" i="4"/>
  <c r="CJ232" i="4"/>
  <c r="CI232" i="4"/>
  <c r="CH232" i="4"/>
  <c r="CG232" i="4"/>
  <c r="CF232" i="4"/>
  <c r="CE232" i="4"/>
  <c r="CD232" i="4"/>
  <c r="CC232" i="4"/>
  <c r="CB232" i="4"/>
  <c r="CA232" i="4"/>
  <c r="BZ232" i="4"/>
  <c r="BY232" i="4"/>
  <c r="BX232" i="4"/>
  <c r="BW232" i="4"/>
  <c r="BV232" i="4"/>
  <c r="BU232" i="4"/>
  <c r="BT232" i="4"/>
  <c r="BS232" i="4"/>
  <c r="BR232" i="4"/>
  <c r="BQ232" i="4"/>
  <c r="BP232" i="4"/>
  <c r="BO232" i="4"/>
  <c r="BN232" i="4"/>
  <c r="BM232" i="4"/>
  <c r="BL232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B232" i="4" s="1"/>
  <c r="C232" i="4" s="1"/>
  <c r="D232" i="4"/>
  <c r="DS231" i="4"/>
  <c r="DR231" i="4"/>
  <c r="DQ231" i="4"/>
  <c r="DP231" i="4"/>
  <c r="DO231" i="4"/>
  <c r="DN231" i="4"/>
  <c r="DM231" i="4"/>
  <c r="DL231" i="4"/>
  <c r="DK231" i="4"/>
  <c r="DJ231" i="4"/>
  <c r="DI231" i="4"/>
  <c r="DH231" i="4"/>
  <c r="DG231" i="4"/>
  <c r="DF231" i="4"/>
  <c r="DE231" i="4"/>
  <c r="DD231" i="4"/>
  <c r="DC231" i="4"/>
  <c r="DB231" i="4"/>
  <c r="DA231" i="4"/>
  <c r="CZ231" i="4"/>
  <c r="CY231" i="4"/>
  <c r="CX231" i="4"/>
  <c r="CW231" i="4"/>
  <c r="CV231" i="4"/>
  <c r="CU231" i="4"/>
  <c r="CT231" i="4"/>
  <c r="CS231" i="4"/>
  <c r="CR231" i="4"/>
  <c r="CQ231" i="4"/>
  <c r="CP231" i="4"/>
  <c r="CO231" i="4"/>
  <c r="CN231" i="4"/>
  <c r="CM231" i="4"/>
  <c r="CL231" i="4"/>
  <c r="CK231" i="4"/>
  <c r="CJ231" i="4"/>
  <c r="CI231" i="4"/>
  <c r="CH231" i="4"/>
  <c r="CG231" i="4"/>
  <c r="CF231" i="4"/>
  <c r="CE231" i="4"/>
  <c r="CD231" i="4"/>
  <c r="CC231" i="4"/>
  <c r="CB231" i="4"/>
  <c r="CA231" i="4"/>
  <c r="BZ231" i="4"/>
  <c r="BY231" i="4"/>
  <c r="BX231" i="4"/>
  <c r="BW231" i="4"/>
  <c r="BV231" i="4"/>
  <c r="BU231" i="4"/>
  <c r="BT231" i="4"/>
  <c r="BS231" i="4"/>
  <c r="BR231" i="4"/>
  <c r="BQ231" i="4"/>
  <c r="BP231" i="4"/>
  <c r="BO231" i="4"/>
  <c r="BN231" i="4"/>
  <c r="BM231" i="4"/>
  <c r="BL231" i="4"/>
  <c r="BK231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B231" i="4"/>
  <c r="D228" i="4"/>
  <c r="A227" i="4"/>
  <c r="A222" i="4"/>
  <c r="DS221" i="4"/>
  <c r="DR221" i="4"/>
  <c r="DQ221" i="4"/>
  <c r="DP221" i="4"/>
  <c r="DO221" i="4"/>
  <c r="DN221" i="4"/>
  <c r="DM221" i="4"/>
  <c r="DL221" i="4"/>
  <c r="DK221" i="4"/>
  <c r="DJ221" i="4"/>
  <c r="DI221" i="4"/>
  <c r="DH221" i="4"/>
  <c r="DG221" i="4"/>
  <c r="DF221" i="4"/>
  <c r="DE221" i="4"/>
  <c r="DD221" i="4"/>
  <c r="DC221" i="4"/>
  <c r="DB221" i="4"/>
  <c r="DA221" i="4"/>
  <c r="CZ221" i="4"/>
  <c r="CY221" i="4"/>
  <c r="CX221" i="4"/>
  <c r="CW221" i="4"/>
  <c r="CV221" i="4"/>
  <c r="CU221" i="4"/>
  <c r="CT221" i="4"/>
  <c r="CS221" i="4"/>
  <c r="CR221" i="4"/>
  <c r="CQ221" i="4"/>
  <c r="CP221" i="4"/>
  <c r="CO221" i="4"/>
  <c r="CN221" i="4"/>
  <c r="CM221" i="4"/>
  <c r="CL221" i="4"/>
  <c r="CK221" i="4"/>
  <c r="CJ221" i="4"/>
  <c r="CI221" i="4"/>
  <c r="CH221" i="4"/>
  <c r="CG221" i="4"/>
  <c r="CF221" i="4"/>
  <c r="CE221" i="4"/>
  <c r="CD221" i="4"/>
  <c r="CC221" i="4"/>
  <c r="CB221" i="4"/>
  <c r="CA221" i="4"/>
  <c r="BZ221" i="4"/>
  <c r="BY221" i="4"/>
  <c r="BX221" i="4"/>
  <c r="BW221" i="4"/>
  <c r="BV221" i="4"/>
  <c r="BU221" i="4"/>
  <c r="BT221" i="4"/>
  <c r="BS221" i="4"/>
  <c r="BR221" i="4"/>
  <c r="BQ221" i="4"/>
  <c r="BP221" i="4"/>
  <c r="BO221" i="4"/>
  <c r="BN221" i="4"/>
  <c r="BM221" i="4"/>
  <c r="BL221" i="4"/>
  <c r="BK221" i="4"/>
  <c r="BJ221" i="4"/>
  <c r="BI221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B221" i="4"/>
  <c r="DS220" i="4"/>
  <c r="DR220" i="4"/>
  <c r="DQ220" i="4"/>
  <c r="DP220" i="4"/>
  <c r="DO220" i="4"/>
  <c r="DN220" i="4"/>
  <c r="DM220" i="4"/>
  <c r="DL220" i="4"/>
  <c r="DK220" i="4"/>
  <c r="DJ220" i="4"/>
  <c r="DI220" i="4"/>
  <c r="DH220" i="4"/>
  <c r="DG220" i="4"/>
  <c r="DF220" i="4"/>
  <c r="DE220" i="4"/>
  <c r="DD220" i="4"/>
  <c r="DC220" i="4"/>
  <c r="DB220" i="4"/>
  <c r="DA220" i="4"/>
  <c r="CZ220" i="4"/>
  <c r="CY220" i="4"/>
  <c r="CX220" i="4"/>
  <c r="CW220" i="4"/>
  <c r="CV220" i="4"/>
  <c r="CU220" i="4"/>
  <c r="CT220" i="4"/>
  <c r="CS220" i="4"/>
  <c r="CR220" i="4"/>
  <c r="CQ220" i="4"/>
  <c r="CP220" i="4"/>
  <c r="CO220" i="4"/>
  <c r="CN220" i="4"/>
  <c r="CM220" i="4"/>
  <c r="CL220" i="4"/>
  <c r="CK220" i="4"/>
  <c r="CJ220" i="4"/>
  <c r="CI220" i="4"/>
  <c r="CH220" i="4"/>
  <c r="CG220" i="4"/>
  <c r="CF220" i="4"/>
  <c r="CE220" i="4"/>
  <c r="CD220" i="4"/>
  <c r="CC220" i="4"/>
  <c r="CB220" i="4"/>
  <c r="CA220" i="4"/>
  <c r="BZ220" i="4"/>
  <c r="BY220" i="4"/>
  <c r="BX220" i="4"/>
  <c r="BW220" i="4"/>
  <c r="BV220" i="4"/>
  <c r="BU220" i="4"/>
  <c r="BT220" i="4"/>
  <c r="BS220" i="4"/>
  <c r="BR220" i="4"/>
  <c r="BQ220" i="4"/>
  <c r="BP220" i="4"/>
  <c r="BO220" i="4"/>
  <c r="BN220" i="4"/>
  <c r="BM220" i="4"/>
  <c r="BL220" i="4"/>
  <c r="BK220" i="4"/>
  <c r="BJ220" i="4"/>
  <c r="BI220" i="4"/>
  <c r="BH220" i="4"/>
  <c r="BG220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B220" i="4" s="1"/>
  <c r="C220" i="4" s="1"/>
  <c r="D220" i="4"/>
  <c r="DS219" i="4"/>
  <c r="DR219" i="4"/>
  <c r="DQ219" i="4"/>
  <c r="DP219" i="4"/>
  <c r="DO219" i="4"/>
  <c r="DN219" i="4"/>
  <c r="DM219" i="4"/>
  <c r="DL219" i="4"/>
  <c r="DK219" i="4"/>
  <c r="DJ219" i="4"/>
  <c r="DI219" i="4"/>
  <c r="DH219" i="4"/>
  <c r="DG219" i="4"/>
  <c r="DF219" i="4"/>
  <c r="DE219" i="4"/>
  <c r="DD219" i="4"/>
  <c r="DC219" i="4"/>
  <c r="DB219" i="4"/>
  <c r="DA219" i="4"/>
  <c r="CZ219" i="4"/>
  <c r="CY219" i="4"/>
  <c r="CX219" i="4"/>
  <c r="CW219" i="4"/>
  <c r="CV219" i="4"/>
  <c r="CU219" i="4"/>
  <c r="CT219" i="4"/>
  <c r="CS219" i="4"/>
  <c r="CR219" i="4"/>
  <c r="CQ219" i="4"/>
  <c r="CP219" i="4"/>
  <c r="CO219" i="4"/>
  <c r="CN219" i="4"/>
  <c r="CM219" i="4"/>
  <c r="CL219" i="4"/>
  <c r="CK219" i="4"/>
  <c r="CJ219" i="4"/>
  <c r="CI219" i="4"/>
  <c r="CH219" i="4"/>
  <c r="CG219" i="4"/>
  <c r="CF219" i="4"/>
  <c r="CE219" i="4"/>
  <c r="CD219" i="4"/>
  <c r="CC219" i="4"/>
  <c r="CB219" i="4"/>
  <c r="CA219" i="4"/>
  <c r="BZ219" i="4"/>
  <c r="BY219" i="4"/>
  <c r="BX219" i="4"/>
  <c r="BW219" i="4"/>
  <c r="BV219" i="4"/>
  <c r="BU219" i="4"/>
  <c r="BT219" i="4"/>
  <c r="BS219" i="4"/>
  <c r="BR219" i="4"/>
  <c r="BQ219" i="4"/>
  <c r="BP219" i="4"/>
  <c r="BO219" i="4"/>
  <c r="BN219" i="4"/>
  <c r="BM219" i="4"/>
  <c r="BL219" i="4"/>
  <c r="BK219" i="4"/>
  <c r="BJ219" i="4"/>
  <c r="BI219" i="4"/>
  <c r="BH219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B219" i="4"/>
  <c r="D216" i="4"/>
  <c r="A215" i="4"/>
  <c r="A209" i="4"/>
  <c r="D206" i="4"/>
  <c r="D203" i="4"/>
  <c r="A202" i="4"/>
  <c r="A196" i="4"/>
  <c r="D193" i="4"/>
  <c r="D190" i="4"/>
  <c r="A189" i="4"/>
  <c r="A183" i="4"/>
  <c r="D181" i="4"/>
  <c r="D180" i="4"/>
  <c r="D177" i="4"/>
  <c r="A176" i="4"/>
  <c r="A170" i="4"/>
  <c r="D167" i="4"/>
  <c r="D168" i="4" s="1"/>
  <c r="D169" i="4" s="1"/>
  <c r="E167" i="4" s="1"/>
  <c r="D164" i="4"/>
  <c r="A163" i="4"/>
  <c r="A157" i="4"/>
  <c r="D154" i="4"/>
  <c r="D155" i="4" s="1"/>
  <c r="D151" i="4"/>
  <c r="A150" i="4"/>
  <c r="A144" i="4"/>
  <c r="D141" i="4"/>
  <c r="D138" i="4"/>
  <c r="A137" i="4"/>
  <c r="A131" i="4"/>
  <c r="D128" i="4"/>
  <c r="D129" i="4" s="1"/>
  <c r="D125" i="4"/>
  <c r="A124" i="4"/>
  <c r="A118" i="4"/>
  <c r="D115" i="4"/>
  <c r="D112" i="4"/>
  <c r="A111" i="4"/>
  <c r="A105" i="4"/>
  <c r="D103" i="4"/>
  <c r="D102" i="4"/>
  <c r="D99" i="4"/>
  <c r="A98" i="4"/>
  <c r="A92" i="4"/>
  <c r="D89" i="4"/>
  <c r="D86" i="4"/>
  <c r="A85" i="4"/>
  <c r="A79" i="4"/>
  <c r="D77" i="4"/>
  <c r="D76" i="4"/>
  <c r="D73" i="4"/>
  <c r="A72" i="4"/>
  <c r="A66" i="4"/>
  <c r="D63" i="4"/>
  <c r="D64" i="4" s="1"/>
  <c r="D60" i="4"/>
  <c r="A59" i="4"/>
  <c r="A53" i="4"/>
  <c r="D50" i="4"/>
  <c r="D47" i="4"/>
  <c r="A45" i="4"/>
  <c r="A35" i="4"/>
  <c r="D32" i="4"/>
  <c r="D29" i="4"/>
  <c r="A27" i="4"/>
  <c r="D20" i="4"/>
  <c r="D19" i="4"/>
  <c r="D28" i="4" s="1"/>
  <c r="D16" i="4"/>
  <c r="K9" i="4"/>
  <c r="W9" i="4" s="1"/>
  <c r="DJ6" i="4"/>
  <c r="DF6" i="4"/>
  <c r="DF27" i="4" s="1"/>
  <c r="CX6" i="4"/>
  <c r="CX27" i="4" s="1"/>
  <c r="CH6" i="4"/>
  <c r="CF6" i="4"/>
  <c r="A6" i="4"/>
  <c r="A5" i="4"/>
  <c r="A1" i="4"/>
  <c r="B180" i="2"/>
  <c r="DS6" i="4" s="1"/>
  <c r="B179" i="2"/>
  <c r="DR6" i="4" s="1"/>
  <c r="B178" i="2"/>
  <c r="DQ6" i="4" s="1"/>
  <c r="B177" i="2"/>
  <c r="DP6" i="4" s="1"/>
  <c r="B176" i="2"/>
  <c r="DO6" i="4" s="1"/>
  <c r="B175" i="2"/>
  <c r="DN6" i="4" s="1"/>
  <c r="DN27" i="4" s="1"/>
  <c r="B174" i="2"/>
  <c r="DM6" i="4" s="1"/>
  <c r="B173" i="2"/>
  <c r="DL6" i="4" s="1"/>
  <c r="B172" i="2"/>
  <c r="DK6" i="4" s="1"/>
  <c r="B171" i="2"/>
  <c r="B170" i="2"/>
  <c r="DI6" i="4" s="1"/>
  <c r="B169" i="2"/>
  <c r="DH6" i="4" s="1"/>
  <c r="B168" i="2"/>
  <c r="DG6" i="4" s="1"/>
  <c r="B167" i="2"/>
  <c r="B166" i="2"/>
  <c r="DE6" i="4" s="1"/>
  <c r="B165" i="2"/>
  <c r="DD6" i="4" s="1"/>
  <c r="B164" i="2"/>
  <c r="DC6" i="4" s="1"/>
  <c r="B163" i="2"/>
  <c r="DB6" i="4" s="1"/>
  <c r="B162" i="2"/>
  <c r="DA6" i="4" s="1"/>
  <c r="B161" i="2"/>
  <c r="CZ6" i="4" s="1"/>
  <c r="B160" i="2"/>
  <c r="CY6" i="4" s="1"/>
  <c r="B159" i="2"/>
  <c r="B158" i="2"/>
  <c r="CW6" i="4" s="1"/>
  <c r="B157" i="2"/>
  <c r="CV6" i="4" s="1"/>
  <c r="B156" i="2"/>
  <c r="CU6" i="4" s="1"/>
  <c r="B155" i="2"/>
  <c r="CT6" i="4" s="1"/>
  <c r="B154" i="2"/>
  <c r="CS6" i="4" s="1"/>
  <c r="B153" i="2"/>
  <c r="CR6" i="4" s="1"/>
  <c r="B152" i="2"/>
  <c r="CQ6" i="4" s="1"/>
  <c r="B151" i="2"/>
  <c r="CP6" i="4" s="1"/>
  <c r="CP27" i="4" s="1"/>
  <c r="B150" i="2"/>
  <c r="CO6" i="4" s="1"/>
  <c r="B149" i="2"/>
  <c r="CN6" i="4" s="1"/>
  <c r="B148" i="2"/>
  <c r="CM6" i="4" s="1"/>
  <c r="B147" i="2"/>
  <c r="CL6" i="4" s="1"/>
  <c r="B146" i="2"/>
  <c r="CK6" i="4" s="1"/>
  <c r="B145" i="2"/>
  <c r="CJ6" i="4" s="1"/>
  <c r="B144" i="2"/>
  <c r="CI6" i="4" s="1"/>
  <c r="B143" i="2"/>
  <c r="B142" i="2"/>
  <c r="CG6" i="4" s="1"/>
  <c r="B141" i="2"/>
  <c r="B140" i="2"/>
  <c r="CE6" i="4" s="1"/>
  <c r="B139" i="2"/>
  <c r="CD6" i="4" s="1"/>
  <c r="B138" i="2"/>
  <c r="CC6" i="4" s="1"/>
  <c r="B137" i="2"/>
  <c r="CB6" i="4" s="1"/>
  <c r="B136" i="2"/>
  <c r="CA6" i="4" s="1"/>
  <c r="B135" i="2"/>
  <c r="BZ6" i="4" s="1"/>
  <c r="B134" i="2"/>
  <c r="BY6" i="4" s="1"/>
  <c r="B133" i="2"/>
  <c r="BX6" i="4" s="1"/>
  <c r="B132" i="2"/>
  <c r="BW6" i="4" s="1"/>
  <c r="B131" i="2"/>
  <c r="BV6" i="4" s="1"/>
  <c r="B130" i="2"/>
  <c r="BU6" i="4" s="1"/>
  <c r="B129" i="2"/>
  <c r="BT6" i="4" s="1"/>
  <c r="B128" i="2"/>
  <c r="BS6" i="4" s="1"/>
  <c r="B127" i="2"/>
  <c r="BR6" i="4" s="1"/>
  <c r="B126" i="2"/>
  <c r="BQ6" i="4" s="1"/>
  <c r="B125" i="2"/>
  <c r="BP6" i="4" s="1"/>
  <c r="B124" i="2"/>
  <c r="BO6" i="4" s="1"/>
  <c r="B123" i="2"/>
  <c r="BN6" i="4" s="1"/>
  <c r="B122" i="2"/>
  <c r="BM6" i="4" s="1"/>
  <c r="B121" i="2"/>
  <c r="BL6" i="4" s="1"/>
  <c r="B120" i="2"/>
  <c r="BK6" i="4" s="1"/>
  <c r="B119" i="2"/>
  <c r="BJ6" i="4" s="1"/>
  <c r="B118" i="2"/>
  <c r="BI6" i="4" s="1"/>
  <c r="B117" i="2"/>
  <c r="BH6" i="4" s="1"/>
  <c r="B116" i="2"/>
  <c r="BG6" i="4" s="1"/>
  <c r="B115" i="2"/>
  <c r="BF6" i="4" s="1"/>
  <c r="B114" i="2"/>
  <c r="BE6" i="4" s="1"/>
  <c r="B113" i="2"/>
  <c r="BD6" i="4" s="1"/>
  <c r="B112" i="2"/>
  <c r="BC6" i="4" s="1"/>
  <c r="B111" i="2"/>
  <c r="BB6" i="4" s="1"/>
  <c r="B110" i="2"/>
  <c r="BA6" i="4" s="1"/>
  <c r="B109" i="2"/>
  <c r="AZ6" i="4" s="1"/>
  <c r="B108" i="2"/>
  <c r="AY6" i="4" s="1"/>
  <c r="B107" i="2"/>
  <c r="AX6" i="4" s="1"/>
  <c r="B106" i="2"/>
  <c r="AW6" i="4" s="1"/>
  <c r="B105" i="2"/>
  <c r="AV6" i="4" s="1"/>
  <c r="B104" i="2"/>
  <c r="AU6" i="4" s="1"/>
  <c r="B103" i="2"/>
  <c r="AT6" i="4" s="1"/>
  <c r="B102" i="2"/>
  <c r="AS6" i="4" s="1"/>
  <c r="B101" i="2"/>
  <c r="AR6" i="4" s="1"/>
  <c r="B100" i="2"/>
  <c r="AQ6" i="4" s="1"/>
  <c r="B99" i="2"/>
  <c r="AP6" i="4" s="1"/>
  <c r="B98" i="2"/>
  <c r="AO6" i="4" s="1"/>
  <c r="B97" i="2"/>
  <c r="AN6" i="4" s="1"/>
  <c r="B96" i="2"/>
  <c r="AM6" i="4" s="1"/>
  <c r="B95" i="2"/>
  <c r="AL6" i="4" s="1"/>
  <c r="B94" i="2"/>
  <c r="AK6" i="4" s="1"/>
  <c r="B93" i="2"/>
  <c r="AJ6" i="4" s="1"/>
  <c r="B92" i="2"/>
  <c r="AI6" i="4" s="1"/>
  <c r="B91" i="2"/>
  <c r="AH6" i="4" s="1"/>
  <c r="B90" i="2"/>
  <c r="AG6" i="4" s="1"/>
  <c r="B89" i="2"/>
  <c r="AF6" i="4" s="1"/>
  <c r="B88" i="2"/>
  <c r="AE6" i="4" s="1"/>
  <c r="B87" i="2"/>
  <c r="AD6" i="4" s="1"/>
  <c r="B86" i="2"/>
  <c r="AC6" i="4" s="1"/>
  <c r="B85" i="2"/>
  <c r="AB6" i="4" s="1"/>
  <c r="B84" i="2"/>
  <c r="AA6" i="4" s="1"/>
  <c r="B83" i="2"/>
  <c r="Z6" i="4" s="1"/>
  <c r="B82" i="2"/>
  <c r="Y6" i="4" s="1"/>
  <c r="B81" i="2"/>
  <c r="X6" i="4" s="1"/>
  <c r="B80" i="2"/>
  <c r="W6" i="4" s="1"/>
  <c r="B79" i="2"/>
  <c r="V6" i="4" s="1"/>
  <c r="B78" i="2"/>
  <c r="U6" i="4" s="1"/>
  <c r="B77" i="2"/>
  <c r="T6" i="4" s="1"/>
  <c r="B76" i="2"/>
  <c r="S6" i="4" s="1"/>
  <c r="B75" i="2"/>
  <c r="R6" i="4" s="1"/>
  <c r="B74" i="2"/>
  <c r="Q6" i="4" s="1"/>
  <c r="B73" i="2"/>
  <c r="P6" i="4" s="1"/>
  <c r="B72" i="2"/>
  <c r="O6" i="4" s="1"/>
  <c r="B71" i="2"/>
  <c r="N6" i="4" s="1"/>
  <c r="B70" i="2"/>
  <c r="M6" i="4" s="1"/>
  <c r="B69" i="2"/>
  <c r="L6" i="4" s="1"/>
  <c r="B68" i="2"/>
  <c r="K6" i="4" s="1"/>
  <c r="B67" i="2"/>
  <c r="J6" i="4" s="1"/>
  <c r="B66" i="2"/>
  <c r="I6" i="4" s="1"/>
  <c r="B65" i="2"/>
  <c r="H6" i="4" s="1"/>
  <c r="B64" i="2"/>
  <c r="G6" i="4" s="1"/>
  <c r="B63" i="2"/>
  <c r="F6" i="4" s="1"/>
  <c r="B62" i="2"/>
  <c r="E6" i="4" s="1"/>
  <c r="B61" i="2"/>
  <c r="D6" i="4" s="1"/>
  <c r="B60" i="2"/>
  <c r="A59" i="2"/>
  <c r="B56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31" i="2"/>
  <c r="B29" i="2"/>
  <c r="F19" i="2"/>
  <c r="E11" i="2"/>
  <c r="D11" i="2"/>
  <c r="C11" i="2"/>
  <c r="A1" i="2"/>
  <c r="K15" i="1"/>
  <c r="K14" i="1"/>
  <c r="K13" i="1"/>
  <c r="K11" i="1"/>
  <c r="K9" i="1"/>
  <c r="D182" i="4" l="1"/>
  <c r="E180" i="4" s="1"/>
  <c r="D104" i="4"/>
  <c r="E102" i="4" s="1"/>
  <c r="D78" i="4"/>
  <c r="E76" i="4" s="1"/>
  <c r="W12" i="4"/>
  <c r="B110" i="4"/>
  <c r="C110" i="4" s="1"/>
  <c r="B11" i="4"/>
  <c r="C11" i="4" s="1"/>
  <c r="B149" i="4"/>
  <c r="C149" i="4" s="1"/>
  <c r="B84" i="4"/>
  <c r="C84" i="4" s="1"/>
  <c r="B23" i="4"/>
  <c r="C23" i="4" s="1"/>
  <c r="B162" i="4"/>
  <c r="C162" i="4" s="1"/>
  <c r="B41" i="4"/>
  <c r="C41" i="4" s="1"/>
  <c r="R239" i="4"/>
  <c r="R227" i="4"/>
  <c r="R215" i="4"/>
  <c r="R202" i="4"/>
  <c r="R189" i="4"/>
  <c r="R176" i="4"/>
  <c r="R163" i="4"/>
  <c r="R150" i="4"/>
  <c r="R137" i="4"/>
  <c r="R124" i="4"/>
  <c r="R111" i="4"/>
  <c r="R98" i="4"/>
  <c r="R72" i="4"/>
  <c r="R85" i="4"/>
  <c r="R45" i="4"/>
  <c r="R59" i="4"/>
  <c r="R27" i="4"/>
  <c r="R7" i="4"/>
  <c r="R37" i="1" s="1"/>
  <c r="BN239" i="4"/>
  <c r="BN227" i="4"/>
  <c r="BN215" i="4"/>
  <c r="BN202" i="4"/>
  <c r="BN189" i="4"/>
  <c r="BN176" i="4"/>
  <c r="BN163" i="4"/>
  <c r="BN150" i="4"/>
  <c r="BN137" i="4"/>
  <c r="BN124" i="4"/>
  <c r="BN111" i="4"/>
  <c r="BN98" i="4"/>
  <c r="BN72" i="4"/>
  <c r="BN85" i="4"/>
  <c r="BN45" i="4"/>
  <c r="BN59" i="4"/>
  <c r="BN27" i="4"/>
  <c r="BN7" i="4"/>
  <c r="R85" i="1" s="1"/>
  <c r="AI239" i="4"/>
  <c r="AI215" i="4"/>
  <c r="AI227" i="4"/>
  <c r="AI202" i="4"/>
  <c r="AI189" i="4"/>
  <c r="AI176" i="4"/>
  <c r="AI150" i="4"/>
  <c r="AI163" i="4"/>
  <c r="AI137" i="4"/>
  <c r="AI124" i="4"/>
  <c r="AI111" i="4"/>
  <c r="AI72" i="4"/>
  <c r="AI85" i="4"/>
  <c r="AI98" i="4"/>
  <c r="AI45" i="4"/>
  <c r="AI59" i="4"/>
  <c r="AI27" i="4"/>
  <c r="AI7" i="4"/>
  <c r="R54" i="1" s="1"/>
  <c r="BW239" i="4"/>
  <c r="BW215" i="4"/>
  <c r="BW227" i="4"/>
  <c r="BW202" i="4"/>
  <c r="BW189" i="4"/>
  <c r="BW176" i="4"/>
  <c r="BW150" i="4"/>
  <c r="BW163" i="4"/>
  <c r="BW137" i="4"/>
  <c r="BW124" i="4"/>
  <c r="BW111" i="4"/>
  <c r="BW98" i="4"/>
  <c r="BW72" i="4"/>
  <c r="BW85" i="4"/>
  <c r="BW45" i="4"/>
  <c r="BW59" i="4"/>
  <c r="BW27" i="4"/>
  <c r="BW7" i="4"/>
  <c r="R94" i="1" s="1"/>
  <c r="DK239" i="4"/>
  <c r="DK215" i="4"/>
  <c r="DK227" i="4"/>
  <c r="DK202" i="4"/>
  <c r="DK189" i="4"/>
  <c r="DK163" i="4"/>
  <c r="DK176" i="4"/>
  <c r="DK150" i="4"/>
  <c r="DK137" i="4"/>
  <c r="DK124" i="4"/>
  <c r="DK111" i="4"/>
  <c r="DK98" i="4"/>
  <c r="DK72" i="4"/>
  <c r="DK85" i="4"/>
  <c r="DK45" i="4"/>
  <c r="DK59" i="4"/>
  <c r="DK27" i="4"/>
  <c r="DK7" i="4"/>
  <c r="R134" i="1" s="1"/>
  <c r="DS239" i="4"/>
  <c r="DS215" i="4"/>
  <c r="DS227" i="4"/>
  <c r="DS202" i="4"/>
  <c r="DS189" i="4"/>
  <c r="DS163" i="4"/>
  <c r="DS176" i="4"/>
  <c r="DS150" i="4"/>
  <c r="DS137" i="4"/>
  <c r="DS124" i="4"/>
  <c r="DS111" i="4"/>
  <c r="DS98" i="4"/>
  <c r="DS72" i="4"/>
  <c r="DS85" i="4"/>
  <c r="DS45" i="4"/>
  <c r="DS59" i="4"/>
  <c r="DS27" i="4"/>
  <c r="DS7" i="4"/>
  <c r="R142" i="1" s="1"/>
  <c r="J239" i="4"/>
  <c r="J227" i="4"/>
  <c r="J215" i="4"/>
  <c r="J202" i="4"/>
  <c r="J189" i="4"/>
  <c r="J176" i="4"/>
  <c r="J163" i="4"/>
  <c r="J137" i="4"/>
  <c r="J150" i="4"/>
  <c r="J124" i="4"/>
  <c r="J111" i="4"/>
  <c r="J98" i="4"/>
  <c r="J72" i="4"/>
  <c r="J85" i="4"/>
  <c r="J45" i="4"/>
  <c r="J59" i="4"/>
  <c r="J27" i="4"/>
  <c r="J7" i="4"/>
  <c r="R29" i="1" s="1"/>
  <c r="BF239" i="4"/>
  <c r="BF227" i="4"/>
  <c r="BF215" i="4"/>
  <c r="BF189" i="4"/>
  <c r="BF202" i="4"/>
  <c r="BF176" i="4"/>
  <c r="BF163" i="4"/>
  <c r="BF150" i="4"/>
  <c r="BF137" i="4"/>
  <c r="BF124" i="4"/>
  <c r="BF111" i="4"/>
  <c r="BF98" i="4"/>
  <c r="BF72" i="4"/>
  <c r="BF85" i="4"/>
  <c r="BF45" i="4"/>
  <c r="BF59" i="4"/>
  <c r="BF27" i="4"/>
  <c r="BF7" i="4"/>
  <c r="R77" i="1" s="1"/>
  <c r="AQ239" i="4"/>
  <c r="AQ215" i="4"/>
  <c r="AQ227" i="4"/>
  <c r="AQ202" i="4"/>
  <c r="AQ189" i="4"/>
  <c r="AQ163" i="4"/>
  <c r="AQ176" i="4"/>
  <c r="AQ150" i="4"/>
  <c r="AQ137" i="4"/>
  <c r="AQ124" i="4"/>
  <c r="AQ111" i="4"/>
  <c r="AQ72" i="4"/>
  <c r="AQ98" i="4"/>
  <c r="AQ85" i="4"/>
  <c r="AQ45" i="4"/>
  <c r="AQ59" i="4"/>
  <c r="AQ27" i="4"/>
  <c r="AQ7" i="4"/>
  <c r="R62" i="1" s="1"/>
  <c r="BH239" i="4"/>
  <c r="BH227" i="4"/>
  <c r="BH215" i="4"/>
  <c r="BH189" i="4"/>
  <c r="BH202" i="4"/>
  <c r="BH176" i="4"/>
  <c r="BH163" i="4"/>
  <c r="BH150" i="4"/>
  <c r="BH137" i="4"/>
  <c r="BH111" i="4"/>
  <c r="BH124" i="4"/>
  <c r="BH98" i="4"/>
  <c r="BH72" i="4"/>
  <c r="BH85" i="4"/>
  <c r="BH45" i="4"/>
  <c r="BH59" i="4"/>
  <c r="BH27" i="4"/>
  <c r="BH7" i="4"/>
  <c r="R79" i="1" s="1"/>
  <c r="AP239" i="4"/>
  <c r="AP227" i="4"/>
  <c r="AP215" i="4"/>
  <c r="AP202" i="4"/>
  <c r="AP189" i="4"/>
  <c r="AP176" i="4"/>
  <c r="AP163" i="4"/>
  <c r="AP137" i="4"/>
  <c r="AP150" i="4"/>
  <c r="AP124" i="4"/>
  <c r="AP111" i="4"/>
  <c r="AP98" i="4"/>
  <c r="AP72" i="4"/>
  <c r="AP85" i="4"/>
  <c r="AP45" i="4"/>
  <c r="AP59" i="4"/>
  <c r="AP27" i="4"/>
  <c r="AP7" i="4"/>
  <c r="R61" i="1" s="1"/>
  <c r="CL239" i="4"/>
  <c r="CL227" i="4"/>
  <c r="CL215" i="4"/>
  <c r="CL189" i="4"/>
  <c r="CL202" i="4"/>
  <c r="CL176" i="4"/>
  <c r="CL163" i="4"/>
  <c r="CL150" i="4"/>
  <c r="CL137" i="4"/>
  <c r="CL124" i="4"/>
  <c r="CL111" i="4"/>
  <c r="CL98" i="4"/>
  <c r="CL72" i="4"/>
  <c r="CL85" i="4"/>
  <c r="CL45" i="4"/>
  <c r="CL59" i="4"/>
  <c r="CL27" i="4"/>
  <c r="CL7" i="4"/>
  <c r="R109" i="1" s="1"/>
  <c r="AA239" i="4"/>
  <c r="AA215" i="4"/>
  <c r="AA227" i="4"/>
  <c r="AA202" i="4"/>
  <c r="AA189" i="4"/>
  <c r="AA176" i="4"/>
  <c r="AA150" i="4"/>
  <c r="AA163" i="4"/>
  <c r="AA137" i="4"/>
  <c r="AA124" i="4"/>
  <c r="AA111" i="4"/>
  <c r="AA98" i="4"/>
  <c r="AA72" i="4"/>
  <c r="AA85" i="4"/>
  <c r="AA45" i="4"/>
  <c r="AA59" i="4"/>
  <c r="AA27" i="4"/>
  <c r="AA7" i="4"/>
  <c r="R46" i="1" s="1"/>
  <c r="CE239" i="4"/>
  <c r="CE215" i="4"/>
  <c r="CE227" i="4"/>
  <c r="CE202" i="4"/>
  <c r="CE189" i="4"/>
  <c r="CE163" i="4"/>
  <c r="CE176" i="4"/>
  <c r="CE150" i="4"/>
  <c r="CE137" i="4"/>
  <c r="CE124" i="4"/>
  <c r="CE111" i="4"/>
  <c r="CE98" i="4"/>
  <c r="CE72" i="4"/>
  <c r="CE85" i="4"/>
  <c r="CE45" i="4"/>
  <c r="CE59" i="4"/>
  <c r="CE27" i="4"/>
  <c r="CE7" i="4"/>
  <c r="R102" i="1" s="1"/>
  <c r="L239" i="4"/>
  <c r="L227" i="4"/>
  <c r="L215" i="4"/>
  <c r="L202" i="4"/>
  <c r="L189" i="4"/>
  <c r="L176" i="4"/>
  <c r="L163" i="4"/>
  <c r="L137" i="4"/>
  <c r="L150" i="4"/>
  <c r="L111" i="4"/>
  <c r="L124" i="4"/>
  <c r="L98" i="4"/>
  <c r="L72" i="4"/>
  <c r="L85" i="4"/>
  <c r="L45" i="4"/>
  <c r="L59" i="4"/>
  <c r="L27" i="4"/>
  <c r="L7" i="4"/>
  <c r="R31" i="1" s="1"/>
  <c r="AZ239" i="4"/>
  <c r="AZ227" i="4"/>
  <c r="AZ215" i="4"/>
  <c r="AZ202" i="4"/>
  <c r="AZ189" i="4"/>
  <c r="AZ176" i="4"/>
  <c r="AZ163" i="4"/>
  <c r="AZ150" i="4"/>
  <c r="AZ137" i="4"/>
  <c r="AZ111" i="4"/>
  <c r="AZ124" i="4"/>
  <c r="AZ98" i="4"/>
  <c r="AZ72" i="4"/>
  <c r="AZ85" i="4"/>
  <c r="AZ45" i="4"/>
  <c r="AZ59" i="4"/>
  <c r="AZ27" i="4"/>
  <c r="AZ7" i="4"/>
  <c r="R71" i="1" s="1"/>
  <c r="CW239" i="4"/>
  <c r="CW215" i="4"/>
  <c r="CW227" i="4"/>
  <c r="CW202" i="4"/>
  <c r="CW189" i="4"/>
  <c r="CW176" i="4"/>
  <c r="CW163" i="4"/>
  <c r="CW150" i="4"/>
  <c r="CW137" i="4"/>
  <c r="CW124" i="4"/>
  <c r="CW111" i="4"/>
  <c r="CW98" i="4"/>
  <c r="CW72" i="4"/>
  <c r="CW85" i="4"/>
  <c r="CW45" i="4"/>
  <c r="CW59" i="4"/>
  <c r="CW27" i="4"/>
  <c r="CW7" i="4"/>
  <c r="R120" i="1" s="1"/>
  <c r="BG239" i="4"/>
  <c r="BG215" i="4"/>
  <c r="BG227" i="4"/>
  <c r="BG202" i="4"/>
  <c r="BG189" i="4"/>
  <c r="BG176" i="4"/>
  <c r="BG150" i="4"/>
  <c r="BG163" i="4"/>
  <c r="BG137" i="4"/>
  <c r="BG124" i="4"/>
  <c r="BG111" i="4"/>
  <c r="BG72" i="4"/>
  <c r="BG98" i="4"/>
  <c r="BG85" i="4"/>
  <c r="BG45" i="4"/>
  <c r="BG59" i="4"/>
  <c r="BG27" i="4"/>
  <c r="BG7" i="4"/>
  <c r="R78" i="1" s="1"/>
  <c r="DC239" i="4"/>
  <c r="DC215" i="4"/>
  <c r="DC227" i="4"/>
  <c r="DC202" i="4"/>
  <c r="DC189" i="4"/>
  <c r="DC163" i="4"/>
  <c r="DC150" i="4"/>
  <c r="DC176" i="4"/>
  <c r="DC137" i="4"/>
  <c r="DC124" i="4"/>
  <c r="DC111" i="4"/>
  <c r="DC98" i="4"/>
  <c r="DC72" i="4"/>
  <c r="DC85" i="4"/>
  <c r="DC45" i="4"/>
  <c r="DC59" i="4"/>
  <c r="DC27" i="4"/>
  <c r="DC7" i="4"/>
  <c r="R126" i="1" s="1"/>
  <c r="AJ239" i="4"/>
  <c r="AJ227" i="4"/>
  <c r="AJ215" i="4"/>
  <c r="AJ202" i="4"/>
  <c r="AJ189" i="4"/>
  <c r="AJ176" i="4"/>
  <c r="AJ163" i="4"/>
  <c r="AJ150" i="4"/>
  <c r="AJ137" i="4"/>
  <c r="AJ111" i="4"/>
  <c r="AJ124" i="4"/>
  <c r="AJ98" i="4"/>
  <c r="AJ72" i="4"/>
  <c r="AJ85" i="4"/>
  <c r="AJ45" i="4"/>
  <c r="AJ59" i="4"/>
  <c r="AJ27" i="4"/>
  <c r="AJ7" i="4"/>
  <c r="R55" i="1" s="1"/>
  <c r="BX239" i="4"/>
  <c r="BX227" i="4"/>
  <c r="BX215" i="4"/>
  <c r="BX202" i="4"/>
  <c r="BX189" i="4"/>
  <c r="BX176" i="4"/>
  <c r="BX163" i="4"/>
  <c r="BX137" i="4"/>
  <c r="BX150" i="4"/>
  <c r="BX111" i="4"/>
  <c r="BX124" i="4"/>
  <c r="BX98" i="4"/>
  <c r="BX72" i="4"/>
  <c r="BX85" i="4"/>
  <c r="BX45" i="4"/>
  <c r="BX59" i="4"/>
  <c r="BX27" i="4"/>
  <c r="BX7" i="4"/>
  <c r="R95" i="1" s="1"/>
  <c r="CO239" i="4"/>
  <c r="CO215" i="4"/>
  <c r="CO227" i="4"/>
  <c r="CO202" i="4"/>
  <c r="CO189" i="4"/>
  <c r="CO163" i="4"/>
  <c r="CO176" i="4"/>
  <c r="CO150" i="4"/>
  <c r="CO137" i="4"/>
  <c r="CO124" i="4"/>
  <c r="CO111" i="4"/>
  <c r="CO98" i="4"/>
  <c r="CO72" i="4"/>
  <c r="CO85" i="4"/>
  <c r="CO45" i="4"/>
  <c r="CO59" i="4"/>
  <c r="CO27" i="4"/>
  <c r="CO7" i="4"/>
  <c r="R112" i="1" s="1"/>
  <c r="F239" i="4"/>
  <c r="F227" i="4"/>
  <c r="F215" i="4"/>
  <c r="F202" i="4"/>
  <c r="F189" i="4"/>
  <c r="F176" i="4"/>
  <c r="F163" i="4"/>
  <c r="F150" i="4"/>
  <c r="F137" i="4"/>
  <c r="F111" i="4"/>
  <c r="F124" i="4"/>
  <c r="F98" i="4"/>
  <c r="F72" i="4"/>
  <c r="F85" i="4"/>
  <c r="F45" i="4"/>
  <c r="F59" i="4"/>
  <c r="F7" i="4"/>
  <c r="R25" i="1" s="1"/>
  <c r="F27" i="4"/>
  <c r="N239" i="4"/>
  <c r="N227" i="4"/>
  <c r="N215" i="4"/>
  <c r="N202" i="4"/>
  <c r="N189" i="4"/>
  <c r="N176" i="4"/>
  <c r="N163" i="4"/>
  <c r="N150" i="4"/>
  <c r="N137" i="4"/>
  <c r="N111" i="4"/>
  <c r="N124" i="4"/>
  <c r="N98" i="4"/>
  <c r="N72" i="4"/>
  <c r="N85" i="4"/>
  <c r="N45" i="4"/>
  <c r="N59" i="4"/>
  <c r="N27" i="4"/>
  <c r="N7" i="4"/>
  <c r="R33" i="1" s="1"/>
  <c r="V239" i="4"/>
  <c r="V227" i="4"/>
  <c r="V215" i="4"/>
  <c r="V202" i="4"/>
  <c r="V189" i="4"/>
  <c r="V176" i="4"/>
  <c r="V163" i="4"/>
  <c r="V150" i="4"/>
  <c r="V137" i="4"/>
  <c r="V111" i="4"/>
  <c r="V124" i="4"/>
  <c r="V98" i="4"/>
  <c r="V72" i="4"/>
  <c r="V85" i="4"/>
  <c r="V45" i="4"/>
  <c r="V59" i="4"/>
  <c r="V27" i="4"/>
  <c r="V7" i="4"/>
  <c r="R41" i="1" s="1"/>
  <c r="AD239" i="4"/>
  <c r="AD227" i="4"/>
  <c r="AD215" i="4"/>
  <c r="AD202" i="4"/>
  <c r="AD189" i="4"/>
  <c r="AD176" i="4"/>
  <c r="AD163" i="4"/>
  <c r="AD150" i="4"/>
  <c r="AD137" i="4"/>
  <c r="AD111" i="4"/>
  <c r="AD124" i="4"/>
  <c r="AD98" i="4"/>
  <c r="AD72" i="4"/>
  <c r="AD85" i="4"/>
  <c r="AD45" i="4"/>
  <c r="AD59" i="4"/>
  <c r="AD7" i="4"/>
  <c r="R49" i="1" s="1"/>
  <c r="AD27" i="4"/>
  <c r="AL239" i="4"/>
  <c r="AL227" i="4"/>
  <c r="AL215" i="4"/>
  <c r="AL202" i="4"/>
  <c r="AL189" i="4"/>
  <c r="AL176" i="4"/>
  <c r="AL163" i="4"/>
  <c r="AL150" i="4"/>
  <c r="AL137" i="4"/>
  <c r="AL111" i="4"/>
  <c r="AL124" i="4"/>
  <c r="AL98" i="4"/>
  <c r="AL72" i="4"/>
  <c r="AL85" i="4"/>
  <c r="AL45" i="4"/>
  <c r="AL59" i="4"/>
  <c r="AL7" i="4"/>
  <c r="R57" i="1" s="1"/>
  <c r="AL27" i="4"/>
  <c r="AT239" i="4"/>
  <c r="AT227" i="4"/>
  <c r="AT215" i="4"/>
  <c r="AT202" i="4"/>
  <c r="AT189" i="4"/>
  <c r="AT176" i="4"/>
  <c r="AT163" i="4"/>
  <c r="AT150" i="4"/>
  <c r="AT137" i="4"/>
  <c r="AT111" i="4"/>
  <c r="AT124" i="4"/>
  <c r="AT98" i="4"/>
  <c r="AT72" i="4"/>
  <c r="AT85" i="4"/>
  <c r="AT45" i="4"/>
  <c r="AT59" i="4"/>
  <c r="AT7" i="4"/>
  <c r="R65" i="1" s="1"/>
  <c r="AT27" i="4"/>
  <c r="BB239" i="4"/>
  <c r="BB227" i="4"/>
  <c r="BB215" i="4"/>
  <c r="BB202" i="4"/>
  <c r="BB189" i="4"/>
  <c r="BB176" i="4"/>
  <c r="BB163" i="4"/>
  <c r="BB150" i="4"/>
  <c r="BB137" i="4"/>
  <c r="BB111" i="4"/>
  <c r="BB124" i="4"/>
  <c r="BB98" i="4"/>
  <c r="BB72" i="4"/>
  <c r="BB85" i="4"/>
  <c r="BB45" i="4"/>
  <c r="BB59" i="4"/>
  <c r="BB7" i="4"/>
  <c r="R73" i="1" s="1"/>
  <c r="BB27" i="4"/>
  <c r="BJ239" i="4"/>
  <c r="BJ227" i="4"/>
  <c r="BJ215" i="4"/>
  <c r="BJ202" i="4"/>
  <c r="BJ189" i="4"/>
  <c r="BJ176" i="4"/>
  <c r="BJ163" i="4"/>
  <c r="BJ150" i="4"/>
  <c r="BJ137" i="4"/>
  <c r="BJ111" i="4"/>
  <c r="BJ124" i="4"/>
  <c r="BJ98" i="4"/>
  <c r="BJ72" i="4"/>
  <c r="BJ85" i="4"/>
  <c r="BJ45" i="4"/>
  <c r="BJ59" i="4"/>
  <c r="BJ7" i="4"/>
  <c r="R81" i="1" s="1"/>
  <c r="BJ27" i="4"/>
  <c r="BR239" i="4"/>
  <c r="BR227" i="4"/>
  <c r="BR215" i="4"/>
  <c r="BR202" i="4"/>
  <c r="BR189" i="4"/>
  <c r="BR176" i="4"/>
  <c r="BR163" i="4"/>
  <c r="BR150" i="4"/>
  <c r="BR137" i="4"/>
  <c r="BR111" i="4"/>
  <c r="BR124" i="4"/>
  <c r="BR98" i="4"/>
  <c r="BR72" i="4"/>
  <c r="BR85" i="4"/>
  <c r="BR45" i="4"/>
  <c r="BR59" i="4"/>
  <c r="BR7" i="4"/>
  <c r="R89" i="1" s="1"/>
  <c r="BR27" i="4"/>
  <c r="BZ239" i="4"/>
  <c r="BZ227" i="4"/>
  <c r="BZ215" i="4"/>
  <c r="BZ202" i="4"/>
  <c r="BZ189" i="4"/>
  <c r="BZ176" i="4"/>
  <c r="BZ163" i="4"/>
  <c r="BZ150" i="4"/>
  <c r="BZ137" i="4"/>
  <c r="BZ111" i="4"/>
  <c r="BZ124" i="4"/>
  <c r="BZ98" i="4"/>
  <c r="BZ72" i="4"/>
  <c r="BZ85" i="4"/>
  <c r="BZ45" i="4"/>
  <c r="BZ59" i="4"/>
  <c r="BZ27" i="4"/>
  <c r="BZ7" i="4"/>
  <c r="R97" i="1" s="1"/>
  <c r="Z239" i="4"/>
  <c r="Z227" i="4"/>
  <c r="Z215" i="4"/>
  <c r="Z189" i="4"/>
  <c r="Z202" i="4"/>
  <c r="Z176" i="4"/>
  <c r="Z163" i="4"/>
  <c r="Z150" i="4"/>
  <c r="Z137" i="4"/>
  <c r="Z124" i="4"/>
  <c r="Z111" i="4"/>
  <c r="Z98" i="4"/>
  <c r="Z72" i="4"/>
  <c r="Z85" i="4"/>
  <c r="Z45" i="4"/>
  <c r="Z59" i="4"/>
  <c r="Z27" i="4"/>
  <c r="Z7" i="4"/>
  <c r="R45" i="1" s="1"/>
  <c r="BV239" i="4"/>
  <c r="BV227" i="4"/>
  <c r="BV215" i="4"/>
  <c r="BV202" i="4"/>
  <c r="BV189" i="4"/>
  <c r="BV176" i="4"/>
  <c r="BV163" i="4"/>
  <c r="BV137" i="4"/>
  <c r="BV150" i="4"/>
  <c r="BV124" i="4"/>
  <c r="BV111" i="4"/>
  <c r="BV98" i="4"/>
  <c r="BV72" i="4"/>
  <c r="BV85" i="4"/>
  <c r="BV45" i="4"/>
  <c r="BV59" i="4"/>
  <c r="BV27" i="4"/>
  <c r="BV7" i="4"/>
  <c r="R93" i="1" s="1"/>
  <c r="S239" i="4"/>
  <c r="S215" i="4"/>
  <c r="S227" i="4"/>
  <c r="S202" i="4"/>
  <c r="S189" i="4"/>
  <c r="S176" i="4"/>
  <c r="S150" i="4"/>
  <c r="S163" i="4"/>
  <c r="S137" i="4"/>
  <c r="S124" i="4"/>
  <c r="S111" i="4"/>
  <c r="S98" i="4"/>
  <c r="S85" i="4"/>
  <c r="S72" i="4"/>
  <c r="S45" i="4"/>
  <c r="S59" i="4"/>
  <c r="S27" i="4"/>
  <c r="S7" i="4"/>
  <c r="R38" i="1" s="1"/>
  <c r="CM239" i="4"/>
  <c r="CM215" i="4"/>
  <c r="CM227" i="4"/>
  <c r="CM202" i="4"/>
  <c r="CM189" i="4"/>
  <c r="CM163" i="4"/>
  <c r="CM176" i="4"/>
  <c r="CM150" i="4"/>
  <c r="CM137" i="4"/>
  <c r="CM124" i="4"/>
  <c r="CM111" i="4"/>
  <c r="CM98" i="4"/>
  <c r="CM72" i="4"/>
  <c r="CM85" i="4"/>
  <c r="CM45" i="4"/>
  <c r="CM59" i="4"/>
  <c r="CM27" i="4"/>
  <c r="CM7" i="4"/>
  <c r="R110" i="1" s="1"/>
  <c r="T239" i="4"/>
  <c r="T227" i="4"/>
  <c r="T215" i="4"/>
  <c r="T202" i="4"/>
  <c r="T189" i="4"/>
  <c r="T176" i="4"/>
  <c r="T163" i="4"/>
  <c r="T150" i="4"/>
  <c r="T137" i="4"/>
  <c r="T111" i="4"/>
  <c r="T124" i="4"/>
  <c r="T98" i="4"/>
  <c r="T72" i="4"/>
  <c r="T85" i="4"/>
  <c r="T45" i="4"/>
  <c r="T59" i="4"/>
  <c r="T27" i="4"/>
  <c r="T7" i="4"/>
  <c r="R39" i="1" s="1"/>
  <c r="AR239" i="4"/>
  <c r="AR227" i="4"/>
  <c r="AR215" i="4"/>
  <c r="AR202" i="4"/>
  <c r="AR189" i="4"/>
  <c r="AR176" i="4"/>
  <c r="AR163" i="4"/>
  <c r="AR137" i="4"/>
  <c r="AR150" i="4"/>
  <c r="AR111" i="4"/>
  <c r="AR124" i="4"/>
  <c r="AR98" i="4"/>
  <c r="AR72" i="4"/>
  <c r="AR85" i="4"/>
  <c r="AR45" i="4"/>
  <c r="AR59" i="4"/>
  <c r="AR27" i="4"/>
  <c r="AR7" i="4"/>
  <c r="R63" i="1" s="1"/>
  <c r="AK239" i="4"/>
  <c r="AK215" i="4"/>
  <c r="AK227" i="4"/>
  <c r="AK202" i="4"/>
  <c r="AK189" i="4"/>
  <c r="AK176" i="4"/>
  <c r="AK150" i="4"/>
  <c r="AK163" i="4"/>
  <c r="AK137" i="4"/>
  <c r="AK124" i="4"/>
  <c r="AK111" i="4"/>
  <c r="AK98" i="4"/>
  <c r="AK72" i="4"/>
  <c r="AK85" i="4"/>
  <c r="AK45" i="4"/>
  <c r="AK59" i="4"/>
  <c r="AK27" i="4"/>
  <c r="AK7" i="4"/>
  <c r="R56" i="1" s="1"/>
  <c r="O239" i="4"/>
  <c r="O215" i="4"/>
  <c r="O227" i="4"/>
  <c r="O202" i="4"/>
  <c r="O189" i="4"/>
  <c r="O176" i="4"/>
  <c r="O163" i="4"/>
  <c r="O150" i="4"/>
  <c r="O124" i="4"/>
  <c r="O137" i="4"/>
  <c r="O111" i="4"/>
  <c r="O98" i="4"/>
  <c r="O85" i="4"/>
  <c r="O72" i="4"/>
  <c r="O45" i="4"/>
  <c r="O59" i="4"/>
  <c r="O27" i="4"/>
  <c r="O7" i="4"/>
  <c r="R34" i="1" s="1"/>
  <c r="AM239" i="4"/>
  <c r="AM215" i="4"/>
  <c r="AM227" i="4"/>
  <c r="AM202" i="4"/>
  <c r="AM189" i="4"/>
  <c r="AM176" i="4"/>
  <c r="AM163" i="4"/>
  <c r="AM150" i="4"/>
  <c r="AM137" i="4"/>
  <c r="AM124" i="4"/>
  <c r="AM111" i="4"/>
  <c r="AM98" i="4"/>
  <c r="AM85" i="4"/>
  <c r="AM72" i="4"/>
  <c r="AM45" i="4"/>
  <c r="AM59" i="4"/>
  <c r="AM27" i="4"/>
  <c r="AM7" i="4"/>
  <c r="R58" i="1" s="1"/>
  <c r="BS239" i="4"/>
  <c r="BS215" i="4"/>
  <c r="BS227" i="4"/>
  <c r="BS202" i="4"/>
  <c r="BS189" i="4"/>
  <c r="BS176" i="4"/>
  <c r="BS163" i="4"/>
  <c r="BS150" i="4"/>
  <c r="BS137" i="4"/>
  <c r="BS124" i="4"/>
  <c r="BS111" i="4"/>
  <c r="BS98" i="4"/>
  <c r="BS85" i="4"/>
  <c r="BS72" i="4"/>
  <c r="BS45" i="4"/>
  <c r="BS59" i="4"/>
  <c r="BS27" i="4"/>
  <c r="BS7" i="4"/>
  <c r="R90" i="1" s="1"/>
  <c r="AX239" i="4"/>
  <c r="AX227" i="4"/>
  <c r="AX215" i="4"/>
  <c r="AX202" i="4"/>
  <c r="AX189" i="4"/>
  <c r="AX176" i="4"/>
  <c r="AX163" i="4"/>
  <c r="AX150" i="4"/>
  <c r="AX137" i="4"/>
  <c r="AX124" i="4"/>
  <c r="AX111" i="4"/>
  <c r="AX98" i="4"/>
  <c r="AX72" i="4"/>
  <c r="AX85" i="4"/>
  <c r="AX45" i="4"/>
  <c r="AX59" i="4"/>
  <c r="AX27" i="4"/>
  <c r="AX7" i="4"/>
  <c r="R69" i="1" s="1"/>
  <c r="CT239" i="4"/>
  <c r="CT227" i="4"/>
  <c r="CT215" i="4"/>
  <c r="CT202" i="4"/>
  <c r="CT189" i="4"/>
  <c r="CT176" i="4"/>
  <c r="CT163" i="4"/>
  <c r="CT150" i="4"/>
  <c r="CT137" i="4"/>
  <c r="CT124" i="4"/>
  <c r="CT111" i="4"/>
  <c r="CT98" i="4"/>
  <c r="CT72" i="4"/>
  <c r="CT85" i="4"/>
  <c r="CT45" i="4"/>
  <c r="CT59" i="4"/>
  <c r="CT27" i="4"/>
  <c r="CT7" i="4"/>
  <c r="R117" i="1" s="1"/>
  <c r="K239" i="4"/>
  <c r="K215" i="4"/>
  <c r="K227" i="4"/>
  <c r="K202" i="4"/>
  <c r="K189" i="4"/>
  <c r="K176" i="4"/>
  <c r="K150" i="4"/>
  <c r="K163" i="4"/>
  <c r="K137" i="4"/>
  <c r="K124" i="4"/>
  <c r="K111" i="4"/>
  <c r="K98" i="4"/>
  <c r="K85" i="4"/>
  <c r="K72" i="4"/>
  <c r="K45" i="4"/>
  <c r="K59" i="4"/>
  <c r="K27" i="4"/>
  <c r="K7" i="4"/>
  <c r="R30" i="1" s="1"/>
  <c r="BO239" i="4"/>
  <c r="BO215" i="4"/>
  <c r="BO227" i="4"/>
  <c r="BO202" i="4"/>
  <c r="BO189" i="4"/>
  <c r="BO176" i="4"/>
  <c r="BO150" i="4"/>
  <c r="BO163" i="4"/>
  <c r="BO137" i="4"/>
  <c r="BO124" i="4"/>
  <c r="BO111" i="4"/>
  <c r="BO98" i="4"/>
  <c r="BO72" i="4"/>
  <c r="BO85" i="4"/>
  <c r="BO45" i="4"/>
  <c r="BO59" i="4"/>
  <c r="BO27" i="4"/>
  <c r="BO7" i="4"/>
  <c r="R86" i="1" s="1"/>
  <c r="CU239" i="4"/>
  <c r="CU215" i="4"/>
  <c r="CU227" i="4"/>
  <c r="CU202" i="4"/>
  <c r="CU189" i="4"/>
  <c r="CU176" i="4"/>
  <c r="CU163" i="4"/>
  <c r="CU150" i="4"/>
  <c r="CU137" i="4"/>
  <c r="CU124" i="4"/>
  <c r="CU111" i="4"/>
  <c r="CU98" i="4"/>
  <c r="CU72" i="4"/>
  <c r="CU85" i="4"/>
  <c r="CU45" i="4"/>
  <c r="CU59" i="4"/>
  <c r="CU27" i="4"/>
  <c r="CU7" i="4"/>
  <c r="R118" i="1" s="1"/>
  <c r="AB239" i="4"/>
  <c r="AB227" i="4"/>
  <c r="AB215" i="4"/>
  <c r="AB189" i="4"/>
  <c r="AB202" i="4"/>
  <c r="AB176" i="4"/>
  <c r="AB163" i="4"/>
  <c r="AB150" i="4"/>
  <c r="AB137" i="4"/>
  <c r="AB111" i="4"/>
  <c r="AB124" i="4"/>
  <c r="AB98" i="4"/>
  <c r="AB72" i="4"/>
  <c r="AB85" i="4"/>
  <c r="AB45" i="4"/>
  <c r="AB59" i="4"/>
  <c r="AB27" i="4"/>
  <c r="AB7" i="4"/>
  <c r="R47" i="1" s="1"/>
  <c r="BP239" i="4"/>
  <c r="BP227" i="4"/>
  <c r="BP215" i="4"/>
  <c r="BP202" i="4"/>
  <c r="BP189" i="4"/>
  <c r="BP176" i="4"/>
  <c r="BP163" i="4"/>
  <c r="BP150" i="4"/>
  <c r="BP137" i="4"/>
  <c r="BP111" i="4"/>
  <c r="BP124" i="4"/>
  <c r="BP98" i="4"/>
  <c r="BP72" i="4"/>
  <c r="BP85" i="4"/>
  <c r="BP45" i="4"/>
  <c r="BP59" i="4"/>
  <c r="BP27" i="4"/>
  <c r="BP7" i="4"/>
  <c r="R87" i="1" s="1"/>
  <c r="E239" i="4"/>
  <c r="E215" i="4"/>
  <c r="E227" i="4"/>
  <c r="E202" i="4"/>
  <c r="E189" i="4"/>
  <c r="E176" i="4"/>
  <c r="E150" i="4"/>
  <c r="E163" i="4"/>
  <c r="E137" i="4"/>
  <c r="E124" i="4"/>
  <c r="E111" i="4"/>
  <c r="E98" i="4"/>
  <c r="E72" i="4"/>
  <c r="E85" i="4"/>
  <c r="E45" i="4"/>
  <c r="E59" i="4"/>
  <c r="E27" i="4"/>
  <c r="E7" i="4"/>
  <c r="R24" i="1" s="1"/>
  <c r="U239" i="4"/>
  <c r="U215" i="4"/>
  <c r="U227" i="4"/>
  <c r="U202" i="4"/>
  <c r="U189" i="4"/>
  <c r="U176" i="4"/>
  <c r="U150" i="4"/>
  <c r="U163" i="4"/>
  <c r="U137" i="4"/>
  <c r="U124" i="4"/>
  <c r="U111" i="4"/>
  <c r="U98" i="4"/>
  <c r="U72" i="4"/>
  <c r="U85" i="4"/>
  <c r="U45" i="4"/>
  <c r="U59" i="4"/>
  <c r="U27" i="4"/>
  <c r="U7" i="4"/>
  <c r="R40" i="1" s="1"/>
  <c r="AS239" i="4"/>
  <c r="AS215" i="4"/>
  <c r="AS227" i="4"/>
  <c r="AS202" i="4"/>
  <c r="AS189" i="4"/>
  <c r="AS176" i="4"/>
  <c r="AS150" i="4"/>
  <c r="AS163" i="4"/>
  <c r="AS124" i="4"/>
  <c r="AS137" i="4"/>
  <c r="AS111" i="4"/>
  <c r="AS98" i="4"/>
  <c r="AS72" i="4"/>
  <c r="AS85" i="4"/>
  <c r="AS45" i="4"/>
  <c r="AS59" i="4"/>
  <c r="AS27" i="4"/>
  <c r="AS7" i="4"/>
  <c r="R64" i="1" s="1"/>
  <c r="BI239" i="4"/>
  <c r="BI215" i="4"/>
  <c r="BI227" i="4"/>
  <c r="BI202" i="4"/>
  <c r="BI189" i="4"/>
  <c r="BI163" i="4"/>
  <c r="BI176" i="4"/>
  <c r="BI150" i="4"/>
  <c r="BI137" i="4"/>
  <c r="BI124" i="4"/>
  <c r="BI111" i="4"/>
  <c r="BI98" i="4"/>
  <c r="BI72" i="4"/>
  <c r="BI85" i="4"/>
  <c r="BI45" i="4"/>
  <c r="BI59" i="4"/>
  <c r="BI27" i="4"/>
  <c r="BI7" i="4"/>
  <c r="R80" i="1" s="1"/>
  <c r="BY239" i="4"/>
  <c r="BY215" i="4"/>
  <c r="BY227" i="4"/>
  <c r="BY202" i="4"/>
  <c r="BY189" i="4"/>
  <c r="BY176" i="4"/>
  <c r="BY163" i="4"/>
  <c r="BY150" i="4"/>
  <c r="BY124" i="4"/>
  <c r="BY137" i="4"/>
  <c r="BY111" i="4"/>
  <c r="BY98" i="4"/>
  <c r="BY72" i="4"/>
  <c r="BY85" i="4"/>
  <c r="BY45" i="4"/>
  <c r="BY59" i="4"/>
  <c r="BY27" i="4"/>
  <c r="BY7" i="4"/>
  <c r="R96" i="1" s="1"/>
  <c r="DE239" i="4"/>
  <c r="DE215" i="4"/>
  <c r="DE227" i="4"/>
  <c r="DE202" i="4"/>
  <c r="DE189" i="4"/>
  <c r="DE176" i="4"/>
  <c r="DE163" i="4"/>
  <c r="DE150" i="4"/>
  <c r="DE124" i="4"/>
  <c r="DE137" i="4"/>
  <c r="DE111" i="4"/>
  <c r="DE98" i="4"/>
  <c r="DE72" i="4"/>
  <c r="DE85" i="4"/>
  <c r="DE45" i="4"/>
  <c r="DE59" i="4"/>
  <c r="DE27" i="4"/>
  <c r="DE7" i="4"/>
  <c r="R128" i="1" s="1"/>
  <c r="G239" i="4"/>
  <c r="G215" i="4"/>
  <c r="G227" i="4"/>
  <c r="G202" i="4"/>
  <c r="G189" i="4"/>
  <c r="G176" i="4"/>
  <c r="G163" i="4"/>
  <c r="G150" i="4"/>
  <c r="G137" i="4"/>
  <c r="G124" i="4"/>
  <c r="G111" i="4"/>
  <c r="G98" i="4"/>
  <c r="G85" i="4"/>
  <c r="G72" i="4"/>
  <c r="G45" i="4"/>
  <c r="G59" i="4"/>
  <c r="G27" i="4"/>
  <c r="G7" i="4"/>
  <c r="R26" i="1" s="1"/>
  <c r="AE239" i="4"/>
  <c r="AE215" i="4"/>
  <c r="AE227" i="4"/>
  <c r="AE202" i="4"/>
  <c r="AE189" i="4"/>
  <c r="AE176" i="4"/>
  <c r="AE163" i="4"/>
  <c r="AE150" i="4"/>
  <c r="AE137" i="4"/>
  <c r="AE124" i="4"/>
  <c r="AE98" i="4"/>
  <c r="AE111" i="4"/>
  <c r="AE85" i="4"/>
  <c r="AE72" i="4"/>
  <c r="AE45" i="4"/>
  <c r="AE59" i="4"/>
  <c r="AE27" i="4"/>
  <c r="AE7" i="4"/>
  <c r="R50" i="1" s="1"/>
  <c r="BC239" i="4"/>
  <c r="BC215" i="4"/>
  <c r="BC227" i="4"/>
  <c r="BC202" i="4"/>
  <c r="BC189" i="4"/>
  <c r="BC176" i="4"/>
  <c r="BC163" i="4"/>
  <c r="BC150" i="4"/>
  <c r="BC137" i="4"/>
  <c r="BC124" i="4"/>
  <c r="BC111" i="4"/>
  <c r="BC98" i="4"/>
  <c r="BC85" i="4"/>
  <c r="BC72" i="4"/>
  <c r="BC45" i="4"/>
  <c r="BC59" i="4"/>
  <c r="BC27" i="4"/>
  <c r="BC7" i="4"/>
  <c r="R74" i="1" s="1"/>
  <c r="CA239" i="4"/>
  <c r="CA215" i="4"/>
  <c r="CA227" i="4"/>
  <c r="CA202" i="4"/>
  <c r="CA189" i="4"/>
  <c r="CA176" i="4"/>
  <c r="CA163" i="4"/>
  <c r="CA150" i="4"/>
  <c r="CA124" i="4"/>
  <c r="CA137" i="4"/>
  <c r="CA111" i="4"/>
  <c r="CA98" i="4"/>
  <c r="CA85" i="4"/>
  <c r="CA72" i="4"/>
  <c r="CA45" i="4"/>
  <c r="CA59" i="4"/>
  <c r="CA27" i="4"/>
  <c r="CA7" i="4"/>
  <c r="R98" i="1" s="1"/>
  <c r="CQ239" i="4"/>
  <c r="CQ215" i="4"/>
  <c r="CQ227" i="4"/>
  <c r="CQ202" i="4"/>
  <c r="CQ189" i="4"/>
  <c r="CQ176" i="4"/>
  <c r="CQ163" i="4"/>
  <c r="CQ150" i="4"/>
  <c r="CQ137" i="4"/>
  <c r="CQ124" i="4"/>
  <c r="CQ98" i="4"/>
  <c r="CQ111" i="4"/>
  <c r="CQ85" i="4"/>
  <c r="CQ72" i="4"/>
  <c r="CQ45" i="4"/>
  <c r="CQ59" i="4"/>
  <c r="CQ27" i="4"/>
  <c r="CQ7" i="4"/>
  <c r="R114" i="1" s="1"/>
  <c r="DO239" i="4"/>
  <c r="DO215" i="4"/>
  <c r="DO227" i="4"/>
  <c r="DO202" i="4"/>
  <c r="DO189" i="4"/>
  <c r="DO176" i="4"/>
  <c r="DO163" i="4"/>
  <c r="DO150" i="4"/>
  <c r="DO137" i="4"/>
  <c r="DO124" i="4"/>
  <c r="DO111" i="4"/>
  <c r="DO98" i="4"/>
  <c r="DO85" i="4"/>
  <c r="DO72" i="4"/>
  <c r="DO45" i="4"/>
  <c r="DO59" i="4"/>
  <c r="DO27" i="4"/>
  <c r="DO7" i="4"/>
  <c r="R138" i="1" s="1"/>
  <c r="H239" i="4"/>
  <c r="H227" i="4"/>
  <c r="H215" i="4"/>
  <c r="H202" i="4"/>
  <c r="H189" i="4"/>
  <c r="H176" i="4"/>
  <c r="H163" i="4"/>
  <c r="H150" i="4"/>
  <c r="H137" i="4"/>
  <c r="H111" i="4"/>
  <c r="H124" i="4"/>
  <c r="H98" i="4"/>
  <c r="H85" i="4"/>
  <c r="H72" i="4"/>
  <c r="H45" i="4"/>
  <c r="H59" i="4"/>
  <c r="H27" i="4"/>
  <c r="H7" i="4"/>
  <c r="R27" i="1" s="1"/>
  <c r="X239" i="4"/>
  <c r="X227" i="4"/>
  <c r="X215" i="4"/>
  <c r="X202" i="4"/>
  <c r="X189" i="4"/>
  <c r="X176" i="4"/>
  <c r="X163" i="4"/>
  <c r="X150" i="4"/>
  <c r="X137" i="4"/>
  <c r="X111" i="4"/>
  <c r="X124" i="4"/>
  <c r="X98" i="4"/>
  <c r="X85" i="4"/>
  <c r="X72" i="4"/>
  <c r="X45" i="4"/>
  <c r="X59" i="4"/>
  <c r="X27" i="4"/>
  <c r="X7" i="4"/>
  <c r="R43" i="1" s="1"/>
  <c r="AN239" i="4"/>
  <c r="AN227" i="4"/>
  <c r="AN215" i="4"/>
  <c r="AN202" i="4"/>
  <c r="AN189" i="4"/>
  <c r="AN176" i="4"/>
  <c r="AN163" i="4"/>
  <c r="AN150" i="4"/>
  <c r="AN137" i="4"/>
  <c r="AN111" i="4"/>
  <c r="AN124" i="4"/>
  <c r="AN98" i="4"/>
  <c r="AN85" i="4"/>
  <c r="AN72" i="4"/>
  <c r="AN45" i="4"/>
  <c r="AN59" i="4"/>
  <c r="AN27" i="4"/>
  <c r="AN7" i="4"/>
  <c r="R59" i="1" s="1"/>
  <c r="AV239" i="4"/>
  <c r="AV227" i="4"/>
  <c r="AV215" i="4"/>
  <c r="AV202" i="4"/>
  <c r="AV189" i="4"/>
  <c r="AV176" i="4"/>
  <c r="AV163" i="4"/>
  <c r="AV150" i="4"/>
  <c r="AV137" i="4"/>
  <c r="AV111" i="4"/>
  <c r="AV124" i="4"/>
  <c r="AV98" i="4"/>
  <c r="AV85" i="4"/>
  <c r="AV72" i="4"/>
  <c r="AV45" i="4"/>
  <c r="AV59" i="4"/>
  <c r="AV27" i="4"/>
  <c r="AV7" i="4"/>
  <c r="R67" i="1" s="1"/>
  <c r="BL239" i="4"/>
  <c r="BL227" i="4"/>
  <c r="BL215" i="4"/>
  <c r="BL202" i="4"/>
  <c r="BL189" i="4"/>
  <c r="BL176" i="4"/>
  <c r="BL163" i="4"/>
  <c r="BL150" i="4"/>
  <c r="BL137" i="4"/>
  <c r="BL111" i="4"/>
  <c r="BL124" i="4"/>
  <c r="BL98" i="4"/>
  <c r="BL85" i="4"/>
  <c r="BL72" i="4"/>
  <c r="BL45" i="4"/>
  <c r="BL59" i="4"/>
  <c r="BL27" i="4"/>
  <c r="BL7" i="4"/>
  <c r="R83" i="1" s="1"/>
  <c r="BT239" i="4"/>
  <c r="BT227" i="4"/>
  <c r="BT215" i="4"/>
  <c r="BT202" i="4"/>
  <c r="BT189" i="4"/>
  <c r="BT176" i="4"/>
  <c r="BT163" i="4"/>
  <c r="BT150" i="4"/>
  <c r="BT137" i="4"/>
  <c r="BT111" i="4"/>
  <c r="BT124" i="4"/>
  <c r="BT98" i="4"/>
  <c r="BT85" i="4"/>
  <c r="BT72" i="4"/>
  <c r="BT45" i="4"/>
  <c r="BT59" i="4"/>
  <c r="BT27" i="4"/>
  <c r="BT7" i="4"/>
  <c r="R91" i="1" s="1"/>
  <c r="CB239" i="4"/>
  <c r="CB227" i="4"/>
  <c r="CB215" i="4"/>
  <c r="CB202" i="4"/>
  <c r="CB189" i="4"/>
  <c r="CB176" i="4"/>
  <c r="CB163" i="4"/>
  <c r="CB150" i="4"/>
  <c r="CB137" i="4"/>
  <c r="CB111" i="4"/>
  <c r="CB124" i="4"/>
  <c r="CB98" i="4"/>
  <c r="CB85" i="4"/>
  <c r="CB72" i="4"/>
  <c r="CB45" i="4"/>
  <c r="CB59" i="4"/>
  <c r="CB27" i="4"/>
  <c r="CB7" i="4"/>
  <c r="R99" i="1" s="1"/>
  <c r="CJ239" i="4"/>
  <c r="CJ227" i="4"/>
  <c r="CJ215" i="4"/>
  <c r="CJ202" i="4"/>
  <c r="CJ189" i="4"/>
  <c r="CJ176" i="4"/>
  <c r="CJ163" i="4"/>
  <c r="CJ150" i="4"/>
  <c r="CJ137" i="4"/>
  <c r="CJ111" i="4"/>
  <c r="CJ124" i="4"/>
  <c r="CJ98" i="4"/>
  <c r="CJ85" i="4"/>
  <c r="CJ72" i="4"/>
  <c r="CJ45" i="4"/>
  <c r="CJ59" i="4"/>
  <c r="CJ27" i="4"/>
  <c r="CJ7" i="4"/>
  <c r="R107" i="1" s="1"/>
  <c r="CR239" i="4"/>
  <c r="CR227" i="4"/>
  <c r="CR215" i="4"/>
  <c r="CR202" i="4"/>
  <c r="CR189" i="4"/>
  <c r="CR176" i="4"/>
  <c r="CR163" i="4"/>
  <c r="CR150" i="4"/>
  <c r="CR137" i="4"/>
  <c r="CR111" i="4"/>
  <c r="CR124" i="4"/>
  <c r="CR98" i="4"/>
  <c r="CR85" i="4"/>
  <c r="CR72" i="4"/>
  <c r="CR45" i="4"/>
  <c r="CR59" i="4"/>
  <c r="CR27" i="4"/>
  <c r="CR7" i="4"/>
  <c r="R115" i="1" s="1"/>
  <c r="CZ239" i="4"/>
  <c r="CZ227" i="4"/>
  <c r="CZ215" i="4"/>
  <c r="CZ202" i="4"/>
  <c r="CZ189" i="4"/>
  <c r="CZ176" i="4"/>
  <c r="CZ150" i="4"/>
  <c r="CZ163" i="4"/>
  <c r="CZ137" i="4"/>
  <c r="CZ111" i="4"/>
  <c r="CZ124" i="4"/>
  <c r="CZ98" i="4"/>
  <c r="CZ85" i="4"/>
  <c r="CZ72" i="4"/>
  <c r="CZ45" i="4"/>
  <c r="CZ59" i="4"/>
  <c r="CZ27" i="4"/>
  <c r="CZ7" i="4"/>
  <c r="R123" i="1" s="1"/>
  <c r="DH239" i="4"/>
  <c r="DH227" i="4"/>
  <c r="DH215" i="4"/>
  <c r="DH202" i="4"/>
  <c r="DH189" i="4"/>
  <c r="DH176" i="4"/>
  <c r="DH163" i="4"/>
  <c r="DH150" i="4"/>
  <c r="DH137" i="4"/>
  <c r="DH111" i="4"/>
  <c r="DH124" i="4"/>
  <c r="DH98" i="4"/>
  <c r="DH85" i="4"/>
  <c r="DH72" i="4"/>
  <c r="DH45" i="4"/>
  <c r="DH59" i="4"/>
  <c r="DH27" i="4"/>
  <c r="DH7" i="4"/>
  <c r="R131" i="1" s="1"/>
  <c r="DP239" i="4"/>
  <c r="DP227" i="4"/>
  <c r="DP215" i="4"/>
  <c r="DP202" i="4"/>
  <c r="DP189" i="4"/>
  <c r="DP176" i="4"/>
  <c r="DP163" i="4"/>
  <c r="DP150" i="4"/>
  <c r="DP137" i="4"/>
  <c r="DP111" i="4"/>
  <c r="DP124" i="4"/>
  <c r="DP98" i="4"/>
  <c r="DP85" i="4"/>
  <c r="DP72" i="4"/>
  <c r="DP45" i="4"/>
  <c r="DP59" i="4"/>
  <c r="DP27" i="4"/>
  <c r="DP7" i="4"/>
  <c r="R139" i="1" s="1"/>
  <c r="AH239" i="4"/>
  <c r="AH227" i="4"/>
  <c r="AH215" i="4"/>
  <c r="AH202" i="4"/>
  <c r="AH189" i="4"/>
  <c r="AH176" i="4"/>
  <c r="AH163" i="4"/>
  <c r="AH150" i="4"/>
  <c r="AH137" i="4"/>
  <c r="AH124" i="4"/>
  <c r="AH111" i="4"/>
  <c r="AH98" i="4"/>
  <c r="AH72" i="4"/>
  <c r="AH85" i="4"/>
  <c r="AH45" i="4"/>
  <c r="AH59" i="4"/>
  <c r="AH27" i="4"/>
  <c r="AH7" i="4"/>
  <c r="R53" i="1" s="1"/>
  <c r="CD239" i="4"/>
  <c r="CD227" i="4"/>
  <c r="CD215" i="4"/>
  <c r="CD202" i="4"/>
  <c r="CD189" i="4"/>
  <c r="CD176" i="4"/>
  <c r="CD163" i="4"/>
  <c r="CD150" i="4"/>
  <c r="CD137" i="4"/>
  <c r="CD124" i="4"/>
  <c r="CD111" i="4"/>
  <c r="CD98" i="4"/>
  <c r="CD72" i="4"/>
  <c r="CD85" i="4"/>
  <c r="CD45" i="4"/>
  <c r="CD59" i="4"/>
  <c r="CD27" i="4"/>
  <c r="CD7" i="4"/>
  <c r="R101" i="1" s="1"/>
  <c r="AY239" i="4"/>
  <c r="AY215" i="4"/>
  <c r="AY227" i="4"/>
  <c r="AY202" i="4"/>
  <c r="AY189" i="4"/>
  <c r="AY176" i="4"/>
  <c r="AY163" i="4"/>
  <c r="AY150" i="4"/>
  <c r="AY137" i="4"/>
  <c r="AY124" i="4"/>
  <c r="AY111" i="4"/>
  <c r="AY72" i="4"/>
  <c r="AY98" i="4"/>
  <c r="AY85" i="4"/>
  <c r="AY45" i="4"/>
  <c r="AY59" i="4"/>
  <c r="AY27" i="4"/>
  <c r="AY7" i="4"/>
  <c r="R70" i="1" s="1"/>
  <c r="D239" i="4"/>
  <c r="D241" i="4" s="1"/>
  <c r="D227" i="4"/>
  <c r="D215" i="4"/>
  <c r="D202" i="4"/>
  <c r="D189" i="4"/>
  <c r="D176" i="4"/>
  <c r="D163" i="4"/>
  <c r="D150" i="4"/>
  <c r="D137" i="4"/>
  <c r="D111" i="4"/>
  <c r="D124" i="4"/>
  <c r="D98" i="4"/>
  <c r="D72" i="4"/>
  <c r="D85" i="4"/>
  <c r="D45" i="4"/>
  <c r="D59" i="4"/>
  <c r="D27" i="4"/>
  <c r="D7" i="4"/>
  <c r="B6" i="4"/>
  <c r="M239" i="4"/>
  <c r="M215" i="4"/>
  <c r="M227" i="4"/>
  <c r="M202" i="4"/>
  <c r="M189" i="4"/>
  <c r="M176" i="4"/>
  <c r="M150" i="4"/>
  <c r="M163" i="4"/>
  <c r="M124" i="4"/>
  <c r="M137" i="4"/>
  <c r="M111" i="4"/>
  <c r="M98" i="4"/>
  <c r="M72" i="4"/>
  <c r="M85" i="4"/>
  <c r="M45" i="4"/>
  <c r="M59" i="4"/>
  <c r="M27" i="4"/>
  <c r="M7" i="4"/>
  <c r="R32" i="1" s="1"/>
  <c r="AC239" i="4"/>
  <c r="AC215" i="4"/>
  <c r="AC227" i="4"/>
  <c r="AC202" i="4"/>
  <c r="AC189" i="4"/>
  <c r="AC176" i="4"/>
  <c r="AC150" i="4"/>
  <c r="AC163" i="4"/>
  <c r="AC137" i="4"/>
  <c r="AC124" i="4"/>
  <c r="AC111" i="4"/>
  <c r="AC98" i="4"/>
  <c r="AC72" i="4"/>
  <c r="AC85" i="4"/>
  <c r="AC45" i="4"/>
  <c r="AC59" i="4"/>
  <c r="AC27" i="4"/>
  <c r="AC7" i="4"/>
  <c r="R48" i="1" s="1"/>
  <c r="BA239" i="4"/>
  <c r="BA215" i="4"/>
  <c r="BA227" i="4"/>
  <c r="BA202" i="4"/>
  <c r="BA189" i="4"/>
  <c r="BA176" i="4"/>
  <c r="BA150" i="4"/>
  <c r="BA163" i="4"/>
  <c r="BA137" i="4"/>
  <c r="BA124" i="4"/>
  <c r="BA111" i="4"/>
  <c r="BA98" i="4"/>
  <c r="BA72" i="4"/>
  <c r="BA85" i="4"/>
  <c r="BA45" i="4"/>
  <c r="BA59" i="4"/>
  <c r="BA27" i="4"/>
  <c r="BA7" i="4"/>
  <c r="R72" i="1" s="1"/>
  <c r="BQ239" i="4"/>
  <c r="BQ215" i="4"/>
  <c r="BQ227" i="4"/>
  <c r="BQ202" i="4"/>
  <c r="BQ189" i="4"/>
  <c r="BQ176" i="4"/>
  <c r="BQ163" i="4"/>
  <c r="BQ150" i="4"/>
  <c r="BQ137" i="4"/>
  <c r="BQ124" i="4"/>
  <c r="BQ111" i="4"/>
  <c r="BQ98" i="4"/>
  <c r="BQ72" i="4"/>
  <c r="BQ85" i="4"/>
  <c r="BQ45" i="4"/>
  <c r="BQ59" i="4"/>
  <c r="BQ27" i="4"/>
  <c r="BQ7" i="4"/>
  <c r="R88" i="1" s="1"/>
  <c r="CG239" i="4"/>
  <c r="CG215" i="4"/>
  <c r="CG227" i="4"/>
  <c r="CG202" i="4"/>
  <c r="CG189" i="4"/>
  <c r="CG163" i="4"/>
  <c r="CG176" i="4"/>
  <c r="CG150" i="4"/>
  <c r="CG137" i="4"/>
  <c r="CG124" i="4"/>
  <c r="CG111" i="4"/>
  <c r="CG98" i="4"/>
  <c r="CG72" i="4"/>
  <c r="CG85" i="4"/>
  <c r="CG45" i="4"/>
  <c r="CG59" i="4"/>
  <c r="CG27" i="4"/>
  <c r="CG7" i="4"/>
  <c r="R104" i="1" s="1"/>
  <c r="DM239" i="4"/>
  <c r="DM215" i="4"/>
  <c r="DM227" i="4"/>
  <c r="DM202" i="4"/>
  <c r="DM189" i="4"/>
  <c r="DM163" i="4"/>
  <c r="DM176" i="4"/>
  <c r="DM150" i="4"/>
  <c r="DM137" i="4"/>
  <c r="DM124" i="4"/>
  <c r="DM111" i="4"/>
  <c r="DM98" i="4"/>
  <c r="DM72" i="4"/>
  <c r="DM85" i="4"/>
  <c r="DM45" i="4"/>
  <c r="DM59" i="4"/>
  <c r="DM27" i="4"/>
  <c r="DM7" i="4"/>
  <c r="R136" i="1" s="1"/>
  <c r="W239" i="4"/>
  <c r="W215" i="4"/>
  <c r="W227" i="4"/>
  <c r="W202" i="4"/>
  <c r="W189" i="4"/>
  <c r="W176" i="4"/>
  <c r="W163" i="4"/>
  <c r="W150" i="4"/>
  <c r="W137" i="4"/>
  <c r="W124" i="4"/>
  <c r="W111" i="4"/>
  <c r="W98" i="4"/>
  <c r="W85" i="4"/>
  <c r="W72" i="4"/>
  <c r="W45" i="4"/>
  <c r="W59" i="4"/>
  <c r="W27" i="4"/>
  <c r="W7" i="4"/>
  <c r="R42" i="1" s="1"/>
  <c r="AU239" i="4"/>
  <c r="AU215" i="4"/>
  <c r="AU227" i="4"/>
  <c r="AU202" i="4"/>
  <c r="AU189" i="4"/>
  <c r="AU176" i="4"/>
  <c r="AU163" i="4"/>
  <c r="AU150" i="4"/>
  <c r="AU124" i="4"/>
  <c r="AU137" i="4"/>
  <c r="AU111" i="4"/>
  <c r="AU98" i="4"/>
  <c r="AU85" i="4"/>
  <c r="AU72" i="4"/>
  <c r="AU45" i="4"/>
  <c r="AU59" i="4"/>
  <c r="AU27" i="4"/>
  <c r="AU7" i="4"/>
  <c r="R66" i="1" s="1"/>
  <c r="BK239" i="4"/>
  <c r="BK215" i="4"/>
  <c r="BK227" i="4"/>
  <c r="BK202" i="4"/>
  <c r="BK189" i="4"/>
  <c r="BK176" i="4"/>
  <c r="BK163" i="4"/>
  <c r="BK150" i="4"/>
  <c r="BK137" i="4"/>
  <c r="BK124" i="4"/>
  <c r="BK98" i="4"/>
  <c r="BK111" i="4"/>
  <c r="BK85" i="4"/>
  <c r="BK72" i="4"/>
  <c r="BK45" i="4"/>
  <c r="BK59" i="4"/>
  <c r="BK27" i="4"/>
  <c r="BK7" i="4"/>
  <c r="R82" i="1" s="1"/>
  <c r="CI239" i="4"/>
  <c r="CI215" i="4"/>
  <c r="CI227" i="4"/>
  <c r="CI202" i="4"/>
  <c r="CI189" i="4"/>
  <c r="CI176" i="4"/>
  <c r="CI163" i="4"/>
  <c r="CI150" i="4"/>
  <c r="CI137" i="4"/>
  <c r="CI124" i="4"/>
  <c r="CI111" i="4"/>
  <c r="CI98" i="4"/>
  <c r="CI85" i="4"/>
  <c r="CI72" i="4"/>
  <c r="CI45" i="4"/>
  <c r="CI59" i="4"/>
  <c r="CI27" i="4"/>
  <c r="CI7" i="4"/>
  <c r="R106" i="1" s="1"/>
  <c r="CY239" i="4"/>
  <c r="CY215" i="4"/>
  <c r="CY227" i="4"/>
  <c r="CY202" i="4"/>
  <c r="CY189" i="4"/>
  <c r="CY176" i="4"/>
  <c r="CY163" i="4"/>
  <c r="CY150" i="4"/>
  <c r="CY137" i="4"/>
  <c r="CY124" i="4"/>
  <c r="CY111" i="4"/>
  <c r="CY98" i="4"/>
  <c r="CY85" i="4"/>
  <c r="CY72" i="4"/>
  <c r="CY45" i="4"/>
  <c r="CY59" i="4"/>
  <c r="CY27" i="4"/>
  <c r="CY7" i="4"/>
  <c r="R122" i="1" s="1"/>
  <c r="DG239" i="4"/>
  <c r="DG215" i="4"/>
  <c r="DG227" i="4"/>
  <c r="DG202" i="4"/>
  <c r="DG189" i="4"/>
  <c r="DG176" i="4"/>
  <c r="DG163" i="4"/>
  <c r="DG150" i="4"/>
  <c r="DG124" i="4"/>
  <c r="DG137" i="4"/>
  <c r="DG111" i="4"/>
  <c r="DG98" i="4"/>
  <c r="DG85" i="4"/>
  <c r="DG72" i="4"/>
  <c r="DG45" i="4"/>
  <c r="DG59" i="4"/>
  <c r="DG27" i="4"/>
  <c r="DG7" i="4"/>
  <c r="R130" i="1" s="1"/>
  <c r="P239" i="4"/>
  <c r="P227" i="4"/>
  <c r="P215" i="4"/>
  <c r="P202" i="4"/>
  <c r="P189" i="4"/>
  <c r="P176" i="4"/>
  <c r="P163" i="4"/>
  <c r="P150" i="4"/>
  <c r="P137" i="4"/>
  <c r="P111" i="4"/>
  <c r="P124" i="4"/>
  <c r="P98" i="4"/>
  <c r="P85" i="4"/>
  <c r="P72" i="4"/>
  <c r="P45" i="4"/>
  <c r="P59" i="4"/>
  <c r="P27" i="4"/>
  <c r="P7" i="4"/>
  <c r="R35" i="1" s="1"/>
  <c r="AF239" i="4"/>
  <c r="AF227" i="4"/>
  <c r="AF215" i="4"/>
  <c r="AF202" i="4"/>
  <c r="AF189" i="4"/>
  <c r="AF176" i="4"/>
  <c r="AF163" i="4"/>
  <c r="AF150" i="4"/>
  <c r="AF137" i="4"/>
  <c r="AF111" i="4"/>
  <c r="AF124" i="4"/>
  <c r="AF98" i="4"/>
  <c r="AF85" i="4"/>
  <c r="AF72" i="4"/>
  <c r="AF45" i="4"/>
  <c r="AF59" i="4"/>
  <c r="AF27" i="4"/>
  <c r="AF7" i="4"/>
  <c r="R51" i="1" s="1"/>
  <c r="BD239" i="4"/>
  <c r="BD227" i="4"/>
  <c r="BD215" i="4"/>
  <c r="BD202" i="4"/>
  <c r="BD189" i="4"/>
  <c r="BD176" i="4"/>
  <c r="BD163" i="4"/>
  <c r="BD150" i="4"/>
  <c r="BD137" i="4"/>
  <c r="BD111" i="4"/>
  <c r="BD124" i="4"/>
  <c r="BD98" i="4"/>
  <c r="BD85" i="4"/>
  <c r="BD72" i="4"/>
  <c r="BD45" i="4"/>
  <c r="BD59" i="4"/>
  <c r="BD27" i="4"/>
  <c r="BD7" i="4"/>
  <c r="R75" i="1" s="1"/>
  <c r="I239" i="4"/>
  <c r="I215" i="4"/>
  <c r="I227" i="4"/>
  <c r="I202" i="4"/>
  <c r="I189" i="4"/>
  <c r="I176" i="4"/>
  <c r="I150" i="4"/>
  <c r="I163" i="4"/>
  <c r="I137" i="4"/>
  <c r="I124" i="4"/>
  <c r="I111" i="4"/>
  <c r="I98" i="4"/>
  <c r="I85" i="4"/>
  <c r="I72" i="4"/>
  <c r="I59" i="4"/>
  <c r="I45" i="4"/>
  <c r="I27" i="4"/>
  <c r="I7" i="4"/>
  <c r="R28" i="1" s="1"/>
  <c r="Q239" i="4"/>
  <c r="Q215" i="4"/>
  <c r="Q227" i="4"/>
  <c r="Q202" i="4"/>
  <c r="Q189" i="4"/>
  <c r="Q176" i="4"/>
  <c r="Q150" i="4"/>
  <c r="Q163" i="4"/>
  <c r="Q137" i="4"/>
  <c r="Q124" i="4"/>
  <c r="Q111" i="4"/>
  <c r="Q98" i="4"/>
  <c r="Q85" i="4"/>
  <c r="Q72" i="4"/>
  <c r="Q59" i="4"/>
  <c r="Q45" i="4"/>
  <c r="Q27" i="4"/>
  <c r="Q7" i="4"/>
  <c r="R36" i="1" s="1"/>
  <c r="Y239" i="4"/>
  <c r="Y215" i="4"/>
  <c r="Y227" i="4"/>
  <c r="Y202" i="4"/>
  <c r="Y189" i="4"/>
  <c r="Y176" i="4"/>
  <c r="Y163" i="4"/>
  <c r="Y150" i="4"/>
  <c r="Y137" i="4"/>
  <c r="Y124" i="4"/>
  <c r="Y111" i="4"/>
  <c r="Y98" i="4"/>
  <c r="Y85" i="4"/>
  <c r="Y72" i="4"/>
  <c r="Y59" i="4"/>
  <c r="Y45" i="4"/>
  <c r="Y27" i="4"/>
  <c r="Y7" i="4"/>
  <c r="R44" i="1" s="1"/>
  <c r="AG239" i="4"/>
  <c r="AG215" i="4"/>
  <c r="AG227" i="4"/>
  <c r="AG202" i="4"/>
  <c r="AG189" i="4"/>
  <c r="AG176" i="4"/>
  <c r="AG163" i="4"/>
  <c r="AG150" i="4"/>
  <c r="AG137" i="4"/>
  <c r="AG124" i="4"/>
  <c r="AG111" i="4"/>
  <c r="AG98" i="4"/>
  <c r="AG85" i="4"/>
  <c r="AG72" i="4"/>
  <c r="AG59" i="4"/>
  <c r="AG45" i="4"/>
  <c r="AG27" i="4"/>
  <c r="AG7" i="4"/>
  <c r="R52" i="1" s="1"/>
  <c r="AO239" i="4"/>
  <c r="AO215" i="4"/>
  <c r="AO227" i="4"/>
  <c r="AO202" i="4"/>
  <c r="AO189" i="4"/>
  <c r="AO176" i="4"/>
  <c r="AO163" i="4"/>
  <c r="AO150" i="4"/>
  <c r="AO137" i="4"/>
  <c r="AO124" i="4"/>
  <c r="AO111" i="4"/>
  <c r="AO98" i="4"/>
  <c r="AO85" i="4"/>
  <c r="AO72" i="4"/>
  <c r="AO59" i="4"/>
  <c r="AO45" i="4"/>
  <c r="AO27" i="4"/>
  <c r="AO7" i="4"/>
  <c r="R60" i="1" s="1"/>
  <c r="AW239" i="4"/>
  <c r="AW215" i="4"/>
  <c r="AW227" i="4"/>
  <c r="AW202" i="4"/>
  <c r="AW189" i="4"/>
  <c r="AW176" i="4"/>
  <c r="AW163" i="4"/>
  <c r="AW150" i="4"/>
  <c r="AW137" i="4"/>
  <c r="AW124" i="4"/>
  <c r="AW111" i="4"/>
  <c r="AW98" i="4"/>
  <c r="AW85" i="4"/>
  <c r="AW72" i="4"/>
  <c r="AW59" i="4"/>
  <c r="AW45" i="4"/>
  <c r="AW27" i="4"/>
  <c r="AW7" i="4"/>
  <c r="R68" i="1" s="1"/>
  <c r="BE239" i="4"/>
  <c r="BE215" i="4"/>
  <c r="BE227" i="4"/>
  <c r="BE202" i="4"/>
  <c r="BE189" i="4"/>
  <c r="BE176" i="4"/>
  <c r="BE163" i="4"/>
  <c r="BE150" i="4"/>
  <c r="BE137" i="4"/>
  <c r="BE124" i="4"/>
  <c r="BE111" i="4"/>
  <c r="BE98" i="4"/>
  <c r="BE85" i="4"/>
  <c r="BE72" i="4"/>
  <c r="BE59" i="4"/>
  <c r="BE45" i="4"/>
  <c r="BE27" i="4"/>
  <c r="BE7" i="4"/>
  <c r="R76" i="1" s="1"/>
  <c r="BM239" i="4"/>
  <c r="BM215" i="4"/>
  <c r="BM227" i="4"/>
  <c r="BM202" i="4"/>
  <c r="BM189" i="4"/>
  <c r="BM176" i="4"/>
  <c r="BM163" i="4"/>
  <c r="BM150" i="4"/>
  <c r="BM137" i="4"/>
  <c r="BM124" i="4"/>
  <c r="BM111" i="4"/>
  <c r="BM98" i="4"/>
  <c r="BM85" i="4"/>
  <c r="BM72" i="4"/>
  <c r="BM59" i="4"/>
  <c r="BM45" i="4"/>
  <c r="BM27" i="4"/>
  <c r="BM7" i="4"/>
  <c r="R84" i="1" s="1"/>
  <c r="BU239" i="4"/>
  <c r="BU215" i="4"/>
  <c r="BU227" i="4"/>
  <c r="BU202" i="4"/>
  <c r="BU189" i="4"/>
  <c r="BU176" i="4"/>
  <c r="BU163" i="4"/>
  <c r="BU150" i="4"/>
  <c r="BU137" i="4"/>
  <c r="BU124" i="4"/>
  <c r="BU111" i="4"/>
  <c r="BU98" i="4"/>
  <c r="BU85" i="4"/>
  <c r="BU72" i="4"/>
  <c r="BU59" i="4"/>
  <c r="BU45" i="4"/>
  <c r="BU27" i="4"/>
  <c r="BU7" i="4"/>
  <c r="R92" i="1" s="1"/>
  <c r="CC239" i="4"/>
  <c r="CC215" i="4"/>
  <c r="CC227" i="4"/>
  <c r="CC202" i="4"/>
  <c r="CC189" i="4"/>
  <c r="CC176" i="4"/>
  <c r="CC163" i="4"/>
  <c r="CC150" i="4"/>
  <c r="CC137" i="4"/>
  <c r="CC124" i="4"/>
  <c r="CC111" i="4"/>
  <c r="CC98" i="4"/>
  <c r="CC85" i="4"/>
  <c r="CC72" i="4"/>
  <c r="CC59" i="4"/>
  <c r="CC45" i="4"/>
  <c r="CC27" i="4"/>
  <c r="CC7" i="4"/>
  <c r="R100" i="1" s="1"/>
  <c r="CK239" i="4"/>
  <c r="CK215" i="4"/>
  <c r="CK227" i="4"/>
  <c r="CK202" i="4"/>
  <c r="CK189" i="4"/>
  <c r="CK176" i="4"/>
  <c r="CK163" i="4"/>
  <c r="CK150" i="4"/>
  <c r="CK137" i="4"/>
  <c r="CK124" i="4"/>
  <c r="CK111" i="4"/>
  <c r="CK98" i="4"/>
  <c r="CK85" i="4"/>
  <c r="CK72" i="4"/>
  <c r="CK59" i="4"/>
  <c r="CK45" i="4"/>
  <c r="CK27" i="4"/>
  <c r="CK7" i="4"/>
  <c r="R108" i="1" s="1"/>
  <c r="CS239" i="4"/>
  <c r="CS215" i="4"/>
  <c r="CS227" i="4"/>
  <c r="CS202" i="4"/>
  <c r="CS189" i="4"/>
  <c r="CS176" i="4"/>
  <c r="CS163" i="4"/>
  <c r="CS150" i="4"/>
  <c r="CS137" i="4"/>
  <c r="CS124" i="4"/>
  <c r="CS111" i="4"/>
  <c r="CS98" i="4"/>
  <c r="CS85" i="4"/>
  <c r="CS72" i="4"/>
  <c r="CS59" i="4"/>
  <c r="CS45" i="4"/>
  <c r="CS27" i="4"/>
  <c r="CS7" i="4"/>
  <c r="R116" i="1" s="1"/>
  <c r="DA239" i="4"/>
  <c r="DA215" i="4"/>
  <c r="DA227" i="4"/>
  <c r="DA202" i="4"/>
  <c r="DA189" i="4"/>
  <c r="DA176" i="4"/>
  <c r="DA163" i="4"/>
  <c r="DA150" i="4"/>
  <c r="DA137" i="4"/>
  <c r="DA124" i="4"/>
  <c r="DA111" i="4"/>
  <c r="DA98" i="4"/>
  <c r="DA85" i="4"/>
  <c r="DA72" i="4"/>
  <c r="DA59" i="4"/>
  <c r="DA45" i="4"/>
  <c r="DA27" i="4"/>
  <c r="DA7" i="4"/>
  <c r="R124" i="1" s="1"/>
  <c r="DI239" i="4"/>
  <c r="DI215" i="4"/>
  <c r="DI227" i="4"/>
  <c r="DI202" i="4"/>
  <c r="DI189" i="4"/>
  <c r="DI176" i="4"/>
  <c r="DI163" i="4"/>
  <c r="DI150" i="4"/>
  <c r="DI137" i="4"/>
  <c r="DI124" i="4"/>
  <c r="DI111" i="4"/>
  <c r="DI98" i="4"/>
  <c r="DI85" i="4"/>
  <c r="DI72" i="4"/>
  <c r="DI59" i="4"/>
  <c r="DI45" i="4"/>
  <c r="DI27" i="4"/>
  <c r="DI7" i="4"/>
  <c r="R132" i="1" s="1"/>
  <c r="DQ239" i="4"/>
  <c r="DQ215" i="4"/>
  <c r="DQ227" i="4"/>
  <c r="DQ202" i="4"/>
  <c r="DQ189" i="4"/>
  <c r="DQ176" i="4"/>
  <c r="DQ163" i="4"/>
  <c r="DQ150" i="4"/>
  <c r="DQ137" i="4"/>
  <c r="DQ124" i="4"/>
  <c r="DQ111" i="4"/>
  <c r="DQ98" i="4"/>
  <c r="DQ85" i="4"/>
  <c r="DQ72" i="4"/>
  <c r="DQ59" i="4"/>
  <c r="DQ45" i="4"/>
  <c r="DQ27" i="4"/>
  <c r="DQ7" i="4"/>
  <c r="R140" i="1" s="1"/>
  <c r="DB239" i="4"/>
  <c r="DB227" i="4"/>
  <c r="DB215" i="4"/>
  <c r="DB202" i="4"/>
  <c r="DB189" i="4"/>
  <c r="DB176" i="4"/>
  <c r="DB163" i="4"/>
  <c r="DB137" i="4"/>
  <c r="DB150" i="4"/>
  <c r="DB124" i="4"/>
  <c r="DB111" i="4"/>
  <c r="DB98" i="4"/>
  <c r="DB72" i="4"/>
  <c r="DB85" i="4"/>
  <c r="DB45" i="4"/>
  <c r="DB59" i="4"/>
  <c r="DB27" i="4"/>
  <c r="DJ239" i="4"/>
  <c r="DJ227" i="4"/>
  <c r="DJ215" i="4"/>
  <c r="DJ202" i="4"/>
  <c r="DJ189" i="4"/>
  <c r="DJ176" i="4"/>
  <c r="DJ163" i="4"/>
  <c r="DJ150" i="4"/>
  <c r="DJ137" i="4"/>
  <c r="DJ124" i="4"/>
  <c r="DJ111" i="4"/>
  <c r="DJ98" i="4"/>
  <c r="DJ72" i="4"/>
  <c r="DJ85" i="4"/>
  <c r="DJ45" i="4"/>
  <c r="DJ59" i="4"/>
  <c r="DJ27" i="4"/>
  <c r="DR239" i="4"/>
  <c r="DR227" i="4"/>
  <c r="DR215" i="4"/>
  <c r="DR202" i="4"/>
  <c r="DR189" i="4"/>
  <c r="DR176" i="4"/>
  <c r="DR163" i="4"/>
  <c r="DR150" i="4"/>
  <c r="DR137" i="4"/>
  <c r="DR124" i="4"/>
  <c r="DR111" i="4"/>
  <c r="DR98" i="4"/>
  <c r="DR72" i="4"/>
  <c r="DR85" i="4"/>
  <c r="DR45" i="4"/>
  <c r="DR59" i="4"/>
  <c r="DR27" i="4"/>
  <c r="T246" i="4"/>
  <c r="H234" i="4"/>
  <c r="L246" i="4"/>
  <c r="G234" i="4"/>
  <c r="F234" i="4"/>
  <c r="E234" i="4"/>
  <c r="DK246" i="4"/>
  <c r="D234" i="4"/>
  <c r="CU246" i="4"/>
  <c r="BA246" i="4"/>
  <c r="J234" i="4"/>
  <c r="AR246" i="4"/>
  <c r="I234" i="4"/>
  <c r="G209" i="4"/>
  <c r="CS222" i="4"/>
  <c r="BM222" i="4"/>
  <c r="AG222" i="4"/>
  <c r="E209" i="4"/>
  <c r="DQ222" i="4"/>
  <c r="CK222" i="4"/>
  <c r="BE222" i="4"/>
  <c r="Y222" i="4"/>
  <c r="DI222" i="4"/>
  <c r="CC222" i="4"/>
  <c r="AW222" i="4"/>
  <c r="Q222" i="4"/>
  <c r="J209" i="4"/>
  <c r="I209" i="4"/>
  <c r="DA222" i="4"/>
  <c r="BU222" i="4"/>
  <c r="AO222" i="4"/>
  <c r="I222" i="4"/>
  <c r="H209" i="4"/>
  <c r="D209" i="4"/>
  <c r="G196" i="4"/>
  <c r="CP209" i="4"/>
  <c r="BJ209" i="4"/>
  <c r="AD209" i="4"/>
  <c r="E196" i="4"/>
  <c r="DN209" i="4"/>
  <c r="CH209" i="4"/>
  <c r="BB209" i="4"/>
  <c r="V209" i="4"/>
  <c r="J196" i="4"/>
  <c r="I196" i="4"/>
  <c r="F209" i="4"/>
  <c r="H196" i="4"/>
  <c r="J183" i="4"/>
  <c r="DD196" i="4"/>
  <c r="F196" i="4"/>
  <c r="H183" i="4"/>
  <c r="L196" i="4"/>
  <c r="D196" i="4"/>
  <c r="BU183" i="4"/>
  <c r="AU183" i="4"/>
  <c r="I183" i="4"/>
  <c r="CV196" i="4"/>
  <c r="DG183" i="4"/>
  <c r="CQ183" i="4"/>
  <c r="BE183" i="4"/>
  <c r="AE183" i="4"/>
  <c r="G183" i="4"/>
  <c r="BX196" i="4"/>
  <c r="F183" i="4"/>
  <c r="BP196" i="4"/>
  <c r="E183" i="4"/>
  <c r="AR196" i="4"/>
  <c r="D183" i="4"/>
  <c r="AJ196" i="4"/>
  <c r="D170" i="4"/>
  <c r="J170" i="4"/>
  <c r="H170" i="4"/>
  <c r="G170" i="4"/>
  <c r="F170" i="4"/>
  <c r="E170" i="4"/>
  <c r="J157" i="4"/>
  <c r="CQ170" i="4"/>
  <c r="BG170" i="4"/>
  <c r="AA170" i="4"/>
  <c r="DQ157" i="4"/>
  <c r="DI157" i="4"/>
  <c r="DA157" i="4"/>
  <c r="H157" i="4"/>
  <c r="DS170" i="4"/>
  <c r="CH170" i="4"/>
  <c r="AY170" i="4"/>
  <c r="S170" i="4"/>
  <c r="F157" i="4"/>
  <c r="E157" i="4"/>
  <c r="I170" i="4"/>
  <c r="D157" i="4"/>
  <c r="I157" i="4"/>
  <c r="E144" i="4"/>
  <c r="J131" i="4"/>
  <c r="BS157" i="4"/>
  <c r="AM157" i="4"/>
  <c r="G157" i="4"/>
  <c r="D144" i="4"/>
  <c r="H131" i="4"/>
  <c r="CS157" i="4"/>
  <c r="BK157" i="4"/>
  <c r="AE157" i="4"/>
  <c r="J144" i="4"/>
  <c r="CK157" i="4"/>
  <c r="I144" i="4"/>
  <c r="F131" i="4"/>
  <c r="H144" i="4"/>
  <c r="E131" i="4"/>
  <c r="CC157" i="4"/>
  <c r="G144" i="4"/>
  <c r="D131" i="4"/>
  <c r="F144" i="4"/>
  <c r="E118" i="4"/>
  <c r="CQ131" i="4"/>
  <c r="BK131" i="4"/>
  <c r="AE131" i="4"/>
  <c r="DO131" i="4"/>
  <c r="CI131" i="4"/>
  <c r="BC131" i="4"/>
  <c r="W131" i="4"/>
  <c r="I118" i="4"/>
  <c r="H118" i="4"/>
  <c r="I131" i="4"/>
  <c r="G118" i="4"/>
  <c r="G131" i="4"/>
  <c r="F118" i="4"/>
  <c r="I105" i="4"/>
  <c r="F92" i="4"/>
  <c r="DR118" i="4"/>
  <c r="CL118" i="4"/>
  <c r="BF118" i="4"/>
  <c r="Z118" i="4"/>
  <c r="DP105" i="4"/>
  <c r="DH105" i="4"/>
  <c r="CZ105" i="4"/>
  <c r="CR105" i="4"/>
  <c r="CJ105" i="4"/>
  <c r="CB105" i="4"/>
  <c r="BT105" i="4"/>
  <c r="BL105" i="4"/>
  <c r="BD105" i="4"/>
  <c r="AV105" i="4"/>
  <c r="AN105" i="4"/>
  <c r="AF105" i="4"/>
  <c r="X105" i="4"/>
  <c r="P105" i="4"/>
  <c r="H105" i="4"/>
  <c r="DL118" i="4"/>
  <c r="G105" i="4"/>
  <c r="D92" i="4"/>
  <c r="DJ118" i="4"/>
  <c r="CD118" i="4"/>
  <c r="AX118" i="4"/>
  <c r="R118" i="4"/>
  <c r="F105" i="4"/>
  <c r="E105" i="4"/>
  <c r="J92" i="4"/>
  <c r="J118" i="4"/>
  <c r="D105" i="4"/>
  <c r="I92" i="4"/>
  <c r="D118" i="4"/>
  <c r="H92" i="4"/>
  <c r="J105" i="4"/>
  <c r="G92" i="4"/>
  <c r="E92" i="4"/>
  <c r="H66" i="4"/>
  <c r="J79" i="4"/>
  <c r="I79" i="4"/>
  <c r="F66" i="4"/>
  <c r="H79" i="4"/>
  <c r="G79" i="4"/>
  <c r="D66" i="4"/>
  <c r="F79" i="4"/>
  <c r="E79" i="4"/>
  <c r="J66" i="4"/>
  <c r="D79" i="4"/>
  <c r="I66" i="4"/>
  <c r="E66" i="4"/>
  <c r="G66" i="4"/>
  <c r="CF239" i="4"/>
  <c r="CF227" i="4"/>
  <c r="CF215" i="4"/>
  <c r="CF202" i="4"/>
  <c r="CF189" i="4"/>
  <c r="CF176" i="4"/>
  <c r="CF163" i="4"/>
  <c r="CF150" i="4"/>
  <c r="CF137" i="4"/>
  <c r="CF111" i="4"/>
  <c r="CF124" i="4"/>
  <c r="CF98" i="4"/>
  <c r="CF72" i="4"/>
  <c r="CF85" i="4"/>
  <c r="CF45" i="4"/>
  <c r="CF59" i="4"/>
  <c r="CF27" i="4"/>
  <c r="CN239" i="4"/>
  <c r="CN227" i="4"/>
  <c r="CN215" i="4"/>
  <c r="CN189" i="4"/>
  <c r="CN202" i="4"/>
  <c r="CN176" i="4"/>
  <c r="CN163" i="4"/>
  <c r="CN150" i="4"/>
  <c r="CN137" i="4"/>
  <c r="CN111" i="4"/>
  <c r="CN124" i="4"/>
  <c r="CN98" i="4"/>
  <c r="CN72" i="4"/>
  <c r="CN85" i="4"/>
  <c r="CN45" i="4"/>
  <c r="CN59" i="4"/>
  <c r="CN27" i="4"/>
  <c r="CV239" i="4"/>
  <c r="CV227" i="4"/>
  <c r="CV215" i="4"/>
  <c r="CV202" i="4"/>
  <c r="CV189" i="4"/>
  <c r="CV176" i="4"/>
  <c r="CV163" i="4"/>
  <c r="CV150" i="4"/>
  <c r="CV137" i="4"/>
  <c r="CV111" i="4"/>
  <c r="CV124" i="4"/>
  <c r="CV98" i="4"/>
  <c r="CV72" i="4"/>
  <c r="CV85" i="4"/>
  <c r="CV45" i="4"/>
  <c r="CV59" i="4"/>
  <c r="CV27" i="4"/>
  <c r="DD239" i="4"/>
  <c r="DD227" i="4"/>
  <c r="DD215" i="4"/>
  <c r="DD202" i="4"/>
  <c r="DD189" i="4"/>
  <c r="DD176" i="4"/>
  <c r="DD163" i="4"/>
  <c r="DD137" i="4"/>
  <c r="DD150" i="4"/>
  <c r="DD111" i="4"/>
  <c r="DD124" i="4"/>
  <c r="DD98" i="4"/>
  <c r="DD72" i="4"/>
  <c r="DD85" i="4"/>
  <c r="DD45" i="4"/>
  <c r="DD59" i="4"/>
  <c r="DD27" i="4"/>
  <c r="DL239" i="4"/>
  <c r="DL227" i="4"/>
  <c r="DL215" i="4"/>
  <c r="DL202" i="4"/>
  <c r="DL189" i="4"/>
  <c r="DL176" i="4"/>
  <c r="DL163" i="4"/>
  <c r="DL150" i="4"/>
  <c r="DL137" i="4"/>
  <c r="DL111" i="4"/>
  <c r="DL124" i="4"/>
  <c r="DL98" i="4"/>
  <c r="DL72" i="4"/>
  <c r="DL85" i="4"/>
  <c r="DL45" i="4"/>
  <c r="DL59" i="4"/>
  <c r="DL27" i="4"/>
  <c r="DB7" i="4"/>
  <c r="R125" i="1" s="1"/>
  <c r="DJ7" i="4"/>
  <c r="R133" i="1" s="1"/>
  <c r="DR7" i="4"/>
  <c r="R141" i="1" s="1"/>
  <c r="W13" i="4"/>
  <c r="K12" i="4"/>
  <c r="K14" i="4" s="1"/>
  <c r="B22" i="4"/>
  <c r="C22" i="4" s="1"/>
  <c r="CH239" i="4"/>
  <c r="CH227" i="4"/>
  <c r="CH215" i="4"/>
  <c r="CH202" i="4"/>
  <c r="CH189" i="4"/>
  <c r="CH176" i="4"/>
  <c r="CH163" i="4"/>
  <c r="CH150" i="4"/>
  <c r="CH137" i="4"/>
  <c r="CH111" i="4"/>
  <c r="CH124" i="4"/>
  <c r="CH98" i="4"/>
  <c r="CH72" i="4"/>
  <c r="CH85" i="4"/>
  <c r="CH45" i="4"/>
  <c r="CH59" i="4"/>
  <c r="CP239" i="4"/>
  <c r="CP227" i="4"/>
  <c r="CP215" i="4"/>
  <c r="CP202" i="4"/>
  <c r="CP189" i="4"/>
  <c r="CP176" i="4"/>
  <c r="CP163" i="4"/>
  <c r="CP150" i="4"/>
  <c r="CP137" i="4"/>
  <c r="CP111" i="4"/>
  <c r="CP124" i="4"/>
  <c r="CP98" i="4"/>
  <c r="CP72" i="4"/>
  <c r="CP85" i="4"/>
  <c r="CP45" i="4"/>
  <c r="CP59" i="4"/>
  <c r="CX239" i="4"/>
  <c r="CX227" i="4"/>
  <c r="CX215" i="4"/>
  <c r="CX202" i="4"/>
  <c r="CX189" i="4"/>
  <c r="CX176" i="4"/>
  <c r="CX163" i="4"/>
  <c r="CX150" i="4"/>
  <c r="CX137" i="4"/>
  <c r="CX111" i="4"/>
  <c r="CX124" i="4"/>
  <c r="CX98" i="4"/>
  <c r="CX72" i="4"/>
  <c r="CX85" i="4"/>
  <c r="CX45" i="4"/>
  <c r="CX59" i="4"/>
  <c r="DF239" i="4"/>
  <c r="DF227" i="4"/>
  <c r="DF215" i="4"/>
  <c r="DF202" i="4"/>
  <c r="DF189" i="4"/>
  <c r="DF176" i="4"/>
  <c r="DF163" i="4"/>
  <c r="DF150" i="4"/>
  <c r="DF137" i="4"/>
  <c r="DF111" i="4"/>
  <c r="DF124" i="4"/>
  <c r="DF98" i="4"/>
  <c r="DF72" i="4"/>
  <c r="DF85" i="4"/>
  <c r="DF45" i="4"/>
  <c r="DF59" i="4"/>
  <c r="DN239" i="4"/>
  <c r="DN227" i="4"/>
  <c r="DN215" i="4"/>
  <c r="DN202" i="4"/>
  <c r="DN189" i="4"/>
  <c r="DN176" i="4"/>
  <c r="DN163" i="4"/>
  <c r="DN150" i="4"/>
  <c r="DN137" i="4"/>
  <c r="DN111" i="4"/>
  <c r="DN124" i="4"/>
  <c r="DN98" i="4"/>
  <c r="DN72" i="4"/>
  <c r="DN85" i="4"/>
  <c r="DN45" i="4"/>
  <c r="DN59" i="4"/>
  <c r="CF7" i="4"/>
  <c r="R103" i="1" s="1"/>
  <c r="CN7" i="4"/>
  <c r="R111" i="1" s="1"/>
  <c r="CV7" i="4"/>
  <c r="R119" i="1" s="1"/>
  <c r="DD7" i="4"/>
  <c r="R127" i="1" s="1"/>
  <c r="DL7" i="4"/>
  <c r="R135" i="1" s="1"/>
  <c r="B40" i="4"/>
  <c r="C40" i="4" s="1"/>
  <c r="AI9" i="4"/>
  <c r="CH7" i="4"/>
  <c r="R105" i="1" s="1"/>
  <c r="CP7" i="4"/>
  <c r="R113" i="1" s="1"/>
  <c r="CX7" i="4"/>
  <c r="R121" i="1" s="1"/>
  <c r="DF7" i="4"/>
  <c r="R129" i="1" s="1"/>
  <c r="DN7" i="4"/>
  <c r="R137" i="1" s="1"/>
  <c r="B10" i="4"/>
  <c r="C10" i="4" s="1"/>
  <c r="W14" i="4"/>
  <c r="D46" i="4"/>
  <c r="CH27" i="4"/>
  <c r="AK66" i="4"/>
  <c r="BI66" i="4"/>
  <c r="BQ66" i="4"/>
  <c r="CO66" i="4"/>
  <c r="CW66" i="4"/>
  <c r="O66" i="4"/>
  <c r="W66" i="4"/>
  <c r="AE66" i="4"/>
  <c r="AM66" i="4"/>
  <c r="BK66" i="4"/>
  <c r="CA66" i="4"/>
  <c r="CQ66" i="4"/>
  <c r="DG66" i="4"/>
  <c r="BS66" i="4"/>
  <c r="CY66" i="4"/>
  <c r="P79" i="4"/>
  <c r="X79" i="4"/>
  <c r="AF79" i="4"/>
  <c r="AN79" i="4"/>
  <c r="AV79" i="4"/>
  <c r="BD79" i="4"/>
  <c r="BL79" i="4"/>
  <c r="BT79" i="4"/>
  <c r="CB79" i="4"/>
  <c r="CJ79" i="4"/>
  <c r="CR79" i="4"/>
  <c r="CZ79" i="4"/>
  <c r="DH79" i="4"/>
  <c r="DP79" i="4"/>
  <c r="N66" i="4"/>
  <c r="V66" i="4"/>
  <c r="AD66" i="4"/>
  <c r="AL66" i="4"/>
  <c r="AT66" i="4"/>
  <c r="BB66" i="4"/>
  <c r="BJ66" i="4"/>
  <c r="BR66" i="4"/>
  <c r="BZ66" i="4"/>
  <c r="CH66" i="4"/>
  <c r="CP66" i="4"/>
  <c r="CX66" i="4"/>
  <c r="DF66" i="4"/>
  <c r="DN66" i="4"/>
  <c r="M66" i="4"/>
  <c r="AS66" i="4"/>
  <c r="BY66" i="4"/>
  <c r="DE66" i="4"/>
  <c r="Q79" i="4"/>
  <c r="Y79" i="4"/>
  <c r="AG79" i="4"/>
  <c r="AO79" i="4"/>
  <c r="AW79" i="4"/>
  <c r="BE79" i="4"/>
  <c r="BM79" i="4"/>
  <c r="BU79" i="4"/>
  <c r="CC79" i="4"/>
  <c r="CK79" i="4"/>
  <c r="CS79" i="4"/>
  <c r="DA79" i="4"/>
  <c r="DI79" i="4"/>
  <c r="DQ79" i="4"/>
  <c r="E77" i="4"/>
  <c r="E78" i="4" s="1"/>
  <c r="F76" i="4" s="1"/>
  <c r="AU66" i="4"/>
  <c r="R79" i="4"/>
  <c r="Z79" i="4"/>
  <c r="AH79" i="4"/>
  <c r="AP79" i="4"/>
  <c r="AX79" i="4"/>
  <c r="BF79" i="4"/>
  <c r="BN79" i="4"/>
  <c r="BV79" i="4"/>
  <c r="CD79" i="4"/>
  <c r="CL79" i="4"/>
  <c r="CT79" i="4"/>
  <c r="DB79" i="4"/>
  <c r="DJ79" i="4"/>
  <c r="DR79" i="4"/>
  <c r="P66" i="4"/>
  <c r="X66" i="4"/>
  <c r="AF66" i="4"/>
  <c r="AN66" i="4"/>
  <c r="AV66" i="4"/>
  <c r="BD66" i="4"/>
  <c r="BL66" i="4"/>
  <c r="BT66" i="4"/>
  <c r="CB66" i="4"/>
  <c r="CJ66" i="4"/>
  <c r="CR66" i="4"/>
  <c r="CZ66" i="4"/>
  <c r="DH66" i="4"/>
  <c r="DP66" i="4"/>
  <c r="U66" i="4"/>
  <c r="BA66" i="4"/>
  <c r="CG66" i="4"/>
  <c r="DM66" i="4"/>
  <c r="K79" i="4"/>
  <c r="S79" i="4"/>
  <c r="AA79" i="4"/>
  <c r="AI79" i="4"/>
  <c r="AQ79" i="4"/>
  <c r="AY79" i="4"/>
  <c r="BG79" i="4"/>
  <c r="BO79" i="4"/>
  <c r="BW79" i="4"/>
  <c r="CE79" i="4"/>
  <c r="CM79" i="4"/>
  <c r="CU79" i="4"/>
  <c r="DC79" i="4"/>
  <c r="DK79" i="4"/>
  <c r="DS79" i="4"/>
  <c r="B58" i="4"/>
  <c r="C58" i="4" s="1"/>
  <c r="Q66" i="4"/>
  <c r="Y66" i="4"/>
  <c r="AG66" i="4"/>
  <c r="AO66" i="4"/>
  <c r="AW66" i="4"/>
  <c r="BE66" i="4"/>
  <c r="BM66" i="4"/>
  <c r="BU66" i="4"/>
  <c r="CC66" i="4"/>
  <c r="CK66" i="4"/>
  <c r="CS66" i="4"/>
  <c r="DA66" i="4"/>
  <c r="DI66" i="4"/>
  <c r="DQ66" i="4"/>
  <c r="BC66" i="4"/>
  <c r="CI66" i="4"/>
  <c r="DO66" i="4"/>
  <c r="L79" i="4"/>
  <c r="T79" i="4"/>
  <c r="AB79" i="4"/>
  <c r="AJ79" i="4"/>
  <c r="AR79" i="4"/>
  <c r="AZ79" i="4"/>
  <c r="BH79" i="4"/>
  <c r="BP79" i="4"/>
  <c r="BX79" i="4"/>
  <c r="CF79" i="4"/>
  <c r="CN79" i="4"/>
  <c r="CV79" i="4"/>
  <c r="DD79" i="4"/>
  <c r="DL79" i="4"/>
  <c r="R66" i="4"/>
  <c r="Z66" i="4"/>
  <c r="AH66" i="4"/>
  <c r="AP66" i="4"/>
  <c r="AX66" i="4"/>
  <c r="BF66" i="4"/>
  <c r="BN66" i="4"/>
  <c r="BV66" i="4"/>
  <c r="CD66" i="4"/>
  <c r="CL66" i="4"/>
  <c r="CT66" i="4"/>
  <c r="DB66" i="4"/>
  <c r="DJ66" i="4"/>
  <c r="DR66" i="4"/>
  <c r="AC66" i="4"/>
  <c r="M79" i="4"/>
  <c r="U79" i="4"/>
  <c r="AC79" i="4"/>
  <c r="AK79" i="4"/>
  <c r="AS79" i="4"/>
  <c r="BA79" i="4"/>
  <c r="BI79" i="4"/>
  <c r="BQ79" i="4"/>
  <c r="BY79" i="4"/>
  <c r="CG79" i="4"/>
  <c r="CO79" i="4"/>
  <c r="CW79" i="4"/>
  <c r="DE79" i="4"/>
  <c r="DM79" i="4"/>
  <c r="S92" i="4"/>
  <c r="AA92" i="4"/>
  <c r="AI92" i="4"/>
  <c r="AY92" i="4"/>
  <c r="BO92" i="4"/>
  <c r="CE92" i="4"/>
  <c r="CM92" i="4"/>
  <c r="DS92" i="4"/>
  <c r="K66" i="4"/>
  <c r="S66" i="4"/>
  <c r="AA66" i="4"/>
  <c r="AI66" i="4"/>
  <c r="AQ66" i="4"/>
  <c r="AY66" i="4"/>
  <c r="BG66" i="4"/>
  <c r="BO66" i="4"/>
  <c r="BW66" i="4"/>
  <c r="CE66" i="4"/>
  <c r="CM66" i="4"/>
  <c r="CU66" i="4"/>
  <c r="DC66" i="4"/>
  <c r="DK66" i="4"/>
  <c r="DS66" i="4"/>
  <c r="D65" i="4"/>
  <c r="E63" i="4" s="1"/>
  <c r="N79" i="4"/>
  <c r="V79" i="4"/>
  <c r="AD79" i="4"/>
  <c r="AL79" i="4"/>
  <c r="AT79" i="4"/>
  <c r="BB79" i="4"/>
  <c r="BJ79" i="4"/>
  <c r="BR79" i="4"/>
  <c r="BZ79" i="4"/>
  <c r="CH79" i="4"/>
  <c r="CP79" i="4"/>
  <c r="CX79" i="4"/>
  <c r="DF79" i="4"/>
  <c r="DN79" i="4"/>
  <c r="L66" i="4"/>
  <c r="T66" i="4"/>
  <c r="AB66" i="4"/>
  <c r="AJ66" i="4"/>
  <c r="AR66" i="4"/>
  <c r="AZ66" i="4"/>
  <c r="BH66" i="4"/>
  <c r="BP66" i="4"/>
  <c r="BX66" i="4"/>
  <c r="CF66" i="4"/>
  <c r="CN66" i="4"/>
  <c r="CV66" i="4"/>
  <c r="DD66" i="4"/>
  <c r="DL66" i="4"/>
  <c r="O79" i="4"/>
  <c r="W79" i="4"/>
  <c r="AE79" i="4"/>
  <c r="AM79" i="4"/>
  <c r="AU79" i="4"/>
  <c r="BC79" i="4"/>
  <c r="BK79" i="4"/>
  <c r="BS79" i="4"/>
  <c r="CA79" i="4"/>
  <c r="CI79" i="4"/>
  <c r="CQ79" i="4"/>
  <c r="CY79" i="4"/>
  <c r="DG79" i="4"/>
  <c r="DO79" i="4"/>
  <c r="M92" i="4"/>
  <c r="U92" i="4"/>
  <c r="AC92" i="4"/>
  <c r="AK92" i="4"/>
  <c r="AS92" i="4"/>
  <c r="BA92" i="4"/>
  <c r="BI92" i="4"/>
  <c r="BQ92" i="4"/>
  <c r="CG92" i="4"/>
  <c r="CO92" i="4"/>
  <c r="CW92" i="4"/>
  <c r="DM92" i="4"/>
  <c r="K92" i="4"/>
  <c r="AQ92" i="4"/>
  <c r="BW92" i="4"/>
  <c r="DC92" i="4"/>
  <c r="Q105" i="4"/>
  <c r="Y105" i="4"/>
  <c r="AG105" i="4"/>
  <c r="AO105" i="4"/>
  <c r="AW105" i="4"/>
  <c r="BE105" i="4"/>
  <c r="BM105" i="4"/>
  <c r="BU105" i="4"/>
  <c r="CC105" i="4"/>
  <c r="CK105" i="4"/>
  <c r="CS105" i="4"/>
  <c r="DA105" i="4"/>
  <c r="DI105" i="4"/>
  <c r="DQ105" i="4"/>
  <c r="AH118" i="4"/>
  <c r="AP118" i="4"/>
  <c r="BN118" i="4"/>
  <c r="BV118" i="4"/>
  <c r="CT118" i="4"/>
  <c r="DB118" i="4"/>
  <c r="N92" i="4"/>
  <c r="V92" i="4"/>
  <c r="AD92" i="4"/>
  <c r="AL92" i="4"/>
  <c r="AT92" i="4"/>
  <c r="BB92" i="4"/>
  <c r="BJ92" i="4"/>
  <c r="BR92" i="4"/>
  <c r="BZ92" i="4"/>
  <c r="CH92" i="4"/>
  <c r="CP92" i="4"/>
  <c r="CX92" i="4"/>
  <c r="DF92" i="4"/>
  <c r="DN92" i="4"/>
  <c r="BY92" i="4"/>
  <c r="DE92" i="4"/>
  <c r="R105" i="4"/>
  <c r="Z105" i="4"/>
  <c r="AH105" i="4"/>
  <c r="AP105" i="4"/>
  <c r="AX105" i="4"/>
  <c r="BF105" i="4"/>
  <c r="BN105" i="4"/>
  <c r="BV105" i="4"/>
  <c r="CD105" i="4"/>
  <c r="CL105" i="4"/>
  <c r="CT105" i="4"/>
  <c r="DB105" i="4"/>
  <c r="DJ105" i="4"/>
  <c r="DR105" i="4"/>
  <c r="O92" i="4"/>
  <c r="W92" i="4"/>
  <c r="AE92" i="4"/>
  <c r="AM92" i="4"/>
  <c r="AU92" i="4"/>
  <c r="BC92" i="4"/>
  <c r="BK92" i="4"/>
  <c r="BS92" i="4"/>
  <c r="CA92" i="4"/>
  <c r="CI92" i="4"/>
  <c r="CQ92" i="4"/>
  <c r="CY92" i="4"/>
  <c r="DG92" i="4"/>
  <c r="DO92" i="4"/>
  <c r="DK92" i="4"/>
  <c r="K105" i="4"/>
  <c r="S105" i="4"/>
  <c r="AA105" i="4"/>
  <c r="AI105" i="4"/>
  <c r="AQ105" i="4"/>
  <c r="AY105" i="4"/>
  <c r="BG105" i="4"/>
  <c r="BO105" i="4"/>
  <c r="BW105" i="4"/>
  <c r="CE105" i="4"/>
  <c r="CM105" i="4"/>
  <c r="CU105" i="4"/>
  <c r="DC105" i="4"/>
  <c r="DK105" i="4"/>
  <c r="DS105" i="4"/>
  <c r="L118" i="4"/>
  <c r="T118" i="4"/>
  <c r="AB118" i="4"/>
  <c r="AR118" i="4"/>
  <c r="AZ118" i="4"/>
  <c r="BH118" i="4"/>
  <c r="BX118" i="4"/>
  <c r="CF118" i="4"/>
  <c r="CN118" i="4"/>
  <c r="DD118" i="4"/>
  <c r="P92" i="4"/>
  <c r="X92" i="4"/>
  <c r="AF92" i="4"/>
  <c r="AN92" i="4"/>
  <c r="AV92" i="4"/>
  <c r="BD92" i="4"/>
  <c r="BL92" i="4"/>
  <c r="BT92" i="4"/>
  <c r="CB92" i="4"/>
  <c r="CJ92" i="4"/>
  <c r="CR92" i="4"/>
  <c r="CZ92" i="4"/>
  <c r="DH92" i="4"/>
  <c r="DP92" i="4"/>
  <c r="L105" i="4"/>
  <c r="B97" i="4"/>
  <c r="C97" i="4" s="1"/>
  <c r="T105" i="4"/>
  <c r="AB105" i="4"/>
  <c r="AJ105" i="4"/>
  <c r="AR105" i="4"/>
  <c r="AZ105" i="4"/>
  <c r="BH105" i="4"/>
  <c r="BP105" i="4"/>
  <c r="BX105" i="4"/>
  <c r="CF105" i="4"/>
  <c r="CN105" i="4"/>
  <c r="CV105" i="4"/>
  <c r="DD105" i="4"/>
  <c r="DL105" i="4"/>
  <c r="Q92" i="4"/>
  <c r="Y92" i="4"/>
  <c r="AG92" i="4"/>
  <c r="AO92" i="4"/>
  <c r="AW92" i="4"/>
  <c r="BE92" i="4"/>
  <c r="BM92" i="4"/>
  <c r="BU92" i="4"/>
  <c r="CC92" i="4"/>
  <c r="CK92" i="4"/>
  <c r="CS92" i="4"/>
  <c r="DA92" i="4"/>
  <c r="DI92" i="4"/>
  <c r="DQ92" i="4"/>
  <c r="BG92" i="4"/>
  <c r="M105" i="4"/>
  <c r="U105" i="4"/>
  <c r="AC105" i="4"/>
  <c r="AK105" i="4"/>
  <c r="AS105" i="4"/>
  <c r="BA105" i="4"/>
  <c r="BI105" i="4"/>
  <c r="BQ105" i="4"/>
  <c r="BY105" i="4"/>
  <c r="CG105" i="4"/>
  <c r="CO105" i="4"/>
  <c r="CW105" i="4"/>
  <c r="DE105" i="4"/>
  <c r="DM105" i="4"/>
  <c r="R92" i="4"/>
  <c r="Z92" i="4"/>
  <c r="AH92" i="4"/>
  <c r="AP92" i="4"/>
  <c r="AX92" i="4"/>
  <c r="BF92" i="4"/>
  <c r="BN92" i="4"/>
  <c r="BV92" i="4"/>
  <c r="CD92" i="4"/>
  <c r="CL92" i="4"/>
  <c r="CT92" i="4"/>
  <c r="DB92" i="4"/>
  <c r="DJ92" i="4"/>
  <c r="DR92" i="4"/>
  <c r="N105" i="4"/>
  <c r="V105" i="4"/>
  <c r="AD105" i="4"/>
  <c r="AL105" i="4"/>
  <c r="AT105" i="4"/>
  <c r="BB105" i="4"/>
  <c r="BJ105" i="4"/>
  <c r="BR105" i="4"/>
  <c r="BZ105" i="4"/>
  <c r="CH105" i="4"/>
  <c r="CP105" i="4"/>
  <c r="CX105" i="4"/>
  <c r="DF105" i="4"/>
  <c r="DN105" i="4"/>
  <c r="E103" i="4"/>
  <c r="E104" i="4" s="1"/>
  <c r="F102" i="4" s="1"/>
  <c r="CU92" i="4"/>
  <c r="O105" i="4"/>
  <c r="W105" i="4"/>
  <c r="AE105" i="4"/>
  <c r="AM105" i="4"/>
  <c r="AU105" i="4"/>
  <c r="BC105" i="4"/>
  <c r="BK105" i="4"/>
  <c r="BS105" i="4"/>
  <c r="CA105" i="4"/>
  <c r="CI105" i="4"/>
  <c r="CQ105" i="4"/>
  <c r="CY105" i="4"/>
  <c r="DG105" i="4"/>
  <c r="DO105" i="4"/>
  <c r="B71" i="4"/>
  <c r="C71" i="4" s="1"/>
  <c r="L92" i="4"/>
  <c r="T92" i="4"/>
  <c r="AB92" i="4"/>
  <c r="AJ92" i="4"/>
  <c r="AR92" i="4"/>
  <c r="AZ92" i="4"/>
  <c r="BH92" i="4"/>
  <c r="BP92" i="4"/>
  <c r="BX92" i="4"/>
  <c r="CF92" i="4"/>
  <c r="CN92" i="4"/>
  <c r="CV92" i="4"/>
  <c r="DD92" i="4"/>
  <c r="DL92" i="4"/>
  <c r="K118" i="4"/>
  <c r="S118" i="4"/>
  <c r="AA118" i="4"/>
  <c r="AI118" i="4"/>
  <c r="AQ118" i="4"/>
  <c r="AY118" i="4"/>
  <c r="BG118" i="4"/>
  <c r="BO118" i="4"/>
  <c r="BW118" i="4"/>
  <c r="CE118" i="4"/>
  <c r="CM118" i="4"/>
  <c r="CU118" i="4"/>
  <c r="DC118" i="4"/>
  <c r="DK118" i="4"/>
  <c r="DS118" i="4"/>
  <c r="D90" i="4"/>
  <c r="D91" i="4" s="1"/>
  <c r="E89" i="4" s="1"/>
  <c r="AJ118" i="4"/>
  <c r="BP118" i="4"/>
  <c r="CV118" i="4"/>
  <c r="M118" i="4"/>
  <c r="U118" i="4"/>
  <c r="AC118" i="4"/>
  <c r="AK118" i="4"/>
  <c r="AS118" i="4"/>
  <c r="BA118" i="4"/>
  <c r="BI118" i="4"/>
  <c r="BQ118" i="4"/>
  <c r="BY118" i="4"/>
  <c r="CG118" i="4"/>
  <c r="CO118" i="4"/>
  <c r="CW118" i="4"/>
  <c r="DE118" i="4"/>
  <c r="DM118" i="4"/>
  <c r="O131" i="4"/>
  <c r="AM131" i="4"/>
  <c r="AU131" i="4"/>
  <c r="BS131" i="4"/>
  <c r="CA131" i="4"/>
  <c r="CY131" i="4"/>
  <c r="DG131" i="4"/>
  <c r="N118" i="4"/>
  <c r="V118" i="4"/>
  <c r="AD118" i="4"/>
  <c r="AL118" i="4"/>
  <c r="AT118" i="4"/>
  <c r="BB118" i="4"/>
  <c r="BJ118" i="4"/>
  <c r="BR118" i="4"/>
  <c r="BZ118" i="4"/>
  <c r="CH118" i="4"/>
  <c r="CP118" i="4"/>
  <c r="CX118" i="4"/>
  <c r="DF118" i="4"/>
  <c r="DN118" i="4"/>
  <c r="O118" i="4"/>
  <c r="W118" i="4"/>
  <c r="AE118" i="4"/>
  <c r="AM118" i="4"/>
  <c r="AU118" i="4"/>
  <c r="BC118" i="4"/>
  <c r="BK118" i="4"/>
  <c r="BS118" i="4"/>
  <c r="CA118" i="4"/>
  <c r="CI118" i="4"/>
  <c r="CQ118" i="4"/>
  <c r="CY118" i="4"/>
  <c r="DG118" i="4"/>
  <c r="DO118" i="4"/>
  <c r="Q131" i="4"/>
  <c r="Y131" i="4"/>
  <c r="AG131" i="4"/>
  <c r="AO131" i="4"/>
  <c r="AW131" i="4"/>
  <c r="BE131" i="4"/>
  <c r="BM131" i="4"/>
  <c r="BU131" i="4"/>
  <c r="CC131" i="4"/>
  <c r="CK131" i="4"/>
  <c r="CS131" i="4"/>
  <c r="DA131" i="4"/>
  <c r="DI131" i="4"/>
  <c r="DQ131" i="4"/>
  <c r="P118" i="4"/>
  <c r="X118" i="4"/>
  <c r="AF118" i="4"/>
  <c r="AN118" i="4"/>
  <c r="AV118" i="4"/>
  <c r="BD118" i="4"/>
  <c r="BL118" i="4"/>
  <c r="BT118" i="4"/>
  <c r="CB118" i="4"/>
  <c r="CJ118" i="4"/>
  <c r="CR118" i="4"/>
  <c r="CZ118" i="4"/>
  <c r="DH118" i="4"/>
  <c r="DP118" i="4"/>
  <c r="Q118" i="4"/>
  <c r="Y118" i="4"/>
  <c r="AG118" i="4"/>
  <c r="AO118" i="4"/>
  <c r="AW118" i="4"/>
  <c r="BE118" i="4"/>
  <c r="BM118" i="4"/>
  <c r="BU118" i="4"/>
  <c r="CC118" i="4"/>
  <c r="CK118" i="4"/>
  <c r="CS118" i="4"/>
  <c r="DA118" i="4"/>
  <c r="DI118" i="4"/>
  <c r="DQ118" i="4"/>
  <c r="O144" i="4"/>
  <c r="W144" i="4"/>
  <c r="AE144" i="4"/>
  <c r="AM144" i="4"/>
  <c r="AU144" i="4"/>
  <c r="BC144" i="4"/>
  <c r="BK144" i="4"/>
  <c r="BS144" i="4"/>
  <c r="CA144" i="4"/>
  <c r="CI144" i="4"/>
  <c r="CQ144" i="4"/>
  <c r="CY144" i="4"/>
  <c r="DG144" i="4"/>
  <c r="DO144" i="4"/>
  <c r="P131" i="4"/>
  <c r="X131" i="4"/>
  <c r="AF131" i="4"/>
  <c r="AN131" i="4"/>
  <c r="AV131" i="4"/>
  <c r="BD131" i="4"/>
  <c r="BL131" i="4"/>
  <c r="BT131" i="4"/>
  <c r="CB131" i="4"/>
  <c r="CJ131" i="4"/>
  <c r="CR131" i="4"/>
  <c r="CZ131" i="4"/>
  <c r="DH131" i="4"/>
  <c r="DP131" i="4"/>
  <c r="P144" i="4"/>
  <c r="X144" i="4"/>
  <c r="AF144" i="4"/>
  <c r="AN144" i="4"/>
  <c r="AV144" i="4"/>
  <c r="BD144" i="4"/>
  <c r="BL144" i="4"/>
  <c r="BT144" i="4"/>
  <c r="CB144" i="4"/>
  <c r="CJ144" i="4"/>
  <c r="CR144" i="4"/>
  <c r="CZ144" i="4"/>
  <c r="DH144" i="4"/>
  <c r="DP144" i="4"/>
  <c r="D116" i="4"/>
  <c r="B123" i="4"/>
  <c r="C123" i="4" s="1"/>
  <c r="Q144" i="4"/>
  <c r="Y144" i="4"/>
  <c r="AG144" i="4"/>
  <c r="AO144" i="4"/>
  <c r="AW144" i="4"/>
  <c r="BE144" i="4"/>
  <c r="BM144" i="4"/>
  <c r="BU144" i="4"/>
  <c r="CC144" i="4"/>
  <c r="CK144" i="4"/>
  <c r="CS144" i="4"/>
  <c r="DA144" i="4"/>
  <c r="DI144" i="4"/>
  <c r="DQ144" i="4"/>
  <c r="R131" i="4"/>
  <c r="Z131" i="4"/>
  <c r="AH131" i="4"/>
  <c r="AP131" i="4"/>
  <c r="AX131" i="4"/>
  <c r="BF131" i="4"/>
  <c r="BN131" i="4"/>
  <c r="BV131" i="4"/>
  <c r="CD131" i="4"/>
  <c r="CL131" i="4"/>
  <c r="CT131" i="4"/>
  <c r="DB131" i="4"/>
  <c r="DJ131" i="4"/>
  <c r="DR131" i="4"/>
  <c r="R144" i="4"/>
  <c r="Z144" i="4"/>
  <c r="AH144" i="4"/>
  <c r="AP144" i="4"/>
  <c r="AX144" i="4"/>
  <c r="BF144" i="4"/>
  <c r="BN144" i="4"/>
  <c r="BV144" i="4"/>
  <c r="CD144" i="4"/>
  <c r="CL144" i="4"/>
  <c r="CT144" i="4"/>
  <c r="DB144" i="4"/>
  <c r="DJ144" i="4"/>
  <c r="DR144" i="4"/>
  <c r="K131" i="4"/>
  <c r="S131" i="4"/>
  <c r="AA131" i="4"/>
  <c r="AI131" i="4"/>
  <c r="AQ131" i="4"/>
  <c r="AY131" i="4"/>
  <c r="BG131" i="4"/>
  <c r="BO131" i="4"/>
  <c r="BW131" i="4"/>
  <c r="CE131" i="4"/>
  <c r="CM131" i="4"/>
  <c r="CU131" i="4"/>
  <c r="DC131" i="4"/>
  <c r="DK131" i="4"/>
  <c r="DS131" i="4"/>
  <c r="K144" i="4"/>
  <c r="S144" i="4"/>
  <c r="AA144" i="4"/>
  <c r="AI144" i="4"/>
  <c r="AQ144" i="4"/>
  <c r="AY144" i="4"/>
  <c r="BG144" i="4"/>
  <c r="BO144" i="4"/>
  <c r="BW144" i="4"/>
  <c r="CE144" i="4"/>
  <c r="CM144" i="4"/>
  <c r="CU144" i="4"/>
  <c r="DC144" i="4"/>
  <c r="DK144" i="4"/>
  <c r="DS144" i="4"/>
  <c r="W157" i="4"/>
  <c r="BC157" i="4"/>
  <c r="CI157" i="4"/>
  <c r="L131" i="4"/>
  <c r="T131" i="4"/>
  <c r="AB131" i="4"/>
  <c r="AJ131" i="4"/>
  <c r="AR131" i="4"/>
  <c r="AZ131" i="4"/>
  <c r="BH131" i="4"/>
  <c r="BP131" i="4"/>
  <c r="BX131" i="4"/>
  <c r="CF131" i="4"/>
  <c r="CN131" i="4"/>
  <c r="CV131" i="4"/>
  <c r="DD131" i="4"/>
  <c r="DL131" i="4"/>
  <c r="D130" i="4"/>
  <c r="E128" i="4" s="1"/>
  <c r="L144" i="4"/>
  <c r="T144" i="4"/>
  <c r="AB144" i="4"/>
  <c r="AJ144" i="4"/>
  <c r="AR144" i="4"/>
  <c r="AZ144" i="4"/>
  <c r="BH144" i="4"/>
  <c r="BP144" i="4"/>
  <c r="BX144" i="4"/>
  <c r="CF144" i="4"/>
  <c r="CN144" i="4"/>
  <c r="CV144" i="4"/>
  <c r="DD144" i="4"/>
  <c r="DL144" i="4"/>
  <c r="M131" i="4"/>
  <c r="U131" i="4"/>
  <c r="AC131" i="4"/>
  <c r="AK131" i="4"/>
  <c r="AS131" i="4"/>
  <c r="BA131" i="4"/>
  <c r="BI131" i="4"/>
  <c r="BQ131" i="4"/>
  <c r="BY131" i="4"/>
  <c r="CG131" i="4"/>
  <c r="CO131" i="4"/>
  <c r="CW131" i="4"/>
  <c r="DE131" i="4"/>
  <c r="DM131" i="4"/>
  <c r="M144" i="4"/>
  <c r="U144" i="4"/>
  <c r="AC144" i="4"/>
  <c r="AK144" i="4"/>
  <c r="AS144" i="4"/>
  <c r="BA144" i="4"/>
  <c r="BI144" i="4"/>
  <c r="BQ144" i="4"/>
  <c r="BY144" i="4"/>
  <c r="CG144" i="4"/>
  <c r="CO144" i="4"/>
  <c r="CW144" i="4"/>
  <c r="DE144" i="4"/>
  <c r="DM144" i="4"/>
  <c r="Q157" i="4"/>
  <c r="Y157" i="4"/>
  <c r="AG157" i="4"/>
  <c r="AO157" i="4"/>
  <c r="AW157" i="4"/>
  <c r="BE157" i="4"/>
  <c r="BM157" i="4"/>
  <c r="BU157" i="4"/>
  <c r="N131" i="4"/>
  <c r="V131" i="4"/>
  <c r="AD131" i="4"/>
  <c r="AL131" i="4"/>
  <c r="AT131" i="4"/>
  <c r="BB131" i="4"/>
  <c r="BJ131" i="4"/>
  <c r="BR131" i="4"/>
  <c r="BZ131" i="4"/>
  <c r="CH131" i="4"/>
  <c r="CP131" i="4"/>
  <c r="CX131" i="4"/>
  <c r="DF131" i="4"/>
  <c r="DN131" i="4"/>
  <c r="N144" i="4"/>
  <c r="V144" i="4"/>
  <c r="AD144" i="4"/>
  <c r="AL144" i="4"/>
  <c r="AT144" i="4"/>
  <c r="BB144" i="4"/>
  <c r="BJ144" i="4"/>
  <c r="BR144" i="4"/>
  <c r="BZ144" i="4"/>
  <c r="CH144" i="4"/>
  <c r="CP144" i="4"/>
  <c r="CX144" i="4"/>
  <c r="DF144" i="4"/>
  <c r="DN144" i="4"/>
  <c r="CQ157" i="4"/>
  <c r="CY157" i="4"/>
  <c r="DG157" i="4"/>
  <c r="DO157" i="4"/>
  <c r="O157" i="4"/>
  <c r="AU157" i="4"/>
  <c r="CA157" i="4"/>
  <c r="E168" i="4"/>
  <c r="E169" i="4" s="1"/>
  <c r="F167" i="4" s="1"/>
  <c r="P157" i="4"/>
  <c r="X157" i="4"/>
  <c r="AF157" i="4"/>
  <c r="AN157" i="4"/>
  <c r="AV157" i="4"/>
  <c r="BD157" i="4"/>
  <c r="BL157" i="4"/>
  <c r="BT157" i="4"/>
  <c r="CB157" i="4"/>
  <c r="CJ157" i="4"/>
  <c r="CR157" i="4"/>
  <c r="CZ157" i="4"/>
  <c r="DH157" i="4"/>
  <c r="DP157" i="4"/>
  <c r="DG170" i="4"/>
  <c r="D142" i="4"/>
  <c r="R157" i="4"/>
  <c r="Z157" i="4"/>
  <c r="AH157" i="4"/>
  <c r="AP157" i="4"/>
  <c r="AX157" i="4"/>
  <c r="BF157" i="4"/>
  <c r="BN157" i="4"/>
  <c r="BV157" i="4"/>
  <c r="CD157" i="4"/>
  <c r="CL157" i="4"/>
  <c r="CT157" i="4"/>
  <c r="DB157" i="4"/>
  <c r="DJ157" i="4"/>
  <c r="DR157" i="4"/>
  <c r="Q170" i="4"/>
  <c r="Y170" i="4"/>
  <c r="AG170" i="4"/>
  <c r="AO170" i="4"/>
  <c r="AW170" i="4"/>
  <c r="BE170" i="4"/>
  <c r="DA170" i="4"/>
  <c r="DQ170" i="4"/>
  <c r="K157" i="4"/>
  <c r="S157" i="4"/>
  <c r="AA157" i="4"/>
  <c r="AI157" i="4"/>
  <c r="AQ157" i="4"/>
  <c r="AY157" i="4"/>
  <c r="BG157" i="4"/>
  <c r="BO157" i="4"/>
  <c r="BW157" i="4"/>
  <c r="CE157" i="4"/>
  <c r="CM157" i="4"/>
  <c r="CU157" i="4"/>
  <c r="DC157" i="4"/>
  <c r="DK157" i="4"/>
  <c r="DS157" i="4"/>
  <c r="DJ170" i="4"/>
  <c r="B136" i="4"/>
  <c r="C136" i="4" s="1"/>
  <c r="L157" i="4"/>
  <c r="T157" i="4"/>
  <c r="AB157" i="4"/>
  <c r="AJ157" i="4"/>
  <c r="AR157" i="4"/>
  <c r="AZ157" i="4"/>
  <c r="BH157" i="4"/>
  <c r="BP157" i="4"/>
  <c r="BX157" i="4"/>
  <c r="CF157" i="4"/>
  <c r="CN157" i="4"/>
  <c r="CV157" i="4"/>
  <c r="DD157" i="4"/>
  <c r="DL157" i="4"/>
  <c r="AQ170" i="4"/>
  <c r="BW170" i="4"/>
  <c r="M157" i="4"/>
  <c r="U157" i="4"/>
  <c r="AC157" i="4"/>
  <c r="AK157" i="4"/>
  <c r="AS157" i="4"/>
  <c r="BA157" i="4"/>
  <c r="BI157" i="4"/>
  <c r="BQ157" i="4"/>
  <c r="BY157" i="4"/>
  <c r="CG157" i="4"/>
  <c r="CO157" i="4"/>
  <c r="CW157" i="4"/>
  <c r="DE157" i="4"/>
  <c r="DM157" i="4"/>
  <c r="N157" i="4"/>
  <c r="V157" i="4"/>
  <c r="AD157" i="4"/>
  <c r="AL157" i="4"/>
  <c r="AT157" i="4"/>
  <c r="BB157" i="4"/>
  <c r="BJ157" i="4"/>
  <c r="BR157" i="4"/>
  <c r="BZ157" i="4"/>
  <c r="CH157" i="4"/>
  <c r="CP157" i="4"/>
  <c r="CX157" i="4"/>
  <c r="DF157" i="4"/>
  <c r="DN157" i="4"/>
  <c r="D156" i="4"/>
  <c r="E154" i="4" s="1"/>
  <c r="L170" i="4"/>
  <c r="T170" i="4"/>
  <c r="AB170" i="4"/>
  <c r="AJ170" i="4"/>
  <c r="AR170" i="4"/>
  <c r="AZ170" i="4"/>
  <c r="BH170" i="4"/>
  <c r="BX170" i="4"/>
  <c r="CN170" i="4"/>
  <c r="CV170" i="4"/>
  <c r="DD170" i="4"/>
  <c r="DL170" i="4"/>
  <c r="AI170" i="4"/>
  <c r="BP170" i="4"/>
  <c r="M170" i="4"/>
  <c r="U170" i="4"/>
  <c r="AC170" i="4"/>
  <c r="AK170" i="4"/>
  <c r="AS170" i="4"/>
  <c r="BA170" i="4"/>
  <c r="BI170" i="4"/>
  <c r="BQ170" i="4"/>
  <c r="CG170" i="4"/>
  <c r="CW170" i="4"/>
  <c r="DE170" i="4"/>
  <c r="DM170" i="4"/>
  <c r="N170" i="4"/>
  <c r="V170" i="4"/>
  <c r="AD170" i="4"/>
  <c r="AL170" i="4"/>
  <c r="AT170" i="4"/>
  <c r="BB170" i="4"/>
  <c r="BJ170" i="4"/>
  <c r="BR170" i="4"/>
  <c r="BZ170" i="4"/>
  <c r="CP170" i="4"/>
  <c r="DF170" i="4"/>
  <c r="DN170" i="4"/>
  <c r="K170" i="4"/>
  <c r="BY170" i="4"/>
  <c r="O170" i="4"/>
  <c r="W170" i="4"/>
  <c r="AE170" i="4"/>
  <c r="AM170" i="4"/>
  <c r="AU170" i="4"/>
  <c r="BC170" i="4"/>
  <c r="BK170" i="4"/>
  <c r="BS170" i="4"/>
  <c r="CA170" i="4"/>
  <c r="CI170" i="4"/>
  <c r="CY170" i="4"/>
  <c r="DO170" i="4"/>
  <c r="CF170" i="4"/>
  <c r="P170" i="4"/>
  <c r="X170" i="4"/>
  <c r="AF170" i="4"/>
  <c r="AN170" i="4"/>
  <c r="AV170" i="4"/>
  <c r="BD170" i="4"/>
  <c r="BL170" i="4"/>
  <c r="BT170" i="4"/>
  <c r="CB170" i="4"/>
  <c r="CJ170" i="4"/>
  <c r="CR170" i="4"/>
  <c r="CZ170" i="4"/>
  <c r="DH170" i="4"/>
  <c r="DP170" i="4"/>
  <c r="BM170" i="4"/>
  <c r="BU170" i="4"/>
  <c r="CC170" i="4"/>
  <c r="CK170" i="4"/>
  <c r="CS170" i="4"/>
  <c r="DI170" i="4"/>
  <c r="CO170" i="4"/>
  <c r="M183" i="4"/>
  <c r="U183" i="4"/>
  <c r="AC183" i="4"/>
  <c r="E181" i="4"/>
  <c r="E182" i="4" s="1"/>
  <c r="F180" i="4" s="1"/>
  <c r="R170" i="4"/>
  <c r="Z170" i="4"/>
  <c r="AH170" i="4"/>
  <c r="AP170" i="4"/>
  <c r="AX170" i="4"/>
  <c r="BF170" i="4"/>
  <c r="BV170" i="4"/>
  <c r="CD170" i="4"/>
  <c r="CL170" i="4"/>
  <c r="CT170" i="4"/>
  <c r="DB170" i="4"/>
  <c r="DR170" i="4"/>
  <c r="BO170" i="4"/>
  <c r="CE170" i="4"/>
  <c r="CM170" i="4"/>
  <c r="CU170" i="4"/>
  <c r="DC170" i="4"/>
  <c r="DK170" i="4"/>
  <c r="BN170" i="4"/>
  <c r="CX170" i="4"/>
  <c r="W183" i="4"/>
  <c r="BC183" i="4"/>
  <c r="BS183" i="4"/>
  <c r="CI183" i="4"/>
  <c r="AG183" i="4"/>
  <c r="AW183" i="4"/>
  <c r="CS183" i="4"/>
  <c r="DI183" i="4"/>
  <c r="BW183" i="4"/>
  <c r="L183" i="4"/>
  <c r="T183" i="4"/>
  <c r="AB183" i="4"/>
  <c r="AJ183" i="4"/>
  <c r="AR183" i="4"/>
  <c r="AZ183" i="4"/>
  <c r="BH183" i="4"/>
  <c r="BP183" i="4"/>
  <c r="BX183" i="4"/>
  <c r="CF183" i="4"/>
  <c r="CN183" i="4"/>
  <c r="CV183" i="4"/>
  <c r="AK183" i="4"/>
  <c r="N183" i="4"/>
  <c r="V183" i="4"/>
  <c r="AD183" i="4"/>
  <c r="AL183" i="4"/>
  <c r="AT183" i="4"/>
  <c r="BB183" i="4"/>
  <c r="BJ183" i="4"/>
  <c r="BR183" i="4"/>
  <c r="BZ183" i="4"/>
  <c r="CH183" i="4"/>
  <c r="CP183" i="4"/>
  <c r="CX183" i="4"/>
  <c r="DF183" i="4"/>
  <c r="DN183" i="4"/>
  <c r="P183" i="4"/>
  <c r="X183" i="4"/>
  <c r="AF183" i="4"/>
  <c r="AN183" i="4"/>
  <c r="AV183" i="4"/>
  <c r="BD183" i="4"/>
  <c r="BL183" i="4"/>
  <c r="BT183" i="4"/>
  <c r="CB183" i="4"/>
  <c r="CJ183" i="4"/>
  <c r="CR183" i="4"/>
  <c r="CZ183" i="4"/>
  <c r="DH183" i="4"/>
  <c r="DP183" i="4"/>
  <c r="R183" i="4"/>
  <c r="Z183" i="4"/>
  <c r="AH183" i="4"/>
  <c r="AP183" i="4"/>
  <c r="AX183" i="4"/>
  <c r="BF183" i="4"/>
  <c r="BN183" i="4"/>
  <c r="BV183" i="4"/>
  <c r="CD183" i="4"/>
  <c r="CL183" i="4"/>
  <c r="CT183" i="4"/>
  <c r="DB183" i="4"/>
  <c r="DJ183" i="4"/>
  <c r="DR183" i="4"/>
  <c r="Y183" i="4"/>
  <c r="AY183" i="4"/>
  <c r="BK183" i="4"/>
  <c r="CK183" i="4"/>
  <c r="CY183" i="4"/>
  <c r="DO183" i="4"/>
  <c r="DS183" i="4"/>
  <c r="AA183" i="4"/>
  <c r="AM183" i="4"/>
  <c r="BM183" i="4"/>
  <c r="CM183" i="4"/>
  <c r="DA183" i="4"/>
  <c r="DQ183" i="4"/>
  <c r="P196" i="4"/>
  <c r="X196" i="4"/>
  <c r="AF196" i="4"/>
  <c r="AN196" i="4"/>
  <c r="AV196" i="4"/>
  <c r="BD196" i="4"/>
  <c r="BL196" i="4"/>
  <c r="BT196" i="4"/>
  <c r="CB196" i="4"/>
  <c r="CJ196" i="4"/>
  <c r="CR196" i="4"/>
  <c r="CZ196" i="4"/>
  <c r="DH196" i="4"/>
  <c r="DP196" i="4"/>
  <c r="O209" i="4"/>
  <c r="W209" i="4"/>
  <c r="AE209" i="4"/>
  <c r="AM209" i="4"/>
  <c r="AU209" i="4"/>
  <c r="BC209" i="4"/>
  <c r="BK209" i="4"/>
  <c r="BS209" i="4"/>
  <c r="CA209" i="4"/>
  <c r="CI209" i="4"/>
  <c r="DD183" i="4"/>
  <c r="DL183" i="4"/>
  <c r="O183" i="4"/>
  <c r="AO183" i="4"/>
  <c r="BO183" i="4"/>
  <c r="CA183" i="4"/>
  <c r="DC183" i="4"/>
  <c r="AS183" i="4"/>
  <c r="BA183" i="4"/>
  <c r="BI183" i="4"/>
  <c r="BQ183" i="4"/>
  <c r="BY183" i="4"/>
  <c r="CG183" i="4"/>
  <c r="CO183" i="4"/>
  <c r="CW183" i="4"/>
  <c r="DE183" i="4"/>
  <c r="DM183" i="4"/>
  <c r="Q183" i="4"/>
  <c r="AQ183" i="4"/>
  <c r="CC183" i="4"/>
  <c r="R196" i="4"/>
  <c r="Z196" i="4"/>
  <c r="AH196" i="4"/>
  <c r="AP196" i="4"/>
  <c r="AX196" i="4"/>
  <c r="BF196" i="4"/>
  <c r="BN196" i="4"/>
  <c r="BV196" i="4"/>
  <c r="CD196" i="4"/>
  <c r="CL196" i="4"/>
  <c r="CT196" i="4"/>
  <c r="DB196" i="4"/>
  <c r="DJ196" i="4"/>
  <c r="DR196" i="4"/>
  <c r="S183" i="4"/>
  <c r="CE183" i="4"/>
  <c r="BG183" i="4"/>
  <c r="B188" i="4"/>
  <c r="C188" i="4" s="1"/>
  <c r="T196" i="4"/>
  <c r="AB196" i="4"/>
  <c r="AZ196" i="4"/>
  <c r="BH196" i="4"/>
  <c r="CF196" i="4"/>
  <c r="K183" i="4"/>
  <c r="AI183" i="4"/>
  <c r="CU183" i="4"/>
  <c r="DK183" i="4"/>
  <c r="B175" i="4"/>
  <c r="C175" i="4" s="1"/>
  <c r="N196" i="4"/>
  <c r="V196" i="4"/>
  <c r="AD196" i="4"/>
  <c r="AL196" i="4"/>
  <c r="AT196" i="4"/>
  <c r="BB196" i="4"/>
  <c r="BJ196" i="4"/>
  <c r="BR196" i="4"/>
  <c r="BZ196" i="4"/>
  <c r="CP196" i="4"/>
  <c r="CX196" i="4"/>
  <c r="DF196" i="4"/>
  <c r="DN196" i="4"/>
  <c r="DL196" i="4"/>
  <c r="M196" i="4"/>
  <c r="U196" i="4"/>
  <c r="AC196" i="4"/>
  <c r="AK196" i="4"/>
  <c r="AS196" i="4"/>
  <c r="BA196" i="4"/>
  <c r="BI196" i="4"/>
  <c r="BQ196" i="4"/>
  <c r="BY196" i="4"/>
  <c r="CG196" i="4"/>
  <c r="CO196" i="4"/>
  <c r="CW196" i="4"/>
  <c r="DE196" i="4"/>
  <c r="DM196" i="4"/>
  <c r="D194" i="4"/>
  <c r="D195" i="4" s="1"/>
  <c r="E193" i="4" s="1"/>
  <c r="CH196" i="4"/>
  <c r="L209" i="4"/>
  <c r="T209" i="4"/>
  <c r="AJ209" i="4"/>
  <c r="AZ209" i="4"/>
  <c r="BH209" i="4"/>
  <c r="BP209" i="4"/>
  <c r="BX209" i="4"/>
  <c r="CF209" i="4"/>
  <c r="CV209" i="4"/>
  <c r="DL209" i="4"/>
  <c r="CN196" i="4"/>
  <c r="M209" i="4"/>
  <c r="B201" i="4"/>
  <c r="C201" i="4" s="1"/>
  <c r="U209" i="4"/>
  <c r="AC209" i="4"/>
  <c r="AK209" i="4"/>
  <c r="AS209" i="4"/>
  <c r="BA209" i="4"/>
  <c r="BI209" i="4"/>
  <c r="BQ209" i="4"/>
  <c r="BY209" i="4"/>
  <c r="CG209" i="4"/>
  <c r="CO209" i="4"/>
  <c r="CW209" i="4"/>
  <c r="DE209" i="4"/>
  <c r="DM209" i="4"/>
  <c r="O196" i="4"/>
  <c r="W196" i="4"/>
  <c r="AE196" i="4"/>
  <c r="AM196" i="4"/>
  <c r="AU196" i="4"/>
  <c r="BC196" i="4"/>
  <c r="BK196" i="4"/>
  <c r="BS196" i="4"/>
  <c r="CA196" i="4"/>
  <c r="CI196" i="4"/>
  <c r="CQ196" i="4"/>
  <c r="CY196" i="4"/>
  <c r="DG196" i="4"/>
  <c r="DO196" i="4"/>
  <c r="N209" i="4"/>
  <c r="AT209" i="4"/>
  <c r="BZ209" i="4"/>
  <c r="DF209" i="4"/>
  <c r="CQ209" i="4"/>
  <c r="CY209" i="4"/>
  <c r="DG209" i="4"/>
  <c r="DO209" i="4"/>
  <c r="Q196" i="4"/>
  <c r="Y196" i="4"/>
  <c r="AG196" i="4"/>
  <c r="AO196" i="4"/>
  <c r="AW196" i="4"/>
  <c r="BE196" i="4"/>
  <c r="BM196" i="4"/>
  <c r="BU196" i="4"/>
  <c r="CC196" i="4"/>
  <c r="CK196" i="4"/>
  <c r="CS196" i="4"/>
  <c r="DA196" i="4"/>
  <c r="DI196" i="4"/>
  <c r="DQ196" i="4"/>
  <c r="K196" i="4"/>
  <c r="S196" i="4"/>
  <c r="AA196" i="4"/>
  <c r="AI196" i="4"/>
  <c r="AQ196" i="4"/>
  <c r="AY196" i="4"/>
  <c r="BG196" i="4"/>
  <c r="BO196" i="4"/>
  <c r="BW196" i="4"/>
  <c r="CE196" i="4"/>
  <c r="CM196" i="4"/>
  <c r="CU196" i="4"/>
  <c r="DC196" i="4"/>
  <c r="DK196" i="4"/>
  <c r="DS196" i="4"/>
  <c r="Q209" i="4"/>
  <c r="Y209" i="4"/>
  <c r="AG209" i="4"/>
  <c r="AO209" i="4"/>
  <c r="AW209" i="4"/>
  <c r="BE209" i="4"/>
  <c r="BM209" i="4"/>
  <c r="BU209" i="4"/>
  <c r="CC209" i="4"/>
  <c r="CK209" i="4"/>
  <c r="CS209" i="4"/>
  <c r="DA209" i="4"/>
  <c r="DI209" i="4"/>
  <c r="DQ209" i="4"/>
  <c r="AL209" i="4"/>
  <c r="BR209" i="4"/>
  <c r="CX209" i="4"/>
  <c r="G222" i="4"/>
  <c r="O222" i="4"/>
  <c r="W222" i="4"/>
  <c r="AE222" i="4"/>
  <c r="AM222" i="4"/>
  <c r="AU222" i="4"/>
  <c r="BC222" i="4"/>
  <c r="BK222" i="4"/>
  <c r="BS222" i="4"/>
  <c r="CA222" i="4"/>
  <c r="CI222" i="4"/>
  <c r="CQ222" i="4"/>
  <c r="CY222" i="4"/>
  <c r="DG222" i="4"/>
  <c r="DO222" i="4"/>
  <c r="R209" i="4"/>
  <c r="Z209" i="4"/>
  <c r="AH209" i="4"/>
  <c r="AP209" i="4"/>
  <c r="AX209" i="4"/>
  <c r="BF209" i="4"/>
  <c r="BN209" i="4"/>
  <c r="BV209" i="4"/>
  <c r="CD209" i="4"/>
  <c r="CL209" i="4"/>
  <c r="CT209" i="4"/>
  <c r="DB209" i="4"/>
  <c r="DJ209" i="4"/>
  <c r="DR209" i="4"/>
  <c r="AR209" i="4"/>
  <c r="DD209" i="4"/>
  <c r="K209" i="4"/>
  <c r="S209" i="4"/>
  <c r="AA209" i="4"/>
  <c r="AI209" i="4"/>
  <c r="AQ209" i="4"/>
  <c r="AY209" i="4"/>
  <c r="BG209" i="4"/>
  <c r="BO209" i="4"/>
  <c r="BW209" i="4"/>
  <c r="CE209" i="4"/>
  <c r="CM209" i="4"/>
  <c r="CU209" i="4"/>
  <c r="DC209" i="4"/>
  <c r="DK209" i="4"/>
  <c r="DS209" i="4"/>
  <c r="D207" i="4"/>
  <c r="D208" i="4" s="1"/>
  <c r="E206" i="4" s="1"/>
  <c r="K222" i="4"/>
  <c r="S222" i="4"/>
  <c r="AA222" i="4"/>
  <c r="AI222" i="4"/>
  <c r="AQ222" i="4"/>
  <c r="AY222" i="4"/>
  <c r="BG222" i="4"/>
  <c r="BO222" i="4"/>
  <c r="BW222" i="4"/>
  <c r="CE222" i="4"/>
  <c r="CM222" i="4"/>
  <c r="CU222" i="4"/>
  <c r="DC222" i="4"/>
  <c r="DK222" i="4"/>
  <c r="DS222" i="4"/>
  <c r="AB209" i="4"/>
  <c r="CN209" i="4"/>
  <c r="P209" i="4"/>
  <c r="X209" i="4"/>
  <c r="AF209" i="4"/>
  <c r="AN209" i="4"/>
  <c r="AV209" i="4"/>
  <c r="BD209" i="4"/>
  <c r="BL209" i="4"/>
  <c r="BT209" i="4"/>
  <c r="CB209" i="4"/>
  <c r="CJ209" i="4"/>
  <c r="CR209" i="4"/>
  <c r="CZ209" i="4"/>
  <c r="DH209" i="4"/>
  <c r="DP209" i="4"/>
  <c r="E222" i="4"/>
  <c r="M222" i="4"/>
  <c r="U222" i="4"/>
  <c r="AC222" i="4"/>
  <c r="AK222" i="4"/>
  <c r="AS222" i="4"/>
  <c r="BA222" i="4"/>
  <c r="BI222" i="4"/>
  <c r="BQ222" i="4"/>
  <c r="BY222" i="4"/>
  <c r="CG222" i="4"/>
  <c r="CO222" i="4"/>
  <c r="CW222" i="4"/>
  <c r="DE222" i="4"/>
  <c r="DM222" i="4"/>
  <c r="F222" i="4"/>
  <c r="N222" i="4"/>
  <c r="V222" i="4"/>
  <c r="AD222" i="4"/>
  <c r="AL222" i="4"/>
  <c r="AT222" i="4"/>
  <c r="BB222" i="4"/>
  <c r="BJ222" i="4"/>
  <c r="BR222" i="4"/>
  <c r="BZ222" i="4"/>
  <c r="CH222" i="4"/>
  <c r="CP222" i="4"/>
  <c r="CX222" i="4"/>
  <c r="DF222" i="4"/>
  <c r="DN222" i="4"/>
  <c r="R234" i="4"/>
  <c r="Z234" i="4"/>
  <c r="AH234" i="4"/>
  <c r="AP234" i="4"/>
  <c r="AX234" i="4"/>
  <c r="BF234" i="4"/>
  <c r="BN234" i="4"/>
  <c r="BV234" i="4"/>
  <c r="CD234" i="4"/>
  <c r="CL234" i="4"/>
  <c r="CT234" i="4"/>
  <c r="DB234" i="4"/>
  <c r="DJ234" i="4"/>
  <c r="DR234" i="4"/>
  <c r="H222" i="4"/>
  <c r="P222" i="4"/>
  <c r="X222" i="4"/>
  <c r="AF222" i="4"/>
  <c r="AN222" i="4"/>
  <c r="AV222" i="4"/>
  <c r="BD222" i="4"/>
  <c r="BL222" i="4"/>
  <c r="BT222" i="4"/>
  <c r="CB222" i="4"/>
  <c r="CJ222" i="4"/>
  <c r="CR222" i="4"/>
  <c r="CZ222" i="4"/>
  <c r="DH222" i="4"/>
  <c r="DP222" i="4"/>
  <c r="J222" i="4"/>
  <c r="R222" i="4"/>
  <c r="Z222" i="4"/>
  <c r="AH222" i="4"/>
  <c r="AP222" i="4"/>
  <c r="AX222" i="4"/>
  <c r="BF222" i="4"/>
  <c r="BN222" i="4"/>
  <c r="BV222" i="4"/>
  <c r="CD222" i="4"/>
  <c r="CL222" i="4"/>
  <c r="CT222" i="4"/>
  <c r="DB222" i="4"/>
  <c r="DJ222" i="4"/>
  <c r="DR222" i="4"/>
  <c r="D222" i="4"/>
  <c r="L222" i="4"/>
  <c r="T222" i="4"/>
  <c r="AB222" i="4"/>
  <c r="AJ222" i="4"/>
  <c r="AR222" i="4"/>
  <c r="AZ222" i="4"/>
  <c r="BH222" i="4"/>
  <c r="BP222" i="4"/>
  <c r="BX222" i="4"/>
  <c r="CF222" i="4"/>
  <c r="CN222" i="4"/>
  <c r="CV222" i="4"/>
  <c r="DD222" i="4"/>
  <c r="DL222" i="4"/>
  <c r="L234" i="4"/>
  <c r="T234" i="4"/>
  <c r="AB234" i="4"/>
  <c r="AJ234" i="4"/>
  <c r="AR234" i="4"/>
  <c r="AZ234" i="4"/>
  <c r="BH234" i="4"/>
  <c r="BP234" i="4"/>
  <c r="BX234" i="4"/>
  <c r="CF234" i="4"/>
  <c r="CN234" i="4"/>
  <c r="CV234" i="4"/>
  <c r="DD234" i="4"/>
  <c r="DL234" i="4"/>
  <c r="B214" i="4"/>
  <c r="C214" i="4" s="1"/>
  <c r="D217" i="4"/>
  <c r="D218" i="4" s="1"/>
  <c r="M234" i="4"/>
  <c r="U234" i="4"/>
  <c r="AC234" i="4"/>
  <c r="AK234" i="4"/>
  <c r="AS234" i="4"/>
  <c r="BA234" i="4"/>
  <c r="BI234" i="4"/>
  <c r="BQ234" i="4"/>
  <c r="BY234" i="4"/>
  <c r="CG234" i="4"/>
  <c r="CO234" i="4"/>
  <c r="CW234" i="4"/>
  <c r="DE234" i="4"/>
  <c r="DM234" i="4"/>
  <c r="N234" i="4"/>
  <c r="V234" i="4"/>
  <c r="AD234" i="4"/>
  <c r="AL234" i="4"/>
  <c r="AT234" i="4"/>
  <c r="BB234" i="4"/>
  <c r="BJ234" i="4"/>
  <c r="BR234" i="4"/>
  <c r="BZ234" i="4"/>
  <c r="CH234" i="4"/>
  <c r="CP234" i="4"/>
  <c r="CX234" i="4"/>
  <c r="DF234" i="4"/>
  <c r="DN234" i="4"/>
  <c r="O234" i="4"/>
  <c r="W234" i="4"/>
  <c r="AE234" i="4"/>
  <c r="AM234" i="4"/>
  <c r="AU234" i="4"/>
  <c r="BC234" i="4"/>
  <c r="BK234" i="4"/>
  <c r="BS234" i="4"/>
  <c r="CA234" i="4"/>
  <c r="CI234" i="4"/>
  <c r="CQ234" i="4"/>
  <c r="CY234" i="4"/>
  <c r="DG234" i="4"/>
  <c r="DO234" i="4"/>
  <c r="P234" i="4"/>
  <c r="X234" i="4"/>
  <c r="AF234" i="4"/>
  <c r="AN234" i="4"/>
  <c r="AV234" i="4"/>
  <c r="BD234" i="4"/>
  <c r="BL234" i="4"/>
  <c r="BT234" i="4"/>
  <c r="CB234" i="4"/>
  <c r="CJ234" i="4"/>
  <c r="CR234" i="4"/>
  <c r="CZ234" i="4"/>
  <c r="DH234" i="4"/>
  <c r="DP234" i="4"/>
  <c r="B226" i="4"/>
  <c r="C226" i="4" s="1"/>
  <c r="Q234" i="4"/>
  <c r="Y234" i="4"/>
  <c r="AG234" i="4"/>
  <c r="AO234" i="4"/>
  <c r="AW234" i="4"/>
  <c r="BE234" i="4"/>
  <c r="BM234" i="4"/>
  <c r="BU234" i="4"/>
  <c r="CC234" i="4"/>
  <c r="CK234" i="4"/>
  <c r="CS234" i="4"/>
  <c r="DA234" i="4"/>
  <c r="DI234" i="4"/>
  <c r="DQ234" i="4"/>
  <c r="K234" i="4"/>
  <c r="S234" i="4"/>
  <c r="AA234" i="4"/>
  <c r="AI234" i="4"/>
  <c r="AQ234" i="4"/>
  <c r="AY234" i="4"/>
  <c r="BG234" i="4"/>
  <c r="BO234" i="4"/>
  <c r="BW234" i="4"/>
  <c r="CE234" i="4"/>
  <c r="CM234" i="4"/>
  <c r="CU234" i="4"/>
  <c r="DC234" i="4"/>
  <c r="DK234" i="4"/>
  <c r="DS234" i="4"/>
  <c r="J246" i="4"/>
  <c r="R246" i="4"/>
  <c r="Z246" i="4"/>
  <c r="AP246" i="4"/>
  <c r="BO246" i="4"/>
  <c r="F246" i="4"/>
  <c r="N246" i="4"/>
  <c r="V246" i="4"/>
  <c r="AD246" i="4"/>
  <c r="AL246" i="4"/>
  <c r="AT246" i="4"/>
  <c r="BB246" i="4"/>
  <c r="BJ246" i="4"/>
  <c r="BR246" i="4"/>
  <c r="BZ246" i="4"/>
  <c r="CH246" i="4"/>
  <c r="CP246" i="4"/>
  <c r="CX246" i="4"/>
  <c r="DF246" i="4"/>
  <c r="DN246" i="4"/>
  <c r="CA246" i="4"/>
  <c r="CQ246" i="4"/>
  <c r="H246" i="4"/>
  <c r="P246" i="4"/>
  <c r="X246" i="4"/>
  <c r="AF246" i="4"/>
  <c r="AN246" i="4"/>
  <c r="AV246" i="4"/>
  <c r="BD246" i="4"/>
  <c r="BL246" i="4"/>
  <c r="BT246" i="4"/>
  <c r="CB246" i="4"/>
  <c r="CJ246" i="4"/>
  <c r="CR246" i="4"/>
  <c r="CZ246" i="4"/>
  <c r="DH246" i="4"/>
  <c r="DP246" i="4"/>
  <c r="B238" i="4"/>
  <c r="C238" i="4" s="1"/>
  <c r="AX246" i="4"/>
  <c r="BF246" i="4"/>
  <c r="BN246" i="4"/>
  <c r="BV246" i="4"/>
  <c r="CD246" i="4"/>
  <c r="CL246" i="4"/>
  <c r="CT246" i="4"/>
  <c r="DB246" i="4"/>
  <c r="DJ246" i="4"/>
  <c r="DR246" i="4"/>
  <c r="B244" i="4"/>
  <c r="C244" i="4" s="1"/>
  <c r="AB246" i="4"/>
  <c r="K246" i="4"/>
  <c r="S246" i="4"/>
  <c r="AA246" i="4"/>
  <c r="AI246" i="4"/>
  <c r="AQ246" i="4"/>
  <c r="BG246" i="4"/>
  <c r="BW246" i="4"/>
  <c r="CM246" i="4"/>
  <c r="DC246" i="4"/>
  <c r="DS246" i="4"/>
  <c r="AH246" i="4"/>
  <c r="AZ246" i="4"/>
  <c r="BH246" i="4"/>
  <c r="BP246" i="4"/>
  <c r="BX246" i="4"/>
  <c r="CF246" i="4"/>
  <c r="CN246" i="4"/>
  <c r="CV246" i="4"/>
  <c r="DD246" i="4"/>
  <c r="DL246" i="4"/>
  <c r="D246" i="4"/>
  <c r="AJ246" i="4"/>
  <c r="CE246" i="4"/>
  <c r="E246" i="4"/>
  <c r="M246" i="4"/>
  <c r="U246" i="4"/>
  <c r="AC246" i="4"/>
  <c r="AK246" i="4"/>
  <c r="AS246" i="4"/>
  <c r="BI246" i="4"/>
  <c r="BQ246" i="4"/>
  <c r="BY246" i="4"/>
  <c r="CG246" i="4"/>
  <c r="CO246" i="4"/>
  <c r="CW246" i="4"/>
  <c r="DE246" i="4"/>
  <c r="DM246" i="4"/>
  <c r="G246" i="4"/>
  <c r="O246" i="4"/>
  <c r="W246" i="4"/>
  <c r="AE246" i="4"/>
  <c r="AM246" i="4"/>
  <c r="AU246" i="4"/>
  <c r="BC246" i="4"/>
  <c r="BS246" i="4"/>
  <c r="CI246" i="4"/>
  <c r="CY246" i="4"/>
  <c r="DO246" i="4"/>
  <c r="AY246" i="4"/>
  <c r="DG246" i="4"/>
  <c r="I246" i="4"/>
  <c r="Q246" i="4"/>
  <c r="Y246" i="4"/>
  <c r="AG246" i="4"/>
  <c r="AO246" i="4"/>
  <c r="AW246" i="4"/>
  <c r="BE246" i="4"/>
  <c r="BM246" i="4"/>
  <c r="BU246" i="4"/>
  <c r="CC246" i="4"/>
  <c r="CK246" i="4"/>
  <c r="CS246" i="4"/>
  <c r="DA246" i="4"/>
  <c r="DI246" i="4"/>
  <c r="DQ246" i="4"/>
  <c r="BK246" i="4"/>
  <c r="L3" i="6"/>
  <c r="P133" i="11"/>
  <c r="H5" i="6"/>
  <c r="G5" i="6"/>
  <c r="H3" i="7"/>
  <c r="D17" i="10"/>
  <c r="I17" i="10"/>
  <c r="G4" i="7"/>
  <c r="F5" i="7" s="1"/>
  <c r="E17" i="10"/>
  <c r="M17" i="10"/>
  <c r="Q30" i="10"/>
  <c r="S26" i="10"/>
  <c r="S30" i="10" s="1"/>
  <c r="H4" i="7"/>
  <c r="N17" i="10"/>
  <c r="Q24" i="10"/>
  <c r="S20" i="10"/>
  <c r="S24" i="10" s="1"/>
  <c r="G17" i="10"/>
  <c r="O17" i="10"/>
  <c r="F4" i="8"/>
  <c r="I3" i="8"/>
  <c r="Q9" i="10"/>
  <c r="S9" i="10" s="1"/>
  <c r="Q11" i="10"/>
  <c r="S11" i="10" s="1"/>
  <c r="H9" i="10"/>
  <c r="H24" i="10"/>
  <c r="H14" i="10"/>
  <c r="Q14" i="10" s="1"/>
  <c r="L253" i="4" l="1"/>
  <c r="AP253" i="4"/>
  <c r="BB253" i="4"/>
  <c r="CH253" i="4"/>
  <c r="CV253" i="4"/>
  <c r="O253" i="4"/>
  <c r="DN253" i="4"/>
  <c r="DF253" i="4"/>
  <c r="CX253" i="4"/>
  <c r="CP253" i="4"/>
  <c r="D223" i="4"/>
  <c r="D224" i="4" s="1"/>
  <c r="E216" i="4"/>
  <c r="S14" i="10"/>
  <c r="Q17" i="10"/>
  <c r="S17" i="10" s="1"/>
  <c r="E194" i="4"/>
  <c r="E195" i="4" s="1"/>
  <c r="F193" i="4" s="1"/>
  <c r="F6" i="6"/>
  <c r="I5" i="6"/>
  <c r="J5" i="6" s="1"/>
  <c r="E207" i="4"/>
  <c r="E208" i="4" s="1"/>
  <c r="F206" i="4" s="1"/>
  <c r="I4" i="7"/>
  <c r="L19" i="4"/>
  <c r="L28" i="4" s="1"/>
  <c r="L20" i="4"/>
  <c r="L46" i="4" s="1"/>
  <c r="I5" i="7"/>
  <c r="G5" i="7"/>
  <c r="F6" i="7" s="1"/>
  <c r="H5" i="7"/>
  <c r="F77" i="4"/>
  <c r="F78" i="4" s="1"/>
  <c r="G76" i="4" s="1"/>
  <c r="W42" i="4"/>
  <c r="K42" i="4"/>
  <c r="F181" i="4"/>
  <c r="D117" i="4"/>
  <c r="E115" i="4" s="1"/>
  <c r="E90" i="4"/>
  <c r="E91" i="4" s="1"/>
  <c r="F89" i="4" s="1"/>
  <c r="J3" i="8"/>
  <c r="K24" i="4"/>
  <c r="B222" i="4"/>
  <c r="C222" i="4" s="1"/>
  <c r="D143" i="4"/>
  <c r="E141" i="4" s="1"/>
  <c r="F168" i="4"/>
  <c r="F169" i="4" s="1"/>
  <c r="G167" i="4" s="1"/>
  <c r="H4" i="8"/>
  <c r="G4" i="8"/>
  <c r="F5" i="8" s="1"/>
  <c r="D242" i="4"/>
  <c r="E155" i="4"/>
  <c r="E156" i="4" s="1"/>
  <c r="F154" i="4" s="1"/>
  <c r="E129" i="4"/>
  <c r="E130" i="4" s="1"/>
  <c r="F128" i="4" s="1"/>
  <c r="H17" i="10"/>
  <c r="B246" i="4"/>
  <c r="C246" i="4" s="1"/>
  <c r="F103" i="4"/>
  <c r="B144" i="4"/>
  <c r="C144" i="4" s="1"/>
  <c r="B209" i="4"/>
  <c r="C209" i="4" s="1"/>
  <c r="D61" i="4"/>
  <c r="B59" i="4"/>
  <c r="C59" i="4" s="1"/>
  <c r="D152" i="4"/>
  <c r="B150" i="4"/>
  <c r="C150" i="4" s="1"/>
  <c r="B118" i="4"/>
  <c r="C118" i="4" s="1"/>
  <c r="K13" i="4"/>
  <c r="DI253" i="4"/>
  <c r="CC253" i="4"/>
  <c r="AW253" i="4"/>
  <c r="Q253" i="4"/>
  <c r="P253" i="4"/>
  <c r="BK253" i="4"/>
  <c r="CG253" i="4"/>
  <c r="M253" i="4"/>
  <c r="B45" i="4"/>
  <c r="C45" i="4" s="1"/>
  <c r="D165" i="4"/>
  <c r="B163" i="4"/>
  <c r="C163" i="4" s="1"/>
  <c r="AY253" i="4"/>
  <c r="DH253" i="4"/>
  <c r="CB253" i="4"/>
  <c r="AN253" i="4"/>
  <c r="CQ253" i="4"/>
  <c r="G253" i="4"/>
  <c r="AS253" i="4"/>
  <c r="BP253" i="4"/>
  <c r="K253" i="4"/>
  <c r="T253" i="4"/>
  <c r="Z253" i="4"/>
  <c r="V253" i="4"/>
  <c r="BG253" i="4"/>
  <c r="BH253" i="4"/>
  <c r="BW253" i="4"/>
  <c r="DL253" i="4"/>
  <c r="B79" i="4"/>
  <c r="C79" i="4" s="1"/>
  <c r="B234" i="4"/>
  <c r="C234" i="4" s="1"/>
  <c r="D87" i="4"/>
  <c r="B85" i="4"/>
  <c r="C85" i="4" s="1"/>
  <c r="B176" i="4"/>
  <c r="C176" i="4" s="1"/>
  <c r="D178" i="4"/>
  <c r="AK253" i="4"/>
  <c r="AT253" i="4"/>
  <c r="CE253" i="4"/>
  <c r="E64" i="4"/>
  <c r="E65" i="4" s="1"/>
  <c r="F63" i="4" s="1"/>
  <c r="DD253" i="4"/>
  <c r="B105" i="4"/>
  <c r="C105" i="4" s="1"/>
  <c r="B131" i="4"/>
  <c r="C131" i="4" s="1"/>
  <c r="DR253" i="4"/>
  <c r="DA253" i="4"/>
  <c r="BU253" i="4"/>
  <c r="AO253" i="4"/>
  <c r="I253" i="4"/>
  <c r="DG253" i="4"/>
  <c r="AU253" i="4"/>
  <c r="BQ253" i="4"/>
  <c r="B72" i="4"/>
  <c r="C72" i="4" s="1"/>
  <c r="D74" i="4"/>
  <c r="B189" i="4"/>
  <c r="C189" i="4" s="1"/>
  <c r="D191" i="4"/>
  <c r="CD253" i="4"/>
  <c r="CZ253" i="4"/>
  <c r="BT253" i="4"/>
  <c r="X253" i="4"/>
  <c r="CA253" i="4"/>
  <c r="DE253" i="4"/>
  <c r="U253" i="4"/>
  <c r="AB253" i="4"/>
  <c r="CT253" i="4"/>
  <c r="CM253" i="4"/>
  <c r="BZ253" i="4"/>
  <c r="N253" i="4"/>
  <c r="BX253" i="4"/>
  <c r="AQ253" i="4"/>
  <c r="AI253" i="4"/>
  <c r="X20" i="4"/>
  <c r="X46" i="4" s="1"/>
  <c r="X19" i="4"/>
  <c r="X28" i="4" s="1"/>
  <c r="AI12" i="4"/>
  <c r="AI14" i="4" s="1"/>
  <c r="AU9" i="4"/>
  <c r="B92" i="4"/>
  <c r="C92" i="4" s="1"/>
  <c r="B170" i="4"/>
  <c r="C170" i="4" s="1"/>
  <c r="DJ253" i="4"/>
  <c r="B98" i="4"/>
  <c r="C98" i="4" s="1"/>
  <c r="D100" i="4"/>
  <c r="D204" i="4"/>
  <c r="B202" i="4"/>
  <c r="C202" i="4" s="1"/>
  <c r="BS253" i="4"/>
  <c r="BR253" i="4"/>
  <c r="AL253" i="4"/>
  <c r="F253" i="4"/>
  <c r="CW253" i="4"/>
  <c r="AA253" i="4"/>
  <c r="CN253" i="4"/>
  <c r="B196" i="4"/>
  <c r="C196" i="4" s="1"/>
  <c r="DB253" i="4"/>
  <c r="CS253" i="4"/>
  <c r="BM253" i="4"/>
  <c r="AG253" i="4"/>
  <c r="BD253" i="4"/>
  <c r="CY253" i="4"/>
  <c r="W253" i="4"/>
  <c r="BA253" i="4"/>
  <c r="B5" i="1"/>
  <c r="C6" i="4"/>
  <c r="B124" i="4"/>
  <c r="C124" i="4" s="1"/>
  <c r="D126" i="4"/>
  <c r="B215" i="4"/>
  <c r="C215" i="4" s="1"/>
  <c r="AH253" i="4"/>
  <c r="CR253" i="4"/>
  <c r="BL253" i="4"/>
  <c r="H253" i="4"/>
  <c r="BC253" i="4"/>
  <c r="BY253" i="4"/>
  <c r="E253" i="4"/>
  <c r="CU253" i="4"/>
  <c r="AX253" i="4"/>
  <c r="S253" i="4"/>
  <c r="AJ253" i="4"/>
  <c r="BF253" i="4"/>
  <c r="DS253" i="4"/>
  <c r="BN253" i="4"/>
  <c r="CF253" i="4"/>
  <c r="B66" i="4"/>
  <c r="C66" i="4" s="1"/>
  <c r="B183" i="4"/>
  <c r="C183" i="4" s="1"/>
  <c r="R23" i="1"/>
  <c r="B7" i="4"/>
  <c r="B111" i="4"/>
  <c r="C111" i="4" s="1"/>
  <c r="D113" i="4"/>
  <c r="D229" i="4"/>
  <c r="B227" i="4"/>
  <c r="C227" i="4" s="1"/>
  <c r="AM253" i="4"/>
  <c r="BJ253" i="4"/>
  <c r="AD253" i="4"/>
  <c r="AZ253" i="4"/>
  <c r="CL253" i="4"/>
  <c r="B157" i="4"/>
  <c r="C157" i="4" s="1"/>
  <c r="DQ253" i="4"/>
  <c r="CK253" i="4"/>
  <c r="BE253" i="4"/>
  <c r="Y253" i="4"/>
  <c r="AF253" i="4"/>
  <c r="CI253" i="4"/>
  <c r="DM253" i="4"/>
  <c r="AC253" i="4"/>
  <c r="D253" i="4"/>
  <c r="B27" i="4"/>
  <c r="C27" i="4" s="1"/>
  <c r="B137" i="4"/>
  <c r="C137" i="4" s="1"/>
  <c r="D139" i="4"/>
  <c r="B239" i="4"/>
  <c r="C239" i="4" s="1"/>
  <c r="DP253" i="4"/>
  <c r="CJ253" i="4"/>
  <c r="AV253" i="4"/>
  <c r="DO253" i="4"/>
  <c r="AE253" i="4"/>
  <c r="BI253" i="4"/>
  <c r="BO253" i="4"/>
  <c r="AR253" i="4"/>
  <c r="BV253" i="4"/>
  <c r="CO253" i="4"/>
  <c r="DC253" i="4"/>
  <c r="J253" i="4"/>
  <c r="DK253" i="4"/>
  <c r="R253" i="4"/>
  <c r="AI13" i="4" l="1"/>
  <c r="G77" i="4"/>
  <c r="G78" i="4" s="1"/>
  <c r="H76" i="4" s="1"/>
  <c r="F194" i="4"/>
  <c r="G168" i="4"/>
  <c r="F90" i="4"/>
  <c r="F91" i="4" s="1"/>
  <c r="G89" i="4" s="1"/>
  <c r="D179" i="4"/>
  <c r="D62" i="4"/>
  <c r="I4" i="8"/>
  <c r="H6" i="6"/>
  <c r="G6" i="6"/>
  <c r="F7" i="6" s="1"/>
  <c r="AJ19" i="4"/>
  <c r="AJ28" i="4" s="1"/>
  <c r="AJ20" i="4"/>
  <c r="AJ46" i="4" s="1"/>
  <c r="AU12" i="4"/>
  <c r="AU14" i="4" s="1"/>
  <c r="BG9" i="4"/>
  <c r="F104" i="4"/>
  <c r="G102" i="4" s="1"/>
  <c r="D247" i="4"/>
  <c r="E240" i="4"/>
  <c r="B253" i="4"/>
  <c r="D230" i="4"/>
  <c r="K43" i="4"/>
  <c r="K44" i="4" s="1"/>
  <c r="D114" i="4"/>
  <c r="D192" i="4"/>
  <c r="D88" i="4"/>
  <c r="D166" i="4"/>
  <c r="F129" i="4"/>
  <c r="F130" i="4" s="1"/>
  <c r="G128" i="4" s="1"/>
  <c r="AI42" i="4"/>
  <c r="W43" i="4"/>
  <c r="W44" i="4" s="1"/>
  <c r="H6" i="7"/>
  <c r="G6" i="7"/>
  <c r="F7" i="7" s="1"/>
  <c r="E142" i="4"/>
  <c r="E116" i="4"/>
  <c r="E117" i="4" s="1"/>
  <c r="F115" i="4" s="1"/>
  <c r="J5" i="7"/>
  <c r="L5" i="6" s="1"/>
  <c r="M9" i="4"/>
  <c r="J4" i="7"/>
  <c r="L9" i="4"/>
  <c r="D5" i="1"/>
  <c r="E12" i="1"/>
  <c r="C7" i="4"/>
  <c r="D205" i="4"/>
  <c r="D75" i="4"/>
  <c r="F182" i="4"/>
  <c r="G180" i="4" s="1"/>
  <c r="D140" i="4"/>
  <c r="D127" i="4"/>
  <c r="D101" i="4"/>
  <c r="D153" i="4"/>
  <c r="F155" i="4"/>
  <c r="F156" i="4" s="1"/>
  <c r="G154" i="4" s="1"/>
  <c r="W24" i="4"/>
  <c r="K25" i="4"/>
  <c r="K26" i="4" s="1"/>
  <c r="F207" i="4"/>
  <c r="E217" i="4"/>
  <c r="F64" i="4"/>
  <c r="F65" i="4" s="1"/>
  <c r="G63" i="4" s="1"/>
  <c r="H5" i="8"/>
  <c r="I5" i="8"/>
  <c r="G5" i="8"/>
  <c r="F6" i="8" s="1"/>
  <c r="AU13" i="4" l="1"/>
  <c r="G90" i="4"/>
  <c r="G91" i="4" s="1"/>
  <c r="H89" i="4" s="1"/>
  <c r="J5" i="8"/>
  <c r="M24" i="4"/>
  <c r="D158" i="4"/>
  <c r="E151" i="4"/>
  <c r="D106" i="4"/>
  <c r="E99" i="4"/>
  <c r="E73" i="4"/>
  <c r="D80" i="4"/>
  <c r="P132" i="11"/>
  <c r="L4" i="6"/>
  <c r="I6" i="7"/>
  <c r="AV20" i="4"/>
  <c r="AV46" i="4" s="1"/>
  <c r="AV19" i="4"/>
  <c r="AV28" i="4" s="1"/>
  <c r="I6" i="6"/>
  <c r="J6" i="6" s="1"/>
  <c r="J4" i="8"/>
  <c r="L24" i="4"/>
  <c r="E203" i="4"/>
  <c r="D210" i="4"/>
  <c r="D171" i="4"/>
  <c r="E164" i="4"/>
  <c r="D235" i="4"/>
  <c r="E228" i="4"/>
  <c r="BG12" i="4"/>
  <c r="G64" i="4"/>
  <c r="G65" i="4" s="1"/>
  <c r="H63" i="4" s="1"/>
  <c r="G7" i="7"/>
  <c r="F8" i="7" s="1"/>
  <c r="I7" i="7"/>
  <c r="H7" i="7"/>
  <c r="Y42" i="4"/>
  <c r="M42" i="4"/>
  <c r="P131" i="11"/>
  <c r="E218" i="4"/>
  <c r="D132" i="4"/>
  <c r="E125" i="4"/>
  <c r="D67" i="4"/>
  <c r="E60" i="4"/>
  <c r="G169" i="4"/>
  <c r="H167" i="4" s="1"/>
  <c r="M12" i="4"/>
  <c r="M13" i="4" s="1"/>
  <c r="Y9" i="4"/>
  <c r="E112" i="4"/>
  <c r="D119" i="4"/>
  <c r="G155" i="4"/>
  <c r="G156" i="4" s="1"/>
  <c r="H154" i="4" s="1"/>
  <c r="E138" i="4"/>
  <c r="D145" i="4"/>
  <c r="F116" i="4"/>
  <c r="F117" i="4" s="1"/>
  <c r="G115" i="4" s="1"/>
  <c r="D93" i="4"/>
  <c r="E86" i="4"/>
  <c r="G6" i="8"/>
  <c r="F7" i="8" s="1"/>
  <c r="H6" i="8"/>
  <c r="F208" i="4"/>
  <c r="G206" i="4" s="1"/>
  <c r="E241" i="4"/>
  <c r="F195" i="4"/>
  <c r="G193" i="4" s="1"/>
  <c r="AI24" i="4"/>
  <c r="W25" i="4"/>
  <c r="W26" i="4" s="1"/>
  <c r="G129" i="4"/>
  <c r="G130" i="4" s="1"/>
  <c r="H128" i="4" s="1"/>
  <c r="G181" i="4"/>
  <c r="AU42" i="4"/>
  <c r="AI43" i="4"/>
  <c r="AI44" i="4" s="1"/>
  <c r="D248" i="4"/>
  <c r="G7" i="6"/>
  <c r="F8" i="6" s="1"/>
  <c r="H7" i="6"/>
  <c r="E177" i="4"/>
  <c r="D184" i="4"/>
  <c r="H77" i="4"/>
  <c r="H78" i="4" s="1"/>
  <c r="I76" i="4" s="1"/>
  <c r="L12" i="4"/>
  <c r="L13" i="4" s="1"/>
  <c r="X9" i="4"/>
  <c r="E143" i="4"/>
  <c r="F141" i="4" s="1"/>
  <c r="E190" i="4"/>
  <c r="D197" i="4"/>
  <c r="G103" i="4"/>
  <c r="G104" i="4" s="1"/>
  <c r="H102" i="4" s="1"/>
  <c r="L14" i="4" l="1"/>
  <c r="M19" i="4" s="1"/>
  <c r="M28" i="4" s="1"/>
  <c r="M14" i="4"/>
  <c r="N20" i="4" s="1"/>
  <c r="N46" i="4" s="1"/>
  <c r="H129" i="4"/>
  <c r="H130" i="4" s="1"/>
  <c r="I128" i="4" s="1"/>
  <c r="H103" i="4"/>
  <c r="H104" i="4" s="1"/>
  <c r="I102" i="4" s="1"/>
  <c r="I77" i="4"/>
  <c r="I78" i="4" s="1"/>
  <c r="J76" i="4" s="1"/>
  <c r="H155" i="4"/>
  <c r="H156" i="4" s="1"/>
  <c r="I154" i="4" s="1"/>
  <c r="H90" i="4"/>
  <c r="H91" i="4" s="1"/>
  <c r="I89" i="4" s="1"/>
  <c r="G207" i="4"/>
  <c r="G208" i="4" s="1"/>
  <c r="H206" i="4" s="1"/>
  <c r="G182" i="4"/>
  <c r="H180" i="4" s="1"/>
  <c r="G194" i="4"/>
  <c r="H168" i="4"/>
  <c r="H169" i="4" s="1"/>
  <c r="I167" i="4" s="1"/>
  <c r="M43" i="4"/>
  <c r="M44" i="4" s="1"/>
  <c r="E204" i="4"/>
  <c r="X42" i="4"/>
  <c r="L42" i="4"/>
  <c r="Y24" i="4"/>
  <c r="M25" i="4"/>
  <c r="M26" i="4" s="1"/>
  <c r="BG42" i="4"/>
  <c r="AU43" i="4"/>
  <c r="AU44" i="4" s="1"/>
  <c r="G116" i="4"/>
  <c r="G117" i="4" s="1"/>
  <c r="H115" i="4" s="1"/>
  <c r="E126" i="4"/>
  <c r="I7" i="8"/>
  <c r="H7" i="8"/>
  <c r="G7" i="8"/>
  <c r="F8" i="8" s="1"/>
  <c r="H64" i="4"/>
  <c r="H65" i="4" s="1"/>
  <c r="I63" i="4" s="1"/>
  <c r="D198" i="4"/>
  <c r="E87" i="4"/>
  <c r="E61" i="4"/>
  <c r="AK42" i="4"/>
  <c r="Y43" i="4"/>
  <c r="Y44" i="4" s="1"/>
  <c r="BG13" i="4"/>
  <c r="D211" i="4"/>
  <c r="P129" i="11"/>
  <c r="E191" i="4"/>
  <c r="E192" i="4" s="1"/>
  <c r="D185" i="4"/>
  <c r="E242" i="4"/>
  <c r="D94" i="4"/>
  <c r="D120" i="4"/>
  <c r="D68" i="4"/>
  <c r="BG14" i="4"/>
  <c r="X24" i="4"/>
  <c r="L25" i="4"/>
  <c r="L26" i="4" s="1"/>
  <c r="D81" i="4"/>
  <c r="F142" i="4"/>
  <c r="F143" i="4" s="1"/>
  <c r="G141" i="4" s="1"/>
  <c r="E178" i="4"/>
  <c r="E113" i="4"/>
  <c r="E229" i="4"/>
  <c r="E74" i="4"/>
  <c r="E75" i="4" s="1"/>
  <c r="E100" i="4"/>
  <c r="E101" i="4" s="1"/>
  <c r="J7" i="7"/>
  <c r="L7" i="6" s="1"/>
  <c r="O9" i="4"/>
  <c r="D236" i="4"/>
  <c r="I7" i="6"/>
  <c r="J7" i="6" s="1"/>
  <c r="D146" i="4"/>
  <c r="AK9" i="4"/>
  <c r="Y12" i="4"/>
  <c r="D133" i="4"/>
  <c r="G8" i="7"/>
  <c r="F9" i="7" s="1"/>
  <c r="H8" i="7"/>
  <c r="E165" i="4"/>
  <c r="E166" i="4" s="1"/>
  <c r="D107" i="4"/>
  <c r="AJ9" i="4"/>
  <c r="X12" i="4"/>
  <c r="X14" i="4" s="1"/>
  <c r="H8" i="6"/>
  <c r="G8" i="6"/>
  <c r="F9" i="6" s="1"/>
  <c r="I8" i="6"/>
  <c r="J8" i="6" s="1"/>
  <c r="AU24" i="4"/>
  <c r="AI25" i="4"/>
  <c r="AI26" i="4" s="1"/>
  <c r="I6" i="8"/>
  <c r="E139" i="4"/>
  <c r="E140" i="4" s="1"/>
  <c r="F216" i="4"/>
  <c r="E223" i="4"/>
  <c r="D172" i="4"/>
  <c r="E152" i="4"/>
  <c r="J6" i="7"/>
  <c r="L6" i="6" s="1"/>
  <c r="N9" i="4"/>
  <c r="D159" i="4"/>
  <c r="M20" i="4" l="1"/>
  <c r="M46" i="4" s="1"/>
  <c r="N19" i="4"/>
  <c r="N28" i="4" s="1"/>
  <c r="X13" i="4"/>
  <c r="E145" i="4"/>
  <c r="F138" i="4"/>
  <c r="E80" i="4"/>
  <c r="F73" i="4"/>
  <c r="J77" i="4"/>
  <c r="J78" i="4" s="1"/>
  <c r="K76" i="4" s="1"/>
  <c r="G142" i="4"/>
  <c r="G143" i="4" s="1"/>
  <c r="H141" i="4" s="1"/>
  <c r="I103" i="4"/>
  <c r="I104" i="4" s="1"/>
  <c r="J102" i="4" s="1"/>
  <c r="I129" i="4"/>
  <c r="I130" i="4" s="1"/>
  <c r="J128" i="4" s="1"/>
  <c r="E197" i="4"/>
  <c r="F190" i="4"/>
  <c r="I155" i="4"/>
  <c r="I156" i="4" s="1"/>
  <c r="J154" i="4" s="1"/>
  <c r="J7" i="8"/>
  <c r="O24" i="4"/>
  <c r="Z42" i="4"/>
  <c r="N42" i="4"/>
  <c r="P130" i="11"/>
  <c r="Y20" i="4"/>
  <c r="Y46" i="4" s="1"/>
  <c r="Y19" i="4"/>
  <c r="Y28" i="4" s="1"/>
  <c r="BG43" i="4"/>
  <c r="BG44" i="4" s="1"/>
  <c r="L43" i="4"/>
  <c r="L44" i="4" s="1"/>
  <c r="Y13" i="4"/>
  <c r="AJ24" i="4"/>
  <c r="X25" i="4"/>
  <c r="X26" i="4" s="1"/>
  <c r="I64" i="4"/>
  <c r="I65" i="4" s="1"/>
  <c r="J63" i="4" s="1"/>
  <c r="AJ42" i="4"/>
  <c r="X43" i="4"/>
  <c r="X44" i="4" s="1"/>
  <c r="I168" i="4"/>
  <c r="I169" i="4" s="1"/>
  <c r="J167" i="4" s="1"/>
  <c r="H207" i="4"/>
  <c r="H208" i="4" s="1"/>
  <c r="I206" i="4" s="1"/>
  <c r="F164" i="4"/>
  <c r="E171" i="4"/>
  <c r="E247" i="4"/>
  <c r="F240" i="4"/>
  <c r="E62" i="4"/>
  <c r="E127" i="4"/>
  <c r="E224" i="4"/>
  <c r="Y14" i="4"/>
  <c r="O12" i="4"/>
  <c r="O13" i="4" s="1"/>
  <c r="AA9" i="4"/>
  <c r="E230" i="4"/>
  <c r="BH19" i="4"/>
  <c r="BH28" i="4" s="1"/>
  <c r="BH20" i="4"/>
  <c r="BH46" i="4" s="1"/>
  <c r="H116" i="4"/>
  <c r="H117" i="4" s="1"/>
  <c r="I115" i="4" s="1"/>
  <c r="E205" i="4"/>
  <c r="I90" i="4"/>
  <c r="I91" i="4" s="1"/>
  <c r="J89" i="4" s="1"/>
  <c r="E106" i="4"/>
  <c r="F99" i="4"/>
  <c r="I9" i="6"/>
  <c r="J9" i="6" s="1"/>
  <c r="G9" i="6"/>
  <c r="F10" i="6" s="1"/>
  <c r="H9" i="6"/>
  <c r="E179" i="4"/>
  <c r="AK43" i="4"/>
  <c r="AK44" i="4" s="1"/>
  <c r="AW42" i="4"/>
  <c r="E153" i="4"/>
  <c r="AK12" i="4"/>
  <c r="AW9" i="4"/>
  <c r="F217" i="4"/>
  <c r="F218" i="4" s="1"/>
  <c r="BG24" i="4"/>
  <c r="AU25" i="4"/>
  <c r="AU26" i="4" s="1"/>
  <c r="H9" i="7"/>
  <c r="G9" i="7"/>
  <c r="F10" i="7" s="1"/>
  <c r="AA42" i="4"/>
  <c r="O42" i="4"/>
  <c r="E88" i="4"/>
  <c r="G195" i="4"/>
  <c r="H193" i="4" s="1"/>
  <c r="J6" i="8"/>
  <c r="N24" i="4"/>
  <c r="N12" i="4"/>
  <c r="N14" i="4" s="1"/>
  <c r="Z9" i="4"/>
  <c r="AJ12" i="4"/>
  <c r="AJ14" i="4" s="1"/>
  <c r="AV9" i="4"/>
  <c r="I8" i="7"/>
  <c r="E114" i="4"/>
  <c r="H8" i="8"/>
  <c r="G8" i="8"/>
  <c r="F9" i="8" s="1"/>
  <c r="Y25" i="4"/>
  <c r="Y26" i="4" s="1"/>
  <c r="AK24" i="4"/>
  <c r="H181" i="4"/>
  <c r="H182" i="4" s="1"/>
  <c r="I180" i="4" s="1"/>
  <c r="O14" i="4" l="1"/>
  <c r="P20" i="4" s="1"/>
  <c r="P46" i="4" s="1"/>
  <c r="AJ13" i="4"/>
  <c r="N13" i="4"/>
  <c r="J64" i="4"/>
  <c r="J65" i="4" s="1"/>
  <c r="K63" i="4" s="1"/>
  <c r="J90" i="4"/>
  <c r="J91" i="4" s="1"/>
  <c r="K89" i="4" s="1"/>
  <c r="J168" i="4"/>
  <c r="J169" i="4" s="1"/>
  <c r="K167" i="4" s="1"/>
  <c r="O20" i="4"/>
  <c r="O46" i="4" s="1"/>
  <c r="O19" i="4"/>
  <c r="O28" i="4" s="1"/>
  <c r="I181" i="4"/>
  <c r="I182" i="4" s="1"/>
  <c r="J180" i="4" s="1"/>
  <c r="J129" i="4"/>
  <c r="J130" i="4" s="1"/>
  <c r="K128" i="4" s="1"/>
  <c r="I116" i="4"/>
  <c r="I117" i="4" s="1"/>
  <c r="J115" i="4" s="1"/>
  <c r="J103" i="4"/>
  <c r="J104" i="4" s="1"/>
  <c r="K102" i="4" s="1"/>
  <c r="H9" i="8"/>
  <c r="I9" i="8"/>
  <c r="G9" i="8"/>
  <c r="F10" i="8" s="1"/>
  <c r="E67" i="4"/>
  <c r="F60" i="4"/>
  <c r="J155" i="4"/>
  <c r="J156" i="4" s="1"/>
  <c r="K154" i="4" s="1"/>
  <c r="K77" i="4"/>
  <c r="K78" i="4" s="1"/>
  <c r="L76" i="4" s="1"/>
  <c r="AM42" i="4"/>
  <c r="AA43" i="4"/>
  <c r="AA44" i="4" s="1"/>
  <c r="BG25" i="4"/>
  <c r="BG26" i="4" s="1"/>
  <c r="E184" i="4"/>
  <c r="F177" i="4"/>
  <c r="H194" i="4"/>
  <c r="H195" i="4" s="1"/>
  <c r="I193" i="4" s="1"/>
  <c r="E158" i="4"/>
  <c r="F151" i="4"/>
  <c r="E235" i="4"/>
  <c r="F228" i="4"/>
  <c r="F241" i="4"/>
  <c r="F242" i="4" s="1"/>
  <c r="AJ43" i="4"/>
  <c r="AJ44" i="4" s="1"/>
  <c r="AV42" i="4"/>
  <c r="F191" i="4"/>
  <c r="F74" i="4"/>
  <c r="AK19" i="4"/>
  <c r="AK28" i="4" s="1"/>
  <c r="AK20" i="4"/>
  <c r="AK46" i="4" s="1"/>
  <c r="E119" i="4"/>
  <c r="F112" i="4"/>
  <c r="Z12" i="4"/>
  <c r="Z13" i="4" s="1"/>
  <c r="AL9" i="4"/>
  <c r="H10" i="7"/>
  <c r="G10" i="7"/>
  <c r="F11" i="7" s="1"/>
  <c r="H10" i="6"/>
  <c r="G10" i="6"/>
  <c r="F11" i="6" s="1"/>
  <c r="E210" i="4"/>
  <c r="F203" i="4"/>
  <c r="E248" i="4"/>
  <c r="AV24" i="4"/>
  <c r="AJ25" i="4"/>
  <c r="AJ26" i="4" s="1"/>
  <c r="N43" i="4"/>
  <c r="N44" i="4" s="1"/>
  <c r="E198" i="4"/>
  <c r="E81" i="4"/>
  <c r="I207" i="4"/>
  <c r="I208" i="4"/>
  <c r="J206" i="4" s="1"/>
  <c r="AL42" i="4"/>
  <c r="Z43" i="4"/>
  <c r="Z44" i="4" s="1"/>
  <c r="F139" i="4"/>
  <c r="F140" i="4" s="1"/>
  <c r="J8" i="7"/>
  <c r="L8" i="6" s="1"/>
  <c r="D9" i="4"/>
  <c r="I9" i="7"/>
  <c r="AK14" i="4"/>
  <c r="BI42" i="4"/>
  <c r="AW43" i="4"/>
  <c r="AW44" i="4" s="1"/>
  <c r="F100" i="4"/>
  <c r="F101" i="4" s="1"/>
  <c r="AA12" i="4"/>
  <c r="AA13" i="4" s="1"/>
  <c r="AM9" i="4"/>
  <c r="AA24" i="4"/>
  <c r="O25" i="4"/>
  <c r="O26" i="4" s="1"/>
  <c r="E146" i="4"/>
  <c r="BH9" i="4"/>
  <c r="AV12" i="4"/>
  <c r="AV13" i="4" s="1"/>
  <c r="BI9" i="4"/>
  <c r="AW12" i="4"/>
  <c r="AW13" i="4" s="1"/>
  <c r="E107" i="4"/>
  <c r="E172" i="4"/>
  <c r="H142" i="4"/>
  <c r="H143" i="4" s="1"/>
  <c r="I141" i="4" s="1"/>
  <c r="O43" i="4"/>
  <c r="O44" i="4" s="1"/>
  <c r="AW24" i="4"/>
  <c r="AK25" i="4"/>
  <c r="AK26" i="4" s="1"/>
  <c r="E93" i="4"/>
  <c r="F86" i="4"/>
  <c r="F223" i="4"/>
  <c r="G216" i="4"/>
  <c r="I8" i="8"/>
  <c r="Z24" i="4"/>
  <c r="N25" i="4"/>
  <c r="N26" i="4" s="1"/>
  <c r="AK13" i="4"/>
  <c r="Z20" i="4"/>
  <c r="Z46" i="4" s="1"/>
  <c r="Z19" i="4"/>
  <c r="Z28" i="4" s="1"/>
  <c r="E132" i="4"/>
  <c r="F125" i="4"/>
  <c r="F165" i="4"/>
  <c r="P19" i="4" l="1"/>
  <c r="P28" i="4" s="1"/>
  <c r="AW14" i="4"/>
  <c r="AX19" i="4" s="1"/>
  <c r="AX28" i="4" s="1"/>
  <c r="L77" i="4"/>
  <c r="L78" i="4" s="1"/>
  <c r="M76" i="4" s="1"/>
  <c r="K168" i="4"/>
  <c r="K169" i="4" s="1"/>
  <c r="L167" i="4" s="1"/>
  <c r="I142" i="4"/>
  <c r="I143" i="4" s="1"/>
  <c r="J141" i="4" s="1"/>
  <c r="F106" i="4"/>
  <c r="G99" i="4"/>
  <c r="I194" i="4"/>
  <c r="I195" i="4" s="1"/>
  <c r="J193" i="4" s="1"/>
  <c r="J9" i="8"/>
  <c r="E24" i="4"/>
  <c r="K129" i="4"/>
  <c r="K130" i="4" s="1"/>
  <c r="L128" i="4" s="1"/>
  <c r="K90" i="4"/>
  <c r="K91" i="4" s="1"/>
  <c r="L89" i="4" s="1"/>
  <c r="J8" i="8"/>
  <c r="D24" i="4"/>
  <c r="AL20" i="4"/>
  <c r="AL46" i="4" s="1"/>
  <c r="AL19" i="4"/>
  <c r="AL28" i="4" s="1"/>
  <c r="E211" i="4"/>
  <c r="AL12" i="4"/>
  <c r="AL13" i="4" s="1"/>
  <c r="AX9" i="4"/>
  <c r="J9" i="7"/>
  <c r="L9" i="6" s="1"/>
  <c r="E9" i="4"/>
  <c r="AX42" i="4"/>
  <c r="AL43" i="4"/>
  <c r="AL44" i="4" s="1"/>
  <c r="BH24" i="4"/>
  <c r="AV25" i="4"/>
  <c r="AV26" i="4" s="1"/>
  <c r="I10" i="6"/>
  <c r="J10" i="6" s="1"/>
  <c r="F75" i="4"/>
  <c r="J181" i="4"/>
  <c r="J182" i="4" s="1"/>
  <c r="K180" i="4" s="1"/>
  <c r="AW25" i="4"/>
  <c r="AW26" i="4" s="1"/>
  <c r="BI24" i="4"/>
  <c r="BI12" i="4"/>
  <c r="BI14" i="4" s="1"/>
  <c r="I11" i="6"/>
  <c r="J11" i="6" s="1"/>
  <c r="G11" i="6"/>
  <c r="F12" i="6" s="1"/>
  <c r="H11" i="6"/>
  <c r="F247" i="4"/>
  <c r="G240" i="4"/>
  <c r="F178" i="4"/>
  <c r="K155" i="4"/>
  <c r="K156" i="4" s="1"/>
  <c r="L154" i="4" s="1"/>
  <c r="K103" i="4"/>
  <c r="K104" i="4" s="1"/>
  <c r="L102" i="4" s="1"/>
  <c r="F87" i="4"/>
  <c r="AM24" i="4"/>
  <c r="AA25" i="4"/>
  <c r="AA26" i="4" s="1"/>
  <c r="P42" i="4"/>
  <c r="D42" i="4"/>
  <c r="P128" i="11"/>
  <c r="J207" i="4"/>
  <c r="J208" i="4" s="1"/>
  <c r="K206" i="4" s="1"/>
  <c r="Z14" i="4"/>
  <c r="F192" i="4"/>
  <c r="E185" i="4"/>
  <c r="K64" i="4"/>
  <c r="K65" i="4" s="1"/>
  <c r="L63" i="4" s="1"/>
  <c r="G217" i="4"/>
  <c r="G218" i="4" s="1"/>
  <c r="F224" i="4"/>
  <c r="F166" i="4"/>
  <c r="E94" i="4"/>
  <c r="BH12" i="4"/>
  <c r="BH14" i="4" s="1"/>
  <c r="F113" i="4"/>
  <c r="F114" i="4" s="1"/>
  <c r="F229" i="4"/>
  <c r="F61" i="4"/>
  <c r="F62" i="4" s="1"/>
  <c r="J116" i="4"/>
  <c r="J117" i="4" s="1"/>
  <c r="K115" i="4" s="1"/>
  <c r="F204" i="4"/>
  <c r="E159" i="4"/>
  <c r="D12" i="4"/>
  <c r="P9" i="4"/>
  <c r="F126" i="4"/>
  <c r="Z25" i="4"/>
  <c r="Z26" i="4" s="1"/>
  <c r="AL24" i="4"/>
  <c r="AV14" i="4"/>
  <c r="AA14" i="4"/>
  <c r="G138" i="4"/>
  <c r="F145" i="4"/>
  <c r="I10" i="7"/>
  <c r="E120" i="4"/>
  <c r="E236" i="4"/>
  <c r="AY42" i="4"/>
  <c r="AM43" i="4"/>
  <c r="AM44" i="4" s="1"/>
  <c r="E68" i="4"/>
  <c r="E133" i="4"/>
  <c r="AM12" i="4"/>
  <c r="AY9" i="4"/>
  <c r="BI43" i="4"/>
  <c r="BI44" i="4" s="1"/>
  <c r="G11" i="7"/>
  <c r="F12" i="7" s="1"/>
  <c r="H11" i="7"/>
  <c r="BH42" i="4"/>
  <c r="AV43" i="4"/>
  <c r="AV44" i="4" s="1"/>
  <c r="F152" i="4"/>
  <c r="F153" i="4" s="1"/>
  <c r="G10" i="8"/>
  <c r="F11" i="8" s="1"/>
  <c r="I10" i="8"/>
  <c r="H10" i="8"/>
  <c r="AX20" i="4" l="1"/>
  <c r="AX46" i="4" s="1"/>
  <c r="BI13" i="4"/>
  <c r="AL14" i="4"/>
  <c r="AM20" i="4" s="1"/>
  <c r="AM46" i="4" s="1"/>
  <c r="K181" i="4"/>
  <c r="K182" i="4" s="1"/>
  <c r="L180" i="4" s="1"/>
  <c r="L90" i="4"/>
  <c r="L91" i="4" s="1"/>
  <c r="M89" i="4" s="1"/>
  <c r="H216" i="4"/>
  <c r="G223" i="4"/>
  <c r="L129" i="4"/>
  <c r="L130" i="4" s="1"/>
  <c r="M128" i="4" s="1"/>
  <c r="K207" i="4"/>
  <c r="K208" i="4" s="1"/>
  <c r="L206" i="4" s="1"/>
  <c r="L64" i="4"/>
  <c r="L65" i="4" s="1"/>
  <c r="M63" i="4" s="1"/>
  <c r="L168" i="4"/>
  <c r="L169" i="4" s="1"/>
  <c r="M167" i="4" s="1"/>
  <c r="K116" i="4"/>
  <c r="K117" i="4" s="1"/>
  <c r="L115" i="4" s="1"/>
  <c r="M77" i="4"/>
  <c r="M78" i="4" s="1"/>
  <c r="N76" i="4" s="1"/>
  <c r="J10" i="8"/>
  <c r="F24" i="4"/>
  <c r="DO42" i="4"/>
  <c r="DG42" i="4"/>
  <c r="CY42" i="4"/>
  <c r="CQ42" i="4"/>
  <c r="CI42" i="4"/>
  <c r="CA42" i="4"/>
  <c r="BS42" i="4"/>
  <c r="BK42" i="4"/>
  <c r="DN42" i="4"/>
  <c r="DF42" i="4"/>
  <c r="CX42" i="4"/>
  <c r="CP42" i="4"/>
  <c r="CH42" i="4"/>
  <c r="BZ42" i="4"/>
  <c r="BR42" i="4"/>
  <c r="AY43" i="4"/>
  <c r="AY44" i="4" s="1"/>
  <c r="DM42" i="4"/>
  <c r="DE42" i="4"/>
  <c r="CW42" i="4"/>
  <c r="CO42" i="4"/>
  <c r="CG42" i="4"/>
  <c r="BY42" i="4"/>
  <c r="BQ42" i="4"/>
  <c r="DL42" i="4"/>
  <c r="DD42" i="4"/>
  <c r="CV42" i="4"/>
  <c r="CN42" i="4"/>
  <c r="CF42" i="4"/>
  <c r="BX42" i="4"/>
  <c r="BP42" i="4"/>
  <c r="DS42" i="4"/>
  <c r="DK42" i="4"/>
  <c r="DC42" i="4"/>
  <c r="CU42" i="4"/>
  <c r="CM42" i="4"/>
  <c r="CE42" i="4"/>
  <c r="BW42" i="4"/>
  <c r="BO42" i="4"/>
  <c r="DR42" i="4"/>
  <c r="DJ42" i="4"/>
  <c r="DB42" i="4"/>
  <c r="CT42" i="4"/>
  <c r="CL42" i="4"/>
  <c r="CD42" i="4"/>
  <c r="BV42" i="4"/>
  <c r="BN42" i="4"/>
  <c r="DQ42" i="4"/>
  <c r="DI42" i="4"/>
  <c r="DA42" i="4"/>
  <c r="CS42" i="4"/>
  <c r="CK42" i="4"/>
  <c r="CC42" i="4"/>
  <c r="BU42" i="4"/>
  <c r="BM42" i="4"/>
  <c r="DP42" i="4"/>
  <c r="DH42" i="4"/>
  <c r="CZ42" i="4"/>
  <c r="CR42" i="4"/>
  <c r="CJ42" i="4"/>
  <c r="CB42" i="4"/>
  <c r="BT42" i="4"/>
  <c r="BL42" i="4"/>
  <c r="G139" i="4"/>
  <c r="G140" i="4" s="1"/>
  <c r="F67" i="4"/>
  <c r="G60" i="4"/>
  <c r="BI19" i="4"/>
  <c r="BI28" i="4" s="1"/>
  <c r="BI20" i="4"/>
  <c r="BI46" i="4" s="1"/>
  <c r="AA19" i="4"/>
  <c r="AA28" i="4" s="1"/>
  <c r="AA20" i="4"/>
  <c r="AA46" i="4" s="1"/>
  <c r="G241" i="4"/>
  <c r="G242" i="4" s="1"/>
  <c r="H11" i="8"/>
  <c r="G11" i="8"/>
  <c r="F12" i="8" s="1"/>
  <c r="AB19" i="4"/>
  <c r="AB28" i="4" s="1"/>
  <c r="AB20" i="4"/>
  <c r="AB46" i="4" s="1"/>
  <c r="F248" i="4"/>
  <c r="BH25" i="4"/>
  <c r="BH26" i="4" s="1"/>
  <c r="E12" i="4"/>
  <c r="E13" i="4" s="1"/>
  <c r="Q9" i="4"/>
  <c r="G12" i="7"/>
  <c r="F13" i="7" s="1"/>
  <c r="H12" i="7"/>
  <c r="F171" i="4"/>
  <c r="G164" i="4"/>
  <c r="L155" i="4"/>
  <c r="L156" i="4" s="1"/>
  <c r="M154" i="4" s="1"/>
  <c r="AM14" i="4"/>
  <c r="AW20" i="4"/>
  <c r="AW46" i="4" s="1"/>
  <c r="AW19" i="4"/>
  <c r="AW28" i="4" s="1"/>
  <c r="F127" i="4"/>
  <c r="F230" i="4"/>
  <c r="BH13" i="4"/>
  <c r="AY24" i="4"/>
  <c r="AM25" i="4"/>
  <c r="AM26" i="4" s="1"/>
  <c r="Q42" i="4"/>
  <c r="E42" i="4"/>
  <c r="Q24" i="4"/>
  <c r="E25" i="4"/>
  <c r="E26" i="4" s="1"/>
  <c r="J194" i="4"/>
  <c r="J195" i="4" s="1"/>
  <c r="K193" i="4" s="1"/>
  <c r="L103" i="4"/>
  <c r="L104" i="4" s="1"/>
  <c r="M102" i="4" s="1"/>
  <c r="F80" i="4"/>
  <c r="G73" i="4"/>
  <c r="G112" i="4"/>
  <c r="F119" i="4"/>
  <c r="D43" i="4"/>
  <c r="D44" i="4" s="1"/>
  <c r="F158" i="4"/>
  <c r="G151" i="4"/>
  <c r="DM9" i="4"/>
  <c r="DE9" i="4"/>
  <c r="CW9" i="4"/>
  <c r="CO9" i="4"/>
  <c r="CG9" i="4"/>
  <c r="BY9" i="4"/>
  <c r="BQ9" i="4"/>
  <c r="DL9" i="4"/>
  <c r="DD9" i="4"/>
  <c r="CV9" i="4"/>
  <c r="CN9" i="4"/>
  <c r="CF9" i="4"/>
  <c r="BX9" i="4"/>
  <c r="BP9" i="4"/>
  <c r="DS9" i="4"/>
  <c r="DK9" i="4"/>
  <c r="DC9" i="4"/>
  <c r="CU9" i="4"/>
  <c r="CM9" i="4"/>
  <c r="CE9" i="4"/>
  <c r="BW9" i="4"/>
  <c r="BO9" i="4"/>
  <c r="DR9" i="4"/>
  <c r="DJ9" i="4"/>
  <c r="DB9" i="4"/>
  <c r="CT9" i="4"/>
  <c r="CL9" i="4"/>
  <c r="CD9" i="4"/>
  <c r="BV9" i="4"/>
  <c r="BN9" i="4"/>
  <c r="AY12" i="4"/>
  <c r="AY13" i="4" s="1"/>
  <c r="DQ9" i="4"/>
  <c r="DI9" i="4"/>
  <c r="DA9" i="4"/>
  <c r="CS9" i="4"/>
  <c r="CK9" i="4"/>
  <c r="CC9" i="4"/>
  <c r="BU9" i="4"/>
  <c r="BM9" i="4"/>
  <c r="DP9" i="4"/>
  <c r="DH9" i="4"/>
  <c r="CZ9" i="4"/>
  <c r="CR9" i="4"/>
  <c r="CJ9" i="4"/>
  <c r="CB9" i="4"/>
  <c r="BT9" i="4"/>
  <c r="BL9" i="4"/>
  <c r="DO9" i="4"/>
  <c r="DG9" i="4"/>
  <c r="CY9" i="4"/>
  <c r="CQ9" i="4"/>
  <c r="CI9" i="4"/>
  <c r="CA9" i="4"/>
  <c r="BS9" i="4"/>
  <c r="BK9" i="4"/>
  <c r="DN9" i="4"/>
  <c r="DF9" i="4"/>
  <c r="CX9" i="4"/>
  <c r="CP9" i="4"/>
  <c r="CH9" i="4"/>
  <c r="BZ9" i="4"/>
  <c r="BR9" i="4"/>
  <c r="AB9" i="4"/>
  <c r="P12" i="4"/>
  <c r="P13" i="4" s="1"/>
  <c r="I11" i="7"/>
  <c r="AM13" i="4"/>
  <c r="F205" i="4"/>
  <c r="G12" i="6"/>
  <c r="F13" i="6" s="1"/>
  <c r="H12" i="6"/>
  <c r="BI25" i="4"/>
  <c r="BI26" i="4" s="1"/>
  <c r="AM19" i="4"/>
  <c r="AM28" i="4" s="1"/>
  <c r="P24" i="4"/>
  <c r="D25" i="4"/>
  <c r="D26" i="4" s="1"/>
  <c r="G100" i="4"/>
  <c r="G101" i="4" s="1"/>
  <c r="AX12" i="4"/>
  <c r="AX14" i="4" s="1"/>
  <c r="BJ9" i="4"/>
  <c r="F107" i="4"/>
  <c r="J10" i="7"/>
  <c r="L10" i="6" s="1"/>
  <c r="F9" i="4"/>
  <c r="AX24" i="4"/>
  <c r="AL25" i="4"/>
  <c r="AL26" i="4" s="1"/>
  <c r="D14" i="4"/>
  <c r="AB42" i="4"/>
  <c r="P43" i="4"/>
  <c r="P44" i="4" s="1"/>
  <c r="F88" i="4"/>
  <c r="BJ20" i="4"/>
  <c r="BJ46" i="4" s="1"/>
  <c r="BJ19" i="4"/>
  <c r="BJ28" i="4" s="1"/>
  <c r="J142" i="4"/>
  <c r="J143" i="4" s="1"/>
  <c r="K141" i="4" s="1"/>
  <c r="BH43" i="4"/>
  <c r="BH44" i="4" s="1"/>
  <c r="F146" i="4"/>
  <c r="D13" i="4"/>
  <c r="D17" i="4" s="1"/>
  <c r="F197" i="4"/>
  <c r="G190" i="4"/>
  <c r="F179" i="4"/>
  <c r="BJ42" i="4"/>
  <c r="AX43" i="4"/>
  <c r="AX44" i="4" s="1"/>
  <c r="D48" i="4" l="1"/>
  <c r="D49" i="4" s="1"/>
  <c r="D51" i="4"/>
  <c r="D52" i="4" s="1"/>
  <c r="AX13" i="4"/>
  <c r="AY14" i="4"/>
  <c r="AZ20" i="4" s="1"/>
  <c r="AZ46" i="4" s="1"/>
  <c r="G145" i="4"/>
  <c r="H138" i="4"/>
  <c r="N77" i="4"/>
  <c r="N78" i="4" s="1"/>
  <c r="O76" i="4" s="1"/>
  <c r="G247" i="4"/>
  <c r="H240" i="4"/>
  <c r="L116" i="4"/>
  <c r="L117" i="4" s="1"/>
  <c r="M115" i="4" s="1"/>
  <c r="G106" i="4"/>
  <c r="H99" i="4"/>
  <c r="M168" i="4"/>
  <c r="M169" i="4" s="1"/>
  <c r="N167" i="4" s="1"/>
  <c r="K142" i="4"/>
  <c r="K143" i="4" s="1"/>
  <c r="L141" i="4" s="1"/>
  <c r="M64" i="4"/>
  <c r="M65" i="4" s="1"/>
  <c r="N63" i="4" s="1"/>
  <c r="D18" i="4"/>
  <c r="E16" i="4" s="1"/>
  <c r="E17" i="4" s="1"/>
  <c r="L181" i="4"/>
  <c r="L182" i="4" s="1"/>
  <c r="M180" i="4" s="1"/>
  <c r="CH12" i="4"/>
  <c r="CH13" i="4" s="1"/>
  <c r="CI12" i="4"/>
  <c r="CI13" i="4" s="1"/>
  <c r="CJ12" i="4"/>
  <c r="CJ13" i="4" s="1"/>
  <c r="CC12" i="4"/>
  <c r="BV12" i="4"/>
  <c r="BW12" i="4"/>
  <c r="BW13" i="4" s="1"/>
  <c r="BX12" i="4"/>
  <c r="BX14" i="4" s="1"/>
  <c r="CG12" i="4"/>
  <c r="CG14" i="4" s="1"/>
  <c r="G74" i="4"/>
  <c r="G75" i="4" s="1"/>
  <c r="G61" i="4"/>
  <c r="G62" i="4" s="1"/>
  <c r="CB43" i="4"/>
  <c r="CB44" i="4" s="1"/>
  <c r="CC43" i="4"/>
  <c r="CC44" i="4" s="1"/>
  <c r="CD43" i="4"/>
  <c r="CD44" i="4" s="1"/>
  <c r="CE43" i="4"/>
  <c r="CE44" i="4" s="1"/>
  <c r="CF43" i="4"/>
  <c r="CF44" i="4" s="1"/>
  <c r="CO43" i="4"/>
  <c r="CO44" i="4" s="1"/>
  <c r="CP43" i="4"/>
  <c r="CP44" i="4" s="1"/>
  <c r="CQ43" i="4"/>
  <c r="CQ44" i="4" s="1"/>
  <c r="H217" i="4"/>
  <c r="H218" i="4" s="1"/>
  <c r="J11" i="7"/>
  <c r="L11" i="6" s="1"/>
  <c r="G9" i="4"/>
  <c r="CP12" i="4"/>
  <c r="CP13" i="4" s="1"/>
  <c r="CQ12" i="4"/>
  <c r="CQ13" i="4" s="1"/>
  <c r="CR12" i="4"/>
  <c r="CR13" i="4" s="1"/>
  <c r="CK12" i="4"/>
  <c r="CK14" i="4" s="1"/>
  <c r="CD12" i="4"/>
  <c r="CE12" i="4"/>
  <c r="CF12" i="4"/>
  <c r="CF14" i="4" s="1"/>
  <c r="CO12" i="4"/>
  <c r="CO14" i="4" s="1"/>
  <c r="F81" i="4"/>
  <c r="F68" i="4"/>
  <c r="CJ43" i="4"/>
  <c r="CJ44" i="4" s="1"/>
  <c r="CK43" i="4"/>
  <c r="CK44" i="4" s="1"/>
  <c r="CL43" i="4"/>
  <c r="CL44" i="4" s="1"/>
  <c r="CM43" i="4"/>
  <c r="CM44" i="4" s="1"/>
  <c r="CN43" i="4"/>
  <c r="CN44" i="4" s="1"/>
  <c r="CW43" i="4"/>
  <c r="CW44" i="4" s="1"/>
  <c r="CX43" i="4"/>
  <c r="CX44" i="4" s="1"/>
  <c r="CY43" i="4"/>
  <c r="CY44" i="4" s="1"/>
  <c r="AX25" i="4"/>
  <c r="AX26" i="4" s="1"/>
  <c r="BJ24" i="4"/>
  <c r="F12" i="4"/>
  <c r="F13" i="4" s="1"/>
  <c r="R9" i="4"/>
  <c r="I12" i="6"/>
  <c r="J12" i="6" s="1"/>
  <c r="CX12" i="4"/>
  <c r="CX13" i="4" s="1"/>
  <c r="CY12" i="4"/>
  <c r="CZ12" i="4"/>
  <c r="CZ14" i="4" s="1"/>
  <c r="CS12" i="4"/>
  <c r="CS13" i="4" s="1"/>
  <c r="CL12" i="4"/>
  <c r="CL13" i="4" s="1"/>
  <c r="CM12" i="4"/>
  <c r="CM14" i="4" s="1"/>
  <c r="CN12" i="4"/>
  <c r="CN14" i="4" s="1"/>
  <c r="CW12" i="4"/>
  <c r="CW13" i="4" s="1"/>
  <c r="DL24" i="4"/>
  <c r="DD24" i="4"/>
  <c r="CV24" i="4"/>
  <c r="CN24" i="4"/>
  <c r="CF24" i="4"/>
  <c r="BX24" i="4"/>
  <c r="BP24" i="4"/>
  <c r="DS24" i="4"/>
  <c r="DK24" i="4"/>
  <c r="DC24" i="4"/>
  <c r="CU24" i="4"/>
  <c r="CM24" i="4"/>
  <c r="CE24" i="4"/>
  <c r="BW24" i="4"/>
  <c r="BO24" i="4"/>
  <c r="DR24" i="4"/>
  <c r="DJ24" i="4"/>
  <c r="DB24" i="4"/>
  <c r="CT24" i="4"/>
  <c r="CL24" i="4"/>
  <c r="CD24" i="4"/>
  <c r="BV24" i="4"/>
  <c r="BN24" i="4"/>
  <c r="DQ24" i="4"/>
  <c r="DI24" i="4"/>
  <c r="DA24" i="4"/>
  <c r="CS24" i="4"/>
  <c r="CK24" i="4"/>
  <c r="CC24" i="4"/>
  <c r="BU24" i="4"/>
  <c r="BM24" i="4"/>
  <c r="DP24" i="4"/>
  <c r="DH24" i="4"/>
  <c r="CZ24" i="4"/>
  <c r="CR24" i="4"/>
  <c r="CJ24" i="4"/>
  <c r="CB24" i="4"/>
  <c r="BT24" i="4"/>
  <c r="BL24" i="4"/>
  <c r="DO24" i="4"/>
  <c r="DG24" i="4"/>
  <c r="CY24" i="4"/>
  <c r="CQ24" i="4"/>
  <c r="CI24" i="4"/>
  <c r="CA24" i="4"/>
  <c r="BS24" i="4"/>
  <c r="BK24" i="4"/>
  <c r="DN24" i="4"/>
  <c r="DF24" i="4"/>
  <c r="CX24" i="4"/>
  <c r="CP24" i="4"/>
  <c r="CH24" i="4"/>
  <c r="BZ24" i="4"/>
  <c r="BR24" i="4"/>
  <c r="BY24" i="4"/>
  <c r="BQ24" i="4"/>
  <c r="DM24" i="4"/>
  <c r="AY25" i="4"/>
  <c r="AY26" i="4" s="1"/>
  <c r="DE24" i="4"/>
  <c r="CW24" i="4"/>
  <c r="CO24" i="4"/>
  <c r="CG24" i="4"/>
  <c r="AN20" i="4"/>
  <c r="AN46" i="4" s="1"/>
  <c r="AN19" i="4"/>
  <c r="AN28" i="4" s="1"/>
  <c r="CR43" i="4"/>
  <c r="CR44" i="4" s="1"/>
  <c r="CS43" i="4"/>
  <c r="CS44" i="4" s="1"/>
  <c r="CT43" i="4"/>
  <c r="CT44" i="4" s="1"/>
  <c r="CU43" i="4"/>
  <c r="CU44" i="4" s="1"/>
  <c r="CV43" i="4"/>
  <c r="CV44" i="4" s="1"/>
  <c r="DE43" i="4"/>
  <c r="DE44" i="4" s="1"/>
  <c r="DF43" i="4"/>
  <c r="DF44" i="4" s="1"/>
  <c r="DG43" i="4"/>
  <c r="DG44" i="4" s="1"/>
  <c r="M90" i="4"/>
  <c r="M91" i="4" s="1"/>
  <c r="N89" i="4" s="1"/>
  <c r="AY19" i="4"/>
  <c r="AY28" i="4" s="1"/>
  <c r="AY20" i="4"/>
  <c r="AY46" i="4" s="1"/>
  <c r="H13" i="6"/>
  <c r="G13" i="6"/>
  <c r="F14" i="6" s="1"/>
  <c r="DF12" i="4"/>
  <c r="DF14" i="4" s="1"/>
  <c r="DG12" i="4"/>
  <c r="DG14" i="4" s="1"/>
  <c r="DH12" i="4"/>
  <c r="DA12" i="4"/>
  <c r="DA13" i="4" s="1"/>
  <c r="CT12" i="4"/>
  <c r="CU12" i="4"/>
  <c r="CV12" i="4"/>
  <c r="CV14" i="4" s="1"/>
  <c r="DE12" i="4"/>
  <c r="DE13" i="4" s="1"/>
  <c r="M103" i="4"/>
  <c r="M104" i="4" s="1"/>
  <c r="N102" i="4" s="1"/>
  <c r="Q25" i="4"/>
  <c r="Q26" i="4" s="1"/>
  <c r="AC24" i="4"/>
  <c r="H13" i="7"/>
  <c r="G13" i="7"/>
  <c r="F14" i="7" s="1"/>
  <c r="CZ43" i="4"/>
  <c r="CZ44" i="4" s="1"/>
  <c r="DA43" i="4"/>
  <c r="DA44" i="4" s="1"/>
  <c r="DB43" i="4"/>
  <c r="DB44" i="4" s="1"/>
  <c r="DC43" i="4"/>
  <c r="DC44" i="4" s="1"/>
  <c r="DD43" i="4"/>
  <c r="DD44" i="4" s="1"/>
  <c r="DM43" i="4"/>
  <c r="DM44" i="4" s="1"/>
  <c r="DN43" i="4"/>
  <c r="DN44" i="4" s="1"/>
  <c r="DO43" i="4"/>
  <c r="DO44" i="4" s="1"/>
  <c r="L207" i="4"/>
  <c r="L208" i="4" s="1"/>
  <c r="M206" i="4" s="1"/>
  <c r="AB12" i="4"/>
  <c r="AB14" i="4" s="1"/>
  <c r="AN9" i="4"/>
  <c r="DN12" i="4"/>
  <c r="DN14" i="4" s="1"/>
  <c r="DO12" i="4"/>
  <c r="DO14" i="4" s="1"/>
  <c r="DP12" i="4"/>
  <c r="DP14" i="4" s="1"/>
  <c r="DI12" i="4"/>
  <c r="DI14" i="4" s="1"/>
  <c r="DB12" i="4"/>
  <c r="DC12" i="4"/>
  <c r="DC14" i="4" s="1"/>
  <c r="DD12" i="4"/>
  <c r="DD14" i="4" s="1"/>
  <c r="DM12" i="4"/>
  <c r="DM14" i="4" s="1"/>
  <c r="M155" i="4"/>
  <c r="M156" i="4" s="1"/>
  <c r="N154" i="4" s="1"/>
  <c r="I12" i="7"/>
  <c r="DH43" i="4"/>
  <c r="DH44" i="4" s="1"/>
  <c r="DI43" i="4"/>
  <c r="DI44" i="4" s="1"/>
  <c r="DJ43" i="4"/>
  <c r="DJ44" i="4" s="1"/>
  <c r="DK43" i="4"/>
  <c r="DK44" i="4" s="1"/>
  <c r="DL43" i="4"/>
  <c r="DL44" i="4" s="1"/>
  <c r="BK43" i="4"/>
  <c r="BK44" i="4" s="1"/>
  <c r="BJ43" i="4"/>
  <c r="BJ44" i="4" s="1"/>
  <c r="F184" i="4"/>
  <c r="G177" i="4"/>
  <c r="G191" i="4"/>
  <c r="G192" i="4" s="1"/>
  <c r="F93" i="4"/>
  <c r="G86" i="4"/>
  <c r="D33" i="4"/>
  <c r="P14" i="4"/>
  <c r="BK12" i="4"/>
  <c r="BK13" i="4" s="1"/>
  <c r="BL12" i="4"/>
  <c r="BL14" i="4" s="1"/>
  <c r="DQ12" i="4"/>
  <c r="DQ13" i="4" s="1"/>
  <c r="DJ12" i="4"/>
  <c r="DJ13" i="4" s="1"/>
  <c r="DK12" i="4"/>
  <c r="DK13" i="4" s="1"/>
  <c r="DL12" i="4"/>
  <c r="DL13" i="4" s="1"/>
  <c r="F120" i="4"/>
  <c r="E43" i="4"/>
  <c r="E44" i="4" s="1"/>
  <c r="F235" i="4"/>
  <c r="G228" i="4"/>
  <c r="H12" i="8"/>
  <c r="G12" i="8"/>
  <c r="F13" i="8" s="1"/>
  <c r="DP43" i="4"/>
  <c r="DP44" i="4" s="1"/>
  <c r="DQ43" i="4"/>
  <c r="DQ44" i="4" s="1"/>
  <c r="DR43" i="4"/>
  <c r="DR44" i="4" s="1"/>
  <c r="DS43" i="4"/>
  <c r="DS44" i="4" s="1"/>
  <c r="BQ43" i="4"/>
  <c r="BQ44" i="4" s="1"/>
  <c r="BR43" i="4"/>
  <c r="BR44" i="4" s="1"/>
  <c r="BS43" i="4"/>
  <c r="BS44" i="4" s="1"/>
  <c r="M129" i="4"/>
  <c r="M130" i="4" s="1"/>
  <c r="N128" i="4" s="1"/>
  <c r="AB43" i="4"/>
  <c r="AB44" i="4" s="1"/>
  <c r="AN42" i="4"/>
  <c r="R42" i="4"/>
  <c r="F42" i="4"/>
  <c r="D30" i="4"/>
  <c r="F198" i="4"/>
  <c r="BJ12" i="4"/>
  <c r="BJ14" i="4" s="1"/>
  <c r="G203" i="4"/>
  <c r="F210" i="4"/>
  <c r="BR12" i="4"/>
  <c r="BR13" i="4" s="1"/>
  <c r="BS12" i="4"/>
  <c r="BS13" i="4" s="1"/>
  <c r="BT12" i="4"/>
  <c r="BT13" i="4" s="1"/>
  <c r="BM12" i="4"/>
  <c r="BM13" i="4" s="1"/>
  <c r="DR12" i="4"/>
  <c r="DR14" i="4" s="1"/>
  <c r="DS12" i="4"/>
  <c r="BQ12" i="4"/>
  <c r="BQ13" i="4" s="1"/>
  <c r="G152" i="4"/>
  <c r="G153" i="4" s="1"/>
  <c r="G113" i="4"/>
  <c r="G114" i="4" s="1"/>
  <c r="AC42" i="4"/>
  <c r="Q43" i="4"/>
  <c r="Q44" i="4" s="1"/>
  <c r="G165" i="4"/>
  <c r="G166" i="4" s="1"/>
  <c r="E14" i="4"/>
  <c r="BL43" i="4"/>
  <c r="BL44" i="4" s="1"/>
  <c r="BM43" i="4"/>
  <c r="BM44" i="4" s="1"/>
  <c r="BN43" i="4"/>
  <c r="BN44" i="4" s="1"/>
  <c r="BO43" i="4"/>
  <c r="BO44" i="4" s="1"/>
  <c r="BP43" i="4"/>
  <c r="BP44" i="4" s="1"/>
  <c r="BY43" i="4"/>
  <c r="BY44" i="4" s="1"/>
  <c r="BZ43" i="4"/>
  <c r="BZ44" i="4" s="1"/>
  <c r="CA43" i="4"/>
  <c r="CA44" i="4" s="1"/>
  <c r="R24" i="4"/>
  <c r="F25" i="4"/>
  <c r="F26" i="4" s="1"/>
  <c r="E20" i="4"/>
  <c r="E19" i="4"/>
  <c r="AB24" i="4"/>
  <c r="P25" i="4"/>
  <c r="P26" i="4" s="1"/>
  <c r="BZ12" i="4"/>
  <c r="BZ14" i="4" s="1"/>
  <c r="CA12" i="4"/>
  <c r="CA14" i="4" s="1"/>
  <c r="CB12" i="4"/>
  <c r="CB13" i="4" s="1"/>
  <c r="BU12" i="4"/>
  <c r="BN12" i="4"/>
  <c r="BN13" i="4" s="1"/>
  <c r="BO12" i="4"/>
  <c r="BP12" i="4"/>
  <c r="BP14" i="4" s="1"/>
  <c r="BY12" i="4"/>
  <c r="BY14" i="4" s="1"/>
  <c r="F159" i="4"/>
  <c r="K194" i="4"/>
  <c r="K195" i="4" s="1"/>
  <c r="L193" i="4" s="1"/>
  <c r="F132" i="4"/>
  <c r="G125" i="4"/>
  <c r="F172" i="4"/>
  <c r="AC9" i="4"/>
  <c r="Q12" i="4"/>
  <c r="Q13" i="4" s="1"/>
  <c r="I11" i="8"/>
  <c r="BT43" i="4"/>
  <c r="BT44" i="4" s="1"/>
  <c r="BU43" i="4"/>
  <c r="BU44" i="4" s="1"/>
  <c r="BV43" i="4"/>
  <c r="BV44" i="4" s="1"/>
  <c r="BW43" i="4"/>
  <c r="BW44" i="4" s="1"/>
  <c r="BX43" i="4"/>
  <c r="BX44" i="4" s="1"/>
  <c r="CG43" i="4"/>
  <c r="CG44" i="4" s="1"/>
  <c r="CH43" i="4"/>
  <c r="CH44" i="4" s="1"/>
  <c r="CI43" i="4"/>
  <c r="CI44" i="4" s="1"/>
  <c r="G224" i="4"/>
  <c r="DC13" i="4" l="1"/>
  <c r="AZ19" i="4"/>
  <c r="AZ28" i="4" s="1"/>
  <c r="DP13" i="4"/>
  <c r="BJ13" i="4"/>
  <c r="CH14" i="4"/>
  <c r="CI19" i="4" s="1"/>
  <c r="CI28" i="4" s="1"/>
  <c r="DJ14" i="4"/>
  <c r="DK19" i="4" s="1"/>
  <c r="DK28" i="4" s="1"/>
  <c r="CR14" i="4"/>
  <c r="CS20" i="4" s="1"/>
  <c r="CS46" i="4" s="1"/>
  <c r="BY13" i="4"/>
  <c r="CQ14" i="4"/>
  <c r="CR20" i="4" s="1"/>
  <c r="CR46" i="4" s="1"/>
  <c r="F14" i="4"/>
  <c r="G20" i="4" s="1"/>
  <c r="G46" i="4" s="1"/>
  <c r="CJ14" i="4"/>
  <c r="CK20" i="4" s="1"/>
  <c r="CK46" i="4" s="1"/>
  <c r="CA13" i="4"/>
  <c r="DL14" i="4"/>
  <c r="DM19" i="4" s="1"/>
  <c r="DM28" i="4" s="1"/>
  <c r="DM13" i="4"/>
  <c r="BW14" i="4"/>
  <c r="BX19" i="4" s="1"/>
  <c r="BX28" i="4" s="1"/>
  <c r="DE14" i="4"/>
  <c r="DF20" i="4" s="1"/>
  <c r="DF46" i="4" s="1"/>
  <c r="BL13" i="4"/>
  <c r="DA14" i="4"/>
  <c r="DB20" i="4" s="1"/>
  <c r="DB46" i="4" s="1"/>
  <c r="DO13" i="4"/>
  <c r="G158" i="4"/>
  <c r="H151" i="4"/>
  <c r="CO19" i="4"/>
  <c r="CO28" i="4" s="1"/>
  <c r="CO20" i="4"/>
  <c r="CO46" i="4" s="1"/>
  <c r="M181" i="4"/>
  <c r="M182" i="4" s="1"/>
  <c r="N180" i="4" s="1"/>
  <c r="M116" i="4"/>
  <c r="M117" i="4" s="1"/>
  <c r="N115" i="4" s="1"/>
  <c r="DE19" i="4"/>
  <c r="DE28" i="4" s="1"/>
  <c r="DE20" i="4"/>
  <c r="DE46" i="4" s="1"/>
  <c r="N90" i="4"/>
  <c r="N91" i="4" s="1"/>
  <c r="O89" i="4" s="1"/>
  <c r="H223" i="4"/>
  <c r="H224" i="4" s="1"/>
  <c r="I216" i="4"/>
  <c r="G197" i="4"/>
  <c r="H190" i="4"/>
  <c r="CW19" i="4"/>
  <c r="CW28" i="4" s="1"/>
  <c r="CW20" i="4"/>
  <c r="CW46" i="4" s="1"/>
  <c r="N64" i="4"/>
  <c r="N65" i="4" s="1"/>
  <c r="O63" i="4" s="1"/>
  <c r="G119" i="4"/>
  <c r="H112" i="4"/>
  <c r="M207" i="4"/>
  <c r="M208" i="4" s="1"/>
  <c r="N206" i="4" s="1"/>
  <c r="L142" i="4"/>
  <c r="L143" i="4" s="1"/>
  <c r="M141" i="4" s="1"/>
  <c r="O77" i="4"/>
  <c r="O78" i="4" s="1"/>
  <c r="P76" i="4" s="1"/>
  <c r="G67" i="4"/>
  <c r="H60" i="4"/>
  <c r="N168" i="4"/>
  <c r="N169" i="4" s="1"/>
  <c r="O167" i="4" s="1"/>
  <c r="N129" i="4"/>
  <c r="N130" i="4" s="1"/>
  <c r="O128" i="4" s="1"/>
  <c r="G80" i="4"/>
  <c r="H73" i="4"/>
  <c r="BJ25" i="4"/>
  <c r="BJ26" i="4" s="1"/>
  <c r="CL20" i="4"/>
  <c r="CL46" i="4" s="1"/>
  <c r="CL19" i="4"/>
  <c r="CL28" i="4" s="1"/>
  <c r="CH20" i="4"/>
  <c r="CH46" i="4" s="1"/>
  <c r="CH19" i="4"/>
  <c r="CH28" i="4" s="1"/>
  <c r="N155" i="4"/>
  <c r="N156" i="4" s="1"/>
  <c r="O154" i="4" s="1"/>
  <c r="CO25" i="4"/>
  <c r="CO26" i="4" s="1"/>
  <c r="BT25" i="4"/>
  <c r="BT26" i="4" s="1"/>
  <c r="BV25" i="4"/>
  <c r="BV26" i="4" s="1"/>
  <c r="BW25" i="4"/>
  <c r="BW26" i="4" s="1"/>
  <c r="BX25" i="4"/>
  <c r="BX26" i="4" s="1"/>
  <c r="AC12" i="4"/>
  <c r="AC14" i="4" s="1"/>
  <c r="AO9" i="4"/>
  <c r="E46" i="4"/>
  <c r="BK20" i="4"/>
  <c r="BK46" i="4" s="1"/>
  <c r="BK19" i="4"/>
  <c r="BK28" i="4" s="1"/>
  <c r="G229" i="4"/>
  <c r="G230" i="4" s="1"/>
  <c r="BM20" i="4"/>
  <c r="BM46" i="4" s="1"/>
  <c r="BM19" i="4"/>
  <c r="BM28" i="4" s="1"/>
  <c r="DD19" i="4"/>
  <c r="DD28" i="4" s="1"/>
  <c r="DD20" i="4"/>
  <c r="DD46" i="4" s="1"/>
  <c r="CU13" i="4"/>
  <c r="CW25" i="4"/>
  <c r="CW26" i="4" s="1"/>
  <c r="CH25" i="4"/>
  <c r="CH26" i="4" s="1"/>
  <c r="CI25" i="4"/>
  <c r="CI26" i="4" s="1"/>
  <c r="CB25" i="4"/>
  <c r="CB26" i="4" s="1"/>
  <c r="CC25" i="4"/>
  <c r="CC26" i="4" s="1"/>
  <c r="CD25" i="4"/>
  <c r="CD26" i="4" s="1"/>
  <c r="CE25" i="4"/>
  <c r="CE26" i="4" s="1"/>
  <c r="CF25" i="4"/>
  <c r="CF26" i="4" s="1"/>
  <c r="CE14" i="4"/>
  <c r="BV13" i="4"/>
  <c r="CA20" i="4"/>
  <c r="CA46" i="4" s="1"/>
  <c r="CA19" i="4"/>
  <c r="CA28" i="4" s="1"/>
  <c r="DJ20" i="4"/>
  <c r="DJ46" i="4" s="1"/>
  <c r="DJ19" i="4"/>
  <c r="DJ28" i="4" s="1"/>
  <c r="N103" i="4"/>
  <c r="N104" i="4" s="1"/>
  <c r="O102" i="4" s="1"/>
  <c r="CA25" i="4"/>
  <c r="CA26" i="4" s="1"/>
  <c r="BO13" i="4"/>
  <c r="BO14" i="4"/>
  <c r="AC43" i="4"/>
  <c r="AC44" i="4" s="1"/>
  <c r="AO42" i="4"/>
  <c r="BQ14" i="4"/>
  <c r="BS14" i="4"/>
  <c r="F236" i="4"/>
  <c r="G87" i="4"/>
  <c r="G88" i="4" s="1"/>
  <c r="AC19" i="4"/>
  <c r="AC28" i="4" s="1"/>
  <c r="AC20" i="4"/>
  <c r="AC46" i="4" s="1"/>
  <c r="I13" i="7"/>
  <c r="CU14" i="4"/>
  <c r="DH13" i="4"/>
  <c r="I13" i="6"/>
  <c r="J13" i="6" s="1"/>
  <c r="DE25" i="4"/>
  <c r="DE26" i="4" s="1"/>
  <c r="CP25" i="4"/>
  <c r="CP26" i="4" s="1"/>
  <c r="CQ25" i="4"/>
  <c r="CQ26" i="4" s="1"/>
  <c r="CJ25" i="4"/>
  <c r="CJ26" i="4" s="1"/>
  <c r="CK25" i="4"/>
  <c r="CK26" i="4" s="1"/>
  <c r="CL25" i="4"/>
  <c r="CL26" i="4" s="1"/>
  <c r="CM25" i="4"/>
  <c r="CM26" i="4" s="1"/>
  <c r="CN25" i="4"/>
  <c r="CN26" i="4" s="1"/>
  <c r="CL14" i="4"/>
  <c r="CY13" i="4"/>
  <c r="CE13" i="4"/>
  <c r="G12" i="4"/>
  <c r="G13" i="4" s="1"/>
  <c r="S9" i="4"/>
  <c r="BY19" i="4"/>
  <c r="BY28" i="4" s="1"/>
  <c r="BY20" i="4"/>
  <c r="BY46" i="4" s="1"/>
  <c r="BV14" i="4"/>
  <c r="E47" i="4"/>
  <c r="D54" i="4"/>
  <c r="H241" i="4"/>
  <c r="H242" i="4" s="1"/>
  <c r="E28" i="4"/>
  <c r="AD42" i="4"/>
  <c r="R43" i="4"/>
  <c r="R44" i="4" s="1"/>
  <c r="DO20" i="4"/>
  <c r="DO46" i="4" s="1"/>
  <c r="DO19" i="4"/>
  <c r="DO28" i="4" s="1"/>
  <c r="BU25" i="4"/>
  <c r="BU26" i="4" s="1"/>
  <c r="DA20" i="4"/>
  <c r="DA46" i="4" s="1"/>
  <c r="DA19" i="4"/>
  <c r="DA28" i="4" s="1"/>
  <c r="BZ20" i="4"/>
  <c r="BZ46" i="4" s="1"/>
  <c r="BZ19" i="4"/>
  <c r="BZ28" i="4" s="1"/>
  <c r="AZ42" i="4"/>
  <c r="AN43" i="4"/>
  <c r="AN44" i="4" s="1"/>
  <c r="F94" i="4"/>
  <c r="DN20" i="4"/>
  <c r="DN46" i="4" s="1"/>
  <c r="DN19" i="4"/>
  <c r="DN28" i="4" s="1"/>
  <c r="DQ20" i="4"/>
  <c r="DQ46" i="4" s="1"/>
  <c r="DQ19" i="4"/>
  <c r="DQ28" i="4" s="1"/>
  <c r="AZ9" i="4"/>
  <c r="AN12" i="4"/>
  <c r="AN13" i="4" s="1"/>
  <c r="DH14" i="4"/>
  <c r="H14" i="6"/>
  <c r="G14" i="6"/>
  <c r="I14" i="6" s="1"/>
  <c r="J14" i="6" s="1"/>
  <c r="CX25" i="4"/>
  <c r="CX26" i="4" s="1"/>
  <c r="CY25" i="4"/>
  <c r="CY26" i="4" s="1"/>
  <c r="CR25" i="4"/>
  <c r="CR26" i="4" s="1"/>
  <c r="CS25" i="4"/>
  <c r="CS26" i="4" s="1"/>
  <c r="CT25" i="4"/>
  <c r="CT26" i="4" s="1"/>
  <c r="CU25" i="4"/>
  <c r="CU26" i="4" s="1"/>
  <c r="CV25" i="4"/>
  <c r="CV26" i="4" s="1"/>
  <c r="CY14" i="4"/>
  <c r="R12" i="4"/>
  <c r="R14" i="4" s="1"/>
  <c r="AD9" i="4"/>
  <c r="CP20" i="4"/>
  <c r="CP46" i="4" s="1"/>
  <c r="CP19" i="4"/>
  <c r="CP28" i="4" s="1"/>
  <c r="S42" i="4"/>
  <c r="G42" i="4"/>
  <c r="CI14" i="4"/>
  <c r="E18" i="4"/>
  <c r="F16" i="4" s="1"/>
  <c r="F17" i="4" s="1"/>
  <c r="G248" i="4"/>
  <c r="J11" i="8"/>
  <c r="G24" i="4"/>
  <c r="G126" i="4"/>
  <c r="G127" i="4" s="1"/>
  <c r="F20" i="4"/>
  <c r="F46" i="4" s="1"/>
  <c r="F19" i="4"/>
  <c r="F28" i="4" s="1"/>
  <c r="DS14" i="4"/>
  <c r="BM14" i="4"/>
  <c r="DQ14" i="4"/>
  <c r="BK14" i="4"/>
  <c r="DB13" i="4"/>
  <c r="CT13" i="4"/>
  <c r="DM25" i="4"/>
  <c r="DM26" i="4" s="1"/>
  <c r="DF25" i="4"/>
  <c r="DF26" i="4" s="1"/>
  <c r="DG25" i="4"/>
  <c r="DG26" i="4" s="1"/>
  <c r="CZ25" i="4"/>
  <c r="CZ26" i="4" s="1"/>
  <c r="DA25" i="4"/>
  <c r="DA26" i="4" s="1"/>
  <c r="DB25" i="4"/>
  <c r="DB26" i="4" s="1"/>
  <c r="DC25" i="4"/>
  <c r="DC26" i="4" s="1"/>
  <c r="DD25" i="4"/>
  <c r="DD26" i="4" s="1"/>
  <c r="CN13" i="4"/>
  <c r="CX14" i="4"/>
  <c r="CO13" i="4"/>
  <c r="CD13" i="4"/>
  <c r="BX13" i="4"/>
  <c r="CC14" i="4"/>
  <c r="H100" i="4"/>
  <c r="H101" i="4" s="1"/>
  <c r="H14" i="7"/>
  <c r="G14" i="7"/>
  <c r="I14" i="7" s="1"/>
  <c r="DG20" i="4"/>
  <c r="DG46" i="4" s="1"/>
  <c r="DG19" i="4"/>
  <c r="DG28" i="4" s="1"/>
  <c r="BZ25" i="4"/>
  <c r="BZ26" i="4" s="1"/>
  <c r="CB14" i="4"/>
  <c r="F133" i="4"/>
  <c r="BN14" i="4"/>
  <c r="AN24" i="4"/>
  <c r="AB25" i="4"/>
  <c r="AB26" i="4" s="1"/>
  <c r="DS13" i="4"/>
  <c r="BR14" i="4"/>
  <c r="DK14" i="4"/>
  <c r="Q20" i="4"/>
  <c r="Q46" i="4" s="1"/>
  <c r="Q19" i="4"/>
  <c r="Q28" i="4" s="1"/>
  <c r="DB14" i="4"/>
  <c r="AB13" i="4"/>
  <c r="AO24" i="4"/>
  <c r="AC25" i="4"/>
  <c r="AC26" i="4" s="1"/>
  <c r="CT14" i="4"/>
  <c r="DG13" i="4"/>
  <c r="BQ25" i="4"/>
  <c r="BQ26" i="4" s="1"/>
  <c r="DN25" i="4"/>
  <c r="DN26" i="4" s="1"/>
  <c r="DO25" i="4"/>
  <c r="DO26" i="4" s="1"/>
  <c r="DH25" i="4"/>
  <c r="DH26" i="4" s="1"/>
  <c r="DI25" i="4"/>
  <c r="DI26" i="4" s="1"/>
  <c r="DJ25" i="4"/>
  <c r="DJ26" i="4" s="1"/>
  <c r="DK25" i="4"/>
  <c r="DK26" i="4" s="1"/>
  <c r="DL25" i="4"/>
  <c r="DL26" i="4" s="1"/>
  <c r="CS14" i="4"/>
  <c r="CD14" i="4"/>
  <c r="CC13" i="4"/>
  <c r="CI20" i="4"/>
  <c r="CI46" i="4" s="1"/>
  <c r="G107" i="4"/>
  <c r="J12" i="7"/>
  <c r="L12" i="6" s="1"/>
  <c r="H9" i="4"/>
  <c r="DP20" i="4"/>
  <c r="DP46" i="4" s="1"/>
  <c r="DP19" i="4"/>
  <c r="DP28" i="4" s="1"/>
  <c r="DH20" i="4"/>
  <c r="DH46" i="4" s="1"/>
  <c r="DH19" i="4"/>
  <c r="DH28" i="4" s="1"/>
  <c r="BY25" i="4"/>
  <c r="BY26" i="4" s="1"/>
  <c r="BK25" i="4"/>
  <c r="BK26" i="4" s="1"/>
  <c r="DP25" i="4"/>
  <c r="DP26" i="4" s="1"/>
  <c r="DQ25" i="4"/>
  <c r="DQ26" i="4" s="1"/>
  <c r="DR25" i="4"/>
  <c r="DR26" i="4" s="1"/>
  <c r="DS25" i="4"/>
  <c r="DS26" i="4" s="1"/>
  <c r="CN19" i="4"/>
  <c r="CN28" i="4" s="1"/>
  <c r="CN20" i="4"/>
  <c r="CN46" i="4" s="1"/>
  <c r="CG19" i="4"/>
  <c r="CG28" i="4" s="1"/>
  <c r="CG20" i="4"/>
  <c r="CG46" i="4" s="1"/>
  <c r="E50" i="4"/>
  <c r="D53" i="4"/>
  <c r="H139" i="4"/>
  <c r="H140" i="4" s="1"/>
  <c r="R25" i="4"/>
  <c r="R26" i="4" s="1"/>
  <c r="AD24" i="4"/>
  <c r="DS19" i="4"/>
  <c r="DS28" i="4" s="1"/>
  <c r="DS20" i="4"/>
  <c r="DS46" i="4" s="1"/>
  <c r="L194" i="4"/>
  <c r="L195" i="4" s="1"/>
  <c r="M193" i="4" s="1"/>
  <c r="BQ20" i="4"/>
  <c r="BQ46" i="4" s="1"/>
  <c r="BQ19" i="4"/>
  <c r="BQ28" i="4" s="1"/>
  <c r="BU13" i="4"/>
  <c r="CB20" i="4"/>
  <c r="CB46" i="4" s="1"/>
  <c r="CB19" i="4"/>
  <c r="CB28" i="4" s="1"/>
  <c r="G171" i="4"/>
  <c r="H164" i="4"/>
  <c r="F211" i="4"/>
  <c r="D31" i="4"/>
  <c r="H13" i="8"/>
  <c r="G13" i="8"/>
  <c r="F14" i="8" s="1"/>
  <c r="G178" i="4"/>
  <c r="G179" i="4" s="1"/>
  <c r="Q14" i="4"/>
  <c r="BP13" i="4"/>
  <c r="BU14" i="4"/>
  <c r="BZ13" i="4"/>
  <c r="DR13" i="4"/>
  <c r="BT14" i="4"/>
  <c r="G204" i="4"/>
  <c r="G205" i="4" s="1"/>
  <c r="F43" i="4"/>
  <c r="F44" i="4" s="1"/>
  <c r="I12" i="8"/>
  <c r="D34" i="4"/>
  <c r="F185" i="4"/>
  <c r="DD13" i="4"/>
  <c r="DI13" i="4"/>
  <c r="DN13" i="4"/>
  <c r="CV13" i="4"/>
  <c r="DF13" i="4"/>
  <c r="CG25" i="4"/>
  <c r="CG26" i="4" s="1"/>
  <c r="BR25" i="4"/>
  <c r="BR26" i="4" s="1"/>
  <c r="BS25" i="4"/>
  <c r="BS26" i="4" s="1"/>
  <c r="BL25" i="4"/>
  <c r="BL26" i="4" s="1"/>
  <c r="BM25" i="4"/>
  <c r="BM26" i="4" s="1"/>
  <c r="BN25" i="4"/>
  <c r="BN26" i="4" s="1"/>
  <c r="BO25" i="4"/>
  <c r="BO26" i="4" s="1"/>
  <c r="BP25" i="4"/>
  <c r="BP26" i="4" s="1"/>
  <c r="CW14" i="4"/>
  <c r="CM13" i="4"/>
  <c r="CZ13" i="4"/>
  <c r="CF13" i="4"/>
  <c r="CK13" i="4"/>
  <c r="CP14" i="4"/>
  <c r="CG13" i="4"/>
  <c r="G146" i="4"/>
  <c r="CS19" i="4" l="1"/>
  <c r="CS28" i="4" s="1"/>
  <c r="BX20" i="4"/>
  <c r="BX46" i="4" s="1"/>
  <c r="CR19" i="4"/>
  <c r="CR28" i="4" s="1"/>
  <c r="DK20" i="4"/>
  <c r="DK46" i="4" s="1"/>
  <c r="G19" i="4"/>
  <c r="G28" i="4" s="1"/>
  <c r="DB19" i="4"/>
  <c r="DB28" i="4" s="1"/>
  <c r="R13" i="4"/>
  <c r="CK19" i="4"/>
  <c r="CK28" i="4" s="1"/>
  <c r="DF19" i="4"/>
  <c r="DF28" i="4" s="1"/>
  <c r="DM20" i="4"/>
  <c r="DM46" i="4" s="1"/>
  <c r="G235" i="4"/>
  <c r="H228" i="4"/>
  <c r="G93" i="4"/>
  <c r="H86" i="4"/>
  <c r="J14" i="7"/>
  <c r="L14" i="6" s="1"/>
  <c r="J9" i="4"/>
  <c r="M142" i="4"/>
  <c r="M143" i="4" s="1"/>
  <c r="N141" i="4" s="1"/>
  <c r="N181" i="4"/>
  <c r="N182" i="4" s="1"/>
  <c r="O180" i="4" s="1"/>
  <c r="N207" i="4"/>
  <c r="N208" i="4" s="1"/>
  <c r="O206" i="4" s="1"/>
  <c r="O90" i="4"/>
  <c r="O91" i="4" s="1"/>
  <c r="P89" i="4" s="1"/>
  <c r="O64" i="4"/>
  <c r="O65" i="4" s="1"/>
  <c r="P63" i="4" s="1"/>
  <c r="M194" i="4"/>
  <c r="M195" i="4" s="1"/>
  <c r="N193" i="4" s="1"/>
  <c r="BV20" i="4"/>
  <c r="BV46" i="4" s="1"/>
  <c r="BV19" i="4"/>
  <c r="BV28" i="4" s="1"/>
  <c r="I99" i="4"/>
  <c r="H106" i="4"/>
  <c r="DR20" i="4"/>
  <c r="DR46" i="4" s="1"/>
  <c r="DR19" i="4"/>
  <c r="DR28" i="4" s="1"/>
  <c r="G132" i="4"/>
  <c r="H125" i="4"/>
  <c r="AD12" i="4"/>
  <c r="AD13" i="4" s="1"/>
  <c r="AP9" i="4"/>
  <c r="AZ43" i="4"/>
  <c r="AZ44" i="4" s="1"/>
  <c r="H247" i="4"/>
  <c r="I240" i="4"/>
  <c r="S12" i="4"/>
  <c r="S14" i="4" s="1"/>
  <c r="AE9" i="4"/>
  <c r="O129" i="4"/>
  <c r="O130" i="4" s="1"/>
  <c r="P128" i="4" s="1"/>
  <c r="P77" i="4"/>
  <c r="P78" i="4" s="1"/>
  <c r="Q76" i="4" s="1"/>
  <c r="G14" i="8"/>
  <c r="I14" i="8"/>
  <c r="H14" i="8"/>
  <c r="D36" i="4"/>
  <c r="E29" i="4"/>
  <c r="E30" i="4" s="1"/>
  <c r="CQ20" i="4"/>
  <c r="CQ46" i="4" s="1"/>
  <c r="CQ19" i="4"/>
  <c r="CQ28" i="4" s="1"/>
  <c r="E32" i="4"/>
  <c r="E33" i="4" s="1"/>
  <c r="D35" i="4"/>
  <c r="DL19" i="4"/>
  <c r="DL28" i="4" s="1"/>
  <c r="DL20" i="4"/>
  <c r="DL46" i="4" s="1"/>
  <c r="AZ24" i="4"/>
  <c r="AN25" i="4"/>
  <c r="AN26" i="4" s="1"/>
  <c r="CC20" i="4"/>
  <c r="CC46" i="4" s="1"/>
  <c r="CC19" i="4"/>
  <c r="CC28" i="4" s="1"/>
  <c r="CD20" i="4"/>
  <c r="CD46" i="4" s="1"/>
  <c r="CD19" i="4"/>
  <c r="CD28" i="4" s="1"/>
  <c r="S24" i="4"/>
  <c r="G25" i="4"/>
  <c r="G43" i="4"/>
  <c r="G44" i="4" s="1"/>
  <c r="CM19" i="4"/>
  <c r="CM28" i="4" s="1"/>
  <c r="CM20" i="4"/>
  <c r="CM46" i="4" s="1"/>
  <c r="BT20" i="4"/>
  <c r="BT46" i="4" s="1"/>
  <c r="BT19" i="4"/>
  <c r="BT28" i="4" s="1"/>
  <c r="E51" i="4"/>
  <c r="E48" i="4"/>
  <c r="E49" i="4" s="1"/>
  <c r="CT20" i="4"/>
  <c r="CT46" i="4" s="1"/>
  <c r="CT19" i="4"/>
  <c r="CT28" i="4" s="1"/>
  <c r="AO25" i="4"/>
  <c r="AO26" i="4" s="1"/>
  <c r="BA24" i="4"/>
  <c r="BP19" i="4"/>
  <c r="BP28" i="4" s="1"/>
  <c r="BP20" i="4"/>
  <c r="BP46" i="4" s="1"/>
  <c r="O103" i="4"/>
  <c r="O104" i="4" s="1"/>
  <c r="P102" i="4" s="1"/>
  <c r="CF19" i="4"/>
  <c r="CF28" i="4" s="1"/>
  <c r="CF20" i="4"/>
  <c r="CF46" i="4" s="1"/>
  <c r="O168" i="4"/>
  <c r="O169" i="4" s="1"/>
  <c r="P167" i="4" s="1"/>
  <c r="AP24" i="4"/>
  <c r="AD25" i="4"/>
  <c r="AD26" i="4" s="1"/>
  <c r="D55" i="4"/>
  <c r="BS20" i="4"/>
  <c r="BS46" i="4" s="1"/>
  <c r="BS19" i="4"/>
  <c r="BS28" i="4" s="1"/>
  <c r="BN20" i="4"/>
  <c r="BN46" i="4" s="1"/>
  <c r="BN19" i="4"/>
  <c r="BN28" i="4" s="1"/>
  <c r="S19" i="4"/>
  <c r="S28" i="4" s="1"/>
  <c r="S20" i="4"/>
  <c r="S46" i="4" s="1"/>
  <c r="AP42" i="4"/>
  <c r="AD43" i="4"/>
  <c r="AD44" i="4" s="1"/>
  <c r="BR20" i="4"/>
  <c r="BR46" i="4" s="1"/>
  <c r="BR19" i="4"/>
  <c r="BR28" i="4" s="1"/>
  <c r="AD20" i="4"/>
  <c r="AD46" i="4" s="1"/>
  <c r="AD19" i="4"/>
  <c r="AD28" i="4" s="1"/>
  <c r="AE42" i="4"/>
  <c r="S43" i="4"/>
  <c r="S44" i="4" s="1"/>
  <c r="AZ12" i="4"/>
  <c r="AZ14" i="4" s="1"/>
  <c r="G210" i="4"/>
  <c r="H203" i="4"/>
  <c r="G184" i="4"/>
  <c r="H177" i="4"/>
  <c r="BO19" i="4"/>
  <c r="BO28" i="4" s="1"/>
  <c r="BO20" i="4"/>
  <c r="BO46" i="4" s="1"/>
  <c r="CZ20" i="4"/>
  <c r="CZ46" i="4" s="1"/>
  <c r="CZ19" i="4"/>
  <c r="CZ28" i="4" s="1"/>
  <c r="AN14" i="4"/>
  <c r="BW19" i="4"/>
  <c r="BW28" i="4" s="1"/>
  <c r="BW20" i="4"/>
  <c r="BW46" i="4" s="1"/>
  <c r="CV19" i="4"/>
  <c r="CV28" i="4" s="1"/>
  <c r="CV20" i="4"/>
  <c r="CV46" i="4" s="1"/>
  <c r="BA9" i="4"/>
  <c r="AO12" i="4"/>
  <c r="AO13" i="4" s="1"/>
  <c r="O155" i="4"/>
  <c r="O156" i="4" s="1"/>
  <c r="P154" i="4" s="1"/>
  <c r="H61" i="4"/>
  <c r="H62" i="4" s="1"/>
  <c r="F18" i="4"/>
  <c r="G16" i="4" s="1"/>
  <c r="G17" i="4" s="1"/>
  <c r="DI20" i="4"/>
  <c r="DI46" i="4" s="1"/>
  <c r="DI19" i="4"/>
  <c r="DI28" i="4" s="1"/>
  <c r="J13" i="7"/>
  <c r="L13" i="6" s="1"/>
  <c r="I9" i="4"/>
  <c r="H74" i="4"/>
  <c r="H75" i="4" s="1"/>
  <c r="G68" i="4"/>
  <c r="H191" i="4"/>
  <c r="H192" i="4" s="1"/>
  <c r="H152" i="4"/>
  <c r="H153" i="4" s="1"/>
  <c r="R20" i="4"/>
  <c r="R46" i="4" s="1"/>
  <c r="R19" i="4"/>
  <c r="R28" i="4" s="1"/>
  <c r="BU20" i="4"/>
  <c r="BU46" i="4" s="1"/>
  <c r="BU19" i="4"/>
  <c r="BU28" i="4" s="1"/>
  <c r="CX20" i="4"/>
  <c r="CX46" i="4" s="1"/>
  <c r="CX19" i="4"/>
  <c r="CX28" i="4" s="1"/>
  <c r="I13" i="8"/>
  <c r="G172" i="4"/>
  <c r="T9" i="4"/>
  <c r="H12" i="4"/>
  <c r="H13" i="4" s="1"/>
  <c r="CE19" i="4"/>
  <c r="CE28" i="4" s="1"/>
  <c r="CE20" i="4"/>
  <c r="CE46" i="4" s="1"/>
  <c r="CU19" i="4"/>
  <c r="CU28" i="4" s="1"/>
  <c r="CU20" i="4"/>
  <c r="CU46" i="4" s="1"/>
  <c r="DC19" i="4"/>
  <c r="DC28" i="4" s="1"/>
  <c r="DC20" i="4"/>
  <c r="DC46" i="4" s="1"/>
  <c r="CY20" i="4"/>
  <c r="CY46" i="4" s="1"/>
  <c r="CY19" i="4"/>
  <c r="CY28" i="4" s="1"/>
  <c r="CJ20" i="4"/>
  <c r="CJ46" i="4" s="1"/>
  <c r="CJ19" i="4"/>
  <c r="CJ28" i="4" s="1"/>
  <c r="BA42" i="4"/>
  <c r="AO43" i="4"/>
  <c r="AO44" i="4" s="1"/>
  <c r="AC13" i="4"/>
  <c r="G81" i="4"/>
  <c r="H113" i="4"/>
  <c r="H114" i="4" s="1"/>
  <c r="G198" i="4"/>
  <c r="N116" i="4"/>
  <c r="N117" i="4" s="1"/>
  <c r="O115" i="4" s="1"/>
  <c r="G159" i="4"/>
  <c r="J12" i="8"/>
  <c r="H24" i="4"/>
  <c r="H165" i="4"/>
  <c r="H166" i="4" s="1"/>
  <c r="H145" i="4"/>
  <c r="I138" i="4"/>
  <c r="T42" i="4"/>
  <c r="H42" i="4"/>
  <c r="BL20" i="4"/>
  <c r="BL46" i="4" s="1"/>
  <c r="BL19" i="4"/>
  <c r="BL28" i="4" s="1"/>
  <c r="G14" i="4"/>
  <c r="G120" i="4"/>
  <c r="I217" i="4"/>
  <c r="I218" i="4" s="1"/>
  <c r="AD14" i="4" l="1"/>
  <c r="AE20" i="4" s="1"/>
  <c r="AE46" i="4" s="1"/>
  <c r="T19" i="4"/>
  <c r="T28" i="4" s="1"/>
  <c r="T20" i="4"/>
  <c r="T46" i="4" s="1"/>
  <c r="N142" i="4"/>
  <c r="N143" i="4" s="1"/>
  <c r="O141" i="4" s="1"/>
  <c r="P64" i="4"/>
  <c r="P65" i="4" s="1"/>
  <c r="Q63" i="4" s="1"/>
  <c r="P168" i="4"/>
  <c r="P169" i="4" s="1"/>
  <c r="Q167" i="4" s="1"/>
  <c r="I112" i="4"/>
  <c r="H119" i="4"/>
  <c r="O116" i="4"/>
  <c r="O117" i="4" s="1"/>
  <c r="P115" i="4" s="1"/>
  <c r="P129" i="4"/>
  <c r="P130" i="4" s="1"/>
  <c r="Q128" i="4" s="1"/>
  <c r="O207" i="4"/>
  <c r="O208" i="4" s="1"/>
  <c r="P206" i="4" s="1"/>
  <c r="J216" i="4"/>
  <c r="I223" i="4"/>
  <c r="I224" i="4" s="1"/>
  <c r="BA43" i="4"/>
  <c r="BA44" i="4" s="1"/>
  <c r="I139" i="4"/>
  <c r="I140" i="4" s="1"/>
  <c r="I164" i="4"/>
  <c r="H171" i="4"/>
  <c r="AO20" i="4"/>
  <c r="AO46" i="4" s="1"/>
  <c r="AO19" i="4"/>
  <c r="AO28" i="4" s="1"/>
  <c r="H178" i="4"/>
  <c r="H179" i="4" s="1"/>
  <c r="Q77" i="4"/>
  <c r="Q78" i="4" s="1"/>
  <c r="R76" i="4" s="1"/>
  <c r="N194" i="4"/>
  <c r="N195" i="4" s="1"/>
  <c r="O193" i="4" s="1"/>
  <c r="P90" i="4"/>
  <c r="P91" i="4" s="1"/>
  <c r="Q89" i="4" s="1"/>
  <c r="V42" i="4"/>
  <c r="J42" i="4"/>
  <c r="P125" i="11"/>
  <c r="P124" i="11"/>
  <c r="P123" i="11"/>
  <c r="P126" i="11"/>
  <c r="P127" i="11"/>
  <c r="P122" i="11"/>
  <c r="R122" i="11" s="1"/>
  <c r="L17" i="6"/>
  <c r="G236" i="4"/>
  <c r="J13" i="8"/>
  <c r="I24" i="4"/>
  <c r="H80" i="4"/>
  <c r="I73" i="4"/>
  <c r="H67" i="4"/>
  <c r="I60" i="4"/>
  <c r="G185" i="4"/>
  <c r="E31" i="4"/>
  <c r="AE12" i="4"/>
  <c r="AE14" i="4" s="1"/>
  <c r="AQ9" i="4"/>
  <c r="H126" i="4"/>
  <c r="H127" i="4" s="1"/>
  <c r="H197" i="4"/>
  <c r="I190" i="4"/>
  <c r="T12" i="4"/>
  <c r="T14" i="4" s="1"/>
  <c r="AF9" i="4"/>
  <c r="H204" i="4"/>
  <c r="H205" i="4" s="1"/>
  <c r="BB42" i="4"/>
  <c r="AP43" i="4"/>
  <c r="AP44" i="4" s="1"/>
  <c r="D250" i="4"/>
  <c r="G133" i="4"/>
  <c r="H87" i="4"/>
  <c r="H88" i="4" s="1"/>
  <c r="H146" i="4"/>
  <c r="T24" i="4"/>
  <c r="H25" i="4"/>
  <c r="H26" i="4" s="1"/>
  <c r="H20" i="4"/>
  <c r="H19" i="4"/>
  <c r="H158" i="4"/>
  <c r="I151" i="4"/>
  <c r="P155" i="4"/>
  <c r="P156" i="4" s="1"/>
  <c r="Q154" i="4" s="1"/>
  <c r="G211" i="4"/>
  <c r="AQ42" i="4"/>
  <c r="AE43" i="4"/>
  <c r="AE44" i="4" s="1"/>
  <c r="BA25" i="4"/>
  <c r="BA26" i="4" s="1"/>
  <c r="G94" i="4"/>
  <c r="H14" i="4"/>
  <c r="U9" i="4"/>
  <c r="I12" i="4"/>
  <c r="I13" i="4" s="1"/>
  <c r="E54" i="4"/>
  <c r="F47" i="4"/>
  <c r="S13" i="4"/>
  <c r="P103" i="4"/>
  <c r="P104" i="4" s="1"/>
  <c r="Q102" i="4" s="1"/>
  <c r="J14" i="8"/>
  <c r="J17" i="8" s="1"/>
  <c r="J24" i="4"/>
  <c r="I241" i="4"/>
  <c r="I242" i="4" s="1"/>
  <c r="H107" i="4"/>
  <c r="O181" i="4"/>
  <c r="O182" i="4" s="1"/>
  <c r="P180" i="4" s="1"/>
  <c r="BA19" i="4"/>
  <c r="BA28" i="4" s="1"/>
  <c r="BA20" i="4"/>
  <c r="BA46" i="4" s="1"/>
  <c r="AO14" i="4"/>
  <c r="AE24" i="4"/>
  <c r="S25" i="4"/>
  <c r="S26" i="4" s="1"/>
  <c r="E34" i="4"/>
  <c r="H248" i="4"/>
  <c r="AP12" i="4"/>
  <c r="BB9" i="4"/>
  <c r="I100" i="4"/>
  <c r="I101" i="4" s="1"/>
  <c r="U42" i="4"/>
  <c r="I42" i="4"/>
  <c r="D249" i="4"/>
  <c r="D37" i="4"/>
  <c r="H43" i="4"/>
  <c r="H44" i="4" s="1"/>
  <c r="T43" i="4"/>
  <c r="T44" i="4" s="1"/>
  <c r="AF42" i="4"/>
  <c r="G18" i="4"/>
  <c r="H16" i="4" s="1"/>
  <c r="BA12" i="4"/>
  <c r="E52" i="4"/>
  <c r="AZ13" i="4"/>
  <c r="AP25" i="4"/>
  <c r="AP26" i="4" s="1"/>
  <c r="BB24" i="4"/>
  <c r="G26" i="4"/>
  <c r="AZ25" i="4"/>
  <c r="AZ26" i="4" s="1"/>
  <c r="J12" i="4"/>
  <c r="V9" i="4"/>
  <c r="H229" i="4"/>
  <c r="H230" i="4" s="1"/>
  <c r="AE19" i="4" l="1"/>
  <c r="AE28" i="4" s="1"/>
  <c r="AE13" i="4"/>
  <c r="H184" i="4"/>
  <c r="I177" i="4"/>
  <c r="H235" i="4"/>
  <c r="I228" i="4"/>
  <c r="H132" i="4"/>
  <c r="I125" i="4"/>
  <c r="O194" i="4"/>
  <c r="O195" i="4" s="1"/>
  <c r="P193" i="4" s="1"/>
  <c r="Q129" i="4"/>
  <c r="Q130" i="4" s="1"/>
  <c r="R128" i="4" s="1"/>
  <c r="O142" i="4"/>
  <c r="O143" i="4" s="1"/>
  <c r="P141" i="4" s="1"/>
  <c r="I247" i="4"/>
  <c r="I248" i="4" s="1"/>
  <c r="J240" i="4"/>
  <c r="P116" i="4"/>
  <c r="P117" i="4" s="1"/>
  <c r="Q115" i="4" s="1"/>
  <c r="J99" i="4"/>
  <c r="I106" i="4"/>
  <c r="I107" i="4" s="1"/>
  <c r="BB12" i="4"/>
  <c r="AP20" i="4"/>
  <c r="AP46" i="4" s="1"/>
  <c r="AP19" i="4"/>
  <c r="AP28" i="4" s="1"/>
  <c r="J25" i="4"/>
  <c r="J26" i="4" s="1"/>
  <c r="V24" i="4"/>
  <c r="H159" i="4"/>
  <c r="H93" i="4"/>
  <c r="I86" i="4"/>
  <c r="BB43" i="4"/>
  <c r="BB44" i="4" s="1"/>
  <c r="H68" i="4"/>
  <c r="I145" i="4"/>
  <c r="I146" i="4" s="1"/>
  <c r="J138" i="4"/>
  <c r="J217" i="4"/>
  <c r="J218" i="4" s="1"/>
  <c r="J43" i="4"/>
  <c r="J44" i="4" s="1"/>
  <c r="R77" i="4"/>
  <c r="R78" i="4" s="1"/>
  <c r="S76" i="4" s="1"/>
  <c r="P207" i="4"/>
  <c r="P208" i="4" s="1"/>
  <c r="Q206" i="4" s="1"/>
  <c r="Q64" i="4"/>
  <c r="Q65" i="4" s="1"/>
  <c r="R63" i="4" s="1"/>
  <c r="AR42" i="4"/>
  <c r="AF43" i="4"/>
  <c r="AF44" i="4" s="1"/>
  <c r="AP13" i="4"/>
  <c r="AQ24" i="4"/>
  <c r="AE25" i="4"/>
  <c r="AE26" i="4" s="1"/>
  <c r="AR9" i="4"/>
  <c r="AF12" i="4"/>
  <c r="AF14" i="4" s="1"/>
  <c r="I74" i="4"/>
  <c r="I75" i="4" s="1"/>
  <c r="AH42" i="4"/>
  <c r="V43" i="4"/>
  <c r="V44" i="4" s="1"/>
  <c r="H120" i="4"/>
  <c r="Q103" i="4"/>
  <c r="Q104" i="4" s="1"/>
  <c r="R102" i="4" s="1"/>
  <c r="AF24" i="4"/>
  <c r="T25" i="4"/>
  <c r="T26" i="4" s="1"/>
  <c r="I203" i="4"/>
  <c r="H210" i="4"/>
  <c r="U19" i="4"/>
  <c r="U28" i="4" s="1"/>
  <c r="U20" i="4"/>
  <c r="U46" i="4" s="1"/>
  <c r="AF20" i="4"/>
  <c r="AF46" i="4" s="1"/>
  <c r="AF19" i="4"/>
  <c r="AF28" i="4" s="1"/>
  <c r="H81" i="4"/>
  <c r="Q90" i="4"/>
  <c r="Q91" i="4" s="1"/>
  <c r="R89" i="4" s="1"/>
  <c r="I113" i="4"/>
  <c r="I114" i="4" s="1"/>
  <c r="Q23" i="1"/>
  <c r="H17" i="4"/>
  <c r="H18" i="4" s="1"/>
  <c r="I16" i="4" s="1"/>
  <c r="I191" i="4"/>
  <c r="I192" i="4" s="1"/>
  <c r="AQ12" i="4"/>
  <c r="AQ14" i="4" s="1"/>
  <c r="BC9" i="4"/>
  <c r="U43" i="4"/>
  <c r="U44" i="4" s="1"/>
  <c r="AG42" i="4"/>
  <c r="I14" i="4"/>
  <c r="D251" i="4"/>
  <c r="S23" i="1"/>
  <c r="T13" i="4"/>
  <c r="H198" i="4"/>
  <c r="H172" i="4"/>
  <c r="Q168" i="4"/>
  <c r="Q169" i="4" s="1"/>
  <c r="R167" i="4" s="1"/>
  <c r="AP14" i="4"/>
  <c r="V12" i="4"/>
  <c r="V13" i="4" s="1"/>
  <c r="AH9" i="4"/>
  <c r="F32" i="4"/>
  <c r="E35" i="4"/>
  <c r="P181" i="4"/>
  <c r="P182" i="4" s="1"/>
  <c r="Q180" i="4" s="1"/>
  <c r="U12" i="4"/>
  <c r="U14" i="4" s="1"/>
  <c r="AG9" i="4"/>
  <c r="Q155" i="4"/>
  <c r="Q156" i="4" s="1"/>
  <c r="R154" i="4" s="1"/>
  <c r="H28" i="4"/>
  <c r="E36" i="4"/>
  <c r="F29" i="4"/>
  <c r="I25" i="4"/>
  <c r="I26" i="4" s="1"/>
  <c r="U24" i="4"/>
  <c r="I165" i="4"/>
  <c r="I166" i="4" s="1"/>
  <c r="I43" i="4"/>
  <c r="I44" i="4" s="1"/>
  <c r="F50" i="4"/>
  <c r="E53" i="4"/>
  <c r="J13" i="4"/>
  <c r="BA13" i="4"/>
  <c r="J14" i="4"/>
  <c r="BB25" i="4"/>
  <c r="BB26" i="4" s="1"/>
  <c r="BA14" i="4"/>
  <c r="F48" i="4"/>
  <c r="F49" i="4" s="1"/>
  <c r="I20" i="4"/>
  <c r="I46" i="4" s="1"/>
  <c r="I19" i="4"/>
  <c r="I28" i="4" s="1"/>
  <c r="BC42" i="4"/>
  <c r="AQ43" i="4"/>
  <c r="AQ44" i="4" s="1"/>
  <c r="I152" i="4"/>
  <c r="I153" i="4" s="1"/>
  <c r="H46" i="4"/>
  <c r="I61" i="4"/>
  <c r="I62" i="4" s="1"/>
  <c r="AQ13" i="4" l="1"/>
  <c r="V14" i="4"/>
  <c r="U13" i="4"/>
  <c r="I80" i="4"/>
  <c r="I81" i="4" s="1"/>
  <c r="J73" i="4"/>
  <c r="R129" i="4"/>
  <c r="R130" i="4" s="1"/>
  <c r="S128" i="4" s="1"/>
  <c r="I171" i="4"/>
  <c r="I172" i="4" s="1"/>
  <c r="J164" i="4"/>
  <c r="P194" i="4"/>
  <c r="P195" i="4" s="1"/>
  <c r="Q193" i="4" s="1"/>
  <c r="I197" i="4"/>
  <c r="I198" i="4" s="1"/>
  <c r="J190" i="4"/>
  <c r="V20" i="4"/>
  <c r="V46" i="4" s="1"/>
  <c r="V19" i="4"/>
  <c r="V28" i="4" s="1"/>
  <c r="I17" i="4"/>
  <c r="I18" i="4" s="1"/>
  <c r="J16" i="4" s="1"/>
  <c r="R168" i="4"/>
  <c r="R169" i="4" s="1"/>
  <c r="S167" i="4" s="1"/>
  <c r="I67" i="4"/>
  <c r="I68" i="4" s="1"/>
  <c r="J60" i="4"/>
  <c r="Q181" i="4"/>
  <c r="Q182" i="4" s="1"/>
  <c r="R180" i="4" s="1"/>
  <c r="R90" i="4"/>
  <c r="R91" i="4" s="1"/>
  <c r="S89" i="4" s="1"/>
  <c r="F54" i="4"/>
  <c r="G47" i="4"/>
  <c r="AG24" i="4"/>
  <c r="U25" i="4"/>
  <c r="U26" i="4" s="1"/>
  <c r="R155" i="4"/>
  <c r="R156" i="4" s="1"/>
  <c r="S154" i="4" s="1"/>
  <c r="E249" i="4"/>
  <c r="E37" i="4"/>
  <c r="AG20" i="4"/>
  <c r="AG46" i="4" s="1"/>
  <c r="AG19" i="4"/>
  <c r="AG28" i="4" s="1"/>
  <c r="I126" i="4"/>
  <c r="I127" i="4" s="1"/>
  <c r="F33" i="4"/>
  <c r="I119" i="4"/>
  <c r="I120" i="4" s="1"/>
  <c r="J112" i="4"/>
  <c r="AT42" i="4"/>
  <c r="AH43" i="4"/>
  <c r="AH44" i="4" s="1"/>
  <c r="J223" i="4"/>
  <c r="J224" i="4" s="1"/>
  <c r="K216" i="4"/>
  <c r="AH24" i="4"/>
  <c r="V25" i="4"/>
  <c r="V26" i="4" s="1"/>
  <c r="Q116" i="4"/>
  <c r="Q117" i="4" s="1"/>
  <c r="R115" i="4" s="1"/>
  <c r="P142" i="4"/>
  <c r="P143" i="4" s="1"/>
  <c r="Q141" i="4" s="1"/>
  <c r="H133" i="4"/>
  <c r="BC12" i="4"/>
  <c r="BC14" i="4" s="1"/>
  <c r="H211" i="4"/>
  <c r="R103" i="4"/>
  <c r="R104" i="4" s="1"/>
  <c r="S102" i="4" s="1"/>
  <c r="AR43" i="4"/>
  <c r="AR44" i="4" s="1"/>
  <c r="BD42" i="4"/>
  <c r="S77" i="4"/>
  <c r="S78" i="4" s="1"/>
  <c r="T76" i="4" s="1"/>
  <c r="J139" i="4"/>
  <c r="J140" i="4" s="1"/>
  <c r="I87" i="4"/>
  <c r="I88" i="4" s="1"/>
  <c r="BB20" i="4"/>
  <c r="BB46" i="4" s="1"/>
  <c r="BB19" i="4"/>
  <c r="BB28" i="4" s="1"/>
  <c r="F30" i="4"/>
  <c r="F31" i="4" s="1"/>
  <c r="AS9" i="4"/>
  <c r="AG12" i="4"/>
  <c r="I204" i="4"/>
  <c r="I205" i="4" s="1"/>
  <c r="H94" i="4"/>
  <c r="J241" i="4"/>
  <c r="J242" i="4" s="1"/>
  <c r="BC43" i="4"/>
  <c r="BC44" i="4" s="1"/>
  <c r="E55" i="4"/>
  <c r="E250" i="4"/>
  <c r="AH12" i="4"/>
  <c r="AH13" i="4" s="1"/>
  <c r="AT9" i="4"/>
  <c r="J20" i="4"/>
  <c r="J19" i="4"/>
  <c r="J28" i="4" s="1"/>
  <c r="BC24" i="4"/>
  <c r="AQ25" i="4"/>
  <c r="AQ26" i="4" s="1"/>
  <c r="J100" i="4"/>
  <c r="J101" i="4" s="1"/>
  <c r="I229" i="4"/>
  <c r="I230" i="4" s="1"/>
  <c r="F51" i="4"/>
  <c r="F52" i="4" s="1"/>
  <c r="W20" i="4"/>
  <c r="W46" i="4" s="1"/>
  <c r="W19" i="4"/>
  <c r="W28" i="4" s="1"/>
  <c r="AR19" i="4"/>
  <c r="AR28" i="4" s="1"/>
  <c r="AR20" i="4"/>
  <c r="AR46" i="4" s="1"/>
  <c r="R64" i="4"/>
  <c r="R65" i="4" s="1"/>
  <c r="S63" i="4" s="1"/>
  <c r="H236" i="4"/>
  <c r="K19" i="4"/>
  <c r="K28" i="4" s="1"/>
  <c r="K20" i="4"/>
  <c r="K46" i="4" s="1"/>
  <c r="AF13" i="4"/>
  <c r="BB13" i="4"/>
  <c r="I178" i="4"/>
  <c r="I179" i="4" s="1"/>
  <c r="J151" i="4"/>
  <c r="I158" i="4"/>
  <c r="I159" i="4" s="1"/>
  <c r="AQ19" i="4"/>
  <c r="AQ28" i="4" s="1"/>
  <c r="AQ20" i="4"/>
  <c r="AQ46" i="4" s="1"/>
  <c r="AS42" i="4"/>
  <c r="AG43" i="4"/>
  <c r="AG44" i="4" s="1"/>
  <c r="D252" i="4"/>
  <c r="AR24" i="4"/>
  <c r="AF25" i="4"/>
  <c r="AF26" i="4" s="1"/>
  <c r="AR12" i="4"/>
  <c r="AR13" i="4" s="1"/>
  <c r="BD9" i="4"/>
  <c r="Q207" i="4"/>
  <c r="Q208" i="4" s="1"/>
  <c r="R206" i="4" s="1"/>
  <c r="BB14" i="4"/>
  <c r="H185" i="4"/>
  <c r="BC13" i="4" l="1"/>
  <c r="I235" i="4"/>
  <c r="I236" i="4" s="1"/>
  <c r="J228" i="4"/>
  <c r="S64" i="4"/>
  <c r="S65" i="4" s="1"/>
  <c r="T63" i="4" s="1"/>
  <c r="I132" i="4"/>
  <c r="I133" i="4" s="1"/>
  <c r="J125" i="4"/>
  <c r="J247" i="4"/>
  <c r="J248" i="4" s="1"/>
  <c r="K240" i="4"/>
  <c r="J17" i="4"/>
  <c r="J18" i="4" s="1"/>
  <c r="K16" i="4" s="1"/>
  <c r="K99" i="4"/>
  <c r="J106" i="4"/>
  <c r="J107" i="4" s="1"/>
  <c r="S129" i="4"/>
  <c r="S130" i="4" s="1"/>
  <c r="T128" i="4" s="1"/>
  <c r="I184" i="4"/>
  <c r="I185" i="4" s="1"/>
  <c r="J177" i="4"/>
  <c r="Q142" i="4"/>
  <c r="Q143" i="4" s="1"/>
  <c r="R141" i="4" s="1"/>
  <c r="I210" i="4"/>
  <c r="I211" i="4" s="1"/>
  <c r="J203" i="4"/>
  <c r="S90" i="4"/>
  <c r="S91" i="4" s="1"/>
  <c r="T89" i="4" s="1"/>
  <c r="R181" i="4"/>
  <c r="R182" i="4" s="1"/>
  <c r="S180" i="4" s="1"/>
  <c r="T23" i="1"/>
  <c r="U23" i="1" s="1"/>
  <c r="G50" i="4"/>
  <c r="F53" i="4"/>
  <c r="J46" i="4"/>
  <c r="F36" i="4"/>
  <c r="G29" i="4"/>
  <c r="S103" i="4"/>
  <c r="S104" i="4" s="1"/>
  <c r="T102" i="4" s="1"/>
  <c r="AH25" i="4"/>
  <c r="AH26" i="4" s="1"/>
  <c r="AT24" i="4"/>
  <c r="AT12" i="4"/>
  <c r="BF9" i="4"/>
  <c r="T77" i="4"/>
  <c r="T78" i="4" s="1"/>
  <c r="U76" i="4" s="1"/>
  <c r="J113" i="4"/>
  <c r="J114" i="4" s="1"/>
  <c r="S168" i="4"/>
  <c r="S169" i="4" s="1"/>
  <c r="T167" i="4" s="1"/>
  <c r="Q194" i="4"/>
  <c r="Q195" i="4"/>
  <c r="R193" i="4" s="1"/>
  <c r="J152" i="4"/>
  <c r="J153" i="4" s="1"/>
  <c r="BC25" i="4"/>
  <c r="BC26" i="4" s="1"/>
  <c r="K217" i="4"/>
  <c r="K218" i="4" s="1"/>
  <c r="AG25" i="4"/>
  <c r="AG26" i="4" s="1"/>
  <c r="AS24" i="4"/>
  <c r="J165" i="4"/>
  <c r="J166" i="4" s="1"/>
  <c r="R116" i="4"/>
  <c r="R117" i="4" s="1"/>
  <c r="S115" i="4" s="1"/>
  <c r="J61" i="4"/>
  <c r="J62" i="4" s="1"/>
  <c r="BC20" i="4"/>
  <c r="BC46" i="4" s="1"/>
  <c r="BC19" i="4"/>
  <c r="BC28" i="4" s="1"/>
  <c r="AS43" i="4"/>
  <c r="AS44" i="4" s="1"/>
  <c r="BE42" i="4"/>
  <c r="AH14" i="4"/>
  <c r="AG13" i="4"/>
  <c r="BD43" i="4"/>
  <c r="BD44" i="4" s="1"/>
  <c r="F34" i="4"/>
  <c r="Q24" i="1"/>
  <c r="G48" i="4"/>
  <c r="G49" i="4" s="1"/>
  <c r="AR14" i="4"/>
  <c r="AG14" i="4"/>
  <c r="I93" i="4"/>
  <c r="I94" i="4" s="1"/>
  <c r="J86" i="4"/>
  <c r="BD20" i="4"/>
  <c r="BD46" i="4" s="1"/>
  <c r="BD19" i="4"/>
  <c r="BD28" i="4" s="1"/>
  <c r="S155" i="4"/>
  <c r="S156" i="4" s="1"/>
  <c r="T154" i="4" s="1"/>
  <c r="R207" i="4"/>
  <c r="R208" i="4" s="1"/>
  <c r="S206" i="4" s="1"/>
  <c r="BD24" i="4"/>
  <c r="AR25" i="4"/>
  <c r="AR26" i="4" s="1"/>
  <c r="E251" i="4"/>
  <c r="E252" i="4" s="1"/>
  <c r="T24" i="1" s="1"/>
  <c r="S24" i="1"/>
  <c r="AS12" i="4"/>
  <c r="BE9" i="4"/>
  <c r="AS13" i="4"/>
  <c r="J191" i="4"/>
  <c r="J192" i="4" s="1"/>
  <c r="J74" i="4"/>
  <c r="J75" i="4" s="1"/>
  <c r="BD12" i="4"/>
  <c r="BD13" i="4" s="1"/>
  <c r="J145" i="4"/>
  <c r="J146" i="4" s="1"/>
  <c r="K138" i="4"/>
  <c r="BF42" i="4"/>
  <c r="AT43" i="4"/>
  <c r="AT44" i="4" s="1"/>
  <c r="B9" i="4" l="1"/>
  <c r="C9" i="4" s="1"/>
  <c r="J158" i="4"/>
  <c r="J159" i="4" s="1"/>
  <c r="K151" i="4"/>
  <c r="K17" i="4"/>
  <c r="K18" i="4" s="1"/>
  <c r="L16" i="4" s="1"/>
  <c r="K73" i="4"/>
  <c r="J80" i="4"/>
  <c r="J81" i="4" s="1"/>
  <c r="L216" i="4"/>
  <c r="K223" i="4"/>
  <c r="K224" i="4" s="1"/>
  <c r="J67" i="4"/>
  <c r="J68" i="4" s="1"/>
  <c r="K60" i="4"/>
  <c r="K190" i="4"/>
  <c r="J197" i="4"/>
  <c r="J198" i="4" s="1"/>
  <c r="T168" i="4"/>
  <c r="T169" i="4" s="1"/>
  <c r="U167" i="4" s="1"/>
  <c r="T129" i="4"/>
  <c r="T130" i="4" s="1"/>
  <c r="U128" i="4" s="1"/>
  <c r="T64" i="4"/>
  <c r="T65" i="4" s="1"/>
  <c r="U63" i="4" s="1"/>
  <c r="S116" i="4"/>
  <c r="S117" i="4" s="1"/>
  <c r="T115" i="4" s="1"/>
  <c r="K112" i="4"/>
  <c r="J119" i="4"/>
  <c r="J120" i="4" s="1"/>
  <c r="T90" i="4"/>
  <c r="T91" i="4" s="1"/>
  <c r="U89" i="4" s="1"/>
  <c r="S207" i="4"/>
  <c r="S208" i="4" s="1"/>
  <c r="T206" i="4" s="1"/>
  <c r="T155" i="4"/>
  <c r="T156" i="4" s="1"/>
  <c r="U154" i="4" s="1"/>
  <c r="U77" i="4"/>
  <c r="U78" i="4" s="1"/>
  <c r="V76" i="4" s="1"/>
  <c r="G54" i="4"/>
  <c r="H47" i="4"/>
  <c r="BE43" i="4"/>
  <c r="BE44" i="4" s="1"/>
  <c r="J171" i="4"/>
  <c r="J172" i="4" s="1"/>
  <c r="K164" i="4"/>
  <c r="J178" i="4"/>
  <c r="J179" i="4" s="1"/>
  <c r="J126" i="4"/>
  <c r="J127" i="4" s="1"/>
  <c r="BD25" i="4"/>
  <c r="BD26" i="4" s="1"/>
  <c r="J87" i="4"/>
  <c r="J88" i="4" s="1"/>
  <c r="AT14" i="4"/>
  <c r="F55" i="4"/>
  <c r="T103" i="4"/>
  <c r="T104" i="4" s="1"/>
  <c r="U102" i="4" s="1"/>
  <c r="G51" i="4"/>
  <c r="G52" i="4" s="1"/>
  <c r="J204" i="4"/>
  <c r="J205" i="4" s="1"/>
  <c r="K241" i="4"/>
  <c r="K242" i="4" s="1"/>
  <c r="G30" i="4"/>
  <c r="G31" i="4" s="1"/>
  <c r="U24" i="1"/>
  <c r="BF43" i="4"/>
  <c r="B42" i="4"/>
  <c r="C42" i="4" s="1"/>
  <c r="AH20" i="4"/>
  <c r="AH46" i="4" s="1"/>
  <c r="AH19" i="4"/>
  <c r="AH28" i="4" s="1"/>
  <c r="F35" i="4"/>
  <c r="G32" i="4"/>
  <c r="F250" i="4"/>
  <c r="R142" i="4"/>
  <c r="R143" i="4" s="1"/>
  <c r="S141" i="4" s="1"/>
  <c r="BE12" i="4"/>
  <c r="BE13" i="4" s="1"/>
  <c r="S181" i="4"/>
  <c r="S182" i="4" s="1"/>
  <c r="T180" i="4" s="1"/>
  <c r="AI19" i="4"/>
  <c r="AI28" i="4" s="1"/>
  <c r="AI20" i="4"/>
  <c r="AI46" i="4" s="1"/>
  <c r="K139" i="4"/>
  <c r="K140" i="4" s="1"/>
  <c r="AS14" i="4"/>
  <c r="AS19" i="4"/>
  <c r="AS28" i="4" s="1"/>
  <c r="AS20" i="4"/>
  <c r="AS46" i="4" s="1"/>
  <c r="BE24" i="4"/>
  <c r="AS25" i="4"/>
  <c r="AS26" i="4" s="1"/>
  <c r="R194" i="4"/>
  <c r="R195" i="4" s="1"/>
  <c r="S193" i="4" s="1"/>
  <c r="AT13" i="4"/>
  <c r="BF24" i="4"/>
  <c r="AT25" i="4"/>
  <c r="AT26" i="4" s="1"/>
  <c r="J229" i="4"/>
  <c r="J230" i="4" s="1"/>
  <c r="BD14" i="4"/>
  <c r="BF12" i="4"/>
  <c r="BF13" i="4" s="1"/>
  <c r="K100" i="4"/>
  <c r="K101" i="4" s="1"/>
  <c r="B13" i="4" l="1"/>
  <c r="C13" i="4" s="1"/>
  <c r="BF14" i="4"/>
  <c r="BG20" i="4" s="1"/>
  <c r="BE14" i="4"/>
  <c r="B43" i="4"/>
  <c r="C43" i="4" s="1"/>
  <c r="H50" i="4"/>
  <c r="G53" i="4"/>
  <c r="U103" i="4"/>
  <c r="U104" i="4" s="1"/>
  <c r="V102" i="4" s="1"/>
  <c r="S142" i="4"/>
  <c r="S143" i="4" s="1"/>
  <c r="T141" i="4" s="1"/>
  <c r="U90" i="4"/>
  <c r="U91" i="4" s="1"/>
  <c r="V89" i="4" s="1"/>
  <c r="J93" i="4"/>
  <c r="J94" i="4" s="1"/>
  <c r="K86" i="4"/>
  <c r="J184" i="4"/>
  <c r="J185" i="4" s="1"/>
  <c r="K177" i="4"/>
  <c r="S194" i="4"/>
  <c r="S195" i="4" s="1"/>
  <c r="T193" i="4" s="1"/>
  <c r="L17" i="4"/>
  <c r="L18" i="4" s="1"/>
  <c r="M16" i="4" s="1"/>
  <c r="J235" i="4"/>
  <c r="J236" i="4" s="1"/>
  <c r="K228" i="4"/>
  <c r="K145" i="4"/>
  <c r="K146" i="4" s="1"/>
  <c r="L138" i="4"/>
  <c r="V77" i="4"/>
  <c r="V78" i="4" s="1"/>
  <c r="W76" i="4" s="1"/>
  <c r="T116" i="4"/>
  <c r="T117" i="4" s="1"/>
  <c r="U115" i="4" s="1"/>
  <c r="K106" i="4"/>
  <c r="K107" i="4" s="1"/>
  <c r="L99" i="4"/>
  <c r="H29" i="4"/>
  <c r="G36" i="4"/>
  <c r="J210" i="4"/>
  <c r="J211" i="4" s="1"/>
  <c r="K203" i="4"/>
  <c r="J132" i="4"/>
  <c r="J133" i="4" s="1"/>
  <c r="K125" i="4"/>
  <c r="U168" i="4"/>
  <c r="U169" i="4" s="1"/>
  <c r="V167" i="4" s="1"/>
  <c r="AU20" i="4"/>
  <c r="AU46" i="4" s="1"/>
  <c r="AU19" i="4"/>
  <c r="AU28" i="4" s="1"/>
  <c r="U155" i="4"/>
  <c r="U156" i="4" s="1"/>
  <c r="V154" i="4" s="1"/>
  <c r="K113" i="4"/>
  <c r="K114" i="4" s="1"/>
  <c r="K74" i="4"/>
  <c r="K75" i="4" s="1"/>
  <c r="T207" i="4"/>
  <c r="T208" i="4" s="1"/>
  <c r="U206" i="4" s="1"/>
  <c r="K191" i="4"/>
  <c r="K192" i="4" s="1"/>
  <c r="BE25" i="4"/>
  <c r="BE26" i="4" s="1"/>
  <c r="F249" i="4"/>
  <c r="F37" i="4"/>
  <c r="H48" i="4"/>
  <c r="H49" i="4" s="1"/>
  <c r="U64" i="4"/>
  <c r="U65" i="4" s="1"/>
  <c r="V63" i="4" s="1"/>
  <c r="K61" i="4"/>
  <c r="K62" i="4" s="1"/>
  <c r="T181" i="4"/>
  <c r="T182" i="4" s="1"/>
  <c r="U180" i="4" s="1"/>
  <c r="K152" i="4"/>
  <c r="K153" i="4" s="1"/>
  <c r="K247" i="4"/>
  <c r="K248" i="4" s="1"/>
  <c r="L240" i="4"/>
  <c r="BG19" i="4"/>
  <c r="BE20" i="4"/>
  <c r="BE46" i="4" s="1"/>
  <c r="BE19" i="4"/>
  <c r="BE28" i="4" s="1"/>
  <c r="G33" i="4"/>
  <c r="G34" i="4" s="1"/>
  <c r="BF44" i="4"/>
  <c r="B44" i="4" s="1"/>
  <c r="C44" i="4" s="1"/>
  <c r="K165" i="4"/>
  <c r="K166" i="4" s="1"/>
  <c r="U129" i="4"/>
  <c r="U130" i="4" s="1"/>
  <c r="V128" i="4" s="1"/>
  <c r="BF25" i="4"/>
  <c r="B24" i="4"/>
  <c r="C24" i="4" s="1"/>
  <c r="B12" i="4"/>
  <c r="C12" i="4" s="1"/>
  <c r="AT20" i="4"/>
  <c r="AT46" i="4" s="1"/>
  <c r="AT19" i="4"/>
  <c r="AT28" i="4" s="1"/>
  <c r="F251" i="4"/>
  <c r="S25" i="1"/>
  <c r="L217" i="4"/>
  <c r="L218" i="4" s="1"/>
  <c r="B14" i="4" l="1"/>
  <c r="C14" i="4" s="1"/>
  <c r="BF19" i="4"/>
  <c r="BF28" i="4" s="1"/>
  <c r="BF20" i="4"/>
  <c r="BF46" i="4" s="1"/>
  <c r="B25" i="4"/>
  <c r="C25" i="4" s="1"/>
  <c r="T142" i="4"/>
  <c r="T143" i="4" s="1"/>
  <c r="U141" i="4" s="1"/>
  <c r="L151" i="4"/>
  <c r="K158" i="4"/>
  <c r="K159" i="4" s="1"/>
  <c r="V168" i="4"/>
  <c r="V169" i="4" s="1"/>
  <c r="W167" i="4" s="1"/>
  <c r="L73" i="4"/>
  <c r="K80" i="4"/>
  <c r="K81" i="4" s="1"/>
  <c r="T194" i="4"/>
  <c r="T195" i="4" s="1"/>
  <c r="U193" i="4" s="1"/>
  <c r="V90" i="4"/>
  <c r="V91" i="4" s="1"/>
  <c r="W89" i="4" s="1"/>
  <c r="K119" i="4"/>
  <c r="K120" i="4" s="1"/>
  <c r="L112" i="4"/>
  <c r="W77" i="4"/>
  <c r="W78" i="4" s="1"/>
  <c r="X76" i="4" s="1"/>
  <c r="K171" i="4"/>
  <c r="K172" i="4" s="1"/>
  <c r="L164" i="4"/>
  <c r="G35" i="4"/>
  <c r="H32" i="4"/>
  <c r="L223" i="4"/>
  <c r="L224" i="4" s="1"/>
  <c r="M216" i="4"/>
  <c r="K67" i="4"/>
  <c r="K68" i="4" s="1"/>
  <c r="L60" i="4"/>
  <c r="V64" i="4"/>
  <c r="V65" i="4" s="1"/>
  <c r="W63" i="4" s="1"/>
  <c r="K197" i="4"/>
  <c r="K198" i="4" s="1"/>
  <c r="L190" i="4"/>
  <c r="V155" i="4"/>
  <c r="V156" i="4" s="1"/>
  <c r="W154" i="4" s="1"/>
  <c r="M17" i="4"/>
  <c r="M18" i="4" s="1"/>
  <c r="N16" i="4" s="1"/>
  <c r="L241" i="4"/>
  <c r="L242" i="4" s="1"/>
  <c r="F252" i="4"/>
  <c r="Q25" i="1"/>
  <c r="G250" i="4"/>
  <c r="V129" i="4"/>
  <c r="V130" i="4" s="1"/>
  <c r="W128" i="4" s="1"/>
  <c r="U181" i="4"/>
  <c r="U182" i="4" s="1"/>
  <c r="V180" i="4" s="1"/>
  <c r="H54" i="4"/>
  <c r="I47" i="4"/>
  <c r="U207" i="4"/>
  <c r="U208" i="4" s="1"/>
  <c r="V206" i="4" s="1"/>
  <c r="H30" i="4"/>
  <c r="H31" i="4" s="1"/>
  <c r="L100" i="4"/>
  <c r="L101" i="4" s="1"/>
  <c r="L139" i="4"/>
  <c r="L140" i="4" s="1"/>
  <c r="K178" i="4"/>
  <c r="K179" i="4" s="1"/>
  <c r="V103" i="4"/>
  <c r="V104" i="4" s="1"/>
  <c r="W102" i="4" s="1"/>
  <c r="BG28" i="4"/>
  <c r="B19" i="4"/>
  <c r="C19" i="4" s="1"/>
  <c r="K126" i="4"/>
  <c r="K127" i="4" s="1"/>
  <c r="K229" i="4"/>
  <c r="K230" i="4" s="1"/>
  <c r="K87" i="4"/>
  <c r="K88" i="4" s="1"/>
  <c r="G55" i="4"/>
  <c r="BF26" i="4"/>
  <c r="B26" i="4" s="1"/>
  <c r="C26" i="4" s="1"/>
  <c r="BG46" i="4"/>
  <c r="B20" i="4"/>
  <c r="C20" i="4" s="1"/>
  <c r="K204" i="4"/>
  <c r="K205" i="4" s="1"/>
  <c r="U116" i="4"/>
  <c r="U117" i="4" s="1"/>
  <c r="V115" i="4" s="1"/>
  <c r="H51" i="4"/>
  <c r="H52" i="4" s="1"/>
  <c r="M138" i="4" l="1"/>
  <c r="L145" i="4"/>
  <c r="L146" i="4" s="1"/>
  <c r="W64" i="4"/>
  <c r="W65" i="4" s="1"/>
  <c r="X63" i="4" s="1"/>
  <c r="K93" i="4"/>
  <c r="K94" i="4" s="1"/>
  <c r="L86" i="4"/>
  <c r="L106" i="4"/>
  <c r="L107" i="4" s="1"/>
  <c r="M99" i="4"/>
  <c r="K132" i="4"/>
  <c r="K133" i="4" s="1"/>
  <c r="L125" i="4"/>
  <c r="L247" i="4"/>
  <c r="L248" i="4" s="1"/>
  <c r="M240" i="4"/>
  <c r="I50" i="4"/>
  <c r="H53" i="4"/>
  <c r="I29" i="4"/>
  <c r="H36" i="4"/>
  <c r="V207" i="4"/>
  <c r="V208" i="4" s="1"/>
  <c r="W206" i="4" s="1"/>
  <c r="W103" i="4"/>
  <c r="W104" i="4" s="1"/>
  <c r="X102" i="4" s="1"/>
  <c r="N17" i="4"/>
  <c r="N18" i="4" s="1"/>
  <c r="O16" i="4" s="1"/>
  <c r="U194" i="4"/>
  <c r="U195" i="4" s="1"/>
  <c r="V193" i="4" s="1"/>
  <c r="K210" i="4"/>
  <c r="K211" i="4" s="1"/>
  <c r="L203" i="4"/>
  <c r="X77" i="4"/>
  <c r="X78" i="4" s="1"/>
  <c r="Y76" i="4" s="1"/>
  <c r="K184" i="4"/>
  <c r="K185" i="4" s="1"/>
  <c r="L177" i="4"/>
  <c r="W155" i="4"/>
  <c r="W156" i="4" s="1"/>
  <c r="X154" i="4" s="1"/>
  <c r="U142" i="4"/>
  <c r="U143" i="4" s="1"/>
  <c r="V141" i="4" s="1"/>
  <c r="M217" i="4"/>
  <c r="M218" i="4" s="1"/>
  <c r="L113" i="4"/>
  <c r="L114" i="4" s="1"/>
  <c r="L74" i="4"/>
  <c r="L75" i="4" s="1"/>
  <c r="L191" i="4"/>
  <c r="L192" i="4" s="1"/>
  <c r="W168" i="4"/>
  <c r="W169" i="4" s="1"/>
  <c r="X167" i="4" s="1"/>
  <c r="W129" i="4"/>
  <c r="W130" i="4" s="1"/>
  <c r="X128" i="4" s="1"/>
  <c r="T25" i="1"/>
  <c r="U25" i="1" s="1"/>
  <c r="H33" i="4"/>
  <c r="H34" i="4" s="1"/>
  <c r="B46" i="4"/>
  <c r="C46" i="4" s="1"/>
  <c r="G249" i="4"/>
  <c r="G37" i="4"/>
  <c r="W90" i="4"/>
  <c r="W91" i="4" s="1"/>
  <c r="X89" i="4" s="1"/>
  <c r="B28" i="4"/>
  <c r="C28" i="4" s="1"/>
  <c r="L165" i="4"/>
  <c r="L166" i="4" s="1"/>
  <c r="L152" i="4"/>
  <c r="L153" i="4" s="1"/>
  <c r="V116" i="4"/>
  <c r="V117" i="4" s="1"/>
  <c r="W115" i="4" s="1"/>
  <c r="G251" i="4"/>
  <c r="S26" i="1"/>
  <c r="K235" i="4"/>
  <c r="K236" i="4" s="1"/>
  <c r="L228" i="4"/>
  <c r="V181" i="4"/>
  <c r="V182" i="4" s="1"/>
  <c r="W180" i="4" s="1"/>
  <c r="I48" i="4"/>
  <c r="I49" i="4" s="1"/>
  <c r="L61" i="4"/>
  <c r="L62" i="4" s="1"/>
  <c r="L197" i="4" l="1"/>
  <c r="L198" i="4" s="1"/>
  <c r="M190" i="4"/>
  <c r="W207" i="4"/>
  <c r="W208" i="4" s="1"/>
  <c r="X206" i="4" s="1"/>
  <c r="V142" i="4"/>
  <c r="V143" i="4" s="1"/>
  <c r="W141" i="4" s="1"/>
  <c r="O17" i="4"/>
  <c r="O18" i="4" s="1"/>
  <c r="P16" i="4" s="1"/>
  <c r="X64" i="4"/>
  <c r="X65" i="4" s="1"/>
  <c r="Y63" i="4" s="1"/>
  <c r="I54" i="4"/>
  <c r="J47" i="4"/>
  <c r="W181" i="4"/>
  <c r="W182" i="4" s="1"/>
  <c r="X180" i="4" s="1"/>
  <c r="X90" i="4"/>
  <c r="X91" i="4" s="1"/>
  <c r="Y89" i="4" s="1"/>
  <c r="W116" i="4"/>
  <c r="W117" i="4" s="1"/>
  <c r="X115" i="4" s="1"/>
  <c r="X129" i="4"/>
  <c r="X130" i="4" s="1"/>
  <c r="Y128" i="4" s="1"/>
  <c r="L67" i="4"/>
  <c r="L68" i="4" s="1"/>
  <c r="M60" i="4"/>
  <c r="L158" i="4"/>
  <c r="L159" i="4" s="1"/>
  <c r="M151" i="4"/>
  <c r="H35" i="4"/>
  <c r="I32" i="4"/>
  <c r="M112" i="4"/>
  <c r="L119" i="4"/>
  <c r="L120" i="4" s="1"/>
  <c r="H250" i="4"/>
  <c r="M100" i="4"/>
  <c r="M101" i="4" s="1"/>
  <c r="L171" i="4"/>
  <c r="L172" i="4" s="1"/>
  <c r="M164" i="4"/>
  <c r="M73" i="4"/>
  <c r="L80" i="4"/>
  <c r="L81" i="4" s="1"/>
  <c r="X155" i="4"/>
  <c r="X156" i="4" s="1"/>
  <c r="Y154" i="4" s="1"/>
  <c r="V194" i="4"/>
  <c r="V195" i="4" s="1"/>
  <c r="W193" i="4" s="1"/>
  <c r="I30" i="4"/>
  <c r="I31" i="4" s="1"/>
  <c r="H55" i="4"/>
  <c r="L87" i="4"/>
  <c r="L88" i="4" s="1"/>
  <c r="I51" i="4"/>
  <c r="I52" i="4" s="1"/>
  <c r="M241" i="4"/>
  <c r="M242" i="4" s="1"/>
  <c r="L178" i="4"/>
  <c r="L179" i="4" s="1"/>
  <c r="N216" i="4"/>
  <c r="M223" i="4"/>
  <c r="M224" i="4" s="1"/>
  <c r="Y77" i="4"/>
  <c r="Y78" i="4" s="1"/>
  <c r="Z76" i="4" s="1"/>
  <c r="X103" i="4"/>
  <c r="X104" i="4" s="1"/>
  <c r="Y102" i="4" s="1"/>
  <c r="G252" i="4"/>
  <c r="Q26" i="1"/>
  <c r="L204" i="4"/>
  <c r="L205" i="4" s="1"/>
  <c r="L126" i="4"/>
  <c r="L127" i="4" s="1"/>
  <c r="X168" i="4"/>
  <c r="X169" i="4" s="1"/>
  <c r="Y167" i="4" s="1"/>
  <c r="L229" i="4"/>
  <c r="L230" i="4" s="1"/>
  <c r="M139" i="4"/>
  <c r="M140" i="4" s="1"/>
  <c r="M177" i="4" l="1"/>
  <c r="L184" i="4"/>
  <c r="L185" i="4" s="1"/>
  <c r="M145" i="4"/>
  <c r="M146" i="4" s="1"/>
  <c r="N138" i="4"/>
  <c r="W142" i="4"/>
  <c r="W143" i="4" s="1"/>
  <c r="X141" i="4" s="1"/>
  <c r="L132" i="4"/>
  <c r="L133" i="4" s="1"/>
  <c r="M125" i="4"/>
  <c r="M203" i="4"/>
  <c r="L210" i="4"/>
  <c r="L211" i="4" s="1"/>
  <c r="P17" i="4"/>
  <c r="P18" i="4" s="1"/>
  <c r="Q16" i="4" s="1"/>
  <c r="X207" i="4"/>
  <c r="X208" i="4" s="1"/>
  <c r="Y206" i="4" s="1"/>
  <c r="Y129" i="4"/>
  <c r="Y130" i="4" s="1"/>
  <c r="Z128" i="4" s="1"/>
  <c r="M247" i="4"/>
  <c r="M248" i="4" s="1"/>
  <c r="N240" i="4"/>
  <c r="L235" i="4"/>
  <c r="L236" i="4" s="1"/>
  <c r="M228" i="4"/>
  <c r="M106" i="4"/>
  <c r="M107" i="4" s="1"/>
  <c r="N99" i="4"/>
  <c r="W194" i="4"/>
  <c r="W195" i="4" s="1"/>
  <c r="X193" i="4" s="1"/>
  <c r="Y155" i="4"/>
  <c r="Y156" i="4" s="1"/>
  <c r="Z154" i="4" s="1"/>
  <c r="Y103" i="4"/>
  <c r="Y104" i="4" s="1"/>
  <c r="Z102" i="4" s="1"/>
  <c r="L93" i="4"/>
  <c r="L94" i="4" s="1"/>
  <c r="M86" i="4"/>
  <c r="J29" i="4"/>
  <c r="I36" i="4"/>
  <c r="I250" i="4" s="1"/>
  <c r="M152" i="4"/>
  <c r="M153" i="4" s="1"/>
  <c r="Y90" i="4"/>
  <c r="Y91" i="4" s="1"/>
  <c r="Z89" i="4" s="1"/>
  <c r="X181" i="4"/>
  <c r="X182" i="4" s="1"/>
  <c r="Y180" i="4" s="1"/>
  <c r="I53" i="4"/>
  <c r="I55" i="4" s="1"/>
  <c r="J50" i="4"/>
  <c r="M61" i="4"/>
  <c r="M62" i="4" s="1"/>
  <c r="Y168" i="4"/>
  <c r="Y169" i="4" s="1"/>
  <c r="Z167" i="4" s="1"/>
  <c r="J48" i="4"/>
  <c r="J49" i="4" s="1"/>
  <c r="Z77" i="4"/>
  <c r="Z78" i="4" s="1"/>
  <c r="AA76" i="4" s="1"/>
  <c r="M74" i="4"/>
  <c r="M75" i="4" s="1"/>
  <c r="M113" i="4"/>
  <c r="M114" i="4" s="1"/>
  <c r="N217" i="4"/>
  <c r="N218" i="4" s="1"/>
  <c r="H251" i="4"/>
  <c r="S27" i="1"/>
  <c r="M165" i="4"/>
  <c r="M166" i="4" s="1"/>
  <c r="I33" i="4"/>
  <c r="I34" i="4" s="1"/>
  <c r="X116" i="4"/>
  <c r="X117" i="4" s="1"/>
  <c r="Y115" i="4" s="1"/>
  <c r="Y64" i="4"/>
  <c r="Y65" i="4" s="1"/>
  <c r="Z63" i="4" s="1"/>
  <c r="M191" i="4"/>
  <c r="M192" i="4" s="1"/>
  <c r="T26" i="1"/>
  <c r="U26" i="1" s="1"/>
  <c r="H249" i="4"/>
  <c r="H37" i="4"/>
  <c r="N223" i="4" l="1"/>
  <c r="N224" i="4" s="1"/>
  <c r="O216" i="4"/>
  <c r="AA77" i="4"/>
  <c r="AA78" i="4" s="1"/>
  <c r="B76" i="4"/>
  <c r="M197" i="4"/>
  <c r="M198" i="4" s="1"/>
  <c r="N190" i="4"/>
  <c r="Y181" i="4"/>
  <c r="Y182" i="4" s="1"/>
  <c r="Z180" i="4" s="1"/>
  <c r="Z90" i="4"/>
  <c r="Z91" i="4" s="1"/>
  <c r="AA89" i="4" s="1"/>
  <c r="J32" i="4"/>
  <c r="I35" i="4"/>
  <c r="Y207" i="4"/>
  <c r="Y208" i="4" s="1"/>
  <c r="Z206" i="4" s="1"/>
  <c r="M119" i="4"/>
  <c r="M120" i="4" s="1"/>
  <c r="N112" i="4"/>
  <c r="M80" i="4"/>
  <c r="M81" i="4" s="1"/>
  <c r="N73" i="4"/>
  <c r="Y116" i="4"/>
  <c r="Y117" i="4" s="1"/>
  <c r="Z115" i="4" s="1"/>
  <c r="M158" i="4"/>
  <c r="M159" i="4" s="1"/>
  <c r="N151" i="4"/>
  <c r="N164" i="4"/>
  <c r="M171" i="4"/>
  <c r="M172" i="4" s="1"/>
  <c r="Z168" i="4"/>
  <c r="Z169" i="4" s="1"/>
  <c r="AA167" i="4" s="1"/>
  <c r="Q17" i="4"/>
  <c r="Q18" i="4" s="1"/>
  <c r="R16" i="4" s="1"/>
  <c r="Z103" i="4"/>
  <c r="Z104" i="4" s="1"/>
  <c r="AA102" i="4" s="1"/>
  <c r="Z155" i="4"/>
  <c r="Z156" i="4" s="1"/>
  <c r="AA154" i="4" s="1"/>
  <c r="X142" i="4"/>
  <c r="X143" i="4" s="1"/>
  <c r="Y141" i="4" s="1"/>
  <c r="K47" i="4"/>
  <c r="J54" i="4"/>
  <c r="N60" i="4"/>
  <c r="M67" i="4"/>
  <c r="M68" i="4" s="1"/>
  <c r="J51" i="4"/>
  <c r="J52" i="4" s="1"/>
  <c r="I251" i="4"/>
  <c r="S28" i="1"/>
  <c r="M126" i="4"/>
  <c r="M127" i="4" s="1"/>
  <c r="J30" i="4"/>
  <c r="J31" i="4" s="1"/>
  <c r="X194" i="4"/>
  <c r="X195" i="4" s="1"/>
  <c r="Y193" i="4" s="1"/>
  <c r="Z129" i="4"/>
  <c r="Z130" i="4" s="1"/>
  <c r="AA128" i="4" s="1"/>
  <c r="Z64" i="4"/>
  <c r="Z65" i="4"/>
  <c r="AA63" i="4" s="1"/>
  <c r="M87" i="4"/>
  <c r="M88" i="4" s="1"/>
  <c r="H252" i="4"/>
  <c r="Q27" i="1"/>
  <c r="N139" i="4"/>
  <c r="N140" i="4" s="1"/>
  <c r="N100" i="4"/>
  <c r="N101" i="4" s="1"/>
  <c r="M229" i="4"/>
  <c r="M230" i="4" s="1"/>
  <c r="N241" i="4"/>
  <c r="N242" i="4" s="1"/>
  <c r="M204" i="4"/>
  <c r="M205" i="4" s="1"/>
  <c r="M178" i="4"/>
  <c r="M179" i="4" s="1"/>
  <c r="AA168" i="4" l="1"/>
  <c r="AA169" i="4" s="1"/>
  <c r="B167" i="4"/>
  <c r="M93" i="4"/>
  <c r="M94" i="4" s="1"/>
  <c r="N86" i="4"/>
  <c r="M184" i="4"/>
  <c r="M185" i="4" s="1"/>
  <c r="N177" i="4"/>
  <c r="N125" i="4"/>
  <c r="M132" i="4"/>
  <c r="M133" i="4" s="1"/>
  <c r="Y142" i="4"/>
  <c r="Y143" i="4" s="1"/>
  <c r="Z141" i="4" s="1"/>
  <c r="B154" i="4"/>
  <c r="AA155" i="4"/>
  <c r="AA156" i="4" s="1"/>
  <c r="Z116" i="4"/>
  <c r="Z117" i="4" s="1"/>
  <c r="AA115" i="4" s="1"/>
  <c r="B78" i="4"/>
  <c r="AB76" i="4"/>
  <c r="M210" i="4"/>
  <c r="M211" i="4" s="1"/>
  <c r="N203" i="4"/>
  <c r="O138" i="4"/>
  <c r="N145" i="4"/>
  <c r="N146" i="4" s="1"/>
  <c r="J36" i="4"/>
  <c r="J250" i="4" s="1"/>
  <c r="K29" i="4"/>
  <c r="N247" i="4"/>
  <c r="N248" i="4" s="1"/>
  <c r="O240" i="4"/>
  <c r="AA103" i="4"/>
  <c r="AA104" i="4" s="1"/>
  <c r="B102" i="4"/>
  <c r="N106" i="4"/>
  <c r="N107" i="4" s="1"/>
  <c r="O99" i="4"/>
  <c r="R17" i="4"/>
  <c r="R18" i="4" s="1"/>
  <c r="S16" i="4" s="1"/>
  <c r="N165" i="4"/>
  <c r="N166" i="4" s="1"/>
  <c r="Z181" i="4"/>
  <c r="Z182" i="4" s="1"/>
  <c r="AA180" i="4" s="1"/>
  <c r="Y194" i="4"/>
  <c r="Y195" i="4" s="1"/>
  <c r="Z193" i="4" s="1"/>
  <c r="N152" i="4"/>
  <c r="N153" i="4" s="1"/>
  <c r="I249" i="4"/>
  <c r="I37" i="4"/>
  <c r="N191" i="4"/>
  <c r="N192" i="4" s="1"/>
  <c r="K48" i="4"/>
  <c r="K49" i="4" s="1"/>
  <c r="J33" i="4"/>
  <c r="J34" i="4" s="1"/>
  <c r="T27" i="1"/>
  <c r="U27" i="1" s="1"/>
  <c r="B128" i="4"/>
  <c r="AA129" i="4"/>
  <c r="AA130" i="4" s="1"/>
  <c r="N74" i="4"/>
  <c r="N75" i="4" s="1"/>
  <c r="AA90" i="4"/>
  <c r="AA91" i="4" s="1"/>
  <c r="B89" i="4"/>
  <c r="M235" i="4"/>
  <c r="M236" i="4" s="1"/>
  <c r="N228" i="4"/>
  <c r="Z207" i="4"/>
  <c r="Z208" i="4" s="1"/>
  <c r="AA206" i="4" s="1"/>
  <c r="N61" i="4"/>
  <c r="N62" i="4" s="1"/>
  <c r="AA64" i="4"/>
  <c r="AA65" i="4" s="1"/>
  <c r="B63" i="4"/>
  <c r="O217" i="4"/>
  <c r="O218" i="4" s="1"/>
  <c r="J53" i="4"/>
  <c r="J55" i="4" s="1"/>
  <c r="K50" i="4"/>
  <c r="N113" i="4"/>
  <c r="N114" i="4" s="1"/>
  <c r="L47" i="4" l="1"/>
  <c r="K54" i="4"/>
  <c r="AA181" i="4"/>
  <c r="AA182" i="4" s="1"/>
  <c r="B180" i="4"/>
  <c r="N197" i="4"/>
  <c r="N198" i="4" s="1"/>
  <c r="O190" i="4"/>
  <c r="B115" i="4"/>
  <c r="AA116" i="4"/>
  <c r="AA117" i="4" s="1"/>
  <c r="AA207" i="4"/>
  <c r="B206" i="4"/>
  <c r="AA208" i="4"/>
  <c r="B104" i="4"/>
  <c r="AB102" i="4"/>
  <c r="N80" i="4"/>
  <c r="N81" i="4" s="1"/>
  <c r="O73" i="4"/>
  <c r="P216" i="4"/>
  <c r="O223" i="4"/>
  <c r="O224" i="4" s="1"/>
  <c r="B65" i="4"/>
  <c r="AB63" i="4"/>
  <c r="N171" i="4"/>
  <c r="N172" i="4" s="1"/>
  <c r="O164" i="4"/>
  <c r="B130" i="4"/>
  <c r="AB128" i="4"/>
  <c r="B156" i="4"/>
  <c r="AB154" i="4"/>
  <c r="B169" i="4"/>
  <c r="AB167" i="4"/>
  <c r="N67" i="4"/>
  <c r="N68" i="4" s="1"/>
  <c r="O60" i="4"/>
  <c r="J251" i="4"/>
  <c r="S29" i="1"/>
  <c r="N178" i="4"/>
  <c r="N179" i="4" s="1"/>
  <c r="K30" i="4"/>
  <c r="K31" i="4" s="1"/>
  <c r="Z194" i="4"/>
  <c r="Z195" i="4" s="1"/>
  <c r="AA193" i="4" s="1"/>
  <c r="O139" i="4"/>
  <c r="O140" i="4" s="1"/>
  <c r="N87" i="4"/>
  <c r="N88" i="4" s="1"/>
  <c r="K51" i="4"/>
  <c r="K52" i="4" s="1"/>
  <c r="S17" i="4"/>
  <c r="S18" i="4" s="1"/>
  <c r="T16" i="4" s="1"/>
  <c r="N126" i="4"/>
  <c r="N127" i="4" s="1"/>
  <c r="N204" i="4"/>
  <c r="N205" i="4" s="1"/>
  <c r="K32" i="4"/>
  <c r="J35" i="4"/>
  <c r="N229" i="4"/>
  <c r="N230" i="4" s="1"/>
  <c r="Z142" i="4"/>
  <c r="Z143" i="4" s="1"/>
  <c r="AA141" i="4" s="1"/>
  <c r="I252" i="4"/>
  <c r="T28" i="1" s="1"/>
  <c r="U28" i="1" s="1"/>
  <c r="Q28" i="1"/>
  <c r="O241" i="4"/>
  <c r="O242" i="4" s="1"/>
  <c r="AB77" i="4"/>
  <c r="AB78" i="4" s="1"/>
  <c r="AC76" i="4" s="1"/>
  <c r="N158" i="4"/>
  <c r="N159" i="4" s="1"/>
  <c r="O151" i="4"/>
  <c r="O100" i="4"/>
  <c r="O101" i="4" s="1"/>
  <c r="O112" i="4"/>
  <c r="N119" i="4"/>
  <c r="N120" i="4" s="1"/>
  <c r="AB89" i="4"/>
  <c r="B91" i="4"/>
  <c r="O106" i="4" l="1"/>
  <c r="O107" i="4" s="1"/>
  <c r="P99" i="4"/>
  <c r="B117" i="4"/>
  <c r="AB115" i="4"/>
  <c r="AC77" i="4"/>
  <c r="AC78" i="4" s="1"/>
  <c r="AD76" i="4" s="1"/>
  <c r="K53" i="4"/>
  <c r="K55" i="4" s="1"/>
  <c r="L50" i="4"/>
  <c r="O247" i="4"/>
  <c r="O248" i="4" s="1"/>
  <c r="P240" i="4"/>
  <c r="N184" i="4"/>
  <c r="N185" i="4" s="1"/>
  <c r="O177" i="4"/>
  <c r="N235" i="4"/>
  <c r="N236" i="4" s="1"/>
  <c r="O228" i="4"/>
  <c r="N93" i="4"/>
  <c r="N94" i="4" s="1"/>
  <c r="O86" i="4"/>
  <c r="O203" i="4"/>
  <c r="N210" i="4"/>
  <c r="N211" i="4" s="1"/>
  <c r="B182" i="4"/>
  <c r="AB180" i="4"/>
  <c r="K36" i="4"/>
  <c r="K250" i="4" s="1"/>
  <c r="L29" i="4"/>
  <c r="O61" i="4"/>
  <c r="O62" i="4" s="1"/>
  <c r="O165" i="4"/>
  <c r="O166" i="4" s="1"/>
  <c r="AB103" i="4"/>
  <c r="AB104" i="4" s="1"/>
  <c r="AC102" i="4" s="1"/>
  <c r="O191" i="4"/>
  <c r="O192" i="4" s="1"/>
  <c r="N132" i="4"/>
  <c r="N133" i="4" s="1"/>
  <c r="O125" i="4"/>
  <c r="AA194" i="4"/>
  <c r="B193" i="4"/>
  <c r="AA195" i="4"/>
  <c r="O145" i="4"/>
  <c r="O146" i="4" s="1"/>
  <c r="P138" i="4"/>
  <c r="B141" i="4"/>
  <c r="AA142" i="4"/>
  <c r="AA143" i="4" s="1"/>
  <c r="AB90" i="4"/>
  <c r="AB91" i="4" s="1"/>
  <c r="AC89" i="4" s="1"/>
  <c r="T17" i="4"/>
  <c r="T18" i="4" s="1"/>
  <c r="U16" i="4" s="1"/>
  <c r="AB155" i="4"/>
  <c r="AB156" i="4" s="1"/>
  <c r="AC154" i="4" s="1"/>
  <c r="O113" i="4"/>
  <c r="O114" i="4" s="1"/>
  <c r="J249" i="4"/>
  <c r="J37" i="4"/>
  <c r="B208" i="4"/>
  <c r="AB206" i="4"/>
  <c r="O152" i="4"/>
  <c r="O153" i="4" s="1"/>
  <c r="P217" i="4"/>
  <c r="P218" i="4" s="1"/>
  <c r="AB168" i="4"/>
  <c r="AB169" i="4" s="1"/>
  <c r="AC167" i="4" s="1"/>
  <c r="AB64" i="4"/>
  <c r="AB65" i="4" s="1"/>
  <c r="AC63" i="4" s="1"/>
  <c r="K33" i="4"/>
  <c r="K34" i="4" s="1"/>
  <c r="AB129" i="4"/>
  <c r="AB130" i="4" s="1"/>
  <c r="AC128" i="4" s="1"/>
  <c r="O74" i="4"/>
  <c r="O75" i="4" s="1"/>
  <c r="L48" i="4"/>
  <c r="L49" i="4" s="1"/>
  <c r="O80" i="4" l="1"/>
  <c r="O81" i="4" s="1"/>
  <c r="P73" i="4"/>
  <c r="AC129" i="4"/>
  <c r="AC130" i="4" s="1"/>
  <c r="AD128" i="4" s="1"/>
  <c r="U17" i="4"/>
  <c r="U18" i="4" s="1"/>
  <c r="V16" i="4" s="1"/>
  <c r="O197" i="4"/>
  <c r="O198" i="4" s="1"/>
  <c r="P190" i="4"/>
  <c r="AC155" i="4"/>
  <c r="AC156" i="4" s="1"/>
  <c r="AD154" i="4" s="1"/>
  <c r="O158" i="4"/>
  <c r="O159" i="4" s="1"/>
  <c r="P151" i="4"/>
  <c r="L32" i="4"/>
  <c r="K35" i="4"/>
  <c r="AC90" i="4"/>
  <c r="AC91" i="4" s="1"/>
  <c r="AD89" i="4" s="1"/>
  <c r="AC103" i="4"/>
  <c r="AC104" i="4" s="1"/>
  <c r="AD102" i="4" s="1"/>
  <c r="M47" i="4"/>
  <c r="L54" i="4"/>
  <c r="O171" i="4"/>
  <c r="O172" i="4" s="1"/>
  <c r="P164" i="4"/>
  <c r="O119" i="4"/>
  <c r="O120" i="4" s="1"/>
  <c r="P112" i="4"/>
  <c r="L30" i="4"/>
  <c r="L31" i="4" s="1"/>
  <c r="O229" i="4"/>
  <c r="O230" i="4" s="1"/>
  <c r="O67" i="4"/>
  <c r="O68" i="4" s="1"/>
  <c r="P60" i="4"/>
  <c r="K251" i="4"/>
  <c r="S30" i="1"/>
  <c r="B143" i="4"/>
  <c r="AB141" i="4"/>
  <c r="L51" i="4"/>
  <c r="L52" i="4" s="1"/>
  <c r="P139" i="4"/>
  <c r="P140" i="4" s="1"/>
  <c r="AD77" i="4"/>
  <c r="AD78" i="4" s="1"/>
  <c r="AE76" i="4" s="1"/>
  <c r="B195" i="4"/>
  <c r="AB193" i="4"/>
  <c r="P223" i="4"/>
  <c r="P224" i="4" s="1"/>
  <c r="Q216" i="4"/>
  <c r="AB181" i="4"/>
  <c r="AB182" i="4" s="1"/>
  <c r="AC180" i="4" s="1"/>
  <c r="J252" i="4"/>
  <c r="T29" i="1" s="1"/>
  <c r="U29" i="1" s="1"/>
  <c r="Q29" i="1"/>
  <c r="O204" i="4"/>
  <c r="O205" i="4" s="1"/>
  <c r="P241" i="4"/>
  <c r="P242" i="4" s="1"/>
  <c r="P100" i="4"/>
  <c r="P101" i="4" s="1"/>
  <c r="AC64" i="4"/>
  <c r="AC65" i="4" s="1"/>
  <c r="AD63" i="4" s="1"/>
  <c r="AB207" i="4"/>
  <c r="AB208" i="4" s="1"/>
  <c r="AC206" i="4" s="1"/>
  <c r="O178" i="4"/>
  <c r="O179" i="4" s="1"/>
  <c r="AB116" i="4"/>
  <c r="AB117" i="4" s="1"/>
  <c r="AC115" i="4" s="1"/>
  <c r="AC168" i="4"/>
  <c r="AC169" i="4" s="1"/>
  <c r="AD167" i="4" s="1"/>
  <c r="O126" i="4"/>
  <c r="O127" i="4" s="1"/>
  <c r="O87" i="4"/>
  <c r="O88" i="4" s="1"/>
  <c r="AD155" i="4" l="1"/>
  <c r="AD156" i="4" s="1"/>
  <c r="AE154" i="4" s="1"/>
  <c r="O184" i="4"/>
  <c r="O185" i="4" s="1"/>
  <c r="P177" i="4"/>
  <c r="O235" i="4"/>
  <c r="O236" i="4" s="1"/>
  <c r="P228" i="4"/>
  <c r="L36" i="4"/>
  <c r="L250" i="4" s="1"/>
  <c r="M29" i="4"/>
  <c r="AD90" i="4"/>
  <c r="AD91" i="4" s="1"/>
  <c r="AE89" i="4" s="1"/>
  <c r="O210" i="4"/>
  <c r="O211" i="4" s="1"/>
  <c r="P203" i="4"/>
  <c r="AC207" i="4"/>
  <c r="AC208" i="4" s="1"/>
  <c r="AD206" i="4" s="1"/>
  <c r="AD64" i="4"/>
  <c r="AD65" i="4" s="1"/>
  <c r="AE63" i="4" s="1"/>
  <c r="M50" i="4"/>
  <c r="L53" i="4"/>
  <c r="L55" i="4" s="1"/>
  <c r="O93" i="4"/>
  <c r="O94" i="4" s="1"/>
  <c r="P86" i="4"/>
  <c r="P125" i="4"/>
  <c r="O132" i="4"/>
  <c r="O133" i="4" s="1"/>
  <c r="AD168" i="4"/>
  <c r="AD169" i="4"/>
  <c r="AE167" i="4" s="1"/>
  <c r="P247" i="4"/>
  <c r="P248" i="4" s="1"/>
  <c r="Q240" i="4"/>
  <c r="AD129" i="4"/>
  <c r="AD130" i="4" s="1"/>
  <c r="AE128" i="4" s="1"/>
  <c r="AE77" i="4"/>
  <c r="AE78" i="4" s="1"/>
  <c r="AF76" i="4" s="1"/>
  <c r="P61" i="4"/>
  <c r="P62" i="4" s="1"/>
  <c r="P165" i="4"/>
  <c r="P166" i="4" s="1"/>
  <c r="K249" i="4"/>
  <c r="K37" i="4"/>
  <c r="AC116" i="4"/>
  <c r="AC117" i="4" s="1"/>
  <c r="AD115" i="4" s="1"/>
  <c r="P145" i="4"/>
  <c r="P146" i="4" s="1"/>
  <c r="Q138" i="4"/>
  <c r="Q99" i="4"/>
  <c r="P106" i="4"/>
  <c r="P107" i="4" s="1"/>
  <c r="L33" i="4"/>
  <c r="L34" i="4" s="1"/>
  <c r="AD103" i="4"/>
  <c r="AD104" i="4" s="1"/>
  <c r="AE102" i="4" s="1"/>
  <c r="P74" i="4"/>
  <c r="P75" i="4" s="1"/>
  <c r="P113" i="4"/>
  <c r="P114" i="4" s="1"/>
  <c r="P191" i="4"/>
  <c r="P192" i="4" s="1"/>
  <c r="AC181" i="4"/>
  <c r="AC182" i="4" s="1"/>
  <c r="AD180" i="4" s="1"/>
  <c r="V17" i="4"/>
  <c r="V18" i="4" s="1"/>
  <c r="W16" i="4" s="1"/>
  <c r="Q217" i="4"/>
  <c r="Q218" i="4" s="1"/>
  <c r="P152" i="4"/>
  <c r="P153" i="4" s="1"/>
  <c r="M48" i="4"/>
  <c r="M49" i="4" s="1"/>
  <c r="AB194" i="4"/>
  <c r="AB195" i="4" s="1"/>
  <c r="AC193" i="4" s="1"/>
  <c r="AB142" i="4"/>
  <c r="AB143" i="4" s="1"/>
  <c r="AC141" i="4" s="1"/>
  <c r="P171" i="4" l="1"/>
  <c r="P172" i="4" s="1"/>
  <c r="Q164" i="4"/>
  <c r="M54" i="4"/>
  <c r="N47" i="4"/>
  <c r="AE64" i="4"/>
  <c r="AE65" i="4" s="1"/>
  <c r="AF63" i="4" s="1"/>
  <c r="AC142" i="4"/>
  <c r="AC143" i="4" s="1"/>
  <c r="AD141" i="4" s="1"/>
  <c r="AD181" i="4"/>
  <c r="AD182" i="4" s="1"/>
  <c r="AE180" i="4" s="1"/>
  <c r="P197" i="4"/>
  <c r="P198" i="4" s="1"/>
  <c r="Q190" i="4"/>
  <c r="Q112" i="4"/>
  <c r="P119" i="4"/>
  <c r="P120" i="4" s="1"/>
  <c r="AF77" i="4"/>
  <c r="AF78" i="4" s="1"/>
  <c r="AG76" i="4" s="1"/>
  <c r="P158" i="4"/>
  <c r="P159" i="4" s="1"/>
  <c r="Q151" i="4"/>
  <c r="M32" i="4"/>
  <c r="L35" i="4"/>
  <c r="R216" i="4"/>
  <c r="Q223" i="4"/>
  <c r="Q224" i="4" s="1"/>
  <c r="AE103" i="4"/>
  <c r="AE104" i="4" s="1"/>
  <c r="AF102" i="4" s="1"/>
  <c r="P229" i="4"/>
  <c r="P230" i="4" s="1"/>
  <c r="M30" i="4"/>
  <c r="M31" i="4" s="1"/>
  <c r="AE129" i="4"/>
  <c r="AE130" i="4" s="1"/>
  <c r="AF128" i="4" s="1"/>
  <c r="P87" i="4"/>
  <c r="P88" i="4" s="1"/>
  <c r="P204" i="4"/>
  <c r="P205" i="4" s="1"/>
  <c r="P178" i="4"/>
  <c r="P179" i="4" s="1"/>
  <c r="P80" i="4"/>
  <c r="P81" i="4" s="1"/>
  <c r="Q73" i="4"/>
  <c r="AE168" i="4"/>
  <c r="AE169" i="4" s="1"/>
  <c r="AF167" i="4" s="1"/>
  <c r="AD207" i="4"/>
  <c r="AD208" i="4" s="1"/>
  <c r="AE206" i="4" s="1"/>
  <c r="AC194" i="4"/>
  <c r="AC195" i="4" s="1"/>
  <c r="AD193" i="4" s="1"/>
  <c r="P67" i="4"/>
  <c r="P68" i="4" s="1"/>
  <c r="Q60" i="4"/>
  <c r="AD116" i="4"/>
  <c r="AD117" i="4" s="1"/>
  <c r="AE115" i="4" s="1"/>
  <c r="Q100" i="4"/>
  <c r="Q101" i="4" s="1"/>
  <c r="Q241" i="4"/>
  <c r="Q242" i="4" s="1"/>
  <c r="AE90" i="4"/>
  <c r="AE91" i="4" s="1"/>
  <c r="AF89" i="4" s="1"/>
  <c r="AE155" i="4"/>
  <c r="AE156" i="4" s="1"/>
  <c r="AF154" i="4" s="1"/>
  <c r="W17" i="4"/>
  <c r="W18" i="4" s="1"/>
  <c r="X16" i="4" s="1"/>
  <c r="L251" i="4"/>
  <c r="S31" i="1"/>
  <c r="P126" i="4"/>
  <c r="P127" i="4" s="1"/>
  <c r="K252" i="4"/>
  <c r="Q30" i="1"/>
  <c r="Q139" i="4"/>
  <c r="Q140" i="4" s="1"/>
  <c r="M51" i="4"/>
  <c r="M52" i="4" s="1"/>
  <c r="T30" i="1" l="1"/>
  <c r="U30" i="1" s="1"/>
  <c r="X17" i="4"/>
  <c r="X18" i="4" s="1"/>
  <c r="Y16" i="4" s="1"/>
  <c r="AD194" i="4"/>
  <c r="AD195" i="4" s="1"/>
  <c r="AE193" i="4" s="1"/>
  <c r="AF129" i="4"/>
  <c r="AF130" i="4" s="1"/>
  <c r="AG128" i="4" s="1"/>
  <c r="AD142" i="4"/>
  <c r="AD143" i="4" s="1"/>
  <c r="AE141" i="4" s="1"/>
  <c r="Q203" i="4"/>
  <c r="P210" i="4"/>
  <c r="P211" i="4" s="1"/>
  <c r="AE181" i="4"/>
  <c r="AE182" i="4" s="1"/>
  <c r="AF180" i="4" s="1"/>
  <c r="M36" i="4"/>
  <c r="M250" i="4" s="1"/>
  <c r="N29" i="4"/>
  <c r="AF90" i="4"/>
  <c r="AF91" i="4" s="1"/>
  <c r="AG89" i="4" s="1"/>
  <c r="AG77" i="4"/>
  <c r="AG78" i="4" s="1"/>
  <c r="AH76" i="4" s="1"/>
  <c r="AF103" i="4"/>
  <c r="AF104" i="4" s="1"/>
  <c r="AG102" i="4" s="1"/>
  <c r="P93" i="4"/>
  <c r="P94" i="4" s="1"/>
  <c r="Q86" i="4"/>
  <c r="AF155" i="4"/>
  <c r="AF156" i="4" s="1"/>
  <c r="AG154" i="4" s="1"/>
  <c r="AF64" i="4"/>
  <c r="AF65" i="4" s="1"/>
  <c r="AG63" i="4" s="1"/>
  <c r="AF168" i="4"/>
  <c r="AF169" i="4" s="1"/>
  <c r="AG167" i="4" s="1"/>
  <c r="R99" i="4"/>
  <c r="Q106" i="4"/>
  <c r="Q107" i="4" s="1"/>
  <c r="N50" i="4"/>
  <c r="M53" i="4"/>
  <c r="M55" i="4" s="1"/>
  <c r="AE207" i="4"/>
  <c r="AE208" i="4" s="1"/>
  <c r="AF206" i="4" s="1"/>
  <c r="Q145" i="4"/>
  <c r="Q146" i="4" s="1"/>
  <c r="R138" i="4"/>
  <c r="P235" i="4"/>
  <c r="P236" i="4" s="1"/>
  <c r="Q228" i="4"/>
  <c r="Q247" i="4"/>
  <c r="Q248" i="4" s="1"/>
  <c r="R240" i="4"/>
  <c r="P132" i="4"/>
  <c r="P133" i="4" s="1"/>
  <c r="Q125" i="4"/>
  <c r="AE116" i="4"/>
  <c r="AE117" i="4" s="1"/>
  <c r="AF115" i="4" s="1"/>
  <c r="P184" i="4"/>
  <c r="P185" i="4" s="1"/>
  <c r="Q177" i="4"/>
  <c r="L249" i="4"/>
  <c r="L37" i="4"/>
  <c r="Q191" i="4"/>
  <c r="Q192" i="4" s="1"/>
  <c r="N48" i="4"/>
  <c r="N49" i="4" s="1"/>
  <c r="R217" i="4"/>
  <c r="R218" i="4" s="1"/>
  <c r="M33" i="4"/>
  <c r="M34" i="4" s="1"/>
  <c r="Q61" i="4"/>
  <c r="Q62" i="4" s="1"/>
  <c r="Q152" i="4"/>
  <c r="Q153" i="4" s="1"/>
  <c r="Q165" i="4"/>
  <c r="Q166" i="4" s="1"/>
  <c r="Q74" i="4"/>
  <c r="Q75" i="4" s="1"/>
  <c r="Q113" i="4"/>
  <c r="Q114" i="4" s="1"/>
  <c r="Q67" i="4" l="1"/>
  <c r="Q68" i="4" s="1"/>
  <c r="R60" i="4"/>
  <c r="AH77" i="4"/>
  <c r="AH78" i="4" s="1"/>
  <c r="AI76" i="4" s="1"/>
  <c r="N54" i="4"/>
  <c r="O47" i="4"/>
  <c r="Q119" i="4"/>
  <c r="Q120" i="4" s="1"/>
  <c r="R112" i="4"/>
  <c r="Q197" i="4"/>
  <c r="Q198" i="4" s="1"/>
  <c r="R190" i="4"/>
  <c r="AG103" i="4"/>
  <c r="AG104" i="4" s="1"/>
  <c r="AH102" i="4" s="1"/>
  <c r="AE142" i="4"/>
  <c r="AE143" i="4" s="1"/>
  <c r="AF141" i="4" s="1"/>
  <c r="AE194" i="4"/>
  <c r="AE195" i="4" s="1"/>
  <c r="AF193" i="4" s="1"/>
  <c r="R223" i="4"/>
  <c r="R224" i="4" s="1"/>
  <c r="S216" i="4"/>
  <c r="R164" i="4"/>
  <c r="Q171" i="4"/>
  <c r="Q172" i="4" s="1"/>
  <c r="AG155" i="4"/>
  <c r="AG156" i="4" s="1"/>
  <c r="AH154" i="4" s="1"/>
  <c r="R151" i="4"/>
  <c r="Q158" i="4"/>
  <c r="Q159" i="4" s="1"/>
  <c r="Y17" i="4"/>
  <c r="Y18" i="4" s="1"/>
  <c r="Z16" i="4" s="1"/>
  <c r="L252" i="4"/>
  <c r="Q31" i="1"/>
  <c r="N51" i="4"/>
  <c r="N52" i="4" s="1"/>
  <c r="Q178" i="4"/>
  <c r="Q179" i="4" s="1"/>
  <c r="Q229" i="4"/>
  <c r="Q230" i="4" s="1"/>
  <c r="Q87" i="4"/>
  <c r="Q88" i="4" s="1"/>
  <c r="N30" i="4"/>
  <c r="N31" i="4" s="1"/>
  <c r="Q80" i="4"/>
  <c r="Q81" i="4" s="1"/>
  <c r="R73" i="4"/>
  <c r="R241" i="4"/>
  <c r="R242" i="4" s="1"/>
  <c r="AG90" i="4"/>
  <c r="AG91" i="4" s="1"/>
  <c r="AH89" i="4" s="1"/>
  <c r="R139" i="4"/>
  <c r="R140" i="4" s="1"/>
  <c r="AF181" i="4"/>
  <c r="AF182" i="4" s="1"/>
  <c r="AG180" i="4" s="1"/>
  <c r="N32" i="4"/>
  <c r="M35" i="4"/>
  <c r="R100" i="4"/>
  <c r="R101" i="4" s="1"/>
  <c r="AG129" i="4"/>
  <c r="AG130" i="4" s="1"/>
  <c r="AH128" i="4" s="1"/>
  <c r="AF116" i="4"/>
  <c r="AF117" i="4" s="1"/>
  <c r="AG115" i="4" s="1"/>
  <c r="Q126" i="4"/>
  <c r="Q127" i="4" s="1"/>
  <c r="AF207" i="4"/>
  <c r="AF208" i="4" s="1"/>
  <c r="AG206" i="4" s="1"/>
  <c r="AG64" i="4"/>
  <c r="AG65" i="4" s="1"/>
  <c r="AH63" i="4" s="1"/>
  <c r="M251" i="4"/>
  <c r="S32" i="1"/>
  <c r="AG168" i="4"/>
  <c r="AG169" i="4" s="1"/>
  <c r="AH167" i="4" s="1"/>
  <c r="Q204" i="4"/>
  <c r="Q205" i="4" s="1"/>
  <c r="T31" i="1" l="1"/>
  <c r="U31" i="1" s="1"/>
  <c r="AG207" i="4"/>
  <c r="AG208" i="4" s="1"/>
  <c r="AH206" i="4" s="1"/>
  <c r="R86" i="4"/>
  <c r="Q93" i="4"/>
  <c r="Q94" i="4" s="1"/>
  <c r="AI77" i="4"/>
  <c r="AI78" i="4" s="1"/>
  <c r="AJ76" i="4" s="1"/>
  <c r="Q132" i="4"/>
  <c r="Q133" i="4" s="1"/>
  <c r="R125" i="4"/>
  <c r="Q235" i="4"/>
  <c r="Q236" i="4" s="1"/>
  <c r="R228" i="4"/>
  <c r="AF194" i="4"/>
  <c r="AF195" i="4" s="1"/>
  <c r="AG193" i="4" s="1"/>
  <c r="AH90" i="4"/>
  <c r="AH91" i="4" s="1"/>
  <c r="AI89" i="4" s="1"/>
  <c r="S99" i="4"/>
  <c r="R106" i="4"/>
  <c r="R107" i="4" s="1"/>
  <c r="AG181" i="4"/>
  <c r="AG182" i="4" s="1"/>
  <c r="AH180" i="4" s="1"/>
  <c r="Q210" i="4"/>
  <c r="Q211" i="4" s="1"/>
  <c r="R203" i="4"/>
  <c r="AG116" i="4"/>
  <c r="AG117" i="4" s="1"/>
  <c r="AH115" i="4" s="1"/>
  <c r="AH168" i="4"/>
  <c r="AH169" i="4" s="1"/>
  <c r="AI167" i="4" s="1"/>
  <c r="Q184" i="4"/>
  <c r="Q185" i="4" s="1"/>
  <c r="R177" i="4"/>
  <c r="R247" i="4"/>
  <c r="R248" i="4" s="1"/>
  <c r="S240" i="4"/>
  <c r="AH103" i="4"/>
  <c r="AH104" i="4" s="1"/>
  <c r="AI102" i="4" s="1"/>
  <c r="R113" i="4"/>
  <c r="R114" i="4" s="1"/>
  <c r="R152" i="4"/>
  <c r="R153" i="4" s="1"/>
  <c r="R74" i="4"/>
  <c r="R75" i="4" s="1"/>
  <c r="O48" i="4"/>
  <c r="O49" i="4" s="1"/>
  <c r="N36" i="4"/>
  <c r="N250" i="4" s="1"/>
  <c r="O29" i="4"/>
  <c r="AF142" i="4"/>
  <c r="AF143" i="4" s="1"/>
  <c r="AG141" i="4" s="1"/>
  <c r="R165" i="4"/>
  <c r="R166" i="4" s="1"/>
  <c r="R145" i="4"/>
  <c r="R146" i="4" s="1"/>
  <c r="S138" i="4"/>
  <c r="AH155" i="4"/>
  <c r="AH156" i="4" s="1"/>
  <c r="AI154" i="4" s="1"/>
  <c r="M249" i="4"/>
  <c r="M37" i="4"/>
  <c r="S217" i="4"/>
  <c r="S218" i="4" s="1"/>
  <c r="R191" i="4"/>
  <c r="R192" i="4" s="1"/>
  <c r="R61" i="4"/>
  <c r="R62" i="4" s="1"/>
  <c r="AH64" i="4"/>
  <c r="AH65" i="4" s="1"/>
  <c r="AI63" i="4" s="1"/>
  <c r="AH129" i="4"/>
  <c r="AH130" i="4"/>
  <c r="AI128" i="4" s="1"/>
  <c r="O50" i="4"/>
  <c r="N53" i="4"/>
  <c r="N55" i="4" s="1"/>
  <c r="N33" i="4"/>
  <c r="N34" i="4" s="1"/>
  <c r="Z17" i="4"/>
  <c r="Z18" i="4" s="1"/>
  <c r="AA16" i="4" s="1"/>
  <c r="AH181" i="4" l="1"/>
  <c r="AH182" i="4" s="1"/>
  <c r="AI180" i="4" s="1"/>
  <c r="B16" i="4"/>
  <c r="AA17" i="4"/>
  <c r="AA18" i="4" s="1"/>
  <c r="AI168" i="4"/>
  <c r="AI169" i="4" s="1"/>
  <c r="AJ167" i="4" s="1"/>
  <c r="AG194" i="4"/>
  <c r="AG195" i="4" s="1"/>
  <c r="AH193" i="4" s="1"/>
  <c r="T216" i="4"/>
  <c r="S223" i="4"/>
  <c r="S224" i="4" s="1"/>
  <c r="S73" i="4"/>
  <c r="R80" i="4"/>
  <c r="R81" i="4" s="1"/>
  <c r="R171" i="4"/>
  <c r="R172" i="4" s="1"/>
  <c r="S164" i="4"/>
  <c r="S112" i="4"/>
  <c r="R119" i="4"/>
  <c r="R120" i="4" s="1"/>
  <c r="AH116" i="4"/>
  <c r="AH117" i="4" s="1"/>
  <c r="AI115" i="4" s="1"/>
  <c r="AI155" i="4"/>
  <c r="AI156" i="4" s="1"/>
  <c r="AJ154" i="4" s="1"/>
  <c r="AI90" i="4"/>
  <c r="AI91" i="4" s="1"/>
  <c r="AJ89" i="4" s="1"/>
  <c r="R158" i="4"/>
  <c r="R159" i="4" s="1"/>
  <c r="S151" i="4"/>
  <c r="R197" i="4"/>
  <c r="R198" i="4" s="1"/>
  <c r="S190" i="4"/>
  <c r="AG142" i="4"/>
  <c r="AG143" i="4" s="1"/>
  <c r="AH141" i="4" s="1"/>
  <c r="N35" i="4"/>
  <c r="O32" i="4"/>
  <c r="S139" i="4"/>
  <c r="S140" i="4" s="1"/>
  <c r="S100" i="4"/>
  <c r="S101" i="4" s="1"/>
  <c r="N251" i="4"/>
  <c r="S33" i="1"/>
  <c r="O51" i="4"/>
  <c r="O52" i="4" s="1"/>
  <c r="S241" i="4"/>
  <c r="S242" i="4" s="1"/>
  <c r="R204" i="4"/>
  <c r="R205" i="4" s="1"/>
  <c r="R126" i="4"/>
  <c r="R127" i="4" s="1"/>
  <c r="AI64" i="4"/>
  <c r="AI65" i="4" s="1"/>
  <c r="AJ63" i="4" s="1"/>
  <c r="R87" i="4"/>
  <c r="R88" i="4" s="1"/>
  <c r="R67" i="4"/>
  <c r="R68" i="4" s="1"/>
  <c r="S60" i="4"/>
  <c r="O54" i="4"/>
  <c r="P47" i="4"/>
  <c r="M252" i="4"/>
  <c r="Q32" i="1"/>
  <c r="R178" i="4"/>
  <c r="R179" i="4" s="1"/>
  <c r="R229" i="4"/>
  <c r="R230" i="4" s="1"/>
  <c r="AH207" i="4"/>
  <c r="AH208" i="4" s="1"/>
  <c r="AI206" i="4" s="1"/>
  <c r="O30" i="4"/>
  <c r="O31" i="4" s="1"/>
  <c r="AI129" i="4"/>
  <c r="AI130" i="4" s="1"/>
  <c r="AJ128" i="4" s="1"/>
  <c r="AI103" i="4"/>
  <c r="AI104" i="4" s="1"/>
  <c r="AJ102" i="4" s="1"/>
  <c r="AJ77" i="4"/>
  <c r="AJ78" i="4" s="1"/>
  <c r="AK76" i="4" s="1"/>
  <c r="T32" i="1" l="1"/>
  <c r="U32" i="1" s="1"/>
  <c r="AI116" i="4"/>
  <c r="AI117" i="4" s="1"/>
  <c r="AJ115" i="4" s="1"/>
  <c r="P29" i="4"/>
  <c r="O36" i="4"/>
  <c r="O250" i="4" s="1"/>
  <c r="R235" i="4"/>
  <c r="R236" i="4" s="1"/>
  <c r="S228" i="4"/>
  <c r="S106" i="4"/>
  <c r="S107" i="4" s="1"/>
  <c r="T99" i="4"/>
  <c r="B18" i="4"/>
  <c r="AB16" i="4"/>
  <c r="AJ90" i="4"/>
  <c r="AJ91" i="4" s="1"/>
  <c r="AK89" i="4" s="1"/>
  <c r="AJ155" i="4"/>
  <c r="AJ156" i="4" s="1"/>
  <c r="AK154" i="4" s="1"/>
  <c r="AH194" i="4"/>
  <c r="AH195" i="4" s="1"/>
  <c r="AI193" i="4" s="1"/>
  <c r="AJ168" i="4"/>
  <c r="AJ169" i="4" s="1"/>
  <c r="AK167" i="4" s="1"/>
  <c r="R132" i="4"/>
  <c r="R133" i="4" s="1"/>
  <c r="S125" i="4"/>
  <c r="AI207" i="4"/>
  <c r="AI208" i="4" s="1"/>
  <c r="AJ206" i="4" s="1"/>
  <c r="P50" i="4"/>
  <c r="O53" i="4"/>
  <c r="O55" i="4" s="1"/>
  <c r="AK77" i="4"/>
  <c r="AK78" i="4" s="1"/>
  <c r="AL76" i="4" s="1"/>
  <c r="AJ103" i="4"/>
  <c r="AJ104" i="4" s="1"/>
  <c r="AK102" i="4" s="1"/>
  <c r="AJ64" i="4"/>
  <c r="AJ65" i="4" s="1"/>
  <c r="AK63" i="4" s="1"/>
  <c r="R210" i="4"/>
  <c r="R211" i="4" s="1"/>
  <c r="S203" i="4"/>
  <c r="AI181" i="4"/>
  <c r="AI182" i="4" s="1"/>
  <c r="AJ180" i="4" s="1"/>
  <c r="R184" i="4"/>
  <c r="R185" i="4" s="1"/>
  <c r="S177" i="4"/>
  <c r="S113" i="4"/>
  <c r="S114" i="4" s="1"/>
  <c r="O33" i="4"/>
  <c r="O34" i="4" s="1"/>
  <c r="S165" i="4"/>
  <c r="S166" i="4" s="1"/>
  <c r="R93" i="4"/>
  <c r="R94" i="4" s="1"/>
  <c r="S86" i="4"/>
  <c r="N249" i="4"/>
  <c r="N37" i="4"/>
  <c r="S247" i="4"/>
  <c r="S248" i="4" s="1"/>
  <c r="T240" i="4"/>
  <c r="S145" i="4"/>
  <c r="S146" i="4" s="1"/>
  <c r="T138" i="4"/>
  <c r="S191" i="4"/>
  <c r="S192" i="4" s="1"/>
  <c r="S61" i="4"/>
  <c r="S62" i="4" s="1"/>
  <c r="T217" i="4"/>
  <c r="T218" i="4" s="1"/>
  <c r="AJ129" i="4"/>
  <c r="AJ130" i="4"/>
  <c r="AK128" i="4" s="1"/>
  <c r="P48" i="4"/>
  <c r="P49" i="4" s="1"/>
  <c r="AH142" i="4"/>
  <c r="AH143" i="4" s="1"/>
  <c r="AI141" i="4" s="1"/>
  <c r="S74" i="4"/>
  <c r="S75" i="4" s="1"/>
  <c r="S152" i="4"/>
  <c r="S153" i="4" s="1"/>
  <c r="P54" i="4" l="1"/>
  <c r="Q47" i="4"/>
  <c r="AK103" i="4"/>
  <c r="AK104" i="4" s="1"/>
  <c r="AL102" i="4" s="1"/>
  <c r="AI194" i="4"/>
  <c r="AI195" i="4" s="1"/>
  <c r="AJ193" i="4" s="1"/>
  <c r="AK155" i="4"/>
  <c r="AK156" i="4" s="1"/>
  <c r="AL154" i="4" s="1"/>
  <c r="T164" i="4"/>
  <c r="S171" i="4"/>
  <c r="S172" i="4" s="1"/>
  <c r="AK64" i="4"/>
  <c r="AK65" i="4" s="1"/>
  <c r="AL63" i="4" s="1"/>
  <c r="AL77" i="4"/>
  <c r="AL78" i="4" s="1"/>
  <c r="AM76" i="4" s="1"/>
  <c r="T151" i="4"/>
  <c r="S158" i="4"/>
  <c r="S159" i="4" s="1"/>
  <c r="AK90" i="4"/>
  <c r="AK91" i="4" s="1"/>
  <c r="AL89" i="4" s="1"/>
  <c r="S197" i="4"/>
  <c r="S198" i="4" s="1"/>
  <c r="T190" i="4"/>
  <c r="AI142" i="4"/>
  <c r="AI143" i="4" s="1"/>
  <c r="AJ141" i="4" s="1"/>
  <c r="O35" i="4"/>
  <c r="P32" i="4"/>
  <c r="T60" i="4"/>
  <c r="S67" i="4"/>
  <c r="S68" i="4" s="1"/>
  <c r="AJ181" i="4"/>
  <c r="AJ182" i="4" s="1"/>
  <c r="AK180" i="4" s="1"/>
  <c r="AJ207" i="4"/>
  <c r="AJ208" i="4" s="1"/>
  <c r="AK206" i="4" s="1"/>
  <c r="AJ116" i="4"/>
  <c r="AJ117" i="4" s="1"/>
  <c r="AK115" i="4" s="1"/>
  <c r="P51" i="4"/>
  <c r="P52" i="4" s="1"/>
  <c r="T73" i="4"/>
  <c r="S80" i="4"/>
  <c r="S81" i="4" s="1"/>
  <c r="N252" i="4"/>
  <c r="Q33" i="1"/>
  <c r="S229" i="4"/>
  <c r="S230" i="4" s="1"/>
  <c r="T100" i="4"/>
  <c r="T101" i="4" s="1"/>
  <c r="O251" i="4"/>
  <c r="S34" i="1"/>
  <c r="S119" i="4"/>
  <c r="S120" i="4" s="1"/>
  <c r="T112" i="4"/>
  <c r="AK129" i="4"/>
  <c r="AK130" i="4" s="1"/>
  <c r="AL128" i="4" s="1"/>
  <c r="T139" i="4"/>
  <c r="T140" i="4" s="1"/>
  <c r="P30" i="4"/>
  <c r="P31" i="4" s="1"/>
  <c r="S87" i="4"/>
  <c r="S88" i="4" s="1"/>
  <c r="S178" i="4"/>
  <c r="S179" i="4" s="1"/>
  <c r="S126" i="4"/>
  <c r="S127" i="4" s="1"/>
  <c r="AK168" i="4"/>
  <c r="AK169" i="4" s="1"/>
  <c r="AL167" i="4" s="1"/>
  <c r="AB17" i="4"/>
  <c r="AB18" i="4" s="1"/>
  <c r="AC16" i="4" s="1"/>
  <c r="T223" i="4"/>
  <c r="T224" i="4" s="1"/>
  <c r="U216" i="4"/>
  <c r="S204" i="4"/>
  <c r="S205" i="4" s="1"/>
  <c r="T241" i="4"/>
  <c r="T242" i="4" s="1"/>
  <c r="T33" i="1" l="1"/>
  <c r="U33" i="1" s="1"/>
  <c r="S235" i="4"/>
  <c r="S236" i="4" s="1"/>
  <c r="T228" i="4"/>
  <c r="AL90" i="4"/>
  <c r="AL91" i="4" s="1"/>
  <c r="AM89" i="4" s="1"/>
  <c r="AL155" i="4"/>
  <c r="AL156" i="4" s="1"/>
  <c r="AM154" i="4" s="1"/>
  <c r="S210" i="4"/>
  <c r="S211" i="4" s="1"/>
  <c r="T203" i="4"/>
  <c r="AK181" i="4"/>
  <c r="AK182" i="4" s="1"/>
  <c r="AL180" i="4" s="1"/>
  <c r="AC17" i="4"/>
  <c r="AC18" i="4" s="1"/>
  <c r="AD16" i="4" s="1"/>
  <c r="S132" i="4"/>
  <c r="S133" i="4" s="1"/>
  <c r="T125" i="4"/>
  <c r="Q50" i="4"/>
  <c r="P53" i="4"/>
  <c r="P55" i="4" s="1"/>
  <c r="U138" i="4"/>
  <c r="T145" i="4"/>
  <c r="T146" i="4" s="1"/>
  <c r="AJ194" i="4"/>
  <c r="AJ195" i="4" s="1"/>
  <c r="AK193" i="4" s="1"/>
  <c r="S184" i="4"/>
  <c r="S185" i="4" s="1"/>
  <c r="T177" i="4"/>
  <c r="AK116" i="4"/>
  <c r="AK117" i="4" s="1"/>
  <c r="AL115" i="4" s="1"/>
  <c r="Q29" i="4"/>
  <c r="P36" i="4"/>
  <c r="P250" i="4" s="1"/>
  <c r="AL129" i="4"/>
  <c r="AL130" i="4" s="1"/>
  <c r="AM128" i="4" s="1"/>
  <c r="AL168" i="4"/>
  <c r="AL169" i="4" s="1"/>
  <c r="AM167" i="4" s="1"/>
  <c r="T247" i="4"/>
  <c r="T248" i="4" s="1"/>
  <c r="U240" i="4"/>
  <c r="T86" i="4"/>
  <c r="S93" i="4"/>
  <c r="S94" i="4" s="1"/>
  <c r="T106" i="4"/>
  <c r="T107" i="4" s="1"/>
  <c r="U99" i="4"/>
  <c r="AL64" i="4"/>
  <c r="AL65" i="4" s="1"/>
  <c r="AM63" i="4" s="1"/>
  <c r="P33" i="4"/>
  <c r="P34" i="4" s="1"/>
  <c r="O249" i="4"/>
  <c r="O37" i="4"/>
  <c r="T152" i="4"/>
  <c r="T153" i="4" s="1"/>
  <c r="AK207" i="4"/>
  <c r="AK208" i="4" s="1"/>
  <c r="AL206" i="4" s="1"/>
  <c r="AL103" i="4"/>
  <c r="AL104" i="4" s="1"/>
  <c r="AM102" i="4" s="1"/>
  <c r="U217" i="4"/>
  <c r="U218" i="4" s="1"/>
  <c r="T113" i="4"/>
  <c r="T114" i="4" s="1"/>
  <c r="AJ142" i="4"/>
  <c r="AJ143" i="4" s="1"/>
  <c r="AK141" i="4" s="1"/>
  <c r="T191" i="4"/>
  <c r="T192" i="4" s="1"/>
  <c r="T74" i="4"/>
  <c r="T75" i="4" s="1"/>
  <c r="AM77" i="4"/>
  <c r="AM78" i="4" s="1"/>
  <c r="AN76" i="4" s="1"/>
  <c r="Q48" i="4"/>
  <c r="Q49" i="4" s="1"/>
  <c r="T61" i="4"/>
  <c r="T62" i="4" s="1"/>
  <c r="T165" i="4"/>
  <c r="T166" i="4" s="1"/>
  <c r="AK194" i="4" l="1"/>
  <c r="AK195" i="4" s="1"/>
  <c r="AL193" i="4" s="1"/>
  <c r="AM155" i="4"/>
  <c r="AM156" i="4" s="1"/>
  <c r="AN154" i="4" s="1"/>
  <c r="AM103" i="4"/>
  <c r="AM104" i="4" s="1"/>
  <c r="AN102" i="4" s="1"/>
  <c r="U73" i="4"/>
  <c r="T80" i="4"/>
  <c r="T81" i="4" s="1"/>
  <c r="T158" i="4"/>
  <c r="T159" i="4" s="1"/>
  <c r="U151" i="4"/>
  <c r="U112" i="4"/>
  <c r="T119" i="4"/>
  <c r="T120" i="4" s="1"/>
  <c r="P35" i="4"/>
  <c r="Q32" i="4"/>
  <c r="AL181" i="4"/>
  <c r="AL182" i="4" s="1"/>
  <c r="AM180" i="4" s="1"/>
  <c r="T197" i="4"/>
  <c r="T198" i="4" s="1"/>
  <c r="U190" i="4"/>
  <c r="Q54" i="4"/>
  <c r="R47" i="4"/>
  <c r="V216" i="4"/>
  <c r="U223" i="4"/>
  <c r="U224" i="4" s="1"/>
  <c r="AM168" i="4"/>
  <c r="AM169" i="4" s="1"/>
  <c r="AN167" i="4" s="1"/>
  <c r="AD17" i="4"/>
  <c r="AD18" i="4" s="1"/>
  <c r="AE16" i="4" s="1"/>
  <c r="Q51" i="4"/>
  <c r="Q52" i="4" s="1"/>
  <c r="T178" i="4"/>
  <c r="T179" i="4" s="1"/>
  <c r="T126" i="4"/>
  <c r="T127" i="4" s="1"/>
  <c r="T204" i="4"/>
  <c r="T205" i="4" s="1"/>
  <c r="AK142" i="4"/>
  <c r="AK143" i="4" s="1"/>
  <c r="AL141" i="4" s="1"/>
  <c r="U100" i="4"/>
  <c r="U101" i="4" s="1"/>
  <c r="AM90" i="4"/>
  <c r="AM91" i="4" s="1"/>
  <c r="AN89" i="4" s="1"/>
  <c r="U241" i="4"/>
  <c r="U242" i="4" s="1"/>
  <c r="AL207" i="4"/>
  <c r="AL208" i="4" s="1"/>
  <c r="AM206" i="4" s="1"/>
  <c r="T171" i="4"/>
  <c r="T172" i="4" s="1"/>
  <c r="U164" i="4"/>
  <c r="P251" i="4"/>
  <c r="S35" i="1"/>
  <c r="T229" i="4"/>
  <c r="T230" i="4" s="1"/>
  <c r="T67" i="4"/>
  <c r="T68" i="4" s="1"/>
  <c r="U60" i="4"/>
  <c r="AL116" i="4"/>
  <c r="AL117" i="4" s="1"/>
  <c r="AM115" i="4" s="1"/>
  <c r="AM64" i="4"/>
  <c r="AM65" i="4" s="1"/>
  <c r="AN63" i="4" s="1"/>
  <c r="AN77" i="4"/>
  <c r="AN78" i="4" s="1"/>
  <c r="AO76" i="4" s="1"/>
  <c r="AM129" i="4"/>
  <c r="AM130" i="4" s="1"/>
  <c r="AN128" i="4" s="1"/>
  <c r="O252" i="4"/>
  <c r="Q34" i="1"/>
  <c r="T87" i="4"/>
  <c r="T88" i="4" s="1"/>
  <c r="Q30" i="4"/>
  <c r="Q31" i="4" s="1"/>
  <c r="U139" i="4"/>
  <c r="U140" i="4" s="1"/>
  <c r="T34" i="1" l="1"/>
  <c r="U34" i="1" s="1"/>
  <c r="AM116" i="4"/>
  <c r="AM117" i="4" s="1"/>
  <c r="AN115" i="4" s="1"/>
  <c r="AN64" i="4"/>
  <c r="AN65" i="4" s="1"/>
  <c r="AO63" i="4" s="1"/>
  <c r="U177" i="4"/>
  <c r="T184" i="4"/>
  <c r="T185" i="4" s="1"/>
  <c r="AN168" i="4"/>
  <c r="AN169" i="4" s="1"/>
  <c r="AO167" i="4" s="1"/>
  <c r="Q53" i="4"/>
  <c r="Q55" i="4" s="1"/>
  <c r="R50" i="4"/>
  <c r="AE17" i="4"/>
  <c r="AE18" i="4" s="1"/>
  <c r="AF16" i="4" s="1"/>
  <c r="U106" i="4"/>
  <c r="U107" i="4" s="1"/>
  <c r="V99" i="4"/>
  <c r="AO77" i="4"/>
  <c r="AO78" i="4" s="1"/>
  <c r="AP76" i="4" s="1"/>
  <c r="R29" i="4"/>
  <c r="Q36" i="4"/>
  <c r="Q250" i="4" s="1"/>
  <c r="AM181" i="4"/>
  <c r="AM182" i="4" s="1"/>
  <c r="AN180" i="4" s="1"/>
  <c r="AN90" i="4"/>
  <c r="AN91" i="4" s="1"/>
  <c r="AO89" i="4" s="1"/>
  <c r="AL142" i="4"/>
  <c r="AL143" i="4" s="1"/>
  <c r="AM141" i="4" s="1"/>
  <c r="AN155" i="4"/>
  <c r="AN156" i="4" s="1"/>
  <c r="AO154" i="4" s="1"/>
  <c r="T132" i="4"/>
  <c r="T133" i="4" s="1"/>
  <c r="U125" i="4"/>
  <c r="U145" i="4"/>
  <c r="U146" i="4" s="1"/>
  <c r="V138" i="4"/>
  <c r="AM207" i="4"/>
  <c r="AM208" i="4" s="1"/>
  <c r="AN206" i="4" s="1"/>
  <c r="U247" i="4"/>
  <c r="U248" i="4" s="1"/>
  <c r="V240" i="4"/>
  <c r="T93" i="4"/>
  <c r="T94" i="4" s="1"/>
  <c r="U86" i="4"/>
  <c r="T235" i="4"/>
  <c r="T236" i="4" s="1"/>
  <c r="U228" i="4"/>
  <c r="AN129" i="4"/>
  <c r="AN130" i="4" s="1"/>
  <c r="AO128" i="4" s="1"/>
  <c r="U203" i="4"/>
  <c r="T210" i="4"/>
  <c r="T211" i="4" s="1"/>
  <c r="AL194" i="4"/>
  <c r="AL195" i="4" s="1"/>
  <c r="AM193" i="4" s="1"/>
  <c r="U165" i="4"/>
  <c r="U166" i="4" s="1"/>
  <c r="Q33" i="4"/>
  <c r="Q34" i="4" s="1"/>
  <c r="AN103" i="4"/>
  <c r="AN104" i="4" s="1"/>
  <c r="AO102" i="4" s="1"/>
  <c r="R48" i="4"/>
  <c r="R49" i="4" s="1"/>
  <c r="U74" i="4"/>
  <c r="U75" i="4" s="1"/>
  <c r="V217" i="4"/>
  <c r="V218" i="4" s="1"/>
  <c r="U61" i="4"/>
  <c r="U62" i="4" s="1"/>
  <c r="U113" i="4"/>
  <c r="U114" i="4" s="1"/>
  <c r="P249" i="4"/>
  <c r="P37" i="4"/>
  <c r="U191" i="4"/>
  <c r="U192" i="4" s="1"/>
  <c r="U152" i="4"/>
  <c r="U153" i="4" s="1"/>
  <c r="R32" i="4" l="1"/>
  <c r="Q35" i="4"/>
  <c r="AM142" i="4"/>
  <c r="AM143" i="4" s="1"/>
  <c r="AN141" i="4" s="1"/>
  <c r="AP77" i="4"/>
  <c r="AP78" i="4" s="1"/>
  <c r="AQ76" i="4" s="1"/>
  <c r="AO155" i="4"/>
  <c r="AO156" i="4" s="1"/>
  <c r="AP154" i="4" s="1"/>
  <c r="AF17" i="4"/>
  <c r="AF18" i="4" s="1"/>
  <c r="AG16" i="4" s="1"/>
  <c r="U119" i="4"/>
  <c r="U120" i="4" s="1"/>
  <c r="V112" i="4"/>
  <c r="AM194" i="4"/>
  <c r="AM195" i="4" s="1"/>
  <c r="AN193" i="4" s="1"/>
  <c r="U80" i="4"/>
  <c r="U81" i="4" s="1"/>
  <c r="V73" i="4"/>
  <c r="AO129" i="4"/>
  <c r="AO130" i="4" s="1"/>
  <c r="AP128" i="4" s="1"/>
  <c r="AO103" i="4"/>
  <c r="AO104" i="4" s="1"/>
  <c r="AP102" i="4" s="1"/>
  <c r="V164" i="4"/>
  <c r="U171" i="4"/>
  <c r="U172" i="4" s="1"/>
  <c r="V60" i="4"/>
  <c r="U67" i="4"/>
  <c r="U68" i="4" s="1"/>
  <c r="U158" i="4"/>
  <c r="U159" i="4" s="1"/>
  <c r="V151" i="4"/>
  <c r="S47" i="4"/>
  <c r="R54" i="4"/>
  <c r="AN181" i="4"/>
  <c r="AN182" i="4" s="1"/>
  <c r="AO180" i="4" s="1"/>
  <c r="P252" i="4"/>
  <c r="T35" i="1" s="1"/>
  <c r="U35" i="1" s="1"/>
  <c r="Q35" i="1"/>
  <c r="V139" i="4"/>
  <c r="V140" i="4" s="1"/>
  <c r="AO90" i="4"/>
  <c r="AO91" i="4" s="1"/>
  <c r="AP89" i="4" s="1"/>
  <c r="V100" i="4"/>
  <c r="V101" i="4" s="1"/>
  <c r="U197" i="4"/>
  <c r="U198" i="4" s="1"/>
  <c r="V190" i="4"/>
  <c r="U178" i="4"/>
  <c r="U179" i="4" s="1"/>
  <c r="V223" i="4"/>
  <c r="V224" i="4" s="1"/>
  <c r="W216" i="4"/>
  <c r="U87" i="4"/>
  <c r="U88" i="4" s="1"/>
  <c r="U126" i="4"/>
  <c r="U127" i="4" s="1"/>
  <c r="AO64" i="4"/>
  <c r="AO65" i="4" s="1"/>
  <c r="AP63" i="4" s="1"/>
  <c r="AO168" i="4"/>
  <c r="AO169" i="4" s="1"/>
  <c r="AP167" i="4" s="1"/>
  <c r="U229" i="4"/>
  <c r="U230" i="4" s="1"/>
  <c r="AN207" i="4"/>
  <c r="AN208" i="4" s="1"/>
  <c r="AO206" i="4" s="1"/>
  <c r="V241" i="4"/>
  <c r="V242" i="4" s="1"/>
  <c r="Q251" i="4"/>
  <c r="S36" i="1"/>
  <c r="R51" i="4"/>
  <c r="R52" i="4" s="1"/>
  <c r="AN116" i="4"/>
  <c r="AN117" i="4" s="1"/>
  <c r="AO115" i="4" s="1"/>
  <c r="U204" i="4"/>
  <c r="U205" i="4" s="1"/>
  <c r="R30" i="4"/>
  <c r="R31" i="4" s="1"/>
  <c r="AP129" i="4" l="1"/>
  <c r="AP130" i="4" s="1"/>
  <c r="AQ128" i="4" s="1"/>
  <c r="AP64" i="4"/>
  <c r="AP65" i="4" s="1"/>
  <c r="AQ63" i="4" s="1"/>
  <c r="AG17" i="4"/>
  <c r="AG18" i="4" s="1"/>
  <c r="AH16" i="4" s="1"/>
  <c r="V247" i="4"/>
  <c r="V248" i="4" s="1"/>
  <c r="W240" i="4"/>
  <c r="R36" i="4"/>
  <c r="R250" i="4" s="1"/>
  <c r="S29" i="4"/>
  <c r="AN142" i="4"/>
  <c r="AN143" i="4" s="1"/>
  <c r="AO141" i="4" s="1"/>
  <c r="R53" i="4"/>
  <c r="R55" i="4" s="1"/>
  <c r="S50" i="4"/>
  <c r="AP103" i="4"/>
  <c r="AP104" i="4" s="1"/>
  <c r="AQ102" i="4" s="1"/>
  <c r="AP90" i="4"/>
  <c r="AP91" i="4" s="1"/>
  <c r="AQ89" i="4" s="1"/>
  <c r="AO207" i="4"/>
  <c r="AO208" i="4" s="1"/>
  <c r="AP206" i="4" s="1"/>
  <c r="U210" i="4"/>
  <c r="U211" i="4" s="1"/>
  <c r="V203" i="4"/>
  <c r="U184" i="4"/>
  <c r="U185" i="4" s="1"/>
  <c r="V177" i="4"/>
  <c r="V125" i="4"/>
  <c r="U132" i="4"/>
  <c r="U133" i="4" s="1"/>
  <c r="AP155" i="4"/>
  <c r="AP156" i="4" s="1"/>
  <c r="AQ154" i="4" s="1"/>
  <c r="W138" i="4"/>
  <c r="V145" i="4"/>
  <c r="V146" i="4" s="1"/>
  <c r="AO116" i="4"/>
  <c r="AO117" i="4" s="1"/>
  <c r="AP115" i="4" s="1"/>
  <c r="AP168" i="4"/>
  <c r="AP169" i="4" s="1"/>
  <c r="AQ167" i="4" s="1"/>
  <c r="V191" i="4"/>
  <c r="V192" i="4" s="1"/>
  <c r="V61" i="4"/>
  <c r="V62" i="4" s="1"/>
  <c r="U93" i="4"/>
  <c r="U94" i="4" s="1"/>
  <c r="V86" i="4"/>
  <c r="S48" i="4"/>
  <c r="S49" i="4" s="1"/>
  <c r="AO181" i="4"/>
  <c r="AO182" i="4" s="1"/>
  <c r="AP180" i="4" s="1"/>
  <c r="V152" i="4"/>
  <c r="V153" i="4" s="1"/>
  <c r="Q249" i="4"/>
  <c r="Q37" i="4"/>
  <c r="V74" i="4"/>
  <c r="V75" i="4" s="1"/>
  <c r="U235" i="4"/>
  <c r="U236" i="4" s="1"/>
  <c r="V228" i="4"/>
  <c r="V106" i="4"/>
  <c r="V107" i="4" s="1"/>
  <c r="W99" i="4"/>
  <c r="V165" i="4"/>
  <c r="V166" i="4" s="1"/>
  <c r="AN194" i="4"/>
  <c r="AN195" i="4" s="1"/>
  <c r="AO193" i="4" s="1"/>
  <c r="AQ77" i="4"/>
  <c r="AQ78" i="4" s="1"/>
  <c r="AR76" i="4" s="1"/>
  <c r="W217" i="4"/>
  <c r="W218" i="4" s="1"/>
  <c r="V113" i="4"/>
  <c r="V114" i="4" s="1"/>
  <c r="R33" i="4"/>
  <c r="R34" i="4" s="1"/>
  <c r="V67" i="4" l="1"/>
  <c r="V68" i="4" s="1"/>
  <c r="W60" i="4"/>
  <c r="AR77" i="4"/>
  <c r="AR78" i="4" s="1"/>
  <c r="AS76" i="4" s="1"/>
  <c r="AQ103" i="4"/>
  <c r="AQ104" i="4" s="1"/>
  <c r="AR102" i="4" s="1"/>
  <c r="AQ90" i="4"/>
  <c r="AQ91" i="4" s="1"/>
  <c r="AR89" i="4" s="1"/>
  <c r="V80" i="4"/>
  <c r="V81" i="4" s="1"/>
  <c r="W73" i="4"/>
  <c r="AO194" i="4"/>
  <c r="AO195" i="4" s="1"/>
  <c r="AP193" i="4" s="1"/>
  <c r="AQ168" i="4"/>
  <c r="AQ169" i="4" s="1"/>
  <c r="AR167" i="4" s="1"/>
  <c r="S32" i="4"/>
  <c r="R35" i="4"/>
  <c r="AP181" i="4"/>
  <c r="AP182" i="4" s="1"/>
  <c r="AQ180" i="4" s="1"/>
  <c r="AO142" i="4"/>
  <c r="AO143" i="4" s="1"/>
  <c r="AP141" i="4" s="1"/>
  <c r="V197" i="4"/>
  <c r="V198" i="4" s="1"/>
  <c r="W190" i="4"/>
  <c r="V158" i="4"/>
  <c r="V159" i="4" s="1"/>
  <c r="W151" i="4"/>
  <c r="T47" i="4"/>
  <c r="S54" i="4"/>
  <c r="X216" i="4"/>
  <c r="W223" i="4"/>
  <c r="W224" i="4" s="1"/>
  <c r="W100" i="4"/>
  <c r="W101" i="4" s="1"/>
  <c r="V204" i="4"/>
  <c r="V205" i="4" s="1"/>
  <c r="S51" i="4"/>
  <c r="S52" i="4" s="1"/>
  <c r="W112" i="4"/>
  <c r="V119" i="4"/>
  <c r="V120" i="4" s="1"/>
  <c r="V229" i="4"/>
  <c r="V230" i="4" s="1"/>
  <c r="AQ155" i="4"/>
  <c r="AQ156" i="4" s="1"/>
  <c r="AR154" i="4" s="1"/>
  <c r="AP207" i="4"/>
  <c r="AP208" i="4" s="1"/>
  <c r="AQ206" i="4" s="1"/>
  <c r="AQ64" i="4"/>
  <c r="AQ65" i="4" s="1"/>
  <c r="AR63" i="4" s="1"/>
  <c r="V171" i="4"/>
  <c r="V172" i="4" s="1"/>
  <c r="W164" i="4"/>
  <c r="W241" i="4"/>
  <c r="W242" i="4" s="1"/>
  <c r="AP116" i="4"/>
  <c r="AP117" i="4" s="1"/>
  <c r="AQ115" i="4" s="1"/>
  <c r="S30" i="4"/>
  <c r="S31" i="4" s="1"/>
  <c r="AQ129" i="4"/>
  <c r="AQ130" i="4" s="1"/>
  <c r="AR128" i="4" s="1"/>
  <c r="Q252" i="4"/>
  <c r="T36" i="1" s="1"/>
  <c r="U36" i="1" s="1"/>
  <c r="Q36" i="1"/>
  <c r="V178" i="4"/>
  <c r="V179" i="4" s="1"/>
  <c r="W139" i="4"/>
  <c r="W140" i="4" s="1"/>
  <c r="AH17" i="4"/>
  <c r="AH18" i="4" s="1"/>
  <c r="AI16" i="4" s="1"/>
  <c r="V87" i="4"/>
  <c r="V88" i="4" s="1"/>
  <c r="V126" i="4"/>
  <c r="V127" i="4" s="1"/>
  <c r="R251" i="4"/>
  <c r="S37" i="1"/>
  <c r="W145" i="4" l="1"/>
  <c r="W146" i="4" s="1"/>
  <c r="X138" i="4"/>
  <c r="AR90" i="4"/>
  <c r="AR91" i="4" s="1"/>
  <c r="AS89" i="4" s="1"/>
  <c r="AQ116" i="4"/>
  <c r="AQ117" i="4" s="1"/>
  <c r="AR115" i="4" s="1"/>
  <c r="V184" i="4"/>
  <c r="V185" i="4" s="1"/>
  <c r="W177" i="4"/>
  <c r="AR64" i="4"/>
  <c r="AR65" i="4" s="1"/>
  <c r="AS63" i="4" s="1"/>
  <c r="V132" i="4"/>
  <c r="V133" i="4" s="1"/>
  <c r="W125" i="4"/>
  <c r="AQ181" i="4"/>
  <c r="AQ182" i="4" s="1"/>
  <c r="AR180" i="4" s="1"/>
  <c r="AS77" i="4"/>
  <c r="AS78" i="4" s="1"/>
  <c r="AT76" i="4" s="1"/>
  <c r="W247" i="4"/>
  <c r="W248" i="4" s="1"/>
  <c r="X240" i="4"/>
  <c r="S53" i="4"/>
  <c r="S55" i="4" s="1"/>
  <c r="T50" i="4"/>
  <c r="W203" i="4"/>
  <c r="V210" i="4"/>
  <c r="V211" i="4" s="1"/>
  <c r="AQ207" i="4"/>
  <c r="AQ208" i="4" s="1"/>
  <c r="AR206" i="4" s="1"/>
  <c r="V93" i="4"/>
  <c r="V94" i="4" s="1"/>
  <c r="W86" i="4"/>
  <c r="AR155" i="4"/>
  <c r="AR156" i="4" s="1"/>
  <c r="AS154" i="4" s="1"/>
  <c r="S36" i="4"/>
  <c r="S250" i="4" s="1"/>
  <c r="T29" i="4"/>
  <c r="S33" i="4"/>
  <c r="S34" i="4" s="1"/>
  <c r="W165" i="4"/>
  <c r="W166" i="4" s="1"/>
  <c r="W191" i="4"/>
  <c r="W192" i="4" s="1"/>
  <c r="W152" i="4"/>
  <c r="W153" i="4" s="1"/>
  <c r="AR129" i="4"/>
  <c r="AR130" i="4" s="1"/>
  <c r="AS128" i="4" s="1"/>
  <c r="AR168" i="4"/>
  <c r="AR169" i="4" s="1"/>
  <c r="AS167" i="4" s="1"/>
  <c r="R249" i="4"/>
  <c r="R37" i="4"/>
  <c r="V235" i="4"/>
  <c r="V236" i="4" s="1"/>
  <c r="W228" i="4"/>
  <c r="AP142" i="4"/>
  <c r="AP143" i="4" s="1"/>
  <c r="AQ141" i="4" s="1"/>
  <c r="X217" i="4"/>
  <c r="X218" i="4" s="1"/>
  <c r="AI17" i="4"/>
  <c r="AI18" i="4" s="1"/>
  <c r="AJ16" i="4" s="1"/>
  <c r="W106" i="4"/>
  <c r="W107" i="4" s="1"/>
  <c r="X99" i="4"/>
  <c r="AR103" i="4"/>
  <c r="AR104" i="4" s="1"/>
  <c r="AS102" i="4" s="1"/>
  <c r="W74" i="4"/>
  <c r="W75" i="4" s="1"/>
  <c r="W61" i="4"/>
  <c r="W62" i="4" s="1"/>
  <c r="AP194" i="4"/>
  <c r="AP195" i="4" s="1"/>
  <c r="AQ193" i="4" s="1"/>
  <c r="W113" i="4"/>
  <c r="W114" i="4" s="1"/>
  <c r="T48" i="4"/>
  <c r="T49" i="4" s="1"/>
  <c r="W80" i="4" l="1"/>
  <c r="W81" i="4" s="1"/>
  <c r="X73" i="4"/>
  <c r="AT77" i="4"/>
  <c r="AT78" i="4" s="1"/>
  <c r="AU76" i="4" s="1"/>
  <c r="W158" i="4"/>
  <c r="W159" i="4" s="1"/>
  <c r="X151" i="4"/>
  <c r="U47" i="4"/>
  <c r="T54" i="4"/>
  <c r="AQ194" i="4"/>
  <c r="AQ195" i="4" s="1"/>
  <c r="AR193" i="4" s="1"/>
  <c r="W197" i="4"/>
  <c r="W198" i="4" s="1"/>
  <c r="X190" i="4"/>
  <c r="W171" i="4"/>
  <c r="W172" i="4" s="1"/>
  <c r="X164" i="4"/>
  <c r="T32" i="4"/>
  <c r="S35" i="4"/>
  <c r="AJ17" i="4"/>
  <c r="AJ18" i="4" s="1"/>
  <c r="AK16" i="4" s="1"/>
  <c r="AS90" i="4"/>
  <c r="AS91" i="4" s="1"/>
  <c r="AT89" i="4" s="1"/>
  <c r="X223" i="4"/>
  <c r="X224" i="4" s="1"/>
  <c r="Y216" i="4"/>
  <c r="W67" i="4"/>
  <c r="W68" i="4" s="1"/>
  <c r="X60" i="4"/>
  <c r="AS129" i="4"/>
  <c r="AS130" i="4" s="1"/>
  <c r="AT128" i="4" s="1"/>
  <c r="W119" i="4"/>
  <c r="W120" i="4" s="1"/>
  <c r="X112" i="4"/>
  <c r="W229" i="4"/>
  <c r="W230" i="4" s="1"/>
  <c r="AS103" i="4"/>
  <c r="AS104" i="4" s="1"/>
  <c r="AT102" i="4" s="1"/>
  <c r="W178" i="4"/>
  <c r="W179" i="4" s="1"/>
  <c r="T30" i="4"/>
  <c r="T31" i="4" s="1"/>
  <c r="AS155" i="4"/>
  <c r="AS156" i="4" s="1"/>
  <c r="AT154" i="4" s="1"/>
  <c r="S251" i="4"/>
  <c r="S38" i="1"/>
  <c r="AR116" i="4"/>
  <c r="AR117" i="4" s="1"/>
  <c r="AS115" i="4" s="1"/>
  <c r="AS168" i="4"/>
  <c r="AS169" i="4" s="1"/>
  <c r="AT167" i="4" s="1"/>
  <c r="AQ142" i="4"/>
  <c r="AQ143" i="4" s="1"/>
  <c r="AR141" i="4" s="1"/>
  <c r="X100" i="4"/>
  <c r="X101" i="4" s="1"/>
  <c r="R252" i="4"/>
  <c r="T37" i="1" s="1"/>
  <c r="U37" i="1" s="1"/>
  <c r="Q37" i="1"/>
  <c r="W126" i="4"/>
  <c r="W127" i="4" s="1"/>
  <c r="W87" i="4"/>
  <c r="W88" i="4" s="1"/>
  <c r="X241" i="4"/>
  <c r="X242" i="4" s="1"/>
  <c r="AS64" i="4"/>
  <c r="AS65" i="4" s="1"/>
  <c r="AT63" i="4" s="1"/>
  <c r="X139" i="4"/>
  <c r="X140" i="4" s="1"/>
  <c r="AR207" i="4"/>
  <c r="AR208" i="4" s="1"/>
  <c r="AS206" i="4" s="1"/>
  <c r="W204" i="4"/>
  <c r="W205" i="4" s="1"/>
  <c r="AR181" i="4"/>
  <c r="AR182" i="4" s="1"/>
  <c r="AS180" i="4" s="1"/>
  <c r="T51" i="4"/>
  <c r="T52" i="4" s="1"/>
  <c r="W93" i="4" l="1"/>
  <c r="W94" i="4" s="1"/>
  <c r="X86" i="4"/>
  <c r="AS181" i="4"/>
  <c r="AS182" i="4" s="1"/>
  <c r="AT180" i="4" s="1"/>
  <c r="U50" i="4"/>
  <c r="T53" i="4"/>
  <c r="T55" i="4" s="1"/>
  <c r="AT155" i="4"/>
  <c r="AT156" i="4" s="1"/>
  <c r="AU154" i="4" s="1"/>
  <c r="W210" i="4"/>
  <c r="W211" i="4" s="1"/>
  <c r="X203" i="4"/>
  <c r="AS207" i="4"/>
  <c r="AS208" i="4" s="1"/>
  <c r="AT206" i="4" s="1"/>
  <c r="X145" i="4"/>
  <c r="X146" i="4" s="1"/>
  <c r="Y138" i="4"/>
  <c r="AR142" i="4"/>
  <c r="AR143" i="4" s="1"/>
  <c r="AS141" i="4" s="1"/>
  <c r="AU77" i="4"/>
  <c r="AU78" i="4" s="1"/>
  <c r="AV76" i="4" s="1"/>
  <c r="AK17" i="4"/>
  <c r="AK18" i="4" s="1"/>
  <c r="AL16" i="4" s="1"/>
  <c r="AT129" i="4"/>
  <c r="AT130" i="4" s="1"/>
  <c r="AU128" i="4" s="1"/>
  <c r="Y99" i="4"/>
  <c r="X106" i="4"/>
  <c r="X107" i="4" s="1"/>
  <c r="AT64" i="4"/>
  <c r="AT65" i="4" s="1"/>
  <c r="AU63" i="4" s="1"/>
  <c r="AT168" i="4"/>
  <c r="AT169" i="4"/>
  <c r="AU167" i="4" s="1"/>
  <c r="X125" i="4"/>
  <c r="W132" i="4"/>
  <c r="W133" i="4" s="1"/>
  <c r="T36" i="4"/>
  <c r="T250" i="4" s="1"/>
  <c r="U29" i="4"/>
  <c r="W184" i="4"/>
  <c r="W185" i="4" s="1"/>
  <c r="X177" i="4"/>
  <c r="X247" i="4"/>
  <c r="X248" i="4" s="1"/>
  <c r="Y240" i="4"/>
  <c r="AS116" i="4"/>
  <c r="AS117" i="4" s="1"/>
  <c r="AT115" i="4" s="1"/>
  <c r="W235" i="4"/>
  <c r="W236" i="4" s="1"/>
  <c r="X228" i="4"/>
  <c r="AT90" i="4"/>
  <c r="AT91" i="4" s="1"/>
  <c r="AU89" i="4" s="1"/>
  <c r="AT103" i="4"/>
  <c r="AT104" i="4" s="1"/>
  <c r="AU102" i="4" s="1"/>
  <c r="X61" i="4"/>
  <c r="X62" i="4" s="1"/>
  <c r="S249" i="4"/>
  <c r="S37" i="4"/>
  <c r="T33" i="4"/>
  <c r="T34" i="4" s="1"/>
  <c r="U48" i="4"/>
  <c r="U49" i="4" s="1"/>
  <c r="X152" i="4"/>
  <c r="X153" i="4" s="1"/>
  <c r="X191" i="4"/>
  <c r="X192" i="4" s="1"/>
  <c r="X165" i="4"/>
  <c r="X166" i="4" s="1"/>
  <c r="X113" i="4"/>
  <c r="X114" i="4" s="1"/>
  <c r="AR194" i="4"/>
  <c r="AR195" i="4" s="1"/>
  <c r="AS193" i="4" s="1"/>
  <c r="X74" i="4"/>
  <c r="X75" i="4" s="1"/>
  <c r="Y217" i="4"/>
  <c r="Y218" i="4" s="1"/>
  <c r="X158" i="4" l="1"/>
  <c r="X159" i="4" s="1"/>
  <c r="Y151" i="4"/>
  <c r="U54" i="4"/>
  <c r="V47" i="4"/>
  <c r="Z216" i="4"/>
  <c r="Y223" i="4"/>
  <c r="Y224" i="4" s="1"/>
  <c r="X80" i="4"/>
  <c r="X81" i="4" s="1"/>
  <c r="Y73" i="4"/>
  <c r="X119" i="4"/>
  <c r="X120" i="4" s="1"/>
  <c r="Y112" i="4"/>
  <c r="AU64" i="4"/>
  <c r="AU65" i="4" s="1"/>
  <c r="AV63" i="4" s="1"/>
  <c r="AT181" i="4"/>
  <c r="AT182" i="4" s="1"/>
  <c r="AU180" i="4" s="1"/>
  <c r="AL17" i="4"/>
  <c r="AL18" i="4" s="1"/>
  <c r="AM16" i="4" s="1"/>
  <c r="AT116" i="4"/>
  <c r="AT117" i="4" s="1"/>
  <c r="AU115" i="4" s="1"/>
  <c r="AS142" i="4"/>
  <c r="AS143" i="4" s="1"/>
  <c r="AT141" i="4" s="1"/>
  <c r="AT207" i="4"/>
  <c r="AT208" i="4" s="1"/>
  <c r="AU206" i="4" s="1"/>
  <c r="AU129" i="4"/>
  <c r="AU130" i="4" s="1"/>
  <c r="AV128" i="4" s="1"/>
  <c r="U32" i="4"/>
  <c r="T35" i="4"/>
  <c r="AV77" i="4"/>
  <c r="AV78" i="4" s="1"/>
  <c r="AW76" i="4" s="1"/>
  <c r="AS194" i="4"/>
  <c r="AS195" i="4" s="1"/>
  <c r="AT193" i="4" s="1"/>
  <c r="X67" i="4"/>
  <c r="X68" i="4" s="1"/>
  <c r="Y60" i="4"/>
  <c r="X171" i="4"/>
  <c r="X172" i="4" s="1"/>
  <c r="Y164" i="4"/>
  <c r="AU103" i="4"/>
  <c r="AU104" i="4" s="1"/>
  <c r="AV102" i="4" s="1"/>
  <c r="X197" i="4"/>
  <c r="X198" i="4" s="1"/>
  <c r="Y190" i="4"/>
  <c r="AU90" i="4"/>
  <c r="AU91" i="4" s="1"/>
  <c r="AV89" i="4" s="1"/>
  <c r="T251" i="4"/>
  <c r="S39" i="1"/>
  <c r="Y100" i="4"/>
  <c r="Y101" i="4" s="1"/>
  <c r="Y139" i="4"/>
  <c r="Y140" i="4" s="1"/>
  <c r="U51" i="4"/>
  <c r="U52" i="4" s="1"/>
  <c r="X229" i="4"/>
  <c r="X230" i="4" s="1"/>
  <c r="U30" i="4"/>
  <c r="U31" i="4" s="1"/>
  <c r="S252" i="4"/>
  <c r="T38" i="1" s="1"/>
  <c r="U38" i="1" s="1"/>
  <c r="Q38" i="1"/>
  <c r="X126" i="4"/>
  <c r="X127" i="4" s="1"/>
  <c r="Y241" i="4"/>
  <c r="Y242" i="4" s="1"/>
  <c r="AU168" i="4"/>
  <c r="AU169" i="4" s="1"/>
  <c r="AV167" i="4" s="1"/>
  <c r="X178" i="4"/>
  <c r="X179" i="4" s="1"/>
  <c r="X204" i="4"/>
  <c r="X205" i="4" s="1"/>
  <c r="X87" i="4"/>
  <c r="X88" i="4" s="1"/>
  <c r="AU155" i="4"/>
  <c r="AU156" i="4" s="1"/>
  <c r="AV154" i="4" s="1"/>
  <c r="AV90" i="4" l="1"/>
  <c r="AV91" i="4" s="1"/>
  <c r="AW89" i="4" s="1"/>
  <c r="X93" i="4"/>
  <c r="X94" i="4" s="1"/>
  <c r="Y86" i="4"/>
  <c r="AM17" i="4"/>
  <c r="AM18" i="4" s="1"/>
  <c r="AN16" i="4" s="1"/>
  <c r="V50" i="4"/>
  <c r="U53" i="4"/>
  <c r="U55" i="4" s="1"/>
  <c r="AV129" i="4"/>
  <c r="AV130" i="4" s="1"/>
  <c r="AW128" i="4" s="1"/>
  <c r="U36" i="4"/>
  <c r="U250" i="4" s="1"/>
  <c r="V29" i="4"/>
  <c r="X235" i="4"/>
  <c r="X236" i="4" s="1"/>
  <c r="Y228" i="4"/>
  <c r="AV103" i="4"/>
  <c r="AV104" i="4" s="1"/>
  <c r="AW102" i="4" s="1"/>
  <c r="Y247" i="4"/>
  <c r="Y248" i="4" s="1"/>
  <c r="Z240" i="4"/>
  <c r="AV155" i="4"/>
  <c r="AV156" i="4" s="1"/>
  <c r="AW154" i="4" s="1"/>
  <c r="AT194" i="4"/>
  <c r="AT195" i="4" s="1"/>
  <c r="AU193" i="4" s="1"/>
  <c r="AW77" i="4"/>
  <c r="AW78" i="4" s="1"/>
  <c r="AX76" i="4" s="1"/>
  <c r="Y203" i="4"/>
  <c r="X210" i="4"/>
  <c r="X211" i="4" s="1"/>
  <c r="X184" i="4"/>
  <c r="X185" i="4" s="1"/>
  <c r="Y177" i="4"/>
  <c r="AV168" i="4"/>
  <c r="AV169" i="4" s="1"/>
  <c r="AW167" i="4" s="1"/>
  <c r="Y145" i="4"/>
  <c r="Y146" i="4" s="1"/>
  <c r="Z138" i="4"/>
  <c r="AV64" i="4"/>
  <c r="AV65" i="4" s="1"/>
  <c r="AW63" i="4" s="1"/>
  <c r="Z99" i="4"/>
  <c r="Y106" i="4"/>
  <c r="Y107" i="4" s="1"/>
  <c r="AU207" i="4"/>
  <c r="AU208" i="4" s="1"/>
  <c r="AV206" i="4" s="1"/>
  <c r="X132" i="4"/>
  <c r="X133" i="4" s="1"/>
  <c r="Y125" i="4"/>
  <c r="AT142" i="4"/>
  <c r="AT143" i="4" s="1"/>
  <c r="AU141" i="4" s="1"/>
  <c r="Y74" i="4"/>
  <c r="Y75" i="4" s="1"/>
  <c r="Y61" i="4"/>
  <c r="Y62" i="4" s="1"/>
  <c r="Y191" i="4"/>
  <c r="Y192" i="4" s="1"/>
  <c r="V48" i="4"/>
  <c r="V49" i="4" s="1"/>
  <c r="Y165" i="4"/>
  <c r="Y166" i="4" s="1"/>
  <c r="T249" i="4"/>
  <c r="T37" i="4"/>
  <c r="Y113" i="4"/>
  <c r="Y114" i="4" s="1"/>
  <c r="Y152" i="4"/>
  <c r="Y153" i="4" s="1"/>
  <c r="AU181" i="4"/>
  <c r="AU182" i="4" s="1"/>
  <c r="AV180" i="4" s="1"/>
  <c r="Z217" i="4"/>
  <c r="Z218" i="4" s="1"/>
  <c r="U33" i="4"/>
  <c r="U34" i="4" s="1"/>
  <c r="AU116" i="4"/>
  <c r="AU117" i="4" s="1"/>
  <c r="AV115" i="4" s="1"/>
  <c r="Y67" i="4" l="1"/>
  <c r="Y68" i="4" s="1"/>
  <c r="Z60" i="4"/>
  <c r="AW103" i="4"/>
  <c r="AW104" i="4" s="1"/>
  <c r="AX102" i="4" s="1"/>
  <c r="AU142" i="4"/>
  <c r="AU143" i="4" s="1"/>
  <c r="AV141" i="4" s="1"/>
  <c r="Y171" i="4"/>
  <c r="Y172" i="4" s="1"/>
  <c r="Z164" i="4"/>
  <c r="AW168" i="4"/>
  <c r="AW169" i="4" s="1"/>
  <c r="AX167" i="4" s="1"/>
  <c r="Z151" i="4"/>
  <c r="Y158" i="4"/>
  <c r="Y159" i="4" s="1"/>
  <c r="AX77" i="4"/>
  <c r="AX78" i="4" s="1"/>
  <c r="AY76" i="4" s="1"/>
  <c r="Z223" i="4"/>
  <c r="Z224" i="4" s="1"/>
  <c r="AA216" i="4"/>
  <c r="V54" i="4"/>
  <c r="W47" i="4"/>
  <c r="AV207" i="4"/>
  <c r="AV208" i="4" s="1"/>
  <c r="AW206" i="4" s="1"/>
  <c r="AW129" i="4"/>
  <c r="AW130" i="4" s="1"/>
  <c r="AX128" i="4" s="1"/>
  <c r="V32" i="4"/>
  <c r="U35" i="4"/>
  <c r="Y197" i="4"/>
  <c r="Y198" i="4" s="1"/>
  <c r="Z190" i="4"/>
  <c r="Z139" i="4"/>
  <c r="Z140" i="4" s="1"/>
  <c r="V51" i="4"/>
  <c r="V52" i="4" s="1"/>
  <c r="Y119" i="4"/>
  <c r="Y120" i="4" s="1"/>
  <c r="Z112" i="4"/>
  <c r="Y126" i="4"/>
  <c r="Y127" i="4" s="1"/>
  <c r="T252" i="4"/>
  <c r="T39" i="1" s="1"/>
  <c r="U39" i="1" s="1"/>
  <c r="Q39" i="1"/>
  <c r="Y229" i="4"/>
  <c r="Y230" i="4" s="1"/>
  <c r="AU194" i="4"/>
  <c r="AU195" i="4" s="1"/>
  <c r="AV193" i="4" s="1"/>
  <c r="AN17" i="4"/>
  <c r="AN18" i="4" s="1"/>
  <c r="AO16" i="4" s="1"/>
  <c r="Y178" i="4"/>
  <c r="Y179" i="4" s="1"/>
  <c r="V30" i="4"/>
  <c r="V31" i="4" s="1"/>
  <c r="Y87" i="4"/>
  <c r="Y88" i="4" s="1"/>
  <c r="AV181" i="4"/>
  <c r="AV182" i="4" s="1"/>
  <c r="AW180" i="4" s="1"/>
  <c r="AV116" i="4"/>
  <c r="AV117" i="4" s="1"/>
  <c r="AW115" i="4" s="1"/>
  <c r="Z100" i="4"/>
  <c r="Z101" i="4" s="1"/>
  <c r="Y80" i="4"/>
  <c r="Y81" i="4" s="1"/>
  <c r="Z73" i="4"/>
  <c r="AW155" i="4"/>
  <c r="AW156" i="4" s="1"/>
  <c r="AX154" i="4" s="1"/>
  <c r="AW64" i="4"/>
  <c r="AW65" i="4" s="1"/>
  <c r="AX63" i="4" s="1"/>
  <c r="Z241" i="4"/>
  <c r="Z242" i="4" s="1"/>
  <c r="AW90" i="4"/>
  <c r="AW91" i="4" s="1"/>
  <c r="AX89" i="4" s="1"/>
  <c r="U251" i="4"/>
  <c r="S40" i="1"/>
  <c r="Y204" i="4"/>
  <c r="Y205" i="4" s="1"/>
  <c r="AO17" i="4" l="1"/>
  <c r="AO18" i="4" s="1"/>
  <c r="AP16" i="4" s="1"/>
  <c r="AX168" i="4"/>
  <c r="AX169" i="4" s="1"/>
  <c r="AY167" i="4" s="1"/>
  <c r="AW207" i="4"/>
  <c r="AW208" i="4" s="1"/>
  <c r="AX206" i="4" s="1"/>
  <c r="Y210" i="4"/>
  <c r="Y211" i="4" s="1"/>
  <c r="Z203" i="4"/>
  <c r="W50" i="4"/>
  <c r="V53" i="4"/>
  <c r="V55" i="4" s="1"/>
  <c r="AX129" i="4"/>
  <c r="AX130" i="4" s="1"/>
  <c r="AY128" i="4" s="1"/>
  <c r="Z145" i="4"/>
  <c r="Z146" i="4" s="1"/>
  <c r="AA138" i="4"/>
  <c r="AV142" i="4"/>
  <c r="AV143" i="4" s="1"/>
  <c r="AW141" i="4" s="1"/>
  <c r="AX90" i="4"/>
  <c r="AX91" i="4" s="1"/>
  <c r="AY89" i="4" s="1"/>
  <c r="AW181" i="4"/>
  <c r="AW182" i="4" s="1"/>
  <c r="AX180" i="4" s="1"/>
  <c r="AX103" i="4"/>
  <c r="AX104" i="4" s="1"/>
  <c r="AY102" i="4" s="1"/>
  <c r="Y184" i="4"/>
  <c r="Y185" i="4" s="1"/>
  <c r="Z177" i="4"/>
  <c r="AW116" i="4"/>
  <c r="AW117" i="4" s="1"/>
  <c r="AX115" i="4" s="1"/>
  <c r="Y93" i="4"/>
  <c r="Y94" i="4" s="1"/>
  <c r="Z86" i="4"/>
  <c r="AY77" i="4"/>
  <c r="AY78" i="4" s="1"/>
  <c r="AZ76" i="4" s="1"/>
  <c r="AX155" i="4"/>
  <c r="AX156" i="4" s="1"/>
  <c r="AY154" i="4" s="1"/>
  <c r="AA99" i="4"/>
  <c r="Z106" i="4"/>
  <c r="Z107" i="4" s="1"/>
  <c r="Y235" i="4"/>
  <c r="Y236" i="4" s="1"/>
  <c r="Z228" i="4"/>
  <c r="Z247" i="4"/>
  <c r="Z248" i="4" s="1"/>
  <c r="AA240" i="4"/>
  <c r="AX64" i="4"/>
  <c r="AX65" i="4" s="1"/>
  <c r="AY63" i="4" s="1"/>
  <c r="V36" i="4"/>
  <c r="V250" i="4" s="1"/>
  <c r="W29" i="4"/>
  <c r="Y132" i="4"/>
  <c r="Y133" i="4" s="1"/>
  <c r="Z125" i="4"/>
  <c r="AV194" i="4"/>
  <c r="AV195" i="4" s="1"/>
  <c r="AW193" i="4" s="1"/>
  <c r="Z113" i="4"/>
  <c r="Z114" i="4" s="1"/>
  <c r="U249" i="4"/>
  <c r="U37" i="4"/>
  <c r="B216" i="4"/>
  <c r="AA217" i="4"/>
  <c r="AA218" i="4" s="1"/>
  <c r="Z165" i="4"/>
  <c r="Z166" i="4" s="1"/>
  <c r="V33" i="4"/>
  <c r="V34" i="4" s="1"/>
  <c r="Z74" i="4"/>
  <c r="Z75" i="4" s="1"/>
  <c r="Z152" i="4"/>
  <c r="Z153" i="4" s="1"/>
  <c r="Z191" i="4"/>
  <c r="Z192" i="4" s="1"/>
  <c r="W48" i="4"/>
  <c r="W49" i="4" s="1"/>
  <c r="Z61" i="4"/>
  <c r="Z62" i="4" s="1"/>
  <c r="AY103" i="4" l="1"/>
  <c r="AY104" i="4" s="1"/>
  <c r="AZ102" i="4" s="1"/>
  <c r="AW194" i="4"/>
  <c r="AW195" i="4" s="1"/>
  <c r="AX193" i="4" s="1"/>
  <c r="AA73" i="4"/>
  <c r="Z80" i="4"/>
  <c r="Z81" i="4" s="1"/>
  <c r="AX181" i="4"/>
  <c r="AX182" i="4" s="1"/>
  <c r="AY180" i="4" s="1"/>
  <c r="AW142" i="4"/>
  <c r="AW143" i="4" s="1"/>
  <c r="AX141" i="4" s="1"/>
  <c r="AA112" i="4"/>
  <c r="Z119" i="4"/>
  <c r="Z120" i="4" s="1"/>
  <c r="AZ77" i="4"/>
  <c r="AZ78" i="4" s="1"/>
  <c r="BA76" i="4" s="1"/>
  <c r="Z67" i="4"/>
  <c r="Z68" i="4" s="1"/>
  <c r="AA60" i="4"/>
  <c r="AB216" i="4"/>
  <c r="AA223" i="4"/>
  <c r="AA224" i="4" s="1"/>
  <c r="B218" i="4"/>
  <c r="AA190" i="4"/>
  <c r="Z197" i="4"/>
  <c r="Z198" i="4" s="1"/>
  <c r="AY168" i="4"/>
  <c r="AY169" i="4" s="1"/>
  <c r="AZ167" i="4" s="1"/>
  <c r="Z158" i="4"/>
  <c r="Z159" i="4" s="1"/>
  <c r="AA151" i="4"/>
  <c r="AY129" i="4"/>
  <c r="AY130" i="4" s="1"/>
  <c r="AZ128" i="4" s="1"/>
  <c r="AP17" i="4"/>
  <c r="AP18" i="4" s="1"/>
  <c r="AQ16" i="4" s="1"/>
  <c r="AY64" i="4"/>
  <c r="AY65" i="4" s="1"/>
  <c r="AZ63" i="4" s="1"/>
  <c r="AY155" i="4"/>
  <c r="AY156" i="4" s="1"/>
  <c r="AZ154" i="4" s="1"/>
  <c r="Z204" i="4"/>
  <c r="Z205" i="4" s="1"/>
  <c r="Z126" i="4"/>
  <c r="Z127" i="4" s="1"/>
  <c r="Z229" i="4"/>
  <c r="Z230" i="4" s="1"/>
  <c r="Z87" i="4"/>
  <c r="Z88" i="4" s="1"/>
  <c r="V35" i="4"/>
  <c r="W32" i="4"/>
  <c r="Z171" i="4"/>
  <c r="Z172" i="4" s="1"/>
  <c r="AA164" i="4"/>
  <c r="AX207" i="4"/>
  <c r="AX208" i="4" s="1"/>
  <c r="AY206" i="4" s="1"/>
  <c r="B138" i="4"/>
  <c r="AA139" i="4"/>
  <c r="AA140" i="4" s="1"/>
  <c r="W30" i="4"/>
  <c r="W31" i="4" s="1"/>
  <c r="AX116" i="4"/>
  <c r="AX117" i="4" s="1"/>
  <c r="AY115" i="4" s="1"/>
  <c r="AY90" i="4"/>
  <c r="AY91" i="4" s="1"/>
  <c r="AZ89" i="4" s="1"/>
  <c r="Z178" i="4"/>
  <c r="Z179" i="4" s="1"/>
  <c r="B240" i="4"/>
  <c r="AA241" i="4"/>
  <c r="AA242" i="4" s="1"/>
  <c r="W54" i="4"/>
  <c r="X47" i="4"/>
  <c r="U252" i="4"/>
  <c r="T40" i="1" s="1"/>
  <c r="U40" i="1" s="1"/>
  <c r="Q40" i="1"/>
  <c r="V251" i="4"/>
  <c r="S41" i="1"/>
  <c r="B99" i="4"/>
  <c r="AA100" i="4"/>
  <c r="AA101" i="4" s="1"/>
  <c r="W51" i="4"/>
  <c r="W52" i="4" s="1"/>
  <c r="AA247" i="4" l="1"/>
  <c r="AA248" i="4" s="1"/>
  <c r="B242" i="4"/>
  <c r="AB240" i="4"/>
  <c r="AZ129" i="4"/>
  <c r="AZ130" i="4" s="1"/>
  <c r="BA128" i="4" s="1"/>
  <c r="Z132" i="4"/>
  <c r="Z133" i="4" s="1"/>
  <c r="AA125" i="4"/>
  <c r="AZ168" i="4"/>
  <c r="AZ169" i="4" s="1"/>
  <c r="BA167" i="4" s="1"/>
  <c r="AY116" i="4"/>
  <c r="AY117" i="4" s="1"/>
  <c r="AZ115" i="4" s="1"/>
  <c r="X50" i="4"/>
  <c r="W53" i="4"/>
  <c r="W55" i="4" s="1"/>
  <c r="Z235" i="4"/>
  <c r="Z236" i="4" s="1"/>
  <c r="AA228" i="4"/>
  <c r="Z184" i="4"/>
  <c r="Z185" i="4" s="1"/>
  <c r="AA177" i="4"/>
  <c r="AZ90" i="4"/>
  <c r="AZ91" i="4" s="1"/>
  <c r="BA89" i="4" s="1"/>
  <c r="X29" i="4"/>
  <c r="W36" i="4"/>
  <c r="W250" i="4" s="1"/>
  <c r="AZ64" i="4"/>
  <c r="AZ65" i="4" s="1"/>
  <c r="BA63" i="4" s="1"/>
  <c r="AA106" i="4"/>
  <c r="AA107" i="4" s="1"/>
  <c r="B101" i="4"/>
  <c r="AB99" i="4"/>
  <c r="AY207" i="4"/>
  <c r="AY208" i="4" s="1"/>
  <c r="AZ206" i="4" s="1"/>
  <c r="Z210" i="4"/>
  <c r="Z211" i="4" s="1"/>
  <c r="AA203" i="4"/>
  <c r="AQ17" i="4"/>
  <c r="AQ18" i="4" s="1"/>
  <c r="AR16" i="4" s="1"/>
  <c r="AZ103" i="4"/>
  <c r="AZ104" i="4" s="1"/>
  <c r="BA102" i="4" s="1"/>
  <c r="X48" i="4"/>
  <c r="X49" i="4" s="1"/>
  <c r="B60" i="4"/>
  <c r="AA61" i="4"/>
  <c r="AA62" i="4" s="1"/>
  <c r="AY181" i="4"/>
  <c r="AY182" i="4" s="1"/>
  <c r="AZ180" i="4" s="1"/>
  <c r="BA77" i="4"/>
  <c r="BA78" i="4" s="1"/>
  <c r="BB76" i="4" s="1"/>
  <c r="B73" i="4"/>
  <c r="AA74" i="4"/>
  <c r="AA75" i="4" s="1"/>
  <c r="AA145" i="4"/>
  <c r="AA146" i="4" s="1"/>
  <c r="B140" i="4"/>
  <c r="AB138" i="4"/>
  <c r="AZ155" i="4"/>
  <c r="AZ156" i="4" s="1"/>
  <c r="BA154" i="4" s="1"/>
  <c r="W33" i="4"/>
  <c r="W34" i="4" s="1"/>
  <c r="B112" i="4"/>
  <c r="AA113" i="4"/>
  <c r="AA114" i="4" s="1"/>
  <c r="B164" i="4"/>
  <c r="AA165" i="4"/>
  <c r="AA166" i="4" s="1"/>
  <c r="B190" i="4"/>
  <c r="AA191" i="4"/>
  <c r="AA192" i="4" s="1"/>
  <c r="AX194" i="4"/>
  <c r="AX195" i="4" s="1"/>
  <c r="AY193" i="4" s="1"/>
  <c r="V249" i="4"/>
  <c r="V37" i="4"/>
  <c r="AX142" i="4"/>
  <c r="AX143" i="4" s="1"/>
  <c r="AY141" i="4" s="1"/>
  <c r="Z93" i="4"/>
  <c r="Z94" i="4" s="1"/>
  <c r="AA86" i="4"/>
  <c r="B151" i="4"/>
  <c r="AA152" i="4"/>
  <c r="AA153" i="4" s="1"/>
  <c r="AB217" i="4"/>
  <c r="AB218" i="4" s="1"/>
  <c r="AA67" i="4" l="1"/>
  <c r="AA68" i="4" s="1"/>
  <c r="AB60" i="4"/>
  <c r="B62" i="4"/>
  <c r="BA90" i="4"/>
  <c r="BA91" i="4" s="1"/>
  <c r="BB89" i="4" s="1"/>
  <c r="AY142" i="4"/>
  <c r="AY143" i="4" s="1"/>
  <c r="AZ141" i="4" s="1"/>
  <c r="BA168" i="4"/>
  <c r="BA169" i="4" s="1"/>
  <c r="BB167" i="4" s="1"/>
  <c r="B166" i="4"/>
  <c r="AA171" i="4"/>
  <c r="AA172" i="4" s="1"/>
  <c r="AB164" i="4"/>
  <c r="AB223" i="4"/>
  <c r="AB224" i="4" s="1"/>
  <c r="AC216" i="4"/>
  <c r="W35" i="4"/>
  <c r="X32" i="4"/>
  <c r="X54" i="4"/>
  <c r="Y47" i="4"/>
  <c r="BA103" i="4"/>
  <c r="BA104" i="4" s="1"/>
  <c r="BB102" i="4" s="1"/>
  <c r="AB73" i="4"/>
  <c r="AA80" i="4"/>
  <c r="AA81" i="4" s="1"/>
  <c r="B75" i="4"/>
  <c r="AR17" i="4"/>
  <c r="AR18" i="4" s="1"/>
  <c r="AS16" i="4" s="1"/>
  <c r="BB77" i="4"/>
  <c r="BB78" i="4" s="1"/>
  <c r="BC76" i="4" s="1"/>
  <c r="AA197" i="4"/>
  <c r="AA198" i="4" s="1"/>
  <c r="B192" i="4"/>
  <c r="AB190" i="4"/>
  <c r="AZ181" i="4"/>
  <c r="AZ182" i="4" s="1"/>
  <c r="BA180" i="4" s="1"/>
  <c r="AZ116" i="4"/>
  <c r="AZ117" i="4" s="1"/>
  <c r="BA115" i="4" s="1"/>
  <c r="AB151" i="4"/>
  <c r="AA158" i="4"/>
  <c r="AA159" i="4" s="1"/>
  <c r="B153" i="4"/>
  <c r="BA64" i="4"/>
  <c r="BA65" i="4" s="1"/>
  <c r="BB63" i="4" s="1"/>
  <c r="B228" i="4"/>
  <c r="AA229" i="4"/>
  <c r="AA230" i="4" s="1"/>
  <c r="B125" i="4"/>
  <c r="AA126" i="4"/>
  <c r="AA127" i="4" s="1"/>
  <c r="B203" i="4"/>
  <c r="AA204" i="4"/>
  <c r="AA205" i="4" s="1"/>
  <c r="AA119" i="4"/>
  <c r="AA120" i="4" s="1"/>
  <c r="AB112" i="4"/>
  <c r="B114" i="4"/>
  <c r="AY194" i="4"/>
  <c r="AY195" i="4" s="1"/>
  <c r="AZ193" i="4" s="1"/>
  <c r="BA155" i="4"/>
  <c r="BA156" i="4" s="1"/>
  <c r="BB154" i="4" s="1"/>
  <c r="AZ207" i="4"/>
  <c r="AZ208" i="4" s="1"/>
  <c r="BA206" i="4" s="1"/>
  <c r="X30" i="4"/>
  <c r="X31" i="4" s="1"/>
  <c r="X51" i="4"/>
  <c r="X52" i="4" s="1"/>
  <c r="B86" i="4"/>
  <c r="AA87" i="4"/>
  <c r="AA88" i="4" s="1"/>
  <c r="AB241" i="4"/>
  <c r="AB242" i="4" s="1"/>
  <c r="W251" i="4"/>
  <c r="S42" i="1"/>
  <c r="BA129" i="4"/>
  <c r="BA130" i="4" s="1"/>
  <c r="BB128" i="4" s="1"/>
  <c r="V252" i="4"/>
  <c r="T41" i="1" s="1"/>
  <c r="U41" i="1" s="1"/>
  <c r="Q41" i="1"/>
  <c r="AB139" i="4"/>
  <c r="AB140" i="4" s="1"/>
  <c r="AB100" i="4"/>
  <c r="AB101" i="4" s="1"/>
  <c r="B177" i="4"/>
  <c r="AA178" i="4"/>
  <c r="AA179" i="4" s="1"/>
  <c r="BB155" i="4" l="1"/>
  <c r="BB156" i="4" s="1"/>
  <c r="BC154" i="4" s="1"/>
  <c r="Y50" i="4"/>
  <c r="X53" i="4"/>
  <c r="X55" i="4" s="1"/>
  <c r="AA132" i="4"/>
  <c r="AA133" i="4" s="1"/>
  <c r="B127" i="4"/>
  <c r="AB125" i="4"/>
  <c r="AZ142" i="4"/>
  <c r="AZ143" i="4" s="1"/>
  <c r="BA141" i="4" s="1"/>
  <c r="AA184" i="4"/>
  <c r="AA185" i="4" s="1"/>
  <c r="B179" i="4"/>
  <c r="AB177" i="4"/>
  <c r="AA210" i="4"/>
  <c r="AA211" i="4" s="1"/>
  <c r="B205" i="4"/>
  <c r="AB203" i="4"/>
  <c r="BC77" i="4"/>
  <c r="BC78" i="4" s="1"/>
  <c r="BD76" i="4" s="1"/>
  <c r="B88" i="4"/>
  <c r="AA93" i="4"/>
  <c r="AA94" i="4" s="1"/>
  <c r="AB86" i="4"/>
  <c r="BB90" i="4"/>
  <c r="BB91" i="4" s="1"/>
  <c r="BC89" i="4" s="1"/>
  <c r="Y29" i="4"/>
  <c r="X36" i="4"/>
  <c r="X250" i="4" s="1"/>
  <c r="BB64" i="4"/>
  <c r="BB65" i="4" s="1"/>
  <c r="BC63" i="4" s="1"/>
  <c r="AB106" i="4"/>
  <c r="AB107" i="4" s="1"/>
  <c r="AC99" i="4"/>
  <c r="BA181" i="4"/>
  <c r="BA182" i="4" s="1"/>
  <c r="BB180" i="4" s="1"/>
  <c r="W249" i="4"/>
  <c r="W37" i="4"/>
  <c r="AA235" i="4"/>
  <c r="AA236" i="4" s="1"/>
  <c r="B230" i="4"/>
  <c r="AB228" i="4"/>
  <c r="AB191" i="4"/>
  <c r="AB192" i="4" s="1"/>
  <c r="AC217" i="4"/>
  <c r="AC218" i="4" s="1"/>
  <c r="BA207" i="4"/>
  <c r="BA208" i="4" s="1"/>
  <c r="BB206" i="4" s="1"/>
  <c r="BB168" i="4"/>
  <c r="BB169" i="4" s="1"/>
  <c r="BC167" i="4" s="1"/>
  <c r="AZ194" i="4"/>
  <c r="AZ195" i="4" s="1"/>
  <c r="BA193" i="4" s="1"/>
  <c r="AB74" i="4"/>
  <c r="AB75" i="4" s="1"/>
  <c r="AS17" i="4"/>
  <c r="AS18" i="4" s="1"/>
  <c r="AT16" i="4" s="1"/>
  <c r="BB103" i="4"/>
  <c r="BB104" i="4" s="1"/>
  <c r="BC102" i="4" s="1"/>
  <c r="AB165" i="4"/>
  <c r="AB166" i="4" s="1"/>
  <c r="X33" i="4"/>
  <c r="X34" i="4" s="1"/>
  <c r="BB129" i="4"/>
  <c r="BB130" i="4" s="1"/>
  <c r="BC128" i="4" s="1"/>
  <c r="AB152" i="4"/>
  <c r="AB153" i="4" s="1"/>
  <c r="AB113" i="4"/>
  <c r="AB114" i="4" s="1"/>
  <c r="Y48" i="4"/>
  <c r="Y49" i="4" s="1"/>
  <c r="AB61" i="4"/>
  <c r="AB62" i="4" s="1"/>
  <c r="AC138" i="4"/>
  <c r="AB145" i="4"/>
  <c r="AB146" i="4" s="1"/>
  <c r="AB247" i="4"/>
  <c r="AB248" i="4" s="1"/>
  <c r="AC240" i="4"/>
  <c r="BA116" i="4"/>
  <c r="BA117" i="4" s="1"/>
  <c r="BB115" i="4" s="1"/>
  <c r="BC129" i="4" l="1"/>
  <c r="BC130" i="4" s="1"/>
  <c r="BD128" i="4" s="1"/>
  <c r="BC90" i="4"/>
  <c r="BC91" i="4" s="1"/>
  <c r="BD89" i="4" s="1"/>
  <c r="BD77" i="4"/>
  <c r="BD78" i="4" s="1"/>
  <c r="BE76" i="4" s="1"/>
  <c r="BA194" i="4"/>
  <c r="BA195" i="4" s="1"/>
  <c r="BB193" i="4" s="1"/>
  <c r="BC103" i="4"/>
  <c r="BC104" i="4" s="1"/>
  <c r="BD102" i="4" s="1"/>
  <c r="AC73" i="4"/>
  <c r="AB80" i="4"/>
  <c r="AB81" i="4" s="1"/>
  <c r="BC65" i="4"/>
  <c r="BD63" i="4" s="1"/>
  <c r="BC64" i="4"/>
  <c r="AB171" i="4"/>
  <c r="AB172" i="4" s="1"/>
  <c r="AC164" i="4"/>
  <c r="AD216" i="4"/>
  <c r="AC223" i="4"/>
  <c r="AC224" i="4" s="1"/>
  <c r="AB158" i="4"/>
  <c r="AB159" i="4" s="1"/>
  <c r="AC151" i="4"/>
  <c r="X35" i="4"/>
  <c r="Y32" i="4"/>
  <c r="Y54" i="4"/>
  <c r="Z47" i="4"/>
  <c r="AC190" i="4"/>
  <c r="AB197" i="4"/>
  <c r="AB198" i="4" s="1"/>
  <c r="AT17" i="4"/>
  <c r="AT18" i="4" s="1"/>
  <c r="AU16" i="4" s="1"/>
  <c r="Y30" i="4"/>
  <c r="Y31" i="4" s="1"/>
  <c r="AB126" i="4"/>
  <c r="AB127" i="4" s="1"/>
  <c r="BB207" i="4"/>
  <c r="BB208" i="4" s="1"/>
  <c r="BC206" i="4" s="1"/>
  <c r="W252" i="4"/>
  <c r="T42" i="1" s="1"/>
  <c r="U42" i="1" s="1"/>
  <c r="Q42" i="1"/>
  <c r="AB204" i="4"/>
  <c r="AB205" i="4" s="1"/>
  <c r="AC241" i="4"/>
  <c r="AC242" i="4" s="1"/>
  <c r="X251" i="4"/>
  <c r="S43" i="1"/>
  <c r="BB181" i="4"/>
  <c r="BB182" i="4" s="1"/>
  <c r="BC180" i="4" s="1"/>
  <c r="AC100" i="4"/>
  <c r="AC101" i="4" s="1"/>
  <c r="AB87" i="4"/>
  <c r="AB88" i="4" s="1"/>
  <c r="AB178" i="4"/>
  <c r="AB179" i="4" s="1"/>
  <c r="AC112" i="4"/>
  <c r="AB119" i="4"/>
  <c r="AB120" i="4" s="1"/>
  <c r="AC139" i="4"/>
  <c r="AC140" i="4" s="1"/>
  <c r="BC168" i="4"/>
  <c r="BC169" i="4" s="1"/>
  <c r="BD167" i="4" s="1"/>
  <c r="AB229" i="4"/>
  <c r="AB230" i="4" s="1"/>
  <c r="Y51" i="4"/>
  <c r="Y52" i="4" s="1"/>
  <c r="BC155" i="4"/>
  <c r="BC156" i="4" s="1"/>
  <c r="BD154" i="4" s="1"/>
  <c r="BB116" i="4"/>
  <c r="BB117" i="4" s="1"/>
  <c r="BC115" i="4" s="1"/>
  <c r="BA142" i="4"/>
  <c r="BA143" i="4" s="1"/>
  <c r="BB141" i="4" s="1"/>
  <c r="AB67" i="4"/>
  <c r="AB68" i="4" s="1"/>
  <c r="AC60" i="4"/>
  <c r="BB142" i="4" l="1"/>
  <c r="BB143" i="4" s="1"/>
  <c r="BC141" i="4" s="1"/>
  <c r="BD103" i="4"/>
  <c r="BD104" i="4" s="1"/>
  <c r="BE102" i="4" s="1"/>
  <c r="BC116" i="4"/>
  <c r="BC117" i="4" s="1"/>
  <c r="BD115" i="4" s="1"/>
  <c r="BD155" i="4"/>
  <c r="BD156" i="4" s="1"/>
  <c r="BE154" i="4" s="1"/>
  <c r="AB235" i="4"/>
  <c r="AB236" i="4" s="1"/>
  <c r="AC228" i="4"/>
  <c r="AC177" i="4"/>
  <c r="AB184" i="4"/>
  <c r="AB185" i="4" s="1"/>
  <c r="Y53" i="4"/>
  <c r="Y55" i="4" s="1"/>
  <c r="Z50" i="4"/>
  <c r="BC207" i="4"/>
  <c r="BC208" i="4" s="1"/>
  <c r="BD206" i="4" s="1"/>
  <c r="AC247" i="4"/>
  <c r="AC248" i="4" s="1"/>
  <c r="AD240" i="4"/>
  <c r="AB93" i="4"/>
  <c r="AB94" i="4" s="1"/>
  <c r="AC86" i="4"/>
  <c r="AC106" i="4"/>
  <c r="AC107" i="4" s="1"/>
  <c r="AD99" i="4"/>
  <c r="AB132" i="4"/>
  <c r="AB133" i="4" s="1"/>
  <c r="AC125" i="4"/>
  <c r="BD90" i="4"/>
  <c r="BD91" i="4" s="1"/>
  <c r="BE89" i="4" s="1"/>
  <c r="AU17" i="4"/>
  <c r="AU18" i="4" s="1"/>
  <c r="AV16" i="4" s="1"/>
  <c r="BB194" i="4"/>
  <c r="BB195" i="4" s="1"/>
  <c r="BC193" i="4" s="1"/>
  <c r="BD168" i="4"/>
  <c r="BD169" i="4" s="1"/>
  <c r="BE167" i="4" s="1"/>
  <c r="AC145" i="4"/>
  <c r="AC146" i="4" s="1"/>
  <c r="AD138" i="4"/>
  <c r="BD129" i="4"/>
  <c r="BD130" i="4" s="1"/>
  <c r="BE128" i="4" s="1"/>
  <c r="Z48" i="4"/>
  <c r="Z49" i="4" s="1"/>
  <c r="Y33" i="4"/>
  <c r="Y34" i="4" s="1"/>
  <c r="AC203" i="4"/>
  <c r="AB210" i="4"/>
  <c r="AB211" i="4" s="1"/>
  <c r="BE77" i="4"/>
  <c r="BE78" i="4" s="1"/>
  <c r="BF76" i="4" s="1"/>
  <c r="AC165" i="4"/>
  <c r="AC166" i="4" s="1"/>
  <c r="Z29" i="4"/>
  <c r="Y36" i="4"/>
  <c r="Y250" i="4" s="1"/>
  <c r="AC152" i="4"/>
  <c r="AC153" i="4" s="1"/>
  <c r="BD64" i="4"/>
  <c r="BD65" i="4" s="1"/>
  <c r="BE63" i="4" s="1"/>
  <c r="AC61" i="4"/>
  <c r="AC62" i="4" s="1"/>
  <c r="BC181" i="4"/>
  <c r="BC182" i="4" s="1"/>
  <c r="BD180" i="4" s="1"/>
  <c r="AC74" i="4"/>
  <c r="AC75" i="4" s="1"/>
  <c r="AC113" i="4"/>
  <c r="AC114" i="4" s="1"/>
  <c r="X249" i="4"/>
  <c r="X37" i="4"/>
  <c r="AC191" i="4"/>
  <c r="AC192" i="4" s="1"/>
  <c r="AD217" i="4"/>
  <c r="AD218" i="4" s="1"/>
  <c r="BE129" i="4" l="1"/>
  <c r="BE130" i="4" s="1"/>
  <c r="BF128" i="4" s="1"/>
  <c r="AV17" i="4"/>
  <c r="AV18" i="4" s="1"/>
  <c r="AW16" i="4" s="1"/>
  <c r="BE155" i="4"/>
  <c r="BE156" i="4" s="1"/>
  <c r="BF154" i="4" s="1"/>
  <c r="AC119" i="4"/>
  <c r="AC120" i="4" s="1"/>
  <c r="AD112" i="4"/>
  <c r="AD60" i="4"/>
  <c r="AC67" i="4"/>
  <c r="AC68" i="4" s="1"/>
  <c r="BD116" i="4"/>
  <c r="BD117" i="4" s="1"/>
  <c r="BE115" i="4" s="1"/>
  <c r="AC171" i="4"/>
  <c r="AC172" i="4" s="1"/>
  <c r="AD164" i="4"/>
  <c r="BF77" i="4"/>
  <c r="BF78" i="4" s="1"/>
  <c r="BG76" i="4" s="1"/>
  <c r="BE103" i="4"/>
  <c r="BE104" i="4" s="1"/>
  <c r="BF102" i="4" s="1"/>
  <c r="AC158" i="4"/>
  <c r="AC159" i="4" s="1"/>
  <c r="AD151" i="4"/>
  <c r="AC80" i="4"/>
  <c r="AC81" i="4" s="1"/>
  <c r="AD73" i="4"/>
  <c r="AD223" i="4"/>
  <c r="AD224" i="4" s="1"/>
  <c r="AE216" i="4"/>
  <c r="Z32" i="4"/>
  <c r="Y35" i="4"/>
  <c r="BC142" i="4"/>
  <c r="BC143" i="4" s="1"/>
  <c r="BD141" i="4" s="1"/>
  <c r="Y251" i="4"/>
  <c r="S44" i="1"/>
  <c r="AD100" i="4"/>
  <c r="AD101" i="4" s="1"/>
  <c r="Z51" i="4"/>
  <c r="Z52" i="4" s="1"/>
  <c r="AA47" i="4"/>
  <c r="Z54" i="4"/>
  <c r="AC197" i="4"/>
  <c r="AC198" i="4" s="1"/>
  <c r="AD190" i="4"/>
  <c r="BD207" i="4"/>
  <c r="BD208" i="4" s="1"/>
  <c r="BE206" i="4" s="1"/>
  <c r="BE168" i="4"/>
  <c r="BE169" i="4" s="1"/>
  <c r="BF167" i="4" s="1"/>
  <c r="BC194" i="4"/>
  <c r="BC195" i="4" s="1"/>
  <c r="BD193" i="4" s="1"/>
  <c r="AC178" i="4"/>
  <c r="AC179" i="4" s="1"/>
  <c r="BD181" i="4"/>
  <c r="BD182" i="4" s="1"/>
  <c r="BE180" i="4" s="1"/>
  <c r="X252" i="4"/>
  <c r="T43" i="1" s="1"/>
  <c r="U43" i="1" s="1"/>
  <c r="Q43" i="1"/>
  <c r="BE64" i="4"/>
  <c r="BE65" i="4" s="1"/>
  <c r="BF63" i="4" s="1"/>
  <c r="AD139" i="4"/>
  <c r="AD140" i="4" s="1"/>
  <c r="BE90" i="4"/>
  <c r="BE91" i="4" s="1"/>
  <c r="BF89" i="4" s="1"/>
  <c r="AD241" i="4"/>
  <c r="AD242" i="4" s="1"/>
  <c r="AC229" i="4"/>
  <c r="AC230" i="4" s="1"/>
  <c r="AC126" i="4"/>
  <c r="AC127" i="4" s="1"/>
  <c r="Z30" i="4"/>
  <c r="Z31" i="4" s="1"/>
  <c r="AC87" i="4"/>
  <c r="AC88" i="4" s="1"/>
  <c r="AC204" i="4"/>
  <c r="AC205" i="4" s="1"/>
  <c r="AC210" i="4" l="1"/>
  <c r="AC211" i="4" s="1"/>
  <c r="AD203" i="4"/>
  <c r="AE138" i="4"/>
  <c r="AD145" i="4"/>
  <c r="AD146" i="4" s="1"/>
  <c r="BD142" i="4"/>
  <c r="BD143" i="4" s="1"/>
  <c r="BE141" i="4" s="1"/>
  <c r="BF168" i="4"/>
  <c r="BF169" i="4" s="1"/>
  <c r="BG167" i="4" s="1"/>
  <c r="AC93" i="4"/>
  <c r="AC94" i="4" s="1"/>
  <c r="AD86" i="4"/>
  <c r="BG77" i="4"/>
  <c r="BG78" i="4" s="1"/>
  <c r="BH76" i="4" s="1"/>
  <c r="BE207" i="4"/>
  <c r="BE208" i="4" s="1"/>
  <c r="BF206" i="4" s="1"/>
  <c r="BF103" i="4"/>
  <c r="BF104" i="4" s="1"/>
  <c r="BG102" i="4" s="1"/>
  <c r="AC235" i="4"/>
  <c r="AC236" i="4" s="1"/>
  <c r="AD228" i="4"/>
  <c r="AC184" i="4"/>
  <c r="AC185" i="4" s="1"/>
  <c r="AD177" i="4"/>
  <c r="BF64" i="4"/>
  <c r="BF65" i="4" s="1"/>
  <c r="BG63" i="4" s="1"/>
  <c r="AC132" i="4"/>
  <c r="AC133" i="4" s="1"/>
  <c r="AD125" i="4"/>
  <c r="Z53" i="4"/>
  <c r="Z55" i="4" s="1"/>
  <c r="AA50" i="4"/>
  <c r="AW17" i="4"/>
  <c r="AW18" i="4" s="1"/>
  <c r="AX16" i="4" s="1"/>
  <c r="Z36" i="4"/>
  <c r="Z250" i="4" s="1"/>
  <c r="AA29" i="4"/>
  <c r="BE181" i="4"/>
  <c r="BE182" i="4" s="1"/>
  <c r="BF180" i="4" s="1"/>
  <c r="AD247" i="4"/>
  <c r="AD248" i="4" s="1"/>
  <c r="AE240" i="4"/>
  <c r="BF90" i="4"/>
  <c r="BF91" i="4"/>
  <c r="BG89" i="4" s="1"/>
  <c r="AD106" i="4"/>
  <c r="AD107" i="4" s="1"/>
  <c r="AE99" i="4"/>
  <c r="BE116" i="4"/>
  <c r="BE117" i="4" s="1"/>
  <c r="BF115" i="4" s="1"/>
  <c r="BF129" i="4"/>
  <c r="BF130" i="4" s="1"/>
  <c r="BG128" i="4" s="1"/>
  <c r="AD113" i="4"/>
  <c r="AD114" i="4" s="1"/>
  <c r="AD191" i="4"/>
  <c r="AD192" i="4" s="1"/>
  <c r="AD74" i="4"/>
  <c r="AD75" i="4" s="1"/>
  <c r="AD165" i="4"/>
  <c r="AD166" i="4" s="1"/>
  <c r="BF155" i="4"/>
  <c r="BF156" i="4" s="1"/>
  <c r="BG154" i="4" s="1"/>
  <c r="BD194" i="4"/>
  <c r="BD195" i="4" s="1"/>
  <c r="BE193" i="4" s="1"/>
  <c r="AD152" i="4"/>
  <c r="AD153" i="4" s="1"/>
  <c r="B47" i="4"/>
  <c r="AA48" i="4"/>
  <c r="AA49" i="4" s="1"/>
  <c r="Y249" i="4"/>
  <c r="Y37" i="4"/>
  <c r="AE217" i="4"/>
  <c r="AE218" i="4" s="1"/>
  <c r="Z33" i="4"/>
  <c r="Z34" i="4" s="1"/>
  <c r="AD61" i="4"/>
  <c r="AD62" i="4" s="1"/>
  <c r="AX17" i="4" l="1"/>
  <c r="AX18" i="4" s="1"/>
  <c r="AY16" i="4" s="1"/>
  <c r="AD80" i="4"/>
  <c r="AD81" i="4" s="1"/>
  <c r="AE73" i="4"/>
  <c r="BG168" i="4"/>
  <c r="BG169" i="4" s="1"/>
  <c r="BH167" i="4" s="1"/>
  <c r="BG103" i="4"/>
  <c r="BG104" i="4" s="1"/>
  <c r="BH102" i="4" s="1"/>
  <c r="AD197" i="4"/>
  <c r="AD198" i="4" s="1"/>
  <c r="AE190" i="4"/>
  <c r="BG129" i="4"/>
  <c r="BG130" i="4" s="1"/>
  <c r="BH128" i="4" s="1"/>
  <c r="AD171" i="4"/>
  <c r="AD172" i="4" s="1"/>
  <c r="AE164" i="4"/>
  <c r="AB47" i="4"/>
  <c r="AA54" i="4"/>
  <c r="B49" i="4"/>
  <c r="AE112" i="4"/>
  <c r="AD119" i="4"/>
  <c r="AD120" i="4" s="1"/>
  <c r="AA32" i="4"/>
  <c r="Z35" i="4"/>
  <c r="BF181" i="4"/>
  <c r="BF182" i="4" s="1"/>
  <c r="BG180" i="4" s="1"/>
  <c r="BE142" i="4"/>
  <c r="BE143" i="4" s="1"/>
  <c r="BF141" i="4" s="1"/>
  <c r="AD67" i="4"/>
  <c r="AD68" i="4" s="1"/>
  <c r="AE60" i="4"/>
  <c r="AD158" i="4"/>
  <c r="AD159" i="4" s="1"/>
  <c r="AE151" i="4"/>
  <c r="BE194" i="4"/>
  <c r="BE195" i="4" s="1"/>
  <c r="BF193" i="4" s="1"/>
  <c r="BH77" i="4"/>
  <c r="BH78" i="4" s="1"/>
  <c r="BI76" i="4" s="1"/>
  <c r="AD126" i="4"/>
  <c r="AD127" i="4" s="1"/>
  <c r="BF207" i="4"/>
  <c r="BF208" i="4" s="1"/>
  <c r="BG206" i="4" s="1"/>
  <c r="Z251" i="4"/>
  <c r="S45" i="1"/>
  <c r="B29" i="4"/>
  <c r="AA30" i="4"/>
  <c r="AA31" i="4" s="1"/>
  <c r="BG155" i="4"/>
  <c r="BG156" i="4" s="1"/>
  <c r="BH154" i="4" s="1"/>
  <c r="BG90" i="4"/>
  <c r="BG91" i="4" s="1"/>
  <c r="BH89" i="4" s="1"/>
  <c r="AD178" i="4"/>
  <c r="AD179" i="4" s="1"/>
  <c r="AE139" i="4"/>
  <c r="AE140" i="4" s="1"/>
  <c r="BF116" i="4"/>
  <c r="BF117" i="4" s="1"/>
  <c r="BG115" i="4" s="1"/>
  <c r="AF216" i="4"/>
  <c r="AE223" i="4"/>
  <c r="AE224" i="4" s="1"/>
  <c r="AE100" i="4"/>
  <c r="AE101" i="4" s="1"/>
  <c r="AE241" i="4"/>
  <c r="AE242" i="4" s="1"/>
  <c r="B50" i="4"/>
  <c r="AA51" i="4"/>
  <c r="AA52" i="4" s="1"/>
  <c r="AD229" i="4"/>
  <c r="AD230" i="4" s="1"/>
  <c r="AD87" i="4"/>
  <c r="AD88" i="4" s="1"/>
  <c r="AD204" i="4"/>
  <c r="AD205" i="4" s="1"/>
  <c r="BG64" i="4"/>
  <c r="BG65" i="4" s="1"/>
  <c r="BH63" i="4" s="1"/>
  <c r="Y252" i="4"/>
  <c r="T44" i="1" s="1"/>
  <c r="U44" i="1" s="1"/>
  <c r="Q44" i="1"/>
  <c r="BG116" i="4" l="1"/>
  <c r="BG117" i="4" s="1"/>
  <c r="BH115" i="4" s="1"/>
  <c r="AA53" i="4"/>
  <c r="AA55" i="4" s="1"/>
  <c r="B52" i="4"/>
  <c r="AB50" i="4"/>
  <c r="BH103" i="4"/>
  <c r="BH104" i="4" s="1"/>
  <c r="BI102" i="4" s="1"/>
  <c r="BF142" i="4"/>
  <c r="BF143" i="4" s="1"/>
  <c r="BG141" i="4" s="1"/>
  <c r="AD235" i="4"/>
  <c r="AD236" i="4" s="1"/>
  <c r="AE228" i="4"/>
  <c r="BH64" i="4"/>
  <c r="BH65" i="4" s="1"/>
  <c r="BI63" i="4" s="1"/>
  <c r="AE145" i="4"/>
  <c r="AE146" i="4" s="1"/>
  <c r="AF138" i="4"/>
  <c r="BG207" i="4"/>
  <c r="BG208" i="4" s="1"/>
  <c r="BH206" i="4" s="1"/>
  <c r="AD132" i="4"/>
  <c r="AD133" i="4" s="1"/>
  <c r="AE125" i="4"/>
  <c r="BH155" i="4"/>
  <c r="BH156" i="4" s="1"/>
  <c r="BI154" i="4" s="1"/>
  <c r="AE203" i="4"/>
  <c r="AD210" i="4"/>
  <c r="AD211" i="4" s="1"/>
  <c r="AD184" i="4"/>
  <c r="AD185" i="4" s="1"/>
  <c r="AE177" i="4"/>
  <c r="BH90" i="4"/>
  <c r="BH91" i="4" s="1"/>
  <c r="BI89" i="4" s="1"/>
  <c r="AE247" i="4"/>
  <c r="AE248" i="4" s="1"/>
  <c r="AF240" i="4"/>
  <c r="AE106" i="4"/>
  <c r="AE107" i="4" s="1"/>
  <c r="AF99" i="4"/>
  <c r="BG181" i="4"/>
  <c r="BG182" i="4" s="1"/>
  <c r="BH180" i="4" s="1"/>
  <c r="BH129" i="4"/>
  <c r="BH130" i="4" s="1"/>
  <c r="BI128" i="4" s="1"/>
  <c r="AY17" i="4"/>
  <c r="AY18" i="4" s="1"/>
  <c r="AZ16" i="4" s="1"/>
  <c r="BF194" i="4"/>
  <c r="BF195" i="4" s="1"/>
  <c r="BG193" i="4" s="1"/>
  <c r="AB48" i="4"/>
  <c r="AB49" i="4" s="1"/>
  <c r="AE165" i="4"/>
  <c r="AE166" i="4" s="1"/>
  <c r="AE152" i="4"/>
  <c r="AE153" i="4" s="1"/>
  <c r="AA36" i="4"/>
  <c r="AA250" i="4" s="1"/>
  <c r="B31" i="4"/>
  <c r="AB29" i="4"/>
  <c r="B32" i="4"/>
  <c r="AA33" i="4"/>
  <c r="AA34" i="4" s="1"/>
  <c r="AE74" i="4"/>
  <c r="AE75" i="4" s="1"/>
  <c r="Z249" i="4"/>
  <c r="Z37" i="4"/>
  <c r="BI77" i="4"/>
  <c r="BI78" i="4" s="1"/>
  <c r="BJ76" i="4" s="1"/>
  <c r="AE113" i="4"/>
  <c r="AE114" i="4" s="1"/>
  <c r="AE191" i="4"/>
  <c r="AE192" i="4" s="1"/>
  <c r="AD93" i="4"/>
  <c r="AD94" i="4" s="1"/>
  <c r="AE86" i="4"/>
  <c r="AF217" i="4"/>
  <c r="AF218" i="4" s="1"/>
  <c r="BH168" i="4"/>
  <c r="BH169" i="4" s="1"/>
  <c r="BI167" i="4" s="1"/>
  <c r="AE61" i="4"/>
  <c r="AE62" i="4" s="1"/>
  <c r="BG194" i="4" l="1"/>
  <c r="BG195" i="4" s="1"/>
  <c r="BH193" i="4" s="1"/>
  <c r="BI129" i="4"/>
  <c r="BI130" i="4" s="1"/>
  <c r="BJ128" i="4" s="1"/>
  <c r="AE197" i="4"/>
  <c r="AE198" i="4" s="1"/>
  <c r="AF190" i="4"/>
  <c r="AZ17" i="4"/>
  <c r="AZ18" i="4" s="1"/>
  <c r="BA16" i="4" s="1"/>
  <c r="AE67" i="4"/>
  <c r="AE68" i="4" s="1"/>
  <c r="AF60" i="4"/>
  <c r="BI103" i="4"/>
  <c r="BI104" i="4" s="1"/>
  <c r="BJ102" i="4" s="1"/>
  <c r="AF223" i="4"/>
  <c r="AF224" i="4" s="1"/>
  <c r="AG216" i="4"/>
  <c r="AE119" i="4"/>
  <c r="AE120" i="4" s="1"/>
  <c r="AF112" i="4"/>
  <c r="BI90" i="4"/>
  <c r="BI91" i="4" s="1"/>
  <c r="BJ89" i="4" s="1"/>
  <c r="BH207" i="4"/>
  <c r="BH208" i="4" s="1"/>
  <c r="BI206" i="4" s="1"/>
  <c r="AE158" i="4"/>
  <c r="AE159" i="4" s="1"/>
  <c r="AF151" i="4"/>
  <c r="AF164" i="4"/>
  <c r="AE171" i="4"/>
  <c r="AE172" i="4" s="1"/>
  <c r="AE80" i="4"/>
  <c r="AE81" i="4" s="1"/>
  <c r="AF73" i="4"/>
  <c r="B34" i="4"/>
  <c r="AB32" i="4"/>
  <c r="AA35" i="4"/>
  <c r="BH116" i="4"/>
  <c r="BH117" i="4" s="1"/>
  <c r="BI115" i="4" s="1"/>
  <c r="AC47" i="4"/>
  <c r="AB54" i="4"/>
  <c r="BG142" i="4"/>
  <c r="BG143" i="4" s="1"/>
  <c r="BH141" i="4" s="1"/>
  <c r="AE87" i="4"/>
  <c r="AE88" i="4" s="1"/>
  <c r="AF100" i="4"/>
  <c r="AF101" i="4" s="1"/>
  <c r="AF139" i="4"/>
  <c r="AF140" i="4" s="1"/>
  <c r="Z252" i="4"/>
  <c r="T45" i="1" s="1"/>
  <c r="U45" i="1" s="1"/>
  <c r="Q45" i="1"/>
  <c r="AA251" i="4"/>
  <c r="S46" i="1"/>
  <c r="AE204" i="4"/>
  <c r="AE205" i="4" s="1"/>
  <c r="AB30" i="4"/>
  <c r="AB31" i="4" s="1"/>
  <c r="BH181" i="4"/>
  <c r="BH182" i="4" s="1"/>
  <c r="BI180" i="4" s="1"/>
  <c r="AF241" i="4"/>
  <c r="AF242" i="4" s="1"/>
  <c r="AB51" i="4"/>
  <c r="AB52" i="4" s="1"/>
  <c r="AE126" i="4"/>
  <c r="AE127" i="4" s="1"/>
  <c r="AE229" i="4"/>
  <c r="AE230" i="4" s="1"/>
  <c r="BJ77" i="4"/>
  <c r="BJ78" i="4" s="1"/>
  <c r="BK76" i="4" s="1"/>
  <c r="BI64" i="4"/>
  <c r="BI65" i="4" s="1"/>
  <c r="BJ63" i="4" s="1"/>
  <c r="BI155" i="4"/>
  <c r="BI156" i="4" s="1"/>
  <c r="BJ154" i="4" s="1"/>
  <c r="BI168" i="4"/>
  <c r="BI169" i="4" s="1"/>
  <c r="BJ167" i="4" s="1"/>
  <c r="AE178" i="4"/>
  <c r="AE179" i="4" s="1"/>
  <c r="AE235" i="4" l="1"/>
  <c r="AE236" i="4" s="1"/>
  <c r="AF228" i="4"/>
  <c r="BK77" i="4"/>
  <c r="BK78" i="4" s="1"/>
  <c r="BL76" i="4" s="1"/>
  <c r="BJ64" i="4"/>
  <c r="BJ65" i="4" s="1"/>
  <c r="BK63" i="4" s="1"/>
  <c r="AG99" i="4"/>
  <c r="AF106" i="4"/>
  <c r="AF107" i="4" s="1"/>
  <c r="AE210" i="4"/>
  <c r="AE211" i="4" s="1"/>
  <c r="AF203" i="4"/>
  <c r="BJ168" i="4"/>
  <c r="BJ169" i="4" s="1"/>
  <c r="BK167" i="4" s="1"/>
  <c r="BI207" i="4"/>
  <c r="BI208" i="4" s="1"/>
  <c r="BJ206" i="4" s="1"/>
  <c r="AE93" i="4"/>
  <c r="AE94" i="4" s="1"/>
  <c r="AF86" i="4"/>
  <c r="BH142" i="4"/>
  <c r="BH143" i="4" s="1"/>
  <c r="BI141" i="4" s="1"/>
  <c r="BJ129" i="4"/>
  <c r="BJ130" i="4" s="1"/>
  <c r="BK128" i="4" s="1"/>
  <c r="BJ90" i="4"/>
  <c r="BJ91" i="4" s="1"/>
  <c r="BK89" i="4" s="1"/>
  <c r="BA17" i="4"/>
  <c r="BA18" i="4" s="1"/>
  <c r="BB16" i="4" s="1"/>
  <c r="AE184" i="4"/>
  <c r="AE185" i="4" s="1"/>
  <c r="AF177" i="4"/>
  <c r="AC50" i="4"/>
  <c r="AB53" i="4"/>
  <c r="AB55" i="4" s="1"/>
  <c r="AF247" i="4"/>
  <c r="AF248" i="4" s="1"/>
  <c r="AG240" i="4"/>
  <c r="BI116" i="4"/>
  <c r="BI117" i="4" s="1"/>
  <c r="BJ115" i="4" s="1"/>
  <c r="BI181" i="4"/>
  <c r="BI182" i="4" s="1"/>
  <c r="BJ180" i="4" s="1"/>
  <c r="AF145" i="4"/>
  <c r="AF146" i="4" s="1"/>
  <c r="AG138" i="4"/>
  <c r="AF165" i="4"/>
  <c r="AF166" i="4" s="1"/>
  <c r="AF152" i="4"/>
  <c r="AF153" i="4" s="1"/>
  <c r="AG217" i="4"/>
  <c r="AG218" i="4" s="1"/>
  <c r="AF191" i="4"/>
  <c r="AF192" i="4" s="1"/>
  <c r="AB36" i="4"/>
  <c r="AB250" i="4" s="1"/>
  <c r="AC29" i="4"/>
  <c r="AA249" i="4"/>
  <c r="AA37" i="4"/>
  <c r="AE132" i="4"/>
  <c r="AE133" i="4" s="1"/>
  <c r="AF125" i="4"/>
  <c r="AC48" i="4"/>
  <c r="AC49" i="4" s="1"/>
  <c r="AF113" i="4"/>
  <c r="AF114" i="4" s="1"/>
  <c r="AB33" i="4"/>
  <c r="AB34" i="4" s="1"/>
  <c r="BJ103" i="4"/>
  <c r="BJ104" i="4" s="1"/>
  <c r="BK102" i="4" s="1"/>
  <c r="BJ155" i="4"/>
  <c r="BJ156" i="4" s="1"/>
  <c r="BK154" i="4" s="1"/>
  <c r="AF74" i="4"/>
  <c r="AF75" i="4" s="1"/>
  <c r="AF61" i="4"/>
  <c r="AF62" i="4" s="1"/>
  <c r="BH194" i="4"/>
  <c r="BH195" i="4" s="1"/>
  <c r="BI193" i="4" s="1"/>
  <c r="AC54" i="4" l="1"/>
  <c r="AD47" i="4"/>
  <c r="AF197" i="4"/>
  <c r="AF198" i="4" s="1"/>
  <c r="AG190" i="4"/>
  <c r="BB17" i="4"/>
  <c r="BB18" i="4" s="1"/>
  <c r="BC16" i="4" s="1"/>
  <c r="BK90" i="4"/>
  <c r="BK91" i="4" s="1"/>
  <c r="BL89" i="4" s="1"/>
  <c r="AF80" i="4"/>
  <c r="AF81" i="4" s="1"/>
  <c r="AG73" i="4"/>
  <c r="AF158" i="4"/>
  <c r="AF159" i="4" s="1"/>
  <c r="AG151" i="4"/>
  <c r="BI194" i="4"/>
  <c r="BI195" i="4" s="1"/>
  <c r="BJ193" i="4" s="1"/>
  <c r="AC32" i="4"/>
  <c r="AB35" i="4"/>
  <c r="BI142" i="4"/>
  <c r="BI143" i="4" s="1"/>
  <c r="BJ141" i="4" s="1"/>
  <c r="AA252" i="4"/>
  <c r="T46" i="1" s="1"/>
  <c r="U46" i="1" s="1"/>
  <c r="Q46" i="1"/>
  <c r="AG100" i="4"/>
  <c r="AG101" i="4" s="1"/>
  <c r="BJ116" i="4"/>
  <c r="BJ117" i="4" s="1"/>
  <c r="BK115" i="4" s="1"/>
  <c r="AC30" i="4"/>
  <c r="AC31" i="4" s="1"/>
  <c r="AG241" i="4"/>
  <c r="AG242" i="4" s="1"/>
  <c r="AB251" i="4"/>
  <c r="S47" i="1"/>
  <c r="BJ207" i="4"/>
  <c r="BJ208" i="4" s="1"/>
  <c r="BK206" i="4" s="1"/>
  <c r="BK64" i="4"/>
  <c r="BK65" i="4" s="1"/>
  <c r="BL63" i="4" s="1"/>
  <c r="AG139" i="4"/>
  <c r="AG140" i="4" s="1"/>
  <c r="BK129" i="4"/>
  <c r="BK130" i="4" s="1"/>
  <c r="BL128" i="4" s="1"/>
  <c r="BK168" i="4"/>
  <c r="BK169" i="4" s="1"/>
  <c r="BL167" i="4" s="1"/>
  <c r="BL77" i="4"/>
  <c r="BL78" i="4" s="1"/>
  <c r="BM76" i="4" s="1"/>
  <c r="AF119" i="4"/>
  <c r="AF120" i="4" s="1"/>
  <c r="AG112" i="4"/>
  <c r="AC51" i="4"/>
  <c r="AC52" i="4" s="1"/>
  <c r="AF67" i="4"/>
  <c r="AF68" i="4" s="1"/>
  <c r="AG60" i="4"/>
  <c r="AF87" i="4"/>
  <c r="AF88" i="4" s="1"/>
  <c r="AG164" i="4"/>
  <c r="AF171" i="4"/>
  <c r="AF172" i="4" s="1"/>
  <c r="BK155" i="4"/>
  <c r="BK156" i="4" s="1"/>
  <c r="BL154" i="4" s="1"/>
  <c r="AF126" i="4"/>
  <c r="AF127" i="4" s="1"/>
  <c r="AF178" i="4"/>
  <c r="AF179" i="4" s="1"/>
  <c r="AF204" i="4"/>
  <c r="AF205" i="4" s="1"/>
  <c r="AF229" i="4"/>
  <c r="AF230" i="4" s="1"/>
  <c r="BK103" i="4"/>
  <c r="BK104" i="4" s="1"/>
  <c r="BL102" i="4" s="1"/>
  <c r="AH216" i="4"/>
  <c r="AG223" i="4"/>
  <c r="AG224" i="4" s="1"/>
  <c r="BJ181" i="4"/>
  <c r="BJ182" i="4" s="1"/>
  <c r="BK180" i="4" s="1"/>
  <c r="BL103" i="4" l="1"/>
  <c r="BL104" i="4" s="1"/>
  <c r="BM102" i="4" s="1"/>
  <c r="AF235" i="4"/>
  <c r="AF236" i="4" s="1"/>
  <c r="AG228" i="4"/>
  <c r="BJ194" i="4"/>
  <c r="BJ195" i="4" s="1"/>
  <c r="BK193" i="4" s="1"/>
  <c r="AF93" i="4"/>
  <c r="AF94" i="4" s="1"/>
  <c r="AG86" i="4"/>
  <c r="BL129" i="4"/>
  <c r="BL130" i="4" s="1"/>
  <c r="BM128" i="4" s="1"/>
  <c r="AG203" i="4"/>
  <c r="AF210" i="4"/>
  <c r="AF211" i="4" s="1"/>
  <c r="BL64" i="4"/>
  <c r="BL65" i="4" s="1"/>
  <c r="BM63" i="4" s="1"/>
  <c r="BJ142" i="4"/>
  <c r="BJ143" i="4" s="1"/>
  <c r="BK141" i="4" s="1"/>
  <c r="AC36" i="4"/>
  <c r="AC250" i="4" s="1"/>
  <c r="AD29" i="4"/>
  <c r="AG145" i="4"/>
  <c r="AG146" i="4" s="1"/>
  <c r="AH138" i="4"/>
  <c r="AF132" i="4"/>
  <c r="AF133" i="4" s="1"/>
  <c r="AG125" i="4"/>
  <c r="AH99" i="4"/>
  <c r="AG106" i="4"/>
  <c r="AG107" i="4" s="1"/>
  <c r="BM77" i="4"/>
  <c r="BM78" i="4" s="1"/>
  <c r="BN76" i="4" s="1"/>
  <c r="AG247" i="4"/>
  <c r="AG248" i="4" s="1"/>
  <c r="AH240" i="4"/>
  <c r="BC17" i="4"/>
  <c r="BC18" i="4" s="1"/>
  <c r="BD16" i="4" s="1"/>
  <c r="AF184" i="4"/>
  <c r="AF185" i="4" s="1"/>
  <c r="AG177" i="4"/>
  <c r="AD50" i="4"/>
  <c r="AC53" i="4"/>
  <c r="AC55" i="4" s="1"/>
  <c r="BL155" i="4"/>
  <c r="BL156" i="4" s="1"/>
  <c r="BM154" i="4" s="1"/>
  <c r="AG61" i="4"/>
  <c r="AG62" i="4" s="1"/>
  <c r="AB249" i="4"/>
  <c r="AB37" i="4"/>
  <c r="BK207" i="4"/>
  <c r="BK208" i="4" s="1"/>
  <c r="BL206" i="4" s="1"/>
  <c r="AC33" i="4"/>
  <c r="AC34" i="4" s="1"/>
  <c r="BL168" i="4"/>
  <c r="BL169" i="4"/>
  <c r="BM167" i="4" s="1"/>
  <c r="BL90" i="4"/>
  <c r="BL91" i="4" s="1"/>
  <c r="BM89" i="4" s="1"/>
  <c r="AG152" i="4"/>
  <c r="AG153" i="4" s="1"/>
  <c r="AG191" i="4"/>
  <c r="AG192" i="4" s="1"/>
  <c r="BK116" i="4"/>
  <c r="BK117" i="4" s="1"/>
  <c r="BL115" i="4" s="1"/>
  <c r="AG74" i="4"/>
  <c r="AG75" i="4" s="1"/>
  <c r="AD48" i="4"/>
  <c r="AD49" i="4" s="1"/>
  <c r="BK181" i="4"/>
  <c r="BK182" i="4" s="1"/>
  <c r="BL180" i="4" s="1"/>
  <c r="AG113" i="4"/>
  <c r="AG114" i="4" s="1"/>
  <c r="AG165" i="4"/>
  <c r="AG166" i="4" s="1"/>
  <c r="AH217" i="4"/>
  <c r="AH218" i="4" s="1"/>
  <c r="BM129" i="4" l="1"/>
  <c r="BM130" i="4" s="1"/>
  <c r="BN128" i="4" s="1"/>
  <c r="BD17" i="4"/>
  <c r="BD18" i="4" s="1"/>
  <c r="BE16" i="4" s="1"/>
  <c r="BM90" i="4"/>
  <c r="BM91" i="4" s="1"/>
  <c r="BN89" i="4" s="1"/>
  <c r="BM155" i="4"/>
  <c r="BM156" i="4" s="1"/>
  <c r="BN154" i="4" s="1"/>
  <c r="AH223" i="4"/>
  <c r="AH224" i="4" s="1"/>
  <c r="AI216" i="4"/>
  <c r="AG119" i="4"/>
  <c r="AG120" i="4" s="1"/>
  <c r="AH112" i="4"/>
  <c r="AH151" i="4"/>
  <c r="AG158" i="4"/>
  <c r="AG159" i="4" s="1"/>
  <c r="AD54" i="4"/>
  <c r="AE47" i="4"/>
  <c r="BK194" i="4"/>
  <c r="BK195" i="4" s="1"/>
  <c r="BL193" i="4" s="1"/>
  <c r="BM64" i="4"/>
  <c r="BM65" i="4" s="1"/>
  <c r="BN63" i="4" s="1"/>
  <c r="AG197" i="4"/>
  <c r="AG198" i="4" s="1"/>
  <c r="AH190" i="4"/>
  <c r="AG67" i="4"/>
  <c r="AG68" i="4" s="1"/>
  <c r="AH60" i="4"/>
  <c r="BN77" i="4"/>
  <c r="BN78" i="4" s="1"/>
  <c r="BO76" i="4" s="1"/>
  <c r="AD32" i="4"/>
  <c r="AC35" i="4"/>
  <c r="BM103" i="4"/>
  <c r="BM104" i="4" s="1"/>
  <c r="BN102" i="4" s="1"/>
  <c r="AH164" i="4"/>
  <c r="AG171" i="4"/>
  <c r="AG172" i="4" s="1"/>
  <c r="AG80" i="4"/>
  <c r="AG81" i="4" s="1"/>
  <c r="AH73" i="4"/>
  <c r="AG178" i="4"/>
  <c r="AG179" i="4" s="1"/>
  <c r="AG87" i="4"/>
  <c r="AG88" i="4" s="1"/>
  <c r="AB252" i="4"/>
  <c r="T47" i="1" s="1"/>
  <c r="U47" i="1" s="1"/>
  <c r="Q47" i="1"/>
  <c r="AG126" i="4"/>
  <c r="AG127" i="4" s="1"/>
  <c r="AH100" i="4"/>
  <c r="AH101" i="4" s="1"/>
  <c r="BM168" i="4"/>
  <c r="BM169" i="4" s="1"/>
  <c r="BN167" i="4" s="1"/>
  <c r="AH241" i="4"/>
  <c r="AH242" i="4" s="1"/>
  <c r="AH139" i="4"/>
  <c r="AH140" i="4" s="1"/>
  <c r="AG229" i="4"/>
  <c r="AG230" i="4" s="1"/>
  <c r="BK142" i="4"/>
  <c r="BK143" i="4" s="1"/>
  <c r="BL141" i="4" s="1"/>
  <c r="BL116" i="4"/>
  <c r="BL117" i="4" s="1"/>
  <c r="BM115" i="4" s="1"/>
  <c r="AG204" i="4"/>
  <c r="AG205" i="4" s="1"/>
  <c r="BL181" i="4"/>
  <c r="BL182" i="4" s="1"/>
  <c r="BM180" i="4" s="1"/>
  <c r="BL207" i="4"/>
  <c r="BL208" i="4" s="1"/>
  <c r="BM206" i="4" s="1"/>
  <c r="AD30" i="4"/>
  <c r="AD31" i="4" s="1"/>
  <c r="AD51" i="4"/>
  <c r="AD52" i="4" s="1"/>
  <c r="AC251" i="4"/>
  <c r="S48" i="1"/>
  <c r="AE50" i="4" l="1"/>
  <c r="AD53" i="4"/>
  <c r="AD55" i="4" s="1"/>
  <c r="AG132" i="4"/>
  <c r="AG133" i="4" s="1"/>
  <c r="AH125" i="4"/>
  <c r="BM116" i="4"/>
  <c r="BM117" i="4" s="1"/>
  <c r="BN115" i="4" s="1"/>
  <c r="BL142" i="4"/>
  <c r="BL143" i="4" s="1"/>
  <c r="BM141" i="4" s="1"/>
  <c r="AD36" i="4"/>
  <c r="AD250" i="4" s="1"/>
  <c r="AE29" i="4"/>
  <c r="BN90" i="4"/>
  <c r="BN91" i="4" s="1"/>
  <c r="BO89" i="4" s="1"/>
  <c r="BN64" i="4"/>
  <c r="BN65" i="4" s="1"/>
  <c r="BO63" i="4" s="1"/>
  <c r="AG93" i="4"/>
  <c r="AG94" i="4" s="1"/>
  <c r="AH86" i="4"/>
  <c r="AH145" i="4"/>
  <c r="AH146" i="4" s="1"/>
  <c r="AI138" i="4"/>
  <c r="BO77" i="4"/>
  <c r="BO78" i="4" s="1"/>
  <c r="BP76" i="4" s="1"/>
  <c r="BM207" i="4"/>
  <c r="BM208" i="4" s="1"/>
  <c r="BN206" i="4" s="1"/>
  <c r="BN168" i="4"/>
  <c r="BN169" i="4" s="1"/>
  <c r="BO167" i="4" s="1"/>
  <c r="BE17" i="4"/>
  <c r="BE18" i="4" s="1"/>
  <c r="BF16" i="4" s="1"/>
  <c r="AG210" i="4"/>
  <c r="AG211" i="4" s="1"/>
  <c r="AH203" i="4"/>
  <c r="BN103" i="4"/>
  <c r="BN104" i="4" s="1"/>
  <c r="BO102" i="4" s="1"/>
  <c r="AG235" i="4"/>
  <c r="AG236" i="4" s="1"/>
  <c r="AH228" i="4"/>
  <c r="AG184" i="4"/>
  <c r="AG185" i="4" s="1"/>
  <c r="AH177" i="4"/>
  <c r="BN155" i="4"/>
  <c r="BN156" i="4" s="1"/>
  <c r="BO154" i="4" s="1"/>
  <c r="AH247" i="4"/>
  <c r="AH248" i="4" s="1"/>
  <c r="AI240" i="4"/>
  <c r="BM181" i="4"/>
  <c r="BM182" i="4" s="1"/>
  <c r="BN180" i="4" s="1"/>
  <c r="AI99" i="4"/>
  <c r="AH106" i="4"/>
  <c r="AH107" i="4" s="1"/>
  <c r="BN129" i="4"/>
  <c r="BN130" i="4" s="1"/>
  <c r="BO128" i="4" s="1"/>
  <c r="AH61" i="4"/>
  <c r="AH62" i="4" s="1"/>
  <c r="AE48" i="4"/>
  <c r="AE49" i="4" s="1"/>
  <c r="AH165" i="4"/>
  <c r="AH166" i="4" s="1"/>
  <c r="AH191" i="4"/>
  <c r="AH192" i="4" s="1"/>
  <c r="AC249" i="4"/>
  <c r="AC37" i="4"/>
  <c r="AD33" i="4"/>
  <c r="AD34" i="4" s="1"/>
  <c r="AH152" i="4"/>
  <c r="AH153" i="4" s="1"/>
  <c r="AH74" i="4"/>
  <c r="AH75" i="4" s="1"/>
  <c r="BL194" i="4"/>
  <c r="BL195" i="4" s="1"/>
  <c r="BM193" i="4" s="1"/>
  <c r="AI217" i="4"/>
  <c r="AI218" i="4" s="1"/>
  <c r="AH113" i="4"/>
  <c r="AH114" i="4" s="1"/>
  <c r="BP77" i="4" l="1"/>
  <c r="BP78" i="4" s="1"/>
  <c r="BQ76" i="4" s="1"/>
  <c r="AH171" i="4"/>
  <c r="AH172" i="4" s="1"/>
  <c r="AI164" i="4"/>
  <c r="BM194" i="4"/>
  <c r="BM195" i="4" s="1"/>
  <c r="BN193" i="4" s="1"/>
  <c r="BN116" i="4"/>
  <c r="BN117" i="4" s="1"/>
  <c r="BO115" i="4" s="1"/>
  <c r="AI190" i="4"/>
  <c r="AH197" i="4"/>
  <c r="AH198" i="4" s="1"/>
  <c r="AJ216" i="4"/>
  <c r="AI223" i="4"/>
  <c r="AI224" i="4" s="1"/>
  <c r="BO103" i="4"/>
  <c r="BO104" i="4" s="1"/>
  <c r="BP102" i="4" s="1"/>
  <c r="BM142" i="4"/>
  <c r="BM143" i="4" s="1"/>
  <c r="BN141" i="4" s="1"/>
  <c r="AI73" i="4"/>
  <c r="AH80" i="4"/>
  <c r="AH81" i="4" s="1"/>
  <c r="AH158" i="4"/>
  <c r="AH159" i="4" s="1"/>
  <c r="AI151" i="4"/>
  <c r="BO168" i="4"/>
  <c r="BO169" i="4" s="1"/>
  <c r="BP167" i="4" s="1"/>
  <c r="BN181" i="4"/>
  <c r="BN182" i="4" s="1"/>
  <c r="BO180" i="4" s="1"/>
  <c r="AE54" i="4"/>
  <c r="AF47" i="4"/>
  <c r="AH67" i="4"/>
  <c r="AH68" i="4" s="1"/>
  <c r="AI60" i="4"/>
  <c r="BF17" i="4"/>
  <c r="BF18" i="4" s="1"/>
  <c r="BG16" i="4" s="1"/>
  <c r="AD35" i="4"/>
  <c r="AE32" i="4"/>
  <c r="BO64" i="4"/>
  <c r="BO65" i="4" s="1"/>
  <c r="BP63" i="4" s="1"/>
  <c r="BN207" i="4"/>
  <c r="BN208" i="4" s="1"/>
  <c r="BO206" i="4" s="1"/>
  <c r="BO155" i="4"/>
  <c r="BO156" i="4" s="1"/>
  <c r="BP154" i="4" s="1"/>
  <c r="AH204" i="4"/>
  <c r="AH205" i="4" s="1"/>
  <c r="BO90" i="4"/>
  <c r="BO91" i="4" s="1"/>
  <c r="BP89" i="4" s="1"/>
  <c r="AH126" i="4"/>
  <c r="AH127" i="4" s="1"/>
  <c r="AH229" i="4"/>
  <c r="AH230" i="4" s="1"/>
  <c r="AI241" i="4"/>
  <c r="AI242" i="4" s="1"/>
  <c r="BO129" i="4"/>
  <c r="BO130" i="4" s="1"/>
  <c r="BP128" i="4" s="1"/>
  <c r="AH178" i="4"/>
  <c r="AH179" i="4" s="1"/>
  <c r="AI139" i="4"/>
  <c r="AI140" i="4" s="1"/>
  <c r="AE30" i="4"/>
  <c r="AE31" i="4" s="1"/>
  <c r="AH87" i="4"/>
  <c r="AH88" i="4" s="1"/>
  <c r="AC252" i="4"/>
  <c r="T48" i="1" s="1"/>
  <c r="U48" i="1" s="1"/>
  <c r="Q48" i="1"/>
  <c r="AI112" i="4"/>
  <c r="AH119" i="4"/>
  <c r="AH120" i="4" s="1"/>
  <c r="AI100" i="4"/>
  <c r="AI101" i="4" s="1"/>
  <c r="AD251" i="4"/>
  <c r="S49" i="1"/>
  <c r="AE51" i="4"/>
  <c r="AE52" i="4" s="1"/>
  <c r="AF29" i="4" l="1"/>
  <c r="AE36" i="4"/>
  <c r="AE250" i="4" s="1"/>
  <c r="BP90" i="4"/>
  <c r="BP91" i="4" s="1"/>
  <c r="BQ89" i="4" s="1"/>
  <c r="BP103" i="4"/>
  <c r="BP104" i="4" s="1"/>
  <c r="BQ102" i="4" s="1"/>
  <c r="AI145" i="4"/>
  <c r="AI146" i="4" s="1"/>
  <c r="AJ138" i="4"/>
  <c r="AI106" i="4"/>
  <c r="AI107" i="4" s="1"/>
  <c r="AJ99" i="4"/>
  <c r="BO207" i="4"/>
  <c r="BO208" i="4" s="1"/>
  <c r="BP206" i="4" s="1"/>
  <c r="BP129" i="4"/>
  <c r="BP130" i="4" s="1"/>
  <c r="BQ128" i="4" s="1"/>
  <c r="AI247" i="4"/>
  <c r="AI248" i="4" s="1"/>
  <c r="AJ240" i="4"/>
  <c r="AH93" i="4"/>
  <c r="AH94" i="4" s="1"/>
  <c r="AI86" i="4"/>
  <c r="BP155" i="4"/>
  <c r="BP156" i="4" s="1"/>
  <c r="BQ154" i="4" s="1"/>
  <c r="AH235" i="4"/>
  <c r="AH236" i="4" s="1"/>
  <c r="AI228" i="4"/>
  <c r="BP168" i="4"/>
  <c r="BP169" i="4" s="1"/>
  <c r="BQ167" i="4" s="1"/>
  <c r="AF50" i="4"/>
  <c r="AE53" i="4"/>
  <c r="AE55" i="4" s="1"/>
  <c r="AH210" i="4"/>
  <c r="AH211" i="4" s="1"/>
  <c r="AI203" i="4"/>
  <c r="AH184" i="4"/>
  <c r="AH185" i="4" s="1"/>
  <c r="AI177" i="4"/>
  <c r="BN142" i="4"/>
  <c r="BN143" i="4" s="1"/>
  <c r="BO141" i="4" s="1"/>
  <c r="BP64" i="4"/>
  <c r="BP65" i="4" s="1"/>
  <c r="BQ63" i="4" s="1"/>
  <c r="AH132" i="4"/>
  <c r="AH133" i="4" s="1"/>
  <c r="AI125" i="4"/>
  <c r="BG17" i="4"/>
  <c r="BG18" i="4" s="1"/>
  <c r="BH16" i="4" s="1"/>
  <c r="BQ77" i="4"/>
  <c r="B77" i="4" s="1"/>
  <c r="C77" i="4" s="1"/>
  <c r="AE33" i="4"/>
  <c r="AE34" i="4" s="1"/>
  <c r="BN194" i="4"/>
  <c r="BN195" i="4" s="1"/>
  <c r="BO193" i="4" s="1"/>
  <c r="BO181" i="4"/>
  <c r="BO182" i="4" s="1"/>
  <c r="BP180" i="4" s="1"/>
  <c r="AI165" i="4"/>
  <c r="AI166" i="4" s="1"/>
  <c r="AD249" i="4"/>
  <c r="AD37" i="4"/>
  <c r="AI113" i="4"/>
  <c r="AI114" i="4" s="1"/>
  <c r="AI61" i="4"/>
  <c r="AI62" i="4" s="1"/>
  <c r="AJ217" i="4"/>
  <c r="AJ218" i="4" s="1"/>
  <c r="BO116" i="4"/>
  <c r="BO117" i="4" s="1"/>
  <c r="BP115" i="4" s="1"/>
  <c r="AI152" i="4"/>
  <c r="AI153" i="4" s="1"/>
  <c r="AF48" i="4"/>
  <c r="AF49" i="4" s="1"/>
  <c r="AI74" i="4"/>
  <c r="AI75" i="4" s="1"/>
  <c r="AI191" i="4"/>
  <c r="AI192" i="4" s="1"/>
  <c r="AJ164" i="4" l="1"/>
  <c r="AI171" i="4"/>
  <c r="AI172" i="4" s="1"/>
  <c r="AF54" i="4"/>
  <c r="AG47" i="4"/>
  <c r="BO194" i="4"/>
  <c r="BO195" i="4" s="1"/>
  <c r="BP193" i="4" s="1"/>
  <c r="AE35" i="4"/>
  <c r="AF32" i="4"/>
  <c r="BQ90" i="4"/>
  <c r="B90" i="4" s="1"/>
  <c r="C90" i="4" s="1"/>
  <c r="AJ151" i="4"/>
  <c r="AI158" i="4"/>
  <c r="AI159" i="4" s="1"/>
  <c r="BP116" i="4"/>
  <c r="BP117" i="4" s="1"/>
  <c r="BQ115" i="4" s="1"/>
  <c r="AJ223" i="4"/>
  <c r="AJ224" i="4" s="1"/>
  <c r="AK216" i="4"/>
  <c r="AI119" i="4"/>
  <c r="AI120" i="4" s="1"/>
  <c r="AJ112" i="4"/>
  <c r="BP181" i="4"/>
  <c r="BP182" i="4" s="1"/>
  <c r="BQ180" i="4" s="1"/>
  <c r="BQ168" i="4"/>
  <c r="B168" i="4" s="1"/>
  <c r="C168" i="4" s="1"/>
  <c r="BQ103" i="4"/>
  <c r="B103" i="4" s="1"/>
  <c r="C103" i="4" s="1"/>
  <c r="AI67" i="4"/>
  <c r="AI68" i="4" s="1"/>
  <c r="AJ60" i="4"/>
  <c r="AI197" i="4"/>
  <c r="AI198" i="4" s="1"/>
  <c r="AJ190" i="4"/>
  <c r="BH17" i="4"/>
  <c r="BH18" i="4" s="1"/>
  <c r="BI16" i="4" s="1"/>
  <c r="AJ241" i="4"/>
  <c r="AJ242" i="4" s="1"/>
  <c r="AJ139" i="4"/>
  <c r="AJ140" i="4" s="1"/>
  <c r="AJ73" i="4"/>
  <c r="AI80" i="4"/>
  <c r="AI81" i="4" s="1"/>
  <c r="BQ129" i="4"/>
  <c r="B129" i="4" s="1"/>
  <c r="C129" i="4" s="1"/>
  <c r="BQ155" i="4"/>
  <c r="B155" i="4" s="1"/>
  <c r="C155" i="4" s="1"/>
  <c r="BP207" i="4"/>
  <c r="BP208" i="4" s="1"/>
  <c r="BQ206" i="4" s="1"/>
  <c r="BO142" i="4"/>
  <c r="BO143" i="4" s="1"/>
  <c r="BP141" i="4" s="1"/>
  <c r="BQ64" i="4"/>
  <c r="B64" i="4" s="1"/>
  <c r="C64" i="4" s="1"/>
  <c r="AI87" i="4"/>
  <c r="AI88" i="4" s="1"/>
  <c r="AJ100" i="4"/>
  <c r="AJ101" i="4" s="1"/>
  <c r="AE251" i="4"/>
  <c r="S50" i="1"/>
  <c r="BQ78" i="4"/>
  <c r="BR76" i="4" s="1"/>
  <c r="AI178" i="4"/>
  <c r="AI179" i="4" s="1"/>
  <c r="AI229" i="4"/>
  <c r="AI230" i="4" s="1"/>
  <c r="AI126" i="4"/>
  <c r="AI127" i="4" s="1"/>
  <c r="AI204" i="4"/>
  <c r="AI205" i="4" s="1"/>
  <c r="AD252" i="4"/>
  <c r="T49" i="1" s="1"/>
  <c r="U49" i="1" s="1"/>
  <c r="Q49" i="1"/>
  <c r="AF51" i="4"/>
  <c r="AF52" i="4" s="1"/>
  <c r="AF30" i="4"/>
  <c r="AF31" i="4" s="1"/>
  <c r="BQ104" i="4" l="1"/>
  <c r="BR102" i="4" s="1"/>
  <c r="AI210" i="4"/>
  <c r="AI211" i="4" s="1"/>
  <c r="AJ203" i="4"/>
  <c r="BQ116" i="4"/>
  <c r="B116" i="4" s="1"/>
  <c r="C116" i="4" s="1"/>
  <c r="AK138" i="4"/>
  <c r="AJ145" i="4"/>
  <c r="AJ146" i="4" s="1"/>
  <c r="BQ207" i="4"/>
  <c r="B207" i="4" s="1"/>
  <c r="C207" i="4" s="1"/>
  <c r="AJ106" i="4"/>
  <c r="AJ107" i="4" s="1"/>
  <c r="AK99" i="4"/>
  <c r="AJ86" i="4"/>
  <c r="AI93" i="4"/>
  <c r="AI94" i="4" s="1"/>
  <c r="AJ247" i="4"/>
  <c r="AJ248" i="4" s="1"/>
  <c r="AK240" i="4"/>
  <c r="AI184" i="4"/>
  <c r="AI185" i="4" s="1"/>
  <c r="AJ177" i="4"/>
  <c r="AG29" i="4"/>
  <c r="AF36" i="4"/>
  <c r="AF250" i="4" s="1"/>
  <c r="BP142" i="4"/>
  <c r="BP143" i="4" s="1"/>
  <c r="BQ141" i="4" s="1"/>
  <c r="BI17" i="4"/>
  <c r="BI18" i="4" s="1"/>
  <c r="BJ16" i="4" s="1"/>
  <c r="BQ181" i="4"/>
  <c r="B181" i="4" s="1"/>
  <c r="C181" i="4" s="1"/>
  <c r="AG50" i="4"/>
  <c r="AF53" i="4"/>
  <c r="AF55" i="4" s="1"/>
  <c r="BP194" i="4"/>
  <c r="BP195" i="4" s="1"/>
  <c r="BQ193" i="4" s="1"/>
  <c r="AF33" i="4"/>
  <c r="AF34" i="4" s="1"/>
  <c r="BR77" i="4"/>
  <c r="BR78" i="4" s="1"/>
  <c r="BS76" i="4" s="1"/>
  <c r="BQ65" i="4"/>
  <c r="BR63" i="4" s="1"/>
  <c r="BQ130" i="4"/>
  <c r="BR128" i="4" s="1"/>
  <c r="BQ169" i="4"/>
  <c r="BR167" i="4" s="1"/>
  <c r="BQ156" i="4"/>
  <c r="BR154" i="4" s="1"/>
  <c r="AJ191" i="4"/>
  <c r="AJ192" i="4" s="1"/>
  <c r="AG48" i="4"/>
  <c r="AG49" i="4" s="1"/>
  <c r="AK217" i="4"/>
  <c r="AK218" i="4" s="1"/>
  <c r="AJ74" i="4"/>
  <c r="AJ75" i="4" s="1"/>
  <c r="AJ152" i="4"/>
  <c r="AJ153" i="4" s="1"/>
  <c r="AI235" i="4"/>
  <c r="AI236" i="4" s="1"/>
  <c r="AJ228" i="4"/>
  <c r="BR103" i="4"/>
  <c r="BR104" i="4" s="1"/>
  <c r="BS102" i="4" s="1"/>
  <c r="AE249" i="4"/>
  <c r="AE37" i="4"/>
  <c r="AI132" i="4"/>
  <c r="AI133" i="4" s="1"/>
  <c r="AJ125" i="4"/>
  <c r="AJ61" i="4"/>
  <c r="AJ62" i="4" s="1"/>
  <c r="AJ113" i="4"/>
  <c r="AJ114" i="4" s="1"/>
  <c r="BQ91" i="4"/>
  <c r="BR89" i="4" s="1"/>
  <c r="AJ165" i="4"/>
  <c r="AJ166" i="4" s="1"/>
  <c r="BQ117" i="4" l="1"/>
  <c r="BR115" i="4" s="1"/>
  <c r="AF35" i="4"/>
  <c r="AG32" i="4"/>
  <c r="AK190" i="4"/>
  <c r="AJ197" i="4"/>
  <c r="AJ198" i="4" s="1"/>
  <c r="BJ17" i="4"/>
  <c r="BJ18" i="4" s="1"/>
  <c r="BK16" i="4" s="1"/>
  <c r="AG54" i="4"/>
  <c r="AH47" i="4"/>
  <c r="AJ171" i="4"/>
  <c r="AJ172" i="4" s="1"/>
  <c r="AK164" i="4"/>
  <c r="AJ67" i="4"/>
  <c r="AJ68" i="4" s="1"/>
  <c r="AK60" i="4"/>
  <c r="BQ142" i="4"/>
  <c r="B142" i="4" s="1"/>
  <c r="C142" i="4" s="1"/>
  <c r="AL216" i="4"/>
  <c r="AK223" i="4"/>
  <c r="AK224" i="4" s="1"/>
  <c r="BQ194" i="4"/>
  <c r="B194" i="4" s="1"/>
  <c r="C194" i="4" s="1"/>
  <c r="BS103" i="4"/>
  <c r="BS104" i="4" s="1"/>
  <c r="BT102" i="4" s="1"/>
  <c r="AK112" i="4"/>
  <c r="AJ119" i="4"/>
  <c r="AJ120" i="4" s="1"/>
  <c r="AJ158" i="4"/>
  <c r="AJ159" i="4" s="1"/>
  <c r="AK151" i="4"/>
  <c r="AK73" i="4"/>
  <c r="AJ80" i="4"/>
  <c r="AJ81" i="4" s="1"/>
  <c r="BS77" i="4"/>
  <c r="BS78" i="4" s="1"/>
  <c r="BT76" i="4" s="1"/>
  <c r="AJ126" i="4"/>
  <c r="AJ127" i="4" s="1"/>
  <c r="AK139" i="4"/>
  <c r="AK140" i="4" s="1"/>
  <c r="BR116" i="4"/>
  <c r="BR117" i="4" s="1"/>
  <c r="BS115" i="4" s="1"/>
  <c r="BQ182" i="4"/>
  <c r="BR180" i="4" s="1"/>
  <c r="BQ208" i="4"/>
  <c r="BR206" i="4" s="1"/>
  <c r="AJ87" i="4"/>
  <c r="AJ88" i="4" s="1"/>
  <c r="BR90" i="4"/>
  <c r="BR91" i="4" s="1"/>
  <c r="BS89" i="4" s="1"/>
  <c r="BR155" i="4"/>
  <c r="BR156" i="4" s="1"/>
  <c r="BS154" i="4" s="1"/>
  <c r="AE252" i="4"/>
  <c r="T50" i="1" s="1"/>
  <c r="U50" i="1" s="1"/>
  <c r="Q50" i="1"/>
  <c r="BR129" i="4"/>
  <c r="BR130" i="4" s="1"/>
  <c r="BS128" i="4" s="1"/>
  <c r="AF251" i="4"/>
  <c r="S51" i="1"/>
  <c r="AK100" i="4"/>
  <c r="AK101" i="4" s="1"/>
  <c r="AJ204" i="4"/>
  <c r="AJ205" i="4" s="1"/>
  <c r="AJ229" i="4"/>
  <c r="AJ230" i="4" s="1"/>
  <c r="AJ178" i="4"/>
  <c r="AJ179" i="4" s="1"/>
  <c r="AK241" i="4"/>
  <c r="AK242" i="4" s="1"/>
  <c r="BR168" i="4"/>
  <c r="BR169" i="4" s="1"/>
  <c r="BS167" i="4" s="1"/>
  <c r="BR64" i="4"/>
  <c r="BR65" i="4" s="1"/>
  <c r="BS63" i="4" s="1"/>
  <c r="AG51" i="4"/>
  <c r="AG52" i="4" s="1"/>
  <c r="AG30" i="4"/>
  <c r="AG31" i="4" s="1"/>
  <c r="BS64" i="4" l="1"/>
  <c r="BS65" i="4" s="1"/>
  <c r="BT63" i="4" s="1"/>
  <c r="AK247" i="4"/>
  <c r="AK248" i="4" s="1"/>
  <c r="AL240" i="4"/>
  <c r="BT103" i="4"/>
  <c r="BT104" i="4" s="1"/>
  <c r="BU102" i="4" s="1"/>
  <c r="BK17" i="4"/>
  <c r="BK18" i="4" s="1"/>
  <c r="BL16" i="4" s="1"/>
  <c r="AH29" i="4"/>
  <c r="AG36" i="4"/>
  <c r="AG250" i="4" s="1"/>
  <c r="AK145" i="4"/>
  <c r="AK146" i="4" s="1"/>
  <c r="AL138" i="4"/>
  <c r="AJ93" i="4"/>
  <c r="AJ94" i="4" s="1"/>
  <c r="AK86" i="4"/>
  <c r="AJ184" i="4"/>
  <c r="AJ185" i="4" s="1"/>
  <c r="AK177" i="4"/>
  <c r="AJ235" i="4"/>
  <c r="AJ236" i="4" s="1"/>
  <c r="AK228" i="4"/>
  <c r="BS116" i="4"/>
  <c r="BS117" i="4" s="1"/>
  <c r="BT115" i="4" s="1"/>
  <c r="AK203" i="4"/>
  <c r="AJ210" i="4"/>
  <c r="AJ211" i="4" s="1"/>
  <c r="AG53" i="4"/>
  <c r="AG55" i="4" s="1"/>
  <c r="AH50" i="4"/>
  <c r="AK106" i="4"/>
  <c r="AK107" i="4" s="1"/>
  <c r="AL99" i="4"/>
  <c r="AJ132" i="4"/>
  <c r="AJ133" i="4" s="1"/>
  <c r="AK125" i="4"/>
  <c r="AL217" i="4"/>
  <c r="AL218" i="4" s="1"/>
  <c r="BS129" i="4"/>
  <c r="BS130" i="4" s="1"/>
  <c r="BT128" i="4" s="1"/>
  <c r="AK152" i="4"/>
  <c r="AK153" i="4" s="1"/>
  <c r="AH48" i="4"/>
  <c r="AH49" i="4" s="1"/>
  <c r="BQ143" i="4"/>
  <c r="BR141" i="4" s="1"/>
  <c r="BR207" i="4"/>
  <c r="BR208" i="4" s="1"/>
  <c r="BS206" i="4" s="1"/>
  <c r="AK61" i="4"/>
  <c r="AK62" i="4" s="1"/>
  <c r="BS168" i="4"/>
  <c r="BS169" i="4" s="1"/>
  <c r="BT167" i="4" s="1"/>
  <c r="BR181" i="4"/>
  <c r="BR182" i="4" s="1"/>
  <c r="BS180" i="4" s="1"/>
  <c r="AK191" i="4"/>
  <c r="AK192" i="4" s="1"/>
  <c r="AK165" i="4"/>
  <c r="AK166" i="4" s="1"/>
  <c r="AG33" i="4"/>
  <c r="AG34" i="4" s="1"/>
  <c r="BS90" i="4"/>
  <c r="BS91" i="4" s="1"/>
  <c r="BT89" i="4" s="1"/>
  <c r="AK113" i="4"/>
  <c r="AK114" i="4" s="1"/>
  <c r="BT77" i="4"/>
  <c r="BT78" i="4" s="1"/>
  <c r="BU76" i="4" s="1"/>
  <c r="BS155" i="4"/>
  <c r="BS156" i="4" s="1"/>
  <c r="BT154" i="4" s="1"/>
  <c r="AK74" i="4"/>
  <c r="AK75" i="4" s="1"/>
  <c r="BQ195" i="4"/>
  <c r="BR193" i="4" s="1"/>
  <c r="AF249" i="4"/>
  <c r="AF37" i="4"/>
  <c r="AH32" i="4" l="1"/>
  <c r="AG35" i="4"/>
  <c r="AI47" i="4"/>
  <c r="AH54" i="4"/>
  <c r="BT129" i="4"/>
  <c r="BT130" i="4" s="1"/>
  <c r="BU128" i="4" s="1"/>
  <c r="AK119" i="4"/>
  <c r="AK120" i="4" s="1"/>
  <c r="AL112" i="4"/>
  <c r="BS207" i="4"/>
  <c r="BS208" i="4" s="1"/>
  <c r="BT206" i="4" s="1"/>
  <c r="BL17" i="4"/>
  <c r="BL18" i="4" s="1"/>
  <c r="BM16" i="4" s="1"/>
  <c r="AK158" i="4"/>
  <c r="AK159" i="4" s="1"/>
  <c r="AL151" i="4"/>
  <c r="AK80" i="4"/>
  <c r="AK81" i="4" s="1"/>
  <c r="AL73" i="4"/>
  <c r="BT155" i="4"/>
  <c r="BT156" i="4" s="1"/>
  <c r="BU154" i="4" s="1"/>
  <c r="AL223" i="4"/>
  <c r="AL224" i="4" s="1"/>
  <c r="AM216" i="4"/>
  <c r="BT90" i="4"/>
  <c r="BT91" i="4" s="1"/>
  <c r="BU89" i="4" s="1"/>
  <c r="AL164" i="4"/>
  <c r="AK171" i="4"/>
  <c r="AK172" i="4" s="1"/>
  <c r="AK197" i="4"/>
  <c r="AK198" i="4" s="1"/>
  <c r="AL190" i="4"/>
  <c r="BU103" i="4"/>
  <c r="BU104" i="4" s="1"/>
  <c r="BV102" i="4" s="1"/>
  <c r="BS181" i="4"/>
  <c r="BS182" i="4" s="1"/>
  <c r="BT180" i="4" s="1"/>
  <c r="BT168" i="4"/>
  <c r="BT169" i="4" s="1"/>
  <c r="BU167" i="4" s="1"/>
  <c r="BU77" i="4"/>
  <c r="BU78" i="4" s="1"/>
  <c r="BV76" i="4" s="1"/>
  <c r="BT64" i="4"/>
  <c r="BT65" i="4" s="1"/>
  <c r="BU63" i="4" s="1"/>
  <c r="AH51" i="4"/>
  <c r="AH52" i="4" s="1"/>
  <c r="AK178" i="4"/>
  <c r="AK179" i="4" s="1"/>
  <c r="AK87" i="4"/>
  <c r="AK88" i="4" s="1"/>
  <c r="AF252" i="4"/>
  <c r="T51" i="1" s="1"/>
  <c r="U51" i="1" s="1"/>
  <c r="Q51" i="1"/>
  <c r="AK204" i="4"/>
  <c r="AK205" i="4" s="1"/>
  <c r="AK126" i="4"/>
  <c r="AK127" i="4" s="1"/>
  <c r="BT116" i="4"/>
  <c r="BT117" i="4" s="1"/>
  <c r="BU115" i="4" s="1"/>
  <c r="AL139" i="4"/>
  <c r="AL140" i="4" s="1"/>
  <c r="AL241" i="4"/>
  <c r="AL242" i="4" s="1"/>
  <c r="AK67" i="4"/>
  <c r="AK68" i="4" s="1"/>
  <c r="AL60" i="4"/>
  <c r="AL100" i="4"/>
  <c r="AL101" i="4" s="1"/>
  <c r="AK229" i="4"/>
  <c r="AK230" i="4" s="1"/>
  <c r="AG251" i="4"/>
  <c r="S52" i="1"/>
  <c r="BR194" i="4"/>
  <c r="BR195" i="4" s="1"/>
  <c r="BS193" i="4" s="1"/>
  <c r="BR142" i="4"/>
  <c r="BR143" i="4" s="1"/>
  <c r="BS141" i="4" s="1"/>
  <c r="AH30" i="4"/>
  <c r="AH31" i="4" s="1"/>
  <c r="BV103" i="4" l="1"/>
  <c r="BV104" i="4" s="1"/>
  <c r="BW102" i="4" s="1"/>
  <c r="AH53" i="4"/>
  <c r="AH55" i="4" s="1"/>
  <c r="AI50" i="4"/>
  <c r="AL247" i="4"/>
  <c r="AL248" i="4" s="1"/>
  <c r="AM240" i="4"/>
  <c r="BU155" i="4"/>
  <c r="BU156" i="4" s="1"/>
  <c r="BV154" i="4" s="1"/>
  <c r="BU129" i="4"/>
  <c r="BU130" i="4" s="1"/>
  <c r="BV128" i="4" s="1"/>
  <c r="AL106" i="4"/>
  <c r="AL107" i="4" s="1"/>
  <c r="AM99" i="4"/>
  <c r="BV77" i="4"/>
  <c r="BV78" i="4" s="1"/>
  <c r="BW76" i="4" s="1"/>
  <c r="AM138" i="4"/>
  <c r="AL145" i="4"/>
  <c r="AL146" i="4" s="1"/>
  <c r="AK132" i="4"/>
  <c r="AK133" i="4" s="1"/>
  <c r="AL125" i="4"/>
  <c r="AK210" i="4"/>
  <c r="AK211" i="4" s="1"/>
  <c r="AL203" i="4"/>
  <c r="BU168" i="4"/>
  <c r="BU169" i="4" s="1"/>
  <c r="BV167" i="4" s="1"/>
  <c r="BM17" i="4"/>
  <c r="BM18" i="4" s="1"/>
  <c r="BN16" i="4" s="1"/>
  <c r="BS142" i="4"/>
  <c r="BS143" i="4" s="1"/>
  <c r="BT141" i="4" s="1"/>
  <c r="BS194" i="4"/>
  <c r="BS195" i="4" s="1"/>
  <c r="BT193" i="4" s="1"/>
  <c r="BU116" i="4"/>
  <c r="BU117" i="4" s="1"/>
  <c r="BV115" i="4" s="1"/>
  <c r="AK235" i="4"/>
  <c r="AK236" i="4" s="1"/>
  <c r="AL228" i="4"/>
  <c r="AH36" i="4"/>
  <c r="AH250" i="4" s="1"/>
  <c r="AI29" i="4"/>
  <c r="AK93" i="4"/>
  <c r="AK94" i="4" s="1"/>
  <c r="AL86" i="4"/>
  <c r="BT181" i="4"/>
  <c r="BT182" i="4" s="1"/>
  <c r="BU180" i="4" s="1"/>
  <c r="AL61" i="4"/>
  <c r="AL62" i="4" s="1"/>
  <c r="AL74" i="4"/>
  <c r="AL75" i="4" s="1"/>
  <c r="AL113" i="4"/>
  <c r="AL114" i="4" s="1"/>
  <c r="AK184" i="4"/>
  <c r="AK185" i="4" s="1"/>
  <c r="AL177" i="4"/>
  <c r="BU90" i="4"/>
  <c r="BU91" i="4" s="1"/>
  <c r="BV89" i="4" s="1"/>
  <c r="AL152" i="4"/>
  <c r="AL153" i="4" s="1"/>
  <c r="AL165" i="4"/>
  <c r="AL166" i="4" s="1"/>
  <c r="AI48" i="4"/>
  <c r="AI49" i="4" s="1"/>
  <c r="BU64" i="4"/>
  <c r="BU65" i="4" s="1"/>
  <c r="BV63" i="4" s="1"/>
  <c r="AM217" i="4"/>
  <c r="AM218" i="4" s="1"/>
  <c r="AL191" i="4"/>
  <c r="AL192" i="4" s="1"/>
  <c r="BT207" i="4"/>
  <c r="BT208" i="4" s="1"/>
  <c r="BU206" i="4" s="1"/>
  <c r="AG249" i="4"/>
  <c r="AG37" i="4"/>
  <c r="AH33" i="4"/>
  <c r="AH34" i="4" s="1"/>
  <c r="AJ47" i="4" l="1"/>
  <c r="AI54" i="4"/>
  <c r="AL67" i="4"/>
  <c r="AL68" i="4" s="1"/>
  <c r="AM60" i="4"/>
  <c r="AL171" i="4"/>
  <c r="AL172" i="4" s="1"/>
  <c r="AM164" i="4"/>
  <c r="AL158" i="4"/>
  <c r="AL159" i="4" s="1"/>
  <c r="AM151" i="4"/>
  <c r="BT142" i="4"/>
  <c r="BT143" i="4" s="1"/>
  <c r="BU141" i="4" s="1"/>
  <c r="AL80" i="4"/>
  <c r="AL81" i="4" s="1"/>
  <c r="AM73" i="4"/>
  <c r="AI32" i="4"/>
  <c r="AH35" i="4"/>
  <c r="BV155" i="4"/>
  <c r="BV156" i="4"/>
  <c r="BW154" i="4" s="1"/>
  <c r="BV90" i="4"/>
  <c r="BV91" i="4" s="1"/>
  <c r="BW89" i="4" s="1"/>
  <c r="AL197" i="4"/>
  <c r="AL198" i="4" s="1"/>
  <c r="AM190" i="4"/>
  <c r="BN17" i="4"/>
  <c r="BN18" i="4" s="1"/>
  <c r="BO16" i="4" s="1"/>
  <c r="BW77" i="4"/>
  <c r="BW78" i="4" s="1"/>
  <c r="BX76" i="4" s="1"/>
  <c r="BV64" i="4"/>
  <c r="BV65" i="4" s="1"/>
  <c r="BW63" i="4" s="1"/>
  <c r="BV129" i="4"/>
  <c r="BV130" i="4" s="1"/>
  <c r="BW128" i="4" s="1"/>
  <c r="BU181" i="4"/>
  <c r="BU182" i="4" s="1"/>
  <c r="BV180" i="4" s="1"/>
  <c r="BU207" i="4"/>
  <c r="BU208" i="4" s="1"/>
  <c r="BV206" i="4" s="1"/>
  <c r="AN216" i="4"/>
  <c r="AM223" i="4"/>
  <c r="AM224" i="4" s="1"/>
  <c r="AM112" i="4"/>
  <c r="AL119" i="4"/>
  <c r="AL120" i="4" s="1"/>
  <c r="BV168" i="4"/>
  <c r="BV169" i="4" s="1"/>
  <c r="BW167" i="4" s="1"/>
  <c r="BW103" i="4"/>
  <c r="BW104" i="4" s="1"/>
  <c r="BX102" i="4" s="1"/>
  <c r="AL229" i="4"/>
  <c r="AL230" i="4" s="1"/>
  <c r="AG252" i="4"/>
  <c r="T52" i="1" s="1"/>
  <c r="U52" i="1" s="1"/>
  <c r="Q52" i="1"/>
  <c r="AL178" i="4"/>
  <c r="AL179" i="4" s="1"/>
  <c r="AM241" i="4"/>
  <c r="AM242" i="4" s="1"/>
  <c r="BV116" i="4"/>
  <c r="BV117" i="4" s="1"/>
  <c r="BW115" i="4" s="1"/>
  <c r="BT194" i="4"/>
  <c r="BT195" i="4" s="1"/>
  <c r="BU193" i="4" s="1"/>
  <c r="AL204" i="4"/>
  <c r="AL205" i="4" s="1"/>
  <c r="AM100" i="4"/>
  <c r="AM101" i="4" s="1"/>
  <c r="AI51" i="4"/>
  <c r="AI52" i="4" s="1"/>
  <c r="AM139" i="4"/>
  <c r="AM140" i="4" s="1"/>
  <c r="AI30" i="4"/>
  <c r="AI31" i="4" s="1"/>
  <c r="AL126" i="4"/>
  <c r="AL127" i="4" s="1"/>
  <c r="AL87" i="4"/>
  <c r="AL88" i="4" s="1"/>
  <c r="AH251" i="4"/>
  <c r="S53" i="1"/>
  <c r="BV181" i="4" l="1"/>
  <c r="BV182" i="4" s="1"/>
  <c r="BW180" i="4" s="1"/>
  <c r="BX103" i="4"/>
  <c r="BX104" i="4" s="1"/>
  <c r="BY102" i="4" s="1"/>
  <c r="BW168" i="4"/>
  <c r="BW169" i="4" s="1"/>
  <c r="BX167" i="4" s="1"/>
  <c r="AM145" i="4"/>
  <c r="AM146" i="4" s="1"/>
  <c r="AN138" i="4"/>
  <c r="AM106" i="4"/>
  <c r="AM107" i="4" s="1"/>
  <c r="AN99" i="4"/>
  <c r="AL132" i="4"/>
  <c r="AL133" i="4" s="1"/>
  <c r="AM125" i="4"/>
  <c r="BW129" i="4"/>
  <c r="BW130" i="4" s="1"/>
  <c r="BX128" i="4" s="1"/>
  <c r="BW64" i="4"/>
  <c r="BW65" i="4" s="1"/>
  <c r="BX63" i="4" s="1"/>
  <c r="BX77" i="4"/>
  <c r="BX78" i="4" s="1"/>
  <c r="BY76" i="4" s="1"/>
  <c r="AM203" i="4"/>
  <c r="AL210" i="4"/>
  <c r="AL211" i="4" s="1"/>
  <c r="AI36" i="4"/>
  <c r="AI250" i="4" s="1"/>
  <c r="AJ29" i="4"/>
  <c r="AM247" i="4"/>
  <c r="AM248" i="4" s="1"/>
  <c r="AN240" i="4"/>
  <c r="AL184" i="4"/>
  <c r="AL185" i="4" s="1"/>
  <c r="AM177" i="4"/>
  <c r="BO17" i="4"/>
  <c r="BO18" i="4" s="1"/>
  <c r="BP16" i="4" s="1"/>
  <c r="BU194" i="4"/>
  <c r="BU195" i="4" s="1"/>
  <c r="BV193" i="4" s="1"/>
  <c r="BW90" i="4"/>
  <c r="BW91" i="4" s="1"/>
  <c r="BX89" i="4" s="1"/>
  <c r="AH249" i="4"/>
  <c r="AH37" i="4"/>
  <c r="AM165" i="4"/>
  <c r="AM166" i="4" s="1"/>
  <c r="AI33" i="4"/>
  <c r="AI34" i="4" s="1"/>
  <c r="BW155" i="4"/>
  <c r="BW156" i="4" s="1"/>
  <c r="BX154" i="4" s="1"/>
  <c r="AM191" i="4"/>
  <c r="AM192" i="4" s="1"/>
  <c r="AM74" i="4"/>
  <c r="AM75" i="4" s="1"/>
  <c r="AM61" i="4"/>
  <c r="AM62" i="4" s="1"/>
  <c r="AM113" i="4"/>
  <c r="AM114" i="4" s="1"/>
  <c r="BV207" i="4"/>
  <c r="BV208" i="4" s="1"/>
  <c r="BW206" i="4" s="1"/>
  <c r="AM152" i="4"/>
  <c r="AM153" i="4" s="1"/>
  <c r="AL93" i="4"/>
  <c r="AL94" i="4" s="1"/>
  <c r="AM86" i="4"/>
  <c r="AI53" i="4"/>
  <c r="AI55" i="4" s="1"/>
  <c r="AJ50" i="4"/>
  <c r="BW116" i="4"/>
  <c r="BW117" i="4" s="1"/>
  <c r="BX115" i="4" s="1"/>
  <c r="AL235" i="4"/>
  <c r="AL236" i="4" s="1"/>
  <c r="AM228" i="4"/>
  <c r="AN217" i="4"/>
  <c r="AN218" i="4" s="1"/>
  <c r="BU142" i="4"/>
  <c r="BU143" i="4" s="1"/>
  <c r="BV141" i="4" s="1"/>
  <c r="AJ48" i="4"/>
  <c r="AJ49" i="4" s="1"/>
  <c r="BW207" i="4" l="1"/>
  <c r="BW208" i="4" s="1"/>
  <c r="BX206" i="4" s="1"/>
  <c r="AJ32" i="4"/>
  <c r="AI35" i="4"/>
  <c r="BX116" i="4"/>
  <c r="BX117" i="4" s="1"/>
  <c r="BY115" i="4" s="1"/>
  <c r="BX168" i="4"/>
  <c r="BX169" i="4" s="1"/>
  <c r="BY167" i="4" s="1"/>
  <c r="AM158" i="4"/>
  <c r="AM159" i="4" s="1"/>
  <c r="AN151" i="4"/>
  <c r="AM171" i="4"/>
  <c r="AM172" i="4" s="1"/>
  <c r="AN164" i="4"/>
  <c r="AM67" i="4"/>
  <c r="AM68" i="4" s="1"/>
  <c r="AN60" i="4"/>
  <c r="AM80" i="4"/>
  <c r="AM81" i="4" s="1"/>
  <c r="AN73" i="4"/>
  <c r="BX129" i="4"/>
  <c r="BX130" i="4" s="1"/>
  <c r="BY128" i="4" s="1"/>
  <c r="BY103" i="4"/>
  <c r="BY104" i="4" s="1"/>
  <c r="BZ102" i="4" s="1"/>
  <c r="AN223" i="4"/>
  <c r="AN224" i="4" s="1"/>
  <c r="AO216" i="4"/>
  <c r="BP17" i="4"/>
  <c r="BP18" i="4" s="1"/>
  <c r="BQ16" i="4" s="1"/>
  <c r="BY77" i="4"/>
  <c r="BY78" i="4" s="1"/>
  <c r="BZ76" i="4" s="1"/>
  <c r="AK47" i="4"/>
  <c r="AJ54" i="4"/>
  <c r="BV142" i="4"/>
  <c r="BV143" i="4" s="1"/>
  <c r="BW141" i="4" s="1"/>
  <c r="BW181" i="4"/>
  <c r="BW182" i="4" s="1"/>
  <c r="BX180" i="4" s="1"/>
  <c r="AM119" i="4"/>
  <c r="AM120" i="4" s="1"/>
  <c r="AN112" i="4"/>
  <c r="AN241" i="4"/>
  <c r="AN242" i="4" s="1"/>
  <c r="AN139" i="4"/>
  <c r="AN140" i="4" s="1"/>
  <c r="BX64" i="4"/>
  <c r="BX65" i="4" s="1"/>
  <c r="BY63" i="4" s="1"/>
  <c r="AM87" i="4"/>
  <c r="AM88" i="4" s="1"/>
  <c r="AI251" i="4"/>
  <c r="S54" i="1"/>
  <c r="BV194" i="4"/>
  <c r="BV195" i="4" s="1"/>
  <c r="BW193" i="4" s="1"/>
  <c r="AM126" i="4"/>
  <c r="AM127" i="4" s="1"/>
  <c r="BX155" i="4"/>
  <c r="BX156" i="4" s="1"/>
  <c r="BY154" i="4" s="1"/>
  <c r="AM204" i="4"/>
  <c r="AM205" i="4" s="1"/>
  <c r="BX90" i="4"/>
  <c r="BX91" i="4" s="1"/>
  <c r="BY89" i="4" s="1"/>
  <c r="AJ30" i="4"/>
  <c r="AJ31" i="4" s="1"/>
  <c r="AM178" i="4"/>
  <c r="AM179" i="4" s="1"/>
  <c r="AN100" i="4"/>
  <c r="AN101" i="4" s="1"/>
  <c r="AM229" i="4"/>
  <c r="AM230" i="4" s="1"/>
  <c r="AJ51" i="4"/>
  <c r="AJ52" i="4" s="1"/>
  <c r="AM197" i="4"/>
  <c r="AM198" i="4" s="1"/>
  <c r="AN190" i="4"/>
  <c r="AH252" i="4"/>
  <c r="T53" i="1" s="1"/>
  <c r="U53" i="1" s="1"/>
  <c r="Q53" i="1"/>
  <c r="BW194" i="4" l="1"/>
  <c r="BW195" i="4" s="1"/>
  <c r="BX193" i="4" s="1"/>
  <c r="AN145" i="4"/>
  <c r="AN146" i="4" s="1"/>
  <c r="AO138" i="4"/>
  <c r="BZ77" i="4"/>
  <c r="BZ78" i="4" s="1"/>
  <c r="CA76" i="4" s="1"/>
  <c r="BY116" i="4"/>
  <c r="BY117" i="4" s="1"/>
  <c r="BZ115" i="4" s="1"/>
  <c r="AN247" i="4"/>
  <c r="AN248" i="4" s="1"/>
  <c r="AO240" i="4"/>
  <c r="AM132" i="4"/>
  <c r="AM133" i="4" s="1"/>
  <c r="AN125" i="4"/>
  <c r="AM184" i="4"/>
  <c r="AM185" i="4" s="1"/>
  <c r="AN177" i="4"/>
  <c r="AJ36" i="4"/>
  <c r="AJ250" i="4" s="1"/>
  <c r="AK29" i="4"/>
  <c r="AM235" i="4"/>
  <c r="AM236" i="4" s="1"/>
  <c r="AN228" i="4"/>
  <c r="AO99" i="4"/>
  <c r="AN106" i="4"/>
  <c r="AN107" i="4" s="1"/>
  <c r="BY90" i="4"/>
  <c r="BY91" i="4" s="1"/>
  <c r="BZ89" i="4" s="1"/>
  <c r="AM93" i="4"/>
  <c r="AM94" i="4" s="1"/>
  <c r="AN86" i="4"/>
  <c r="BW142" i="4"/>
  <c r="BW143" i="4" s="1"/>
  <c r="BX141" i="4" s="1"/>
  <c r="AK50" i="4"/>
  <c r="AJ53" i="4"/>
  <c r="AJ55" i="4" s="1"/>
  <c r="BY168" i="4"/>
  <c r="BY169" i="4" s="1"/>
  <c r="BZ167" i="4" s="1"/>
  <c r="AM210" i="4"/>
  <c r="AM211" i="4" s="1"/>
  <c r="AN203" i="4"/>
  <c r="BY64" i="4"/>
  <c r="BY65" i="4" s="1"/>
  <c r="BZ63" i="4" s="1"/>
  <c r="AN74" i="4"/>
  <c r="AN75" i="4" s="1"/>
  <c r="AN61" i="4"/>
  <c r="AN62" i="4" s="1"/>
  <c r="BQ17" i="4"/>
  <c r="B17" i="4" s="1"/>
  <c r="C17" i="4" s="1"/>
  <c r="BZ103" i="4"/>
  <c r="BZ104" i="4" s="1"/>
  <c r="CA102" i="4" s="1"/>
  <c r="AN165" i="4"/>
  <c r="AN166" i="4" s="1"/>
  <c r="AI249" i="4"/>
  <c r="AI37" i="4"/>
  <c r="AO217" i="4"/>
  <c r="AO218" i="4" s="1"/>
  <c r="AK48" i="4"/>
  <c r="AK49" i="4" s="1"/>
  <c r="AJ33" i="4"/>
  <c r="AJ34" i="4" s="1"/>
  <c r="AN191" i="4"/>
  <c r="AN192" i="4" s="1"/>
  <c r="BY155" i="4"/>
  <c r="BY156" i="4" s="1"/>
  <c r="BZ154" i="4" s="1"/>
  <c r="AN113" i="4"/>
  <c r="AN114" i="4" s="1"/>
  <c r="BY129" i="4"/>
  <c r="BY130" i="4" s="1"/>
  <c r="BZ128" i="4" s="1"/>
  <c r="AN152" i="4"/>
  <c r="AN153" i="4" s="1"/>
  <c r="BX207" i="4"/>
  <c r="BX208" i="4" s="1"/>
  <c r="BY206" i="4" s="1"/>
  <c r="BX181" i="4"/>
  <c r="BX182" i="4" s="1"/>
  <c r="BY180" i="4" s="1"/>
  <c r="BX194" i="4" l="1"/>
  <c r="BX195" i="4" s="1"/>
  <c r="BY193" i="4" s="1"/>
  <c r="AN80" i="4"/>
  <c r="AN81" i="4" s="1"/>
  <c r="AO73" i="4"/>
  <c r="AN158" i="4"/>
  <c r="AN159" i="4" s="1"/>
  <c r="AO151" i="4"/>
  <c r="BZ129" i="4"/>
  <c r="BZ130" i="4" s="1"/>
  <c r="CA128" i="4" s="1"/>
  <c r="AN119" i="4"/>
  <c r="AN120" i="4" s="1"/>
  <c r="AO112" i="4"/>
  <c r="CA77" i="4"/>
  <c r="CA78" i="4" s="1"/>
  <c r="CB76" i="4" s="1"/>
  <c r="BZ90" i="4"/>
  <c r="BZ91" i="4" s="1"/>
  <c r="CA89" i="4" s="1"/>
  <c r="AN67" i="4"/>
  <c r="AN68" i="4" s="1"/>
  <c r="AO60" i="4"/>
  <c r="AP216" i="4"/>
  <c r="AO223" i="4"/>
  <c r="AO224" i="4" s="1"/>
  <c r="AO164" i="4"/>
  <c r="AN171" i="4"/>
  <c r="AN172" i="4" s="1"/>
  <c r="AN197" i="4"/>
  <c r="AN198" i="4" s="1"/>
  <c r="AO190" i="4"/>
  <c r="AK32" i="4"/>
  <c r="AJ35" i="4"/>
  <c r="BZ168" i="4"/>
  <c r="BZ169" i="4" s="1"/>
  <c r="CA167" i="4" s="1"/>
  <c r="AJ251" i="4"/>
  <c r="S55" i="1"/>
  <c r="AK30" i="4"/>
  <c r="AK31" i="4" s="1"/>
  <c r="AN178" i="4"/>
  <c r="AN179" i="4" s="1"/>
  <c r="BZ155" i="4"/>
  <c r="BZ156" i="4" s="1"/>
  <c r="CA154" i="4" s="1"/>
  <c r="AN87" i="4"/>
  <c r="AN88" i="4" s="1"/>
  <c r="BQ18" i="4"/>
  <c r="BR16" i="4" s="1"/>
  <c r="AN126" i="4"/>
  <c r="AN127" i="4" s="1"/>
  <c r="AO139" i="4"/>
  <c r="AO140" i="4" s="1"/>
  <c r="BY181" i="4"/>
  <c r="BY182" i="4" s="1"/>
  <c r="BZ180" i="4" s="1"/>
  <c r="AK51" i="4"/>
  <c r="AK52" i="4" s="1"/>
  <c r="AO100" i="4"/>
  <c r="AO101" i="4" s="1"/>
  <c r="BY207" i="4"/>
  <c r="BY208" i="4" s="1"/>
  <c r="BZ206" i="4" s="1"/>
  <c r="AN204" i="4"/>
  <c r="AN205" i="4" s="1"/>
  <c r="AI252" i="4"/>
  <c r="T54" i="1" s="1"/>
  <c r="U54" i="1" s="1"/>
  <c r="Q54" i="1"/>
  <c r="AN229" i="4"/>
  <c r="AN230" i="4" s="1"/>
  <c r="AO241" i="4"/>
  <c r="AO242" i="4" s="1"/>
  <c r="BZ116" i="4"/>
  <c r="BZ117" i="4" s="1"/>
  <c r="CA115" i="4" s="1"/>
  <c r="AK54" i="4"/>
  <c r="AL47" i="4"/>
  <c r="CA103" i="4"/>
  <c r="CA104" i="4" s="1"/>
  <c r="CB102" i="4" s="1"/>
  <c r="BZ64" i="4"/>
  <c r="BZ65" i="4" s="1"/>
  <c r="CA63" i="4" s="1"/>
  <c r="BX142" i="4"/>
  <c r="BX143" i="4" s="1"/>
  <c r="BY141" i="4" s="1"/>
  <c r="CA129" i="4" l="1"/>
  <c r="CA130" i="4" s="1"/>
  <c r="CB128" i="4" s="1"/>
  <c r="AN132" i="4"/>
  <c r="AN133" i="4" s="1"/>
  <c r="AO125" i="4"/>
  <c r="CB103" i="4"/>
  <c r="CB104" i="4" s="1"/>
  <c r="CC102" i="4" s="1"/>
  <c r="AL50" i="4"/>
  <c r="AK53" i="4"/>
  <c r="AK55" i="4" s="1"/>
  <c r="CA64" i="4"/>
  <c r="CA65" i="4" s="1"/>
  <c r="CB63" i="4" s="1"/>
  <c r="AO203" i="4"/>
  <c r="AN210" i="4"/>
  <c r="AN211" i="4" s="1"/>
  <c r="BZ207" i="4"/>
  <c r="BZ208" i="4" s="1"/>
  <c r="CA206" i="4" s="1"/>
  <c r="CA155" i="4"/>
  <c r="CA156" i="4" s="1"/>
  <c r="CB154" i="4" s="1"/>
  <c r="CA90" i="4"/>
  <c r="CA91" i="4" s="1"/>
  <c r="CB89" i="4" s="1"/>
  <c r="AK36" i="4"/>
  <c r="AK250" i="4" s="1"/>
  <c r="AL29" i="4"/>
  <c r="BY142" i="4"/>
  <c r="BY143" i="4" s="1"/>
  <c r="BZ141" i="4" s="1"/>
  <c r="CA168" i="4"/>
  <c r="CA169" i="4" s="1"/>
  <c r="CB167" i="4" s="1"/>
  <c r="AN93" i="4"/>
  <c r="AN94" i="4" s="1"/>
  <c r="AO86" i="4"/>
  <c r="AP99" i="4"/>
  <c r="AO106" i="4"/>
  <c r="AO107" i="4" s="1"/>
  <c r="CA116" i="4"/>
  <c r="CA117" i="4" s="1"/>
  <c r="CB115" i="4" s="1"/>
  <c r="AO247" i="4"/>
  <c r="AO248" i="4" s="1"/>
  <c r="AP240" i="4"/>
  <c r="BZ181" i="4"/>
  <c r="BZ182" i="4" s="1"/>
  <c r="CA180" i="4" s="1"/>
  <c r="AN235" i="4"/>
  <c r="AN236" i="4" s="1"/>
  <c r="AO228" i="4"/>
  <c r="AO145" i="4"/>
  <c r="AO146" i="4" s="1"/>
  <c r="AP138" i="4"/>
  <c r="AJ249" i="4"/>
  <c r="AJ37" i="4"/>
  <c r="AO61" i="4"/>
  <c r="AO62" i="4" s="1"/>
  <c r="AO191" i="4"/>
  <c r="AO192" i="4" s="1"/>
  <c r="AO152" i="4"/>
  <c r="AO153" i="4" s="1"/>
  <c r="BR17" i="4"/>
  <c r="BR18" i="4" s="1"/>
  <c r="BS16" i="4" s="1"/>
  <c r="AN184" i="4"/>
  <c r="AN185" i="4" s="1"/>
  <c r="AO177" i="4"/>
  <c r="CB77" i="4"/>
  <c r="CB78" i="4" s="1"/>
  <c r="CC76" i="4" s="1"/>
  <c r="AO74" i="4"/>
  <c r="AO75" i="4" s="1"/>
  <c r="AK33" i="4"/>
  <c r="AK34" i="4" s="1"/>
  <c r="AL48" i="4"/>
  <c r="AL49" i="4" s="1"/>
  <c r="AO165" i="4"/>
  <c r="AO166" i="4" s="1"/>
  <c r="AO113" i="4"/>
  <c r="AO114" i="4" s="1"/>
  <c r="AP217" i="4"/>
  <c r="AP218" i="4" s="1"/>
  <c r="BY194" i="4"/>
  <c r="BY195" i="4" s="1"/>
  <c r="BZ193" i="4" s="1"/>
  <c r="AL32" i="4" l="1"/>
  <c r="AK35" i="4"/>
  <c r="AO67" i="4"/>
  <c r="AO68" i="4" s="1"/>
  <c r="AP60" i="4"/>
  <c r="CB168" i="4"/>
  <c r="CB169" i="4" s="1"/>
  <c r="CC167" i="4" s="1"/>
  <c r="CB64" i="4"/>
  <c r="CB65" i="4" s="1"/>
  <c r="CC63" i="4" s="1"/>
  <c r="CC103" i="4"/>
  <c r="CC104" i="4" s="1"/>
  <c r="CD102" i="4" s="1"/>
  <c r="CB129" i="4"/>
  <c r="CB130" i="4" s="1"/>
  <c r="CC128" i="4" s="1"/>
  <c r="BZ194" i="4"/>
  <c r="BZ195" i="4" s="1"/>
  <c r="CA193" i="4" s="1"/>
  <c r="BZ142" i="4"/>
  <c r="BZ143" i="4" s="1"/>
  <c r="CA141" i="4" s="1"/>
  <c r="BS17" i="4"/>
  <c r="BS18" i="4" s="1"/>
  <c r="BT16" i="4" s="1"/>
  <c r="AP164" i="4"/>
  <c r="AO171" i="4"/>
  <c r="AO172" i="4" s="1"/>
  <c r="CB155" i="4"/>
  <c r="CB156" i="4" s="1"/>
  <c r="CC154" i="4" s="1"/>
  <c r="AO80" i="4"/>
  <c r="AO81" i="4" s="1"/>
  <c r="AP73" i="4"/>
  <c r="CC77" i="4"/>
  <c r="CC78" i="4" s="1"/>
  <c r="CD76" i="4" s="1"/>
  <c r="AO119" i="4"/>
  <c r="AO120" i="4" s="1"/>
  <c r="AP112" i="4"/>
  <c r="CB90" i="4"/>
  <c r="CB91" i="4" s="1"/>
  <c r="CC89" i="4" s="1"/>
  <c r="AP151" i="4"/>
  <c r="AO158" i="4"/>
  <c r="AO159" i="4" s="1"/>
  <c r="AL54" i="4"/>
  <c r="AM47" i="4"/>
  <c r="AO197" i="4"/>
  <c r="AO198" i="4" s="1"/>
  <c r="AP190" i="4"/>
  <c r="CA207" i="4"/>
  <c r="CA208" i="4" s="1"/>
  <c r="CB206" i="4" s="1"/>
  <c r="AP139" i="4"/>
  <c r="AP140" i="4" s="1"/>
  <c r="AP223" i="4"/>
  <c r="AP224" i="4" s="1"/>
  <c r="AQ216" i="4"/>
  <c r="AP241" i="4"/>
  <c r="AP242" i="4" s="1"/>
  <c r="AL30" i="4"/>
  <c r="AL31" i="4" s="1"/>
  <c r="AO126" i="4"/>
  <c r="AO127" i="4" s="1"/>
  <c r="AJ252" i="4"/>
  <c r="T55" i="1" s="1"/>
  <c r="U55" i="1" s="1"/>
  <c r="Q55" i="1"/>
  <c r="AK251" i="4"/>
  <c r="S56" i="1"/>
  <c r="AO204" i="4"/>
  <c r="AO205" i="4" s="1"/>
  <c r="AO229" i="4"/>
  <c r="AO230" i="4" s="1"/>
  <c r="AO178" i="4"/>
  <c r="AO179" i="4" s="1"/>
  <c r="CA181" i="4"/>
  <c r="CA182" i="4" s="1"/>
  <c r="CB180" i="4" s="1"/>
  <c r="AO87" i="4"/>
  <c r="AO88" i="4" s="1"/>
  <c r="AL51" i="4"/>
  <c r="AL52" i="4" s="1"/>
  <c r="CB116" i="4"/>
  <c r="CB117" i="4" s="1"/>
  <c r="CC115" i="4" s="1"/>
  <c r="AP100" i="4"/>
  <c r="AP101" i="4" s="1"/>
  <c r="CB207" i="4" l="1"/>
  <c r="CB208" i="4" s="1"/>
  <c r="CC206" i="4" s="1"/>
  <c r="AO210" i="4"/>
  <c r="AO211" i="4" s="1"/>
  <c r="AP203" i="4"/>
  <c r="CC129" i="4"/>
  <c r="CC130" i="4" s="1"/>
  <c r="CD128" i="4" s="1"/>
  <c r="AM50" i="4"/>
  <c r="AL53" i="4"/>
  <c r="AL55" i="4" s="1"/>
  <c r="CC64" i="4"/>
  <c r="CC65" i="4" s="1"/>
  <c r="CD63" i="4" s="1"/>
  <c r="AL36" i="4"/>
  <c r="AL250" i="4" s="1"/>
  <c r="AM29" i="4"/>
  <c r="AP247" i="4"/>
  <c r="AP248" i="4" s="1"/>
  <c r="AQ240" i="4"/>
  <c r="CC168" i="4"/>
  <c r="CC169" i="4" s="1"/>
  <c r="CD167" i="4" s="1"/>
  <c r="AQ99" i="4"/>
  <c r="AP106" i="4"/>
  <c r="AP107" i="4" s="1"/>
  <c r="CC90" i="4"/>
  <c r="CC91" i="4" s="1"/>
  <c r="CD89" i="4" s="1"/>
  <c r="AP74" i="4"/>
  <c r="AP75" i="4" s="1"/>
  <c r="AO235" i="4"/>
  <c r="AO236" i="4" s="1"/>
  <c r="AP228" i="4"/>
  <c r="AP152" i="4"/>
  <c r="AP153" i="4" s="1"/>
  <c r="CA142" i="4"/>
  <c r="CA143" i="4" s="1"/>
  <c r="CB141" i="4" s="1"/>
  <c r="AO93" i="4"/>
  <c r="AO94" i="4" s="1"/>
  <c r="AP86" i="4"/>
  <c r="CC155" i="4"/>
  <c r="CC156" i="4" s="1"/>
  <c r="CD154" i="4" s="1"/>
  <c r="CA194" i="4"/>
  <c r="CA195" i="4" s="1"/>
  <c r="CB193" i="4" s="1"/>
  <c r="AO184" i="4"/>
  <c r="AO185" i="4" s="1"/>
  <c r="AP177" i="4"/>
  <c r="AP145" i="4"/>
  <c r="AP146" i="4" s="1"/>
  <c r="AQ138" i="4"/>
  <c r="AP191" i="4"/>
  <c r="AP192" i="4" s="1"/>
  <c r="AP113" i="4"/>
  <c r="AP114" i="4" s="1"/>
  <c r="AP61" i="4"/>
  <c r="AP62" i="4" s="1"/>
  <c r="CB181" i="4"/>
  <c r="CB182" i="4" s="1"/>
  <c r="CC180" i="4" s="1"/>
  <c r="AP165" i="4"/>
  <c r="AP166" i="4" s="1"/>
  <c r="CC116" i="4"/>
  <c r="CC117" i="4" s="1"/>
  <c r="CD115" i="4" s="1"/>
  <c r="AO132" i="4"/>
  <c r="AO133" i="4" s="1"/>
  <c r="AP125" i="4"/>
  <c r="AQ217" i="4"/>
  <c r="AQ218" i="4" s="1"/>
  <c r="AM48" i="4"/>
  <c r="AM49" i="4" s="1"/>
  <c r="AK249" i="4"/>
  <c r="AK37" i="4"/>
  <c r="CD77" i="4"/>
  <c r="CD78" i="4" s="1"/>
  <c r="CE76" i="4" s="1"/>
  <c r="BT17" i="4"/>
  <c r="BT18" i="4" s="1"/>
  <c r="BU16" i="4" s="1"/>
  <c r="CD103" i="4"/>
  <c r="CD104" i="4" s="1"/>
  <c r="CE102" i="4" s="1"/>
  <c r="AL33" i="4"/>
  <c r="AL34" i="4" s="1"/>
  <c r="CB142" i="4" l="1"/>
  <c r="CB143" i="4" s="1"/>
  <c r="CC141" i="4" s="1"/>
  <c r="CC181" i="4"/>
  <c r="CC182" i="4" s="1"/>
  <c r="CD180" i="4" s="1"/>
  <c r="CB194" i="4"/>
  <c r="CB195" i="4" s="1"/>
  <c r="CC193" i="4" s="1"/>
  <c r="AM54" i="4"/>
  <c r="AN47" i="4"/>
  <c r="AR216" i="4"/>
  <c r="AQ223" i="4"/>
  <c r="AQ224" i="4" s="1"/>
  <c r="AL35" i="4"/>
  <c r="AM32" i="4"/>
  <c r="AQ73" i="4"/>
  <c r="AP80" i="4"/>
  <c r="AP81" i="4" s="1"/>
  <c r="CD116" i="4"/>
  <c r="CD117" i="4" s="1"/>
  <c r="CE115" i="4" s="1"/>
  <c r="CD90" i="4"/>
  <c r="CD91" i="4" s="1"/>
  <c r="CE89" i="4" s="1"/>
  <c r="AP67" i="4"/>
  <c r="AP68" i="4" s="1"/>
  <c r="AQ60" i="4"/>
  <c r="CD129" i="4"/>
  <c r="CD130" i="4" s="1"/>
  <c r="CE128" i="4" s="1"/>
  <c r="CE103" i="4"/>
  <c r="CE104" i="4" s="1"/>
  <c r="CF102" i="4" s="1"/>
  <c r="BU17" i="4"/>
  <c r="BU18" i="4" s="1"/>
  <c r="BV16" i="4" s="1"/>
  <c r="CE77" i="4"/>
  <c r="CE78" i="4" s="1"/>
  <c r="CF76" i="4" s="1"/>
  <c r="AP229" i="4"/>
  <c r="AP230" i="4" s="1"/>
  <c r="CD155" i="4"/>
  <c r="CD156" i="4" s="1"/>
  <c r="CE154" i="4" s="1"/>
  <c r="CD168" i="4"/>
  <c r="CD169" i="4" s="1"/>
  <c r="CE167" i="4" s="1"/>
  <c r="AM51" i="4"/>
  <c r="AM52" i="4" s="1"/>
  <c r="AQ139" i="4"/>
  <c r="AQ140" i="4" s="1"/>
  <c r="AP87" i="4"/>
  <c r="AP88" i="4" s="1"/>
  <c r="AQ241" i="4"/>
  <c r="AQ242" i="4" s="1"/>
  <c r="AQ190" i="4"/>
  <c r="AP197" i="4"/>
  <c r="AP198" i="4" s="1"/>
  <c r="AP126" i="4"/>
  <c r="AP127" i="4" s="1"/>
  <c r="AP178" i="4"/>
  <c r="AP179" i="4" s="1"/>
  <c r="AM30" i="4"/>
  <c r="AM31" i="4" s="1"/>
  <c r="AP204" i="4"/>
  <c r="AP205" i="4" s="1"/>
  <c r="AL251" i="4"/>
  <c r="S57" i="1"/>
  <c r="AP171" i="4"/>
  <c r="AP172" i="4" s="1"/>
  <c r="AQ164" i="4"/>
  <c r="AK252" i="4"/>
  <c r="T56" i="1" s="1"/>
  <c r="U56" i="1" s="1"/>
  <c r="Q56" i="1"/>
  <c r="AP119" i="4"/>
  <c r="AP120" i="4" s="1"/>
  <c r="AQ112" i="4"/>
  <c r="AP158" i="4"/>
  <c r="AP159" i="4" s="1"/>
  <c r="AQ151" i="4"/>
  <c r="AQ100" i="4"/>
  <c r="AQ101" i="4" s="1"/>
  <c r="CD64" i="4"/>
  <c r="CD65" i="4" s="1"/>
  <c r="CE63" i="4" s="1"/>
  <c r="CC207" i="4"/>
  <c r="CC208" i="4" s="1"/>
  <c r="CD206" i="4" s="1"/>
  <c r="AQ106" i="4" l="1"/>
  <c r="AQ107" i="4" s="1"/>
  <c r="AR99" i="4"/>
  <c r="AP132" i="4"/>
  <c r="AP133" i="4" s="1"/>
  <c r="AQ125" i="4"/>
  <c r="AP93" i="4"/>
  <c r="AP94" i="4" s="1"/>
  <c r="AQ86" i="4"/>
  <c r="CC194" i="4"/>
  <c r="CC195" i="4" s="1"/>
  <c r="CD193" i="4" s="1"/>
  <c r="AP184" i="4"/>
  <c r="AP185" i="4" s="1"/>
  <c r="AQ177" i="4"/>
  <c r="AQ247" i="4"/>
  <c r="AQ248" i="4" s="1"/>
  <c r="AR240" i="4"/>
  <c r="CE116" i="4"/>
  <c r="CE117" i="4" s="1"/>
  <c r="CF115" i="4" s="1"/>
  <c r="BV17" i="4"/>
  <c r="BV18" i="4" s="1"/>
  <c r="BW16" i="4" s="1"/>
  <c r="AP210" i="4"/>
  <c r="AP211" i="4" s="1"/>
  <c r="AQ203" i="4"/>
  <c r="AQ145" i="4"/>
  <c r="AQ146" i="4" s="1"/>
  <c r="AR138" i="4"/>
  <c r="CF103" i="4"/>
  <c r="CF104" i="4" s="1"/>
  <c r="CG102" i="4" s="1"/>
  <c r="CD181" i="4"/>
  <c r="CD182" i="4" s="1"/>
  <c r="CE180" i="4" s="1"/>
  <c r="CE168" i="4"/>
  <c r="CE169" i="4" s="1"/>
  <c r="CF167" i="4" s="1"/>
  <c r="AP235" i="4"/>
  <c r="AP236" i="4" s="1"/>
  <c r="AQ228" i="4"/>
  <c r="CF77" i="4"/>
  <c r="CF78" i="4" s="1"/>
  <c r="CG76" i="4" s="1"/>
  <c r="AN29" i="4"/>
  <c r="AM36" i="4"/>
  <c r="AM250" i="4" s="1"/>
  <c r="AN50" i="4"/>
  <c r="AM53" i="4"/>
  <c r="AM55" i="4" s="1"/>
  <c r="CE129" i="4"/>
  <c r="CE130" i="4" s="1"/>
  <c r="CF128" i="4" s="1"/>
  <c r="CC142" i="4"/>
  <c r="CC143" i="4" s="1"/>
  <c r="CD141" i="4" s="1"/>
  <c r="AN48" i="4"/>
  <c r="AN49" i="4" s="1"/>
  <c r="AQ74" i="4"/>
  <c r="AQ75" i="4" s="1"/>
  <c r="AQ165" i="4"/>
  <c r="AQ166" i="4" s="1"/>
  <c r="AQ61" i="4"/>
  <c r="AQ62" i="4" s="1"/>
  <c r="AM33" i="4"/>
  <c r="AM34" i="4" s="1"/>
  <c r="CE155" i="4"/>
  <c r="CE156" i="4" s="1"/>
  <c r="CF154" i="4" s="1"/>
  <c r="AQ152" i="4"/>
  <c r="AQ153" i="4" s="1"/>
  <c r="CD207" i="4"/>
  <c r="CD208" i="4" s="1"/>
  <c r="CE206" i="4" s="1"/>
  <c r="AQ113" i="4"/>
  <c r="AQ114" i="4" s="1"/>
  <c r="AQ191" i="4"/>
  <c r="AQ192" i="4" s="1"/>
  <c r="AL249" i="4"/>
  <c r="AL37" i="4"/>
  <c r="CE64" i="4"/>
  <c r="CE65" i="4" s="1"/>
  <c r="CF63" i="4" s="1"/>
  <c r="CE90" i="4"/>
  <c r="CE91" i="4" s="1"/>
  <c r="CF89" i="4" s="1"/>
  <c r="AR217" i="4"/>
  <c r="AR218" i="4" s="1"/>
  <c r="AR151" i="4" l="1"/>
  <c r="AQ158" i="4"/>
  <c r="AQ159" i="4" s="1"/>
  <c r="AQ119" i="4"/>
  <c r="AQ120" i="4" s="1"/>
  <c r="AR112" i="4"/>
  <c r="AR223" i="4"/>
  <c r="AR224" i="4" s="1"/>
  <c r="AS216" i="4"/>
  <c r="BW17" i="4"/>
  <c r="BW18" i="4" s="1"/>
  <c r="BX16" i="4" s="1"/>
  <c r="AN54" i="4"/>
  <c r="AO47" i="4"/>
  <c r="CD194" i="4"/>
  <c r="CD195" i="4" s="1"/>
  <c r="CE193" i="4" s="1"/>
  <c r="CF155" i="4"/>
  <c r="CF156" i="4" s="1"/>
  <c r="CG154" i="4" s="1"/>
  <c r="CF168" i="4"/>
  <c r="CF169" i="4" s="1"/>
  <c r="CG167" i="4" s="1"/>
  <c r="AM35" i="4"/>
  <c r="AN32" i="4"/>
  <c r="CF116" i="4"/>
  <c r="CF117" i="4" s="1"/>
  <c r="CG115" i="4" s="1"/>
  <c r="AR164" i="4"/>
  <c r="AQ171" i="4"/>
  <c r="AQ172" i="4" s="1"/>
  <c r="CG103" i="4"/>
  <c r="CG104" i="4" s="1"/>
  <c r="CH102" i="4" s="1"/>
  <c r="CG77" i="4"/>
  <c r="CG78" i="4" s="1"/>
  <c r="CH76" i="4" s="1"/>
  <c r="CE207" i="4"/>
  <c r="CE208" i="4" s="1"/>
  <c r="CF206" i="4" s="1"/>
  <c r="CF90" i="4"/>
  <c r="CF91" i="4" s="1"/>
  <c r="CG89" i="4" s="1"/>
  <c r="CF129" i="4"/>
  <c r="CF130" i="4" s="1"/>
  <c r="CG128" i="4" s="1"/>
  <c r="CF64" i="4"/>
  <c r="CF65" i="4" s="1"/>
  <c r="CG63" i="4" s="1"/>
  <c r="AQ67" i="4"/>
  <c r="AQ68" i="4" s="1"/>
  <c r="AR60" i="4"/>
  <c r="AQ197" i="4"/>
  <c r="AQ198" i="4" s="1"/>
  <c r="AR190" i="4"/>
  <c r="AR73" i="4"/>
  <c r="AQ80" i="4"/>
  <c r="AQ81" i="4" s="1"/>
  <c r="CE181" i="4"/>
  <c r="CE182" i="4" s="1"/>
  <c r="CF180" i="4" s="1"/>
  <c r="AQ87" i="4"/>
  <c r="AQ88" i="4" s="1"/>
  <c r="CD142" i="4"/>
  <c r="CD143" i="4" s="1"/>
  <c r="CE141" i="4" s="1"/>
  <c r="AQ229" i="4"/>
  <c r="AQ230" i="4" s="1"/>
  <c r="AR139" i="4"/>
  <c r="AR140" i="4" s="1"/>
  <c r="AR241" i="4"/>
  <c r="AR242" i="4" s="1"/>
  <c r="AQ126" i="4"/>
  <c r="AQ127" i="4" s="1"/>
  <c r="AM251" i="4"/>
  <c r="S58" i="1"/>
  <c r="AN30" i="4"/>
  <c r="AN31" i="4" s="1"/>
  <c r="AL252" i="4"/>
  <c r="T57" i="1" s="1"/>
  <c r="U57" i="1" s="1"/>
  <c r="Q57" i="1"/>
  <c r="AQ204" i="4"/>
  <c r="AQ205" i="4" s="1"/>
  <c r="AQ178" i="4"/>
  <c r="AQ179" i="4" s="1"/>
  <c r="AR100" i="4"/>
  <c r="AR101" i="4" s="1"/>
  <c r="AN51" i="4"/>
  <c r="AN52" i="4" s="1"/>
  <c r="AQ235" i="4" l="1"/>
  <c r="AQ236" i="4" s="1"/>
  <c r="AR228" i="4"/>
  <c r="AO29" i="4"/>
  <c r="AN36" i="4"/>
  <c r="AN250" i="4" s="1"/>
  <c r="AS138" i="4"/>
  <c r="AR145" i="4"/>
  <c r="AR146" i="4" s="1"/>
  <c r="CE142" i="4"/>
  <c r="CE143" i="4" s="1"/>
  <c r="CF141" i="4" s="1"/>
  <c r="AR86" i="4"/>
  <c r="AQ93" i="4"/>
  <c r="AQ94" i="4" s="1"/>
  <c r="CF181" i="4"/>
  <c r="CF182" i="4" s="1"/>
  <c r="CG180" i="4" s="1"/>
  <c r="AR106" i="4"/>
  <c r="AR107" i="4" s="1"/>
  <c r="AS99" i="4"/>
  <c r="CE194" i="4"/>
  <c r="CE195" i="4" s="1"/>
  <c r="CF193" i="4" s="1"/>
  <c r="AQ210" i="4"/>
  <c r="AQ211" i="4" s="1"/>
  <c r="AR203" i="4"/>
  <c r="BX17" i="4"/>
  <c r="BX18" i="4" s="1"/>
  <c r="BY16" i="4" s="1"/>
  <c r="CH77" i="4"/>
  <c r="CH78" i="4" s="1"/>
  <c r="CI76" i="4" s="1"/>
  <c r="AO50" i="4"/>
  <c r="AN53" i="4"/>
  <c r="AN55" i="4" s="1"/>
  <c r="AQ132" i="4"/>
  <c r="AQ133" i="4" s="1"/>
  <c r="AR125" i="4"/>
  <c r="AQ184" i="4"/>
  <c r="AQ185" i="4" s="1"/>
  <c r="AR177" i="4"/>
  <c r="AR247" i="4"/>
  <c r="AR248" i="4" s="1"/>
  <c r="AS240" i="4"/>
  <c r="CG90" i="4"/>
  <c r="CG91" i="4" s="1"/>
  <c r="CH89" i="4" s="1"/>
  <c r="CG116" i="4"/>
  <c r="CG117" i="4" s="1"/>
  <c r="CH115" i="4" s="1"/>
  <c r="CH103" i="4"/>
  <c r="CH104" i="4" s="1"/>
  <c r="CI102" i="4" s="1"/>
  <c r="CG168" i="4"/>
  <c r="CG169" i="4" s="1"/>
  <c r="CH167" i="4" s="1"/>
  <c r="CG155" i="4"/>
  <c r="CG156" i="4" s="1"/>
  <c r="CH154" i="4" s="1"/>
  <c r="AS217" i="4"/>
  <c r="AS218" i="4" s="1"/>
  <c r="AR165" i="4"/>
  <c r="AR166" i="4" s="1"/>
  <c r="AR191" i="4"/>
  <c r="AR192" i="4" s="1"/>
  <c r="CF207" i="4"/>
  <c r="CF208" i="4" s="1"/>
  <c r="CG206" i="4" s="1"/>
  <c r="AR113" i="4"/>
  <c r="AR114" i="4" s="1"/>
  <c r="AR74" i="4"/>
  <c r="AR75" i="4" s="1"/>
  <c r="CG64" i="4"/>
  <c r="CG65" i="4" s="1"/>
  <c r="CH63" i="4" s="1"/>
  <c r="AN33" i="4"/>
  <c r="AN34" i="4" s="1"/>
  <c r="AO48" i="4"/>
  <c r="AO49" i="4" s="1"/>
  <c r="CG129" i="4"/>
  <c r="CG130" i="4" s="1"/>
  <c r="CH128" i="4" s="1"/>
  <c r="AR61" i="4"/>
  <c r="AR62" i="4" s="1"/>
  <c r="AM249" i="4"/>
  <c r="AM37" i="4"/>
  <c r="AR152" i="4"/>
  <c r="AR153" i="4" s="1"/>
  <c r="CF194" i="4" l="1"/>
  <c r="CF195" i="4" s="1"/>
  <c r="CG193" i="4" s="1"/>
  <c r="AR158" i="4"/>
  <c r="AR159" i="4" s="1"/>
  <c r="AS151" i="4"/>
  <c r="AS73" i="4"/>
  <c r="AR80" i="4"/>
  <c r="AR81" i="4" s="1"/>
  <c r="CG207" i="4"/>
  <c r="CG208" i="4" s="1"/>
  <c r="CH206" i="4" s="1"/>
  <c r="CH168" i="4"/>
  <c r="CH169" i="4" s="1"/>
  <c r="CI167" i="4" s="1"/>
  <c r="AR67" i="4"/>
  <c r="AR68" i="4" s="1"/>
  <c r="AS60" i="4"/>
  <c r="CH129" i="4"/>
  <c r="CH130" i="4" s="1"/>
  <c r="CI128" i="4" s="1"/>
  <c r="CH90" i="4"/>
  <c r="CH91" i="4" s="1"/>
  <c r="CI89" i="4" s="1"/>
  <c r="AO54" i="4"/>
  <c r="AP47" i="4"/>
  <c r="AT216" i="4"/>
  <c r="AS223" i="4"/>
  <c r="AS224" i="4" s="1"/>
  <c r="BY17" i="4"/>
  <c r="BY18" i="4" s="1"/>
  <c r="BZ16" i="4" s="1"/>
  <c r="CH64" i="4"/>
  <c r="CH65" i="4" s="1"/>
  <c r="CI63" i="4" s="1"/>
  <c r="CI103" i="4"/>
  <c r="CI104" i="4" s="1"/>
  <c r="CJ102" i="4" s="1"/>
  <c r="AS112" i="4"/>
  <c r="AR119" i="4"/>
  <c r="AR120" i="4" s="1"/>
  <c r="AR197" i="4"/>
  <c r="AR198" i="4" s="1"/>
  <c r="AS190" i="4"/>
  <c r="AR171" i="4"/>
  <c r="AR172" i="4" s="1"/>
  <c r="AS164" i="4"/>
  <c r="CI77" i="4"/>
  <c r="CI78" i="4" s="1"/>
  <c r="CJ76" i="4" s="1"/>
  <c r="CH155" i="4"/>
  <c r="CH156" i="4" s="1"/>
  <c r="CI154" i="4" s="1"/>
  <c r="CF142" i="4"/>
  <c r="CF143" i="4" s="1"/>
  <c r="CG141" i="4" s="1"/>
  <c r="AS139" i="4"/>
  <c r="AS140" i="4" s="1"/>
  <c r="AN251" i="4"/>
  <c r="S59" i="1"/>
  <c r="AM252" i="4"/>
  <c r="T58" i="1" s="1"/>
  <c r="U58" i="1" s="1"/>
  <c r="Q58" i="1"/>
  <c r="AO51" i="4"/>
  <c r="AO52" i="4" s="1"/>
  <c r="AO30" i="4"/>
  <c r="AO31" i="4" s="1"/>
  <c r="CH116" i="4"/>
  <c r="CH117" i="4" s="1"/>
  <c r="CI115" i="4" s="1"/>
  <c r="AR126" i="4"/>
  <c r="AR127" i="4" s="1"/>
  <c r="AR204" i="4"/>
  <c r="AR205" i="4" s="1"/>
  <c r="AR229" i="4"/>
  <c r="AR230" i="4" s="1"/>
  <c r="AN35" i="4"/>
  <c r="AO32" i="4"/>
  <c r="AS241" i="4"/>
  <c r="AS242" i="4" s="1"/>
  <c r="AS100" i="4"/>
  <c r="AS101" i="4" s="1"/>
  <c r="AR178" i="4"/>
  <c r="AR179" i="4" s="1"/>
  <c r="CG181" i="4"/>
  <c r="CG182" i="4" s="1"/>
  <c r="CH180" i="4" s="1"/>
  <c r="AR87" i="4"/>
  <c r="AR88" i="4" s="1"/>
  <c r="AO53" i="4" l="1"/>
  <c r="AO55" i="4" s="1"/>
  <c r="AP50" i="4"/>
  <c r="AS247" i="4"/>
  <c r="AS248" i="4" s="1"/>
  <c r="AT240" i="4"/>
  <c r="BZ17" i="4"/>
  <c r="BZ18" i="4" s="1"/>
  <c r="CA16" i="4" s="1"/>
  <c r="AP29" i="4"/>
  <c r="AO36" i="4"/>
  <c r="AO250" i="4" s="1"/>
  <c r="CI90" i="4"/>
  <c r="CI91" i="4" s="1"/>
  <c r="CJ89" i="4" s="1"/>
  <c r="AR235" i="4"/>
  <c r="AR236" i="4" s="1"/>
  <c r="AS228" i="4"/>
  <c r="AS203" i="4"/>
  <c r="AR210" i="4"/>
  <c r="AR211" i="4" s="1"/>
  <c r="CH181" i="4"/>
  <c r="CH182" i="4" s="1"/>
  <c r="CI180" i="4" s="1"/>
  <c r="AR132" i="4"/>
  <c r="AR133" i="4" s="1"/>
  <c r="AS125" i="4"/>
  <c r="AS145" i="4"/>
  <c r="AS146" i="4" s="1"/>
  <c r="AT138" i="4"/>
  <c r="AS106" i="4"/>
  <c r="AS107" i="4" s="1"/>
  <c r="AT99" i="4"/>
  <c r="CJ103" i="4"/>
  <c r="CJ104" i="4" s="1"/>
  <c r="CK102" i="4" s="1"/>
  <c r="AR93" i="4"/>
  <c r="AR94" i="4" s="1"/>
  <c r="AS86" i="4"/>
  <c r="AR184" i="4"/>
  <c r="AR185" i="4" s="1"/>
  <c r="AS177" i="4"/>
  <c r="CI116" i="4"/>
  <c r="CI117" i="4" s="1"/>
  <c r="CJ115" i="4" s="1"/>
  <c r="CG142" i="4"/>
  <c r="CG143" i="4" s="1"/>
  <c r="CH141" i="4" s="1"/>
  <c r="CG194" i="4"/>
  <c r="CG195" i="4" s="1"/>
  <c r="CH193" i="4" s="1"/>
  <c r="AS165" i="4"/>
  <c r="AS166" i="4" s="1"/>
  <c r="CI64" i="4"/>
  <c r="CI65" i="4" s="1"/>
  <c r="CJ63" i="4" s="1"/>
  <c r="AS74" i="4"/>
  <c r="AS75" i="4" s="1"/>
  <c r="CI155" i="4"/>
  <c r="CI156" i="4" s="1"/>
  <c r="CJ154" i="4" s="1"/>
  <c r="AS61" i="4"/>
  <c r="AS62" i="4" s="1"/>
  <c r="AS152" i="4"/>
  <c r="AS153" i="4" s="1"/>
  <c r="CH207" i="4"/>
  <c r="CH208" i="4" s="1"/>
  <c r="CI206" i="4" s="1"/>
  <c r="CI129" i="4"/>
  <c r="CI130" i="4" s="1"/>
  <c r="CJ128" i="4" s="1"/>
  <c r="AS113" i="4"/>
  <c r="AS114" i="4" s="1"/>
  <c r="AT217" i="4"/>
  <c r="AT218" i="4" s="1"/>
  <c r="AO33" i="4"/>
  <c r="AO34" i="4" s="1"/>
  <c r="CJ77" i="4"/>
  <c r="CJ78" i="4" s="1"/>
  <c r="CK76" i="4" s="1"/>
  <c r="AP48" i="4"/>
  <c r="AP49" i="4" s="1"/>
  <c r="CI168" i="4"/>
  <c r="CI169" i="4" s="1"/>
  <c r="CJ167" i="4" s="1"/>
  <c r="AS191" i="4"/>
  <c r="AS192" i="4" s="1"/>
  <c r="AN249" i="4"/>
  <c r="AN37" i="4"/>
  <c r="CJ90" i="4" l="1"/>
  <c r="CJ91" i="4" s="1"/>
  <c r="CK89" i="4" s="1"/>
  <c r="AS197" i="4"/>
  <c r="AS198" i="4" s="1"/>
  <c r="AT190" i="4"/>
  <c r="CJ168" i="4"/>
  <c r="CJ169" i="4" s="1"/>
  <c r="CK167" i="4" s="1"/>
  <c r="AS158" i="4"/>
  <c r="AS159" i="4" s="1"/>
  <c r="AT151" i="4"/>
  <c r="CJ64" i="4"/>
  <c r="CJ65" i="4" s="1"/>
  <c r="CK63" i="4" s="1"/>
  <c r="AQ47" i="4"/>
  <c r="AP54" i="4"/>
  <c r="CA17" i="4"/>
  <c r="CA18" i="4" s="1"/>
  <c r="CB16" i="4" s="1"/>
  <c r="AT60" i="4"/>
  <c r="AS67" i="4"/>
  <c r="AS68" i="4" s="1"/>
  <c r="AP32" i="4"/>
  <c r="AO35" i="4"/>
  <c r="AT223" i="4"/>
  <c r="AT224" i="4" s="1"/>
  <c r="AU216" i="4"/>
  <c r="AT164" i="4"/>
  <c r="AS171" i="4"/>
  <c r="AS172" i="4" s="1"/>
  <c r="CI207" i="4"/>
  <c r="CI208" i="4" s="1"/>
  <c r="CJ206" i="4" s="1"/>
  <c r="CK103" i="4"/>
  <c r="CK104" i="4" s="1"/>
  <c r="CL102" i="4" s="1"/>
  <c r="CH142" i="4"/>
  <c r="CH143" i="4" s="1"/>
  <c r="CI141" i="4" s="1"/>
  <c r="AS119" i="4"/>
  <c r="AS120" i="4" s="1"/>
  <c r="AT112" i="4"/>
  <c r="AS80" i="4"/>
  <c r="AS81" i="4" s="1"/>
  <c r="AT73" i="4"/>
  <c r="AO251" i="4"/>
  <c r="S60" i="1"/>
  <c r="AP30" i="4"/>
  <c r="AP31" i="4" s="1"/>
  <c r="AS204" i="4"/>
  <c r="AS205" i="4" s="1"/>
  <c r="AT100" i="4"/>
  <c r="AT101" i="4" s="1"/>
  <c r="AS178" i="4"/>
  <c r="AS179" i="4" s="1"/>
  <c r="AT139" i="4"/>
  <c r="AT140" i="4" s="1"/>
  <c r="AS229" i="4"/>
  <c r="AS230" i="4" s="1"/>
  <c r="AT241" i="4"/>
  <c r="AT242" i="4" s="1"/>
  <c r="CJ116" i="4"/>
  <c r="CJ117" i="4" s="1"/>
  <c r="CK115" i="4" s="1"/>
  <c r="CI181" i="4"/>
  <c r="CI182" i="4" s="1"/>
  <c r="CJ180" i="4" s="1"/>
  <c r="AN252" i="4"/>
  <c r="T59" i="1" s="1"/>
  <c r="U59" i="1" s="1"/>
  <c r="Q59" i="1"/>
  <c r="AS87" i="4"/>
  <c r="AS88" i="4" s="1"/>
  <c r="AS126" i="4"/>
  <c r="AS127" i="4" s="1"/>
  <c r="AP51" i="4"/>
  <c r="AP52" i="4" s="1"/>
  <c r="CK77" i="4"/>
  <c r="CK78" i="4" s="1"/>
  <c r="CL76" i="4" s="1"/>
  <c r="CJ129" i="4"/>
  <c r="CJ130" i="4" s="1"/>
  <c r="CK128" i="4" s="1"/>
  <c r="CJ155" i="4"/>
  <c r="CJ156" i="4" s="1"/>
  <c r="CK154" i="4" s="1"/>
  <c r="CH194" i="4"/>
  <c r="CH195" i="4" s="1"/>
  <c r="CI193" i="4" s="1"/>
  <c r="CI142" i="4" l="1"/>
  <c r="CI143" i="4" s="1"/>
  <c r="CJ141" i="4" s="1"/>
  <c r="AP36" i="4"/>
  <c r="AP250" i="4" s="1"/>
  <c r="AQ29" i="4"/>
  <c r="AP53" i="4"/>
  <c r="AP55" i="4" s="1"/>
  <c r="AQ50" i="4"/>
  <c r="CK155" i="4"/>
  <c r="CK156" i="4" s="1"/>
  <c r="CL154" i="4" s="1"/>
  <c r="CK129" i="4"/>
  <c r="CK130" i="4" s="1"/>
  <c r="CL128" i="4" s="1"/>
  <c r="CL77" i="4"/>
  <c r="CL78" i="4" s="1"/>
  <c r="CM76" i="4" s="1"/>
  <c r="CK116" i="4"/>
  <c r="CK117" i="4" s="1"/>
  <c r="CL115" i="4" s="1"/>
  <c r="AT247" i="4"/>
  <c r="AT248" i="4" s="1"/>
  <c r="AU240" i="4"/>
  <c r="AT125" i="4"/>
  <c r="AS132" i="4"/>
  <c r="AS133" i="4" s="1"/>
  <c r="AS93" i="4"/>
  <c r="AS94" i="4" s="1"/>
  <c r="AT86" i="4"/>
  <c r="AS184" i="4"/>
  <c r="AS185" i="4" s="1"/>
  <c r="AT177" i="4"/>
  <c r="AS210" i="4"/>
  <c r="AS211" i="4" s="1"/>
  <c r="AT203" i="4"/>
  <c r="CL103" i="4"/>
  <c r="CL104" i="4" s="1"/>
  <c r="CM102" i="4" s="1"/>
  <c r="CJ207" i="4"/>
  <c r="CJ208" i="4" s="1"/>
  <c r="CK206" i="4" s="1"/>
  <c r="CB17" i="4"/>
  <c r="CB18" i="4" s="1"/>
  <c r="CC16" i="4" s="1"/>
  <c r="AS235" i="4"/>
  <c r="AS236" i="4" s="1"/>
  <c r="AT228" i="4"/>
  <c r="AU138" i="4"/>
  <c r="AT145" i="4"/>
  <c r="AT146" i="4" s="1"/>
  <c r="CI194" i="4"/>
  <c r="CI195" i="4" s="1"/>
  <c r="CJ193" i="4" s="1"/>
  <c r="AT106" i="4"/>
  <c r="AT107" i="4" s="1"/>
  <c r="AU99" i="4"/>
  <c r="AT74" i="4"/>
  <c r="AT75" i="4" s="1"/>
  <c r="AT152" i="4"/>
  <c r="AT153" i="4" s="1"/>
  <c r="AT165" i="4"/>
  <c r="AT166" i="4" s="1"/>
  <c r="AU217" i="4"/>
  <c r="AU218" i="4" s="1"/>
  <c r="AT191" i="4"/>
  <c r="AT192" i="4" s="1"/>
  <c r="AT113" i="4"/>
  <c r="AT114" i="4" s="1"/>
  <c r="AQ48" i="4"/>
  <c r="AQ49" i="4" s="1"/>
  <c r="CJ181" i="4"/>
  <c r="CJ182" i="4" s="1"/>
  <c r="CK180" i="4" s="1"/>
  <c r="AO249" i="4"/>
  <c r="AO37" i="4"/>
  <c r="CK64" i="4"/>
  <c r="CK65" i="4" s="1"/>
  <c r="CL63" i="4" s="1"/>
  <c r="CK90" i="4"/>
  <c r="CK91" i="4" s="1"/>
  <c r="CL89" i="4" s="1"/>
  <c r="AT61" i="4"/>
  <c r="AT62" i="4" s="1"/>
  <c r="CK168" i="4"/>
  <c r="CK169" i="4" s="1"/>
  <c r="CL167" i="4" s="1"/>
  <c r="AP33" i="4"/>
  <c r="AP34" i="4" s="1"/>
  <c r="AR47" i="4" l="1"/>
  <c r="AQ54" i="4"/>
  <c r="CC17" i="4"/>
  <c r="CC18" i="4" s="1"/>
  <c r="CD16" i="4" s="1"/>
  <c r="CM103" i="4"/>
  <c r="CM104" i="4" s="1"/>
  <c r="CN102" i="4" s="1"/>
  <c r="AU112" i="4"/>
  <c r="AT119" i="4"/>
  <c r="AT120" i="4" s="1"/>
  <c r="CK207" i="4"/>
  <c r="CK208" i="4" s="1"/>
  <c r="CL206" i="4" s="1"/>
  <c r="AT197" i="4"/>
  <c r="AT198" i="4" s="1"/>
  <c r="AU190" i="4"/>
  <c r="AV216" i="4"/>
  <c r="AU223" i="4"/>
  <c r="AU224" i="4" s="1"/>
  <c r="CL64" i="4"/>
  <c r="CL65" i="4" s="1"/>
  <c r="CM63" i="4" s="1"/>
  <c r="AT158" i="4"/>
  <c r="AT159" i="4" s="1"/>
  <c r="AU151" i="4"/>
  <c r="CL129" i="4"/>
  <c r="CL130" i="4" s="1"/>
  <c r="CM128" i="4" s="1"/>
  <c r="AT67" i="4"/>
  <c r="AT68" i="4" s="1"/>
  <c r="AU60" i="4"/>
  <c r="CL90" i="4"/>
  <c r="CL91" i="4" s="1"/>
  <c r="CM89" i="4" s="1"/>
  <c r="AT171" i="4"/>
  <c r="AT172" i="4" s="1"/>
  <c r="AU164" i="4"/>
  <c r="AQ32" i="4"/>
  <c r="AP35" i="4"/>
  <c r="CK181" i="4"/>
  <c r="CK182" i="4" s="1"/>
  <c r="CL180" i="4" s="1"/>
  <c r="CM77" i="4"/>
  <c r="CM78" i="4" s="1"/>
  <c r="CN76" i="4" s="1"/>
  <c r="CJ142" i="4"/>
  <c r="CJ143" i="4" s="1"/>
  <c r="CK141" i="4" s="1"/>
  <c r="CL168" i="4"/>
  <c r="CL169" i="4" s="1"/>
  <c r="CM167" i="4" s="1"/>
  <c r="AT229" i="4"/>
  <c r="AT230" i="4" s="1"/>
  <c r="AT204" i="4"/>
  <c r="AT205" i="4" s="1"/>
  <c r="AU241" i="4"/>
  <c r="AU242" i="4" s="1"/>
  <c r="AO252" i="4"/>
  <c r="T60" i="1" s="1"/>
  <c r="U60" i="1" s="1"/>
  <c r="Q60" i="1"/>
  <c r="CL116" i="4"/>
  <c r="CL117" i="4" s="1"/>
  <c r="CM115" i="4" s="1"/>
  <c r="AQ51" i="4"/>
  <c r="AQ52" i="4" s="1"/>
  <c r="AT80" i="4"/>
  <c r="AT81" i="4" s="1"/>
  <c r="AU73" i="4"/>
  <c r="AT178" i="4"/>
  <c r="AT179" i="4" s="1"/>
  <c r="AT87" i="4"/>
  <c r="AT88" i="4" s="1"/>
  <c r="AQ30" i="4"/>
  <c r="AQ31" i="4" s="1"/>
  <c r="AP251" i="4"/>
  <c r="S61" i="1"/>
  <c r="CL155" i="4"/>
  <c r="CL156" i="4" s="1"/>
  <c r="CM154" i="4" s="1"/>
  <c r="AU100" i="4"/>
  <c r="AU101" i="4" s="1"/>
  <c r="CJ194" i="4"/>
  <c r="CJ195" i="4" s="1"/>
  <c r="CK193" i="4" s="1"/>
  <c r="AU139" i="4"/>
  <c r="AU140" i="4" s="1"/>
  <c r="AT126" i="4"/>
  <c r="AT127" i="4" s="1"/>
  <c r="AU247" i="4" l="1"/>
  <c r="AU248" i="4" s="1"/>
  <c r="AV240" i="4"/>
  <c r="AU145" i="4"/>
  <c r="AU146" i="4" s="1"/>
  <c r="AV138" i="4"/>
  <c r="CK194" i="4"/>
  <c r="CK195" i="4" s="1"/>
  <c r="CL193" i="4" s="1"/>
  <c r="AQ53" i="4"/>
  <c r="AQ55" i="4" s="1"/>
  <c r="AR50" i="4"/>
  <c r="AQ36" i="4"/>
  <c r="AQ250" i="4" s="1"/>
  <c r="AR29" i="4"/>
  <c r="AT184" i="4"/>
  <c r="AT185" i="4" s="1"/>
  <c r="AU177" i="4"/>
  <c r="AU106" i="4"/>
  <c r="AU107" i="4" s="1"/>
  <c r="AV99" i="4"/>
  <c r="CM64" i="4"/>
  <c r="CM65" i="4" s="1"/>
  <c r="CN63" i="4" s="1"/>
  <c r="CM168" i="4"/>
  <c r="CM169" i="4" s="1"/>
  <c r="CN167" i="4" s="1"/>
  <c r="CN103" i="4"/>
  <c r="CN104" i="4" s="1"/>
  <c r="CO102" i="4" s="1"/>
  <c r="CD17" i="4"/>
  <c r="CD18" i="4" s="1"/>
  <c r="CE16" i="4" s="1"/>
  <c r="CN77" i="4"/>
  <c r="CN78" i="4" s="1"/>
  <c r="CO76" i="4" s="1"/>
  <c r="AT132" i="4"/>
  <c r="AT133" i="4" s="1"/>
  <c r="AU125" i="4"/>
  <c r="AT93" i="4"/>
  <c r="AT94" i="4" s="1"/>
  <c r="AU86" i="4"/>
  <c r="AU203" i="4"/>
  <c r="AT210" i="4"/>
  <c r="AT211" i="4" s="1"/>
  <c r="AT235" i="4"/>
  <c r="AT236" i="4" s="1"/>
  <c r="AU228" i="4"/>
  <c r="CM90" i="4"/>
  <c r="CM91" i="4" s="1"/>
  <c r="CN89" i="4" s="1"/>
  <c r="CK142" i="4"/>
  <c r="CK143" i="4" s="1"/>
  <c r="CL141" i="4" s="1"/>
  <c r="CM116" i="4"/>
  <c r="CM117" i="4" s="1"/>
  <c r="CN115" i="4" s="1"/>
  <c r="CL181" i="4"/>
  <c r="CL182" i="4" s="1"/>
  <c r="CM180" i="4" s="1"/>
  <c r="AU113" i="4"/>
  <c r="AU114" i="4" s="1"/>
  <c r="AV217" i="4"/>
  <c r="AV218" i="4" s="1"/>
  <c r="CM129" i="4"/>
  <c r="CM130" i="4" s="1"/>
  <c r="CN128" i="4" s="1"/>
  <c r="CM155" i="4"/>
  <c r="CM156" i="4" s="1"/>
  <c r="CN154" i="4" s="1"/>
  <c r="AQ33" i="4"/>
  <c r="AQ34" i="4" s="1"/>
  <c r="AU61" i="4"/>
  <c r="AU62" i="4" s="1"/>
  <c r="AU74" i="4"/>
  <c r="AU75" i="4" s="1"/>
  <c r="AU165" i="4"/>
  <c r="AU166" i="4" s="1"/>
  <c r="AU152" i="4"/>
  <c r="AU153" i="4" s="1"/>
  <c r="CL207" i="4"/>
  <c r="CL208" i="4" s="1"/>
  <c r="CM206" i="4" s="1"/>
  <c r="AP249" i="4"/>
  <c r="AP37" i="4"/>
  <c r="AU191" i="4"/>
  <c r="AU192" i="4" s="1"/>
  <c r="AR48" i="4"/>
  <c r="AR49" i="4" s="1"/>
  <c r="CN155" i="4" l="1"/>
  <c r="CN156" i="4" s="1"/>
  <c r="CO154" i="4" s="1"/>
  <c r="CE17" i="4"/>
  <c r="CE18" i="4" s="1"/>
  <c r="CF16" i="4" s="1"/>
  <c r="CN129" i="4"/>
  <c r="CN130" i="4" s="1"/>
  <c r="CO128" i="4" s="1"/>
  <c r="CN90" i="4"/>
  <c r="CN91" i="4" s="1"/>
  <c r="CO89" i="4" s="1"/>
  <c r="AV223" i="4"/>
  <c r="AV224" i="4" s="1"/>
  <c r="AW216" i="4"/>
  <c r="AU119" i="4"/>
  <c r="AU120" i="4" s="1"/>
  <c r="AV112" i="4"/>
  <c r="AU80" i="4"/>
  <c r="AU81" i="4" s="1"/>
  <c r="AV73" i="4"/>
  <c r="CO103" i="4"/>
  <c r="CO104" i="4" s="1"/>
  <c r="CP102" i="4" s="1"/>
  <c r="AR32" i="4"/>
  <c r="AQ35" i="4"/>
  <c r="CM207" i="4"/>
  <c r="CM208" i="4" s="1"/>
  <c r="CN206" i="4" s="1"/>
  <c r="AU158" i="4"/>
  <c r="AU159" i="4" s="1"/>
  <c r="AV151" i="4"/>
  <c r="AS47" i="4"/>
  <c r="AR54" i="4"/>
  <c r="AU67" i="4"/>
  <c r="AU68" i="4" s="1"/>
  <c r="AV60" i="4"/>
  <c r="CN116" i="4"/>
  <c r="CN117" i="4" s="1"/>
  <c r="CO115" i="4" s="1"/>
  <c r="CN168" i="4"/>
  <c r="CN169" i="4" s="1"/>
  <c r="CO167" i="4" s="1"/>
  <c r="AU229" i="4"/>
  <c r="AU230" i="4" s="1"/>
  <c r="AR51" i="4"/>
  <c r="AR52" i="4" s="1"/>
  <c r="CM181" i="4"/>
  <c r="CM182" i="4" s="1"/>
  <c r="CN180" i="4" s="1"/>
  <c r="AV164" i="4"/>
  <c r="AU171" i="4"/>
  <c r="AU172" i="4" s="1"/>
  <c r="AP252" i="4"/>
  <c r="T61" i="1" s="1"/>
  <c r="U61" i="1" s="1"/>
  <c r="Q61" i="1"/>
  <c r="AV100" i="4"/>
  <c r="AV101" i="4" s="1"/>
  <c r="CL142" i="4"/>
  <c r="CL143" i="4" s="1"/>
  <c r="CM141" i="4" s="1"/>
  <c r="AU87" i="4"/>
  <c r="AU88" i="4" s="1"/>
  <c r="AU178" i="4"/>
  <c r="AU179" i="4" s="1"/>
  <c r="AV139" i="4"/>
  <c r="AV140" i="4" s="1"/>
  <c r="AU197" i="4"/>
  <c r="AU198" i="4" s="1"/>
  <c r="AV190" i="4"/>
  <c r="CO77" i="4"/>
  <c r="CO78" i="4" s="1"/>
  <c r="CP76" i="4" s="1"/>
  <c r="CL194" i="4"/>
  <c r="CL195" i="4" s="1"/>
  <c r="CM193" i="4" s="1"/>
  <c r="AU204" i="4"/>
  <c r="AU205" i="4" s="1"/>
  <c r="AU126" i="4"/>
  <c r="AU127" i="4" s="1"/>
  <c r="AR30" i="4"/>
  <c r="AR31" i="4" s="1"/>
  <c r="AV241" i="4"/>
  <c r="AV242" i="4" s="1"/>
  <c r="CN64" i="4"/>
  <c r="CN65" i="4" s="1"/>
  <c r="CO63" i="4" s="1"/>
  <c r="AQ251" i="4"/>
  <c r="S62" i="1"/>
  <c r="AV145" i="4" l="1"/>
  <c r="AV146" i="4" s="1"/>
  <c r="AW138" i="4"/>
  <c r="AV125" i="4"/>
  <c r="AU132" i="4"/>
  <c r="AU133" i="4" s="1"/>
  <c r="AV247" i="4"/>
  <c r="AV248" i="4" s="1"/>
  <c r="AW240" i="4"/>
  <c r="AV177" i="4"/>
  <c r="AU184" i="4"/>
  <c r="AU185" i="4" s="1"/>
  <c r="CP103" i="4"/>
  <c r="CP104" i="4" s="1"/>
  <c r="CQ102" i="4" s="1"/>
  <c r="AS50" i="4"/>
  <c r="AR53" i="4"/>
  <c r="AR55" i="4" s="1"/>
  <c r="AU210" i="4"/>
  <c r="AU211" i="4" s="1"/>
  <c r="AV203" i="4"/>
  <c r="AU235" i="4"/>
  <c r="AU236" i="4" s="1"/>
  <c r="AV228" i="4"/>
  <c r="CM194" i="4"/>
  <c r="CM195" i="4" s="1"/>
  <c r="CN193" i="4" s="1"/>
  <c r="CP77" i="4"/>
  <c r="CP78" i="4" s="1"/>
  <c r="CQ76" i="4" s="1"/>
  <c r="AR36" i="4"/>
  <c r="AR250" i="4" s="1"/>
  <c r="AS29" i="4"/>
  <c r="CN181" i="4"/>
  <c r="CN182" i="4" s="1"/>
  <c r="CO180" i="4" s="1"/>
  <c r="AU93" i="4"/>
  <c r="AU94" i="4" s="1"/>
  <c r="AV86" i="4"/>
  <c r="CM142" i="4"/>
  <c r="CM143" i="4" s="1"/>
  <c r="CN141" i="4" s="1"/>
  <c r="AW99" i="4"/>
  <c r="AV106" i="4"/>
  <c r="AV107" i="4" s="1"/>
  <c r="CF17" i="4"/>
  <c r="CF18" i="4" s="1"/>
  <c r="CG16" i="4" s="1"/>
  <c r="CO116" i="4"/>
  <c r="CO117" i="4" s="1"/>
  <c r="CP115" i="4" s="1"/>
  <c r="CO129" i="4"/>
  <c r="CO130" i="4" s="1"/>
  <c r="CP128" i="4" s="1"/>
  <c r="AV152" i="4"/>
  <c r="AV153" i="4" s="1"/>
  <c r="AV113" i="4"/>
  <c r="AV114" i="4" s="1"/>
  <c r="CO90" i="4"/>
  <c r="CO91" i="4" s="1"/>
  <c r="CP89" i="4" s="1"/>
  <c r="AV74" i="4"/>
  <c r="AV75" i="4" s="1"/>
  <c r="AV165" i="4"/>
  <c r="AV166" i="4" s="1"/>
  <c r="CO168" i="4"/>
  <c r="CO169" i="4" s="1"/>
  <c r="CP167" i="4" s="1"/>
  <c r="AV191" i="4"/>
  <c r="AV192" i="4" s="1"/>
  <c r="CN207" i="4"/>
  <c r="CN208" i="4" s="1"/>
  <c r="CO206" i="4" s="1"/>
  <c r="AV61" i="4"/>
  <c r="AV62" i="4" s="1"/>
  <c r="AQ249" i="4"/>
  <c r="AQ37" i="4"/>
  <c r="AW217" i="4"/>
  <c r="AW218" i="4" s="1"/>
  <c r="CO155" i="4"/>
  <c r="CO156" i="4" s="1"/>
  <c r="CP154" i="4" s="1"/>
  <c r="AS48" i="4"/>
  <c r="AS49" i="4" s="1"/>
  <c r="CO64" i="4"/>
  <c r="CO65" i="4" s="1"/>
  <c r="CP63" i="4" s="1"/>
  <c r="AR33" i="4"/>
  <c r="AR34" i="4" s="1"/>
  <c r="AV158" i="4" l="1"/>
  <c r="AV159" i="4" s="1"/>
  <c r="AW151" i="4"/>
  <c r="AV197" i="4"/>
  <c r="AV198" i="4" s="1"/>
  <c r="AW190" i="4"/>
  <c r="AX216" i="4"/>
  <c r="AW223" i="4"/>
  <c r="AW224" i="4" s="1"/>
  <c r="AS54" i="4"/>
  <c r="AT47" i="4"/>
  <c r="CP155" i="4"/>
  <c r="CP156" i="4" s="1"/>
  <c r="CQ154" i="4" s="1"/>
  <c r="AV171" i="4"/>
  <c r="AV172" i="4" s="1"/>
  <c r="AW164" i="4"/>
  <c r="CG17" i="4"/>
  <c r="CG18" i="4" s="1"/>
  <c r="CH16" i="4" s="1"/>
  <c r="AV67" i="4"/>
  <c r="AV68" i="4" s="1"/>
  <c r="AW60" i="4"/>
  <c r="CQ77" i="4"/>
  <c r="CQ78" i="4" s="1"/>
  <c r="CR76" i="4" s="1"/>
  <c r="CP129" i="4"/>
  <c r="CP130" i="4" s="1"/>
  <c r="CQ128" i="4" s="1"/>
  <c r="AV80" i="4"/>
  <c r="AV81" i="4" s="1"/>
  <c r="AW73" i="4"/>
  <c r="CP90" i="4"/>
  <c r="CP91" i="4" s="1"/>
  <c r="CQ89" i="4" s="1"/>
  <c r="AS32" i="4"/>
  <c r="AR35" i="4"/>
  <c r="CO207" i="4"/>
  <c r="CO208" i="4" s="1"/>
  <c r="CP206" i="4" s="1"/>
  <c r="CN142" i="4"/>
  <c r="CN143" i="4" s="1"/>
  <c r="CO141" i="4" s="1"/>
  <c r="CQ103" i="4"/>
  <c r="CQ104" i="4" s="1"/>
  <c r="CR102" i="4" s="1"/>
  <c r="AV229" i="4"/>
  <c r="AV230" i="4" s="1"/>
  <c r="AV119" i="4"/>
  <c r="AV120" i="4" s="1"/>
  <c r="AW112" i="4"/>
  <c r="AW241" i="4"/>
  <c r="AW242" i="4" s="1"/>
  <c r="CP168" i="4"/>
  <c r="CP169" i="4" s="1"/>
  <c r="CQ167" i="4" s="1"/>
  <c r="AV204" i="4"/>
  <c r="AV205" i="4" s="1"/>
  <c r="AS30" i="4"/>
  <c r="AS31" i="4" s="1"/>
  <c r="AS51" i="4"/>
  <c r="AS52" i="4" s="1"/>
  <c r="AV126" i="4"/>
  <c r="AV127" i="4" s="1"/>
  <c r="CP64" i="4"/>
  <c r="CP65" i="4" s="1"/>
  <c r="CQ63" i="4" s="1"/>
  <c r="CO181" i="4"/>
  <c r="CO182" i="4" s="1"/>
  <c r="CP180" i="4" s="1"/>
  <c r="AW100" i="4"/>
  <c r="AW101" i="4" s="1"/>
  <c r="CP116" i="4"/>
  <c r="CP117" i="4" s="1"/>
  <c r="CQ115" i="4" s="1"/>
  <c r="AV87" i="4"/>
  <c r="AV88" i="4" s="1"/>
  <c r="CN194" i="4"/>
  <c r="CN195" i="4" s="1"/>
  <c r="CO193" i="4" s="1"/>
  <c r="AW139" i="4"/>
  <c r="AW140" i="4" s="1"/>
  <c r="AQ252" i="4"/>
  <c r="T62" i="1" s="1"/>
  <c r="U62" i="1" s="1"/>
  <c r="Q62" i="1"/>
  <c r="AV178" i="4"/>
  <c r="AV179" i="4" s="1"/>
  <c r="AR251" i="4"/>
  <c r="S63" i="1"/>
  <c r="CP181" i="4" l="1"/>
  <c r="CP182" i="4" s="1"/>
  <c r="CQ180" i="4" s="1"/>
  <c r="AX99" i="4"/>
  <c r="AW106" i="4"/>
  <c r="AW107" i="4" s="1"/>
  <c r="CQ90" i="4"/>
  <c r="CQ91" i="4" s="1"/>
  <c r="CR89" i="4" s="1"/>
  <c r="CO194" i="4"/>
  <c r="CO195" i="4" s="1"/>
  <c r="CP193" i="4" s="1"/>
  <c r="AW247" i="4"/>
  <c r="AW248" i="4" s="1"/>
  <c r="AX240" i="4"/>
  <c r="AW145" i="4"/>
  <c r="AW146" i="4" s="1"/>
  <c r="AX138" i="4"/>
  <c r="AV132" i="4"/>
  <c r="AV133" i="4" s="1"/>
  <c r="AW125" i="4"/>
  <c r="CH17" i="4"/>
  <c r="CH18" i="4" s="1"/>
  <c r="CI16" i="4" s="1"/>
  <c r="AT50" i="4"/>
  <c r="AS53" i="4"/>
  <c r="AS55" i="4" s="1"/>
  <c r="AV93" i="4"/>
  <c r="AV94" i="4" s="1"/>
  <c r="AW86" i="4"/>
  <c r="AW203" i="4"/>
  <c r="AV210" i="4"/>
  <c r="AV211" i="4" s="1"/>
  <c r="CO142" i="4"/>
  <c r="CO143" i="4" s="1"/>
  <c r="CP141" i="4" s="1"/>
  <c r="AV184" i="4"/>
  <c r="AV185" i="4" s="1"/>
  <c r="AW177" i="4"/>
  <c r="CQ64" i="4"/>
  <c r="CQ65" i="4" s="1"/>
  <c r="CR63" i="4" s="1"/>
  <c r="AV235" i="4"/>
  <c r="AV236" i="4" s="1"/>
  <c r="AW228" i="4"/>
  <c r="AS36" i="4"/>
  <c r="AS250" i="4" s="1"/>
  <c r="AT29" i="4"/>
  <c r="CQ168" i="4"/>
  <c r="CQ169" i="4" s="1"/>
  <c r="CR167" i="4" s="1"/>
  <c r="CP207" i="4"/>
  <c r="CP208" i="4" s="1"/>
  <c r="CQ206" i="4" s="1"/>
  <c r="AW61" i="4"/>
  <c r="AW62" i="4" s="1"/>
  <c r="AT48" i="4"/>
  <c r="AT49" i="4" s="1"/>
  <c r="CQ116" i="4"/>
  <c r="CQ117" i="4" s="1"/>
  <c r="CR115" i="4" s="1"/>
  <c r="AX217" i="4"/>
  <c r="AX218" i="4" s="1"/>
  <c r="CQ129" i="4"/>
  <c r="CQ130" i="4" s="1"/>
  <c r="CR128" i="4" s="1"/>
  <c r="AW165" i="4"/>
  <c r="AW166" i="4" s="1"/>
  <c r="AW191" i="4"/>
  <c r="AW192" i="4" s="1"/>
  <c r="CR103" i="4"/>
  <c r="CR104" i="4" s="1"/>
  <c r="CS102" i="4" s="1"/>
  <c r="AW74" i="4"/>
  <c r="AW75" i="4" s="1"/>
  <c r="AW113" i="4"/>
  <c r="AW114" i="4" s="1"/>
  <c r="AR249" i="4"/>
  <c r="AR37" i="4"/>
  <c r="CR77" i="4"/>
  <c r="CR78" i="4" s="1"/>
  <c r="CS76" i="4" s="1"/>
  <c r="CQ155" i="4"/>
  <c r="CQ156" i="4" s="1"/>
  <c r="CR154" i="4" s="1"/>
  <c r="AW152" i="4"/>
  <c r="AW153" i="4" s="1"/>
  <c r="AS33" i="4"/>
  <c r="AS34" i="4" s="1"/>
  <c r="AT54" i="4" l="1"/>
  <c r="AU47" i="4"/>
  <c r="AT32" i="4"/>
  <c r="AS35" i="4"/>
  <c r="CI17" i="4"/>
  <c r="CI18" i="4" s="1"/>
  <c r="CJ16" i="4" s="1"/>
  <c r="AW80" i="4"/>
  <c r="AW81" i="4" s="1"/>
  <c r="AX73" i="4"/>
  <c r="AW67" i="4"/>
  <c r="AW68" i="4" s="1"/>
  <c r="AX60" i="4"/>
  <c r="AX151" i="4"/>
  <c r="AW158" i="4"/>
  <c r="AW159" i="4" s="1"/>
  <c r="CQ207" i="4"/>
  <c r="CQ208" i="4"/>
  <c r="CR206" i="4" s="1"/>
  <c r="CR155" i="4"/>
  <c r="CR156" i="4" s="1"/>
  <c r="CS154" i="4" s="1"/>
  <c r="AX164" i="4"/>
  <c r="AW171" i="4"/>
  <c r="AW172" i="4" s="1"/>
  <c r="CP142" i="4"/>
  <c r="CP143" i="4" s="1"/>
  <c r="CQ141" i="4" s="1"/>
  <c r="CR129" i="4"/>
  <c r="CR130" i="4" s="1"/>
  <c r="CS128" i="4" s="1"/>
  <c r="CR64" i="4"/>
  <c r="CR65" i="4" s="1"/>
  <c r="CS63" i="4" s="1"/>
  <c r="CS103" i="4"/>
  <c r="CS104" i="4" s="1"/>
  <c r="CT102" i="4" s="1"/>
  <c r="AW197" i="4"/>
  <c r="AW198" i="4" s="1"/>
  <c r="AX190" i="4"/>
  <c r="CR168" i="4"/>
  <c r="CR169" i="4" s="1"/>
  <c r="CS167" i="4" s="1"/>
  <c r="CR90" i="4"/>
  <c r="CR91" i="4" s="1"/>
  <c r="CS89" i="4" s="1"/>
  <c r="CS77" i="4"/>
  <c r="CS78" i="4" s="1"/>
  <c r="CT76" i="4" s="1"/>
  <c r="AX223" i="4"/>
  <c r="AX224" i="4" s="1"/>
  <c r="AY216" i="4"/>
  <c r="AW119" i="4"/>
  <c r="AW120" i="4" s="1"/>
  <c r="AX112" i="4"/>
  <c r="CP194" i="4"/>
  <c r="CP195" i="4" s="1"/>
  <c r="CQ193" i="4" s="1"/>
  <c r="AW204" i="4"/>
  <c r="AW205" i="4" s="1"/>
  <c r="AW229" i="4"/>
  <c r="AW230" i="4" s="1"/>
  <c r="AX139" i="4"/>
  <c r="AX140" i="4" s="1"/>
  <c r="AW126" i="4"/>
  <c r="AW127" i="4" s="1"/>
  <c r="AX100" i="4"/>
  <c r="AX101" i="4" s="1"/>
  <c r="AS251" i="4"/>
  <c r="S64" i="1"/>
  <c r="CR116" i="4"/>
  <c r="CR117" i="4" s="1"/>
  <c r="CS115" i="4" s="1"/>
  <c r="AW178" i="4"/>
  <c r="AW179" i="4" s="1"/>
  <c r="AX241" i="4"/>
  <c r="AX242" i="4" s="1"/>
  <c r="CQ181" i="4"/>
  <c r="CQ182" i="4" s="1"/>
  <c r="CR180" i="4" s="1"/>
  <c r="AT30" i="4"/>
  <c r="AT31" i="4" s="1"/>
  <c r="AW87" i="4"/>
  <c r="AW88" i="4" s="1"/>
  <c r="AR252" i="4"/>
  <c r="T63" i="1" s="1"/>
  <c r="U63" i="1" s="1"/>
  <c r="Q63" i="1"/>
  <c r="AT51" i="4"/>
  <c r="AT52" i="4" s="1"/>
  <c r="AT36" i="4" l="1"/>
  <c r="AT250" i="4" s="1"/>
  <c r="AU29" i="4"/>
  <c r="AW132" i="4"/>
  <c r="AW133" i="4" s="1"/>
  <c r="AX125" i="4"/>
  <c r="CT77" i="4"/>
  <c r="CT78" i="4" s="1"/>
  <c r="CU76" i="4" s="1"/>
  <c r="AY99" i="4"/>
  <c r="AX106" i="4"/>
  <c r="AX107" i="4" s="1"/>
  <c r="CJ17" i="4"/>
  <c r="CJ18" i="4" s="1"/>
  <c r="CK16" i="4" s="1"/>
  <c r="AX145" i="4"/>
  <c r="AX146" i="4" s="1"/>
  <c r="AY138" i="4"/>
  <c r="AX247" i="4"/>
  <c r="AX248" i="4" s="1"/>
  <c r="AY240" i="4"/>
  <c r="AW235" i="4"/>
  <c r="AW236" i="4" s="1"/>
  <c r="AX228" i="4"/>
  <c r="AW210" i="4"/>
  <c r="AW211" i="4" s="1"/>
  <c r="AX203" i="4"/>
  <c r="CQ142" i="4"/>
  <c r="CQ143" i="4" s="1"/>
  <c r="CR141" i="4" s="1"/>
  <c r="AX86" i="4"/>
  <c r="AW93" i="4"/>
  <c r="AW94" i="4" s="1"/>
  <c r="CT103" i="4"/>
  <c r="CT104" i="4" s="1"/>
  <c r="CU102" i="4" s="1"/>
  <c r="CS64" i="4"/>
  <c r="CS65" i="4" s="1"/>
  <c r="CT63" i="4" s="1"/>
  <c r="CS129" i="4"/>
  <c r="CS130" i="4" s="1"/>
  <c r="CT128" i="4" s="1"/>
  <c r="AU50" i="4"/>
  <c r="AT53" i="4"/>
  <c r="AT55" i="4" s="1"/>
  <c r="AW184" i="4"/>
  <c r="AW185" i="4" s="1"/>
  <c r="AX177" i="4"/>
  <c r="CS90" i="4"/>
  <c r="CS91" i="4" s="1"/>
  <c r="CT89" i="4" s="1"/>
  <c r="CS116" i="4"/>
  <c r="CS117" i="4" s="1"/>
  <c r="CT115" i="4" s="1"/>
  <c r="AX74" i="4"/>
  <c r="AX75" i="4" s="1"/>
  <c r="CQ194" i="4"/>
  <c r="CQ195" i="4" s="1"/>
  <c r="CR193" i="4" s="1"/>
  <c r="AS249" i="4"/>
  <c r="AS37" i="4"/>
  <c r="AX152" i="4"/>
  <c r="AX153" i="4" s="1"/>
  <c r="AT33" i="4"/>
  <c r="AT34" i="4" s="1"/>
  <c r="CS155" i="4"/>
  <c r="CS156" i="4" s="1"/>
  <c r="CT154" i="4" s="1"/>
  <c r="CS168" i="4"/>
  <c r="CS169" i="4" s="1"/>
  <c r="CT167" i="4" s="1"/>
  <c r="AX61" i="4"/>
  <c r="AX62" i="4" s="1"/>
  <c r="AU48" i="4"/>
  <c r="AU49" i="4" s="1"/>
  <c r="AX113" i="4"/>
  <c r="AX114" i="4" s="1"/>
  <c r="CR207" i="4"/>
  <c r="CR208" i="4" s="1"/>
  <c r="CS206" i="4" s="1"/>
  <c r="CR181" i="4"/>
  <c r="CR182" i="4" s="1"/>
  <c r="CS180" i="4" s="1"/>
  <c r="AY217" i="4"/>
  <c r="AY218" i="4" s="1"/>
  <c r="AX191" i="4"/>
  <c r="AX192" i="4" s="1"/>
  <c r="AX165" i="4"/>
  <c r="AX166" i="4" s="1"/>
  <c r="CK17" i="4" l="1"/>
  <c r="CK18" i="4" s="1"/>
  <c r="CL16" i="4" s="1"/>
  <c r="AX67" i="4"/>
  <c r="AX68" i="4" s="1"/>
  <c r="AY60" i="4"/>
  <c r="AX197" i="4"/>
  <c r="AX198" i="4" s="1"/>
  <c r="AY190" i="4"/>
  <c r="AU54" i="4"/>
  <c r="AV47" i="4"/>
  <c r="AY73" i="4"/>
  <c r="AX80" i="4"/>
  <c r="AX81" i="4" s="1"/>
  <c r="AX171" i="4"/>
  <c r="AX172" i="4" s="1"/>
  <c r="AY164" i="4"/>
  <c r="CT168" i="4"/>
  <c r="CT169" i="4" s="1"/>
  <c r="CU167" i="4" s="1"/>
  <c r="CT155" i="4"/>
  <c r="CT156" i="4" s="1"/>
  <c r="CU154" i="4" s="1"/>
  <c r="CU77" i="4"/>
  <c r="CU78" i="4" s="1"/>
  <c r="CV76" i="4" s="1"/>
  <c r="AT35" i="4"/>
  <c r="AU32" i="4"/>
  <c r="CS181" i="4"/>
  <c r="CS182" i="4" s="1"/>
  <c r="CT180" i="4" s="1"/>
  <c r="CS207" i="4"/>
  <c r="CS208" i="4" s="1"/>
  <c r="CT206" i="4" s="1"/>
  <c r="CR194" i="4"/>
  <c r="CR195" i="4" s="1"/>
  <c r="CS193" i="4" s="1"/>
  <c r="CT129" i="4"/>
  <c r="CT130" i="4" s="1"/>
  <c r="CU128" i="4" s="1"/>
  <c r="CT64" i="4"/>
  <c r="CT65" i="4" s="1"/>
  <c r="CU63" i="4" s="1"/>
  <c r="AZ216" i="4"/>
  <c r="AY223" i="4"/>
  <c r="AY224" i="4" s="1"/>
  <c r="CT90" i="4"/>
  <c r="CT91" i="4" s="1"/>
  <c r="CU89" i="4" s="1"/>
  <c r="AX158" i="4"/>
  <c r="AX159" i="4" s="1"/>
  <c r="AY151" i="4"/>
  <c r="AX119" i="4"/>
  <c r="AX120" i="4" s="1"/>
  <c r="AY112" i="4"/>
  <c r="CR142" i="4"/>
  <c r="CR143" i="4" s="1"/>
  <c r="CS141" i="4" s="1"/>
  <c r="AX178" i="4"/>
  <c r="AX179" i="4" s="1"/>
  <c r="AX229" i="4"/>
  <c r="AX230" i="4" s="1"/>
  <c r="AY100" i="4"/>
  <c r="AY101" i="4" s="1"/>
  <c r="AX87" i="4"/>
  <c r="AX88" i="4" s="1"/>
  <c r="CU103" i="4"/>
  <c r="CU104" i="4" s="1"/>
  <c r="CV102" i="4" s="1"/>
  <c r="CT116" i="4"/>
  <c r="CT117" i="4" s="1"/>
  <c r="CU115" i="4" s="1"/>
  <c r="AY139" i="4"/>
  <c r="AY140" i="4" s="1"/>
  <c r="AX126" i="4"/>
  <c r="AX127" i="4" s="1"/>
  <c r="AY241" i="4"/>
  <c r="AY242" i="4" s="1"/>
  <c r="AU51" i="4"/>
  <c r="AU52" i="4" s="1"/>
  <c r="AX204" i="4"/>
  <c r="AX205" i="4" s="1"/>
  <c r="AU30" i="4"/>
  <c r="AU31" i="4" s="1"/>
  <c r="AS252" i="4"/>
  <c r="T64" i="1" s="1"/>
  <c r="U64" i="1" s="1"/>
  <c r="Q64" i="1"/>
  <c r="AT251" i="4"/>
  <c r="S65" i="1"/>
  <c r="CV103" i="4" l="1"/>
  <c r="CV104" i="4" s="1"/>
  <c r="CW102" i="4" s="1"/>
  <c r="AY145" i="4"/>
  <c r="AY146" i="4" s="1"/>
  <c r="AZ138" i="4"/>
  <c r="CV77" i="4"/>
  <c r="CV78" i="4" s="1"/>
  <c r="CW76" i="4" s="1"/>
  <c r="AV50" i="4"/>
  <c r="AU53" i="4"/>
  <c r="AU55" i="4" s="1"/>
  <c r="CU116" i="4"/>
  <c r="CU117" i="4" s="1"/>
  <c r="CV115" i="4" s="1"/>
  <c r="AX93" i="4"/>
  <c r="AX94" i="4" s="1"/>
  <c r="AY86" i="4"/>
  <c r="AX210" i="4"/>
  <c r="AX211" i="4" s="1"/>
  <c r="AY203" i="4"/>
  <c r="CU168" i="4"/>
  <c r="CU169" i="4" s="1"/>
  <c r="CV167" i="4" s="1"/>
  <c r="AX235" i="4"/>
  <c r="AX236" i="4" s="1"/>
  <c r="AY228" i="4"/>
  <c r="AY247" i="4"/>
  <c r="AY248" i="4" s="1"/>
  <c r="AZ240" i="4"/>
  <c r="AX184" i="4"/>
  <c r="AX185" i="4" s="1"/>
  <c r="AY177" i="4"/>
  <c r="CT207" i="4"/>
  <c r="CT208" i="4" s="1"/>
  <c r="CU206" i="4" s="1"/>
  <c r="AU36" i="4"/>
  <c r="AU250" i="4" s="1"/>
  <c r="AV29" i="4"/>
  <c r="CU155" i="4"/>
  <c r="CU156" i="4" s="1"/>
  <c r="CV154" i="4" s="1"/>
  <c r="AY106" i="4"/>
  <c r="AY107" i="4" s="1"/>
  <c r="AZ99" i="4"/>
  <c r="CS194" i="4"/>
  <c r="CS195" i="4" s="1"/>
  <c r="CT193" i="4" s="1"/>
  <c r="AX132" i="4"/>
  <c r="AX133" i="4" s="1"/>
  <c r="AY125" i="4"/>
  <c r="CT181" i="4"/>
  <c r="CT182" i="4" s="1"/>
  <c r="CU180" i="4" s="1"/>
  <c r="CL17" i="4"/>
  <c r="CL18" i="4" s="1"/>
  <c r="CM16" i="4" s="1"/>
  <c r="AV48" i="4"/>
  <c r="AV49" i="4" s="1"/>
  <c r="CS142" i="4"/>
  <c r="CS143" i="4" s="1"/>
  <c r="CT141" i="4" s="1"/>
  <c r="CU64" i="4"/>
  <c r="CU65" i="4" s="1"/>
  <c r="CV63" i="4" s="1"/>
  <c r="AY191" i="4"/>
  <c r="AY192" i="4" s="1"/>
  <c r="AY152" i="4"/>
  <c r="AY153" i="4" s="1"/>
  <c r="CU129" i="4"/>
  <c r="CU130" i="4" s="1"/>
  <c r="CV128" i="4" s="1"/>
  <c r="AU33" i="4"/>
  <c r="AU34" i="4" s="1"/>
  <c r="AY165" i="4"/>
  <c r="AY166" i="4" s="1"/>
  <c r="AY61" i="4"/>
  <c r="AY62" i="4" s="1"/>
  <c r="AY113" i="4"/>
  <c r="AY114" i="4" s="1"/>
  <c r="AT249" i="4"/>
  <c r="AT37" i="4"/>
  <c r="CU90" i="4"/>
  <c r="CU91" i="4" s="1"/>
  <c r="CV89" i="4" s="1"/>
  <c r="AZ217" i="4"/>
  <c r="AZ218" i="4" s="1"/>
  <c r="AY74" i="4"/>
  <c r="AY75" i="4" s="1"/>
  <c r="AV54" i="4" l="1"/>
  <c r="AW47" i="4"/>
  <c r="CT142" i="4"/>
  <c r="CT143" i="4" s="1"/>
  <c r="CU141" i="4" s="1"/>
  <c r="CV116" i="4"/>
  <c r="CV117" i="4" s="1"/>
  <c r="CW115" i="4" s="1"/>
  <c r="CU181" i="4"/>
  <c r="CU182" i="4" s="1"/>
  <c r="CV180" i="4" s="1"/>
  <c r="AZ60" i="4"/>
  <c r="AY67" i="4"/>
  <c r="AY68" i="4" s="1"/>
  <c r="AZ164" i="4"/>
  <c r="AY171" i="4"/>
  <c r="AY172" i="4" s="1"/>
  <c r="AU35" i="4"/>
  <c r="AV32" i="4"/>
  <c r="CV155" i="4"/>
  <c r="CV156" i="4" s="1"/>
  <c r="CW154" i="4" s="1"/>
  <c r="CV168" i="4"/>
  <c r="CV169" i="4" s="1"/>
  <c r="CW167" i="4" s="1"/>
  <c r="AZ151" i="4"/>
  <c r="AY158" i="4"/>
  <c r="AY159" i="4" s="1"/>
  <c r="AY197" i="4"/>
  <c r="AY198" i="4" s="1"/>
  <c r="AZ190" i="4"/>
  <c r="AZ73" i="4"/>
  <c r="AY80" i="4"/>
  <c r="AY81" i="4" s="1"/>
  <c r="AZ223" i="4"/>
  <c r="AZ224" i="4" s="1"/>
  <c r="BA216" i="4"/>
  <c r="CM17" i="4"/>
  <c r="CM18" i="4" s="1"/>
  <c r="CN16" i="4" s="1"/>
  <c r="CV90" i="4"/>
  <c r="CV91" i="4" s="1"/>
  <c r="CW89" i="4" s="1"/>
  <c r="CW77" i="4"/>
  <c r="CW78" i="4" s="1"/>
  <c r="CX76" i="4" s="1"/>
  <c r="CU207" i="4"/>
  <c r="CU208" i="4" s="1"/>
  <c r="CV206" i="4" s="1"/>
  <c r="CV64" i="4"/>
  <c r="CV65" i="4" s="1"/>
  <c r="CW63" i="4" s="1"/>
  <c r="CW103" i="4"/>
  <c r="CW104" i="4" s="1"/>
  <c r="CX102" i="4" s="1"/>
  <c r="CT194" i="4"/>
  <c r="CT195" i="4" s="1"/>
  <c r="CU193" i="4" s="1"/>
  <c r="AY178" i="4"/>
  <c r="AY179" i="4" s="1"/>
  <c r="AZ241" i="4"/>
  <c r="AZ242" i="4" s="1"/>
  <c r="AY87" i="4"/>
  <c r="AY88" i="4" s="1"/>
  <c r="AZ139" i="4"/>
  <c r="AZ140" i="4" s="1"/>
  <c r="AZ100" i="4"/>
  <c r="AZ101" i="4" s="1"/>
  <c r="AY204" i="4"/>
  <c r="AY205" i="4" s="1"/>
  <c r="AV51" i="4"/>
  <c r="AV52" i="4" s="1"/>
  <c r="AT252" i="4"/>
  <c r="T65" i="1" s="1"/>
  <c r="U65" i="1" s="1"/>
  <c r="Q65" i="1"/>
  <c r="AY126" i="4"/>
  <c r="AY127" i="4" s="1"/>
  <c r="AV30" i="4"/>
  <c r="AV31" i="4" s="1"/>
  <c r="AY229" i="4"/>
  <c r="AY230" i="4" s="1"/>
  <c r="AY119" i="4"/>
  <c r="AY120" i="4" s="1"/>
  <c r="AZ112" i="4"/>
  <c r="CV129" i="4"/>
  <c r="CV130" i="4" s="1"/>
  <c r="CW128" i="4" s="1"/>
  <c r="AU251" i="4"/>
  <c r="S66" i="1"/>
  <c r="AW50" i="4" l="1"/>
  <c r="AV53" i="4"/>
  <c r="AV55" i="4" s="1"/>
  <c r="AZ106" i="4"/>
  <c r="AZ107" i="4" s="1"/>
  <c r="BA99" i="4"/>
  <c r="AY132" i="4"/>
  <c r="AY133" i="4" s="1"/>
  <c r="AZ125" i="4"/>
  <c r="AY210" i="4"/>
  <c r="AY211" i="4" s="1"/>
  <c r="AZ203" i="4"/>
  <c r="BA138" i="4"/>
  <c r="AZ145" i="4"/>
  <c r="AZ146" i="4" s="1"/>
  <c r="AW29" i="4"/>
  <c r="AV36" i="4"/>
  <c r="AV250" i="4" s="1"/>
  <c r="AZ86" i="4"/>
  <c r="AY93" i="4"/>
  <c r="AY94" i="4" s="1"/>
  <c r="AZ247" i="4"/>
  <c r="AZ248" i="4" s="1"/>
  <c r="BA240" i="4"/>
  <c r="CX77" i="4"/>
  <c r="CX78" i="4" s="1"/>
  <c r="CY76" i="4" s="1"/>
  <c r="CN17" i="4"/>
  <c r="CN18" i="4" s="1"/>
  <c r="CO16" i="4" s="1"/>
  <c r="AY235" i="4"/>
  <c r="AY236" i="4" s="1"/>
  <c r="AZ228" i="4"/>
  <c r="CW155" i="4"/>
  <c r="CW156" i="4" s="1"/>
  <c r="CX154" i="4" s="1"/>
  <c r="CW116" i="4"/>
  <c r="CW117" i="4" s="1"/>
  <c r="CX115" i="4" s="1"/>
  <c r="CU142" i="4"/>
  <c r="CU143" i="4" s="1"/>
  <c r="CV141" i="4" s="1"/>
  <c r="AY184" i="4"/>
  <c r="AY185" i="4" s="1"/>
  <c r="AZ177" i="4"/>
  <c r="CU194" i="4"/>
  <c r="CU195" i="4" s="1"/>
  <c r="CV193" i="4" s="1"/>
  <c r="CW90" i="4"/>
  <c r="CW91" i="4" s="1"/>
  <c r="CX89" i="4" s="1"/>
  <c r="AZ113" i="4"/>
  <c r="AZ114" i="4" s="1"/>
  <c r="CV181" i="4"/>
  <c r="CV182" i="4" s="1"/>
  <c r="CW180" i="4" s="1"/>
  <c r="AU249" i="4"/>
  <c r="AU37" i="4"/>
  <c r="AZ191" i="4"/>
  <c r="AZ192" i="4" s="1"/>
  <c r="CW64" i="4"/>
  <c r="CW65" i="4" s="1"/>
  <c r="CX63" i="4" s="1"/>
  <c r="AZ152" i="4"/>
  <c r="AZ153" i="4" s="1"/>
  <c r="AZ165" i="4"/>
  <c r="AZ166" i="4" s="1"/>
  <c r="CX103" i="4"/>
  <c r="CX104" i="4" s="1"/>
  <c r="CY102" i="4" s="1"/>
  <c r="CW129" i="4"/>
  <c r="CW130" i="4" s="1"/>
  <c r="CX128" i="4" s="1"/>
  <c r="CV207" i="4"/>
  <c r="CV208" i="4" s="1"/>
  <c r="CW206" i="4" s="1"/>
  <c r="BA217" i="4"/>
  <c r="BA218" i="4" s="1"/>
  <c r="CW168" i="4"/>
  <c r="CW169" i="4" s="1"/>
  <c r="CX167" i="4" s="1"/>
  <c r="AW48" i="4"/>
  <c r="AW49" i="4" s="1"/>
  <c r="AZ74" i="4"/>
  <c r="AZ75" i="4" s="1"/>
  <c r="AV33" i="4"/>
  <c r="AV34" i="4" s="1"/>
  <c r="AZ61" i="4"/>
  <c r="AZ62" i="4" s="1"/>
  <c r="CY103" i="4" l="1"/>
  <c r="CY104" i="4" s="1"/>
  <c r="CZ102" i="4" s="1"/>
  <c r="AW54" i="4"/>
  <c r="AX47" i="4"/>
  <c r="BA73" i="4"/>
  <c r="AZ80" i="4"/>
  <c r="AZ81" i="4" s="1"/>
  <c r="BA112" i="4"/>
  <c r="AZ119" i="4"/>
  <c r="AZ120" i="4" s="1"/>
  <c r="AZ158" i="4"/>
  <c r="AZ159" i="4" s="1"/>
  <c r="BA151" i="4"/>
  <c r="CV194" i="4"/>
  <c r="CV195" i="4" s="1"/>
  <c r="CW193" i="4" s="1"/>
  <c r="AZ197" i="4"/>
  <c r="AZ198" i="4" s="1"/>
  <c r="BA190" i="4"/>
  <c r="CO17" i="4"/>
  <c r="CO18" i="4" s="1"/>
  <c r="CP16" i="4" s="1"/>
  <c r="CX129" i="4"/>
  <c r="CX130" i="4" s="1"/>
  <c r="CY128" i="4" s="1"/>
  <c r="CW181" i="4"/>
  <c r="CW182" i="4" s="1"/>
  <c r="CX180" i="4" s="1"/>
  <c r="CX90" i="4"/>
  <c r="CX91" i="4" s="1"/>
  <c r="CY89" i="4" s="1"/>
  <c r="CX168" i="4"/>
  <c r="CX169" i="4" s="1"/>
  <c r="CY167" i="4" s="1"/>
  <c r="CX64" i="4"/>
  <c r="CX65" i="4" s="1"/>
  <c r="CY63" i="4" s="1"/>
  <c r="AZ67" i="4"/>
  <c r="AZ68" i="4" s="1"/>
  <c r="BA60" i="4"/>
  <c r="CW207" i="4"/>
  <c r="CW208" i="4" s="1"/>
  <c r="CX206" i="4" s="1"/>
  <c r="CV142" i="4"/>
  <c r="CV143" i="4" s="1"/>
  <c r="CW141" i="4" s="1"/>
  <c r="CY77" i="4"/>
  <c r="CY78" i="4" s="1"/>
  <c r="CZ76" i="4" s="1"/>
  <c r="AV35" i="4"/>
  <c r="AW32" i="4"/>
  <c r="AU252" i="4"/>
  <c r="T66" i="1" s="1"/>
  <c r="U66" i="1" s="1"/>
  <c r="Q66" i="1"/>
  <c r="BA241" i="4"/>
  <c r="BA242" i="4" s="1"/>
  <c r="AZ204" i="4"/>
  <c r="AZ205" i="4" s="1"/>
  <c r="AZ126" i="4"/>
  <c r="AZ127" i="4" s="1"/>
  <c r="BB216" i="4"/>
  <c r="BA223" i="4"/>
  <c r="BA224" i="4" s="1"/>
  <c r="AZ87" i="4"/>
  <c r="AZ88" i="4" s="1"/>
  <c r="AV251" i="4"/>
  <c r="S67" i="1"/>
  <c r="BA100" i="4"/>
  <c r="BA101" i="4" s="1"/>
  <c r="CX155" i="4"/>
  <c r="CX156" i="4" s="1"/>
  <c r="CY154" i="4" s="1"/>
  <c r="AW30" i="4"/>
  <c r="AW31" i="4" s="1"/>
  <c r="AZ178" i="4"/>
  <c r="AZ179" i="4" s="1"/>
  <c r="AZ229" i="4"/>
  <c r="AZ230" i="4" s="1"/>
  <c r="CX116" i="4"/>
  <c r="CX117" i="4" s="1"/>
  <c r="CY115" i="4" s="1"/>
  <c r="AZ171" i="4"/>
  <c r="AZ172" i="4" s="1"/>
  <c r="BA164" i="4"/>
  <c r="BA139" i="4"/>
  <c r="BA140" i="4" s="1"/>
  <c r="AW51" i="4"/>
  <c r="AW52" i="4" s="1"/>
  <c r="CY116" i="4" l="1"/>
  <c r="CY117" i="4" s="1"/>
  <c r="CZ115" i="4" s="1"/>
  <c r="AZ235" i="4"/>
  <c r="AZ236" i="4" s="1"/>
  <c r="BA228" i="4"/>
  <c r="AZ184" i="4"/>
  <c r="AZ185" i="4" s="1"/>
  <c r="BA177" i="4"/>
  <c r="CP17" i="4"/>
  <c r="CP18" i="4" s="1"/>
  <c r="CQ16" i="4" s="1"/>
  <c r="AZ132" i="4"/>
  <c r="AZ133" i="4" s="1"/>
  <c r="BA125" i="4"/>
  <c r="CX181" i="4"/>
  <c r="CX182" i="4" s="1"/>
  <c r="CY180" i="4" s="1"/>
  <c r="AX29" i="4"/>
  <c r="AW36" i="4"/>
  <c r="AW250" i="4" s="1"/>
  <c r="BA203" i="4"/>
  <c r="AZ210" i="4"/>
  <c r="AZ211" i="4" s="1"/>
  <c r="CW194" i="4"/>
  <c r="CW195" i="4" s="1"/>
  <c r="CX193" i="4" s="1"/>
  <c r="CX207" i="4"/>
  <c r="CX208" i="4" s="1"/>
  <c r="CY206" i="4" s="1"/>
  <c r="AZ93" i="4"/>
  <c r="AZ94" i="4" s="1"/>
  <c r="BA86" i="4"/>
  <c r="CY64" i="4"/>
  <c r="CY65" i="4" s="1"/>
  <c r="CZ63" i="4" s="1"/>
  <c r="AW53" i="4"/>
  <c r="AW55" i="4" s="1"/>
  <c r="AX50" i="4"/>
  <c r="BA145" i="4"/>
  <c r="BA146" i="4" s="1"/>
  <c r="BB138" i="4"/>
  <c r="BA106" i="4"/>
  <c r="BA107" i="4" s="1"/>
  <c r="BB99" i="4"/>
  <c r="CW142" i="4"/>
  <c r="CW143" i="4" s="1"/>
  <c r="CX141" i="4" s="1"/>
  <c r="CZ103" i="4"/>
  <c r="CZ104" i="4" s="1"/>
  <c r="DA102" i="4" s="1"/>
  <c r="BA191" i="4"/>
  <c r="BA192" i="4" s="1"/>
  <c r="BA113" i="4"/>
  <c r="BA114" i="4" s="1"/>
  <c r="BA74" i="4"/>
  <c r="BA75" i="4" s="1"/>
  <c r="CY168" i="4"/>
  <c r="CY169" i="4" s="1"/>
  <c r="CZ167" i="4" s="1"/>
  <c r="CY155" i="4"/>
  <c r="CY156" i="4" s="1"/>
  <c r="CZ154" i="4" s="1"/>
  <c r="CY90" i="4"/>
  <c r="CY91" i="4" s="1"/>
  <c r="CZ89" i="4" s="1"/>
  <c r="AX48" i="4"/>
  <c r="AX49" i="4" s="1"/>
  <c r="BA165" i="4"/>
  <c r="BA166" i="4" s="1"/>
  <c r="BB217" i="4"/>
  <c r="BB218" i="4" s="1"/>
  <c r="AW33" i="4"/>
  <c r="AW34" i="4" s="1"/>
  <c r="CZ77" i="4"/>
  <c r="CZ78" i="4" s="1"/>
  <c r="DA76" i="4" s="1"/>
  <c r="CY129" i="4"/>
  <c r="CY130" i="4" s="1"/>
  <c r="CZ128" i="4" s="1"/>
  <c r="BA152" i="4"/>
  <c r="BA153" i="4" s="1"/>
  <c r="BA247" i="4"/>
  <c r="BA248" i="4" s="1"/>
  <c r="BB240" i="4"/>
  <c r="BA61" i="4"/>
  <c r="BA62" i="4" s="1"/>
  <c r="AV249" i="4"/>
  <c r="AV37" i="4"/>
  <c r="CZ129" i="4" l="1"/>
  <c r="CZ130" i="4" s="1"/>
  <c r="DA128" i="4" s="1"/>
  <c r="BA158" i="4"/>
  <c r="BA159" i="4" s="1"/>
  <c r="BB151" i="4"/>
  <c r="CX194" i="4"/>
  <c r="CX195" i="4" s="1"/>
  <c r="CY193" i="4" s="1"/>
  <c r="DA77" i="4"/>
  <c r="DA78" i="4" s="1"/>
  <c r="DB76" i="4" s="1"/>
  <c r="DA103" i="4"/>
  <c r="DA104" i="4" s="1"/>
  <c r="DB102" i="4" s="1"/>
  <c r="CY207" i="4"/>
  <c r="CY208" i="4" s="1"/>
  <c r="CZ206" i="4" s="1"/>
  <c r="CQ17" i="4"/>
  <c r="CQ18" i="4" s="1"/>
  <c r="CR16" i="4" s="1"/>
  <c r="BA80" i="4"/>
  <c r="BA81" i="4" s="1"/>
  <c r="BB73" i="4"/>
  <c r="BA119" i="4"/>
  <c r="BA120" i="4" s="1"/>
  <c r="BB112" i="4"/>
  <c r="BA197" i="4"/>
  <c r="BA198" i="4" s="1"/>
  <c r="BB190" i="4"/>
  <c r="AY47" i="4"/>
  <c r="AX54" i="4"/>
  <c r="CX142" i="4"/>
  <c r="CX143" i="4" s="1"/>
  <c r="CY141" i="4" s="1"/>
  <c r="CY181" i="4"/>
  <c r="CY182" i="4" s="1"/>
  <c r="CZ180" i="4" s="1"/>
  <c r="CZ155" i="4"/>
  <c r="CZ156" i="4" s="1"/>
  <c r="DA154" i="4" s="1"/>
  <c r="CZ168" i="4"/>
  <c r="CZ169" i="4" s="1"/>
  <c r="DA167" i="4" s="1"/>
  <c r="AX32" i="4"/>
  <c r="AW35" i="4"/>
  <c r="BB223" i="4"/>
  <c r="BB224" i="4" s="1"/>
  <c r="BC216" i="4"/>
  <c r="BB164" i="4"/>
  <c r="BA171" i="4"/>
  <c r="BA172" i="4" s="1"/>
  <c r="CZ64" i="4"/>
  <c r="CZ65" i="4" s="1"/>
  <c r="DA63" i="4" s="1"/>
  <c r="CZ90" i="4"/>
  <c r="CZ91" i="4" s="1"/>
  <c r="DA89" i="4" s="1"/>
  <c r="BA178" i="4"/>
  <c r="BA179" i="4" s="1"/>
  <c r="BB60" i="4"/>
  <c r="BA67" i="4"/>
  <c r="BA68" i="4" s="1"/>
  <c r="BA204" i="4"/>
  <c r="BA205" i="4" s="1"/>
  <c r="AX30" i="4"/>
  <c r="AX31" i="4" s="1"/>
  <c r="BA87" i="4"/>
  <c r="BA88" i="4" s="1"/>
  <c r="BB139" i="4"/>
  <c r="BB140" i="4" s="1"/>
  <c r="BA229" i="4"/>
  <c r="BA230" i="4" s="1"/>
  <c r="AW251" i="4"/>
  <c r="S68" i="1"/>
  <c r="AV252" i="4"/>
  <c r="T67" i="1" s="1"/>
  <c r="U67" i="1" s="1"/>
  <c r="Q67" i="1"/>
  <c r="AX51" i="4"/>
  <c r="AX52" i="4" s="1"/>
  <c r="BA126" i="4"/>
  <c r="BA127" i="4" s="1"/>
  <c r="CZ116" i="4"/>
  <c r="CZ117" i="4" s="1"/>
  <c r="DA115" i="4" s="1"/>
  <c r="BB241" i="4"/>
  <c r="BB242" i="4" s="1"/>
  <c r="BB100" i="4"/>
  <c r="BB101" i="4" s="1"/>
  <c r="BC138" i="4" l="1"/>
  <c r="BB145" i="4"/>
  <c r="BB146" i="4" s="1"/>
  <c r="DB103" i="4"/>
  <c r="DB104" i="4" s="1"/>
  <c r="DC102" i="4" s="1"/>
  <c r="DA116" i="4"/>
  <c r="DA117" i="4" s="1"/>
  <c r="DB115" i="4" s="1"/>
  <c r="BB125" i="4"/>
  <c r="BA132" i="4"/>
  <c r="BA133" i="4" s="1"/>
  <c r="BA210" i="4"/>
  <c r="BA211" i="4" s="1"/>
  <c r="BB203" i="4"/>
  <c r="AX36" i="4"/>
  <c r="AX250" i="4" s="1"/>
  <c r="AY29" i="4"/>
  <c r="DA155" i="4"/>
  <c r="DA156" i="4" s="1"/>
  <c r="DB154" i="4" s="1"/>
  <c r="BB106" i="4"/>
  <c r="BB107" i="4" s="1"/>
  <c r="BC99" i="4"/>
  <c r="BA184" i="4"/>
  <c r="BA185" i="4" s="1"/>
  <c r="BB177" i="4"/>
  <c r="CR17" i="4"/>
  <c r="CR18" i="4" s="1"/>
  <c r="CS16" i="4" s="1"/>
  <c r="BA93" i="4"/>
  <c r="BA94" i="4" s="1"/>
  <c r="BB86" i="4"/>
  <c r="AX53" i="4"/>
  <c r="AX55" i="4" s="1"/>
  <c r="AY50" i="4"/>
  <c r="CZ181" i="4"/>
  <c r="CZ182" i="4" s="1"/>
  <c r="DA180" i="4" s="1"/>
  <c r="CY194" i="4"/>
  <c r="CY195" i="4" s="1"/>
  <c r="CZ193" i="4" s="1"/>
  <c r="BA235" i="4"/>
  <c r="BA236" i="4" s="1"/>
  <c r="BB228" i="4"/>
  <c r="DA90" i="4"/>
  <c r="DA91" i="4" s="1"/>
  <c r="DB89" i="4" s="1"/>
  <c r="DA129" i="4"/>
  <c r="DA130" i="4" s="1"/>
  <c r="DB128" i="4" s="1"/>
  <c r="AW249" i="4"/>
  <c r="AW37" i="4"/>
  <c r="BB74" i="4"/>
  <c r="BB75" i="4" s="1"/>
  <c r="DA64" i="4"/>
  <c r="DA65" i="4" s="1"/>
  <c r="DB63" i="4" s="1"/>
  <c r="AY48" i="4"/>
  <c r="AY49" i="4" s="1"/>
  <c r="AX33" i="4"/>
  <c r="AX34" i="4" s="1"/>
  <c r="BB191" i="4"/>
  <c r="BB192" i="4" s="1"/>
  <c r="CZ207" i="4"/>
  <c r="CZ208" i="4" s="1"/>
  <c r="DA206" i="4" s="1"/>
  <c r="BB152" i="4"/>
  <c r="BB153" i="4" s="1"/>
  <c r="CY142" i="4"/>
  <c r="CY143" i="4" s="1"/>
  <c r="CZ141" i="4" s="1"/>
  <c r="BB165" i="4"/>
  <c r="BB166" i="4" s="1"/>
  <c r="DB77" i="4"/>
  <c r="DB78" i="4" s="1"/>
  <c r="DC76" i="4" s="1"/>
  <c r="DA168" i="4"/>
  <c r="DA169" i="4" s="1"/>
  <c r="DB167" i="4" s="1"/>
  <c r="BB61" i="4"/>
  <c r="BB62" i="4" s="1"/>
  <c r="BC217" i="4"/>
  <c r="BC218" i="4" s="1"/>
  <c r="BB113" i="4"/>
  <c r="BB114" i="4" s="1"/>
  <c r="BB247" i="4"/>
  <c r="BB248" i="4" s="1"/>
  <c r="BC240" i="4"/>
  <c r="BB171" i="4" l="1"/>
  <c r="BB172" i="4" s="1"/>
  <c r="BC164" i="4"/>
  <c r="BB80" i="4"/>
  <c r="BB81" i="4" s="1"/>
  <c r="BC73" i="4"/>
  <c r="BC112" i="4"/>
  <c r="BB119" i="4"/>
  <c r="BB120" i="4" s="1"/>
  <c r="DB168" i="4"/>
  <c r="DB169" i="4" s="1"/>
  <c r="DC167" i="4" s="1"/>
  <c r="BB158" i="4"/>
  <c r="BB159" i="4" s="1"/>
  <c r="BC151" i="4"/>
  <c r="BD216" i="4"/>
  <c r="BC223" i="4"/>
  <c r="BC224" i="4" s="1"/>
  <c r="DA207" i="4"/>
  <c r="DA208" i="4" s="1"/>
  <c r="DB206" i="4" s="1"/>
  <c r="BB67" i="4"/>
  <c r="BB68" i="4" s="1"/>
  <c r="BC60" i="4"/>
  <c r="BB197" i="4"/>
  <c r="BB198" i="4" s="1"/>
  <c r="BC190" i="4"/>
  <c r="AZ47" i="4"/>
  <c r="AY54" i="4"/>
  <c r="CZ142" i="4"/>
  <c r="CZ143" i="4" s="1"/>
  <c r="DA141" i="4" s="1"/>
  <c r="DA181" i="4"/>
  <c r="DA182" i="4" s="1"/>
  <c r="DB180" i="4" s="1"/>
  <c r="DB129" i="4"/>
  <c r="DB130" i="4" s="1"/>
  <c r="DC128" i="4" s="1"/>
  <c r="DB155" i="4"/>
  <c r="DB156" i="4" s="1"/>
  <c r="DC154" i="4" s="1"/>
  <c r="AY32" i="4"/>
  <c r="AX35" i="4"/>
  <c r="DC103" i="4"/>
  <c r="DC104" i="4" s="1"/>
  <c r="DD102" i="4" s="1"/>
  <c r="DB64" i="4"/>
  <c r="DB65" i="4" s="1"/>
  <c r="DC63" i="4" s="1"/>
  <c r="CS17" i="4"/>
  <c r="CS18" i="4" s="1"/>
  <c r="CT16" i="4" s="1"/>
  <c r="AY51" i="4"/>
  <c r="AY52" i="4" s="1"/>
  <c r="BC100" i="4"/>
  <c r="BC101" i="4" s="1"/>
  <c r="DC77" i="4"/>
  <c r="DC78" i="4" s="1"/>
  <c r="DD76" i="4" s="1"/>
  <c r="DB116" i="4"/>
  <c r="DB117" i="4" s="1"/>
  <c r="DC115" i="4" s="1"/>
  <c r="BB126" i="4"/>
  <c r="BB127" i="4" s="1"/>
  <c r="AY30" i="4"/>
  <c r="AY31" i="4" s="1"/>
  <c r="BB229" i="4"/>
  <c r="BB230" i="4" s="1"/>
  <c r="AX251" i="4"/>
  <c r="S69" i="1"/>
  <c r="DB90" i="4"/>
  <c r="DB91" i="4" s="1"/>
  <c r="DC89" i="4" s="1"/>
  <c r="AW252" i="4"/>
  <c r="T68" i="1" s="1"/>
  <c r="U68" i="1" s="1"/>
  <c r="Q68" i="1"/>
  <c r="BC241" i="4"/>
  <c r="BC242" i="4" s="1"/>
  <c r="BB178" i="4"/>
  <c r="BB179" i="4" s="1"/>
  <c r="BB204" i="4"/>
  <c r="BB205" i="4" s="1"/>
  <c r="BB87" i="4"/>
  <c r="BB88" i="4" s="1"/>
  <c r="CZ194" i="4"/>
  <c r="CZ195" i="4" s="1"/>
  <c r="DA193" i="4" s="1"/>
  <c r="BC139" i="4"/>
  <c r="BC140" i="4" s="1"/>
  <c r="BB235" i="4" l="1"/>
  <c r="BB236" i="4" s="1"/>
  <c r="BC228" i="4"/>
  <c r="AY36" i="4"/>
  <c r="AY250" i="4" s="1"/>
  <c r="AZ29" i="4"/>
  <c r="CT17" i="4"/>
  <c r="CT18" i="4" s="1"/>
  <c r="CU16" i="4" s="1"/>
  <c r="BC247" i="4"/>
  <c r="BC248" i="4" s="1"/>
  <c r="BD240" i="4"/>
  <c r="BB132" i="4"/>
  <c r="BB133" i="4" s="1"/>
  <c r="BC125" i="4"/>
  <c r="DC116" i="4"/>
  <c r="DC117" i="4" s="1"/>
  <c r="DD115" i="4" s="1"/>
  <c r="DA142" i="4"/>
  <c r="DA143" i="4" s="1"/>
  <c r="DB141" i="4" s="1"/>
  <c r="DD77" i="4"/>
  <c r="DD78" i="4" s="1"/>
  <c r="DE76" i="4" s="1"/>
  <c r="BB93" i="4"/>
  <c r="BB94" i="4" s="1"/>
  <c r="BC86" i="4"/>
  <c r="BB184" i="4"/>
  <c r="BB185" i="4" s="1"/>
  <c r="BC177" i="4"/>
  <c r="DC129" i="4"/>
  <c r="DC130" i="4" s="1"/>
  <c r="DD128" i="4" s="1"/>
  <c r="DC64" i="4"/>
  <c r="DC65" i="4" s="1"/>
  <c r="DD63" i="4" s="1"/>
  <c r="BC145" i="4"/>
  <c r="BC146" i="4" s="1"/>
  <c r="BD138" i="4"/>
  <c r="DA194" i="4"/>
  <c r="DA195" i="4" s="1"/>
  <c r="DB193" i="4" s="1"/>
  <c r="BC203" i="4"/>
  <c r="BB210" i="4"/>
  <c r="BB211" i="4" s="1"/>
  <c r="AY53" i="4"/>
  <c r="AY55" i="4" s="1"/>
  <c r="AZ50" i="4"/>
  <c r="BC61" i="4"/>
  <c r="BC62" i="4" s="1"/>
  <c r="BC106" i="4"/>
  <c r="BC107" i="4" s="1"/>
  <c r="BD99" i="4"/>
  <c r="DC168" i="4"/>
  <c r="DC169" i="4" s="1"/>
  <c r="DD167" i="4" s="1"/>
  <c r="AY33" i="4"/>
  <c r="AY34" i="4" s="1"/>
  <c r="BC113" i="4"/>
  <c r="BC114" i="4" s="1"/>
  <c r="AX249" i="4"/>
  <c r="AX37" i="4"/>
  <c r="BC74" i="4"/>
  <c r="BC75" i="4" s="1"/>
  <c r="AZ48" i="4"/>
  <c r="AZ49" i="4" s="1"/>
  <c r="BD217" i="4"/>
  <c r="BD218" i="4" s="1"/>
  <c r="DB181" i="4"/>
  <c r="DB182" i="4" s="1"/>
  <c r="DC180" i="4" s="1"/>
  <c r="DC155" i="4"/>
  <c r="DC156" i="4" s="1"/>
  <c r="DD154" i="4" s="1"/>
  <c r="BC191" i="4"/>
  <c r="BC192" i="4" s="1"/>
  <c r="BC152" i="4"/>
  <c r="BC153" i="4" s="1"/>
  <c r="BC165" i="4"/>
  <c r="BC166" i="4" s="1"/>
  <c r="DD103" i="4"/>
  <c r="DD104" i="4" s="1"/>
  <c r="DE102" i="4" s="1"/>
  <c r="DC90" i="4"/>
  <c r="DC91" i="4" s="1"/>
  <c r="DD89" i="4" s="1"/>
  <c r="DB207" i="4"/>
  <c r="DB208" i="4" s="1"/>
  <c r="DC206" i="4" s="1"/>
  <c r="CU17" i="4" l="1"/>
  <c r="CU18" i="4" s="1"/>
  <c r="CV16" i="4" s="1"/>
  <c r="BC158" i="4"/>
  <c r="BC159" i="4" s="1"/>
  <c r="BD151" i="4"/>
  <c r="BC80" i="4"/>
  <c r="BC81" i="4" s="1"/>
  <c r="BD73" i="4"/>
  <c r="DC207" i="4"/>
  <c r="DC208" i="4" s="1"/>
  <c r="DD206" i="4" s="1"/>
  <c r="BC119" i="4"/>
  <c r="BC120" i="4" s="1"/>
  <c r="BD112" i="4"/>
  <c r="DD129" i="4"/>
  <c r="DD130" i="4" s="1"/>
  <c r="DE128" i="4" s="1"/>
  <c r="DD116" i="4"/>
  <c r="DD117" i="4" s="1"/>
  <c r="DE115" i="4" s="1"/>
  <c r="BC171" i="4"/>
  <c r="BC172" i="4" s="1"/>
  <c r="BD164" i="4"/>
  <c r="BC67" i="4"/>
  <c r="BC68" i="4" s="1"/>
  <c r="BD60" i="4"/>
  <c r="DD155" i="4"/>
  <c r="DD156" i="4" s="1"/>
  <c r="DE154" i="4" s="1"/>
  <c r="DC181" i="4"/>
  <c r="DC182" i="4" s="1"/>
  <c r="DD180" i="4" s="1"/>
  <c r="BD223" i="4"/>
  <c r="BD224" i="4" s="1"/>
  <c r="BE216" i="4"/>
  <c r="DE103" i="4"/>
  <c r="DE104" i="4" s="1"/>
  <c r="DF102" i="4" s="1"/>
  <c r="DD168" i="4"/>
  <c r="DD169" i="4"/>
  <c r="DE167" i="4" s="1"/>
  <c r="BA47" i="4"/>
  <c r="AZ54" i="4"/>
  <c r="AZ32" i="4"/>
  <c r="AY35" i="4"/>
  <c r="AZ51" i="4"/>
  <c r="AZ52" i="4" s="1"/>
  <c r="BD241" i="4"/>
  <c r="BD242" i="4" s="1"/>
  <c r="BD100" i="4"/>
  <c r="BD101" i="4" s="1"/>
  <c r="BC204" i="4"/>
  <c r="BC205" i="4" s="1"/>
  <c r="DD90" i="4"/>
  <c r="DD91" i="4" s="1"/>
  <c r="DE89" i="4" s="1"/>
  <c r="DB142" i="4"/>
  <c r="DB143" i="4" s="1"/>
  <c r="DC141" i="4" s="1"/>
  <c r="DB194" i="4"/>
  <c r="DB195" i="4" s="1"/>
  <c r="DC193" i="4" s="1"/>
  <c r="BC178" i="4"/>
  <c r="BC179" i="4" s="1"/>
  <c r="AZ30" i="4"/>
  <c r="AZ31" i="4" s="1"/>
  <c r="BC197" i="4"/>
  <c r="BC198" i="4" s="1"/>
  <c r="BD190" i="4"/>
  <c r="AY251" i="4"/>
  <c r="S70" i="1"/>
  <c r="DE77" i="4"/>
  <c r="DE78" i="4" s="1"/>
  <c r="DF76" i="4" s="1"/>
  <c r="AX252" i="4"/>
  <c r="T69" i="1" s="1"/>
  <c r="U69" i="1" s="1"/>
  <c r="Q69" i="1"/>
  <c r="BD139" i="4"/>
  <c r="BD140" i="4" s="1"/>
  <c r="BC87" i="4"/>
  <c r="BC88" i="4" s="1"/>
  <c r="BC126" i="4"/>
  <c r="BC127" i="4" s="1"/>
  <c r="BC229" i="4"/>
  <c r="BC230" i="4" s="1"/>
  <c r="DD64" i="4"/>
  <c r="DD65" i="4" s="1"/>
  <c r="DE63" i="4" s="1"/>
  <c r="BE99" i="4" l="1"/>
  <c r="BD106" i="4"/>
  <c r="BD107" i="4" s="1"/>
  <c r="BC235" i="4"/>
  <c r="BC236" i="4" s="1"/>
  <c r="BD228" i="4"/>
  <c r="BC93" i="4"/>
  <c r="BC94" i="4" s="1"/>
  <c r="BD86" i="4"/>
  <c r="DC194" i="4"/>
  <c r="DC195" i="4" s="1"/>
  <c r="DD193" i="4" s="1"/>
  <c r="BC210" i="4"/>
  <c r="BC211" i="4" s="1"/>
  <c r="BD203" i="4"/>
  <c r="DD207" i="4"/>
  <c r="DD208" i="4" s="1"/>
  <c r="DE206" i="4" s="1"/>
  <c r="AZ36" i="4"/>
  <c r="AZ250" i="4" s="1"/>
  <c r="BA29" i="4"/>
  <c r="BA50" i="4"/>
  <c r="AZ53" i="4"/>
  <c r="AZ55" i="4" s="1"/>
  <c r="DC142" i="4"/>
  <c r="DC143" i="4" s="1"/>
  <c r="DD141" i="4" s="1"/>
  <c r="DD181" i="4"/>
  <c r="DD182" i="4" s="1"/>
  <c r="DE180" i="4" s="1"/>
  <c r="BD125" i="4"/>
  <c r="BC132" i="4"/>
  <c r="BC133" i="4" s="1"/>
  <c r="BD247" i="4"/>
  <c r="BD248" i="4" s="1"/>
  <c r="BE240" i="4"/>
  <c r="BD145" i="4"/>
  <c r="BD146" i="4" s="1"/>
  <c r="BE138" i="4"/>
  <c r="BC184" i="4"/>
  <c r="BC185" i="4" s="1"/>
  <c r="BD177" i="4"/>
  <c r="DE116" i="4"/>
  <c r="DE117" i="4" s="1"/>
  <c r="DF115" i="4" s="1"/>
  <c r="DF77" i="4"/>
  <c r="DF78" i="4" s="1"/>
  <c r="DG76" i="4" s="1"/>
  <c r="DE90" i="4"/>
  <c r="DE91" i="4" s="1"/>
  <c r="DF89" i="4" s="1"/>
  <c r="CV17" i="4"/>
  <c r="CV18" i="4" s="1"/>
  <c r="CW16" i="4" s="1"/>
  <c r="AY249" i="4"/>
  <c r="AY37" i="4"/>
  <c r="BE217" i="4"/>
  <c r="BE218" i="4" s="1"/>
  <c r="BD165" i="4"/>
  <c r="BD166" i="4" s="1"/>
  <c r="BD74" i="4"/>
  <c r="BD75" i="4" s="1"/>
  <c r="AZ33" i="4"/>
  <c r="AZ34" i="4" s="1"/>
  <c r="BA48" i="4"/>
  <c r="BA49" i="4" s="1"/>
  <c r="BD191" i="4"/>
  <c r="BD192" i="4" s="1"/>
  <c r="DE168" i="4"/>
  <c r="DE169" i="4" s="1"/>
  <c r="DF167" i="4" s="1"/>
  <c r="DE155" i="4"/>
  <c r="DE156" i="4" s="1"/>
  <c r="DF154" i="4" s="1"/>
  <c r="DE129" i="4"/>
  <c r="DE130" i="4" s="1"/>
  <c r="DF128" i="4" s="1"/>
  <c r="BD152" i="4"/>
  <c r="BD153" i="4" s="1"/>
  <c r="DF103" i="4"/>
  <c r="DF104" i="4" s="1"/>
  <c r="DG102" i="4" s="1"/>
  <c r="BD61" i="4"/>
  <c r="BD62" i="4" s="1"/>
  <c r="BD113" i="4"/>
  <c r="BD114" i="4" s="1"/>
  <c r="DE64" i="4"/>
  <c r="DE65" i="4" s="1"/>
  <c r="DF63" i="4" s="1"/>
  <c r="DD194" i="4" l="1"/>
  <c r="DD195" i="4" s="1"/>
  <c r="DE193" i="4" s="1"/>
  <c r="DF155" i="4"/>
  <c r="DF156" i="4" s="1"/>
  <c r="DG154" i="4" s="1"/>
  <c r="DF64" i="4"/>
  <c r="DF65" i="4" s="1"/>
  <c r="DG63" i="4" s="1"/>
  <c r="DF90" i="4"/>
  <c r="DF91" i="4" s="1"/>
  <c r="DG89" i="4" s="1"/>
  <c r="DF168" i="4"/>
  <c r="DF169" i="4" s="1"/>
  <c r="DG167" i="4" s="1"/>
  <c r="CW17" i="4"/>
  <c r="CW18" i="4" s="1"/>
  <c r="CX16" i="4" s="1"/>
  <c r="BA54" i="4"/>
  <c r="BB47" i="4"/>
  <c r="BD67" i="4"/>
  <c r="BD68" i="4" s="1"/>
  <c r="BE60" i="4"/>
  <c r="DG77" i="4"/>
  <c r="DG78" i="4" s="1"/>
  <c r="DH76" i="4" s="1"/>
  <c r="BD80" i="4"/>
  <c r="BD81" i="4" s="1"/>
  <c r="BE73" i="4"/>
  <c r="BE164" i="4"/>
  <c r="BD171" i="4"/>
  <c r="BD172" i="4" s="1"/>
  <c r="DE207" i="4"/>
  <c r="DE208" i="4" s="1"/>
  <c r="DF206" i="4" s="1"/>
  <c r="DD142" i="4"/>
  <c r="DD143" i="4" s="1"/>
  <c r="DE141" i="4" s="1"/>
  <c r="BD197" i="4"/>
  <c r="BD198" i="4" s="1"/>
  <c r="BE190" i="4"/>
  <c r="BD119" i="4"/>
  <c r="BD120" i="4" s="1"/>
  <c r="BE112" i="4"/>
  <c r="BA32" i="4"/>
  <c r="AZ35" i="4"/>
  <c r="DG103" i="4"/>
  <c r="DG104" i="4" s="1"/>
  <c r="DH102" i="4" s="1"/>
  <c r="BD158" i="4"/>
  <c r="BD159" i="4" s="1"/>
  <c r="BE151" i="4"/>
  <c r="DF129" i="4"/>
  <c r="DF130" i="4"/>
  <c r="DG128" i="4" s="1"/>
  <c r="BF216" i="4"/>
  <c r="BE223" i="4"/>
  <c r="BE224" i="4" s="1"/>
  <c r="BD87" i="4"/>
  <c r="BD88" i="4" s="1"/>
  <c r="AZ251" i="4"/>
  <c r="S71" i="1"/>
  <c r="AY252" i="4"/>
  <c r="T70" i="1" s="1"/>
  <c r="U70" i="1" s="1"/>
  <c r="Q70" i="1"/>
  <c r="BD178" i="4"/>
  <c r="BD179" i="4" s="1"/>
  <c r="BD229" i="4"/>
  <c r="BD230" i="4" s="1"/>
  <c r="BA30" i="4"/>
  <c r="BA31" i="4" s="1"/>
  <c r="BA51" i="4"/>
  <c r="BA52" i="4" s="1"/>
  <c r="DF116" i="4"/>
  <c r="DF117" i="4" s="1"/>
  <c r="DG115" i="4" s="1"/>
  <c r="BE139" i="4"/>
  <c r="BE140" i="4" s="1"/>
  <c r="BD204" i="4"/>
  <c r="BD205" i="4" s="1"/>
  <c r="BE241" i="4"/>
  <c r="BE242" i="4" s="1"/>
  <c r="BD126" i="4"/>
  <c r="BD127" i="4" s="1"/>
  <c r="DE181" i="4"/>
  <c r="DE182" i="4" s="1"/>
  <c r="DF180" i="4" s="1"/>
  <c r="BE100" i="4"/>
  <c r="BE101" i="4" s="1"/>
  <c r="BE145" i="4" l="1"/>
  <c r="BE146" i="4" s="1"/>
  <c r="BF138" i="4"/>
  <c r="CX17" i="4"/>
  <c r="CX18" i="4" s="1"/>
  <c r="CY16" i="4" s="1"/>
  <c r="DG116" i="4"/>
  <c r="DG117" i="4" s="1"/>
  <c r="DH115" i="4" s="1"/>
  <c r="BD93" i="4"/>
  <c r="BD94" i="4" s="1"/>
  <c r="BE86" i="4"/>
  <c r="BE203" i="4"/>
  <c r="BD210" i="4"/>
  <c r="BD211" i="4" s="1"/>
  <c r="DE142" i="4"/>
  <c r="DE143" i="4" s="1"/>
  <c r="DF141" i="4" s="1"/>
  <c r="BB50" i="4"/>
  <c r="BA53" i="4"/>
  <c r="BA55" i="4" s="1"/>
  <c r="DH103" i="4"/>
  <c r="DH104" i="4" s="1"/>
  <c r="DI102" i="4" s="1"/>
  <c r="DG64" i="4"/>
  <c r="DG65" i="4" s="1"/>
  <c r="DH63" i="4" s="1"/>
  <c r="BF99" i="4"/>
  <c r="BE106" i="4"/>
  <c r="BE107" i="4" s="1"/>
  <c r="BD235" i="4"/>
  <c r="BD236" i="4" s="1"/>
  <c r="BE228" i="4"/>
  <c r="BF240" i="4"/>
  <c r="BE247" i="4"/>
  <c r="BE248" i="4" s="1"/>
  <c r="DG90" i="4"/>
  <c r="DG91" i="4" s="1"/>
  <c r="DH89" i="4" s="1"/>
  <c r="BA36" i="4"/>
  <c r="BA250" i="4" s="1"/>
  <c r="BB29" i="4"/>
  <c r="DF181" i="4"/>
  <c r="DF182" i="4" s="1"/>
  <c r="DG180" i="4" s="1"/>
  <c r="BD132" i="4"/>
  <c r="BD133" i="4" s="1"/>
  <c r="BE125" i="4"/>
  <c r="DE194" i="4"/>
  <c r="DE195" i="4" s="1"/>
  <c r="DF193" i="4" s="1"/>
  <c r="AZ249" i="4"/>
  <c r="AZ37" i="4"/>
  <c r="BE61" i="4"/>
  <c r="BE62" i="4" s="1"/>
  <c r="BD184" i="4"/>
  <c r="BD185" i="4" s="1"/>
  <c r="BE177" i="4"/>
  <c r="BF217" i="4"/>
  <c r="BF218" i="4" s="1"/>
  <c r="BE165" i="4"/>
  <c r="BE166" i="4" s="1"/>
  <c r="BE113" i="4"/>
  <c r="BE114" i="4" s="1"/>
  <c r="DG155" i="4"/>
  <c r="DG156" i="4" s="1"/>
  <c r="DH154" i="4" s="1"/>
  <c r="DG129" i="4"/>
  <c r="DG130" i="4" s="1"/>
  <c r="DH128" i="4" s="1"/>
  <c r="BB48" i="4"/>
  <c r="BB49" i="4" s="1"/>
  <c r="BA33" i="4"/>
  <c r="BA34" i="4" s="1"/>
  <c r="BE152" i="4"/>
  <c r="BE153" i="4" s="1"/>
  <c r="BE74" i="4"/>
  <c r="BE75" i="4" s="1"/>
  <c r="DH77" i="4"/>
  <c r="DH78" i="4" s="1"/>
  <c r="DI76" i="4" s="1"/>
  <c r="DG168" i="4"/>
  <c r="DG169" i="4" s="1"/>
  <c r="DH167" i="4" s="1"/>
  <c r="DF207" i="4"/>
  <c r="DF208" i="4" s="1"/>
  <c r="DG206" i="4" s="1"/>
  <c r="BE191" i="4"/>
  <c r="BE192" i="4" s="1"/>
  <c r="BE197" i="4" l="1"/>
  <c r="BE198" i="4" s="1"/>
  <c r="BF190" i="4"/>
  <c r="BB54" i="4"/>
  <c r="BC47" i="4"/>
  <c r="DH64" i="4"/>
  <c r="DH65" i="4" s="1"/>
  <c r="DI63" i="4" s="1"/>
  <c r="BE80" i="4"/>
  <c r="BE81" i="4" s="1"/>
  <c r="BF73" i="4"/>
  <c r="BE67" i="4"/>
  <c r="BE68" i="4" s="1"/>
  <c r="BF60" i="4"/>
  <c r="DG207" i="4"/>
  <c r="DG208" i="4" s="1"/>
  <c r="DH206" i="4" s="1"/>
  <c r="DH90" i="4"/>
  <c r="DH91" i="4" s="1"/>
  <c r="DI89" i="4" s="1"/>
  <c r="DH168" i="4"/>
  <c r="DH169" i="4" s="1"/>
  <c r="DI167" i="4" s="1"/>
  <c r="DF194" i="4"/>
  <c r="DF195" i="4" s="1"/>
  <c r="DG193" i="4" s="1"/>
  <c r="BE171" i="4"/>
  <c r="BE172" i="4" s="1"/>
  <c r="BF164" i="4"/>
  <c r="BF223" i="4"/>
  <c r="BF224" i="4" s="1"/>
  <c r="BG216" i="4"/>
  <c r="DF142" i="4"/>
  <c r="DF143" i="4" s="1"/>
  <c r="DG141" i="4" s="1"/>
  <c r="DH129" i="4"/>
  <c r="DH130" i="4" s="1"/>
  <c r="DI128" i="4" s="1"/>
  <c r="DH155" i="4"/>
  <c r="DH156" i="4" s="1"/>
  <c r="DI154" i="4" s="1"/>
  <c r="BE119" i="4"/>
  <c r="BE120" i="4" s="1"/>
  <c r="BF112" i="4"/>
  <c r="DI77" i="4"/>
  <c r="DI78" i="4" s="1"/>
  <c r="DJ76" i="4" s="1"/>
  <c r="CY17" i="4"/>
  <c r="CY18" i="4" s="1"/>
  <c r="CZ16" i="4" s="1"/>
  <c r="BF151" i="4"/>
  <c r="BE158" i="4"/>
  <c r="BE159" i="4" s="1"/>
  <c r="BB32" i="4"/>
  <c r="BA35" i="4"/>
  <c r="BE178" i="4"/>
  <c r="BE179" i="4" s="1"/>
  <c r="BE126" i="4"/>
  <c r="BE127" i="4" s="1"/>
  <c r="BE87" i="4"/>
  <c r="BE88" i="4" s="1"/>
  <c r="DH116" i="4"/>
  <c r="DH117" i="4" s="1"/>
  <c r="DI115" i="4" s="1"/>
  <c r="BB51" i="4"/>
  <c r="BB52" i="4" s="1"/>
  <c r="DI103" i="4"/>
  <c r="DI104" i="4" s="1"/>
  <c r="DJ102" i="4" s="1"/>
  <c r="BB30" i="4"/>
  <c r="BB31" i="4" s="1"/>
  <c r="DG181" i="4"/>
  <c r="DG182" i="4" s="1"/>
  <c r="DH180" i="4" s="1"/>
  <c r="BA251" i="4"/>
  <c r="S72" i="1"/>
  <c r="BF100" i="4"/>
  <c r="BF101" i="4" s="1"/>
  <c r="BF139" i="4"/>
  <c r="BF140" i="4" s="1"/>
  <c r="BF241" i="4"/>
  <c r="BF242" i="4" s="1"/>
  <c r="BE229" i="4"/>
  <c r="BE230" i="4" s="1"/>
  <c r="AZ252" i="4"/>
  <c r="T71" i="1" s="1"/>
  <c r="U71" i="1" s="1"/>
  <c r="Q71" i="1"/>
  <c r="BE204" i="4"/>
  <c r="BE205" i="4" s="1"/>
  <c r="BF247" i="4" l="1"/>
  <c r="BF248" i="4" s="1"/>
  <c r="BG240" i="4"/>
  <c r="BB36" i="4"/>
  <c r="BB250" i="4" s="1"/>
  <c r="BC29" i="4"/>
  <c r="DI168" i="4"/>
  <c r="DI169" i="4" s="1"/>
  <c r="DJ167" i="4" s="1"/>
  <c r="DI116" i="4"/>
  <c r="DI117" i="4" s="1"/>
  <c r="DJ115" i="4" s="1"/>
  <c r="BE235" i="4"/>
  <c r="BE236" i="4" s="1"/>
  <c r="BF228" i="4"/>
  <c r="DG194" i="4"/>
  <c r="DG195" i="4" s="1"/>
  <c r="DH193" i="4" s="1"/>
  <c r="DI129" i="4"/>
  <c r="DI130" i="4" s="1"/>
  <c r="DJ128" i="4" s="1"/>
  <c r="BF145" i="4"/>
  <c r="BF146" i="4" s="1"/>
  <c r="BG138" i="4"/>
  <c r="BG99" i="4"/>
  <c r="BF106" i="4"/>
  <c r="BF107" i="4" s="1"/>
  <c r="BF86" i="4"/>
  <c r="BE93" i="4"/>
  <c r="BE94" i="4" s="1"/>
  <c r="BE210" i="4"/>
  <c r="BE211" i="4" s="1"/>
  <c r="BF203" i="4"/>
  <c r="BE132" i="4"/>
  <c r="BE133" i="4" s="1"/>
  <c r="BF125" i="4"/>
  <c r="DI155" i="4"/>
  <c r="DI156" i="4" s="1"/>
  <c r="DJ154" i="4" s="1"/>
  <c r="DJ103" i="4"/>
  <c r="DJ104" i="4" s="1"/>
  <c r="DK102" i="4" s="1"/>
  <c r="BC50" i="4"/>
  <c r="BB53" i="4"/>
  <c r="BB55" i="4" s="1"/>
  <c r="CZ17" i="4"/>
  <c r="CZ18" i="4" s="1"/>
  <c r="DA16" i="4" s="1"/>
  <c r="BE184" i="4"/>
  <c r="BE185" i="4" s="1"/>
  <c r="BF177" i="4"/>
  <c r="BF74" i="4"/>
  <c r="BF75" i="4" s="1"/>
  <c r="DH181" i="4"/>
  <c r="DH182" i="4" s="1"/>
  <c r="DI180" i="4" s="1"/>
  <c r="DI64" i="4"/>
  <c r="DI65" i="4" s="1"/>
  <c r="DJ63" i="4" s="1"/>
  <c r="DG142" i="4"/>
  <c r="DG143" i="4" s="1"/>
  <c r="DH141" i="4" s="1"/>
  <c r="DI90" i="4"/>
  <c r="DI91" i="4" s="1"/>
  <c r="DJ89" i="4" s="1"/>
  <c r="BF165" i="4"/>
  <c r="BF166" i="4" s="1"/>
  <c r="DH207" i="4"/>
  <c r="DH208" i="4" s="1"/>
  <c r="DI206" i="4" s="1"/>
  <c r="BC48" i="4"/>
  <c r="BC49" i="4" s="1"/>
  <c r="BF113" i="4"/>
  <c r="BF114" i="4" s="1"/>
  <c r="BB33" i="4"/>
  <c r="BB34" i="4" s="1"/>
  <c r="BF152" i="4"/>
  <c r="BF153" i="4" s="1"/>
  <c r="DJ77" i="4"/>
  <c r="DJ78" i="4" s="1"/>
  <c r="DK76" i="4" s="1"/>
  <c r="BG217" i="4"/>
  <c r="BG218" i="4" s="1"/>
  <c r="BF61" i="4"/>
  <c r="BF62" i="4" s="1"/>
  <c r="BF191" i="4"/>
  <c r="BF192" i="4" s="1"/>
  <c r="BA249" i="4"/>
  <c r="BA37" i="4"/>
  <c r="DJ64" i="4" l="1"/>
  <c r="DJ65" i="4" s="1"/>
  <c r="DK63" i="4" s="1"/>
  <c r="BB35" i="4"/>
  <c r="BC32" i="4"/>
  <c r="BF119" i="4"/>
  <c r="BF120" i="4" s="1"/>
  <c r="BG112" i="4"/>
  <c r="DI181" i="4"/>
  <c r="DI182" i="4" s="1"/>
  <c r="DJ180" i="4" s="1"/>
  <c r="DJ168" i="4"/>
  <c r="DJ169" i="4" s="1"/>
  <c r="DK167" i="4" s="1"/>
  <c r="DI207" i="4"/>
  <c r="DI208" i="4" s="1"/>
  <c r="DJ206" i="4" s="1"/>
  <c r="DK77" i="4"/>
  <c r="DK78" i="4" s="1"/>
  <c r="DL76" i="4" s="1"/>
  <c r="DK103" i="4"/>
  <c r="DK104" i="4" s="1"/>
  <c r="DL102" i="4" s="1"/>
  <c r="DJ155" i="4"/>
  <c r="DJ156" i="4" s="1"/>
  <c r="DK154" i="4" s="1"/>
  <c r="BG73" i="4"/>
  <c r="BF80" i="4"/>
  <c r="BF81" i="4" s="1"/>
  <c r="BF67" i="4"/>
  <c r="BF68" i="4" s="1"/>
  <c r="BG60" i="4"/>
  <c r="BF171" i="4"/>
  <c r="BF172" i="4" s="1"/>
  <c r="BG164" i="4"/>
  <c r="DJ129" i="4"/>
  <c r="DJ130" i="4" s="1"/>
  <c r="DK128" i="4" s="1"/>
  <c r="BF158" i="4"/>
  <c r="BF159" i="4" s="1"/>
  <c r="BG151" i="4"/>
  <c r="DJ116" i="4"/>
  <c r="DJ117" i="4" s="1"/>
  <c r="DK115" i="4" s="1"/>
  <c r="BC54" i="4"/>
  <c r="BD47" i="4"/>
  <c r="BG190" i="4"/>
  <c r="BF197" i="4"/>
  <c r="BF198" i="4" s="1"/>
  <c r="BH216" i="4"/>
  <c r="BG223" i="4"/>
  <c r="BG224" i="4" s="1"/>
  <c r="DJ90" i="4"/>
  <c r="DJ91" i="4" s="1"/>
  <c r="DK89" i="4" s="1"/>
  <c r="DA17" i="4"/>
  <c r="DA18" i="4" s="1"/>
  <c r="DB16" i="4" s="1"/>
  <c r="DH194" i="4"/>
  <c r="DH195" i="4" s="1"/>
  <c r="DI193" i="4" s="1"/>
  <c r="BF126" i="4"/>
  <c r="BF127" i="4" s="1"/>
  <c r="BG139" i="4"/>
  <c r="BG140" i="4" s="1"/>
  <c r="BF204" i="4"/>
  <c r="BF205" i="4" s="1"/>
  <c r="BC51" i="4"/>
  <c r="BC52" i="4" s="1"/>
  <c r="BC30" i="4"/>
  <c r="BC31" i="4" s="1"/>
  <c r="BB251" i="4"/>
  <c r="S73" i="1"/>
  <c r="BF87" i="4"/>
  <c r="BF88" i="4" s="1"/>
  <c r="BF178" i="4"/>
  <c r="BF179" i="4" s="1"/>
  <c r="BF229" i="4"/>
  <c r="BF230" i="4" s="1"/>
  <c r="BG241" i="4"/>
  <c r="BG242" i="4" s="1"/>
  <c r="BA252" i="4"/>
  <c r="T72" i="1" s="1"/>
  <c r="U72" i="1" s="1"/>
  <c r="Q72" i="1"/>
  <c r="DH142" i="4"/>
  <c r="DH143" i="4" s="1"/>
  <c r="DI141" i="4" s="1"/>
  <c r="BG100" i="4"/>
  <c r="BG101" i="4" s="1"/>
  <c r="BG247" i="4" l="1"/>
  <c r="BG248" i="4" s="1"/>
  <c r="BH240" i="4"/>
  <c r="BF132" i="4"/>
  <c r="BF133" i="4" s="1"/>
  <c r="BG125" i="4"/>
  <c r="BD50" i="4"/>
  <c r="BC53" i="4"/>
  <c r="BC55" i="4" s="1"/>
  <c r="BG145" i="4"/>
  <c r="BG146" i="4" s="1"/>
  <c r="BH138" i="4"/>
  <c r="BF184" i="4"/>
  <c r="BF185" i="4" s="1"/>
  <c r="BG177" i="4"/>
  <c r="DI194" i="4"/>
  <c r="DI195" i="4" s="1"/>
  <c r="DJ193" i="4" s="1"/>
  <c r="BG106" i="4"/>
  <c r="BG107" i="4" s="1"/>
  <c r="BH99" i="4"/>
  <c r="DI142" i="4"/>
  <c r="DI143" i="4" s="1"/>
  <c r="DJ141" i="4" s="1"/>
  <c r="DK116" i="4"/>
  <c r="DK117" i="4" s="1"/>
  <c r="DL115" i="4" s="1"/>
  <c r="DJ207" i="4"/>
  <c r="DJ208" i="4" s="1"/>
  <c r="DK206" i="4" s="1"/>
  <c r="BF210" i="4"/>
  <c r="BF211" i="4" s="1"/>
  <c r="BG203" i="4"/>
  <c r="BF235" i="4"/>
  <c r="BF236" i="4" s="1"/>
  <c r="BG228" i="4"/>
  <c r="BF93" i="4"/>
  <c r="BF94" i="4" s="1"/>
  <c r="BG86" i="4"/>
  <c r="DB17" i="4"/>
  <c r="DB18" i="4" s="1"/>
  <c r="DC16" i="4" s="1"/>
  <c r="DL77" i="4"/>
  <c r="DL78" i="4" s="1"/>
  <c r="DM76" i="4" s="1"/>
  <c r="BC36" i="4"/>
  <c r="BC250" i="4" s="1"/>
  <c r="BD29" i="4"/>
  <c r="DK168" i="4"/>
  <c r="DK169" i="4" s="1"/>
  <c r="DL167" i="4" s="1"/>
  <c r="BD48" i="4"/>
  <c r="BD49" i="4" s="1"/>
  <c r="BG165" i="4"/>
  <c r="BG166" i="4" s="1"/>
  <c r="BG113" i="4"/>
  <c r="BG114" i="4" s="1"/>
  <c r="BG61" i="4"/>
  <c r="BG62" i="4" s="1"/>
  <c r="BG152" i="4"/>
  <c r="BG153" i="4" s="1"/>
  <c r="BC33" i="4"/>
  <c r="BC34" i="4" s="1"/>
  <c r="DK90" i="4"/>
  <c r="DK91" i="4" s="1"/>
  <c r="DL89" i="4" s="1"/>
  <c r="BB249" i="4"/>
  <c r="BB37" i="4"/>
  <c r="DL103" i="4"/>
  <c r="DL104" i="4" s="1"/>
  <c r="DM102" i="4" s="1"/>
  <c r="DK129" i="4"/>
  <c r="DK130" i="4" s="1"/>
  <c r="DL128" i="4" s="1"/>
  <c r="DK155" i="4"/>
  <c r="DK156" i="4" s="1"/>
  <c r="DL154" i="4" s="1"/>
  <c r="DK64" i="4"/>
  <c r="DK65" i="4" s="1"/>
  <c r="DL63" i="4" s="1"/>
  <c r="DJ181" i="4"/>
  <c r="DJ182" i="4" s="1"/>
  <c r="DK180" i="4" s="1"/>
  <c r="BH217" i="4"/>
  <c r="BH218" i="4" s="1"/>
  <c r="BG74" i="4"/>
  <c r="BG75" i="4" s="1"/>
  <c r="BG191" i="4"/>
  <c r="BG192" i="4" s="1"/>
  <c r="DC17" i="4" l="1"/>
  <c r="DC18" i="4" s="1"/>
  <c r="DD16" i="4" s="1"/>
  <c r="BH164" i="4"/>
  <c r="BG171" i="4"/>
  <c r="BG172" i="4" s="1"/>
  <c r="DM103" i="4"/>
  <c r="DM104" i="4" s="1"/>
  <c r="DN102" i="4" s="1"/>
  <c r="BH223" i="4"/>
  <c r="BH224" i="4" s="1"/>
  <c r="BI216" i="4"/>
  <c r="DJ142" i="4"/>
  <c r="DJ143" i="4" s="1"/>
  <c r="DK141" i="4" s="1"/>
  <c r="DL64" i="4"/>
  <c r="DL65" i="4" s="1"/>
  <c r="DM63" i="4" s="1"/>
  <c r="DL168" i="4"/>
  <c r="DL169" i="4" s="1"/>
  <c r="DM167" i="4" s="1"/>
  <c r="BG197" i="4"/>
  <c r="BG198" i="4" s="1"/>
  <c r="BH190" i="4"/>
  <c r="BH151" i="4"/>
  <c r="BG158" i="4"/>
  <c r="BG159" i="4" s="1"/>
  <c r="DL116" i="4"/>
  <c r="DL117" i="4" s="1"/>
  <c r="DM115" i="4" s="1"/>
  <c r="BD54" i="4"/>
  <c r="BE47" i="4"/>
  <c r="BC35" i="4"/>
  <c r="BD32" i="4"/>
  <c r="DL129" i="4"/>
  <c r="DL130" i="4" s="1"/>
  <c r="DM128" i="4" s="1"/>
  <c r="BG67" i="4"/>
  <c r="BG68" i="4" s="1"/>
  <c r="BH60" i="4"/>
  <c r="DM77" i="4"/>
  <c r="DM78" i="4" s="1"/>
  <c r="DN76" i="4" s="1"/>
  <c r="DK207" i="4"/>
  <c r="DK208" i="4" s="1"/>
  <c r="DL206" i="4" s="1"/>
  <c r="DL155" i="4"/>
  <c r="DL156" i="4" s="1"/>
  <c r="DM154" i="4" s="1"/>
  <c r="DL90" i="4"/>
  <c r="DL91" i="4" s="1"/>
  <c r="DM89" i="4" s="1"/>
  <c r="BD30" i="4"/>
  <c r="BD31" i="4" s="1"/>
  <c r="BG229" i="4"/>
  <c r="BG230" i="4" s="1"/>
  <c r="BH139" i="4"/>
  <c r="BH140" i="4" s="1"/>
  <c r="BG119" i="4"/>
  <c r="BG120" i="4" s="1"/>
  <c r="BH112" i="4"/>
  <c r="BH73" i="4"/>
  <c r="BG80" i="4"/>
  <c r="BG81" i="4" s="1"/>
  <c r="BD51" i="4"/>
  <c r="BD52" i="4" s="1"/>
  <c r="DK181" i="4"/>
  <c r="DK182" i="4" s="1"/>
  <c r="DL180" i="4" s="1"/>
  <c r="DJ194" i="4"/>
  <c r="DJ195" i="4" s="1"/>
  <c r="DK193" i="4" s="1"/>
  <c r="BG126" i="4"/>
  <c r="BG127" i="4" s="1"/>
  <c r="BH100" i="4"/>
  <c r="BH101" i="4" s="1"/>
  <c r="BB252" i="4"/>
  <c r="T73" i="1" s="1"/>
  <c r="U73" i="1" s="1"/>
  <c r="Q73" i="1"/>
  <c r="BG87" i="4"/>
  <c r="BG88" i="4" s="1"/>
  <c r="BG178" i="4"/>
  <c r="BG179" i="4" s="1"/>
  <c r="BH241" i="4"/>
  <c r="BH242" i="4" s="1"/>
  <c r="BC251" i="4"/>
  <c r="S74" i="1"/>
  <c r="BG204" i="4"/>
  <c r="BG205" i="4" s="1"/>
  <c r="DL181" i="4" l="1"/>
  <c r="DL182" i="4" s="1"/>
  <c r="DM180" i="4" s="1"/>
  <c r="DK142" i="4"/>
  <c r="DK143" i="4" s="1"/>
  <c r="DL141" i="4" s="1"/>
  <c r="BE50" i="4"/>
  <c r="BD53" i="4"/>
  <c r="BD55" i="4" s="1"/>
  <c r="DK194" i="4"/>
  <c r="DK195" i="4" s="1"/>
  <c r="DL193" i="4" s="1"/>
  <c r="BD36" i="4"/>
  <c r="BD250" i="4" s="1"/>
  <c r="BE29" i="4"/>
  <c r="DM90" i="4"/>
  <c r="DM91" i="4" s="1"/>
  <c r="DN89" i="4" s="1"/>
  <c r="BG210" i="4"/>
  <c r="BG211" i="4" s="1"/>
  <c r="BH203" i="4"/>
  <c r="BH106" i="4"/>
  <c r="BH107" i="4" s="1"/>
  <c r="BI99" i="4"/>
  <c r="DN77" i="4"/>
  <c r="DN78" i="4" s="1"/>
  <c r="DO76" i="4" s="1"/>
  <c r="BG235" i="4"/>
  <c r="BG236" i="4" s="1"/>
  <c r="BH228" i="4"/>
  <c r="BH247" i="4"/>
  <c r="BH248" i="4" s="1"/>
  <c r="BI240" i="4"/>
  <c r="BG184" i="4"/>
  <c r="BG185" i="4" s="1"/>
  <c r="BH177" i="4"/>
  <c r="BH86" i="4"/>
  <c r="BG93" i="4"/>
  <c r="BG94" i="4" s="1"/>
  <c r="DL207" i="4"/>
  <c r="DL208" i="4" s="1"/>
  <c r="DM206" i="4" s="1"/>
  <c r="BG132" i="4"/>
  <c r="BG133" i="4" s="1"/>
  <c r="BH125" i="4"/>
  <c r="BI138" i="4"/>
  <c r="BH145" i="4"/>
  <c r="BH146" i="4" s="1"/>
  <c r="DM116" i="4"/>
  <c r="DM117" i="4" s="1"/>
  <c r="DN115" i="4" s="1"/>
  <c r="DD17" i="4"/>
  <c r="DD18" i="4" s="1"/>
  <c r="DE16" i="4" s="1"/>
  <c r="BD33" i="4"/>
  <c r="BD34" i="4" s="1"/>
  <c r="BH191" i="4"/>
  <c r="BH192" i="4" s="1"/>
  <c r="BI217" i="4"/>
  <c r="BI218" i="4" s="1"/>
  <c r="DN103" i="4"/>
  <c r="DN104" i="4" s="1"/>
  <c r="DO102" i="4" s="1"/>
  <c r="BC249" i="4"/>
  <c r="BC37" i="4"/>
  <c r="DM64" i="4"/>
  <c r="DM65" i="4" s="1"/>
  <c r="DN63" i="4" s="1"/>
  <c r="BE48" i="4"/>
  <c r="BE49" i="4" s="1"/>
  <c r="BH74" i="4"/>
  <c r="BH75" i="4" s="1"/>
  <c r="BH165" i="4"/>
  <c r="BH166" i="4" s="1"/>
  <c r="DM155" i="4"/>
  <c r="DM156" i="4" s="1"/>
  <c r="DN154" i="4" s="1"/>
  <c r="DM129" i="4"/>
  <c r="DM130" i="4" s="1"/>
  <c r="DN128" i="4" s="1"/>
  <c r="DM168" i="4"/>
  <c r="DM169" i="4" s="1"/>
  <c r="DN167" i="4" s="1"/>
  <c r="BH113" i="4"/>
  <c r="BH114" i="4" s="1"/>
  <c r="BH61" i="4"/>
  <c r="BH62" i="4" s="1"/>
  <c r="BH152" i="4"/>
  <c r="BH153" i="4" s="1"/>
  <c r="DM207" i="4" l="1"/>
  <c r="DM208" i="4" s="1"/>
  <c r="DN206" i="4" s="1"/>
  <c r="BH171" i="4"/>
  <c r="BH172" i="4" s="1"/>
  <c r="BI164" i="4"/>
  <c r="BI73" i="4"/>
  <c r="BH80" i="4"/>
  <c r="BH81" i="4" s="1"/>
  <c r="DL194" i="4"/>
  <c r="DL195" i="4" s="1"/>
  <c r="DM193" i="4" s="1"/>
  <c r="BI190" i="4"/>
  <c r="BH197" i="4"/>
  <c r="BH198" i="4" s="1"/>
  <c r="BE54" i="4"/>
  <c r="BF47" i="4"/>
  <c r="DO77" i="4"/>
  <c r="DO78" i="4" s="1"/>
  <c r="DP76" i="4" s="1"/>
  <c r="BH67" i="4"/>
  <c r="BH68" i="4" s="1"/>
  <c r="BI60" i="4"/>
  <c r="BI112" i="4"/>
  <c r="BH119" i="4"/>
  <c r="BH120" i="4" s="1"/>
  <c r="DN168" i="4"/>
  <c r="DN169" i="4" s="1"/>
  <c r="DO167" i="4" s="1"/>
  <c r="DN129" i="4"/>
  <c r="DN130" i="4" s="1"/>
  <c r="DO128" i="4" s="1"/>
  <c r="DO103" i="4"/>
  <c r="DO104" i="4" s="1"/>
  <c r="DP102" i="4" s="1"/>
  <c r="BD35" i="4"/>
  <c r="BE32" i="4"/>
  <c r="BH158" i="4"/>
  <c r="BH159" i="4" s="1"/>
  <c r="BI151" i="4"/>
  <c r="DE17" i="4"/>
  <c r="DE18" i="4" s="1"/>
  <c r="DF16" i="4" s="1"/>
  <c r="DN64" i="4"/>
  <c r="DN65" i="4" s="1"/>
  <c r="DO63" i="4" s="1"/>
  <c r="DL142" i="4"/>
  <c r="DL143" i="4" s="1"/>
  <c r="DM141" i="4" s="1"/>
  <c r="DN155" i="4"/>
  <c r="DN156" i="4" s="1"/>
  <c r="DO154" i="4" s="1"/>
  <c r="BJ216" i="4"/>
  <c r="BI223" i="4"/>
  <c r="BI224" i="4" s="1"/>
  <c r="DN90" i="4"/>
  <c r="DN91" i="4" s="1"/>
  <c r="DO89" i="4" s="1"/>
  <c r="BH178" i="4"/>
  <c r="BH179" i="4" s="1"/>
  <c r="BI100" i="4"/>
  <c r="BI101" i="4" s="1"/>
  <c r="BE51" i="4"/>
  <c r="BE52" i="4" s="1"/>
  <c r="BI139" i="4"/>
  <c r="BI140" i="4" s="1"/>
  <c r="BC252" i="4"/>
  <c r="T74" i="1" s="1"/>
  <c r="U74" i="1" s="1"/>
  <c r="Q74" i="1"/>
  <c r="BH229" i="4"/>
  <c r="BH230" i="4" s="1"/>
  <c r="BI241" i="4"/>
  <c r="BI242" i="4" s="1"/>
  <c r="BH204" i="4"/>
  <c r="BH205" i="4" s="1"/>
  <c r="DN116" i="4"/>
  <c r="DN117" i="4" s="1"/>
  <c r="DO115" i="4" s="1"/>
  <c r="BE30" i="4"/>
  <c r="BE31" i="4" s="1"/>
  <c r="DM181" i="4"/>
  <c r="DM182" i="4" s="1"/>
  <c r="DN180" i="4" s="1"/>
  <c r="BH126" i="4"/>
  <c r="BH127" i="4" s="1"/>
  <c r="BH87" i="4"/>
  <c r="BH88" i="4" s="1"/>
  <c r="BD251" i="4"/>
  <c r="S75" i="1"/>
  <c r="DO155" i="4" l="1"/>
  <c r="DO156" i="4" s="1"/>
  <c r="DP154" i="4" s="1"/>
  <c r="DN181" i="4"/>
  <c r="DN182" i="4" s="1"/>
  <c r="DO180" i="4" s="1"/>
  <c r="BI203" i="4"/>
  <c r="BH210" i="4"/>
  <c r="BH211" i="4" s="1"/>
  <c r="DM142" i="4"/>
  <c r="DM143" i="4" s="1"/>
  <c r="DN141" i="4" s="1"/>
  <c r="BE53" i="4"/>
  <c r="BE55" i="4" s="1"/>
  <c r="BF50" i="4"/>
  <c r="BI247" i="4"/>
  <c r="BI248" i="4" s="1"/>
  <c r="BJ240" i="4"/>
  <c r="DF17" i="4"/>
  <c r="DF18" i="4" s="1"/>
  <c r="DG16" i="4" s="1"/>
  <c r="BH93" i="4"/>
  <c r="BH94" i="4" s="1"/>
  <c r="BI86" i="4"/>
  <c r="BF29" i="4"/>
  <c r="BE36" i="4"/>
  <c r="BE250" i="4" s="1"/>
  <c r="DO116" i="4"/>
  <c r="DO117" i="4" s="1"/>
  <c r="DP115" i="4" s="1"/>
  <c r="BI106" i="4"/>
  <c r="BI107" i="4" s="1"/>
  <c r="BJ99" i="4"/>
  <c r="BH184" i="4"/>
  <c r="BH185" i="4" s="1"/>
  <c r="BI177" i="4"/>
  <c r="BH235" i="4"/>
  <c r="BH236" i="4" s="1"/>
  <c r="BI228" i="4"/>
  <c r="DO90" i="4"/>
  <c r="DO91" i="4" s="1"/>
  <c r="DP89" i="4" s="1"/>
  <c r="BH132" i="4"/>
  <c r="BH133" i="4" s="1"/>
  <c r="BI125" i="4"/>
  <c r="DN207" i="4"/>
  <c r="DN208" i="4" s="1"/>
  <c r="DO206" i="4" s="1"/>
  <c r="BI61" i="4"/>
  <c r="BI62" i="4" s="1"/>
  <c r="DP103" i="4"/>
  <c r="DP104" i="4" s="1"/>
  <c r="DQ102" i="4" s="1"/>
  <c r="BJ217" i="4"/>
  <c r="BJ218" i="4" s="1"/>
  <c r="BI74" i="4"/>
  <c r="BI75" i="4" s="1"/>
  <c r="BI145" i="4"/>
  <c r="BI146" i="4" s="1"/>
  <c r="BJ138" i="4"/>
  <c r="DM194" i="4"/>
  <c r="DM195" i="4" s="1"/>
  <c r="DN193" i="4" s="1"/>
  <c r="BI152" i="4"/>
  <c r="BI153" i="4" s="1"/>
  <c r="DO168" i="4"/>
  <c r="DO169" i="4" s="1"/>
  <c r="DP167" i="4" s="1"/>
  <c r="BF48" i="4"/>
  <c r="BF49" i="4" s="1"/>
  <c r="BI165" i="4"/>
  <c r="BI166" i="4" s="1"/>
  <c r="DO64" i="4"/>
  <c r="DO65" i="4" s="1"/>
  <c r="DP63" i="4" s="1"/>
  <c r="DP77" i="4"/>
  <c r="DP78" i="4" s="1"/>
  <c r="DQ76" i="4" s="1"/>
  <c r="DO129" i="4"/>
  <c r="DO130" i="4" s="1"/>
  <c r="DP128" i="4" s="1"/>
  <c r="BE33" i="4"/>
  <c r="BE34" i="4" s="1"/>
  <c r="BD249" i="4"/>
  <c r="BD37" i="4"/>
  <c r="BI113" i="4"/>
  <c r="BI114" i="4" s="1"/>
  <c r="BI191" i="4"/>
  <c r="BI192" i="4" s="1"/>
  <c r="BJ223" i="4" l="1"/>
  <c r="BJ224" i="4" s="1"/>
  <c r="BK216" i="4"/>
  <c r="DP129" i="4"/>
  <c r="DP130" i="4" s="1"/>
  <c r="DQ128" i="4" s="1"/>
  <c r="BF32" i="4"/>
  <c r="BE35" i="4"/>
  <c r="BJ60" i="4"/>
  <c r="BI67" i="4"/>
  <c r="BI68" i="4" s="1"/>
  <c r="DN194" i="4"/>
  <c r="DN195" i="4" s="1"/>
  <c r="DO193" i="4" s="1"/>
  <c r="DG17" i="4"/>
  <c r="DG18" i="4" s="1"/>
  <c r="DH16" i="4" s="1"/>
  <c r="DP64" i="4"/>
  <c r="DP65" i="4" s="1"/>
  <c r="DQ63" i="4" s="1"/>
  <c r="BJ164" i="4"/>
  <c r="BI171" i="4"/>
  <c r="BI172" i="4" s="1"/>
  <c r="DQ103" i="4"/>
  <c r="DQ104" i="4" s="1"/>
  <c r="DR102" i="4" s="1"/>
  <c r="BI158" i="4"/>
  <c r="BI159" i="4" s="1"/>
  <c r="BJ151" i="4"/>
  <c r="DQ77" i="4"/>
  <c r="DQ78" i="4" s="1"/>
  <c r="DR76" i="4" s="1"/>
  <c r="BI197" i="4"/>
  <c r="BI198" i="4" s="1"/>
  <c r="BJ190" i="4"/>
  <c r="BG47" i="4"/>
  <c r="BF54" i="4"/>
  <c r="DP90" i="4"/>
  <c r="DP91" i="4" s="1"/>
  <c r="DQ89" i="4" s="1"/>
  <c r="DP155" i="4"/>
  <c r="DP156" i="4" s="1"/>
  <c r="DQ154" i="4" s="1"/>
  <c r="BI178" i="4"/>
  <c r="BI179" i="4" s="1"/>
  <c r="BI87" i="4"/>
  <c r="BI88" i="4" s="1"/>
  <c r="DP168" i="4"/>
  <c r="DP169" i="4" s="1"/>
  <c r="DQ167" i="4" s="1"/>
  <c r="BI204" i="4"/>
  <c r="BI205" i="4" s="1"/>
  <c r="BI119" i="4"/>
  <c r="BI120" i="4" s="1"/>
  <c r="BJ112" i="4"/>
  <c r="BD252" i="4"/>
  <c r="T75" i="1" s="1"/>
  <c r="U75" i="1" s="1"/>
  <c r="Q75" i="1"/>
  <c r="BI126" i="4"/>
  <c r="BI127" i="4" s="1"/>
  <c r="DP116" i="4"/>
  <c r="DP117" i="4" s="1"/>
  <c r="DQ115" i="4" s="1"/>
  <c r="BJ241" i="4"/>
  <c r="BJ242" i="4" s="1"/>
  <c r="DO181" i="4"/>
  <c r="DO182" i="4" s="1"/>
  <c r="DP180" i="4" s="1"/>
  <c r="BI80" i="4"/>
  <c r="BI81" i="4" s="1"/>
  <c r="BJ73" i="4"/>
  <c r="DN142" i="4"/>
  <c r="DN143" i="4" s="1"/>
  <c r="DO141" i="4" s="1"/>
  <c r="BJ100" i="4"/>
  <c r="BJ101" i="4" s="1"/>
  <c r="BJ139" i="4"/>
  <c r="BJ140" i="4" s="1"/>
  <c r="BI229" i="4"/>
  <c r="BI230" i="4" s="1"/>
  <c r="BE251" i="4"/>
  <c r="S76" i="1"/>
  <c r="BF51" i="4"/>
  <c r="BF52" i="4" s="1"/>
  <c r="DO207" i="4"/>
  <c r="DO208" i="4" s="1"/>
  <c r="DP206" i="4" s="1"/>
  <c r="BF30" i="4"/>
  <c r="BF31" i="4" s="1"/>
  <c r="DR103" i="4" l="1"/>
  <c r="DR104" i="4" s="1"/>
  <c r="DS102" i="4" s="1"/>
  <c r="BF53" i="4"/>
  <c r="BF55" i="4" s="1"/>
  <c r="BG50" i="4"/>
  <c r="BI210" i="4"/>
  <c r="BI211" i="4" s="1"/>
  <c r="BJ203" i="4"/>
  <c r="DQ129" i="4"/>
  <c r="DQ130" i="4" s="1"/>
  <c r="DR128" i="4" s="1"/>
  <c r="DO194" i="4"/>
  <c r="DO195" i="4" s="1"/>
  <c r="DP193" i="4" s="1"/>
  <c r="BI235" i="4"/>
  <c r="BI236" i="4" s="1"/>
  <c r="BJ228" i="4"/>
  <c r="BK138" i="4"/>
  <c r="BJ145" i="4"/>
  <c r="BJ146" i="4" s="1"/>
  <c r="BF36" i="4"/>
  <c r="BF250" i="4" s="1"/>
  <c r="BG29" i="4"/>
  <c r="BI132" i="4"/>
  <c r="BI133" i="4" s="1"/>
  <c r="BJ125" i="4"/>
  <c r="BI93" i="4"/>
  <c r="BI94" i="4" s="1"/>
  <c r="BJ86" i="4"/>
  <c r="DQ155" i="4"/>
  <c r="DQ156" i="4" s="1"/>
  <c r="DR154" i="4" s="1"/>
  <c r="BJ247" i="4"/>
  <c r="BJ248" i="4" s="1"/>
  <c r="BK240" i="4"/>
  <c r="DQ116" i="4"/>
  <c r="DQ117" i="4" s="1"/>
  <c r="DR115" i="4" s="1"/>
  <c r="DO142" i="4"/>
  <c r="DO143" i="4" s="1"/>
  <c r="DP141" i="4" s="1"/>
  <c r="BI184" i="4"/>
  <c r="BI185" i="4" s="1"/>
  <c r="BJ177" i="4"/>
  <c r="DR77" i="4"/>
  <c r="DR78" i="4" s="1"/>
  <c r="DS76" i="4" s="1"/>
  <c r="DH17" i="4"/>
  <c r="DH18" i="4" s="1"/>
  <c r="DI16" i="4" s="1"/>
  <c r="BJ191" i="4"/>
  <c r="BJ192" i="4" s="1"/>
  <c r="BJ106" i="4"/>
  <c r="BJ107" i="4" s="1"/>
  <c r="BK99" i="4"/>
  <c r="BE249" i="4"/>
  <c r="BE37" i="4"/>
  <c r="BF33" i="4"/>
  <c r="BF34" i="4" s="1"/>
  <c r="BJ165" i="4"/>
  <c r="BJ166" i="4" s="1"/>
  <c r="DQ168" i="4"/>
  <c r="DQ169" i="4" s="1"/>
  <c r="DR167" i="4" s="1"/>
  <c r="BJ152" i="4"/>
  <c r="BJ153" i="4" s="1"/>
  <c r="BJ74" i="4"/>
  <c r="BJ75" i="4" s="1"/>
  <c r="BJ61" i="4"/>
  <c r="BJ62" i="4" s="1"/>
  <c r="DQ90" i="4"/>
  <c r="DQ91" i="4" s="1"/>
  <c r="DR89" i="4" s="1"/>
  <c r="DP181" i="4"/>
  <c r="DP182" i="4" s="1"/>
  <c r="DQ180" i="4" s="1"/>
  <c r="BK217" i="4"/>
  <c r="BK218" i="4" s="1"/>
  <c r="BJ113" i="4"/>
  <c r="BJ114" i="4" s="1"/>
  <c r="DQ64" i="4"/>
  <c r="DQ65" i="4" s="1"/>
  <c r="DR63" i="4" s="1"/>
  <c r="DP207" i="4"/>
  <c r="DP208" i="4" s="1"/>
  <c r="DQ206" i="4" s="1"/>
  <c r="BG48" i="4"/>
  <c r="BG49" i="4" s="1"/>
  <c r="BH47" i="4" l="1"/>
  <c r="BG54" i="4"/>
  <c r="BJ80" i="4"/>
  <c r="BJ81" i="4" s="1"/>
  <c r="BK73" i="4"/>
  <c r="DR64" i="4"/>
  <c r="DR65" i="4" s="1"/>
  <c r="DS63" i="4" s="1"/>
  <c r="BL216" i="4"/>
  <c r="BK223" i="4"/>
  <c r="BK224" i="4" s="1"/>
  <c r="DQ207" i="4"/>
  <c r="DQ208" i="4" s="1"/>
  <c r="DR206" i="4" s="1"/>
  <c r="BK112" i="4"/>
  <c r="BJ119" i="4"/>
  <c r="BJ120" i="4" s="1"/>
  <c r="DI17" i="4"/>
  <c r="DI18" i="4" s="1"/>
  <c r="DJ16" i="4" s="1"/>
  <c r="BJ171" i="4"/>
  <c r="BJ172" i="4" s="1"/>
  <c r="BK164" i="4"/>
  <c r="DR155" i="4"/>
  <c r="DR156" i="4" s="1"/>
  <c r="DS154" i="4" s="1"/>
  <c r="DQ181" i="4"/>
  <c r="DQ182" i="4" s="1"/>
  <c r="DR180" i="4" s="1"/>
  <c r="DR90" i="4"/>
  <c r="DR91" i="4" s="1"/>
  <c r="DS89" i="4" s="1"/>
  <c r="BJ197" i="4"/>
  <c r="BJ198" i="4" s="1"/>
  <c r="BK190" i="4"/>
  <c r="DR168" i="4"/>
  <c r="DR169" i="4" s="1"/>
  <c r="DS167" i="4" s="1"/>
  <c r="DS77" i="4"/>
  <c r="DS78" i="4" s="1"/>
  <c r="BG32" i="4"/>
  <c r="BF35" i="4"/>
  <c r="BJ67" i="4"/>
  <c r="BJ68" i="4" s="1"/>
  <c r="BK60" i="4"/>
  <c r="DP142" i="4"/>
  <c r="DP143" i="4" s="1"/>
  <c r="DQ141" i="4" s="1"/>
  <c r="DS103" i="4"/>
  <c r="DS104" i="4" s="1"/>
  <c r="BK241" i="4"/>
  <c r="BK242" i="4" s="1"/>
  <c r="BG30" i="4"/>
  <c r="BG31" i="4" s="1"/>
  <c r="BJ158" i="4"/>
  <c r="BJ159" i="4" s="1"/>
  <c r="BK151" i="4"/>
  <c r="BJ204" i="4"/>
  <c r="BJ205" i="4" s="1"/>
  <c r="BE252" i="4"/>
  <c r="T76" i="1" s="1"/>
  <c r="U76" i="1" s="1"/>
  <c r="Q76" i="1"/>
  <c r="BK139" i="4"/>
  <c r="BK140" i="4" s="1"/>
  <c r="BF251" i="4"/>
  <c r="S77" i="1"/>
  <c r="BJ178" i="4"/>
  <c r="BJ179" i="4" s="1"/>
  <c r="BJ87" i="4"/>
  <c r="BJ88" i="4" s="1"/>
  <c r="BJ229" i="4"/>
  <c r="BJ230" i="4" s="1"/>
  <c r="BG51" i="4"/>
  <c r="BG52" i="4" s="1"/>
  <c r="DR129" i="4"/>
  <c r="DR130" i="4" s="1"/>
  <c r="DS128" i="4" s="1"/>
  <c r="BK100" i="4"/>
  <c r="BK101" i="4" s="1"/>
  <c r="DR116" i="4"/>
  <c r="DR117" i="4" s="1"/>
  <c r="DS115" i="4" s="1"/>
  <c r="BJ126" i="4"/>
  <c r="BJ127" i="4" s="1"/>
  <c r="DP194" i="4"/>
  <c r="DP195" i="4" s="1"/>
  <c r="DQ193" i="4" s="1"/>
  <c r="BG36" i="4" l="1"/>
  <c r="BG250" i="4" s="1"/>
  <c r="BH29" i="4"/>
  <c r="DS168" i="4"/>
  <c r="DS169" i="4" s="1"/>
  <c r="DJ17" i="4"/>
  <c r="DJ18" i="4" s="1"/>
  <c r="DK16" i="4" s="1"/>
  <c r="BK247" i="4"/>
  <c r="BK248" i="4" s="1"/>
  <c r="BL240" i="4"/>
  <c r="BG53" i="4"/>
  <c r="BG55" i="4" s="1"/>
  <c r="BH50" i="4"/>
  <c r="BK203" i="4"/>
  <c r="BJ210" i="4"/>
  <c r="BJ211" i="4" s="1"/>
  <c r="BJ93" i="4"/>
  <c r="BJ94" i="4" s="1"/>
  <c r="BK86" i="4"/>
  <c r="DR181" i="4"/>
  <c r="DR182" i="4" s="1"/>
  <c r="DS180" i="4" s="1"/>
  <c r="DS116" i="4"/>
  <c r="DS117" i="4" s="1"/>
  <c r="BK106" i="4"/>
  <c r="BK107" i="4" s="1"/>
  <c r="BL99" i="4"/>
  <c r="BK145" i="4"/>
  <c r="BK146" i="4" s="1"/>
  <c r="BL138" i="4"/>
  <c r="DQ142" i="4"/>
  <c r="DQ143" i="4" s="1"/>
  <c r="DR141" i="4" s="1"/>
  <c r="BJ235" i="4"/>
  <c r="BJ236" i="4" s="1"/>
  <c r="BK228" i="4"/>
  <c r="DQ194" i="4"/>
  <c r="DQ195" i="4" s="1"/>
  <c r="DR193" i="4" s="1"/>
  <c r="BJ132" i="4"/>
  <c r="BJ133" i="4" s="1"/>
  <c r="BK125" i="4"/>
  <c r="BJ184" i="4"/>
  <c r="BJ185" i="4" s="1"/>
  <c r="BK177" i="4"/>
  <c r="BK61" i="4"/>
  <c r="BK62" i="4" s="1"/>
  <c r="BK191" i="4"/>
  <c r="BK192" i="4" s="1"/>
  <c r="BK165" i="4"/>
  <c r="BK166" i="4" s="1"/>
  <c r="BG33" i="4"/>
  <c r="BG34" i="4" s="1"/>
  <c r="DS64" i="4"/>
  <c r="DS65" i="4" s="1"/>
  <c r="BK74" i="4"/>
  <c r="BK75" i="4" s="1"/>
  <c r="BK113" i="4"/>
  <c r="BK114" i="4" s="1"/>
  <c r="BL217" i="4"/>
  <c r="BL218" i="4" s="1"/>
  <c r="BF249" i="4"/>
  <c r="BF37" i="4"/>
  <c r="BK152" i="4"/>
  <c r="BK153" i="4" s="1"/>
  <c r="DS155" i="4"/>
  <c r="DS156" i="4" s="1"/>
  <c r="DR207" i="4"/>
  <c r="DR208" i="4" s="1"/>
  <c r="DS206" i="4" s="1"/>
  <c r="DS90" i="4"/>
  <c r="DS91" i="4" s="1"/>
  <c r="DS129" i="4"/>
  <c r="DS130" i="4" s="1"/>
  <c r="BH48" i="4"/>
  <c r="BH49" i="4" s="1"/>
  <c r="BK158" i="4" l="1"/>
  <c r="BK159" i="4" s="1"/>
  <c r="BL151" i="4"/>
  <c r="BK197" i="4"/>
  <c r="BK198" i="4" s="1"/>
  <c r="BL190" i="4"/>
  <c r="BH32" i="4"/>
  <c r="BG35" i="4"/>
  <c r="BI47" i="4"/>
  <c r="BH54" i="4"/>
  <c r="BK67" i="4"/>
  <c r="BK68" i="4" s="1"/>
  <c r="BL60" i="4"/>
  <c r="DR142" i="4"/>
  <c r="DR143" i="4" s="1"/>
  <c r="DS141" i="4" s="1"/>
  <c r="BK119" i="4"/>
  <c r="BK120" i="4" s="1"/>
  <c r="BL112" i="4"/>
  <c r="BK80" i="4"/>
  <c r="BK81" i="4" s="1"/>
  <c r="BL73" i="4"/>
  <c r="BL164" i="4"/>
  <c r="BK171" i="4"/>
  <c r="BK172" i="4" s="1"/>
  <c r="DK17" i="4"/>
  <c r="DK18" i="4" s="1"/>
  <c r="DL16" i="4" s="1"/>
  <c r="BK178" i="4"/>
  <c r="BK179" i="4" s="1"/>
  <c r="BL241" i="4"/>
  <c r="BL242" i="4" s="1"/>
  <c r="BK126" i="4"/>
  <c r="BK127" i="4" s="1"/>
  <c r="DS181" i="4"/>
  <c r="DS182" i="4" s="1"/>
  <c r="DS207" i="4"/>
  <c r="DS208" i="4" s="1"/>
  <c r="BK87" i="4"/>
  <c r="BK88" i="4" s="1"/>
  <c r="BK204" i="4"/>
  <c r="BK205" i="4" s="1"/>
  <c r="BL139" i="4"/>
  <c r="BL140" i="4" s="1"/>
  <c r="DR194" i="4"/>
  <c r="DR195" i="4" s="1"/>
  <c r="DS193" i="4" s="1"/>
  <c r="BF252" i="4"/>
  <c r="T77" i="1" s="1"/>
  <c r="U77" i="1" s="1"/>
  <c r="Q77" i="1"/>
  <c r="BK229" i="4"/>
  <c r="BK230" i="4" s="1"/>
  <c r="BH51" i="4"/>
  <c r="BH52" i="4" s="1"/>
  <c r="BH30" i="4"/>
  <c r="BH31" i="4" s="1"/>
  <c r="BL223" i="4"/>
  <c r="BL224" i="4" s="1"/>
  <c r="BM216" i="4"/>
  <c r="BL100" i="4"/>
  <c r="BL101" i="4" s="1"/>
  <c r="BG251" i="4"/>
  <c r="S78" i="1"/>
  <c r="BI50" i="4" l="1"/>
  <c r="BH53" i="4"/>
  <c r="BH55" i="4" s="1"/>
  <c r="BK235" i="4"/>
  <c r="BK236" i="4" s="1"/>
  <c r="BL228" i="4"/>
  <c r="DS142" i="4"/>
  <c r="DS143" i="4" s="1"/>
  <c r="BM99" i="4"/>
  <c r="BL106" i="4"/>
  <c r="BL107" i="4" s="1"/>
  <c r="BL247" i="4"/>
  <c r="BL248" i="4" s="1"/>
  <c r="BM240" i="4"/>
  <c r="BK184" i="4"/>
  <c r="BK185" i="4" s="1"/>
  <c r="BL177" i="4"/>
  <c r="BK210" i="4"/>
  <c r="BK211" i="4" s="1"/>
  <c r="BL203" i="4"/>
  <c r="DL17" i="4"/>
  <c r="DL18" i="4" s="1"/>
  <c r="DM16" i="4" s="1"/>
  <c r="BK132" i="4"/>
  <c r="BK133" i="4" s="1"/>
  <c r="BL125" i="4"/>
  <c r="DS194" i="4"/>
  <c r="DS195" i="4" s="1"/>
  <c r="BL145" i="4"/>
  <c r="BL146" i="4" s="1"/>
  <c r="BM138" i="4"/>
  <c r="BH36" i="4"/>
  <c r="BH250" i="4" s="1"/>
  <c r="BI29" i="4"/>
  <c r="BK93" i="4"/>
  <c r="BK94" i="4" s="1"/>
  <c r="BL86" i="4"/>
  <c r="BI48" i="4"/>
  <c r="BI49" i="4" s="1"/>
  <c r="BH33" i="4"/>
  <c r="BH34" i="4" s="1"/>
  <c r="BL191" i="4"/>
  <c r="BL192" i="4" s="1"/>
  <c r="BM217" i="4"/>
  <c r="BM218" i="4" s="1"/>
  <c r="BL74" i="4"/>
  <c r="BL75" i="4" s="1"/>
  <c r="BG249" i="4"/>
  <c r="BG37" i="4"/>
  <c r="BL61" i="4"/>
  <c r="BL62" i="4" s="1"/>
  <c r="BL152" i="4"/>
  <c r="BL153" i="4" s="1"/>
  <c r="BL113" i="4"/>
  <c r="BL114" i="4" s="1"/>
  <c r="BL165" i="4"/>
  <c r="BL166" i="4" s="1"/>
  <c r="BL80" i="4" l="1"/>
  <c r="BL81" i="4" s="1"/>
  <c r="BM73" i="4"/>
  <c r="DM17" i="4"/>
  <c r="DM18" i="4" s="1"/>
  <c r="DN16" i="4" s="1"/>
  <c r="BN216" i="4"/>
  <c r="BM223" i="4"/>
  <c r="BM224" i="4" s="1"/>
  <c r="BL119" i="4"/>
  <c r="BL120" i="4" s="1"/>
  <c r="BM112" i="4"/>
  <c r="BI32" i="4"/>
  <c r="BH35" i="4"/>
  <c r="BL171" i="4"/>
  <c r="BL172" i="4" s="1"/>
  <c r="BM164" i="4"/>
  <c r="BL158" i="4"/>
  <c r="BL159" i="4" s="1"/>
  <c r="BM151" i="4"/>
  <c r="BI54" i="4"/>
  <c r="BJ47" i="4"/>
  <c r="BL197" i="4"/>
  <c r="BL198" i="4" s="1"/>
  <c r="BM190" i="4"/>
  <c r="BL67" i="4"/>
  <c r="BL68" i="4" s="1"/>
  <c r="BM60" i="4"/>
  <c r="BI30" i="4"/>
  <c r="BI31" i="4" s="1"/>
  <c r="BL178" i="4"/>
  <c r="BL179" i="4" s="1"/>
  <c r="BL229" i="4"/>
  <c r="BL230" i="4" s="1"/>
  <c r="BG252" i="4"/>
  <c r="T78" i="1" s="1"/>
  <c r="U78" i="1" s="1"/>
  <c r="Q78" i="1"/>
  <c r="BL204" i="4"/>
  <c r="BL205" i="4" s="1"/>
  <c r="BM100" i="4"/>
  <c r="BM101" i="4" s="1"/>
  <c r="BM139" i="4"/>
  <c r="BM140" i="4" s="1"/>
  <c r="BL87" i="4"/>
  <c r="BL88" i="4" s="1"/>
  <c r="BL126" i="4"/>
  <c r="BL127" i="4" s="1"/>
  <c r="BM241" i="4"/>
  <c r="BM242" i="4" s="1"/>
  <c r="BH251" i="4"/>
  <c r="S79" i="1"/>
  <c r="BI51" i="4"/>
  <c r="BI52" i="4" s="1"/>
  <c r="BL235" i="4" l="1"/>
  <c r="BL236" i="4" s="1"/>
  <c r="BM228" i="4"/>
  <c r="BM247" i="4"/>
  <c r="BM248" i="4" s="1"/>
  <c r="BN240" i="4"/>
  <c r="BL132" i="4"/>
  <c r="BL133" i="4" s="1"/>
  <c r="BM125" i="4"/>
  <c r="BI36" i="4"/>
  <c r="BI250" i="4" s="1"/>
  <c r="BJ29" i="4"/>
  <c r="BN99" i="4"/>
  <c r="BM106" i="4"/>
  <c r="BM107" i="4" s="1"/>
  <c r="BL184" i="4"/>
  <c r="BL185" i="4" s="1"/>
  <c r="BM177" i="4"/>
  <c r="BL93" i="4"/>
  <c r="BL94" i="4" s="1"/>
  <c r="BM86" i="4"/>
  <c r="BM145" i="4"/>
  <c r="BM146" i="4" s="1"/>
  <c r="BN138" i="4"/>
  <c r="DN17" i="4"/>
  <c r="DN18" i="4" s="1"/>
  <c r="DO16" i="4" s="1"/>
  <c r="BJ50" i="4"/>
  <c r="BI53" i="4"/>
  <c r="BI55" i="4" s="1"/>
  <c r="BM203" i="4"/>
  <c r="BL210" i="4"/>
  <c r="BL211" i="4" s="1"/>
  <c r="BJ48" i="4"/>
  <c r="BJ49" i="4" s="1"/>
  <c r="BM113" i="4"/>
  <c r="BM114" i="4" s="1"/>
  <c r="BN217" i="4"/>
  <c r="BN218" i="4" s="1"/>
  <c r="BM152" i="4"/>
  <c r="BM153" i="4" s="1"/>
  <c r="BM61" i="4"/>
  <c r="BM62" i="4" s="1"/>
  <c r="BM165" i="4"/>
  <c r="BM166" i="4" s="1"/>
  <c r="BM191" i="4"/>
  <c r="BM192" i="4" s="1"/>
  <c r="BH249" i="4"/>
  <c r="BH37" i="4"/>
  <c r="BM74" i="4"/>
  <c r="BM75" i="4" s="1"/>
  <c r="BI33" i="4"/>
  <c r="BI34" i="4" s="1"/>
  <c r="BJ32" i="4" l="1"/>
  <c r="BI35" i="4"/>
  <c r="BM80" i="4"/>
  <c r="BM81" i="4" s="1"/>
  <c r="BN73" i="4"/>
  <c r="BJ54" i="4"/>
  <c r="BK47" i="4"/>
  <c r="BM67" i="4"/>
  <c r="BM68" i="4" s="1"/>
  <c r="BN60" i="4"/>
  <c r="BN223" i="4"/>
  <c r="BN224" i="4" s="1"/>
  <c r="BO216" i="4"/>
  <c r="BM119" i="4"/>
  <c r="BM120" i="4" s="1"/>
  <c r="BN112" i="4"/>
  <c r="BM197" i="4"/>
  <c r="BM198" i="4" s="1"/>
  <c r="BN190" i="4"/>
  <c r="BN164" i="4"/>
  <c r="BM171" i="4"/>
  <c r="BM172" i="4" s="1"/>
  <c r="BN151" i="4"/>
  <c r="BM158" i="4"/>
  <c r="BM159" i="4" s="1"/>
  <c r="DO17" i="4"/>
  <c r="DO18" i="4" s="1"/>
  <c r="DP16" i="4" s="1"/>
  <c r="BJ30" i="4"/>
  <c r="BJ31" i="4" s="1"/>
  <c r="BN139" i="4"/>
  <c r="BN140" i="4" s="1"/>
  <c r="BN241" i="4"/>
  <c r="BN242" i="4" s="1"/>
  <c r="BM126" i="4"/>
  <c r="BM127" i="4" s="1"/>
  <c r="BJ51" i="4"/>
  <c r="BJ52" i="4" s="1"/>
  <c r="BI251" i="4"/>
  <c r="S80" i="1"/>
  <c r="BM87" i="4"/>
  <c r="BM88" i="4" s="1"/>
  <c r="BM229" i="4"/>
  <c r="BM230" i="4" s="1"/>
  <c r="BH252" i="4"/>
  <c r="T79" i="1" s="1"/>
  <c r="U79" i="1" s="1"/>
  <c r="Q79" i="1"/>
  <c r="BM204" i="4"/>
  <c r="BM205" i="4" s="1"/>
  <c r="BM178" i="4"/>
  <c r="BM179" i="4" s="1"/>
  <c r="BN100" i="4"/>
  <c r="BN101" i="4" s="1"/>
  <c r="BN247" i="4" l="1"/>
  <c r="BN248" i="4" s="1"/>
  <c r="BO240" i="4"/>
  <c r="BK50" i="4"/>
  <c r="BJ53" i="4"/>
  <c r="BJ55" i="4" s="1"/>
  <c r="BM132" i="4"/>
  <c r="BM133" i="4" s="1"/>
  <c r="BN125" i="4"/>
  <c r="BN145" i="4"/>
  <c r="BN146" i="4" s="1"/>
  <c r="BO138" i="4"/>
  <c r="BM93" i="4"/>
  <c r="BM94" i="4" s="1"/>
  <c r="BN86" i="4"/>
  <c r="BM184" i="4"/>
  <c r="BM185" i="4" s="1"/>
  <c r="BN177" i="4"/>
  <c r="BM210" i="4"/>
  <c r="BM211" i="4" s="1"/>
  <c r="BN203" i="4"/>
  <c r="BM235" i="4"/>
  <c r="BM236" i="4" s="1"/>
  <c r="BN228" i="4"/>
  <c r="BJ36" i="4"/>
  <c r="BJ250" i="4" s="1"/>
  <c r="BK29" i="4"/>
  <c r="DP17" i="4"/>
  <c r="DP18" i="4" s="1"/>
  <c r="DQ16" i="4" s="1"/>
  <c r="BO99" i="4"/>
  <c r="BN106" i="4"/>
  <c r="BN107" i="4" s="1"/>
  <c r="BN61" i="4"/>
  <c r="BN62" i="4" s="1"/>
  <c r="BN165" i="4"/>
  <c r="BN166" i="4" s="1"/>
  <c r="BK48" i="4"/>
  <c r="BK49" i="4" s="1"/>
  <c r="BN74" i="4"/>
  <c r="BN75" i="4" s="1"/>
  <c r="BI249" i="4"/>
  <c r="BI37" i="4"/>
  <c r="BN191" i="4"/>
  <c r="BN192" i="4" s="1"/>
  <c r="BN113" i="4"/>
  <c r="BN114" i="4" s="1"/>
  <c r="BO217" i="4"/>
  <c r="BO218" i="4" s="1"/>
  <c r="BN152" i="4"/>
  <c r="BN153" i="4" s="1"/>
  <c r="BJ33" i="4"/>
  <c r="BJ34" i="4" s="1"/>
  <c r="BK54" i="4" l="1"/>
  <c r="BL47" i="4"/>
  <c r="BN171" i="4"/>
  <c r="BN172" i="4" s="1"/>
  <c r="BO164" i="4"/>
  <c r="BN67" i="4"/>
  <c r="BN68" i="4" s="1"/>
  <c r="BO60" i="4"/>
  <c r="DQ17" i="4"/>
  <c r="DQ18" i="4" s="1"/>
  <c r="DR16" i="4" s="1"/>
  <c r="BP216" i="4"/>
  <c r="BO223" i="4"/>
  <c r="BO224" i="4" s="1"/>
  <c r="BN119" i="4"/>
  <c r="BN120" i="4" s="1"/>
  <c r="BO112" i="4"/>
  <c r="BO190" i="4"/>
  <c r="BN197" i="4"/>
  <c r="BN198" i="4" s="1"/>
  <c r="BJ35" i="4"/>
  <c r="BK32" i="4"/>
  <c r="BO73" i="4"/>
  <c r="BN80" i="4"/>
  <c r="BN81" i="4" s="1"/>
  <c r="BN229" i="4"/>
  <c r="BN230" i="4" s="1"/>
  <c r="BI252" i="4"/>
  <c r="T80" i="1" s="1"/>
  <c r="U80" i="1" s="1"/>
  <c r="Q80" i="1"/>
  <c r="BO139" i="4"/>
  <c r="BO140" i="4" s="1"/>
  <c r="BN204" i="4"/>
  <c r="BN205" i="4" s="1"/>
  <c r="BK51" i="4"/>
  <c r="BK52" i="4" s="1"/>
  <c r="BN158" i="4"/>
  <c r="BN159" i="4" s="1"/>
  <c r="BO151" i="4"/>
  <c r="BO100" i="4"/>
  <c r="BO101" i="4" s="1"/>
  <c r="BK30" i="4"/>
  <c r="BK31" i="4" s="1"/>
  <c r="BN87" i="4"/>
  <c r="BN88" i="4" s="1"/>
  <c r="BO241" i="4"/>
  <c r="BO242" i="4" s="1"/>
  <c r="BN126" i="4"/>
  <c r="BN127" i="4" s="1"/>
  <c r="BN178" i="4"/>
  <c r="BN179" i="4" s="1"/>
  <c r="BJ251" i="4"/>
  <c r="S81" i="1"/>
  <c r="DR17" i="4" l="1"/>
  <c r="DR18" i="4" s="1"/>
  <c r="DS16" i="4" s="1"/>
  <c r="BL50" i="4"/>
  <c r="BK53" i="4"/>
  <c r="BK55" i="4" s="1"/>
  <c r="BN132" i="4"/>
  <c r="BN133" i="4" s="1"/>
  <c r="BO125" i="4"/>
  <c r="BO247" i="4"/>
  <c r="BO248" i="4" s="1"/>
  <c r="BP240" i="4"/>
  <c r="BN93" i="4"/>
  <c r="BN94" i="4" s="1"/>
  <c r="BO86" i="4"/>
  <c r="BO106" i="4"/>
  <c r="BO107" i="4" s="1"/>
  <c r="BP99" i="4"/>
  <c r="BN184" i="4"/>
  <c r="BN185" i="4" s="1"/>
  <c r="BO177" i="4"/>
  <c r="BN210" i="4"/>
  <c r="BN211" i="4" s="1"/>
  <c r="BO203" i="4"/>
  <c r="BO145" i="4"/>
  <c r="BO146" i="4" s="1"/>
  <c r="BP138" i="4"/>
  <c r="BK36" i="4"/>
  <c r="BK250" i="4" s="1"/>
  <c r="BL29" i="4"/>
  <c r="BN235" i="4"/>
  <c r="BN236" i="4" s="1"/>
  <c r="BO228" i="4"/>
  <c r="BK33" i="4"/>
  <c r="BK34" i="4" s="1"/>
  <c r="BO191" i="4"/>
  <c r="BO192" i="4" s="1"/>
  <c r="BJ249" i="4"/>
  <c r="BJ37" i="4"/>
  <c r="BO152" i="4"/>
  <c r="BO153" i="4" s="1"/>
  <c r="BO113" i="4"/>
  <c r="BO114" i="4" s="1"/>
  <c r="BL48" i="4"/>
  <c r="BL49" i="4" s="1"/>
  <c r="BO61" i="4"/>
  <c r="BO62" i="4" s="1"/>
  <c r="BO165" i="4"/>
  <c r="BO166" i="4" s="1"/>
  <c r="BO74" i="4"/>
  <c r="BO75" i="4" s="1"/>
  <c r="BP217" i="4"/>
  <c r="BP218" i="4" s="1"/>
  <c r="BO197" i="4" l="1"/>
  <c r="BO198" i="4" s="1"/>
  <c r="BP190" i="4"/>
  <c r="BO67" i="4"/>
  <c r="BO68" i="4" s="1"/>
  <c r="BP60" i="4"/>
  <c r="BL54" i="4"/>
  <c r="BM47" i="4"/>
  <c r="BP151" i="4"/>
  <c r="BO158" i="4"/>
  <c r="BO159" i="4" s="1"/>
  <c r="BP164" i="4"/>
  <c r="BO171" i="4"/>
  <c r="BO172" i="4" s="1"/>
  <c r="BK35" i="4"/>
  <c r="BL32" i="4"/>
  <c r="BP223" i="4"/>
  <c r="BP224" i="4" s="1"/>
  <c r="BQ216" i="4"/>
  <c r="DS17" i="4"/>
  <c r="DS18" i="4" s="1"/>
  <c r="B272" i="4" s="1"/>
  <c r="C272" i="4" s="1"/>
  <c r="BP241" i="4"/>
  <c r="BP242" i="4" s="1"/>
  <c r="BO119" i="4"/>
  <c r="BO120" i="4" s="1"/>
  <c r="BP112" i="4"/>
  <c r="BP73" i="4"/>
  <c r="BO80" i="4"/>
  <c r="BO81" i="4" s="1"/>
  <c r="BP100" i="4"/>
  <c r="BP101" i="4" s="1"/>
  <c r="BO204" i="4"/>
  <c r="BO205" i="4" s="1"/>
  <c r="BO229" i="4"/>
  <c r="BO230" i="4" s="1"/>
  <c r="BL30" i="4"/>
  <c r="BL31" i="4" s="1"/>
  <c r="BL51" i="4"/>
  <c r="BL52" i="4" s="1"/>
  <c r="BO126" i="4"/>
  <c r="BO127" i="4" s="1"/>
  <c r="BJ252" i="4"/>
  <c r="T81" i="1" s="1"/>
  <c r="U81" i="1" s="1"/>
  <c r="Q81" i="1"/>
  <c r="BK251" i="4"/>
  <c r="S82" i="1"/>
  <c r="BP139" i="4"/>
  <c r="BP140" i="4" s="1"/>
  <c r="BO87" i="4"/>
  <c r="BO88" i="4" s="1"/>
  <c r="BO178" i="4"/>
  <c r="BO179" i="4" s="1"/>
  <c r="BO184" i="4" l="1"/>
  <c r="BO185" i="4" s="1"/>
  <c r="BP177" i="4"/>
  <c r="BQ138" i="4"/>
  <c r="BP145" i="4"/>
  <c r="BP146" i="4" s="1"/>
  <c r="BP106" i="4"/>
  <c r="BP107" i="4" s="1"/>
  <c r="BQ99" i="4"/>
  <c r="BM50" i="4"/>
  <c r="BL53" i="4"/>
  <c r="BL55" i="4" s="1"/>
  <c r="BL36" i="4"/>
  <c r="BL250" i="4" s="1"/>
  <c r="BM29" i="4"/>
  <c r="BO235" i="4"/>
  <c r="BO236" i="4" s="1"/>
  <c r="BP228" i="4"/>
  <c r="BP152" i="4"/>
  <c r="BP153" i="4" s="1"/>
  <c r="BL33" i="4"/>
  <c r="BL34" i="4" s="1"/>
  <c r="BM48" i="4"/>
  <c r="BM49" i="4" s="1"/>
  <c r="BK249" i="4"/>
  <c r="BK37" i="4"/>
  <c r="BP191" i="4"/>
  <c r="BP192" i="4" s="1"/>
  <c r="BQ217" i="4"/>
  <c r="B217" i="4" s="1"/>
  <c r="C217" i="4" s="1"/>
  <c r="BP74" i="4"/>
  <c r="BP75" i="4" s="1"/>
  <c r="BP113" i="4"/>
  <c r="BP114" i="4" s="1"/>
  <c r="BP61" i="4"/>
  <c r="BP62" i="4" s="1"/>
  <c r="BP86" i="4"/>
  <c r="BO93" i="4"/>
  <c r="BO94" i="4" s="1"/>
  <c r="BO132" i="4"/>
  <c r="BO133" i="4" s="1"/>
  <c r="BP125" i="4"/>
  <c r="BO210" i="4"/>
  <c r="BO211" i="4" s="1"/>
  <c r="BP203" i="4"/>
  <c r="BP247" i="4"/>
  <c r="BP248" i="4" s="1"/>
  <c r="BQ240" i="4"/>
  <c r="BP165" i="4"/>
  <c r="BP166" i="4" s="1"/>
  <c r="BQ218" i="4" l="1"/>
  <c r="BQ223" i="4" s="1"/>
  <c r="BM54" i="4"/>
  <c r="BN47" i="4"/>
  <c r="BL35" i="4"/>
  <c r="BM32" i="4"/>
  <c r="BP67" i="4"/>
  <c r="BP68" i="4" s="1"/>
  <c r="BQ60" i="4"/>
  <c r="BQ112" i="4"/>
  <c r="BP119" i="4"/>
  <c r="BP120" i="4" s="1"/>
  <c r="BQ73" i="4"/>
  <c r="BP80" i="4"/>
  <c r="BP81" i="4" s="1"/>
  <c r="BP158" i="4"/>
  <c r="BP159" i="4" s="1"/>
  <c r="BQ151" i="4"/>
  <c r="BQ190" i="4"/>
  <c r="BP197" i="4"/>
  <c r="BP198" i="4" s="1"/>
  <c r="BP204" i="4"/>
  <c r="BP205" i="4" s="1"/>
  <c r="BR216" i="4"/>
  <c r="BP171" i="4"/>
  <c r="BP172" i="4" s="1"/>
  <c r="BQ164" i="4"/>
  <c r="BP87" i="4"/>
  <c r="BP88" i="4" s="1"/>
  <c r="BQ241" i="4"/>
  <c r="B241" i="4" s="1"/>
  <c r="C241" i="4" s="1"/>
  <c r="BM51" i="4"/>
  <c r="BM52" i="4" s="1"/>
  <c r="BK252" i="4"/>
  <c r="T82" i="1" s="1"/>
  <c r="U82" i="1" s="1"/>
  <c r="Q82" i="1"/>
  <c r="BQ139" i="4"/>
  <c r="B139" i="4" s="1"/>
  <c r="C139" i="4" s="1"/>
  <c r="BP126" i="4"/>
  <c r="BP127" i="4" s="1"/>
  <c r="BM30" i="4"/>
  <c r="BM31" i="4" s="1"/>
  <c r="BP178" i="4"/>
  <c r="BP179" i="4" s="1"/>
  <c r="BQ100" i="4"/>
  <c r="B100" i="4" s="1"/>
  <c r="C100" i="4" s="1"/>
  <c r="BP229" i="4"/>
  <c r="BP230" i="4" s="1"/>
  <c r="BL251" i="4"/>
  <c r="S83" i="1"/>
  <c r="BP235" i="4" l="1"/>
  <c r="BP236" i="4" s="1"/>
  <c r="BQ228" i="4"/>
  <c r="BQ203" i="4"/>
  <c r="BP210" i="4"/>
  <c r="BP211" i="4" s="1"/>
  <c r="BP93" i="4"/>
  <c r="BP94" i="4" s="1"/>
  <c r="BQ86" i="4"/>
  <c r="BM53" i="4"/>
  <c r="BM55" i="4" s="1"/>
  <c r="BN50" i="4"/>
  <c r="BP184" i="4"/>
  <c r="BP185" i="4" s="1"/>
  <c r="BQ177" i="4"/>
  <c r="BM36" i="4"/>
  <c r="BM250" i="4" s="1"/>
  <c r="BN29" i="4"/>
  <c r="BP132" i="4"/>
  <c r="BP133" i="4" s="1"/>
  <c r="BQ125" i="4"/>
  <c r="BQ140" i="4"/>
  <c r="BM33" i="4"/>
  <c r="BM34" i="4" s="1"/>
  <c r="BL249" i="4"/>
  <c r="BL37" i="4"/>
  <c r="BQ242" i="4"/>
  <c r="BQ61" i="4"/>
  <c r="B61" i="4" s="1"/>
  <c r="C61" i="4" s="1"/>
  <c r="BQ191" i="4"/>
  <c r="B191" i="4" s="1"/>
  <c r="C191" i="4" s="1"/>
  <c r="BQ165" i="4"/>
  <c r="B165" i="4" s="1"/>
  <c r="C165" i="4" s="1"/>
  <c r="BN48" i="4"/>
  <c r="BN49" i="4" s="1"/>
  <c r="BQ113" i="4"/>
  <c r="B113" i="4" s="1"/>
  <c r="C113" i="4" s="1"/>
  <c r="BQ101" i="4"/>
  <c r="BQ152" i="4"/>
  <c r="B152" i="4" s="1"/>
  <c r="C152" i="4" s="1"/>
  <c r="BQ224" i="4"/>
  <c r="B224" i="4" s="1"/>
  <c r="C224" i="4" s="1"/>
  <c r="B223" i="4"/>
  <c r="C223" i="4" s="1"/>
  <c r="BR217" i="4"/>
  <c r="BR218" i="4" s="1"/>
  <c r="BQ74" i="4"/>
  <c r="B74" i="4" s="1"/>
  <c r="C74" i="4" s="1"/>
  <c r="BQ192" i="4" l="1"/>
  <c r="BR190" i="4" s="1"/>
  <c r="BR223" i="4"/>
  <c r="BR224" i="4" s="1"/>
  <c r="BS216" i="4"/>
  <c r="BO47" i="4"/>
  <c r="BN54" i="4"/>
  <c r="BN32" i="4"/>
  <c r="BM35" i="4"/>
  <c r="BN51" i="4"/>
  <c r="BN52" i="4" s="1"/>
  <c r="BQ114" i="4"/>
  <c r="BQ87" i="4"/>
  <c r="B87" i="4" s="1"/>
  <c r="C87" i="4" s="1"/>
  <c r="BQ247" i="4"/>
  <c r="BR240" i="4"/>
  <c r="BQ75" i="4"/>
  <c r="BQ62" i="4"/>
  <c r="BQ126" i="4"/>
  <c r="B126" i="4" s="1"/>
  <c r="C126" i="4" s="1"/>
  <c r="BL252" i="4"/>
  <c r="T83" i="1" s="1"/>
  <c r="U83" i="1" s="1"/>
  <c r="Q83" i="1"/>
  <c r="BM251" i="4"/>
  <c r="S84" i="1"/>
  <c r="BQ204" i="4"/>
  <c r="B204" i="4" s="1"/>
  <c r="C204" i="4" s="1"/>
  <c r="BQ166" i="4"/>
  <c r="BQ178" i="4"/>
  <c r="B178" i="4" s="1"/>
  <c r="C178" i="4" s="1"/>
  <c r="BQ229" i="4"/>
  <c r="B229" i="4" s="1"/>
  <c r="C229" i="4" s="1"/>
  <c r="BQ106" i="4"/>
  <c r="BR99" i="4"/>
  <c r="BQ145" i="4"/>
  <c r="BR138" i="4"/>
  <c r="BN30" i="4"/>
  <c r="BN31" i="4" s="1"/>
  <c r="BQ153" i="4"/>
  <c r="BQ197" i="4" l="1"/>
  <c r="BQ205" i="4"/>
  <c r="BN53" i="4"/>
  <c r="BN55" i="4" s="1"/>
  <c r="BO50" i="4"/>
  <c r="BN36" i="4"/>
  <c r="BN250" i="4" s="1"/>
  <c r="BO29" i="4"/>
  <c r="BQ80" i="4"/>
  <c r="BR73" i="4"/>
  <c r="BN33" i="4"/>
  <c r="BN34" i="4" s="1"/>
  <c r="BR100" i="4"/>
  <c r="BR101" i="4" s="1"/>
  <c r="BR241" i="4"/>
  <c r="BR242" i="4" s="1"/>
  <c r="BQ248" i="4"/>
  <c r="B248" i="4" s="1"/>
  <c r="C248" i="4" s="1"/>
  <c r="B247" i="4"/>
  <c r="C247" i="4" s="1"/>
  <c r="BM249" i="4"/>
  <c r="BM37" i="4"/>
  <c r="BQ230" i="4"/>
  <c r="BO48" i="4"/>
  <c r="BO49" i="4" s="1"/>
  <c r="BQ210" i="4"/>
  <c r="BR203" i="4"/>
  <c r="BQ88" i="4"/>
  <c r="BQ179" i="4"/>
  <c r="BR164" i="4"/>
  <c r="BQ171" i="4"/>
  <c r="BQ127" i="4"/>
  <c r="BR191" i="4"/>
  <c r="BR192" i="4" s="1"/>
  <c r="BS217" i="4"/>
  <c r="BS218" i="4" s="1"/>
  <c r="BQ107" i="4"/>
  <c r="B107" i="4" s="1"/>
  <c r="C107" i="4" s="1"/>
  <c r="B106" i="4"/>
  <c r="C106" i="4" s="1"/>
  <c r="BQ158" i="4"/>
  <c r="BR151" i="4"/>
  <c r="BQ119" i="4"/>
  <c r="BR112" i="4"/>
  <c r="BR139" i="4"/>
  <c r="BR140" i="4" s="1"/>
  <c r="BQ146" i="4"/>
  <c r="B146" i="4" s="1"/>
  <c r="C146" i="4" s="1"/>
  <c r="B145" i="4"/>
  <c r="C145" i="4" s="1"/>
  <c r="BQ67" i="4"/>
  <c r="BR60" i="4"/>
  <c r="BQ198" i="4"/>
  <c r="B198" i="4" s="1"/>
  <c r="C198" i="4" s="1"/>
  <c r="B197" i="4"/>
  <c r="C197" i="4" s="1"/>
  <c r="BT216" i="4" l="1"/>
  <c r="BS223" i="4"/>
  <c r="BS224" i="4" s="1"/>
  <c r="BS138" i="4"/>
  <c r="BR145" i="4"/>
  <c r="BR146" i="4" s="1"/>
  <c r="BP47" i="4"/>
  <c r="BO54" i="4"/>
  <c r="BR106" i="4"/>
  <c r="BR107" i="4" s="1"/>
  <c r="BS99" i="4"/>
  <c r="BR197" i="4"/>
  <c r="BR198" i="4" s="1"/>
  <c r="BS190" i="4"/>
  <c r="BO32" i="4"/>
  <c r="BN35" i="4"/>
  <c r="BR247" i="4"/>
  <c r="BR248" i="4" s="1"/>
  <c r="BS240" i="4"/>
  <c r="BR74" i="4"/>
  <c r="BR75" i="4" s="1"/>
  <c r="BQ184" i="4"/>
  <c r="BR177" i="4"/>
  <c r="BQ81" i="4"/>
  <c r="B81" i="4" s="1"/>
  <c r="C81" i="4" s="1"/>
  <c r="B80" i="4"/>
  <c r="C80" i="4" s="1"/>
  <c r="BR204" i="4"/>
  <c r="BR205" i="4" s="1"/>
  <c r="BO30" i="4"/>
  <c r="BO31" i="4" s="1"/>
  <c r="BR165" i="4"/>
  <c r="BR166" i="4" s="1"/>
  <c r="BR61" i="4"/>
  <c r="BR62" i="4" s="1"/>
  <c r="BN251" i="4"/>
  <c r="S85" i="1"/>
  <c r="BR113" i="4"/>
  <c r="BR114" i="4" s="1"/>
  <c r="BQ211" i="4"/>
  <c r="B211" i="4" s="1"/>
  <c r="C211" i="4" s="1"/>
  <c r="B210" i="4"/>
  <c r="C210" i="4" s="1"/>
  <c r="BQ68" i="4"/>
  <c r="B68" i="4" s="1"/>
  <c r="C68" i="4" s="1"/>
  <c r="B67" i="4"/>
  <c r="C67" i="4" s="1"/>
  <c r="BR152" i="4"/>
  <c r="BR153" i="4" s="1"/>
  <c r="BQ132" i="4"/>
  <c r="BR125" i="4"/>
  <c r="BO51" i="4"/>
  <c r="BO52" i="4" s="1"/>
  <c r="BM252" i="4"/>
  <c r="T84" i="1" s="1"/>
  <c r="U84" i="1" s="1"/>
  <c r="Q84" i="1"/>
  <c r="BQ93" i="4"/>
  <c r="BR86" i="4"/>
  <c r="BQ120" i="4"/>
  <c r="B120" i="4" s="1"/>
  <c r="C120" i="4" s="1"/>
  <c r="B119" i="4"/>
  <c r="C119" i="4" s="1"/>
  <c r="BQ159" i="4"/>
  <c r="B159" i="4" s="1"/>
  <c r="C159" i="4" s="1"/>
  <c r="B158" i="4"/>
  <c r="C158" i="4" s="1"/>
  <c r="BQ172" i="4"/>
  <c r="B172" i="4" s="1"/>
  <c r="C172" i="4" s="1"/>
  <c r="B171" i="4"/>
  <c r="C171" i="4" s="1"/>
  <c r="BQ235" i="4"/>
  <c r="BR228" i="4"/>
  <c r="BR171" i="4" l="1"/>
  <c r="BR172" i="4" s="1"/>
  <c r="BS164" i="4"/>
  <c r="BR67" i="4"/>
  <c r="BR68" i="4" s="1"/>
  <c r="BS60" i="4"/>
  <c r="BS203" i="4"/>
  <c r="BR210" i="4"/>
  <c r="BR211" i="4" s="1"/>
  <c r="BO53" i="4"/>
  <c r="BO55" i="4" s="1"/>
  <c r="BP50" i="4"/>
  <c r="BR158" i="4"/>
  <c r="BR159" i="4" s="1"/>
  <c r="BS151" i="4"/>
  <c r="BP29" i="4"/>
  <c r="BO36" i="4"/>
  <c r="BO250" i="4" s="1"/>
  <c r="BS112" i="4"/>
  <c r="BR119" i="4"/>
  <c r="BR120" i="4" s="1"/>
  <c r="BS100" i="4"/>
  <c r="BS101" i="4" s="1"/>
  <c r="BS241" i="4"/>
  <c r="BS242" i="4" s="1"/>
  <c r="BR126" i="4"/>
  <c r="BR127" i="4" s="1"/>
  <c r="BQ133" i="4"/>
  <c r="B133" i="4" s="1"/>
  <c r="C133" i="4" s="1"/>
  <c r="B132" i="4"/>
  <c r="C132" i="4" s="1"/>
  <c r="BR229" i="4"/>
  <c r="BR230" i="4" s="1"/>
  <c r="BQ236" i="4"/>
  <c r="B236" i="4" s="1"/>
  <c r="C236" i="4" s="1"/>
  <c r="B235" i="4"/>
  <c r="C235" i="4" s="1"/>
  <c r="BP48" i="4"/>
  <c r="BP49" i="4" s="1"/>
  <c r="BQ94" i="4"/>
  <c r="B94" i="4" s="1"/>
  <c r="C94" i="4" s="1"/>
  <c r="B93" i="4"/>
  <c r="C93" i="4" s="1"/>
  <c r="BN249" i="4"/>
  <c r="BN37" i="4"/>
  <c r="BR80" i="4"/>
  <c r="BR81" i="4" s="1"/>
  <c r="BS73" i="4"/>
  <c r="BR87" i="4"/>
  <c r="BR88" i="4" s="1"/>
  <c r="BO33" i="4"/>
  <c r="BO34" i="4" s="1"/>
  <c r="BS139" i="4"/>
  <c r="BS140" i="4" s="1"/>
  <c r="BR178" i="4"/>
  <c r="BR179" i="4" s="1"/>
  <c r="BS191" i="4"/>
  <c r="BS192" i="4" s="1"/>
  <c r="BQ185" i="4"/>
  <c r="B185" i="4" s="1"/>
  <c r="C185" i="4" s="1"/>
  <c r="B184" i="4"/>
  <c r="C184" i="4" s="1"/>
  <c r="BT217" i="4"/>
  <c r="BT218" i="4" s="1"/>
  <c r="BP32" i="4" l="1"/>
  <c r="BO35" i="4"/>
  <c r="BR93" i="4"/>
  <c r="BR94" i="4" s="1"/>
  <c r="BS86" i="4"/>
  <c r="BR235" i="4"/>
  <c r="BR236" i="4" s="1"/>
  <c r="BS228" i="4"/>
  <c r="BR132" i="4"/>
  <c r="BR133" i="4" s="1"/>
  <c r="BS125" i="4"/>
  <c r="BQ47" i="4"/>
  <c r="BP54" i="4"/>
  <c r="BS197" i="4"/>
  <c r="BS198" i="4" s="1"/>
  <c r="BT190" i="4"/>
  <c r="BS145" i="4"/>
  <c r="BS146" i="4" s="1"/>
  <c r="BT138" i="4"/>
  <c r="BS247" i="4"/>
  <c r="BS248" i="4" s="1"/>
  <c r="BT240" i="4"/>
  <c r="BT223" i="4"/>
  <c r="BT224" i="4" s="1"/>
  <c r="BU216" i="4"/>
  <c r="BP51" i="4"/>
  <c r="BP52" i="4" s="1"/>
  <c r="BN252" i="4"/>
  <c r="T85" i="1" s="1"/>
  <c r="U85" i="1" s="1"/>
  <c r="Q85" i="1"/>
  <c r="BS106" i="4"/>
  <c r="BS107" i="4" s="1"/>
  <c r="BT99" i="4"/>
  <c r="BS113" i="4"/>
  <c r="BS114" i="4" s="1"/>
  <c r="BS204" i="4"/>
  <c r="BS205" i="4" s="1"/>
  <c r="BS61" i="4"/>
  <c r="BS62" i="4" s="1"/>
  <c r="BP30" i="4"/>
  <c r="BP31" i="4" s="1"/>
  <c r="BO251" i="4"/>
  <c r="S86" i="1"/>
  <c r="BS74" i="4"/>
  <c r="BS75" i="4" s="1"/>
  <c r="BS152" i="4"/>
  <c r="BS153" i="4" s="1"/>
  <c r="BS165" i="4"/>
  <c r="BS166" i="4" s="1"/>
  <c r="BR184" i="4"/>
  <c r="BR185" i="4" s="1"/>
  <c r="BS177" i="4"/>
  <c r="BS171" i="4" l="1"/>
  <c r="BS172" i="4" s="1"/>
  <c r="BT164" i="4"/>
  <c r="BS158" i="4"/>
  <c r="BS159" i="4" s="1"/>
  <c r="BT151" i="4"/>
  <c r="BQ29" i="4"/>
  <c r="BP36" i="4"/>
  <c r="BP250" i="4" s="1"/>
  <c r="BS67" i="4"/>
  <c r="BS68" i="4" s="1"/>
  <c r="BT60" i="4"/>
  <c r="BS119" i="4"/>
  <c r="BS120" i="4" s="1"/>
  <c r="BT112" i="4"/>
  <c r="BS80" i="4"/>
  <c r="BS81" i="4" s="1"/>
  <c r="BT73" i="4"/>
  <c r="BQ50" i="4"/>
  <c r="BP53" i="4"/>
  <c r="BP55" i="4" s="1"/>
  <c r="BS210" i="4"/>
  <c r="BS211" i="4" s="1"/>
  <c r="BT203" i="4"/>
  <c r="BT100" i="4"/>
  <c r="BT101" i="4" s="1"/>
  <c r="BS126" i="4"/>
  <c r="BS127" i="4" s="1"/>
  <c r="BT139" i="4"/>
  <c r="BT140" i="4" s="1"/>
  <c r="BS229" i="4"/>
  <c r="BS230" i="4" s="1"/>
  <c r="BT191" i="4"/>
  <c r="BT192" i="4" s="1"/>
  <c r="BS87" i="4"/>
  <c r="BS88" i="4" s="1"/>
  <c r="BS178" i="4"/>
  <c r="BS179" i="4" s="1"/>
  <c r="BU217" i="4"/>
  <c r="BU218" i="4" s="1"/>
  <c r="BO249" i="4"/>
  <c r="BO37" i="4"/>
  <c r="BT241" i="4"/>
  <c r="BT242" i="4" s="1"/>
  <c r="BQ48" i="4"/>
  <c r="B48" i="4" s="1"/>
  <c r="C48" i="4" s="1"/>
  <c r="BP33" i="4"/>
  <c r="BP34" i="4" s="1"/>
  <c r="BV216" i="4" l="1"/>
  <c r="BU223" i="4"/>
  <c r="BU224" i="4" s="1"/>
  <c r="BS93" i="4"/>
  <c r="BS94" i="4" s="1"/>
  <c r="BT86" i="4"/>
  <c r="BS235" i="4"/>
  <c r="BS236" i="4" s="1"/>
  <c r="BT228" i="4"/>
  <c r="BS132" i="4"/>
  <c r="BS133" i="4" s="1"/>
  <c r="BT125" i="4"/>
  <c r="BS184" i="4"/>
  <c r="BS185" i="4" s="1"/>
  <c r="BT177" i="4"/>
  <c r="BT197" i="4"/>
  <c r="BT198" i="4" s="1"/>
  <c r="BU190" i="4"/>
  <c r="BT247" i="4"/>
  <c r="BT248" i="4" s="1"/>
  <c r="BU240" i="4"/>
  <c r="BT145" i="4"/>
  <c r="BT146" i="4" s="1"/>
  <c r="BU138" i="4"/>
  <c r="BU99" i="4"/>
  <c r="BT106" i="4"/>
  <c r="BT107" i="4" s="1"/>
  <c r="BT204" i="4"/>
  <c r="BT205" i="4" s="1"/>
  <c r="BQ51" i="4"/>
  <c r="B51" i="4" s="1"/>
  <c r="C51" i="4" s="1"/>
  <c r="BT74" i="4"/>
  <c r="BT75" i="4" s="1"/>
  <c r="BQ30" i="4"/>
  <c r="B30" i="4" s="1"/>
  <c r="C30" i="4" s="1"/>
  <c r="BQ32" i="4"/>
  <c r="BP35" i="4"/>
  <c r="BT61" i="4"/>
  <c r="BT62" i="4" s="1"/>
  <c r="BP251" i="4"/>
  <c r="S87" i="1"/>
  <c r="BT152" i="4"/>
  <c r="BT153" i="4" s="1"/>
  <c r="BT113" i="4"/>
  <c r="BT114" i="4" s="1"/>
  <c r="BT165" i="4"/>
  <c r="BT166" i="4" s="1"/>
  <c r="BQ49" i="4"/>
  <c r="BO252" i="4"/>
  <c r="T86" i="1" s="1"/>
  <c r="U86" i="1" s="1"/>
  <c r="Q86" i="1"/>
  <c r="BT158" i="4" l="1"/>
  <c r="BT159" i="4" s="1"/>
  <c r="BU151" i="4"/>
  <c r="BU164" i="4"/>
  <c r="BT171" i="4"/>
  <c r="BT172" i="4" s="1"/>
  <c r="BT119" i="4"/>
  <c r="BT120" i="4" s="1"/>
  <c r="BU112" i="4"/>
  <c r="BT80" i="4"/>
  <c r="BT81" i="4" s="1"/>
  <c r="BU73" i="4"/>
  <c r="BU203" i="4"/>
  <c r="BT210" i="4"/>
  <c r="BT211" i="4" s="1"/>
  <c r="BT67" i="4"/>
  <c r="BT68" i="4" s="1"/>
  <c r="BU60" i="4"/>
  <c r="BT126" i="4"/>
  <c r="BT127" i="4" s="1"/>
  <c r="BQ54" i="4"/>
  <c r="B54" i="4" s="1"/>
  <c r="C54" i="4" s="1"/>
  <c r="BR47" i="4"/>
  <c r="D104" i="1"/>
  <c r="BT229" i="4"/>
  <c r="BT230" i="4" s="1"/>
  <c r="BP249" i="4"/>
  <c r="BP37" i="4"/>
  <c r="BT87" i="4"/>
  <c r="BT88" i="4" s="1"/>
  <c r="BU139" i="4"/>
  <c r="BU140" i="4" s="1"/>
  <c r="BQ33" i="4"/>
  <c r="B33" i="4" s="1"/>
  <c r="C33" i="4" s="1"/>
  <c r="BU191" i="4"/>
  <c r="BU192" i="4" s="1"/>
  <c r="BT178" i="4"/>
  <c r="BT179" i="4" s="1"/>
  <c r="BU241" i="4"/>
  <c r="BU242" i="4" s="1"/>
  <c r="BQ52" i="4"/>
  <c r="BQ31" i="4"/>
  <c r="BU100" i="4"/>
  <c r="BU101" i="4" s="1"/>
  <c r="BV217" i="4"/>
  <c r="BV218" i="4" s="1"/>
  <c r="BU197" i="4" l="1"/>
  <c r="BU198" i="4" s="1"/>
  <c r="BV190" i="4"/>
  <c r="BV223" i="4"/>
  <c r="BV224" i="4" s="1"/>
  <c r="BW216" i="4"/>
  <c r="BT132" i="4"/>
  <c r="BT133" i="4" s="1"/>
  <c r="BU125" i="4"/>
  <c r="BT93" i="4"/>
  <c r="BT94" i="4" s="1"/>
  <c r="BU86" i="4"/>
  <c r="BT184" i="4"/>
  <c r="BT185" i="4" s="1"/>
  <c r="BU177" i="4"/>
  <c r="BU145" i="4"/>
  <c r="BU146" i="4" s="1"/>
  <c r="BV138" i="4"/>
  <c r="BV99" i="4"/>
  <c r="BU106" i="4"/>
  <c r="BU107" i="4" s="1"/>
  <c r="BV240" i="4"/>
  <c r="BU247" i="4"/>
  <c r="BU248" i="4" s="1"/>
  <c r="BT235" i="4"/>
  <c r="BT236" i="4" s="1"/>
  <c r="BU228" i="4"/>
  <c r="BR48" i="4"/>
  <c r="BR49" i="4" s="1"/>
  <c r="BP252" i="4"/>
  <c r="T87" i="1" s="1"/>
  <c r="U87" i="1" s="1"/>
  <c r="Q87" i="1"/>
  <c r="BQ34" i="4"/>
  <c r="BU165" i="4"/>
  <c r="BU166" i="4" s="1"/>
  <c r="BU74" i="4"/>
  <c r="BU75" i="4" s="1"/>
  <c r="BU61" i="4"/>
  <c r="BU62" i="4" s="1"/>
  <c r="BR50" i="4"/>
  <c r="BQ53" i="4"/>
  <c r="C104" i="1"/>
  <c r="BU152" i="4"/>
  <c r="BU153" i="4" s="1"/>
  <c r="BU113" i="4"/>
  <c r="BU114" i="4" s="1"/>
  <c r="BR29" i="4"/>
  <c r="BQ36" i="4"/>
  <c r="D103" i="1"/>
  <c r="BU204" i="4"/>
  <c r="BU205" i="4" s="1"/>
  <c r="BV151" i="4" l="1"/>
  <c r="BU158" i="4"/>
  <c r="BU159" i="4" s="1"/>
  <c r="BU67" i="4"/>
  <c r="BU68" i="4" s="1"/>
  <c r="BV60" i="4"/>
  <c r="BU119" i="4"/>
  <c r="BU120" i="4" s="1"/>
  <c r="BV112" i="4"/>
  <c r="BR54" i="4"/>
  <c r="BS47" i="4"/>
  <c r="BU80" i="4"/>
  <c r="BU81" i="4" s="1"/>
  <c r="BV73" i="4"/>
  <c r="BU210" i="4"/>
  <c r="BU211" i="4" s="1"/>
  <c r="BV203" i="4"/>
  <c r="BQ55" i="4"/>
  <c r="B55" i="4" s="1"/>
  <c r="C55" i="4" s="1"/>
  <c r="B53" i="4"/>
  <c r="C53" i="4" s="1"/>
  <c r="BV241" i="4"/>
  <c r="BV242" i="4" s="1"/>
  <c r="BU126" i="4"/>
  <c r="BU127" i="4" s="1"/>
  <c r="BR30" i="4"/>
  <c r="BR31" i="4" s="1"/>
  <c r="BV100" i="4"/>
  <c r="BV101" i="4" s="1"/>
  <c r="BR32" i="4"/>
  <c r="BQ35" i="4"/>
  <c r="C103" i="1"/>
  <c r="BQ250" i="4"/>
  <c r="B36" i="4"/>
  <c r="C36" i="4" s="1"/>
  <c r="BR51" i="4"/>
  <c r="BR52" i="4" s="1"/>
  <c r="BV139" i="4"/>
  <c r="BV140" i="4" s="1"/>
  <c r="BW217" i="4"/>
  <c r="BW218" i="4" s="1"/>
  <c r="BU229" i="4"/>
  <c r="BU230" i="4" s="1"/>
  <c r="BU178" i="4"/>
  <c r="BU179" i="4" s="1"/>
  <c r="BV191" i="4"/>
  <c r="BV192" i="4" s="1"/>
  <c r="BU171" i="4"/>
  <c r="BU172" i="4" s="1"/>
  <c r="BV164" i="4"/>
  <c r="BU87" i="4"/>
  <c r="BU88" i="4" s="1"/>
  <c r="BW190" i="4" l="1"/>
  <c r="BV197" i="4"/>
  <c r="BV198" i="4" s="1"/>
  <c r="BV228" i="4"/>
  <c r="BU235" i="4"/>
  <c r="BU236" i="4" s="1"/>
  <c r="BX216" i="4"/>
  <c r="BW223" i="4"/>
  <c r="BW224" i="4" s="1"/>
  <c r="BS29" i="4"/>
  <c r="BR36" i="4"/>
  <c r="BR250" i="4" s="1"/>
  <c r="BU184" i="4"/>
  <c r="BU185" i="4" s="1"/>
  <c r="BV177" i="4"/>
  <c r="BW99" i="4"/>
  <c r="BV106" i="4"/>
  <c r="BV107" i="4" s="1"/>
  <c r="BV145" i="4"/>
  <c r="BV146" i="4" s="1"/>
  <c r="BW138" i="4"/>
  <c r="BU93" i="4"/>
  <c r="BU94" i="4" s="1"/>
  <c r="BV86" i="4"/>
  <c r="BS50" i="4"/>
  <c r="BR53" i="4"/>
  <c r="BR55" i="4" s="1"/>
  <c r="BU132" i="4"/>
  <c r="BU133" i="4" s="1"/>
  <c r="BV125" i="4"/>
  <c r="BS48" i="4"/>
  <c r="BS49" i="4" s="1"/>
  <c r="BV61" i="4"/>
  <c r="BV62" i="4" s="1"/>
  <c r="BV247" i="4"/>
  <c r="BV248" i="4" s="1"/>
  <c r="BW240" i="4"/>
  <c r="BR33" i="4"/>
  <c r="BR34" i="4" s="1"/>
  <c r="BV204" i="4"/>
  <c r="BV205" i="4" s="1"/>
  <c r="BV74" i="4"/>
  <c r="BV75" i="4" s="1"/>
  <c r="BV113" i="4"/>
  <c r="BV114" i="4" s="1"/>
  <c r="BQ251" i="4"/>
  <c r="B251" i="4" s="1"/>
  <c r="C251" i="4" s="1"/>
  <c r="S88" i="1"/>
  <c r="B250" i="4"/>
  <c r="C250" i="4" s="1"/>
  <c r="BV165" i="4"/>
  <c r="BV166" i="4" s="1"/>
  <c r="BQ249" i="4"/>
  <c r="BQ37" i="4"/>
  <c r="B37" i="4" s="1"/>
  <c r="C37" i="4" s="1"/>
  <c r="B35" i="4"/>
  <c r="C35" i="4" s="1"/>
  <c r="BV152" i="4"/>
  <c r="BV153" i="4" s="1"/>
  <c r="BV171" i="4" l="1"/>
  <c r="BV172" i="4" s="1"/>
  <c r="BW164" i="4"/>
  <c r="BS54" i="4"/>
  <c r="BT47" i="4"/>
  <c r="BV119" i="4"/>
  <c r="BV120" i="4" s="1"/>
  <c r="BW112" i="4"/>
  <c r="BV210" i="4"/>
  <c r="BV211" i="4" s="1"/>
  <c r="BW203" i="4"/>
  <c r="BV67" i="4"/>
  <c r="BV68" i="4" s="1"/>
  <c r="BW60" i="4"/>
  <c r="BV158" i="4"/>
  <c r="BV159" i="4" s="1"/>
  <c r="BW151" i="4"/>
  <c r="BW73" i="4"/>
  <c r="BV80" i="4"/>
  <c r="BV81" i="4" s="1"/>
  <c r="BR35" i="4"/>
  <c r="BS32" i="4"/>
  <c r="BR251" i="4"/>
  <c r="S89" i="1"/>
  <c r="BX217" i="4"/>
  <c r="BX218" i="4" s="1"/>
  <c r="BQ252" i="4"/>
  <c r="T88" i="1" s="1"/>
  <c r="U88" i="1" s="1"/>
  <c r="Q88" i="1"/>
  <c r="B249" i="4"/>
  <c r="C249" i="4" s="1"/>
  <c r="BS30" i="4"/>
  <c r="BS31" i="4" s="1"/>
  <c r="BW100" i="4"/>
  <c r="BW101" i="4" s="1"/>
  <c r="BV229" i="4"/>
  <c r="BV230" i="4" s="1"/>
  <c r="BV126" i="4"/>
  <c r="BV127" i="4" s="1"/>
  <c r="BW241" i="4"/>
  <c r="BW242" i="4" s="1"/>
  <c r="BV178" i="4"/>
  <c r="BV179" i="4" s="1"/>
  <c r="BV87" i="4"/>
  <c r="BV88" i="4" s="1"/>
  <c r="BW139" i="4"/>
  <c r="BW140" i="4" s="1"/>
  <c r="BS51" i="4"/>
  <c r="BS52" i="4" s="1"/>
  <c r="BW191" i="4"/>
  <c r="BW192" i="4" s="1"/>
  <c r="BW145" i="4" l="1"/>
  <c r="BW146" i="4" s="1"/>
  <c r="BX138" i="4"/>
  <c r="BV184" i="4"/>
  <c r="BV185" i="4" s="1"/>
  <c r="BW177" i="4"/>
  <c r="BW197" i="4"/>
  <c r="BW198" i="4" s="1"/>
  <c r="BX190" i="4"/>
  <c r="BV235" i="4"/>
  <c r="BV236" i="4" s="1"/>
  <c r="BW228" i="4"/>
  <c r="BV93" i="4"/>
  <c r="BV94" i="4" s="1"/>
  <c r="BW86" i="4"/>
  <c r="BV132" i="4"/>
  <c r="BV133" i="4" s="1"/>
  <c r="BW125" i="4"/>
  <c r="BX223" i="4"/>
  <c r="BX224" i="4" s="1"/>
  <c r="BY216" i="4"/>
  <c r="BW106" i="4"/>
  <c r="BW107" i="4" s="1"/>
  <c r="BX99" i="4"/>
  <c r="BT50" i="4"/>
  <c r="BS53" i="4"/>
  <c r="BS55" i="4" s="1"/>
  <c r="BW204" i="4"/>
  <c r="BW205" i="4" s="1"/>
  <c r="BT29" i="4"/>
  <c r="BS36" i="4"/>
  <c r="BS250" i="4" s="1"/>
  <c r="BW113" i="4"/>
  <c r="BW114" i="4" s="1"/>
  <c r="BW152" i="4"/>
  <c r="BW153" i="4" s="1"/>
  <c r="BT48" i="4"/>
  <c r="BT49" i="4" s="1"/>
  <c r="BW247" i="4"/>
  <c r="BW248" i="4" s="1"/>
  <c r="BX240" i="4"/>
  <c r="BR249" i="4"/>
  <c r="BR37" i="4"/>
  <c r="BW74" i="4"/>
  <c r="BW75" i="4" s="1"/>
  <c r="BW61" i="4"/>
  <c r="BW62" i="4" s="1"/>
  <c r="BW165" i="4"/>
  <c r="BW166" i="4" s="1"/>
  <c r="BS33" i="4"/>
  <c r="BS34" i="4" s="1"/>
  <c r="BW171" i="4" l="1"/>
  <c r="BW172" i="4" s="1"/>
  <c r="BX164" i="4"/>
  <c r="BX151" i="4"/>
  <c r="BW158" i="4"/>
  <c r="BW159" i="4" s="1"/>
  <c r="BW210" i="4"/>
  <c r="BW211" i="4" s="1"/>
  <c r="BX203" i="4"/>
  <c r="BW67" i="4"/>
  <c r="BW68" i="4" s="1"/>
  <c r="BX60" i="4"/>
  <c r="BX73" i="4"/>
  <c r="BW80" i="4"/>
  <c r="BW81" i="4" s="1"/>
  <c r="BT54" i="4"/>
  <c r="BU47" i="4"/>
  <c r="BR252" i="4"/>
  <c r="T89" i="1" s="1"/>
  <c r="U89" i="1" s="1"/>
  <c r="Q89" i="1"/>
  <c r="BX100" i="4"/>
  <c r="BX101" i="4" s="1"/>
  <c r="BS35" i="4"/>
  <c r="BT32" i="4"/>
  <c r="BX241" i="4"/>
  <c r="BX242" i="4" s="1"/>
  <c r="BW126" i="4"/>
  <c r="BW127" i="4" s="1"/>
  <c r="BS251" i="4"/>
  <c r="S90" i="1"/>
  <c r="BW119" i="4"/>
  <c r="BW120" i="4" s="1"/>
  <c r="BX112" i="4"/>
  <c r="BT30" i="4"/>
  <c r="BT31" i="4" s="1"/>
  <c r="BX191" i="4"/>
  <c r="BX192" i="4" s="1"/>
  <c r="BW87" i="4"/>
  <c r="BW88" i="4" s="1"/>
  <c r="BX139" i="4"/>
  <c r="BX140" i="4" s="1"/>
  <c r="BW229" i="4"/>
  <c r="BW230" i="4" s="1"/>
  <c r="BY217" i="4"/>
  <c r="BY218" i="4" s="1"/>
  <c r="BW178" i="4"/>
  <c r="BW179" i="4" s="1"/>
  <c r="BT51" i="4"/>
  <c r="BT52" i="4" s="1"/>
  <c r="BU29" i="4" l="1"/>
  <c r="BT36" i="4"/>
  <c r="BT250" i="4" s="1"/>
  <c r="BU50" i="4"/>
  <c r="BT53" i="4"/>
  <c r="BT55" i="4" s="1"/>
  <c r="BW184" i="4"/>
  <c r="BW185" i="4" s="1"/>
  <c r="BX177" i="4"/>
  <c r="BW235" i="4"/>
  <c r="BW236" i="4" s="1"/>
  <c r="BX228" i="4"/>
  <c r="BX247" i="4"/>
  <c r="BX248" i="4" s="1"/>
  <c r="BY240" i="4"/>
  <c r="BX106" i="4"/>
  <c r="BX107" i="4" s="1"/>
  <c r="BY99" i="4"/>
  <c r="BZ216" i="4"/>
  <c r="BY223" i="4"/>
  <c r="BY224" i="4" s="1"/>
  <c r="BY138" i="4"/>
  <c r="BX145" i="4"/>
  <c r="BX146" i="4" s="1"/>
  <c r="BW132" i="4"/>
  <c r="BW133" i="4" s="1"/>
  <c r="BX125" i="4"/>
  <c r="BX86" i="4"/>
  <c r="BW93" i="4"/>
  <c r="BW94" i="4" s="1"/>
  <c r="BX197" i="4"/>
  <c r="BX198" i="4" s="1"/>
  <c r="BY190" i="4"/>
  <c r="BX152" i="4"/>
  <c r="BX153" i="4" s="1"/>
  <c r="BU48" i="4"/>
  <c r="BU49" i="4" s="1"/>
  <c r="BX113" i="4"/>
  <c r="BX114" i="4" s="1"/>
  <c r="BT33" i="4"/>
  <c r="BT34" i="4" s="1"/>
  <c r="BX165" i="4"/>
  <c r="BX166" i="4" s="1"/>
  <c r="BX61" i="4"/>
  <c r="BX62" i="4" s="1"/>
  <c r="BX204" i="4"/>
  <c r="BX205" i="4" s="1"/>
  <c r="BS249" i="4"/>
  <c r="BS37" i="4"/>
  <c r="BX74" i="4"/>
  <c r="BX75" i="4" s="1"/>
  <c r="BX67" i="4" l="1"/>
  <c r="BX68" i="4" s="1"/>
  <c r="BY60" i="4"/>
  <c r="BY112" i="4"/>
  <c r="BX119" i="4"/>
  <c r="BX120" i="4" s="1"/>
  <c r="BY203" i="4"/>
  <c r="BX210" i="4"/>
  <c r="BX211" i="4" s="1"/>
  <c r="BT35" i="4"/>
  <c r="BU32" i="4"/>
  <c r="BU54" i="4"/>
  <c r="BV47" i="4"/>
  <c r="BY73" i="4"/>
  <c r="BX80" i="4"/>
  <c r="BX81" i="4" s="1"/>
  <c r="BX229" i="4"/>
  <c r="BX230" i="4" s="1"/>
  <c r="BX171" i="4"/>
  <c r="BX172" i="4" s="1"/>
  <c r="BY164" i="4"/>
  <c r="BZ217" i="4"/>
  <c r="BZ218" i="4" s="1"/>
  <c r="BY191" i="4"/>
  <c r="BY192" i="4" s="1"/>
  <c r="BU51" i="4"/>
  <c r="BU52" i="4" s="1"/>
  <c r="BS252" i="4"/>
  <c r="T90" i="1" s="1"/>
  <c r="U90" i="1" s="1"/>
  <c r="Q90" i="1"/>
  <c r="BY100" i="4"/>
  <c r="BY101" i="4" s="1"/>
  <c r="BX87" i="4"/>
  <c r="BX88" i="4" s="1"/>
  <c r="BX126" i="4"/>
  <c r="BX127" i="4" s="1"/>
  <c r="BY241" i="4"/>
  <c r="BY242" i="4" s="1"/>
  <c r="BT251" i="4"/>
  <c r="S91" i="1"/>
  <c r="BX158" i="4"/>
  <c r="BX159" i="4" s="1"/>
  <c r="BY151" i="4"/>
  <c r="BY139" i="4"/>
  <c r="BY140" i="4" s="1"/>
  <c r="BX178" i="4"/>
  <c r="BX179" i="4" s="1"/>
  <c r="BU30" i="4"/>
  <c r="BU31" i="4" s="1"/>
  <c r="BV29" i="4" l="1"/>
  <c r="BU36" i="4"/>
  <c r="BU250" i="4" s="1"/>
  <c r="BY247" i="4"/>
  <c r="BY248" i="4" s="1"/>
  <c r="BZ240" i="4"/>
  <c r="BZ223" i="4"/>
  <c r="BZ224" i="4" s="1"/>
  <c r="CA216" i="4"/>
  <c r="BX184" i="4"/>
  <c r="BX185" i="4" s="1"/>
  <c r="BY177" i="4"/>
  <c r="BY145" i="4"/>
  <c r="BY146" i="4" s="1"/>
  <c r="BZ138" i="4"/>
  <c r="BX235" i="4"/>
  <c r="BX236" i="4" s="1"/>
  <c r="BY228" i="4"/>
  <c r="BU53" i="4"/>
  <c r="BU55" i="4" s="1"/>
  <c r="BV50" i="4"/>
  <c r="BX132" i="4"/>
  <c r="BX133" i="4" s="1"/>
  <c r="BY125" i="4"/>
  <c r="BX93" i="4"/>
  <c r="BX94" i="4" s="1"/>
  <c r="BY86" i="4"/>
  <c r="BY106" i="4"/>
  <c r="BY107" i="4" s="1"/>
  <c r="BZ99" i="4"/>
  <c r="BY197" i="4"/>
  <c r="BY198" i="4" s="1"/>
  <c r="BZ190" i="4"/>
  <c r="BY165" i="4"/>
  <c r="BY166" i="4" s="1"/>
  <c r="BY74" i="4"/>
  <c r="BY75" i="4" s="1"/>
  <c r="BY113" i="4"/>
  <c r="BY114" i="4" s="1"/>
  <c r="BY204" i="4"/>
  <c r="BY205" i="4" s="1"/>
  <c r="BY152" i="4"/>
  <c r="BY153" i="4" s="1"/>
  <c r="BV48" i="4"/>
  <c r="BV49" i="4" s="1"/>
  <c r="BY61" i="4"/>
  <c r="BY62" i="4" s="1"/>
  <c r="BU33" i="4"/>
  <c r="BU34" i="4" s="1"/>
  <c r="BT249" i="4"/>
  <c r="BT37" i="4"/>
  <c r="BW47" i="4" l="1"/>
  <c r="BV54" i="4"/>
  <c r="BY119" i="4"/>
  <c r="BY120" i="4" s="1"/>
  <c r="BZ112" i="4"/>
  <c r="BV32" i="4"/>
  <c r="BU35" i="4"/>
  <c r="BZ60" i="4"/>
  <c r="BY67" i="4"/>
  <c r="BY68" i="4" s="1"/>
  <c r="BY210" i="4"/>
  <c r="BY211" i="4" s="1"/>
  <c r="BZ203" i="4"/>
  <c r="BY80" i="4"/>
  <c r="BY81" i="4" s="1"/>
  <c r="BZ73" i="4"/>
  <c r="BT252" i="4"/>
  <c r="T91" i="1" s="1"/>
  <c r="U91" i="1" s="1"/>
  <c r="Q91" i="1"/>
  <c r="BY158" i="4"/>
  <c r="BY159" i="4" s="1"/>
  <c r="BZ151" i="4"/>
  <c r="BY126" i="4"/>
  <c r="BY127" i="4" s="1"/>
  <c r="CA217" i="4"/>
  <c r="CA218" i="4" s="1"/>
  <c r="BY87" i="4"/>
  <c r="BY88" i="4" s="1"/>
  <c r="BZ139" i="4"/>
  <c r="BZ140" i="4" s="1"/>
  <c r="BU251" i="4"/>
  <c r="S92" i="1"/>
  <c r="BZ164" i="4"/>
  <c r="BY171" i="4"/>
  <c r="BY172" i="4" s="1"/>
  <c r="BY178" i="4"/>
  <c r="BY179" i="4" s="1"/>
  <c r="BZ191" i="4"/>
  <c r="BZ192" i="4" s="1"/>
  <c r="BV51" i="4"/>
  <c r="BV52" i="4" s="1"/>
  <c r="BZ100" i="4"/>
  <c r="BZ101" i="4" s="1"/>
  <c r="BY229" i="4"/>
  <c r="BY230" i="4" s="1"/>
  <c r="BZ241" i="4"/>
  <c r="BZ242" i="4" s="1"/>
  <c r="BV30" i="4"/>
  <c r="BV31" i="4" s="1"/>
  <c r="BV36" i="4" l="1"/>
  <c r="BV250" i="4" s="1"/>
  <c r="BW29" i="4"/>
  <c r="BZ247" i="4"/>
  <c r="BZ248" i="4" s="1"/>
  <c r="CA240" i="4"/>
  <c r="BZ106" i="4"/>
  <c r="BZ107" i="4" s="1"/>
  <c r="CA99" i="4"/>
  <c r="BV53" i="4"/>
  <c r="BV55" i="4" s="1"/>
  <c r="BW50" i="4"/>
  <c r="CB216" i="4"/>
  <c r="CA223" i="4"/>
  <c r="CA224" i="4" s="1"/>
  <c r="BY235" i="4"/>
  <c r="BY236" i="4" s="1"/>
  <c r="BZ228" i="4"/>
  <c r="CA138" i="4"/>
  <c r="BZ145" i="4"/>
  <c r="BZ146" i="4" s="1"/>
  <c r="BY93" i="4"/>
  <c r="BY94" i="4" s="1"/>
  <c r="BZ86" i="4"/>
  <c r="BZ197" i="4"/>
  <c r="BZ198" i="4" s="1"/>
  <c r="CA190" i="4"/>
  <c r="BY184" i="4"/>
  <c r="BY185" i="4" s="1"/>
  <c r="BZ177" i="4"/>
  <c r="BZ125" i="4"/>
  <c r="BY132" i="4"/>
  <c r="BY133" i="4" s="1"/>
  <c r="BV33" i="4"/>
  <c r="BV34" i="4" s="1"/>
  <c r="BZ74" i="4"/>
  <c r="BZ75" i="4" s="1"/>
  <c r="BZ113" i="4"/>
  <c r="BZ114" i="4" s="1"/>
  <c r="BZ152" i="4"/>
  <c r="BZ153" i="4" s="1"/>
  <c r="BU249" i="4"/>
  <c r="BU37" i="4"/>
  <c r="BZ61" i="4"/>
  <c r="BZ62" i="4" s="1"/>
  <c r="BZ165" i="4"/>
  <c r="BZ166" i="4" s="1"/>
  <c r="BZ204" i="4"/>
  <c r="BZ205" i="4" s="1"/>
  <c r="BW48" i="4"/>
  <c r="BW49" i="4" s="1"/>
  <c r="CA203" i="4" l="1"/>
  <c r="BZ210" i="4"/>
  <c r="BZ211" i="4" s="1"/>
  <c r="CA112" i="4"/>
  <c r="BZ119" i="4"/>
  <c r="BZ120" i="4" s="1"/>
  <c r="BZ171" i="4"/>
  <c r="BZ172" i="4" s="1"/>
  <c r="CA164" i="4"/>
  <c r="BZ67" i="4"/>
  <c r="BZ68" i="4" s="1"/>
  <c r="CA60" i="4"/>
  <c r="BZ158" i="4"/>
  <c r="BZ159" i="4" s="1"/>
  <c r="CA151" i="4"/>
  <c r="BZ80" i="4"/>
  <c r="BZ81" i="4" s="1"/>
  <c r="CA73" i="4"/>
  <c r="BX47" i="4"/>
  <c r="BW54" i="4"/>
  <c r="BZ229" i="4"/>
  <c r="BZ230" i="4" s="1"/>
  <c r="BW32" i="4"/>
  <c r="BV35" i="4"/>
  <c r="BW51" i="4"/>
  <c r="BW52" i="4" s="1"/>
  <c r="BZ126" i="4"/>
  <c r="BZ127" i="4" s="1"/>
  <c r="CA100" i="4"/>
  <c r="CA101" i="4" s="1"/>
  <c r="CA139" i="4"/>
  <c r="CA140" i="4" s="1"/>
  <c r="CA241" i="4"/>
  <c r="CA242" i="4" s="1"/>
  <c r="CA191" i="4"/>
  <c r="CA192" i="4" s="1"/>
  <c r="BW30" i="4"/>
  <c r="BW31" i="4" s="1"/>
  <c r="BU252" i="4"/>
  <c r="T92" i="1" s="1"/>
  <c r="U92" i="1" s="1"/>
  <c r="Q92" i="1"/>
  <c r="BZ87" i="4"/>
  <c r="BZ88" i="4" s="1"/>
  <c r="BZ178" i="4"/>
  <c r="BZ179" i="4" s="1"/>
  <c r="CB217" i="4"/>
  <c r="CB218" i="4" s="1"/>
  <c r="BV251" i="4"/>
  <c r="S93" i="1"/>
  <c r="BW36" i="4" l="1"/>
  <c r="BW250" i="4" s="1"/>
  <c r="BX29" i="4"/>
  <c r="BZ235" i="4"/>
  <c r="BZ236" i="4" s="1"/>
  <c r="CA228" i="4"/>
  <c r="CB223" i="4"/>
  <c r="CB224" i="4" s="1"/>
  <c r="CC216" i="4"/>
  <c r="BZ184" i="4"/>
  <c r="BZ185" i="4" s="1"/>
  <c r="CA177" i="4"/>
  <c r="BZ93" i="4"/>
  <c r="BZ94" i="4" s="1"/>
  <c r="CA86" i="4"/>
  <c r="CA197" i="4"/>
  <c r="CA198" i="4" s="1"/>
  <c r="CB190" i="4"/>
  <c r="CA247" i="4"/>
  <c r="CA248" i="4" s="1"/>
  <c r="CB240" i="4"/>
  <c r="CA145" i="4"/>
  <c r="CA146" i="4" s="1"/>
  <c r="CB138" i="4"/>
  <c r="CA106" i="4"/>
  <c r="CA107" i="4" s="1"/>
  <c r="CB99" i="4"/>
  <c r="BZ132" i="4"/>
  <c r="BZ133" i="4" s="1"/>
  <c r="CA125" i="4"/>
  <c r="BW53" i="4"/>
  <c r="BW55" i="4" s="1"/>
  <c r="BX50" i="4"/>
  <c r="CA61" i="4"/>
  <c r="CA62" i="4" s="1"/>
  <c r="CA165" i="4"/>
  <c r="CA166" i="4" s="1"/>
  <c r="CA113" i="4"/>
  <c r="CA114" i="4" s="1"/>
  <c r="BV249" i="4"/>
  <c r="BV37" i="4"/>
  <c r="CA152" i="4"/>
  <c r="CA153" i="4" s="1"/>
  <c r="BX48" i="4"/>
  <c r="BX49" i="4" s="1"/>
  <c r="CA74" i="4"/>
  <c r="CA75" i="4" s="1"/>
  <c r="BW33" i="4"/>
  <c r="BW34" i="4" s="1"/>
  <c r="CA204" i="4"/>
  <c r="CA205" i="4" s="1"/>
  <c r="BX32" i="4" l="1"/>
  <c r="BW35" i="4"/>
  <c r="BY47" i="4"/>
  <c r="BX54" i="4"/>
  <c r="CA171" i="4"/>
  <c r="CA172" i="4" s="1"/>
  <c r="CB164" i="4"/>
  <c r="CA67" i="4"/>
  <c r="CA68" i="4" s="1"/>
  <c r="CB60" i="4"/>
  <c r="CA80" i="4"/>
  <c r="CA81" i="4" s="1"/>
  <c r="CB73" i="4"/>
  <c r="CA158" i="4"/>
  <c r="CA159" i="4" s="1"/>
  <c r="CB151" i="4"/>
  <c r="CA119" i="4"/>
  <c r="CA120" i="4" s="1"/>
  <c r="CB112" i="4"/>
  <c r="CA210" i="4"/>
  <c r="CA211" i="4" s="1"/>
  <c r="CB203" i="4"/>
  <c r="CB139" i="4"/>
  <c r="CB140" i="4" s="1"/>
  <c r="BV252" i="4"/>
  <c r="T93" i="1" s="1"/>
  <c r="U93" i="1" s="1"/>
  <c r="Q93" i="1"/>
  <c r="CA178" i="4"/>
  <c r="CA179" i="4" s="1"/>
  <c r="BX51" i="4"/>
  <c r="BX52" i="4" s="1"/>
  <c r="CC217" i="4"/>
  <c r="CC218" i="4" s="1"/>
  <c r="CB241" i="4"/>
  <c r="CB242" i="4" s="1"/>
  <c r="CA229" i="4"/>
  <c r="CA230" i="4" s="1"/>
  <c r="CB100" i="4"/>
  <c r="CB101" i="4" s="1"/>
  <c r="CA87" i="4"/>
  <c r="CA88" i="4" s="1"/>
  <c r="BX30" i="4"/>
  <c r="BX31" i="4" s="1"/>
  <c r="CA126" i="4"/>
  <c r="CA127" i="4" s="1"/>
  <c r="CB191" i="4"/>
  <c r="CB192" i="4" s="1"/>
  <c r="BW251" i="4"/>
  <c r="S94" i="1"/>
  <c r="CB228" i="4" l="1"/>
  <c r="CA235" i="4"/>
  <c r="CA236" i="4" s="1"/>
  <c r="CD216" i="4"/>
  <c r="CC223" i="4"/>
  <c r="CC224" i="4" s="1"/>
  <c r="BY50" i="4"/>
  <c r="BX53" i="4"/>
  <c r="BX55" i="4" s="1"/>
  <c r="CB177" i="4"/>
  <c r="CA184" i="4"/>
  <c r="CA185" i="4" s="1"/>
  <c r="CA93" i="4"/>
  <c r="CA94" i="4" s="1"/>
  <c r="CB86" i="4"/>
  <c r="CB247" i="4"/>
  <c r="CB248" i="4" s="1"/>
  <c r="CC240" i="4"/>
  <c r="CB197" i="4"/>
  <c r="CB198" i="4" s="1"/>
  <c r="CC190" i="4"/>
  <c r="CB125" i="4"/>
  <c r="CA132" i="4"/>
  <c r="CA133" i="4" s="1"/>
  <c r="BY29" i="4"/>
  <c r="BX36" i="4"/>
  <c r="BX250" i="4" s="1"/>
  <c r="CC99" i="4"/>
  <c r="CB106" i="4"/>
  <c r="CB107" i="4" s="1"/>
  <c r="CB145" i="4"/>
  <c r="CB146" i="4" s="1"/>
  <c r="CC138" i="4"/>
  <c r="CB204" i="4"/>
  <c r="CB205" i="4" s="1"/>
  <c r="CB113" i="4"/>
  <c r="CB114" i="4" s="1"/>
  <c r="CB165" i="4"/>
  <c r="CB166" i="4" s="1"/>
  <c r="BY48" i="4"/>
  <c r="BY49" i="4" s="1"/>
  <c r="CB61" i="4"/>
  <c r="CB62" i="4" s="1"/>
  <c r="CB74" i="4"/>
  <c r="CB75" i="4" s="1"/>
  <c r="BW249" i="4"/>
  <c r="BW37" i="4"/>
  <c r="CB152" i="4"/>
  <c r="CB153" i="4" s="1"/>
  <c r="BX33" i="4"/>
  <c r="BX34" i="4" s="1"/>
  <c r="CB119" i="4" l="1"/>
  <c r="CB120" i="4" s="1"/>
  <c r="CC112" i="4"/>
  <c r="CC203" i="4"/>
  <c r="CB210" i="4"/>
  <c r="CB211" i="4" s="1"/>
  <c r="CB67" i="4"/>
  <c r="CB68" i="4" s="1"/>
  <c r="CC60" i="4"/>
  <c r="CB158" i="4"/>
  <c r="CB159" i="4" s="1"/>
  <c r="CC151" i="4"/>
  <c r="CB80" i="4"/>
  <c r="CB81" i="4" s="1"/>
  <c r="CC73" i="4"/>
  <c r="BY54" i="4"/>
  <c r="BZ47" i="4"/>
  <c r="CB171" i="4"/>
  <c r="CB172" i="4" s="1"/>
  <c r="CC164" i="4"/>
  <c r="BY32" i="4"/>
  <c r="BX35" i="4"/>
  <c r="BY51" i="4"/>
  <c r="BY52" i="4" s="1"/>
  <c r="CB178" i="4"/>
  <c r="CB179" i="4" s="1"/>
  <c r="BW252" i="4"/>
  <c r="T94" i="1" s="1"/>
  <c r="U94" i="1" s="1"/>
  <c r="Q94" i="1"/>
  <c r="CC241" i="4"/>
  <c r="CC242" i="4" s="1"/>
  <c r="CD217" i="4"/>
  <c r="CD218" i="4" s="1"/>
  <c r="CB126" i="4"/>
  <c r="CB127" i="4" s="1"/>
  <c r="CC191" i="4"/>
  <c r="CC192" i="4" s="1"/>
  <c r="CC100" i="4"/>
  <c r="CC101" i="4" s="1"/>
  <c r="BX251" i="4"/>
  <c r="S95" i="1"/>
  <c r="CB87" i="4"/>
  <c r="CB88" i="4" s="1"/>
  <c r="CC139" i="4"/>
  <c r="CC140" i="4" s="1"/>
  <c r="BY30" i="4"/>
  <c r="BY31" i="4" s="1"/>
  <c r="CB229" i="4"/>
  <c r="CB230" i="4" s="1"/>
  <c r="CB235" i="4" l="1"/>
  <c r="CB236" i="4" s="1"/>
  <c r="CC228" i="4"/>
  <c r="CC197" i="4"/>
  <c r="CC198" i="4" s="1"/>
  <c r="CD190" i="4"/>
  <c r="CB132" i="4"/>
  <c r="CB133" i="4" s="1"/>
  <c r="CC125" i="4"/>
  <c r="CD223" i="4"/>
  <c r="CD224" i="4" s="1"/>
  <c r="CE216" i="4"/>
  <c r="CC247" i="4"/>
  <c r="CC248" i="4" s="1"/>
  <c r="CD240" i="4"/>
  <c r="CB184" i="4"/>
  <c r="CB185" i="4" s="1"/>
  <c r="CC177" i="4"/>
  <c r="BZ29" i="4"/>
  <c r="BY36" i="4"/>
  <c r="BY250" i="4" s="1"/>
  <c r="CC145" i="4"/>
  <c r="CC146" i="4" s="1"/>
  <c r="CD138" i="4"/>
  <c r="CB93" i="4"/>
  <c r="CB94" i="4" s="1"/>
  <c r="CC86" i="4"/>
  <c r="CD99" i="4"/>
  <c r="CC106" i="4"/>
  <c r="CC107" i="4" s="1"/>
  <c r="BZ50" i="4"/>
  <c r="BY53" i="4"/>
  <c r="BY55" i="4" s="1"/>
  <c r="CC152" i="4"/>
  <c r="CC153" i="4" s="1"/>
  <c r="BX249" i="4"/>
  <c r="BX37" i="4"/>
  <c r="CC61" i="4"/>
  <c r="CC62" i="4" s="1"/>
  <c r="BY33" i="4"/>
  <c r="BY34" i="4" s="1"/>
  <c r="CC165" i="4"/>
  <c r="CC166" i="4" s="1"/>
  <c r="CC204" i="4"/>
  <c r="CC205" i="4" s="1"/>
  <c r="BZ48" i="4"/>
  <c r="BZ49" i="4" s="1"/>
  <c r="CC74" i="4"/>
  <c r="CC75" i="4" s="1"/>
  <c r="CC113" i="4"/>
  <c r="CC114" i="4" s="1"/>
  <c r="BZ54" i="4" l="1"/>
  <c r="CA47" i="4"/>
  <c r="BZ32" i="4"/>
  <c r="BY35" i="4"/>
  <c r="CC80" i="4"/>
  <c r="CC81" i="4" s="1"/>
  <c r="CD73" i="4"/>
  <c r="CD151" i="4"/>
  <c r="CC158" i="4"/>
  <c r="CC159" i="4" s="1"/>
  <c r="CD164" i="4"/>
  <c r="CC171" i="4"/>
  <c r="CC172" i="4" s="1"/>
  <c r="CC67" i="4"/>
  <c r="CC68" i="4" s="1"/>
  <c r="CD60" i="4"/>
  <c r="CC119" i="4"/>
  <c r="CC120" i="4" s="1"/>
  <c r="CD112" i="4"/>
  <c r="CC126" i="4"/>
  <c r="CC127" i="4" s="1"/>
  <c r="CC178" i="4"/>
  <c r="CC179" i="4" s="1"/>
  <c r="CD139" i="4"/>
  <c r="CD140" i="4" s="1"/>
  <c r="BZ51" i="4"/>
  <c r="BZ52" i="4" s="1"/>
  <c r="CD191" i="4"/>
  <c r="CD192" i="4" s="1"/>
  <c r="CD100" i="4"/>
  <c r="CD101" i="4" s="1"/>
  <c r="CE217" i="4"/>
  <c r="CE218" i="4" s="1"/>
  <c r="CC87" i="4"/>
  <c r="CC88" i="4" s="1"/>
  <c r="CD241" i="4"/>
  <c r="CD242" i="4" s="1"/>
  <c r="CC229" i="4"/>
  <c r="CC230" i="4" s="1"/>
  <c r="BY251" i="4"/>
  <c r="S96" i="1"/>
  <c r="BZ30" i="4"/>
  <c r="BZ31" i="4" s="1"/>
  <c r="CC210" i="4"/>
  <c r="CC211" i="4" s="1"/>
  <c r="CD203" i="4"/>
  <c r="BX252" i="4"/>
  <c r="T95" i="1" s="1"/>
  <c r="U95" i="1" s="1"/>
  <c r="Q95" i="1"/>
  <c r="CD247" i="4" l="1"/>
  <c r="CD248" i="4" s="1"/>
  <c r="CE240" i="4"/>
  <c r="CC184" i="4"/>
  <c r="CC185" i="4" s="1"/>
  <c r="CD177" i="4"/>
  <c r="CC132" i="4"/>
  <c r="CC133" i="4" s="1"/>
  <c r="CD125" i="4"/>
  <c r="CF216" i="4"/>
  <c r="CE223" i="4"/>
  <c r="CE224" i="4" s="1"/>
  <c r="CA50" i="4"/>
  <c r="BZ53" i="4"/>
  <c r="BZ55" i="4" s="1"/>
  <c r="CC235" i="4"/>
  <c r="CC236" i="4" s="1"/>
  <c r="CD228" i="4"/>
  <c r="CD86" i="4"/>
  <c r="CC93" i="4"/>
  <c r="CC94" i="4" s="1"/>
  <c r="CE99" i="4"/>
  <c r="CD106" i="4"/>
  <c r="CD107" i="4" s="1"/>
  <c r="CA29" i="4"/>
  <c r="BZ36" i="4"/>
  <c r="BZ250" i="4" s="1"/>
  <c r="CD197" i="4"/>
  <c r="CD198" i="4" s="1"/>
  <c r="CE190" i="4"/>
  <c r="CD145" i="4"/>
  <c r="CD146" i="4" s="1"/>
  <c r="CE138" i="4"/>
  <c r="BY249" i="4"/>
  <c r="BY37" i="4"/>
  <c r="BZ33" i="4"/>
  <c r="BZ34" i="4" s="1"/>
  <c r="CD204" i="4"/>
  <c r="CD205" i="4" s="1"/>
  <c r="CD152" i="4"/>
  <c r="CD153" i="4" s="1"/>
  <c r="CD74" i="4"/>
  <c r="CD75" i="4" s="1"/>
  <c r="CA48" i="4"/>
  <c r="CA49" i="4" s="1"/>
  <c r="CD113" i="4"/>
  <c r="CD114" i="4" s="1"/>
  <c r="CD61" i="4"/>
  <c r="CD62" i="4" s="1"/>
  <c r="CD165" i="4"/>
  <c r="CD166" i="4" s="1"/>
  <c r="CD67" i="4" l="1"/>
  <c r="CD68" i="4" s="1"/>
  <c r="CE60" i="4"/>
  <c r="CA54" i="4"/>
  <c r="CB47" i="4"/>
  <c r="CE73" i="4"/>
  <c r="CD80" i="4"/>
  <c r="CD81" i="4" s="1"/>
  <c r="CD210" i="4"/>
  <c r="CD211" i="4" s="1"/>
  <c r="CE203" i="4"/>
  <c r="CD119" i="4"/>
  <c r="CD120" i="4" s="1"/>
  <c r="CE112" i="4"/>
  <c r="CD158" i="4"/>
  <c r="CD159" i="4" s="1"/>
  <c r="CE151" i="4"/>
  <c r="BZ35" i="4"/>
  <c r="CA32" i="4"/>
  <c r="CD171" i="4"/>
  <c r="CD172" i="4" s="1"/>
  <c r="CE164" i="4"/>
  <c r="CF217" i="4"/>
  <c r="CF218" i="4" s="1"/>
  <c r="CE139" i="4"/>
  <c r="CE140" i="4" s="1"/>
  <c r="CD229" i="4"/>
  <c r="CD230" i="4" s="1"/>
  <c r="CD178" i="4"/>
  <c r="CD179" i="4" s="1"/>
  <c r="CE100" i="4"/>
  <c r="CE101" i="4" s="1"/>
  <c r="BY252" i="4"/>
  <c r="T96" i="1" s="1"/>
  <c r="U96" i="1" s="1"/>
  <c r="Q96" i="1"/>
  <c r="CE241" i="4"/>
  <c r="CE242" i="4" s="1"/>
  <c r="CD126" i="4"/>
  <c r="CD127" i="4" s="1"/>
  <c r="CD87" i="4"/>
  <c r="CD88" i="4" s="1"/>
  <c r="CE191" i="4"/>
  <c r="CE192" i="4" s="1"/>
  <c r="BZ251" i="4"/>
  <c r="S97" i="1"/>
  <c r="CA30" i="4"/>
  <c r="CA31" i="4" s="1"/>
  <c r="CA51" i="4"/>
  <c r="CA52" i="4" s="1"/>
  <c r="CE247" i="4" l="1"/>
  <c r="CE248" i="4" s="1"/>
  <c r="CF240" i="4"/>
  <c r="CB50" i="4"/>
  <c r="CA53" i="4"/>
  <c r="CA55" i="4" s="1"/>
  <c r="CE106" i="4"/>
  <c r="CE107" i="4" s="1"/>
  <c r="CF99" i="4"/>
  <c r="CE197" i="4"/>
  <c r="CE198" i="4" s="1"/>
  <c r="CF190" i="4"/>
  <c r="CE145" i="4"/>
  <c r="CE146" i="4" s="1"/>
  <c r="CF138" i="4"/>
  <c r="CB29" i="4"/>
  <c r="CA36" i="4"/>
  <c r="CA250" i="4" s="1"/>
  <c r="CD184" i="4"/>
  <c r="CD185" i="4" s="1"/>
  <c r="CE177" i="4"/>
  <c r="CD235" i="4"/>
  <c r="CD236" i="4" s="1"/>
  <c r="CE228" i="4"/>
  <c r="CD93" i="4"/>
  <c r="CD94" i="4" s="1"/>
  <c r="CE86" i="4"/>
  <c r="CD132" i="4"/>
  <c r="CD133" i="4" s="1"/>
  <c r="CE125" i="4"/>
  <c r="CF223" i="4"/>
  <c r="CF224" i="4" s="1"/>
  <c r="CG216" i="4"/>
  <c r="CE165" i="4"/>
  <c r="CE166" i="4" s="1"/>
  <c r="CA33" i="4"/>
  <c r="CA34" i="4" s="1"/>
  <c r="BZ249" i="4"/>
  <c r="BZ37" i="4"/>
  <c r="CE74" i="4"/>
  <c r="CE75" i="4" s="1"/>
  <c r="CE152" i="4"/>
  <c r="CE153" i="4" s="1"/>
  <c r="CB48" i="4"/>
  <c r="CB49" i="4" s="1"/>
  <c r="CE113" i="4"/>
  <c r="CE114" i="4" s="1"/>
  <c r="CE61" i="4"/>
  <c r="CE62" i="4" s="1"/>
  <c r="CE204" i="4"/>
  <c r="CE205" i="4" s="1"/>
  <c r="CA35" i="4" l="1"/>
  <c r="CB32" i="4"/>
  <c r="CF60" i="4"/>
  <c r="CE67" i="4"/>
  <c r="CE68" i="4" s="1"/>
  <c r="CE119" i="4"/>
  <c r="CE120" i="4" s="1"/>
  <c r="CF112" i="4"/>
  <c r="CF151" i="4"/>
  <c r="CE158" i="4"/>
  <c r="CE159" i="4" s="1"/>
  <c r="CE210" i="4"/>
  <c r="CE211" i="4" s="1"/>
  <c r="CF203" i="4"/>
  <c r="CF164" i="4"/>
  <c r="CE171" i="4"/>
  <c r="CE172" i="4" s="1"/>
  <c r="CB54" i="4"/>
  <c r="CC47" i="4"/>
  <c r="CF73" i="4"/>
  <c r="CE80" i="4"/>
  <c r="CE81" i="4" s="1"/>
  <c r="CE229" i="4"/>
  <c r="CE230" i="4" s="1"/>
  <c r="CF100" i="4"/>
  <c r="CF101" i="4" s="1"/>
  <c r="CA251" i="4"/>
  <c r="S98" i="1"/>
  <c r="CE178" i="4"/>
  <c r="CE179" i="4" s="1"/>
  <c r="CE126" i="4"/>
  <c r="CE127" i="4" s="1"/>
  <c r="CB30" i="4"/>
  <c r="CB31" i="4" s="1"/>
  <c r="CB51" i="4"/>
  <c r="CB52" i="4" s="1"/>
  <c r="CG217" i="4"/>
  <c r="CG218" i="4" s="1"/>
  <c r="CE87" i="4"/>
  <c r="CE88" i="4" s="1"/>
  <c r="CF139" i="4"/>
  <c r="CF140" i="4" s="1"/>
  <c r="CF241" i="4"/>
  <c r="CF242" i="4" s="1"/>
  <c r="CF191" i="4"/>
  <c r="CF192" i="4" s="1"/>
  <c r="BZ252" i="4"/>
  <c r="T97" i="1" s="1"/>
  <c r="U97" i="1" s="1"/>
  <c r="Q97" i="1"/>
  <c r="CC50" i="4" l="1"/>
  <c r="CB53" i="4"/>
  <c r="CB55" i="4" s="1"/>
  <c r="CC29" i="4"/>
  <c r="CB36" i="4"/>
  <c r="CB250" i="4" s="1"/>
  <c r="CF197" i="4"/>
  <c r="CF198" i="4" s="1"/>
  <c r="CG190" i="4"/>
  <c r="CF247" i="4"/>
  <c r="CF248" i="4" s="1"/>
  <c r="CG240" i="4"/>
  <c r="CF106" i="4"/>
  <c r="CF107" i="4" s="1"/>
  <c r="CG99" i="4"/>
  <c r="CE132" i="4"/>
  <c r="CE133" i="4" s="1"/>
  <c r="CF125" i="4"/>
  <c r="CE184" i="4"/>
  <c r="CE185" i="4" s="1"/>
  <c r="CF177" i="4"/>
  <c r="CG138" i="4"/>
  <c r="CF145" i="4"/>
  <c r="CF146" i="4" s="1"/>
  <c r="CF86" i="4"/>
  <c r="CE93" i="4"/>
  <c r="CE94" i="4" s="1"/>
  <c r="CH216" i="4"/>
  <c r="CG223" i="4"/>
  <c r="CG224" i="4" s="1"/>
  <c r="CE235" i="4"/>
  <c r="CE236" i="4" s="1"/>
  <c r="CF228" i="4"/>
  <c r="CF152" i="4"/>
  <c r="CF153" i="4" s="1"/>
  <c r="CF113" i="4"/>
  <c r="CF114" i="4" s="1"/>
  <c r="CC48" i="4"/>
  <c r="CC49" i="4" s="1"/>
  <c r="CF165" i="4"/>
  <c r="CF166" i="4" s="1"/>
  <c r="CF61" i="4"/>
  <c r="CF62" i="4" s="1"/>
  <c r="CF204" i="4"/>
  <c r="CF205" i="4" s="1"/>
  <c r="CB33" i="4"/>
  <c r="CB34" i="4" s="1"/>
  <c r="CF74" i="4"/>
  <c r="CF75" i="4" s="1"/>
  <c r="CA249" i="4"/>
  <c r="CA37" i="4"/>
  <c r="CG112" i="4" l="1"/>
  <c r="CF119" i="4"/>
  <c r="CF120" i="4" s="1"/>
  <c r="CG73" i="4"/>
  <c r="CF80" i="4"/>
  <c r="CF81" i="4" s="1"/>
  <c r="CG203" i="4"/>
  <c r="CF210" i="4"/>
  <c r="CF211" i="4" s="1"/>
  <c r="CF171" i="4"/>
  <c r="CF172" i="4" s="1"/>
  <c r="CG164" i="4"/>
  <c r="CF158" i="4"/>
  <c r="CF159" i="4" s="1"/>
  <c r="CG151" i="4"/>
  <c r="CB35" i="4"/>
  <c r="CC32" i="4"/>
  <c r="CF67" i="4"/>
  <c r="CF68" i="4" s="1"/>
  <c r="CG60" i="4"/>
  <c r="CC54" i="4"/>
  <c r="CD47" i="4"/>
  <c r="CC30" i="4"/>
  <c r="CC31" i="4" s="1"/>
  <c r="CA252" i="4"/>
  <c r="T98" i="1" s="1"/>
  <c r="U98" i="1" s="1"/>
  <c r="Q98" i="1"/>
  <c r="CG241" i="4"/>
  <c r="CG242" i="4" s="1"/>
  <c r="CF229" i="4"/>
  <c r="CF230" i="4" s="1"/>
  <c r="CG191" i="4"/>
  <c r="CG192" i="4" s="1"/>
  <c r="CB251" i="4"/>
  <c r="S99" i="1"/>
  <c r="CG139" i="4"/>
  <c r="CG140" i="4" s="1"/>
  <c r="CF178" i="4"/>
  <c r="CF179" i="4" s="1"/>
  <c r="CF126" i="4"/>
  <c r="CF127" i="4" s="1"/>
  <c r="CH217" i="4"/>
  <c r="CH218" i="4" s="1"/>
  <c r="CG100" i="4"/>
  <c r="CG101" i="4" s="1"/>
  <c r="CF87" i="4"/>
  <c r="CF88" i="4" s="1"/>
  <c r="CC51" i="4"/>
  <c r="CC52" i="4" s="1"/>
  <c r="CC53" i="4" l="1"/>
  <c r="CC55" i="4" s="1"/>
  <c r="CD50" i="4"/>
  <c r="CG197" i="4"/>
  <c r="CG198" i="4" s="1"/>
  <c r="CH190" i="4"/>
  <c r="CF235" i="4"/>
  <c r="CF236" i="4" s="1"/>
  <c r="CG228" i="4"/>
  <c r="CG247" i="4"/>
  <c r="CG248" i="4" s="1"/>
  <c r="CH240" i="4"/>
  <c r="CF184" i="4"/>
  <c r="CF185" i="4" s="1"/>
  <c r="CG177" i="4"/>
  <c r="CF93" i="4"/>
  <c r="CF94" i="4" s="1"/>
  <c r="CG86" i="4"/>
  <c r="CG106" i="4"/>
  <c r="CG107" i="4" s="1"/>
  <c r="CH99" i="4"/>
  <c r="CH223" i="4"/>
  <c r="CH224" i="4" s="1"/>
  <c r="CI216" i="4"/>
  <c r="CF132" i="4"/>
  <c r="CF133" i="4" s="1"/>
  <c r="CG125" i="4"/>
  <c r="CG145" i="4"/>
  <c r="CG146" i="4" s="1"/>
  <c r="CH138" i="4"/>
  <c r="CD29" i="4"/>
  <c r="CC36" i="4"/>
  <c r="CC250" i="4" s="1"/>
  <c r="CD48" i="4"/>
  <c r="CD49" i="4" s="1"/>
  <c r="CG165" i="4"/>
  <c r="CG166" i="4" s="1"/>
  <c r="CG61" i="4"/>
  <c r="CG62" i="4" s="1"/>
  <c r="CG204" i="4"/>
  <c r="CG205" i="4" s="1"/>
  <c r="CC33" i="4"/>
  <c r="CC34" i="4" s="1"/>
  <c r="CB249" i="4"/>
  <c r="CB37" i="4"/>
  <c r="CG74" i="4"/>
  <c r="CG75" i="4" s="1"/>
  <c r="CG152" i="4"/>
  <c r="CG153" i="4" s="1"/>
  <c r="CG113" i="4"/>
  <c r="CG114" i="4" s="1"/>
  <c r="CG158" i="4" l="1"/>
  <c r="CG159" i="4" s="1"/>
  <c r="CH151" i="4"/>
  <c r="CG80" i="4"/>
  <c r="CG81" i="4" s="1"/>
  <c r="CH73" i="4"/>
  <c r="CH164" i="4"/>
  <c r="CG171" i="4"/>
  <c r="CG172" i="4" s="1"/>
  <c r="CE47" i="4"/>
  <c r="CD54" i="4"/>
  <c r="CD32" i="4"/>
  <c r="CC35" i="4"/>
  <c r="CG210" i="4"/>
  <c r="CG211" i="4" s="1"/>
  <c r="CH203" i="4"/>
  <c r="CH60" i="4"/>
  <c r="CG67" i="4"/>
  <c r="CG68" i="4" s="1"/>
  <c r="CD30" i="4"/>
  <c r="CD31" i="4" s="1"/>
  <c r="CH139" i="4"/>
  <c r="CH140" i="4" s="1"/>
  <c r="CG87" i="4"/>
  <c r="CG88" i="4" s="1"/>
  <c r="CH191" i="4"/>
  <c r="CH192" i="4" s="1"/>
  <c r="CG119" i="4"/>
  <c r="CG120" i="4" s="1"/>
  <c r="CH112" i="4"/>
  <c r="CC251" i="4"/>
  <c r="S100" i="1"/>
  <c r="CH241" i="4"/>
  <c r="CH242" i="4" s="1"/>
  <c r="CG229" i="4"/>
  <c r="CG230" i="4" s="1"/>
  <c r="CG126" i="4"/>
  <c r="CG127" i="4" s="1"/>
  <c r="CG178" i="4"/>
  <c r="CG179" i="4" s="1"/>
  <c r="CD51" i="4"/>
  <c r="CD52" i="4" s="1"/>
  <c r="CI217" i="4"/>
  <c r="CI218" i="4" s="1"/>
  <c r="CH100" i="4"/>
  <c r="CH101" i="4" s="1"/>
  <c r="CB252" i="4"/>
  <c r="T99" i="1" s="1"/>
  <c r="U99" i="1" s="1"/>
  <c r="Q99" i="1"/>
  <c r="CH247" i="4" l="1"/>
  <c r="CH248" i="4" s="1"/>
  <c r="CI240" i="4"/>
  <c r="CI138" i="4"/>
  <c r="CH145" i="4"/>
  <c r="CH146" i="4" s="1"/>
  <c r="CH106" i="4"/>
  <c r="CH107" i="4" s="1"/>
  <c r="CI99" i="4"/>
  <c r="CJ216" i="4"/>
  <c r="CI223" i="4"/>
  <c r="CI224" i="4" s="1"/>
  <c r="CH125" i="4"/>
  <c r="CG132" i="4"/>
  <c r="CG133" i="4" s="1"/>
  <c r="CD36" i="4"/>
  <c r="CD250" i="4" s="1"/>
  <c r="CE29" i="4"/>
  <c r="CD53" i="4"/>
  <c r="CD55" i="4" s="1"/>
  <c r="CE50" i="4"/>
  <c r="CG184" i="4"/>
  <c r="CG185" i="4" s="1"/>
  <c r="CH177" i="4"/>
  <c r="CH197" i="4"/>
  <c r="CH198" i="4" s="1"/>
  <c r="CI190" i="4"/>
  <c r="CG235" i="4"/>
  <c r="CG236" i="4" s="1"/>
  <c r="CH228" i="4"/>
  <c r="CH165" i="4"/>
  <c r="CH166" i="4" s="1"/>
  <c r="CH204" i="4"/>
  <c r="CH205" i="4" s="1"/>
  <c r="CH74" i="4"/>
  <c r="CH75" i="4" s="1"/>
  <c r="CE48" i="4"/>
  <c r="CE49" i="4" s="1"/>
  <c r="CH61" i="4"/>
  <c r="CH62" i="4" s="1"/>
  <c r="CH113" i="4"/>
  <c r="CH114" i="4" s="1"/>
  <c r="CC249" i="4"/>
  <c r="CC37" i="4"/>
  <c r="CH152" i="4"/>
  <c r="CH153" i="4" s="1"/>
  <c r="CG93" i="4"/>
  <c r="CG94" i="4" s="1"/>
  <c r="CH86" i="4"/>
  <c r="CD33" i="4"/>
  <c r="CD34" i="4" s="1"/>
  <c r="CF47" i="4" l="1"/>
  <c r="CE54" i="4"/>
  <c r="CH80" i="4"/>
  <c r="CH81" i="4" s="1"/>
  <c r="CI73" i="4"/>
  <c r="CH158" i="4"/>
  <c r="CH159" i="4" s="1"/>
  <c r="CI151" i="4"/>
  <c r="CI112" i="4"/>
  <c r="CH119" i="4"/>
  <c r="CH120" i="4" s="1"/>
  <c r="CI203" i="4"/>
  <c r="CH210" i="4"/>
  <c r="CH211" i="4" s="1"/>
  <c r="CH171" i="4"/>
  <c r="CH172" i="4" s="1"/>
  <c r="CI164" i="4"/>
  <c r="CH67" i="4"/>
  <c r="CH68" i="4" s="1"/>
  <c r="CI60" i="4"/>
  <c r="CE32" i="4"/>
  <c r="CD35" i="4"/>
  <c r="CH178" i="4"/>
  <c r="CH179" i="4" s="1"/>
  <c r="CJ217" i="4"/>
  <c r="CJ218" i="4" s="1"/>
  <c r="CE51" i="4"/>
  <c r="CE52" i="4" s="1"/>
  <c r="CD251" i="4"/>
  <c r="S101" i="1"/>
  <c r="CI139" i="4"/>
  <c r="CI140" i="4" s="1"/>
  <c r="CH87" i="4"/>
  <c r="CH88" i="4" s="1"/>
  <c r="CI100" i="4"/>
  <c r="CI101" i="4" s="1"/>
  <c r="CH229" i="4"/>
  <c r="CH230" i="4" s="1"/>
  <c r="CE30" i="4"/>
  <c r="CE31" i="4" s="1"/>
  <c r="CI191" i="4"/>
  <c r="CI192" i="4" s="1"/>
  <c r="CI241" i="4"/>
  <c r="CI242" i="4" s="1"/>
  <c r="CC252" i="4"/>
  <c r="T100" i="1" s="1"/>
  <c r="U100" i="1" s="1"/>
  <c r="Q100" i="1"/>
  <c r="CH126" i="4"/>
  <c r="CH127" i="4" s="1"/>
  <c r="CH132" i="4" l="1"/>
  <c r="CH133" i="4" s="1"/>
  <c r="CI125" i="4"/>
  <c r="CE53" i="4"/>
  <c r="CE55" i="4" s="1"/>
  <c r="CF50" i="4"/>
  <c r="CI106" i="4"/>
  <c r="CI107" i="4" s="1"/>
  <c r="CJ99" i="4"/>
  <c r="CI145" i="4"/>
  <c r="CI146" i="4" s="1"/>
  <c r="CJ138" i="4"/>
  <c r="CI247" i="4"/>
  <c r="CI248" i="4" s="1"/>
  <c r="CJ240" i="4"/>
  <c r="CJ223" i="4"/>
  <c r="CJ224" i="4" s="1"/>
  <c r="CK216" i="4"/>
  <c r="CH93" i="4"/>
  <c r="CH94" i="4" s="1"/>
  <c r="CI86" i="4"/>
  <c r="CI197" i="4"/>
  <c r="CI198" i="4" s="1"/>
  <c r="CJ190" i="4"/>
  <c r="CE36" i="4"/>
  <c r="CE250" i="4" s="1"/>
  <c r="CF29" i="4"/>
  <c r="CH235" i="4"/>
  <c r="CH236" i="4" s="1"/>
  <c r="CI228" i="4"/>
  <c r="CH184" i="4"/>
  <c r="CH185" i="4" s="1"/>
  <c r="CI177" i="4"/>
  <c r="CI152" i="4"/>
  <c r="CI153" i="4" s="1"/>
  <c r="CI165" i="4"/>
  <c r="CI166" i="4" s="1"/>
  <c r="CI74" i="4"/>
  <c r="CI75" i="4" s="1"/>
  <c r="CD249" i="4"/>
  <c r="CD37" i="4"/>
  <c r="CI61" i="4"/>
  <c r="CI62" i="4" s="1"/>
  <c r="CI113" i="4"/>
  <c r="CI114" i="4" s="1"/>
  <c r="CE33" i="4"/>
  <c r="CE34" i="4" s="1"/>
  <c r="CI204" i="4"/>
  <c r="CI205" i="4" s="1"/>
  <c r="CF48" i="4"/>
  <c r="CF49" i="4" s="1"/>
  <c r="CI210" i="4" l="1"/>
  <c r="CI211" i="4" s="1"/>
  <c r="CJ203" i="4"/>
  <c r="CI119" i="4"/>
  <c r="CI120" i="4" s="1"/>
  <c r="CJ112" i="4"/>
  <c r="CI171" i="4"/>
  <c r="CI172" i="4" s="1"/>
  <c r="CJ164" i="4"/>
  <c r="CI158" i="4"/>
  <c r="CI159" i="4" s="1"/>
  <c r="CJ151" i="4"/>
  <c r="CF32" i="4"/>
  <c r="CE35" i="4"/>
  <c r="CI67" i="4"/>
  <c r="CI68" i="4" s="1"/>
  <c r="CJ60" i="4"/>
  <c r="CI80" i="4"/>
  <c r="CI81" i="4" s="1"/>
  <c r="CJ73" i="4"/>
  <c r="CJ191" i="4"/>
  <c r="CJ192" i="4" s="1"/>
  <c r="CJ139" i="4"/>
  <c r="CJ140" i="4" s="1"/>
  <c r="CI229" i="4"/>
  <c r="CI230" i="4" s="1"/>
  <c r="CK217" i="4"/>
  <c r="CK218" i="4" s="1"/>
  <c r="CF51" i="4"/>
  <c r="CF52" i="4" s="1"/>
  <c r="CD252" i="4"/>
  <c r="T101" i="1" s="1"/>
  <c r="U101" i="1" s="1"/>
  <c r="Q101" i="1"/>
  <c r="CI178" i="4"/>
  <c r="CI179" i="4" s="1"/>
  <c r="CJ100" i="4"/>
  <c r="CJ101" i="4" s="1"/>
  <c r="CF30" i="4"/>
  <c r="CF31" i="4" s="1"/>
  <c r="CJ241" i="4"/>
  <c r="CJ242" i="4" s="1"/>
  <c r="CI126" i="4"/>
  <c r="CI127" i="4" s="1"/>
  <c r="CG47" i="4"/>
  <c r="CF54" i="4"/>
  <c r="CI87" i="4"/>
  <c r="CI88" i="4" s="1"/>
  <c r="CE251" i="4"/>
  <c r="S102" i="1"/>
  <c r="CF36" i="4" l="1"/>
  <c r="CF250" i="4" s="1"/>
  <c r="CG29" i="4"/>
  <c r="CJ145" i="4"/>
  <c r="CJ146" i="4" s="1"/>
  <c r="CK138" i="4"/>
  <c r="CJ197" i="4"/>
  <c r="CJ198" i="4" s="1"/>
  <c r="CK190" i="4"/>
  <c r="CI93" i="4"/>
  <c r="CI94" i="4" s="1"/>
  <c r="CJ86" i="4"/>
  <c r="CL216" i="4"/>
  <c r="CK223" i="4"/>
  <c r="CK224" i="4" s="1"/>
  <c r="CK99" i="4"/>
  <c r="CJ106" i="4"/>
  <c r="CJ107" i="4" s="1"/>
  <c r="CI184" i="4"/>
  <c r="CI185" i="4" s="1"/>
  <c r="CJ177" i="4"/>
  <c r="CJ125" i="4"/>
  <c r="CI132" i="4"/>
  <c r="CI133" i="4" s="1"/>
  <c r="CG50" i="4"/>
  <c r="CF53" i="4"/>
  <c r="CF55" i="4" s="1"/>
  <c r="CI235" i="4"/>
  <c r="CI236" i="4" s="1"/>
  <c r="CJ228" i="4"/>
  <c r="CJ152" i="4"/>
  <c r="CJ153" i="4" s="1"/>
  <c r="CJ74" i="4"/>
  <c r="CJ75" i="4" s="1"/>
  <c r="CJ61" i="4"/>
  <c r="CJ62" i="4" s="1"/>
  <c r="CJ113" i="4"/>
  <c r="CJ114" i="4" s="1"/>
  <c r="CG48" i="4"/>
  <c r="CG49" i="4" s="1"/>
  <c r="CE249" i="4"/>
  <c r="CE37" i="4"/>
  <c r="CJ204" i="4"/>
  <c r="CJ205" i="4" s="1"/>
  <c r="CJ165" i="4"/>
  <c r="CJ166" i="4" s="1"/>
  <c r="CJ247" i="4"/>
  <c r="CJ248" i="4" s="1"/>
  <c r="CK240" i="4"/>
  <c r="CF33" i="4"/>
  <c r="CF34" i="4" s="1"/>
  <c r="CJ67" i="4" l="1"/>
  <c r="CJ68" i="4" s="1"/>
  <c r="CK60" i="4"/>
  <c r="CJ80" i="4"/>
  <c r="CJ81" i="4" s="1"/>
  <c r="CK73" i="4"/>
  <c r="CK203" i="4"/>
  <c r="CJ210" i="4"/>
  <c r="CJ211" i="4" s="1"/>
  <c r="CJ119" i="4"/>
  <c r="CJ120" i="4" s="1"/>
  <c r="CK112" i="4"/>
  <c r="CJ171" i="4"/>
  <c r="CJ172" i="4" s="1"/>
  <c r="CK164" i="4"/>
  <c r="CJ158" i="4"/>
  <c r="CJ159" i="4" s="1"/>
  <c r="CK151" i="4"/>
  <c r="CG54" i="4"/>
  <c r="CH47" i="4"/>
  <c r="CJ87" i="4"/>
  <c r="CJ88" i="4" s="1"/>
  <c r="CG32" i="4"/>
  <c r="CF35" i="4"/>
  <c r="CE252" i="4"/>
  <c r="T102" i="1" s="1"/>
  <c r="U102" i="1" s="1"/>
  <c r="Q102" i="1"/>
  <c r="CJ126" i="4"/>
  <c r="CJ127" i="4" s="1"/>
  <c r="CK241" i="4"/>
  <c r="CK242" i="4" s="1"/>
  <c r="CJ178" i="4"/>
  <c r="CJ179" i="4" s="1"/>
  <c r="CK139" i="4"/>
  <c r="CK140" i="4" s="1"/>
  <c r="CK191" i="4"/>
  <c r="CK192" i="4" s="1"/>
  <c r="CK100" i="4"/>
  <c r="CK101" i="4" s="1"/>
  <c r="CJ229" i="4"/>
  <c r="CJ230" i="4" s="1"/>
  <c r="CG30" i="4"/>
  <c r="CG31" i="4" s="1"/>
  <c r="CG51" i="4"/>
  <c r="CG52" i="4" s="1"/>
  <c r="CL217" i="4"/>
  <c r="CL218" i="4" s="1"/>
  <c r="CF251" i="4"/>
  <c r="S103" i="1"/>
  <c r="CK197" i="4" l="1"/>
  <c r="CK198" i="4" s="1"/>
  <c r="CL190" i="4"/>
  <c r="CK145" i="4"/>
  <c r="CK146" i="4" s="1"/>
  <c r="CL138" i="4"/>
  <c r="CJ93" i="4"/>
  <c r="CJ94" i="4" s="1"/>
  <c r="CK86" i="4"/>
  <c r="CL223" i="4"/>
  <c r="CL224" i="4" s="1"/>
  <c r="CM216" i="4"/>
  <c r="CH29" i="4"/>
  <c r="CG36" i="4"/>
  <c r="CG250" i="4" s="1"/>
  <c r="CJ184" i="4"/>
  <c r="CJ185" i="4" s="1"/>
  <c r="CK177" i="4"/>
  <c r="CL240" i="4"/>
  <c r="CK247" i="4"/>
  <c r="CK248" i="4" s="1"/>
  <c r="CH50" i="4"/>
  <c r="CG53" i="4"/>
  <c r="CG55" i="4" s="1"/>
  <c r="CJ132" i="4"/>
  <c r="CJ133" i="4" s="1"/>
  <c r="CK125" i="4"/>
  <c r="CJ235" i="4"/>
  <c r="CJ236" i="4" s="1"/>
  <c r="CK228" i="4"/>
  <c r="CL99" i="4"/>
  <c r="CK106" i="4"/>
  <c r="CK107" i="4" s="1"/>
  <c r="CK113" i="4"/>
  <c r="CK114" i="4" s="1"/>
  <c r="CK204" i="4"/>
  <c r="CK205" i="4" s="1"/>
  <c r="CK152" i="4"/>
  <c r="CK153" i="4" s="1"/>
  <c r="CK74" i="4"/>
  <c r="CK75" i="4" s="1"/>
  <c r="CH48" i="4"/>
  <c r="CH49" i="4" s="1"/>
  <c r="CF249" i="4"/>
  <c r="CF37" i="4"/>
  <c r="CK165" i="4"/>
  <c r="CK166" i="4" s="1"/>
  <c r="CK61" i="4"/>
  <c r="CK62" i="4" s="1"/>
  <c r="CG33" i="4"/>
  <c r="CG34" i="4" s="1"/>
  <c r="CK210" i="4" l="1"/>
  <c r="CK211" i="4" s="1"/>
  <c r="CL203" i="4"/>
  <c r="CK119" i="4"/>
  <c r="CK120" i="4" s="1"/>
  <c r="CL112" i="4"/>
  <c r="CK80" i="4"/>
  <c r="CK81" i="4" s="1"/>
  <c r="CL73" i="4"/>
  <c r="CK67" i="4"/>
  <c r="CK68" i="4" s="1"/>
  <c r="CL60" i="4"/>
  <c r="CK171" i="4"/>
  <c r="CK172" i="4" s="1"/>
  <c r="CL164" i="4"/>
  <c r="CH54" i="4"/>
  <c r="CI47" i="4"/>
  <c r="CL151" i="4"/>
  <c r="CK158" i="4"/>
  <c r="CK159" i="4" s="1"/>
  <c r="CH51" i="4"/>
  <c r="CH52" i="4" s="1"/>
  <c r="CL241" i="4"/>
  <c r="CL242" i="4" s="1"/>
  <c r="CM217" i="4"/>
  <c r="CM218" i="4" s="1"/>
  <c r="CK87" i="4"/>
  <c r="CK88" i="4" s="1"/>
  <c r="CK229" i="4"/>
  <c r="CK230" i="4" s="1"/>
  <c r="CK178" i="4"/>
  <c r="CK179" i="4" s="1"/>
  <c r="CL139" i="4"/>
  <c r="CL140" i="4" s="1"/>
  <c r="CH32" i="4"/>
  <c r="CG35" i="4"/>
  <c r="CF252" i="4"/>
  <c r="T103" i="1" s="1"/>
  <c r="U103" i="1" s="1"/>
  <c r="Q103" i="1"/>
  <c r="CK126" i="4"/>
  <c r="CK127" i="4" s="1"/>
  <c r="CG251" i="4"/>
  <c r="S104" i="1"/>
  <c r="CL191" i="4"/>
  <c r="CL192" i="4" s="1"/>
  <c r="CL100" i="4"/>
  <c r="CL101" i="4" s="1"/>
  <c r="CH30" i="4"/>
  <c r="CH31" i="4" s="1"/>
  <c r="CL247" i="4" l="1"/>
  <c r="CL248" i="4" s="1"/>
  <c r="CM240" i="4"/>
  <c r="CI29" i="4"/>
  <c r="CH36" i="4"/>
  <c r="CH250" i="4" s="1"/>
  <c r="CI50" i="4"/>
  <c r="CH53" i="4"/>
  <c r="CH55" i="4" s="1"/>
  <c r="CM190" i="4"/>
  <c r="CL197" i="4"/>
  <c r="CL198" i="4" s="1"/>
  <c r="CL86" i="4"/>
  <c r="CK93" i="4"/>
  <c r="CK94" i="4" s="1"/>
  <c r="CM99" i="4"/>
  <c r="CL106" i="4"/>
  <c r="CL107" i="4" s="1"/>
  <c r="CL145" i="4"/>
  <c r="CL146" i="4" s="1"/>
  <c r="CM138" i="4"/>
  <c r="CK184" i="4"/>
  <c r="CK185" i="4" s="1"/>
  <c r="CL177" i="4"/>
  <c r="CK235" i="4"/>
  <c r="CK236" i="4" s="1"/>
  <c r="CL228" i="4"/>
  <c r="CK132" i="4"/>
  <c r="CK133" i="4" s="1"/>
  <c r="CL125" i="4"/>
  <c r="CN216" i="4"/>
  <c r="CM223" i="4"/>
  <c r="CM224" i="4" s="1"/>
  <c r="CH33" i="4"/>
  <c r="CH34" i="4" s="1"/>
  <c r="CI48" i="4"/>
  <c r="CI49" i="4" s="1"/>
  <c r="CL113" i="4"/>
  <c r="CL114" i="4" s="1"/>
  <c r="CG249" i="4"/>
  <c r="CG37" i="4"/>
  <c r="CL74" i="4"/>
  <c r="CL75" i="4" s="1"/>
  <c r="CL152" i="4"/>
  <c r="CL153" i="4" s="1"/>
  <c r="CL61" i="4"/>
  <c r="CL62" i="4" s="1"/>
  <c r="CL165" i="4"/>
  <c r="CL166" i="4" s="1"/>
  <c r="CL204" i="4"/>
  <c r="CL205" i="4" s="1"/>
  <c r="CL67" i="4" l="1"/>
  <c r="CL68" i="4" s="1"/>
  <c r="CM60" i="4"/>
  <c r="CL119" i="4"/>
  <c r="CL120" i="4" s="1"/>
  <c r="CM112" i="4"/>
  <c r="CL158" i="4"/>
  <c r="CL159" i="4" s="1"/>
  <c r="CM151" i="4"/>
  <c r="CL171" i="4"/>
  <c r="CL172" i="4" s="1"/>
  <c r="CM164" i="4"/>
  <c r="CI54" i="4"/>
  <c r="CJ47" i="4"/>
  <c r="CL210" i="4"/>
  <c r="CL211" i="4" s="1"/>
  <c r="CM203" i="4"/>
  <c r="CH251" i="4"/>
  <c r="S105" i="1"/>
  <c r="CM191" i="4"/>
  <c r="CM192" i="4" s="1"/>
  <c r="CM100" i="4"/>
  <c r="CM101" i="4" s="1"/>
  <c r="CI30" i="4"/>
  <c r="CI31" i="4" s="1"/>
  <c r="CM73" i="4"/>
  <c r="CL80" i="4"/>
  <c r="CL81" i="4" s="1"/>
  <c r="CL178" i="4"/>
  <c r="CL179" i="4" s="1"/>
  <c r="CG252" i="4"/>
  <c r="T104" i="1" s="1"/>
  <c r="U104" i="1" s="1"/>
  <c r="Q104" i="1"/>
  <c r="CM139" i="4"/>
  <c r="CM140" i="4" s="1"/>
  <c r="CI51" i="4"/>
  <c r="CI52" i="4" s="1"/>
  <c r="CL126" i="4"/>
  <c r="CL127" i="4" s="1"/>
  <c r="CL229" i="4"/>
  <c r="CL230" i="4" s="1"/>
  <c r="CM241" i="4"/>
  <c r="CM242" i="4" s="1"/>
  <c r="CH35" i="4"/>
  <c r="CI32" i="4"/>
  <c r="CN217" i="4"/>
  <c r="CN218" i="4" s="1"/>
  <c r="CL87" i="4"/>
  <c r="CL88" i="4" s="1"/>
  <c r="CL93" i="4" l="1"/>
  <c r="CL94" i="4" s="1"/>
  <c r="CM86" i="4"/>
  <c r="CM145" i="4"/>
  <c r="CM146" i="4" s="1"/>
  <c r="CN138" i="4"/>
  <c r="CN223" i="4"/>
  <c r="CN224" i="4" s="1"/>
  <c r="CO216" i="4"/>
  <c r="CL184" i="4"/>
  <c r="CL185" i="4" s="1"/>
  <c r="CM177" i="4"/>
  <c r="CL132" i="4"/>
  <c r="CL133" i="4" s="1"/>
  <c r="CM125" i="4"/>
  <c r="CM106" i="4"/>
  <c r="CM107" i="4" s="1"/>
  <c r="CN99" i="4"/>
  <c r="CM197" i="4"/>
  <c r="CM198" i="4" s="1"/>
  <c r="CN190" i="4"/>
  <c r="CM247" i="4"/>
  <c r="CM248" i="4" s="1"/>
  <c r="CN240" i="4"/>
  <c r="CL235" i="4"/>
  <c r="CL236" i="4" s="1"/>
  <c r="CM228" i="4"/>
  <c r="CJ50" i="4"/>
  <c r="CI53" i="4"/>
  <c r="CI55" i="4" s="1"/>
  <c r="CM165" i="4"/>
  <c r="CM166" i="4" s="1"/>
  <c r="CM204" i="4"/>
  <c r="CM205" i="4" s="1"/>
  <c r="CM113" i="4"/>
  <c r="CM114" i="4" s="1"/>
  <c r="CI33" i="4"/>
  <c r="CI34" i="4" s="1"/>
  <c r="CJ29" i="4"/>
  <c r="CI36" i="4"/>
  <c r="CI250" i="4" s="1"/>
  <c r="CH249" i="4"/>
  <c r="CH37" i="4"/>
  <c r="CM74" i="4"/>
  <c r="CM75" i="4" s="1"/>
  <c r="CJ48" i="4"/>
  <c r="CJ49" i="4" s="1"/>
  <c r="CM61" i="4"/>
  <c r="CM62" i="4" s="1"/>
  <c r="CM152" i="4"/>
  <c r="CM153" i="4" s="1"/>
  <c r="CI35" i="4" l="1"/>
  <c r="CJ32" i="4"/>
  <c r="CM67" i="4"/>
  <c r="CM68" i="4" s="1"/>
  <c r="CN60" i="4"/>
  <c r="CM119" i="4"/>
  <c r="CM120" i="4" s="1"/>
  <c r="CN112" i="4"/>
  <c r="CN73" i="4"/>
  <c r="CM80" i="4"/>
  <c r="CM81" i="4" s="1"/>
  <c r="CN151" i="4"/>
  <c r="CM158" i="4"/>
  <c r="CM159" i="4" s="1"/>
  <c r="CJ54" i="4"/>
  <c r="CK47" i="4"/>
  <c r="CM210" i="4"/>
  <c r="CM211" i="4" s="1"/>
  <c r="CN203" i="4"/>
  <c r="CM171" i="4"/>
  <c r="CM172" i="4" s="1"/>
  <c r="CN164" i="4"/>
  <c r="CH252" i="4"/>
  <c r="T105" i="1" s="1"/>
  <c r="U105" i="1" s="1"/>
  <c r="Q105" i="1"/>
  <c r="CN139" i="4"/>
  <c r="CN140" i="4" s="1"/>
  <c r="CI251" i="4"/>
  <c r="S106" i="1"/>
  <c r="CO217" i="4"/>
  <c r="CO218" i="4" s="1"/>
  <c r="CJ30" i="4"/>
  <c r="CJ31" i="4" s="1"/>
  <c r="CN241" i="4"/>
  <c r="CN242" i="4" s="1"/>
  <c r="CN191" i="4"/>
  <c r="CN192" i="4" s="1"/>
  <c r="CJ51" i="4"/>
  <c r="CJ52" i="4" s="1"/>
  <c r="CM229" i="4"/>
  <c r="CM230" i="4" s="1"/>
  <c r="CM126" i="4"/>
  <c r="CM127" i="4" s="1"/>
  <c r="CM87" i="4"/>
  <c r="CM88" i="4" s="1"/>
  <c r="CM178" i="4"/>
  <c r="CM179" i="4" s="1"/>
  <c r="CN100" i="4"/>
  <c r="CN101" i="4" s="1"/>
  <c r="CN247" i="4" l="1"/>
  <c r="CN248" i="4" s="1"/>
  <c r="CO240" i="4"/>
  <c r="CN106" i="4"/>
  <c r="CN107" i="4" s="1"/>
  <c r="CO99" i="4"/>
  <c r="CM184" i="4"/>
  <c r="CM185" i="4" s="1"/>
  <c r="CN177" i="4"/>
  <c r="CN86" i="4"/>
  <c r="CM93" i="4"/>
  <c r="CM94" i="4" s="1"/>
  <c r="CO138" i="4"/>
  <c r="CN145" i="4"/>
  <c r="CN146" i="4" s="1"/>
  <c r="CK29" i="4"/>
  <c r="CJ36" i="4"/>
  <c r="CJ250" i="4" s="1"/>
  <c r="CP216" i="4"/>
  <c r="CO223" i="4"/>
  <c r="CO224" i="4" s="1"/>
  <c r="CM132" i="4"/>
  <c r="CM133" i="4" s="1"/>
  <c r="CN125" i="4"/>
  <c r="CM235" i="4"/>
  <c r="CM236" i="4" s="1"/>
  <c r="CN228" i="4"/>
  <c r="CK50" i="4"/>
  <c r="CJ53" i="4"/>
  <c r="CJ55" i="4" s="1"/>
  <c r="CO190" i="4"/>
  <c r="CN197" i="4"/>
  <c r="CN198" i="4" s="1"/>
  <c r="CN165" i="4"/>
  <c r="CN166" i="4" s="1"/>
  <c r="CN204" i="4"/>
  <c r="CN205" i="4" s="1"/>
  <c r="CK48" i="4"/>
  <c r="CK49" i="4" s="1"/>
  <c r="CN61" i="4"/>
  <c r="CN62" i="4" s="1"/>
  <c r="CN74" i="4"/>
  <c r="CN75" i="4" s="1"/>
  <c r="CJ33" i="4"/>
  <c r="CJ34" i="4" s="1"/>
  <c r="CN113" i="4"/>
  <c r="CN114" i="4" s="1"/>
  <c r="CN152" i="4"/>
  <c r="CN153" i="4" s="1"/>
  <c r="CI249" i="4"/>
  <c r="CI37" i="4"/>
  <c r="CO164" i="4" l="1"/>
  <c r="CN171" i="4"/>
  <c r="CN172" i="4" s="1"/>
  <c r="CO112" i="4"/>
  <c r="CN119" i="4"/>
  <c r="CN120" i="4" s="1"/>
  <c r="CN67" i="4"/>
  <c r="CN68" i="4" s="1"/>
  <c r="CO60" i="4"/>
  <c r="CO203" i="4"/>
  <c r="CN210" i="4"/>
  <c r="CN211" i="4" s="1"/>
  <c r="CN158" i="4"/>
  <c r="CN159" i="4" s="1"/>
  <c r="CO151" i="4"/>
  <c r="CJ35" i="4"/>
  <c r="CK32" i="4"/>
  <c r="CO73" i="4"/>
  <c r="CN80" i="4"/>
  <c r="CN81" i="4" s="1"/>
  <c r="CK54" i="4"/>
  <c r="CL47" i="4"/>
  <c r="CN178" i="4"/>
  <c r="CN179" i="4" s="1"/>
  <c r="CJ251" i="4"/>
  <c r="S107" i="1"/>
  <c r="CO100" i="4"/>
  <c r="CO101" i="4" s="1"/>
  <c r="CO191" i="4"/>
  <c r="CO192" i="4" s="1"/>
  <c r="CK30" i="4"/>
  <c r="CK31" i="4" s="1"/>
  <c r="CN87" i="4"/>
  <c r="CN88" i="4" s="1"/>
  <c r="CN229" i="4"/>
  <c r="CN230" i="4" s="1"/>
  <c r="CO241" i="4"/>
  <c r="CO242" i="4" s="1"/>
  <c r="CI252" i="4"/>
  <c r="T106" i="1" s="1"/>
  <c r="U106" i="1" s="1"/>
  <c r="Q106" i="1"/>
  <c r="CN126" i="4"/>
  <c r="CN127" i="4" s="1"/>
  <c r="CP217" i="4"/>
  <c r="CP218" i="4" s="1"/>
  <c r="CK51" i="4"/>
  <c r="CK52" i="4" s="1"/>
  <c r="CO139" i="4"/>
  <c r="CO140" i="4" s="1"/>
  <c r="CO145" i="4" l="1"/>
  <c r="CO146" i="4" s="1"/>
  <c r="CP138" i="4"/>
  <c r="CN235" i="4"/>
  <c r="CN236" i="4" s="1"/>
  <c r="CO228" i="4"/>
  <c r="CN93" i="4"/>
  <c r="CN94" i="4" s="1"/>
  <c r="CO86" i="4"/>
  <c r="CK53" i="4"/>
  <c r="CK55" i="4" s="1"/>
  <c r="CL50" i="4"/>
  <c r="CP223" i="4"/>
  <c r="CP224" i="4" s="1"/>
  <c r="CQ216" i="4"/>
  <c r="CN132" i="4"/>
  <c r="CN133" i="4" s="1"/>
  <c r="CO125" i="4"/>
  <c r="CL29" i="4"/>
  <c r="CK36" i="4"/>
  <c r="CK250" i="4" s="1"/>
  <c r="CO197" i="4"/>
  <c r="CO198" i="4" s="1"/>
  <c r="CP190" i="4"/>
  <c r="CO106" i="4"/>
  <c r="CO107" i="4" s="1"/>
  <c r="CP99" i="4"/>
  <c r="CO247" i="4"/>
  <c r="CO248" i="4" s="1"/>
  <c r="CP240" i="4"/>
  <c r="CN184" i="4"/>
  <c r="CN185" i="4" s="1"/>
  <c r="CO177" i="4"/>
  <c r="CO61" i="4"/>
  <c r="CO62" i="4" s="1"/>
  <c r="CK33" i="4"/>
  <c r="CK34" i="4" s="1"/>
  <c r="CJ249" i="4"/>
  <c r="CJ37" i="4"/>
  <c r="CO113" i="4"/>
  <c r="CO114" i="4" s="1"/>
  <c r="CO204" i="4"/>
  <c r="CO205" i="4" s="1"/>
  <c r="CO74" i="4"/>
  <c r="CO75" i="4" s="1"/>
  <c r="CO152" i="4"/>
  <c r="CO153" i="4" s="1"/>
  <c r="CL48" i="4"/>
  <c r="CL49" i="4" s="1"/>
  <c r="CO166" i="4"/>
  <c r="CO165" i="4"/>
  <c r="CM47" i="4" l="1"/>
  <c r="CL54" i="4"/>
  <c r="CO80" i="4"/>
  <c r="CO81" i="4" s="1"/>
  <c r="CP73" i="4"/>
  <c r="CL32" i="4"/>
  <c r="CK35" i="4"/>
  <c r="CP60" i="4"/>
  <c r="CO67" i="4"/>
  <c r="CO68" i="4" s="1"/>
  <c r="CO158" i="4"/>
  <c r="CO159" i="4" s="1"/>
  <c r="CP151" i="4"/>
  <c r="CO210" i="4"/>
  <c r="CO211" i="4" s="1"/>
  <c r="CP203" i="4"/>
  <c r="CO119" i="4"/>
  <c r="CO120" i="4" s="1"/>
  <c r="CP112" i="4"/>
  <c r="CO171" i="4"/>
  <c r="CO172" i="4" s="1"/>
  <c r="CP164" i="4"/>
  <c r="CP191" i="4"/>
  <c r="CP192" i="4" s="1"/>
  <c r="CP241" i="4"/>
  <c r="CP242" i="4" s="1"/>
  <c r="CO126" i="4"/>
  <c r="CO127" i="4" s="1"/>
  <c r="CO229" i="4"/>
  <c r="CO230" i="4" s="1"/>
  <c r="CO178" i="4"/>
  <c r="CO179" i="4" s="1"/>
  <c r="CJ252" i="4"/>
  <c r="T107" i="1" s="1"/>
  <c r="U107" i="1" s="1"/>
  <c r="Q107" i="1"/>
  <c r="CK251" i="4"/>
  <c r="S108" i="1"/>
  <c r="CP100" i="4"/>
  <c r="CP101" i="4" s="1"/>
  <c r="CQ217" i="4"/>
  <c r="CQ218" i="4" s="1"/>
  <c r="CP139" i="4"/>
  <c r="CP140" i="4" s="1"/>
  <c r="CL51" i="4"/>
  <c r="CL52" i="4" s="1"/>
  <c r="CO87" i="4"/>
  <c r="CO88" i="4" s="1"/>
  <c r="CL30" i="4"/>
  <c r="CL31" i="4" s="1"/>
  <c r="CL36" i="4" l="1"/>
  <c r="CL250" i="4" s="1"/>
  <c r="CM29" i="4"/>
  <c r="CO93" i="4"/>
  <c r="CO94" i="4" s="1"/>
  <c r="CP86" i="4"/>
  <c r="CO184" i="4"/>
  <c r="CO185" i="4" s="1"/>
  <c r="CP177" i="4"/>
  <c r="CO235" i="4"/>
  <c r="CO236" i="4" s="1"/>
  <c r="CP228" i="4"/>
  <c r="CP247" i="4"/>
  <c r="CP248" i="4" s="1"/>
  <c r="CQ240" i="4"/>
  <c r="CL53" i="4"/>
  <c r="CL55" i="4" s="1"/>
  <c r="CM50" i="4"/>
  <c r="CQ138" i="4"/>
  <c r="CP145" i="4"/>
  <c r="CP146" i="4" s="1"/>
  <c r="CR216" i="4"/>
  <c r="CQ223" i="4"/>
  <c r="CQ224" i="4" s="1"/>
  <c r="CO132" i="4"/>
  <c r="CO133" i="4" s="1"/>
  <c r="CP125" i="4"/>
  <c r="CP106" i="4"/>
  <c r="CP107" i="4" s="1"/>
  <c r="CQ99" i="4"/>
  <c r="CP197" i="4"/>
  <c r="CP198" i="4" s="1"/>
  <c r="CQ190" i="4"/>
  <c r="CP204" i="4"/>
  <c r="CP205" i="4" s="1"/>
  <c r="CP74" i="4"/>
  <c r="CP75" i="4" s="1"/>
  <c r="CP61" i="4"/>
  <c r="CP62" i="4" s="1"/>
  <c r="CK249" i="4"/>
  <c r="CK37" i="4"/>
  <c r="CL33" i="4"/>
  <c r="CL34" i="4" s="1"/>
  <c r="CP152" i="4"/>
  <c r="CP153" i="4" s="1"/>
  <c r="CP165" i="4"/>
  <c r="CP166" i="4" s="1"/>
  <c r="CP113" i="4"/>
  <c r="CP114" i="4" s="1"/>
  <c r="CM48" i="4"/>
  <c r="CM49" i="4" s="1"/>
  <c r="CQ112" i="4" l="1"/>
  <c r="CP119" i="4"/>
  <c r="CP120" i="4" s="1"/>
  <c r="CQ203" i="4"/>
  <c r="CP210" i="4"/>
  <c r="CP211" i="4" s="1"/>
  <c r="CP80" i="4"/>
  <c r="CP81" i="4" s="1"/>
  <c r="CQ73" i="4"/>
  <c r="CP171" i="4"/>
  <c r="CP172" i="4" s="1"/>
  <c r="CQ164" i="4"/>
  <c r="CP158" i="4"/>
  <c r="CP159" i="4" s="1"/>
  <c r="CQ151" i="4"/>
  <c r="CP67" i="4"/>
  <c r="CP68" i="4" s="1"/>
  <c r="CQ60" i="4"/>
  <c r="CN47" i="4"/>
  <c r="CM54" i="4"/>
  <c r="CP229" i="4"/>
  <c r="CP230" i="4" s="1"/>
  <c r="CK252" i="4"/>
  <c r="T108" i="1" s="1"/>
  <c r="U108" i="1" s="1"/>
  <c r="Q108" i="1"/>
  <c r="CQ139" i="4"/>
  <c r="CQ140" i="4" s="1"/>
  <c r="CQ100" i="4"/>
  <c r="CQ101" i="4" s="1"/>
  <c r="CM51" i="4"/>
  <c r="CM52" i="4" s="1"/>
  <c r="CP87" i="4"/>
  <c r="CP88" i="4" s="1"/>
  <c r="CR217" i="4"/>
  <c r="CR218" i="4" s="1"/>
  <c r="CP178" i="4"/>
  <c r="CP179" i="4" s="1"/>
  <c r="CM32" i="4"/>
  <c r="CL35" i="4"/>
  <c r="CP126" i="4"/>
  <c r="CP127" i="4" s="1"/>
  <c r="CQ241" i="4"/>
  <c r="CQ242" i="4" s="1"/>
  <c r="CM30" i="4"/>
  <c r="CM31" i="4" s="1"/>
  <c r="CQ191" i="4"/>
  <c r="CQ192" i="4" s="1"/>
  <c r="CL251" i="4"/>
  <c r="S109" i="1"/>
  <c r="CP235" i="4" l="1"/>
  <c r="CP236" i="4" s="1"/>
  <c r="CQ228" i="4"/>
  <c r="CP184" i="4"/>
  <c r="CP185" i="4" s="1"/>
  <c r="CQ177" i="4"/>
  <c r="CR223" i="4"/>
  <c r="CR224" i="4" s="1"/>
  <c r="CS216" i="4"/>
  <c r="CP93" i="4"/>
  <c r="CP94" i="4" s="1"/>
  <c r="CQ86" i="4"/>
  <c r="CM53" i="4"/>
  <c r="CM55" i="4" s="1"/>
  <c r="CN50" i="4"/>
  <c r="CP132" i="4"/>
  <c r="CP133" i="4" s="1"/>
  <c r="CQ125" i="4"/>
  <c r="CQ197" i="4"/>
  <c r="CQ198" i="4" s="1"/>
  <c r="CR190" i="4"/>
  <c r="CM36" i="4"/>
  <c r="CM250" i="4" s="1"/>
  <c r="CN29" i="4"/>
  <c r="CQ247" i="4"/>
  <c r="CQ248" i="4" s="1"/>
  <c r="CR240" i="4"/>
  <c r="CQ106" i="4"/>
  <c r="CQ107" i="4" s="1"/>
  <c r="CR99" i="4"/>
  <c r="CQ145" i="4"/>
  <c r="CQ146" i="4" s="1"/>
  <c r="CR138" i="4"/>
  <c r="CN48" i="4"/>
  <c r="CN49" i="4" s="1"/>
  <c r="CL249" i="4"/>
  <c r="CL37" i="4"/>
  <c r="CQ165" i="4"/>
  <c r="CQ166" i="4" s="1"/>
  <c r="CM33" i="4"/>
  <c r="CM34" i="4" s="1"/>
  <c r="CQ204" i="4"/>
  <c r="CQ205" i="4" s="1"/>
  <c r="CQ74" i="4"/>
  <c r="CQ75" i="4" s="1"/>
  <c r="CQ61" i="4"/>
  <c r="CQ62" i="4" s="1"/>
  <c r="CQ152" i="4"/>
  <c r="CQ153" i="4" s="1"/>
  <c r="CQ113" i="4"/>
  <c r="CQ114" i="4" s="1"/>
  <c r="CQ158" i="4" l="1"/>
  <c r="CQ159" i="4" s="1"/>
  <c r="CR151" i="4"/>
  <c r="CQ67" i="4"/>
  <c r="CQ68" i="4" s="1"/>
  <c r="CR60" i="4"/>
  <c r="CQ210" i="4"/>
  <c r="CQ211" i="4" s="1"/>
  <c r="CR203" i="4"/>
  <c r="CO47" i="4"/>
  <c r="CN54" i="4"/>
  <c r="CN32" i="4"/>
  <c r="CM35" i="4"/>
  <c r="CR164" i="4"/>
  <c r="CQ171" i="4"/>
  <c r="CQ172" i="4" s="1"/>
  <c r="CQ87" i="4"/>
  <c r="CQ88" i="4" s="1"/>
  <c r="CN30" i="4"/>
  <c r="CN31" i="4" s="1"/>
  <c r="CS217" i="4"/>
  <c r="CS218" i="4" s="1"/>
  <c r="CR100" i="4"/>
  <c r="CR101" i="4" s="1"/>
  <c r="CQ126" i="4"/>
  <c r="CQ127" i="4" s="1"/>
  <c r="CQ178" i="4"/>
  <c r="CQ179" i="4" s="1"/>
  <c r="CR191" i="4"/>
  <c r="CR192" i="4" s="1"/>
  <c r="CM251" i="4"/>
  <c r="S110" i="1"/>
  <c r="CR139" i="4"/>
  <c r="CR140" i="4" s="1"/>
  <c r="CR241" i="4"/>
  <c r="CR242" i="4" s="1"/>
  <c r="CN51" i="4"/>
  <c r="CN52" i="4" s="1"/>
  <c r="CQ229" i="4"/>
  <c r="CQ230" i="4" s="1"/>
  <c r="CQ119" i="4"/>
  <c r="CQ120" i="4" s="1"/>
  <c r="CR112" i="4"/>
  <c r="CQ80" i="4"/>
  <c r="CQ81" i="4" s="1"/>
  <c r="CR73" i="4"/>
  <c r="CL252" i="4"/>
  <c r="T109" i="1" s="1"/>
  <c r="U109" i="1" s="1"/>
  <c r="Q109" i="1"/>
  <c r="CO50" i="4" l="1"/>
  <c r="CN53" i="4"/>
  <c r="CN55" i="4" s="1"/>
  <c r="CS99" i="4"/>
  <c r="CR106" i="4"/>
  <c r="CR107" i="4" s="1"/>
  <c r="CT216" i="4"/>
  <c r="CS223" i="4"/>
  <c r="CS224" i="4" s="1"/>
  <c r="CN36" i="4"/>
  <c r="CN250" i="4" s="1"/>
  <c r="CO29" i="4"/>
  <c r="CQ184" i="4"/>
  <c r="CQ185" i="4" s="1"/>
  <c r="CR177" i="4"/>
  <c r="CR247" i="4"/>
  <c r="CR248" i="4" s="1"/>
  <c r="CS240" i="4"/>
  <c r="CR145" i="4"/>
  <c r="CR146" i="4" s="1"/>
  <c r="CS138" i="4"/>
  <c r="CQ93" i="4"/>
  <c r="CQ94" i="4" s="1"/>
  <c r="CR86" i="4"/>
  <c r="CR197" i="4"/>
  <c r="CR198" i="4" s="1"/>
  <c r="CS190" i="4"/>
  <c r="CQ235" i="4"/>
  <c r="CQ236" i="4" s="1"/>
  <c r="CR228" i="4"/>
  <c r="CQ132" i="4"/>
  <c r="CQ133" i="4" s="1"/>
  <c r="CR125" i="4"/>
  <c r="CR204" i="4"/>
  <c r="CR205" i="4" s="1"/>
  <c r="CR61" i="4"/>
  <c r="CR62" i="4" s="1"/>
  <c r="CR74" i="4"/>
  <c r="CR75" i="4" s="1"/>
  <c r="CO48" i="4"/>
  <c r="CO49" i="4" s="1"/>
  <c r="CR113" i="4"/>
  <c r="CR114" i="4" s="1"/>
  <c r="CM249" i="4"/>
  <c r="CM37" i="4"/>
  <c r="CR152" i="4"/>
  <c r="CR153" i="4" s="1"/>
  <c r="CR165" i="4"/>
  <c r="CR166" i="4" s="1"/>
  <c r="CN33" i="4"/>
  <c r="CN34" i="4" s="1"/>
  <c r="CR67" i="4" l="1"/>
  <c r="CR68" i="4" s="1"/>
  <c r="CS60" i="4"/>
  <c r="CS164" i="4"/>
  <c r="CR171" i="4"/>
  <c r="CR172" i="4" s="1"/>
  <c r="CO54" i="4"/>
  <c r="CP47" i="4"/>
  <c r="CS203" i="4"/>
  <c r="CR210" i="4"/>
  <c r="CR211" i="4" s="1"/>
  <c r="CR158" i="4"/>
  <c r="CR159" i="4" s="1"/>
  <c r="CS151" i="4"/>
  <c r="CR119" i="4"/>
  <c r="CR120" i="4" s="1"/>
  <c r="CS112" i="4"/>
  <c r="CR80" i="4"/>
  <c r="CR81" i="4" s="1"/>
  <c r="CS73" i="4"/>
  <c r="CN251" i="4"/>
  <c r="S111" i="1"/>
  <c r="CR229" i="4"/>
  <c r="CR230" i="4" s="1"/>
  <c r="CS241" i="4"/>
  <c r="CS242" i="4" s="1"/>
  <c r="CS100" i="4"/>
  <c r="CS101" i="4" s="1"/>
  <c r="CO32" i="4"/>
  <c r="CN35" i="4"/>
  <c r="CO30" i="4"/>
  <c r="CO31" i="4" s="1"/>
  <c r="CR126" i="4"/>
  <c r="CR127" i="4" s="1"/>
  <c r="CT217" i="4"/>
  <c r="CT218" i="4" s="1"/>
  <c r="CS191" i="4"/>
  <c r="CS192" i="4" s="1"/>
  <c r="CR178" i="4"/>
  <c r="CR179" i="4" s="1"/>
  <c r="CR87" i="4"/>
  <c r="CR88" i="4" s="1"/>
  <c r="CS139" i="4"/>
  <c r="CS140" i="4" s="1"/>
  <c r="CM252" i="4"/>
  <c r="T110" i="1" s="1"/>
  <c r="U110" i="1" s="1"/>
  <c r="Q110" i="1"/>
  <c r="CO51" i="4"/>
  <c r="CO52" i="4" s="1"/>
  <c r="CP50" i="4" l="1"/>
  <c r="CO53" i="4"/>
  <c r="CO55" i="4" s="1"/>
  <c r="CT223" i="4"/>
  <c r="CT224" i="4" s="1"/>
  <c r="CU216" i="4"/>
  <c r="CO36" i="4"/>
  <c r="CO250" i="4" s="1"/>
  <c r="CP29" i="4"/>
  <c r="CS247" i="4"/>
  <c r="CS248" i="4" s="1"/>
  <c r="CT240" i="4"/>
  <c r="CR132" i="4"/>
  <c r="CR133" i="4" s="1"/>
  <c r="CS125" i="4"/>
  <c r="CS145" i="4"/>
  <c r="CS146" i="4" s="1"/>
  <c r="CT138" i="4"/>
  <c r="CR93" i="4"/>
  <c r="CR94" i="4" s="1"/>
  <c r="CS86" i="4"/>
  <c r="CT99" i="4"/>
  <c r="CS106" i="4"/>
  <c r="CS107" i="4" s="1"/>
  <c r="CR184" i="4"/>
  <c r="CR185" i="4" s="1"/>
  <c r="CS177" i="4"/>
  <c r="CS197" i="4"/>
  <c r="CS198" i="4" s="1"/>
  <c r="CT190" i="4"/>
  <c r="CR235" i="4"/>
  <c r="CR236" i="4" s="1"/>
  <c r="CS228" i="4"/>
  <c r="CO33" i="4"/>
  <c r="CO34" i="4" s="1"/>
  <c r="CS74" i="4"/>
  <c r="CS75" i="4" s="1"/>
  <c r="CP48" i="4"/>
  <c r="CP49" i="4" s="1"/>
  <c r="CS165" i="4"/>
  <c r="CS166" i="4" s="1"/>
  <c r="CS113" i="4"/>
  <c r="CS114" i="4" s="1"/>
  <c r="CS152" i="4"/>
  <c r="CS153" i="4" s="1"/>
  <c r="CS61" i="4"/>
  <c r="CS62" i="4" s="1"/>
  <c r="CN249" i="4"/>
  <c r="CN37" i="4"/>
  <c r="CS204" i="4"/>
  <c r="CS205" i="4" s="1"/>
  <c r="CS80" i="4" l="1"/>
  <c r="CS81" i="4" s="1"/>
  <c r="CT73" i="4"/>
  <c r="CS67" i="4"/>
  <c r="CS68" i="4" s="1"/>
  <c r="CT60" i="4"/>
  <c r="CT164" i="4"/>
  <c r="CS171" i="4"/>
  <c r="CS172" i="4" s="1"/>
  <c r="CP32" i="4"/>
  <c r="CO35" i="4"/>
  <c r="CT151" i="4"/>
  <c r="CS158" i="4"/>
  <c r="CS159" i="4" s="1"/>
  <c r="CP54" i="4"/>
  <c r="CQ47" i="4"/>
  <c r="CS119" i="4"/>
  <c r="CS120" i="4" s="1"/>
  <c r="CT112" i="4"/>
  <c r="CT241" i="4"/>
  <c r="CT242" i="4" s="1"/>
  <c r="CU217" i="4"/>
  <c r="CU218" i="4" s="1"/>
  <c r="CS87" i="4"/>
  <c r="CS88" i="4" s="1"/>
  <c r="CP30" i="4"/>
  <c r="CP31" i="4" s="1"/>
  <c r="CS210" i="4"/>
  <c r="CS211" i="4" s="1"/>
  <c r="CT203" i="4"/>
  <c r="CN252" i="4"/>
  <c r="T111" i="1" s="1"/>
  <c r="U111" i="1" s="1"/>
  <c r="Q111" i="1"/>
  <c r="CS229" i="4"/>
  <c r="CS230" i="4" s="1"/>
  <c r="CT139" i="4"/>
  <c r="CT140" i="4" s="1"/>
  <c r="CS178" i="4"/>
  <c r="CS179" i="4" s="1"/>
  <c r="CS126" i="4"/>
  <c r="CS127" i="4" s="1"/>
  <c r="CT100" i="4"/>
  <c r="CT101" i="4" s="1"/>
  <c r="CO251" i="4"/>
  <c r="S112" i="1"/>
  <c r="CT191" i="4"/>
  <c r="CT192" i="4" s="1"/>
  <c r="CP51" i="4"/>
  <c r="CP52" i="4" s="1"/>
  <c r="CV216" i="4" l="1"/>
  <c r="CU223" i="4"/>
  <c r="CU224" i="4" s="1"/>
  <c r="CT247" i="4"/>
  <c r="CT248" i="4" s="1"/>
  <c r="CU240" i="4"/>
  <c r="CS184" i="4"/>
  <c r="CS185" i="4" s="1"/>
  <c r="CT177" i="4"/>
  <c r="CT145" i="4"/>
  <c r="CT146" i="4" s="1"/>
  <c r="CU138" i="4"/>
  <c r="CS132" i="4"/>
  <c r="CS133" i="4" s="1"/>
  <c r="CT125" i="4"/>
  <c r="CQ29" i="4"/>
  <c r="CP36" i="4"/>
  <c r="CP250" i="4" s="1"/>
  <c r="CQ50" i="4"/>
  <c r="CP53" i="4"/>
  <c r="CP55" i="4" s="1"/>
  <c r="CU190" i="4"/>
  <c r="CT197" i="4"/>
  <c r="CT198" i="4" s="1"/>
  <c r="CO249" i="4"/>
  <c r="CO37" i="4"/>
  <c r="CT204" i="4"/>
  <c r="CT205" i="4" s="1"/>
  <c r="CP33" i="4"/>
  <c r="CP34" i="4" s="1"/>
  <c r="CT165" i="4"/>
  <c r="CT166" i="4" s="1"/>
  <c r="CQ48" i="4"/>
  <c r="CQ49" i="4" s="1"/>
  <c r="CT61" i="4"/>
  <c r="CT62" i="4" s="1"/>
  <c r="CU99" i="4"/>
  <c r="CT106" i="4"/>
  <c r="CT107" i="4" s="1"/>
  <c r="CS93" i="4"/>
  <c r="CS94" i="4" s="1"/>
  <c r="CT86" i="4"/>
  <c r="CT113" i="4"/>
  <c r="CT114" i="4" s="1"/>
  <c r="CT74" i="4"/>
  <c r="CT75" i="4" s="1"/>
  <c r="CS235" i="4"/>
  <c r="CS236" i="4" s="1"/>
  <c r="CT228" i="4"/>
  <c r="CT152" i="4"/>
  <c r="CT153" i="4" s="1"/>
  <c r="CT67" i="4" l="1"/>
  <c r="CT68" i="4" s="1"/>
  <c r="CU60" i="4"/>
  <c r="CQ54" i="4"/>
  <c r="CR47" i="4"/>
  <c r="CP35" i="4"/>
  <c r="CQ32" i="4"/>
  <c r="CU73" i="4"/>
  <c r="CT80" i="4"/>
  <c r="CT81" i="4" s="1"/>
  <c r="CT171" i="4"/>
  <c r="CT172" i="4" s="1"/>
  <c r="CU164" i="4"/>
  <c r="CT119" i="4"/>
  <c r="CT120" i="4" s="1"/>
  <c r="CU112" i="4"/>
  <c r="CT210" i="4"/>
  <c r="CT211" i="4" s="1"/>
  <c r="CU203" i="4"/>
  <c r="CT87" i="4"/>
  <c r="CT88" i="4" s="1"/>
  <c r="CU139" i="4"/>
  <c r="CU140" i="4" s="1"/>
  <c r="CP251" i="4"/>
  <c r="S113" i="1"/>
  <c r="CU241" i="4"/>
  <c r="CU242" i="4" s="1"/>
  <c r="CU191" i="4"/>
  <c r="CU192" i="4" s="1"/>
  <c r="CT158" i="4"/>
  <c r="CT159" i="4" s="1"/>
  <c r="CU151" i="4"/>
  <c r="CT229" i="4"/>
  <c r="CT230" i="4" s="1"/>
  <c r="CT178" i="4"/>
  <c r="CT179" i="4" s="1"/>
  <c r="CT126" i="4"/>
  <c r="CT127" i="4" s="1"/>
  <c r="CU100" i="4"/>
  <c r="CU101" i="4" s="1"/>
  <c r="CQ51" i="4"/>
  <c r="CQ52" i="4" s="1"/>
  <c r="CQ30" i="4"/>
  <c r="CQ31" i="4" s="1"/>
  <c r="CO252" i="4"/>
  <c r="T112" i="1" s="1"/>
  <c r="U112" i="1" s="1"/>
  <c r="Q112" i="1"/>
  <c r="CV217" i="4"/>
  <c r="CV218" i="4" s="1"/>
  <c r="CT184" i="4" l="1"/>
  <c r="CT185" i="4" s="1"/>
  <c r="CU177" i="4"/>
  <c r="CT235" i="4"/>
  <c r="CT236" i="4" s="1"/>
  <c r="CU228" i="4"/>
  <c r="CU145" i="4"/>
  <c r="CU146" i="4" s="1"/>
  <c r="CV138" i="4"/>
  <c r="CT93" i="4"/>
  <c r="CT94" i="4" s="1"/>
  <c r="CU86" i="4"/>
  <c r="CR29" i="4"/>
  <c r="CQ36" i="4"/>
  <c r="CQ250" i="4" s="1"/>
  <c r="CR50" i="4"/>
  <c r="CQ53" i="4"/>
  <c r="CQ55" i="4" s="1"/>
  <c r="CU106" i="4"/>
  <c r="CU107" i="4" s="1"/>
  <c r="CV99" i="4"/>
  <c r="CV223" i="4"/>
  <c r="CV224" i="4" s="1"/>
  <c r="CW216" i="4"/>
  <c r="CU197" i="4"/>
  <c r="CU198" i="4" s="1"/>
  <c r="CV190" i="4"/>
  <c r="CU247" i="4"/>
  <c r="CU248" i="4" s="1"/>
  <c r="CV240" i="4"/>
  <c r="CT132" i="4"/>
  <c r="CT133" i="4" s="1"/>
  <c r="CU125" i="4"/>
  <c r="CP249" i="4"/>
  <c r="CP37" i="4"/>
  <c r="CU113" i="4"/>
  <c r="CU114" i="4" s="1"/>
  <c r="CR48" i="4"/>
  <c r="CR49" i="4" s="1"/>
  <c r="CU74" i="4"/>
  <c r="CU75" i="4" s="1"/>
  <c r="CU152" i="4"/>
  <c r="CU153" i="4" s="1"/>
  <c r="CU165" i="4"/>
  <c r="CU166" i="4" s="1"/>
  <c r="CU61" i="4"/>
  <c r="CU62" i="4" s="1"/>
  <c r="CU204" i="4"/>
  <c r="CU205" i="4" s="1"/>
  <c r="CQ33" i="4"/>
  <c r="CQ34" i="4" s="1"/>
  <c r="CU67" i="4" l="1"/>
  <c r="CU68" i="4" s="1"/>
  <c r="CV60" i="4"/>
  <c r="CU210" i="4"/>
  <c r="CU211" i="4" s="1"/>
  <c r="CV203" i="4"/>
  <c r="CV73" i="4"/>
  <c r="CU80" i="4"/>
  <c r="CU81" i="4" s="1"/>
  <c r="CV164" i="4"/>
  <c r="CU171" i="4"/>
  <c r="CU172" i="4" s="1"/>
  <c r="CR54" i="4"/>
  <c r="CS47" i="4"/>
  <c r="CU119" i="4"/>
  <c r="CU120" i="4" s="1"/>
  <c r="CV112" i="4"/>
  <c r="CV151" i="4"/>
  <c r="CU158" i="4"/>
  <c r="CU159" i="4" s="1"/>
  <c r="CP252" i="4"/>
  <c r="T113" i="1" s="1"/>
  <c r="U113" i="1" s="1"/>
  <c r="Q113" i="1"/>
  <c r="CU229" i="4"/>
  <c r="CU230" i="4" s="1"/>
  <c r="CW217" i="4"/>
  <c r="CW218" i="4" s="1"/>
  <c r="CU126" i="4"/>
  <c r="CU127" i="4" s="1"/>
  <c r="CR51" i="4"/>
  <c r="CR52" i="4" s="1"/>
  <c r="CV191" i="4"/>
  <c r="CV192" i="4" s="1"/>
  <c r="CQ251" i="4"/>
  <c r="S114" i="1"/>
  <c r="CU178" i="4"/>
  <c r="CU179" i="4" s="1"/>
  <c r="CQ35" i="4"/>
  <c r="CR32" i="4"/>
  <c r="CU87" i="4"/>
  <c r="CU88" i="4" s="1"/>
  <c r="CV100" i="4"/>
  <c r="CV101" i="4" s="1"/>
  <c r="CV139" i="4"/>
  <c r="CV140" i="4" s="1"/>
  <c r="CV241" i="4"/>
  <c r="CV242" i="4" s="1"/>
  <c r="CR30" i="4"/>
  <c r="CR31" i="4" s="1"/>
  <c r="CU132" i="4" l="1"/>
  <c r="CU133" i="4" s="1"/>
  <c r="CV125" i="4"/>
  <c r="CX216" i="4"/>
  <c r="CW223" i="4"/>
  <c r="CW224" i="4" s="1"/>
  <c r="CS50" i="4"/>
  <c r="CR53" i="4"/>
  <c r="CR55" i="4" s="1"/>
  <c r="CS29" i="4"/>
  <c r="CR36" i="4"/>
  <c r="CR250" i="4" s="1"/>
  <c r="CV247" i="4"/>
  <c r="CV248" i="4" s="1"/>
  <c r="CW240" i="4"/>
  <c r="CU184" i="4"/>
  <c r="CU185" i="4" s="1"/>
  <c r="CV177" i="4"/>
  <c r="CW138" i="4"/>
  <c r="CV145" i="4"/>
  <c r="CV146" i="4" s="1"/>
  <c r="CR33" i="4"/>
  <c r="CR34" i="4" s="1"/>
  <c r="CV113" i="4"/>
  <c r="CV114" i="4" s="1"/>
  <c r="CV204" i="4"/>
  <c r="CV205" i="4" s="1"/>
  <c r="CV106" i="4"/>
  <c r="CV107" i="4" s="1"/>
  <c r="CW99" i="4"/>
  <c r="CQ249" i="4"/>
  <c r="CQ37" i="4"/>
  <c r="CV165" i="4"/>
  <c r="CV166" i="4" s="1"/>
  <c r="CV152" i="4"/>
  <c r="CV153" i="4" s="1"/>
  <c r="CV74" i="4"/>
  <c r="CV75" i="4" s="1"/>
  <c r="CS48" i="4"/>
  <c r="CS49" i="4" s="1"/>
  <c r="CV61" i="4"/>
  <c r="CV62" i="4" s="1"/>
  <c r="CV86" i="4"/>
  <c r="CU93" i="4"/>
  <c r="CU94" i="4" s="1"/>
  <c r="CW190" i="4"/>
  <c r="CV197" i="4"/>
  <c r="CV198" i="4" s="1"/>
  <c r="CU235" i="4"/>
  <c r="CU236" i="4" s="1"/>
  <c r="CV228" i="4"/>
  <c r="CW112" i="4" l="1"/>
  <c r="CV119" i="4"/>
  <c r="CV120" i="4" s="1"/>
  <c r="CW73" i="4"/>
  <c r="CV80" i="4"/>
  <c r="CV81" i="4" s="1"/>
  <c r="CV158" i="4"/>
  <c r="CV159" i="4" s="1"/>
  <c r="CW151" i="4"/>
  <c r="CR35" i="4"/>
  <c r="CS32" i="4"/>
  <c r="CV171" i="4"/>
  <c r="CV172" i="4" s="1"/>
  <c r="CW164" i="4"/>
  <c r="CV67" i="4"/>
  <c r="CV68" i="4" s="1"/>
  <c r="CW60" i="4"/>
  <c r="CW203" i="4"/>
  <c r="CV210" i="4"/>
  <c r="CV211" i="4" s="1"/>
  <c r="CW100" i="4"/>
  <c r="CW101" i="4" s="1"/>
  <c r="CS30" i="4"/>
  <c r="CS31" i="4" s="1"/>
  <c r="CQ252" i="4"/>
  <c r="T114" i="1" s="1"/>
  <c r="U114" i="1" s="1"/>
  <c r="Q114" i="1"/>
  <c r="CS54" i="4"/>
  <c r="CT47" i="4"/>
  <c r="CW191" i="4"/>
  <c r="CW192" i="4" s="1"/>
  <c r="CS51" i="4"/>
  <c r="CS52" i="4" s="1"/>
  <c r="CV178" i="4"/>
  <c r="CV179" i="4" s="1"/>
  <c r="CX217" i="4"/>
  <c r="CX218" i="4" s="1"/>
  <c r="CW241" i="4"/>
  <c r="CW242" i="4" s="1"/>
  <c r="CV126" i="4"/>
  <c r="CV127" i="4" s="1"/>
  <c r="CR251" i="4"/>
  <c r="S115" i="1"/>
  <c r="CW139" i="4"/>
  <c r="CW140" i="4" s="1"/>
  <c r="CV87" i="4"/>
  <c r="CV88" i="4" s="1"/>
  <c r="CV229" i="4"/>
  <c r="CV230" i="4" s="1"/>
  <c r="CT29" i="4" l="1"/>
  <c r="CS36" i="4"/>
  <c r="CS250" i="4" s="1"/>
  <c r="CW106" i="4"/>
  <c r="CW107" i="4" s="1"/>
  <c r="CX99" i="4"/>
  <c r="CV93" i="4"/>
  <c r="CV94" i="4" s="1"/>
  <c r="CW86" i="4"/>
  <c r="CV184" i="4"/>
  <c r="CV185" i="4" s="1"/>
  <c r="CW177" i="4"/>
  <c r="CS53" i="4"/>
  <c r="CS55" i="4" s="1"/>
  <c r="CT50" i="4"/>
  <c r="CW197" i="4"/>
  <c r="CW198" i="4" s="1"/>
  <c r="CX190" i="4"/>
  <c r="CV132" i="4"/>
  <c r="CV133" i="4" s="1"/>
  <c r="CW125" i="4"/>
  <c r="CW247" i="4"/>
  <c r="CW248" i="4" s="1"/>
  <c r="CX240" i="4"/>
  <c r="CV235" i="4"/>
  <c r="CV236" i="4" s="1"/>
  <c r="CW228" i="4"/>
  <c r="CR249" i="4"/>
  <c r="CR37" i="4"/>
  <c r="CT48" i="4"/>
  <c r="CT49" i="4" s="1"/>
  <c r="CW152" i="4"/>
  <c r="CW153" i="4" s="1"/>
  <c r="CS33" i="4"/>
  <c r="CS34" i="4" s="1"/>
  <c r="CX223" i="4"/>
  <c r="CX224" i="4" s="1"/>
  <c r="CY216" i="4"/>
  <c r="CW204" i="4"/>
  <c r="CW205" i="4" s="1"/>
  <c r="CW61" i="4"/>
  <c r="CW62" i="4" s="1"/>
  <c r="CW145" i="4"/>
  <c r="CW146" i="4" s="1"/>
  <c r="CX138" i="4"/>
  <c r="CW74" i="4"/>
  <c r="CW75" i="4" s="1"/>
  <c r="CW165" i="4"/>
  <c r="CW166" i="4" s="1"/>
  <c r="CW113" i="4"/>
  <c r="CW114" i="4" s="1"/>
  <c r="CX164" i="4" l="1"/>
  <c r="CW171" i="4"/>
  <c r="CW172" i="4" s="1"/>
  <c r="CW80" i="4"/>
  <c r="CW81" i="4" s="1"/>
  <c r="CX73" i="4"/>
  <c r="CT32" i="4"/>
  <c r="CS35" i="4"/>
  <c r="CW158" i="4"/>
  <c r="CW159" i="4" s="1"/>
  <c r="CX151" i="4"/>
  <c r="CU47" i="4"/>
  <c r="CT54" i="4"/>
  <c r="CW67" i="4"/>
  <c r="CW68" i="4" s="1"/>
  <c r="CX60" i="4"/>
  <c r="CW210" i="4"/>
  <c r="CW211" i="4" s="1"/>
  <c r="CX203" i="4"/>
  <c r="CW126" i="4"/>
  <c r="CW127" i="4" s="1"/>
  <c r="CW87" i="4"/>
  <c r="CW88" i="4" s="1"/>
  <c r="CW119" i="4"/>
  <c r="CW120" i="4" s="1"/>
  <c r="CX112" i="4"/>
  <c r="CX241" i="4"/>
  <c r="CX242" i="4" s="1"/>
  <c r="CW178" i="4"/>
  <c r="CW179" i="4" s="1"/>
  <c r="CY217" i="4"/>
  <c r="CY218" i="4" s="1"/>
  <c r="CX191" i="4"/>
  <c r="CX192" i="4" s="1"/>
  <c r="CX100" i="4"/>
  <c r="CX101" i="4" s="1"/>
  <c r="CR252" i="4"/>
  <c r="T115" i="1" s="1"/>
  <c r="U115" i="1" s="1"/>
  <c r="Q115" i="1"/>
  <c r="CX139" i="4"/>
  <c r="CX140" i="4" s="1"/>
  <c r="CW229" i="4"/>
  <c r="CW230" i="4" s="1"/>
  <c r="CT51" i="4"/>
  <c r="CT52" i="4" s="1"/>
  <c r="CS251" i="4"/>
  <c r="S116" i="1"/>
  <c r="CT30" i="4"/>
  <c r="CT31" i="4" s="1"/>
  <c r="CX106" i="4" l="1"/>
  <c r="CX107" i="4" s="1"/>
  <c r="CY99" i="4"/>
  <c r="CW235" i="4"/>
  <c r="CW236" i="4" s="1"/>
  <c r="CX228" i="4"/>
  <c r="CT36" i="4"/>
  <c r="CT250" i="4" s="1"/>
  <c r="CU29" i="4"/>
  <c r="CW132" i="4"/>
  <c r="CW133" i="4" s="1"/>
  <c r="CX125" i="4"/>
  <c r="CZ216" i="4"/>
  <c r="CY223" i="4"/>
  <c r="CY224" i="4" s="1"/>
  <c r="CY138" i="4"/>
  <c r="CX145" i="4"/>
  <c r="CX146" i="4" s="1"/>
  <c r="CW93" i="4"/>
  <c r="CW94" i="4" s="1"/>
  <c r="CX86" i="4"/>
  <c r="CT53" i="4"/>
  <c r="CT55" i="4" s="1"/>
  <c r="CU50" i="4"/>
  <c r="CW184" i="4"/>
  <c r="CW185" i="4" s="1"/>
  <c r="CX177" i="4"/>
  <c r="CX247" i="4"/>
  <c r="CX248" i="4" s="1"/>
  <c r="CY240" i="4"/>
  <c r="CX152" i="4"/>
  <c r="CX153" i="4" s="1"/>
  <c r="CS249" i="4"/>
  <c r="CS37" i="4"/>
  <c r="CT33" i="4"/>
  <c r="CT34" i="4" s="1"/>
  <c r="CX113" i="4"/>
  <c r="CX114" i="4" s="1"/>
  <c r="CX61" i="4"/>
  <c r="CX62" i="4" s="1"/>
  <c r="CX74" i="4"/>
  <c r="CX75" i="4" s="1"/>
  <c r="CX197" i="4"/>
  <c r="CX198" i="4" s="1"/>
  <c r="CY190" i="4"/>
  <c r="CX204" i="4"/>
  <c r="CX205" i="4" s="1"/>
  <c r="CU48" i="4"/>
  <c r="CU49" i="4" s="1"/>
  <c r="CX165" i="4"/>
  <c r="CX166" i="4" s="1"/>
  <c r="CY203" i="4" l="1"/>
  <c r="CX210" i="4"/>
  <c r="CX211" i="4" s="1"/>
  <c r="CU32" i="4"/>
  <c r="CT35" i="4"/>
  <c r="CX67" i="4"/>
  <c r="CX68" i="4" s="1"/>
  <c r="CY60" i="4"/>
  <c r="CV47" i="4"/>
  <c r="CU54" i="4"/>
  <c r="CX158" i="4"/>
  <c r="CX159" i="4" s="1"/>
  <c r="CY151" i="4"/>
  <c r="CX80" i="4"/>
  <c r="CX81" i="4" s="1"/>
  <c r="CY73" i="4"/>
  <c r="CY112" i="4"/>
  <c r="CX119" i="4"/>
  <c r="CX120" i="4" s="1"/>
  <c r="CX171" i="4"/>
  <c r="CX172" i="4" s="1"/>
  <c r="CY164" i="4"/>
  <c r="CU51" i="4"/>
  <c r="CU52" i="4" s="1"/>
  <c r="CX126" i="4"/>
  <c r="CX127" i="4" s="1"/>
  <c r="CX87" i="4"/>
  <c r="CX88" i="4" s="1"/>
  <c r="CU30" i="4"/>
  <c r="CU31" i="4" s="1"/>
  <c r="CT251" i="4"/>
  <c r="S117" i="1"/>
  <c r="CY191" i="4"/>
  <c r="CY192" i="4" s="1"/>
  <c r="CY139" i="4"/>
  <c r="CY140" i="4" s="1"/>
  <c r="CS252" i="4"/>
  <c r="T116" i="1" s="1"/>
  <c r="U116" i="1" s="1"/>
  <c r="Q116" i="1"/>
  <c r="CX178" i="4"/>
  <c r="CX179" i="4" s="1"/>
  <c r="CY100" i="4"/>
  <c r="CY101" i="4" s="1"/>
  <c r="CY241" i="4"/>
  <c r="CY242" i="4" s="1"/>
  <c r="CX229" i="4"/>
  <c r="CX230" i="4" s="1"/>
  <c r="CZ217" i="4"/>
  <c r="CZ218" i="4" s="1"/>
  <c r="CY145" i="4" l="1"/>
  <c r="CY146" i="4" s="1"/>
  <c r="CZ138" i="4"/>
  <c r="CU36" i="4"/>
  <c r="CU250" i="4" s="1"/>
  <c r="CV29" i="4"/>
  <c r="CY197" i="4"/>
  <c r="CY198" i="4" s="1"/>
  <c r="CZ190" i="4"/>
  <c r="CZ240" i="4"/>
  <c r="CY247" i="4"/>
  <c r="CY248" i="4" s="1"/>
  <c r="CX184" i="4"/>
  <c r="CX185" i="4" s="1"/>
  <c r="CY177" i="4"/>
  <c r="CZ223" i="4"/>
  <c r="CZ224" i="4" s="1"/>
  <c r="DA216" i="4"/>
  <c r="CX235" i="4"/>
  <c r="CX236" i="4" s="1"/>
  <c r="CY228" i="4"/>
  <c r="CY106" i="4"/>
  <c r="CY107" i="4" s="1"/>
  <c r="CZ99" i="4"/>
  <c r="CX93" i="4"/>
  <c r="CX94" i="4" s="1"/>
  <c r="CY86" i="4"/>
  <c r="CX132" i="4"/>
  <c r="CX133" i="4" s="1"/>
  <c r="CY125" i="4"/>
  <c r="CU53" i="4"/>
  <c r="CU55" i="4" s="1"/>
  <c r="CV50" i="4"/>
  <c r="CY165" i="4"/>
  <c r="CY166" i="4" s="1"/>
  <c r="CY61" i="4"/>
  <c r="CY62" i="4" s="1"/>
  <c r="CT249" i="4"/>
  <c r="CT37" i="4"/>
  <c r="CV48" i="4"/>
  <c r="CV49" i="4" s="1"/>
  <c r="CY113" i="4"/>
  <c r="CY114" i="4" s="1"/>
  <c r="CY74" i="4"/>
  <c r="CY75" i="4" s="1"/>
  <c r="CU33" i="4"/>
  <c r="CU34" i="4" s="1"/>
  <c r="CY152" i="4"/>
  <c r="CY153" i="4" s="1"/>
  <c r="CY204" i="4"/>
  <c r="CY205" i="4" s="1"/>
  <c r="CY158" i="4" l="1"/>
  <c r="CY159" i="4" s="1"/>
  <c r="CZ151" i="4"/>
  <c r="CV32" i="4"/>
  <c r="CU35" i="4"/>
  <c r="CY80" i="4"/>
  <c r="CY81" i="4" s="1"/>
  <c r="CZ73" i="4"/>
  <c r="CY67" i="4"/>
  <c r="CY68" i="4" s="1"/>
  <c r="CZ60" i="4"/>
  <c r="CY171" i="4"/>
  <c r="CY172" i="4" s="1"/>
  <c r="CZ164" i="4"/>
  <c r="CW47" i="4"/>
  <c r="CV54" i="4"/>
  <c r="CY229" i="4"/>
  <c r="CY230" i="4" s="1"/>
  <c r="CY210" i="4"/>
  <c r="CY211" i="4" s="1"/>
  <c r="CZ203" i="4"/>
  <c r="CZ100" i="4"/>
  <c r="CZ101" i="4" s="1"/>
  <c r="CY126" i="4"/>
  <c r="CY127" i="4" s="1"/>
  <c r="CU251" i="4"/>
  <c r="S118" i="1"/>
  <c r="CY119" i="4"/>
  <c r="CY120" i="4" s="1"/>
  <c r="CZ112" i="4"/>
  <c r="DA217" i="4"/>
  <c r="DA218" i="4" s="1"/>
  <c r="CV30" i="4"/>
  <c r="CV31" i="4" s="1"/>
  <c r="CY87" i="4"/>
  <c r="CY88" i="4" s="1"/>
  <c r="CY178" i="4"/>
  <c r="CY179" i="4" s="1"/>
  <c r="CZ139" i="4"/>
  <c r="CZ140" i="4" s="1"/>
  <c r="CZ241" i="4"/>
  <c r="CZ242" i="4" s="1"/>
  <c r="CV51" i="4"/>
  <c r="CV52" i="4" s="1"/>
  <c r="CZ191" i="4"/>
  <c r="CZ192" i="4" s="1"/>
  <c r="CT252" i="4"/>
  <c r="T117" i="1" s="1"/>
  <c r="U117" i="1" s="1"/>
  <c r="Q117" i="1"/>
  <c r="CV36" i="4" l="1"/>
  <c r="CV250" i="4" s="1"/>
  <c r="CW29" i="4"/>
  <c r="DA99" i="4"/>
  <c r="CZ106" i="4"/>
  <c r="CZ107" i="4" s="1"/>
  <c r="CZ197" i="4"/>
  <c r="CZ198" i="4" s="1"/>
  <c r="DA190" i="4"/>
  <c r="CZ247" i="4"/>
  <c r="CZ248" i="4" s="1"/>
  <c r="DA240" i="4"/>
  <c r="CY93" i="4"/>
  <c r="CY94" i="4" s="1"/>
  <c r="CZ86" i="4"/>
  <c r="DB216" i="4"/>
  <c r="DA223" i="4"/>
  <c r="DA224" i="4" s="1"/>
  <c r="CY235" i="4"/>
  <c r="CY236" i="4" s="1"/>
  <c r="CZ228" i="4"/>
  <c r="CW50" i="4"/>
  <c r="CV53" i="4"/>
  <c r="CV55" i="4" s="1"/>
  <c r="CZ145" i="4"/>
  <c r="CZ146" i="4" s="1"/>
  <c r="DA138" i="4"/>
  <c r="CY184" i="4"/>
  <c r="CY185" i="4" s="1"/>
  <c r="CZ177" i="4"/>
  <c r="CY132" i="4"/>
  <c r="CY133" i="4" s="1"/>
  <c r="CZ125" i="4"/>
  <c r="CZ74" i="4"/>
  <c r="CZ75" i="4" s="1"/>
  <c r="CZ61" i="4"/>
  <c r="CZ62" i="4" s="1"/>
  <c r="CU249" i="4"/>
  <c r="CU37" i="4"/>
  <c r="CZ204" i="4"/>
  <c r="CZ205" i="4" s="1"/>
  <c r="CW48" i="4"/>
  <c r="CW49" i="4" s="1"/>
  <c r="CV33" i="4"/>
  <c r="CV34" i="4" s="1"/>
  <c r="CZ113" i="4"/>
  <c r="CZ114" i="4" s="1"/>
  <c r="CZ165" i="4"/>
  <c r="CZ166" i="4" s="1"/>
  <c r="CZ152" i="4"/>
  <c r="CZ153" i="4" s="1"/>
  <c r="CZ158" i="4" l="1"/>
  <c r="CZ159" i="4" s="1"/>
  <c r="DA151" i="4"/>
  <c r="CZ67" i="4"/>
  <c r="CZ68" i="4" s="1"/>
  <c r="DA60" i="4"/>
  <c r="CW32" i="4"/>
  <c r="CV35" i="4"/>
  <c r="DA164" i="4"/>
  <c r="CZ171" i="4"/>
  <c r="CZ172" i="4" s="1"/>
  <c r="CZ80" i="4"/>
  <c r="CZ81" i="4" s="1"/>
  <c r="DA73" i="4"/>
  <c r="CZ119" i="4"/>
  <c r="CZ120" i="4" s="1"/>
  <c r="DA112" i="4"/>
  <c r="CW54" i="4"/>
  <c r="CX47" i="4"/>
  <c r="DA203" i="4"/>
  <c r="CZ210" i="4"/>
  <c r="CZ211" i="4" s="1"/>
  <c r="CZ126" i="4"/>
  <c r="CZ127" i="4" s="1"/>
  <c r="CZ229" i="4"/>
  <c r="CZ230" i="4" s="1"/>
  <c r="DA191" i="4"/>
  <c r="DA192" i="4" s="1"/>
  <c r="DA241" i="4"/>
  <c r="DA242" i="4" s="1"/>
  <c r="CU252" i="4"/>
  <c r="T118" i="1" s="1"/>
  <c r="U118" i="1" s="1"/>
  <c r="Q118" i="1"/>
  <c r="DB217" i="4"/>
  <c r="DB218" i="4" s="1"/>
  <c r="DA100" i="4"/>
  <c r="DA101" i="4" s="1"/>
  <c r="CZ178" i="4"/>
  <c r="CZ179" i="4" s="1"/>
  <c r="DA139" i="4"/>
  <c r="DA140" i="4" s="1"/>
  <c r="CZ87" i="4"/>
  <c r="CZ88" i="4" s="1"/>
  <c r="CW30" i="4"/>
  <c r="CW31" i="4" s="1"/>
  <c r="CW51" i="4"/>
  <c r="CW52" i="4" s="1"/>
  <c r="CV251" i="4"/>
  <c r="S119" i="1"/>
  <c r="DB99" i="4" l="1"/>
  <c r="DA106" i="4"/>
  <c r="DA107" i="4" s="1"/>
  <c r="CZ184" i="4"/>
  <c r="CZ185" i="4" s="1"/>
  <c r="DA177" i="4"/>
  <c r="CX50" i="4"/>
  <c r="CW53" i="4"/>
  <c r="CW55" i="4" s="1"/>
  <c r="DA247" i="4"/>
  <c r="DA248" i="4" s="1"/>
  <c r="DB240" i="4"/>
  <c r="DA197" i="4"/>
  <c r="DA198" i="4" s="1"/>
  <c r="DB190" i="4"/>
  <c r="CW36" i="4"/>
  <c r="CW250" i="4" s="1"/>
  <c r="CX29" i="4"/>
  <c r="CW33" i="4"/>
  <c r="CW34" i="4" s="1"/>
  <c r="DA113" i="4"/>
  <c r="DA114" i="4" s="1"/>
  <c r="DA61" i="4"/>
  <c r="DA62" i="4" s="1"/>
  <c r="DA204" i="4"/>
  <c r="DA205" i="4" s="1"/>
  <c r="DA165" i="4"/>
  <c r="DA166" i="4" s="1"/>
  <c r="CX48" i="4"/>
  <c r="CX49" i="4" s="1"/>
  <c r="DB223" i="4"/>
  <c r="DB224" i="4" s="1"/>
  <c r="DC216" i="4"/>
  <c r="CZ235" i="4"/>
  <c r="CZ236" i="4" s="1"/>
  <c r="DA228" i="4"/>
  <c r="CV249" i="4"/>
  <c r="CV37" i="4"/>
  <c r="CZ93" i="4"/>
  <c r="CZ94" i="4" s="1"/>
  <c r="DA86" i="4"/>
  <c r="DA74" i="4"/>
  <c r="DA75" i="4" s="1"/>
  <c r="DA152" i="4"/>
  <c r="DA153" i="4" s="1"/>
  <c r="DA145" i="4"/>
  <c r="DA146" i="4" s="1"/>
  <c r="DB138" i="4"/>
  <c r="CZ132" i="4"/>
  <c r="CZ133" i="4" s="1"/>
  <c r="DA125" i="4"/>
  <c r="DA210" i="4" l="1"/>
  <c r="DA211" i="4" s="1"/>
  <c r="DB203" i="4"/>
  <c r="DA67" i="4"/>
  <c r="DA68" i="4" s="1"/>
  <c r="DB60" i="4"/>
  <c r="DA80" i="4"/>
  <c r="DA81" i="4" s="1"/>
  <c r="DB73" i="4"/>
  <c r="DA119" i="4"/>
  <c r="DA120" i="4" s="1"/>
  <c r="DB112" i="4"/>
  <c r="CX32" i="4"/>
  <c r="CW35" i="4"/>
  <c r="DB151" i="4"/>
  <c r="DA158" i="4"/>
  <c r="DA159" i="4" s="1"/>
  <c r="CX54" i="4"/>
  <c r="CY47" i="4"/>
  <c r="DB164" i="4"/>
  <c r="DA171" i="4"/>
  <c r="DA172" i="4" s="1"/>
  <c r="CX30" i="4"/>
  <c r="CX31" i="4" s="1"/>
  <c r="DA178" i="4"/>
  <c r="DA179" i="4" s="1"/>
  <c r="DB139" i="4"/>
  <c r="DB140" i="4" s="1"/>
  <c r="DA229" i="4"/>
  <c r="DA230" i="4" s="1"/>
  <c r="DC217" i="4"/>
  <c r="DC218" i="4" s="1"/>
  <c r="DB191" i="4"/>
  <c r="DB192" i="4" s="1"/>
  <c r="DA87" i="4"/>
  <c r="DA88" i="4" s="1"/>
  <c r="DB241" i="4"/>
  <c r="DB242" i="4" s="1"/>
  <c r="CV252" i="4"/>
  <c r="T119" i="1" s="1"/>
  <c r="U119" i="1" s="1"/>
  <c r="Q119" i="1"/>
  <c r="CX51" i="4"/>
  <c r="CX52" i="4" s="1"/>
  <c r="CW251" i="4"/>
  <c r="S120" i="1"/>
  <c r="DA126" i="4"/>
  <c r="DA127" i="4" s="1"/>
  <c r="DB100" i="4"/>
  <c r="DB101" i="4" s="1"/>
  <c r="DC99" i="4" l="1"/>
  <c r="DB106" i="4"/>
  <c r="DB107" i="4" s="1"/>
  <c r="DA132" i="4"/>
  <c r="DA133" i="4" s="1"/>
  <c r="DB125" i="4"/>
  <c r="CY50" i="4"/>
  <c r="CX53" i="4"/>
  <c r="CX55" i="4" s="1"/>
  <c r="DB247" i="4"/>
  <c r="DB248" i="4" s="1"/>
  <c r="DC240" i="4"/>
  <c r="DA235" i="4"/>
  <c r="DA236" i="4" s="1"/>
  <c r="DB228" i="4"/>
  <c r="DA93" i="4"/>
  <c r="DA94" i="4" s="1"/>
  <c r="DB86" i="4"/>
  <c r="DC190" i="4"/>
  <c r="DB197" i="4"/>
  <c r="DB198" i="4" s="1"/>
  <c r="DD216" i="4"/>
  <c r="DC223" i="4"/>
  <c r="DC224" i="4" s="1"/>
  <c r="DB145" i="4"/>
  <c r="DB146" i="4" s="1"/>
  <c r="DC138" i="4"/>
  <c r="DA184" i="4"/>
  <c r="DA185" i="4" s="1"/>
  <c r="DB177" i="4"/>
  <c r="CX36" i="4"/>
  <c r="CX250" i="4" s="1"/>
  <c r="CY29" i="4"/>
  <c r="DB113" i="4"/>
  <c r="DB114" i="4" s="1"/>
  <c r="CY48" i="4"/>
  <c r="CY49" i="4" s="1"/>
  <c r="DB74" i="4"/>
  <c r="DB75" i="4" s="1"/>
  <c r="DB61" i="4"/>
  <c r="DB62" i="4" s="1"/>
  <c r="DB165" i="4"/>
  <c r="DB166" i="4" s="1"/>
  <c r="DB152" i="4"/>
  <c r="DB153" i="4" s="1"/>
  <c r="CW249" i="4"/>
  <c r="CW37" i="4"/>
  <c r="DB204" i="4"/>
  <c r="DB205" i="4" s="1"/>
  <c r="CX33" i="4"/>
  <c r="CX34" i="4" s="1"/>
  <c r="CY54" i="4" l="1"/>
  <c r="CZ47" i="4"/>
  <c r="DB171" i="4"/>
  <c r="DB172" i="4" s="1"/>
  <c r="DC164" i="4"/>
  <c r="DB119" i="4"/>
  <c r="DB120" i="4" s="1"/>
  <c r="DC112" i="4"/>
  <c r="DB67" i="4"/>
  <c r="DB68" i="4" s="1"/>
  <c r="DC60" i="4"/>
  <c r="DB210" i="4"/>
  <c r="DB211" i="4" s="1"/>
  <c r="DC203" i="4"/>
  <c r="DB158" i="4"/>
  <c r="DB159" i="4" s="1"/>
  <c r="DC151" i="4"/>
  <c r="DC73" i="4"/>
  <c r="DB80" i="4"/>
  <c r="DB81" i="4" s="1"/>
  <c r="DD217" i="4"/>
  <c r="DD218" i="4" s="1"/>
  <c r="CY30" i="4"/>
  <c r="CY31" i="4" s="1"/>
  <c r="DB178" i="4"/>
  <c r="DB179" i="4" s="1"/>
  <c r="DB87" i="4"/>
  <c r="DB88" i="4" s="1"/>
  <c r="DB126" i="4"/>
  <c r="DB127" i="4" s="1"/>
  <c r="CX35" i="4"/>
  <c r="CY32" i="4"/>
  <c r="DC241" i="4"/>
  <c r="DC242" i="4" s="1"/>
  <c r="DC191" i="4"/>
  <c r="DC192" i="4" s="1"/>
  <c r="CW252" i="4"/>
  <c r="T120" i="1" s="1"/>
  <c r="U120" i="1" s="1"/>
  <c r="Q120" i="1"/>
  <c r="CX251" i="4"/>
  <c r="S121" i="1"/>
  <c r="CY51" i="4"/>
  <c r="CY52" i="4" s="1"/>
  <c r="DC139" i="4"/>
  <c r="DC140" i="4" s="1"/>
  <c r="DB229" i="4"/>
  <c r="DB230" i="4" s="1"/>
  <c r="DC100" i="4"/>
  <c r="DC101" i="4" s="1"/>
  <c r="CZ29" i="4" l="1"/>
  <c r="CY36" i="4"/>
  <c r="CY250" i="4" s="1"/>
  <c r="DC197" i="4"/>
  <c r="DC198" i="4" s="1"/>
  <c r="DD190" i="4"/>
  <c r="DB235" i="4"/>
  <c r="DB236" i="4" s="1"/>
  <c r="DC228" i="4"/>
  <c r="DD240" i="4"/>
  <c r="DC247" i="4"/>
  <c r="DC248" i="4" s="1"/>
  <c r="DC145" i="4"/>
  <c r="DC146" i="4" s="1"/>
  <c r="DD138" i="4"/>
  <c r="CZ50" i="4"/>
  <c r="CY53" i="4"/>
  <c r="CY55" i="4" s="1"/>
  <c r="DC106" i="4"/>
  <c r="DC107" i="4" s="1"/>
  <c r="DD99" i="4"/>
  <c r="DD223" i="4"/>
  <c r="DD224" i="4" s="1"/>
  <c r="DE216" i="4"/>
  <c r="DB132" i="4"/>
  <c r="DB133" i="4" s="1"/>
  <c r="DC125" i="4"/>
  <c r="DB93" i="4"/>
  <c r="DB94" i="4" s="1"/>
  <c r="DC86" i="4"/>
  <c r="DB184" i="4"/>
  <c r="DB185" i="4" s="1"/>
  <c r="DC177" i="4"/>
  <c r="DC74" i="4"/>
  <c r="DC75" i="4" s="1"/>
  <c r="DC152" i="4"/>
  <c r="DC153" i="4" s="1"/>
  <c r="DC165" i="4"/>
  <c r="DC166" i="4" s="1"/>
  <c r="DC61" i="4"/>
  <c r="DC62" i="4" s="1"/>
  <c r="DC113" i="4"/>
  <c r="DC114" i="4" s="1"/>
  <c r="CY33" i="4"/>
  <c r="CY34" i="4" s="1"/>
  <c r="DC204" i="4"/>
  <c r="DC205" i="4" s="1"/>
  <c r="CZ48" i="4"/>
  <c r="CZ49" i="4" s="1"/>
  <c r="CX249" i="4"/>
  <c r="CX37" i="4"/>
  <c r="DD151" i="4" l="1"/>
  <c r="DC158" i="4"/>
  <c r="DC159" i="4" s="1"/>
  <c r="DD73" i="4"/>
  <c r="DC80" i="4"/>
  <c r="DC81" i="4" s="1"/>
  <c r="DD203" i="4"/>
  <c r="DC210" i="4"/>
  <c r="DC211" i="4" s="1"/>
  <c r="CZ54" i="4"/>
  <c r="DA47" i="4"/>
  <c r="CY35" i="4"/>
  <c r="CZ32" i="4"/>
  <c r="DC67" i="4"/>
  <c r="DC68" i="4" s="1"/>
  <c r="DD60" i="4"/>
  <c r="DD164" i="4"/>
  <c r="DC171" i="4"/>
  <c r="DC172" i="4" s="1"/>
  <c r="DD241" i="4"/>
  <c r="DD242" i="4" s="1"/>
  <c r="DC178" i="4"/>
  <c r="DC179" i="4" s="1"/>
  <c r="DD100" i="4"/>
  <c r="DD101" i="4" s="1"/>
  <c r="DC229" i="4"/>
  <c r="DC230" i="4" s="1"/>
  <c r="DD191" i="4"/>
  <c r="DD192" i="4" s="1"/>
  <c r="CX252" i="4"/>
  <c r="T121" i="1" s="1"/>
  <c r="U121" i="1" s="1"/>
  <c r="Q121" i="1"/>
  <c r="DC119" i="4"/>
  <c r="DC120" i="4" s="1"/>
  <c r="DD112" i="4"/>
  <c r="DE217" i="4"/>
  <c r="DE218" i="4" s="1"/>
  <c r="DC87" i="4"/>
  <c r="DC88" i="4" s="1"/>
  <c r="DC126" i="4"/>
  <c r="DC127" i="4" s="1"/>
  <c r="DD139" i="4"/>
  <c r="DD140" i="4" s="1"/>
  <c r="CY251" i="4"/>
  <c r="S122" i="1"/>
  <c r="CZ51" i="4"/>
  <c r="CZ52" i="4" s="1"/>
  <c r="CZ30" i="4"/>
  <c r="CZ31" i="4" s="1"/>
  <c r="DA50" i="4" l="1"/>
  <c r="CZ53" i="4"/>
  <c r="CZ55" i="4" s="1"/>
  <c r="DC235" i="4"/>
  <c r="DC236" i="4" s="1"/>
  <c r="DD228" i="4"/>
  <c r="DD106" i="4"/>
  <c r="DD107" i="4" s="1"/>
  <c r="DE99" i="4"/>
  <c r="DE138" i="4"/>
  <c r="DD145" i="4"/>
  <c r="DD146" i="4" s="1"/>
  <c r="DD197" i="4"/>
  <c r="DD198" i="4" s="1"/>
  <c r="DE190" i="4"/>
  <c r="DD86" i="4"/>
  <c r="DC93" i="4"/>
  <c r="DC94" i="4" s="1"/>
  <c r="DA29" i="4"/>
  <c r="CZ36" i="4"/>
  <c r="CZ250" i="4" s="1"/>
  <c r="DF216" i="4"/>
  <c r="DE223" i="4"/>
  <c r="DE224" i="4" s="1"/>
  <c r="DC184" i="4"/>
  <c r="DC185" i="4" s="1"/>
  <c r="DD177" i="4"/>
  <c r="DA48" i="4"/>
  <c r="DA49" i="4" s="1"/>
  <c r="DD204" i="4"/>
  <c r="DD205" i="4" s="1"/>
  <c r="DD247" i="4"/>
  <c r="DD248" i="4" s="1"/>
  <c r="DE240" i="4"/>
  <c r="DD165" i="4"/>
  <c r="DD166" i="4" s="1"/>
  <c r="DD113" i="4"/>
  <c r="DD114" i="4" s="1"/>
  <c r="DD61" i="4"/>
  <c r="DD62" i="4" s="1"/>
  <c r="DD74" i="4"/>
  <c r="DD75" i="4" s="1"/>
  <c r="CZ33" i="4"/>
  <c r="CZ34" i="4" s="1"/>
  <c r="DC132" i="4"/>
  <c r="DC133" i="4" s="1"/>
  <c r="DD125" i="4"/>
  <c r="CY249" i="4"/>
  <c r="CY37" i="4"/>
  <c r="DD152" i="4"/>
  <c r="DD153" i="4" s="1"/>
  <c r="DE112" i="4" l="1"/>
  <c r="DD119" i="4"/>
  <c r="DD120" i="4" s="1"/>
  <c r="DD171" i="4"/>
  <c r="DD172" i="4" s="1"/>
  <c r="DE164" i="4"/>
  <c r="CZ35" i="4"/>
  <c r="DA32" i="4"/>
  <c r="DD210" i="4"/>
  <c r="DD211" i="4" s="1"/>
  <c r="DE203" i="4"/>
  <c r="DA54" i="4"/>
  <c r="DB47" i="4"/>
  <c r="DE73" i="4"/>
  <c r="DD80" i="4"/>
  <c r="DD81" i="4" s="1"/>
  <c r="DD67" i="4"/>
  <c r="DD68" i="4" s="1"/>
  <c r="DE60" i="4"/>
  <c r="DD158" i="4"/>
  <c r="DD159" i="4" s="1"/>
  <c r="DE151" i="4"/>
  <c r="DF217" i="4"/>
  <c r="DF218" i="4" s="1"/>
  <c r="CZ251" i="4"/>
  <c r="S123" i="1"/>
  <c r="DE100" i="4"/>
  <c r="DE101" i="4" s="1"/>
  <c r="DA30" i="4"/>
  <c r="DA31" i="4" s="1"/>
  <c r="DD126" i="4"/>
  <c r="DD127" i="4" s="1"/>
  <c r="DD229" i="4"/>
  <c r="DD230" i="4" s="1"/>
  <c r="DE241" i="4"/>
  <c r="DE242" i="4" s="1"/>
  <c r="DE139" i="4"/>
  <c r="DE140" i="4" s="1"/>
  <c r="CY252" i="4"/>
  <c r="T122" i="1" s="1"/>
  <c r="U122" i="1" s="1"/>
  <c r="Q122" i="1"/>
  <c r="DD87" i="4"/>
  <c r="DD88" i="4" s="1"/>
  <c r="DD178" i="4"/>
  <c r="DD179" i="4" s="1"/>
  <c r="DE191" i="4"/>
  <c r="DE192" i="4" s="1"/>
  <c r="DA51" i="4"/>
  <c r="DA52" i="4" s="1"/>
  <c r="DA53" i="4" l="1"/>
  <c r="DA55" i="4" s="1"/>
  <c r="DB50" i="4"/>
  <c r="DB29" i="4"/>
  <c r="DA36" i="4"/>
  <c r="DA250" i="4" s="1"/>
  <c r="DD235" i="4"/>
  <c r="DD236" i="4" s="1"/>
  <c r="DE228" i="4"/>
  <c r="DE197" i="4"/>
  <c r="DE198" i="4" s="1"/>
  <c r="DF190" i="4"/>
  <c r="DE106" i="4"/>
  <c r="DE107" i="4" s="1"/>
  <c r="DF99" i="4"/>
  <c r="DE247" i="4"/>
  <c r="DE248" i="4" s="1"/>
  <c r="DF240" i="4"/>
  <c r="DD132" i="4"/>
  <c r="DD133" i="4" s="1"/>
  <c r="DE125" i="4"/>
  <c r="DD184" i="4"/>
  <c r="DD185" i="4" s="1"/>
  <c r="DE177" i="4"/>
  <c r="DD93" i="4"/>
  <c r="DD94" i="4" s="1"/>
  <c r="DE86" i="4"/>
  <c r="DE145" i="4"/>
  <c r="DE146" i="4" s="1"/>
  <c r="DF138" i="4"/>
  <c r="DF223" i="4"/>
  <c r="DF224" i="4" s="1"/>
  <c r="DG216" i="4"/>
  <c r="DE152" i="4"/>
  <c r="DE153" i="4" s="1"/>
  <c r="DE204" i="4"/>
  <c r="DE205" i="4" s="1"/>
  <c r="DE61" i="4"/>
  <c r="DE62" i="4" s="1"/>
  <c r="DA33" i="4"/>
  <c r="DA34" i="4" s="1"/>
  <c r="CZ249" i="4"/>
  <c r="CZ37" i="4"/>
  <c r="DE165" i="4"/>
  <c r="DE166" i="4" s="1"/>
  <c r="DE74" i="4"/>
  <c r="DE75" i="4" s="1"/>
  <c r="DB48" i="4"/>
  <c r="DB49" i="4" s="1"/>
  <c r="DE113" i="4"/>
  <c r="DE114" i="4" s="1"/>
  <c r="DE210" i="4" l="1"/>
  <c r="DE211" i="4" s="1"/>
  <c r="DF203" i="4"/>
  <c r="DE158" i="4"/>
  <c r="DE159" i="4" s="1"/>
  <c r="DF151" i="4"/>
  <c r="DF164" i="4"/>
  <c r="DE171" i="4"/>
  <c r="DE172" i="4" s="1"/>
  <c r="DC47" i="4"/>
  <c r="DB54" i="4"/>
  <c r="DE80" i="4"/>
  <c r="DE81" i="4" s="1"/>
  <c r="DF73" i="4"/>
  <c r="DB32" i="4"/>
  <c r="DA35" i="4"/>
  <c r="DF60" i="4"/>
  <c r="DE67" i="4"/>
  <c r="DE68" i="4" s="1"/>
  <c r="DE119" i="4"/>
  <c r="DE120" i="4" s="1"/>
  <c r="DF112" i="4"/>
  <c r="DE178" i="4"/>
  <c r="DE179" i="4" s="1"/>
  <c r="DF191" i="4"/>
  <c r="DF192" i="4" s="1"/>
  <c r="CZ252" i="4"/>
  <c r="T123" i="1" s="1"/>
  <c r="U123" i="1" s="1"/>
  <c r="Q123" i="1"/>
  <c r="DA251" i="4"/>
  <c r="S124" i="1"/>
  <c r="DB30" i="4"/>
  <c r="DB31" i="4" s="1"/>
  <c r="DG217" i="4"/>
  <c r="DG218" i="4" s="1"/>
  <c r="DE126" i="4"/>
  <c r="DE127" i="4" s="1"/>
  <c r="DF139" i="4"/>
  <c r="DF140" i="4" s="1"/>
  <c r="DE87" i="4"/>
  <c r="DE88" i="4" s="1"/>
  <c r="DF100" i="4"/>
  <c r="DF101" i="4" s="1"/>
  <c r="DB51" i="4"/>
  <c r="DB52" i="4" s="1"/>
  <c r="DE229" i="4"/>
  <c r="DE230" i="4" s="1"/>
  <c r="DF241" i="4"/>
  <c r="DF242" i="4" s="1"/>
  <c r="DF247" i="4" l="1"/>
  <c r="DF248" i="4" s="1"/>
  <c r="DG240" i="4"/>
  <c r="DE93" i="4"/>
  <c r="DE94" i="4" s="1"/>
  <c r="DF86" i="4"/>
  <c r="DB36" i="4"/>
  <c r="DB250" i="4" s="1"/>
  <c r="DC29" i="4"/>
  <c r="DB53" i="4"/>
  <c r="DB55" i="4" s="1"/>
  <c r="DC50" i="4"/>
  <c r="DF197" i="4"/>
  <c r="DF198" i="4" s="1"/>
  <c r="DG190" i="4"/>
  <c r="DH216" i="4"/>
  <c r="DG223" i="4"/>
  <c r="DG224" i="4" s="1"/>
  <c r="DE235" i="4"/>
  <c r="DE236" i="4" s="1"/>
  <c r="DF228" i="4"/>
  <c r="DF106" i="4"/>
  <c r="DF107" i="4" s="1"/>
  <c r="DG99" i="4"/>
  <c r="DG138" i="4"/>
  <c r="DF145" i="4"/>
  <c r="DF146" i="4" s="1"/>
  <c r="DF125" i="4"/>
  <c r="DE132" i="4"/>
  <c r="DE133" i="4" s="1"/>
  <c r="DE184" i="4"/>
  <c r="DE185" i="4" s="1"/>
  <c r="DF177" i="4"/>
  <c r="DF113" i="4"/>
  <c r="DF114" i="4" s="1"/>
  <c r="DF165" i="4"/>
  <c r="DF166" i="4" s="1"/>
  <c r="DF152" i="4"/>
  <c r="DF153" i="4" s="1"/>
  <c r="DB33" i="4"/>
  <c r="DB34" i="4" s="1"/>
  <c r="DF61" i="4"/>
  <c r="DF62" i="4" s="1"/>
  <c r="DF74" i="4"/>
  <c r="DF75" i="4" s="1"/>
  <c r="DF204" i="4"/>
  <c r="DF205" i="4" s="1"/>
  <c r="DC48" i="4"/>
  <c r="DC49" i="4" s="1"/>
  <c r="DA249" i="4"/>
  <c r="DA37" i="4"/>
  <c r="DD47" i="4" l="1"/>
  <c r="DC54" i="4"/>
  <c r="DF171" i="4"/>
  <c r="DF172" i="4" s="1"/>
  <c r="DG164" i="4"/>
  <c r="DF80" i="4"/>
  <c r="DF81" i="4" s="1"/>
  <c r="DG73" i="4"/>
  <c r="DG112" i="4"/>
  <c r="DF119" i="4"/>
  <c r="DF120" i="4" s="1"/>
  <c r="DG203" i="4"/>
  <c r="DF210" i="4"/>
  <c r="DF211" i="4" s="1"/>
  <c r="DC32" i="4"/>
  <c r="DB35" i="4"/>
  <c r="DF158" i="4"/>
  <c r="DF159" i="4" s="1"/>
  <c r="DG151" i="4"/>
  <c r="DC51" i="4"/>
  <c r="DC52" i="4" s="1"/>
  <c r="DF67" i="4"/>
  <c r="DF68" i="4" s="1"/>
  <c r="DG60" i="4"/>
  <c r="DG100" i="4"/>
  <c r="DG101" i="4" s="1"/>
  <c r="DB251" i="4"/>
  <c r="S125" i="1"/>
  <c r="DH217" i="4"/>
  <c r="DH218" i="4" s="1"/>
  <c r="DA252" i="4"/>
  <c r="T124" i="1" s="1"/>
  <c r="U124" i="1" s="1"/>
  <c r="Q124" i="1"/>
  <c r="DF87" i="4"/>
  <c r="DF88" i="4" s="1"/>
  <c r="DG191" i="4"/>
  <c r="DG192" i="4" s="1"/>
  <c r="DG241" i="4"/>
  <c r="DG242" i="4" s="1"/>
  <c r="DF178" i="4"/>
  <c r="DF179" i="4" s="1"/>
  <c r="DF229" i="4"/>
  <c r="DF230" i="4" s="1"/>
  <c r="DC30" i="4"/>
  <c r="DC31" i="4" s="1"/>
  <c r="DF126" i="4"/>
  <c r="DF127" i="4" s="1"/>
  <c r="DG139" i="4"/>
  <c r="DG140" i="4" s="1"/>
  <c r="DF132" i="4" l="1"/>
  <c r="DF133" i="4" s="1"/>
  <c r="DG125" i="4"/>
  <c r="DG145" i="4"/>
  <c r="DG146" i="4" s="1"/>
  <c r="DH138" i="4"/>
  <c r="DC36" i="4"/>
  <c r="DC250" i="4" s="1"/>
  <c r="DD29" i="4"/>
  <c r="DG106" i="4"/>
  <c r="DG107" i="4" s="1"/>
  <c r="DH99" i="4"/>
  <c r="DF93" i="4"/>
  <c r="DF94" i="4" s="1"/>
  <c r="DG86" i="4"/>
  <c r="DC53" i="4"/>
  <c r="DC55" i="4" s="1"/>
  <c r="DD50" i="4"/>
  <c r="DH223" i="4"/>
  <c r="DH224" i="4" s="1"/>
  <c r="DI216" i="4"/>
  <c r="DF235" i="4"/>
  <c r="DF236" i="4" s="1"/>
  <c r="DG228" i="4"/>
  <c r="DF184" i="4"/>
  <c r="DF185" i="4" s="1"/>
  <c r="DG177" i="4"/>
  <c r="DG247" i="4"/>
  <c r="DG248" i="4" s="1"/>
  <c r="DH240" i="4"/>
  <c r="DG197" i="4"/>
  <c r="DG198" i="4" s="1"/>
  <c r="DH190" i="4"/>
  <c r="DG113" i="4"/>
  <c r="DG114" i="4" s="1"/>
  <c r="DB249" i="4"/>
  <c r="DB37" i="4"/>
  <c r="DG165" i="4"/>
  <c r="DG166" i="4" s="1"/>
  <c r="DG74" i="4"/>
  <c r="DG75" i="4" s="1"/>
  <c r="DC33" i="4"/>
  <c r="DC34" i="4" s="1"/>
  <c r="DG152" i="4"/>
  <c r="DG153" i="4" s="1"/>
  <c r="DG61" i="4"/>
  <c r="DG62" i="4" s="1"/>
  <c r="DG204" i="4"/>
  <c r="DG205" i="4" s="1"/>
  <c r="DD48" i="4"/>
  <c r="DD49" i="4" s="1"/>
  <c r="DG119" i="4" l="1"/>
  <c r="DG120" i="4" s="1"/>
  <c r="DH112" i="4"/>
  <c r="DG158" i="4"/>
  <c r="DG159" i="4" s="1"/>
  <c r="DH151" i="4"/>
  <c r="DG210" i="4"/>
  <c r="DG211" i="4" s="1"/>
  <c r="DH203" i="4"/>
  <c r="DG67" i="4"/>
  <c r="DG68" i="4" s="1"/>
  <c r="DH60" i="4"/>
  <c r="DD32" i="4"/>
  <c r="DC35" i="4"/>
  <c r="DG80" i="4"/>
  <c r="DG81" i="4" s="1"/>
  <c r="DH73" i="4"/>
  <c r="DH164" i="4"/>
  <c r="DG171" i="4"/>
  <c r="DG172" i="4" s="1"/>
  <c r="DG229" i="4"/>
  <c r="DG230" i="4" s="1"/>
  <c r="DH100" i="4"/>
  <c r="DH101" i="4" s="1"/>
  <c r="DC251" i="4"/>
  <c r="S126" i="1"/>
  <c r="DH241" i="4"/>
  <c r="DH242" i="4" s="1"/>
  <c r="DD51" i="4"/>
  <c r="DD52" i="4" s="1"/>
  <c r="DH139" i="4"/>
  <c r="DH140" i="4" s="1"/>
  <c r="DE47" i="4"/>
  <c r="DD54" i="4"/>
  <c r="DH191" i="4"/>
  <c r="DH192" i="4" s="1"/>
  <c r="DG178" i="4"/>
  <c r="DG179" i="4" s="1"/>
  <c r="DG87" i="4"/>
  <c r="DG88" i="4" s="1"/>
  <c r="DG126" i="4"/>
  <c r="DG127" i="4" s="1"/>
  <c r="DI217" i="4"/>
  <c r="DI218" i="4" s="1"/>
  <c r="DD30" i="4"/>
  <c r="DD31" i="4" s="1"/>
  <c r="DB252" i="4"/>
  <c r="T125" i="1" s="1"/>
  <c r="U125" i="1" s="1"/>
  <c r="Q125" i="1"/>
  <c r="DH197" i="4" l="1"/>
  <c r="DH198" i="4" s="1"/>
  <c r="DI190" i="4"/>
  <c r="DD36" i="4"/>
  <c r="DD250" i="4" s="1"/>
  <c r="DE29" i="4"/>
  <c r="DI99" i="4"/>
  <c r="DH106" i="4"/>
  <c r="DH107" i="4" s="1"/>
  <c r="DH145" i="4"/>
  <c r="DH146" i="4" s="1"/>
  <c r="DI138" i="4"/>
  <c r="DG93" i="4"/>
  <c r="DG94" i="4" s="1"/>
  <c r="DH86" i="4"/>
  <c r="DG235" i="4"/>
  <c r="DG236" i="4" s="1"/>
  <c r="DH228" i="4"/>
  <c r="DJ216" i="4"/>
  <c r="DI223" i="4"/>
  <c r="DI224" i="4" s="1"/>
  <c r="DE50" i="4"/>
  <c r="DD53" i="4"/>
  <c r="DD55" i="4" s="1"/>
  <c r="DH125" i="4"/>
  <c r="DG132" i="4"/>
  <c r="DG133" i="4" s="1"/>
  <c r="DI240" i="4"/>
  <c r="DH247" i="4"/>
  <c r="DH248" i="4" s="1"/>
  <c r="DH177" i="4"/>
  <c r="DG184" i="4"/>
  <c r="DG185" i="4" s="1"/>
  <c r="DH61" i="4"/>
  <c r="DH62" i="4" s="1"/>
  <c r="DH74" i="4"/>
  <c r="DH75" i="4" s="1"/>
  <c r="DH152" i="4"/>
  <c r="DH153" i="4" s="1"/>
  <c r="DH165" i="4"/>
  <c r="DH166" i="4" s="1"/>
  <c r="DE48" i="4"/>
  <c r="DE49" i="4" s="1"/>
  <c r="DC249" i="4"/>
  <c r="DC37" i="4"/>
  <c r="DH113" i="4"/>
  <c r="DH114" i="4" s="1"/>
  <c r="DH204" i="4"/>
  <c r="DH205" i="4" s="1"/>
  <c r="DD33" i="4"/>
  <c r="DD34" i="4" s="1"/>
  <c r="DH67" i="4" l="1"/>
  <c r="DH68" i="4" s="1"/>
  <c r="DI60" i="4"/>
  <c r="DH119" i="4"/>
  <c r="DH120" i="4" s="1"/>
  <c r="DI112" i="4"/>
  <c r="DH80" i="4"/>
  <c r="DH81" i="4" s="1"/>
  <c r="DI73" i="4"/>
  <c r="DI203" i="4"/>
  <c r="DH210" i="4"/>
  <c r="DH211" i="4" s="1"/>
  <c r="DE54" i="4"/>
  <c r="DF47" i="4"/>
  <c r="DH171" i="4"/>
  <c r="DH172" i="4" s="1"/>
  <c r="DI164" i="4"/>
  <c r="DH158" i="4"/>
  <c r="DH159" i="4" s="1"/>
  <c r="DI151" i="4"/>
  <c r="DI139" i="4"/>
  <c r="DI140" i="4" s="1"/>
  <c r="DE32" i="4"/>
  <c r="DD35" i="4"/>
  <c r="DH178" i="4"/>
  <c r="DH179" i="4" s="1"/>
  <c r="DI100" i="4"/>
  <c r="DI101" i="4" s="1"/>
  <c r="DH229" i="4"/>
  <c r="DH230" i="4" s="1"/>
  <c r="DE30" i="4"/>
  <c r="DE31" i="4" s="1"/>
  <c r="DE51" i="4"/>
  <c r="DE52" i="4" s="1"/>
  <c r="DJ217" i="4"/>
  <c r="DJ218" i="4" s="1"/>
  <c r="DD251" i="4"/>
  <c r="S127" i="1"/>
  <c r="DH87" i="4"/>
  <c r="DH88" i="4" s="1"/>
  <c r="DI191" i="4"/>
  <c r="DI192" i="4" s="1"/>
  <c r="DI241" i="4"/>
  <c r="DI242" i="4" s="1"/>
  <c r="DC252" i="4"/>
  <c r="T126" i="1" s="1"/>
  <c r="U126" i="1" s="1"/>
  <c r="Q126" i="1"/>
  <c r="DH126" i="4"/>
  <c r="DH127" i="4" s="1"/>
  <c r="DE36" i="4" l="1"/>
  <c r="DE250" i="4" s="1"/>
  <c r="DF29" i="4"/>
  <c r="DH132" i="4"/>
  <c r="DH133" i="4" s="1"/>
  <c r="DI125" i="4"/>
  <c r="DI145" i="4"/>
  <c r="DI146" i="4" s="1"/>
  <c r="DJ138" i="4"/>
  <c r="DI247" i="4"/>
  <c r="DI248" i="4" s="1"/>
  <c r="DJ240" i="4"/>
  <c r="DH93" i="4"/>
  <c r="DH94" i="4" s="1"/>
  <c r="DI86" i="4"/>
  <c r="DJ223" i="4"/>
  <c r="DJ224" i="4" s="1"/>
  <c r="DK216" i="4"/>
  <c r="DF50" i="4"/>
  <c r="DE53" i="4"/>
  <c r="DE55" i="4" s="1"/>
  <c r="DH235" i="4"/>
  <c r="DH236" i="4" s="1"/>
  <c r="DI228" i="4"/>
  <c r="DI197" i="4"/>
  <c r="DI198" i="4" s="1"/>
  <c r="DJ190" i="4"/>
  <c r="DJ99" i="4"/>
  <c r="DI106" i="4"/>
  <c r="DI107" i="4" s="1"/>
  <c r="DH184" i="4"/>
  <c r="DH185" i="4" s="1"/>
  <c r="DI177" i="4"/>
  <c r="DI165" i="4"/>
  <c r="DI166" i="4" s="1"/>
  <c r="DI113" i="4"/>
  <c r="DI114" i="4" s="1"/>
  <c r="DI204" i="4"/>
  <c r="DI205" i="4" s="1"/>
  <c r="DI74" i="4"/>
  <c r="DI75" i="4" s="1"/>
  <c r="DI152" i="4"/>
  <c r="DI153" i="4" s="1"/>
  <c r="DD249" i="4"/>
  <c r="DD37" i="4"/>
  <c r="DF48" i="4"/>
  <c r="DF49" i="4" s="1"/>
  <c r="DI61" i="4"/>
  <c r="DI62" i="4" s="1"/>
  <c r="DE33" i="4"/>
  <c r="DE34" i="4" s="1"/>
  <c r="DF54" i="4" l="1"/>
  <c r="DG47" i="4"/>
  <c r="DI80" i="4"/>
  <c r="DI81" i="4" s="1"/>
  <c r="DJ73" i="4"/>
  <c r="DI210" i="4"/>
  <c r="DI211" i="4" s="1"/>
  <c r="DJ203" i="4"/>
  <c r="DI67" i="4"/>
  <c r="DI68" i="4" s="1"/>
  <c r="DJ60" i="4"/>
  <c r="DI119" i="4"/>
  <c r="DI120" i="4" s="1"/>
  <c r="DJ112" i="4"/>
  <c r="DJ164" i="4"/>
  <c r="DI171" i="4"/>
  <c r="DI172" i="4" s="1"/>
  <c r="DI229" i="4"/>
  <c r="DI230" i="4" s="1"/>
  <c r="DJ241" i="4"/>
  <c r="DJ242" i="4" s="1"/>
  <c r="DJ151" i="4"/>
  <c r="DI158" i="4"/>
  <c r="DI159" i="4" s="1"/>
  <c r="DF32" i="4"/>
  <c r="DE35" i="4"/>
  <c r="DI178" i="4"/>
  <c r="DI179" i="4" s="1"/>
  <c r="DI126" i="4"/>
  <c r="DI127" i="4" s="1"/>
  <c r="DJ139" i="4"/>
  <c r="DJ140" i="4" s="1"/>
  <c r="DJ100" i="4"/>
  <c r="DJ101" i="4" s="1"/>
  <c r="DF51" i="4"/>
  <c r="DF52" i="4" s="1"/>
  <c r="DD252" i="4"/>
  <c r="T127" i="1" s="1"/>
  <c r="U127" i="1" s="1"/>
  <c r="Q127" i="1"/>
  <c r="DJ191" i="4"/>
  <c r="DJ192" i="4" s="1"/>
  <c r="DI87" i="4"/>
  <c r="DI88" i="4" s="1"/>
  <c r="DF30" i="4"/>
  <c r="DF31" i="4" s="1"/>
  <c r="DK217" i="4"/>
  <c r="DK218" i="4" s="1"/>
  <c r="DE251" i="4"/>
  <c r="S128" i="1"/>
  <c r="DJ247" i="4" l="1"/>
  <c r="DJ248" i="4" s="1"/>
  <c r="DK240" i="4"/>
  <c r="DI235" i="4"/>
  <c r="DI236" i="4" s="1"/>
  <c r="DJ228" i="4"/>
  <c r="DG50" i="4"/>
  <c r="DF53" i="4"/>
  <c r="DF55" i="4" s="1"/>
  <c r="DI132" i="4"/>
  <c r="DI133" i="4" s="1"/>
  <c r="DJ125" i="4"/>
  <c r="DK99" i="4"/>
  <c r="DJ106" i="4"/>
  <c r="DJ107" i="4" s="1"/>
  <c r="DL216" i="4"/>
  <c r="DK223" i="4"/>
  <c r="DK224" i="4" s="1"/>
  <c r="DJ145" i="4"/>
  <c r="DJ146" i="4" s="1"/>
  <c r="DK138" i="4"/>
  <c r="DF36" i="4"/>
  <c r="DF250" i="4" s="1"/>
  <c r="DG29" i="4"/>
  <c r="DJ86" i="4"/>
  <c r="DI93" i="4"/>
  <c r="DI94" i="4" s="1"/>
  <c r="DI184" i="4"/>
  <c r="DI185" i="4" s="1"/>
  <c r="DJ177" i="4"/>
  <c r="DJ197" i="4"/>
  <c r="DJ198" i="4" s="1"/>
  <c r="DK190" i="4"/>
  <c r="DJ61" i="4"/>
  <c r="DJ62" i="4" s="1"/>
  <c r="DE249" i="4"/>
  <c r="DE37" i="4"/>
  <c r="DJ74" i="4"/>
  <c r="DJ75" i="4" s="1"/>
  <c r="DJ204" i="4"/>
  <c r="DJ205" i="4" s="1"/>
  <c r="DF33" i="4"/>
  <c r="DF34" i="4" s="1"/>
  <c r="DJ165" i="4"/>
  <c r="DJ166" i="4" s="1"/>
  <c r="DJ113" i="4"/>
  <c r="DJ114" i="4" s="1"/>
  <c r="DG48" i="4"/>
  <c r="DG49" i="4" s="1"/>
  <c r="DJ152" i="4"/>
  <c r="DJ153" i="4" s="1"/>
  <c r="DJ119" i="4" l="1"/>
  <c r="DJ120" i="4" s="1"/>
  <c r="DK112" i="4"/>
  <c r="DJ67" i="4"/>
  <c r="DJ68" i="4" s="1"/>
  <c r="DK60" i="4"/>
  <c r="DF35" i="4"/>
  <c r="DG32" i="4"/>
  <c r="DG54" i="4"/>
  <c r="DH47" i="4"/>
  <c r="DJ171" i="4"/>
  <c r="DJ172" i="4" s="1"/>
  <c r="DK164" i="4"/>
  <c r="DJ210" i="4"/>
  <c r="DJ211" i="4" s="1"/>
  <c r="DK203" i="4"/>
  <c r="DK73" i="4"/>
  <c r="DJ80" i="4"/>
  <c r="DJ81" i="4" s="1"/>
  <c r="DG30" i="4"/>
  <c r="DG31" i="4" s="1"/>
  <c r="DJ126" i="4"/>
  <c r="DJ127" i="4" s="1"/>
  <c r="DJ158" i="4"/>
  <c r="DJ159" i="4" s="1"/>
  <c r="DK151" i="4"/>
  <c r="DG51" i="4"/>
  <c r="DG52" i="4" s="1"/>
  <c r="DF251" i="4"/>
  <c r="S129" i="1"/>
  <c r="DL217" i="4"/>
  <c r="DL218" i="4" s="1"/>
  <c r="DK191" i="4"/>
  <c r="DK192" i="4" s="1"/>
  <c r="DK139" i="4"/>
  <c r="DK140" i="4" s="1"/>
  <c r="DK241" i="4"/>
  <c r="DK242" i="4" s="1"/>
  <c r="DJ178" i="4"/>
  <c r="DJ179" i="4" s="1"/>
  <c r="DJ229" i="4"/>
  <c r="DJ230" i="4" s="1"/>
  <c r="DE252" i="4"/>
  <c r="T128" i="1" s="1"/>
  <c r="U128" i="1" s="1"/>
  <c r="Q128" i="1"/>
  <c r="DJ87" i="4"/>
  <c r="DJ88" i="4" s="1"/>
  <c r="DK100" i="4"/>
  <c r="DK101" i="4" s="1"/>
  <c r="DG36" i="4" l="1"/>
  <c r="DG250" i="4" s="1"/>
  <c r="DH29" i="4"/>
  <c r="DJ132" i="4"/>
  <c r="DJ133" i="4" s="1"/>
  <c r="DK125" i="4"/>
  <c r="DK197" i="4"/>
  <c r="DK198" i="4" s="1"/>
  <c r="DL190" i="4"/>
  <c r="DJ235" i="4"/>
  <c r="DJ236" i="4" s="1"/>
  <c r="DK228" i="4"/>
  <c r="DK145" i="4"/>
  <c r="DK146" i="4" s="1"/>
  <c r="DL138" i="4"/>
  <c r="DK106" i="4"/>
  <c r="DK107" i="4" s="1"/>
  <c r="DL99" i="4"/>
  <c r="DJ93" i="4"/>
  <c r="DJ94" i="4" s="1"/>
  <c r="DK86" i="4"/>
  <c r="DL223" i="4"/>
  <c r="DL224" i="4" s="1"/>
  <c r="DM216" i="4"/>
  <c r="DH50" i="4"/>
  <c r="DG53" i="4"/>
  <c r="DG55" i="4" s="1"/>
  <c r="DJ184" i="4"/>
  <c r="DJ185" i="4" s="1"/>
  <c r="DK177" i="4"/>
  <c r="DK247" i="4"/>
  <c r="DK248" i="4" s="1"/>
  <c r="DL240" i="4"/>
  <c r="DH48" i="4"/>
  <c r="DH49" i="4" s="1"/>
  <c r="DK74" i="4"/>
  <c r="DK75" i="4" s="1"/>
  <c r="DK61" i="4"/>
  <c r="DK62" i="4" s="1"/>
  <c r="DG33" i="4"/>
  <c r="DG34" i="4" s="1"/>
  <c r="DK204" i="4"/>
  <c r="DK205" i="4" s="1"/>
  <c r="DK165" i="4"/>
  <c r="DK166" i="4" s="1"/>
  <c r="DK113" i="4"/>
  <c r="DK114" i="4" s="1"/>
  <c r="DF249" i="4"/>
  <c r="DF37" i="4"/>
  <c r="DK152" i="4"/>
  <c r="DK153" i="4" s="1"/>
  <c r="DH54" i="4" l="1"/>
  <c r="DI47" i="4"/>
  <c r="DL164" i="4"/>
  <c r="DK171" i="4"/>
  <c r="DK172" i="4" s="1"/>
  <c r="DL73" i="4"/>
  <c r="DK80" i="4"/>
  <c r="DK81" i="4" s="1"/>
  <c r="DK119" i="4"/>
  <c r="DK120" i="4" s="1"/>
  <c r="DL112" i="4"/>
  <c r="DG35" i="4"/>
  <c r="DH32" i="4"/>
  <c r="DL60" i="4"/>
  <c r="DK67" i="4"/>
  <c r="DK68" i="4" s="1"/>
  <c r="DM217" i="4"/>
  <c r="DM218" i="4" s="1"/>
  <c r="DK229" i="4"/>
  <c r="DK230" i="4" s="1"/>
  <c r="DK87" i="4"/>
  <c r="DK88" i="4" s="1"/>
  <c r="DL100" i="4"/>
  <c r="DL101" i="4" s="1"/>
  <c r="DK126" i="4"/>
  <c r="DK127" i="4" s="1"/>
  <c r="DL191" i="4"/>
  <c r="DL192" i="4" s="1"/>
  <c r="DL151" i="4"/>
  <c r="DK158" i="4"/>
  <c r="DK159" i="4" s="1"/>
  <c r="DL241" i="4"/>
  <c r="DL242" i="4" s="1"/>
  <c r="DK178" i="4"/>
  <c r="DK179" i="4" s="1"/>
  <c r="DL139" i="4"/>
  <c r="DL140" i="4" s="1"/>
  <c r="DH30" i="4"/>
  <c r="DH31" i="4" s="1"/>
  <c r="DK210" i="4"/>
  <c r="DK211" i="4" s="1"/>
  <c r="DL203" i="4"/>
  <c r="DF252" i="4"/>
  <c r="T129" i="1" s="1"/>
  <c r="U129" i="1" s="1"/>
  <c r="Q129" i="1"/>
  <c r="DH51" i="4"/>
  <c r="DH52" i="4" s="1"/>
  <c r="DG251" i="4"/>
  <c r="S130" i="1"/>
  <c r="DL106" i="4" l="1"/>
  <c r="DL107" i="4" s="1"/>
  <c r="DM99" i="4"/>
  <c r="DK184" i="4"/>
  <c r="DK185" i="4" s="1"/>
  <c r="DL177" i="4"/>
  <c r="DL86" i="4"/>
  <c r="DK93" i="4"/>
  <c r="DK94" i="4" s="1"/>
  <c r="DL197" i="4"/>
  <c r="DL198" i="4" s="1"/>
  <c r="DM190" i="4"/>
  <c r="DI29" i="4"/>
  <c r="DH36" i="4"/>
  <c r="DH250" i="4" s="1"/>
  <c r="DM138" i="4"/>
  <c r="DL145" i="4"/>
  <c r="DL146" i="4" s="1"/>
  <c r="DK235" i="4"/>
  <c r="DK236" i="4" s="1"/>
  <c r="DL228" i="4"/>
  <c r="DI50" i="4"/>
  <c r="DH53" i="4"/>
  <c r="DH55" i="4" s="1"/>
  <c r="DL247" i="4"/>
  <c r="DL248" i="4" s="1"/>
  <c r="DM240" i="4"/>
  <c r="DM223" i="4"/>
  <c r="DM224" i="4" s="1"/>
  <c r="DN216" i="4"/>
  <c r="DK132" i="4"/>
  <c r="DK133" i="4" s="1"/>
  <c r="DL125" i="4"/>
  <c r="DL113" i="4"/>
  <c r="DL114" i="4" s="1"/>
  <c r="DL74" i="4"/>
  <c r="DL75" i="4" s="1"/>
  <c r="DL61" i="4"/>
  <c r="DL62" i="4" s="1"/>
  <c r="DL165" i="4"/>
  <c r="DL166" i="4" s="1"/>
  <c r="DL204" i="4"/>
  <c r="DL205" i="4" s="1"/>
  <c r="DH33" i="4"/>
  <c r="DH34" i="4" s="1"/>
  <c r="DI48" i="4"/>
  <c r="DI49" i="4" s="1"/>
  <c r="DL152" i="4"/>
  <c r="DL153" i="4" s="1"/>
  <c r="DG249" i="4"/>
  <c r="DG37" i="4"/>
  <c r="DL158" i="4" l="1"/>
  <c r="DL159" i="4" s="1"/>
  <c r="DM151" i="4"/>
  <c r="DI54" i="4"/>
  <c r="DJ47" i="4"/>
  <c r="DL171" i="4"/>
  <c r="DL172" i="4" s="1"/>
  <c r="DM164" i="4"/>
  <c r="DM73" i="4"/>
  <c r="DL80" i="4"/>
  <c r="DL81" i="4" s="1"/>
  <c r="DM112" i="4"/>
  <c r="DL119" i="4"/>
  <c r="DL120" i="4" s="1"/>
  <c r="DH35" i="4"/>
  <c r="DI32" i="4"/>
  <c r="DL210" i="4"/>
  <c r="DL211" i="4" s="1"/>
  <c r="DM203" i="4"/>
  <c r="DL67" i="4"/>
  <c r="DL68" i="4" s="1"/>
  <c r="DM60" i="4"/>
  <c r="DM191" i="4"/>
  <c r="DM192" i="4" s="1"/>
  <c r="DL87" i="4"/>
  <c r="DL88" i="4" s="1"/>
  <c r="DL126" i="4"/>
  <c r="DL127" i="4" s="1"/>
  <c r="DL229" i="4"/>
  <c r="DL230" i="4" s="1"/>
  <c r="DN217" i="4"/>
  <c r="DN218" i="4" s="1"/>
  <c r="DM139" i="4"/>
  <c r="DM140" i="4" s="1"/>
  <c r="DG252" i="4"/>
  <c r="T130" i="1" s="1"/>
  <c r="U130" i="1" s="1"/>
  <c r="Q130" i="1"/>
  <c r="DI51" i="4"/>
  <c r="DI52" i="4" s="1"/>
  <c r="DH251" i="4"/>
  <c r="S131" i="1"/>
  <c r="DM100" i="4"/>
  <c r="DM101" i="4" s="1"/>
  <c r="DL178" i="4"/>
  <c r="DL179" i="4" s="1"/>
  <c r="DM241" i="4"/>
  <c r="DM242" i="4" s="1"/>
  <c r="DI30" i="4"/>
  <c r="DI31" i="4" s="1"/>
  <c r="DM145" i="4" l="1"/>
  <c r="DM146" i="4" s="1"/>
  <c r="DN138" i="4"/>
  <c r="DM247" i="4"/>
  <c r="DM248" i="4" s="1"/>
  <c r="DN240" i="4"/>
  <c r="DL184" i="4"/>
  <c r="DL185" i="4" s="1"/>
  <c r="DM177" i="4"/>
  <c r="DL93" i="4"/>
  <c r="DL94" i="4" s="1"/>
  <c r="DM86" i="4"/>
  <c r="DJ29" i="4"/>
  <c r="DI36" i="4"/>
  <c r="DI250" i="4" s="1"/>
  <c r="DN223" i="4"/>
  <c r="DN224" i="4" s="1"/>
  <c r="DO216" i="4"/>
  <c r="DM106" i="4"/>
  <c r="DM107" i="4" s="1"/>
  <c r="DN99" i="4"/>
  <c r="DL235" i="4"/>
  <c r="DL236" i="4" s="1"/>
  <c r="DM228" i="4"/>
  <c r="DL132" i="4"/>
  <c r="DL133" i="4" s="1"/>
  <c r="DM125" i="4"/>
  <c r="DI53" i="4"/>
  <c r="DI55" i="4" s="1"/>
  <c r="DJ50" i="4"/>
  <c r="DM197" i="4"/>
  <c r="DM198" i="4" s="1"/>
  <c r="DN190" i="4"/>
  <c r="DM61" i="4"/>
  <c r="DM62" i="4" s="1"/>
  <c r="DM204" i="4"/>
  <c r="DM205" i="4" s="1"/>
  <c r="DI33" i="4"/>
  <c r="DI34" i="4" s="1"/>
  <c r="DJ48" i="4"/>
  <c r="DJ49" i="4" s="1"/>
  <c r="DM74" i="4"/>
  <c r="DM75" i="4" s="1"/>
  <c r="DM152" i="4"/>
  <c r="DM153" i="4" s="1"/>
  <c r="DM165" i="4"/>
  <c r="DM166" i="4" s="1"/>
  <c r="DH249" i="4"/>
  <c r="DH37" i="4"/>
  <c r="DM113" i="4"/>
  <c r="DM114" i="4" s="1"/>
  <c r="DM210" i="4" l="1"/>
  <c r="DM211" i="4" s="1"/>
  <c r="DN203" i="4"/>
  <c r="DN164" i="4"/>
  <c r="DM171" i="4"/>
  <c r="DM172" i="4" s="1"/>
  <c r="DN60" i="4"/>
  <c r="DM67" i="4"/>
  <c r="DM68" i="4" s="1"/>
  <c r="DK47" i="4"/>
  <c r="DJ54" i="4"/>
  <c r="DM158" i="4"/>
  <c r="DM159" i="4" s="1"/>
  <c r="DN151" i="4"/>
  <c r="DJ32" i="4"/>
  <c r="DI35" i="4"/>
  <c r="DM119" i="4"/>
  <c r="DM120" i="4" s="1"/>
  <c r="DN112" i="4"/>
  <c r="DM229" i="4"/>
  <c r="DM230" i="4" s="1"/>
  <c r="DM87" i="4"/>
  <c r="DM88" i="4" s="1"/>
  <c r="DM178" i="4"/>
  <c r="DM179" i="4" s="1"/>
  <c r="DO217" i="4"/>
  <c r="DO218" i="4" s="1"/>
  <c r="DN241" i="4"/>
  <c r="DN242" i="4" s="1"/>
  <c r="DM80" i="4"/>
  <c r="DM81" i="4" s="1"/>
  <c r="DN73" i="4"/>
  <c r="DH252" i="4"/>
  <c r="T131" i="1" s="1"/>
  <c r="U131" i="1" s="1"/>
  <c r="Q131" i="1"/>
  <c r="DJ51" i="4"/>
  <c r="DJ52" i="4" s="1"/>
  <c r="DM126" i="4"/>
  <c r="DM127" i="4" s="1"/>
  <c r="DI251" i="4"/>
  <c r="S132" i="1"/>
  <c r="DN139" i="4"/>
  <c r="DN140" i="4" s="1"/>
  <c r="DN191" i="4"/>
  <c r="DN192" i="4" s="1"/>
  <c r="DN100" i="4"/>
  <c r="DN101" i="4" s="1"/>
  <c r="DJ30" i="4"/>
  <c r="DJ31" i="4" s="1"/>
  <c r="DJ53" i="4" l="1"/>
  <c r="DJ55" i="4" s="1"/>
  <c r="DK50" i="4"/>
  <c r="DN106" i="4"/>
  <c r="DN107" i="4" s="1"/>
  <c r="DO99" i="4"/>
  <c r="DM93" i="4"/>
  <c r="DM94" i="4" s="1"/>
  <c r="DN86" i="4"/>
  <c r="DM235" i="4"/>
  <c r="DM236" i="4" s="1"/>
  <c r="DN228" i="4"/>
  <c r="DP216" i="4"/>
  <c r="DO223" i="4"/>
  <c r="DO224" i="4" s="1"/>
  <c r="DJ36" i="4"/>
  <c r="DJ250" i="4" s="1"/>
  <c r="DK29" i="4"/>
  <c r="DN197" i="4"/>
  <c r="DN198" i="4" s="1"/>
  <c r="DO190" i="4"/>
  <c r="DO138" i="4"/>
  <c r="DN145" i="4"/>
  <c r="DN146" i="4" s="1"/>
  <c r="DN247" i="4"/>
  <c r="DN248" i="4" s="1"/>
  <c r="DO240" i="4"/>
  <c r="DN125" i="4"/>
  <c r="DM132" i="4"/>
  <c r="DM133" i="4" s="1"/>
  <c r="DM184" i="4"/>
  <c r="DM185" i="4" s="1"/>
  <c r="DN177" i="4"/>
  <c r="DK48" i="4"/>
  <c r="DK49" i="4" s="1"/>
  <c r="DN61" i="4"/>
  <c r="DN62" i="4" s="1"/>
  <c r="DJ33" i="4"/>
  <c r="DJ34" i="4" s="1"/>
  <c r="DN165" i="4"/>
  <c r="DN166" i="4" s="1"/>
  <c r="DN113" i="4"/>
  <c r="DN114" i="4" s="1"/>
  <c r="DN152" i="4"/>
  <c r="DN153" i="4" s="1"/>
  <c r="DN204" i="4"/>
  <c r="DN205" i="4" s="1"/>
  <c r="DI249" i="4"/>
  <c r="DI37" i="4"/>
  <c r="DN74" i="4"/>
  <c r="DN75" i="4" s="1"/>
  <c r="DL47" i="4" l="1"/>
  <c r="DK54" i="4"/>
  <c r="DN67" i="4"/>
  <c r="DN68" i="4" s="1"/>
  <c r="DO60" i="4"/>
  <c r="DN171" i="4"/>
  <c r="DN172" i="4" s="1"/>
  <c r="DO164" i="4"/>
  <c r="DO203" i="4"/>
  <c r="DN210" i="4"/>
  <c r="DN211" i="4" s="1"/>
  <c r="DN158" i="4"/>
  <c r="DN159" i="4" s="1"/>
  <c r="DO151" i="4"/>
  <c r="DK32" i="4"/>
  <c r="DJ35" i="4"/>
  <c r="DN229" i="4"/>
  <c r="DN230" i="4" s="1"/>
  <c r="DN80" i="4"/>
  <c r="DN81" i="4" s="1"/>
  <c r="DO73" i="4"/>
  <c r="DN178" i="4"/>
  <c r="DN179" i="4" s="1"/>
  <c r="DK30" i="4"/>
  <c r="DK31" i="4" s="1"/>
  <c r="DO100" i="4"/>
  <c r="DO101" i="4" s="1"/>
  <c r="DI252" i="4"/>
  <c r="T132" i="1" s="1"/>
  <c r="U132" i="1" s="1"/>
  <c r="Q132" i="1"/>
  <c r="DO191" i="4"/>
  <c r="DO192" i="4" s="1"/>
  <c r="DJ251" i="4"/>
  <c r="S133" i="1"/>
  <c r="DO241" i="4"/>
  <c r="DO242" i="4" s="1"/>
  <c r="DK51" i="4"/>
  <c r="DK52" i="4" s="1"/>
  <c r="DO112" i="4"/>
  <c r="DN119" i="4"/>
  <c r="DN120" i="4" s="1"/>
  <c r="DO139" i="4"/>
  <c r="DO140" i="4" s="1"/>
  <c r="DN87" i="4"/>
  <c r="DN88" i="4" s="1"/>
  <c r="DN126" i="4"/>
  <c r="DN127" i="4" s="1"/>
  <c r="DP217" i="4"/>
  <c r="DP218" i="4" s="1"/>
  <c r="DO247" i="4" l="1"/>
  <c r="DO248" i="4" s="1"/>
  <c r="DP240" i="4"/>
  <c r="DN132" i="4"/>
  <c r="DN133" i="4" s="1"/>
  <c r="DO125" i="4"/>
  <c r="DO145" i="4"/>
  <c r="DO146" i="4" s="1"/>
  <c r="DP138" i="4"/>
  <c r="DN184" i="4"/>
  <c r="DN185" i="4" s="1"/>
  <c r="DO177" i="4"/>
  <c r="DN93" i="4"/>
  <c r="DN94" i="4" s="1"/>
  <c r="DO86" i="4"/>
  <c r="DN235" i="4"/>
  <c r="DN236" i="4" s="1"/>
  <c r="DO228" i="4"/>
  <c r="DO106" i="4"/>
  <c r="DO107" i="4" s="1"/>
  <c r="DP99" i="4"/>
  <c r="DP223" i="4"/>
  <c r="DP224" i="4" s="1"/>
  <c r="DQ216" i="4"/>
  <c r="DO197" i="4"/>
  <c r="DO198" i="4" s="1"/>
  <c r="DP190" i="4"/>
  <c r="DK53" i="4"/>
  <c r="DK55" i="4" s="1"/>
  <c r="DL50" i="4"/>
  <c r="DK36" i="4"/>
  <c r="DK250" i="4" s="1"/>
  <c r="DL29" i="4"/>
  <c r="DO74" i="4"/>
  <c r="DO75" i="4" s="1"/>
  <c r="DO61" i="4"/>
  <c r="DO62" i="4" s="1"/>
  <c r="DO204" i="4"/>
  <c r="DO205" i="4" s="1"/>
  <c r="DK33" i="4"/>
  <c r="DK34" i="4" s="1"/>
  <c r="DO165" i="4"/>
  <c r="DO166" i="4" s="1"/>
  <c r="DJ249" i="4"/>
  <c r="DJ37" i="4"/>
  <c r="DO152" i="4"/>
  <c r="DO153" i="4" s="1"/>
  <c r="DO113" i="4"/>
  <c r="DO114" i="4" s="1"/>
  <c r="DL48" i="4"/>
  <c r="DL49" i="4" s="1"/>
  <c r="DO67" i="4" l="1"/>
  <c r="DO68" i="4" s="1"/>
  <c r="DP60" i="4"/>
  <c r="DO158" i="4"/>
  <c r="DO159" i="4" s="1"/>
  <c r="DP151" i="4"/>
  <c r="DO119" i="4"/>
  <c r="DO120" i="4" s="1"/>
  <c r="DP112" i="4"/>
  <c r="DO80" i="4"/>
  <c r="DO81" i="4" s="1"/>
  <c r="DP73" i="4"/>
  <c r="DL32" i="4"/>
  <c r="DK35" i="4"/>
  <c r="DO210" i="4"/>
  <c r="DO211" i="4" s="1"/>
  <c r="DP203" i="4"/>
  <c r="DO178" i="4"/>
  <c r="DO179" i="4" s="1"/>
  <c r="DO171" i="4"/>
  <c r="DO172" i="4" s="1"/>
  <c r="DP164" i="4"/>
  <c r="DL51" i="4"/>
  <c r="DL52" i="4" s="1"/>
  <c r="DO229" i="4"/>
  <c r="DO230" i="4" s="1"/>
  <c r="DO126" i="4"/>
  <c r="DO127" i="4" s="1"/>
  <c r="DM47" i="4"/>
  <c r="DL54" i="4"/>
  <c r="DQ217" i="4"/>
  <c r="DQ218" i="4" s="1"/>
  <c r="DK251" i="4"/>
  <c r="S134" i="1"/>
  <c r="DP100" i="4"/>
  <c r="DP101" i="4" s="1"/>
  <c r="DJ252" i="4"/>
  <c r="T133" i="1" s="1"/>
  <c r="U133" i="1" s="1"/>
  <c r="Q133" i="1"/>
  <c r="DP191" i="4"/>
  <c r="DP192" i="4" s="1"/>
  <c r="DO87" i="4"/>
  <c r="DO88" i="4" s="1"/>
  <c r="DP241" i="4"/>
  <c r="DP242" i="4" s="1"/>
  <c r="DL30" i="4"/>
  <c r="DL31" i="4" s="1"/>
  <c r="DP139" i="4"/>
  <c r="DP140" i="4" s="1"/>
  <c r="DP247" i="4" l="1"/>
  <c r="DP248" i="4" s="1"/>
  <c r="DQ240" i="4"/>
  <c r="DM50" i="4"/>
  <c r="DL53" i="4"/>
  <c r="DL55" i="4" s="1"/>
  <c r="DP145" i="4"/>
  <c r="DP146" i="4" s="1"/>
  <c r="DQ138" i="4"/>
  <c r="DO93" i="4"/>
  <c r="DO94" i="4" s="1"/>
  <c r="DP86" i="4"/>
  <c r="DQ99" i="4"/>
  <c r="DP106" i="4"/>
  <c r="DP107" i="4" s="1"/>
  <c r="DL36" i="4"/>
  <c r="DL250" i="4" s="1"/>
  <c r="DM29" i="4"/>
  <c r="DR216" i="4"/>
  <c r="DQ223" i="4"/>
  <c r="DQ224" i="4" s="1"/>
  <c r="DO184" i="4"/>
  <c r="DO185" i="4" s="1"/>
  <c r="DP177" i="4"/>
  <c r="DP197" i="4"/>
  <c r="DP198" i="4" s="1"/>
  <c r="DQ190" i="4"/>
  <c r="DP125" i="4"/>
  <c r="DO132" i="4"/>
  <c r="DO133" i="4" s="1"/>
  <c r="DO235" i="4"/>
  <c r="DO236" i="4" s="1"/>
  <c r="DP228" i="4"/>
  <c r="DP165" i="4"/>
  <c r="DP166" i="4" s="1"/>
  <c r="DP74" i="4"/>
  <c r="DP75" i="4" s="1"/>
  <c r="DP204" i="4"/>
  <c r="DP205" i="4" s="1"/>
  <c r="DP152" i="4"/>
  <c r="DP153" i="4" s="1"/>
  <c r="DP113" i="4"/>
  <c r="DP114" i="4" s="1"/>
  <c r="DK249" i="4"/>
  <c r="DK37" i="4"/>
  <c r="DP61" i="4"/>
  <c r="DP62" i="4" s="1"/>
  <c r="DM48" i="4"/>
  <c r="DM49" i="4" s="1"/>
  <c r="DL33" i="4"/>
  <c r="DL34" i="4" s="1"/>
  <c r="DP80" i="4" l="1"/>
  <c r="DP81" i="4" s="1"/>
  <c r="DQ73" i="4"/>
  <c r="DP67" i="4"/>
  <c r="DP68" i="4" s="1"/>
  <c r="DQ60" i="4"/>
  <c r="DM54" i="4"/>
  <c r="DN47" i="4"/>
  <c r="DQ164" i="4"/>
  <c r="DP171" i="4"/>
  <c r="DP172" i="4" s="1"/>
  <c r="DP158" i="4"/>
  <c r="DP159" i="4" s="1"/>
  <c r="DQ151" i="4"/>
  <c r="DQ203" i="4"/>
  <c r="DP210" i="4"/>
  <c r="DP211" i="4" s="1"/>
  <c r="DP119" i="4"/>
  <c r="DP120" i="4" s="1"/>
  <c r="DQ112" i="4"/>
  <c r="DP178" i="4"/>
  <c r="DP179" i="4" s="1"/>
  <c r="DP87" i="4"/>
  <c r="DP88" i="4" s="1"/>
  <c r="DM32" i="4"/>
  <c r="DL35" i="4"/>
  <c r="DL251" i="4"/>
  <c r="S135" i="1"/>
  <c r="DM51" i="4"/>
  <c r="DM52" i="4" s="1"/>
  <c r="DR217" i="4"/>
  <c r="DR218" i="4" s="1"/>
  <c r="DK252" i="4"/>
  <c r="T134" i="1" s="1"/>
  <c r="U134" i="1" s="1"/>
  <c r="Q134" i="1"/>
  <c r="DQ191" i="4"/>
  <c r="DQ192" i="4" s="1"/>
  <c r="DQ241" i="4"/>
  <c r="DQ242" i="4" s="1"/>
  <c r="DP229" i="4"/>
  <c r="DP230" i="4" s="1"/>
  <c r="DQ139" i="4"/>
  <c r="DQ140" i="4" s="1"/>
  <c r="DM30" i="4"/>
  <c r="DM31" i="4" s="1"/>
  <c r="DP126" i="4"/>
  <c r="DP127" i="4" s="1"/>
  <c r="DQ100" i="4"/>
  <c r="DQ101" i="4" s="1"/>
  <c r="DR99" i="4" l="1"/>
  <c r="DQ106" i="4"/>
  <c r="DQ107" i="4" s="1"/>
  <c r="DR223" i="4"/>
  <c r="DR224" i="4" s="1"/>
  <c r="DS216" i="4"/>
  <c r="DP184" i="4"/>
  <c r="DP185" i="4" s="1"/>
  <c r="DQ177" i="4"/>
  <c r="DP132" i="4"/>
  <c r="DP133" i="4" s="1"/>
  <c r="DQ125" i="4"/>
  <c r="DQ145" i="4"/>
  <c r="DQ146" i="4" s="1"/>
  <c r="DR138" i="4"/>
  <c r="DP93" i="4"/>
  <c r="DP94" i="4" s="1"/>
  <c r="DQ86" i="4"/>
  <c r="DM36" i="4"/>
  <c r="DM250" i="4" s="1"/>
  <c r="DN29" i="4"/>
  <c r="DN50" i="4"/>
  <c r="DM53" i="4"/>
  <c r="DM55" i="4" s="1"/>
  <c r="DP235" i="4"/>
  <c r="DP236" i="4" s="1"/>
  <c r="DQ228" i="4"/>
  <c r="DR240" i="4"/>
  <c r="DQ247" i="4"/>
  <c r="DQ248" i="4" s="1"/>
  <c r="DQ197" i="4"/>
  <c r="DQ198" i="4" s="1"/>
  <c r="DR190" i="4"/>
  <c r="DQ165" i="4"/>
  <c r="DQ166" i="4" s="1"/>
  <c r="DQ113" i="4"/>
  <c r="DQ114" i="4" s="1"/>
  <c r="DQ152" i="4"/>
  <c r="DQ153" i="4" s="1"/>
  <c r="DQ74" i="4"/>
  <c r="DQ75" i="4" s="1"/>
  <c r="DN48" i="4"/>
  <c r="DN49" i="4" s="1"/>
  <c r="DL249" i="4"/>
  <c r="DL37" i="4"/>
  <c r="DQ61" i="4"/>
  <c r="DQ62" i="4" s="1"/>
  <c r="DM33" i="4"/>
  <c r="DM34" i="4" s="1"/>
  <c r="DQ204" i="4"/>
  <c r="DQ205" i="4" s="1"/>
  <c r="DN32" i="4" l="1"/>
  <c r="DM35" i="4"/>
  <c r="DQ67" i="4"/>
  <c r="DQ68" i="4" s="1"/>
  <c r="DR60" i="4"/>
  <c r="DQ119" i="4"/>
  <c r="DQ120" i="4" s="1"/>
  <c r="DR112" i="4"/>
  <c r="DQ171" i="4"/>
  <c r="DQ172" i="4" s="1"/>
  <c r="DR164" i="4"/>
  <c r="DQ80" i="4"/>
  <c r="DQ81" i="4" s="1"/>
  <c r="DR73" i="4"/>
  <c r="DR151" i="4"/>
  <c r="DQ158" i="4"/>
  <c r="DQ159" i="4" s="1"/>
  <c r="DQ126" i="4"/>
  <c r="DQ127" i="4" s="1"/>
  <c r="DN30" i="4"/>
  <c r="DN31" i="4" s="1"/>
  <c r="DQ87" i="4"/>
  <c r="DQ88" i="4" s="1"/>
  <c r="DS217" i="4"/>
  <c r="DS218" i="4" s="1"/>
  <c r="DN54" i="4"/>
  <c r="DO47" i="4"/>
  <c r="DN51" i="4"/>
  <c r="DN52" i="4" s="1"/>
  <c r="DR191" i="4"/>
  <c r="DR192" i="4" s="1"/>
  <c r="DR241" i="4"/>
  <c r="DR242" i="4" s="1"/>
  <c r="DQ178" i="4"/>
  <c r="DQ179" i="4" s="1"/>
  <c r="DL252" i="4"/>
  <c r="T135" i="1" s="1"/>
  <c r="U135" i="1" s="1"/>
  <c r="Q135" i="1"/>
  <c r="DQ229" i="4"/>
  <c r="DQ230" i="4" s="1"/>
  <c r="DR139" i="4"/>
  <c r="DR140" i="4" s="1"/>
  <c r="DR203" i="4"/>
  <c r="DQ210" i="4"/>
  <c r="DQ211" i="4" s="1"/>
  <c r="DM251" i="4"/>
  <c r="S136" i="1"/>
  <c r="DR100" i="4"/>
  <c r="DR101" i="4" s="1"/>
  <c r="DR86" i="4" l="1"/>
  <c r="DQ93" i="4"/>
  <c r="DQ94" i="4" s="1"/>
  <c r="DQ132" i="4"/>
  <c r="DQ133" i="4" s="1"/>
  <c r="DR125" i="4"/>
  <c r="B269" i="4"/>
  <c r="C269" i="4" s="1"/>
  <c r="DS223" i="4"/>
  <c r="DS224" i="4" s="1"/>
  <c r="E61" i="1"/>
  <c r="D61" i="1"/>
  <c r="DQ184" i="4"/>
  <c r="DQ185" i="4" s="1"/>
  <c r="DR177" i="4"/>
  <c r="DR247" i="4"/>
  <c r="DR248" i="4" s="1"/>
  <c r="DS240" i="4"/>
  <c r="DR145" i="4"/>
  <c r="DR146" i="4" s="1"/>
  <c r="DS138" i="4"/>
  <c r="DS99" i="4"/>
  <c r="DR106" i="4"/>
  <c r="DR107" i="4" s="1"/>
  <c r="DN36" i="4"/>
  <c r="DN250" i="4" s="1"/>
  <c r="DO29" i="4"/>
  <c r="DS190" i="4"/>
  <c r="DR197" i="4"/>
  <c r="DR198" i="4" s="1"/>
  <c r="DO50" i="4"/>
  <c r="DN53" i="4"/>
  <c r="DN55" i="4" s="1"/>
  <c r="DQ235" i="4"/>
  <c r="DQ236" i="4" s="1"/>
  <c r="DR228" i="4"/>
  <c r="DR165" i="4"/>
  <c r="DR166" i="4" s="1"/>
  <c r="DR61" i="4"/>
  <c r="DR62" i="4" s="1"/>
  <c r="DO48" i="4"/>
  <c r="DO49" i="4" s="1"/>
  <c r="DR113" i="4"/>
  <c r="DR114" i="4" s="1"/>
  <c r="DR152" i="4"/>
  <c r="DR153" i="4" s="1"/>
  <c r="DM249" i="4"/>
  <c r="DM37" i="4"/>
  <c r="DR204" i="4"/>
  <c r="DR205" i="4" s="1"/>
  <c r="DR74" i="4"/>
  <c r="DR75" i="4" s="1"/>
  <c r="DN33" i="4"/>
  <c r="DN34" i="4" s="1"/>
  <c r="DO54" i="4" l="1"/>
  <c r="DP47" i="4"/>
  <c r="DR67" i="4"/>
  <c r="DR68" i="4" s="1"/>
  <c r="DS60" i="4"/>
  <c r="DR158" i="4"/>
  <c r="DR159" i="4" s="1"/>
  <c r="DS151" i="4"/>
  <c r="DN35" i="4"/>
  <c r="DO32" i="4"/>
  <c r="DS73" i="4"/>
  <c r="DR80" i="4"/>
  <c r="DR81" i="4" s="1"/>
  <c r="DR210" i="4"/>
  <c r="DR211" i="4" s="1"/>
  <c r="DS203" i="4"/>
  <c r="DR171" i="4"/>
  <c r="DR172" i="4" s="1"/>
  <c r="DS164" i="4"/>
  <c r="DS100" i="4"/>
  <c r="DS101" i="4" s="1"/>
  <c r="DR126" i="4"/>
  <c r="DR127" i="4" s="1"/>
  <c r="DR119" i="4"/>
  <c r="DR120" i="4" s="1"/>
  <c r="DS112" i="4"/>
  <c r="DS139" i="4"/>
  <c r="DS140" i="4" s="1"/>
  <c r="DO30" i="4"/>
  <c r="DO31" i="4" s="1"/>
  <c r="DR178" i="4"/>
  <c r="DR179" i="4" s="1"/>
  <c r="DO51" i="4"/>
  <c r="DO52" i="4" s="1"/>
  <c r="DM252" i="4"/>
  <c r="T136" i="1" s="1"/>
  <c r="U136" i="1" s="1"/>
  <c r="Q136" i="1"/>
  <c r="DS191" i="4"/>
  <c r="DS192" i="4" s="1"/>
  <c r="DN251" i="4"/>
  <c r="S137" i="1"/>
  <c r="DS241" i="4"/>
  <c r="DS242" i="4" s="1"/>
  <c r="DR229" i="4"/>
  <c r="DR230" i="4" s="1"/>
  <c r="DR87" i="4"/>
  <c r="DR88" i="4" s="1"/>
  <c r="DR184" i="4" l="1"/>
  <c r="DR185" i="4" s="1"/>
  <c r="DS177" i="4"/>
  <c r="DR93" i="4"/>
  <c r="DR94" i="4" s="1"/>
  <c r="DS86" i="4"/>
  <c r="DO36" i="4"/>
  <c r="DO250" i="4" s="1"/>
  <c r="DP29" i="4"/>
  <c r="DP50" i="4"/>
  <c r="DO53" i="4"/>
  <c r="DO55" i="4" s="1"/>
  <c r="DR235" i="4"/>
  <c r="DR236" i="4" s="1"/>
  <c r="DS228" i="4"/>
  <c r="B271" i="4"/>
  <c r="C271" i="4" s="1"/>
  <c r="DS247" i="4"/>
  <c r="DS248" i="4" s="1"/>
  <c r="E63" i="1"/>
  <c r="D63" i="1"/>
  <c r="B263" i="4"/>
  <c r="C263" i="4" s="1"/>
  <c r="DS145" i="4"/>
  <c r="DS146" i="4" s="1"/>
  <c r="E55" i="1"/>
  <c r="D55" i="1"/>
  <c r="B267" i="4"/>
  <c r="C267" i="4" s="1"/>
  <c r="DS197" i="4"/>
  <c r="DS198" i="4" s="1"/>
  <c r="E59" i="1"/>
  <c r="D59" i="1"/>
  <c r="DR132" i="4"/>
  <c r="DR133" i="4" s="1"/>
  <c r="DS125" i="4"/>
  <c r="DO33" i="4"/>
  <c r="DO34" i="4" s="1"/>
  <c r="DN249" i="4"/>
  <c r="DN37" i="4"/>
  <c r="DS165" i="4"/>
  <c r="DS166" i="4" s="1"/>
  <c r="DS61" i="4"/>
  <c r="DS62" i="4" s="1"/>
  <c r="B257" i="4" s="1"/>
  <c r="DP48" i="4"/>
  <c r="DP49" i="4" s="1"/>
  <c r="B260" i="4"/>
  <c r="C260" i="4" s="1"/>
  <c r="DS106" i="4"/>
  <c r="DS107" i="4" s="1"/>
  <c r="D52" i="1"/>
  <c r="E52" i="1"/>
  <c r="DS152" i="4"/>
  <c r="DS153" i="4" s="1"/>
  <c r="DS113" i="4"/>
  <c r="DS114" i="4" s="1"/>
  <c r="DS204" i="4"/>
  <c r="DS205" i="4" s="1"/>
  <c r="DS74" i="4"/>
  <c r="DS75" i="4" s="1"/>
  <c r="B264" i="4" l="1"/>
  <c r="C264" i="4" s="1"/>
  <c r="DS158" i="4"/>
  <c r="DS159" i="4" s="1"/>
  <c r="D56" i="1"/>
  <c r="E56" i="1"/>
  <c r="B258" i="4"/>
  <c r="C258" i="4" s="1"/>
  <c r="DS80" i="4"/>
  <c r="DS81" i="4" s="1"/>
  <c r="D50" i="1"/>
  <c r="E50" i="1"/>
  <c r="B261" i="4"/>
  <c r="C261" i="4" s="1"/>
  <c r="DS119" i="4"/>
  <c r="DS120" i="4" s="1"/>
  <c r="E53" i="1"/>
  <c r="D53" i="1"/>
  <c r="DP54" i="4"/>
  <c r="DQ47" i="4"/>
  <c r="C257" i="4"/>
  <c r="DS67" i="4"/>
  <c r="DS68" i="4" s="1"/>
  <c r="E49" i="1"/>
  <c r="D49" i="1"/>
  <c r="DO35" i="4"/>
  <c r="DP32" i="4"/>
  <c r="B268" i="4"/>
  <c r="C268" i="4" s="1"/>
  <c r="DS210" i="4"/>
  <c r="DS211" i="4" s="1"/>
  <c r="E60" i="1"/>
  <c r="D60" i="1"/>
  <c r="DN252" i="4"/>
  <c r="T137" i="1" s="1"/>
  <c r="U137" i="1" s="1"/>
  <c r="Q137" i="1"/>
  <c r="DP30" i="4"/>
  <c r="DP31" i="4" s="1"/>
  <c r="DO251" i="4"/>
  <c r="S138" i="1"/>
  <c r="DS87" i="4"/>
  <c r="DS88" i="4" s="1"/>
  <c r="DS126" i="4"/>
  <c r="DS127" i="4" s="1"/>
  <c r="B265" i="4"/>
  <c r="C265" i="4" s="1"/>
  <c r="DS171" i="4"/>
  <c r="DS172" i="4" s="1"/>
  <c r="D57" i="1"/>
  <c r="E57" i="1"/>
  <c r="DP51" i="4"/>
  <c r="DP52" i="4" s="1"/>
  <c r="DS229" i="4"/>
  <c r="DS230" i="4" s="1"/>
  <c r="DS178" i="4"/>
  <c r="DS179" i="4" s="1"/>
  <c r="B259" i="4" l="1"/>
  <c r="C259" i="4" s="1"/>
  <c r="DS93" i="4"/>
  <c r="DS94" i="4" s="1"/>
  <c r="E51" i="1"/>
  <c r="D51" i="1"/>
  <c r="B283" i="4"/>
  <c r="B262" i="4"/>
  <c r="C262" i="4" s="1"/>
  <c r="DS132" i="4"/>
  <c r="DS133" i="4" s="1"/>
  <c r="E54" i="1"/>
  <c r="D54" i="1"/>
  <c r="DQ50" i="4"/>
  <c r="DP53" i="4"/>
  <c r="DP55" i="4" s="1"/>
  <c r="B266" i="4"/>
  <c r="C266" i="4" s="1"/>
  <c r="DS184" i="4"/>
  <c r="DS185" i="4" s="1"/>
  <c r="E58" i="1"/>
  <c r="D58" i="1"/>
  <c r="DP36" i="4"/>
  <c r="DP250" i="4" s="1"/>
  <c r="DQ29" i="4"/>
  <c r="DO249" i="4"/>
  <c r="DO37" i="4"/>
  <c r="B270" i="4"/>
  <c r="C270" i="4" s="1"/>
  <c r="DS235" i="4"/>
  <c r="DS236" i="4" s="1"/>
  <c r="E62" i="1"/>
  <c r="D62" i="1"/>
  <c r="DP33" i="4"/>
  <c r="DP34" i="4" s="1"/>
  <c r="DQ48" i="4"/>
  <c r="DQ49" i="4" s="1"/>
  <c r="DP35" i="4" l="1"/>
  <c r="DQ32" i="4"/>
  <c r="DQ54" i="4"/>
  <c r="DR47" i="4"/>
  <c r="DQ30" i="4"/>
  <c r="DQ31" i="4" s="1"/>
  <c r="DO252" i="4"/>
  <c r="T138" i="1" s="1"/>
  <c r="U138" i="1" s="1"/>
  <c r="Q138" i="1"/>
  <c r="DQ51" i="4"/>
  <c r="DQ52" i="4" s="1"/>
  <c r="D69" i="1"/>
  <c r="F105" i="1"/>
  <c r="E105" i="1"/>
  <c r="D105" i="1"/>
  <c r="F69" i="1"/>
  <c r="E69" i="1"/>
  <c r="DP251" i="4"/>
  <c r="S139" i="1"/>
  <c r="DQ53" i="4" l="1"/>
  <c r="DQ55" i="4" s="1"/>
  <c r="DR50" i="4"/>
  <c r="DR29" i="4"/>
  <c r="DQ36" i="4"/>
  <c r="DQ250" i="4" s="1"/>
  <c r="DQ33" i="4"/>
  <c r="DQ34" i="4" s="1"/>
  <c r="DR48" i="4"/>
  <c r="DR49" i="4" s="1"/>
  <c r="DP249" i="4"/>
  <c r="DP37" i="4"/>
  <c r="DR32" i="4" l="1"/>
  <c r="DQ35" i="4"/>
  <c r="DS47" i="4"/>
  <c r="DR54" i="4"/>
  <c r="DQ251" i="4"/>
  <c r="S140" i="1"/>
  <c r="DP252" i="4"/>
  <c r="T139" i="1" s="1"/>
  <c r="U139" i="1" s="1"/>
  <c r="Q139" i="1"/>
  <c r="DR51" i="4"/>
  <c r="DR52" i="4" s="1"/>
  <c r="DR30" i="4"/>
  <c r="DR31" i="4" s="1"/>
  <c r="DR36" i="4" l="1"/>
  <c r="DR250" i="4" s="1"/>
  <c r="DS29" i="4"/>
  <c r="DR53" i="4"/>
  <c r="DR55" i="4" s="1"/>
  <c r="DS50" i="4"/>
  <c r="DS48" i="4"/>
  <c r="DS49" i="4" s="1"/>
  <c r="DQ249" i="4"/>
  <c r="DQ37" i="4"/>
  <c r="DR33" i="4"/>
  <c r="DR34" i="4" s="1"/>
  <c r="DS32" i="4" l="1"/>
  <c r="DR35" i="4"/>
  <c r="B256" i="4"/>
  <c r="C256" i="4" s="1"/>
  <c r="DS54" i="4"/>
  <c r="D68" i="1"/>
  <c r="E48" i="1"/>
  <c r="D48" i="1"/>
  <c r="DQ252" i="4"/>
  <c r="T140" i="1" s="1"/>
  <c r="U140" i="1" s="1"/>
  <c r="Q140" i="1"/>
  <c r="DS51" i="4"/>
  <c r="DS52" i="4" s="1"/>
  <c r="DS30" i="4"/>
  <c r="DS31" i="4" s="1"/>
  <c r="DR251" i="4"/>
  <c r="S141" i="1"/>
  <c r="B273" i="4" l="1"/>
  <c r="F47" i="1" s="1"/>
  <c r="B255" i="4"/>
  <c r="C255" i="4" s="1"/>
  <c r="DS36" i="4"/>
  <c r="DS250" i="4" s="1"/>
  <c r="D47" i="1"/>
  <c r="D67" i="1"/>
  <c r="D70" i="1" s="1"/>
  <c r="E47" i="1"/>
  <c r="DS53" i="4"/>
  <c r="DS55" i="4" s="1"/>
  <c r="C68" i="1"/>
  <c r="B282" i="4"/>
  <c r="DR249" i="4"/>
  <c r="DR37" i="4"/>
  <c r="DS33" i="4"/>
  <c r="DS34" i="4" s="1"/>
  <c r="DS35" i="4" l="1"/>
  <c r="C67" i="1"/>
  <c r="C70" i="1" s="1"/>
  <c r="B281" i="4"/>
  <c r="F104" i="1"/>
  <c r="E104" i="1"/>
  <c r="F68" i="1"/>
  <c r="E68" i="1"/>
  <c r="DR252" i="4"/>
  <c r="T141" i="1" s="1"/>
  <c r="U141" i="1" s="1"/>
  <c r="Q141" i="1"/>
  <c r="DS251" i="4"/>
  <c r="S142" i="1"/>
  <c r="C273" i="4"/>
  <c r="B277" i="4"/>
  <c r="H5" i="1"/>
  <c r="E64" i="1"/>
  <c r="D64" i="1"/>
  <c r="K18" i="1"/>
  <c r="F61" i="1"/>
  <c r="F52" i="1"/>
  <c r="F63" i="1"/>
  <c r="F55" i="1"/>
  <c r="F59" i="1"/>
  <c r="F57" i="1"/>
  <c r="F60" i="1"/>
  <c r="F56" i="1"/>
  <c r="F53" i="1"/>
  <c r="F49" i="1"/>
  <c r="F50" i="1"/>
  <c r="F54" i="1"/>
  <c r="F62" i="1"/>
  <c r="F51" i="1"/>
  <c r="F58" i="1"/>
  <c r="F48" i="1"/>
  <c r="B284" i="4" l="1"/>
  <c r="E67" i="1"/>
  <c r="F103" i="1"/>
  <c r="E103" i="1"/>
  <c r="F67" i="1"/>
  <c r="DS249" i="4"/>
  <c r="DS37" i="4"/>
  <c r="DS252" i="4" l="1"/>
  <c r="B252" i="4" s="1"/>
  <c r="Q142" i="1"/>
  <c r="B285" i="4"/>
  <c r="E106" i="1"/>
  <c r="F70" i="1"/>
  <c r="E70" i="1"/>
  <c r="F5" i="1" l="1"/>
  <c r="B278" i="4"/>
  <c r="E15" i="1"/>
  <c r="F106" i="1"/>
  <c r="T142" i="1"/>
  <c r="U142" i="1" s="1"/>
  <c r="C252" i="4" l="1"/>
  <c r="B276" i="4"/>
  <c r="Q5" i="2"/>
  <c r="K17" i="1"/>
  <c r="E14" i="1"/>
  <c r="K16" i="1"/>
  <c r="J5" i="1" l="1"/>
  <c r="E16" i="1"/>
</calcChain>
</file>

<file path=xl/sharedStrings.xml><?xml version="1.0" encoding="utf-8"?>
<sst xmlns="http://schemas.openxmlformats.org/spreadsheetml/2006/main" count="3902" uniqueCount="728">
  <si>
    <t>SIMULAÇÃO RATEIO FIXO — Cassilândia 03 × COPASUL | Resumo Executivo</t>
  </si>
  <si>
    <t>18 Unidades Consumidoras  ·  Jun/2026–Mai/2036  ·  Energisa MS  ·  Usina: Cassilândia 03  ·  120 meses</t>
  </si>
  <si>
    <t>⚡  GERAÇÃO INJETADA</t>
  </si>
  <si>
    <t>📄  PPA PAGO À HELEXIA</t>
  </si>
  <si>
    <t>✅  ECONOMIA LÍQUIDA</t>
  </si>
  <si>
    <t>🏦  BANCO RESIDUAL</t>
  </si>
  <si>
    <t>🌟  VALOR TOTAL</t>
  </si>
  <si>
    <t>16556.870 MWh injetados em 120 meses</t>
  </si>
  <si>
    <t>Custo total do contrato PPA</t>
  </si>
  <si>
    <t>Rede evitada menos PPA pago</t>
  </si>
  <si>
    <t>Banco total Copasul @ PPA</t>
  </si>
  <si>
    <t>Economia + banco ATRIBUÍVEL a Helexia</t>
  </si>
  <si>
    <t>A.  CUSTO COPASUL — ANÁLISE 120 MESES</t>
  </si>
  <si>
    <t>B.  INDICADORES-CHAVE</t>
  </si>
  <si>
    <t>COMPONENTE</t>
  </si>
  <si>
    <t>R$</t>
  </si>
  <si>
    <t>%</t>
  </si>
  <si>
    <t>R$/mês</t>
  </si>
  <si>
    <t>Usina contratada</t>
  </si>
  <si>
    <t>Custo SEM Helexia — baseline 60m</t>
  </si>
  <si>
    <t>Período do contrato</t>
  </si>
  <si>
    <t>Jun/2026 – Mai/2036  (120 meses)</t>
  </si>
  <si>
    <t xml:space="preserve">  Custo rede remanescente (COM Helexia)</t>
  </si>
  <si>
    <t>Potência contratada</t>
  </si>
  <si>
    <t xml:space="preserve">  PPA pago à Helexia</t>
  </si>
  <si>
    <t>Geração P50 total</t>
  </si>
  <si>
    <t>Custo total COM Helexia (rede + PPA)</t>
  </si>
  <si>
    <t>PPA (R$/kWh)</t>
  </si>
  <si>
    <t>★  ECONOMIA LÍQUIDA (rede − PPA)</t>
  </si>
  <si>
    <t>Tarifa Grupo A FP</t>
  </si>
  <si>
    <t xml:space="preserve">  + Banco atribuível Helexia @ PPA (net NHS/AMD + Grupo B)</t>
  </si>
  <si>
    <t>Tarifa Grupo B3</t>
  </si>
  <si>
    <t>★  VALOR TOTAL HELEXIA (economia + banco atribuível)</t>
  </si>
  <si>
    <t>Economia média/mês</t>
  </si>
  <si>
    <t>% redução custo Copasul</t>
  </si>
  <si>
    <t>Banco residual (kWh)</t>
  </si>
  <si>
    <t>C.  ANÁLISE VISUAL — ECONOMIA E BANCO DE CRÉDITOS</t>
  </si>
  <si>
    <t>Mês</t>
  </si>
  <si>
    <t>SEM Helexia</t>
  </si>
  <si>
    <t>PPA</t>
  </si>
  <si>
    <t>Rede COM</t>
  </si>
  <si>
    <t>Eco mensal</t>
  </si>
  <si>
    <t>Eco acumulada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</si>
  <si>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</si>
  <si>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</si>
  <si>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</si>
  <si>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</si>
  <si>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</si>
  <si>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</si>
  <si>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</si>
  <si>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</si>
  <si>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</si>
  <si>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</si>
  <si>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</si>
  <si>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</si>
  <si>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</si>
  <si>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</si>
  <si>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</si>
  <si>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</si>
  <si>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</si>
  <si>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</si>
  <si>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</si>
  <si>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</si>
  <si>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</si>
  <si>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</si>
  <si>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D.  BANCO DE CRÉDITOS — SALDO FINAL MAI/2036 POR UC   |   Banco total Copasul (incluindo NHS/AMD atribuíveis)</t>
  </si>
  <si>
    <t>Abr/28</t>
  </si>
  <si>
    <t>Unidade Consumidora</t>
  </si>
  <si>
    <t>Grupo</t>
  </si>
  <si>
    <t>Saldo (kWh)</t>
  </si>
  <si>
    <t>Valor @ PPA (R$)</t>
  </si>
  <si>
    <t>% do banco total</t>
  </si>
  <si>
    <t>Mai/28</t>
  </si>
  <si>
    <t>NHS — Novo Horizonte do Sul</t>
  </si>
  <si>
    <t>A4V</t>
  </si>
  <si>
    <t>Jun/28</t>
  </si>
  <si>
    <t>AMD — Amandina</t>
  </si>
  <si>
    <t>A3A</t>
  </si>
  <si>
    <t>Jul/28</t>
  </si>
  <si>
    <t>AREC</t>
  </si>
  <si>
    <t>B3</t>
  </si>
  <si>
    <t>Ago/28</t>
  </si>
  <si>
    <t>Banheiro Motoristas</t>
  </si>
  <si>
    <t>Set/28</t>
  </si>
  <si>
    <t>CTC Copasul</t>
  </si>
  <si>
    <t>Out/28</t>
  </si>
  <si>
    <t>Depósito Irrigação</t>
  </si>
  <si>
    <t>Nov/28</t>
  </si>
  <si>
    <t>Entreposto</t>
  </si>
  <si>
    <t>Dez/28</t>
  </si>
  <si>
    <t>Esc. Deodápolis</t>
  </si>
  <si>
    <t>Jan/29</t>
  </si>
  <si>
    <t>Esc. Nova Andradina</t>
  </si>
  <si>
    <t>Fev/29</t>
  </si>
  <si>
    <t>Esc. Regional Deodápolis</t>
  </si>
  <si>
    <t>Mar/29</t>
  </si>
  <si>
    <t>Galpão AE</t>
  </si>
  <si>
    <t>Abr/29</t>
  </si>
  <si>
    <t>Irrigação CG</t>
  </si>
  <si>
    <t>Mai/29</t>
  </si>
  <si>
    <t>Laboratório de Solos</t>
  </si>
  <si>
    <t>Jun/29</t>
  </si>
  <si>
    <t>Posto Carreteiro</t>
  </si>
  <si>
    <t>Jul/29</t>
  </si>
  <si>
    <t>Refeitório Deodápolis</t>
  </si>
  <si>
    <t>B1</t>
  </si>
  <si>
    <t>Ago/29</t>
  </si>
  <si>
    <t>Subest. Fiação</t>
  </si>
  <si>
    <t>Set/29</t>
  </si>
  <si>
    <t>TRR Maracaju</t>
  </si>
  <si>
    <t>Out/29</t>
  </si>
  <si>
    <t>TOTAL — 17 UCs</t>
  </si>
  <si>
    <t>Nov/29</t>
  </si>
  <si>
    <t>E.  BANCO ATRIBUÍVEL HELEXIA — O QUE A HELEXIA REALMENTE ENTREGA</t>
  </si>
  <si>
    <t>Dez/29</t>
  </si>
  <si>
    <t>Unidade / Grupo</t>
  </si>
  <si>
    <t>Banco SEM</t>
  </si>
  <si>
    <t>Banco COM</t>
  </si>
  <si>
    <t>Atribuível (kWh)</t>
  </si>
  <si>
    <t>Atribuível (R$)</t>
  </si>
  <si>
    <t>Jan/30</t>
  </si>
  <si>
    <t>NHS — Silos N. Horizonte</t>
  </si>
  <si>
    <t>Fev/30</t>
  </si>
  <si>
    <t>AMD — Silos Amandina</t>
  </si>
  <si>
    <t>Mar/30</t>
  </si>
  <si>
    <t>Grupo B (15 UCs)</t>
  </si>
  <si>
    <t>Abr/30</t>
  </si>
  <si>
    <t>TOTAL atribuível Helexia</t>
  </si>
  <si>
    <t>Mai/30</t>
  </si>
  <si>
    <t>Jun/30</t>
  </si>
  <si>
    <t>Jul/30</t>
  </si>
  <si>
    <t>Ago/30</t>
  </si>
  <si>
    <t>Set/30</t>
  </si>
  <si>
    <t>Out/30</t>
  </si>
  <si>
    <t>Nov/30</t>
  </si>
  <si>
    <t>Dez/30</t>
  </si>
  <si>
    <t>Jan/31</t>
  </si>
  <si>
    <t>Fev/31</t>
  </si>
  <si>
    <t>Mar/31</t>
  </si>
  <si>
    <t>Abr/31</t>
  </si>
  <si>
    <t>Mai/31</t>
  </si>
  <si>
    <t>Jun/31</t>
  </si>
  <si>
    <t>Jul/31</t>
  </si>
  <si>
    <t>Ago/31</t>
  </si>
  <si>
    <t>Set/31</t>
  </si>
  <si>
    <t>Out/31</t>
  </si>
  <si>
    <t>Nov/31</t>
  </si>
  <si>
    <t>Dez/31</t>
  </si>
  <si>
    <t>Jan/32</t>
  </si>
  <si>
    <t>Fev/32</t>
  </si>
  <si>
    <t>Mar/32</t>
  </si>
  <si>
    <t>Abr/32</t>
  </si>
  <si>
    <t>Mai/32</t>
  </si>
  <si>
    <t>Jun/32</t>
  </si>
  <si>
    <t>Jul/32</t>
  </si>
  <si>
    <t>Ago/32</t>
  </si>
  <si>
    <t>Set/32</t>
  </si>
  <si>
    <t>Out/32</t>
  </si>
  <si>
    <t>Nov/32</t>
  </si>
  <si>
    <t>Dez/32</t>
  </si>
  <si>
    <t>Jan/33</t>
  </si>
  <si>
    <t>NHS — Novo Horizonte do Sul (A4V)</t>
  </si>
  <si>
    <t>Fev/33</t>
  </si>
  <si>
    <t>AMD — Amandina (A3A)</t>
  </si>
  <si>
    <t>Mar/33</t>
  </si>
  <si>
    <t>Grupo B — 15 UCs (SEM banco próprio = zero)</t>
  </si>
  <si>
    <t>0</t>
  </si>
  <si>
    <t>Abr/33</t>
  </si>
  <si>
    <t>★  BANCO ATRIBUÍVEL TOTAL HELEXIA</t>
  </si>
  <si>
    <t>—</t>
  </si>
  <si>
    <t>Mai/33</t>
  </si>
  <si>
    <t>* Banco COM = saldo que Copasul terá em Mai/2031. Banco SEM = projeção sem CS3. Atribuível = diferença gerada pela Helexia (Grupo B: 100%; NHS/AMD: COM−SEM).</t>
  </si>
  <si>
    <t>Jun/33</t>
  </si>
  <si>
    <t>Modelo V10_10anos  ·  Usina: Cassilândia 03  ·  PPA: R$0.4425/kWh  ·  Jun/2026–Mai/2036  ·  120 meses</t>
  </si>
  <si>
    <t>Jul/33</t>
  </si>
  <si>
    <t>Ago/33</t>
  </si>
  <si>
    <t>Set/33</t>
  </si>
  <si>
    <t>Out/33</t>
  </si>
  <si>
    <t>Nov/33</t>
  </si>
  <si>
    <t>Dez/33</t>
  </si>
  <si>
    <t>Jan/34</t>
  </si>
  <si>
    <t>Fev/34</t>
  </si>
  <si>
    <t>Mar/34</t>
  </si>
  <si>
    <t>Abr/34</t>
  </si>
  <si>
    <t>Mai/34</t>
  </si>
  <si>
    <t>Jun/34</t>
  </si>
  <si>
    <t>Jul/34</t>
  </si>
  <si>
    <t>Ago/34</t>
  </si>
  <si>
    <t>Set/34</t>
  </si>
  <si>
    <t>Out/34</t>
  </si>
  <si>
    <t>Nov/34</t>
  </si>
  <si>
    <t>Dez/34</t>
  </si>
  <si>
    <t>Jan/35</t>
  </si>
  <si>
    <t>Fev/35</t>
  </si>
  <si>
    <t>Mar/35</t>
  </si>
  <si>
    <t>Abr/35</t>
  </si>
  <si>
    <t>Mai/35</t>
  </si>
  <si>
    <t>Jun/35</t>
  </si>
  <si>
    <t>Jul/35</t>
  </si>
  <si>
    <t>Ago/35</t>
  </si>
  <si>
    <t>Set/35</t>
  </si>
  <si>
    <t>Out/35</t>
  </si>
  <si>
    <t>Nov/35</t>
  </si>
  <si>
    <t>Dez/35</t>
  </si>
  <si>
    <t>Jan/36</t>
  </si>
  <si>
    <t>Fev/36</t>
  </si>
  <si>
    <t>Mar/36</t>
  </si>
  <si>
    <t>Abr/36</t>
  </si>
  <si>
    <t>Mai/36</t>
  </si>
  <si>
    <t>🎯  OTIMIZAÇÃO RATEIO — SOLVER CONFIG</t>
  </si>
  <si>
    <t>Azul = inputs editáveis  |  Preto = fórmulas  |  Verde = links entre abas</t>
  </si>
  <si>
    <t>Siga o passo a passo abaixo para maximizar Economia Líquida via Excel Solver</t>
  </si>
  <si>
    <t>A.  TARIFAS ENERGISA MS (com tributos ICMS 17% + PIS/COFINS)</t>
  </si>
  <si>
    <t>① CÉLULA OBJETIVO (aponte o Solver aqui):</t>
  </si>
  <si>
    <t>ENDEREÇO</t>
  </si>
  <si>
    <t>VALOR ATUAL</t>
  </si>
  <si>
    <t>OBJETIVO</t>
  </si>
  <si>
    <t>Tarifa Grupo A FP com tributos (R$/kWh)</t>
  </si>
  <si>
    <t>← T_AFP: edit here</t>
  </si>
  <si>
    <t>Economia Líquida Copasul 24m (R$)</t>
  </si>
  <si>
    <t>Premissas!K5</t>
  </si>
  <si>
    <t>↑ MAXIMIZAR</t>
  </si>
  <si>
    <t>Tarifa Grupo A Ponta com tributos (R$/kWh)</t>
  </si>
  <si>
    <t>← T_APT: edit here</t>
  </si>
  <si>
    <t>Tarifa Grupo B3 com tributos (R$/kWh)</t>
  </si>
  <si>
    <t>← T_B3: edit here</t>
  </si>
  <si>
    <t>②  ATIVAR SOLVER (se ainda não estiver ativo)</t>
  </si>
  <si>
    <t>Arquivo → Opções → Suplementos → Gerenciar: Suplementos do Excel → Ir... → ✓ Solver Add-in → OK</t>
  </si>
  <si>
    <t>FA = TE_FP / TE_Ponta</t>
  </si>
  <si>
    <t>← FA: edit here</t>
  </si>
  <si>
    <t>③  ABRIR SOLVER</t>
  </si>
  <si>
    <t>Guia Dados → botão "Solver" (canto direito da faixa de opções)</t>
  </si>
  <si>
    <t>ICMS (%)</t>
  </si>
  <si>
    <t>← ICMS: edit here</t>
  </si>
  <si>
    <t>④  CONFIGURAR OBJETIVO</t>
  </si>
  <si>
    <t>Definir Objetivo: selecione a célula   Premissas!K5   →  marque  ● Máx</t>
  </si>
  <si>
    <t>PIS + COFINS (%)</t>
  </si>
  <si>
    <t>← PIS_COFINS: edit here</t>
  </si>
  <si>
    <t>⑤  DEFINIR CÉLULAS VARIÁVEIS</t>
  </si>
  <si>
    <t>Alterando Células de Variáveis:   Premissas!$B$33:$K$50   (170 variáveis = 17 UCs × 10 períodos)</t>
  </si>
  <si>
    <t>ICMS isenção autoconsumo remoto ativa? (Art. 23-A RICMS/MS)  →  'Sim' = isento  |  'Não' = ICMS cobrado sobre kWh compensados pelo CS3</t>
  </si>
  <si>
    <t>Sim</t>
  </si>
  <si>
    <t>← B=toggle (Sim/Não)  |  C=ICMS A_FP  D=ICMS A_Ponta  E=ICMS Grupo B (R$/kWh) — tudo 0 se Sim</t>
  </si>
  <si>
    <t>B.  CONDIÇÕES DO CONTRATO</t>
  </si>
  <si>
    <t>⑥  ADICIONAR AS RESTRIÇÕES (Adicionar → preencher cada linha → OK)</t>
  </si>
  <si>
    <t>Usina</t>
  </si>
  <si>
    <t>Cassilândia 03</t>
  </si>
  <si>
    <t>Célula / Intervalo</t>
  </si>
  <si>
    <t>Relação</t>
  </si>
  <si>
    <t>Valor / Restrição</t>
  </si>
  <si>
    <t>Descrição</t>
  </si>
  <si>
    <t>Distribuidora</t>
  </si>
  <si>
    <t>Energisa MS</t>
  </si>
  <si>
    <t>Premissas!$B$33:$K$50</t>
  </si>
  <si>
    <t>&gt;=</t>
  </si>
  <si>
    <t>Todos os rateios ≥ 0%  (sem valores negativos, P1–P10)</t>
  </si>
  <si>
    <t>Início do contrato</t>
  </si>
  <si>
    <t>Jun/2026</t>
  </si>
  <si>
    <t>Premissas!$B$51</t>
  </si>
  <si>
    <t>=</t>
  </si>
  <si>
    <t>1</t>
  </si>
  <si>
    <t>Soma P1 = 100%  (Jun–Set/26)</t>
  </si>
  <si>
    <t>Prazo (meses)</t>
  </si>
  <si>
    <t>Premissas!$C$51</t>
  </si>
  <si>
    <t>Soma P2 = 100%  (Out/26–Mar/27)</t>
  </si>
  <si>
    <t>PPA Helexia CS3 (R$/kWh)</t>
  </si>
  <si>
    <t>Premissas!$D$51</t>
  </si>
  <si>
    <t>Soma P3 = 100%  (Abr–Set/27)</t>
  </si>
  <si>
    <t>H.  CENÁRIO CONCORRENTE — ENERGIA ASSINATURA GRUPO B (ex: Plin Energia)</t>
  </si>
  <si>
    <t>Premissas!$E$51</t>
  </si>
  <si>
    <t>Soma P4 = 100%  (Out/27–Mai/28)</t>
  </si>
  <si>
    <t>Grupo B tem contrato Assinatura GD concorrente?</t>
  </si>
  <si>
    <t>Desconto (%):</t>
  </si>
  <si>
    <t>Tarifa B3 SEM efetiva:</t>
  </si>
  <si>
    <t>Premissas!$F$51</t>
  </si>
  <si>
    <t>Soma P5 = 100%  (Jun–Nov/28)</t>
  </si>
  <si>
    <t>C.  PREMISSAS DE CRESCIMENTO E DEGRADAÇÃO</t>
  </si>
  <si>
    <t>Premissas!$G$51</t>
  </si>
  <si>
    <t>Soma P6 = 100%  (Dez/28–Mai/29)</t>
  </si>
  <si>
    <t>Crescimento consumo Y2 vs Y1 (%)</t>
  </si>
  <si>
    <t>← 2.5% editável | aplica a TODOS os UCs</t>
  </si>
  <si>
    <t>Premissas!$H$51</t>
  </si>
  <si>
    <t>Soma P7 = 100%  (Jun–Nov/29)</t>
  </si>
  <si>
    <t>Crescimento consumo Y3 parcial (Dez/27-Mai/28) (%)</t>
  </si>
  <si>
    <t>← mesmo % que Y2 por padrão</t>
  </si>
  <si>
    <t>Premissas!$I$51</t>
  </si>
  <si>
    <t>Soma P8 = 100%  (Dez/29–Mai/30)</t>
  </si>
  <si>
    <t>Degradação geração Y2 (%)</t>
  </si>
  <si>
    <t>← 0.5%/ano editável</t>
  </si>
  <si>
    <t>Premissas!$J$51</t>
  </si>
  <si>
    <t>Soma P9 = 100%  (Jun–Nov/30)</t>
  </si>
  <si>
    <t>Usar proxy Batayporã p/ Amandina gen?</t>
  </si>
  <si>
    <t>Premissas!$K$51</t>
  </si>
  <si>
    <t>Soma P10 = 100%  (Dez/30–Mai/31)</t>
  </si>
  <si>
    <t>D.  BANCOS DE CRÉDITOS — SALDO INICIAL (Mai/2026, FPt GD I)</t>
  </si>
  <si>
    <t>Premissas!$B$34:$K$34</t>
  </si>
  <si>
    <t>BAT (linha 34) = 0%  em todos os períodos (P1–P10)</t>
  </si>
  <si>
    <t>NHS — Silos Novo Horizonte do Sul (kWh)</t>
  </si>
  <si>
    <t>Premissas!$B$33:$E$50</t>
  </si>
  <si>
    <t>&lt;=</t>
  </si>
  <si>
    <t>Todos os rateios ≤ 100%  (limite superior)</t>
  </si>
  <si>
    <t>BAT — Silos Batayporã (kWh)  [stranded — não transferível CS3]</t>
  </si>
  <si>
    <t>AMD — Silos Amandina (kWh)</t>
  </si>
  <si>
    <t>TOTAL NHS+AMD (kWh)</t>
  </si>
  <si>
    <t>← BAT stranded bank não incluído no total</t>
  </si>
  <si>
    <t>⑦  MÉTODO DE RESOLUÇÃO E OPÇÕES</t>
  </si>
  <si>
    <t>Método de Resolução:</t>
  </si>
  <si>
    <t>GRG Não-Linear</t>
  </si>
  <si>
    <t>O modelo tem funções IF (não-lineares). GRG é o método correto.</t>
  </si>
  <si>
    <t>Anos 3–10 (estado estacionário)</t>
  </si>
  <si>
    <t>Opções → Precisão:</t>
  </si>
  <si>
    <t>0,000001</t>
  </si>
  <si>
    <t>Maior precisão = resultado mais fino.</t>
  </si>
  <si>
    <t>UC / Planta</t>
  </si>
  <si>
    <t>P1: Jun–Set/26</t>
  </si>
  <si>
    <t>P2: Out/26–Mar/27</t>
  </si>
  <si>
    <t>P3: Abr/27–Set/27</t>
  </si>
  <si>
    <t>P4: Out/27–Mai/28</t>
  </si>
  <si>
    <t>P5: Jun–Nov/28</t>
  </si>
  <si>
    <t>P6: Dez/28–Mai/29</t>
  </si>
  <si>
    <t>P7: Jun–Nov/29</t>
  </si>
  <si>
    <t>P8: Dez/29–Mai/30</t>
  </si>
  <si>
    <t>P9: Jun–Nov/30</t>
  </si>
  <si>
    <t>P10: Dez/30–Mai/31</t>
  </si>
  <si>
    <t>P11: Jun–Nov/31</t>
  </si>
  <si>
    <t>P12: Dez/31–Mai/32</t>
  </si>
  <si>
    <t>P13: Jun–Nov/32</t>
  </si>
  <si>
    <t>P14: Dez/32–Mai/33</t>
  </si>
  <si>
    <t>P15: Jun–Nov/33</t>
  </si>
  <si>
    <t>P16: Dez/33–Mai/34</t>
  </si>
  <si>
    <t>P17: Jun–Nov/34</t>
  </si>
  <si>
    <t>P18: Dez/34–Mai/35</t>
  </si>
  <si>
    <t>P19: Jun–Nov/35</t>
  </si>
  <si>
    <t>P20: Dez/35–Mai/36</t>
  </si>
  <si>
    <t>NHS — Silos N. Horizonte (A4V)</t>
  </si>
  <si>
    <t>BAT — Silos Batayporã (A4V)</t>
  </si>
  <si>
    <t>AMD — Silos Amandina (A3A)</t>
  </si>
  <si>
    <t>AREC (B3)</t>
  </si>
  <si>
    <t>Banheiro Motoristas (B3)</t>
  </si>
  <si>
    <t>CTC Copasul (B3)</t>
  </si>
  <si>
    <t>Depósito Irrigação (B3)</t>
  </si>
  <si>
    <t>Entreposto (B3)</t>
  </si>
  <si>
    <t>Esc. Deodápolis (B3)</t>
  </si>
  <si>
    <t>Esc. Nova Andradina (B3)</t>
  </si>
  <si>
    <t>Esc. Regional Deodápolis (B3)</t>
  </si>
  <si>
    <t>Galpão AE (B3)</t>
  </si>
  <si>
    <t>Irrigação CG (B3)</t>
  </si>
  <si>
    <t>Lab. Solos (B3)</t>
  </si>
  <si>
    <t>Posto Carreteiro (B3)</t>
  </si>
  <si>
    <t>Refeitório Deodápolis (B1)</t>
  </si>
  <si>
    <t>Subest. Fiação (B3)</t>
  </si>
  <si>
    <t>TRR Maracaju (B3)</t>
  </si>
  <si>
    <t>TOTAL (deve = 100%)</t>
  </si>
  <si>
    <t>⚠  Ajuste os percentuais acima para que cada coluna some exatamente 100%.  BAT está fixo em 0% — seus créditos futuros entram via mecanismo de rateio próprio (seção F abaixo).  A otimização automática maximiza o aproveitamento dos créditos CS3.</t>
  </si>
  <si>
    <t>⚠  P5–P20 (Jun/2028–Mai/2036): alocação optimizada (SLSQP, Python).</t>
  </si>
  <si>
    <t>F.  RATEIO DO SURPLUS BAT — 2 PERÍODOS (NH 39% / AMD 61% por padrão)</t>
  </si>
  <si>
    <t>BAT→NHS (%)</t>
  </si>
  <si>
    <t>← editável</t>
  </si>
  <si>
    <t>BAT→AMD (%)</t>
  </si>
  <si>
    <t>← = 1 − NHS%</t>
  </si>
  <si>
    <t>Degradação Y2 aplicada</t>
  </si>
  <si>
    <t>← Y1: valor direto PVSYST  |  Y2/Y3: × (1−DEG)</t>
  </si>
  <si>
    <t>kWh — CS3 P50 mês 06 (base=136,620 kWh)</t>
  </si>
  <si>
    <t>kWh — CS3 P50 mês 07 (base=123,990 kWh)</t>
  </si>
  <si>
    <t>kWh — CS3 P50 mês 08 (base=130,510 kWh)</t>
  </si>
  <si>
    <t>kWh — CS3 P50 mês 09 (base=156,670 kWh)</t>
  </si>
  <si>
    <t>kWh — CS3 P50 mês 10 (base=147,010 kWh)</t>
  </si>
  <si>
    <t>kWh — CS3 P50 mês 11 (base=151,080 kWh)</t>
  </si>
  <si>
    <t>kWh — CS3 P50 mês 12 (base=146,080 kWh)</t>
  </si>
  <si>
    <t>kWh — CS3 P50 mês 01 (base=2,000 kWh)</t>
  </si>
  <si>
    <t>kWh — CS3 P50 mês 02 (base=143,140 kWh)</t>
  </si>
  <si>
    <t>kWh — CS3 P50 mês 03 (base=127,550 kWh)</t>
  </si>
  <si>
    <t>kWh — CS3 P50 mês 04 (base=146,300 kWh)</t>
  </si>
  <si>
    <t>kWh — CS3 P50 mês 05 (base=145,980 kWh)</t>
  </si>
  <si>
    <t>kWh — CS3 P50 mês 06</t>
  </si>
  <si>
    <t>kWh — CS3 P50 mês 07</t>
  </si>
  <si>
    <t>kWh — CS3 P50 mês 08</t>
  </si>
  <si>
    <t>kWh — CS3 P50 mês 09</t>
  </si>
  <si>
    <t>kWh — CS3 P50 mês 10</t>
  </si>
  <si>
    <t>kWh — CS3 P50 mês 11</t>
  </si>
  <si>
    <t>kWh — CS3 P50 mês 12</t>
  </si>
  <si>
    <t>kWh — CS3 P50 mês 01</t>
  </si>
  <si>
    <t>kWh — CS3 P50 mês 02</t>
  </si>
  <si>
    <t>kWh — CS3 P50 mês 03</t>
  </si>
  <si>
    <t>kWh — CS3 P50 mês 04</t>
  </si>
  <si>
    <t>kWh — CS3 P50 mês 05</t>
  </si>
  <si>
    <t>Jun/2031</t>
  </si>
  <si>
    <t>Jul/2031</t>
  </si>
  <si>
    <t>Ago/2031</t>
  </si>
  <si>
    <t>Set/2031</t>
  </si>
  <si>
    <t>Out/2031</t>
  </si>
  <si>
    <t>Nov/2031</t>
  </si>
  <si>
    <t>Dez/2031</t>
  </si>
  <si>
    <t>Jan/2031</t>
  </si>
  <si>
    <t>Fev/2031</t>
  </si>
  <si>
    <t>Mar/2031</t>
  </si>
  <si>
    <t>Abr/2031</t>
  </si>
  <si>
    <t>Mai/2031</t>
  </si>
  <si>
    <t>Jun/2032</t>
  </si>
  <si>
    <t>Jul/2032</t>
  </si>
  <si>
    <t>Ago/2032</t>
  </si>
  <si>
    <t>Set/2032</t>
  </si>
  <si>
    <t>Out/2032</t>
  </si>
  <si>
    <t>Nov/2032</t>
  </si>
  <si>
    <t>Dez/2032</t>
  </si>
  <si>
    <t>Jan/2032</t>
  </si>
  <si>
    <t>Fev/2032</t>
  </si>
  <si>
    <t>Mar/2032</t>
  </si>
  <si>
    <t>Abr/2032</t>
  </si>
  <si>
    <t>Mai/2032</t>
  </si>
  <si>
    <t>Jun/2033</t>
  </si>
  <si>
    <t>Jul/2033</t>
  </si>
  <si>
    <t>Ago/2033</t>
  </si>
  <si>
    <t>Set/2033</t>
  </si>
  <si>
    <t>Out/2033</t>
  </si>
  <si>
    <t>Nov/2033</t>
  </si>
  <si>
    <t>Dez/2033</t>
  </si>
  <si>
    <t>Jan/2033</t>
  </si>
  <si>
    <t>Fev/2033</t>
  </si>
  <si>
    <t>Mar/2033</t>
  </si>
  <si>
    <t>Abr/2033</t>
  </si>
  <si>
    <t>Mai/2033</t>
  </si>
  <si>
    <t>Jun/2034</t>
  </si>
  <si>
    <t>Jul/2034</t>
  </si>
  <si>
    <t>Ago/2034</t>
  </si>
  <si>
    <t>Set/2034</t>
  </si>
  <si>
    <t>Out/2034</t>
  </si>
  <si>
    <t>Nov/2034</t>
  </si>
  <si>
    <t>Dez/2034</t>
  </si>
  <si>
    <t>Jan/2034</t>
  </si>
  <si>
    <t>Fev/2034</t>
  </si>
  <si>
    <t>Mar/2034</t>
  </si>
  <si>
    <t>Abr/2034</t>
  </si>
  <si>
    <t>Mai/2034</t>
  </si>
  <si>
    <t>Jun/2035</t>
  </si>
  <si>
    <t>Jul/2035</t>
  </si>
  <si>
    <t>Ago/2035</t>
  </si>
  <si>
    <t>Set/2035</t>
  </si>
  <si>
    <t>Out/2035</t>
  </si>
  <si>
    <t>Nov/2035</t>
  </si>
  <si>
    <t>Dez/2035</t>
  </si>
  <si>
    <t>Jan/2035</t>
  </si>
  <si>
    <t>Fev/2035</t>
  </si>
  <si>
    <t>Mar/2035</t>
  </si>
  <si>
    <t>Abr/2035</t>
  </si>
  <si>
    <t>Mai/2035</t>
  </si>
  <si>
    <t>INPUT — CONSUMO ORÇADO GRUPO A | Fonte: Consumo_Orçado_2026_GD</t>
  </si>
  <si>
    <t>Azul = valores editáveis (fonte: arquivo fornecido) | Preto = fórmulas de projeção Y2/Y3</t>
  </si>
  <si>
    <t>NHS FP (kWh)</t>
  </si>
  <si>
    <t>NHS Ponta (kWh)</t>
  </si>
  <si>
    <t>BAT FP (kWh)</t>
  </si>
  <si>
    <t>BAT Ponta (kWh)</t>
  </si>
  <si>
    <t>AMD FP (kWh)</t>
  </si>
  <si>
    <t>AMD Ponta (kWh)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</si>
  <si>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</si>
  <si>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</si>
  <si>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</si>
  <si>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</si>
  <si>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</si>
  <si>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</si>
  <si>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</si>
  <si>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</si>
  <si>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</si>
  <si>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</si>
  <si>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</si>
  <si>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</si>
  <si>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Y2 aplicado automaticamente via Premissas!$B$21 (atualmente 2,5%). Altere lá para que todos os 18 UCs sejam atualizados.</t>
  </si>
  <si>
    <t>Energisa MS  ·  Todas as células são fórmulas  ·  Azul=input Premissas  ·  Verde=link entre abas</t>
  </si>
  <si>
    <t>INDICADOR / UC</t>
  </si>
  <si>
    <t>TOTAL 60m
ou SALDO FINAL</t>
  </si>
  <si>
    <t>MÉD/mês
ou unidade</t>
  </si>
  <si>
    <t>PPA Helexia — custo total (R$)</t>
  </si>
  <si>
    <t>1.  BAT — BATAYPORÃ — GERAÇÃO, CONSUMO E SURPLUS</t>
  </si>
  <si>
    <t>BAT Geração própria (kWh)</t>
  </si>
  <si>
    <t>BAT Consumo FP (kWh)</t>
  </si>
  <si>
    <t>BAT Consumo Ponta (kWh)</t>
  </si>
  <si>
    <t xml:space="preserve">  BAT auto-comp. FP (kWh)</t>
  </si>
  <si>
    <t xml:space="preserve">  BAT auto-comp. Ponta via FA (kWh)</t>
  </si>
  <si>
    <t>★ BAT surplus líquido → rateio (kWh)</t>
  </si>
  <si>
    <t xml:space="preserve">  BAT banco stranded — depleção por consumo próprio apenas</t>
  </si>
  <si>
    <t xml:space="preserve">  BAT banco início mês (kWh)</t>
  </si>
  <si>
    <t xml:space="preserve">  BAT banco draw (kWh)</t>
  </si>
  <si>
    <t xml:space="preserve">  BAT banco fim mês (kWh)</t>
  </si>
  <si>
    <t xml:space="preserve">  BAT créditos → NHS (kWh, T+1)</t>
  </si>
  <si>
    <t xml:space="preserve">  BAT créditos → AMD (kWh, T+1)</t>
  </si>
  <si>
    <t xml:space="preserve">  NHS — N. Horizonte do Sul (A4V)</t>
  </si>
  <si>
    <t xml:space="preserve">  Consumo FP (kWh)</t>
  </si>
  <si>
    <t xml:space="preserve">  Consumo Ponta (kWh) [via FA]</t>
  </si>
  <si>
    <t xml:space="preserve">  Geração própria (kWh)</t>
  </si>
  <si>
    <t xml:space="preserve">  Auto-comp. FP (kWh)</t>
  </si>
  <si>
    <t xml:space="preserve">  Auto-comp. Ponta via FA (kWh)</t>
  </si>
  <si>
    <t xml:space="preserve">  BAT créditos → NHS (kWh)</t>
  </si>
  <si>
    <t xml:space="preserve">  Banco início mês COM Helexia (kWh)</t>
  </si>
  <si>
    <t xml:space="preserve">  Bank draw COM Helexia (kWh)</t>
  </si>
  <si>
    <t>★ Banco fim mês COM Helexia (kWh)</t>
  </si>
  <si>
    <t xml:space="preserve">  Banco início mês SEM Helexia (kWh)</t>
  </si>
  <si>
    <t xml:space="preserve">  Bank draw SEM Helexia (kWh) — gen+BAT, no CS3</t>
  </si>
  <si>
    <t xml:space="preserve">  Banco fim mês SEM Helexia (kWh) — gen+BAT, no CS3</t>
  </si>
  <si>
    <t xml:space="preserve">  Custo COM Helexia — rede remanescente (R$)</t>
  </si>
  <si>
    <t>★ Economia mensal (R$)</t>
  </si>
  <si>
    <t xml:space="preserve">  AMD — Amandina (A3A)</t>
  </si>
  <si>
    <t xml:space="preserve">  BAT créditos → AMD (kWh)</t>
  </si>
  <si>
    <t xml:space="preserve">  AREC (B3)</t>
  </si>
  <si>
    <t xml:space="preserve">  Bank draw SEM Helexia (kWh)</t>
  </si>
  <si>
    <t xml:space="preserve">  Banco fim mês SEM Helexia (kWh)</t>
  </si>
  <si>
    <t xml:space="preserve">  Banheiro Motoristas (B3)</t>
  </si>
  <si>
    <t xml:space="preserve">  CTC Copasul (B3)</t>
  </si>
  <si>
    <t xml:space="preserve">  Depósito Irrigação (B3)</t>
  </si>
  <si>
    <t xml:space="preserve">  Entreposto (B3)</t>
  </si>
  <si>
    <t xml:space="preserve">  Esc. Deodápolis (B3)</t>
  </si>
  <si>
    <t xml:space="preserve">  Esc. N. Andradina (B3)</t>
  </si>
  <si>
    <t xml:space="preserve">  Esc. Reg. Deodápolis (B3)</t>
  </si>
  <si>
    <t xml:space="preserve">  Galpão AE (B3)</t>
  </si>
  <si>
    <t xml:space="preserve">  Irrigação CG (B3)</t>
  </si>
  <si>
    <t xml:space="preserve">  Lab. Solos (B3)</t>
  </si>
  <si>
    <t xml:space="preserve">  Posto Carreteiro (B3)</t>
  </si>
  <si>
    <t xml:space="preserve">  Refeitório Deodápolis (B1)</t>
  </si>
  <si>
    <t xml:space="preserve">  Banco início COM (kWh)</t>
  </si>
  <si>
    <t xml:space="preserve">  Bank draw COM (kWh)</t>
  </si>
  <si>
    <t>★ Banco fim COM (kWh)</t>
  </si>
  <si>
    <t xml:space="preserve">  Banco início SEM (kWh) = 0</t>
  </si>
  <si>
    <t xml:space="preserve">  Bank draw SEM (kWh) = 0</t>
  </si>
  <si>
    <t xml:space="preserve">  Banco fim SEM (kWh) = 0</t>
  </si>
  <si>
    <t xml:space="preserve">  Subest. Fiação (B3)</t>
  </si>
  <si>
    <t xml:space="preserve">  TRR Maracaju (B3)</t>
  </si>
  <si>
    <t>CUSTO TOTAL SEM Helexia (R$) — todas as UCs</t>
  </si>
  <si>
    <t>CUSTO TOTAL COM Helexia — rede remanescente (R$)</t>
  </si>
  <si>
    <t>CUSTO TOTAL COM Helexia — rede + PPA (R$)</t>
  </si>
  <si>
    <t>★ ECONOMIA LÍQUIDA COPASUL (R$) — rede savings − PPA</t>
  </si>
  <si>
    <t>⚠  ICMS adicional se isenção perdida (Premissas B11="Não") — ICMS sobre kWh compensados pelo CS3 (R$)</t>
  </si>
  <si>
    <t>0 quando Premissas B11=Sim (isenção ativa — base case)</t>
  </si>
  <si>
    <t xml:space="preserve">  BANCO DE CRÉDITOS — SALDO FINAL MAI/2031</t>
  </si>
  <si>
    <t>kWh</t>
  </si>
  <si>
    <t xml:space="preserve">  BAT — Batayporã (stranded, não transferível)</t>
  </si>
  <si>
    <t>TOTAL banco créditos TODAS as UCs (kWh)</t>
  </si>
  <si>
    <t xml:space="preserve">  VALOR TOTAL = ECONOMIA LÍQUIDA 24m + BANCO RESIDUAL @ PPA</t>
  </si>
  <si>
    <t>Economia líquida 24m (R$)</t>
  </si>
  <si>
    <t>+ Banco residual todas UCs @ PPA (R$)</t>
  </si>
  <si>
    <t>★ VALOR TOTAL HELEXIA (R$) — economia + banco atribuível</t>
  </si>
  <si>
    <t xml:space="preserve">  BANCO ATRIBUÍVEL HELEXIA — DECOMPOSIÇÃO (COM − SEM por UC)</t>
  </si>
  <si>
    <t xml:space="preserve">  NHS — banco atribuível Helexia (COM−SEM, kWh)</t>
  </si>
  <si>
    <t xml:space="preserve">  AMD — banco atribuível Helexia (COM−SEM, kWh)</t>
  </si>
  <si>
    <t xml:space="preserve">  Grupo B — banco total (100% atribuível, SEM=0, kWh)</t>
  </si>
  <si>
    <t xml:space="preserve">  Banco ATRIBUÍVEL total Helexia (kWh)</t>
  </si>
  <si>
    <t>★ Banco ATRIBUÍVEL total Helexia @ PPA (R$)</t>
  </si>
  <si>
    <t>Unidade</t>
  </si>
  <si>
    <t>Data</t>
  </si>
  <si>
    <t>Geração (kWh)</t>
  </si>
  <si>
    <t>Yf Diário (kWh/kWp)</t>
  </si>
  <si>
    <t>Amandina</t>
  </si>
  <si>
    <t xml:space="preserve">Geração Mensal </t>
  </si>
  <si>
    <t>Kwh</t>
  </si>
  <si>
    <t>MWh</t>
  </si>
  <si>
    <t>Proxi Bataypora</t>
  </si>
  <si>
    <t>proxy Rate</t>
  </si>
  <si>
    <t>Batayporã</t>
  </si>
  <si>
    <t>Novo Horizonte do Sul</t>
  </si>
  <si>
    <t>Total</t>
  </si>
  <si>
    <t>Meia Mensal</t>
  </si>
  <si>
    <t>Grupo B</t>
  </si>
  <si>
    <t>Consomo Fora Ponta Grupo B (kWh)</t>
  </si>
  <si>
    <t>A4 Verde</t>
  </si>
  <si>
    <t>Consumo Fora Ponta Grupo A (kWh)</t>
  </si>
  <si>
    <t>A3A rural</t>
  </si>
  <si>
    <t>Consumo Fora Ponta Grupo A3A Rural (kWh)</t>
  </si>
  <si>
    <t>Total Fora Ponta (kWh)</t>
  </si>
  <si>
    <t>Consumo Ponta Grupo A (kWh)</t>
  </si>
  <si>
    <t>Consumo Ponta Grupo A3A (kWh)</t>
  </si>
  <si>
    <t>Total  Ponta (kWh)</t>
  </si>
  <si>
    <t>Total Consumo (kWh)</t>
  </si>
  <si>
    <t>SiIos Novo Horizonte do Sul</t>
  </si>
  <si>
    <t>Produçao Usina 1</t>
  </si>
  <si>
    <t>Silos Batayporã</t>
  </si>
  <si>
    <t xml:space="preserve">Produção Usina 2 </t>
  </si>
  <si>
    <t>Silos Amandina</t>
  </si>
  <si>
    <t>Produção Usina 3</t>
  </si>
  <si>
    <t>Total Produção (kWH)</t>
  </si>
  <si>
    <t>Compensão usina 1</t>
  </si>
  <si>
    <t>Compensão usina 2</t>
  </si>
  <si>
    <t>Compensão usina 3</t>
  </si>
  <si>
    <t>Total Compensação (kWH)</t>
  </si>
  <si>
    <t>Nome</t>
  </si>
  <si>
    <t>CNPJ</t>
  </si>
  <si>
    <t>UC</t>
  </si>
  <si>
    <t>Consumo Ponta (kWh)</t>
  </si>
  <si>
    <t>Consumo Fora Ponta (kWh)</t>
  </si>
  <si>
    <t>Demanda Ponta (kW)</t>
  </si>
  <si>
    <t>Demanda Fora Ponta (kW)</t>
  </si>
  <si>
    <t>Energia Gerada (kWh)</t>
  </si>
  <si>
    <t>Energia Compensada (kWh)</t>
  </si>
  <si>
    <t>Energia Sobrando</t>
  </si>
  <si>
    <t>Energia Gerada Pos reparação</t>
  </si>
  <si>
    <t>Compensação Fora Ponta</t>
  </si>
  <si>
    <t>03.902.129/0001-83</t>
  </si>
  <si>
    <t>10/169099-9</t>
  </si>
  <si>
    <t>B3 - Comercial</t>
  </si>
  <si>
    <t>10/169105-4</t>
  </si>
  <si>
    <t>03.902.129/0004-26</t>
  </si>
  <si>
    <t>10/178204-4</t>
  </si>
  <si>
    <t>B1 - Residencial</t>
  </si>
  <si>
    <t>Banheiro dos Motoristas Deodápolis</t>
  </si>
  <si>
    <t>10/178206-9</t>
  </si>
  <si>
    <t>Escritório Regional Deodápolis</t>
  </si>
  <si>
    <t>10/2916462-1</t>
  </si>
  <si>
    <t>Escritório Deodápolis</t>
  </si>
  <si>
    <t>10/178456-0</t>
  </si>
  <si>
    <t>03.902.129/0011-55</t>
  </si>
  <si>
    <t>10/3146634-5</t>
  </si>
  <si>
    <t>Subestação Fiação</t>
  </si>
  <si>
    <t>03.902.129/0015-89</t>
  </si>
  <si>
    <t>10/2418582-9</t>
  </si>
  <si>
    <t>03.902.129/0020-46</t>
  </si>
  <si>
    <t>10/3184070-5</t>
  </si>
  <si>
    <t>Verde A4 - Industrial</t>
  </si>
  <si>
    <t>Deposito Irrigação</t>
  </si>
  <si>
    <t>03.902.129/0023-99</t>
  </si>
  <si>
    <t>10/2551502-4</t>
  </si>
  <si>
    <t>03.902.129/0025-50</t>
  </si>
  <si>
    <t>10/3267347-7</t>
  </si>
  <si>
    <t>Verde A3a - Rural</t>
  </si>
  <si>
    <t>Escritório Nova Andradina</t>
  </si>
  <si>
    <t>03.902.129/0026-31</t>
  </si>
  <si>
    <t>10/3683986-8</t>
  </si>
  <si>
    <t>03.902.129/0031-07</t>
  </si>
  <si>
    <t>10/2121803-7</t>
  </si>
  <si>
    <t>Irrigação Copasul Campo Grande</t>
  </si>
  <si>
    <t>03.902.129/0032-80</t>
  </si>
  <si>
    <t>10/2603357-1</t>
  </si>
  <si>
    <t>03.902.129/0039-56</t>
  </si>
  <si>
    <t>10/3491513-2</t>
  </si>
  <si>
    <t>03.908.126/0001-57</t>
  </si>
  <si>
    <t>10/172692-6</t>
  </si>
  <si>
    <t>43.241.544/0002-39</t>
  </si>
  <si>
    <t>10/2502847-3</t>
  </si>
  <si>
    <t>48.657.758/0001-23</t>
  </si>
  <si>
    <t>10/2502804-4</t>
  </si>
  <si>
    <t>Código</t>
  </si>
  <si>
    <t>Nome do Projeto</t>
  </si>
  <si>
    <t>Nº Mês</t>
  </si>
  <si>
    <t>Ano de Exposição Solar</t>
  </si>
  <si>
    <t>Ano de Geração</t>
  </si>
  <si>
    <t>Geração (MWh)</t>
  </si>
  <si>
    <t>HCS01</t>
  </si>
  <si>
    <t>Cassilândia 01</t>
  </si>
  <si>
    <t>Apr</t>
  </si>
  <si>
    <t>Ano 0</t>
  </si>
  <si>
    <t>May</t>
  </si>
  <si>
    <t>Aug</t>
  </si>
  <si>
    <t>Sept</t>
  </si>
  <si>
    <t>Oct</t>
  </si>
  <si>
    <t>Dec</t>
  </si>
  <si>
    <t>Ano 1</t>
  </si>
  <si>
    <t>Feb</t>
  </si>
  <si>
    <t>Ano 2</t>
  </si>
  <si>
    <t>HCS02</t>
  </si>
  <si>
    <t>Cassilândia 02</t>
  </si>
  <si>
    <t>HCS03</t>
  </si>
  <si>
    <t>Performance Ratio</t>
  </si>
  <si>
    <t>Data do PR</t>
  </si>
  <si>
    <t>Mês do PR</t>
  </si>
  <si>
    <t>Ano do PR</t>
  </si>
  <si>
    <t>PR PVsyst (%)</t>
  </si>
  <si>
    <t>PR Real (%)</t>
  </si>
  <si>
    <t>Status</t>
  </si>
  <si>
    <t>Aprovado</t>
  </si>
  <si>
    <t>PV Syst</t>
  </si>
  <si>
    <t>Cliente</t>
  </si>
  <si>
    <t>Potência AC (kWac)</t>
  </si>
  <si>
    <t>Potência DC (kWp)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</si>
  <si>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</si>
  <si>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</si>
  <si>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</si>
  <si>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</si>
  <si>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</si>
  <si>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</si>
  <si>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</si>
  <si>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</si>
  <si>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</si>
  <si>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</si>
  <si>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</si>
  <si>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</si>
  <si>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Geração P50 Ano 0 (MWh/ano)</t>
  </si>
  <si>
    <t>Geração P50 Ano Atual (MWh/ano)</t>
  </si>
  <si>
    <t>Variabilidade Anual (%)</t>
  </si>
  <si>
    <t>Geração P90 PVsyst Ano 0 (MWh/ano)</t>
  </si>
  <si>
    <t>Geração P90 PVsyst Ano Atual (MWh/ano)</t>
  </si>
  <si>
    <t>Geração P90 Ano Atual Real (MWh/ano)</t>
  </si>
  <si>
    <t>PR Médio Ano 0</t>
  </si>
  <si>
    <t>PR Médio Ano Atual</t>
  </si>
  <si>
    <t>Produção Específica</t>
  </si>
  <si>
    <t>Fator de Capacidade</t>
  </si>
  <si>
    <t>Versão PVsyst</t>
  </si>
  <si>
    <t>Variante PVsyst</t>
  </si>
  <si>
    <t>Data PVsyst</t>
  </si>
  <si>
    <t>Observação</t>
  </si>
  <si>
    <t>Link Report</t>
  </si>
  <si>
    <t>EMS</t>
  </si>
  <si>
    <t>Entregue</t>
  </si>
  <si>
    <t>COMERC</t>
  </si>
  <si>
    <t>As Built</t>
  </si>
  <si>
    <t>VCH</t>
  </si>
  <si>
    <t>Considerando perdas nos cabos e transformador conforme Projeto Executivo. Além de perdas por sujidade e indisponibilidade conforme premissas do O&amp;M</t>
  </si>
  <si>
    <t>Clique Aqui</t>
  </si>
  <si>
    <t>VCI</t>
  </si>
  <si>
    <t>VCJ</t>
  </si>
  <si>
    <t>Produçao 2025</t>
  </si>
  <si>
    <t>Geração Atual Ano 0 (MWh/ano)</t>
  </si>
  <si>
    <t>January 26</t>
  </si>
  <si>
    <t>February 26</t>
  </si>
  <si>
    <t>Pi (kWp)</t>
  </si>
  <si>
    <t>Pg (kW)</t>
  </si>
  <si>
    <t>Número de módulos</t>
  </si>
  <si>
    <t>Potencia (W)</t>
  </si>
  <si>
    <t>Eficiência</t>
  </si>
  <si>
    <t>Área do módulo (m²)</t>
  </si>
  <si>
    <t>Área Total (m²)</t>
  </si>
  <si>
    <t>Densidade de Potência (W/m²)</t>
  </si>
  <si>
    <t>Latitude</t>
  </si>
  <si>
    <t>Longitude</t>
  </si>
  <si>
    <t>Inclinação</t>
  </si>
  <si>
    <t>Azimuth</t>
  </si>
  <si>
    <t>-22.67340908</t>
  </si>
  <si>
    <t>-53.84513269</t>
  </si>
  <si>
    <t>22°</t>
  </si>
  <si>
    <t>-22.27609989</t>
  </si>
  <si>
    <t>-53.22534149</t>
  </si>
  <si>
    <t>-22.34231564</t>
  </si>
  <si>
    <t>-53.58536212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</si>
</sst>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&quot; GWh&quot;"/>
    <numFmt numFmtId="165" formatCode="&quot;R$ &quot;#,##0;&quot;(R$ &quot;#,##0\);\-"/>
    <numFmt numFmtId="166" formatCode="0.0%"/>
    <numFmt numFmtId="167" formatCode="#,##0.0&quot; MWh&quot;"/>
    <numFmt numFmtId="168" formatCode="&quot;R$ &quot;0.0000"/>
    <numFmt numFmtId="169" formatCode="#,##0;\(#,##0\);\-"/>
    <numFmt numFmtId="170" formatCode="&quot;R$ &quot;#,##0;&quot;(R$ &quot;#,##0;\-"/>
    <numFmt numFmtId="171" formatCode="0.000000"/>
    <numFmt numFmtId="172" formatCode="&quot;R$ &quot;#,##0.0000"/>
    <numFmt numFmtId="173" formatCode="m/d/yyyy"/>
    <numFmt numFmtId="174" formatCode="0.0"/>
    <numFmt numFmtId="175" formatCode="mm/yyyy"/>
    <numFmt numFmtId="176" formatCode="#,##0.0"/>
  </numFmts>
  <fonts count="85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AACC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6"/>
      <color rgb="FF375623"/>
      <name val="Arial"/>
      <family val="2"/>
      <charset val="1"/>
    </font>
    <font>
      <b/>
      <sz val="16"/>
      <color rgb="FFC65911"/>
      <name val="Arial"/>
      <family val="2"/>
      <charset val="1"/>
    </font>
    <font>
      <b/>
      <sz val="16"/>
      <color rgb="FF1F7A5C"/>
      <name val="Arial"/>
      <family val="2"/>
      <charset val="1"/>
    </font>
    <font>
      <b/>
      <sz val="16"/>
      <color rgb="FF1F3864"/>
      <name val="Arial"/>
      <family val="2"/>
      <charset val="1"/>
    </font>
    <font>
      <i/>
      <sz val="8"/>
      <color rgb="FF595959"/>
      <name val="Arial"/>
      <family val="2"/>
      <charset val="1"/>
    </font>
    <font>
      <sz val="8"/>
      <color rgb="FF595959"/>
      <name val="Calibri"/>
      <family val="2"/>
      <charset val="1"/>
    </font>
    <font>
      <b/>
      <sz val="9"/>
      <color rgb="FFFFFFFF"/>
      <name val="Arial"/>
      <family val="2"/>
      <charset val="1"/>
    </font>
    <font>
      <b/>
      <sz val="8"/>
      <color rgb="FF595959"/>
      <name val="Arial"/>
      <family val="2"/>
      <charset val="1"/>
    </font>
    <font>
      <sz val="8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595959"/>
      <name val="Arial"/>
      <family val="2"/>
      <charset val="1"/>
    </font>
    <font>
      <sz val="9"/>
      <name val="Arial"/>
      <family val="2"/>
      <charset val="1"/>
    </font>
    <font>
      <b/>
      <sz val="9"/>
      <color rgb="FF2E5FA3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name val="Arial"/>
      <family val="2"/>
      <charset val="1"/>
    </font>
    <font>
      <sz val="9"/>
      <color rgb="FF1F7A5C"/>
      <name val="Arial"/>
      <family val="2"/>
      <charset val="1"/>
    </font>
    <font>
      <sz val="8"/>
      <name val="Arial"/>
      <family val="2"/>
      <charset val="1"/>
    </font>
    <font>
      <b/>
      <sz val="9"/>
      <color rgb="FFFFFFFF"/>
      <name val="Calibri"/>
      <family val="2"/>
      <charset val="1"/>
    </font>
    <font>
      <sz val="9"/>
      <color rgb="FF000000"/>
      <name val="Calibri"/>
      <family val="2"/>
    </font>
    <font>
      <b/>
      <sz val="8"/>
      <color rgb="FF595959"/>
      <name val="Calibri"/>
      <family val="2"/>
      <charset val="1"/>
    </font>
    <font>
      <sz val="9"/>
      <color rgb="FF595959"/>
      <name val="Calibri"/>
      <family val="2"/>
    </font>
    <font>
      <b/>
      <sz val="9"/>
      <color rgb="FF375623"/>
      <name val="Calibri"/>
      <family val="2"/>
    </font>
    <font>
      <sz val="9"/>
      <color rgb="FF000000"/>
      <name val="Calibri"/>
      <family val="2"/>
      <charset val="1"/>
    </font>
    <font>
      <sz val="9"/>
      <color rgb="FF595959"/>
      <name val="Calibri"/>
      <family val="2"/>
      <charset val="1"/>
    </font>
    <font>
      <b/>
      <sz val="9"/>
      <color rgb="FF1F7A5C"/>
      <name val="Calibri"/>
      <family val="2"/>
      <charset val="1"/>
    </font>
    <font>
      <sz val="9"/>
      <color rgb="FFFFFFFF"/>
      <name val="Calibri"/>
      <family val="2"/>
      <charset val="1"/>
    </font>
    <font>
      <i/>
      <sz val="7"/>
      <color rgb="FF999999"/>
      <name val="Calibri"/>
      <family val="2"/>
      <charset val="1"/>
    </font>
    <font>
      <sz val="7"/>
      <color rgb="FF999999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8"/>
      <color rgb="FF2E5FA3"/>
      <name val="Arial"/>
      <family val="2"/>
      <charset val="1"/>
    </font>
    <font>
      <b/>
      <sz val="9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2"/>
      <color rgb="FF375623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C65911"/>
      <name val="Arial"/>
      <family val="2"/>
      <charset val="1"/>
    </font>
    <font>
      <b/>
      <sz val="9"/>
      <color rgb="FFC65911"/>
      <name val="Arial"/>
      <family val="2"/>
      <charset val="1"/>
    </font>
    <font>
      <i/>
      <sz val="9"/>
      <color rgb="FF000000"/>
      <name val="Arial"/>
      <family val="2"/>
      <charset val="1"/>
    </font>
    <font>
      <i/>
      <sz val="8"/>
      <color rgb="FF888888"/>
      <name val="Arial"/>
      <family val="2"/>
      <charset val="1"/>
    </font>
    <font>
      <b/>
      <sz val="9"/>
      <color rgb="FF7F6000"/>
      <name val="Arial"/>
      <family val="2"/>
      <charset val="1"/>
    </font>
    <font>
      <sz val="9"/>
      <color rgb="FF1F3864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C65911"/>
      <name val="Arial"/>
      <family val="2"/>
      <charset val="1"/>
    </font>
    <font>
      <i/>
      <sz val="10"/>
      <color rgb="FF595959"/>
      <name val="Calibri"/>
      <family val="2"/>
      <charset val="1"/>
    </font>
    <font>
      <b/>
      <sz val="9"/>
      <color rgb="FF595959"/>
      <name val="Arial"/>
      <family val="2"/>
      <charset val="1"/>
    </font>
    <font>
      <sz val="9"/>
      <color rgb="FF0000FF"/>
      <name val="Arial"/>
      <family val="2"/>
      <charset val="1"/>
    </font>
    <font>
      <i/>
      <sz val="8"/>
      <color rgb="FFCC6600"/>
      <name val="Arial"/>
      <family val="2"/>
      <charset val="1"/>
    </font>
    <font>
      <i/>
      <sz val="8"/>
      <color rgb="FFC65911"/>
      <name val="Calibri"/>
      <family val="2"/>
      <charset val="1"/>
    </font>
    <font>
      <sz val="9"/>
      <color rgb="FF008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/>
      <sz val="8"/>
      <color rgb="FFFFFFFF"/>
      <name val="Calibri"/>
      <family val="2"/>
      <charset val="1"/>
    </font>
    <font>
      <b/>
      <sz val="9"/>
      <color rgb="FF008000"/>
      <name val="Arial"/>
      <family val="2"/>
      <charset val="1"/>
    </font>
    <font>
      <sz val="9"/>
      <color rgb="FFCC6600"/>
      <name val="Arial"/>
      <family val="2"/>
      <charset val="1"/>
    </font>
    <font>
      <i/>
      <sz val="9"/>
      <color rgb="FF808080"/>
      <name val="Arial"/>
      <family val="2"/>
      <charset val="1"/>
    </font>
    <font>
      <i/>
      <sz val="9"/>
      <color rgb="FF2E5FA3"/>
      <name val="Arial"/>
      <family val="2"/>
      <charset val="1"/>
    </font>
    <font>
      <i/>
      <sz val="9"/>
      <color rgb="FF375623"/>
      <name val="Arial"/>
      <family val="2"/>
      <charset val="1"/>
    </font>
    <font>
      <sz val="9"/>
      <color rgb="FFC00000"/>
      <name val="Arial"/>
      <family val="2"/>
      <charset val="1"/>
    </font>
    <font>
      <i/>
      <sz val="9"/>
      <color rgb="FFC00000"/>
      <name val="Arial"/>
      <family val="2"/>
      <charset val="1"/>
    </font>
    <font>
      <sz val="9"/>
      <color rgb="FF375623"/>
      <name val="Arial"/>
      <family val="2"/>
      <charset val="1"/>
    </font>
    <font>
      <sz val="9"/>
      <color rgb="FFFFFF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FFFF"/>
      <name val="Arial"/>
      <family val="2"/>
      <charset val="1"/>
    </font>
    <font>
      <b/>
      <i/>
      <sz val="9"/>
      <color rgb="FFC65911"/>
      <name val="Arial"/>
      <family val="2"/>
      <charset val="1"/>
    </font>
    <font>
      <sz val="9"/>
      <color rgb="FFC65911"/>
      <name val="Arial"/>
      <family val="2"/>
      <charset val="1"/>
    </font>
    <font>
      <sz val="9"/>
      <color rgb="FF808080"/>
      <name val="Calibri"/>
      <family val="2"/>
      <charset val="1"/>
    </font>
    <font>
      <sz val="10"/>
      <color rgb="FF000000"/>
      <name val="Aptos Display"/>
      <family val="2"/>
      <charset val="1"/>
    </font>
    <font>
      <sz val="10"/>
      <color rgb="FFFFFFFF"/>
      <name val="Aptos Display"/>
      <family val="2"/>
      <charset val="1"/>
    </font>
    <font>
      <sz val="10"/>
      <color theme="1"/>
      <name val="Aptos Display"/>
      <family val="2"/>
      <charset val="1"/>
    </font>
    <font>
      <b/>
      <sz val="10"/>
      <color rgb="FF000000"/>
      <name val="Aptos Display"/>
      <family val="2"/>
      <charset val="1"/>
    </font>
    <font>
      <b/>
      <sz val="10"/>
      <color theme="1"/>
      <name val="Aptos Display"/>
      <family val="2"/>
      <charset val="1"/>
    </font>
    <font>
      <b/>
      <sz val="10"/>
      <color theme="0"/>
      <name val="Aptos Display"/>
      <family val="2"/>
      <charset val="1"/>
    </font>
    <font>
      <sz val="10"/>
      <name val="Aptos Display"/>
      <family val="2"/>
      <charset val="1"/>
    </font>
    <font>
      <b/>
      <sz val="10"/>
      <color theme="1" tint="0.24939725943784904"/>
      <name val="Aptos Display"/>
      <family val="2"/>
      <charset val="1"/>
    </font>
    <font>
      <b/>
      <sz val="11"/>
      <color theme="0"/>
      <name val="Calibri"/>
      <family val="2"/>
      <charset val="1"/>
    </font>
    <font>
      <b/>
      <sz val="10"/>
      <color rgb="FFFFFFFF"/>
      <name val="Aptos Display"/>
      <family val="2"/>
      <charset val="1"/>
    </font>
    <font>
      <sz val="11"/>
      <color theme="1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093C92"/>
      </patternFill>
    </fill>
    <fill>
      <patternFill patternType="solid">
        <fgColor rgb="FF375623"/>
        <bgColor rgb="FF404040"/>
      </patternFill>
    </fill>
    <fill>
      <patternFill patternType="solid">
        <fgColor rgb="FFC65911"/>
        <bgColor rgb="FFC05200"/>
      </patternFill>
    </fill>
    <fill>
      <patternFill patternType="solid">
        <fgColor rgb="FF1F7A5C"/>
        <bgColor rgb="FF277E3E"/>
      </patternFill>
    </fill>
    <fill>
      <patternFill patternType="solid">
        <fgColor rgb="FFE8F5E9"/>
        <bgColor rgb="FFE0F4EF"/>
      </patternFill>
    </fill>
    <fill>
      <patternFill patternType="solid">
        <fgColor rgb="FFFBE9E7"/>
        <bgColor rgb="FFFDECEA"/>
      </patternFill>
    </fill>
    <fill>
      <patternFill patternType="solid">
        <fgColor rgb="FFE0F4EF"/>
        <bgColor rgb="FFE8F5E9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FF5F5"/>
      </patternFill>
    </fill>
    <fill>
      <patternFill patternType="solid">
        <fgColor rgb="FFEBF0FA"/>
        <bgColor rgb="FFEBF3FB"/>
      </patternFill>
    </fill>
    <fill>
      <patternFill patternType="solid">
        <fgColor rgb="FFE2EFDA"/>
        <bgColor rgb="FFE8F5E9"/>
      </patternFill>
    </fill>
    <fill>
      <patternFill patternType="solid">
        <fgColor rgb="FFEBF3FB"/>
        <bgColor rgb="FFEBF0FA"/>
      </patternFill>
    </fill>
    <fill>
      <patternFill patternType="solid">
        <fgColor rgb="FFFFF3CD"/>
        <bgColor rgb="FFFFF2CC"/>
      </patternFill>
    </fill>
    <fill>
      <patternFill patternType="solid">
        <fgColor rgb="FFFFE0B2"/>
        <bgColor rgb="FFFFE2CC"/>
      </patternFill>
    </fill>
    <fill>
      <patternFill patternType="solid">
        <fgColor rgb="FFFFF2CC"/>
        <bgColor rgb="FFFFF3CD"/>
      </patternFill>
    </fill>
    <fill>
      <patternFill patternType="solid">
        <fgColor rgb="FF595959"/>
        <bgColor rgb="FF606060"/>
      </patternFill>
    </fill>
    <fill>
      <patternFill patternType="solid">
        <fgColor rgb="FFFDECEA"/>
        <bgColor rgb="FFFBE9E7"/>
      </patternFill>
    </fill>
    <fill>
      <patternFill patternType="solid">
        <fgColor rgb="FFFEF0E7"/>
        <bgColor rgb="FFFDECEA"/>
      </patternFill>
    </fill>
    <fill>
      <patternFill patternType="solid">
        <fgColor rgb="FFF2F2F2"/>
        <bgColor rgb="FFF5F5F5"/>
      </patternFill>
    </fill>
    <fill>
      <patternFill patternType="solid">
        <fgColor rgb="FFCC6600"/>
        <bgColor rgb="FFC65911"/>
      </patternFill>
    </fill>
    <fill>
      <patternFill patternType="solid">
        <fgColor rgb="FF606060"/>
        <bgColor rgb="FF595959"/>
      </patternFill>
    </fill>
    <fill>
      <patternFill patternType="solid">
        <fgColor rgb="FF2E5FA3"/>
        <bgColor rgb="FF1F7A5C"/>
      </patternFill>
    </fill>
    <fill>
      <patternFill patternType="solid">
        <fgColor rgb="FFFFF9E6"/>
        <bgColor rgb="FFFFF5F5"/>
      </patternFill>
    </fill>
    <fill>
      <patternFill patternType="solid">
        <fgColor rgb="FF808080"/>
        <bgColor rgb="FF888888"/>
      </patternFill>
    </fill>
    <fill>
      <patternFill patternType="solid">
        <fgColor rgb="FFFFF5F5"/>
        <bgColor rgb="FFF5F5F5"/>
      </patternFill>
    </fill>
    <fill>
      <patternFill patternType="solid">
        <fgColor rgb="FF000000"/>
        <bgColor rgb="FF003300"/>
      </patternFill>
    </fill>
    <fill>
      <patternFill patternType="solid">
        <fgColor rgb="FF6AA84F"/>
        <bgColor rgb="FF888888"/>
      </patternFill>
    </fill>
    <fill>
      <patternFill patternType="solid">
        <fgColor theme="1" tint="0.24939725943784904"/>
        <bgColor rgb="FF375623"/>
      </patternFill>
    </fill>
    <fill>
      <patternFill patternType="solid">
        <fgColor theme="0" tint="-0.14999847407452621"/>
        <bgColor rgb="FFD0D0D0"/>
      </patternFill>
    </fill>
    <fill>
      <patternFill patternType="solid">
        <fgColor rgb="FFBDD7EE"/>
        <bgColor rgb="FFAACCFF"/>
      </patternFill>
    </fill>
    <fill>
      <patternFill patternType="solid">
        <fgColor theme="7" tint="0.39939573351237523"/>
        <bgColor rgb="FFB3B3B3"/>
      </patternFill>
    </fill>
    <fill>
      <patternFill patternType="solid">
        <fgColor theme="3" tint="0.49967955565050204"/>
        <bgColor rgb="FF95B3D7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 tint="0.39967040009765925"/>
      </top>
      <bottom style="thin">
        <color theme="4" tint="0.39967040009765925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84" fillId="0" borderId="0"/>
    <xf numFmtId="0" fontId="84" fillId="0" borderId="0"/>
    <xf numFmtId="0" fontId="84" fillId="0" borderId="0"/>
    <xf numFmtId="9" fontId="2" fillId="0" borderId="0"/>
    <xf numFmtId="9" fontId="84" fillId="0" borderId="0"/>
  </cellStyleXfs>
  <cellXfs count="338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right" vertical="center"/>
    </xf>
    <xf numFmtId="165" fontId="16" fillId="9" borderId="0" xfId="0" applyNumberFormat="1" applyFont="1" applyFill="1" applyAlignment="1">
      <alignment horizontal="right" vertical="center"/>
    </xf>
    <xf numFmtId="166" fontId="16" fillId="9" borderId="0" xfId="0" applyNumberFormat="1" applyFont="1" applyFill="1" applyAlignment="1">
      <alignment horizontal="right" vertical="center"/>
    </xf>
    <xf numFmtId="165" fontId="17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5" fontId="15" fillId="10" borderId="0" xfId="0" applyNumberFormat="1" applyFont="1" applyFill="1" applyAlignment="1">
      <alignment horizontal="right" vertical="center"/>
    </xf>
    <xf numFmtId="166" fontId="15" fillId="10" borderId="0" xfId="0" applyNumberFormat="1" applyFont="1" applyFill="1" applyAlignment="1">
      <alignment horizontal="right" vertical="center"/>
    </xf>
    <xf numFmtId="165" fontId="17" fillId="10" borderId="0" xfId="0" applyNumberFormat="1" applyFont="1" applyFill="1" applyAlignment="1">
      <alignment horizontal="right" vertical="center"/>
    </xf>
    <xf numFmtId="165" fontId="18" fillId="11" borderId="1" xfId="0" applyNumberFormat="1" applyFont="1" applyFill="1" applyBorder="1" applyAlignment="1">
      <alignment horizontal="right" vertical="center"/>
    </xf>
    <xf numFmtId="166" fontId="18" fillId="11" borderId="1" xfId="0" applyNumberFormat="1" applyFont="1" applyFill="1" applyBorder="1" applyAlignment="1">
      <alignment horizontal="right" vertical="center"/>
    </xf>
    <xf numFmtId="165" fontId="17" fillId="11" borderId="1" xfId="0" applyNumberFormat="1" applyFont="1" applyFill="1" applyBorder="1" applyAlignment="1">
      <alignment horizontal="right" vertical="center"/>
    </xf>
    <xf numFmtId="165" fontId="19" fillId="6" borderId="1" xfId="0" applyNumberFormat="1" applyFont="1" applyFill="1" applyBorder="1" applyAlignment="1">
      <alignment horizontal="right" vertical="center"/>
    </xf>
    <xf numFmtId="166" fontId="19" fillId="6" borderId="1" xfId="0" applyNumberFormat="1" applyFont="1" applyFill="1" applyBorder="1" applyAlignment="1">
      <alignment horizontal="right" vertical="center"/>
    </xf>
    <xf numFmtId="165" fontId="20" fillId="6" borderId="1" xfId="0" applyNumberFormat="1" applyFont="1" applyFill="1" applyBorder="1" applyAlignment="1">
      <alignment horizontal="right" vertical="center"/>
    </xf>
    <xf numFmtId="165" fontId="21" fillId="8" borderId="0" xfId="0" applyNumberFormat="1" applyFont="1" applyFill="1" applyAlignment="1">
      <alignment horizontal="right" vertical="center"/>
    </xf>
    <xf numFmtId="166" fontId="21" fillId="8" borderId="0" xfId="0" applyNumberFormat="1" applyFont="1" applyFill="1" applyAlignment="1">
      <alignment horizontal="right" vertical="center"/>
    </xf>
    <xf numFmtId="165" fontId="17" fillId="8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69" fontId="15" fillId="9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/>
    </xf>
    <xf numFmtId="49" fontId="22" fillId="0" borderId="0" xfId="0" applyNumberFormat="1" applyFont="1"/>
    <xf numFmtId="165" fontId="22" fillId="0" borderId="0" xfId="0" applyNumberFormat="1" applyFont="1"/>
    <xf numFmtId="0" fontId="23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169" fontId="19" fillId="6" borderId="0" xfId="0" applyNumberFormat="1" applyFont="1" applyFill="1" applyAlignment="1">
      <alignment horizontal="right" vertical="center"/>
    </xf>
    <xf numFmtId="0" fontId="15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165" fontId="15" fillId="9" borderId="0" xfId="0" applyNumberFormat="1" applyFont="1" applyFill="1" applyAlignment="1">
      <alignment horizontal="right" vertical="center"/>
    </xf>
    <xf numFmtId="166" fontId="15" fillId="9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169" fontId="15" fillId="10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0" fontId="17" fillId="3" borderId="0" xfId="0" applyFont="1" applyFill="1"/>
    <xf numFmtId="169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 vertical="center"/>
    </xf>
    <xf numFmtId="166" fontId="12" fillId="3" borderId="0" xfId="0" applyNumberFormat="1" applyFont="1" applyFill="1" applyAlignment="1">
      <alignment horizontal="right" vertical="center"/>
    </xf>
    <xf numFmtId="0" fontId="23" fillId="5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right" vertical="center"/>
    </xf>
    <xf numFmtId="0" fontId="24" fillId="0" borderId="0" xfId="0" applyFont="1" applyAlignment="1">
      <alignment horizontal="left" vertical="center"/>
    </xf>
    <xf numFmtId="169" fontId="26" fillId="0" borderId="0" xfId="0" applyNumberFormat="1" applyFont="1" applyAlignment="1">
      <alignment horizontal="right" vertical="center"/>
    </xf>
    <xf numFmtId="170" fontId="26" fillId="0" borderId="0" xfId="0" applyNumberFormat="1" applyFont="1" applyAlignment="1">
      <alignment horizontal="right" vertical="center"/>
    </xf>
    <xf numFmtId="0" fontId="27" fillId="12" borderId="0" xfId="0" applyFont="1" applyFill="1" applyAlignment="1">
      <alignment horizontal="left" vertical="center"/>
    </xf>
    <xf numFmtId="169" fontId="27" fillId="12" borderId="0" xfId="0" applyNumberFormat="1" applyFont="1" applyFill="1" applyAlignment="1">
      <alignment horizontal="right" vertical="center"/>
    </xf>
    <xf numFmtId="170" fontId="27" fillId="12" borderId="0" xfId="0" applyNumberFormat="1" applyFont="1" applyFill="1" applyAlignment="1">
      <alignment horizontal="right" vertical="center"/>
    </xf>
    <xf numFmtId="0" fontId="17" fillId="0" borderId="0" xfId="0" applyFont="1"/>
    <xf numFmtId="0" fontId="28" fillId="10" borderId="0" xfId="0" applyFont="1" applyFill="1" applyAlignment="1">
      <alignment horizontal="left" vertical="center"/>
    </xf>
    <xf numFmtId="169" fontId="29" fillId="10" borderId="0" xfId="0" applyNumberFormat="1" applyFont="1" applyFill="1" applyAlignment="1">
      <alignment horizontal="right" vertical="center"/>
    </xf>
    <xf numFmtId="169" fontId="30" fillId="8" borderId="0" xfId="0" applyNumberFormat="1" applyFont="1" applyFill="1" applyAlignment="1">
      <alignment horizontal="right" vertical="center"/>
    </xf>
    <xf numFmtId="0" fontId="30" fillId="8" borderId="0" xfId="0" applyFont="1" applyFill="1" applyAlignment="1">
      <alignment horizontal="right" vertical="center"/>
    </xf>
    <xf numFmtId="0" fontId="28" fillId="9" borderId="0" xfId="0" applyFont="1" applyFill="1" applyAlignment="1">
      <alignment horizontal="left" vertical="center"/>
    </xf>
    <xf numFmtId="169" fontId="29" fillId="9" borderId="0" xfId="0" applyNumberFormat="1" applyFont="1" applyFill="1" applyAlignment="1">
      <alignment horizontal="right" vertical="center"/>
    </xf>
    <xf numFmtId="0" fontId="29" fillId="10" borderId="0" xfId="0" applyFont="1" applyFill="1" applyAlignment="1">
      <alignment horizontal="right" vertical="center"/>
    </xf>
    <xf numFmtId="0" fontId="31" fillId="5" borderId="0" xfId="0" applyFont="1" applyFill="1" applyAlignment="1">
      <alignment horizontal="right" vertical="center"/>
    </xf>
    <xf numFmtId="3" fontId="23" fillId="5" borderId="0" xfId="0" applyNumberFormat="1" applyFont="1" applyFill="1" applyAlignment="1">
      <alignment horizontal="right" vertical="center"/>
    </xf>
    <xf numFmtId="165" fontId="23" fillId="5" borderId="0" xfId="0" applyNumberFormat="1" applyFont="1" applyFill="1" applyAlignment="1">
      <alignment horizontal="right" vertical="center"/>
    </xf>
    <xf numFmtId="0" fontId="33" fillId="0" borderId="0" xfId="0" applyFont="1"/>
    <xf numFmtId="0" fontId="34" fillId="2" borderId="0" xfId="0" applyFont="1" applyFill="1" applyAlignment="1">
      <alignment horizontal="left" vertical="center"/>
    </xf>
    <xf numFmtId="0" fontId="36" fillId="13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168" fontId="37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8" fillId="6" borderId="0" xfId="0" applyFont="1" applyFill="1" applyAlignment="1">
      <alignment horizontal="center" vertical="center"/>
    </xf>
    <xf numFmtId="165" fontId="39" fillId="6" borderId="3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40" fillId="14" borderId="0" xfId="0" applyFont="1" applyFill="1" applyAlignment="1">
      <alignment horizontal="left" vertical="center" wrapText="1"/>
    </xf>
    <xf numFmtId="171" fontId="37" fillId="0" borderId="0" xfId="0" applyNumberFormat="1" applyFont="1" applyAlignment="1">
      <alignment horizontal="right" vertical="center"/>
    </xf>
    <xf numFmtId="0" fontId="40" fillId="11" borderId="0" xfId="0" applyFont="1" applyFill="1" applyAlignment="1">
      <alignment horizontal="left" vertical="center" wrapText="1"/>
    </xf>
    <xf numFmtId="166" fontId="37" fillId="0" borderId="0" xfId="0" applyNumberFormat="1" applyFont="1" applyAlignment="1">
      <alignment horizontal="right" vertical="center"/>
    </xf>
    <xf numFmtId="0" fontId="40" fillId="6" borderId="0" xfId="0" applyFont="1" applyFill="1" applyAlignment="1">
      <alignment horizontal="left" vertical="center" wrapText="1"/>
    </xf>
    <xf numFmtId="0" fontId="41" fillId="15" borderId="4" xfId="0" applyFont="1" applyFill="1" applyBorder="1" applyAlignment="1">
      <alignment horizontal="left" vertical="center" wrapText="1"/>
    </xf>
    <xf numFmtId="49" fontId="42" fillId="14" borderId="0" xfId="0" applyNumberFormat="1" applyFont="1" applyFill="1" applyAlignment="1">
      <alignment horizontal="center" vertical="center"/>
    </xf>
    <xf numFmtId="172" fontId="43" fillId="15" borderId="5" xfId="0" applyNumberFormat="1" applyFont="1" applyFill="1" applyBorder="1" applyAlignment="1">
      <alignment horizontal="center" vertical="center"/>
    </xf>
    <xf numFmtId="0" fontId="44" fillId="15" borderId="5" xfId="0" applyFont="1" applyFill="1" applyBorder="1" applyAlignment="1">
      <alignment horizontal="left" vertical="center"/>
    </xf>
    <xf numFmtId="172" fontId="43" fillId="15" borderId="0" xfId="0" applyNumberFormat="1" applyFont="1" applyFill="1" applyAlignment="1">
      <alignment horizontal="center" vertical="center"/>
    </xf>
    <xf numFmtId="0" fontId="45" fillId="16" borderId="0" xfId="0" applyFont="1" applyFill="1" applyAlignment="1">
      <alignment horizontal="left" vertical="center"/>
    </xf>
    <xf numFmtId="0" fontId="5" fillId="17" borderId="6" xfId="0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49" fontId="46" fillId="18" borderId="2" xfId="0" applyNumberFormat="1" applyFont="1" applyFill="1" applyBorder="1" applyAlignment="1">
      <alignment horizontal="center" vertical="center"/>
    </xf>
    <xf numFmtId="0" fontId="47" fillId="18" borderId="6" xfId="0" applyFont="1" applyFill="1" applyBorder="1" applyAlignment="1">
      <alignment horizontal="center" vertical="center"/>
    </xf>
    <xf numFmtId="0" fontId="15" fillId="18" borderId="2" xfId="0" applyFont="1" applyFill="1" applyBorder="1" applyAlignment="1">
      <alignment horizontal="center" vertical="center"/>
    </xf>
    <xf numFmtId="0" fontId="48" fillId="6" borderId="6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1" fontId="37" fillId="0" borderId="0" xfId="0" applyNumberFormat="1" applyFont="1" applyAlignment="1">
      <alignment horizontal="right" vertical="center"/>
    </xf>
    <xf numFmtId="0" fontId="15" fillId="19" borderId="0" xfId="0" applyFont="1" applyFill="1" applyAlignment="1">
      <alignment horizontal="left" vertical="center"/>
    </xf>
    <xf numFmtId="0" fontId="10" fillId="19" borderId="0" xfId="0" applyFont="1" applyFill="1" applyAlignment="1">
      <alignment horizontal="right" vertical="center"/>
    </xf>
    <xf numFmtId="166" fontId="42" fillId="14" borderId="0" xfId="0" applyNumberFormat="1" applyFont="1" applyFill="1" applyAlignment="1">
      <alignment horizontal="center" vertical="center"/>
    </xf>
    <xf numFmtId="168" fontId="43" fillId="9" borderId="0" xfId="0" applyNumberFormat="1" applyFont="1" applyFill="1" applyAlignment="1">
      <alignment horizontal="right" vertical="center"/>
    </xf>
    <xf numFmtId="49" fontId="15" fillId="6" borderId="2" xfId="0" applyNumberFormat="1" applyFont="1" applyFill="1" applyBorder="1" applyAlignment="1">
      <alignment horizontal="center" vertical="center"/>
    </xf>
    <xf numFmtId="49" fontId="46" fillId="9" borderId="0" xfId="0" applyNumberFormat="1" applyFont="1" applyFill="1" applyAlignment="1">
      <alignment horizontal="center" vertical="center"/>
    </xf>
    <xf numFmtId="0" fontId="48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 wrapText="1"/>
    </xf>
    <xf numFmtId="166" fontId="15" fillId="0" borderId="0" xfId="0" applyNumberFormat="1" applyFont="1" applyAlignment="1">
      <alignment horizontal="right" vertical="center"/>
    </xf>
    <xf numFmtId="0" fontId="45" fillId="16" borderId="0" xfId="0" applyFont="1" applyFill="1" applyAlignment="1">
      <alignment horizontal="center" vertical="center"/>
    </xf>
    <xf numFmtId="0" fontId="48" fillId="9" borderId="6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 wrapText="1"/>
    </xf>
    <xf numFmtId="169" fontId="37" fillId="0" borderId="0" xfId="0" applyNumberFormat="1" applyFont="1" applyAlignment="1">
      <alignment horizontal="right" vertical="center"/>
    </xf>
    <xf numFmtId="169" fontId="15" fillId="0" borderId="0" xfId="0" applyNumberFormat="1" applyFont="1" applyAlignment="1">
      <alignment horizontal="right" vertical="center"/>
    </xf>
    <xf numFmtId="0" fontId="42" fillId="14" borderId="6" xfId="0" applyFont="1" applyFill="1" applyBorder="1" applyAlignment="1">
      <alignment horizontal="center" vertical="center"/>
    </xf>
    <xf numFmtId="0" fontId="50" fillId="0" borderId="0" xfId="0" applyFont="1" applyAlignment="1">
      <alignment horizontal="center"/>
    </xf>
    <xf numFmtId="0" fontId="13" fillId="9" borderId="6" xfId="0" applyFont="1" applyFill="1" applyBorder="1" applyAlignment="1">
      <alignment horizontal="left" vertical="center"/>
    </xf>
    <xf numFmtId="0" fontId="51" fillId="9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wrapText="1"/>
    </xf>
    <xf numFmtId="0" fontId="48" fillId="13" borderId="0" xfId="0" applyFont="1" applyFill="1" applyAlignment="1">
      <alignment horizontal="left" vertical="center"/>
    </xf>
    <xf numFmtId="10" fontId="52" fillId="13" borderId="0" xfId="0" applyNumberFormat="1" applyFont="1" applyFill="1" applyAlignment="1">
      <alignment horizontal="right" vertical="center"/>
    </xf>
    <xf numFmtId="10" fontId="38" fillId="13" borderId="0" xfId="0" applyNumberFormat="1" applyFont="1" applyFill="1" applyAlignment="1">
      <alignment horizontal="right" vertical="center"/>
    </xf>
    <xf numFmtId="0" fontId="15" fillId="20" borderId="0" xfId="0" applyFont="1" applyFill="1" applyAlignment="1">
      <alignment horizontal="left" vertical="center"/>
    </xf>
    <xf numFmtId="10" fontId="52" fillId="20" borderId="0" xfId="0" applyNumberFormat="1" applyFont="1" applyFill="1" applyAlignment="1">
      <alignment horizontal="right" vertical="center"/>
    </xf>
    <xf numFmtId="0" fontId="12" fillId="21" borderId="0" xfId="0" applyFont="1" applyFill="1" applyAlignment="1">
      <alignment horizontal="left" vertical="center"/>
    </xf>
    <xf numFmtId="10" fontId="12" fillId="21" borderId="0" xfId="0" applyNumberFormat="1" applyFont="1" applyFill="1" applyAlignment="1">
      <alignment horizontal="right" vertical="center"/>
    </xf>
    <xf numFmtId="0" fontId="53" fillId="19" borderId="0" xfId="0" applyFont="1" applyFill="1" applyAlignment="1">
      <alignment horizontal="left" vertical="center" wrapText="1"/>
    </xf>
    <xf numFmtId="0" fontId="54" fillId="0" borderId="0" xfId="0" applyFont="1"/>
    <xf numFmtId="0" fontId="35" fillId="22" borderId="0" xfId="0" applyFont="1" applyFill="1" applyAlignment="1">
      <alignment horizontal="left" vertical="center"/>
    </xf>
    <xf numFmtId="166" fontId="55" fillId="0" borderId="0" xfId="0" applyNumberFormat="1" applyFont="1" applyAlignment="1">
      <alignment horizontal="right" vertical="center"/>
    </xf>
    <xf numFmtId="169" fontId="55" fillId="0" borderId="0" xfId="0" applyNumberFormat="1" applyFont="1" applyAlignment="1">
      <alignment horizontal="right" vertical="center"/>
    </xf>
    <xf numFmtId="0" fontId="28" fillId="0" borderId="0" xfId="0" applyFont="1"/>
    <xf numFmtId="0" fontId="12" fillId="23" borderId="0" xfId="0" applyFont="1" applyFill="1" applyAlignment="1">
      <alignment horizontal="center" vertical="center" wrapText="1"/>
    </xf>
    <xf numFmtId="0" fontId="12" fillId="22" borderId="0" xfId="0" applyFont="1" applyFill="1" applyAlignment="1">
      <alignment horizontal="center" vertical="center" wrapText="1"/>
    </xf>
    <xf numFmtId="0" fontId="56" fillId="20" borderId="0" xfId="0" applyFont="1" applyFill="1" applyAlignment="1">
      <alignment horizontal="center" vertical="center"/>
    </xf>
    <xf numFmtId="169" fontId="52" fillId="13" borderId="0" xfId="0" applyNumberFormat="1" applyFont="1" applyFill="1" applyAlignment="1">
      <alignment horizontal="right" vertical="center"/>
    </xf>
    <xf numFmtId="169" fontId="52" fillId="9" borderId="0" xfId="0" applyNumberFormat="1" applyFont="1" applyFill="1" applyAlignment="1">
      <alignment horizontal="right" vertical="center"/>
    </xf>
    <xf numFmtId="169" fontId="52" fillId="19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5" fillId="23" borderId="0" xfId="0" applyFont="1" applyFill="1" applyAlignment="1">
      <alignment horizontal="center" vertical="center"/>
    </xf>
    <xf numFmtId="0" fontId="59" fillId="23" borderId="0" xfId="0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169" fontId="38" fillId="0" borderId="0" xfId="0" applyNumberFormat="1" applyFont="1" applyAlignment="1">
      <alignment horizontal="right" vertical="center"/>
    </xf>
    <xf numFmtId="169" fontId="60" fillId="0" borderId="0" xfId="0" applyNumberFormat="1" applyFont="1" applyAlignment="1">
      <alignment horizontal="right" vertical="center"/>
    </xf>
    <xf numFmtId="169" fontId="0" fillId="0" borderId="0" xfId="0" applyNumberFormat="1"/>
    <xf numFmtId="0" fontId="61" fillId="0" borderId="0" xfId="0" applyFont="1" applyAlignment="1">
      <alignment horizontal="left" vertical="center"/>
    </xf>
    <xf numFmtId="165" fontId="61" fillId="0" borderId="0" xfId="0" applyNumberFormat="1" applyFont="1" applyAlignment="1">
      <alignment horizontal="right" vertical="center"/>
    </xf>
    <xf numFmtId="165" fontId="38" fillId="0" borderId="0" xfId="0" applyNumberFormat="1" applyFont="1" applyAlignment="1">
      <alignment horizontal="right" vertical="center"/>
    </xf>
    <xf numFmtId="0" fontId="55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169" fontId="62" fillId="0" borderId="0" xfId="0" applyNumberFormat="1" applyFont="1" applyAlignment="1">
      <alignment horizontal="right" vertical="center"/>
    </xf>
    <xf numFmtId="0" fontId="63" fillId="0" borderId="0" xfId="0" applyFont="1" applyAlignment="1">
      <alignment horizontal="left" vertical="center"/>
    </xf>
    <xf numFmtId="169" fontId="63" fillId="0" borderId="0" xfId="0" applyNumberFormat="1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169" fontId="64" fillId="0" borderId="0" xfId="0" applyNumberFormat="1" applyFont="1" applyAlignment="1">
      <alignment horizontal="right" vertical="center"/>
    </xf>
    <xf numFmtId="0" fontId="12" fillId="23" borderId="0" xfId="0" applyFont="1" applyFill="1" applyAlignment="1">
      <alignment horizontal="left" vertical="center"/>
    </xf>
    <xf numFmtId="0" fontId="60" fillId="0" borderId="0" xfId="0" applyFont="1" applyAlignment="1">
      <alignment horizontal="left" vertical="center"/>
    </xf>
    <xf numFmtId="169" fontId="61" fillId="0" borderId="0" xfId="0" applyNumberFormat="1" applyFont="1" applyAlignment="1">
      <alignment horizontal="right" vertical="center"/>
    </xf>
    <xf numFmtId="169" fontId="61" fillId="24" borderId="0" xfId="0" applyNumberFormat="1" applyFont="1" applyFill="1" applyAlignment="1">
      <alignment horizontal="right" vertical="center"/>
    </xf>
    <xf numFmtId="169" fontId="19" fillId="12" borderId="0" xfId="0" applyNumberFormat="1" applyFont="1" applyFill="1" applyAlignment="1">
      <alignment horizontal="right" vertical="center"/>
    </xf>
    <xf numFmtId="169" fontId="38" fillId="9" borderId="0" xfId="0" applyNumberFormat="1" applyFont="1" applyFill="1" applyAlignment="1">
      <alignment horizontal="right" vertical="center"/>
    </xf>
    <xf numFmtId="0" fontId="65" fillId="0" borderId="0" xfId="0" applyFont="1" applyAlignment="1">
      <alignment horizontal="left" vertical="center"/>
    </xf>
    <xf numFmtId="165" fontId="66" fillId="0" borderId="0" xfId="0" applyNumberFormat="1" applyFont="1" applyAlignment="1">
      <alignment horizontal="right" vertical="center"/>
    </xf>
    <xf numFmtId="165" fontId="62" fillId="0" borderId="0" xfId="0" applyNumberFormat="1" applyFont="1" applyAlignment="1">
      <alignment horizontal="right" vertical="center"/>
    </xf>
    <xf numFmtId="165" fontId="65" fillId="0" borderId="0" xfId="0" applyNumberFormat="1" applyFont="1" applyAlignment="1">
      <alignment horizontal="right" vertical="center"/>
    </xf>
    <xf numFmtId="0" fontId="67" fillId="0" borderId="0" xfId="0" applyFont="1" applyAlignment="1">
      <alignment horizontal="left" vertical="center"/>
    </xf>
    <xf numFmtId="165" fontId="67" fillId="0" borderId="0" xfId="0" applyNumberFormat="1" applyFont="1" applyAlignment="1">
      <alignment horizontal="right" vertical="center"/>
    </xf>
    <xf numFmtId="165" fontId="19" fillId="12" borderId="0" xfId="0" applyNumberFormat="1" applyFont="1" applyFill="1" applyAlignment="1">
      <alignment horizontal="right" vertical="center"/>
    </xf>
    <xf numFmtId="0" fontId="52" fillId="0" borderId="0" xfId="0" applyFont="1" applyAlignment="1">
      <alignment horizontal="left" vertical="center"/>
    </xf>
    <xf numFmtId="169" fontId="52" fillId="0" borderId="0" xfId="0" applyNumberFormat="1" applyFont="1" applyAlignment="1">
      <alignment horizontal="right" vertical="center"/>
    </xf>
    <xf numFmtId="169" fontId="62" fillId="9" borderId="0" xfId="0" applyNumberFormat="1" applyFont="1" applyFill="1" applyAlignment="1">
      <alignment horizontal="right" vertical="center"/>
    </xf>
    <xf numFmtId="169" fontId="16" fillId="0" borderId="0" xfId="0" applyNumberFormat="1" applyFont="1" applyAlignment="1">
      <alignment horizontal="right" vertical="center"/>
    </xf>
    <xf numFmtId="0" fontId="61" fillId="3" borderId="0" xfId="0" applyFont="1" applyFill="1" applyAlignment="1">
      <alignment horizontal="left" vertical="center"/>
    </xf>
    <xf numFmtId="169" fontId="68" fillId="3" borderId="0" xfId="0" applyNumberFormat="1" applyFont="1" applyFill="1" applyAlignment="1">
      <alignment horizontal="right" vertical="center"/>
    </xf>
    <xf numFmtId="169" fontId="69" fillId="12" borderId="0" xfId="0" applyNumberFormat="1" applyFont="1" applyFill="1" applyAlignment="1">
      <alignment horizontal="right" vertical="center"/>
    </xf>
    <xf numFmtId="0" fontId="19" fillId="12" borderId="0" xfId="0" applyFont="1" applyFill="1" applyAlignment="1">
      <alignment horizontal="left" vertical="center"/>
    </xf>
    <xf numFmtId="0" fontId="70" fillId="3" borderId="0" xfId="0" applyFont="1" applyFill="1" applyAlignment="1">
      <alignment horizontal="left" vertical="center"/>
    </xf>
    <xf numFmtId="169" fontId="38" fillId="1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0" fontId="67" fillId="2" borderId="0" xfId="0" applyFont="1" applyFill="1" applyAlignment="1">
      <alignment horizontal="left" vertical="center"/>
    </xf>
    <xf numFmtId="169" fontId="69" fillId="0" borderId="0" xfId="0" applyNumberFormat="1" applyFont="1" applyAlignment="1">
      <alignment horizontal="right" vertical="center"/>
    </xf>
    <xf numFmtId="0" fontId="47" fillId="26" borderId="0" xfId="0" applyFont="1" applyFill="1" applyAlignment="1">
      <alignment horizontal="left" vertical="center"/>
    </xf>
    <xf numFmtId="165" fontId="47" fillId="26" borderId="0" xfId="0" applyNumberFormat="1" applyFont="1" applyFill="1" applyAlignment="1">
      <alignment horizontal="right" vertical="center"/>
    </xf>
    <xf numFmtId="0" fontId="18" fillId="13" borderId="0" xfId="0" applyFont="1" applyFill="1" applyAlignment="1">
      <alignment horizontal="left" vertical="center"/>
    </xf>
    <xf numFmtId="165" fontId="18" fillId="13" borderId="0" xfId="0" applyNumberFormat="1" applyFont="1" applyFill="1" applyAlignment="1">
      <alignment horizontal="right" vertical="center"/>
    </xf>
    <xf numFmtId="0" fontId="71" fillId="15" borderId="4" xfId="0" applyFont="1" applyFill="1" applyBorder="1" applyAlignment="1">
      <alignment horizontal="left" vertical="center"/>
    </xf>
    <xf numFmtId="3" fontId="41" fillId="15" borderId="4" xfId="0" applyNumberFormat="1" applyFont="1" applyFill="1" applyBorder="1" applyAlignment="1">
      <alignment horizontal="center" vertical="center"/>
    </xf>
    <xf numFmtId="165" fontId="44" fillId="15" borderId="5" xfId="0" applyNumberFormat="1" applyFont="1" applyFill="1" applyBorder="1" applyAlignment="1">
      <alignment horizontal="left" vertical="center"/>
    </xf>
    <xf numFmtId="3" fontId="72" fillId="15" borderId="5" xfId="0" applyNumberFormat="1" applyFont="1" applyFill="1" applyBorder="1" applyAlignment="1">
      <alignment horizontal="center" vertical="center"/>
    </xf>
    <xf numFmtId="3" fontId="72" fillId="15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left" vertical="center"/>
    </xf>
    <xf numFmtId="165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56" fillId="0" borderId="0" xfId="0" applyFont="1" applyAlignment="1">
      <alignment horizontal="left" vertical="center"/>
    </xf>
    <xf numFmtId="0" fontId="73" fillId="0" borderId="0" xfId="0" applyFont="1" applyAlignment="1">
      <alignment horizontal="left" vertical="center"/>
    </xf>
    <xf numFmtId="165" fontId="73" fillId="0" borderId="0" xfId="0" applyNumberFormat="1" applyFont="1" applyAlignment="1">
      <alignment horizontal="right" vertical="center"/>
    </xf>
    <xf numFmtId="0" fontId="73" fillId="0" borderId="0" xfId="0" applyFont="1" applyAlignment="1">
      <alignment horizontal="right" vertical="center"/>
    </xf>
    <xf numFmtId="165" fontId="23" fillId="3" borderId="0" xfId="0" applyNumberFormat="1" applyFont="1" applyFill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23" fillId="3" borderId="0" xfId="0" applyFont="1" applyFill="1" applyAlignment="1">
      <alignment vertical="center"/>
    </xf>
    <xf numFmtId="0" fontId="30" fillId="0" borderId="0" xfId="0" applyFont="1" applyAlignment="1">
      <alignment horizontal="left" vertical="center"/>
    </xf>
    <xf numFmtId="3" fontId="30" fillId="8" borderId="0" xfId="0" applyNumberFormat="1" applyFont="1" applyFill="1" applyAlignment="1">
      <alignment horizontal="right" vertical="center"/>
    </xf>
    <xf numFmtId="0" fontId="1" fillId="0" borderId="0" xfId="0" applyFont="1"/>
    <xf numFmtId="0" fontId="74" fillId="0" borderId="0" xfId="0" applyFont="1"/>
    <xf numFmtId="0" fontId="75" fillId="27" borderId="0" xfId="0" applyFont="1" applyFill="1" applyAlignment="1">
      <alignment horizontal="center"/>
    </xf>
    <xf numFmtId="4" fontId="75" fillId="27" borderId="0" xfId="0" applyNumberFormat="1" applyFont="1" applyFill="1" applyAlignment="1">
      <alignment horizontal="center"/>
    </xf>
    <xf numFmtId="0" fontId="76" fillId="0" borderId="0" xfId="0" applyFont="1"/>
    <xf numFmtId="173" fontId="76" fillId="0" borderId="0" xfId="0" applyNumberFormat="1" applyFont="1" applyAlignment="1">
      <alignment horizontal="center"/>
    </xf>
    <xf numFmtId="4" fontId="74" fillId="0" borderId="0" xfId="0" applyNumberFormat="1" applyFont="1" applyAlignment="1">
      <alignment horizontal="center"/>
    </xf>
    <xf numFmtId="174" fontId="76" fillId="0" borderId="0" xfId="0" applyNumberFormat="1" applyFont="1"/>
    <xf numFmtId="0" fontId="77" fillId="0" borderId="7" xfId="0" applyFont="1" applyBorder="1"/>
    <xf numFmtId="0" fontId="77" fillId="0" borderId="0" xfId="0" applyFont="1"/>
    <xf numFmtId="9" fontId="74" fillId="0" borderId="0" xfId="0" applyNumberFormat="1" applyFont="1"/>
    <xf numFmtId="173" fontId="74" fillId="0" borderId="7" xfId="0" applyNumberFormat="1" applyFont="1" applyBorder="1"/>
    <xf numFmtId="17" fontId="74" fillId="0" borderId="7" xfId="0" applyNumberFormat="1" applyFont="1" applyBorder="1"/>
    <xf numFmtId="0" fontId="74" fillId="0" borderId="7" xfId="0" applyFont="1" applyBorder="1"/>
    <xf numFmtId="2" fontId="74" fillId="0" borderId="7" xfId="0" applyNumberFormat="1" applyFont="1" applyBorder="1"/>
    <xf numFmtId="4" fontId="76" fillId="0" borderId="0" xfId="0" applyNumberFormat="1" applyFont="1" applyAlignment="1">
      <alignment horizontal="center"/>
    </xf>
    <xf numFmtId="0" fontId="76" fillId="0" borderId="0" xfId="0" applyFont="1" applyAlignment="1">
      <alignment horizontal="right"/>
    </xf>
    <xf numFmtId="175" fontId="78" fillId="0" borderId="0" xfId="0" applyNumberFormat="1" applyFont="1" applyAlignment="1">
      <alignment horizontal="center"/>
    </xf>
    <xf numFmtId="3" fontId="76" fillId="0" borderId="0" xfId="0" applyNumberFormat="1" applyFont="1"/>
    <xf numFmtId="3" fontId="74" fillId="0" borderId="0" xfId="0" applyNumberFormat="1" applyFont="1"/>
    <xf numFmtId="0" fontId="74" fillId="0" borderId="8" xfId="0" applyFont="1" applyBorder="1" applyAlignment="1">
      <alignment horizontal="left" vertical="center" wrapText="1"/>
    </xf>
    <xf numFmtId="0" fontId="74" fillId="0" borderId="0" xfId="0" applyFont="1" applyAlignment="1">
      <alignment horizontal="left" vertical="center" wrapText="1"/>
    </xf>
    <xf numFmtId="0" fontId="77" fillId="20" borderId="8" xfId="0" applyFont="1" applyFill="1" applyBorder="1" applyAlignment="1">
      <alignment horizontal="left" vertical="center" wrapText="1"/>
    </xf>
    <xf numFmtId="0" fontId="74" fillId="20" borderId="0" xfId="0" applyFont="1" applyFill="1"/>
    <xf numFmtId="3" fontId="74" fillId="20" borderId="0" xfId="0" applyNumberFormat="1" applyFont="1" applyFill="1"/>
    <xf numFmtId="175" fontId="76" fillId="0" borderId="0" xfId="0" applyNumberFormat="1" applyFont="1" applyAlignment="1">
      <alignment horizontal="center"/>
    </xf>
    <xf numFmtId="3" fontId="77" fillId="20" borderId="0" xfId="0" applyNumberFormat="1" applyFont="1" applyFill="1"/>
    <xf numFmtId="0" fontId="76" fillId="28" borderId="0" xfId="0" applyFont="1" applyFill="1" applyAlignment="1">
      <alignment horizontal="center"/>
    </xf>
    <xf numFmtId="176" fontId="76" fillId="28" borderId="0" xfId="0" applyNumberFormat="1" applyFont="1" applyFill="1" applyAlignment="1">
      <alignment horizontal="center"/>
    </xf>
    <xf numFmtId="176" fontId="78" fillId="28" borderId="0" xfId="0" applyNumberFormat="1" applyFont="1" applyFill="1" applyAlignment="1">
      <alignment horizontal="center"/>
    </xf>
    <xf numFmtId="0" fontId="76" fillId="0" borderId="0" xfId="0" applyFont="1" applyAlignment="1">
      <alignment horizontal="center"/>
    </xf>
    <xf numFmtId="176" fontId="76" fillId="0" borderId="0" xfId="0" applyNumberFormat="1" applyFont="1"/>
    <xf numFmtId="176" fontId="74" fillId="0" borderId="0" xfId="0" applyNumberFormat="1" applyFont="1"/>
    <xf numFmtId="0" fontId="79" fillId="29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173" fontId="76" fillId="0" borderId="0" xfId="0" applyNumberFormat="1" applyFont="1" applyAlignment="1">
      <alignment horizontal="center" vertical="center"/>
    </xf>
    <xf numFmtId="0" fontId="76" fillId="30" borderId="0" xfId="0" applyFont="1" applyFill="1" applyAlignment="1">
      <alignment horizontal="center" vertical="center"/>
    </xf>
    <xf numFmtId="2" fontId="76" fillId="0" borderId="0" xfId="0" applyNumberFormat="1" applyFont="1" applyAlignment="1">
      <alignment horizontal="center" vertical="center"/>
    </xf>
    <xf numFmtId="10" fontId="76" fillId="30" borderId="0" xfId="0" applyNumberFormat="1" applyFont="1" applyFill="1" applyAlignment="1">
      <alignment horizontal="center" vertical="center"/>
    </xf>
    <xf numFmtId="10" fontId="76" fillId="0" borderId="0" xfId="0" applyNumberFormat="1" applyFont="1" applyAlignment="1">
      <alignment horizontal="center" vertical="center"/>
    </xf>
    <xf numFmtId="0" fontId="77" fillId="31" borderId="8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80" fillId="30" borderId="0" xfId="0" applyFont="1" applyFill="1" applyAlignment="1">
      <alignment horizontal="center" vertical="center" wrapText="1"/>
    </xf>
    <xf numFmtId="2" fontId="80" fillId="30" borderId="0" xfId="0" applyNumberFormat="1" applyFont="1" applyFill="1" applyAlignment="1">
      <alignment horizontal="center" vertical="center"/>
    </xf>
    <xf numFmtId="0" fontId="80" fillId="30" borderId="0" xfId="0" applyFont="1" applyFill="1" applyAlignment="1">
      <alignment horizontal="center" vertical="center"/>
    </xf>
    <xf numFmtId="2" fontId="80" fillId="32" borderId="0" xfId="0" applyNumberFormat="1" applyFont="1" applyFill="1" applyAlignment="1">
      <alignment horizontal="center" vertical="center"/>
    </xf>
    <xf numFmtId="2" fontId="80" fillId="0" borderId="0" xfId="0" applyNumberFormat="1" applyFont="1" applyAlignment="1">
      <alignment horizontal="center" vertical="center"/>
    </xf>
    <xf numFmtId="10" fontId="80" fillId="30" borderId="0" xfId="0" applyNumberFormat="1" applyFont="1" applyFill="1" applyAlignment="1">
      <alignment horizontal="center" vertical="center"/>
    </xf>
    <xf numFmtId="0" fontId="80" fillId="0" borderId="0" xfId="0" applyFont="1" applyAlignment="1">
      <alignment horizontal="center" vertical="center"/>
    </xf>
    <xf numFmtId="173" fontId="80" fillId="0" borderId="0" xfId="0" applyNumberFormat="1" applyFont="1" applyAlignment="1">
      <alignment horizontal="center" vertical="center"/>
    </xf>
    <xf numFmtId="0" fontId="81" fillId="32" borderId="0" xfId="0" applyFont="1" applyFill="1" applyAlignment="1">
      <alignment horizontal="center" vertical="center"/>
    </xf>
    <xf numFmtId="0" fontId="80" fillId="0" borderId="0" xfId="0" applyFont="1" applyAlignment="1">
      <alignment horizontal="center"/>
    </xf>
    <xf numFmtId="0" fontId="82" fillId="33" borderId="9" xfId="0" applyFont="1" applyFill="1" applyBorder="1" applyAlignment="1">
      <alignment horizontal="center" vertical="center" wrapText="1"/>
    </xf>
    <xf numFmtId="0" fontId="83" fillId="27" borderId="0" xfId="0" applyFont="1" applyFill="1" applyAlignment="1">
      <alignment horizontal="center" vertical="center" wrapText="1"/>
    </xf>
    <xf numFmtId="0" fontId="75" fillId="27" borderId="0" xfId="0" applyFont="1" applyFill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10" fontId="76" fillId="0" borderId="0" xfId="0" applyNumberFormat="1" applyFont="1"/>
    <xf numFmtId="2" fontId="76" fillId="0" borderId="0" xfId="0" applyNumberFormat="1" applyFont="1"/>
    <xf numFmtId="49" fontId="76" fillId="0" borderId="0" xfId="0" applyNumberFormat="1" applyFont="1" applyAlignment="1">
      <alignment horizontal="center"/>
    </xf>
    <xf numFmtId="0" fontId="76" fillId="10" borderId="0" xfId="0" applyFont="1" applyFill="1"/>
    <xf numFmtId="49" fontId="46" fillId="18" borderId="2" xfId="0" applyNumberFormat="1" applyFont="1" applyFill="1" applyBorder="1" applyAlignment="1">
      <alignment horizontal="left" vertical="center"/>
    </xf>
    <xf numFmtId="49" fontId="48" fillId="6" borderId="2" xfId="0" applyNumberFormat="1" applyFont="1" applyFill="1" applyBorder="1" applyAlignment="1">
      <alignment horizontal="left" vertical="center"/>
    </xf>
    <xf numFmtId="49" fontId="48" fillId="6" borderId="6" xfId="0" applyNumberFormat="1" applyFont="1" applyFill="1" applyBorder="1" applyAlignment="1">
      <alignment horizontal="left" vertical="center"/>
    </xf>
    <xf numFmtId="49" fontId="46" fillId="9" borderId="2" xfId="0" applyNumberFormat="1" applyFont="1" applyFill="1" applyBorder="1" applyAlignment="1">
      <alignment horizontal="left" vertical="center"/>
    </xf>
    <xf numFmtId="0" fontId="40" fillId="14" borderId="0" xfId="0" applyFont="1" applyFill="1" applyAlignment="1">
      <alignment horizontal="left" vertical="center"/>
    </xf>
    <xf numFmtId="0" fontId="40" fillId="11" borderId="0" xfId="0" applyFont="1" applyFill="1" applyAlignment="1">
      <alignment horizontal="left" vertical="center"/>
    </xf>
    <xf numFmtId="0" fontId="40" fillId="6" borderId="0" xfId="0" applyFont="1" applyFill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vertical="center" wrapText="1"/>
    </xf>
    <xf numFmtId="0" fontId="10" fillId="9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vertical="center"/>
    </xf>
    <xf numFmtId="0" fontId="15" fillId="9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165" fontId="2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165" fontId="7" fillId="7" borderId="0" xfId="0" applyNumberFormat="1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165" fontId="9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49" fontId="15" fillId="10" borderId="0" xfId="0" applyNumberFormat="1" applyFont="1" applyFill="1" applyAlignment="1">
      <alignment horizontal="right" vertical="center"/>
    </xf>
    <xf numFmtId="0" fontId="16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49" fontId="15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7" fontId="15" fillId="9" borderId="0" xfId="0" applyNumberFormat="1" applyFont="1" applyFill="1" applyAlignment="1">
      <alignment horizontal="right" vertical="center"/>
    </xf>
    <xf numFmtId="0" fontId="18" fillId="11" borderId="1" xfId="0" applyFont="1" applyFill="1" applyBorder="1" applyAlignment="1">
      <alignment horizontal="left" vertical="center"/>
    </xf>
    <xf numFmtId="168" fontId="15" fillId="10" borderId="0" xfId="0" applyNumberFormat="1" applyFont="1" applyFill="1" applyAlignment="1">
      <alignment horizontal="right" vertical="center"/>
    </xf>
    <xf numFmtId="0" fontId="19" fillId="6" borderId="1" xfId="0" applyFont="1" applyFill="1" applyBorder="1" applyAlignment="1">
      <alignment horizontal="left" vertical="center"/>
    </xf>
    <xf numFmtId="168" fontId="15" fillId="9" borderId="0" xfId="0" applyNumberFormat="1" applyFont="1" applyFill="1" applyAlignment="1">
      <alignment horizontal="right" vertical="center"/>
    </xf>
    <xf numFmtId="0" fontId="21" fillId="8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69" fontId="15" fillId="9" borderId="0" xfId="0" applyNumberFormat="1" applyFont="1" applyFill="1" applyAlignment="1">
      <alignment horizontal="right" vertical="center"/>
    </xf>
    <xf numFmtId="0" fontId="23" fillId="3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19" fillId="6" borderId="2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center" vertical="center"/>
    </xf>
    <xf numFmtId="0" fontId="36" fillId="13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35" fillId="22" borderId="0" xfId="0" applyFont="1" applyFill="1" applyAlignment="1">
      <alignment horizontal="left" vertical="center"/>
    </xf>
    <xf numFmtId="0" fontId="10" fillId="18" borderId="2" xfId="0" applyFont="1" applyFill="1" applyBorder="1" applyAlignment="1">
      <alignment horizontal="center" vertical="center" wrapText="1"/>
    </xf>
    <xf numFmtId="0" fontId="10" fillId="18" borderId="10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/>
    </xf>
    <xf numFmtId="0" fontId="5" fillId="17" borderId="10" xfId="0" applyFont="1" applyFill="1" applyBorder="1" applyAlignment="1">
      <alignment horizontal="center" vertical="center"/>
    </xf>
    <xf numFmtId="0" fontId="5" fillId="17" borderId="1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49" fillId="14" borderId="6" xfId="0" applyFont="1" applyFill="1" applyBorder="1" applyAlignment="1">
      <alignment horizontal="left" vertical="center"/>
    </xf>
    <xf numFmtId="0" fontId="10" fillId="14" borderId="6" xfId="0" applyFont="1" applyFill="1" applyBorder="1" applyAlignment="1">
      <alignment horizontal="left" vertical="center" wrapText="1"/>
    </xf>
    <xf numFmtId="0" fontId="53" fillId="19" borderId="0" xfId="0" applyFont="1" applyFill="1" applyAlignment="1">
      <alignment horizontal="left" vertical="center" wrapText="1"/>
    </xf>
    <xf numFmtId="49" fontId="46" fillId="9" borderId="2" xfId="0" applyNumberFormat="1" applyFont="1" applyFill="1" applyBorder="1" applyAlignment="1">
      <alignment horizontal="left" vertical="center"/>
    </xf>
    <xf numFmtId="0" fontId="34" fillId="2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left" vertical="center" wrapText="1"/>
    </xf>
    <xf numFmtId="0" fontId="57" fillId="2" borderId="0" xfId="0" applyFont="1" applyFill="1" applyAlignment="1">
      <alignment horizontal="center" vertical="center"/>
    </xf>
    <xf numFmtId="0" fontId="58" fillId="23" borderId="0" xfId="0" applyFont="1" applyFill="1" applyAlignment="1">
      <alignment horizontal="center" vertical="center"/>
    </xf>
    <xf numFmtId="0" fontId="12" fillId="22" borderId="0" xfId="0" applyFont="1" applyFill="1" applyAlignment="1">
      <alignment horizontal="left" vertical="center"/>
    </xf>
    <xf numFmtId="0" fontId="12" fillId="25" borderId="0" xfId="0" applyFont="1" applyFill="1" applyAlignment="1">
      <alignment horizontal="left" vertical="center"/>
    </xf>
    <xf numFmtId="0" fontId="12" fillId="23" borderId="0" xfId="0" applyFont="1" applyFill="1" applyAlignment="1">
      <alignment horizontal="left" vertical="center"/>
    </xf>
    <xf numFmtId="0" fontId="12" fillId="21" borderId="0" xfId="0" applyFont="1" applyFill="1" applyAlignment="1">
      <alignment horizontal="left" vertical="center"/>
    </xf>
  </cellXfs>
  <cellStyles count="8">
    <cellStyle name="Normal" xfId="0" builtinId="0"/>
    <cellStyle name="Normal 2" xfId="1" xr:uid="{00000000-0005-0000-0000-000006000000}"/>
    <cellStyle name="Normal 2 2" xfId="2" xr:uid="{00000000-0005-0000-0000-000007000000}"/>
    <cellStyle name="Normal 3" xfId="3" xr:uid="{00000000-0005-0000-0000-000008000000}"/>
    <cellStyle name="Normal 4" xfId="4" xr:uid="{00000000-0005-0000-0000-000009000000}"/>
    <cellStyle name="Normal 5" xfId="5" xr:uid="{00000000-0005-0000-0000-00000A000000}"/>
    <cellStyle name="Percent 2" xfId="6" xr:uid="{00000000-0005-0000-0000-00000B000000}"/>
    <cellStyle name="Percent 3" xfId="7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EBF0FA"/>
      <rgbColor rgb="FF0000FF"/>
      <rgbColor rgb="FFE2EFDA"/>
      <rgbColor rgb="FFFBE9E7"/>
      <rgbColor rgb="FFD9E7FD"/>
      <rgbColor rgb="FFFFF5F5"/>
      <rgbColor rgb="FF008000"/>
      <rgbColor rgb="FF000080"/>
      <rgbColor rgb="FF7F6000"/>
      <rgbColor rgb="FFF2F2F2"/>
      <rgbColor rgb="FF1F7A5C"/>
      <rgbColor rgb="FFCCCCCC"/>
      <rgbColor rgb="FF808080"/>
      <rgbColor rgb="FF95B3D7"/>
      <rgbColor rgb="FFC0504D"/>
      <rgbColor rgb="FFFFF3CD"/>
      <rgbColor rgb="FFE0F4EF"/>
      <rgbColor rgb="FFF5F5F5"/>
      <rgbColor rgb="FFC65911"/>
      <rgbColor rgb="FF2E5FA3"/>
      <rgbColor rgb="FFBDD7EE"/>
      <rgbColor rgb="FF000080"/>
      <rgbColor rgb="FFFDECEA"/>
      <rgbColor rgb="FFFFF9E6"/>
      <rgbColor rgb="FFD9D9D9"/>
      <rgbColor rgb="FFFEF0E7"/>
      <rgbColor rgb="FF800000"/>
      <rgbColor rgb="FFEBF3FB"/>
      <rgbColor rgb="FF0000FF"/>
      <rgbColor rgb="FFD0D0D0"/>
      <rgbColor rgb="FFE8F5E9"/>
      <rgbColor rgb="FFD3F1DB"/>
      <rgbColor rgb="FFFFF2CC"/>
      <rgbColor rgb="FFAACCFF"/>
      <rgbColor rgb="FFB3B3B3"/>
      <rgbColor rgb="FFB3A2C7"/>
      <rgbColor rgb="FFFFE0B2"/>
      <rgbColor rgb="FF888888"/>
      <rgbColor rgb="FF71A1DC"/>
      <rgbColor rgb="FF6AA84F"/>
      <rgbColor rgb="FFFFE2CC"/>
      <rgbColor rgb="FFF79646"/>
      <rgbColor rgb="FFCC6600"/>
      <rgbColor rgb="FF606060"/>
      <rgbColor rgb="FF999999"/>
      <rgbColor rgb="FF093C92"/>
      <rgbColor rgb="FF277E3E"/>
      <rgbColor rgb="FF003300"/>
      <rgbColor rgb="FF375623"/>
      <rgbColor rgb="FFC05200"/>
      <rgbColor rgb="FF595959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Custo Mensal — SEM vs COM Helexia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Resumo!$Q$22</c:f>
              <c:strCache>
                <c:ptCount val="1"/>
                <c:pt idx="0">
                  <c:v>SEM Helexia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Resumo!$Q$23:$Q$82</c:f>
              <c:numCache>
                <c:formatCode>"R$ "#,##0;"(R$ "#,##0\);\-</c:formatCode>
                <c:ptCount val="60"/>
                <c:pt idx="0">
                  <c:v>29914.642987477626</c:v>
                </c:pt>
                <c:pt idx="1">
                  <c:v>231391.59420419947</c:v>
                </c:pt>
                <c:pt idx="2">
                  <c:v>156548.84776591352</c:v>
                </c:pt>
                <c:pt idx="3">
                  <c:v>42616.080365200702</c:v>
                </c:pt>
                <c:pt idx="4">
                  <c:v>43352.771137035983</c:v>
                </c:pt>
                <c:pt idx="5">
                  <c:v>43210.245535449765</c:v>
                </c:pt>
                <c:pt idx="6">
                  <c:v>44658.638824296788</c:v>
                </c:pt>
                <c:pt idx="7">
                  <c:v>42485.586145566551</c:v>
                </c:pt>
                <c:pt idx="8">
                  <c:v>45032.537155730781</c:v>
                </c:pt>
                <c:pt idx="9">
                  <c:v>208537.25717620217</c:v>
                </c:pt>
                <c:pt idx="10">
                  <c:v>35167.729445941346</c:v>
                </c:pt>
                <c:pt idx="11">
                  <c:v>32721.656945990748</c:v>
                </c:pt>
                <c:pt idx="12">
                  <c:v>70854.001847767911</c:v>
                </c:pt>
                <c:pt idx="13">
                  <c:v>281668.22725323628</c:v>
                </c:pt>
                <c:pt idx="14">
                  <c:v>161720.42291011635</c:v>
                </c:pt>
                <c:pt idx="15">
                  <c:v>43683.171395258607</c:v>
                </c:pt>
                <c:pt idx="16">
                  <c:v>44437.446494562333</c:v>
                </c:pt>
                <c:pt idx="17">
                  <c:v>44288.442456540361</c:v>
                </c:pt>
                <c:pt idx="18">
                  <c:v>45776.631854921201</c:v>
                </c:pt>
                <c:pt idx="19">
                  <c:v>42485.586145566551</c:v>
                </c:pt>
                <c:pt idx="20">
                  <c:v>45032.537155730781</c:v>
                </c:pt>
                <c:pt idx="21">
                  <c:v>212454.36965114219</c:v>
                </c:pt>
                <c:pt idx="22">
                  <c:v>35167.729445941346</c:v>
                </c:pt>
                <c:pt idx="23">
                  <c:v>32721.656945990748</c:v>
                </c:pt>
                <c:pt idx="24" formatCode="General">
                  <c:v>74598.212109594475</c:v>
                </c:pt>
                <c:pt idx="25">
                  <c:v>374262.46539323358</c:v>
                </c:pt>
                <c:pt idx="26">
                  <c:v>249540.36133272297</c:v>
                </c:pt>
                <c:pt idx="27">
                  <c:v>44773.399698301298</c:v>
                </c:pt>
                <c:pt idx="28">
                  <c:v>45548.035597831615</c:v>
                </c:pt>
                <c:pt idx="29">
                  <c:v>45399.957050729048</c:v>
                </c:pt>
                <c:pt idx="30">
                  <c:v>46918.687649449777</c:v>
                </c:pt>
                <c:pt idx="31">
                  <c:v>44635.501551312016</c:v>
                </c:pt>
                <c:pt idx="32">
                  <c:v>47311.095799271599</c:v>
                </c:pt>
                <c:pt idx="33">
                  <c:v>244075.16493770655</c:v>
                </c:pt>
                <c:pt idx="34">
                  <c:v>36945.597502091594</c:v>
                </c:pt>
                <c:pt idx="35">
                  <c:v>34378.285691700767</c:v>
                </c:pt>
                <c:pt idx="36">
                  <c:v>178845.24258358398</c:v>
                </c:pt>
                <c:pt idx="37">
                  <c:v>478339.97852498898</c:v>
                </c:pt>
                <c:pt idx="38">
                  <c:v>258195.24017286752</c:v>
                </c:pt>
                <c:pt idx="39">
                  <c:v>45893.243710764466</c:v>
                </c:pt>
                <c:pt idx="40">
                  <c:v>46687.314919602024</c:v>
                </c:pt>
                <c:pt idx="41">
                  <c:v>46532.757936063717</c:v>
                </c:pt>
                <c:pt idx="42">
                  <c:v>48092.210135237678</c:v>
                </c:pt>
                <c:pt idx="43">
                  <c:v>45752.569091017038</c:v>
                </c:pt>
                <c:pt idx="44">
                  <c:v>48494.798685172791</c:v>
                </c:pt>
                <c:pt idx="45">
                  <c:v>264503.61082086427</c:v>
                </c:pt>
                <c:pt idx="46">
                  <c:v>37871.088421482673</c:v>
                </c:pt>
                <c:pt idx="47">
                  <c:v>35238.066755815074</c:v>
                </c:pt>
                <c:pt idx="48">
                  <c:v>205381.47782891581</c:v>
                </c:pt>
                <c:pt idx="49" formatCode="General">
                  <c:v>492586.8983133405</c:v>
                </c:pt>
                <c:pt idx="50">
                  <c:v>267048.37759298243</c:v>
                </c:pt>
                <c:pt idx="51">
                  <c:v>47040.85245080942</c:v>
                </c:pt>
                <c:pt idx="52">
                  <c:v>47852.507987115372</c:v>
                </c:pt>
                <c:pt idx="53">
                  <c:v>47695.174530818891</c:v>
                </c:pt>
                <c:pt idx="54">
                  <c:v>49295.348330446068</c:v>
                </c:pt>
                <c:pt idx="55">
                  <c:v>46896.475867384404</c:v>
                </c:pt>
                <c:pt idx="56">
                  <c:v>49705.340807736306</c:v>
                </c:pt>
                <c:pt idx="57">
                  <c:v>285370.01529887447</c:v>
                </c:pt>
                <c:pt idx="58">
                  <c:v>38818.791122939132</c:v>
                </c:pt>
                <c:pt idx="59">
                  <c:v>36119.134111075371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7-49EF-B847-536E870A9CC5}"/>
            </c:ext>
          </c:extLst>
        </c:ser>
        <c:ser>
          <c:idx val="1"/>
          <c:order val="1"/>
          <c:tx>
            <c:strRef>
              <c:f>Resumo!$R$22</c:f>
              <c:strCache>
                <c:ptCount val="1"/>
                <c:pt idx="0">
                  <c:v>PPA</c:v>
                </c:pt>
              </c:strCache>
            </c:strRef>
          </c:tx>
          <c:spPr>
            <a:solidFill>
              <a:srgbClr val="F79646"/>
            </a:solidFill>
            <a:ln w="0">
              <a:solidFill>
                <a:srgbClr val="F7964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Resumo!$R$23:$R$82</c:f>
              <c:numCache>
                <c:formatCode>"R$ "#,##0;"(R$ "#,##0\);\-</c:formatCode>
                <c:ptCount val="60"/>
                <c:pt idx="0">
                  <c:v>54865.574999999997</c:v>
                </c:pt>
                <c:pt idx="1">
                  <c:v>57750.674999999996</c:v>
                </c:pt>
                <c:pt idx="2">
                  <c:v>69326.475000000006</c:v>
                </c:pt>
                <c:pt idx="3">
                  <c:v>65051.925000000003</c:v>
                </c:pt>
                <c:pt idx="4">
                  <c:v>66852.899999999994</c:v>
                </c:pt>
                <c:pt idx="5">
                  <c:v>64640.4</c:v>
                </c:pt>
                <c:pt idx="6">
                  <c:v>61379.175000000003</c:v>
                </c:pt>
                <c:pt idx="7">
                  <c:v>63022.752749999992</c:v>
                </c:pt>
                <c:pt idx="8">
                  <c:v>56158.670624999999</c:v>
                </c:pt>
                <c:pt idx="9">
                  <c:v>64414.061249999999</c:v>
                </c:pt>
                <c:pt idx="10">
                  <c:v>64273.169250000006</c:v>
                </c:pt>
                <c:pt idx="11">
                  <c:v>60152.078249999999</c:v>
                </c:pt>
                <c:pt idx="12">
                  <c:v>54591.247125000002</c:v>
                </c:pt>
                <c:pt idx="13">
                  <c:v>57461.921624999995</c:v>
                </c:pt>
                <c:pt idx="14">
                  <c:v>68979.842625000005</c:v>
                </c:pt>
                <c:pt idx="15">
                  <c:v>64726.665375000004</c:v>
                </c:pt>
                <c:pt idx="16">
                  <c:v>66518.635500000004</c:v>
                </c:pt>
                <c:pt idx="17">
                  <c:v>64317.198000000004</c:v>
                </c:pt>
                <c:pt idx="18">
                  <c:v>61072.279125000008</c:v>
                </c:pt>
                <c:pt idx="19">
                  <c:v>63022.752749999992</c:v>
                </c:pt>
                <c:pt idx="20">
                  <c:v>56158.670624999999</c:v>
                </c:pt>
                <c:pt idx="21">
                  <c:v>64414.061249999999</c:v>
                </c:pt>
                <c:pt idx="22">
                  <c:v>64273.169250000006</c:v>
                </c:pt>
                <c:pt idx="23">
                  <c:v>60152.078249999999</c:v>
                </c:pt>
                <c:pt idx="24" formatCode="General">
                  <c:v>54318.290889374999</c:v>
                </c:pt>
                <c:pt idx="25">
                  <c:v>57174.612016874999</c:v>
                </c:pt>
                <c:pt idx="26">
                  <c:v>68634.943411875007</c:v>
                </c:pt>
                <c:pt idx="27">
                  <c:v>64403.032048124995</c:v>
                </c:pt>
                <c:pt idx="28">
                  <c:v>66186.042322500012</c:v>
                </c:pt>
                <c:pt idx="29">
                  <c:v>63995.612010000004</c:v>
                </c:pt>
                <c:pt idx="30">
                  <c:v>60766.917729375004</c:v>
                </c:pt>
                <c:pt idx="31">
                  <c:v>62707.638986250007</c:v>
                </c:pt>
                <c:pt idx="32">
                  <c:v>55877.877271875004</c:v>
                </c:pt>
                <c:pt idx="33">
                  <c:v>64091.990943750003</c:v>
                </c:pt>
                <c:pt idx="34">
                  <c:v>63951.803403750004</c:v>
                </c:pt>
                <c:pt idx="35">
                  <c:v>59851.317858750008</c:v>
                </c:pt>
                <c:pt idx="36">
                  <c:v>54046.69943492813</c:v>
                </c:pt>
                <c:pt idx="37">
                  <c:v>56888.738956790621</c:v>
                </c:pt>
                <c:pt idx="38">
                  <c:v>68291.768694815633</c:v>
                </c:pt>
                <c:pt idx="39">
                  <c:v>64081.016887884383</c:v>
                </c:pt>
                <c:pt idx="40">
                  <c:v>65855.112110887494</c:v>
                </c:pt>
                <c:pt idx="41">
                  <c:v>63675.633949950003</c:v>
                </c:pt>
                <c:pt idx="42">
                  <c:v>60463.083140728122</c:v>
                </c:pt>
                <c:pt idx="43">
                  <c:v>62394.10079131875</c:v>
                </c:pt>
                <c:pt idx="44">
                  <c:v>55598.487885515628</c:v>
                </c:pt>
                <c:pt idx="45">
                  <c:v>63771.530989031256</c:v>
                </c:pt>
                <c:pt idx="46">
                  <c:v>63632.044386731257</c:v>
                </c:pt>
                <c:pt idx="47">
                  <c:v>59552.061269456244</c:v>
                </c:pt>
                <c:pt idx="48">
                  <c:v>53776.465937753492</c:v>
                </c:pt>
                <c:pt idx="49" formatCode="General">
                  <c:v>56604.295262006672</c:v>
                </c:pt>
                <c:pt idx="50">
                  <c:v>67950.309851341546</c:v>
                </c:pt>
                <c:pt idx="51">
                  <c:v>63760.611803444961</c:v>
                </c:pt>
                <c:pt idx="52">
                  <c:v>65525.836550333064</c:v>
                </c:pt>
                <c:pt idx="53">
                  <c:v>63357.255780200256</c:v>
                </c:pt>
                <c:pt idx="54">
                  <c:v>60160.767725024496</c:v>
                </c:pt>
                <c:pt idx="55">
                  <c:v>62082.130287362153</c:v>
                </c:pt>
                <c:pt idx="56">
                  <c:v>55320.495446088054</c:v>
                </c:pt>
                <c:pt idx="57">
                  <c:v>63452.673334086096</c:v>
                </c:pt>
                <c:pt idx="58">
                  <c:v>63313.884164797601</c:v>
                </c:pt>
                <c:pt idx="59">
                  <c:v>59254.300963108974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7-49EF-B847-536E870A9CC5}"/>
            </c:ext>
          </c:extLst>
        </c:ser>
        <c:ser>
          <c:idx val="2"/>
          <c:order val="2"/>
          <c:tx>
            <c:strRef>
              <c:f>Resumo!$S$22</c:f>
              <c:strCache>
                <c:ptCount val="1"/>
                <c:pt idx="0">
                  <c:v>Rede COM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37562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Resumo!$S$23:$S$82</c:f>
              <c:numCache>
                <c:formatCode>"R$ "#,##0;"(R$ "#,##0\);\-</c:formatCode>
                <c:ptCount val="60"/>
                <c:pt idx="0">
                  <c:v>2939.9665134018951</c:v>
                </c:pt>
                <c:pt idx="1">
                  <c:v>82568.432981846723</c:v>
                </c:pt>
                <c:pt idx="2">
                  <c:v>1104.9864126160228</c:v>
                </c:pt>
                <c:pt idx="3">
                  <c:v>2690.9342599484985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 formatCode="General">
                  <c:v>0</c:v>
                </c:pt>
                <c:pt idx="25">
                  <c:v>0</c:v>
                </c:pt>
                <c:pt idx="26">
                  <c:v>72494.148535751403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116989.88091458243</c:v>
                </c:pt>
                <c:pt idx="38">
                  <c:v>96803.845962186955</c:v>
                </c:pt>
                <c:pt idx="39">
                  <c:v>8594.2941881471834</c:v>
                </c:pt>
                <c:pt idx="40">
                  <c:v>6345.3244878425403</c:v>
                </c:pt>
                <c:pt idx="41">
                  <c:v>6049.3296190640049</c:v>
                </c:pt>
                <c:pt idx="42">
                  <c:v>8390.301390579436</c:v>
                </c:pt>
                <c:pt idx="43">
                  <c:v>5867.3685053110821</c:v>
                </c:pt>
                <c:pt idx="44">
                  <c:v>14388.288018454177</c:v>
                </c:pt>
                <c:pt idx="45">
                  <c:v>20039.412620583051</c:v>
                </c:pt>
                <c:pt idx="46">
                  <c:v>16574.449163897934</c:v>
                </c:pt>
                <c:pt idx="47">
                  <c:v>14406.417561161925</c:v>
                </c:pt>
                <c:pt idx="48">
                  <c:v>11649.25515794732</c:v>
                </c:pt>
                <c:pt idx="49" formatCode="General">
                  <c:v>134255.49345320321</c:v>
                </c:pt>
                <c:pt idx="50">
                  <c:v>110057.34128859195</c:v>
                </c:pt>
                <c:pt idx="51">
                  <c:v>27528.935337401294</c:v>
                </c:pt>
                <c:pt idx="52">
                  <c:v>27454.037890229152</c:v>
                </c:pt>
                <c:pt idx="53">
                  <c:v>29825.156445998535</c:v>
                </c:pt>
                <c:pt idx="54">
                  <c:v>23194.604706650225</c:v>
                </c:pt>
                <c:pt idx="55">
                  <c:v>19091.05776154613</c:v>
                </c:pt>
                <c:pt idx="56">
                  <c:v>25268.978566919308</c:v>
                </c:pt>
                <c:pt idx="57">
                  <c:v>14961.29443938459</c:v>
                </c:pt>
                <c:pt idx="58">
                  <c:v>8234.8257524908859</c:v>
                </c:pt>
                <c:pt idx="59">
                  <c:v>6436.8207792972589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67-49EF-B847-536E870A9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22403646"/>
        <c:axId val="47403476"/>
      </c:barChart>
      <c:catAx>
        <c:axId val="224036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7403476"/>
        <c:crosses val="autoZero"/>
        <c:auto val="1"/>
        <c:lblAlgn val="ctr"/>
        <c:lblOffset val="100"/>
        <c:noMultiLvlLbl val="0"/>
      </c:catAx>
      <c:valAx>
        <c:axId val="474034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24036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Economia Liquida 
Acumulada ao Longo do Contrato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Eco acumulada</c:v>
          </c:tx>
          <c:spPr>
            <a:ln w="2844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Resumo!$P$23:$P$142</c:f>
              <c:strCache>
                <c:ptCount val="10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  <c:pt idx="60">
                  <c:v>Jun/31</c:v>
                </c:pt>
                <c:pt idx="61">
                  <c:v>Jul/31</c:v>
                </c:pt>
                <c:pt idx="62">
                  <c:v>Ago/31</c:v>
                </c:pt>
                <c:pt idx="63">
                  <c:v>Set/31</c:v>
                </c:pt>
                <c:pt idx="64">
                  <c:v>Out/31</c:v>
                </c:pt>
                <c:pt idx="65">
                  <c:v>Nov/31</c:v>
                </c:pt>
                <c:pt idx="66">
                  <c:v>Dez/31</c:v>
                </c:pt>
                <c:pt idx="67">
                  <c:v>Jan/32</c:v>
                </c:pt>
                <c:pt idx="68">
                  <c:v>Fev/32</c:v>
                </c:pt>
                <c:pt idx="69">
                  <c:v>Mar/32</c:v>
                </c:pt>
                <c:pt idx="70">
                  <c:v>Abr/32</c:v>
                </c:pt>
                <c:pt idx="71">
                  <c:v>Mai/32</c:v>
                </c:pt>
                <c:pt idx="72">
                  <c:v>Jun/32</c:v>
                </c:pt>
                <c:pt idx="73">
                  <c:v>Jul/32</c:v>
                </c:pt>
                <c:pt idx="74">
                  <c:v>Ago/32</c:v>
                </c:pt>
                <c:pt idx="75">
                  <c:v>Set/32</c:v>
                </c:pt>
                <c:pt idx="76">
                  <c:v>Out/32</c:v>
                </c:pt>
                <c:pt idx="77">
                  <c:v>Nov/32</c:v>
                </c:pt>
                <c:pt idx="78">
                  <c:v>Jan/33</c:v>
                </c:pt>
                <c:pt idx="79">
                  <c:v>Set/34</c:v>
                </c:pt>
                <c:pt idx="80">
                  <c:v>Out/34</c:v>
                </c:pt>
                <c:pt idx="81">
                  <c:v>Nov/34</c:v>
                </c:pt>
                <c:pt idx="82">
                  <c:v>Dez/34</c:v>
                </c:pt>
                <c:pt idx="83">
                  <c:v>Jan/35</c:v>
                </c:pt>
                <c:pt idx="84">
                  <c:v>Fev/35</c:v>
                </c:pt>
                <c:pt idx="85">
                  <c:v>Mar/35</c:v>
                </c:pt>
                <c:pt idx="86">
                  <c:v>Abr/35</c:v>
                </c:pt>
                <c:pt idx="87">
                  <c:v>Mai/35</c:v>
                </c:pt>
                <c:pt idx="88">
                  <c:v>Jun/35</c:v>
                </c:pt>
                <c:pt idx="89">
                  <c:v>Jul/35</c:v>
                </c:pt>
                <c:pt idx="90">
                  <c:v>Ago/35</c:v>
                </c:pt>
                <c:pt idx="91">
                  <c:v>Set/35</c:v>
                </c:pt>
                <c:pt idx="92">
                  <c:v>Out/35</c:v>
                </c:pt>
                <c:pt idx="93">
                  <c:v>Nov/35</c:v>
                </c:pt>
                <c:pt idx="94">
                  <c:v>Dez/35</c:v>
                </c:pt>
                <c:pt idx="95">
                  <c:v>Jan/36</c:v>
                </c:pt>
                <c:pt idx="96">
                  <c:v>Fev/36</c:v>
                </c:pt>
                <c:pt idx="97">
                  <c:v>Mar/36</c:v>
                </c:pt>
                <c:pt idx="98">
                  <c:v>Abr/36</c:v>
                </c:pt>
                <c:pt idx="99">
                  <c:v>Mai/36</c:v>
                </c:pt>
              </c:strCache>
            </c:strRef>
          </c:cat>
          <c:val>
            <c:numRef>
              <c:f>Resumo!$U$23:$U$142</c:f>
              <c:numCache>
                <c:formatCode>"R$ "#,##0;"(R$ "#,##0\);\-</c:formatCode>
                <c:ptCount val="100"/>
                <c:pt idx="0">
                  <c:v>-27890.898525924265</c:v>
                </c:pt>
                <c:pt idx="1">
                  <c:v>63181.587696428483</c:v>
                </c:pt>
                <c:pt idx="2">
                  <c:v>149298.97404972598</c:v>
                </c:pt>
                <c:pt idx="3">
                  <c:v>124172.19515497818</c:v>
                </c:pt>
                <c:pt idx="4">
                  <c:v>100672.06629201418</c:v>
                </c:pt>
                <c:pt idx="5">
                  <c:v>79241.911827463948</c:v>
                </c:pt>
                <c:pt idx="6">
                  <c:v>62521.375651760733</c:v>
                </c:pt>
                <c:pt idx="7">
                  <c:v>41984.209047327291</c:v>
                </c:pt>
                <c:pt idx="8">
                  <c:v>30858.075578058073</c:v>
                </c:pt>
                <c:pt idx="9">
                  <c:v>174981.27150426025</c:v>
                </c:pt>
                <c:pt idx="10">
                  <c:v>145875.83170020158</c:v>
                </c:pt>
                <c:pt idx="11">
                  <c:v>118445.41039619234</c:v>
                </c:pt>
                <c:pt idx="12">
                  <c:v>134708.16511896026</c:v>
                </c:pt>
                <c:pt idx="13">
                  <c:v>358914.47074719658</c:v>
                </c:pt>
                <c:pt idx="14">
                  <c:v>451655.05103231291</c:v>
                </c:pt>
                <c:pt idx="15">
                  <c:v>430611.5570525715</c:v>
                </c:pt>
                <c:pt idx="16">
                  <c:v>408530.36804713384</c:v>
                </c:pt>
                <c:pt idx="17">
                  <c:v>388501.61250367423</c:v>
                </c:pt>
                <c:pt idx="18">
                  <c:v>373205.9652335954</c:v>
                </c:pt>
                <c:pt idx="19">
                  <c:v>352668.79862916196</c:v>
                </c:pt>
                <c:pt idx="20">
                  <c:v>341542.66515989276</c:v>
                </c:pt>
                <c:pt idx="21">
                  <c:v>489582.97356103495</c:v>
                </c:pt>
                <c:pt idx="22">
                  <c:v>460477.53375697631</c:v>
                </c:pt>
                <c:pt idx="23">
                  <c:v>433047.11245296703</c:v>
                </c:pt>
                <c:pt idx="24" formatCode="General">
                  <c:v>453327.0336731865</c:v>
                </c:pt>
                <c:pt idx="25">
                  <c:v>770414.88704954507</c:v>
                </c:pt>
                <c:pt idx="26">
                  <c:v>878826.15643464169</c:v>
                </c:pt>
                <c:pt idx="27">
                  <c:v>859196.52408481797</c:v>
                </c:pt>
                <c:pt idx="28">
                  <c:v>838558.51736014953</c:v>
                </c:pt>
                <c:pt idx="29">
                  <c:v>819962.86240087857</c:v>
                </c:pt>
                <c:pt idx="30">
                  <c:v>806114.6323209533</c:v>
                </c:pt>
                <c:pt idx="31">
                  <c:v>788042.49488601531</c:v>
                </c:pt>
                <c:pt idx="32">
                  <c:v>779475.71341341187</c:v>
                </c:pt>
                <c:pt idx="33">
                  <c:v>959458.8874073684</c:v>
                </c:pt>
                <c:pt idx="34">
                  <c:v>932452.68150571</c:v>
                </c:pt>
                <c:pt idx="35">
                  <c:v>906979.64933866076</c:v>
                </c:pt>
                <c:pt idx="36">
                  <c:v>1031778.1924873167</c:v>
                </c:pt>
                <c:pt idx="37">
                  <c:v>1336239.5511409326</c:v>
                </c:pt>
                <c:pt idx="38">
                  <c:v>1429339.1766567975</c:v>
                </c:pt>
                <c:pt idx="39">
                  <c:v>1402557.1092915304</c:v>
                </c:pt>
                <c:pt idx="40">
                  <c:v>1377043.9876124025</c:v>
                </c:pt>
                <c:pt idx="41">
                  <c:v>1353851.7819794524</c:v>
                </c:pt>
                <c:pt idx="42">
                  <c:v>1333090.6075833824</c:v>
                </c:pt>
                <c:pt idx="43">
                  <c:v>1310581.7073777695</c:v>
                </c:pt>
                <c:pt idx="44">
                  <c:v>1289089.7301589726</c:v>
                </c:pt>
                <c:pt idx="45">
                  <c:v>1469782.3973702225</c:v>
                </c:pt>
                <c:pt idx="46">
                  <c:v>1427446.992241076</c:v>
                </c:pt>
                <c:pt idx="47">
                  <c:v>1388726.5801662728</c:v>
                </c:pt>
                <c:pt idx="48">
                  <c:v>1528682.3368994878</c:v>
                </c:pt>
                <c:pt idx="49" formatCode="General">
                  <c:v>1830409.4464976185</c:v>
                </c:pt>
                <c:pt idx="50">
                  <c:v>1919450.1729506673</c:v>
                </c:pt>
                <c:pt idx="51">
                  <c:v>1875201.4782606305</c:v>
                </c:pt>
                <c:pt idx="52">
                  <c:v>1830074.1118071836</c:v>
                </c:pt>
                <c:pt idx="53">
                  <c:v>1784586.8741118037</c:v>
                </c:pt>
                <c:pt idx="54">
                  <c:v>1750526.850010575</c:v>
                </c:pt>
                <c:pt idx="55">
                  <c:v>1716250.1378290511</c:v>
                </c:pt>
                <c:pt idx="56">
                  <c:v>1685366.00462378</c:v>
                </c:pt>
                <c:pt idx="57">
                  <c:v>1892322.0521491838</c:v>
                </c:pt>
                <c:pt idx="58">
                  <c:v>1859592.1333548345</c:v>
                </c:pt>
                <c:pt idx="59">
                  <c:v>1830020.1457235035</c:v>
                </c:pt>
                <c:pt idx="60">
                  <c:v>1994314.9768996821</c:v>
                </c:pt>
                <c:pt idx="61">
                  <c:v>2253530.1707049981</c:v>
                </c:pt>
                <c:pt idx="62">
                  <c:v>2323859.5132760708</c:v>
                </c:pt>
                <c:pt idx="63">
                  <c:v>2308634.8559409985</c:v>
                </c:pt>
                <c:pt idx="64">
                  <c:v>2290883.4080528342</c:v>
                </c:pt>
                <c:pt idx="65">
                  <c:v>2276002.3155065151</c:v>
                </c:pt>
                <c:pt idx="66">
                  <c:v>2264658.9311904958</c:v>
                </c:pt>
                <c:pt idx="67">
                  <c:v>2250956.2844168232</c:v>
                </c:pt>
                <c:pt idx="68">
                  <c:v>2245944.9040288385</c:v>
                </c:pt>
                <c:pt idx="69">
                  <c:v>2302223.4228744004</c:v>
                </c:pt>
                <c:pt idx="70">
                  <c:v>2279015.7392278071</c:v>
                </c:pt>
                <c:pt idx="71">
                  <c:v>2257079.1975269956</c:v>
                </c:pt>
                <c:pt idx="72">
                  <c:v>2380710.0904625594</c:v>
                </c:pt>
                <c:pt idx="73">
                  <c:v>2562007.5308836661</c:v>
                </c:pt>
                <c:pt idx="74" formatCode="General">
                  <c:v>2636940.3003586852</c:v>
                </c:pt>
                <c:pt idx="75">
                  <c:v>2623237.8412443823</c:v>
                </c:pt>
                <c:pt idx="76">
                  <c:v>2608641.9936186392</c:v>
                </c:pt>
                <c:pt idx="77">
                  <c:v>2596028.3577861954</c:v>
                </c:pt>
                <c:pt idx="78">
                  <c:v>2576066.5900971484</c:v>
                </c:pt>
                <c:pt idx="79" formatCode="General">
                  <c:v>2961701.7787033455</c:v>
                </c:pt>
                <c:pt idx="80">
                  <c:v>2950296.2804819886</c:v>
                </c:pt>
                <c:pt idx="81">
                  <c:v>2940844.1743085356</c:v>
                </c:pt>
                <c:pt idx="82">
                  <c:v>2933220.3912914093</c:v>
                </c:pt>
                <c:pt idx="83">
                  <c:v>2917744.6655975012</c:v>
                </c:pt>
                <c:pt idx="84">
                  <c:v>3012026.1284869732</c:v>
                </c:pt>
                <c:pt idx="85">
                  <c:v>3157160.9004671937</c:v>
                </c:pt>
                <c:pt idx="86">
                  <c:v>3133586.4350669086</c:v>
                </c:pt>
                <c:pt idx="87">
                  <c:v>3111512.7348051048</c:v>
                </c:pt>
                <c:pt idx="88">
                  <c:v>3300586.0647399644</c:v>
                </c:pt>
                <c:pt idx="89">
                  <c:v>3327219.5922100171</c:v>
                </c:pt>
                <c:pt idx="90">
                  <c:v>3323111.3056741962</c:v>
                </c:pt>
                <c:pt idx="91">
                  <c:v>3274982.196752822</c:v>
                </c:pt>
                <c:pt idx="92">
                  <c:v>3216619.274436133</c:v>
                </c:pt>
                <c:pt idx="93">
                  <c:v>3157994.9059341266</c:v>
                </c:pt>
                <c:pt idx="94">
                  <c:v>3104647.3101099688</c:v>
                </c:pt>
                <c:pt idx="95">
                  <c:v>3048979.2351599913</c:v>
                </c:pt>
                <c:pt idx="96">
                  <c:v>3094413.998529518</c:v>
                </c:pt>
                <c:pt idx="97">
                  <c:v>3234162.6136315772</c:v>
                </c:pt>
                <c:pt idx="98">
                  <c:v>3169696.7347233845</c:v>
                </c:pt>
                <c:pt idx="99">
                  <c:v>3109848.6774327098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2C-4A3A-BE4A-CC0F29A6A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368834"/>
        <c:axId val="10716373"/>
      </c:lineChart>
      <c:catAx>
        <c:axId val="803688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0716373"/>
        <c:crosses val="autoZero"/>
        <c:auto val="1"/>
        <c:lblAlgn val="ctr"/>
        <c:lblOffset val="100"/>
        <c:noMultiLvlLbl val="0"/>
      </c:catAx>
      <c:valAx>
        <c:axId val="107163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03688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102960</xdr:colOff>
      <xdr:row>21</xdr:row>
      <xdr:rowOff>0</xdr:rowOff>
    </xdr:from>
    <xdr:to>
      <xdr:col>6</xdr:col>
      <xdr:colOff>945655</xdr:colOff>
      <xdr:row>43</xdr:row>
      <xdr:rowOff>63785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305640</xdr:colOff>
      <xdr:row>43</xdr:row>
      <xdr:rowOff>66895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79547C-576D-49EF-8ED2-B1C91BAD87E5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C:\Users\C:\Users\C:\Users\C:\:f:\r\teams\bu-hlxbr-helexia_brazil\Documents%20partages\H-BRL-General\6-PROJECTS\_Engenharia%20Executiva\02%20-%20PROJETOS\MS%20-%20ENERGISA\CASSILANDIA%203\06%20-%20PVsyst%3fcsf=1&amp;web=1&amp;e=GTd49e" TargetMode="External"/><Relationship Id="rId2" Type="http://schemas.openxmlformats.org/officeDocument/2006/relationships/hyperlink" Target="file:///C:\Users\C:\Users\C:\Users\C:\Users\C:\:f:\r\teams\bu-hlxbr-helexia_brazil\Documents%20partages\H-BRL-General\6-PROJECTS\_Engenharia%20Executiva\02%20-%20PROJETOS\MS%20-%20ENERGISA\CASSILANDIA%202\06%20-%20PVsyst%3fcsf=1&amp;web=1&amp;e=3edxoh" TargetMode="External"/><Relationship Id="rId1" Type="http://schemas.openxmlformats.org/officeDocument/2006/relationships/hyperlink" Target="file:///C:\Users\C:\Users\C:\Users\C:\Users\C:\:f:\r\teams\bu-hlxbr-helexia_brazil\Documents%20partages\H-BRL-General\6-PROJECTS\_Engenharia%20Executiva\02%20-%20PROJETOS\MS%20-%20ENERGISA\CASSILANDIA%201\06%20-%20PVsyst%3fcsf=1&amp;web=1&amp;e=eUXV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Y142"/>
  <sheetViews>
    <sheetView showGridLines="0" topLeftCell="A36" zoomScale="87" zoomScaleNormal="87" workbookViewId="0"/>
  </sheetViews>
  <sheetFormatPr defaultColWidth="8.7265625" defaultRowHeight="14.5" x14ac:dyDescent="0.35"/>
  <cols>
    <col min="1" max="1" width="1.54296875" customWidth="1"/>
    <col min="2" max="2" width="28" customWidth="1"/>
    <col min="3" max="7" width="14" customWidth="1"/>
    <col min="8" max="8" width="1.54296875" customWidth="1"/>
    <col min="9" max="9" width="22.54296875" customWidth="1"/>
    <col min="10" max="12" width="14" customWidth="1"/>
    <col min="20" max="20" width="10" customWidth="1"/>
    <col min="21" max="21" width="12.54296875" customWidth="1"/>
    <col min="25" max="25" width="18.08984375" customWidth="1"/>
  </cols>
  <sheetData>
    <row r="1" spans="2:12" ht="31.5" customHeight="1" x14ac:dyDescent="0.35">
      <c r="B1" s="274" t="s">
        <v>0</v>
      </c>
      <c r="C1" s="274"/>
      <c r="D1" s="274"/>
      <c r="E1" s="274"/>
      <c r="F1" s="274"/>
      <c r="G1" s="274"/>
      <c r="H1" s="274"/>
      <c r="I1" s="274"/>
      <c r="J1" s="274"/>
      <c r="K1" s="274"/>
      <c r="L1" s="274"/>
    </row>
    <row r="2" spans="2:12" ht="13.5" customHeight="1" x14ac:dyDescent="0.35">
      <c r="B2" s="275" t="s">
        <v>1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</row>
    <row r="3" spans="2:12" ht="7.5" customHeight="1" x14ac:dyDescent="0.35"/>
    <row r="4" spans="2:12" ht="15.75" customHeight="1" x14ac:dyDescent="0.35">
      <c r="B4" s="276" t="s">
        <v>2</v>
      </c>
      <c r="C4" s="276"/>
      <c r="D4" s="277" t="s">
        <v>3</v>
      </c>
      <c r="E4" s="277"/>
      <c r="F4" s="276" t="s">
        <v>4</v>
      </c>
      <c r="G4" s="276"/>
      <c r="H4" s="278" t="s">
        <v>5</v>
      </c>
      <c r="I4" s="278"/>
      <c r="J4" s="279" t="s">
        <v>6</v>
      </c>
      <c r="K4" s="279"/>
    </row>
    <row r="5" spans="2:12" ht="30" customHeight="1" x14ac:dyDescent="0.35">
      <c r="B5" s="280">
        <f>Simulacao!B6</f>
        <v>9214611.6710287891</v>
      </c>
      <c r="C5" s="280"/>
      <c r="D5" s="281">
        <f>Simulacao!B7</f>
        <v>7326414.8765835855</v>
      </c>
      <c r="E5" s="281"/>
      <c r="F5" s="282">
        <f>Simulacao!B252</f>
        <v>3109848.6774327098</v>
      </c>
      <c r="G5" s="282"/>
      <c r="H5" s="283">
        <f>Simulacao!B273*Premissas!B17</f>
        <v>484986.04929376848</v>
      </c>
      <c r="I5" s="283"/>
      <c r="J5" s="284">
        <f>Simulacao!B278</f>
        <v>3579197.5290956199</v>
      </c>
      <c r="K5" s="284"/>
    </row>
    <row r="6" spans="2:12" ht="12.75" customHeight="1" x14ac:dyDescent="0.35">
      <c r="B6" s="285" t="s">
        <v>7</v>
      </c>
      <c r="C6" s="285"/>
      <c r="D6" s="286" t="s">
        <v>8</v>
      </c>
      <c r="E6" s="286"/>
      <c r="F6" s="285" t="s">
        <v>9</v>
      </c>
      <c r="G6" s="285"/>
      <c r="H6" s="287" t="s">
        <v>10</v>
      </c>
      <c r="I6" s="287"/>
      <c r="J6" s="288" t="s">
        <v>11</v>
      </c>
      <c r="K6" s="288"/>
    </row>
    <row r="7" spans="2:12" ht="9.75" customHeight="1" x14ac:dyDescent="0.35"/>
    <row r="8" spans="2:12" ht="15.75" customHeight="1" x14ac:dyDescent="0.35">
      <c r="B8" s="289" t="s">
        <v>12</v>
      </c>
      <c r="C8" s="289"/>
      <c r="D8" s="289"/>
      <c r="E8" s="289"/>
      <c r="F8" s="289"/>
      <c r="G8" s="289"/>
      <c r="I8" s="290" t="s">
        <v>13</v>
      </c>
      <c r="J8" s="290"/>
      <c r="K8" s="290"/>
      <c r="L8" s="290"/>
    </row>
    <row r="9" spans="2:12" ht="13.5" customHeight="1" x14ac:dyDescent="0.35">
      <c r="B9" s="291" t="s">
        <v>14</v>
      </c>
      <c r="C9" s="291"/>
      <c r="D9" s="291"/>
      <c r="E9" s="5" t="s">
        <v>15</v>
      </c>
      <c r="F9" s="5" t="s">
        <v>16</v>
      </c>
      <c r="G9" s="5" t="s">
        <v>17</v>
      </c>
      <c r="I9" s="292" t="s">
        <v>18</v>
      </c>
      <c r="J9" s="292"/>
      <c r="K9" s="293" t="str">
        <f>Premissas!$B$13</f>
        <v>Cassilândia 03</v>
      </c>
      <c r="L9" s="293"/>
    </row>
    <row r="10" spans="2:12" ht="13.5" customHeight="1" x14ac:dyDescent="0.35">
      <c r="B10" s="294" t="s">
        <v>19</v>
      </c>
      <c r="C10" s="294"/>
      <c r="D10" s="294"/>
      <c r="E10" s="6">
        <v>13004941</v>
      </c>
      <c r="F10" s="7">
        <v>1</v>
      </c>
      <c r="G10" s="8">
        <v>108375</v>
      </c>
      <c r="I10" s="295" t="s">
        <v>20</v>
      </c>
      <c r="J10" s="295"/>
      <c r="K10" s="296" t="s">
        <v>21</v>
      </c>
      <c r="L10" s="296"/>
    </row>
    <row r="11" spans="2:12" ht="13.5" customHeight="1" x14ac:dyDescent="0.35">
      <c r="B11" s="297" t="s">
        <v>22</v>
      </c>
      <c r="C11" s="297"/>
      <c r="D11" s="297"/>
      <c r="E11" s="10">
        <v>1922842</v>
      </c>
      <c r="F11" s="11">
        <v>0.14785476</v>
      </c>
      <c r="G11" s="12">
        <v>16024</v>
      </c>
      <c r="I11" s="292" t="s">
        <v>23</v>
      </c>
      <c r="J11" s="292"/>
      <c r="K11" s="293" t="str">
        <f>VLOOKUP(Premissas!$B$13,PVSYST_Helexia!$B$5:$F$7,5,0)&amp;" kWac"</f>
        <v>625 kWac</v>
      </c>
      <c r="L11" s="293"/>
    </row>
    <row r="12" spans="2:12" ht="13.5" customHeight="1" x14ac:dyDescent="0.35">
      <c r="B12" s="297" t="s">
        <v>24</v>
      </c>
      <c r="C12" s="297"/>
      <c r="D12" s="297"/>
      <c r="E12" s="10">
        <f>Simulacao!B7</f>
        <v>7326414.8765835855</v>
      </c>
      <c r="F12" s="11">
        <v>0.56335623999999995</v>
      </c>
      <c r="G12" s="12">
        <v>61053</v>
      </c>
      <c r="I12" s="295" t="s">
        <v>25</v>
      </c>
      <c r="J12" s="295"/>
      <c r="K12" s="298">
        <v>16556.87</v>
      </c>
      <c r="L12" s="298"/>
    </row>
    <row r="13" spans="2:12" ht="13.5" customHeight="1" x14ac:dyDescent="0.35">
      <c r="B13" s="299" t="s">
        <v>26</v>
      </c>
      <c r="C13" s="299"/>
      <c r="D13" s="299"/>
      <c r="E13" s="13">
        <v>9249257</v>
      </c>
      <c r="F13" s="14">
        <v>0.71121100000000004</v>
      </c>
      <c r="G13" s="15">
        <v>77077</v>
      </c>
      <c r="I13" s="292" t="s">
        <v>27</v>
      </c>
      <c r="J13" s="292"/>
      <c r="K13" s="300">
        <f>Premissas!$B$17</f>
        <v>0.4425</v>
      </c>
      <c r="L13" s="300"/>
    </row>
    <row r="14" spans="2:12" ht="13.5" customHeight="1" x14ac:dyDescent="0.35">
      <c r="B14" s="301" t="s">
        <v>28</v>
      </c>
      <c r="C14" s="301"/>
      <c r="D14" s="301"/>
      <c r="E14" s="16">
        <f>Simulacao!B252</f>
        <v>3109848.6774327098</v>
      </c>
      <c r="F14" s="17">
        <v>0.28878900000000002</v>
      </c>
      <c r="G14" s="18">
        <v>31297</v>
      </c>
      <c r="I14" s="295" t="s">
        <v>29</v>
      </c>
      <c r="J14" s="295"/>
      <c r="K14" s="302">
        <f>Premissas!$B$5</f>
        <v>0.52647111134532698</v>
      </c>
      <c r="L14" s="302"/>
    </row>
    <row r="15" spans="2:12" ht="13.5" customHeight="1" x14ac:dyDescent="0.35">
      <c r="B15" s="303" t="s">
        <v>30</v>
      </c>
      <c r="C15" s="303"/>
      <c r="D15" s="303"/>
      <c r="E15" s="19">
        <f>Simulacao!B285</f>
        <v>469348.85166291002</v>
      </c>
      <c r="F15" s="20">
        <v>8.8689909999999997E-2</v>
      </c>
      <c r="G15" s="21">
        <v>9612</v>
      </c>
      <c r="I15" s="292" t="s">
        <v>31</v>
      </c>
      <c r="J15" s="292"/>
      <c r="K15" s="300">
        <f>Premissas!$B$7</f>
        <v>1.15686364923884</v>
      </c>
      <c r="L15" s="300"/>
    </row>
    <row r="16" spans="2:12" ht="13.5" customHeight="1" x14ac:dyDescent="0.35">
      <c r="B16" s="301" t="s">
        <v>32</v>
      </c>
      <c r="C16" s="301"/>
      <c r="D16" s="301"/>
      <c r="E16" s="16">
        <f>Simulacao!B278</f>
        <v>3579197.5290956199</v>
      </c>
      <c r="F16" s="17">
        <v>0.37747891</v>
      </c>
      <c r="G16" s="18">
        <v>40909</v>
      </c>
      <c r="I16" s="304" t="s">
        <v>33</v>
      </c>
      <c r="J16" s="304"/>
      <c r="K16" s="305">
        <f>Simulacao!B252/60</f>
        <v>51830.811290545164</v>
      </c>
      <c r="L16" s="305"/>
    </row>
    <row r="17" spans="2:25" ht="13.5" customHeight="1" x14ac:dyDescent="0.35">
      <c r="I17" s="304" t="s">
        <v>34</v>
      </c>
      <c r="J17" s="304"/>
      <c r="K17" s="306">
        <f>IFERROR(Simulacao!B252/Simulacao!B249,0)</f>
        <v>0.40926307313867566</v>
      </c>
      <c r="L17" s="306"/>
    </row>
    <row r="18" spans="2:25" ht="13.5" customHeight="1" x14ac:dyDescent="0.35">
      <c r="I18" s="295" t="s">
        <v>35</v>
      </c>
      <c r="J18" s="295"/>
      <c r="K18" s="307">
        <f>Simulacao!B273</f>
        <v>1096013.6707203807</v>
      </c>
      <c r="L18" s="307"/>
    </row>
    <row r="19" spans="2:25" ht="9.75" customHeight="1" x14ac:dyDescent="0.35"/>
    <row r="20" spans="2:25" ht="15.75" customHeight="1" x14ac:dyDescent="0.35">
      <c r="B20" s="289" t="s">
        <v>36</v>
      </c>
      <c r="C20" s="289"/>
      <c r="D20" s="289"/>
      <c r="E20" s="289"/>
      <c r="F20" s="289"/>
      <c r="G20" s="289"/>
      <c r="H20" s="289"/>
      <c r="I20" s="289"/>
      <c r="J20" s="289"/>
      <c r="K20" s="289"/>
      <c r="L20" s="289"/>
    </row>
    <row r="21" spans="2:25" ht="3.75" customHeight="1" x14ac:dyDescent="0.35"/>
    <row r="22" spans="2:25" ht="12" customHeight="1" x14ac:dyDescent="0.35">
      <c r="P22" s="25" t="s">
        <v>37</v>
      </c>
      <c r="Q22" s="25" t="s">
        <v>38</v>
      </c>
      <c r="R22" s="25" t="s">
        <v>39</v>
      </c>
      <c r="S22" s="25" t="s">
        <v>40</v>
      </c>
      <c r="T22" s="25" t="s">
        <v>41</v>
      </c>
      <c r="U22" s="25" t="s">
        <v>42</v>
      </c>
      <c r="Y22" s="272" t="s">
        <v>42</v>
      </c>
    </row>
    <row r="23" spans="2:25" ht="12" customHeight="1" x14ac:dyDescent="0.35">
      <c r="P23" s="26" t="s">
        <v>43</v>
      </c>
      <c r="Q23" s="27">
        <f>Simulacao!D249</f>
        <v>29914.642987477626</v>
      </c>
      <c r="R23" s="27">
        <f>Simulacao!D7</f>
        <v>54865.574999999997</v>
      </c>
      <c r="S23" s="27">
        <f>Simulacao!D250</f>
        <v>2939.9665134018951</v>
      </c>
      <c r="T23" s="27">
        <f>Simulacao!D252</f>
        <v>-27890.898525924265</v>
      </c>
      <c r="U23" s="27">
        <f>T23</f>
        <v>-27890.898525924265</v>
      </c>
      <c r="X23" s="26" t="s">
        <v>43</v>
      </c>
      <c r="Y23" s="273">
        <v>-27890.991075016213</v>
      </c>
    </row>
    <row r="24" spans="2:25" ht="12" customHeight="1" x14ac:dyDescent="0.35">
      <c r="P24" s="26" t="s">
        <v>44</v>
      </c>
      <c r="Q24" s="27">
        <f>Simulacao!E249</f>
        <v>231391.59420419947</v>
      </c>
      <c r="R24" s="27">
        <f>Simulacao!E7</f>
        <v>57750.674999999996</v>
      </c>
      <c r="S24" s="27">
        <f>Simulacao!E250</f>
        <v>82568.432981846723</v>
      </c>
      <c r="T24" s="27">
        <f>Simulacao!E252</f>
        <v>91072.486222352745</v>
      </c>
      <c r="U24" s="27">
        <f t="shared" ref="U24:U55" si="0">U23+T24</f>
        <v>63181.587696428483</v>
      </c>
      <c r="X24" s="26" t="s">
        <v>44</v>
      </c>
      <c r="Y24" s="273">
        <v>63180.704726228345</v>
      </c>
    </row>
    <row r="25" spans="2:25" ht="12" customHeight="1" x14ac:dyDescent="0.35">
      <c r="P25" s="26" t="s">
        <v>45</v>
      </c>
      <c r="Q25" s="27">
        <f>Simulacao!F249</f>
        <v>156548.84776591352</v>
      </c>
      <c r="R25" s="27">
        <f>Simulacao!F7</f>
        <v>69326.475000000006</v>
      </c>
      <c r="S25" s="27">
        <f>Simulacao!F250</f>
        <v>1104.9864126160228</v>
      </c>
      <c r="T25" s="27">
        <f>Simulacao!F252</f>
        <v>86117.386353297494</v>
      </c>
      <c r="U25" s="27">
        <f t="shared" si="0"/>
        <v>149298.97404972598</v>
      </c>
      <c r="X25" s="26" t="s">
        <v>45</v>
      </c>
      <c r="Y25" s="273">
        <v>149296.80367907655</v>
      </c>
    </row>
    <row r="26" spans="2:25" ht="12" customHeight="1" x14ac:dyDescent="0.35">
      <c r="P26" s="26" t="s">
        <v>46</v>
      </c>
      <c r="Q26" s="27">
        <f>Simulacao!G249</f>
        <v>42616.080365200702</v>
      </c>
      <c r="R26" s="27">
        <f>Simulacao!G7</f>
        <v>65051.925000000003</v>
      </c>
      <c r="S26" s="27">
        <f>Simulacao!G250</f>
        <v>2690.9342599484985</v>
      </c>
      <c r="T26" s="27">
        <f>Simulacao!G252</f>
        <v>-25126.778894747797</v>
      </c>
      <c r="U26" s="27">
        <f t="shared" si="0"/>
        <v>124172.19515497818</v>
      </c>
      <c r="X26" s="26" t="s">
        <v>46</v>
      </c>
      <c r="Y26" s="273">
        <v>124170.02478432875</v>
      </c>
    </row>
    <row r="27" spans="2:25" ht="12" customHeight="1" x14ac:dyDescent="0.35">
      <c r="P27" s="26" t="s">
        <v>47</v>
      </c>
      <c r="Q27" s="27">
        <f>Simulacao!H249</f>
        <v>43352.771137035983</v>
      </c>
      <c r="R27" s="27">
        <f>Simulacao!H7</f>
        <v>66852.899999999994</v>
      </c>
      <c r="S27" s="27">
        <f>Simulacao!H250</f>
        <v>0</v>
      </c>
      <c r="T27" s="27">
        <f>Simulacao!H252</f>
        <v>-23500.128862964011</v>
      </c>
      <c r="U27" s="27">
        <f t="shared" si="0"/>
        <v>100672.06629201418</v>
      </c>
      <c r="X27" s="26" t="s">
        <v>47</v>
      </c>
      <c r="Y27" s="273">
        <v>100669.89592136475</v>
      </c>
    </row>
    <row r="28" spans="2:25" ht="12" customHeight="1" x14ac:dyDescent="0.35">
      <c r="P28" s="26" t="s">
        <v>48</v>
      </c>
      <c r="Q28" s="27">
        <f>Simulacao!I249</f>
        <v>43210.245535449765</v>
      </c>
      <c r="R28" s="27">
        <f>Simulacao!I7</f>
        <v>64640.4</v>
      </c>
      <c r="S28" s="27">
        <f>Simulacao!I250</f>
        <v>0</v>
      </c>
      <c r="T28" s="27">
        <f>Simulacao!I252</f>
        <v>-21430.154464550236</v>
      </c>
      <c r="U28" s="27">
        <f t="shared" si="0"/>
        <v>79241.911827463948</v>
      </c>
      <c r="X28" s="26" t="s">
        <v>48</v>
      </c>
      <c r="Y28" s="273">
        <v>79239.741456814518</v>
      </c>
    </row>
    <row r="29" spans="2:25" ht="12" customHeight="1" x14ac:dyDescent="0.35">
      <c r="P29" s="26" t="s">
        <v>49</v>
      </c>
      <c r="Q29" s="27">
        <f>Simulacao!J249</f>
        <v>44658.638824296788</v>
      </c>
      <c r="R29" s="27">
        <f>Simulacao!J7</f>
        <v>61379.175000000003</v>
      </c>
      <c r="S29" s="27">
        <f>Simulacao!J250</f>
        <v>0</v>
      </c>
      <c r="T29" s="27">
        <f>Simulacao!J252</f>
        <v>-16720.536175703215</v>
      </c>
      <c r="U29" s="27">
        <f t="shared" si="0"/>
        <v>62521.375651760733</v>
      </c>
      <c r="X29" s="26" t="s">
        <v>49</v>
      </c>
      <c r="Y29" s="273">
        <v>62519.297830203242</v>
      </c>
    </row>
    <row r="30" spans="2:25" ht="12" customHeight="1" x14ac:dyDescent="0.35">
      <c r="P30" s="26" t="s">
        <v>50</v>
      </c>
      <c r="Q30" s="27">
        <f>Simulacao!K249</f>
        <v>42485.586145566551</v>
      </c>
      <c r="R30" s="27">
        <f>Simulacao!K7</f>
        <v>63022.752749999992</v>
      </c>
      <c r="S30" s="27">
        <f>Simulacao!K250</f>
        <v>0</v>
      </c>
      <c r="T30" s="27">
        <f>Simulacao!K252</f>
        <v>-20537.166604433442</v>
      </c>
      <c r="U30" s="27">
        <f t="shared" si="0"/>
        <v>41984.209047327291</v>
      </c>
      <c r="X30" s="26" t="s">
        <v>50</v>
      </c>
      <c r="Y30" s="273">
        <v>41981.143264213359</v>
      </c>
    </row>
    <row r="31" spans="2:25" ht="12" customHeight="1" x14ac:dyDescent="0.35">
      <c r="P31" s="26" t="s">
        <v>51</v>
      </c>
      <c r="Q31" s="27">
        <f>Simulacao!L249</f>
        <v>45032.537155730781</v>
      </c>
      <c r="R31" s="27">
        <f>Simulacao!L7</f>
        <v>56158.670624999999</v>
      </c>
      <c r="S31" s="27">
        <f>Simulacao!L250</f>
        <v>0</v>
      </c>
      <c r="T31" s="27">
        <f>Simulacao!L252</f>
        <v>-11126.133469269218</v>
      </c>
      <c r="U31" s="27">
        <f t="shared" si="0"/>
        <v>30858.075578058073</v>
      </c>
      <c r="X31" s="26" t="s">
        <v>51</v>
      </c>
      <c r="Y31" s="273">
        <v>30854.516971029574</v>
      </c>
    </row>
    <row r="32" spans="2:25" ht="12" customHeight="1" x14ac:dyDescent="0.35">
      <c r="P32" s="26" t="s">
        <v>52</v>
      </c>
      <c r="Q32" s="27">
        <f>Simulacao!M249</f>
        <v>208537.25717620217</v>
      </c>
      <c r="R32" s="27">
        <f>Simulacao!M7</f>
        <v>64414.061249999999</v>
      </c>
      <c r="S32" s="27">
        <f>Simulacao!M250</f>
        <v>0</v>
      </c>
      <c r="T32" s="27">
        <f>Simulacao!M252</f>
        <v>144123.19592620217</v>
      </c>
      <c r="U32" s="27">
        <f t="shared" si="0"/>
        <v>174981.27150426025</v>
      </c>
      <c r="X32" s="26" t="s">
        <v>52</v>
      </c>
      <c r="Y32" s="273">
        <v>174977.07543818833</v>
      </c>
    </row>
    <row r="33" spans="2:25" ht="12" customHeight="1" x14ac:dyDescent="0.35">
      <c r="P33" s="26" t="s">
        <v>53</v>
      </c>
      <c r="Q33" s="27">
        <f>Simulacao!N249</f>
        <v>35167.729445941346</v>
      </c>
      <c r="R33" s="27">
        <f>Simulacao!N7</f>
        <v>64273.169250000006</v>
      </c>
      <c r="S33" s="27">
        <f>Simulacao!N250</f>
        <v>0</v>
      </c>
      <c r="T33" s="27">
        <f>Simulacao!N252</f>
        <v>-29105.43980405866</v>
      </c>
      <c r="U33" s="27">
        <f t="shared" si="0"/>
        <v>145875.83170020158</v>
      </c>
      <c r="X33" s="26" t="s">
        <v>53</v>
      </c>
      <c r="Y33" s="273">
        <v>145871.45053594577</v>
      </c>
    </row>
    <row r="34" spans="2:25" ht="12" customHeight="1" x14ac:dyDescent="0.35">
      <c r="P34" s="26" t="s">
        <v>54</v>
      </c>
      <c r="Q34" s="27">
        <f>Simulacao!O249</f>
        <v>32721.656945990748</v>
      </c>
      <c r="R34" s="27">
        <f>Simulacao!O7</f>
        <v>60152.078249999999</v>
      </c>
      <c r="S34" s="27">
        <f>Simulacao!O250</f>
        <v>0</v>
      </c>
      <c r="T34" s="27">
        <f>Simulacao!O252</f>
        <v>-27430.421304009251</v>
      </c>
      <c r="U34" s="27">
        <f t="shared" si="0"/>
        <v>118445.41039619234</v>
      </c>
      <c r="X34" s="26" t="s">
        <v>54</v>
      </c>
      <c r="Y34" s="273">
        <v>118440.5942512044</v>
      </c>
    </row>
    <row r="35" spans="2:25" ht="12" customHeight="1" x14ac:dyDescent="0.35">
      <c r="P35" s="26" t="s">
        <v>55</v>
      </c>
      <c r="Q35" s="27">
        <f>Simulacao!P249</f>
        <v>70854.001847767911</v>
      </c>
      <c r="R35" s="27">
        <f>Simulacao!P7</f>
        <v>54591.247125000002</v>
      </c>
      <c r="S35" s="27">
        <f>Simulacao!P250</f>
        <v>0</v>
      </c>
      <c r="T35" s="27">
        <f>Simulacao!P252</f>
        <v>16262.75472276791</v>
      </c>
      <c r="U35" s="27">
        <f t="shared" si="0"/>
        <v>134708.16511896026</v>
      </c>
      <c r="X35" s="26" t="s">
        <v>55</v>
      </c>
      <c r="Y35" s="273">
        <v>134702.87460245847</v>
      </c>
    </row>
    <row r="36" spans="2:25" ht="12" customHeight="1" x14ac:dyDescent="0.35">
      <c r="P36" s="26" t="s">
        <v>56</v>
      </c>
      <c r="Q36" s="27">
        <f>Simulacao!Q249</f>
        <v>281668.22725323628</v>
      </c>
      <c r="R36" s="27">
        <f>Simulacao!Q7</f>
        <v>57461.921624999995</v>
      </c>
      <c r="S36" s="27">
        <f>Simulacao!Q250</f>
        <v>0</v>
      </c>
      <c r="T36" s="27">
        <f>Simulacao!Q252</f>
        <v>224206.3056282363</v>
      </c>
      <c r="U36" s="27">
        <f t="shared" si="0"/>
        <v>358914.47074719658</v>
      </c>
      <c r="X36" s="26" t="s">
        <v>56</v>
      </c>
      <c r="Y36" s="273">
        <v>358912.02733020257</v>
      </c>
    </row>
    <row r="37" spans="2:25" ht="12" customHeight="1" x14ac:dyDescent="0.35">
      <c r="P37" s="26" t="s">
        <v>57</v>
      </c>
      <c r="Q37" s="27">
        <f>Simulacao!R249</f>
        <v>161720.42291011635</v>
      </c>
      <c r="R37" s="27">
        <f>Simulacao!R7</f>
        <v>68979.842625000005</v>
      </c>
      <c r="S37" s="27">
        <f>Simulacao!R250</f>
        <v>0</v>
      </c>
      <c r="T37" s="27">
        <f>Simulacao!R252</f>
        <v>92740.580285116346</v>
      </c>
      <c r="U37" s="27">
        <f t="shared" si="0"/>
        <v>451655.05103231291</v>
      </c>
      <c r="X37" s="26" t="s">
        <v>57</v>
      </c>
      <c r="Y37" s="273">
        <v>451654.05230884423</v>
      </c>
    </row>
    <row r="38" spans="2:25" ht="12" customHeight="1" x14ac:dyDescent="0.35">
      <c r="P38" s="26" t="s">
        <v>58</v>
      </c>
      <c r="Q38" s="27">
        <f>Simulacao!S249</f>
        <v>43683.171395258607</v>
      </c>
      <c r="R38" s="27">
        <f>Simulacao!S7</f>
        <v>64726.665375000004</v>
      </c>
      <c r="S38" s="27">
        <f>Simulacao!S250</f>
        <v>0</v>
      </c>
      <c r="T38" s="27">
        <f>Simulacao!S252</f>
        <v>-21043.493979741397</v>
      </c>
      <c r="U38" s="27">
        <f t="shared" si="0"/>
        <v>430611.5570525715</v>
      </c>
      <c r="X38" s="26" t="s">
        <v>58</v>
      </c>
      <c r="Y38" s="273">
        <v>430608.86930817494</v>
      </c>
    </row>
    <row r="39" spans="2:25" ht="12" customHeight="1" x14ac:dyDescent="0.35">
      <c r="P39" s="26" t="s">
        <v>59</v>
      </c>
      <c r="Q39" s="27">
        <f>Simulacao!T249</f>
        <v>44437.446494562333</v>
      </c>
      <c r="R39" s="27">
        <f>Simulacao!T7</f>
        <v>66518.635500000004</v>
      </c>
      <c r="S39" s="27">
        <f>Simulacao!T250</f>
        <v>0</v>
      </c>
      <c r="T39" s="27">
        <f>Simulacao!T252</f>
        <v>-22081.189005437671</v>
      </c>
      <c r="U39" s="27">
        <f t="shared" si="0"/>
        <v>408530.36804713384</v>
      </c>
      <c r="X39" s="26" t="s">
        <v>59</v>
      </c>
      <c r="Y39" s="273">
        <v>408526.82422363682</v>
      </c>
    </row>
    <row r="40" spans="2:25" ht="12" customHeight="1" x14ac:dyDescent="0.35">
      <c r="P40" s="26" t="s">
        <v>60</v>
      </c>
      <c r="Q40" s="27">
        <f>Simulacao!U249</f>
        <v>44288.442456540361</v>
      </c>
      <c r="R40" s="27">
        <f>Simulacao!U7</f>
        <v>64317.198000000004</v>
      </c>
      <c r="S40" s="27">
        <f>Simulacao!U250</f>
        <v>0</v>
      </c>
      <c r="T40" s="27">
        <f>Simulacao!U252</f>
        <v>-20028.755543459643</v>
      </c>
      <c r="U40" s="27">
        <f t="shared" si="0"/>
        <v>388501.61250367423</v>
      </c>
      <c r="X40" s="26" t="s">
        <v>60</v>
      </c>
      <c r="Y40" s="273">
        <v>388500.12789747282</v>
      </c>
    </row>
    <row r="41" spans="2:25" ht="12" customHeight="1" x14ac:dyDescent="0.35">
      <c r="P41" s="26" t="s">
        <v>61</v>
      </c>
      <c r="Q41" s="27">
        <f>Simulacao!V249</f>
        <v>45776.631854921201</v>
      </c>
      <c r="R41" s="27">
        <f>Simulacao!V7</f>
        <v>61072.279125000008</v>
      </c>
      <c r="S41" s="27">
        <f>Simulacao!V250</f>
        <v>0</v>
      </c>
      <c r="T41" s="27">
        <f>Simulacao!V252</f>
        <v>-15295.647270078807</v>
      </c>
      <c r="U41" s="27">
        <f t="shared" si="0"/>
        <v>373205.9652335954</v>
      </c>
      <c r="X41" s="26" t="s">
        <v>61</v>
      </c>
      <c r="Y41" s="273">
        <v>373203.04843019624</v>
      </c>
    </row>
    <row r="42" spans="2:25" ht="12" customHeight="1" x14ac:dyDescent="0.35">
      <c r="P42" s="26" t="s">
        <v>62</v>
      </c>
      <c r="Q42" s="27">
        <f>Simulacao!W249</f>
        <v>42485.586145566551</v>
      </c>
      <c r="R42" s="27">
        <f>Simulacao!W7</f>
        <v>63022.752749999992</v>
      </c>
      <c r="S42" s="27">
        <f>Simulacao!W250</f>
        <v>0</v>
      </c>
      <c r="T42" s="27">
        <f>Simulacao!W252</f>
        <v>-20537.166604433442</v>
      </c>
      <c r="U42" s="27">
        <f t="shared" si="0"/>
        <v>352668.79862916196</v>
      </c>
      <c r="X42" s="26" t="s">
        <v>62</v>
      </c>
      <c r="Y42" s="273">
        <v>352664.89386420639</v>
      </c>
    </row>
    <row r="43" spans="2:25" ht="12" customHeight="1" x14ac:dyDescent="0.35">
      <c r="P43" s="26" t="s">
        <v>63</v>
      </c>
      <c r="Q43" s="27">
        <f>Simulacao!X249</f>
        <v>45032.537155730781</v>
      </c>
      <c r="R43" s="27">
        <f>Simulacao!X7</f>
        <v>56158.670624999999</v>
      </c>
      <c r="S43" s="27">
        <f>Simulacao!X250</f>
        <v>0</v>
      </c>
      <c r="T43" s="27">
        <f>Simulacao!X252</f>
        <v>-11126.133469269218</v>
      </c>
      <c r="U43" s="27">
        <f t="shared" si="0"/>
        <v>341542.66515989276</v>
      </c>
      <c r="X43" s="26" t="s">
        <v>63</v>
      </c>
      <c r="Y43" s="273">
        <v>341538.26757102262</v>
      </c>
    </row>
    <row r="44" spans="2:25" ht="12" customHeight="1" x14ac:dyDescent="0.35">
      <c r="P44" s="26" t="s">
        <v>64</v>
      </c>
      <c r="Q44" s="27">
        <f>Simulacao!Y249</f>
        <v>212454.36965114219</v>
      </c>
      <c r="R44" s="27">
        <f>Simulacao!Y7</f>
        <v>64414.061249999999</v>
      </c>
      <c r="S44" s="27">
        <f>Simulacao!Y250</f>
        <v>0</v>
      </c>
      <c r="T44" s="27">
        <f>Simulacao!Y252</f>
        <v>148040.30840114219</v>
      </c>
      <c r="U44" s="27">
        <f t="shared" si="0"/>
        <v>489582.97356103495</v>
      </c>
      <c r="X44" s="26" t="s">
        <v>64</v>
      </c>
      <c r="Y44" s="273">
        <v>489578.58060100256</v>
      </c>
    </row>
    <row r="45" spans="2:25" ht="12" customHeight="1" x14ac:dyDescent="0.35">
      <c r="B45" s="308" t="s">
        <v>65</v>
      </c>
      <c r="C45" s="308"/>
      <c r="D45" s="308"/>
      <c r="E45" s="308"/>
      <c r="F45" s="308"/>
      <c r="G45" s="308"/>
      <c r="H45" s="308"/>
      <c r="I45" s="308"/>
      <c r="J45" s="308"/>
      <c r="K45" s="308"/>
      <c r="L45" s="308"/>
      <c r="P45" s="26" t="s">
        <v>66</v>
      </c>
      <c r="Q45" s="27">
        <f>Simulacao!Z249</f>
        <v>35167.729445941346</v>
      </c>
      <c r="R45" s="27">
        <f>Simulacao!Z7</f>
        <v>64273.169250000006</v>
      </c>
      <c r="S45" s="27">
        <f>Simulacao!Z250</f>
        <v>0</v>
      </c>
      <c r="T45" s="27">
        <f>Simulacao!Z252</f>
        <v>-29105.43980405866</v>
      </c>
      <c r="U45" s="27">
        <f t="shared" si="0"/>
        <v>460477.53375697631</v>
      </c>
      <c r="X45" s="26" t="s">
        <v>66</v>
      </c>
      <c r="Y45" s="273">
        <v>460472.95569875999</v>
      </c>
    </row>
    <row r="46" spans="2:25" ht="12" customHeight="1" x14ac:dyDescent="0.35">
      <c r="B46" s="4" t="s">
        <v>67</v>
      </c>
      <c r="C46" s="29" t="s">
        <v>68</v>
      </c>
      <c r="D46" s="5" t="s">
        <v>69</v>
      </c>
      <c r="E46" s="5" t="s">
        <v>70</v>
      </c>
      <c r="F46" s="5" t="s">
        <v>71</v>
      </c>
      <c r="P46" s="26" t="s">
        <v>72</v>
      </c>
      <c r="Q46" s="27">
        <f>Simulacao!AA249</f>
        <v>32721.656945990748</v>
      </c>
      <c r="R46" s="27">
        <f>Simulacao!AA7</f>
        <v>60152.078249999999</v>
      </c>
      <c r="S46" s="27">
        <f>Simulacao!AA250</f>
        <v>0</v>
      </c>
      <c r="T46" s="27">
        <f>Simulacao!AA252</f>
        <v>-27430.421304009251</v>
      </c>
      <c r="U46" s="27">
        <f t="shared" si="0"/>
        <v>433047.11245296703</v>
      </c>
      <c r="X46" s="26" t="s">
        <v>72</v>
      </c>
      <c r="Y46" s="273">
        <v>433042.09941401862</v>
      </c>
    </row>
    <row r="47" spans="2:25" ht="12" customHeight="1" x14ac:dyDescent="0.35">
      <c r="B47" s="30" t="s">
        <v>73</v>
      </c>
      <c r="C47" s="31" t="s">
        <v>74</v>
      </c>
      <c r="D47" s="32">
        <f>Simulacao!DS31</f>
        <v>56648.320984637459</v>
      </c>
      <c r="E47" s="22">
        <f>Simulacao!DS31*Premissas!B17</f>
        <v>25066.882035702078</v>
      </c>
      <c r="F47" s="23">
        <f>Simulacao!DS31/Simulacao!B273</f>
        <v>5.1685779564596142E-2</v>
      </c>
      <c r="P47" s="25" t="s">
        <v>75</v>
      </c>
      <c r="Q47" s="25">
        <f>Simulacao!AB249</f>
        <v>74598.212109594475</v>
      </c>
      <c r="R47" s="25">
        <f>Simulacao!AB7</f>
        <v>54318.290889374999</v>
      </c>
      <c r="S47" s="25">
        <f>Simulacao!AB250</f>
        <v>0</v>
      </c>
      <c r="T47" s="25">
        <f>Simulacao!AB252</f>
        <v>20279.921220219476</v>
      </c>
      <c r="U47" s="25">
        <f t="shared" si="0"/>
        <v>453327.0336731865</v>
      </c>
      <c r="X47" s="25" t="s">
        <v>75</v>
      </c>
      <c r="Y47" s="272">
        <v>455434.51136151172</v>
      </c>
    </row>
    <row r="48" spans="2:25" ht="12" customHeight="1" x14ac:dyDescent="0.35">
      <c r="B48" s="30" t="s">
        <v>76</v>
      </c>
      <c r="C48" s="31" t="s">
        <v>77</v>
      </c>
      <c r="D48" s="32">
        <f>Simulacao!DS49</f>
        <v>158023.28432292552</v>
      </c>
      <c r="E48" s="22">
        <f>Simulacao!DS49*Premissas!B17</f>
        <v>69925.303312894539</v>
      </c>
      <c r="F48" s="23">
        <f>Simulacao!DS49/Simulacao!B273</f>
        <v>0.14418003036318061</v>
      </c>
      <c r="P48" s="26" t="s">
        <v>78</v>
      </c>
      <c r="Q48" s="27">
        <f>Simulacao!AC249</f>
        <v>374262.46539323358</v>
      </c>
      <c r="R48" s="27">
        <f>Simulacao!AC7</f>
        <v>57174.612016874999</v>
      </c>
      <c r="S48" s="27">
        <f>Simulacao!AC250</f>
        <v>0</v>
      </c>
      <c r="T48" s="27">
        <f>Simulacao!AC252</f>
        <v>317087.85337635857</v>
      </c>
      <c r="U48" s="27">
        <f t="shared" si="0"/>
        <v>770414.88704954507</v>
      </c>
      <c r="X48" s="26" t="s">
        <v>78</v>
      </c>
      <c r="Y48" s="273">
        <v>772321.42409057519</v>
      </c>
    </row>
    <row r="49" spans="2:25" ht="12" customHeight="1" x14ac:dyDescent="0.35">
      <c r="B49" s="33" t="s">
        <v>79</v>
      </c>
      <c r="C49" s="34" t="s">
        <v>80</v>
      </c>
      <c r="D49" s="24">
        <f>Simulacao!DS62</f>
        <v>0</v>
      </c>
      <c r="E49" s="35">
        <f>Simulacao!DS62*Premissas!B17</f>
        <v>0</v>
      </c>
      <c r="F49" s="36">
        <f>Simulacao!DS62/Simulacao!B273</f>
        <v>0</v>
      </c>
      <c r="P49" s="26" t="s">
        <v>81</v>
      </c>
      <c r="Q49" s="27">
        <f>Simulacao!AD249</f>
        <v>249540.36133272297</v>
      </c>
      <c r="R49" s="27">
        <f>Simulacao!AD7</f>
        <v>68634.943411875007</v>
      </c>
      <c r="S49" s="27">
        <f>Simulacao!AD250</f>
        <v>72494.148535751403</v>
      </c>
      <c r="T49" s="27">
        <f>Simulacao!AD252</f>
        <v>108411.26938509656</v>
      </c>
      <c r="U49" s="27">
        <f t="shared" si="0"/>
        <v>878826.15643464169</v>
      </c>
      <c r="X49" s="26" t="s">
        <v>81</v>
      </c>
      <c r="Y49" s="273">
        <v>877552.31437210995</v>
      </c>
    </row>
    <row r="50" spans="2:25" ht="12" customHeight="1" x14ac:dyDescent="0.35">
      <c r="B50" s="9" t="s">
        <v>82</v>
      </c>
      <c r="C50" s="37" t="s">
        <v>80</v>
      </c>
      <c r="D50" s="38">
        <f>Simulacao!DS75</f>
        <v>127936.28852063889</v>
      </c>
      <c r="E50" s="10">
        <f>Simulacao!DS75*Premissas!B17</f>
        <v>56611.80767038271</v>
      </c>
      <c r="F50" s="11">
        <f>Simulacao!DS75/Simulacao!B273</f>
        <v>0.11672873426528499</v>
      </c>
      <c r="P50" s="26" t="s">
        <v>83</v>
      </c>
      <c r="Q50" s="27">
        <f>Simulacao!AE249</f>
        <v>44773.399698301298</v>
      </c>
      <c r="R50" s="27">
        <f>Simulacao!AE7</f>
        <v>64403.032048124995</v>
      </c>
      <c r="S50" s="27">
        <f>Simulacao!AE250</f>
        <v>0</v>
      </c>
      <c r="T50" s="27">
        <f>Simulacao!AE252</f>
        <v>-19629.632349823696</v>
      </c>
      <c r="U50" s="27">
        <f t="shared" si="0"/>
        <v>859196.52408481797</v>
      </c>
      <c r="X50" s="26" t="s">
        <v>83</v>
      </c>
      <c r="Y50" s="273">
        <v>846688.53483837505</v>
      </c>
    </row>
    <row r="51" spans="2:25" ht="12" customHeight="1" x14ac:dyDescent="0.35">
      <c r="B51" s="33" t="s">
        <v>84</v>
      </c>
      <c r="C51" s="34" t="s">
        <v>80</v>
      </c>
      <c r="D51" s="24">
        <f>Simulacao!DS88</f>
        <v>116816.28852063889</v>
      </c>
      <c r="E51" s="35">
        <f>Simulacao!DS88*Premissas!B17</f>
        <v>51691.207670382712</v>
      </c>
      <c r="F51" s="36">
        <f>Simulacao!DS88/Simulacao!B273</f>
        <v>0.10658287541601433</v>
      </c>
      <c r="P51" s="26" t="s">
        <v>85</v>
      </c>
      <c r="Q51" s="27">
        <f>Simulacao!AF249</f>
        <v>45548.035597831615</v>
      </c>
      <c r="R51" s="27">
        <f>Simulacao!AF7</f>
        <v>66186.042322500012</v>
      </c>
      <c r="S51" s="27">
        <f>Simulacao!AF250</f>
        <v>0</v>
      </c>
      <c r="T51" s="27">
        <f>Simulacao!AF252</f>
        <v>-20638.006724668398</v>
      </c>
      <c r="U51" s="27">
        <f t="shared" si="0"/>
        <v>838558.51736014953</v>
      </c>
      <c r="X51" s="26" t="s">
        <v>85</v>
      </c>
      <c r="Y51" s="273">
        <v>814041.74503026507</v>
      </c>
    </row>
    <row r="52" spans="2:25" ht="12" customHeight="1" x14ac:dyDescent="0.35">
      <c r="B52" s="9" t="s">
        <v>86</v>
      </c>
      <c r="C52" s="37" t="s">
        <v>80</v>
      </c>
      <c r="D52" s="38">
        <f>Simulacao!DS101</f>
        <v>101306.57411035793</v>
      </c>
      <c r="E52" s="10">
        <f>Simulacao!DS101*Premissas!B17</f>
        <v>44828.159043833388</v>
      </c>
      <c r="F52" s="11">
        <f>Simulacao!DS101/Simulacao!B273</f>
        <v>9.2431852646301216E-2</v>
      </c>
      <c r="P52" s="26" t="s">
        <v>87</v>
      </c>
      <c r="Q52" s="27">
        <f>Simulacao!AG249</f>
        <v>45399.957050729048</v>
      </c>
      <c r="R52" s="27">
        <f>Simulacao!AG7</f>
        <v>63995.612010000004</v>
      </c>
      <c r="S52" s="27">
        <f>Simulacao!AG250</f>
        <v>0</v>
      </c>
      <c r="T52" s="27">
        <f>Simulacao!AG252</f>
        <v>-18595.654959270956</v>
      </c>
      <c r="U52" s="27">
        <f t="shared" si="0"/>
        <v>819962.86240087857</v>
      </c>
      <c r="X52" s="26" t="s">
        <v>87</v>
      </c>
      <c r="Y52" s="273">
        <v>783585.38553465519</v>
      </c>
    </row>
    <row r="53" spans="2:25" ht="12" customHeight="1" x14ac:dyDescent="0.35">
      <c r="B53" s="33" t="s">
        <v>88</v>
      </c>
      <c r="C53" s="34" t="s">
        <v>80</v>
      </c>
      <c r="D53" s="24">
        <f>Simulacao!DS114</f>
        <v>0</v>
      </c>
      <c r="E53" s="35">
        <f>Simulacao!DS114*Premissas!B17</f>
        <v>0</v>
      </c>
      <c r="F53" s="36">
        <f>Simulacao!DS114/Simulacao!B273</f>
        <v>0</v>
      </c>
      <c r="P53" s="26" t="s">
        <v>89</v>
      </c>
      <c r="Q53" s="27">
        <f>Simulacao!AH249</f>
        <v>46918.687649449777</v>
      </c>
      <c r="R53" s="27">
        <f>Simulacao!AH7</f>
        <v>60766.917729375004</v>
      </c>
      <c r="S53" s="27">
        <f>Simulacao!AH250</f>
        <v>0</v>
      </c>
      <c r="T53" s="27">
        <f>Simulacao!AH252</f>
        <v>-13848.230079925226</v>
      </c>
      <c r="U53" s="27">
        <f t="shared" si="0"/>
        <v>806114.6323209533</v>
      </c>
      <c r="X53" s="26" t="s">
        <v>89</v>
      </c>
      <c r="Y53" s="273">
        <v>756357.72031967028</v>
      </c>
    </row>
    <row r="54" spans="2:25" ht="12" customHeight="1" x14ac:dyDescent="0.35">
      <c r="B54" s="9" t="s">
        <v>90</v>
      </c>
      <c r="C54" s="37" t="s">
        <v>80</v>
      </c>
      <c r="D54" s="38">
        <f>Simulacao!DS127</f>
        <v>0</v>
      </c>
      <c r="E54" s="10">
        <f>Simulacao!DS127*Premissas!B17</f>
        <v>0</v>
      </c>
      <c r="F54" s="11">
        <f>Simulacao!DS127/Simulacao!B273</f>
        <v>0</v>
      </c>
      <c r="P54" s="26" t="s">
        <v>91</v>
      </c>
      <c r="Q54" s="27">
        <f>Simulacao!AI249</f>
        <v>44635.501551312016</v>
      </c>
      <c r="R54" s="27">
        <f>Simulacao!AI7</f>
        <v>62707.638986250007</v>
      </c>
      <c r="S54" s="27">
        <f>Simulacao!AI250</f>
        <v>0</v>
      </c>
      <c r="T54" s="27">
        <f>Simulacao!AI252</f>
        <v>-18072.137434937991</v>
      </c>
      <c r="U54" s="27">
        <f t="shared" si="0"/>
        <v>788042.49488601531</v>
      </c>
      <c r="X54" s="26" t="s">
        <v>91</v>
      </c>
      <c r="Y54" s="273">
        <v>727189.3338478104</v>
      </c>
    </row>
    <row r="55" spans="2:25" ht="12" customHeight="1" x14ac:dyDescent="0.35">
      <c r="B55" s="33" t="s">
        <v>92</v>
      </c>
      <c r="C55" s="34" t="s">
        <v>80</v>
      </c>
      <c r="D55" s="24">
        <f>Simulacao!DS140</f>
        <v>0</v>
      </c>
      <c r="E55" s="35">
        <f>Simulacao!DS140*Premissas!B17</f>
        <v>0</v>
      </c>
      <c r="F55" s="36">
        <f>Simulacao!DS140/Simulacao!B273</f>
        <v>0</v>
      </c>
      <c r="P55" s="26" t="s">
        <v>93</v>
      </c>
      <c r="Q55" s="27">
        <f>Simulacao!AJ249</f>
        <v>47311.095799271599</v>
      </c>
      <c r="R55" s="27">
        <f>Simulacao!AJ7</f>
        <v>55877.877271875004</v>
      </c>
      <c r="S55" s="27">
        <f>Simulacao!AJ250</f>
        <v>0</v>
      </c>
      <c r="T55" s="27">
        <f>Simulacao!AJ252</f>
        <v>-8566.7814726034048</v>
      </c>
      <c r="U55" s="27">
        <f t="shared" si="0"/>
        <v>779475.71341341187</v>
      </c>
      <c r="X55" s="26" t="s">
        <v>93</v>
      </c>
      <c r="Y55" s="273">
        <v>704850.70909032552</v>
      </c>
    </row>
    <row r="56" spans="2:25" ht="12" customHeight="1" x14ac:dyDescent="0.35">
      <c r="B56" s="9" t="s">
        <v>94</v>
      </c>
      <c r="C56" s="37" t="s">
        <v>80</v>
      </c>
      <c r="D56" s="38">
        <f>Simulacao!DS153</f>
        <v>82696.28038600611</v>
      </c>
      <c r="E56" s="10">
        <f>Simulacao!DS153*Premissas!B17</f>
        <v>36593.104070807705</v>
      </c>
      <c r="F56" s="11">
        <f>Simulacao!DS153/Simulacao!B273</f>
        <v>7.545186943850074E-2</v>
      </c>
      <c r="P56" s="26" t="s">
        <v>95</v>
      </c>
      <c r="Q56" s="27">
        <f>Simulacao!AK249</f>
        <v>244075.16493770655</v>
      </c>
      <c r="R56" s="27">
        <f>Simulacao!AK7</f>
        <v>64091.990943750003</v>
      </c>
      <c r="S56" s="27">
        <f>Simulacao!AK250</f>
        <v>0</v>
      </c>
      <c r="T56" s="27">
        <f>Simulacao!AK252</f>
        <v>179983.17399395653</v>
      </c>
      <c r="U56" s="27">
        <f t="shared" ref="U56:U82" si="1">U55+T56</f>
        <v>959458.8874073684</v>
      </c>
      <c r="X56" s="26" t="s">
        <v>95</v>
      </c>
      <c r="Y56" s="273">
        <v>862505.7961982328</v>
      </c>
    </row>
    <row r="57" spans="2:25" ht="12" customHeight="1" x14ac:dyDescent="0.35">
      <c r="B57" s="33" t="s">
        <v>96</v>
      </c>
      <c r="C57" s="34" t="s">
        <v>80</v>
      </c>
      <c r="D57" s="24">
        <f>Simulacao!DS166</f>
        <v>124482.09959017555</v>
      </c>
      <c r="E57" s="35">
        <f>Simulacao!DS166*Premissas!B17</f>
        <v>55083.329068652682</v>
      </c>
      <c r="F57" s="36">
        <f>Simulacao!DS166/Simulacao!B273</f>
        <v>0.1135771413401776</v>
      </c>
      <c r="P57" s="26" t="s">
        <v>97</v>
      </c>
      <c r="Q57" s="27">
        <f>Simulacao!AL249</f>
        <v>36945.597502091594</v>
      </c>
      <c r="R57" s="27">
        <f>Simulacao!AL7</f>
        <v>63951.803403750004</v>
      </c>
      <c r="S57" s="27">
        <f>Simulacao!AL250</f>
        <v>0</v>
      </c>
      <c r="T57" s="27">
        <f>Simulacao!AL252</f>
        <v>-27006.20590165841</v>
      </c>
      <c r="U57" s="27">
        <f t="shared" si="1"/>
        <v>932452.68150571</v>
      </c>
      <c r="X57" s="26" t="s">
        <v>97</v>
      </c>
      <c r="Y57" s="273">
        <v>832093.24530887289</v>
      </c>
    </row>
    <row r="58" spans="2:25" ht="12" customHeight="1" x14ac:dyDescent="0.35">
      <c r="B58" s="9" t="s">
        <v>98</v>
      </c>
      <c r="C58" s="37" t="s">
        <v>80</v>
      </c>
      <c r="D58" s="38">
        <f>Simulacao!DS179</f>
        <v>97346.288520638875</v>
      </c>
      <c r="E58" s="10">
        <f>Simulacao!DS179*Premissas!B17</f>
        <v>43075.732670382706</v>
      </c>
      <c r="F58" s="11">
        <f>Simulacao!DS179/Simulacao!B273</f>
        <v>8.881849845600534E-2</v>
      </c>
      <c r="P58" s="26" t="s">
        <v>99</v>
      </c>
      <c r="Q58" s="27">
        <f>Simulacao!AM249</f>
        <v>34378.285691700767</v>
      </c>
      <c r="R58" s="27">
        <f>Simulacao!AM7</f>
        <v>59851.317858750008</v>
      </c>
      <c r="S58" s="27">
        <f>Simulacao!AM250</f>
        <v>0</v>
      </c>
      <c r="T58" s="27">
        <f>Simulacao!AM252</f>
        <v>-25473.032167049241</v>
      </c>
      <c r="U58" s="27">
        <f t="shared" si="1"/>
        <v>906979.64933866076</v>
      </c>
      <c r="X58" s="26" t="s">
        <v>99</v>
      </c>
      <c r="Y58" s="273">
        <v>805781.17996451294</v>
      </c>
    </row>
    <row r="59" spans="2:25" ht="12" customHeight="1" x14ac:dyDescent="0.35">
      <c r="B59" s="33" t="s">
        <v>100</v>
      </c>
      <c r="C59" s="34" t="s">
        <v>80</v>
      </c>
      <c r="D59" s="24">
        <f>Simulacao!DS192</f>
        <v>0</v>
      </c>
      <c r="E59" s="35">
        <f>Simulacao!DS192*Premissas!B17</f>
        <v>0</v>
      </c>
      <c r="F59" s="36">
        <f>Simulacao!DS192/Simulacao!B273</f>
        <v>0</v>
      </c>
      <c r="P59" s="26" t="s">
        <v>101</v>
      </c>
      <c r="Q59" s="27">
        <f>Simulacao!AN249</f>
        <v>178845.24258358398</v>
      </c>
      <c r="R59" s="27">
        <f>Simulacao!AN7</f>
        <v>54046.69943492813</v>
      </c>
      <c r="S59" s="27">
        <f>Simulacao!AN250</f>
        <v>0</v>
      </c>
      <c r="T59" s="27">
        <f>Simulacao!AN252</f>
        <v>124798.54314865585</v>
      </c>
      <c r="U59" s="27">
        <f t="shared" si="1"/>
        <v>1031778.1924873167</v>
      </c>
      <c r="X59" s="26" t="s">
        <v>101</v>
      </c>
      <c r="Y59" s="273">
        <v>919330.1754876232</v>
      </c>
    </row>
    <row r="60" spans="2:25" ht="12" customHeight="1" x14ac:dyDescent="0.35">
      <c r="B60" s="33" t="s">
        <v>102</v>
      </c>
      <c r="C60" s="34" t="s">
        <v>80</v>
      </c>
      <c r="D60" s="24">
        <f>Simulacao!DS205</f>
        <v>0</v>
      </c>
      <c r="E60" s="35">
        <f>Simulacao!DS205*Premissas!B17</f>
        <v>0</v>
      </c>
      <c r="F60" s="36">
        <f>Simulacao!DS205/Simulacao!B273</f>
        <v>0</v>
      </c>
      <c r="P60" s="26" t="s">
        <v>103</v>
      </c>
      <c r="Q60" s="27">
        <f>Simulacao!AO249</f>
        <v>478339.97852498898</v>
      </c>
      <c r="R60" s="27">
        <f>Simulacao!AO7</f>
        <v>56888.738956790621</v>
      </c>
      <c r="S60" s="27">
        <f>Simulacao!AO250</f>
        <v>116989.88091458243</v>
      </c>
      <c r="T60" s="27">
        <f>Simulacao!AO252</f>
        <v>304461.35865361593</v>
      </c>
      <c r="U60" s="27">
        <f t="shared" si="1"/>
        <v>1336239.5511409326</v>
      </c>
      <c r="X60" s="26" t="s">
        <v>103</v>
      </c>
      <c r="Y60" s="273">
        <v>1340578.5406264211</v>
      </c>
    </row>
    <row r="61" spans="2:25" ht="12" customHeight="1" x14ac:dyDescent="0.35">
      <c r="B61" s="9" t="s">
        <v>104</v>
      </c>
      <c r="C61" s="37" t="s">
        <v>105</v>
      </c>
      <c r="D61" s="38">
        <f>Simulacao!DS218</f>
        <v>157904.56297713734</v>
      </c>
      <c r="E61" s="10">
        <f>Simulacao!DS218*Premissas!B17</f>
        <v>69872.769117383272</v>
      </c>
      <c r="F61" s="11">
        <f>Simulacao!DS218/Simulacao!B273</f>
        <v>0.14407170931850771</v>
      </c>
      <c r="P61" s="26" t="s">
        <v>106</v>
      </c>
      <c r="Q61" s="27">
        <f>Simulacao!AP249</f>
        <v>258195.24017286752</v>
      </c>
      <c r="R61" s="27">
        <f>Simulacao!AP7</f>
        <v>68291.768694815633</v>
      </c>
      <c r="S61" s="27">
        <f>Simulacao!AP250</f>
        <v>96803.845962186955</v>
      </c>
      <c r="T61" s="27">
        <f>Simulacao!AP252</f>
        <v>93099.625515864929</v>
      </c>
      <c r="U61" s="27">
        <f t="shared" si="1"/>
        <v>1429339.1766567975</v>
      </c>
      <c r="X61" s="26" t="s">
        <v>106</v>
      </c>
      <c r="Y61" s="273">
        <v>1431132.9517951072</v>
      </c>
    </row>
    <row r="62" spans="2:25" ht="12" customHeight="1" x14ac:dyDescent="0.35">
      <c r="B62" s="33" t="s">
        <v>107</v>
      </c>
      <c r="C62" s="34" t="s">
        <v>80</v>
      </c>
      <c r="D62" s="24">
        <f>Simulacao!DS230</f>
        <v>72853.682787224097</v>
      </c>
      <c r="E62" s="35">
        <f>Simulacao!DS230*Premissas!B17</f>
        <v>32237.754633346663</v>
      </c>
      <c r="F62" s="36">
        <f>Simulacao!DS230/Simulacao!B273</f>
        <v>6.6471509191431258E-2</v>
      </c>
      <c r="P62" s="26" t="s">
        <v>108</v>
      </c>
      <c r="Q62" s="27">
        <f>Simulacao!AQ249</f>
        <v>45893.243710764466</v>
      </c>
      <c r="R62" s="27">
        <f>Simulacao!AQ7</f>
        <v>64081.016887884383</v>
      </c>
      <c r="S62" s="27">
        <f>Simulacao!AQ250</f>
        <v>8594.2941881471834</v>
      </c>
      <c r="T62" s="27">
        <f>Simulacao!AQ252</f>
        <v>-26782.067365267096</v>
      </c>
      <c r="U62" s="27">
        <f t="shared" si="1"/>
        <v>1402557.1092915304</v>
      </c>
      <c r="X62" s="26" t="s">
        <v>108</v>
      </c>
      <c r="Y62" s="273">
        <v>1401429.6687344727</v>
      </c>
    </row>
    <row r="63" spans="2:25" ht="12" customHeight="1" x14ac:dyDescent="0.35">
      <c r="B63" s="9" t="s">
        <v>109</v>
      </c>
      <c r="C63" s="37" t="s">
        <v>80</v>
      </c>
      <c r="D63" s="38">
        <f>Simulacao!DS242</f>
        <v>0</v>
      </c>
      <c r="E63" s="10">
        <f>Simulacao!DS242*Premissas!B17</f>
        <v>0</v>
      </c>
      <c r="F63" s="11">
        <f>Simulacao!DS242/Simulacao!B273</f>
        <v>0</v>
      </c>
      <c r="P63" s="26" t="s">
        <v>110</v>
      </c>
      <c r="Q63" s="27">
        <f>Simulacao!AR249</f>
        <v>46687.314919602024</v>
      </c>
      <c r="R63" s="27">
        <f>Simulacao!AR7</f>
        <v>65855.112110887494</v>
      </c>
      <c r="S63" s="27">
        <f>Simulacao!AR250</f>
        <v>6345.3244878425403</v>
      </c>
      <c r="T63" s="27">
        <f>Simulacao!AR252</f>
        <v>-25513.121679128017</v>
      </c>
      <c r="U63" s="27">
        <f t="shared" si="1"/>
        <v>1377043.9876124025</v>
      </c>
      <c r="X63" s="26" t="s">
        <v>110</v>
      </c>
      <c r="Y63" s="273">
        <v>1369952.2904508351</v>
      </c>
    </row>
    <row r="64" spans="2:25" ht="12" customHeight="1" x14ac:dyDescent="0.35">
      <c r="B64" s="39" t="s">
        <v>111</v>
      </c>
      <c r="C64" s="40"/>
      <c r="D64" s="41">
        <f>Simulacao!B273</f>
        <v>1096013.6707203807</v>
      </c>
      <c r="E64" s="42">
        <f>Simulacao!B273*Premissas!B17</f>
        <v>484986.04929376848</v>
      </c>
      <c r="F64" s="43">
        <v>1</v>
      </c>
      <c r="P64" s="26" t="s">
        <v>112</v>
      </c>
      <c r="Q64" s="27">
        <f>Simulacao!AS249</f>
        <v>46532.757936063717</v>
      </c>
      <c r="R64" s="27">
        <f>Simulacao!AS7</f>
        <v>63675.633949950003</v>
      </c>
      <c r="S64" s="27">
        <f>Simulacao!AS250</f>
        <v>6049.3296190640049</v>
      </c>
      <c r="T64" s="27">
        <f>Simulacao!AS252</f>
        <v>-23192.205632950296</v>
      </c>
      <c r="U64" s="27">
        <f t="shared" si="1"/>
        <v>1353851.7819794524</v>
      </c>
      <c r="X64" s="26" t="s">
        <v>112</v>
      </c>
      <c r="Y64" s="273">
        <v>1340654.3903281349</v>
      </c>
    </row>
    <row r="65" spans="2:25" ht="12" customHeight="1" x14ac:dyDescent="0.35">
      <c r="B65" s="44" t="s">
        <v>113</v>
      </c>
      <c r="C65" s="44"/>
      <c r="D65" s="44"/>
      <c r="E65" s="44"/>
      <c r="F65" s="44"/>
      <c r="P65" s="26" t="s">
        <v>114</v>
      </c>
      <c r="Q65" s="27">
        <f>Simulacao!AT249</f>
        <v>48092.210135237678</v>
      </c>
      <c r="R65" s="27">
        <f>Simulacao!AT7</f>
        <v>60463.083140728122</v>
      </c>
      <c r="S65" s="27">
        <f>Simulacao!AT250</f>
        <v>8390.301390579436</v>
      </c>
      <c r="T65" s="27">
        <f>Simulacao!AT252</f>
        <v>-20761.17439606988</v>
      </c>
      <c r="U65" s="27">
        <f t="shared" si="1"/>
        <v>1333090.6075833824</v>
      </c>
      <c r="X65" s="26" t="s">
        <v>114</v>
      </c>
      <c r="Y65" s="273">
        <v>1314569.0410146567</v>
      </c>
    </row>
    <row r="66" spans="2:25" ht="12" customHeight="1" x14ac:dyDescent="0.35">
      <c r="B66" s="45" t="s">
        <v>115</v>
      </c>
      <c r="C66" s="46" t="s">
        <v>116</v>
      </c>
      <c r="D66" s="46" t="s">
        <v>117</v>
      </c>
      <c r="E66" s="46" t="s">
        <v>118</v>
      </c>
      <c r="F66" s="46" t="s">
        <v>119</v>
      </c>
      <c r="P66" s="26" t="s">
        <v>120</v>
      </c>
      <c r="Q66" s="27">
        <f>Simulacao!AU249</f>
        <v>45752.569091017038</v>
      </c>
      <c r="R66" s="27">
        <f>Simulacao!AU7</f>
        <v>62394.10079131875</v>
      </c>
      <c r="S66" s="27">
        <f>Simulacao!AU250</f>
        <v>5867.3685053110821</v>
      </c>
      <c r="T66" s="27">
        <f>Simulacao!AU252</f>
        <v>-22508.900205612794</v>
      </c>
      <c r="U66" s="27">
        <f t="shared" si="1"/>
        <v>1310581.7073777695</v>
      </c>
      <c r="X66" s="26" t="s">
        <v>120</v>
      </c>
      <c r="Y66" s="273">
        <v>1286552.6740505877</v>
      </c>
    </row>
    <row r="67" spans="2:25" ht="12" customHeight="1" x14ac:dyDescent="0.35">
      <c r="B67" s="47" t="s">
        <v>121</v>
      </c>
      <c r="C67" s="48">
        <f>Simulacao!DS34</f>
        <v>17669.149865376727</v>
      </c>
      <c r="D67" s="48">
        <f>Simulacao!DS31</f>
        <v>56648.320984637459</v>
      </c>
      <c r="E67" s="48">
        <f>Simulacao!B281</f>
        <v>38979.171119260733</v>
      </c>
      <c r="F67" s="49">
        <f>Simulacao!B281*Premissas!B17</f>
        <v>17248.283220272875</v>
      </c>
      <c r="P67" s="26" t="s">
        <v>122</v>
      </c>
      <c r="Q67" s="27">
        <f>Simulacao!AV249</f>
        <v>48494.798685172791</v>
      </c>
      <c r="R67" s="27">
        <f>Simulacao!AV7</f>
        <v>55598.487885515628</v>
      </c>
      <c r="S67" s="27">
        <f>Simulacao!AV250</f>
        <v>14388.288018454177</v>
      </c>
      <c r="T67" s="27">
        <f>Simulacao!AV252</f>
        <v>-21491.977218797008</v>
      </c>
      <c r="U67" s="27">
        <f t="shared" si="1"/>
        <v>1289089.7301589726</v>
      </c>
      <c r="X67" s="26" t="s">
        <v>122</v>
      </c>
      <c r="Y67" s="273">
        <v>1265331.9199923219</v>
      </c>
    </row>
    <row r="68" spans="2:25" ht="12" customHeight="1" x14ac:dyDescent="0.35">
      <c r="B68" s="47" t="s">
        <v>123</v>
      </c>
      <c r="C68" s="48">
        <f>Simulacao!DS52</f>
        <v>17669.149865376727</v>
      </c>
      <c r="D68" s="48">
        <f>Simulacao!DS49</f>
        <v>158023.28432292552</v>
      </c>
      <c r="E68" s="48">
        <f>Simulacao!B282</f>
        <v>140354.13445754879</v>
      </c>
      <c r="F68" s="49">
        <f>Simulacao!B282*Premissas!B17</f>
        <v>62106.70449746534</v>
      </c>
      <c r="P68" s="26" t="s">
        <v>124</v>
      </c>
      <c r="Q68" s="27">
        <f>Simulacao!AW249</f>
        <v>264503.61082086427</v>
      </c>
      <c r="R68" s="27">
        <f>Simulacao!AW7</f>
        <v>63771.530989031256</v>
      </c>
      <c r="S68" s="27">
        <f>Simulacao!AW250</f>
        <v>20039.412620583051</v>
      </c>
      <c r="T68" s="27">
        <f>Simulacao!AW252</f>
        <v>180692.66721124997</v>
      </c>
      <c r="U68" s="27">
        <f t="shared" si="1"/>
        <v>1469782.3973702225</v>
      </c>
      <c r="X68" s="26" t="s">
        <v>124</v>
      </c>
      <c r="Y68" s="273">
        <v>1442066.8259662841</v>
      </c>
    </row>
    <row r="69" spans="2:25" ht="12" customHeight="1" x14ac:dyDescent="0.35">
      <c r="B69" s="47" t="s">
        <v>125</v>
      </c>
      <c r="C69" s="48">
        <v>0</v>
      </c>
      <c r="D69" s="48">
        <f>Simulacao!B283</f>
        <v>881342.06541281764</v>
      </c>
      <c r="E69" s="48">
        <f>Simulacao!B283</f>
        <v>881342.06541281764</v>
      </c>
      <c r="F69" s="49">
        <f>Simulacao!B283*Premissas!B17</f>
        <v>389993.86394517182</v>
      </c>
      <c r="P69" s="26" t="s">
        <v>126</v>
      </c>
      <c r="Q69" s="27">
        <f>Simulacao!AX249</f>
        <v>37871.088421482673</v>
      </c>
      <c r="R69" s="27">
        <f>Simulacao!AX7</f>
        <v>63632.044386731257</v>
      </c>
      <c r="S69" s="27">
        <f>Simulacao!AX250</f>
        <v>16574.449163897934</v>
      </c>
      <c r="T69" s="27">
        <f>Simulacao!AX252</f>
        <v>-42335.405129146522</v>
      </c>
      <c r="U69" s="27">
        <f t="shared" si="1"/>
        <v>1427446.992241076</v>
      </c>
      <c r="X69" s="26" t="s">
        <v>126</v>
      </c>
      <c r="Y69" s="273">
        <v>1412812.5154068028</v>
      </c>
    </row>
    <row r="70" spans="2:25" ht="12" customHeight="1" x14ac:dyDescent="0.35">
      <c r="B70" s="50" t="s">
        <v>127</v>
      </c>
      <c r="C70" s="51">
        <f>C67+C68+C69</f>
        <v>35338.299730753453</v>
      </c>
      <c r="D70" s="51">
        <f>D67+D68+D69</f>
        <v>1096013.6707203807</v>
      </c>
      <c r="E70" s="51">
        <f>Simulacao!B284</f>
        <v>1060675.3709896272</v>
      </c>
      <c r="F70" s="52">
        <f>Simulacao!B284*Premissas!B17</f>
        <v>469348.85166291002</v>
      </c>
      <c r="P70" s="26" t="s">
        <v>128</v>
      </c>
      <c r="Q70" s="27">
        <f>Simulacao!AY249</f>
        <v>35238.066755815074</v>
      </c>
      <c r="R70" s="27">
        <f>Simulacao!AY7</f>
        <v>59552.061269456244</v>
      </c>
      <c r="S70" s="27">
        <f>Simulacao!AY250</f>
        <v>14406.417561161925</v>
      </c>
      <c r="T70" s="27">
        <f>Simulacao!AY252</f>
        <v>-38720.412074803098</v>
      </c>
      <c r="U70" s="27">
        <f t="shared" si="1"/>
        <v>1388726.5801662728</v>
      </c>
      <c r="X70" s="26" t="s">
        <v>128</v>
      </c>
      <c r="Y70" s="273">
        <v>1387638.1879645963</v>
      </c>
    </row>
    <row r="71" spans="2:25" ht="12" customHeight="1" x14ac:dyDescent="0.35">
      <c r="B71" s="4"/>
      <c r="C71" s="29"/>
      <c r="D71" s="5"/>
      <c r="E71" s="5"/>
      <c r="F71" s="5"/>
      <c r="P71" s="26" t="s">
        <v>129</v>
      </c>
      <c r="Q71" s="27">
        <f>Simulacao!AZ249</f>
        <v>205381.47782891581</v>
      </c>
      <c r="R71" s="27">
        <f>Simulacao!AZ7</f>
        <v>53776.465937753492</v>
      </c>
      <c r="S71" s="27">
        <f>Simulacao!AZ250</f>
        <v>11649.25515794732</v>
      </c>
      <c r="T71" s="27">
        <f>Simulacao!AZ252</f>
        <v>139955.75673321501</v>
      </c>
      <c r="U71" s="27">
        <f t="shared" si="1"/>
        <v>1528682.3368994878</v>
      </c>
      <c r="X71" s="26" t="s">
        <v>129</v>
      </c>
      <c r="Y71" s="273">
        <v>1527714.5017483337</v>
      </c>
    </row>
    <row r="72" spans="2:25" ht="12" customHeight="1" x14ac:dyDescent="0.35">
      <c r="B72" s="4"/>
      <c r="C72" s="29"/>
      <c r="D72" s="5"/>
      <c r="E72" s="5"/>
      <c r="F72" s="5"/>
      <c r="P72" s="25" t="s">
        <v>130</v>
      </c>
      <c r="Q72" s="25">
        <f>Simulacao!BA249</f>
        <v>492586.8983133405</v>
      </c>
      <c r="R72" s="25">
        <f>Simulacao!BA7</f>
        <v>56604.295262006672</v>
      </c>
      <c r="S72" s="25">
        <f>Simulacao!BA250</f>
        <v>134255.49345320321</v>
      </c>
      <c r="T72" s="25">
        <f>Simulacao!BA252</f>
        <v>301727.10959813063</v>
      </c>
      <c r="U72" s="25">
        <f t="shared" si="1"/>
        <v>1830409.4464976185</v>
      </c>
      <c r="X72" s="25" t="s">
        <v>130</v>
      </c>
      <c r="Y72" s="272">
        <v>1843576.7734954557</v>
      </c>
    </row>
    <row r="73" spans="2:25" ht="12" customHeight="1" x14ac:dyDescent="0.35">
      <c r="B73" s="4"/>
      <c r="C73" s="29"/>
      <c r="D73" s="5"/>
      <c r="E73" s="5"/>
      <c r="F73" s="5"/>
      <c r="P73" s="26" t="s">
        <v>131</v>
      </c>
      <c r="Q73" s="27">
        <f>Simulacao!BB249</f>
        <v>267048.37759298243</v>
      </c>
      <c r="R73" s="27">
        <f>Simulacao!BB7</f>
        <v>67950.309851341546</v>
      </c>
      <c r="S73" s="27">
        <f>Simulacao!BB250</f>
        <v>110057.34128859195</v>
      </c>
      <c r="T73" s="27">
        <f>Simulacao!BB252</f>
        <v>89040.726453048934</v>
      </c>
      <c r="U73" s="27">
        <f t="shared" si="1"/>
        <v>1919450.1729506673</v>
      </c>
      <c r="X73" s="26" t="s">
        <v>131</v>
      </c>
      <c r="Y73" s="273">
        <v>1947014.2504952517</v>
      </c>
    </row>
    <row r="74" spans="2:25" ht="12" customHeight="1" x14ac:dyDescent="0.35">
      <c r="B74" s="4"/>
      <c r="C74" s="29"/>
      <c r="D74" s="5"/>
      <c r="E74" s="5"/>
      <c r="F74" s="5"/>
      <c r="P74" s="26" t="s">
        <v>132</v>
      </c>
      <c r="Q74" s="27">
        <f>Simulacao!BC249</f>
        <v>47040.85245080942</v>
      </c>
      <c r="R74" s="27">
        <f>Simulacao!BC7</f>
        <v>63760.611803444961</v>
      </c>
      <c r="S74" s="27">
        <f>Simulacao!BC250</f>
        <v>27528.935337401294</v>
      </c>
      <c r="T74" s="27">
        <f>Simulacao!BC252</f>
        <v>-44248.694690036842</v>
      </c>
      <c r="U74" s="27">
        <f t="shared" si="1"/>
        <v>1875201.4782606305</v>
      </c>
      <c r="X74" s="26" t="s">
        <v>132</v>
      </c>
      <c r="Y74" s="273">
        <v>1918490.8158647378</v>
      </c>
    </row>
    <row r="75" spans="2:25" ht="12" customHeight="1" x14ac:dyDescent="0.35">
      <c r="B75" s="4"/>
      <c r="C75" s="29"/>
      <c r="D75" s="5"/>
      <c r="E75" s="5"/>
      <c r="F75" s="5"/>
      <c r="P75" s="26" t="s">
        <v>133</v>
      </c>
      <c r="Q75" s="27">
        <f>Simulacao!BD249</f>
        <v>47852.507987115372</v>
      </c>
      <c r="R75" s="27">
        <f>Simulacao!BD7</f>
        <v>65525.836550333064</v>
      </c>
      <c r="S75" s="27">
        <f>Simulacao!BD250</f>
        <v>27454.037890229152</v>
      </c>
      <c r="T75" s="27">
        <f>Simulacao!BD252</f>
        <v>-45127.366453446841</v>
      </c>
      <c r="U75" s="27">
        <f t="shared" si="1"/>
        <v>1830074.1118071836</v>
      </c>
      <c r="X75" s="26" t="s">
        <v>133</v>
      </c>
      <c r="Y75" s="273">
        <v>1888202.1564873359</v>
      </c>
    </row>
    <row r="76" spans="2:25" ht="12" customHeight="1" x14ac:dyDescent="0.35">
      <c r="B76" s="4"/>
      <c r="C76" s="29"/>
      <c r="D76" s="5"/>
      <c r="E76" s="5"/>
      <c r="F76" s="5"/>
      <c r="P76" s="26" t="s">
        <v>134</v>
      </c>
      <c r="Q76" s="27">
        <f>Simulacao!BE249</f>
        <v>47695.174530818891</v>
      </c>
      <c r="R76" s="27">
        <f>Simulacao!BE7</f>
        <v>63357.255780200256</v>
      </c>
      <c r="S76" s="27">
        <f>Simulacao!BE250</f>
        <v>29825.156445998535</v>
      </c>
      <c r="T76" s="27">
        <f>Simulacao!BE252</f>
        <v>-45487.237695379903</v>
      </c>
      <c r="U76" s="27">
        <f t="shared" si="1"/>
        <v>1784586.8741118037</v>
      </c>
      <c r="X76" s="26" t="s">
        <v>134</v>
      </c>
      <c r="Y76" s="273">
        <v>1860007.9655374505</v>
      </c>
    </row>
    <row r="77" spans="2:25" ht="12" customHeight="1" x14ac:dyDescent="0.35">
      <c r="B77" s="4"/>
      <c r="C77" s="29"/>
      <c r="D77" s="5"/>
      <c r="E77" s="5"/>
      <c r="F77" s="5"/>
      <c r="P77" s="26" t="s">
        <v>135</v>
      </c>
      <c r="Q77" s="27">
        <f>Simulacao!BF249</f>
        <v>49295.348330446068</v>
      </c>
      <c r="R77" s="27">
        <f>Simulacao!BF7</f>
        <v>60160.767725024496</v>
      </c>
      <c r="S77" s="27">
        <f>Simulacao!BF250</f>
        <v>23194.604706650225</v>
      </c>
      <c r="T77" s="27">
        <f>Simulacao!BF252</f>
        <v>-34060.024101228657</v>
      </c>
      <c r="U77" s="27">
        <f t="shared" si="1"/>
        <v>1750526.850010575</v>
      </c>
      <c r="X77" s="26" t="s">
        <v>135</v>
      </c>
      <c r="Y77" s="273">
        <v>1834883.950618376</v>
      </c>
    </row>
    <row r="78" spans="2:25" ht="12" customHeight="1" x14ac:dyDescent="0.35">
      <c r="B78" s="4"/>
      <c r="C78" s="29"/>
      <c r="D78" s="5"/>
      <c r="E78" s="5"/>
      <c r="F78" s="5"/>
      <c r="P78" s="26" t="s">
        <v>136</v>
      </c>
      <c r="Q78" s="27">
        <f>Simulacao!BG249</f>
        <v>46896.475867384404</v>
      </c>
      <c r="R78" s="27">
        <f>Simulacao!BG7</f>
        <v>62082.130287362153</v>
      </c>
      <c r="S78" s="27">
        <f>Simulacao!BG250</f>
        <v>19091.05776154613</v>
      </c>
      <c r="T78" s="27">
        <f>Simulacao!BG252</f>
        <v>-34276.712181523879</v>
      </c>
      <c r="U78" s="27">
        <f t="shared" si="1"/>
        <v>1716250.1378290511</v>
      </c>
      <c r="X78" s="26" t="s">
        <v>136</v>
      </c>
      <c r="Y78" s="273">
        <v>1807859.8083850741</v>
      </c>
    </row>
    <row r="79" spans="2:25" ht="12" customHeight="1" x14ac:dyDescent="0.35">
      <c r="B79" s="4"/>
      <c r="C79" s="29"/>
      <c r="D79" s="5"/>
      <c r="E79" s="5"/>
      <c r="F79" s="5"/>
      <c r="P79" s="26" t="s">
        <v>137</v>
      </c>
      <c r="Q79" s="27">
        <f>Simulacao!BH249</f>
        <v>49705.340807736306</v>
      </c>
      <c r="R79" s="27">
        <f>Simulacao!BH7</f>
        <v>55320.495446088054</v>
      </c>
      <c r="S79" s="27">
        <f>Simulacao!BH250</f>
        <v>25268.978566919308</v>
      </c>
      <c r="T79" s="27">
        <f>Simulacao!BH252</f>
        <v>-30884.133205271057</v>
      </c>
      <c r="U79" s="27">
        <f t="shared" si="1"/>
        <v>1685366.00462378</v>
      </c>
      <c r="X79" s="26" t="s">
        <v>137</v>
      </c>
      <c r="Y79" s="273">
        <v>1786702.6305509591</v>
      </c>
    </row>
    <row r="80" spans="2:25" ht="12" customHeight="1" x14ac:dyDescent="0.35">
      <c r="B80" s="4"/>
      <c r="C80" s="29"/>
      <c r="D80" s="5"/>
      <c r="E80" s="5"/>
      <c r="F80" s="5"/>
      <c r="P80" s="26" t="s">
        <v>138</v>
      </c>
      <c r="Q80" s="27">
        <f>Simulacao!BI249</f>
        <v>285370.01529887447</v>
      </c>
      <c r="R80" s="27">
        <f>Simulacao!BI7</f>
        <v>63452.673334086096</v>
      </c>
      <c r="S80" s="27">
        <f>Simulacao!BI250</f>
        <v>14961.29443938459</v>
      </c>
      <c r="T80" s="27">
        <f>Simulacao!BI252</f>
        <v>206956.04752540379</v>
      </c>
      <c r="U80" s="27">
        <f t="shared" si="1"/>
        <v>1892322.0521491838</v>
      </c>
      <c r="X80" s="26" t="s">
        <v>138</v>
      </c>
      <c r="Y80" s="273">
        <v>1983790.1221514829</v>
      </c>
    </row>
    <row r="81" spans="1:25" ht="12" customHeight="1" x14ac:dyDescent="0.35">
      <c r="B81" s="4"/>
      <c r="C81" s="29"/>
      <c r="D81" s="5"/>
      <c r="E81" s="5"/>
      <c r="F81" s="5"/>
      <c r="P81" s="26" t="s">
        <v>139</v>
      </c>
      <c r="Q81" s="27">
        <f>Simulacao!BJ249</f>
        <v>38818.791122939132</v>
      </c>
      <c r="R81" s="27">
        <f>Simulacao!BJ7</f>
        <v>63313.884164797601</v>
      </c>
      <c r="S81" s="27">
        <f>Simulacao!BJ250</f>
        <v>8234.8257524908859</v>
      </c>
      <c r="T81" s="27">
        <f>Simulacao!BJ252</f>
        <v>-32729.91879434936</v>
      </c>
      <c r="U81" s="27">
        <f t="shared" si="1"/>
        <v>1859592.1333548345</v>
      </c>
      <c r="X81" s="26" t="s">
        <v>139</v>
      </c>
      <c r="Y81" s="273">
        <v>1955477.9326213412</v>
      </c>
    </row>
    <row r="82" spans="1:25" ht="12" customHeight="1" x14ac:dyDescent="0.35">
      <c r="B82" s="4"/>
      <c r="C82" s="29"/>
      <c r="D82" s="5"/>
      <c r="E82" s="5"/>
      <c r="F82" s="5"/>
      <c r="P82" s="26" t="s">
        <v>140</v>
      </c>
      <c r="Q82" s="27">
        <f>Simulacao!BK249</f>
        <v>36119.134111075371</v>
      </c>
      <c r="R82" s="27">
        <f>Simulacao!BK7</f>
        <v>59254.300963108974</v>
      </c>
      <c r="S82" s="27">
        <f>Simulacao!BK250</f>
        <v>6436.8207792972589</v>
      </c>
      <c r="T82" s="27">
        <f>Simulacao!BK252</f>
        <v>-29571.987631330863</v>
      </c>
      <c r="U82" s="27">
        <f t="shared" si="1"/>
        <v>1830020.1457235035</v>
      </c>
      <c r="X82" s="26" t="s">
        <v>140</v>
      </c>
      <c r="Y82" s="273">
        <v>1930957.2544338936</v>
      </c>
    </row>
    <row r="83" spans="1:25" ht="12.75" customHeight="1" x14ac:dyDescent="0.35">
      <c r="P83" s="26" t="s">
        <v>141</v>
      </c>
      <c r="Q83" s="27">
        <f>Simulacao!BL249</f>
        <v>217802.41478424321</v>
      </c>
      <c r="R83" s="27">
        <f>Simulacao!BL7</f>
        <v>53507.58360806472</v>
      </c>
      <c r="S83" s="27">
        <f>Simulacao!BL250</f>
        <v>0</v>
      </c>
      <c r="T83" s="27">
        <f>Simulacao!BL252</f>
        <v>164294.8311761785</v>
      </c>
      <c r="U83" s="27">
        <f>Resumo!U82+Resumo!T83</f>
        <v>1994314.9768996821</v>
      </c>
      <c r="X83" s="26" t="s">
        <v>141</v>
      </c>
      <c r="Y83" s="273">
        <v>1955256.7283807774</v>
      </c>
    </row>
    <row r="84" spans="1:25" ht="12.75" customHeight="1" x14ac:dyDescent="0.35">
      <c r="P84" s="26" t="s">
        <v>142</v>
      </c>
      <c r="Q84" s="27">
        <f>Simulacao!BM249</f>
        <v>504785.94865929853</v>
      </c>
      <c r="R84" s="27">
        <f>Simulacao!BM7</f>
        <v>56321.273785696641</v>
      </c>
      <c r="S84" s="27">
        <f>Simulacao!BM250</f>
        <v>189249.48106828606</v>
      </c>
      <c r="T84" s="27">
        <f>Simulacao!BM252</f>
        <v>259215.19380531582</v>
      </c>
      <c r="U84" s="27">
        <f>Resumo!U83+Resumo!T84</f>
        <v>2253530.1707049981</v>
      </c>
      <c r="X84" s="26" t="s">
        <v>142</v>
      </c>
      <c r="Y84" s="273">
        <v>1996713.3859457071</v>
      </c>
    </row>
    <row r="85" spans="1:25" ht="12.75" customHeight="1" x14ac:dyDescent="0.35">
      <c r="P85" s="26" t="s">
        <v>143</v>
      </c>
      <c r="Q85" s="27">
        <f>Simulacao!BN249</f>
        <v>277338.7059893292</v>
      </c>
      <c r="R85" s="27">
        <f>Simulacao!BN7</f>
        <v>67610.558302084843</v>
      </c>
      <c r="S85" s="27">
        <f>Simulacao!BN250</f>
        <v>139398.80511617142</v>
      </c>
      <c r="T85" s="27">
        <f>Simulacao!BN252</f>
        <v>70329.342571072921</v>
      </c>
      <c r="U85" s="27">
        <f>Resumo!U84+Resumo!T85</f>
        <v>2323859.5132760708</v>
      </c>
      <c r="X85" s="26" t="s">
        <v>143</v>
      </c>
      <c r="Y85" s="273">
        <v>2026880.7589942485</v>
      </c>
    </row>
    <row r="86" spans="1:25" ht="12.75" customHeight="1" x14ac:dyDescent="0.35">
      <c r="P86" s="26" t="s">
        <v>144</v>
      </c>
      <c r="Q86" s="27">
        <f>Simulacao!BO249</f>
        <v>48217.151409355465</v>
      </c>
      <c r="R86" s="27">
        <f>Simulacao!BO7</f>
        <v>63441.808744427733</v>
      </c>
      <c r="S86" s="27">
        <f>Simulacao!BO250</f>
        <v>0</v>
      </c>
      <c r="T86" s="27">
        <f>Simulacao!BO252</f>
        <v>-15224.657335072268</v>
      </c>
      <c r="U86" s="27">
        <f>Resumo!U85+Resumo!T86</f>
        <v>2308634.8559409985</v>
      </c>
      <c r="X86" s="26" t="s">
        <v>144</v>
      </c>
      <c r="Y86" s="273">
        <v>2061216.881600447</v>
      </c>
    </row>
    <row r="87" spans="1:25" ht="12.75" customHeight="1" x14ac:dyDescent="0.35">
      <c r="P87" s="26" t="s">
        <v>145</v>
      </c>
      <c r="Q87" s="27">
        <f>Simulacao!BP249</f>
        <v>49050.093236807428</v>
      </c>
      <c r="R87" s="27">
        <f>Simulacao!BP7</f>
        <v>65198.207367581395</v>
      </c>
      <c r="S87" s="27">
        <f>Simulacao!BP250</f>
        <v>1603.3337573902838</v>
      </c>
      <c r="T87" s="27">
        <f>Simulacao!BP252</f>
        <v>-17751.447888164257</v>
      </c>
      <c r="U87" s="27">
        <f>Resumo!U86+Resumo!T87</f>
        <v>2290883.4080528342</v>
      </c>
      <c r="X87" s="26" t="s">
        <v>145</v>
      </c>
      <c r="Y87" s="273">
        <v>2093796.6055834917</v>
      </c>
    </row>
    <row r="88" spans="1:25" ht="12.75" customHeight="1" x14ac:dyDescent="0.35">
      <c r="P88" s="26" t="s">
        <v>146</v>
      </c>
      <c r="Q88" s="27">
        <f>Simulacao!BQ249</f>
        <v>48889.057816833389</v>
      </c>
      <c r="R88" s="27">
        <f>Simulacao!BQ7</f>
        <v>63040.469501299252</v>
      </c>
      <c r="S88" s="27">
        <f>Simulacao!BQ250</f>
        <v>729.68086185347067</v>
      </c>
      <c r="T88" s="27">
        <f>Simulacao!BQ252</f>
        <v>-14881.092546319334</v>
      </c>
      <c r="U88" s="27">
        <f>Resumo!U87+Resumo!T88</f>
        <v>2276002.3155065151</v>
      </c>
      <c r="X88" s="26" t="s">
        <v>146</v>
      </c>
      <c r="Y88" s="273">
        <v>2128534.0674328189</v>
      </c>
    </row>
    <row r="89" spans="1:25" ht="12.75" customHeight="1" x14ac:dyDescent="0.35">
      <c r="P89" s="26" t="s">
        <v>147</v>
      </c>
      <c r="Q89" s="27">
        <f>Simulacao!BR249</f>
        <v>50527.176744155586</v>
      </c>
      <c r="R89" s="27">
        <f>Simulacao!BR7</f>
        <v>59859.96388639936</v>
      </c>
      <c r="S89" s="27">
        <f>Simulacao!BR250</f>
        <v>2010.5971737756206</v>
      </c>
      <c r="T89" s="27">
        <f>Simulacao!BR252</f>
        <v>-11343.384316019394</v>
      </c>
      <c r="U89" s="27">
        <f>Resumo!U88+Resumo!T89</f>
        <v>2264658.9311904958</v>
      </c>
      <c r="X89" s="26" t="s">
        <v>147</v>
      </c>
      <c r="Y89" s="273">
        <v>2166452.0348970457</v>
      </c>
    </row>
    <row r="90" spans="1:25" ht="12.75" customHeight="1" x14ac:dyDescent="0.35">
      <c r="P90" s="26" t="s">
        <v>148</v>
      </c>
      <c r="Q90" s="27">
        <f>Simulacao!BS249</f>
        <v>48069.072862252891</v>
      </c>
      <c r="R90" s="27">
        <f>Simulacao!BS7</f>
        <v>61771.719635925358</v>
      </c>
      <c r="S90" s="27">
        <f>Simulacao!BS250</f>
        <v>0</v>
      </c>
      <c r="T90" s="27">
        <f>Simulacao!BS252</f>
        <v>-13702.646773672466</v>
      </c>
      <c r="U90" s="27">
        <f>Resumo!U89+Resumo!T90</f>
        <v>2250956.2844168232</v>
      </c>
      <c r="X90" s="26" t="s">
        <v>148</v>
      </c>
      <c r="Y90" s="273">
        <v>2202458.2466117465</v>
      </c>
    </row>
    <row r="91" spans="1:25" ht="12.75" customHeight="1" x14ac:dyDescent="0.35">
      <c r="P91" s="26" t="s">
        <v>149</v>
      </c>
      <c r="Q91" s="27">
        <f>Simulacao!BT249</f>
        <v>50951.051585236681</v>
      </c>
      <c r="R91" s="27">
        <f>Simulacao!BT7</f>
        <v>55043.892968857617</v>
      </c>
      <c r="S91" s="27">
        <f>Simulacao!BT250</f>
        <v>918.53900436376261</v>
      </c>
      <c r="T91" s="27">
        <f>Simulacao!BT252</f>
        <v>-5011.3803879846964</v>
      </c>
      <c r="U91" s="27">
        <f>Resumo!U90+Resumo!T91</f>
        <v>2245944.9040288385</v>
      </c>
      <c r="X91" s="26" t="s">
        <v>149</v>
      </c>
      <c r="Y91" s="273">
        <v>2245192.2849935153</v>
      </c>
    </row>
    <row r="92" spans="1:25" ht="12.75" customHeight="1" x14ac:dyDescent="0.35">
      <c r="P92" s="26" t="s">
        <v>150</v>
      </c>
      <c r="Q92" s="27">
        <f>Simulacao!BU249</f>
        <v>395367.32444833731</v>
      </c>
      <c r="R92" s="27">
        <f>Simulacao!BU7</f>
        <v>63135.409967415668</v>
      </c>
      <c r="S92" s="27">
        <f>Simulacao!BU250</f>
        <v>275953.39563535986</v>
      </c>
      <c r="T92" s="27">
        <f>Simulacao!BU252</f>
        <v>56278.518845561775</v>
      </c>
      <c r="U92" s="27">
        <f>Resumo!U91+Resumo!T92</f>
        <v>2302223.4228744004</v>
      </c>
      <c r="X92" s="26" t="s">
        <v>150</v>
      </c>
      <c r="Y92" s="273">
        <v>2279834.8063767259</v>
      </c>
    </row>
    <row r="93" spans="1:25" ht="12.75" customHeight="1" x14ac:dyDescent="0.35">
      <c r="P93" s="26" t="s">
        <v>151</v>
      </c>
      <c r="Q93" s="27">
        <f>Simulacao!BV249</f>
        <v>39789.631097380363</v>
      </c>
      <c r="R93" s="27">
        <f>Simulacao!BV7</f>
        <v>62997.31474397362</v>
      </c>
      <c r="S93" s="27">
        <f>Simulacao!BV250</f>
        <v>0</v>
      </c>
      <c r="T93" s="27">
        <f>Simulacao!BV252</f>
        <v>-23207.683646593257</v>
      </c>
      <c r="U93" s="27">
        <f>Resumo!U92+Resumo!T93</f>
        <v>2279015.7392278071</v>
      </c>
      <c r="X93" s="26" t="s">
        <v>151</v>
      </c>
      <c r="Y93" s="273">
        <v>2314615.4229833786</v>
      </c>
    </row>
    <row r="94" spans="1:25" ht="12.75" customHeight="1" x14ac:dyDescent="0.35">
      <c r="P94" s="26" t="s">
        <v>152</v>
      </c>
      <c r="Q94" s="27">
        <f>Simulacao!BW249</f>
        <v>37021.487757481664</v>
      </c>
      <c r="R94" s="27">
        <f>Simulacao!BW7</f>
        <v>58958.029458293429</v>
      </c>
      <c r="S94" s="27">
        <f>Simulacao!BW250</f>
        <v>0</v>
      </c>
      <c r="T94" s="27">
        <f>Simulacao!BW252</f>
        <v>-21936.541700811766</v>
      </c>
      <c r="U94" s="27">
        <f>Resumo!U93+Resumo!T94</f>
        <v>2257079.1975269956</v>
      </c>
      <c r="X94" s="26" t="s">
        <v>152</v>
      </c>
      <c r="Y94" s="273">
        <v>2353435.3248757115</v>
      </c>
    </row>
    <row r="95" spans="1:25" ht="12.75" customHeight="1" x14ac:dyDescent="0.35">
      <c r="P95" s="26" t="s">
        <v>153</v>
      </c>
      <c r="Q95" s="27">
        <f>Simulacao!BX249</f>
        <v>222874.85102004808</v>
      </c>
      <c r="R95" s="27">
        <f>Simulacao!BX7</f>
        <v>53240.045690024395</v>
      </c>
      <c r="S95" s="27">
        <f>Simulacao!BX250</f>
        <v>46003.912394460007</v>
      </c>
      <c r="T95" s="27">
        <f>Simulacao!BX252</f>
        <v>123630.89293556368</v>
      </c>
      <c r="U95" s="27">
        <f>Resumo!U94+Resumo!T95</f>
        <v>2380710.0904625594</v>
      </c>
      <c r="X95" s="26" t="s">
        <v>153</v>
      </c>
      <c r="Y95" s="273">
        <v>2401363.1795059326</v>
      </c>
    </row>
    <row r="96" spans="1:25" ht="12.75" customHeight="1" x14ac:dyDescent="0.35">
      <c r="A96" s="53"/>
      <c r="G96" s="53"/>
      <c r="H96" s="53"/>
      <c r="I96" s="53"/>
      <c r="J96" s="53"/>
      <c r="K96" s="53"/>
      <c r="L96" s="53"/>
      <c r="M96" s="53"/>
      <c r="N96" s="53"/>
      <c r="O96" s="53"/>
      <c r="P96" s="26" t="s">
        <v>154</v>
      </c>
      <c r="Q96" s="27">
        <f>Simulacao!BY249</f>
        <v>519357.34440521273</v>
      </c>
      <c r="R96" s="27">
        <f>Simulacao!BY7</f>
        <v>56039.667416768156</v>
      </c>
      <c r="S96" s="27">
        <f>Simulacao!BY250</f>
        <v>282020.23656733776</v>
      </c>
      <c r="T96" s="27">
        <f>Simulacao!BY252</f>
        <v>181297.44042110682</v>
      </c>
      <c r="U96" s="27">
        <f>Resumo!U95+Resumo!T96</f>
        <v>2562007.5308836661</v>
      </c>
      <c r="X96" s="26" t="s">
        <v>154</v>
      </c>
      <c r="Y96" s="273">
        <v>2446491.4124094099</v>
      </c>
    </row>
    <row r="97" spans="1:25" ht="12.75" customHeight="1" x14ac:dyDescent="0.35">
      <c r="A97" s="53"/>
      <c r="G97" s="53"/>
      <c r="H97" s="53"/>
      <c r="I97" s="53"/>
      <c r="J97" s="53"/>
      <c r="K97" s="53"/>
      <c r="L97" s="53"/>
      <c r="M97" s="53"/>
      <c r="N97" s="53"/>
      <c r="O97" s="53"/>
      <c r="P97" s="25" t="s">
        <v>155</v>
      </c>
      <c r="Q97" s="25">
        <f>Simulacao!BZ249</f>
        <v>286226.17596106953</v>
      </c>
      <c r="R97" s="25">
        <f>Simulacao!BZ7</f>
        <v>67272.505510574425</v>
      </c>
      <c r="S97" s="25">
        <f>Simulacao!BZ250</f>
        <v>144020.90097547614</v>
      </c>
      <c r="T97" s="25">
        <f>Simulacao!BZ252</f>
        <v>74932.769475018955</v>
      </c>
      <c r="U97" s="25">
        <f>Resumo!U96+Resumo!T97</f>
        <v>2636940.3003586852</v>
      </c>
      <c r="X97" s="25" t="s">
        <v>155</v>
      </c>
      <c r="Y97" s="273">
        <v>2480386.8072190806</v>
      </c>
    </row>
    <row r="98" spans="1:25" ht="12.75" customHeight="1" x14ac:dyDescent="0.35">
      <c r="A98" s="53"/>
      <c r="G98" s="53"/>
      <c r="H98" s="53"/>
      <c r="I98" s="53"/>
      <c r="J98" s="53"/>
      <c r="K98" s="53"/>
      <c r="L98" s="53"/>
      <c r="M98" s="53"/>
      <c r="N98" s="53"/>
      <c r="O98" s="53"/>
      <c r="P98" s="26" t="s">
        <v>156</v>
      </c>
      <c r="Q98" s="27">
        <f>Simulacao!CA249</f>
        <v>49422.140586402653</v>
      </c>
      <c r="R98" s="27">
        <f>Simulacao!CA7</f>
        <v>63124.599700705592</v>
      </c>
      <c r="S98" s="27">
        <f>Simulacao!CA250</f>
        <v>0</v>
      </c>
      <c r="T98" s="27">
        <f>Simulacao!CA252</f>
        <v>-13702.459114302939</v>
      </c>
      <c r="U98" s="27">
        <f>Resumo!U97+Resumo!T98</f>
        <v>2623237.8412443823</v>
      </c>
      <c r="X98" s="26" t="s">
        <v>156</v>
      </c>
      <c r="Y98" s="273">
        <v>2518430.1078386204</v>
      </c>
    </row>
    <row r="99" spans="1:25" ht="12.75" customHeight="1" x14ac:dyDescent="0.35">
      <c r="A99" s="53"/>
      <c r="G99" s="53"/>
      <c r="H99" s="53"/>
      <c r="I99" s="53"/>
      <c r="J99" s="53"/>
      <c r="K99" s="53"/>
      <c r="L99" s="53"/>
      <c r="M99" s="53"/>
      <c r="N99" s="53"/>
      <c r="O99" s="53"/>
      <c r="P99" s="26" t="s">
        <v>157</v>
      </c>
      <c r="Q99" s="27">
        <f>Simulacao!CB249</f>
        <v>50276.368705000597</v>
      </c>
      <c r="R99" s="27">
        <f>Simulacao!CB7</f>
        <v>64872.216330743504</v>
      </c>
      <c r="S99" s="27">
        <f>Simulacao!CB250</f>
        <v>0</v>
      </c>
      <c r="T99" s="27">
        <f>Simulacao!CB252</f>
        <v>-14595.847625742907</v>
      </c>
      <c r="U99" s="27">
        <f>Resumo!U98+Resumo!T99</f>
        <v>2608641.9936186392</v>
      </c>
      <c r="X99" s="26" t="s">
        <v>157</v>
      </c>
      <c r="Y99" s="273">
        <v>2554725.7918281225</v>
      </c>
    </row>
    <row r="100" spans="1:25" ht="15" customHeight="1" x14ac:dyDescent="0.35">
      <c r="A100" s="53"/>
      <c r="G100" s="53"/>
      <c r="H100" s="53"/>
      <c r="I100" s="53"/>
      <c r="J100" s="53"/>
      <c r="K100" s="53"/>
      <c r="L100" s="53"/>
      <c r="M100" s="53"/>
      <c r="N100" s="53"/>
      <c r="O100" s="53"/>
      <c r="P100" s="26" t="s">
        <v>158</v>
      </c>
      <c r="Q100" s="27">
        <f>Simulacao!CC249</f>
        <v>50111.631321348992</v>
      </c>
      <c r="R100" s="27">
        <f>Simulacao!CC7</f>
        <v>62725.26715379276</v>
      </c>
      <c r="S100" s="27">
        <f>Simulacao!CC250</f>
        <v>0</v>
      </c>
      <c r="T100" s="27">
        <f>Simulacao!CC252</f>
        <v>-12613.635832443768</v>
      </c>
      <c r="U100" s="27">
        <f>Resumo!U99+Resumo!T100</f>
        <v>2596028.3577861954</v>
      </c>
      <c r="X100" s="26" t="s">
        <v>158</v>
      </c>
      <c r="Y100" s="273">
        <v>2593168.4249945749</v>
      </c>
    </row>
    <row r="101" spans="1:25" ht="15.75" hidden="1" customHeight="1" x14ac:dyDescent="0.35">
      <c r="A101" s="53"/>
      <c r="G101" s="53"/>
      <c r="H101" s="53"/>
      <c r="I101" s="53"/>
      <c r="J101" s="53"/>
      <c r="K101" s="53"/>
      <c r="L101" s="53"/>
      <c r="M101" s="53"/>
      <c r="N101" s="53"/>
      <c r="O101" s="53"/>
      <c r="P101" s="26" t="s">
        <v>159</v>
      </c>
      <c r="Q101" s="27">
        <f>Simulacao!CD249</f>
        <v>51790.471849124384</v>
      </c>
      <c r="R101" s="27">
        <f>Simulacao!CD7</f>
        <v>59560.664066967372</v>
      </c>
      <c r="S101" s="27">
        <f>Simulacao!CD250</f>
        <v>0</v>
      </c>
      <c r="T101" s="27">
        <f>Simulacao!CD252</f>
        <v>-7770.1922178429886</v>
      </c>
      <c r="U101" s="27">
        <f>Resumo!U100+Resumo!T101</f>
        <v>2588258.1655683522</v>
      </c>
      <c r="X101" s="26" t="s">
        <v>159</v>
      </c>
      <c r="Y101" s="273">
        <v>2634775.6612478527</v>
      </c>
    </row>
    <row r="102" spans="1:25" ht="12.75" customHeight="1" x14ac:dyDescent="0.35">
      <c r="A102" s="53"/>
      <c r="G102" s="53"/>
      <c r="H102" s="53"/>
      <c r="I102" s="53"/>
      <c r="J102" s="53"/>
      <c r="K102" s="53"/>
      <c r="L102" s="53"/>
      <c r="M102" s="53"/>
      <c r="N102" s="53"/>
      <c r="O102" s="53"/>
      <c r="P102" s="26" t="s">
        <v>160</v>
      </c>
      <c r="Q102" s="27">
        <f>Simulacao!CE249</f>
        <v>49271.28556654189</v>
      </c>
      <c r="R102" s="27">
        <f>Simulacao!CE7</f>
        <v>61462.861037745723</v>
      </c>
      <c r="S102" s="27">
        <f>Simulacao!CE250</f>
        <v>0</v>
      </c>
      <c r="T102" s="27">
        <f>Simulacao!CE252</f>
        <v>-12191.575471203832</v>
      </c>
      <c r="U102" s="27">
        <f>Resumo!U101+Resumo!T102</f>
        <v>2576066.5900971484</v>
      </c>
      <c r="X102" s="26" t="s">
        <v>160</v>
      </c>
      <c r="Y102" s="273">
        <v>2674480.7005303525</v>
      </c>
    </row>
    <row r="103" spans="1:25" ht="12.75" hidden="1" customHeight="1" x14ac:dyDescent="0.35">
      <c r="A103" s="53"/>
      <c r="B103" s="54" t="s">
        <v>161</v>
      </c>
      <c r="C103" s="55">
        <f>Simulacao!BQ34</f>
        <v>176812.43839432261</v>
      </c>
      <c r="D103" s="55">
        <f>Simulacao!BQ31</f>
        <v>196820.65118044018</v>
      </c>
      <c r="E103" s="56">
        <f>Simulacao!B281</f>
        <v>38979.171119260733</v>
      </c>
      <c r="F103" s="57">
        <f>Simulacao!B281*Premissas!$B$17</f>
        <v>17248.283220272875</v>
      </c>
      <c r="G103" s="53"/>
      <c r="H103" s="53"/>
      <c r="I103" s="53"/>
      <c r="J103" s="53"/>
      <c r="K103" s="53"/>
      <c r="L103" s="53"/>
      <c r="M103" s="53"/>
      <c r="N103" s="53"/>
      <c r="O103" s="53"/>
      <c r="P103" s="26" t="s">
        <v>162</v>
      </c>
      <c r="Q103" s="27">
        <f>Simulacao!CF249</f>
        <v>147903.56908442985</v>
      </c>
      <c r="R103" s="27">
        <f>Simulacao!CF7</f>
        <v>54768.673504013321</v>
      </c>
      <c r="S103" s="27">
        <f>Simulacao!CF250</f>
        <v>96459.371017818776</v>
      </c>
      <c r="T103" s="27">
        <f>Simulacao!CF252</f>
        <v>-3324.4754374022305</v>
      </c>
      <c r="U103" s="27">
        <f>Resumo!U102+Resumo!T103</f>
        <v>2572742.1146597462</v>
      </c>
      <c r="X103" s="26" t="s">
        <v>162</v>
      </c>
      <c r="Y103" s="273">
        <v>2720879.9273465844</v>
      </c>
    </row>
    <row r="104" spans="1:25" ht="12.75" hidden="1" customHeight="1" x14ac:dyDescent="0.35">
      <c r="A104" s="53"/>
      <c r="B104" s="58" t="s">
        <v>163</v>
      </c>
      <c r="C104" s="59">
        <f>Simulacao!BQ52</f>
        <v>247868.01009814447</v>
      </c>
      <c r="D104" s="59">
        <f>Simulacao!BQ49</f>
        <v>541957.61080586934</v>
      </c>
      <c r="E104" s="56">
        <f>Simulacao!B282</f>
        <v>140354.13445754879</v>
      </c>
      <c r="F104" s="57">
        <f>Simulacao!B282*Premissas!$B$17</f>
        <v>62106.70449746534</v>
      </c>
      <c r="G104" s="53"/>
      <c r="H104" s="53"/>
      <c r="I104" s="53"/>
      <c r="J104" s="53"/>
      <c r="K104" s="53"/>
      <c r="L104" s="53"/>
      <c r="M104" s="53"/>
      <c r="N104" s="53"/>
      <c r="O104" s="53"/>
      <c r="P104" s="26" t="s">
        <v>164</v>
      </c>
      <c r="Q104" s="27">
        <f>Simulacao!CG249</f>
        <v>412607.82119675557</v>
      </c>
      <c r="R104" s="27">
        <f>Simulacao!CG7</f>
        <v>62819.732917578593</v>
      </c>
      <c r="S104" s="27">
        <f>Simulacao!CG250</f>
        <v>292749.21707573993</v>
      </c>
      <c r="T104" s="27">
        <f>Simulacao!CG252</f>
        <v>57038.87120343704</v>
      </c>
      <c r="U104" s="27">
        <f>Resumo!U103+Resumo!T104</f>
        <v>2629780.9858631832</v>
      </c>
      <c r="X104" s="26" t="s">
        <v>164</v>
      </c>
      <c r="Y104" s="273">
        <v>2759228.0947492509</v>
      </c>
    </row>
    <row r="105" spans="1:25" ht="12.75" hidden="1" customHeight="1" x14ac:dyDescent="0.35">
      <c r="A105" s="53"/>
      <c r="B105" s="54" t="s">
        <v>165</v>
      </c>
      <c r="C105" s="60" t="s">
        <v>166</v>
      </c>
      <c r="D105" s="55">
        <f>Simulacao!B283</f>
        <v>881342.06541281764</v>
      </c>
      <c r="E105" s="56">
        <f>Simulacao!B283</f>
        <v>881342.06541281764</v>
      </c>
      <c r="F105" s="57">
        <f>Simulacao!B283*Premissas!$B$17</f>
        <v>389993.86394517182</v>
      </c>
      <c r="G105" s="53"/>
      <c r="H105" s="53"/>
      <c r="I105" s="53"/>
      <c r="J105" s="53"/>
      <c r="K105" s="53"/>
      <c r="L105" s="53"/>
      <c r="M105" s="53"/>
      <c r="N105" s="53"/>
      <c r="O105" s="53"/>
      <c r="P105" s="26" t="s">
        <v>167</v>
      </c>
      <c r="Q105" s="27">
        <f>Simulacao!CH249</f>
        <v>40783.608344806373</v>
      </c>
      <c r="R105" s="27">
        <f>Simulacao!CH7</f>
        <v>62682.328170253742</v>
      </c>
      <c r="S105" s="27">
        <f>Simulacao!CH250</f>
        <v>0</v>
      </c>
      <c r="T105" s="27">
        <f>Simulacao!CH252</f>
        <v>-21898.71982544737</v>
      </c>
      <c r="U105" s="27">
        <f>Resumo!U104+Resumo!T105</f>
        <v>2607882.2660377356</v>
      </c>
      <c r="X105" s="26" t="s">
        <v>167</v>
      </c>
      <c r="Y105" s="273">
        <v>2797713.6668992424</v>
      </c>
    </row>
    <row r="106" spans="1:25" ht="15" hidden="1" customHeight="1" x14ac:dyDescent="0.35">
      <c r="A106" s="53"/>
      <c r="B106" s="44" t="s">
        <v>168</v>
      </c>
      <c r="C106" s="61" t="s">
        <v>169</v>
      </c>
      <c r="D106" s="61" t="s">
        <v>169</v>
      </c>
      <c r="E106" s="62">
        <f>Simulacao!B284</f>
        <v>1060675.3709896272</v>
      </c>
      <c r="F106" s="63">
        <f>Simulacao!B285</f>
        <v>469348.85166291002</v>
      </c>
      <c r="G106" s="53"/>
      <c r="H106" s="53"/>
      <c r="I106" s="53"/>
      <c r="J106" s="53"/>
      <c r="K106" s="53"/>
      <c r="L106" s="53"/>
      <c r="M106" s="53"/>
      <c r="N106" s="53"/>
      <c r="O106" s="53"/>
      <c r="P106" s="26" t="s">
        <v>170</v>
      </c>
      <c r="Q106" s="27">
        <f>Simulacao!CI249</f>
        <v>37947.904167792134</v>
      </c>
      <c r="R106" s="27">
        <f>Simulacao!CI7</f>
        <v>58663.239311001969</v>
      </c>
      <c r="S106" s="27">
        <f>Simulacao!CI250</f>
        <v>0</v>
      </c>
      <c r="T106" s="27">
        <f>Simulacao!CI252</f>
        <v>-20715.335143209835</v>
      </c>
      <c r="U106" s="27">
        <f>Resumo!U105+Resumo!T106</f>
        <v>2587166.9308945257</v>
      </c>
      <c r="X106" s="26" t="s">
        <v>170</v>
      </c>
      <c r="Y106" s="273">
        <v>2840218.3279084857</v>
      </c>
    </row>
    <row r="107" spans="1:25" ht="15" hidden="1" customHeight="1" x14ac:dyDescent="0.35">
      <c r="A107" s="53"/>
      <c r="B107" s="309" t="s">
        <v>171</v>
      </c>
      <c r="C107" s="309"/>
      <c r="D107" s="309"/>
      <c r="E107" s="309"/>
      <c r="F107" s="309"/>
      <c r="G107" s="53"/>
      <c r="H107" s="53"/>
      <c r="I107" s="53"/>
      <c r="J107" s="53"/>
      <c r="K107" s="53"/>
      <c r="L107" s="53"/>
      <c r="M107" s="53"/>
      <c r="N107" s="53"/>
      <c r="O107" s="53"/>
      <c r="P107" s="26" t="s">
        <v>172</v>
      </c>
      <c r="Q107" s="27">
        <f>Simulacao!CJ249</f>
        <v>232578.26546160129</v>
      </c>
      <c r="R107" s="27">
        <f>Simulacao!CJ7</f>
        <v>52973.845461574281</v>
      </c>
      <c r="S107" s="27">
        <f>Simulacao!CJ250</f>
        <v>49970.917113774762</v>
      </c>
      <c r="T107" s="27">
        <f>Simulacao!CJ252</f>
        <v>129633.50288625224</v>
      </c>
      <c r="U107" s="27">
        <f>Resumo!U106+Resumo!T107</f>
        <v>2716800.4337807782</v>
      </c>
      <c r="X107" s="26" t="s">
        <v>172</v>
      </c>
      <c r="Y107" s="273">
        <v>2891887.100961016</v>
      </c>
    </row>
    <row r="108" spans="1:25" ht="12" hidden="1" customHeight="1" x14ac:dyDescent="0.35">
      <c r="A108" s="53"/>
      <c r="B108" s="64" t="s">
        <v>173</v>
      </c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26" t="s">
        <v>174</v>
      </c>
      <c r="Q108" s="27">
        <f>Simulacao!CK249</f>
        <v>534289.02212758374</v>
      </c>
      <c r="R108" s="27">
        <f>Simulacao!CK7</f>
        <v>55759.469079684313</v>
      </c>
      <c r="S108" s="27">
        <f>Simulacao!CK250</f>
        <v>395076.96475453267</v>
      </c>
      <c r="T108" s="27">
        <f>Simulacao!CK252</f>
        <v>83452.588293366774</v>
      </c>
      <c r="U108" s="27">
        <f>Resumo!U107+Resumo!T108</f>
        <v>2800253.0220741448</v>
      </c>
      <c r="X108" s="26" t="s">
        <v>174</v>
      </c>
      <c r="Y108" s="273">
        <v>2940770.2503954363</v>
      </c>
    </row>
    <row r="109" spans="1:25" ht="15" hidden="1" customHeight="1" x14ac:dyDescent="0.3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26" t="s">
        <v>175</v>
      </c>
      <c r="Q109" s="27">
        <f>Simulacao!CL249</f>
        <v>295330.13415799075</v>
      </c>
      <c r="R109" s="27">
        <f>Simulacao!CL7</f>
        <v>66936.142983021535</v>
      </c>
      <c r="S109" s="27">
        <f>Simulacao!CL250</f>
        <v>220973.53144158737</v>
      </c>
      <c r="T109" s="27">
        <f>Simulacao!CL252</f>
        <v>7420.4597333818092</v>
      </c>
      <c r="U109" s="27">
        <f>Resumo!U108+Resumo!T109</f>
        <v>2807673.4818075267</v>
      </c>
      <c r="X109" s="26" t="s">
        <v>175</v>
      </c>
      <c r="Y109" s="273">
        <v>2978476.7259265194</v>
      </c>
    </row>
    <row r="110" spans="1:25" ht="15" hidden="1" customHeight="1" x14ac:dyDescent="0.3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26" t="s">
        <v>176</v>
      </c>
      <c r="Q110" s="27">
        <f>Simulacao!CM249</f>
        <v>50658.596454709113</v>
      </c>
      <c r="R110" s="27">
        <f>Simulacao!CM7</f>
        <v>62808.976702202061</v>
      </c>
      <c r="S110" s="27">
        <f>Simulacao!CM250</f>
        <v>0</v>
      </c>
      <c r="T110" s="27">
        <f>Simulacao!CM252</f>
        <v>-12150.380247492947</v>
      </c>
      <c r="U110" s="27">
        <f>Resumo!U109+Resumo!T110</f>
        <v>2795523.1015600339</v>
      </c>
      <c r="X110" s="26" t="s">
        <v>176</v>
      </c>
      <c r="Y110" s="273">
        <v>3020310.367738422</v>
      </c>
    </row>
    <row r="111" spans="1:25" ht="15" hidden="1" customHeight="1" x14ac:dyDescent="0.3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26" t="s">
        <v>177</v>
      </c>
      <c r="Q111" s="27">
        <f>Simulacao!CN249</f>
        <v>51531.334391694894</v>
      </c>
      <c r="R111" s="27">
        <f>Simulacao!CN7</f>
        <v>64547.855249089786</v>
      </c>
      <c r="S111" s="27">
        <f>Simulacao!CN250</f>
        <v>0</v>
      </c>
      <c r="T111" s="27">
        <f>Simulacao!CN252</f>
        <v>-13016.520857394891</v>
      </c>
      <c r="U111" s="27">
        <f>Resumo!U110+Resumo!T111</f>
        <v>2782506.5807026392</v>
      </c>
      <c r="X111" s="26" t="s">
        <v>177</v>
      </c>
      <c r="Y111" s="273">
        <v>3020114.7057839474</v>
      </c>
    </row>
    <row r="112" spans="1:25" ht="15" hidden="1" customHeight="1" x14ac:dyDescent="0.3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26" t="s">
        <v>178</v>
      </c>
      <c r="Q112" s="27">
        <f>Simulacao!CO249</f>
        <v>51362.895044365716</v>
      </c>
      <c r="R112" s="27">
        <f>Simulacao!CO7</f>
        <v>62411.640818023785</v>
      </c>
      <c r="S112" s="27">
        <f>Simulacao!CO250</f>
        <v>0</v>
      </c>
      <c r="T112" s="27">
        <f>Simulacao!CO252</f>
        <v>-11048.745773658069</v>
      </c>
      <c r="U112" s="27">
        <f>Resumo!U111+Resumo!T112</f>
        <v>2771457.834928981</v>
      </c>
      <c r="X112" s="26" t="s">
        <v>178</v>
      </c>
      <c r="Y112" s="273">
        <v>3021048.6670462023</v>
      </c>
    </row>
    <row r="113" spans="1:25" ht="15" hidden="1" customHeight="1" x14ac:dyDescent="0.3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26" t="s">
        <v>179</v>
      </c>
      <c r="Q113" s="27">
        <f>Simulacao!CP249</f>
        <v>53085.233645352506</v>
      </c>
      <c r="R113" s="27">
        <f>Simulacao!CP7</f>
        <v>59262.860746632527</v>
      </c>
      <c r="S113" s="27">
        <f>Simulacao!CP250</f>
        <v>0</v>
      </c>
      <c r="T113" s="27">
        <f>Simulacao!CP252</f>
        <v>-6177.6271012800207</v>
      </c>
      <c r="U113" s="27">
        <f>Resumo!U112+Resumo!T113</f>
        <v>2765280.2078277012</v>
      </c>
      <c r="X113" s="26" t="s">
        <v>179</v>
      </c>
      <c r="Y113" s="273">
        <v>3023731.5849849219</v>
      </c>
    </row>
    <row r="114" spans="1:25" ht="15" hidden="1" customHeight="1" x14ac:dyDescent="0.3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26" t="s">
        <v>180</v>
      </c>
      <c r="Q114" s="27">
        <f>Simulacao!CQ249</f>
        <v>50503.113980251423</v>
      </c>
      <c r="R114" s="27">
        <f>Simulacao!CQ7</f>
        <v>61155.546732556992</v>
      </c>
      <c r="S114" s="27">
        <f>Simulacao!CQ250</f>
        <v>0</v>
      </c>
      <c r="T114" s="27">
        <f>Simulacao!CQ252</f>
        <v>-10652.432752305569</v>
      </c>
      <c r="U114" s="27">
        <f>Resumo!U113+Resumo!T114</f>
        <v>2754627.7750753956</v>
      </c>
      <c r="X114" s="26" t="s">
        <v>180</v>
      </c>
      <c r="Y114" s="273">
        <v>3025288.2824031343</v>
      </c>
    </row>
    <row r="115" spans="1:25" ht="15" hidden="1" customHeight="1" x14ac:dyDescent="0.3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26" t="s">
        <v>181</v>
      </c>
      <c r="Q115" s="27">
        <f>Simulacao!CR249</f>
        <v>151599.22981153725</v>
      </c>
      <c r="R115" s="27">
        <f>Simulacao!CR7</f>
        <v>54494.830136493256</v>
      </c>
      <c r="S115" s="27">
        <f>Simulacao!CR250</f>
        <v>100224.627839671</v>
      </c>
      <c r="T115" s="27">
        <f>Simulacao!CR252</f>
        <v>-3120.2281646269839</v>
      </c>
      <c r="U115" s="27">
        <f>Resumo!U114+Resumo!T115</f>
        <v>2751507.5469107684</v>
      </c>
      <c r="X115" s="26" t="s">
        <v>181</v>
      </c>
      <c r="Y115" s="273">
        <v>3030808.3608404668</v>
      </c>
    </row>
    <row r="116" spans="1:25" ht="15" hidden="1" customHeight="1" x14ac:dyDescent="0.3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26" t="s">
        <v>182</v>
      </c>
      <c r="Q116" s="27">
        <f>Simulacao!CS249</f>
        <v>430565.27686601668</v>
      </c>
      <c r="R116" s="27">
        <f>Simulacao!CS7</f>
        <v>62505.634252990691</v>
      </c>
      <c r="S116" s="27">
        <f>Simulacao!CS250</f>
        <v>301326.9249591587</v>
      </c>
      <c r="T116" s="27">
        <f>Simulacao!CS252</f>
        <v>66732.717653867265</v>
      </c>
      <c r="U116" s="27">
        <f>Resumo!U115+Resumo!T116</f>
        <v>2818240.2645646357</v>
      </c>
      <c r="X116" s="26" t="s">
        <v>182</v>
      </c>
      <c r="Y116" s="273">
        <v>3031561.7045691079</v>
      </c>
    </row>
    <row r="117" spans="1:25" ht="15" hidden="1" customHeight="1" x14ac:dyDescent="0.3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26" t="s">
        <v>183</v>
      </c>
      <c r="Q117" s="27">
        <f>Simulacao!CT249</f>
        <v>41802.573847055944</v>
      </c>
      <c r="R117" s="27">
        <f>Simulacao!CT7</f>
        <v>62368.916529402471</v>
      </c>
      <c r="S117" s="27">
        <f>Simulacao!CT250</f>
        <v>0</v>
      </c>
      <c r="T117" s="27">
        <f>Simulacao!CT252</f>
        <v>-20566.342682346527</v>
      </c>
      <c r="U117" s="27">
        <f>Resumo!U116+Resumo!T117</f>
        <v>2797673.921882289</v>
      </c>
      <c r="X117" s="26" t="s">
        <v>183</v>
      </c>
      <c r="Y117" s="273">
        <v>3032396.4005701104</v>
      </c>
    </row>
    <row r="118" spans="1:25" ht="15" hidden="1" customHeight="1" x14ac:dyDescent="0.3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26" t="s">
        <v>184</v>
      </c>
      <c r="Q118" s="27">
        <f>Simulacao!CU249</f>
        <v>38897.457851087369</v>
      </c>
      <c r="R118" s="27">
        <f>Simulacao!CU7</f>
        <v>58369.923114446945</v>
      </c>
      <c r="S118" s="27">
        <f>Simulacao!CU250</f>
        <v>0</v>
      </c>
      <c r="T118" s="27">
        <f>Simulacao!CU252</f>
        <v>-19472.465263359576</v>
      </c>
      <c r="U118" s="27">
        <f>Resumo!U117+Resumo!T118</f>
        <v>2778201.4566189293</v>
      </c>
      <c r="X118" s="26" t="s">
        <v>184</v>
      </c>
      <c r="Y118" s="273">
        <v>3035610.650537692</v>
      </c>
    </row>
    <row r="119" spans="1:25" ht="15" hidden="1" customHeight="1" x14ac:dyDescent="0.3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26" t="s">
        <v>185</v>
      </c>
      <c r="Q119" s="27">
        <f>Simulacao!CV249</f>
        <v>242392.76919236156</v>
      </c>
      <c r="R119" s="27">
        <f>Simulacao!CV7</f>
        <v>52708.976234266403</v>
      </c>
      <c r="S119" s="27">
        <f>Simulacao!CV250</f>
        <v>54038.65590907252</v>
      </c>
      <c r="T119" s="27">
        <f>Simulacao!CV252</f>
        <v>135645.13704902265</v>
      </c>
      <c r="U119" s="27">
        <f>Resumo!U118+Resumo!T119</f>
        <v>2913846.5936679519</v>
      </c>
      <c r="X119" s="26" t="s">
        <v>185</v>
      </c>
      <c r="Y119" s="273">
        <v>3068497.472325569</v>
      </c>
    </row>
    <row r="120" spans="1:25" ht="15" hidden="1" customHeight="1" x14ac:dyDescent="0.3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26" t="s">
        <v>186</v>
      </c>
      <c r="Q120" s="27">
        <f>Simulacao!CW249</f>
        <v>549596.62284428335</v>
      </c>
      <c r="R120" s="27">
        <f>Simulacao!CW7</f>
        <v>55480.67173428589</v>
      </c>
      <c r="S120" s="27">
        <f>Simulacao!CW250</f>
        <v>444319.9718893799</v>
      </c>
      <c r="T120" s="27">
        <f>Simulacao!CW252</f>
        <v>49795.979220617563</v>
      </c>
      <c r="U120" s="27">
        <f>Resumo!U119+Resumo!T120</f>
        <v>2963642.5728885694</v>
      </c>
      <c r="X120" s="26" t="s">
        <v>186</v>
      </c>
      <c r="Y120" s="273">
        <v>3099866.4556075609</v>
      </c>
    </row>
    <row r="121" spans="1:25" ht="15" hidden="1" customHeight="1" x14ac:dyDescent="0.3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26" t="s">
        <v>187</v>
      </c>
      <c r="Q121" s="27">
        <f>Simulacao!CX249</f>
        <v>304663.05556477688</v>
      </c>
      <c r="R121" s="27">
        <f>Simulacao!CX7</f>
        <v>66601.46226810645</v>
      </c>
      <c r="S121" s="27">
        <f>Simulacao!CX250</f>
        <v>229429.34722288154</v>
      </c>
      <c r="T121" s="27">
        <f>Simulacao!CX252</f>
        <v>8632.2460737889051</v>
      </c>
      <c r="U121" s="27">
        <f>Resumo!U120+Resumo!T121</f>
        <v>2972274.8189623584</v>
      </c>
      <c r="X121" s="26" t="s">
        <v>187</v>
      </c>
      <c r="Y121" s="273">
        <v>3124634.8410511641</v>
      </c>
    </row>
    <row r="122" spans="1:25" x14ac:dyDescent="0.35">
      <c r="P122" s="25" t="s">
        <v>188</v>
      </c>
      <c r="Q122" s="25">
        <f>Simulacao!CY249</f>
        <v>51921.891559677919</v>
      </c>
      <c r="R122" s="25">
        <f>Simulacao!CY7</f>
        <v>62494.93181869106</v>
      </c>
      <c r="S122" s="25">
        <f>Simulacao!CY250</f>
        <v>0</v>
      </c>
      <c r="T122" s="25">
        <f>Simulacao!CY252</f>
        <v>-10573.040259013142</v>
      </c>
      <c r="U122" s="25">
        <f>Resumo!U121+Resumo!T122</f>
        <v>2961701.7787033455</v>
      </c>
      <c r="X122" s="25" t="s">
        <v>188</v>
      </c>
      <c r="Y122" s="273">
        <v>3151840.6032194933</v>
      </c>
    </row>
    <row r="123" spans="1:25" x14ac:dyDescent="0.35">
      <c r="P123" s="26" t="s">
        <v>189</v>
      </c>
      <c r="Q123" s="27">
        <f>Simulacao!CZ249</f>
        <v>52819.617751487269</v>
      </c>
      <c r="R123" s="27">
        <f>Simulacao!CZ7</f>
        <v>64225.115972844331</v>
      </c>
      <c r="S123" s="27">
        <f>Simulacao!CZ250</f>
        <v>0</v>
      </c>
      <c r="T123" s="27">
        <f>Simulacao!CZ252</f>
        <v>-11405.498221357062</v>
      </c>
      <c r="U123" s="27">
        <f>Resumo!U122+Resumo!T123</f>
        <v>2950296.2804819886</v>
      </c>
      <c r="X123" s="26" t="s">
        <v>189</v>
      </c>
      <c r="Y123" s="273">
        <v>3178019.4375131191</v>
      </c>
    </row>
    <row r="124" spans="1:25" x14ac:dyDescent="0.35">
      <c r="P124" s="26" t="s">
        <v>190</v>
      </c>
      <c r="Q124" s="27">
        <f>Simulacao!DA249</f>
        <v>52647.476440480532</v>
      </c>
      <c r="R124" s="27">
        <f>Simulacao!DA7</f>
        <v>62099.582613933679</v>
      </c>
      <c r="S124" s="27">
        <f>Simulacao!DA250</f>
        <v>0</v>
      </c>
      <c r="T124" s="27">
        <f>Simulacao!DA252</f>
        <v>-9452.1061734531468</v>
      </c>
      <c r="U124" s="27">
        <f>Resumo!U123+Resumo!T124</f>
        <v>2940844.1743085356</v>
      </c>
      <c r="X124" s="26" t="s">
        <v>190</v>
      </c>
      <c r="Y124" s="273">
        <v>3205459.8539624</v>
      </c>
    </row>
    <row r="125" spans="1:25" x14ac:dyDescent="0.35">
      <c r="P125" s="26" t="s">
        <v>191</v>
      </c>
      <c r="Q125" s="27">
        <f>Simulacao!DB249</f>
        <v>54412.387623759292</v>
      </c>
      <c r="R125" s="27">
        <f>Simulacao!DB7</f>
        <v>58966.546442899373</v>
      </c>
      <c r="S125" s="27">
        <f>Simulacao!DB250</f>
        <v>3069.6241979863976</v>
      </c>
      <c r="T125" s="27">
        <f>Simulacao!DB252</f>
        <v>-7623.7830171264795</v>
      </c>
      <c r="U125" s="27">
        <f>Resumo!U124+Resumo!T125</f>
        <v>2933220.3912914093</v>
      </c>
      <c r="X125" s="26" t="s">
        <v>191</v>
      </c>
      <c r="Y125" s="273">
        <v>3234641.843042457</v>
      </c>
    </row>
    <row r="126" spans="1:25" x14ac:dyDescent="0.35">
      <c r="P126" s="26" t="s">
        <v>192</v>
      </c>
      <c r="Q126" s="27">
        <f>Simulacao!DC249</f>
        <v>51764.558103381438</v>
      </c>
      <c r="R126" s="27">
        <f>Simulacao!DC7</f>
        <v>60849.768998894207</v>
      </c>
      <c r="S126" s="27">
        <f>Simulacao!DC250</f>
        <v>6390.514798395352</v>
      </c>
      <c r="T126" s="27">
        <f>Simulacao!DC252</f>
        <v>-15475.725693908127</v>
      </c>
      <c r="U126" s="27">
        <f>Resumo!U125+Resumo!T126</f>
        <v>2917744.6655975012</v>
      </c>
      <c r="X126" s="26" t="s">
        <v>192</v>
      </c>
      <c r="Y126" s="273">
        <v>3262702.3017677031</v>
      </c>
    </row>
    <row r="127" spans="1:25" x14ac:dyDescent="0.35">
      <c r="P127" s="26" t="s">
        <v>193</v>
      </c>
      <c r="Q127" s="27">
        <f>Simulacao!DD249</f>
        <v>155390.62817920151</v>
      </c>
      <c r="R127" s="27">
        <f>Simulacao!DD7</f>
        <v>54222.355985810791</v>
      </c>
      <c r="S127" s="27">
        <f>Simulacao!DD250</f>
        <v>6886.8093039188143</v>
      </c>
      <c r="T127" s="27">
        <f>Simulacao!DD252</f>
        <v>94281.462889471906</v>
      </c>
      <c r="U127" s="27">
        <f>Resumo!U126+Resumo!T127</f>
        <v>3012026.1284869732</v>
      </c>
      <c r="X127" s="26" t="s">
        <v>193</v>
      </c>
      <c r="Y127" s="273">
        <v>3294709.6359402407</v>
      </c>
    </row>
    <row r="128" spans="1:25" x14ac:dyDescent="0.35">
      <c r="P128" s="26" t="s">
        <v>194</v>
      </c>
      <c r="Q128" s="27">
        <f>Simulacao!DE249</f>
        <v>450948.77581684431</v>
      </c>
      <c r="R128" s="27">
        <f>Simulacao!DE7</f>
        <v>62193.106081725746</v>
      </c>
      <c r="S128" s="27">
        <f>Simulacao!DE250</f>
        <v>243620.89775489792</v>
      </c>
      <c r="T128" s="27">
        <f>Simulacao!DE252</f>
        <v>145134.77198022063</v>
      </c>
      <c r="U128" s="27">
        <f>Resumo!U127+Resumo!T128</f>
        <v>3157160.9004671937</v>
      </c>
      <c r="X128" s="26" t="s">
        <v>194</v>
      </c>
      <c r="Y128" s="273">
        <v>3321970.086556863</v>
      </c>
    </row>
    <row r="129" spans="16:25" x14ac:dyDescent="0.35">
      <c r="P129" s="26" t="s">
        <v>195</v>
      </c>
      <c r="Q129" s="27">
        <f>Simulacao!DF249</f>
        <v>42847.453095048462</v>
      </c>
      <c r="R129" s="27">
        <f>Simulacao!DF7</f>
        <v>62057.071946755466</v>
      </c>
      <c r="S129" s="27">
        <f>Simulacao!DF250</f>
        <v>4364.8465485781435</v>
      </c>
      <c r="T129" s="27">
        <f>Simulacao!DF252</f>
        <v>-23574.465400285146</v>
      </c>
      <c r="U129" s="27">
        <f>Resumo!U128+Resumo!T129</f>
        <v>3133586.4350669086</v>
      </c>
      <c r="X129" s="26" t="s">
        <v>195</v>
      </c>
      <c r="Y129" s="273">
        <v>3349311.5506528397</v>
      </c>
    </row>
    <row r="130" spans="16:25" x14ac:dyDescent="0.35">
      <c r="P130" s="26" t="s">
        <v>196</v>
      </c>
      <c r="Q130" s="27">
        <f>Simulacao!DG249</f>
        <v>39868.297825528607</v>
      </c>
      <c r="R130" s="27">
        <f>Simulacao!DG7</f>
        <v>58078.073498874721</v>
      </c>
      <c r="S130" s="27">
        <f>Simulacao!DG250</f>
        <v>3863.9245884577258</v>
      </c>
      <c r="T130" s="27">
        <f>Simulacao!DG252</f>
        <v>-22073.700261803839</v>
      </c>
      <c r="U130" s="27">
        <f>Resumo!U129+Resumo!T130</f>
        <v>3111512.7348051048</v>
      </c>
      <c r="X130" s="26" t="s">
        <v>196</v>
      </c>
      <c r="Y130" s="273">
        <v>3379022.6590199294</v>
      </c>
    </row>
    <row r="131" spans="16:25" x14ac:dyDescent="0.35">
      <c r="P131" s="26" t="s">
        <v>197</v>
      </c>
      <c r="Q131" s="27">
        <f>Simulacao!DH249</f>
        <v>251579.6614944271</v>
      </c>
      <c r="R131" s="27">
        <f>Simulacao!DH7</f>
        <v>52445.431353095068</v>
      </c>
      <c r="S131" s="27">
        <f>Simulacao!DH250</f>
        <v>10060.900206472494</v>
      </c>
      <c r="T131" s="27">
        <f>Simulacao!DH252</f>
        <v>189073.32993485953</v>
      </c>
      <c r="U131" s="27">
        <f>Resumo!U130+Resumo!T131</f>
        <v>3300586.0647399644</v>
      </c>
      <c r="X131" s="26" t="s">
        <v>197</v>
      </c>
      <c r="Y131" s="273">
        <v>3414778.6842812183</v>
      </c>
    </row>
    <row r="132" spans="16:25" x14ac:dyDescent="0.35">
      <c r="P132" s="26" t="s">
        <v>198</v>
      </c>
      <c r="Q132" s="27">
        <f>Simulacao!DI249</f>
        <v>565289.17447892483</v>
      </c>
      <c r="R132" s="27">
        <f>Simulacao!DI7</f>
        <v>55203.268375614462</v>
      </c>
      <c r="S132" s="27">
        <f>Simulacao!DI250</f>
        <v>483452.37863325753</v>
      </c>
      <c r="T132" s="27">
        <f>Simulacao!DI252</f>
        <v>26633.527470052824</v>
      </c>
      <c r="U132" s="27">
        <f>Resumo!U131+Resumo!T132</f>
        <v>3327219.5922100171</v>
      </c>
      <c r="X132" s="26" t="s">
        <v>198</v>
      </c>
      <c r="Y132" s="273">
        <v>3448896.460328917</v>
      </c>
    </row>
    <row r="133" spans="16:25" x14ac:dyDescent="0.35">
      <c r="P133" s="26" t="s">
        <v>199</v>
      </c>
      <c r="Q133" s="27">
        <f>Simulacao!DJ249</f>
        <v>314228.03055275517</v>
      </c>
      <c r="R133" s="27">
        <f>Simulacao!DJ7</f>
        <v>66268.454956765898</v>
      </c>
      <c r="S133" s="27">
        <f>Simulacao!DJ250</f>
        <v>252067.8621318104</v>
      </c>
      <c r="T133" s="27">
        <f>Simulacao!DJ252</f>
        <v>-4108.2865358210984</v>
      </c>
      <c r="U133" s="27">
        <f>Resumo!U132+Resumo!T133</f>
        <v>3323111.3056741962</v>
      </c>
      <c r="X133" s="26" t="s">
        <v>199</v>
      </c>
      <c r="Y133" s="273">
        <v>3476441.1383049102</v>
      </c>
    </row>
    <row r="134" spans="16:25" x14ac:dyDescent="0.35">
      <c r="P134" s="26" t="s">
        <v>200</v>
      </c>
      <c r="Q134" s="27">
        <f>Simulacao!DK249</f>
        <v>53221.280810502998</v>
      </c>
      <c r="R134" s="27">
        <f>Simulacao!DK7</f>
        <v>62182.457159597601</v>
      </c>
      <c r="S134" s="27">
        <f>Simulacao!DK250</f>
        <v>39167.932572279402</v>
      </c>
      <c r="T134" s="27">
        <f>Simulacao!DK252</f>
        <v>-48129.108921374005</v>
      </c>
      <c r="U134" s="27">
        <f>Resumo!U133+Resumo!T134</f>
        <v>3274982.196752822</v>
      </c>
      <c r="X134" s="26" t="s">
        <v>200</v>
      </c>
      <c r="Y134" s="273">
        <v>3506413.0382752717</v>
      </c>
    </row>
    <row r="135" spans="16:25" x14ac:dyDescent="0.35">
      <c r="P135" s="26" t="s">
        <v>201</v>
      </c>
      <c r="Q135" s="27">
        <f>Simulacao!DL249</f>
        <v>54142.144275297112</v>
      </c>
      <c r="R135" s="27">
        <f>Simulacao!DL7</f>
        <v>63903.990392980108</v>
      </c>
      <c r="S135" s="27">
        <f>Simulacao!DL250</f>
        <v>48601.076199006209</v>
      </c>
      <c r="T135" s="27">
        <f>Simulacao!DL252</f>
        <v>-58362.922316689197</v>
      </c>
      <c r="U135" s="27">
        <f>Resumo!U134+Resumo!T135</f>
        <v>3216619.274436133</v>
      </c>
      <c r="X135" s="26" t="s">
        <v>201</v>
      </c>
      <c r="Y135" s="273">
        <v>3535362.2888132231</v>
      </c>
    </row>
    <row r="136" spans="16:25" x14ac:dyDescent="0.35">
      <c r="P136" s="26" t="s">
        <v>202</v>
      </c>
      <c r="Q136" s="27">
        <f>Simulacao!DM249</f>
        <v>53962.599036935244</v>
      </c>
      <c r="R136" s="27">
        <f>Simulacao!DM7</f>
        <v>61789.084700864005</v>
      </c>
      <c r="S136" s="27">
        <f>Simulacao!DM250</f>
        <v>50797.882838077465</v>
      </c>
      <c r="T136" s="27">
        <f>Simulacao!DM252</f>
        <v>-58624.368502006233</v>
      </c>
      <c r="U136" s="27">
        <f>Resumo!U135+Resumo!T136</f>
        <v>3157994.9059341266</v>
      </c>
      <c r="X136" s="26" t="s">
        <v>202</v>
      </c>
      <c r="Y136" s="273">
        <v>3565567.8654352166</v>
      </c>
    </row>
    <row r="137" spans="16:25" x14ac:dyDescent="0.35">
      <c r="P137" s="26" t="s">
        <v>203</v>
      </c>
      <c r="Q137" s="27">
        <f>Simulacao!DN249</f>
        <v>55773.784766183569</v>
      </c>
      <c r="R137" s="27">
        <f>Simulacao!DN7</f>
        <v>58671.713710684868</v>
      </c>
      <c r="S137" s="27">
        <f>Simulacao!DN250</f>
        <v>50449.666879656572</v>
      </c>
      <c r="T137" s="27">
        <f>Simulacao!DN252</f>
        <v>-53347.595824157863</v>
      </c>
      <c r="U137" s="27">
        <f>Resumo!U136+Resumo!T137</f>
        <v>3104647.3101099688</v>
      </c>
      <c r="X137" s="26" t="s">
        <v>203</v>
      </c>
      <c r="Y137" s="273">
        <v>3597507.6806276818</v>
      </c>
    </row>
    <row r="138" spans="16:25" x14ac:dyDescent="0.35">
      <c r="P138" s="26" t="s">
        <v>204</v>
      </c>
      <c r="Q138" s="27">
        <f>Simulacao!DO249</f>
        <v>53058.394408690161</v>
      </c>
      <c r="R138" s="27">
        <f>Simulacao!DO7</f>
        <v>60545.520153899735</v>
      </c>
      <c r="S138" s="27">
        <f>Simulacao!DO250</f>
        <v>48180.949204767763</v>
      </c>
      <c r="T138" s="27">
        <f>Simulacao!DO252</f>
        <v>-55668.074949977337</v>
      </c>
      <c r="U138" s="27">
        <f>Resumo!U137+Resumo!T138</f>
        <v>3048979.2351599913</v>
      </c>
      <c r="X138" s="26" t="s">
        <v>204</v>
      </c>
      <c r="Y138" s="273">
        <v>3628330.6355472547</v>
      </c>
    </row>
    <row r="139" spans="16:25" x14ac:dyDescent="0.35">
      <c r="P139" s="26" t="s">
        <v>205</v>
      </c>
      <c r="Q139" s="27">
        <f>Simulacao!DP249</f>
        <v>159276.83869650308</v>
      </c>
      <c r="R139" s="27">
        <f>Simulacao!DP7</f>
        <v>53951.244205881732</v>
      </c>
      <c r="S139" s="27">
        <f>Simulacao!DP250</f>
        <v>59890.831121094743</v>
      </c>
      <c r="T139" s="27">
        <f>Simulacao!DP252</f>
        <v>45434.763369526598</v>
      </c>
      <c r="U139" s="27">
        <f>Resumo!U138+Resumo!T139</f>
        <v>3094413.998529518</v>
      </c>
      <c r="X139" s="26" t="s">
        <v>205</v>
      </c>
      <c r="Y139" s="273">
        <v>3663084.0310208672</v>
      </c>
    </row>
    <row r="140" spans="16:25" x14ac:dyDescent="0.35">
      <c r="P140" s="26" t="s">
        <v>206</v>
      </c>
      <c r="Q140" s="27">
        <f>Simulacao!DQ249</f>
        <v>471839.68944737961</v>
      </c>
      <c r="R140" s="27">
        <f>Simulacao!DQ7</f>
        <v>61882.140551317112</v>
      </c>
      <c r="S140" s="27">
        <f>Simulacao!DQ250</f>
        <v>270208.93379400321</v>
      </c>
      <c r="T140" s="27">
        <f>Simulacao!DQ252</f>
        <v>139748.61510205927</v>
      </c>
      <c r="U140" s="27">
        <f>Resumo!U139+Resumo!T140</f>
        <v>3234162.6136315772</v>
      </c>
      <c r="X140" s="26" t="s">
        <v>206</v>
      </c>
      <c r="Y140" s="273">
        <v>3693110.3090866385</v>
      </c>
    </row>
    <row r="141" spans="16:25" x14ac:dyDescent="0.35">
      <c r="P141" s="26" t="s">
        <v>207</v>
      </c>
      <c r="Q141" s="27">
        <f>Simulacao!DR249</f>
        <v>43921.022561542108</v>
      </c>
      <c r="R141" s="27">
        <f>Simulacao!DR7</f>
        <v>61746.786587021677</v>
      </c>
      <c r="S141" s="27">
        <f>Simulacao!DR250</f>
        <v>46640.114882713067</v>
      </c>
      <c r="T141" s="27">
        <f>Simulacao!DR252</f>
        <v>-64465.878908192637</v>
      </c>
      <c r="U141" s="27">
        <f>Resumo!U140+Resumo!T141</f>
        <v>3169696.7347233845</v>
      </c>
      <c r="X141" s="26" t="s">
        <v>207</v>
      </c>
      <c r="Y141" s="273">
        <v>3723217.2632895038</v>
      </c>
    </row>
    <row r="142" spans="16:25" x14ac:dyDescent="0.35">
      <c r="P142" s="26" t="s">
        <v>208</v>
      </c>
      <c r="Q142" s="27">
        <f>Simulacao!DS249</f>
        <v>40865.051545712777</v>
      </c>
      <c r="R142" s="27">
        <f>Simulacao!DS7</f>
        <v>57787.683131380341</v>
      </c>
      <c r="S142" s="27">
        <f>Simulacao!DS250</f>
        <v>42925.425705007154</v>
      </c>
      <c r="T142" s="27">
        <f>Simulacao!DS252</f>
        <v>-59848.057290674711</v>
      </c>
      <c r="U142" s="27">
        <f>Resumo!U141+Resumo!T142</f>
        <v>3109848.6774327098</v>
      </c>
      <c r="X142" s="26" t="s">
        <v>208</v>
      </c>
      <c r="Y142" s="273">
        <v>3755683.9945023633</v>
      </c>
    </row>
  </sheetData>
  <mergeCells count="50">
    <mergeCell ref="I18:J18"/>
    <mergeCell ref="K18:L18"/>
    <mergeCell ref="B20:L20"/>
    <mergeCell ref="B45:L45"/>
    <mergeCell ref="B107:F107"/>
    <mergeCell ref="B16:D16"/>
    <mergeCell ref="I16:J16"/>
    <mergeCell ref="K16:L16"/>
    <mergeCell ref="I17:J17"/>
    <mergeCell ref="K17:L17"/>
    <mergeCell ref="B14:D14"/>
    <mergeCell ref="I14:J14"/>
    <mergeCell ref="K14:L14"/>
    <mergeCell ref="B15:D15"/>
    <mergeCell ref="I15:J15"/>
    <mergeCell ref="K15:L15"/>
    <mergeCell ref="B12:D12"/>
    <mergeCell ref="I12:J12"/>
    <mergeCell ref="K12:L12"/>
    <mergeCell ref="B13:D13"/>
    <mergeCell ref="I13:J13"/>
    <mergeCell ref="K13:L13"/>
    <mergeCell ref="B10:D10"/>
    <mergeCell ref="I10:J10"/>
    <mergeCell ref="K10:L10"/>
    <mergeCell ref="B11:D11"/>
    <mergeCell ref="I11:J11"/>
    <mergeCell ref="K11:L11"/>
    <mergeCell ref="B8:G8"/>
    <mergeCell ref="I8:L8"/>
    <mergeCell ref="B9:D9"/>
    <mergeCell ref="I9:J9"/>
    <mergeCell ref="K9:L9"/>
    <mergeCell ref="B6:C6"/>
    <mergeCell ref="D6:E6"/>
    <mergeCell ref="F6:G6"/>
    <mergeCell ref="H6:I6"/>
    <mergeCell ref="J6:K6"/>
    <mergeCell ref="B5:C5"/>
    <mergeCell ref="D5:E5"/>
    <mergeCell ref="F5:G5"/>
    <mergeCell ref="H5:I5"/>
    <mergeCell ref="J5:K5"/>
    <mergeCell ref="B1:L1"/>
    <mergeCell ref="B2:L2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A1:Z181"/>
  <sheetViews>
    <sheetView showGridLines="0" tabSelected="1" topLeftCell="B22" zoomScale="70" zoomScaleNormal="70" workbookViewId="0">
      <selection activeCell="B33" sqref="B33:K50"/>
    </sheetView>
  </sheetViews>
  <sheetFormatPr defaultColWidth="8.7265625" defaultRowHeight="14.5" x14ac:dyDescent="0.35"/>
  <cols>
    <col min="1" max="1" width="79.26953125" customWidth="1"/>
    <col min="2" max="2" width="18" customWidth="1"/>
    <col min="3" max="3" width="30" customWidth="1"/>
    <col min="4" max="4" width="21.453125" customWidth="1"/>
    <col min="5" max="5" width="18" customWidth="1"/>
    <col min="6" max="11" width="19.08984375" customWidth="1"/>
    <col min="13" max="13" width="23.90625" customWidth="1"/>
    <col min="14" max="14" width="12.08984375" customWidth="1"/>
    <col min="15" max="15" width="16.26953125" customWidth="1"/>
    <col min="16" max="16" width="13.90625" customWidth="1"/>
    <col min="17" max="17" width="15" customWidth="1"/>
    <col min="18" max="18" width="20" customWidth="1"/>
    <col min="19" max="19" width="15" customWidth="1"/>
  </cols>
  <sheetData>
    <row r="1" spans="1:19" ht="21.75" customHeight="1" x14ac:dyDescent="0.35">
      <c r="A1" s="312" t="str">
        <f>"PREMISSAS — "&amp;Premissas!$B$13&amp;" × Copasul | Energisa MS"</f>
        <v>PREMISSAS — Cassilândia 03 × Copasul | Energisa MS</v>
      </c>
      <c r="B1" s="312"/>
      <c r="C1" s="312"/>
      <c r="D1" s="312"/>
      <c r="E1" s="312"/>
      <c r="F1" s="65"/>
      <c r="G1" s="65"/>
      <c r="H1" s="65"/>
      <c r="I1" s="65"/>
      <c r="J1" s="65"/>
      <c r="K1" s="65"/>
      <c r="M1" s="313" t="s">
        <v>209</v>
      </c>
      <c r="N1" s="313"/>
      <c r="O1" s="313"/>
      <c r="P1" s="313"/>
      <c r="Q1" s="313"/>
      <c r="R1" s="313"/>
      <c r="S1" s="313"/>
    </row>
    <row r="2" spans="1:19" ht="12.75" customHeight="1" x14ac:dyDescent="0.35">
      <c r="A2" s="314" t="s">
        <v>210</v>
      </c>
      <c r="B2" s="314"/>
      <c r="C2" s="314"/>
      <c r="D2" s="314"/>
      <c r="E2" s="314"/>
      <c r="F2" s="66"/>
      <c r="G2" s="66"/>
      <c r="H2" s="66"/>
      <c r="I2" s="66"/>
      <c r="J2" s="66"/>
      <c r="K2" s="66"/>
      <c r="M2" s="315" t="s">
        <v>211</v>
      </c>
      <c r="N2" s="315"/>
      <c r="O2" s="315"/>
      <c r="P2" s="315"/>
      <c r="Q2" s="315"/>
      <c r="R2" s="315"/>
      <c r="S2" s="315"/>
    </row>
    <row r="3" spans="1:19" ht="6" customHeight="1" x14ac:dyDescent="0.35"/>
    <row r="4" spans="1:19" ht="15.75" customHeight="1" x14ac:dyDescent="0.35">
      <c r="A4" s="316" t="s">
        <v>212</v>
      </c>
      <c r="B4" s="316"/>
      <c r="C4" s="316"/>
      <c r="D4" s="316"/>
      <c r="E4" s="316"/>
      <c r="F4" s="67"/>
      <c r="G4" s="67"/>
      <c r="H4" s="67"/>
      <c r="I4" s="67"/>
      <c r="J4" s="67"/>
      <c r="K4" s="67"/>
      <c r="M4" s="317" t="s">
        <v>213</v>
      </c>
      <c r="N4" s="317"/>
      <c r="O4" s="317"/>
      <c r="P4" s="2" t="s">
        <v>214</v>
      </c>
      <c r="Q4" s="2" t="s">
        <v>215</v>
      </c>
      <c r="R4" s="276" t="s">
        <v>216</v>
      </c>
      <c r="S4" s="276"/>
    </row>
    <row r="5" spans="1:19" ht="24" customHeight="1" thickBot="1" x14ac:dyDescent="0.4">
      <c r="A5" s="68" t="s">
        <v>217</v>
      </c>
      <c r="B5" s="69">
        <v>0.52647111134532698</v>
      </c>
      <c r="C5" s="70" t="s">
        <v>218</v>
      </c>
      <c r="M5" s="310" t="s">
        <v>219</v>
      </c>
      <c r="N5" s="310"/>
      <c r="O5" s="310"/>
      <c r="P5" s="71" t="s">
        <v>220</v>
      </c>
      <c r="Q5" s="72">
        <f>Simulacao!B252</f>
        <v>3109848.6774327098</v>
      </c>
      <c r="R5" s="311" t="s">
        <v>221</v>
      </c>
      <c r="S5" s="311"/>
    </row>
    <row r="6" spans="1:19" ht="14.25" customHeight="1" x14ac:dyDescent="0.35">
      <c r="A6" s="68" t="s">
        <v>222</v>
      </c>
      <c r="B6" s="69">
        <v>2.9723794027943402</v>
      </c>
      <c r="C6" s="70" t="s">
        <v>223</v>
      </c>
      <c r="M6" s="73" t="s">
        <v>226</v>
      </c>
      <c r="N6" s="73"/>
      <c r="O6" s="264" t="s">
        <v>227</v>
      </c>
      <c r="P6" s="74"/>
      <c r="Q6" s="74"/>
      <c r="R6" s="74"/>
      <c r="S6" s="74"/>
    </row>
    <row r="7" spans="1:19" ht="21.75" customHeight="1" x14ac:dyDescent="0.35">
      <c r="A7" s="68" t="s">
        <v>224</v>
      </c>
      <c r="B7" s="69">
        <v>1.15686364923884</v>
      </c>
      <c r="C7" s="70" t="s">
        <v>225</v>
      </c>
      <c r="M7" s="3" t="s">
        <v>230</v>
      </c>
      <c r="N7" s="3"/>
      <c r="O7" s="265" t="s">
        <v>231</v>
      </c>
      <c r="P7" s="76"/>
      <c r="Q7" s="76"/>
      <c r="R7" s="76"/>
      <c r="S7" s="76"/>
    </row>
    <row r="8" spans="1:19" ht="21.75" customHeight="1" x14ac:dyDescent="0.35">
      <c r="A8" s="68" t="s">
        <v>228</v>
      </c>
      <c r="B8" s="75">
        <v>0.60426704914726304</v>
      </c>
      <c r="C8" s="70" t="s">
        <v>229</v>
      </c>
      <c r="M8" s="39" t="s">
        <v>234</v>
      </c>
      <c r="N8" s="39"/>
      <c r="O8" s="266" t="s">
        <v>235</v>
      </c>
      <c r="P8" s="78"/>
      <c r="Q8" s="78"/>
      <c r="R8" s="78"/>
      <c r="S8" s="78"/>
    </row>
    <row r="9" spans="1:19" ht="21.75" customHeight="1" x14ac:dyDescent="0.35">
      <c r="A9" s="68" t="s">
        <v>232</v>
      </c>
      <c r="B9" s="77">
        <v>0.17</v>
      </c>
      <c r="C9" s="70" t="s">
        <v>233</v>
      </c>
      <c r="M9" s="39" t="s">
        <v>238</v>
      </c>
      <c r="N9" s="39"/>
      <c r="O9" s="266" t="s">
        <v>239</v>
      </c>
      <c r="P9" s="78"/>
      <c r="Q9" s="78"/>
      <c r="R9" s="78"/>
      <c r="S9" s="78"/>
    </row>
    <row r="10" spans="1:19" ht="21" customHeight="1" thickBot="1" x14ac:dyDescent="0.4">
      <c r="A10" s="68" t="s">
        <v>236</v>
      </c>
      <c r="B10" s="77">
        <v>8.5500000000000007E-2</v>
      </c>
      <c r="C10" s="70" t="s">
        <v>237</v>
      </c>
      <c r="M10" s="3" t="s">
        <v>244</v>
      </c>
      <c r="N10" s="3"/>
      <c r="O10" s="3"/>
      <c r="P10" s="3"/>
      <c r="Q10" s="3"/>
      <c r="R10" s="3"/>
      <c r="S10" s="3"/>
    </row>
    <row r="11" spans="1:19" ht="33" customHeight="1" thickBot="1" x14ac:dyDescent="0.4">
      <c r="A11" s="79" t="s">
        <v>240</v>
      </c>
      <c r="B11" s="80" t="s">
        <v>241</v>
      </c>
      <c r="C11" s="81">
        <f>IF($B$11="Sim",0,$B$5*$B$9/(1+$B$9))</f>
        <v>0</v>
      </c>
      <c r="D11" s="81">
        <f>IF($B$11="Sim",0,$B$6*$B$9/(1+$B$9))</f>
        <v>0</v>
      </c>
      <c r="E11" s="81">
        <f>IF($B$11="Sim",0,$B$7*$B$9/(1+$B$9))</f>
        <v>0</v>
      </c>
      <c r="F11" s="82" t="s">
        <v>242</v>
      </c>
      <c r="G11" s="81"/>
      <c r="H11" s="81"/>
      <c r="I11" s="83"/>
      <c r="J11" s="83"/>
      <c r="K11" s="83"/>
      <c r="M11" s="85" t="s">
        <v>247</v>
      </c>
      <c r="N11" s="85"/>
      <c r="O11" s="85" t="s">
        <v>248</v>
      </c>
      <c r="P11" s="85" t="s">
        <v>249</v>
      </c>
      <c r="Q11" s="321" t="s">
        <v>250</v>
      </c>
      <c r="R11" s="322"/>
      <c r="S11" s="323"/>
    </row>
    <row r="12" spans="1:19" ht="15.75" customHeight="1" x14ac:dyDescent="0.35">
      <c r="A12" s="316" t="s">
        <v>243</v>
      </c>
      <c r="B12" s="316"/>
      <c r="C12" s="316"/>
      <c r="D12" s="316"/>
      <c r="E12" s="316"/>
      <c r="F12" s="67"/>
      <c r="G12" s="67"/>
      <c r="H12" s="67"/>
      <c r="I12" s="67"/>
      <c r="J12" s="67"/>
      <c r="K12" s="67"/>
      <c r="M12" s="260" t="s">
        <v>253</v>
      </c>
      <c r="N12" s="87"/>
      <c r="O12" s="88" t="s">
        <v>254</v>
      </c>
      <c r="P12" s="89" t="s">
        <v>166</v>
      </c>
      <c r="Q12" s="319" t="s">
        <v>255</v>
      </c>
      <c r="R12" s="320"/>
      <c r="S12" s="320"/>
    </row>
    <row r="13" spans="1:19" ht="13.5" customHeight="1" x14ac:dyDescent="0.35">
      <c r="A13" s="68" t="s">
        <v>245</v>
      </c>
      <c r="B13" s="84" t="s">
        <v>246</v>
      </c>
      <c r="M13" s="261" t="s">
        <v>258</v>
      </c>
      <c r="N13" s="261"/>
      <c r="O13" s="90" t="s">
        <v>259</v>
      </c>
      <c r="P13" s="91" t="s">
        <v>260</v>
      </c>
      <c r="Q13" s="324" t="s">
        <v>261</v>
      </c>
      <c r="R13" s="325"/>
      <c r="S13" s="325"/>
    </row>
    <row r="14" spans="1:19" ht="15" customHeight="1" x14ac:dyDescent="0.35">
      <c r="A14" s="68" t="s">
        <v>251</v>
      </c>
      <c r="B14" s="86" t="s">
        <v>252</v>
      </c>
      <c r="M14" s="261" t="s">
        <v>263</v>
      </c>
      <c r="N14" s="261"/>
      <c r="O14" s="90" t="s">
        <v>259</v>
      </c>
      <c r="P14" s="91" t="s">
        <v>260</v>
      </c>
      <c r="Q14" s="324" t="s">
        <v>264</v>
      </c>
      <c r="R14" s="325"/>
      <c r="S14" s="325"/>
    </row>
    <row r="15" spans="1:19" ht="15" customHeight="1" x14ac:dyDescent="0.35">
      <c r="A15" s="68" t="s">
        <v>256</v>
      </c>
      <c r="B15" s="86" t="s">
        <v>257</v>
      </c>
      <c r="M15" s="261" t="s">
        <v>266</v>
      </c>
      <c r="N15" s="261"/>
      <c r="O15" s="90" t="s">
        <v>259</v>
      </c>
      <c r="P15" s="91" t="s">
        <v>260</v>
      </c>
      <c r="Q15" s="91"/>
      <c r="R15" s="324" t="s">
        <v>267</v>
      </c>
      <c r="S15" s="325"/>
    </row>
    <row r="16" spans="1:19" ht="15" customHeight="1" x14ac:dyDescent="0.35">
      <c r="A16" s="68" t="s">
        <v>262</v>
      </c>
      <c r="B16" s="93">
        <v>120</v>
      </c>
      <c r="M16" s="261" t="s">
        <v>269</v>
      </c>
      <c r="N16" s="261"/>
      <c r="O16" s="90" t="s">
        <v>259</v>
      </c>
      <c r="P16" s="91" t="s">
        <v>260</v>
      </c>
      <c r="Q16" s="267" t="s">
        <v>270</v>
      </c>
      <c r="R16" s="267"/>
      <c r="S16" s="92"/>
    </row>
    <row r="17" spans="1:26" ht="15" customHeight="1" x14ac:dyDescent="0.35">
      <c r="A17" s="68" t="s">
        <v>265</v>
      </c>
      <c r="B17" s="69">
        <v>0.4425</v>
      </c>
      <c r="M17" s="262" t="s">
        <v>274</v>
      </c>
      <c r="N17" s="262"/>
      <c r="O17" s="90" t="s">
        <v>259</v>
      </c>
      <c r="P17" s="98">
        <v>1</v>
      </c>
      <c r="Q17" s="267" t="s">
        <v>275</v>
      </c>
      <c r="R17" s="267"/>
      <c r="S17" s="92"/>
    </row>
    <row r="18" spans="1:26" ht="15.75" customHeight="1" x14ac:dyDescent="0.35">
      <c r="A18" s="73" t="s">
        <v>268</v>
      </c>
      <c r="M18" s="262" t="s">
        <v>277</v>
      </c>
      <c r="N18" s="262"/>
      <c r="O18" s="90" t="s">
        <v>259</v>
      </c>
      <c r="P18" s="98">
        <v>1</v>
      </c>
      <c r="Q18" s="267" t="s">
        <v>278</v>
      </c>
      <c r="R18" s="267"/>
      <c r="S18" s="92"/>
    </row>
    <row r="19" spans="1:26" ht="15" customHeight="1" x14ac:dyDescent="0.35">
      <c r="A19" s="94" t="s">
        <v>271</v>
      </c>
      <c r="B19" s="80" t="s">
        <v>241</v>
      </c>
      <c r="C19" s="95" t="s">
        <v>272</v>
      </c>
      <c r="D19" s="96">
        <v>0.2</v>
      </c>
      <c r="E19" s="95" t="s">
        <v>273</v>
      </c>
      <c r="F19" s="97">
        <f>IF(B19="Sim",B7*(1-D19),B7)</f>
        <v>0.92549091939107209</v>
      </c>
      <c r="G19" s="95"/>
      <c r="H19" s="95"/>
      <c r="I19" s="95"/>
      <c r="J19" s="95"/>
      <c r="K19" s="95"/>
      <c r="M19" s="262" t="s">
        <v>281</v>
      </c>
      <c r="N19" s="262"/>
      <c r="O19" s="90" t="s">
        <v>259</v>
      </c>
      <c r="P19" s="98">
        <v>1</v>
      </c>
      <c r="Q19" s="267" t="s">
        <v>282</v>
      </c>
      <c r="R19" s="267"/>
      <c r="S19" s="92"/>
    </row>
    <row r="20" spans="1:26" ht="15" customHeight="1" x14ac:dyDescent="0.35">
      <c r="A20" s="316" t="s">
        <v>276</v>
      </c>
      <c r="B20" s="316"/>
      <c r="C20" s="316"/>
      <c r="D20" s="316"/>
      <c r="E20" s="316"/>
      <c r="F20" s="67"/>
      <c r="G20" s="67"/>
      <c r="H20" s="67"/>
      <c r="I20" s="67"/>
      <c r="J20" s="67"/>
      <c r="K20" s="67"/>
      <c r="M20" s="262" t="s">
        <v>285</v>
      </c>
      <c r="N20" s="262"/>
      <c r="O20" s="90" t="s">
        <v>259</v>
      </c>
      <c r="P20" s="98">
        <v>1</v>
      </c>
      <c r="Q20" s="267" t="s">
        <v>286</v>
      </c>
      <c r="R20" s="267"/>
      <c r="S20" s="92"/>
    </row>
    <row r="21" spans="1:26" ht="15" customHeight="1" x14ac:dyDescent="0.35">
      <c r="A21" s="68" t="s">
        <v>279</v>
      </c>
      <c r="B21" s="77">
        <v>2.5000000000000001E-2</v>
      </c>
      <c r="C21" s="70" t="s">
        <v>280</v>
      </c>
      <c r="M21" s="262" t="s">
        <v>289</v>
      </c>
      <c r="N21" s="262"/>
      <c r="O21" s="90" t="s">
        <v>259</v>
      </c>
      <c r="P21" s="98">
        <v>1</v>
      </c>
      <c r="Q21" s="267" t="s">
        <v>290</v>
      </c>
      <c r="R21" s="267"/>
      <c r="S21" s="92"/>
      <c r="T21" s="99"/>
      <c r="U21" s="99"/>
      <c r="V21" s="100"/>
      <c r="W21" s="101"/>
      <c r="X21" s="101"/>
      <c r="Y21" s="102"/>
      <c r="Z21" s="102"/>
    </row>
    <row r="22" spans="1:26" ht="15" customHeight="1" x14ac:dyDescent="0.35">
      <c r="A22" s="68" t="s">
        <v>283</v>
      </c>
      <c r="B22" s="77">
        <v>2.5000000000000001E-2</v>
      </c>
      <c r="C22" s="70" t="s">
        <v>284</v>
      </c>
      <c r="M22" s="262" t="s">
        <v>292</v>
      </c>
      <c r="N22" s="262"/>
      <c r="O22" s="90" t="s">
        <v>259</v>
      </c>
      <c r="P22" s="98">
        <v>1</v>
      </c>
      <c r="Q22" s="267" t="s">
        <v>293</v>
      </c>
      <c r="R22" s="267"/>
      <c r="S22" s="92"/>
    </row>
    <row r="23" spans="1:26" ht="15" customHeight="1" x14ac:dyDescent="0.35">
      <c r="A23" s="68" t="s">
        <v>287</v>
      </c>
      <c r="B23" s="77">
        <v>5.0000000000000001E-3</v>
      </c>
      <c r="C23" s="70" t="s">
        <v>288</v>
      </c>
      <c r="M23" s="263" t="s">
        <v>295</v>
      </c>
      <c r="N23" s="263"/>
      <c r="O23" s="105" t="s">
        <v>259</v>
      </c>
      <c r="P23" s="271" t="s">
        <v>166</v>
      </c>
      <c r="Q23" s="269" t="s">
        <v>296</v>
      </c>
      <c r="R23" s="106"/>
      <c r="S23" s="106"/>
    </row>
    <row r="24" spans="1:26" ht="15" customHeight="1" x14ac:dyDescent="0.35">
      <c r="A24" s="68" t="s">
        <v>291</v>
      </c>
      <c r="B24" s="104" t="s">
        <v>241</v>
      </c>
      <c r="M24" s="329" t="s">
        <v>298</v>
      </c>
      <c r="N24" s="329"/>
      <c r="O24" s="105" t="s">
        <v>299</v>
      </c>
      <c r="P24" s="271" t="s">
        <v>260</v>
      </c>
      <c r="Q24" s="270" t="s">
        <v>300</v>
      </c>
      <c r="R24" s="268"/>
      <c r="S24" s="268"/>
    </row>
    <row r="25" spans="1:26" ht="18" customHeight="1" x14ac:dyDescent="0.35">
      <c r="A25" s="316" t="s">
        <v>294</v>
      </c>
      <c r="B25" s="316"/>
      <c r="C25" s="316"/>
      <c r="D25" s="316"/>
      <c r="E25" s="316"/>
      <c r="F25" s="67"/>
      <c r="G25" s="67"/>
      <c r="H25" s="67"/>
      <c r="I25" s="67"/>
      <c r="J25" s="67"/>
      <c r="K25" s="67"/>
      <c r="M25" s="289" t="s">
        <v>305</v>
      </c>
      <c r="N25" s="289"/>
      <c r="O25" s="289"/>
      <c r="P25" s="289"/>
      <c r="Q25" s="289"/>
      <c r="R25" s="289"/>
      <c r="S25" s="289"/>
    </row>
    <row r="26" spans="1:26" ht="18" customHeight="1" x14ac:dyDescent="0.35">
      <c r="A26" s="68" t="s">
        <v>297</v>
      </c>
      <c r="B26" s="107">
        <v>148516</v>
      </c>
      <c r="M26" s="326" t="s">
        <v>306</v>
      </c>
      <c r="N26" s="326"/>
      <c r="O26" s="109" t="s">
        <v>307</v>
      </c>
      <c r="P26" s="327" t="s">
        <v>308</v>
      </c>
      <c r="Q26" s="327"/>
      <c r="R26" s="327"/>
      <c r="S26" s="327"/>
    </row>
    <row r="27" spans="1:26" ht="18" customHeight="1" x14ac:dyDescent="0.35">
      <c r="A27" s="68" t="s">
        <v>301</v>
      </c>
      <c r="B27" s="107">
        <v>906739</v>
      </c>
      <c r="M27" s="111" t="s">
        <v>310</v>
      </c>
      <c r="O27" s="112" t="s">
        <v>311</v>
      </c>
      <c r="P27" s="113" t="s">
        <v>312</v>
      </c>
    </row>
    <row r="28" spans="1:26" ht="15" customHeight="1" x14ac:dyDescent="0.35">
      <c r="A28" s="68" t="s">
        <v>302</v>
      </c>
      <c r="B28" s="107">
        <v>991029</v>
      </c>
    </row>
    <row r="29" spans="1:26" ht="15.75" customHeight="1" x14ac:dyDescent="0.35">
      <c r="A29" s="68" t="s">
        <v>303</v>
      </c>
      <c r="B29" s="108">
        <f>B26+B28</f>
        <v>1139545</v>
      </c>
      <c r="C29" s="70" t="s">
        <v>304</v>
      </c>
    </row>
    <row r="30" spans="1:26" ht="10.5" customHeight="1" x14ac:dyDescent="0.35"/>
    <row r="31" spans="1:26" ht="19.5" customHeight="1" x14ac:dyDescent="0.35">
      <c r="A31" s="289" t="str">
        <f>"E.  RATEIO FIXO "&amp;INDEX(PVSYST_Helexia!$A$5:$A$7,MATCH(Premissas!$B$13,PVSYST_Helexia!$B$5:$B$7,0))&amp;" — 4 PERÍODOS (edit percentuais — devem somar 100% por período)"</f>
        <v>E.  RATEIO FIXO HCS03 — 4 PERÍODOS (edit percentuais — devem somar 100% por período)</v>
      </c>
      <c r="B31" s="289"/>
      <c r="C31" s="289"/>
      <c r="D31" s="289"/>
      <c r="E31" s="289"/>
      <c r="F31" s="110" t="s">
        <v>309</v>
      </c>
    </row>
    <row r="32" spans="1:26" ht="30" customHeight="1" x14ac:dyDescent="0.35">
      <c r="A32" s="3" t="s">
        <v>313</v>
      </c>
      <c r="B32" s="114" t="s">
        <v>314</v>
      </c>
      <c r="C32" s="114" t="s">
        <v>315</v>
      </c>
      <c r="D32" s="114" t="s">
        <v>316</v>
      </c>
      <c r="E32" s="114" t="s">
        <v>317</v>
      </c>
      <c r="F32" s="115" t="s">
        <v>318</v>
      </c>
      <c r="G32" s="114" t="s">
        <v>319</v>
      </c>
      <c r="H32" s="114" t="s">
        <v>320</v>
      </c>
      <c r="I32" s="114" t="s">
        <v>321</v>
      </c>
      <c r="J32" s="114" t="s">
        <v>322</v>
      </c>
      <c r="K32" s="114" t="s">
        <v>323</v>
      </c>
      <c r="L32" s="114" t="s">
        <v>324</v>
      </c>
      <c r="M32" s="114" t="s">
        <v>325</v>
      </c>
      <c r="N32" s="114" t="s">
        <v>326</v>
      </c>
      <c r="O32" s="114" t="s">
        <v>327</v>
      </c>
      <c r="P32" s="114" t="s">
        <v>328</v>
      </c>
      <c r="Q32" s="114" t="s">
        <v>329</v>
      </c>
      <c r="R32" s="114" t="s">
        <v>330</v>
      </c>
      <c r="S32" s="114" t="s">
        <v>331</v>
      </c>
      <c r="T32" s="114" t="s">
        <v>332</v>
      </c>
      <c r="U32" s="114" t="s">
        <v>333</v>
      </c>
    </row>
    <row r="33" spans="1:21" ht="12.75" customHeight="1" x14ac:dyDescent="0.35">
      <c r="A33" s="116" t="s">
        <v>334</v>
      </c>
      <c r="B33" s="117">
        <v>0.73799999999999999</v>
      </c>
      <c r="C33" s="117">
        <v>0.51780000000000004</v>
      </c>
      <c r="D33" s="117">
        <v>0.6714</v>
      </c>
      <c r="E33" s="117">
        <v>0.25919999999999999</v>
      </c>
      <c r="F33" s="117">
        <v>0.47410000000000002</v>
      </c>
      <c r="G33" s="117">
        <v>0.46729999999999999</v>
      </c>
      <c r="H33" s="117">
        <v>0.47239999999999999</v>
      </c>
      <c r="I33" s="117">
        <v>0.46560000000000001</v>
      </c>
      <c r="J33" s="117">
        <v>0.58260000000000001</v>
      </c>
      <c r="K33" s="117">
        <v>0.46210000000000001</v>
      </c>
      <c r="L33" s="117">
        <v>6.9040279999999996E-2</v>
      </c>
      <c r="M33" s="117">
        <v>7.0853429999999995E-2</v>
      </c>
      <c r="N33" s="117">
        <v>6.9490930000000006E-2</v>
      </c>
      <c r="O33" s="117">
        <v>7.1306720000000004E-2</v>
      </c>
      <c r="P33" s="117">
        <v>6.9942279999999996E-2</v>
      </c>
      <c r="Q33" s="117">
        <v>7.1760610000000002E-2</v>
      </c>
      <c r="R33" s="117">
        <v>7.0394250000000005E-2</v>
      </c>
      <c r="S33" s="117">
        <v>0.33</v>
      </c>
      <c r="T33" s="117">
        <v>0.33</v>
      </c>
      <c r="U33" s="117">
        <v>0.33</v>
      </c>
    </row>
    <row r="34" spans="1:21" ht="12.75" customHeight="1" x14ac:dyDescent="0.35">
      <c r="A34" s="116" t="s">
        <v>335</v>
      </c>
      <c r="B34" s="118">
        <v>0</v>
      </c>
      <c r="C34" s="118">
        <v>0</v>
      </c>
      <c r="D34" s="118">
        <v>0</v>
      </c>
      <c r="E34" s="118">
        <v>0</v>
      </c>
      <c r="F34" s="118">
        <v>0</v>
      </c>
      <c r="G34" s="118">
        <v>0</v>
      </c>
      <c r="H34" s="118">
        <v>0</v>
      </c>
      <c r="I34" s="118">
        <v>0</v>
      </c>
      <c r="J34" s="118">
        <v>0</v>
      </c>
      <c r="K34" s="118">
        <v>0</v>
      </c>
      <c r="L34" s="118">
        <v>0</v>
      </c>
      <c r="M34" s="118">
        <v>0</v>
      </c>
      <c r="N34" s="118">
        <v>0</v>
      </c>
      <c r="O34" s="118">
        <v>0</v>
      </c>
      <c r="P34" s="118">
        <v>0</v>
      </c>
      <c r="Q34" s="118">
        <v>0</v>
      </c>
      <c r="R34" s="118">
        <v>0</v>
      </c>
      <c r="S34" s="118">
        <v>0.33</v>
      </c>
      <c r="T34" s="118">
        <v>0.33</v>
      </c>
      <c r="U34" s="118">
        <v>0.33</v>
      </c>
    </row>
    <row r="35" spans="1:21" ht="12.75" customHeight="1" x14ac:dyDescent="0.35">
      <c r="A35" s="116" t="s">
        <v>336</v>
      </c>
      <c r="B35" s="117">
        <v>0</v>
      </c>
      <c r="C35" s="117">
        <v>0</v>
      </c>
      <c r="D35" s="117">
        <v>4.1000000000000003E-3</v>
      </c>
      <c r="E35" s="117">
        <v>0.15609999999999999</v>
      </c>
      <c r="F35" s="117">
        <v>0.3735</v>
      </c>
      <c r="G35" s="117">
        <v>0.36980000000000002</v>
      </c>
      <c r="H35" s="117">
        <v>0.37259999999999999</v>
      </c>
      <c r="I35" s="117">
        <v>0.36880000000000002</v>
      </c>
      <c r="J35" s="117">
        <v>0.2324</v>
      </c>
      <c r="K35" s="117">
        <v>0.29249999999999998</v>
      </c>
      <c r="L35" s="117">
        <v>0.34288311999999999</v>
      </c>
      <c r="M35" s="117">
        <v>0.34120903000000002</v>
      </c>
      <c r="N35" s="117">
        <v>0.34246706999999998</v>
      </c>
      <c r="O35" s="117">
        <v>0.3407905</v>
      </c>
      <c r="P35" s="117">
        <v>0.34205034000000001</v>
      </c>
      <c r="Q35" s="117">
        <v>0.34037116000000001</v>
      </c>
      <c r="R35" s="117">
        <v>0.34163315999999999</v>
      </c>
      <c r="S35" s="117">
        <v>0.33953065999999998</v>
      </c>
      <c r="T35" s="117">
        <v>0.33953065999999998</v>
      </c>
      <c r="U35" s="117">
        <v>0.33953065999999998</v>
      </c>
    </row>
    <row r="36" spans="1:21" ht="12.75" customHeight="1" x14ac:dyDescent="0.35">
      <c r="A36" s="119" t="s">
        <v>337</v>
      </c>
      <c r="B36" s="120">
        <v>2.7E-2</v>
      </c>
      <c r="C36" s="120">
        <v>5.3199999999999997E-2</v>
      </c>
      <c r="D36" s="120">
        <v>3.1099999999999999E-2</v>
      </c>
      <c r="E36" s="120">
        <v>6.7400000000000002E-2</v>
      </c>
      <c r="F36" s="120">
        <v>1.5599999999999999E-2</v>
      </c>
      <c r="G36" s="120">
        <v>1.7100000000000001E-2</v>
      </c>
      <c r="H36" s="120">
        <v>1.6E-2</v>
      </c>
      <c r="I36" s="120">
        <v>1.7399999999999999E-2</v>
      </c>
      <c r="J36" s="120">
        <v>3.04E-2</v>
      </c>
      <c r="K36" s="120">
        <v>3.2199999999999999E-2</v>
      </c>
      <c r="L36" s="120">
        <v>4.6564210000000002E-2</v>
      </c>
      <c r="M36" s="120">
        <v>4.6699890000000001E-2</v>
      </c>
      <c r="N36" s="120">
        <v>4.6599580000000002E-2</v>
      </c>
      <c r="O36" s="120">
        <v>4.6731059999999998E-2</v>
      </c>
      <c r="P36" s="120">
        <v>4.6633910000000001E-2</v>
      </c>
      <c r="Q36" s="120">
        <v>4.6761280000000002E-2</v>
      </c>
      <c r="R36" s="120">
        <v>4.6667180000000003E-2</v>
      </c>
      <c r="S36" s="120">
        <v>0</v>
      </c>
      <c r="T36" s="120">
        <v>0</v>
      </c>
      <c r="U36" s="120">
        <v>0</v>
      </c>
    </row>
    <row r="37" spans="1:21" ht="12.75" customHeight="1" x14ac:dyDescent="0.35">
      <c r="A37" s="119" t="s">
        <v>338</v>
      </c>
      <c r="B37" s="120">
        <v>3.3E-3</v>
      </c>
      <c r="C37" s="120">
        <v>5.0000000000000001E-3</v>
      </c>
      <c r="D37" s="120">
        <v>4.0000000000000001E-3</v>
      </c>
      <c r="E37" s="120">
        <v>4.4999999999999997E-3</v>
      </c>
      <c r="F37" s="120">
        <v>2.5999999999999999E-3</v>
      </c>
      <c r="G37" s="120">
        <v>2.7000000000000001E-3</v>
      </c>
      <c r="H37" s="120">
        <v>2.5999999999999999E-3</v>
      </c>
      <c r="I37" s="120">
        <v>2.7000000000000001E-3</v>
      </c>
      <c r="J37" s="120">
        <v>2.7000000000000001E-3</v>
      </c>
      <c r="K37" s="120">
        <v>3.3999999999999998E-3</v>
      </c>
      <c r="L37" s="120">
        <v>2.7706999999999999E-2</v>
      </c>
      <c r="M37" s="120">
        <v>2.794292E-2</v>
      </c>
      <c r="N37" s="120">
        <v>2.776621E-2</v>
      </c>
      <c r="O37" s="120">
        <v>2.800095E-2</v>
      </c>
      <c r="P37" s="120">
        <v>2.782513E-2</v>
      </c>
      <c r="Q37" s="120">
        <v>2.8058690000000001E-2</v>
      </c>
      <c r="R37" s="120">
        <v>2.7883749999999999E-2</v>
      </c>
      <c r="S37" s="120">
        <v>0</v>
      </c>
      <c r="T37" s="120">
        <v>0</v>
      </c>
      <c r="U37" s="120">
        <v>0</v>
      </c>
    </row>
    <row r="38" spans="1:21" ht="12.75" customHeight="1" x14ac:dyDescent="0.35">
      <c r="A38" s="119" t="s">
        <v>339</v>
      </c>
      <c r="B38" s="120">
        <v>3.0999999999999999E-3</v>
      </c>
      <c r="C38" s="120">
        <v>7.7000000000000002E-3</v>
      </c>
      <c r="D38" s="120">
        <v>3.8999999999999998E-3</v>
      </c>
      <c r="E38" s="120">
        <v>7.1999999999999998E-3</v>
      </c>
      <c r="F38" s="120">
        <v>3.2000000000000002E-3</v>
      </c>
      <c r="G38" s="120">
        <v>3.3999999999999998E-3</v>
      </c>
      <c r="H38" s="120">
        <v>3.2000000000000002E-3</v>
      </c>
      <c r="I38" s="120">
        <v>3.3999999999999998E-3</v>
      </c>
      <c r="J38" s="120">
        <v>3.7000000000000002E-3</v>
      </c>
      <c r="K38" s="120">
        <v>4.3E-3</v>
      </c>
      <c r="L38" s="120">
        <v>2.7706999999999999E-2</v>
      </c>
      <c r="M38" s="120">
        <v>2.794292E-2</v>
      </c>
      <c r="N38" s="120">
        <v>2.776621E-2</v>
      </c>
      <c r="O38" s="120">
        <v>2.800095E-2</v>
      </c>
      <c r="P38" s="120">
        <v>2.782513E-2</v>
      </c>
      <c r="Q38" s="120">
        <v>2.8058690000000001E-2</v>
      </c>
      <c r="R38" s="120">
        <v>2.7883749999999999E-2</v>
      </c>
      <c r="S38" s="120">
        <v>0</v>
      </c>
      <c r="T38" s="120">
        <v>0</v>
      </c>
      <c r="U38" s="120">
        <v>0</v>
      </c>
    </row>
    <row r="39" spans="1:21" ht="12.75" customHeight="1" x14ac:dyDescent="0.35">
      <c r="A39" s="119" t="s">
        <v>340</v>
      </c>
      <c r="B39" s="120">
        <v>6.4000000000000003E-3</v>
      </c>
      <c r="C39" s="120">
        <v>1.14E-2</v>
      </c>
      <c r="D39" s="120">
        <v>8.0999999999999996E-3</v>
      </c>
      <c r="E39" s="120">
        <v>9.4999999999999998E-3</v>
      </c>
      <c r="F39" s="120">
        <v>7.0000000000000001E-3</v>
      </c>
      <c r="G39" s="120">
        <v>7.4999999999999997E-3</v>
      </c>
      <c r="H39" s="120">
        <v>7.1000000000000004E-3</v>
      </c>
      <c r="I39" s="120">
        <v>7.6E-3</v>
      </c>
      <c r="J39" s="120">
        <v>9.7999999999999997E-3</v>
      </c>
      <c r="K39" s="120">
        <v>4.4000000000000003E-3</v>
      </c>
      <c r="L39" s="120">
        <v>2.7706999999999999E-2</v>
      </c>
      <c r="M39" s="120">
        <v>2.794292E-2</v>
      </c>
      <c r="N39" s="120">
        <v>2.776621E-2</v>
      </c>
      <c r="O39" s="120">
        <v>2.800095E-2</v>
      </c>
      <c r="P39" s="120">
        <v>2.782513E-2</v>
      </c>
      <c r="Q39" s="120">
        <v>2.8058690000000001E-2</v>
      </c>
      <c r="R39" s="120">
        <v>2.7883749999999999E-2</v>
      </c>
      <c r="S39" s="120">
        <v>0</v>
      </c>
      <c r="T39" s="120">
        <v>0</v>
      </c>
      <c r="U39" s="120">
        <v>0</v>
      </c>
    </row>
    <row r="40" spans="1:21" ht="12.75" customHeight="1" x14ac:dyDescent="0.35">
      <c r="A40" s="119" t="s">
        <v>341</v>
      </c>
      <c r="B40" s="120">
        <v>5.8999999999999997E-2</v>
      </c>
      <c r="C40" s="120">
        <v>0.1067</v>
      </c>
      <c r="D40" s="120">
        <v>7.2700000000000001E-2</v>
      </c>
      <c r="E40" s="120">
        <v>0.2104</v>
      </c>
      <c r="F40" s="120">
        <v>6.0000000000000001E-3</v>
      </c>
      <c r="G40" s="120">
        <v>6.4000000000000003E-3</v>
      </c>
      <c r="H40" s="120">
        <v>6.1000000000000004E-3</v>
      </c>
      <c r="I40" s="120">
        <v>6.4999999999999997E-3</v>
      </c>
      <c r="J40" s="120">
        <v>7.4999999999999997E-3</v>
      </c>
      <c r="K40" s="120">
        <v>3.1300000000000001E-2</v>
      </c>
      <c r="L40" s="120">
        <v>9.5085569999999994E-2</v>
      </c>
      <c r="M40" s="120">
        <v>9.3582799999999994E-2</v>
      </c>
      <c r="N40" s="120">
        <v>9.4707269999999996E-2</v>
      </c>
      <c r="O40" s="120">
        <v>9.3215129999999993E-2</v>
      </c>
      <c r="P40" s="120">
        <v>9.433155E-2</v>
      </c>
      <c r="Q40" s="120">
        <v>9.285003E-2</v>
      </c>
      <c r="R40" s="120">
        <v>9.39585E-2</v>
      </c>
      <c r="S40" s="120">
        <v>0</v>
      </c>
      <c r="T40" s="120">
        <v>0</v>
      </c>
      <c r="U40" s="120">
        <v>0</v>
      </c>
    </row>
    <row r="41" spans="1:21" ht="12.75" customHeight="1" x14ac:dyDescent="0.35">
      <c r="A41" s="119" t="s">
        <v>342</v>
      </c>
      <c r="B41" s="120">
        <v>2.1299999999999999E-2</v>
      </c>
      <c r="C41" s="120">
        <v>3.5799999999999998E-2</v>
      </c>
      <c r="D41" s="120">
        <v>2.5999999999999999E-2</v>
      </c>
      <c r="E41" s="120">
        <v>4.3900000000000002E-2</v>
      </c>
      <c r="F41" s="120">
        <v>1.11E-2</v>
      </c>
      <c r="G41" s="120">
        <v>1.21E-2</v>
      </c>
      <c r="H41" s="120">
        <v>1.1299999999999999E-2</v>
      </c>
      <c r="I41" s="120">
        <v>1.23E-2</v>
      </c>
      <c r="J41" s="120">
        <v>1.8100000000000002E-2</v>
      </c>
      <c r="K41" s="120">
        <v>2.12E-2</v>
      </c>
      <c r="L41" s="120">
        <v>2.7706999999999999E-2</v>
      </c>
      <c r="M41" s="120">
        <v>2.794292E-2</v>
      </c>
      <c r="N41" s="120">
        <v>2.776621E-2</v>
      </c>
      <c r="O41" s="120">
        <v>2.800095E-2</v>
      </c>
      <c r="P41" s="120">
        <v>2.782513E-2</v>
      </c>
      <c r="Q41" s="120">
        <v>2.8058690000000001E-2</v>
      </c>
      <c r="R41" s="120">
        <v>2.7883749999999999E-2</v>
      </c>
      <c r="S41" s="120">
        <v>0</v>
      </c>
      <c r="T41" s="120">
        <v>0</v>
      </c>
      <c r="U41" s="120">
        <v>0</v>
      </c>
    </row>
    <row r="42" spans="1:21" ht="12.75" customHeight="1" x14ac:dyDescent="0.35">
      <c r="A42" s="119" t="s">
        <v>343</v>
      </c>
      <c r="B42" s="120">
        <v>1.21E-2</v>
      </c>
      <c r="C42" s="120">
        <v>2.9600000000000001E-2</v>
      </c>
      <c r="D42" s="120">
        <v>1.5900000000000001E-2</v>
      </c>
      <c r="E42" s="120">
        <v>2.86E-2</v>
      </c>
      <c r="F42" s="120">
        <v>1.2200000000000001E-2</v>
      </c>
      <c r="G42" s="120">
        <v>1.3299999999999999E-2</v>
      </c>
      <c r="H42" s="120">
        <v>1.2500000000000001E-2</v>
      </c>
      <c r="I42" s="120">
        <v>1.3599999999999999E-2</v>
      </c>
      <c r="J42" s="120">
        <v>1.37E-2</v>
      </c>
      <c r="K42" s="120">
        <v>1.77E-2</v>
      </c>
      <c r="L42" s="120">
        <v>2.7706999999999999E-2</v>
      </c>
      <c r="M42" s="120">
        <v>2.794292E-2</v>
      </c>
      <c r="N42" s="120">
        <v>2.776621E-2</v>
      </c>
      <c r="O42" s="120">
        <v>2.8000939999999998E-2</v>
      </c>
      <c r="P42" s="120">
        <v>2.782513E-2</v>
      </c>
      <c r="Q42" s="120">
        <v>2.8058690000000001E-2</v>
      </c>
      <c r="R42" s="120">
        <v>2.7883749999999999E-2</v>
      </c>
      <c r="S42" s="120">
        <v>0</v>
      </c>
      <c r="T42" s="120">
        <v>0</v>
      </c>
      <c r="U42" s="120">
        <v>0</v>
      </c>
    </row>
    <row r="43" spans="1:21" ht="12.75" customHeight="1" x14ac:dyDescent="0.35">
      <c r="A43" s="119" t="s">
        <v>344</v>
      </c>
      <c r="B43" s="120">
        <v>4.5999999999999999E-3</v>
      </c>
      <c r="C43" s="120">
        <v>1.5699999999999999E-2</v>
      </c>
      <c r="D43" s="120">
        <v>6.0000000000000001E-3</v>
      </c>
      <c r="E43" s="120">
        <v>1.47E-2</v>
      </c>
      <c r="F43" s="120">
        <v>3.0999999999999999E-3</v>
      </c>
      <c r="G43" s="120">
        <v>3.3E-3</v>
      </c>
      <c r="H43" s="120">
        <v>3.0999999999999999E-3</v>
      </c>
      <c r="I43" s="120">
        <v>3.3E-3</v>
      </c>
      <c r="J43" s="120">
        <v>3.5999999999999999E-3</v>
      </c>
      <c r="K43" s="120">
        <v>4.7999999999999996E-3</v>
      </c>
      <c r="L43" s="120">
        <v>2.7706999999999999E-2</v>
      </c>
      <c r="M43" s="120">
        <v>2.794292E-2</v>
      </c>
      <c r="N43" s="120">
        <v>2.776621E-2</v>
      </c>
      <c r="O43" s="120">
        <v>2.8000939999999998E-2</v>
      </c>
      <c r="P43" s="120">
        <v>2.782513E-2</v>
      </c>
      <c r="Q43" s="120">
        <v>2.8058690000000001E-2</v>
      </c>
      <c r="R43" s="120">
        <v>2.7883749999999999E-2</v>
      </c>
      <c r="S43" s="120">
        <v>0</v>
      </c>
      <c r="T43" s="120">
        <v>0</v>
      </c>
      <c r="U43" s="120">
        <v>0</v>
      </c>
    </row>
    <row r="44" spans="1:21" ht="12.75" customHeight="1" x14ac:dyDescent="0.35">
      <c r="A44" s="119" t="s">
        <v>345</v>
      </c>
      <c r="B44" s="120">
        <v>5.8999999999999999E-3</v>
      </c>
      <c r="C44" s="120">
        <v>4.3E-3</v>
      </c>
      <c r="D44" s="120">
        <v>5.8999999999999999E-3</v>
      </c>
      <c r="E44" s="120">
        <v>4.3E-3</v>
      </c>
      <c r="F44" s="120">
        <v>2.5000000000000001E-3</v>
      </c>
      <c r="G44" s="120">
        <v>2.5999999999999999E-3</v>
      </c>
      <c r="H44" s="120">
        <v>2.5000000000000001E-3</v>
      </c>
      <c r="I44" s="120">
        <v>2.7000000000000001E-3</v>
      </c>
      <c r="J44" s="120">
        <v>2.7000000000000001E-3</v>
      </c>
      <c r="K44" s="120">
        <v>3.3E-3</v>
      </c>
      <c r="L44" s="120">
        <v>2.7706999999999999E-2</v>
      </c>
      <c r="M44" s="120">
        <v>2.794292E-2</v>
      </c>
      <c r="N44" s="120">
        <v>2.776621E-2</v>
      </c>
      <c r="O44" s="120">
        <v>2.8000939999999998E-2</v>
      </c>
      <c r="P44" s="120">
        <v>2.782513E-2</v>
      </c>
      <c r="Q44" s="120">
        <v>2.8058690000000001E-2</v>
      </c>
      <c r="R44" s="120">
        <v>2.7883749999999999E-2</v>
      </c>
      <c r="S44" s="120">
        <v>0</v>
      </c>
      <c r="T44" s="120">
        <v>0</v>
      </c>
      <c r="U44" s="120">
        <v>0</v>
      </c>
    </row>
    <row r="45" spans="1:21" ht="12.75" customHeight="1" x14ac:dyDescent="0.35">
      <c r="A45" s="119" t="s">
        <v>346</v>
      </c>
      <c r="B45" s="120">
        <v>4.1999999999999997E-3</v>
      </c>
      <c r="C45" s="120">
        <v>1.14E-2</v>
      </c>
      <c r="D45" s="120">
        <v>5.4999999999999997E-3</v>
      </c>
      <c r="E45" s="120">
        <v>1.0200000000000001E-2</v>
      </c>
      <c r="F45" s="120">
        <v>4.0000000000000001E-3</v>
      </c>
      <c r="G45" s="120">
        <v>4.1999999999999997E-3</v>
      </c>
      <c r="H45" s="120">
        <v>4.0000000000000001E-3</v>
      </c>
      <c r="I45" s="120">
        <v>4.3E-3</v>
      </c>
      <c r="J45" s="120">
        <v>4.8999999999999998E-3</v>
      </c>
      <c r="K45" s="120">
        <v>4.3E-3</v>
      </c>
      <c r="L45" s="120">
        <v>2.7706999999999999E-2</v>
      </c>
      <c r="M45" s="120">
        <v>2.794292E-2</v>
      </c>
      <c r="N45" s="120">
        <v>2.776621E-2</v>
      </c>
      <c r="O45" s="120">
        <v>2.800095E-2</v>
      </c>
      <c r="P45" s="120">
        <v>2.782513E-2</v>
      </c>
      <c r="Q45" s="120">
        <v>2.8058690000000001E-2</v>
      </c>
      <c r="R45" s="120">
        <v>2.7883749999999999E-2</v>
      </c>
      <c r="S45" s="120">
        <v>0</v>
      </c>
      <c r="T45" s="120">
        <v>0</v>
      </c>
      <c r="U45" s="120">
        <v>0</v>
      </c>
    </row>
    <row r="46" spans="1:21" ht="12.75" customHeight="1" x14ac:dyDescent="0.35">
      <c r="A46" s="119" t="s">
        <v>347</v>
      </c>
      <c r="B46" s="120">
        <v>2.3400000000000001E-2</v>
      </c>
      <c r="C46" s="120">
        <v>4.8300000000000003E-2</v>
      </c>
      <c r="D46" s="120">
        <v>1.47E-2</v>
      </c>
      <c r="E46" s="120">
        <v>2.6700000000000002E-2</v>
      </c>
      <c r="F46" s="120">
        <v>2.5000000000000001E-3</v>
      </c>
      <c r="G46" s="120">
        <v>2.5999999999999999E-3</v>
      </c>
      <c r="H46" s="120">
        <v>2.5000000000000001E-3</v>
      </c>
      <c r="I46" s="120">
        <v>2.7000000000000001E-3</v>
      </c>
      <c r="J46" s="120">
        <v>2.7000000000000001E-3</v>
      </c>
      <c r="K46" s="120">
        <v>3.3E-3</v>
      </c>
      <c r="L46" s="120">
        <v>2.7706999999999999E-2</v>
      </c>
      <c r="M46" s="120">
        <v>2.794292E-2</v>
      </c>
      <c r="N46" s="120">
        <v>2.776621E-2</v>
      </c>
      <c r="O46" s="120">
        <v>2.800095E-2</v>
      </c>
      <c r="P46" s="120">
        <v>2.782513E-2</v>
      </c>
      <c r="Q46" s="120">
        <v>2.8058690000000001E-2</v>
      </c>
      <c r="R46" s="120">
        <v>2.7883749999999999E-2</v>
      </c>
      <c r="S46" s="120">
        <v>0</v>
      </c>
      <c r="T46" s="120">
        <v>0</v>
      </c>
      <c r="U46" s="120">
        <v>0</v>
      </c>
    </row>
    <row r="47" spans="1:21" ht="12.75" customHeight="1" x14ac:dyDescent="0.35">
      <c r="A47" s="119" t="s">
        <v>348</v>
      </c>
      <c r="B47" s="120">
        <v>5.6000000000000001E-2</v>
      </c>
      <c r="C47" s="120">
        <v>9.9299999999999999E-2</v>
      </c>
      <c r="D47" s="120">
        <v>8.2400000000000001E-2</v>
      </c>
      <c r="E47" s="120">
        <v>0.1023</v>
      </c>
      <c r="F47" s="120">
        <v>5.16E-2</v>
      </c>
      <c r="G47" s="120">
        <v>5.3100000000000001E-2</v>
      </c>
      <c r="H47" s="120">
        <v>5.1999999999999998E-2</v>
      </c>
      <c r="I47" s="120">
        <v>5.3499999999999999E-2</v>
      </c>
      <c r="J47" s="120">
        <v>4.5199999999999997E-2</v>
      </c>
      <c r="K47" s="120">
        <v>6.9900000000000004E-2</v>
      </c>
      <c r="L47" s="120">
        <v>9.5085569999999994E-2</v>
      </c>
      <c r="M47" s="120">
        <v>9.3582799999999994E-2</v>
      </c>
      <c r="N47" s="120">
        <v>9.4707269999999996E-2</v>
      </c>
      <c r="O47" s="120">
        <v>9.3215129999999993E-2</v>
      </c>
      <c r="P47" s="120">
        <v>9.433155E-2</v>
      </c>
      <c r="Q47" s="120">
        <v>9.285003E-2</v>
      </c>
      <c r="R47" s="120">
        <v>9.39585E-2</v>
      </c>
      <c r="S47" s="120">
        <v>0</v>
      </c>
      <c r="T47" s="120">
        <v>0</v>
      </c>
      <c r="U47" s="120">
        <v>0</v>
      </c>
    </row>
    <row r="48" spans="1:21" ht="12.75" customHeight="1" x14ac:dyDescent="0.35">
      <c r="A48" s="119" t="s">
        <v>349</v>
      </c>
      <c r="B48" s="120">
        <v>1.1000000000000001E-3</v>
      </c>
      <c r="C48" s="120">
        <v>1.8E-3</v>
      </c>
      <c r="D48" s="120">
        <v>1.4E-3</v>
      </c>
      <c r="E48" s="120">
        <v>1.6000000000000001E-3</v>
      </c>
      <c r="F48" s="120">
        <v>2.5000000000000001E-3</v>
      </c>
      <c r="G48" s="120">
        <v>2.5999999999999999E-3</v>
      </c>
      <c r="H48" s="120">
        <v>2.5000000000000001E-3</v>
      </c>
      <c r="I48" s="120">
        <v>2.7000000000000001E-3</v>
      </c>
      <c r="J48" s="120">
        <v>2.7000000000000001E-3</v>
      </c>
      <c r="K48" s="120">
        <v>3.3E-3</v>
      </c>
      <c r="L48" s="120">
        <v>2.7706999999999999E-2</v>
      </c>
      <c r="M48" s="120">
        <v>2.794292E-2</v>
      </c>
      <c r="N48" s="120">
        <v>2.776621E-2</v>
      </c>
      <c r="O48" s="120">
        <v>2.800095E-2</v>
      </c>
      <c r="P48" s="120">
        <v>2.782513E-2</v>
      </c>
      <c r="Q48" s="120">
        <v>2.8058690000000001E-2</v>
      </c>
      <c r="R48" s="120">
        <v>2.7883749999999999E-2</v>
      </c>
      <c r="S48" s="120">
        <v>0</v>
      </c>
      <c r="T48" s="120">
        <v>0</v>
      </c>
      <c r="U48" s="120">
        <v>0</v>
      </c>
    </row>
    <row r="49" spans="1:21" ht="12.75" customHeight="1" x14ac:dyDescent="0.35">
      <c r="A49" s="119" t="s">
        <v>350</v>
      </c>
      <c r="B49" s="120">
        <v>8.5000000000000006E-3</v>
      </c>
      <c r="C49" s="120">
        <v>1.5299999999999999E-2</v>
      </c>
      <c r="D49" s="120">
        <v>1.04E-2</v>
      </c>
      <c r="E49" s="120">
        <v>1.3299999999999999E-2</v>
      </c>
      <c r="F49" s="120">
        <v>7.3000000000000001E-3</v>
      </c>
      <c r="G49" s="120">
        <v>8.0000000000000002E-3</v>
      </c>
      <c r="H49" s="120">
        <v>7.4999999999999997E-3</v>
      </c>
      <c r="I49" s="120">
        <v>8.0999999999999996E-3</v>
      </c>
      <c r="J49" s="120">
        <v>1.01E-2</v>
      </c>
      <c r="K49" s="120">
        <v>1.14E-2</v>
      </c>
      <c r="L49" s="120">
        <v>2.7706999999999999E-2</v>
      </c>
      <c r="M49" s="120">
        <v>2.794292E-2</v>
      </c>
      <c r="N49" s="120">
        <v>2.776621E-2</v>
      </c>
      <c r="O49" s="120">
        <v>2.800095E-2</v>
      </c>
      <c r="P49" s="120">
        <v>2.782513E-2</v>
      </c>
      <c r="Q49" s="120">
        <v>2.8058690000000001E-2</v>
      </c>
      <c r="R49" s="120">
        <v>2.7883749999999999E-2</v>
      </c>
      <c r="S49" s="120">
        <v>0</v>
      </c>
      <c r="T49" s="120">
        <v>0</v>
      </c>
      <c r="U49" s="120">
        <v>0</v>
      </c>
    </row>
    <row r="50" spans="1:21" ht="12.75" customHeight="1" x14ac:dyDescent="0.35">
      <c r="A50" s="119" t="s">
        <v>351</v>
      </c>
      <c r="B50" s="120">
        <v>2.5999999999999999E-2</v>
      </c>
      <c r="C50" s="120">
        <v>3.6499999999999998E-2</v>
      </c>
      <c r="D50" s="120">
        <v>3.6700000000000003E-2</v>
      </c>
      <c r="E50" s="120">
        <v>3.9899999999999998E-2</v>
      </c>
      <c r="F50" s="120">
        <v>2.1399999999999999E-2</v>
      </c>
      <c r="G50" s="120">
        <v>2.4E-2</v>
      </c>
      <c r="H50" s="120">
        <v>2.1999999999999999E-2</v>
      </c>
      <c r="I50" s="120">
        <v>2.46E-2</v>
      </c>
      <c r="J50" s="120">
        <v>2.7199999999999998E-2</v>
      </c>
      <c r="K50" s="120">
        <v>3.0599999999999999E-2</v>
      </c>
      <c r="L50" s="120">
        <v>4.6564210000000002E-2</v>
      </c>
      <c r="M50" s="120">
        <v>4.6699890000000001E-2</v>
      </c>
      <c r="N50" s="120">
        <v>4.6599580000000002E-2</v>
      </c>
      <c r="O50" s="120">
        <v>4.6731059999999998E-2</v>
      </c>
      <c r="P50" s="120">
        <v>4.6633920000000002E-2</v>
      </c>
      <c r="Q50" s="120">
        <v>4.6761280000000002E-2</v>
      </c>
      <c r="R50" s="120">
        <v>4.6667180000000003E-2</v>
      </c>
      <c r="S50" s="120">
        <v>0</v>
      </c>
      <c r="T50" s="120">
        <v>0</v>
      </c>
      <c r="U50" s="120">
        <v>0</v>
      </c>
    </row>
    <row r="51" spans="1:21" ht="13.5" customHeight="1" x14ac:dyDescent="0.35">
      <c r="A51" s="121" t="s">
        <v>352</v>
      </c>
      <c r="B51" s="122">
        <f t="shared" ref="B51:U51" si="0">SUM(B33:B50)</f>
        <v>0.99990000000000001</v>
      </c>
      <c r="C51" s="122">
        <f t="shared" si="0"/>
        <v>0.99979999999999991</v>
      </c>
      <c r="D51" s="122">
        <f t="shared" si="0"/>
        <v>1.0002</v>
      </c>
      <c r="E51" s="122">
        <f t="shared" si="0"/>
        <v>0.99980000000000013</v>
      </c>
      <c r="F51" s="122">
        <f t="shared" si="0"/>
        <v>1.0001999999999998</v>
      </c>
      <c r="G51" s="122">
        <f t="shared" si="0"/>
        <v>1</v>
      </c>
      <c r="H51" s="122">
        <f t="shared" si="0"/>
        <v>0.99989999999999979</v>
      </c>
      <c r="I51" s="122">
        <f t="shared" si="0"/>
        <v>0.99979999999999991</v>
      </c>
      <c r="J51" s="122">
        <f t="shared" si="0"/>
        <v>1.0000000000000002</v>
      </c>
      <c r="K51" s="122">
        <f t="shared" si="0"/>
        <v>0.99999999999999967</v>
      </c>
      <c r="L51" s="122">
        <f t="shared" si="0"/>
        <v>0.99999996000000024</v>
      </c>
      <c r="M51" s="122">
        <f t="shared" si="0"/>
        <v>0.9999999599999998</v>
      </c>
      <c r="N51" s="122">
        <f t="shared" si="0"/>
        <v>1.0000000100000002</v>
      </c>
      <c r="O51" s="122">
        <f t="shared" si="0"/>
        <v>1.0000000200000001</v>
      </c>
      <c r="P51" s="122">
        <f t="shared" si="0"/>
        <v>0.9999999799999999</v>
      </c>
      <c r="Q51" s="122">
        <f t="shared" si="0"/>
        <v>0.99999998000000057</v>
      </c>
      <c r="R51" s="122">
        <f t="shared" si="0"/>
        <v>1.0000000199999999</v>
      </c>
      <c r="S51" s="122">
        <f t="shared" si="0"/>
        <v>0.99953066000000002</v>
      </c>
      <c r="T51" s="122">
        <f t="shared" si="0"/>
        <v>0.99953066000000002</v>
      </c>
      <c r="U51" s="122">
        <f t="shared" si="0"/>
        <v>0.99953066000000002</v>
      </c>
    </row>
    <row r="52" spans="1:21" ht="27.75" customHeight="1" x14ac:dyDescent="0.35">
      <c r="A52" s="328" t="s">
        <v>353</v>
      </c>
      <c r="B52" s="328"/>
      <c r="C52" s="328"/>
      <c r="D52" s="328"/>
      <c r="E52" s="328"/>
      <c r="F52" s="123"/>
      <c r="G52" s="123"/>
      <c r="H52" s="123"/>
      <c r="I52" s="123"/>
      <c r="J52" s="123"/>
      <c r="K52" s="123"/>
    </row>
    <row r="53" spans="1:21" ht="21" customHeight="1" x14ac:dyDescent="0.35">
      <c r="A53" s="124" t="s">
        <v>354</v>
      </c>
    </row>
    <row r="54" spans="1:21" ht="15.75" customHeight="1" x14ac:dyDescent="0.35">
      <c r="A54" s="318" t="s">
        <v>355</v>
      </c>
      <c r="B54" s="318"/>
      <c r="C54" s="318"/>
      <c r="D54" s="318"/>
      <c r="E54" s="318"/>
      <c r="F54" s="125"/>
      <c r="G54" s="125"/>
      <c r="H54" s="125"/>
      <c r="I54" s="125"/>
      <c r="J54" s="125"/>
      <c r="K54" s="125"/>
    </row>
    <row r="55" spans="1:21" ht="13.5" customHeight="1" x14ac:dyDescent="0.35">
      <c r="A55" s="68" t="s">
        <v>356</v>
      </c>
      <c r="B55" s="77">
        <v>0.5</v>
      </c>
      <c r="C55" s="70" t="s">
        <v>357</v>
      </c>
    </row>
    <row r="56" spans="1:21" ht="13.5" customHeight="1" x14ac:dyDescent="0.35">
      <c r="A56" s="68" t="s">
        <v>358</v>
      </c>
      <c r="B56" s="103">
        <f>1-B55</f>
        <v>0.5</v>
      </c>
      <c r="C56" s="70" t="s">
        <v>359</v>
      </c>
    </row>
    <row r="59" spans="1:21" ht="15.75" customHeight="1" x14ac:dyDescent="0.35">
      <c r="A59" s="317" t="str">
        <f>"G.  GERAÇÃO "&amp;INDEX(PVSYST_Helexia!$A$5:$A$7,MATCH(Premissas!$B$13,PVSYST_Helexia!$B$5:$B$7,0))&amp;" P50 — PVSYST "&amp;Premissas!$B$13&amp;" (kWh/mês)"</f>
        <v>G.  GERAÇÃO HCS03 P50 — PVSYST Cassilândia 03 (kWh/mês)</v>
      </c>
      <c r="B59" s="317"/>
      <c r="C59" s="317"/>
      <c r="D59" s="317"/>
      <c r="E59" s="317"/>
      <c r="F59" s="39"/>
      <c r="G59" s="39"/>
      <c r="H59" s="39"/>
      <c r="I59" s="39"/>
      <c r="J59" s="39"/>
      <c r="K59" s="39"/>
    </row>
    <row r="60" spans="1:21" ht="15" customHeight="1" x14ac:dyDescent="0.35">
      <c r="A60" s="68" t="s">
        <v>360</v>
      </c>
      <c r="B60" s="126">
        <f>Premissas!$B$23</f>
        <v>5.0000000000000001E-3</v>
      </c>
      <c r="C60" s="70" t="s">
        <v>361</v>
      </c>
    </row>
    <row r="61" spans="1:21" ht="12.75" customHeight="1" x14ac:dyDescent="0.35">
      <c r="A61" s="68" t="s">
        <v>43</v>
      </c>
      <c r="B61" s="127">
        <f>INDEX(PVSYST_Helexia!$J$5:$U$7,MATCH(Premissas!$B$13,PVSYST_Helexia!$B$5:$B$7,0),6)*1000</f>
        <v>123990</v>
      </c>
      <c r="C61" s="70" t="s">
        <v>362</v>
      </c>
    </row>
    <row r="62" spans="1:21" ht="12.75" customHeight="1" x14ac:dyDescent="0.35">
      <c r="A62" s="68" t="s">
        <v>44</v>
      </c>
      <c r="B62" s="127">
        <f>INDEX(PVSYST_Helexia!$J$5:$U$7,MATCH(Premissas!$B$13,PVSYST_Helexia!$B$5:$B$7,0),7)*1000</f>
        <v>130509.99999999999</v>
      </c>
      <c r="C62" s="70" t="s">
        <v>363</v>
      </c>
    </row>
    <row r="63" spans="1:21" ht="12.75" customHeight="1" x14ac:dyDescent="0.35">
      <c r="A63" s="68" t="s">
        <v>45</v>
      </c>
      <c r="B63" s="127">
        <f>INDEX(PVSYST_Helexia!$J$5:$U$7,MATCH(Premissas!$B$13,PVSYST_Helexia!$B$5:$B$7,0),8)*1000</f>
        <v>156670</v>
      </c>
      <c r="C63" s="70" t="s">
        <v>364</v>
      </c>
    </row>
    <row r="64" spans="1:21" ht="12.75" customHeight="1" x14ac:dyDescent="0.35">
      <c r="A64" s="68" t="s">
        <v>46</v>
      </c>
      <c r="B64" s="127">
        <f>INDEX(PVSYST_Helexia!$J$5:$U$7,MATCH(Premissas!$B$13,PVSYST_Helexia!$B$5:$B$7,0),9)*1000</f>
        <v>147010</v>
      </c>
      <c r="C64" s="70" t="s">
        <v>365</v>
      </c>
    </row>
    <row r="65" spans="1:3" ht="12.75" customHeight="1" x14ac:dyDescent="0.35">
      <c r="A65" s="68" t="s">
        <v>47</v>
      </c>
      <c r="B65" s="127">
        <f>INDEX(PVSYST_Helexia!$J$5:$U$7,MATCH(Premissas!$B$13,PVSYST_Helexia!$B$5:$B$7,0),10)*1000</f>
        <v>151080</v>
      </c>
      <c r="C65" s="70" t="s">
        <v>366</v>
      </c>
    </row>
    <row r="66" spans="1:3" ht="12.75" customHeight="1" x14ac:dyDescent="0.35">
      <c r="A66" s="68" t="s">
        <v>48</v>
      </c>
      <c r="B66" s="127">
        <f>INDEX(PVSYST_Helexia!$J$5:$U$7,MATCH(Premissas!$B$13,PVSYST_Helexia!$B$5:$B$7,0),11)*1000</f>
        <v>146080</v>
      </c>
      <c r="C66" s="70" t="s">
        <v>367</v>
      </c>
    </row>
    <row r="67" spans="1:3" ht="12.75" customHeight="1" x14ac:dyDescent="0.35">
      <c r="A67" s="68" t="s">
        <v>49</v>
      </c>
      <c r="B67" s="127">
        <f>INDEX(PVSYST_Helexia!$J$5:$U$7,MATCH(Premissas!$B$13,PVSYST_Helexia!$B$5:$B$7,0),12)*1000</f>
        <v>138710</v>
      </c>
      <c r="C67" s="70" t="s">
        <v>368</v>
      </c>
    </row>
    <row r="68" spans="1:3" ht="12.75" customHeight="1" x14ac:dyDescent="0.35">
      <c r="A68" s="68" t="s">
        <v>50</v>
      </c>
      <c r="B68" s="127">
        <f>INDEX(PVSYST_Helexia!$J$5:$U$7,MATCH(Premissas!$B$13,PVSYST_Helexia!$B$5:$B$7,0),1)*1000*(1-Premissas!$B$23)</f>
        <v>142424.29999999999</v>
      </c>
      <c r="C68" s="70" t="s">
        <v>369</v>
      </c>
    </row>
    <row r="69" spans="1:3" ht="12.75" customHeight="1" x14ac:dyDescent="0.35">
      <c r="A69" s="68" t="s">
        <v>51</v>
      </c>
      <c r="B69" s="127">
        <f>INDEX(PVSYST_Helexia!$J$5:$U$7,MATCH(Premissas!$B$13,PVSYST_Helexia!$B$5:$B$7,0),2)*1000*(1-Premissas!$B$23)</f>
        <v>126912.25</v>
      </c>
      <c r="C69" s="70" t="s">
        <v>370</v>
      </c>
    </row>
    <row r="70" spans="1:3" ht="12.75" customHeight="1" x14ac:dyDescent="0.35">
      <c r="A70" s="68" t="s">
        <v>52</v>
      </c>
      <c r="B70" s="127">
        <f>INDEX(PVSYST_Helexia!$J$5:$U$7,MATCH(Premissas!$B$13,PVSYST_Helexia!$B$5:$B$7,0),3)*1000*(1-Premissas!$B$23)</f>
        <v>145568.5</v>
      </c>
      <c r="C70" s="70" t="s">
        <v>371</v>
      </c>
    </row>
    <row r="71" spans="1:3" ht="12.75" customHeight="1" x14ac:dyDescent="0.35">
      <c r="A71" s="68" t="s">
        <v>53</v>
      </c>
      <c r="B71" s="127">
        <f>INDEX(PVSYST_Helexia!$J$5:$U$7,MATCH(Premissas!$B$13,PVSYST_Helexia!$B$5:$B$7,0),4)*1000*(1-Premissas!$B$23)</f>
        <v>145250.1</v>
      </c>
      <c r="C71" s="70" t="s">
        <v>372</v>
      </c>
    </row>
    <row r="72" spans="1:3" ht="12.75" customHeight="1" x14ac:dyDescent="0.35">
      <c r="A72" s="68" t="s">
        <v>54</v>
      </c>
      <c r="B72" s="127">
        <f>INDEX(PVSYST_Helexia!$J$5:$U$7,MATCH(Premissas!$B$13,PVSYST_Helexia!$B$5:$B$7,0),5)*1000*(1-Premissas!$B$23)</f>
        <v>135936.9</v>
      </c>
      <c r="C72" s="70" t="s">
        <v>373</v>
      </c>
    </row>
    <row r="73" spans="1:3" ht="12.75" customHeight="1" x14ac:dyDescent="0.35">
      <c r="A73" s="68" t="s">
        <v>55</v>
      </c>
      <c r="B73" s="127">
        <f>INDEX(PVSYST_Helexia!$J$5:$U$7,MATCH(Premissas!$B$13,PVSYST_Helexia!$B$5:$B$7,0),6)*1000*(1-Premissas!$B$23)</f>
        <v>123370.05</v>
      </c>
      <c r="C73" s="70" t="s">
        <v>362</v>
      </c>
    </row>
    <row r="74" spans="1:3" ht="12.75" customHeight="1" x14ac:dyDescent="0.35">
      <c r="A74" s="68" t="s">
        <v>56</v>
      </c>
      <c r="B74" s="127">
        <f>INDEX(PVSYST_Helexia!$J$5:$U$7,MATCH(Premissas!$B$13,PVSYST_Helexia!$B$5:$B$7,0),7)*1000*(1-Premissas!$B$23)</f>
        <v>129857.44999999998</v>
      </c>
      <c r="C74" s="70" t="s">
        <v>363</v>
      </c>
    </row>
    <row r="75" spans="1:3" ht="12.75" customHeight="1" x14ac:dyDescent="0.35">
      <c r="A75" s="68" t="s">
        <v>57</v>
      </c>
      <c r="B75" s="127">
        <f>INDEX(PVSYST_Helexia!$J$5:$U$7,MATCH(Premissas!$B$13,PVSYST_Helexia!$B$5:$B$7,0),8)*1000*(1-Premissas!$B$23)</f>
        <v>155886.65</v>
      </c>
      <c r="C75" s="70" t="s">
        <v>364</v>
      </c>
    </row>
    <row r="76" spans="1:3" ht="12.75" customHeight="1" x14ac:dyDescent="0.35">
      <c r="A76" s="68" t="s">
        <v>58</v>
      </c>
      <c r="B76" s="127">
        <f>INDEX(PVSYST_Helexia!$J$5:$U$7,MATCH(Premissas!$B$13,PVSYST_Helexia!$B$5:$B$7,0),9)*1000*(1-Premissas!$B$23)</f>
        <v>146274.95000000001</v>
      </c>
      <c r="C76" s="70" t="s">
        <v>365</v>
      </c>
    </row>
    <row r="77" spans="1:3" ht="12.75" customHeight="1" x14ac:dyDescent="0.35">
      <c r="A77" s="68" t="s">
        <v>59</v>
      </c>
      <c r="B77" s="127">
        <f>INDEX(PVSYST_Helexia!$J$5:$U$7,MATCH(Premissas!$B$13,PVSYST_Helexia!$B$5:$B$7,0),10)*1000*(1-Premissas!$B$23)</f>
        <v>150324.6</v>
      </c>
      <c r="C77" s="70" t="s">
        <v>366</v>
      </c>
    </row>
    <row r="78" spans="1:3" ht="12.75" customHeight="1" x14ac:dyDescent="0.35">
      <c r="A78" s="68" t="s">
        <v>60</v>
      </c>
      <c r="B78" s="127">
        <f>INDEX(PVSYST_Helexia!$J$5:$U$7,MATCH(Premissas!$B$13,PVSYST_Helexia!$B$5:$B$7,0),11)*1000*(1-Premissas!$B$23)</f>
        <v>145349.6</v>
      </c>
      <c r="C78" s="70" t="s">
        <v>367</v>
      </c>
    </row>
    <row r="79" spans="1:3" ht="12.75" customHeight="1" x14ac:dyDescent="0.35">
      <c r="A79" s="68" t="s">
        <v>61</v>
      </c>
      <c r="B79" s="127">
        <f>INDEX(PVSYST_Helexia!$J$5:$U$7,MATCH(Premissas!$B$13,PVSYST_Helexia!$B$5:$B$7,0),12)*1000*(1-Premissas!$B$23)</f>
        <v>138016.45000000001</v>
      </c>
      <c r="C79" s="70" t="s">
        <v>368</v>
      </c>
    </row>
    <row r="80" spans="1:3" ht="12.75" customHeight="1" x14ac:dyDescent="0.35">
      <c r="A80" s="68" t="s">
        <v>62</v>
      </c>
      <c r="B80" s="127">
        <f>INDEX(PVSYST_Helexia!$J$5:$U$7,MATCH(Premissas!$B$13,PVSYST_Helexia!$B$5:$B$7,0),1)*1000*(1-Premissas!$B$23)</f>
        <v>142424.29999999999</v>
      </c>
      <c r="C80" s="70" t="s">
        <v>369</v>
      </c>
    </row>
    <row r="81" spans="1:3" ht="12.75" customHeight="1" x14ac:dyDescent="0.35">
      <c r="A81" s="68" t="s">
        <v>63</v>
      </c>
      <c r="B81" s="127">
        <f>INDEX(PVSYST_Helexia!$J$5:$U$7,MATCH(Premissas!$B$13,PVSYST_Helexia!$B$5:$B$7,0),2)*1000*(1-Premissas!$B$23)</f>
        <v>126912.25</v>
      </c>
      <c r="C81" s="70" t="s">
        <v>370</v>
      </c>
    </row>
    <row r="82" spans="1:3" ht="12.75" customHeight="1" x14ac:dyDescent="0.35">
      <c r="A82" s="68" t="s">
        <v>64</v>
      </c>
      <c r="B82" s="127">
        <f>INDEX(PVSYST_Helexia!$J$5:$U$7,MATCH(Premissas!$B$13,PVSYST_Helexia!$B$5:$B$7,0),3)*1000*(1-Premissas!$B$23)</f>
        <v>145568.5</v>
      </c>
      <c r="C82" s="70" t="s">
        <v>371</v>
      </c>
    </row>
    <row r="83" spans="1:3" ht="12.75" customHeight="1" x14ac:dyDescent="0.35">
      <c r="A83" s="68" t="s">
        <v>66</v>
      </c>
      <c r="B83" s="127">
        <f>INDEX(PVSYST_Helexia!$J$5:$U$7,MATCH(Premissas!$B$13,PVSYST_Helexia!$B$5:$B$7,0),4)*1000*(1-Premissas!$B$23)</f>
        <v>145250.1</v>
      </c>
      <c r="C83" s="70" t="s">
        <v>372</v>
      </c>
    </row>
    <row r="84" spans="1:3" ht="12.75" customHeight="1" x14ac:dyDescent="0.35">
      <c r="A84" s="68" t="s">
        <v>72</v>
      </c>
      <c r="B84" s="127">
        <f>INDEX(PVSYST_Helexia!$J$5:$U$7,MATCH(Premissas!$B$13,PVSYST_Helexia!$B$5:$B$7,0),5)*1000*(1-Premissas!$B$23)</f>
        <v>135936.9</v>
      </c>
      <c r="C84" s="70" t="s">
        <v>373</v>
      </c>
    </row>
    <row r="85" spans="1:3" ht="15" customHeight="1" x14ac:dyDescent="0.35">
      <c r="A85" s="128" t="s">
        <v>75</v>
      </c>
      <c r="B85" s="127">
        <f>INDEX(PVSYST_Helexia!$J$5:$U$7,MATCH(Premissas!$B$13,PVSYST_Helexia!$B$5:$B$7,0),6)*1000*(1-Premissas!$B$23)^2</f>
        <v>122753.19975</v>
      </c>
      <c r="C85" s="70" t="s">
        <v>374</v>
      </c>
    </row>
    <row r="86" spans="1:3" ht="15" customHeight="1" x14ac:dyDescent="0.35">
      <c r="A86" s="128" t="s">
        <v>78</v>
      </c>
      <c r="B86" s="127">
        <f>INDEX(PVSYST_Helexia!$J$5:$U$7,MATCH(Premissas!$B$13,PVSYST_Helexia!$B$5:$B$7,0),7)*1000*(1-Premissas!$B$23)^2</f>
        <v>129208.16274999999</v>
      </c>
      <c r="C86" s="70" t="s">
        <v>375</v>
      </c>
    </row>
    <row r="87" spans="1:3" ht="15" customHeight="1" x14ac:dyDescent="0.35">
      <c r="A87" s="128" t="s">
        <v>81</v>
      </c>
      <c r="B87" s="127">
        <f>INDEX(PVSYST_Helexia!$J$5:$U$7,MATCH(Premissas!$B$13,PVSYST_Helexia!$B$5:$B$7,0),8)*1000*(1-Premissas!$B$23)^2</f>
        <v>155107.21675000002</v>
      </c>
      <c r="C87" s="70" t="s">
        <v>376</v>
      </c>
    </row>
    <row r="88" spans="1:3" ht="15" customHeight="1" x14ac:dyDescent="0.35">
      <c r="A88" s="128" t="s">
        <v>83</v>
      </c>
      <c r="B88" s="127">
        <f>INDEX(PVSYST_Helexia!$J$5:$U$7,MATCH(Premissas!$B$13,PVSYST_Helexia!$B$5:$B$7,0),9)*1000*(1-Premissas!$B$23)^2</f>
        <v>145543.57524999999</v>
      </c>
      <c r="C88" s="70" t="s">
        <v>377</v>
      </c>
    </row>
    <row r="89" spans="1:3" ht="15" customHeight="1" x14ac:dyDescent="0.35">
      <c r="A89" s="128" t="s">
        <v>85</v>
      </c>
      <c r="B89" s="127">
        <f>INDEX(PVSYST_Helexia!$J$5:$U$7,MATCH(Premissas!$B$13,PVSYST_Helexia!$B$5:$B$7,0),10)*1000*(1-Premissas!$B$23)^2</f>
        <v>149572.97700000001</v>
      </c>
      <c r="C89" s="70" t="s">
        <v>378</v>
      </c>
    </row>
    <row r="90" spans="1:3" ht="15" customHeight="1" x14ac:dyDescent="0.35">
      <c r="A90" s="128" t="s">
        <v>87</v>
      </c>
      <c r="B90" s="127">
        <f>INDEX(PVSYST_Helexia!$J$5:$U$7,MATCH(Premissas!$B$13,PVSYST_Helexia!$B$5:$B$7,0),11)*1000*(1-Premissas!$B$23)^2</f>
        <v>144622.85200000001</v>
      </c>
      <c r="C90" s="70" t="s">
        <v>379</v>
      </c>
    </row>
    <row r="91" spans="1:3" ht="15" customHeight="1" x14ac:dyDescent="0.35">
      <c r="A91" s="128" t="s">
        <v>89</v>
      </c>
      <c r="B91" s="127">
        <f>INDEX(PVSYST_Helexia!$J$5:$U$7,MATCH(Premissas!$B$13,PVSYST_Helexia!$B$5:$B$7,0),12)*1000*(1-Premissas!$B$23)^2</f>
        <v>137326.36775</v>
      </c>
      <c r="C91" s="70" t="s">
        <v>380</v>
      </c>
    </row>
    <row r="92" spans="1:3" ht="15" customHeight="1" x14ac:dyDescent="0.35">
      <c r="A92" s="128" t="s">
        <v>91</v>
      </c>
      <c r="B92" s="127">
        <f>INDEX(PVSYST_Helexia!$J$5:$U$7,MATCH(Premissas!$B$13,PVSYST_Helexia!$B$5:$B$7,0),1)*1000*(1-Premissas!$B$23)^2</f>
        <v>141712.17850000001</v>
      </c>
      <c r="C92" s="70" t="s">
        <v>381</v>
      </c>
    </row>
    <row r="93" spans="1:3" ht="15" customHeight="1" x14ac:dyDescent="0.35">
      <c r="A93" s="128" t="s">
        <v>93</v>
      </c>
      <c r="B93" s="127">
        <f>INDEX(PVSYST_Helexia!$J$5:$U$7,MATCH(Premissas!$B$13,PVSYST_Helexia!$B$5:$B$7,0),2)*1000*(1-Premissas!$B$23)^2</f>
        <v>126277.68875</v>
      </c>
      <c r="C93" s="70" t="s">
        <v>382</v>
      </c>
    </row>
    <row r="94" spans="1:3" ht="15" customHeight="1" x14ac:dyDescent="0.35">
      <c r="A94" s="128" t="s">
        <v>95</v>
      </c>
      <c r="B94" s="127">
        <f>INDEX(PVSYST_Helexia!$J$5:$U$7,MATCH(Premissas!$B$13,PVSYST_Helexia!$B$5:$B$7,0),3)*1000*(1-Premissas!$B$23)^2</f>
        <v>144840.6575</v>
      </c>
      <c r="C94" s="70" t="s">
        <v>383</v>
      </c>
    </row>
    <row r="95" spans="1:3" ht="15" customHeight="1" x14ac:dyDescent="0.35">
      <c r="A95" s="128" t="s">
        <v>97</v>
      </c>
      <c r="B95" s="127">
        <f>INDEX(PVSYST_Helexia!$J$5:$U$7,MATCH(Premissas!$B$13,PVSYST_Helexia!$B$5:$B$7,0),4)*1000*(1-Premissas!$B$23)^2</f>
        <v>144523.84950000001</v>
      </c>
      <c r="C95" s="70" t="s">
        <v>384</v>
      </c>
    </row>
    <row r="96" spans="1:3" ht="15" customHeight="1" x14ac:dyDescent="0.35">
      <c r="A96" s="128" t="s">
        <v>99</v>
      </c>
      <c r="B96" s="127">
        <f>INDEX(PVSYST_Helexia!$J$5:$U$7,MATCH(Premissas!$B$13,PVSYST_Helexia!$B$5:$B$7,0),5)*1000*(1-Premissas!$B$23)^2</f>
        <v>135257.21550000002</v>
      </c>
      <c r="C96" s="70" t="s">
        <v>385</v>
      </c>
    </row>
    <row r="97" spans="1:3" ht="15" customHeight="1" x14ac:dyDescent="0.35">
      <c r="A97" s="128" t="s">
        <v>101</v>
      </c>
      <c r="B97" s="127">
        <f>INDEX(PVSYST_Helexia!$J$5:$U$7,MATCH(Premissas!$B$13,PVSYST_Helexia!$B$5:$B$7,0),6)*1000*(1-Premissas!$B$23)^3</f>
        <v>122139.43375125001</v>
      </c>
      <c r="C97" s="70" t="s">
        <v>374</v>
      </c>
    </row>
    <row r="98" spans="1:3" ht="15" customHeight="1" x14ac:dyDescent="0.35">
      <c r="A98" s="128" t="s">
        <v>103</v>
      </c>
      <c r="B98" s="127">
        <f>INDEX(PVSYST_Helexia!$J$5:$U$7,MATCH(Premissas!$B$13,PVSYST_Helexia!$B$5:$B$7,0),7)*1000*(1-Premissas!$B$23)^3</f>
        <v>128562.12193624998</v>
      </c>
      <c r="C98" s="70" t="s">
        <v>375</v>
      </c>
    </row>
    <row r="99" spans="1:3" ht="15" customHeight="1" x14ac:dyDescent="0.35">
      <c r="A99" s="128" t="s">
        <v>106</v>
      </c>
      <c r="B99" s="127">
        <f>INDEX(PVSYST_Helexia!$J$5:$U$7,MATCH(Premissas!$B$13,PVSYST_Helexia!$B$5:$B$7,0),8)*1000*(1-Premissas!$B$23)^3</f>
        <v>154331.68066625</v>
      </c>
      <c r="C99" s="70" t="s">
        <v>376</v>
      </c>
    </row>
    <row r="100" spans="1:3" ht="15" customHeight="1" x14ac:dyDescent="0.35">
      <c r="A100" s="128" t="s">
        <v>108</v>
      </c>
      <c r="B100" s="127">
        <f>INDEX(PVSYST_Helexia!$J$5:$U$7,MATCH(Premissas!$B$13,PVSYST_Helexia!$B$5:$B$7,0),9)*1000*(1-Premissas!$B$23)^3</f>
        <v>144815.85737375001</v>
      </c>
      <c r="C100" s="70" t="s">
        <v>377</v>
      </c>
    </row>
    <row r="101" spans="1:3" ht="15" customHeight="1" x14ac:dyDescent="0.35">
      <c r="A101" s="128" t="s">
        <v>110</v>
      </c>
      <c r="B101" s="127">
        <f>INDEX(PVSYST_Helexia!$J$5:$U$7,MATCH(Premissas!$B$13,PVSYST_Helexia!$B$5:$B$7,0),10)*1000*(1-Premissas!$B$23)^3</f>
        <v>148825.112115</v>
      </c>
      <c r="C101" s="70" t="s">
        <v>378</v>
      </c>
    </row>
    <row r="102" spans="1:3" ht="15" customHeight="1" x14ac:dyDescent="0.35">
      <c r="A102" s="128" t="s">
        <v>112</v>
      </c>
      <c r="B102" s="127">
        <f>INDEX(PVSYST_Helexia!$J$5:$U$7,MATCH(Premissas!$B$13,PVSYST_Helexia!$B$5:$B$7,0),11)*1000*(1-Premissas!$B$23)^3</f>
        <v>143899.73774000001</v>
      </c>
      <c r="C102" s="70" t="s">
        <v>379</v>
      </c>
    </row>
    <row r="103" spans="1:3" ht="15" customHeight="1" x14ac:dyDescent="0.35">
      <c r="A103" s="128" t="s">
        <v>114</v>
      </c>
      <c r="B103" s="127">
        <f>INDEX(PVSYST_Helexia!$J$5:$U$7,MATCH(Premissas!$B$13,PVSYST_Helexia!$B$5:$B$7,0),12)*1000*(1-Premissas!$B$23)^3</f>
        <v>136639.73591125</v>
      </c>
      <c r="C103" s="70" t="s">
        <v>380</v>
      </c>
    </row>
    <row r="104" spans="1:3" ht="15" customHeight="1" x14ac:dyDescent="0.35">
      <c r="A104" s="128" t="s">
        <v>120</v>
      </c>
      <c r="B104" s="127">
        <f>INDEX(PVSYST_Helexia!$J$5:$U$7,MATCH(Premissas!$B$13,PVSYST_Helexia!$B$5:$B$7,0),1)*1000*(1-Premissas!$B$23)^3</f>
        <v>141003.6176075</v>
      </c>
      <c r="C104" s="70" t="s">
        <v>381</v>
      </c>
    </row>
    <row r="105" spans="1:3" ht="15" customHeight="1" x14ac:dyDescent="0.35">
      <c r="A105" s="128" t="s">
        <v>122</v>
      </c>
      <c r="B105" s="127">
        <f>INDEX(PVSYST_Helexia!$J$5:$U$7,MATCH(Premissas!$B$13,PVSYST_Helexia!$B$5:$B$7,0),2)*1000*(1-Premissas!$B$23)^3</f>
        <v>125646.30030625001</v>
      </c>
      <c r="C105" s="70" t="s">
        <v>382</v>
      </c>
    </row>
    <row r="106" spans="1:3" ht="15" customHeight="1" x14ac:dyDescent="0.35">
      <c r="A106" s="128" t="s">
        <v>124</v>
      </c>
      <c r="B106" s="127">
        <f>INDEX(PVSYST_Helexia!$J$5:$U$7,MATCH(Premissas!$B$13,PVSYST_Helexia!$B$5:$B$7,0),3)*1000*(1-Premissas!$B$23)^3</f>
        <v>144116.45421250002</v>
      </c>
      <c r="C106" s="70" t="s">
        <v>383</v>
      </c>
    </row>
    <row r="107" spans="1:3" ht="15" customHeight="1" x14ac:dyDescent="0.35">
      <c r="A107" s="128" t="s">
        <v>126</v>
      </c>
      <c r="B107" s="127">
        <f>INDEX(PVSYST_Helexia!$J$5:$U$7,MATCH(Premissas!$B$13,PVSYST_Helexia!$B$5:$B$7,0),4)*1000*(1-Premissas!$B$23)^3</f>
        <v>143801.23025250001</v>
      </c>
      <c r="C107" s="70" t="s">
        <v>384</v>
      </c>
    </row>
    <row r="108" spans="1:3" ht="15" customHeight="1" x14ac:dyDescent="0.35">
      <c r="A108" s="128" t="s">
        <v>128</v>
      </c>
      <c r="B108" s="127">
        <f>INDEX(PVSYST_Helexia!$J$5:$U$7,MATCH(Premissas!$B$13,PVSYST_Helexia!$B$5:$B$7,0),5)*1000*(1-Premissas!$B$23)^3</f>
        <v>134580.92942249999</v>
      </c>
      <c r="C108" s="70" t="s">
        <v>385</v>
      </c>
    </row>
    <row r="109" spans="1:3" ht="15" customHeight="1" x14ac:dyDescent="0.35">
      <c r="A109" s="128" t="s">
        <v>129</v>
      </c>
      <c r="B109" s="127">
        <f>INDEX(PVSYST_Helexia!$J$5:$U$7,MATCH(Premissas!$B$13,PVSYST_Helexia!$B$5:$B$7,0),6)*1000*(1-Premissas!$B$23)^4</f>
        <v>121528.73658249376</v>
      </c>
      <c r="C109" s="70" t="s">
        <v>374</v>
      </c>
    </row>
    <row r="110" spans="1:3" ht="15" customHeight="1" x14ac:dyDescent="0.35">
      <c r="A110" s="128" t="s">
        <v>130</v>
      </c>
      <c r="B110" s="127">
        <f>INDEX(PVSYST_Helexia!$J$5:$U$7,MATCH(Premissas!$B$13,PVSYST_Helexia!$B$5:$B$7,0),7)*1000*(1-Premissas!$B$23)^4</f>
        <v>127919.31132656874</v>
      </c>
      <c r="C110" s="70" t="s">
        <v>375</v>
      </c>
    </row>
    <row r="111" spans="1:3" ht="15" customHeight="1" x14ac:dyDescent="0.35">
      <c r="A111" s="128" t="s">
        <v>131</v>
      </c>
      <c r="B111" s="127">
        <f>INDEX(PVSYST_Helexia!$J$5:$U$7,MATCH(Premissas!$B$13,PVSYST_Helexia!$B$5:$B$7,0),8)*1000*(1-Premissas!$B$23)^4</f>
        <v>153560.02226291876</v>
      </c>
      <c r="C111" s="70" t="s">
        <v>376</v>
      </c>
    </row>
    <row r="112" spans="1:3" ht="15" customHeight="1" x14ac:dyDescent="0.35">
      <c r="A112" s="128" t="s">
        <v>132</v>
      </c>
      <c r="B112" s="127">
        <f>INDEX(PVSYST_Helexia!$J$5:$U$7,MATCH(Premissas!$B$13,PVSYST_Helexia!$B$5:$B$7,0),9)*1000*(1-Premissas!$B$23)^4</f>
        <v>144091.77808688127</v>
      </c>
      <c r="C112" s="70" t="s">
        <v>377</v>
      </c>
    </row>
    <row r="113" spans="1:3" ht="15" customHeight="1" x14ac:dyDescent="0.35">
      <c r="A113" s="128" t="s">
        <v>133</v>
      </c>
      <c r="B113" s="127">
        <f>INDEX(PVSYST_Helexia!$J$5:$U$7,MATCH(Premissas!$B$13,PVSYST_Helexia!$B$5:$B$7,0),10)*1000*(1-Premissas!$B$23)^4</f>
        <v>148080.98655442501</v>
      </c>
      <c r="C113" s="70" t="s">
        <v>378</v>
      </c>
    </row>
    <row r="114" spans="1:3" ht="15" customHeight="1" x14ac:dyDescent="0.35">
      <c r="A114" s="128" t="s">
        <v>134</v>
      </c>
      <c r="B114" s="127">
        <f>INDEX(PVSYST_Helexia!$J$5:$U$7,MATCH(Premissas!$B$13,PVSYST_Helexia!$B$5:$B$7,0),11)*1000*(1-Premissas!$B$23)^4</f>
        <v>143180.23905130001</v>
      </c>
      <c r="C114" s="70" t="s">
        <v>379</v>
      </c>
    </row>
    <row r="115" spans="1:3" ht="15" customHeight="1" x14ac:dyDescent="0.35">
      <c r="A115" s="128" t="s">
        <v>135</v>
      </c>
      <c r="B115" s="127">
        <f>INDEX(PVSYST_Helexia!$J$5:$U$7,MATCH(Premissas!$B$13,PVSYST_Helexia!$B$5:$B$7,0),12)*1000*(1-Premissas!$B$23)^4</f>
        <v>135956.53723169377</v>
      </c>
      <c r="C115" s="70" t="s">
        <v>380</v>
      </c>
    </row>
    <row r="116" spans="1:3" ht="15" customHeight="1" x14ac:dyDescent="0.35">
      <c r="A116" s="128" t="s">
        <v>136</v>
      </c>
      <c r="B116" s="127">
        <f>INDEX(PVSYST_Helexia!$J$5:$U$7,MATCH(Premissas!$B$13,PVSYST_Helexia!$B$5:$B$7,0),1)*1000*(1-Premissas!$B$23)^4</f>
        <v>140298.5995194625</v>
      </c>
      <c r="C116" s="70" t="s">
        <v>381</v>
      </c>
    </row>
    <row r="117" spans="1:3" ht="15" customHeight="1" x14ac:dyDescent="0.35">
      <c r="A117" s="128" t="s">
        <v>137</v>
      </c>
      <c r="B117" s="127">
        <f>INDEX(PVSYST_Helexia!$J$5:$U$7,MATCH(Premissas!$B$13,PVSYST_Helexia!$B$5:$B$7,0),2)*1000*(1-Premissas!$B$23)^4</f>
        <v>125018.06880471876</v>
      </c>
      <c r="C117" s="70" t="s">
        <v>382</v>
      </c>
    </row>
    <row r="118" spans="1:3" ht="15" customHeight="1" x14ac:dyDescent="0.35">
      <c r="A118" s="128" t="s">
        <v>138</v>
      </c>
      <c r="B118" s="127">
        <f>INDEX(PVSYST_Helexia!$J$5:$U$7,MATCH(Premissas!$B$13,PVSYST_Helexia!$B$5:$B$7,0),3)*1000*(1-Premissas!$B$23)^4</f>
        <v>143395.87194143751</v>
      </c>
      <c r="C118" s="70" t="s">
        <v>383</v>
      </c>
    </row>
    <row r="119" spans="1:3" ht="15" customHeight="1" x14ac:dyDescent="0.35">
      <c r="A119" s="128" t="s">
        <v>139</v>
      </c>
      <c r="B119" s="127">
        <f>INDEX(PVSYST_Helexia!$J$5:$U$7,MATCH(Premissas!$B$13,PVSYST_Helexia!$B$5:$B$7,0),4)*1000*(1-Premissas!$B$23)^4</f>
        <v>143082.22410123752</v>
      </c>
      <c r="C119" s="70" t="s">
        <v>384</v>
      </c>
    </row>
    <row r="120" spans="1:3" ht="15" customHeight="1" x14ac:dyDescent="0.35">
      <c r="A120" s="128" t="s">
        <v>140</v>
      </c>
      <c r="B120" s="127">
        <f>INDEX(PVSYST_Helexia!$J$5:$U$7,MATCH(Premissas!$B$13,PVSYST_Helexia!$B$5:$B$7,0),5)*1000*(1-Premissas!$B$23)^4</f>
        <v>133908.02477538752</v>
      </c>
      <c r="C120" s="70" t="s">
        <v>385</v>
      </c>
    </row>
    <row r="121" spans="1:3" ht="14.25" customHeight="1" x14ac:dyDescent="0.35">
      <c r="A121" s="128" t="s">
        <v>386</v>
      </c>
      <c r="B121" s="127">
        <f>INDEX(PVSYST_Helexia!$J$5:$U$7,MATCH(Premissas!$B$13,PVSYST_Helexia!$B$5:$B$7,0),6)*1000*(1-Premissas!$B$23)^5</f>
        <v>120921.09289958129</v>
      </c>
      <c r="C121" s="70"/>
    </row>
    <row r="122" spans="1:3" ht="14.25" customHeight="1" x14ac:dyDescent="0.35">
      <c r="A122" s="128" t="s">
        <v>387</v>
      </c>
      <c r="B122" s="127">
        <f>INDEX(PVSYST_Helexia!$J$5:$U$7,MATCH(Premissas!$B$13,PVSYST_Helexia!$B$5:$B$7,0),7)*1000*(1-Premissas!$B$23)^5</f>
        <v>127279.7147699359</v>
      </c>
      <c r="C122" s="70"/>
    </row>
    <row r="123" spans="1:3" ht="14.25" customHeight="1" x14ac:dyDescent="0.35">
      <c r="A123" s="128" t="s">
        <v>388</v>
      </c>
      <c r="B123" s="127">
        <f>INDEX(PVSYST_Helexia!$J$5:$U$7,MATCH(Premissas!$B$13,PVSYST_Helexia!$B$5:$B$7,0),8)*1000*(1-Premissas!$B$23)^5</f>
        <v>152792.22215160416</v>
      </c>
      <c r="C123" s="70"/>
    </row>
    <row r="124" spans="1:3" ht="14.25" customHeight="1" x14ac:dyDescent="0.35">
      <c r="A124" s="128" t="s">
        <v>389</v>
      </c>
      <c r="B124" s="127">
        <f>INDEX(PVSYST_Helexia!$J$5:$U$7,MATCH(Premissas!$B$13,PVSYST_Helexia!$B$5:$B$7,0),9)*1000*(1-Premissas!$B$23)^5</f>
        <v>143371.31919644686</v>
      </c>
      <c r="C124" s="70"/>
    </row>
    <row r="125" spans="1:3" ht="14.25" customHeight="1" x14ac:dyDescent="0.35">
      <c r="A125" s="128" t="s">
        <v>390</v>
      </c>
      <c r="B125" s="127">
        <f>INDEX(PVSYST_Helexia!$J$5:$U$7,MATCH(Premissas!$B$13,PVSYST_Helexia!$B$5:$B$7,0),10)*1000*(1-Premissas!$B$23)^5</f>
        <v>147340.58162165288</v>
      </c>
      <c r="C125" s="70"/>
    </row>
    <row r="126" spans="1:3" ht="14.25" customHeight="1" x14ac:dyDescent="0.35">
      <c r="A126" s="128" t="s">
        <v>391</v>
      </c>
      <c r="B126" s="127">
        <f>INDEX(PVSYST_Helexia!$J$5:$U$7,MATCH(Premissas!$B$13,PVSYST_Helexia!$B$5:$B$7,0),11)*1000*(1-Premissas!$B$23)^5</f>
        <v>142464.33785604351</v>
      </c>
      <c r="C126" s="70"/>
    </row>
    <row r="127" spans="1:3" ht="14.25" customHeight="1" x14ac:dyDescent="0.35">
      <c r="A127" s="128" t="s">
        <v>392</v>
      </c>
      <c r="B127" s="127">
        <f>INDEX(PVSYST_Helexia!$J$5:$U$7,MATCH(Premissas!$B$13,PVSYST_Helexia!$B$5:$B$7,0),12)*1000*(1-Premissas!$B$23)^5</f>
        <v>135276.75454553528</v>
      </c>
      <c r="C127" s="70"/>
    </row>
    <row r="128" spans="1:3" ht="14.25" customHeight="1" x14ac:dyDescent="0.35">
      <c r="A128" s="128" t="s">
        <v>393</v>
      </c>
      <c r="B128" s="127">
        <f>INDEX(PVSYST_Helexia!$J$5:$U$7,MATCH(Premissas!$B$13,PVSYST_Helexia!$B$5:$B$7,0),1)*1000*(1-Premissas!$B$23)^5</f>
        <v>139597.10652186521</v>
      </c>
      <c r="C128" s="70"/>
    </row>
    <row r="129" spans="1:3" ht="14.25" customHeight="1" x14ac:dyDescent="0.35">
      <c r="A129" s="128" t="s">
        <v>394</v>
      </c>
      <c r="B129" s="127">
        <f>INDEX(PVSYST_Helexia!$J$5:$U$7,MATCH(Premissas!$B$13,PVSYST_Helexia!$B$5:$B$7,0),2)*1000*(1-Premissas!$B$23)^5</f>
        <v>124392.97846069517</v>
      </c>
      <c r="C129" s="70"/>
    </row>
    <row r="130" spans="1:3" ht="14.25" customHeight="1" x14ac:dyDescent="0.35">
      <c r="A130" s="128" t="s">
        <v>395</v>
      </c>
      <c r="B130" s="127">
        <f>INDEX(PVSYST_Helexia!$J$5:$U$7,MATCH(Premissas!$B$13,PVSYST_Helexia!$B$5:$B$7,0),3)*1000*(1-Premissas!$B$23)^5</f>
        <v>142678.89258173032</v>
      </c>
      <c r="C130" s="70"/>
    </row>
    <row r="131" spans="1:3" ht="14.25" customHeight="1" x14ac:dyDescent="0.35">
      <c r="A131" s="128" t="s">
        <v>396</v>
      </c>
      <c r="B131" s="127">
        <f>INDEX(PVSYST_Helexia!$J$5:$U$7,MATCH(Premissas!$B$13,PVSYST_Helexia!$B$5:$B$7,0),4)*1000*(1-Premissas!$B$23)^5</f>
        <v>142366.81298073134</v>
      </c>
      <c r="C131" s="70"/>
    </row>
    <row r="132" spans="1:3" ht="14.25" customHeight="1" x14ac:dyDescent="0.35">
      <c r="A132" s="128" t="s">
        <v>397</v>
      </c>
      <c r="B132" s="127">
        <f>INDEX(PVSYST_Helexia!$J$5:$U$7,MATCH(Premissas!$B$13,PVSYST_Helexia!$B$5:$B$7,0),5)*1000*(1-Premissas!$B$23)^5</f>
        <v>133238.48465151057</v>
      </c>
      <c r="C132" s="70"/>
    </row>
    <row r="133" spans="1:3" ht="14.25" customHeight="1" x14ac:dyDescent="0.35">
      <c r="A133" s="128" t="s">
        <v>398</v>
      </c>
      <c r="B133" s="127">
        <f>INDEX(PVSYST_Helexia!$J$5:$U$7,MATCH(Premissas!$B$13,PVSYST_Helexia!$B$5:$B$7,0),6)*1000*(1-Premissas!$B$23)^6</f>
        <v>120316.48743508339</v>
      </c>
    </row>
    <row r="134" spans="1:3" ht="14.25" customHeight="1" x14ac:dyDescent="0.35">
      <c r="A134" s="128" t="s">
        <v>399</v>
      </c>
      <c r="B134" s="127">
        <f>INDEX(PVSYST_Helexia!$J$5:$U$7,MATCH(Premissas!$B$13,PVSYST_Helexia!$B$5:$B$7,0),7)*1000*(1-Premissas!$B$23)^6</f>
        <v>126643.31619608622</v>
      </c>
    </row>
    <row r="135" spans="1:3" ht="14.25" customHeight="1" x14ac:dyDescent="0.35">
      <c r="A135" s="128" t="s">
        <v>400</v>
      </c>
      <c r="B135" s="127">
        <f>INDEX(PVSYST_Helexia!$J$5:$U$7,MATCH(Premissas!$B$13,PVSYST_Helexia!$B$5:$B$7,0),8)*1000*(1-Premissas!$B$23)^6</f>
        <v>152028.26104084615</v>
      </c>
    </row>
    <row r="136" spans="1:3" ht="14.25" customHeight="1" x14ac:dyDescent="0.35">
      <c r="A136" s="128" t="s">
        <v>401</v>
      </c>
      <c r="B136" s="127">
        <f>INDEX(PVSYST_Helexia!$J$5:$U$7,MATCH(Premissas!$B$13,PVSYST_Helexia!$B$5:$B$7,0),9)*1000*(1-Premissas!$B$23)^6</f>
        <v>142654.46260046461</v>
      </c>
    </row>
    <row r="137" spans="1:3" ht="14.25" customHeight="1" x14ac:dyDescent="0.35">
      <c r="A137" s="128" t="s">
        <v>402</v>
      </c>
      <c r="B137" s="127">
        <f>INDEX(PVSYST_Helexia!$J$5:$U$7,MATCH(Premissas!$B$13,PVSYST_Helexia!$B$5:$B$7,0),10)*1000*(1-Premissas!$B$23)^6</f>
        <v>146603.87871354463</v>
      </c>
    </row>
    <row r="138" spans="1:3" ht="14.25" customHeight="1" x14ac:dyDescent="0.35">
      <c r="A138" s="128" t="s">
        <v>403</v>
      </c>
      <c r="B138" s="127">
        <f>INDEX(PVSYST_Helexia!$J$5:$U$7,MATCH(Premissas!$B$13,PVSYST_Helexia!$B$5:$B$7,0),11)*1000*(1-Premissas!$B$23)^6</f>
        <v>141752.01616676329</v>
      </c>
    </row>
    <row r="139" spans="1:3" ht="14.25" customHeight="1" x14ac:dyDescent="0.35">
      <c r="A139" s="128" t="s">
        <v>404</v>
      </c>
      <c r="B139" s="127">
        <f>INDEX(PVSYST_Helexia!$J$5:$U$7,MATCH(Premissas!$B$13,PVSYST_Helexia!$B$5:$B$7,0),12)*1000*(1-Premissas!$B$23)^6</f>
        <v>134600.37077280763</v>
      </c>
    </row>
    <row r="140" spans="1:3" ht="14.25" customHeight="1" x14ac:dyDescent="0.35">
      <c r="A140" s="128" t="s">
        <v>405</v>
      </c>
      <c r="B140" s="127">
        <f>INDEX(PVSYST_Helexia!$J$5:$U$7,MATCH(Premissas!$B$13,PVSYST_Helexia!$B$5:$B$7,0),1)*1000*(1-Premissas!$B$23)^6</f>
        <v>138899.12098925587</v>
      </c>
    </row>
    <row r="141" spans="1:3" ht="14.25" customHeight="1" x14ac:dyDescent="0.35">
      <c r="A141" s="128" t="s">
        <v>406</v>
      </c>
      <c r="B141" s="127">
        <f>INDEX(PVSYST_Helexia!$J$5:$U$7,MATCH(Premissas!$B$13,PVSYST_Helexia!$B$5:$B$7,0),2)*1000*(1-Premissas!$B$23)^6</f>
        <v>123771.01356839169</v>
      </c>
    </row>
    <row r="142" spans="1:3" ht="14.25" customHeight="1" x14ac:dyDescent="0.35">
      <c r="A142" s="128" t="s">
        <v>407</v>
      </c>
      <c r="B142" s="127">
        <f>INDEX(PVSYST_Helexia!$J$5:$U$7,MATCH(Premissas!$B$13,PVSYST_Helexia!$B$5:$B$7,0),3)*1000*(1-Premissas!$B$23)^6</f>
        <v>141965.49811882168</v>
      </c>
    </row>
    <row r="143" spans="1:3" ht="14.25" customHeight="1" x14ac:dyDescent="0.35">
      <c r="A143" s="128" t="s">
        <v>408</v>
      </c>
      <c r="B143" s="127">
        <f>INDEX(PVSYST_Helexia!$J$5:$U$7,MATCH(Premissas!$B$13,PVSYST_Helexia!$B$5:$B$7,0),4)*1000*(1-Premissas!$B$23)^6</f>
        <v>141654.97891582767</v>
      </c>
    </row>
    <row r="144" spans="1:3" ht="14.25" customHeight="1" x14ac:dyDescent="0.35">
      <c r="A144" s="128" t="s">
        <v>409</v>
      </c>
      <c r="B144" s="127">
        <f>INDEX(PVSYST_Helexia!$J$5:$U$7,MATCH(Premissas!$B$13,PVSYST_Helexia!$B$5:$B$7,0),5)*1000*(1-Premissas!$B$23)^6</f>
        <v>132572.29222825303</v>
      </c>
    </row>
    <row r="145" spans="1:2" ht="14.25" customHeight="1" x14ac:dyDescent="0.35">
      <c r="A145" s="128" t="s">
        <v>410</v>
      </c>
      <c r="B145" s="127">
        <f>INDEX(PVSYST_Helexia!$J$5:$U$7,MATCH(Premissas!$B$13,PVSYST_Helexia!$B$5:$B$7,0),6)*1000*(1-Premissas!$B$23)^7</f>
        <v>119714.90499790797</v>
      </c>
    </row>
    <row r="146" spans="1:2" ht="14.25" customHeight="1" x14ac:dyDescent="0.35">
      <c r="A146" s="128" t="s">
        <v>411</v>
      </c>
      <c r="B146" s="127">
        <f>INDEX(PVSYST_Helexia!$J$5:$U$7,MATCH(Premissas!$B$13,PVSYST_Helexia!$B$5:$B$7,0),7)*1000*(1-Premissas!$B$23)^7</f>
        <v>126010.09961510579</v>
      </c>
    </row>
    <row r="147" spans="1:2" ht="14.25" customHeight="1" x14ac:dyDescent="0.35">
      <c r="A147" s="128" t="s">
        <v>412</v>
      </c>
      <c r="B147" s="127">
        <f>INDEX(PVSYST_Helexia!$J$5:$U$7,MATCH(Premissas!$B$13,PVSYST_Helexia!$B$5:$B$7,0),8)*1000*(1-Premissas!$B$23)^7</f>
        <v>151268.1197356419</v>
      </c>
    </row>
    <row r="148" spans="1:2" ht="14.25" customHeight="1" x14ac:dyDescent="0.35">
      <c r="A148" s="128" t="s">
        <v>413</v>
      </c>
      <c r="B148" s="127">
        <f>INDEX(PVSYST_Helexia!$J$5:$U$7,MATCH(Premissas!$B$13,PVSYST_Helexia!$B$5:$B$7,0),9)*1000*(1-Premissas!$B$23)^7</f>
        <v>141941.19028746229</v>
      </c>
    </row>
    <row r="149" spans="1:2" ht="14.25" customHeight="1" x14ac:dyDescent="0.35">
      <c r="A149" s="128" t="s">
        <v>414</v>
      </c>
      <c r="B149" s="127">
        <f>INDEX(PVSYST_Helexia!$J$5:$U$7,MATCH(Premissas!$B$13,PVSYST_Helexia!$B$5:$B$7,0),10)*1000*(1-Premissas!$B$23)^7</f>
        <v>145870.85931997691</v>
      </c>
    </row>
    <row r="150" spans="1:2" ht="14.25" customHeight="1" x14ac:dyDescent="0.35">
      <c r="A150" s="128" t="s">
        <v>415</v>
      </c>
      <c r="B150" s="127">
        <f>INDEX(PVSYST_Helexia!$J$5:$U$7,MATCH(Premissas!$B$13,PVSYST_Helexia!$B$5:$B$7,0),11)*1000*(1-Premissas!$B$23)^7</f>
        <v>141043.25608592946</v>
      </c>
    </row>
    <row r="151" spans="1:2" ht="14.25" customHeight="1" x14ac:dyDescent="0.35">
      <c r="A151" s="128" t="s">
        <v>416</v>
      </c>
      <c r="B151" s="127">
        <f>INDEX(PVSYST_Helexia!$J$5:$U$7,MATCH(Premissas!$B$13,PVSYST_Helexia!$B$5:$B$7,0),12)*1000*(1-Premissas!$B$23)^7</f>
        <v>133927.36891894357</v>
      </c>
    </row>
    <row r="152" spans="1:2" ht="14.25" customHeight="1" x14ac:dyDescent="0.35">
      <c r="A152" s="128" t="s">
        <v>417</v>
      </c>
      <c r="B152" s="127">
        <f>INDEX(PVSYST_Helexia!$J$5:$U$7,MATCH(Premissas!$B$13,PVSYST_Helexia!$B$5:$B$7,0),1)*1000*(1-Premissas!$B$23)^7</f>
        <v>138204.62538430959</v>
      </c>
    </row>
    <row r="153" spans="1:2" ht="14.25" customHeight="1" x14ac:dyDescent="0.35">
      <c r="A153" s="128" t="s">
        <v>418</v>
      </c>
      <c r="B153" s="127">
        <f>INDEX(PVSYST_Helexia!$J$5:$U$7,MATCH(Premissas!$B$13,PVSYST_Helexia!$B$5:$B$7,0),2)*1000*(1-Premissas!$B$23)^7</f>
        <v>123152.15850054973</v>
      </c>
    </row>
    <row r="154" spans="1:2" ht="14.25" customHeight="1" x14ac:dyDescent="0.35">
      <c r="A154" s="128" t="s">
        <v>419</v>
      </c>
      <c r="B154" s="127">
        <f>INDEX(PVSYST_Helexia!$J$5:$U$7,MATCH(Premissas!$B$13,PVSYST_Helexia!$B$5:$B$7,0),3)*1000*(1-Premissas!$B$23)^7</f>
        <v>141255.67062822756</v>
      </c>
    </row>
    <row r="155" spans="1:2" ht="14.25" customHeight="1" x14ac:dyDescent="0.35">
      <c r="A155" s="128" t="s">
        <v>420</v>
      </c>
      <c r="B155" s="127">
        <f>INDEX(PVSYST_Helexia!$J$5:$U$7,MATCH(Premissas!$B$13,PVSYST_Helexia!$B$5:$B$7,0),4)*1000*(1-Premissas!$B$23)^7</f>
        <v>140946.70402124853</v>
      </c>
    </row>
    <row r="156" spans="1:2" ht="14.25" customHeight="1" x14ac:dyDescent="0.35">
      <c r="A156" s="128" t="s">
        <v>421</v>
      </c>
      <c r="B156" s="127">
        <f>INDEX(PVSYST_Helexia!$J$5:$U$7,MATCH(Premissas!$B$13,PVSYST_Helexia!$B$5:$B$7,0),5)*1000*(1-Premissas!$B$23)^7</f>
        <v>131909.43076711174</v>
      </c>
    </row>
    <row r="157" spans="1:2" ht="14.25" customHeight="1" x14ac:dyDescent="0.35">
      <c r="A157" s="128" t="s">
        <v>422</v>
      </c>
      <c r="B157" s="127">
        <f>INDEX(PVSYST_Helexia!$J$5:$U$7,MATCH(Premissas!$B$13,PVSYST_Helexia!$B$5:$B$7,0),6)*1000*(1-Premissas!$B$23)^8</f>
        <v>119116.33047291843</v>
      </c>
    </row>
    <row r="158" spans="1:2" ht="14.25" customHeight="1" x14ac:dyDescent="0.35">
      <c r="A158" s="128" t="s">
        <v>423</v>
      </c>
      <c r="B158" s="127">
        <f>INDEX(PVSYST_Helexia!$J$5:$U$7,MATCH(Premissas!$B$13,PVSYST_Helexia!$B$5:$B$7,0),7)*1000*(1-Premissas!$B$23)^8</f>
        <v>125380.04911703026</v>
      </c>
    </row>
    <row r="159" spans="1:2" ht="14.25" customHeight="1" x14ac:dyDescent="0.35">
      <c r="A159" s="128" t="s">
        <v>424</v>
      </c>
      <c r="B159" s="127">
        <f>INDEX(PVSYST_Helexia!$J$5:$U$7,MATCH(Premissas!$B$13,PVSYST_Helexia!$B$5:$B$7,0),8)*1000*(1-Premissas!$B$23)^8</f>
        <v>150511.77913696371</v>
      </c>
    </row>
    <row r="160" spans="1:2" ht="14.25" customHeight="1" x14ac:dyDescent="0.35">
      <c r="A160" s="128" t="s">
        <v>425</v>
      </c>
      <c r="B160" s="127">
        <f>INDEX(PVSYST_Helexia!$J$5:$U$7,MATCH(Premissas!$B$13,PVSYST_Helexia!$B$5:$B$7,0),9)*1000*(1-Premissas!$B$23)^8</f>
        <v>141231.48433602499</v>
      </c>
    </row>
    <row r="161" spans="1:2" ht="14.25" customHeight="1" x14ac:dyDescent="0.35">
      <c r="A161" s="128" t="s">
        <v>426</v>
      </c>
      <c r="B161" s="127">
        <f>INDEX(PVSYST_Helexia!$J$5:$U$7,MATCH(Premissas!$B$13,PVSYST_Helexia!$B$5:$B$7,0),10)*1000*(1-Premissas!$B$23)^8</f>
        <v>145141.50502337702</v>
      </c>
    </row>
    <row r="162" spans="1:2" ht="14.25" customHeight="1" x14ac:dyDescent="0.35">
      <c r="A162" s="128" t="s">
        <v>427</v>
      </c>
      <c r="B162" s="127">
        <f>INDEX(PVSYST_Helexia!$J$5:$U$7,MATCH(Premissas!$B$13,PVSYST_Helexia!$B$5:$B$7,0),11)*1000*(1-Premissas!$B$23)^8</f>
        <v>140338.03980549984</v>
      </c>
    </row>
    <row r="163" spans="1:2" ht="14.25" customHeight="1" x14ac:dyDescent="0.35">
      <c r="A163" s="128" t="s">
        <v>428</v>
      </c>
      <c r="B163" s="127">
        <f>INDEX(PVSYST_Helexia!$J$5:$U$7,MATCH(Premissas!$B$13,PVSYST_Helexia!$B$5:$B$7,0),12)*1000*(1-Premissas!$B$23)^8</f>
        <v>133257.73207434887</v>
      </c>
    </row>
    <row r="164" spans="1:2" ht="14.25" customHeight="1" x14ac:dyDescent="0.35">
      <c r="A164" s="128" t="s">
        <v>429</v>
      </c>
      <c r="B164" s="127">
        <f>INDEX(PVSYST_Helexia!$J$5:$U$7,MATCH(Premissas!$B$13,PVSYST_Helexia!$B$5:$B$7,0),1)*1000*(1-Premissas!$B$23)^8</f>
        <v>137513.60225738803</v>
      </c>
    </row>
    <row r="165" spans="1:2" ht="14.25" customHeight="1" x14ac:dyDescent="0.35">
      <c r="A165" s="128" t="s">
        <v>430</v>
      </c>
      <c r="B165" s="127">
        <f>INDEX(PVSYST_Helexia!$J$5:$U$7,MATCH(Premissas!$B$13,PVSYST_Helexia!$B$5:$B$7,0),2)*1000*(1-Premissas!$B$23)^8</f>
        <v>122536.39770804698</v>
      </c>
    </row>
    <row r="166" spans="1:2" ht="14.25" customHeight="1" x14ac:dyDescent="0.35">
      <c r="A166" s="128" t="s">
        <v>431</v>
      </c>
      <c r="B166" s="127">
        <f>INDEX(PVSYST_Helexia!$J$5:$U$7,MATCH(Premissas!$B$13,PVSYST_Helexia!$B$5:$B$7,0),3)*1000*(1-Premissas!$B$23)^8</f>
        <v>140549.39227508643</v>
      </c>
    </row>
    <row r="167" spans="1:2" ht="14.25" customHeight="1" x14ac:dyDescent="0.35">
      <c r="A167" s="128" t="s">
        <v>432</v>
      </c>
      <c r="B167" s="127">
        <f>INDEX(PVSYST_Helexia!$J$5:$U$7,MATCH(Premissas!$B$13,PVSYST_Helexia!$B$5:$B$7,0),4)*1000*(1-Premissas!$B$23)^8</f>
        <v>140241.97050114229</v>
      </c>
    </row>
    <row r="168" spans="1:2" ht="14.25" customHeight="1" x14ac:dyDescent="0.35">
      <c r="A168" s="128" t="s">
        <v>433</v>
      </c>
      <c r="B168" s="127">
        <f>INDEX(PVSYST_Helexia!$J$5:$U$7,MATCH(Premissas!$B$13,PVSYST_Helexia!$B$5:$B$7,0),5)*1000*(1-Premissas!$B$23)^8</f>
        <v>131249.88361327621</v>
      </c>
    </row>
    <row r="169" spans="1:2" ht="14.25" customHeight="1" x14ac:dyDescent="0.35">
      <c r="A169" s="128" t="s">
        <v>434</v>
      </c>
      <c r="B169" s="127">
        <f>INDEX(PVSYST_Helexia!$J$5:$U$7,MATCH(Premissas!$B$13,PVSYST_Helexia!$B$5:$B$7,0),6)*1000*(1-Premissas!$B$23)^9</f>
        <v>118520.74882055382</v>
      </c>
    </row>
    <row r="170" spans="1:2" ht="14.25" customHeight="1" x14ac:dyDescent="0.35">
      <c r="A170" s="128" t="s">
        <v>435</v>
      </c>
      <c r="B170" s="127">
        <f>INDEX(PVSYST_Helexia!$J$5:$U$7,MATCH(Premissas!$B$13,PVSYST_Helexia!$B$5:$B$7,0),7)*1000*(1-Premissas!$B$23)^9</f>
        <v>124753.14887144511</v>
      </c>
    </row>
    <row r="171" spans="1:2" ht="14.25" customHeight="1" x14ac:dyDescent="0.35">
      <c r="A171" s="128" t="s">
        <v>436</v>
      </c>
      <c r="B171" s="127">
        <f>INDEX(PVSYST_Helexia!$J$5:$U$7,MATCH(Premissas!$B$13,PVSYST_Helexia!$B$5:$B$7,0),8)*1000*(1-Premissas!$B$23)^9</f>
        <v>149759.22024127888</v>
      </c>
    </row>
    <row r="172" spans="1:2" ht="14.25" customHeight="1" x14ac:dyDescent="0.35">
      <c r="A172" s="128" t="s">
        <v>437</v>
      </c>
      <c r="B172" s="127">
        <f>INDEX(PVSYST_Helexia!$J$5:$U$7,MATCH(Premissas!$B$13,PVSYST_Helexia!$B$5:$B$7,0),9)*1000*(1-Premissas!$B$23)^9</f>
        <v>140525.32691434486</v>
      </c>
    </row>
    <row r="173" spans="1:2" ht="14.25" customHeight="1" x14ac:dyDescent="0.35">
      <c r="A173" s="128" t="s">
        <v>438</v>
      </c>
      <c r="B173" s="127">
        <f>INDEX(PVSYST_Helexia!$J$5:$U$7,MATCH(Premissas!$B$13,PVSYST_Helexia!$B$5:$B$7,0),10)*1000*(1-Premissas!$B$23)^9</f>
        <v>144415.79749826013</v>
      </c>
    </row>
    <row r="174" spans="1:2" ht="14.25" customHeight="1" x14ac:dyDescent="0.35">
      <c r="A174" s="128" t="s">
        <v>439</v>
      </c>
      <c r="B174" s="127">
        <f>INDEX(PVSYST_Helexia!$J$5:$U$7,MATCH(Premissas!$B$13,PVSYST_Helexia!$B$5:$B$7,0),11)*1000*(1-Premissas!$B$23)^9</f>
        <v>139636.34960647233</v>
      </c>
    </row>
    <row r="175" spans="1:2" ht="14.25" customHeight="1" x14ac:dyDescent="0.35">
      <c r="A175" s="128" t="s">
        <v>440</v>
      </c>
      <c r="B175" s="127">
        <f>INDEX(PVSYST_Helexia!$J$5:$U$7,MATCH(Premissas!$B$13,PVSYST_Helexia!$B$5:$B$7,0),12)*1000*(1-Premissas!$B$23)^9</f>
        <v>132591.4434139771</v>
      </c>
    </row>
    <row r="176" spans="1:2" ht="14.25" customHeight="1" x14ac:dyDescent="0.35">
      <c r="A176" s="128" t="s">
        <v>441</v>
      </c>
      <c r="B176" s="127">
        <f>INDEX(PVSYST_Helexia!$J$5:$U$7,MATCH(Premissas!$B$13,PVSYST_Helexia!$B$5:$B$7,0),1)*1000*(1-Premissas!$B$23)^9</f>
        <v>136826.0342461011</v>
      </c>
    </row>
    <row r="177" spans="1:2" ht="14.25" customHeight="1" x14ac:dyDescent="0.35">
      <c r="A177" s="128" t="s">
        <v>442</v>
      </c>
      <c r="B177" s="127">
        <f>INDEX(PVSYST_Helexia!$J$5:$U$7,MATCH(Premissas!$B$13,PVSYST_Helexia!$B$5:$B$7,0),2)*1000*(1-Premissas!$B$23)^9</f>
        <v>121923.71571950674</v>
      </c>
    </row>
    <row r="178" spans="1:2" ht="14.25" customHeight="1" x14ac:dyDescent="0.35">
      <c r="A178" s="128" t="s">
        <v>443</v>
      </c>
      <c r="B178" s="127">
        <f>INDEX(PVSYST_Helexia!$J$5:$U$7,MATCH(Premissas!$B$13,PVSYST_Helexia!$B$5:$B$7,0),3)*1000*(1-Premissas!$B$23)^9</f>
        <v>139846.64531371099</v>
      </c>
    </row>
    <row r="179" spans="1:2" ht="14.25" customHeight="1" x14ac:dyDescent="0.35">
      <c r="A179" s="128" t="s">
        <v>444</v>
      </c>
      <c r="B179" s="127">
        <f>INDEX(PVSYST_Helexia!$J$5:$U$7,MATCH(Premissas!$B$13,PVSYST_Helexia!$B$5:$B$7,0),4)*1000*(1-Premissas!$B$23)^9</f>
        <v>139540.76064863655</v>
      </c>
    </row>
    <row r="180" spans="1:2" ht="14.25" customHeight="1" x14ac:dyDescent="0.35">
      <c r="A180" s="128" t="s">
        <v>445</v>
      </c>
      <c r="B180" s="127">
        <f>INDEX(PVSYST_Helexia!$J$5:$U$7,MATCH(Premissas!$B$13,PVSYST_Helexia!$B$5:$B$7,0),5)*1000*(1-Premissas!$B$23)^9</f>
        <v>130593.63419520982</v>
      </c>
    </row>
    <row r="181" spans="1:2" x14ac:dyDescent="0.35">
      <c r="A181" s="128"/>
    </row>
  </sheetData>
  <mergeCells count="25">
    <mergeCell ref="A54:E54"/>
    <mergeCell ref="A59:E59"/>
    <mergeCell ref="Q12:S12"/>
    <mergeCell ref="Q11:S11"/>
    <mergeCell ref="Q13:S13"/>
    <mergeCell ref="Q14:S14"/>
    <mergeCell ref="M25:S25"/>
    <mergeCell ref="M26:N26"/>
    <mergeCell ref="P26:S26"/>
    <mergeCell ref="A31:E31"/>
    <mergeCell ref="A52:E52"/>
    <mergeCell ref="A25:E25"/>
    <mergeCell ref="M24:N24"/>
    <mergeCell ref="A20:E20"/>
    <mergeCell ref="R15:S15"/>
    <mergeCell ref="A12:E12"/>
    <mergeCell ref="M5:O5"/>
    <mergeCell ref="R5:S5"/>
    <mergeCell ref="A1:E1"/>
    <mergeCell ref="M1:S1"/>
    <mergeCell ref="A2:E2"/>
    <mergeCell ref="M2:S2"/>
    <mergeCell ref="A4:E4"/>
    <mergeCell ref="M4:O4"/>
    <mergeCell ref="R4:S4"/>
  </mergeCells>
  <dataValidations disablePrompts="1" count="2">
    <dataValidation type="list" showErrorMessage="1" errorTitle="Valor inválido" error="Selecione &quot;Sim&quot; (proxy Batayporã) ou &quot;Não&quot; (dados reais Amandina)" sqref="B24" xr:uid="{00000000-0002-0000-0100-000000000000}">
      <formula1>"Sim,Não"</formula1>
      <formula2>0</formula2>
    </dataValidation>
    <dataValidation type="list" showErrorMessage="1" errorTitle="Valor inválido" error="Selecione &quot;Sim&quot; ou &quot;Não&quot;" sqref="B11 B19" xr:uid="{00000000-0002-0000-01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7"/>
  <sheetViews>
    <sheetView showGridLines="0" zoomScaleNormal="100" workbookViewId="0">
      <selection activeCell="G4" sqref="G4"/>
    </sheetView>
  </sheetViews>
  <sheetFormatPr defaultColWidth="8.7265625" defaultRowHeight="14.5" x14ac:dyDescent="0.35"/>
  <cols>
    <col min="1" max="1" width="8" customWidth="1"/>
    <col min="2" max="7" width="16" customWidth="1"/>
  </cols>
  <sheetData>
    <row r="1" spans="1:7" ht="19.5" customHeight="1" x14ac:dyDescent="0.35">
      <c r="A1" s="330" t="s">
        <v>446</v>
      </c>
      <c r="B1" s="330"/>
      <c r="C1" s="330"/>
      <c r="D1" s="330"/>
      <c r="E1" s="330"/>
      <c r="F1" s="330"/>
    </row>
    <row r="2" spans="1:7" ht="12.75" customHeight="1" x14ac:dyDescent="0.35">
      <c r="A2" s="314" t="s">
        <v>447</v>
      </c>
      <c r="B2" s="314"/>
      <c r="C2" s="314"/>
      <c r="D2" s="314"/>
      <c r="E2" s="314"/>
      <c r="F2" s="314"/>
    </row>
    <row r="3" spans="1:7" ht="27.75" customHeight="1" x14ac:dyDescent="0.35">
      <c r="A3" s="114" t="s">
        <v>37</v>
      </c>
      <c r="B3" s="129" t="s">
        <v>448</v>
      </c>
      <c r="C3" s="129" t="s">
        <v>449</v>
      </c>
      <c r="D3" s="130" t="s">
        <v>450</v>
      </c>
      <c r="E3" s="130" t="s">
        <v>451</v>
      </c>
      <c r="F3" s="114" t="s">
        <v>452</v>
      </c>
      <c r="G3" s="114" t="s">
        <v>453</v>
      </c>
    </row>
    <row r="4" spans="1:7" ht="13.5" customHeight="1" x14ac:dyDescent="0.35">
      <c r="A4" s="131" t="s">
        <v>454</v>
      </c>
      <c r="B4" s="132">
        <v>70769.899999999994</v>
      </c>
      <c r="C4" s="132">
        <v>7863.3</v>
      </c>
      <c r="D4" s="133">
        <v>113967</v>
      </c>
      <c r="E4" s="133">
        <v>12663</v>
      </c>
      <c r="F4" s="134">
        <v>73973.399999999994</v>
      </c>
      <c r="G4" s="134">
        <v>8219.2999999999993</v>
      </c>
    </row>
    <row r="5" spans="1:7" ht="13.5" customHeight="1" x14ac:dyDescent="0.35">
      <c r="A5" s="131" t="s">
        <v>455</v>
      </c>
      <c r="B5" s="132">
        <v>243719.7</v>
      </c>
      <c r="C5" s="132">
        <v>27080</v>
      </c>
      <c r="D5" s="133">
        <v>125874</v>
      </c>
      <c r="E5" s="133">
        <v>13986</v>
      </c>
      <c r="F5" s="134">
        <v>209472.2</v>
      </c>
      <c r="G5" s="134">
        <v>23274.7</v>
      </c>
    </row>
    <row r="6" spans="1:7" ht="13.5" customHeight="1" x14ac:dyDescent="0.35">
      <c r="A6" s="131" t="s">
        <v>456</v>
      </c>
      <c r="B6" s="132">
        <v>331874.09999999998</v>
      </c>
      <c r="C6" s="132">
        <v>36874.9</v>
      </c>
      <c r="D6" s="133">
        <v>57499.199999999997</v>
      </c>
      <c r="E6" s="133">
        <v>6388.8</v>
      </c>
      <c r="F6" s="134">
        <v>173260.2</v>
      </c>
      <c r="G6" s="134">
        <v>19251.099999999999</v>
      </c>
    </row>
    <row r="7" spans="1:7" ht="13.5" customHeight="1" x14ac:dyDescent="0.35">
      <c r="A7" s="131" t="s">
        <v>457</v>
      </c>
      <c r="B7" s="132">
        <v>102778.3</v>
      </c>
      <c r="C7" s="132">
        <v>11419.8</v>
      </c>
      <c r="D7" s="133">
        <v>35640</v>
      </c>
      <c r="E7" s="133">
        <v>3960</v>
      </c>
      <c r="F7" s="134">
        <v>78448.399999999994</v>
      </c>
      <c r="G7" s="134">
        <v>8716.5</v>
      </c>
    </row>
    <row r="8" spans="1:7" ht="13.5" customHeight="1" x14ac:dyDescent="0.35">
      <c r="A8" s="131" t="s">
        <v>458</v>
      </c>
      <c r="B8" s="132">
        <v>62814.2</v>
      </c>
      <c r="C8" s="132">
        <v>6979.4</v>
      </c>
      <c r="D8" s="133">
        <v>79603.199999999997</v>
      </c>
      <c r="E8" s="133">
        <v>8844.7999999999993</v>
      </c>
      <c r="F8" s="134">
        <v>102629.5</v>
      </c>
      <c r="G8" s="134">
        <v>11403.3</v>
      </c>
    </row>
    <row r="9" spans="1:7" ht="13.5" customHeight="1" x14ac:dyDescent="0.35">
      <c r="A9" s="131" t="s">
        <v>459</v>
      </c>
      <c r="B9" s="132">
        <v>108694.9</v>
      </c>
      <c r="C9" s="132">
        <v>12077.2</v>
      </c>
      <c r="D9" s="133">
        <v>78336</v>
      </c>
      <c r="E9" s="133">
        <v>8704</v>
      </c>
      <c r="F9" s="134">
        <v>182444.7</v>
      </c>
      <c r="G9" s="134">
        <v>20271.599999999999</v>
      </c>
    </row>
    <row r="10" spans="1:7" ht="13.5" customHeight="1" x14ac:dyDescent="0.35">
      <c r="A10" s="131" t="s">
        <v>460</v>
      </c>
      <c r="B10" s="132">
        <v>328938.09999999998</v>
      </c>
      <c r="C10" s="132">
        <v>36548.699999999997</v>
      </c>
      <c r="D10" s="133">
        <v>115718.39999999999</v>
      </c>
      <c r="E10" s="133">
        <v>12857.6</v>
      </c>
      <c r="F10" s="134">
        <v>234799.2</v>
      </c>
      <c r="G10" s="134">
        <v>26088.799999999999</v>
      </c>
    </row>
    <row r="11" spans="1:7" ht="13.5" customHeight="1" x14ac:dyDescent="0.35">
      <c r="A11" s="131" t="s">
        <v>461</v>
      </c>
      <c r="B11" s="132">
        <v>190977.6</v>
      </c>
      <c r="C11" s="132">
        <v>21219.7</v>
      </c>
      <c r="D11" s="133">
        <v>23364</v>
      </c>
      <c r="E11" s="133">
        <v>2596</v>
      </c>
      <c r="F11" s="134">
        <v>134799.29999999999</v>
      </c>
      <c r="G11" s="134">
        <v>14977.7</v>
      </c>
    </row>
    <row r="12" spans="1:7" ht="13.5" customHeight="1" x14ac:dyDescent="0.35">
      <c r="A12" s="131" t="s">
        <v>462</v>
      </c>
      <c r="B12" s="132">
        <v>126478.8</v>
      </c>
      <c r="C12" s="132">
        <v>14053.2</v>
      </c>
      <c r="D12" s="133">
        <v>10800</v>
      </c>
      <c r="E12" s="133">
        <v>1200</v>
      </c>
      <c r="F12" s="134">
        <v>18637.2</v>
      </c>
      <c r="G12" s="134">
        <v>2070.8000000000002</v>
      </c>
    </row>
    <row r="13" spans="1:7" ht="13.5" customHeight="1" x14ac:dyDescent="0.35">
      <c r="A13" s="131" t="s">
        <v>463</v>
      </c>
      <c r="B13" s="132">
        <v>28215</v>
      </c>
      <c r="C13" s="132">
        <v>3135</v>
      </c>
      <c r="D13" s="133">
        <v>10800</v>
      </c>
      <c r="E13" s="133">
        <v>1200</v>
      </c>
      <c r="F13" s="134">
        <v>24382.799999999999</v>
      </c>
      <c r="G13" s="134">
        <v>2709.2</v>
      </c>
    </row>
    <row r="14" spans="1:7" ht="13.5" customHeight="1" x14ac:dyDescent="0.35">
      <c r="A14" s="131" t="s">
        <v>464</v>
      </c>
      <c r="B14" s="132">
        <v>42209.599999999999</v>
      </c>
      <c r="C14" s="132">
        <v>4690</v>
      </c>
      <c r="D14" s="133">
        <v>10800</v>
      </c>
      <c r="E14" s="133">
        <v>1200</v>
      </c>
      <c r="F14" s="134">
        <v>20225.7</v>
      </c>
      <c r="G14" s="134">
        <v>2247.3000000000002</v>
      </c>
    </row>
    <row r="15" spans="1:7" ht="13.5" customHeight="1" x14ac:dyDescent="0.35">
      <c r="A15" s="131" t="s">
        <v>465</v>
      </c>
      <c r="B15" s="132">
        <v>42209.599999999999</v>
      </c>
      <c r="C15" s="132">
        <v>4690</v>
      </c>
      <c r="D15" s="133">
        <v>3402</v>
      </c>
      <c r="E15" s="133">
        <v>378</v>
      </c>
      <c r="F15" s="134">
        <v>17142.3</v>
      </c>
      <c r="G15" s="134">
        <v>1904.7</v>
      </c>
    </row>
    <row r="17" spans="1:7" ht="19.5" customHeight="1" x14ac:dyDescent="0.35">
      <c r="A17" s="331" t="s">
        <v>466</v>
      </c>
      <c r="B17" s="331"/>
      <c r="C17" s="331"/>
      <c r="D17" s="331"/>
      <c r="E17" s="331"/>
      <c r="F17" s="331"/>
      <c r="G17" s="331"/>
    </row>
  </sheetData>
  <mergeCells count="3">
    <mergeCell ref="A1:F1"/>
    <mergeCell ref="A2:F2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DS285"/>
  <sheetViews>
    <sheetView showGridLines="0" zoomScale="85" zoomScaleNormal="85" workbookViewId="0">
      <pane xSplit="3" ySplit="4" topLeftCell="CY252" activePane="bottomRight" state="frozen"/>
      <selection pane="topRight" activeCell="D1" sqref="D1"/>
      <selection pane="bottomLeft" activeCell="A259" sqref="A259"/>
      <selection pane="bottomRight" activeCell="CZ276" sqref="CZ276"/>
    </sheetView>
  </sheetViews>
  <sheetFormatPr defaultColWidth="8.7265625" defaultRowHeight="14.5" x14ac:dyDescent="0.35"/>
  <cols>
    <col min="1" max="1" width="62" customWidth="1"/>
    <col min="2" max="2" width="14" customWidth="1"/>
    <col min="3" max="3" width="41.7265625" bestFit="1" customWidth="1"/>
    <col min="4" max="5" width="10.08984375" customWidth="1"/>
    <col min="6" max="27" width="10.7265625" customWidth="1"/>
    <col min="28" max="63" width="13" customWidth="1"/>
  </cols>
  <sheetData>
    <row r="1" spans="1:123" ht="21.75" customHeight="1" x14ac:dyDescent="0.35">
      <c r="A1" s="332" t="str">
        <f>"SIMULAÇÃO RATEIO FIXO — "&amp;Premissas!$B$13&amp;" × COPASUL | 18 UCs | Jun/2026–Mai/2031"</f>
        <v>SIMULAÇÃO RATEIO FIXO — Cassilândia 03 × COPASUL | 18 UCs | Jun/2026–Mai/2031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332"/>
      <c r="AA1" s="332"/>
    </row>
    <row r="2" spans="1:123" ht="12.75" customHeight="1" x14ac:dyDescent="0.35">
      <c r="A2" s="333" t="s">
        <v>467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</row>
    <row r="4" spans="1:123" ht="24" customHeight="1" x14ac:dyDescent="0.35">
      <c r="A4" s="3" t="s">
        <v>468</v>
      </c>
      <c r="B4" s="135" t="s">
        <v>469</v>
      </c>
      <c r="C4" s="135" t="s">
        <v>470</v>
      </c>
      <c r="D4" s="136" t="s">
        <v>43</v>
      </c>
      <c r="E4" s="136" t="s">
        <v>44</v>
      </c>
      <c r="F4" s="136" t="s">
        <v>45</v>
      </c>
      <c r="G4" s="136" t="s">
        <v>46</v>
      </c>
      <c r="H4" s="136" t="s">
        <v>47</v>
      </c>
      <c r="I4" s="136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36" t="s">
        <v>55</v>
      </c>
      <c r="Q4" s="136" t="s">
        <v>56</v>
      </c>
      <c r="R4" s="136" t="s">
        <v>57</v>
      </c>
      <c r="S4" s="136" t="s">
        <v>58</v>
      </c>
      <c r="T4" s="136" t="s">
        <v>59</v>
      </c>
      <c r="U4" s="136" t="s">
        <v>60</v>
      </c>
      <c r="V4" s="1" t="s">
        <v>61</v>
      </c>
      <c r="W4" s="1" t="s">
        <v>62</v>
      </c>
      <c r="X4" s="1" t="s">
        <v>63</v>
      </c>
      <c r="Y4" s="1" t="s">
        <v>64</v>
      </c>
      <c r="Z4" s="1" t="s">
        <v>66</v>
      </c>
      <c r="AA4" s="1" t="s">
        <v>72</v>
      </c>
      <c r="AB4" s="137" t="s">
        <v>75</v>
      </c>
      <c r="AC4" s="137" t="s">
        <v>78</v>
      </c>
      <c r="AD4" s="137" t="s">
        <v>81</v>
      </c>
      <c r="AE4" s="137" t="s">
        <v>83</v>
      </c>
      <c r="AF4" s="137" t="s">
        <v>85</v>
      </c>
      <c r="AG4" s="137" t="s">
        <v>87</v>
      </c>
      <c r="AH4" s="138" t="s">
        <v>89</v>
      </c>
      <c r="AI4" s="138" t="s">
        <v>91</v>
      </c>
      <c r="AJ4" s="138" t="s">
        <v>93</v>
      </c>
      <c r="AK4" s="138" t="s">
        <v>95</v>
      </c>
      <c r="AL4" s="138" t="s">
        <v>97</v>
      </c>
      <c r="AM4" s="138" t="s">
        <v>99</v>
      </c>
      <c r="AN4" s="137" t="s">
        <v>101</v>
      </c>
      <c r="AO4" s="137" t="s">
        <v>103</v>
      </c>
      <c r="AP4" s="137" t="s">
        <v>106</v>
      </c>
      <c r="AQ4" s="137" t="s">
        <v>108</v>
      </c>
      <c r="AR4" s="137" t="s">
        <v>110</v>
      </c>
      <c r="AS4" s="137" t="s">
        <v>112</v>
      </c>
      <c r="AT4" s="138" t="s">
        <v>114</v>
      </c>
      <c r="AU4" s="138" t="s">
        <v>120</v>
      </c>
      <c r="AV4" s="138" t="s">
        <v>122</v>
      </c>
      <c r="AW4" s="138" t="s">
        <v>124</v>
      </c>
      <c r="AX4" s="138" t="s">
        <v>126</v>
      </c>
      <c r="AY4" s="138" t="s">
        <v>128</v>
      </c>
      <c r="AZ4" s="137" t="s">
        <v>129</v>
      </c>
      <c r="BA4" s="137" t="s">
        <v>130</v>
      </c>
      <c r="BB4" s="137" t="s">
        <v>131</v>
      </c>
      <c r="BC4" s="137" t="s">
        <v>132</v>
      </c>
      <c r="BD4" s="137" t="s">
        <v>133</v>
      </c>
      <c r="BE4" s="137" t="s">
        <v>134</v>
      </c>
      <c r="BF4" s="138" t="s">
        <v>135</v>
      </c>
      <c r="BG4" s="138" t="s">
        <v>136</v>
      </c>
      <c r="BH4" s="138" t="s">
        <v>137</v>
      </c>
      <c r="BI4" s="138" t="s">
        <v>138</v>
      </c>
      <c r="BJ4" s="138" t="s">
        <v>139</v>
      </c>
      <c r="BK4" s="138" t="s">
        <v>140</v>
      </c>
      <c r="BL4" s="138" t="s">
        <v>141</v>
      </c>
      <c r="BM4" s="138" t="s">
        <v>142</v>
      </c>
      <c r="BN4" s="138" t="s">
        <v>143</v>
      </c>
      <c r="BO4" s="138" t="s">
        <v>144</v>
      </c>
      <c r="BP4" s="138" t="s">
        <v>145</v>
      </c>
      <c r="BQ4" s="138" t="s">
        <v>146</v>
      </c>
      <c r="BR4" s="138" t="s">
        <v>147</v>
      </c>
      <c r="BS4" s="138" t="s">
        <v>148</v>
      </c>
      <c r="BT4" s="138" t="s">
        <v>149</v>
      </c>
      <c r="BU4" s="138" t="s">
        <v>150</v>
      </c>
      <c r="BV4" s="138" t="s">
        <v>151</v>
      </c>
      <c r="BW4" s="138" t="s">
        <v>152</v>
      </c>
      <c r="BX4" s="138" t="s">
        <v>153</v>
      </c>
      <c r="BY4" s="138" t="s">
        <v>154</v>
      </c>
      <c r="BZ4" s="138" t="s">
        <v>155</v>
      </c>
      <c r="CA4" s="138" t="s">
        <v>156</v>
      </c>
      <c r="CB4" s="138" t="s">
        <v>157</v>
      </c>
      <c r="CC4" s="138" t="s">
        <v>158</v>
      </c>
      <c r="CD4" s="138" t="s">
        <v>159</v>
      </c>
      <c r="CE4" s="138" t="s">
        <v>160</v>
      </c>
      <c r="CF4" s="138" t="s">
        <v>162</v>
      </c>
      <c r="CG4" s="138" t="s">
        <v>164</v>
      </c>
      <c r="CH4" s="138" t="s">
        <v>167</v>
      </c>
      <c r="CI4" s="138" t="s">
        <v>170</v>
      </c>
      <c r="CJ4" s="138" t="s">
        <v>172</v>
      </c>
      <c r="CK4" s="138" t="s">
        <v>174</v>
      </c>
      <c r="CL4" s="138" t="s">
        <v>175</v>
      </c>
      <c r="CM4" s="138" t="s">
        <v>176</v>
      </c>
      <c r="CN4" s="138" t="s">
        <v>177</v>
      </c>
      <c r="CO4" s="138" t="s">
        <v>178</v>
      </c>
      <c r="CP4" s="138" t="s">
        <v>179</v>
      </c>
      <c r="CQ4" s="138" t="s">
        <v>180</v>
      </c>
      <c r="CR4" s="138" t="s">
        <v>181</v>
      </c>
      <c r="CS4" s="138" t="s">
        <v>182</v>
      </c>
      <c r="CT4" s="138" t="s">
        <v>183</v>
      </c>
      <c r="CU4" s="138" t="s">
        <v>184</v>
      </c>
      <c r="CV4" s="138" t="s">
        <v>185</v>
      </c>
      <c r="CW4" s="138" t="s">
        <v>186</v>
      </c>
      <c r="CX4" s="138" t="s">
        <v>187</v>
      </c>
      <c r="CY4" s="138" t="s">
        <v>188</v>
      </c>
      <c r="CZ4" s="138" t="s">
        <v>189</v>
      </c>
      <c r="DA4" s="138" t="s">
        <v>190</v>
      </c>
      <c r="DB4" s="138" t="s">
        <v>191</v>
      </c>
      <c r="DC4" s="138" t="s">
        <v>192</v>
      </c>
      <c r="DD4" s="138" t="s">
        <v>193</v>
      </c>
      <c r="DE4" s="138" t="s">
        <v>194</v>
      </c>
      <c r="DF4" s="138" t="s">
        <v>195</v>
      </c>
      <c r="DG4" s="138" t="s">
        <v>196</v>
      </c>
      <c r="DH4" s="138" t="s">
        <v>197</v>
      </c>
      <c r="DI4" s="138" t="s">
        <v>198</v>
      </c>
      <c r="DJ4" s="138" t="s">
        <v>199</v>
      </c>
      <c r="DK4" s="138" t="s">
        <v>200</v>
      </c>
      <c r="DL4" s="138" t="s">
        <v>201</v>
      </c>
      <c r="DM4" s="138" t="s">
        <v>202</v>
      </c>
      <c r="DN4" s="138" t="s">
        <v>203</v>
      </c>
      <c r="DO4" s="138" t="s">
        <v>204</v>
      </c>
      <c r="DP4" s="138" t="s">
        <v>205</v>
      </c>
      <c r="DQ4" s="138" t="s">
        <v>206</v>
      </c>
      <c r="DR4" s="138" t="s">
        <v>207</v>
      </c>
      <c r="DS4" s="138" t="s">
        <v>208</v>
      </c>
    </row>
    <row r="5" spans="1:123" ht="15" customHeight="1" x14ac:dyDescent="0.35">
      <c r="A5" s="317" t="str">
        <f>"0.  "&amp;Premissas!B13&amp;" — GERAÇÃO E CUSTO PPA"</f>
        <v>0.  Cassilândia 03 — GERAÇÃO E CUSTO PPA</v>
      </c>
      <c r="B5" s="317"/>
      <c r="C5" s="317"/>
      <c r="D5" s="317"/>
      <c r="E5" s="317"/>
      <c r="F5" s="317"/>
      <c r="G5" s="317"/>
      <c r="H5" s="317"/>
      <c r="I5" s="317"/>
      <c r="J5" s="317"/>
      <c r="K5" s="317"/>
      <c r="L5" s="317"/>
      <c r="M5" s="317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</row>
    <row r="6" spans="1:123" ht="13.5" customHeight="1" x14ac:dyDescent="0.35">
      <c r="A6" s="39" t="str">
        <f>INDEX(PVSYST_Helexia!$A$5:$A$7,MATCH(Premissas!$B$13,PVSYST_Helexia!$B$5:$B$7,0))&amp;" Geração P50 (kWh)"</f>
        <v>HCS03 Geração P50 (kWh)</v>
      </c>
      <c r="B6" s="41">
        <f>SUM(D6:BQ6)</f>
        <v>9214611.6710287891</v>
      </c>
      <c r="C6" s="139">
        <f>B6/60</f>
        <v>153576.86118381316</v>
      </c>
      <c r="D6" s="140">
        <f>Premissas!$B$61</f>
        <v>123990</v>
      </c>
      <c r="E6" s="140">
        <f>Premissas!$B$62</f>
        <v>130509.99999999999</v>
      </c>
      <c r="F6" s="140">
        <f>Premissas!$B$63</f>
        <v>156670</v>
      </c>
      <c r="G6" s="140">
        <f>Premissas!$B$64</f>
        <v>147010</v>
      </c>
      <c r="H6" s="140">
        <f>Premissas!$B$65</f>
        <v>151080</v>
      </c>
      <c r="I6" s="140">
        <f>Premissas!$B$66</f>
        <v>146080</v>
      </c>
      <c r="J6" s="140">
        <f>Premissas!$B$67</f>
        <v>138710</v>
      </c>
      <c r="K6" s="140">
        <f>Premissas!$B$68</f>
        <v>142424.29999999999</v>
      </c>
      <c r="L6" s="140">
        <f>Premissas!$B$69</f>
        <v>126912.25</v>
      </c>
      <c r="M6" s="140">
        <f>Premissas!$B$70</f>
        <v>145568.5</v>
      </c>
      <c r="N6" s="140">
        <f>Premissas!$B$71</f>
        <v>145250.1</v>
      </c>
      <c r="O6" s="140">
        <f>Premissas!$B$72</f>
        <v>135936.9</v>
      </c>
      <c r="P6" s="140">
        <f>Premissas!$B$73</f>
        <v>123370.05</v>
      </c>
      <c r="Q6" s="140">
        <f>Premissas!$B$74</f>
        <v>129857.44999999998</v>
      </c>
      <c r="R6" s="140">
        <f>Premissas!$B$75</f>
        <v>155886.65</v>
      </c>
      <c r="S6" s="140">
        <f>Premissas!$B$76</f>
        <v>146274.95000000001</v>
      </c>
      <c r="T6" s="140">
        <f>Premissas!$B$77</f>
        <v>150324.6</v>
      </c>
      <c r="U6" s="140">
        <f>Premissas!$B$78</f>
        <v>145349.6</v>
      </c>
      <c r="V6" s="140">
        <f>Premissas!$B$79</f>
        <v>138016.45000000001</v>
      </c>
      <c r="W6" s="140">
        <f>Premissas!$B$80</f>
        <v>142424.29999999999</v>
      </c>
      <c r="X6" s="140">
        <f>Premissas!$B$81</f>
        <v>126912.25</v>
      </c>
      <c r="Y6" s="140">
        <f>Premissas!$B$82</f>
        <v>145568.5</v>
      </c>
      <c r="Z6" s="140">
        <f>Premissas!$B$83</f>
        <v>145250.1</v>
      </c>
      <c r="AA6" s="140">
        <f>Premissas!$B$84</f>
        <v>135936.9</v>
      </c>
      <c r="AB6" s="140">
        <f>Premissas!$B$85</f>
        <v>122753.19975</v>
      </c>
      <c r="AC6" s="140">
        <f>Premissas!$B$86</f>
        <v>129208.16274999999</v>
      </c>
      <c r="AD6" s="140">
        <f>Premissas!$B$87</f>
        <v>155107.21675000002</v>
      </c>
      <c r="AE6" s="140">
        <f>Premissas!$B$88</f>
        <v>145543.57524999999</v>
      </c>
      <c r="AF6" s="140">
        <f>Premissas!$B$89</f>
        <v>149572.97700000001</v>
      </c>
      <c r="AG6" s="140">
        <f>Premissas!$B$90</f>
        <v>144622.85200000001</v>
      </c>
      <c r="AH6" s="140">
        <f>Premissas!$B$91</f>
        <v>137326.36775</v>
      </c>
      <c r="AI6" s="140">
        <f>Premissas!$B$92</f>
        <v>141712.17850000001</v>
      </c>
      <c r="AJ6" s="140">
        <f>Premissas!$B$93</f>
        <v>126277.68875</v>
      </c>
      <c r="AK6" s="140">
        <f>Premissas!$B$94</f>
        <v>144840.6575</v>
      </c>
      <c r="AL6" s="140">
        <f>Premissas!$B$95</f>
        <v>144523.84950000001</v>
      </c>
      <c r="AM6" s="140">
        <f>Premissas!$B$96</f>
        <v>135257.21550000002</v>
      </c>
      <c r="AN6" s="140">
        <f>Premissas!$B$97</f>
        <v>122139.43375125001</v>
      </c>
      <c r="AO6" s="140">
        <f>Premissas!$B$98</f>
        <v>128562.12193624998</v>
      </c>
      <c r="AP6" s="140">
        <f>Premissas!$B$99</f>
        <v>154331.68066625</v>
      </c>
      <c r="AQ6" s="140">
        <f>Premissas!$B$100</f>
        <v>144815.85737375001</v>
      </c>
      <c r="AR6" s="140">
        <f>Premissas!$B$101</f>
        <v>148825.112115</v>
      </c>
      <c r="AS6" s="140">
        <f>Premissas!$B$102</f>
        <v>143899.73774000001</v>
      </c>
      <c r="AT6" s="140">
        <f>Premissas!$B$103</f>
        <v>136639.73591125</v>
      </c>
      <c r="AU6" s="140">
        <f>Premissas!$B$104</f>
        <v>141003.6176075</v>
      </c>
      <c r="AV6" s="140">
        <f>Premissas!$B$105</f>
        <v>125646.30030625001</v>
      </c>
      <c r="AW6" s="140">
        <f>Premissas!$B$106</f>
        <v>144116.45421250002</v>
      </c>
      <c r="AX6" s="140">
        <f>Premissas!$B$107</f>
        <v>143801.23025250001</v>
      </c>
      <c r="AY6" s="140">
        <f>Premissas!$B$108</f>
        <v>134580.92942249999</v>
      </c>
      <c r="AZ6" s="140">
        <f>Premissas!$B$109</f>
        <v>121528.73658249376</v>
      </c>
      <c r="BA6" s="140">
        <f>Premissas!$B$110</f>
        <v>127919.31132656874</v>
      </c>
      <c r="BB6" s="140">
        <f>Premissas!$B$111</f>
        <v>153560.02226291876</v>
      </c>
      <c r="BC6" s="140">
        <f>Premissas!$B$112</f>
        <v>144091.77808688127</v>
      </c>
      <c r="BD6" s="140">
        <f>Premissas!$B$113</f>
        <v>148080.98655442501</v>
      </c>
      <c r="BE6" s="140">
        <f>Premissas!$B$114</f>
        <v>143180.23905130001</v>
      </c>
      <c r="BF6" s="140">
        <f>Premissas!$B$115</f>
        <v>135956.53723169377</v>
      </c>
      <c r="BG6" s="140">
        <f>Premissas!$B$116</f>
        <v>140298.5995194625</v>
      </c>
      <c r="BH6" s="140">
        <f>Premissas!$B$117</f>
        <v>125018.06880471876</v>
      </c>
      <c r="BI6" s="140">
        <f>Premissas!$B$118</f>
        <v>143395.87194143751</v>
      </c>
      <c r="BJ6" s="140">
        <f>Premissas!$B$119</f>
        <v>143082.22410123752</v>
      </c>
      <c r="BK6" s="140">
        <f>Premissas!$B$120</f>
        <v>133908.02477538752</v>
      </c>
      <c r="BL6" s="140">
        <f>Premissas!$B$121</f>
        <v>120921.09289958129</v>
      </c>
      <c r="BM6" s="140">
        <f>Premissas!$B$122</f>
        <v>127279.7147699359</v>
      </c>
      <c r="BN6" s="140">
        <f>Premissas!$B$123</f>
        <v>152792.22215160416</v>
      </c>
      <c r="BO6" s="140">
        <f>Premissas!$B$124</f>
        <v>143371.31919644686</v>
      </c>
      <c r="BP6" s="140">
        <f>Premissas!$B$125</f>
        <v>147340.58162165288</v>
      </c>
      <c r="BQ6" s="140">
        <f>Premissas!$B$126</f>
        <v>142464.33785604351</v>
      </c>
      <c r="BR6" s="140">
        <f>Premissas!$B$127</f>
        <v>135276.75454553528</v>
      </c>
      <c r="BS6" s="140">
        <f>Premissas!$B$128</f>
        <v>139597.10652186521</v>
      </c>
      <c r="BT6" s="140">
        <f>Premissas!$B$129</f>
        <v>124392.97846069517</v>
      </c>
      <c r="BU6" s="140">
        <f>Premissas!$B$130</f>
        <v>142678.89258173032</v>
      </c>
      <c r="BV6" s="140">
        <f>Premissas!$B$131</f>
        <v>142366.81298073134</v>
      </c>
      <c r="BW6" s="140">
        <f>Premissas!$B$132</f>
        <v>133238.48465151057</v>
      </c>
      <c r="BX6" s="140">
        <f>Premissas!$B$133</f>
        <v>120316.48743508339</v>
      </c>
      <c r="BY6" s="140">
        <f>Premissas!$B$134</f>
        <v>126643.31619608622</v>
      </c>
      <c r="BZ6" s="140">
        <f>Premissas!$B$135</f>
        <v>152028.26104084615</v>
      </c>
      <c r="CA6" s="140">
        <f>Premissas!$B$136</f>
        <v>142654.46260046461</v>
      </c>
      <c r="CB6" s="140">
        <f>Premissas!$B$137</f>
        <v>146603.87871354463</v>
      </c>
      <c r="CC6" s="140">
        <f>Premissas!$B$138</f>
        <v>141752.01616676329</v>
      </c>
      <c r="CD6" s="140">
        <f>Premissas!$B$139</f>
        <v>134600.37077280763</v>
      </c>
      <c r="CE6" s="140">
        <f>Premissas!$B$140</f>
        <v>138899.12098925587</v>
      </c>
      <c r="CF6" s="140">
        <f>Premissas!$B$141</f>
        <v>123771.01356839169</v>
      </c>
      <c r="CG6" s="140">
        <f>Premissas!$B$142</f>
        <v>141965.49811882168</v>
      </c>
      <c r="CH6" s="140">
        <f>Premissas!$B$143</f>
        <v>141654.97891582767</v>
      </c>
      <c r="CI6" s="140">
        <f>Premissas!$B$144</f>
        <v>132572.29222825303</v>
      </c>
      <c r="CJ6" s="140">
        <f>Premissas!$B$145</f>
        <v>119714.90499790797</v>
      </c>
      <c r="CK6" s="140">
        <f>Premissas!$B$146</f>
        <v>126010.09961510579</v>
      </c>
      <c r="CL6" s="140">
        <f>Premissas!$B$147</f>
        <v>151268.1197356419</v>
      </c>
      <c r="CM6" s="140">
        <f>Premissas!$B$148</f>
        <v>141941.19028746229</v>
      </c>
      <c r="CN6" s="140">
        <f>Premissas!$B$149</f>
        <v>145870.85931997691</v>
      </c>
      <c r="CO6" s="140">
        <f>Premissas!$B$150</f>
        <v>141043.25608592946</v>
      </c>
      <c r="CP6" s="140">
        <f>Premissas!$B$151</f>
        <v>133927.36891894357</v>
      </c>
      <c r="CQ6" s="140">
        <f>Premissas!$B$152</f>
        <v>138204.62538430959</v>
      </c>
      <c r="CR6" s="140">
        <f>Premissas!$B$153</f>
        <v>123152.15850054973</v>
      </c>
      <c r="CS6" s="140">
        <f>Premissas!$B$154</f>
        <v>141255.67062822756</v>
      </c>
      <c r="CT6" s="140">
        <f>Premissas!$B$155</f>
        <v>140946.70402124853</v>
      </c>
      <c r="CU6" s="140">
        <f>Premissas!$B$156</f>
        <v>131909.43076711174</v>
      </c>
      <c r="CV6" s="140">
        <f>Premissas!$B$157</f>
        <v>119116.33047291843</v>
      </c>
      <c r="CW6" s="140">
        <f>Premissas!$B$158</f>
        <v>125380.04911703026</v>
      </c>
      <c r="CX6" s="140">
        <f>Premissas!$B$159</f>
        <v>150511.77913696371</v>
      </c>
      <c r="CY6" s="140">
        <f>Premissas!$B$160</f>
        <v>141231.48433602499</v>
      </c>
      <c r="CZ6" s="140">
        <f>Premissas!$B$161</f>
        <v>145141.50502337702</v>
      </c>
      <c r="DA6" s="140">
        <f>Premissas!$B$162</f>
        <v>140338.03980549984</v>
      </c>
      <c r="DB6" s="140">
        <f>Premissas!$B$163</f>
        <v>133257.73207434887</v>
      </c>
      <c r="DC6" s="140">
        <f>Premissas!$B$164</f>
        <v>137513.60225738803</v>
      </c>
      <c r="DD6" s="140">
        <f>Premissas!$B$165</f>
        <v>122536.39770804698</v>
      </c>
      <c r="DE6" s="140">
        <f>Premissas!$B$166</f>
        <v>140549.39227508643</v>
      </c>
      <c r="DF6" s="140">
        <f>Premissas!$B$167</f>
        <v>140241.97050114229</v>
      </c>
      <c r="DG6" s="140">
        <f>Premissas!$B$168</f>
        <v>131249.88361327621</v>
      </c>
      <c r="DH6" s="140">
        <f>Premissas!$B$169</f>
        <v>118520.74882055382</v>
      </c>
      <c r="DI6" s="140">
        <f>Premissas!$B$170</f>
        <v>124753.14887144511</v>
      </c>
      <c r="DJ6" s="140">
        <f>Premissas!$B$171</f>
        <v>149759.22024127888</v>
      </c>
      <c r="DK6" s="140">
        <f>Premissas!$B$172</f>
        <v>140525.32691434486</v>
      </c>
      <c r="DL6" s="140">
        <f>Premissas!$B$173</f>
        <v>144415.79749826013</v>
      </c>
      <c r="DM6" s="140">
        <f>Premissas!$B$174</f>
        <v>139636.34960647233</v>
      </c>
      <c r="DN6" s="140">
        <f>Premissas!$B$175</f>
        <v>132591.4434139771</v>
      </c>
      <c r="DO6" s="140">
        <f>Premissas!$B$176</f>
        <v>136826.0342461011</v>
      </c>
      <c r="DP6" s="140">
        <f>Premissas!$B$177</f>
        <v>121923.71571950674</v>
      </c>
      <c r="DQ6" s="140">
        <f>Premissas!$B$178</f>
        <v>139846.64531371099</v>
      </c>
      <c r="DR6" s="140">
        <f>Premissas!$B$179</f>
        <v>139540.76064863655</v>
      </c>
      <c r="DS6" s="140">
        <f>Premissas!$B$180</f>
        <v>130593.63419520982</v>
      </c>
    </row>
    <row r="7" spans="1:123" ht="12.75" customHeight="1" x14ac:dyDescent="0.35">
      <c r="A7" s="142" t="s">
        <v>471</v>
      </c>
      <c r="B7" s="143">
        <f>SUM(D7:DS7)</f>
        <v>7326414.8765835855</v>
      </c>
      <c r="C7" s="144">
        <f>B7/60</f>
        <v>122106.91460972643</v>
      </c>
      <c r="D7" s="143">
        <f>D6*Premissas!$B$17</f>
        <v>54865.574999999997</v>
      </c>
      <c r="E7" s="143">
        <f>E6*Premissas!$B$17</f>
        <v>57750.674999999996</v>
      </c>
      <c r="F7" s="143">
        <f>F6*Premissas!$B$17</f>
        <v>69326.475000000006</v>
      </c>
      <c r="G7" s="143">
        <f>G6*Premissas!$B$17</f>
        <v>65051.925000000003</v>
      </c>
      <c r="H7" s="143">
        <f>H6*Premissas!$B$17</f>
        <v>66852.899999999994</v>
      </c>
      <c r="I7" s="143">
        <f>I6*Premissas!$B$17</f>
        <v>64640.4</v>
      </c>
      <c r="J7" s="143">
        <f>J6*Premissas!$B$17</f>
        <v>61379.175000000003</v>
      </c>
      <c r="K7" s="143">
        <f>K6*Premissas!$B$17</f>
        <v>63022.752749999992</v>
      </c>
      <c r="L7" s="143">
        <f>L6*Premissas!$B$17</f>
        <v>56158.670624999999</v>
      </c>
      <c r="M7" s="143">
        <f>M6*Premissas!$B$17</f>
        <v>64414.061249999999</v>
      </c>
      <c r="N7" s="143">
        <f>N6*Premissas!$B$17</f>
        <v>64273.169250000006</v>
      </c>
      <c r="O7" s="143">
        <f>O6*Premissas!$B$17</f>
        <v>60152.078249999999</v>
      </c>
      <c r="P7" s="143">
        <f>P6*Premissas!$B$17</f>
        <v>54591.247125000002</v>
      </c>
      <c r="Q7" s="143">
        <f>Q6*Premissas!$B$17</f>
        <v>57461.921624999995</v>
      </c>
      <c r="R7" s="143">
        <f>R6*Premissas!$B$17</f>
        <v>68979.842625000005</v>
      </c>
      <c r="S7" s="143">
        <f>S6*Premissas!$B$17</f>
        <v>64726.665375000004</v>
      </c>
      <c r="T7" s="143">
        <f>T6*Premissas!$B$17</f>
        <v>66518.635500000004</v>
      </c>
      <c r="U7" s="143">
        <f>U6*Premissas!$B$17</f>
        <v>64317.198000000004</v>
      </c>
      <c r="V7" s="143">
        <f>V6*Premissas!$B$17</f>
        <v>61072.279125000008</v>
      </c>
      <c r="W7" s="143">
        <f>W6*Premissas!$B$17</f>
        <v>63022.752749999992</v>
      </c>
      <c r="X7" s="143">
        <f>X6*Premissas!$B$17</f>
        <v>56158.670624999999</v>
      </c>
      <c r="Y7" s="143">
        <f>Y6*Premissas!$B$17</f>
        <v>64414.061249999999</v>
      </c>
      <c r="Z7" s="143">
        <f>Z6*Premissas!$B$17</f>
        <v>64273.169250000006</v>
      </c>
      <c r="AA7" s="143">
        <f>AA6*Premissas!$B$17</f>
        <v>60152.078249999999</v>
      </c>
      <c r="AB7" s="143">
        <f>AB6*Premissas!$B$17</f>
        <v>54318.290889374999</v>
      </c>
      <c r="AC7" s="143">
        <f>AC6*Premissas!$B$17</f>
        <v>57174.612016874999</v>
      </c>
      <c r="AD7" s="143">
        <f>AD6*Premissas!$B$17</f>
        <v>68634.943411875007</v>
      </c>
      <c r="AE7" s="143">
        <f>AE6*Premissas!$B$17</f>
        <v>64403.032048124995</v>
      </c>
      <c r="AF7" s="143">
        <f>AF6*Premissas!$B$17</f>
        <v>66186.042322500012</v>
      </c>
      <c r="AG7" s="143">
        <f>AG6*Premissas!$B$17</f>
        <v>63995.612010000004</v>
      </c>
      <c r="AH7" s="143">
        <f>AH6*Premissas!$B$17</f>
        <v>60766.917729375004</v>
      </c>
      <c r="AI7" s="143">
        <f>AI6*Premissas!$B$17</f>
        <v>62707.638986250007</v>
      </c>
      <c r="AJ7" s="143">
        <f>AJ6*Premissas!$B$17</f>
        <v>55877.877271875004</v>
      </c>
      <c r="AK7" s="143">
        <f>AK6*Premissas!$B$17</f>
        <v>64091.990943750003</v>
      </c>
      <c r="AL7" s="143">
        <f>AL6*Premissas!$B$17</f>
        <v>63951.803403750004</v>
      </c>
      <c r="AM7" s="143">
        <f>AM6*Premissas!$B$17</f>
        <v>59851.317858750008</v>
      </c>
      <c r="AN7" s="143">
        <f>AN6*Premissas!$B$17</f>
        <v>54046.69943492813</v>
      </c>
      <c r="AO7" s="143">
        <f>AO6*Premissas!$B$17</f>
        <v>56888.738956790621</v>
      </c>
      <c r="AP7" s="143">
        <f>AP6*Premissas!$B$17</f>
        <v>68291.768694815633</v>
      </c>
      <c r="AQ7" s="143">
        <f>AQ6*Premissas!$B$17</f>
        <v>64081.016887884383</v>
      </c>
      <c r="AR7" s="143">
        <f>AR6*Premissas!$B$17</f>
        <v>65855.112110887494</v>
      </c>
      <c r="AS7" s="143">
        <f>AS6*Premissas!$B$17</f>
        <v>63675.633949950003</v>
      </c>
      <c r="AT7" s="143">
        <f>AT6*Premissas!$B$17</f>
        <v>60463.083140728122</v>
      </c>
      <c r="AU7" s="143">
        <f>AU6*Premissas!$B$17</f>
        <v>62394.10079131875</v>
      </c>
      <c r="AV7" s="143">
        <f>AV6*Premissas!$B$17</f>
        <v>55598.487885515628</v>
      </c>
      <c r="AW7" s="143">
        <f>AW6*Premissas!$B$17</f>
        <v>63771.530989031256</v>
      </c>
      <c r="AX7" s="143">
        <f>AX6*Premissas!$B$17</f>
        <v>63632.044386731257</v>
      </c>
      <c r="AY7" s="143">
        <f>AY6*Premissas!$B$17</f>
        <v>59552.061269456244</v>
      </c>
      <c r="AZ7" s="143">
        <f>AZ6*Premissas!$B$17</f>
        <v>53776.465937753492</v>
      </c>
      <c r="BA7" s="143">
        <f>BA6*Premissas!$B$17</f>
        <v>56604.295262006672</v>
      </c>
      <c r="BB7" s="143">
        <f>BB6*Premissas!$B$17</f>
        <v>67950.309851341546</v>
      </c>
      <c r="BC7" s="143">
        <f>BC6*Premissas!$B$17</f>
        <v>63760.611803444961</v>
      </c>
      <c r="BD7" s="143">
        <f>BD6*Premissas!$B$17</f>
        <v>65525.836550333064</v>
      </c>
      <c r="BE7" s="143">
        <f>BE6*Premissas!$B$17</f>
        <v>63357.255780200256</v>
      </c>
      <c r="BF7" s="143">
        <f>BF6*Premissas!$B$17</f>
        <v>60160.767725024496</v>
      </c>
      <c r="BG7" s="143">
        <f>BG6*Premissas!$B$17</f>
        <v>62082.130287362153</v>
      </c>
      <c r="BH7" s="143">
        <f>BH6*Premissas!$B$17</f>
        <v>55320.495446088054</v>
      </c>
      <c r="BI7" s="143">
        <f>BI6*Premissas!$B$17</f>
        <v>63452.673334086096</v>
      </c>
      <c r="BJ7" s="143">
        <f>BJ6*Premissas!$B$17</f>
        <v>63313.884164797601</v>
      </c>
      <c r="BK7" s="143">
        <f>BK6*Premissas!$B$17</f>
        <v>59254.300963108974</v>
      </c>
      <c r="BL7" s="143">
        <f>BL6*Premissas!$B$17</f>
        <v>53507.58360806472</v>
      </c>
      <c r="BM7" s="143">
        <f>BM6*Premissas!$B$17</f>
        <v>56321.273785696641</v>
      </c>
      <c r="BN7" s="143">
        <f>BN6*Premissas!$B$17</f>
        <v>67610.558302084843</v>
      </c>
      <c r="BO7" s="143">
        <f>BO6*Premissas!$B$17</f>
        <v>63441.808744427733</v>
      </c>
      <c r="BP7" s="143">
        <f>BP6*Premissas!$B$17</f>
        <v>65198.207367581395</v>
      </c>
      <c r="BQ7" s="143">
        <f>BQ6*Premissas!$B$17</f>
        <v>63040.469501299252</v>
      </c>
      <c r="BR7" s="143">
        <f>BR6*Premissas!$B$17</f>
        <v>59859.96388639936</v>
      </c>
      <c r="BS7" s="143">
        <f>BS6*Premissas!$B$17</f>
        <v>61771.719635925358</v>
      </c>
      <c r="BT7" s="143">
        <f>BT6*Premissas!$B$17</f>
        <v>55043.892968857617</v>
      </c>
      <c r="BU7" s="143">
        <f>BU6*Premissas!$B$17</f>
        <v>63135.409967415668</v>
      </c>
      <c r="BV7" s="143">
        <f>BV6*Premissas!$B$17</f>
        <v>62997.31474397362</v>
      </c>
      <c r="BW7" s="143">
        <f>BW6*Premissas!$B$17</f>
        <v>58958.029458293429</v>
      </c>
      <c r="BX7" s="143">
        <f>BX6*Premissas!$B$17</f>
        <v>53240.045690024395</v>
      </c>
      <c r="BY7" s="143">
        <f>BY6*Premissas!$B$17</f>
        <v>56039.667416768156</v>
      </c>
      <c r="BZ7" s="143">
        <f>BZ6*Premissas!$B$17</f>
        <v>67272.505510574425</v>
      </c>
      <c r="CA7" s="143">
        <f>CA6*Premissas!$B$17</f>
        <v>63124.599700705592</v>
      </c>
      <c r="CB7" s="143">
        <f>CB6*Premissas!$B$17</f>
        <v>64872.216330743504</v>
      </c>
      <c r="CC7" s="143">
        <f>CC6*Premissas!$B$17</f>
        <v>62725.26715379276</v>
      </c>
      <c r="CD7" s="143">
        <f>CD6*Premissas!$B$17</f>
        <v>59560.664066967372</v>
      </c>
      <c r="CE7" s="143">
        <f>CE6*Premissas!$B$17</f>
        <v>61462.861037745723</v>
      </c>
      <c r="CF7" s="143">
        <f>CF6*Premissas!$B$17</f>
        <v>54768.673504013321</v>
      </c>
      <c r="CG7" s="143">
        <f>CG6*Premissas!$B$17</f>
        <v>62819.732917578593</v>
      </c>
      <c r="CH7" s="143">
        <f>CH6*Premissas!$B$17</f>
        <v>62682.328170253742</v>
      </c>
      <c r="CI7" s="143">
        <f>CI6*Premissas!$B$17</f>
        <v>58663.239311001969</v>
      </c>
      <c r="CJ7" s="143">
        <f>CJ6*Premissas!$B$17</f>
        <v>52973.845461574281</v>
      </c>
      <c r="CK7" s="143">
        <f>CK6*Premissas!$B$17</f>
        <v>55759.469079684313</v>
      </c>
      <c r="CL7" s="143">
        <f>CL6*Premissas!$B$17</f>
        <v>66936.142983021535</v>
      </c>
      <c r="CM7" s="143">
        <f>CM6*Premissas!$B$17</f>
        <v>62808.976702202061</v>
      </c>
      <c r="CN7" s="143">
        <f>CN6*Premissas!$B$17</f>
        <v>64547.855249089786</v>
      </c>
      <c r="CO7" s="143">
        <f>CO6*Premissas!$B$17</f>
        <v>62411.640818023785</v>
      </c>
      <c r="CP7" s="143">
        <f>CP6*Premissas!$B$17</f>
        <v>59262.860746632527</v>
      </c>
      <c r="CQ7" s="143">
        <f>CQ6*Premissas!$B$17</f>
        <v>61155.546732556992</v>
      </c>
      <c r="CR7" s="143">
        <f>CR6*Premissas!$B$17</f>
        <v>54494.830136493256</v>
      </c>
      <c r="CS7" s="143">
        <f>CS6*Premissas!$B$17</f>
        <v>62505.634252990691</v>
      </c>
      <c r="CT7" s="143">
        <f>CT6*Premissas!$B$17</f>
        <v>62368.916529402471</v>
      </c>
      <c r="CU7" s="143">
        <f>CU6*Premissas!$B$17</f>
        <v>58369.923114446945</v>
      </c>
      <c r="CV7" s="143">
        <f>CV6*Premissas!$B$17</f>
        <v>52708.976234266403</v>
      </c>
      <c r="CW7" s="143">
        <f>CW6*Premissas!$B$17</f>
        <v>55480.67173428589</v>
      </c>
      <c r="CX7" s="143">
        <f>CX6*Premissas!$B$17</f>
        <v>66601.46226810645</v>
      </c>
      <c r="CY7" s="143">
        <f>CY6*Premissas!$B$17</f>
        <v>62494.93181869106</v>
      </c>
      <c r="CZ7" s="143">
        <f>CZ6*Premissas!$B$17</f>
        <v>64225.115972844331</v>
      </c>
      <c r="DA7" s="143">
        <f>DA6*Premissas!$B$17</f>
        <v>62099.582613933679</v>
      </c>
      <c r="DB7" s="143">
        <f>DB6*Premissas!$B$17</f>
        <v>58966.546442899373</v>
      </c>
      <c r="DC7" s="143">
        <f>DC6*Premissas!$B$17</f>
        <v>60849.768998894207</v>
      </c>
      <c r="DD7" s="143">
        <f>DD6*Premissas!$B$17</f>
        <v>54222.355985810791</v>
      </c>
      <c r="DE7" s="143">
        <f>DE6*Premissas!$B$17</f>
        <v>62193.106081725746</v>
      </c>
      <c r="DF7" s="143">
        <f>DF6*Premissas!$B$17</f>
        <v>62057.071946755466</v>
      </c>
      <c r="DG7" s="143">
        <f>DG6*Premissas!$B$17</f>
        <v>58078.073498874721</v>
      </c>
      <c r="DH7" s="143">
        <f>DH6*Premissas!$B$17</f>
        <v>52445.431353095068</v>
      </c>
      <c r="DI7" s="143">
        <f>DI6*Premissas!$B$17</f>
        <v>55203.268375614462</v>
      </c>
      <c r="DJ7" s="143">
        <f>DJ6*Premissas!$B$17</f>
        <v>66268.454956765898</v>
      </c>
      <c r="DK7" s="143">
        <f>DK6*Premissas!$B$17</f>
        <v>62182.457159597601</v>
      </c>
      <c r="DL7" s="143">
        <f>DL6*Premissas!$B$17</f>
        <v>63903.990392980108</v>
      </c>
      <c r="DM7" s="143">
        <f>DM6*Premissas!$B$17</f>
        <v>61789.084700864005</v>
      </c>
      <c r="DN7" s="143">
        <f>DN6*Premissas!$B$17</f>
        <v>58671.713710684868</v>
      </c>
      <c r="DO7" s="143">
        <f>DO6*Premissas!$B$17</f>
        <v>60545.520153899735</v>
      </c>
      <c r="DP7" s="143">
        <f>DP6*Premissas!$B$17</f>
        <v>53951.244205881732</v>
      </c>
      <c r="DQ7" s="143">
        <f>DQ6*Premissas!$B$17</f>
        <v>61882.140551317112</v>
      </c>
      <c r="DR7" s="143">
        <f>DR6*Premissas!$B$17</f>
        <v>61746.786587021677</v>
      </c>
      <c r="DS7" s="143">
        <f>DS6*Premissas!$B$17</f>
        <v>57787.683131380341</v>
      </c>
    </row>
    <row r="8" spans="1:123" ht="15" customHeight="1" x14ac:dyDescent="0.35">
      <c r="A8" s="334" t="s">
        <v>472</v>
      </c>
      <c r="B8" s="334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  <c r="P8" s="334"/>
      <c r="Q8" s="334"/>
      <c r="R8" s="334"/>
      <c r="S8" s="334"/>
      <c r="T8" s="334"/>
      <c r="U8" s="334"/>
      <c r="V8" s="334"/>
      <c r="W8" s="334"/>
      <c r="X8" s="334"/>
      <c r="Y8" s="334"/>
      <c r="Z8" s="334"/>
      <c r="AA8" s="334"/>
    </row>
    <row r="9" spans="1:123" ht="12.75" customHeight="1" x14ac:dyDescent="0.35">
      <c r="A9" s="86" t="s">
        <v>473</v>
      </c>
      <c r="B9" s="107">
        <f t="shared" ref="B9:B14" si="0">SUM(D9:BQ9)</f>
        <v>6130080.1115231775</v>
      </c>
      <c r="C9" s="139">
        <f t="shared" ref="C9:C14" si="1">B9/60</f>
        <v>102168.00185871962</v>
      </c>
      <c r="D9" s="107">
        <f>+Batayporã!I8</f>
        <v>72286.89999999998</v>
      </c>
      <c r="E9" s="107">
        <f>+Batayporã!I9</f>
        <v>88336.8</v>
      </c>
      <c r="F9" s="107">
        <f>+Batayporã!I10</f>
        <v>93082.7</v>
      </c>
      <c r="G9" s="107">
        <f>+Batayporã!I11</f>
        <v>94433.400000000009</v>
      </c>
      <c r="H9" s="107">
        <f>+Batayporã!I12</f>
        <v>95906.799999999988</v>
      </c>
      <c r="I9" s="107">
        <f>+Batayporã!I13</f>
        <v>107980.59999999998</v>
      </c>
      <c r="J9" s="107">
        <f>+Batayporã!I14</f>
        <v>106603.90000000001</v>
      </c>
      <c r="K9" s="107">
        <f>+Batayporã!I3*(1-Premissas!$B$23)</f>
        <v>113687.70499999996</v>
      </c>
      <c r="L9" s="107">
        <f>+Batayporã!I4*(1-Premissas!$B$23)</f>
        <v>90676.240500000014</v>
      </c>
      <c r="M9" s="107">
        <f>+Batayporã!I5*(1-Premissas!$B$23)</f>
        <v>102546.59049999998</v>
      </c>
      <c r="N9" s="107">
        <f>+Batayporã!I6*(1-Premissas!$B$23)</f>
        <v>73341.151499999993</v>
      </c>
      <c r="O9" s="107">
        <f>+Batayporã!I7*(1-Premissas!$B$23)</f>
        <v>91158.516999999993</v>
      </c>
      <c r="P9" s="107">
        <f>D9*(1-Premissas!$B$23)</f>
        <v>71925.465499999977</v>
      </c>
      <c r="Q9" s="107">
        <f>E9*(1-Premissas!$B$23)</f>
        <v>87895.116000000009</v>
      </c>
      <c r="R9" s="107">
        <f>F9*(1-Premissas!$B$23)</f>
        <v>92617.286500000002</v>
      </c>
      <c r="S9" s="107">
        <f>G9*(1-Premissas!$B$23)</f>
        <v>93961.233000000007</v>
      </c>
      <c r="T9" s="107">
        <f>H9*(1-Premissas!$B$23)</f>
        <v>95427.265999999989</v>
      </c>
      <c r="U9" s="107">
        <f>I9*(1-Premissas!$B$23)</f>
        <v>107440.69699999997</v>
      </c>
      <c r="V9" s="107">
        <f>J9*(1-Premissas!$B$23)</f>
        <v>106070.88050000001</v>
      </c>
      <c r="W9" s="107">
        <f>K9*(1-Premissas!$B$23)</f>
        <v>113119.26647499995</v>
      </c>
      <c r="X9" s="107">
        <f>L9*(1-Premissas!$B$23)</f>
        <v>90222.859297500021</v>
      </c>
      <c r="Y9" s="107">
        <f>M9*(1-Premissas!$B$23)</f>
        <v>102033.85754749998</v>
      </c>
      <c r="Z9" s="107">
        <f>N9*(1-Premissas!$B$23)</f>
        <v>72974.445742499985</v>
      </c>
      <c r="AA9" s="107">
        <f>O9*(1-Premissas!$B$23)</f>
        <v>90702.72441499999</v>
      </c>
      <c r="AB9" s="107">
        <f>P9*(1-Premissas!$B$23)</f>
        <v>71565.838172499978</v>
      </c>
      <c r="AC9" s="107">
        <f>Q9*(1-Premissas!$B$23)</f>
        <v>87455.640420000011</v>
      </c>
      <c r="AD9" s="107">
        <f>R9*(1-Premissas!$B$23)</f>
        <v>92154.200067500002</v>
      </c>
      <c r="AE9" s="107">
        <f>S9*(1-Premissas!$B$23)</f>
        <v>93491.426835000006</v>
      </c>
      <c r="AF9" s="107">
        <f>T9*(1-Premissas!$B$23)</f>
        <v>94950.129669999995</v>
      </c>
      <c r="AG9" s="107">
        <f>U9*(1-Premissas!$B$23)</f>
        <v>106903.49351499997</v>
      </c>
      <c r="AH9" s="107">
        <f>V9*(1-Premissas!$B$23)</f>
        <v>105540.52609750001</v>
      </c>
      <c r="AI9" s="107">
        <f>W9*(1-Premissas!$B$23)</f>
        <v>112553.67014262495</v>
      </c>
      <c r="AJ9" s="107">
        <f>X9*(1-Premissas!$B$23)</f>
        <v>89771.745001012518</v>
      </c>
      <c r="AK9" s="107">
        <f>Y9*(1-Premissas!$B$23)</f>
        <v>101523.68825976248</v>
      </c>
      <c r="AL9" s="107">
        <f>Z9*(1-Premissas!$B$23)</f>
        <v>72609.573513787487</v>
      </c>
      <c r="AM9" s="107">
        <f>AA9*(1-Premissas!$B$23)</f>
        <v>90249.210792924991</v>
      </c>
      <c r="AN9" s="107">
        <f>AB9*(1-Premissas!$B$23)</f>
        <v>71208.008981637482</v>
      </c>
      <c r="AO9" s="107">
        <f>AC9*(1-Premissas!$B$23)</f>
        <v>87018.362217900009</v>
      </c>
      <c r="AP9" s="107">
        <f>AD9*(1-Premissas!$B$23)</f>
        <v>91693.429067162506</v>
      </c>
      <c r="AQ9" s="107">
        <f>AE9*(1-Premissas!$B$23)</f>
        <v>93023.969700825008</v>
      </c>
      <c r="AR9" s="107">
        <f>AF9*(1-Premissas!$B$23)</f>
        <v>94475.379021649991</v>
      </c>
      <c r="AS9" s="107">
        <f>AG9*(1-Premissas!$B$23)</f>
        <v>106368.97604742496</v>
      </c>
      <c r="AT9" s="107">
        <f>AH9*(1-Premissas!$B$23)</f>
        <v>105012.82346701251</v>
      </c>
      <c r="AU9" s="107">
        <f>AI9*(1-Premissas!$B$23)</f>
        <v>111990.90179191182</v>
      </c>
      <c r="AV9" s="107">
        <f>AJ9*(1-Premissas!$B$23)</f>
        <v>89322.886276007455</v>
      </c>
      <c r="AW9" s="107">
        <f>AK9*(1-Premissas!$B$23)</f>
        <v>101016.06981846367</v>
      </c>
      <c r="AX9" s="107">
        <f>AL9*(1-Premissas!$B$23)</f>
        <v>72246.52564621855</v>
      </c>
      <c r="AY9" s="107">
        <f>AM9*(1-Premissas!$B$23)</f>
        <v>89797.964738960363</v>
      </c>
      <c r="AZ9" s="107">
        <f>AN9*(1-Premissas!$B$23)</f>
        <v>70851.968936729289</v>
      </c>
      <c r="BA9" s="107">
        <f>AO9*(1-Premissas!$B$23)</f>
        <v>86583.270406810509</v>
      </c>
      <c r="BB9" s="107">
        <f>AP9*(1-Premissas!$B$23)</f>
        <v>91234.961921826689</v>
      </c>
      <c r="BC9" s="107">
        <f>AQ9*(1-Premissas!$B$23)</f>
        <v>92558.849852320884</v>
      </c>
      <c r="BD9" s="107">
        <f>AR9*(1-Premissas!$B$23)</f>
        <v>94003.002126541745</v>
      </c>
      <c r="BE9" s="107">
        <f>AS9*(1-Premissas!$B$23)</f>
        <v>105837.13116718784</v>
      </c>
      <c r="BF9" s="107">
        <f>AT9*(1-Premissas!$B$23)</f>
        <v>104487.75934967745</v>
      </c>
      <c r="BG9" s="107">
        <f>AU9*(1-Premissas!$B$23)</f>
        <v>111430.94728295226</v>
      </c>
      <c r="BH9" s="107">
        <f>AV9*(1-Premissas!$B$23)</f>
        <v>88876.271844627423</v>
      </c>
      <c r="BI9" s="107">
        <f>AW9*(1-Premissas!$B$23)</f>
        <v>100510.98946937136</v>
      </c>
      <c r="BJ9" s="107">
        <f>AX9*(1-Premissas!$B$23)</f>
        <v>71885.293017987453</v>
      </c>
      <c r="BK9" s="107">
        <f>AY9*(1-Premissas!$B$23)</f>
        <v>89348.974915265557</v>
      </c>
      <c r="BL9" s="107">
        <f>AY9*(1-Premissas!$B$23)</f>
        <v>89348.974915265557</v>
      </c>
      <c r="BM9" s="107">
        <f>AY9*(1-Premissas!$B$23)</f>
        <v>89348.974915265557</v>
      </c>
      <c r="BN9" s="107">
        <f>AY9*(1-Premissas!$B$23)</f>
        <v>89348.974915265557</v>
      </c>
      <c r="BO9" s="107">
        <f>AY9*(1-Premissas!$B$23)</f>
        <v>89348.974915265557</v>
      </c>
      <c r="BP9" s="107">
        <f>AY9*(1-Premissas!$B$23)</f>
        <v>89348.974915265557</v>
      </c>
      <c r="BQ9" s="107">
        <f>AY9*(1-Premissas!$B$23)</f>
        <v>89348.974915265557</v>
      </c>
      <c r="BR9" s="107">
        <f>AY9*(1-Premissas!$B$23)</f>
        <v>89348.974915265557</v>
      </c>
      <c r="BS9" s="107">
        <f>AY9*(1-Premissas!$B$23)</f>
        <v>89348.974915265557</v>
      </c>
      <c r="BT9" s="107">
        <f>AY9*(1-Premissas!$B$23)</f>
        <v>89348.974915265557</v>
      </c>
      <c r="BU9" s="107">
        <f>AY9*(1-Premissas!$B$23)</f>
        <v>89348.974915265557</v>
      </c>
      <c r="BV9" s="107">
        <f>AY9*(1-Premissas!$B$23)</f>
        <v>89348.974915265557</v>
      </c>
      <c r="BW9" s="107">
        <f>AY9*(1-Premissas!$B$23)</f>
        <v>89348.974915265557</v>
      </c>
      <c r="BX9" s="107">
        <f>AY9*(1-Premissas!$B$23)</f>
        <v>89348.974915265557</v>
      </c>
      <c r="BY9" s="107">
        <f>AY9*(1-Premissas!$B$23)</f>
        <v>89348.974915265557</v>
      </c>
      <c r="BZ9" s="107">
        <f>AY9*(1-Premissas!$B$23)</f>
        <v>89348.974915265557</v>
      </c>
      <c r="CA9" s="107">
        <f>AY9*(1-Premissas!$B$23)</f>
        <v>89348.974915265557</v>
      </c>
      <c r="CB9" s="107">
        <f>AY9*(1-Premissas!$B$23)</f>
        <v>89348.974915265557</v>
      </c>
      <c r="CC9" s="107">
        <f>AY9*(1-Premissas!$B$23)</f>
        <v>89348.974915265557</v>
      </c>
      <c r="CD9" s="107">
        <f>AY9*(1-Premissas!$B$23)</f>
        <v>89348.974915265557</v>
      </c>
      <c r="CE9" s="107">
        <f>AY9*(1-Premissas!$B$23)</f>
        <v>89348.974915265557</v>
      </c>
      <c r="CF9" s="107">
        <f>AY9*(1-Premissas!$B$23)</f>
        <v>89348.974915265557</v>
      </c>
      <c r="CG9" s="107">
        <f>AY9*(1-Premissas!$B$23)</f>
        <v>89348.974915265557</v>
      </c>
      <c r="CH9" s="107">
        <f>AY9*(1-Premissas!$B$23)</f>
        <v>89348.974915265557</v>
      </c>
      <c r="CI9" s="107">
        <f>AY9*(1-Premissas!$B$23)</f>
        <v>89348.974915265557</v>
      </c>
      <c r="CJ9" s="107">
        <f>AY9*(1-Premissas!$B$23)</f>
        <v>89348.974915265557</v>
      </c>
      <c r="CK9" s="107">
        <f>AY9*(1-Premissas!$B$23)</f>
        <v>89348.974915265557</v>
      </c>
      <c r="CL9" s="107">
        <f>AY9*(1-Premissas!$B$23)</f>
        <v>89348.974915265557</v>
      </c>
      <c r="CM9" s="107">
        <f>AY9*(1-Premissas!$B$23)</f>
        <v>89348.974915265557</v>
      </c>
      <c r="CN9" s="107">
        <f>AY9*(1-Premissas!$B$23)</f>
        <v>89348.974915265557</v>
      </c>
      <c r="CO9" s="107">
        <f>AY9*(1-Premissas!$B$23)</f>
        <v>89348.974915265557</v>
      </c>
      <c r="CP9" s="107">
        <f>AY9*(1-Premissas!$B$23)</f>
        <v>89348.974915265557</v>
      </c>
      <c r="CQ9" s="107">
        <f>AY9*(1-Premissas!$B$23)</f>
        <v>89348.974915265557</v>
      </c>
      <c r="CR9" s="107">
        <f>AY9*(1-Premissas!$B$23)</f>
        <v>89348.974915265557</v>
      </c>
      <c r="CS9" s="107">
        <f>AY9*(1-Premissas!$B$23)</f>
        <v>89348.974915265557</v>
      </c>
      <c r="CT9" s="107">
        <f>AY9*(1-Premissas!$B$23)</f>
        <v>89348.974915265557</v>
      </c>
      <c r="CU9" s="107">
        <f>AY9*(1-Premissas!$B$23)</f>
        <v>89348.974915265557</v>
      </c>
      <c r="CV9" s="107">
        <f>AY9*(1-Premissas!$B$23)</f>
        <v>89348.974915265557</v>
      </c>
      <c r="CW9" s="107">
        <f>AY9*(1-Premissas!$B$23)</f>
        <v>89348.974915265557</v>
      </c>
      <c r="CX9" s="107">
        <f>AY9*(1-Premissas!$B$23)</f>
        <v>89348.974915265557</v>
      </c>
      <c r="CY9" s="107">
        <f>AY9*(1-Premissas!$B$23)</f>
        <v>89348.974915265557</v>
      </c>
      <c r="CZ9" s="107">
        <f>AY9*(1-Premissas!$B$23)</f>
        <v>89348.974915265557</v>
      </c>
      <c r="DA9" s="107">
        <f>AY9*(1-Premissas!$B$23)</f>
        <v>89348.974915265557</v>
      </c>
      <c r="DB9" s="107">
        <f>AY9*(1-Premissas!$B$23)</f>
        <v>89348.974915265557</v>
      </c>
      <c r="DC9" s="107">
        <f>AY9*(1-Premissas!$B$23)</f>
        <v>89348.974915265557</v>
      </c>
      <c r="DD9" s="107">
        <f>AY9*(1-Premissas!$B$23)</f>
        <v>89348.974915265557</v>
      </c>
      <c r="DE9" s="107">
        <f>AY9*(1-Premissas!$B$23)</f>
        <v>89348.974915265557</v>
      </c>
      <c r="DF9" s="107">
        <f>AY9*(1-Premissas!$B$23)</f>
        <v>89348.974915265557</v>
      </c>
      <c r="DG9" s="107">
        <f>AY9*(1-Premissas!$B$23)</f>
        <v>89348.974915265557</v>
      </c>
      <c r="DH9" s="107">
        <f>AY9*(1-Premissas!$B$23)</f>
        <v>89348.974915265557</v>
      </c>
      <c r="DI9" s="107">
        <f>AY9*(1-Premissas!$B$23)</f>
        <v>89348.974915265557</v>
      </c>
      <c r="DJ9" s="107">
        <f>AY9*(1-Premissas!$B$23)</f>
        <v>89348.974915265557</v>
      </c>
      <c r="DK9" s="107">
        <f>AY9*(1-Premissas!$B$23)</f>
        <v>89348.974915265557</v>
      </c>
      <c r="DL9" s="107">
        <f>AY9*(1-Premissas!$B$23)</f>
        <v>89348.974915265557</v>
      </c>
      <c r="DM9" s="107">
        <f>AY9*(1-Premissas!$B$23)</f>
        <v>89348.974915265557</v>
      </c>
      <c r="DN9" s="107">
        <f>AY9*(1-Premissas!$B$23)</f>
        <v>89348.974915265557</v>
      </c>
      <c r="DO9" s="107">
        <f>AY9*(1-Premissas!$B$23)</f>
        <v>89348.974915265557</v>
      </c>
      <c r="DP9" s="107">
        <f>AY9*(1-Premissas!$B$23)</f>
        <v>89348.974915265557</v>
      </c>
      <c r="DQ9" s="107">
        <f>AY9*(1-Premissas!$B$23)</f>
        <v>89348.974915265557</v>
      </c>
      <c r="DR9" s="107">
        <f>AY9*(1-Premissas!$B$23)</f>
        <v>89348.974915265557</v>
      </c>
      <c r="DS9" s="107">
        <f>AY9*(1-Premissas!$B$23)</f>
        <v>89348.974915265557</v>
      </c>
    </row>
    <row r="10" spans="1:123" ht="12.75" customHeight="1" x14ac:dyDescent="0.35">
      <c r="A10" s="145" t="s">
        <v>474</v>
      </c>
      <c r="B10" s="127">
        <f t="shared" si="0"/>
        <v>3825969</v>
      </c>
      <c r="C10" s="139">
        <f t="shared" si="1"/>
        <v>63766.15</v>
      </c>
      <c r="D10" s="127">
        <v>78336</v>
      </c>
      <c r="E10" s="127">
        <v>115718</v>
      </c>
      <c r="F10" s="127">
        <v>23364</v>
      </c>
      <c r="G10" s="127">
        <v>10800</v>
      </c>
      <c r="H10" s="127">
        <v>10800</v>
      </c>
      <c r="I10" s="127">
        <v>10800</v>
      </c>
      <c r="J10" s="127">
        <v>3402</v>
      </c>
      <c r="K10" s="127">
        <v>116816</v>
      </c>
      <c r="L10" s="127">
        <v>129021</v>
      </c>
      <c r="M10" s="127">
        <v>58937</v>
      </c>
      <c r="N10" s="127">
        <v>36531</v>
      </c>
      <c r="O10" s="127">
        <v>81593</v>
      </c>
      <c r="P10" s="127">
        <v>80294</v>
      </c>
      <c r="Q10" s="127">
        <v>118611</v>
      </c>
      <c r="R10" s="127">
        <v>23948</v>
      </c>
      <c r="S10" s="127">
        <v>11070</v>
      </c>
      <c r="T10" s="127">
        <v>11070</v>
      </c>
      <c r="U10" s="127">
        <v>11070</v>
      </c>
      <c r="V10" s="127">
        <v>3487</v>
      </c>
      <c r="W10" s="127">
        <v>116816</v>
      </c>
      <c r="X10" s="127">
        <v>129021</v>
      </c>
      <c r="Y10" s="127">
        <v>58937</v>
      </c>
      <c r="Z10" s="127">
        <v>36531</v>
      </c>
      <c r="AA10" s="127">
        <v>81593</v>
      </c>
      <c r="AB10" s="127">
        <v>82302</v>
      </c>
      <c r="AC10" s="127">
        <v>121576</v>
      </c>
      <c r="AD10" s="127">
        <v>24547</v>
      </c>
      <c r="AE10" s="127">
        <v>11347</v>
      </c>
      <c r="AF10" s="127">
        <v>11347</v>
      </c>
      <c r="AG10" s="127">
        <v>11347</v>
      </c>
      <c r="AH10" s="127">
        <v>3574</v>
      </c>
      <c r="AI10" s="127">
        <v>122730</v>
      </c>
      <c r="AJ10" s="127">
        <v>135553</v>
      </c>
      <c r="AK10" s="127">
        <v>61921</v>
      </c>
      <c r="AL10" s="127">
        <v>38380</v>
      </c>
      <c r="AM10" s="127">
        <v>85724</v>
      </c>
      <c r="AN10" s="127">
        <v>84359</v>
      </c>
      <c r="AO10" s="127">
        <v>124616</v>
      </c>
      <c r="AP10" s="127">
        <v>25160</v>
      </c>
      <c r="AQ10" s="127">
        <v>11630</v>
      </c>
      <c r="AR10" s="127">
        <v>11630</v>
      </c>
      <c r="AS10" s="127">
        <v>11630</v>
      </c>
      <c r="AT10" s="127">
        <v>3664</v>
      </c>
      <c r="AU10" s="127">
        <v>125798</v>
      </c>
      <c r="AV10" s="127">
        <v>138942</v>
      </c>
      <c r="AW10" s="127">
        <v>63469</v>
      </c>
      <c r="AX10" s="127">
        <v>39340</v>
      </c>
      <c r="AY10" s="127">
        <v>87867</v>
      </c>
      <c r="AZ10" s="127">
        <v>86468</v>
      </c>
      <c r="BA10" s="127">
        <v>127731</v>
      </c>
      <c r="BB10" s="127">
        <v>25789</v>
      </c>
      <c r="BC10" s="127">
        <v>11921</v>
      </c>
      <c r="BD10" s="127">
        <v>11921</v>
      </c>
      <c r="BE10" s="127">
        <v>11921</v>
      </c>
      <c r="BF10" s="127">
        <v>3755</v>
      </c>
      <c r="BG10" s="127">
        <v>128943</v>
      </c>
      <c r="BH10" s="127">
        <v>142415</v>
      </c>
      <c r="BI10" s="127">
        <v>65055</v>
      </c>
      <c r="BJ10" s="127">
        <v>40323</v>
      </c>
      <c r="BK10" s="127">
        <v>90063</v>
      </c>
      <c r="BL10" s="127">
        <v>88630</v>
      </c>
      <c r="BM10" s="127">
        <v>130924</v>
      </c>
      <c r="BN10" s="127">
        <v>26434</v>
      </c>
      <c r="BO10" s="127">
        <v>12219</v>
      </c>
      <c r="BP10" s="127">
        <v>12219</v>
      </c>
      <c r="BQ10" s="127">
        <v>12219</v>
      </c>
      <c r="BR10" s="127">
        <v>3849</v>
      </c>
      <c r="BS10" s="127">
        <v>132167</v>
      </c>
      <c r="BT10" s="127">
        <v>145975</v>
      </c>
      <c r="BU10" s="127">
        <v>66682</v>
      </c>
      <c r="BV10" s="127">
        <v>41331</v>
      </c>
      <c r="BW10" s="127">
        <v>92315</v>
      </c>
      <c r="BX10" s="127">
        <v>90846</v>
      </c>
      <c r="BY10" s="127">
        <v>134197</v>
      </c>
      <c r="BZ10" s="127">
        <v>27095</v>
      </c>
      <c r="CA10" s="127">
        <v>12525</v>
      </c>
      <c r="CB10" s="127">
        <v>12525</v>
      </c>
      <c r="CC10" s="127">
        <v>12525</v>
      </c>
      <c r="CD10" s="127">
        <v>3945</v>
      </c>
      <c r="CE10" s="127">
        <v>135471</v>
      </c>
      <c r="CF10" s="127">
        <v>149625</v>
      </c>
      <c r="CG10" s="127">
        <v>68349</v>
      </c>
      <c r="CH10" s="127">
        <v>42365</v>
      </c>
      <c r="CI10" s="127">
        <v>94623</v>
      </c>
      <c r="CJ10" s="127">
        <v>93117</v>
      </c>
      <c r="CK10" s="127">
        <v>137552</v>
      </c>
      <c r="CL10" s="127">
        <v>27772</v>
      </c>
      <c r="CM10" s="127">
        <v>12838</v>
      </c>
      <c r="CN10" s="127">
        <v>12838</v>
      </c>
      <c r="CO10" s="127">
        <v>12838</v>
      </c>
      <c r="CP10" s="127">
        <v>4044</v>
      </c>
      <c r="CQ10" s="127">
        <v>138858</v>
      </c>
      <c r="CR10" s="127">
        <v>153365</v>
      </c>
      <c r="CS10" s="127">
        <v>70058</v>
      </c>
      <c r="CT10" s="127">
        <v>43424</v>
      </c>
      <c r="CU10" s="127">
        <v>96988</v>
      </c>
      <c r="CV10" s="127">
        <v>95445</v>
      </c>
      <c r="CW10" s="127">
        <v>140991</v>
      </c>
      <c r="CX10" s="127">
        <v>28467</v>
      </c>
      <c r="CY10" s="127">
        <v>13159</v>
      </c>
      <c r="CZ10" s="127">
        <v>13159</v>
      </c>
      <c r="DA10" s="127">
        <v>13159</v>
      </c>
      <c r="DB10" s="127">
        <v>4145</v>
      </c>
      <c r="DC10" s="127">
        <v>142329</v>
      </c>
      <c r="DD10" s="127">
        <v>157200</v>
      </c>
      <c r="DE10" s="127">
        <v>71809</v>
      </c>
      <c r="DF10" s="127">
        <v>44509</v>
      </c>
      <c r="DG10" s="127">
        <v>99413</v>
      </c>
      <c r="DH10" s="127">
        <v>97831</v>
      </c>
      <c r="DI10" s="127">
        <v>144516</v>
      </c>
      <c r="DJ10" s="127">
        <v>29178</v>
      </c>
      <c r="DK10" s="127">
        <v>13488</v>
      </c>
      <c r="DL10" s="127">
        <v>13488</v>
      </c>
      <c r="DM10" s="127">
        <v>13488</v>
      </c>
      <c r="DN10" s="127">
        <v>4249</v>
      </c>
      <c r="DO10" s="127">
        <v>145887</v>
      </c>
      <c r="DP10" s="127">
        <v>161130</v>
      </c>
      <c r="DQ10" s="127">
        <v>73604</v>
      </c>
      <c r="DR10" s="127">
        <v>45622</v>
      </c>
      <c r="DS10" s="127">
        <v>101898</v>
      </c>
    </row>
    <row r="11" spans="1:123" ht="12.75" customHeight="1" x14ac:dyDescent="0.35">
      <c r="A11" s="145" t="s">
        <v>475</v>
      </c>
      <c r="B11" s="127">
        <f t="shared" si="0"/>
        <v>425119</v>
      </c>
      <c r="C11" s="139">
        <f t="shared" si="1"/>
        <v>7085.3166666666666</v>
      </c>
      <c r="D11" s="127">
        <v>8704</v>
      </c>
      <c r="E11" s="127">
        <v>12858</v>
      </c>
      <c r="F11" s="127">
        <v>2596</v>
      </c>
      <c r="G11" s="127">
        <v>1200</v>
      </c>
      <c r="H11" s="127">
        <v>1200</v>
      </c>
      <c r="I11" s="127">
        <v>1200</v>
      </c>
      <c r="J11" s="127">
        <v>378</v>
      </c>
      <c r="K11" s="127">
        <v>12980</v>
      </c>
      <c r="L11" s="127">
        <v>14336</v>
      </c>
      <c r="M11" s="127">
        <v>6549</v>
      </c>
      <c r="N11" s="127">
        <v>4059</v>
      </c>
      <c r="O11" s="127">
        <v>9066</v>
      </c>
      <c r="P11" s="127">
        <v>8922</v>
      </c>
      <c r="Q11" s="127">
        <v>13179</v>
      </c>
      <c r="R11" s="127">
        <v>2661</v>
      </c>
      <c r="S11" s="127">
        <v>1230</v>
      </c>
      <c r="T11" s="127">
        <v>1230</v>
      </c>
      <c r="U11" s="127">
        <v>1230</v>
      </c>
      <c r="V11" s="127">
        <v>387</v>
      </c>
      <c r="W11" s="127">
        <v>12980</v>
      </c>
      <c r="X11" s="127">
        <v>14336</v>
      </c>
      <c r="Y11" s="127">
        <v>6549</v>
      </c>
      <c r="Z11" s="127">
        <v>4059</v>
      </c>
      <c r="AA11" s="127">
        <v>9066</v>
      </c>
      <c r="AB11" s="127">
        <v>9145</v>
      </c>
      <c r="AC11" s="127">
        <v>13509</v>
      </c>
      <c r="AD11" s="127">
        <v>2727</v>
      </c>
      <c r="AE11" s="127">
        <v>1261</v>
      </c>
      <c r="AF11" s="127">
        <v>1261</v>
      </c>
      <c r="AG11" s="127">
        <v>1261</v>
      </c>
      <c r="AH11" s="127">
        <v>397</v>
      </c>
      <c r="AI11" s="127">
        <v>13637</v>
      </c>
      <c r="AJ11" s="127">
        <v>15062</v>
      </c>
      <c r="AK11" s="127">
        <v>6881</v>
      </c>
      <c r="AL11" s="127">
        <v>4264</v>
      </c>
      <c r="AM11" s="127">
        <v>9525</v>
      </c>
      <c r="AN11" s="127">
        <v>9373</v>
      </c>
      <c r="AO11" s="127">
        <v>13847</v>
      </c>
      <c r="AP11" s="127">
        <v>2796</v>
      </c>
      <c r="AQ11" s="127">
        <v>1292</v>
      </c>
      <c r="AR11" s="127">
        <v>1292</v>
      </c>
      <c r="AS11" s="127">
        <v>1292</v>
      </c>
      <c r="AT11" s="127">
        <v>407</v>
      </c>
      <c r="AU11" s="127">
        <v>13978</v>
      </c>
      <c r="AV11" s="127">
        <v>15438</v>
      </c>
      <c r="AW11" s="127">
        <v>7053</v>
      </c>
      <c r="AX11" s="127">
        <v>4371</v>
      </c>
      <c r="AY11" s="127">
        <v>9763</v>
      </c>
      <c r="AZ11" s="127">
        <v>9608</v>
      </c>
      <c r="BA11" s="127">
        <v>14193</v>
      </c>
      <c r="BB11" s="127">
        <v>2865</v>
      </c>
      <c r="BC11" s="127">
        <v>1325</v>
      </c>
      <c r="BD11" s="127">
        <v>1325</v>
      </c>
      <c r="BE11" s="127">
        <v>1325</v>
      </c>
      <c r="BF11" s="127">
        <v>417</v>
      </c>
      <c r="BG11" s="127">
        <v>14327</v>
      </c>
      <c r="BH11" s="127">
        <v>15824</v>
      </c>
      <c r="BI11" s="127">
        <v>7229</v>
      </c>
      <c r="BJ11" s="127">
        <v>4480</v>
      </c>
      <c r="BK11" s="127">
        <v>10007</v>
      </c>
      <c r="BL11" s="127">
        <v>9848</v>
      </c>
      <c r="BM11" s="127">
        <v>14548</v>
      </c>
      <c r="BN11" s="127">
        <v>2937</v>
      </c>
      <c r="BO11" s="127">
        <v>1358</v>
      </c>
      <c r="BP11" s="127">
        <v>1358</v>
      </c>
      <c r="BQ11" s="127">
        <v>1358</v>
      </c>
      <c r="BR11" s="127">
        <v>428</v>
      </c>
      <c r="BS11" s="127">
        <v>14686</v>
      </c>
      <c r="BT11" s="127">
        <v>16220</v>
      </c>
      <c r="BU11" s="127">
        <v>7410</v>
      </c>
      <c r="BV11" s="127">
        <v>4592</v>
      </c>
      <c r="BW11" s="127">
        <v>10257</v>
      </c>
      <c r="BX11" s="127">
        <v>10094</v>
      </c>
      <c r="BY11" s="127">
        <v>14911</v>
      </c>
      <c r="BZ11" s="127">
        <v>3011</v>
      </c>
      <c r="CA11" s="127">
        <v>1392</v>
      </c>
      <c r="CB11" s="127">
        <v>1392</v>
      </c>
      <c r="CC11" s="127">
        <v>1392</v>
      </c>
      <c r="CD11" s="127">
        <v>438</v>
      </c>
      <c r="CE11" s="127">
        <v>15053</v>
      </c>
      <c r="CF11" s="127">
        <v>16625</v>
      </c>
      <c r="CG11" s="127">
        <v>7595</v>
      </c>
      <c r="CH11" s="127">
        <v>4707</v>
      </c>
      <c r="CI11" s="127">
        <v>10514</v>
      </c>
      <c r="CJ11" s="127">
        <v>10346</v>
      </c>
      <c r="CK11" s="127">
        <v>15284</v>
      </c>
      <c r="CL11" s="127">
        <v>3086</v>
      </c>
      <c r="CM11" s="127">
        <v>1426</v>
      </c>
      <c r="CN11" s="127">
        <v>1426</v>
      </c>
      <c r="CO11" s="127">
        <v>1426</v>
      </c>
      <c r="CP11" s="127">
        <v>449</v>
      </c>
      <c r="CQ11" s="127">
        <v>15429</v>
      </c>
      <c r="CR11" s="127">
        <v>17041</v>
      </c>
      <c r="CS11" s="127">
        <v>7785</v>
      </c>
      <c r="CT11" s="127">
        <v>4825</v>
      </c>
      <c r="CU11" s="127">
        <v>10777</v>
      </c>
      <c r="CV11" s="127">
        <v>10605</v>
      </c>
      <c r="CW11" s="127">
        <v>15666</v>
      </c>
      <c r="CX11" s="127">
        <v>3163</v>
      </c>
      <c r="CY11" s="127">
        <v>1462</v>
      </c>
      <c r="CZ11" s="127">
        <v>1462</v>
      </c>
      <c r="DA11" s="127">
        <v>1462</v>
      </c>
      <c r="DB11" s="127">
        <v>461</v>
      </c>
      <c r="DC11" s="127">
        <v>15815</v>
      </c>
      <c r="DD11" s="127">
        <v>17467</v>
      </c>
      <c r="DE11" s="127">
        <v>7979</v>
      </c>
      <c r="DF11" s="127">
        <v>4945</v>
      </c>
      <c r="DG11" s="127">
        <v>11046</v>
      </c>
      <c r="DH11" s="127">
        <v>10870</v>
      </c>
      <c r="DI11" s="127">
        <v>16058</v>
      </c>
      <c r="DJ11" s="127">
        <v>3242</v>
      </c>
      <c r="DK11" s="127">
        <v>1499</v>
      </c>
      <c r="DL11" s="127">
        <v>1499</v>
      </c>
      <c r="DM11" s="127">
        <v>1499</v>
      </c>
      <c r="DN11" s="127">
        <v>472</v>
      </c>
      <c r="DO11" s="127">
        <v>16210</v>
      </c>
      <c r="DP11" s="127">
        <v>17904</v>
      </c>
      <c r="DQ11" s="127">
        <v>8179</v>
      </c>
      <c r="DR11" s="127">
        <v>5069</v>
      </c>
      <c r="DS11" s="127">
        <v>11322</v>
      </c>
    </row>
    <row r="12" spans="1:123" ht="12.75" customHeight="1" x14ac:dyDescent="0.35">
      <c r="A12" s="146" t="s">
        <v>476</v>
      </c>
      <c r="B12" s="139">
        <f t="shared" si="0"/>
        <v>3284393.8140777452</v>
      </c>
      <c r="C12" s="139">
        <f t="shared" si="1"/>
        <v>54739.896901295753</v>
      </c>
      <c r="D12" s="139">
        <f t="shared" ref="D12:AI12" si="2">MIN(D9,D10)</f>
        <v>72286.89999999998</v>
      </c>
      <c r="E12" s="139">
        <f t="shared" si="2"/>
        <v>88336.8</v>
      </c>
      <c r="F12" s="139">
        <f t="shared" si="2"/>
        <v>23364</v>
      </c>
      <c r="G12" s="139">
        <f t="shared" si="2"/>
        <v>10800</v>
      </c>
      <c r="H12" s="139">
        <f t="shared" si="2"/>
        <v>10800</v>
      </c>
      <c r="I12" s="139">
        <f t="shared" si="2"/>
        <v>10800</v>
      </c>
      <c r="J12" s="139">
        <f t="shared" si="2"/>
        <v>3402</v>
      </c>
      <c r="K12" s="139">
        <f t="shared" si="2"/>
        <v>113687.70499999996</v>
      </c>
      <c r="L12" s="139">
        <f t="shared" si="2"/>
        <v>90676.240500000014</v>
      </c>
      <c r="M12" s="139">
        <f t="shared" si="2"/>
        <v>58937</v>
      </c>
      <c r="N12" s="139">
        <f t="shared" si="2"/>
        <v>36531</v>
      </c>
      <c r="O12" s="139">
        <f t="shared" si="2"/>
        <v>81593</v>
      </c>
      <c r="P12" s="139">
        <f t="shared" si="2"/>
        <v>71925.465499999977</v>
      </c>
      <c r="Q12" s="139">
        <f t="shared" si="2"/>
        <v>87895.116000000009</v>
      </c>
      <c r="R12" s="139">
        <f t="shared" si="2"/>
        <v>23948</v>
      </c>
      <c r="S12" s="139">
        <f t="shared" si="2"/>
        <v>11070</v>
      </c>
      <c r="T12" s="139">
        <f t="shared" si="2"/>
        <v>11070</v>
      </c>
      <c r="U12" s="139">
        <f t="shared" si="2"/>
        <v>11070</v>
      </c>
      <c r="V12" s="139">
        <f t="shared" si="2"/>
        <v>3487</v>
      </c>
      <c r="W12" s="139">
        <f t="shared" si="2"/>
        <v>113119.26647499995</v>
      </c>
      <c r="X12" s="139">
        <f t="shared" si="2"/>
        <v>90222.859297500021</v>
      </c>
      <c r="Y12" s="139">
        <f t="shared" si="2"/>
        <v>58937</v>
      </c>
      <c r="Z12" s="139">
        <f t="shared" si="2"/>
        <v>36531</v>
      </c>
      <c r="AA12" s="139">
        <f t="shared" si="2"/>
        <v>81593</v>
      </c>
      <c r="AB12" s="139">
        <f t="shared" si="2"/>
        <v>71565.838172499978</v>
      </c>
      <c r="AC12" s="139">
        <f t="shared" si="2"/>
        <v>87455.640420000011</v>
      </c>
      <c r="AD12" s="139">
        <f t="shared" si="2"/>
        <v>24547</v>
      </c>
      <c r="AE12" s="139">
        <f t="shared" si="2"/>
        <v>11347</v>
      </c>
      <c r="AF12" s="139">
        <f t="shared" si="2"/>
        <v>11347</v>
      </c>
      <c r="AG12" s="139">
        <f t="shared" si="2"/>
        <v>11347</v>
      </c>
      <c r="AH12" s="139">
        <f t="shared" si="2"/>
        <v>3574</v>
      </c>
      <c r="AI12" s="139">
        <f t="shared" si="2"/>
        <v>112553.67014262495</v>
      </c>
      <c r="AJ12" s="139">
        <f t="shared" ref="AJ12:BO12" si="3">MIN(AJ9,AJ10)</f>
        <v>89771.745001012518</v>
      </c>
      <c r="AK12" s="139">
        <f t="shared" si="3"/>
        <v>61921</v>
      </c>
      <c r="AL12" s="139">
        <f t="shared" si="3"/>
        <v>38380</v>
      </c>
      <c r="AM12" s="139">
        <f t="shared" si="3"/>
        <v>85724</v>
      </c>
      <c r="AN12" s="139">
        <f t="shared" si="3"/>
        <v>71208.008981637482</v>
      </c>
      <c r="AO12" s="139">
        <f t="shared" si="3"/>
        <v>87018.362217900009</v>
      </c>
      <c r="AP12" s="139">
        <f t="shared" si="3"/>
        <v>25160</v>
      </c>
      <c r="AQ12" s="139">
        <f t="shared" si="3"/>
        <v>11630</v>
      </c>
      <c r="AR12" s="139">
        <f t="shared" si="3"/>
        <v>11630</v>
      </c>
      <c r="AS12" s="139">
        <f t="shared" si="3"/>
        <v>11630</v>
      </c>
      <c r="AT12" s="139">
        <f t="shared" si="3"/>
        <v>3664</v>
      </c>
      <c r="AU12" s="139">
        <f t="shared" si="3"/>
        <v>111990.90179191182</v>
      </c>
      <c r="AV12" s="139">
        <f t="shared" si="3"/>
        <v>89322.886276007455</v>
      </c>
      <c r="AW12" s="139">
        <f t="shared" si="3"/>
        <v>63469</v>
      </c>
      <c r="AX12" s="139">
        <f t="shared" si="3"/>
        <v>39340</v>
      </c>
      <c r="AY12" s="139">
        <f t="shared" si="3"/>
        <v>87867</v>
      </c>
      <c r="AZ12" s="139">
        <f t="shared" si="3"/>
        <v>70851.968936729289</v>
      </c>
      <c r="BA12" s="139">
        <f t="shared" si="3"/>
        <v>86583.270406810509</v>
      </c>
      <c r="BB12" s="139">
        <f t="shared" si="3"/>
        <v>25789</v>
      </c>
      <c r="BC12" s="139">
        <f t="shared" si="3"/>
        <v>11921</v>
      </c>
      <c r="BD12" s="139">
        <f t="shared" si="3"/>
        <v>11921</v>
      </c>
      <c r="BE12" s="139">
        <f t="shared" si="3"/>
        <v>11921</v>
      </c>
      <c r="BF12" s="139">
        <f t="shared" si="3"/>
        <v>3755</v>
      </c>
      <c r="BG12" s="139">
        <f t="shared" si="3"/>
        <v>111430.94728295226</v>
      </c>
      <c r="BH12" s="139">
        <f t="shared" si="3"/>
        <v>88876.271844627423</v>
      </c>
      <c r="BI12" s="139">
        <f t="shared" si="3"/>
        <v>65055</v>
      </c>
      <c r="BJ12" s="139">
        <f t="shared" si="3"/>
        <v>40323</v>
      </c>
      <c r="BK12" s="139">
        <f t="shared" si="3"/>
        <v>89348.974915265557</v>
      </c>
      <c r="BL12" s="139">
        <f t="shared" si="3"/>
        <v>88630</v>
      </c>
      <c r="BM12" s="139">
        <f t="shared" si="3"/>
        <v>89348.974915265557</v>
      </c>
      <c r="BN12" s="139">
        <f t="shared" si="3"/>
        <v>26434</v>
      </c>
      <c r="BO12" s="139">
        <f t="shared" si="3"/>
        <v>12219</v>
      </c>
      <c r="BP12" s="139">
        <f t="shared" ref="BP12:CU12" si="4">MIN(BP9,BP10)</f>
        <v>12219</v>
      </c>
      <c r="BQ12" s="139">
        <f t="shared" si="4"/>
        <v>12219</v>
      </c>
      <c r="BR12" s="139">
        <f t="shared" si="4"/>
        <v>3849</v>
      </c>
      <c r="BS12" s="139">
        <f t="shared" si="4"/>
        <v>89348.974915265557</v>
      </c>
      <c r="BT12" s="139">
        <f t="shared" si="4"/>
        <v>89348.974915265557</v>
      </c>
      <c r="BU12" s="139">
        <f t="shared" si="4"/>
        <v>66682</v>
      </c>
      <c r="BV12" s="139">
        <f t="shared" si="4"/>
        <v>41331</v>
      </c>
      <c r="BW12" s="139">
        <f t="shared" si="4"/>
        <v>89348.974915265557</v>
      </c>
      <c r="BX12" s="139">
        <f t="shared" si="4"/>
        <v>89348.974915265557</v>
      </c>
      <c r="BY12" s="139">
        <f t="shared" si="4"/>
        <v>89348.974915265557</v>
      </c>
      <c r="BZ12" s="139">
        <f t="shared" si="4"/>
        <v>27095</v>
      </c>
      <c r="CA12" s="139">
        <f t="shared" si="4"/>
        <v>12525</v>
      </c>
      <c r="CB12" s="139">
        <f t="shared" si="4"/>
        <v>12525</v>
      </c>
      <c r="CC12" s="139">
        <f t="shared" si="4"/>
        <v>12525</v>
      </c>
      <c r="CD12" s="139">
        <f t="shared" si="4"/>
        <v>3945</v>
      </c>
      <c r="CE12" s="139">
        <f t="shared" si="4"/>
        <v>89348.974915265557</v>
      </c>
      <c r="CF12" s="139">
        <f t="shared" si="4"/>
        <v>89348.974915265557</v>
      </c>
      <c r="CG12" s="139">
        <f t="shared" si="4"/>
        <v>68349</v>
      </c>
      <c r="CH12" s="139">
        <f t="shared" si="4"/>
        <v>42365</v>
      </c>
      <c r="CI12" s="139">
        <f t="shared" si="4"/>
        <v>89348.974915265557</v>
      </c>
      <c r="CJ12" s="139">
        <f t="shared" si="4"/>
        <v>89348.974915265557</v>
      </c>
      <c r="CK12" s="139">
        <f t="shared" si="4"/>
        <v>89348.974915265557</v>
      </c>
      <c r="CL12" s="139">
        <f t="shared" si="4"/>
        <v>27772</v>
      </c>
      <c r="CM12" s="139">
        <f t="shared" si="4"/>
        <v>12838</v>
      </c>
      <c r="CN12" s="139">
        <f t="shared" si="4"/>
        <v>12838</v>
      </c>
      <c r="CO12" s="139">
        <f t="shared" si="4"/>
        <v>12838</v>
      </c>
      <c r="CP12" s="139">
        <f t="shared" si="4"/>
        <v>4044</v>
      </c>
      <c r="CQ12" s="139">
        <f t="shared" si="4"/>
        <v>89348.974915265557</v>
      </c>
      <c r="CR12" s="139">
        <f t="shared" si="4"/>
        <v>89348.974915265557</v>
      </c>
      <c r="CS12" s="139">
        <f t="shared" si="4"/>
        <v>70058</v>
      </c>
      <c r="CT12" s="139">
        <f t="shared" si="4"/>
        <v>43424</v>
      </c>
      <c r="CU12" s="139">
        <f t="shared" si="4"/>
        <v>89348.974915265557</v>
      </c>
      <c r="CV12" s="139">
        <f t="shared" ref="CV12:DS12" si="5">MIN(CV9,CV10)</f>
        <v>89348.974915265557</v>
      </c>
      <c r="CW12" s="139">
        <f t="shared" si="5"/>
        <v>89348.974915265557</v>
      </c>
      <c r="CX12" s="139">
        <f t="shared" si="5"/>
        <v>28467</v>
      </c>
      <c r="CY12" s="139">
        <f t="shared" si="5"/>
        <v>13159</v>
      </c>
      <c r="CZ12" s="139">
        <f t="shared" si="5"/>
        <v>13159</v>
      </c>
      <c r="DA12" s="139">
        <f t="shared" si="5"/>
        <v>13159</v>
      </c>
      <c r="DB12" s="139">
        <f t="shared" si="5"/>
        <v>4145</v>
      </c>
      <c r="DC12" s="139">
        <f t="shared" si="5"/>
        <v>89348.974915265557</v>
      </c>
      <c r="DD12" s="139">
        <f t="shared" si="5"/>
        <v>89348.974915265557</v>
      </c>
      <c r="DE12" s="139">
        <f t="shared" si="5"/>
        <v>71809</v>
      </c>
      <c r="DF12" s="139">
        <f t="shared" si="5"/>
        <v>44509</v>
      </c>
      <c r="DG12" s="139">
        <f t="shared" si="5"/>
        <v>89348.974915265557</v>
      </c>
      <c r="DH12" s="139">
        <f t="shared" si="5"/>
        <v>89348.974915265557</v>
      </c>
      <c r="DI12" s="139">
        <f t="shared" si="5"/>
        <v>89348.974915265557</v>
      </c>
      <c r="DJ12" s="139">
        <f t="shared" si="5"/>
        <v>29178</v>
      </c>
      <c r="DK12" s="139">
        <f t="shared" si="5"/>
        <v>13488</v>
      </c>
      <c r="DL12" s="139">
        <f t="shared" si="5"/>
        <v>13488</v>
      </c>
      <c r="DM12" s="139">
        <f t="shared" si="5"/>
        <v>13488</v>
      </c>
      <c r="DN12" s="139">
        <f t="shared" si="5"/>
        <v>4249</v>
      </c>
      <c r="DO12" s="139">
        <f t="shared" si="5"/>
        <v>89348.974915265557</v>
      </c>
      <c r="DP12" s="139">
        <f t="shared" si="5"/>
        <v>89348.974915265557</v>
      </c>
      <c r="DQ12" s="139">
        <f t="shared" si="5"/>
        <v>73604</v>
      </c>
      <c r="DR12" s="139">
        <f t="shared" si="5"/>
        <v>45622</v>
      </c>
      <c r="DS12" s="139">
        <f t="shared" si="5"/>
        <v>89348.974915265557</v>
      </c>
    </row>
    <row r="13" spans="1:123" ht="12.75" customHeight="1" x14ac:dyDescent="0.35">
      <c r="A13" s="146" t="s">
        <v>477</v>
      </c>
      <c r="B13" s="139">
        <f t="shared" si="0"/>
        <v>112680.54000984233</v>
      </c>
      <c r="C13" s="139">
        <f t="shared" si="1"/>
        <v>1878.0090001640388</v>
      </c>
      <c r="D13" s="139">
        <f>MIN((D9-D12)*Premissas!$B$8,D11)</f>
        <v>0</v>
      </c>
      <c r="E13" s="139">
        <f>MIN((E9-E12)*Premissas!$B$8,E11)</f>
        <v>0</v>
      </c>
      <c r="F13" s="139">
        <f>MIN((F9-F12)*Premissas!$B$8,F11)</f>
        <v>2596</v>
      </c>
      <c r="G13" s="139">
        <f>MIN((G9-G12)*Premissas!$B$8,G11)</f>
        <v>1200</v>
      </c>
      <c r="H13" s="139">
        <f>MIN((H9-H12)*Premissas!$B$8,H11)</f>
        <v>1200</v>
      </c>
      <c r="I13" s="139">
        <f>MIN((I9-I12)*Premissas!$B$8,I11)</f>
        <v>1200</v>
      </c>
      <c r="J13" s="139">
        <f>MIN((J9-J12)*Premissas!$B$8,J11)</f>
        <v>378</v>
      </c>
      <c r="K13" s="139">
        <f>MIN((K9-K12)*Premissas!$B$8,K11)</f>
        <v>0</v>
      </c>
      <c r="L13" s="139">
        <f>MIN((L9-L12)*Premissas!$B$8,L11)</f>
        <v>0</v>
      </c>
      <c r="M13" s="139">
        <f>MIN((M9-M12)*Premissas!$B$8,M11)</f>
        <v>6549</v>
      </c>
      <c r="N13" s="139">
        <f>MIN((N9-N12)*Premissas!$B$8,N11)</f>
        <v>4059</v>
      </c>
      <c r="O13" s="139">
        <f>MIN((O9-O12)*Premissas!$B$8,O11)</f>
        <v>5780.1267311579759</v>
      </c>
      <c r="P13" s="139">
        <f>MIN((P9-P12)*Premissas!$B$8,P11)</f>
        <v>0</v>
      </c>
      <c r="Q13" s="139">
        <f>MIN((Q9-Q12)*Premissas!$B$8,Q11)</f>
        <v>0</v>
      </c>
      <c r="R13" s="139">
        <f>MIN((R9-R12)*Premissas!$B$8,R11)</f>
        <v>2661</v>
      </c>
      <c r="S13" s="139">
        <f>MIN((S9-S12)*Premissas!$B$8,S11)</f>
        <v>1230</v>
      </c>
      <c r="T13" s="139">
        <f>MIN((T9-T12)*Premissas!$B$8,T11)</f>
        <v>1230</v>
      </c>
      <c r="U13" s="139">
        <f>MIN((U9-U12)*Premissas!$B$8,U11)</f>
        <v>1230</v>
      </c>
      <c r="V13" s="139">
        <f>MIN((V9-V12)*Premissas!$B$8,V11)</f>
        <v>387</v>
      </c>
      <c r="W13" s="139">
        <f>MIN((W9-W12)*Premissas!$B$8,W11)</f>
        <v>0</v>
      </c>
      <c r="X13" s="139">
        <f>MIN((X9-X12)*Premissas!$B$8,X11)</f>
        <v>0</v>
      </c>
      <c r="Y13" s="139">
        <f>MIN((Y9-Y12)*Premissas!$B$8,Y11)</f>
        <v>6549</v>
      </c>
      <c r="Z13" s="139">
        <f>MIN((Z9-Z12)*Premissas!$B$8,Z11)</f>
        <v>4059</v>
      </c>
      <c r="AA13" s="139">
        <f>MIN((AA9-AA12)*Premissas!$B$8,AA11)</f>
        <v>5504.7062907968211</v>
      </c>
      <c r="AB13" s="139">
        <f>MIN((AB9-AB12)*Premissas!$B$8,AB11)</f>
        <v>0</v>
      </c>
      <c r="AC13" s="139">
        <f>MIN((AC9-AC12)*Premissas!$B$8,AC11)</f>
        <v>0</v>
      </c>
      <c r="AD13" s="139">
        <f>MIN((AD9-AD12)*Premissas!$B$8,AD11)</f>
        <v>2727</v>
      </c>
      <c r="AE13" s="139">
        <f>MIN((AE9-AE12)*Premissas!$B$8,AE11)</f>
        <v>1261</v>
      </c>
      <c r="AF13" s="139">
        <f>MIN((AF9-AF12)*Premissas!$B$8,AF11)</f>
        <v>1261</v>
      </c>
      <c r="AG13" s="139">
        <f>MIN((AG9-AG12)*Premissas!$B$8,AG11)</f>
        <v>1261</v>
      </c>
      <c r="AH13" s="139">
        <f>MIN((AH9-AH12)*Premissas!$B$8,AH11)</f>
        <v>397</v>
      </c>
      <c r="AI13" s="139">
        <f>MIN((AI9-AI12)*Premissas!$B$8,AI11)</f>
        <v>0</v>
      </c>
      <c r="AJ13" s="139">
        <f>MIN((AJ9-AJ12)*Premissas!$B$8,AJ11)</f>
        <v>0</v>
      </c>
      <c r="AK13" s="139">
        <f>MIN((AK9-AK12)*Premissas!$B$8,AK11)</f>
        <v>6881</v>
      </c>
      <c r="AL13" s="139">
        <f>MIN((AL9-AL12)*Premissas!$B$8,AL11)</f>
        <v>4264</v>
      </c>
      <c r="AM13" s="139">
        <f>MIN((AM9-AM12)*Premissas!$B$8,AM11)</f>
        <v>2734.4357726101302</v>
      </c>
      <c r="AN13" s="139">
        <f>MIN((AN9-AN12)*Premissas!$B$8,AN11)</f>
        <v>0</v>
      </c>
      <c r="AO13" s="139">
        <f>MIN((AO9-AO12)*Premissas!$B$8,AO11)</f>
        <v>0</v>
      </c>
      <c r="AP13" s="139">
        <f>MIN((AP9-AP12)*Premissas!$B$8,AP11)</f>
        <v>2796</v>
      </c>
      <c r="AQ13" s="139">
        <f>MIN((AQ9-AQ12)*Premissas!$B$8,AQ11)</f>
        <v>1292</v>
      </c>
      <c r="AR13" s="139">
        <f>MIN((AR9-AR12)*Premissas!$B$8,AR11)</f>
        <v>1292</v>
      </c>
      <c r="AS13" s="139">
        <f>MIN((AS9-AS12)*Premissas!$B$8,AS11)</f>
        <v>1292</v>
      </c>
      <c r="AT13" s="139">
        <f>MIN((AT9-AT12)*Premissas!$B$8,AT11)</f>
        <v>407</v>
      </c>
      <c r="AU13" s="139">
        <f>MIN((AU9-AU12)*Premissas!$B$8,AU11)</f>
        <v>0</v>
      </c>
      <c r="AV13" s="139">
        <f>MIN((AV9-AV12)*Premissas!$B$8,AV11)</f>
        <v>0</v>
      </c>
      <c r="AW13" s="139">
        <f>MIN((AW9-AW12)*Premissas!$B$8,AW11)</f>
        <v>7053</v>
      </c>
      <c r="AX13" s="139">
        <f>MIN((AX9-AX12)*Premissas!$B$8,AX11)</f>
        <v>4371</v>
      </c>
      <c r="AY13" s="139">
        <f>MIN((AY9-AY12)*Premissas!$B$8,AY11)</f>
        <v>1166.8183648189938</v>
      </c>
      <c r="AZ13" s="139">
        <f>MIN((AZ9-AZ12)*Premissas!$B$8,AZ11)</f>
        <v>0</v>
      </c>
      <c r="BA13" s="139">
        <f>MIN((BA9-BA12)*Premissas!$B$8,BA11)</f>
        <v>0</v>
      </c>
      <c r="BB13" s="139">
        <f>MIN((BB9-BB12)*Premissas!$B$8,BB11)</f>
        <v>2865</v>
      </c>
      <c r="BC13" s="139">
        <f>MIN((BC9-BC12)*Premissas!$B$8,BC11)</f>
        <v>1325</v>
      </c>
      <c r="BD13" s="139">
        <f>MIN((BD9-BD12)*Premissas!$B$8,BD11)</f>
        <v>1325</v>
      </c>
      <c r="BE13" s="139">
        <f>MIN((BE9-BE12)*Premissas!$B$8,BE11)</f>
        <v>1325</v>
      </c>
      <c r="BF13" s="139">
        <f>MIN((BF9-BF12)*Premissas!$B$8,BF11)</f>
        <v>417</v>
      </c>
      <c r="BG13" s="139">
        <f>MIN((BG9-BG12)*Premissas!$B$8,BG11)</f>
        <v>0</v>
      </c>
      <c r="BH13" s="139">
        <f>MIN((BH9-BH12)*Premissas!$B$8,BH11)</f>
        <v>0</v>
      </c>
      <c r="BI13" s="139">
        <f>MIN((BI9-BI12)*Premissas!$B$8,BI11)</f>
        <v>7229</v>
      </c>
      <c r="BJ13" s="139">
        <f>MIN((BJ9-BJ12)*Premissas!$B$8,BJ11)</f>
        <v>4480</v>
      </c>
      <c r="BK13" s="139">
        <f>MIN((BK9-BK12)*Premissas!$B$8,BK11)</f>
        <v>0</v>
      </c>
      <c r="BL13" s="139">
        <f>MIN((BL9-BL12)*Premissas!$B$8,BL11)</f>
        <v>434.45285045842149</v>
      </c>
      <c r="BM13" s="139">
        <f>MIN((BM9-BM12)*Premissas!$B$8,BM11)</f>
        <v>0</v>
      </c>
      <c r="BN13" s="139">
        <f>MIN((BN9-BN12)*Premissas!$B$8,BN11)</f>
        <v>2937</v>
      </c>
      <c r="BO13" s="139">
        <f>MIN((BO9-BO12)*Premissas!$B$8,BO11)</f>
        <v>1358</v>
      </c>
      <c r="BP13" s="139">
        <f>MIN((BP9-BP12)*Premissas!$B$8,BP11)</f>
        <v>1358</v>
      </c>
      <c r="BQ13" s="139">
        <f>MIN((BQ9-BQ12)*Premissas!$B$8,BQ11)</f>
        <v>1358</v>
      </c>
      <c r="BR13" s="139">
        <f>MIN((BR9-BR12)*Premissas!$B$8,BR11)</f>
        <v>428</v>
      </c>
      <c r="BS13" s="139">
        <f>MIN((BS9-BS12)*Premissas!$B$8,BS11)</f>
        <v>0</v>
      </c>
      <c r="BT13" s="139">
        <f>MIN((BT9-BT12)*Premissas!$B$8,BT11)</f>
        <v>0</v>
      </c>
      <c r="BU13" s="139">
        <f>MIN((BU9-BU12)*Premissas!$B$8,BU11)</f>
        <v>7410</v>
      </c>
      <c r="BV13" s="139">
        <f>MIN((BV9-BV12)*Premissas!$B$8,BV11)</f>
        <v>4592</v>
      </c>
      <c r="BW13" s="139">
        <f>MIN((BW9-BW12)*Premissas!$B$8,BW11)</f>
        <v>0</v>
      </c>
      <c r="BX13" s="139">
        <f>MIN((BX9-BX12)*Premissas!$B$8,BX11)</f>
        <v>0</v>
      </c>
      <c r="BY13" s="139">
        <f>MIN((BY9-BY12)*Premissas!$B$8,BY11)</f>
        <v>0</v>
      </c>
      <c r="BZ13" s="139">
        <f>MIN((BZ9-BZ12)*Premissas!$B$8,BZ11)</f>
        <v>3011</v>
      </c>
      <c r="CA13" s="139">
        <f>MIN((CA9-CA12)*Premissas!$B$8,CA11)</f>
        <v>1392</v>
      </c>
      <c r="CB13" s="139">
        <f>MIN((CB9-CB12)*Premissas!$B$8,CB11)</f>
        <v>1392</v>
      </c>
      <c r="CC13" s="139">
        <f>MIN((CC9-CC12)*Premissas!$B$8,CC11)</f>
        <v>1392</v>
      </c>
      <c r="CD13" s="139">
        <f>MIN((CD9-CD12)*Premissas!$B$8,CD11)</f>
        <v>438</v>
      </c>
      <c r="CE13" s="139">
        <f>MIN((CE9-CE12)*Premissas!$B$8,CE11)</f>
        <v>0</v>
      </c>
      <c r="CF13" s="139">
        <f>MIN((CF9-CF12)*Premissas!$B$8,CF11)</f>
        <v>0</v>
      </c>
      <c r="CG13" s="139">
        <f>MIN((CG9-CG12)*Premissas!$B$8,CG11)</f>
        <v>7595</v>
      </c>
      <c r="CH13" s="139">
        <f>MIN((CH9-CH12)*Premissas!$B$8,CH11)</f>
        <v>4707</v>
      </c>
      <c r="CI13" s="139">
        <f>MIN((CI9-CI12)*Premissas!$B$8,CI11)</f>
        <v>0</v>
      </c>
      <c r="CJ13" s="139">
        <f>MIN((CJ9-CJ12)*Premissas!$B$8,CJ11)</f>
        <v>0</v>
      </c>
      <c r="CK13" s="139">
        <f>MIN((CK9-CK12)*Premissas!$B$8,CK11)</f>
        <v>0</v>
      </c>
      <c r="CL13" s="139">
        <f>MIN((CL9-CL12)*Premissas!$B$8,CL11)</f>
        <v>3086</v>
      </c>
      <c r="CM13" s="139">
        <f>MIN((CM9-CM12)*Premissas!$B$8,CM11)</f>
        <v>1426</v>
      </c>
      <c r="CN13" s="139">
        <f>MIN((CN9-CN12)*Premissas!$B$8,CN11)</f>
        <v>1426</v>
      </c>
      <c r="CO13" s="139">
        <f>MIN((CO9-CO12)*Premissas!$B$8,CO11)</f>
        <v>1426</v>
      </c>
      <c r="CP13" s="139">
        <f>MIN((CP9-CP12)*Premissas!$B$8,CP11)</f>
        <v>449</v>
      </c>
      <c r="CQ13" s="139">
        <f>MIN((CQ9-CQ12)*Premissas!$B$8,CQ11)</f>
        <v>0</v>
      </c>
      <c r="CR13" s="139">
        <f>MIN((CR9-CR12)*Premissas!$B$8,CR11)</f>
        <v>0</v>
      </c>
      <c r="CS13" s="139">
        <f>MIN((CS9-CS12)*Premissas!$B$8,CS11)</f>
        <v>7785</v>
      </c>
      <c r="CT13" s="139">
        <f>MIN((CT9-CT12)*Premissas!$B$8,CT11)</f>
        <v>4825</v>
      </c>
      <c r="CU13" s="139">
        <f>MIN((CU9-CU12)*Premissas!$B$8,CU11)</f>
        <v>0</v>
      </c>
      <c r="CV13" s="139">
        <f>MIN((CV9-CV12)*Premissas!$B$8,CV11)</f>
        <v>0</v>
      </c>
      <c r="CW13" s="139">
        <f>MIN((CW9-CW12)*Premissas!$B$8,CW11)</f>
        <v>0</v>
      </c>
      <c r="CX13" s="139">
        <f>MIN((CX9-CX12)*Premissas!$B$8,CX11)</f>
        <v>3163</v>
      </c>
      <c r="CY13" s="139">
        <f>MIN((CY9-CY12)*Premissas!$B$8,CY11)</f>
        <v>1462</v>
      </c>
      <c r="CZ13" s="139">
        <f>MIN((CZ9-CZ12)*Premissas!$B$8,CZ11)</f>
        <v>1462</v>
      </c>
      <c r="DA13" s="139">
        <f>MIN((DA9-DA12)*Premissas!$B$8,DA11)</f>
        <v>1462</v>
      </c>
      <c r="DB13" s="139">
        <f>MIN((DB9-DB12)*Premissas!$B$8,DB11)</f>
        <v>461</v>
      </c>
      <c r="DC13" s="139">
        <f>MIN((DC9-DC12)*Premissas!$B$8,DC11)</f>
        <v>0</v>
      </c>
      <c r="DD13" s="139">
        <f>MIN((DD9-DD12)*Premissas!$B$8,DD11)</f>
        <v>0</v>
      </c>
      <c r="DE13" s="139">
        <f>MIN((DE9-DE12)*Premissas!$B$8,DE11)</f>
        <v>7979</v>
      </c>
      <c r="DF13" s="139">
        <f>MIN((DF9-DF12)*Premissas!$B$8,DF11)</f>
        <v>4945</v>
      </c>
      <c r="DG13" s="139">
        <f>MIN((DG9-DG12)*Premissas!$B$8,DG11)</f>
        <v>0</v>
      </c>
      <c r="DH13" s="139">
        <f>MIN((DH9-DH12)*Premissas!$B$8,DH11)</f>
        <v>0</v>
      </c>
      <c r="DI13" s="139">
        <f>MIN((DI9-DI12)*Premissas!$B$8,DI11)</f>
        <v>0</v>
      </c>
      <c r="DJ13" s="139">
        <f>MIN((DJ9-DJ12)*Premissas!$B$8,DJ11)</f>
        <v>3242</v>
      </c>
      <c r="DK13" s="139">
        <f>MIN((DK9-DK12)*Premissas!$B$8,DK11)</f>
        <v>1499</v>
      </c>
      <c r="DL13" s="139">
        <f>MIN((DL9-DL12)*Premissas!$B$8,DL11)</f>
        <v>1499</v>
      </c>
      <c r="DM13" s="139">
        <f>MIN((DM9-DM12)*Premissas!$B$8,DM11)</f>
        <v>1499</v>
      </c>
      <c r="DN13" s="139">
        <f>MIN((DN9-DN12)*Premissas!$B$8,DN11)</f>
        <v>472</v>
      </c>
      <c r="DO13" s="139">
        <f>MIN((DO9-DO12)*Premissas!$B$8,DO11)</f>
        <v>0</v>
      </c>
      <c r="DP13" s="139">
        <f>MIN((DP9-DP12)*Premissas!$B$8,DP11)</f>
        <v>0</v>
      </c>
      <c r="DQ13" s="139">
        <f>MIN((DQ9-DQ12)*Premissas!$B$8,DQ11)</f>
        <v>8179</v>
      </c>
      <c r="DR13" s="139">
        <f>MIN((DR9-DR12)*Premissas!$B$8,DR11)</f>
        <v>5069</v>
      </c>
      <c r="DS13" s="139">
        <f>MIN((DS9-DS12)*Premissas!$B$8,DS11)</f>
        <v>0</v>
      </c>
    </row>
    <row r="14" spans="1:123" ht="13.5" customHeight="1" x14ac:dyDescent="0.35">
      <c r="A14" s="39" t="s">
        <v>478</v>
      </c>
      <c r="B14" s="41">
        <f t="shared" si="0"/>
        <v>2659211.5588859571</v>
      </c>
      <c r="C14" s="139">
        <f t="shared" si="1"/>
        <v>44320.192648099284</v>
      </c>
      <c r="D14" s="140">
        <f>MAX(D9-D12-D11/Premissas!$B$8,0)</f>
        <v>0</v>
      </c>
      <c r="E14" s="140">
        <f>MAX(E9-E12-E11/Premissas!$B$8,0)</f>
        <v>0</v>
      </c>
      <c r="F14" s="140">
        <f>MAX(F9-F12-F11/Premissas!$B$8,0)</f>
        <v>65422.586214442017</v>
      </c>
      <c r="G14" s="140">
        <f>MAX(G9-G12-G11/Premissas!$B$8,0)</f>
        <v>81647.523057523285</v>
      </c>
      <c r="H14" s="140">
        <f>MAX(H9-H12-H11/Premissas!$B$8,0)</f>
        <v>83120.923057523265</v>
      </c>
      <c r="I14" s="140">
        <f>MAX(I9-I12-I11/Premissas!$B$8,0)</f>
        <v>95194.723057523253</v>
      </c>
      <c r="J14" s="140">
        <f>MAX(J9-J12-J11/Premissas!$B$8,0)</f>
        <v>102576.34876311984</v>
      </c>
      <c r="K14" s="140">
        <f>MAX(K9-K12-K11/Premissas!$B$8,0)</f>
        <v>0</v>
      </c>
      <c r="L14" s="140">
        <f>MAX(L9-L12-L11/Premissas!$B$8,0)</f>
        <v>0</v>
      </c>
      <c r="M14" s="140">
        <f>MAX(M9-M12-M11/Premissas!$B$8,0)</f>
        <v>32771.667086433248</v>
      </c>
      <c r="N14" s="140">
        <f>MAX(N9-N12-N11/Premissas!$B$8,0)</f>
        <v>30092.922742072467</v>
      </c>
      <c r="O14" s="140">
        <f>MAX(O9-O12-O11/Premissas!$B$8,0)</f>
        <v>0</v>
      </c>
      <c r="P14" s="140">
        <f>MAX(P9-P12-P11/Premissas!$B$8,0)</f>
        <v>0</v>
      </c>
      <c r="Q14" s="140">
        <f>MAX(Q9-Q12-Q11/Premissas!$B$8,0)</f>
        <v>0</v>
      </c>
      <c r="R14" s="140">
        <f>MAX(R9-R12-R11/Premissas!$B$8,0)</f>
        <v>64265.604380057863</v>
      </c>
      <c r="S14" s="140">
        <f>MAX(S9-S12-S11/Premissas!$B$8,0)</f>
        <v>80855.709133961369</v>
      </c>
      <c r="T14" s="140">
        <f>MAX(T9-T12-T11/Premissas!$B$8,0)</f>
        <v>82321.74213396135</v>
      </c>
      <c r="U14" s="140">
        <f>MAX(U9-U12-U11/Premissas!$B$8,0)</f>
        <v>94335.173133961332</v>
      </c>
      <c r="V14" s="140">
        <f>MAX(V9-V12-V11/Premissas!$B$8,0)</f>
        <v>101943.43518605127</v>
      </c>
      <c r="W14" s="140">
        <f>MAX(W9-W12-W11/Premissas!$B$8,0)</f>
        <v>0</v>
      </c>
      <c r="X14" s="140">
        <f>MAX(X9-X12-X11/Premissas!$B$8,0)</f>
        <v>0</v>
      </c>
      <c r="Y14" s="140">
        <f>MAX(Y9-Y12-Y11/Premissas!$B$8,0)</f>
        <v>32258.934133933253</v>
      </c>
      <c r="Z14" s="140">
        <f>MAX(Z9-Z12-Z11/Premissas!$B$8,0)</f>
        <v>29726.21698457246</v>
      </c>
      <c r="AA14" s="140">
        <f>MAX(AA9-AA12-AA11/Premissas!$B$8,0)</f>
        <v>0</v>
      </c>
      <c r="AB14" s="140">
        <f>MAX(AB9-AB12-AB11/Premissas!$B$8,0)</f>
        <v>0</v>
      </c>
      <c r="AC14" s="140">
        <f>MAX(AC9-AC12-AC11/Premissas!$B$8,0)</f>
        <v>0</v>
      </c>
      <c r="AD14" s="140">
        <f>MAX(AD9-AD12-AD11/Premissas!$B$8,0)</f>
        <v>63094.29471572164</v>
      </c>
      <c r="AE14" s="140">
        <f>MAX(AE9-AE12-AE11/Premissas!$B$8,0)</f>
        <v>80057.601147947382</v>
      </c>
      <c r="AF14" s="140">
        <f>MAX(AF9-AF12-AF11/Premissas!$B$8,0)</f>
        <v>81516.303982947371</v>
      </c>
      <c r="AG14" s="140">
        <f>MAX(AG9-AG12-AG11/Premissas!$B$8,0)</f>
        <v>93469.667827947342</v>
      </c>
      <c r="AH14" s="140">
        <f>MAX(AH9-AH12-AH11/Premissas!$B$8,0)</f>
        <v>101309.53180903062</v>
      </c>
      <c r="AI14" s="140">
        <f>MAX(AI9-AI12-AI11/Premissas!$B$8,0)</f>
        <v>0</v>
      </c>
      <c r="AJ14" s="140">
        <f>MAX(AJ9-AJ12-AJ11/Premissas!$B$8,0)</f>
        <v>0</v>
      </c>
      <c r="AK14" s="140">
        <f>MAX(AK9-AK12-AK11/Premissas!$B$8,0)</f>
        <v>28215.338892110522</v>
      </c>
      <c r="AL14" s="140">
        <f>MAX(AL9-AL12-AL11/Premissas!$B$8,0)</f>
        <v>27173.090778186855</v>
      </c>
      <c r="AM14" s="140">
        <f>MAX(AM9-AM12-AM11/Premissas!$B$8,0)</f>
        <v>0</v>
      </c>
      <c r="AN14" s="140">
        <f>MAX(AN9-AN12-AN11/Premissas!$B$8,0)</f>
        <v>0</v>
      </c>
      <c r="AO14" s="140">
        <f>MAX(AO9-AO12-AO11/Premissas!$B$8,0)</f>
        <v>0</v>
      </c>
      <c r="AP14" s="140">
        <f>MAX(AP9-AP12-AP11/Premissas!$B$8,0)</f>
        <v>61906.335791191734</v>
      </c>
      <c r="AQ14" s="140">
        <f>MAX(AQ9-AQ12-AQ11/Premissas!$B$8,0)</f>
        <v>79255.842192758399</v>
      </c>
      <c r="AR14" s="140">
        <f>MAX(AR9-AR12-AR11/Premissas!$B$8,0)</f>
        <v>80707.251513583382</v>
      </c>
      <c r="AS14" s="140">
        <f>MAX(AS9-AS12-AS11/Premissas!$B$8,0)</f>
        <v>92600.848539358354</v>
      </c>
      <c r="AT14" s="140">
        <f>MAX(AT9-AT12-AT11/Premissas!$B$8,0)</f>
        <v>100675.28020402249</v>
      </c>
      <c r="AU14" s="140">
        <f>MAX(AU9-AU12-AU11/Premissas!$B$8,0)</f>
        <v>0</v>
      </c>
      <c r="AV14" s="140">
        <f>MAX(AV9-AV12-AV11/Premissas!$B$8,0)</f>
        <v>0</v>
      </c>
      <c r="AW14" s="140">
        <f>MAX(AW9-AW12-AW11/Premissas!$B$8,0)</f>
        <v>25875.078089056718</v>
      </c>
      <c r="AX14" s="140">
        <f>MAX(AX9-AX12-AX11/Premissas!$B$8,0)</f>
        <v>25672.968883247078</v>
      </c>
      <c r="AY14" s="140">
        <f>MAX(AY9-AY12-AY11/Premissas!$B$8,0)</f>
        <v>0</v>
      </c>
      <c r="AZ14" s="140">
        <f>MAX(AZ9-AZ12-AZ11/Premissas!$B$8,0)</f>
        <v>0</v>
      </c>
      <c r="BA14" s="140">
        <f>MAX(BA9-BA12-BA11/Premissas!$B$8,0)</f>
        <v>0</v>
      </c>
      <c r="BB14" s="140">
        <f>MAX(BB9-BB12-BB11/Premissas!$B$8,0)</f>
        <v>60704.680721663506</v>
      </c>
      <c r="BC14" s="140">
        <f>MAX(BC9-BC12-BC11/Premissas!$B$8,0)</f>
        <v>78445.110728336163</v>
      </c>
      <c r="BD14" s="140">
        <f>MAX(BD9-BD12-BD11/Premissas!$B$8,0)</f>
        <v>79889.263002557025</v>
      </c>
      <c r="BE14" s="140">
        <f>MAX(BE9-BE12-BE11/Premissas!$B$8,0)</f>
        <v>91723.392043203115</v>
      </c>
      <c r="BF14" s="140">
        <f>MAX(BF9-BF12-BF11/Premissas!$B$8,0)</f>
        <v>100042.66711216679</v>
      </c>
      <c r="BG14" s="140">
        <f>MAX(BG9-BG12-BG11/Premissas!$B$8,0)</f>
        <v>0</v>
      </c>
      <c r="BH14" s="140">
        <f>MAX(BH9-BH12-BH11/Premissas!$B$8,0)</f>
        <v>0</v>
      </c>
      <c r="BI14" s="140">
        <f>MAX(BI9-BI12-BI11/Premissas!$B$8,0)</f>
        <v>23492.735788401151</v>
      </c>
      <c r="BJ14" s="140">
        <f>MAX(BJ9-BJ12-BJ11/Premissas!$B$8,0)</f>
        <v>24148.352432741012</v>
      </c>
      <c r="BK14" s="140">
        <f>MAX(BK9-BK12-BK11/Premissas!$B$8,0)</f>
        <v>0</v>
      </c>
      <c r="BL14" s="140">
        <f>MAX(BL9-BL12-BL11/Premissas!$B$8,0)</f>
        <v>0</v>
      </c>
      <c r="BM14" s="140">
        <f>MAX(BM9-BM12-BM11/Premissas!$B$8,0)</f>
        <v>0</v>
      </c>
      <c r="BN14" s="140">
        <f>MAX(BN9-BN12-BN11/Premissas!$B$8,0)</f>
        <v>58054.541098553775</v>
      </c>
      <c r="BO14" s="140">
        <f>MAX(BO9-BO12-BO11/Premissas!$B$8,0)</f>
        <v>74882.624175362726</v>
      </c>
      <c r="BP14" s="140">
        <f>MAX(BP9-BP12-BP11/Premissas!$B$8,0)</f>
        <v>74882.624175362726</v>
      </c>
      <c r="BQ14" s="140">
        <f>MAX(BQ9-BQ12-BQ11/Premissas!$B$8,0)</f>
        <v>74882.624175362726</v>
      </c>
      <c r="BR14" s="140">
        <f>MAX(BR9-BR12-BR11/Premissas!$B$8,0)</f>
        <v>84791.678805782198</v>
      </c>
      <c r="BS14" s="140">
        <f>MAX(BS9-BS12-BS11/Premissas!$B$8,0)</f>
        <v>0</v>
      </c>
      <c r="BT14" s="140">
        <f>MAX(BT9-BT12-BT11/Premissas!$B$8,0)</f>
        <v>0</v>
      </c>
      <c r="BU14" s="140">
        <f>MAX(BU9-BU12-BU11/Premissas!$B$8,0)</f>
        <v>10404.184795471776</v>
      </c>
      <c r="BV14" s="140">
        <f>MAX(BV9-BV12-BV11/Premissas!$B$8,0)</f>
        <v>40418.685815387951</v>
      </c>
      <c r="BW14" s="140">
        <f>MAX(BW9-BW12-BW11/Premissas!$B$8,0)</f>
        <v>0</v>
      </c>
      <c r="BX14" s="140">
        <f>MAX(BX9-BX12-BX11/Premissas!$B$8,0)</f>
        <v>0</v>
      </c>
      <c r="BY14" s="140">
        <f>MAX(BY9-BY12-BY11/Premissas!$B$8,0)</f>
        <v>0</v>
      </c>
      <c r="BZ14" s="140">
        <f>MAX(BZ9-BZ12-BZ11/Premissas!$B$8,0)</f>
        <v>57271.078687101042</v>
      </c>
      <c r="CA14" s="140">
        <f>MAX(CA9-CA12-CA11/Premissas!$B$8,0)</f>
        <v>74520.357661992559</v>
      </c>
      <c r="CB14" s="140">
        <f>MAX(CB9-CB12-CB11/Premissas!$B$8,0)</f>
        <v>74520.357661992559</v>
      </c>
      <c r="CC14" s="140">
        <f>MAX(CC9-CC12-CC11/Premissas!$B$8,0)</f>
        <v>74520.357661992559</v>
      </c>
      <c r="CD14" s="140">
        <f>MAX(CD9-CD12-CD11/Premissas!$B$8,0)</f>
        <v>84679.129831261555</v>
      </c>
      <c r="CE14" s="140">
        <f>MAX(CE9-CE12-CE11/Premissas!$B$8,0)</f>
        <v>0</v>
      </c>
      <c r="CF14" s="140">
        <f>MAX(CF9-CF12-CF11/Premissas!$B$8,0)</f>
        <v>0</v>
      </c>
      <c r="CG14" s="140">
        <f>MAX(CG9-CG12-CG11/Premissas!$B$8,0)</f>
        <v>8431.0287668399469</v>
      </c>
      <c r="CH14" s="140">
        <f>MAX(CH9-CH12-CH11/Premissas!$B$8,0)</f>
        <v>39194.372608400598</v>
      </c>
      <c r="CI14" s="140">
        <f>MAX(CI9-CI12-CI11/Premissas!$B$8,0)</f>
        <v>0</v>
      </c>
      <c r="CJ14" s="140">
        <f>MAX(CJ9-CJ12-CJ11/Premissas!$B$8,0)</f>
        <v>0</v>
      </c>
      <c r="CK14" s="140">
        <f>MAX(CK9-CK12-CK11/Premissas!$B$8,0)</f>
        <v>0</v>
      </c>
      <c r="CL14" s="140">
        <f>MAX(CL9-CL12-CL11/Premissas!$B$8,0)</f>
        <v>56469.961378196247</v>
      </c>
      <c r="CM14" s="140">
        <f>MAX(CM9-CM12-CM11/Premissas!$B$8,0)</f>
        <v>74151.091148622378</v>
      </c>
      <c r="CN14" s="140">
        <f>MAX(CN9-CN12-CN11/Premissas!$B$8,0)</f>
        <v>74151.091148622378</v>
      </c>
      <c r="CO14" s="140">
        <f>MAX(CO9-CO12-CO11/Premissas!$B$8,0)</f>
        <v>74151.091148622378</v>
      </c>
      <c r="CP14" s="140">
        <f>MAX(CP9-CP12-CP11/Premissas!$B$8,0)</f>
        <v>84561.925959288856</v>
      </c>
      <c r="CQ14" s="140">
        <f>MAX(CQ9-CQ12-CQ11/Premissas!$B$8,0)</f>
        <v>0</v>
      </c>
      <c r="CR14" s="140">
        <f>MAX(CR9-CR12-CR11/Premissas!$B$8,0)</f>
        <v>0</v>
      </c>
      <c r="CS14" s="140">
        <f>MAX(CS9-CS12-CS11/Premissas!$B$8,0)</f>
        <v>6407.5982509477999</v>
      </c>
      <c r="CT14" s="140">
        <f>MAX(CT9-CT12-CT11/Premissas!$B$8,0)</f>
        <v>37940.094709057055</v>
      </c>
      <c r="CU14" s="140">
        <f>MAX(CU9-CU12-CU11/Premissas!$B$8,0)</f>
        <v>0</v>
      </c>
      <c r="CV14" s="140">
        <f>MAX(CV9-CV12-CV11/Premissas!$B$8,0)</f>
        <v>0</v>
      </c>
      <c r="CW14" s="140">
        <f>MAX(CW9-CW12-CW11/Premissas!$B$8,0)</f>
        <v>0</v>
      </c>
      <c r="CX14" s="140">
        <f>MAX(CX9-CX12-CX11/Premissas!$B$8,0)</f>
        <v>55647.534274387319</v>
      </c>
      <c r="CY14" s="140">
        <f>MAX(CY9-CY12-CY11/Premissas!$B$8,0)</f>
        <v>73770.514840348085</v>
      </c>
      <c r="CZ14" s="140">
        <f>MAX(CZ9-CZ12-CZ11/Premissas!$B$8,0)</f>
        <v>73770.514840348085</v>
      </c>
      <c r="DA14" s="140">
        <f>MAX(DA9-DA12-DA11/Premissas!$B$8,0)</f>
        <v>73770.514840348085</v>
      </c>
      <c r="DB14" s="140">
        <f>MAX(DB9-DB12-DB11/Premissas!$B$8,0)</f>
        <v>84441.067189864087</v>
      </c>
      <c r="DC14" s="140">
        <f>MAX(DC9-DC12-DC11/Premissas!$B$8,0)</f>
        <v>0</v>
      </c>
      <c r="DD14" s="140">
        <f>MAX(DD9-DD12-DD11/Premissas!$B$8,0)</f>
        <v>0</v>
      </c>
      <c r="DE14" s="140">
        <f>MAX(DE9-DE12-DE11/Premissas!$B$8,0)</f>
        <v>4335.548145247396</v>
      </c>
      <c r="DF14" s="140">
        <f>MAX(DF9-DF12-DF11/Premissas!$B$8,0)</f>
        <v>36656.50701480938</v>
      </c>
      <c r="DG14" s="140">
        <f>MAX(DG9-DG12-DG11/Premissas!$B$8,0)</f>
        <v>0</v>
      </c>
      <c r="DH14" s="140">
        <f>MAX(DH9-DH12-DH11/Premissas!$B$8,0)</f>
        <v>0</v>
      </c>
      <c r="DI14" s="140">
        <f>MAX(DI9-DI12-DI11/Premissas!$B$8,0)</f>
        <v>0</v>
      </c>
      <c r="DJ14" s="140">
        <f>MAX(DJ9-DJ12-DJ11/Premissas!$B$8,0)</f>
        <v>54805.797375674272</v>
      </c>
      <c r="DK14" s="140">
        <f>MAX(DK9-DK12-DK11/Premissas!$B$8,0)</f>
        <v>73380.283634621708</v>
      </c>
      <c r="DL14" s="140">
        <f>MAX(DL9-DL12-DL11/Premissas!$B$8,0)</f>
        <v>73380.283634621708</v>
      </c>
      <c r="DM14" s="140">
        <f>MAX(DM9-DM12-DM11/Premissas!$B$8,0)</f>
        <v>73380.283634621708</v>
      </c>
      <c r="DN14" s="140">
        <f>MAX(DN9-DN12-DN11/Premissas!$B$8,0)</f>
        <v>84318.863317891373</v>
      </c>
      <c r="DO14" s="140">
        <f>MAX(DO9-DO12-DO11/Premissas!$B$8,0)</f>
        <v>0</v>
      </c>
      <c r="DP14" s="140">
        <f>MAX(DP9-DP12-DP11/Premissas!$B$8,0)</f>
        <v>0</v>
      </c>
      <c r="DQ14" s="140">
        <f>MAX(DQ9-DQ12-DQ11/Premissas!$B$8,0)</f>
        <v>2209.5686548346075</v>
      </c>
      <c r="DR14" s="140">
        <f>MAX(DR9-DR12-DR11/Premissas!$B$8,0)</f>
        <v>35338.299730753453</v>
      </c>
      <c r="DS14" s="140">
        <f>MAX(DS9-DS12-DS11/Premissas!$B$8,0)</f>
        <v>0</v>
      </c>
    </row>
    <row r="15" spans="1:123" ht="15" customHeight="1" x14ac:dyDescent="0.35">
      <c r="A15" s="335" t="s">
        <v>479</v>
      </c>
      <c r="B15" s="335"/>
      <c r="C15" s="335"/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5"/>
      <c r="Q15" s="335"/>
      <c r="R15" s="335"/>
      <c r="S15" s="335"/>
      <c r="T15" s="335"/>
      <c r="U15" s="335"/>
      <c r="V15" s="335"/>
      <c r="W15" s="335"/>
      <c r="X15" s="335"/>
      <c r="Y15" s="335"/>
      <c r="Z15" s="335"/>
      <c r="AA15" s="335"/>
    </row>
    <row r="16" spans="1:123" ht="12.75" customHeight="1" x14ac:dyDescent="0.35">
      <c r="A16" s="147" t="s">
        <v>480</v>
      </c>
      <c r="B16" s="148">
        <f>AA16</f>
        <v>582150.42442146363</v>
      </c>
      <c r="C16" s="139" t="s">
        <v>169</v>
      </c>
      <c r="D16" s="148">
        <f>Premissas!$B$27</f>
        <v>906739</v>
      </c>
      <c r="E16" s="148">
        <f t="shared" ref="E16:AJ16" si="6">D18</f>
        <v>886285.6725772355</v>
      </c>
      <c r="F16" s="148">
        <f t="shared" si="6"/>
        <v>837625.80113859742</v>
      </c>
      <c r="G16" s="148">
        <f t="shared" si="6"/>
        <v>837625.80113859742</v>
      </c>
      <c r="H16" s="148">
        <f t="shared" si="6"/>
        <v>837625.80113859742</v>
      </c>
      <c r="I16" s="148">
        <f t="shared" si="6"/>
        <v>837625.80113859742</v>
      </c>
      <c r="J16" s="148">
        <f t="shared" si="6"/>
        <v>837625.80113859742</v>
      </c>
      <c r="K16" s="148">
        <f t="shared" si="6"/>
        <v>837625.80113859742</v>
      </c>
      <c r="L16" s="148">
        <f t="shared" si="6"/>
        <v>813016.93721080746</v>
      </c>
      <c r="M16" s="148">
        <f t="shared" si="6"/>
        <v>750947.56783801888</v>
      </c>
      <c r="N16" s="148">
        <f t="shared" si="6"/>
        <v>750947.56783801888</v>
      </c>
      <c r="O16" s="148">
        <f t="shared" si="6"/>
        <v>750947.56783801888</v>
      </c>
      <c r="P16" s="148">
        <f t="shared" si="6"/>
        <v>745509.78453760722</v>
      </c>
      <c r="Q16" s="148">
        <f t="shared" si="6"/>
        <v>722376.25497029279</v>
      </c>
      <c r="R16" s="148">
        <f t="shared" si="6"/>
        <v>669850.47744954214</v>
      </c>
      <c r="S16" s="148">
        <f t="shared" si="6"/>
        <v>669850.47744954214</v>
      </c>
      <c r="T16" s="148">
        <f t="shared" si="6"/>
        <v>669850.47744954214</v>
      </c>
      <c r="U16" s="148">
        <f t="shared" si="6"/>
        <v>669850.47744954214</v>
      </c>
      <c r="V16" s="148">
        <f t="shared" si="6"/>
        <v>669850.47744954214</v>
      </c>
      <c r="W16" s="148">
        <f t="shared" si="6"/>
        <v>669850.47744954214</v>
      </c>
      <c r="X16" s="148">
        <f t="shared" si="6"/>
        <v>644673.17499675218</v>
      </c>
      <c r="Y16" s="148">
        <f t="shared" si="6"/>
        <v>582150.42442146363</v>
      </c>
      <c r="Z16" s="148">
        <f t="shared" si="6"/>
        <v>582150.42442146363</v>
      </c>
      <c r="AA16" s="148">
        <f t="shared" si="6"/>
        <v>582150.42442146363</v>
      </c>
      <c r="AB16" s="148">
        <f t="shared" si="6"/>
        <v>576256.84853605193</v>
      </c>
      <c r="AC16" s="148">
        <f t="shared" si="6"/>
        <v>550386.64950942714</v>
      </c>
      <c r="AD16" s="148">
        <f t="shared" si="6"/>
        <v>493910.28024949541</v>
      </c>
      <c r="AE16" s="148">
        <f t="shared" si="6"/>
        <v>493910.28024949541</v>
      </c>
      <c r="AF16" s="148">
        <f t="shared" si="6"/>
        <v>493910.28024949541</v>
      </c>
      <c r="AG16" s="148">
        <f t="shared" si="6"/>
        <v>493910.28024949541</v>
      </c>
      <c r="AH16" s="148">
        <f t="shared" si="6"/>
        <v>493910.28024949541</v>
      </c>
      <c r="AI16" s="148">
        <f t="shared" si="6"/>
        <v>493910.28024949541</v>
      </c>
      <c r="AJ16" s="148">
        <f t="shared" si="6"/>
        <v>461166.11383832444</v>
      </c>
      <c r="AK16" s="148">
        <f t="shared" ref="AK16:BP16" si="7">AJ18</f>
        <v>390458.79341634992</v>
      </c>
      <c r="AL16" s="148">
        <f t="shared" si="7"/>
        <v>390458.79341634992</v>
      </c>
      <c r="AM16" s="148">
        <f t="shared" si="7"/>
        <v>390458.79341634992</v>
      </c>
      <c r="AN16" s="148">
        <f t="shared" si="7"/>
        <v>379221.10597836587</v>
      </c>
      <c r="AO16" s="148">
        <f t="shared" si="7"/>
        <v>350558.76114180806</v>
      </c>
      <c r="AP16" s="148">
        <f t="shared" si="7"/>
        <v>290045.7583409787</v>
      </c>
      <c r="AQ16" s="148">
        <f t="shared" si="7"/>
        <v>290045.7583409787</v>
      </c>
      <c r="AR16" s="148">
        <f t="shared" si="7"/>
        <v>290045.7583409787</v>
      </c>
      <c r="AS16" s="148">
        <f t="shared" si="7"/>
        <v>290045.7583409787</v>
      </c>
      <c r="AT16" s="148">
        <f t="shared" si="7"/>
        <v>290045.7583409787</v>
      </c>
      <c r="AU16" s="148">
        <f t="shared" si="7"/>
        <v>290045.7583409787</v>
      </c>
      <c r="AV16" s="148">
        <f t="shared" si="7"/>
        <v>253106.50354794081</v>
      </c>
      <c r="AW16" s="148">
        <f t="shared" si="7"/>
        <v>177939.08295898518</v>
      </c>
      <c r="AX16" s="148">
        <f t="shared" si="7"/>
        <v>177939.08295898518</v>
      </c>
      <c r="AY16" s="148">
        <f t="shared" si="7"/>
        <v>177939.08295898518</v>
      </c>
      <c r="AZ16" s="148">
        <f t="shared" si="7"/>
        <v>163713.28387344533</v>
      </c>
      <c r="BA16" s="148">
        <f t="shared" si="7"/>
        <v>132196.99809074431</v>
      </c>
      <c r="BB16" s="148">
        <f t="shared" si="7"/>
        <v>67561.308960411348</v>
      </c>
      <c r="BC16" s="148">
        <f t="shared" si="7"/>
        <v>67561.308960411348</v>
      </c>
      <c r="BD16" s="148">
        <f t="shared" si="7"/>
        <v>67561.308960411348</v>
      </c>
      <c r="BE16" s="148">
        <f t="shared" si="7"/>
        <v>67561.308960411348</v>
      </c>
      <c r="BF16" s="148">
        <f t="shared" si="7"/>
        <v>67561.308960411348</v>
      </c>
      <c r="BG16" s="148">
        <f t="shared" si="7"/>
        <v>67561.308960411348</v>
      </c>
      <c r="BH16" s="148">
        <f t="shared" si="7"/>
        <v>26339.540447643565</v>
      </c>
      <c r="BI16" s="148">
        <f t="shared" si="7"/>
        <v>0</v>
      </c>
      <c r="BJ16" s="148">
        <f t="shared" si="7"/>
        <v>0</v>
      </c>
      <c r="BK16" s="148">
        <f t="shared" si="7"/>
        <v>0</v>
      </c>
      <c r="BL16" s="148">
        <f t="shared" si="7"/>
        <v>0</v>
      </c>
      <c r="BM16" s="148">
        <f t="shared" si="7"/>
        <v>0</v>
      </c>
      <c r="BN16" s="148">
        <f t="shared" si="7"/>
        <v>0</v>
      </c>
      <c r="BO16" s="148">
        <f t="shared" si="7"/>
        <v>0</v>
      </c>
      <c r="BP16" s="148">
        <f t="shared" si="7"/>
        <v>0</v>
      </c>
      <c r="BQ16" s="148">
        <f t="shared" ref="BQ16:CV16" si="8">BP18</f>
        <v>0</v>
      </c>
      <c r="BR16" s="148">
        <f t="shared" si="8"/>
        <v>0</v>
      </c>
      <c r="BS16" s="148">
        <f t="shared" si="8"/>
        <v>0</v>
      </c>
      <c r="BT16" s="148">
        <f t="shared" si="8"/>
        <v>0</v>
      </c>
      <c r="BU16" s="148">
        <f t="shared" si="8"/>
        <v>0</v>
      </c>
      <c r="BV16" s="148">
        <f t="shared" si="8"/>
        <v>0</v>
      </c>
      <c r="BW16" s="148">
        <f t="shared" si="8"/>
        <v>0</v>
      </c>
      <c r="BX16" s="148">
        <f t="shared" si="8"/>
        <v>0</v>
      </c>
      <c r="BY16" s="148">
        <f t="shared" si="8"/>
        <v>0</v>
      </c>
      <c r="BZ16" s="148">
        <f t="shared" si="8"/>
        <v>0</v>
      </c>
      <c r="CA16" s="148">
        <f t="shared" si="8"/>
        <v>0</v>
      </c>
      <c r="CB16" s="148">
        <f t="shared" si="8"/>
        <v>0</v>
      </c>
      <c r="CC16" s="148">
        <f t="shared" si="8"/>
        <v>0</v>
      </c>
      <c r="CD16" s="148">
        <f t="shared" si="8"/>
        <v>0</v>
      </c>
      <c r="CE16" s="148">
        <f t="shared" si="8"/>
        <v>0</v>
      </c>
      <c r="CF16" s="148">
        <f t="shared" si="8"/>
        <v>0</v>
      </c>
      <c r="CG16" s="148">
        <f t="shared" si="8"/>
        <v>0</v>
      </c>
      <c r="CH16" s="148">
        <f t="shared" si="8"/>
        <v>0</v>
      </c>
      <c r="CI16" s="148">
        <f t="shared" si="8"/>
        <v>0</v>
      </c>
      <c r="CJ16" s="148">
        <f t="shared" si="8"/>
        <v>0</v>
      </c>
      <c r="CK16" s="148">
        <f t="shared" si="8"/>
        <v>0</v>
      </c>
      <c r="CL16" s="148">
        <f t="shared" si="8"/>
        <v>0</v>
      </c>
      <c r="CM16" s="148">
        <f t="shared" si="8"/>
        <v>0</v>
      </c>
      <c r="CN16" s="148">
        <f t="shared" si="8"/>
        <v>0</v>
      </c>
      <c r="CO16" s="148">
        <f t="shared" si="8"/>
        <v>0</v>
      </c>
      <c r="CP16" s="148">
        <f t="shared" si="8"/>
        <v>0</v>
      </c>
      <c r="CQ16" s="148">
        <f t="shared" si="8"/>
        <v>0</v>
      </c>
      <c r="CR16" s="148">
        <f t="shared" si="8"/>
        <v>0</v>
      </c>
      <c r="CS16" s="148">
        <f t="shared" si="8"/>
        <v>0</v>
      </c>
      <c r="CT16" s="148">
        <f t="shared" si="8"/>
        <v>0</v>
      </c>
      <c r="CU16" s="148">
        <f t="shared" si="8"/>
        <v>0</v>
      </c>
      <c r="CV16" s="148">
        <f t="shared" si="8"/>
        <v>0</v>
      </c>
      <c r="CW16" s="148">
        <f t="shared" ref="CW16:DS16" si="9">CV18</f>
        <v>0</v>
      </c>
      <c r="CX16" s="148">
        <f t="shared" si="9"/>
        <v>0</v>
      </c>
      <c r="CY16" s="148">
        <f t="shared" si="9"/>
        <v>0</v>
      </c>
      <c r="CZ16" s="148">
        <f t="shared" si="9"/>
        <v>0</v>
      </c>
      <c r="DA16" s="148">
        <f t="shared" si="9"/>
        <v>0</v>
      </c>
      <c r="DB16" s="148">
        <f t="shared" si="9"/>
        <v>0</v>
      </c>
      <c r="DC16" s="148">
        <f t="shared" si="9"/>
        <v>0</v>
      </c>
      <c r="DD16" s="148">
        <f t="shared" si="9"/>
        <v>0</v>
      </c>
      <c r="DE16" s="148">
        <f t="shared" si="9"/>
        <v>0</v>
      </c>
      <c r="DF16" s="148">
        <f t="shared" si="9"/>
        <v>0</v>
      </c>
      <c r="DG16" s="148">
        <f t="shared" si="9"/>
        <v>0</v>
      </c>
      <c r="DH16" s="148">
        <f t="shared" si="9"/>
        <v>0</v>
      </c>
      <c r="DI16" s="148">
        <f t="shared" si="9"/>
        <v>0</v>
      </c>
      <c r="DJ16" s="148">
        <f t="shared" si="9"/>
        <v>0</v>
      </c>
      <c r="DK16" s="148">
        <f t="shared" si="9"/>
        <v>0</v>
      </c>
      <c r="DL16" s="148">
        <f t="shared" si="9"/>
        <v>0</v>
      </c>
      <c r="DM16" s="148">
        <f t="shared" si="9"/>
        <v>0</v>
      </c>
      <c r="DN16" s="148">
        <f t="shared" si="9"/>
        <v>0</v>
      </c>
      <c r="DO16" s="148">
        <f t="shared" si="9"/>
        <v>0</v>
      </c>
      <c r="DP16" s="148">
        <f t="shared" si="9"/>
        <v>0</v>
      </c>
      <c r="DQ16" s="148">
        <f t="shared" si="9"/>
        <v>0</v>
      </c>
      <c r="DR16" s="148">
        <f t="shared" si="9"/>
        <v>0</v>
      </c>
      <c r="DS16" s="148">
        <f t="shared" si="9"/>
        <v>0</v>
      </c>
    </row>
    <row r="17" spans="1:123" ht="12.75" customHeight="1" x14ac:dyDescent="0.35">
      <c r="A17" s="147" t="s">
        <v>481</v>
      </c>
      <c r="B17" s="148">
        <f>SUM(D17:BQ17)</f>
        <v>906739.00000000012</v>
      </c>
      <c r="C17" s="139">
        <f>B17/60</f>
        <v>15112.316666666669</v>
      </c>
      <c r="D17" s="148">
        <f>MIN(D16,MAX(D10-D12,0)+IF(Premissas!$B$8=0,0,MAX(D11-D13,0)/Premissas!$B$8))</f>
        <v>20453.327422764538</v>
      </c>
      <c r="E17" s="148">
        <f>MIN(E16,MAX(E10-E12,0)+IF(Premissas!$B$8=0,0,MAX(E11-E13,0)/Premissas!$B$8))</f>
        <v>48659.871438638111</v>
      </c>
      <c r="F17" s="148">
        <f>MIN(F16,MAX(F10-F12,0)+IF(Premissas!$B$8=0,0,MAX(F11-F13,0)/Premissas!$B$8))</f>
        <v>0</v>
      </c>
      <c r="G17" s="148">
        <f>MIN(G16,MAX(G10-G12,0)+IF(Premissas!$B$8=0,0,MAX(G11-G13,0)/Premissas!$B$8))</f>
        <v>0</v>
      </c>
      <c r="H17" s="148">
        <f>MIN(H16,MAX(H10-H12,0)+IF(Premissas!$B$8=0,0,MAX(H11-H13,0)/Premissas!$B$8))</f>
        <v>0</v>
      </c>
      <c r="I17" s="148">
        <f>MIN(I16,MAX(I10-I12,0)+IF(Premissas!$B$8=0,0,MAX(I11-I13,0)/Premissas!$B$8))</f>
        <v>0</v>
      </c>
      <c r="J17" s="148">
        <f>MIN(J16,MAX(J10-J12,0)+IF(Premissas!$B$8=0,0,MAX(J11-J13,0)/Premissas!$B$8))</f>
        <v>0</v>
      </c>
      <c r="K17" s="148">
        <f>MIN(K16,MAX(K10-K12,0)+IF(Premissas!$B$8=0,0,MAX(K11-K13,0)/Premissas!$B$8))</f>
        <v>24608.863927789957</v>
      </c>
      <c r="L17" s="148">
        <f>MIN(L16,MAX(L10-L12,0)+IF(Premissas!$B$8=0,0,MAX(L11-L13,0)/Premissas!$B$8))</f>
        <v>62069.369372788598</v>
      </c>
      <c r="M17" s="148">
        <f>MIN(M16,MAX(M10-M12,0)+IF(Premissas!$B$8=0,0,MAX(M11-M13,0)/Premissas!$B$8))</f>
        <v>0</v>
      </c>
      <c r="N17" s="148">
        <f>MIN(N16,MAX(N10-N12,0)+IF(Premissas!$B$8=0,0,MAX(N11-N13,0)/Premissas!$B$8))</f>
        <v>0</v>
      </c>
      <c r="O17" s="148">
        <f>MIN(O16,MAX(O10-O12,0)+IF(Premissas!$B$8=0,0,MAX(O11-O13,0)/Premissas!$B$8))</f>
        <v>5437.7833004116692</v>
      </c>
      <c r="P17" s="148">
        <f>MIN(P16,MAX(P10-P12,0)+IF(Premissas!$B$8=0,0,MAX(P11-P13,0)/Premissas!$B$8))</f>
        <v>23133.529567314479</v>
      </c>
      <c r="Q17" s="148">
        <f>MIN(Q16,MAX(Q10-Q12,0)+IF(Premissas!$B$8=0,0,MAX(Q11-Q13,0)/Premissas!$B$8))</f>
        <v>52525.777520750635</v>
      </c>
      <c r="R17" s="148">
        <f>MIN(R16,MAX(R10-R12,0)+IF(Premissas!$B$8=0,0,MAX(R11-R13,0)/Premissas!$B$8))</f>
        <v>0</v>
      </c>
      <c r="S17" s="148">
        <f>MIN(S16,MAX(S10-S12,0)+IF(Premissas!$B$8=0,0,MAX(S11-S13,0)/Premissas!$B$8))</f>
        <v>0</v>
      </c>
      <c r="T17" s="148">
        <f>MIN(T16,MAX(T10-T12,0)+IF(Premissas!$B$8=0,0,MAX(T11-T13,0)/Premissas!$B$8))</f>
        <v>0</v>
      </c>
      <c r="U17" s="148">
        <f>MIN(U16,MAX(U10-U12,0)+IF(Premissas!$B$8=0,0,MAX(U11-U13,0)/Premissas!$B$8))</f>
        <v>0</v>
      </c>
      <c r="V17" s="148">
        <f>MIN(V16,MAX(V10-V12,0)+IF(Premissas!$B$8=0,0,MAX(V11-V13,0)/Premissas!$B$8))</f>
        <v>0</v>
      </c>
      <c r="W17" s="148">
        <f>MIN(W16,MAX(W10-W12,0)+IF(Premissas!$B$8=0,0,MAX(W11-W13,0)/Premissas!$B$8))</f>
        <v>25177.302452789962</v>
      </c>
      <c r="X17" s="148">
        <f>MIN(X16,MAX(X10-X12,0)+IF(Premissas!$B$8=0,0,MAX(X11-X13,0)/Premissas!$B$8))</f>
        <v>62522.750575288592</v>
      </c>
      <c r="Y17" s="148">
        <f>MIN(Y16,MAX(Y10-Y12,0)+IF(Premissas!$B$8=0,0,MAX(Y11-Y13,0)/Premissas!$B$8))</f>
        <v>0</v>
      </c>
      <c r="Z17" s="148">
        <f>MIN(Z16,MAX(Z10-Z12,0)+IF(Premissas!$B$8=0,0,MAX(Z11-Z13,0)/Premissas!$B$8))</f>
        <v>0</v>
      </c>
      <c r="AA17" s="148">
        <f>MIN(AA16,MAX(AA10-AA12,0)+IF(Premissas!$B$8=0,0,MAX(AA11-AA13,0)/Premissas!$B$8))</f>
        <v>5893.5758854116721</v>
      </c>
      <c r="AB17" s="148">
        <f>MIN(AB16,MAX(AB10-AB12,0)+IF(Premissas!$B$8=0,0,MAX(AB11-AB13,0)/Premissas!$B$8))</f>
        <v>25870.199026624738</v>
      </c>
      <c r="AC17" s="148">
        <f>MIN(AC16,MAX(AC10-AC12,0)+IF(Premissas!$B$8=0,0,MAX(AC11-AC13,0)/Premissas!$B$8))</f>
        <v>56476.369259931729</v>
      </c>
      <c r="AD17" s="148">
        <f>MIN(AD16,MAX(AD10-AD12,0)+IF(Premissas!$B$8=0,0,MAX(AD11-AD13,0)/Premissas!$B$8))</f>
        <v>0</v>
      </c>
      <c r="AE17" s="148">
        <f>MIN(AE16,MAX(AE10-AE12,0)+IF(Premissas!$B$8=0,0,MAX(AE11-AE13,0)/Premissas!$B$8))</f>
        <v>0</v>
      </c>
      <c r="AF17" s="148">
        <f>MIN(AF16,MAX(AF10-AF12,0)+IF(Premissas!$B$8=0,0,MAX(AF11-AF13,0)/Premissas!$B$8))</f>
        <v>0</v>
      </c>
      <c r="AG17" s="148">
        <f>MIN(AG16,MAX(AG10-AG12,0)+IF(Premissas!$B$8=0,0,MAX(AG11-AG13,0)/Premissas!$B$8))</f>
        <v>0</v>
      </c>
      <c r="AH17" s="148">
        <f>MIN(AH16,MAX(AH10-AH12,0)+IF(Premissas!$B$8=0,0,MAX(AH11-AH13,0)/Premissas!$B$8))</f>
        <v>0</v>
      </c>
      <c r="AI17" s="148">
        <f>MIN(AI16,MAX(AI10-AI12,0)+IF(Premissas!$B$8=0,0,MAX(AI11-AI13,0)/Premissas!$B$8))</f>
        <v>32744.166411170972</v>
      </c>
      <c r="AJ17" s="148">
        <f>MIN(AJ16,MAX(AJ10-AJ12,0)+IF(Premissas!$B$8=0,0,MAX(AJ11-AJ13,0)/Premissas!$B$8))</f>
        <v>70707.320421974524</v>
      </c>
      <c r="AK17" s="148">
        <f>MIN(AK16,MAX(AK10-AK12,0)+IF(Premissas!$B$8=0,0,MAX(AK11-AK13,0)/Premissas!$B$8))</f>
        <v>0</v>
      </c>
      <c r="AL17" s="148">
        <f>MIN(AL16,MAX(AL10-AL12,0)+IF(Premissas!$B$8=0,0,MAX(AL11-AL13,0)/Premissas!$B$8))</f>
        <v>0</v>
      </c>
      <c r="AM17" s="148">
        <f>MIN(AM16,MAX(AM10-AM12,0)+IF(Premissas!$B$8=0,0,MAX(AM11-AM13,0)/Premissas!$B$8))</f>
        <v>11237.687437984019</v>
      </c>
      <c r="AN17" s="148">
        <f>MIN(AN16,MAX(AN10-AN12,0)+IF(Premissas!$B$8=0,0,MAX(AN11-AN13,0)/Premissas!$B$8))</f>
        <v>28662.344836557808</v>
      </c>
      <c r="AO17" s="148">
        <f>MIN(AO16,MAX(AO10-AO12,0)+IF(Premissas!$B$8=0,0,MAX(AO11-AO13,0)/Premissas!$B$8))</f>
        <v>60513.002800829345</v>
      </c>
      <c r="AP17" s="148">
        <f>MIN(AP16,MAX(AP10-AP12,0)+IF(Premissas!$B$8=0,0,MAX(AP11-AP13,0)/Premissas!$B$8))</f>
        <v>0</v>
      </c>
      <c r="AQ17" s="148">
        <f>MIN(AQ16,MAX(AQ10-AQ12,0)+IF(Premissas!$B$8=0,0,MAX(AQ11-AQ13,0)/Premissas!$B$8))</f>
        <v>0</v>
      </c>
      <c r="AR17" s="148">
        <f>MIN(AR16,MAX(AR10-AR12,0)+IF(Premissas!$B$8=0,0,MAX(AR11-AR13,0)/Premissas!$B$8))</f>
        <v>0</v>
      </c>
      <c r="AS17" s="148">
        <f>MIN(AS16,MAX(AS10-AS12,0)+IF(Premissas!$B$8=0,0,MAX(AS11-AS13,0)/Premissas!$B$8))</f>
        <v>0</v>
      </c>
      <c r="AT17" s="148">
        <f>MIN(AT16,MAX(AT10-AT12,0)+IF(Premissas!$B$8=0,0,MAX(AT11-AT13,0)/Premissas!$B$8))</f>
        <v>0</v>
      </c>
      <c r="AU17" s="148">
        <f>MIN(AU16,MAX(AU10-AU12,0)+IF(Premissas!$B$8=0,0,MAX(AU11-AU13,0)/Premissas!$B$8))</f>
        <v>36939.254793037908</v>
      </c>
      <c r="AV17" s="148">
        <f>MIN(AV16,MAX(AV10-AV12,0)+IF(Premissas!$B$8=0,0,MAX(AV11-AV13,0)/Premissas!$B$8))</f>
        <v>75167.420588955618</v>
      </c>
      <c r="AW17" s="148">
        <f>MIN(AW16,MAX(AW10-AW12,0)+IF(Premissas!$B$8=0,0,MAX(AW11-AW13,0)/Premissas!$B$8))</f>
        <v>0</v>
      </c>
      <c r="AX17" s="148">
        <f>MIN(AX16,MAX(AX10-AX12,0)+IF(Premissas!$B$8=0,0,MAX(AX11-AX13,0)/Premissas!$B$8))</f>
        <v>0</v>
      </c>
      <c r="AY17" s="148">
        <f>MIN(AY16,MAX(AY10-AY12,0)+IF(Premissas!$B$8=0,0,MAX(AY11-AY13,0)/Premissas!$B$8))</f>
        <v>14225.799085539864</v>
      </c>
      <c r="AZ17" s="148">
        <f>MIN(AZ16,MAX(AZ10-AZ12,0)+IF(Premissas!$B$8=0,0,MAX(AZ11-AZ13,0)/Premissas!$B$8))</f>
        <v>31516.28578270103</v>
      </c>
      <c r="BA17" s="148">
        <f>MIN(BA16,MAX(BA10-BA12,0)+IF(Premissas!$B$8=0,0,MAX(BA11-BA13,0)/Premissas!$B$8))</f>
        <v>64635.689130332961</v>
      </c>
      <c r="BB17" s="148">
        <f>MIN(BB16,MAX(BB10-BB12,0)+IF(Premissas!$B$8=0,0,MAX(BB11-BB13,0)/Premissas!$B$8))</f>
        <v>0</v>
      </c>
      <c r="BC17" s="148">
        <f>MIN(BC16,MAX(BC10-BC12,0)+IF(Premissas!$B$8=0,0,MAX(BC11-BC13,0)/Premissas!$B$8))</f>
        <v>0</v>
      </c>
      <c r="BD17" s="148">
        <f>MIN(BD16,MAX(BD10-BD12,0)+IF(Premissas!$B$8=0,0,MAX(BD11-BD13,0)/Premissas!$B$8))</f>
        <v>0</v>
      </c>
      <c r="BE17" s="148">
        <f>MIN(BE16,MAX(BE10-BE12,0)+IF(Premissas!$B$8=0,0,MAX(BE11-BE13,0)/Premissas!$B$8))</f>
        <v>0</v>
      </c>
      <c r="BF17" s="148">
        <f>MIN(BF16,MAX(BF10-BF12,0)+IF(Premissas!$B$8=0,0,MAX(BF11-BF13,0)/Premissas!$B$8))</f>
        <v>0</v>
      </c>
      <c r="BG17" s="148">
        <f>MIN(BG16,MAX(BG10-BG12,0)+IF(Premissas!$B$8=0,0,MAX(BG11-BG13,0)/Premissas!$B$8))</f>
        <v>41221.768512767783</v>
      </c>
      <c r="BH17" s="148">
        <f>MIN(BH16,MAX(BH10-BH12,0)+IF(Premissas!$B$8=0,0,MAX(BH11-BH13,0)/Premissas!$B$8))</f>
        <v>26339.540447643565</v>
      </c>
      <c r="BI17" s="148">
        <f>MIN(BI16,MAX(BI10-BI12,0)+IF(Premissas!$B$8=0,0,MAX(BI11-BI13,0)/Premissas!$B$8))</f>
        <v>0</v>
      </c>
      <c r="BJ17" s="148">
        <f>MIN(BJ16,MAX(BJ10-BJ12,0)+IF(Premissas!$B$8=0,0,MAX(BJ11-BJ13,0)/Premissas!$B$8))</f>
        <v>0</v>
      </c>
      <c r="BK17" s="148">
        <f>MIN(BK16,MAX(BK10-BK12,0)+IF(Premissas!$B$8=0,0,MAX(BK11-BK13,0)/Premissas!$B$8))</f>
        <v>0</v>
      </c>
      <c r="BL17" s="148">
        <f>MIN(BL16,MAX(BL10-BL12,0)+IF(Premissas!$B$8=0,0,MAX(BL11-BL13,0)/Premissas!$B$8))</f>
        <v>0</v>
      </c>
      <c r="BM17" s="148">
        <f>MIN(BM16,MAX(BM10-BM12,0)+IF(Premissas!$B$8=0,0,MAX(BM11-BM13,0)/Premissas!$B$8))</f>
        <v>0</v>
      </c>
      <c r="BN17" s="148">
        <f>MIN(BN16,MAX(BN10-BN12,0)+IF(Premissas!$B$8=0,0,MAX(BN11-BN13,0)/Premissas!$B$8))</f>
        <v>0</v>
      </c>
      <c r="BO17" s="148">
        <f>MIN(BO16,MAX(BO10-BO12,0)+IF(Premissas!$B$8=0,0,MAX(BO11-BO13,0)/Premissas!$B$8))</f>
        <v>0</v>
      </c>
      <c r="BP17" s="148">
        <f>MIN(BP16,MAX(BP10-BP12,0)+IF(Premissas!$B$8=0,0,MAX(BP11-BP13,0)/Premissas!$B$8))</f>
        <v>0</v>
      </c>
      <c r="BQ17" s="148">
        <f>MIN(BQ16,MAX(BQ10-BQ12,0)+IF(Premissas!$B$8=0,0,MAX(BQ11-BQ13,0)/Premissas!$B$8))</f>
        <v>0</v>
      </c>
      <c r="BR17" s="148">
        <f>MIN(BR16,MAX(BR10-BR12,0)+IF(Premissas!$B$8=0,0,MAX(BR11-BR13,0)/Premissas!$B$8))</f>
        <v>0</v>
      </c>
      <c r="BS17" s="148">
        <f>MIN(BS16,MAX(BS10-BS12,0)+IF(Premissas!$B$8=0,0,MAX(BS11-BS13,0)/Premissas!$B$8))</f>
        <v>0</v>
      </c>
      <c r="BT17" s="148">
        <f>MIN(BT16,MAX(BT10-BT12,0)+IF(Premissas!$B$8=0,0,MAX(BT11-BT13,0)/Premissas!$B$8))</f>
        <v>0</v>
      </c>
      <c r="BU17" s="148">
        <f>MIN(BU16,MAX(BU10-BU12,0)+IF(Premissas!$B$8=0,0,MAX(BU11-BU13,0)/Premissas!$B$8))</f>
        <v>0</v>
      </c>
      <c r="BV17" s="148">
        <f>MIN(BV16,MAX(BV10-BV12,0)+IF(Premissas!$B$8=0,0,MAX(BV11-BV13,0)/Premissas!$B$8))</f>
        <v>0</v>
      </c>
      <c r="BW17" s="148">
        <f>MIN(BW16,MAX(BW10-BW12,0)+IF(Premissas!$B$8=0,0,MAX(BW11-BW13,0)/Premissas!$B$8))</f>
        <v>0</v>
      </c>
      <c r="BX17" s="148">
        <f>MIN(BX16,MAX(BX10-BX12,0)+IF(Premissas!$B$8=0,0,MAX(BX11-BX13,0)/Premissas!$B$8))</f>
        <v>0</v>
      </c>
      <c r="BY17" s="148">
        <f>MIN(BY16,MAX(BY10-BY12,0)+IF(Premissas!$B$8=0,0,MAX(BY11-BY13,0)/Premissas!$B$8))</f>
        <v>0</v>
      </c>
      <c r="BZ17" s="148">
        <f>MIN(BZ16,MAX(BZ10-BZ12,0)+IF(Premissas!$B$8=0,0,MAX(BZ11-BZ13,0)/Premissas!$B$8))</f>
        <v>0</v>
      </c>
      <c r="CA17" s="148">
        <f>MIN(CA16,MAX(CA10-CA12,0)+IF(Premissas!$B$8=0,0,MAX(CA11-CA13,0)/Premissas!$B$8))</f>
        <v>0</v>
      </c>
      <c r="CB17" s="148">
        <f>MIN(CB16,MAX(CB10-CB12,0)+IF(Premissas!$B$8=0,0,MAX(CB11-CB13,0)/Premissas!$B$8))</f>
        <v>0</v>
      </c>
      <c r="CC17" s="148">
        <f>MIN(CC16,MAX(CC10-CC12,0)+IF(Premissas!$B$8=0,0,MAX(CC11-CC13,0)/Premissas!$B$8))</f>
        <v>0</v>
      </c>
      <c r="CD17" s="148">
        <f>MIN(CD16,MAX(CD10-CD12,0)+IF(Premissas!$B$8=0,0,MAX(CD11-CD13,0)/Premissas!$B$8))</f>
        <v>0</v>
      </c>
      <c r="CE17" s="148">
        <f>MIN(CE16,MAX(CE10-CE12,0)+IF(Premissas!$B$8=0,0,MAX(CE11-CE13,0)/Premissas!$B$8))</f>
        <v>0</v>
      </c>
      <c r="CF17" s="148">
        <f>MIN(CF16,MAX(CF10-CF12,0)+IF(Premissas!$B$8=0,0,MAX(CF11-CF13,0)/Premissas!$B$8))</f>
        <v>0</v>
      </c>
      <c r="CG17" s="148">
        <f>MIN(CG16,MAX(CG10-CG12,0)+IF(Premissas!$B$8=0,0,MAX(CG11-CG13,0)/Premissas!$B$8))</f>
        <v>0</v>
      </c>
      <c r="CH17" s="148">
        <f>MIN(CH16,MAX(CH10-CH12,0)+IF(Premissas!$B$8=0,0,MAX(CH11-CH13,0)/Premissas!$B$8))</f>
        <v>0</v>
      </c>
      <c r="CI17" s="148">
        <f>MIN(CI16,MAX(CI10-CI12,0)+IF(Premissas!$B$8=0,0,MAX(CI11-CI13,0)/Premissas!$B$8))</f>
        <v>0</v>
      </c>
      <c r="CJ17" s="148">
        <f>MIN(CJ16,MAX(CJ10-CJ12,0)+IF(Premissas!$B$8=0,0,MAX(CJ11-CJ13,0)/Premissas!$B$8))</f>
        <v>0</v>
      </c>
      <c r="CK17" s="148">
        <f>MIN(CK16,MAX(CK10-CK12,0)+IF(Premissas!$B$8=0,0,MAX(CK11-CK13,0)/Premissas!$B$8))</f>
        <v>0</v>
      </c>
      <c r="CL17" s="148">
        <f>MIN(CL16,MAX(CL10-CL12,0)+IF(Premissas!$B$8=0,0,MAX(CL11-CL13,0)/Premissas!$B$8))</f>
        <v>0</v>
      </c>
      <c r="CM17" s="148">
        <f>MIN(CM16,MAX(CM10-CM12,0)+IF(Premissas!$B$8=0,0,MAX(CM11-CM13,0)/Premissas!$B$8))</f>
        <v>0</v>
      </c>
      <c r="CN17" s="148">
        <f>MIN(CN16,MAX(CN10-CN12,0)+IF(Premissas!$B$8=0,0,MAX(CN11-CN13,0)/Premissas!$B$8))</f>
        <v>0</v>
      </c>
      <c r="CO17" s="148">
        <f>MIN(CO16,MAX(CO10-CO12,0)+IF(Premissas!$B$8=0,0,MAX(CO11-CO13,0)/Premissas!$B$8))</f>
        <v>0</v>
      </c>
      <c r="CP17" s="148">
        <f>MIN(CP16,MAX(CP10-CP12,0)+IF(Premissas!$B$8=0,0,MAX(CP11-CP13,0)/Premissas!$B$8))</f>
        <v>0</v>
      </c>
      <c r="CQ17" s="148">
        <f>MIN(CQ16,MAX(CQ10-CQ12,0)+IF(Premissas!$B$8=0,0,MAX(CQ11-CQ13,0)/Premissas!$B$8))</f>
        <v>0</v>
      </c>
      <c r="CR17" s="148">
        <f>MIN(CR16,MAX(CR10-CR12,0)+IF(Premissas!$B$8=0,0,MAX(CR11-CR13,0)/Premissas!$B$8))</f>
        <v>0</v>
      </c>
      <c r="CS17" s="148">
        <f>MIN(CS16,MAX(CS10-CS12,0)+IF(Premissas!$B$8=0,0,MAX(CS11-CS13,0)/Premissas!$B$8))</f>
        <v>0</v>
      </c>
      <c r="CT17" s="148">
        <f>MIN(CT16,MAX(CT10-CT12,0)+IF(Premissas!$B$8=0,0,MAX(CT11-CT13,0)/Premissas!$B$8))</f>
        <v>0</v>
      </c>
      <c r="CU17" s="148">
        <f>MIN(CU16,MAX(CU10-CU12,0)+IF(Premissas!$B$8=0,0,MAX(CU11-CU13,0)/Premissas!$B$8))</f>
        <v>0</v>
      </c>
      <c r="CV17" s="148">
        <f>MIN(CV16,MAX(CV10-CV12,0)+IF(Premissas!$B$8=0,0,MAX(CV11-CV13,0)/Premissas!$B$8))</f>
        <v>0</v>
      </c>
      <c r="CW17" s="148">
        <f>MIN(CW16,MAX(CW10-CW12,0)+IF(Premissas!$B$8=0,0,MAX(CW11-CW13,0)/Premissas!$B$8))</f>
        <v>0</v>
      </c>
      <c r="CX17" s="148">
        <f>MIN(CX16,MAX(CX10-CX12,0)+IF(Premissas!$B$8=0,0,MAX(CX11-CX13,0)/Premissas!$B$8))</f>
        <v>0</v>
      </c>
      <c r="CY17" s="148">
        <f>MIN(CY16,MAX(CY10-CY12,0)+IF(Premissas!$B$8=0,0,MAX(CY11-CY13,0)/Premissas!$B$8))</f>
        <v>0</v>
      </c>
      <c r="CZ17" s="148">
        <f>MIN(CZ16,MAX(CZ10-CZ12,0)+IF(Premissas!$B$8=0,0,MAX(CZ11-CZ13,0)/Premissas!$B$8))</f>
        <v>0</v>
      </c>
      <c r="DA17" s="148">
        <f>MIN(DA16,MAX(DA10-DA12,0)+IF(Premissas!$B$8=0,0,MAX(DA11-DA13,0)/Premissas!$B$8))</f>
        <v>0</v>
      </c>
      <c r="DB17" s="148">
        <f>MIN(DB16,MAX(DB10-DB12,0)+IF(Premissas!$B$8=0,0,MAX(DB11-DB13,0)/Premissas!$B$8))</f>
        <v>0</v>
      </c>
      <c r="DC17" s="148">
        <f>MIN(DC16,MAX(DC10-DC12,0)+IF(Premissas!$B$8=0,0,MAX(DC11-DC13,0)/Premissas!$B$8))</f>
        <v>0</v>
      </c>
      <c r="DD17" s="148">
        <f>MIN(DD16,MAX(DD10-DD12,0)+IF(Premissas!$B$8=0,0,MAX(DD11-DD13,0)/Premissas!$B$8))</f>
        <v>0</v>
      </c>
      <c r="DE17" s="148">
        <f>MIN(DE16,MAX(DE10-DE12,0)+IF(Premissas!$B$8=0,0,MAX(DE11-DE13,0)/Premissas!$B$8))</f>
        <v>0</v>
      </c>
      <c r="DF17" s="148">
        <f>MIN(DF16,MAX(DF10-DF12,0)+IF(Premissas!$B$8=0,0,MAX(DF11-DF13,0)/Premissas!$B$8))</f>
        <v>0</v>
      </c>
      <c r="DG17" s="148">
        <f>MIN(DG16,MAX(DG10-DG12,0)+IF(Premissas!$B$8=0,0,MAX(DG11-DG13,0)/Premissas!$B$8))</f>
        <v>0</v>
      </c>
      <c r="DH17" s="148">
        <f>MIN(DH16,MAX(DH10-DH12,0)+IF(Premissas!$B$8=0,0,MAX(DH11-DH13,0)/Premissas!$B$8))</f>
        <v>0</v>
      </c>
      <c r="DI17" s="148">
        <f>MIN(DI16,MAX(DI10-DI12,0)+IF(Premissas!$B$8=0,0,MAX(DI11-DI13,0)/Premissas!$B$8))</f>
        <v>0</v>
      </c>
      <c r="DJ17" s="148">
        <f>MIN(DJ16,MAX(DJ10-DJ12,0)+IF(Premissas!$B$8=0,0,MAX(DJ11-DJ13,0)/Premissas!$B$8))</f>
        <v>0</v>
      </c>
      <c r="DK17" s="148">
        <f>MIN(DK16,MAX(DK10-DK12,0)+IF(Premissas!$B$8=0,0,MAX(DK11-DK13,0)/Premissas!$B$8))</f>
        <v>0</v>
      </c>
      <c r="DL17" s="148">
        <f>MIN(DL16,MAX(DL10-DL12,0)+IF(Premissas!$B$8=0,0,MAX(DL11-DL13,0)/Premissas!$B$8))</f>
        <v>0</v>
      </c>
      <c r="DM17" s="148">
        <f>MIN(DM16,MAX(DM10-DM12,0)+IF(Premissas!$B$8=0,0,MAX(DM11-DM13,0)/Premissas!$B$8))</f>
        <v>0</v>
      </c>
      <c r="DN17" s="148">
        <f>MIN(DN16,MAX(DN10-DN12,0)+IF(Premissas!$B$8=0,0,MAX(DN11-DN13,0)/Premissas!$B$8))</f>
        <v>0</v>
      </c>
      <c r="DO17" s="148">
        <f>MIN(DO16,MAX(DO10-DO12,0)+IF(Premissas!$B$8=0,0,MAX(DO11-DO13,0)/Premissas!$B$8))</f>
        <v>0</v>
      </c>
      <c r="DP17" s="148">
        <f>MIN(DP16,MAX(DP10-DP12,0)+IF(Premissas!$B$8=0,0,MAX(DP11-DP13,0)/Premissas!$B$8))</f>
        <v>0</v>
      </c>
      <c r="DQ17" s="148">
        <f>MIN(DQ16,MAX(DQ10-DQ12,0)+IF(Premissas!$B$8=0,0,MAX(DQ11-DQ13,0)/Premissas!$B$8))</f>
        <v>0</v>
      </c>
      <c r="DR17" s="148">
        <f>MIN(DR16,MAX(DR10-DR12,0)+IF(Premissas!$B$8=0,0,MAX(DR11-DR13,0)/Premissas!$B$8))</f>
        <v>0</v>
      </c>
      <c r="DS17" s="148">
        <f>MIN(DS16,MAX(DS10-DS12,0)+IF(Premissas!$B$8=0,0,MAX(DS11-DS13,0)/Premissas!$B$8))</f>
        <v>0</v>
      </c>
    </row>
    <row r="18" spans="1:123" ht="12.75" customHeight="1" x14ac:dyDescent="0.35">
      <c r="A18" s="147" t="s">
        <v>482</v>
      </c>
      <c r="B18" s="148">
        <f>AA18</f>
        <v>576256.84853605193</v>
      </c>
      <c r="C18" s="139" t="s">
        <v>169</v>
      </c>
      <c r="D18" s="148">
        <f t="shared" ref="D18:AI18" si="10">MAX(D16-D17,0)</f>
        <v>886285.6725772355</v>
      </c>
      <c r="E18" s="148">
        <f t="shared" si="10"/>
        <v>837625.80113859742</v>
      </c>
      <c r="F18" s="148">
        <f t="shared" si="10"/>
        <v>837625.80113859742</v>
      </c>
      <c r="G18" s="148">
        <f t="shared" si="10"/>
        <v>837625.80113859742</v>
      </c>
      <c r="H18" s="148">
        <f t="shared" si="10"/>
        <v>837625.80113859742</v>
      </c>
      <c r="I18" s="148">
        <f t="shared" si="10"/>
        <v>837625.80113859742</v>
      </c>
      <c r="J18" s="148">
        <f t="shared" si="10"/>
        <v>837625.80113859742</v>
      </c>
      <c r="K18" s="148">
        <f t="shared" si="10"/>
        <v>813016.93721080746</v>
      </c>
      <c r="L18" s="148">
        <f t="shared" si="10"/>
        <v>750947.56783801888</v>
      </c>
      <c r="M18" s="148">
        <f t="shared" si="10"/>
        <v>750947.56783801888</v>
      </c>
      <c r="N18" s="148">
        <f t="shared" si="10"/>
        <v>750947.56783801888</v>
      </c>
      <c r="O18" s="148">
        <f t="shared" si="10"/>
        <v>745509.78453760722</v>
      </c>
      <c r="P18" s="148">
        <f t="shared" si="10"/>
        <v>722376.25497029279</v>
      </c>
      <c r="Q18" s="148">
        <f t="shared" si="10"/>
        <v>669850.47744954214</v>
      </c>
      <c r="R18" s="148">
        <f t="shared" si="10"/>
        <v>669850.47744954214</v>
      </c>
      <c r="S18" s="148">
        <f t="shared" si="10"/>
        <v>669850.47744954214</v>
      </c>
      <c r="T18" s="148">
        <f t="shared" si="10"/>
        <v>669850.47744954214</v>
      </c>
      <c r="U18" s="148">
        <f t="shared" si="10"/>
        <v>669850.47744954214</v>
      </c>
      <c r="V18" s="148">
        <f t="shared" si="10"/>
        <v>669850.47744954214</v>
      </c>
      <c r="W18" s="148">
        <f t="shared" si="10"/>
        <v>644673.17499675218</v>
      </c>
      <c r="X18" s="148">
        <f t="shared" si="10"/>
        <v>582150.42442146363</v>
      </c>
      <c r="Y18" s="148">
        <f t="shared" si="10"/>
        <v>582150.42442146363</v>
      </c>
      <c r="Z18" s="148">
        <f t="shared" si="10"/>
        <v>582150.42442146363</v>
      </c>
      <c r="AA18" s="148">
        <f t="shared" si="10"/>
        <v>576256.84853605193</v>
      </c>
      <c r="AB18" s="148">
        <f t="shared" si="10"/>
        <v>550386.64950942714</v>
      </c>
      <c r="AC18" s="148">
        <f t="shared" si="10"/>
        <v>493910.28024949541</v>
      </c>
      <c r="AD18" s="148">
        <f t="shared" si="10"/>
        <v>493910.28024949541</v>
      </c>
      <c r="AE18" s="148">
        <f t="shared" si="10"/>
        <v>493910.28024949541</v>
      </c>
      <c r="AF18" s="148">
        <f t="shared" si="10"/>
        <v>493910.28024949541</v>
      </c>
      <c r="AG18" s="148">
        <f t="shared" si="10"/>
        <v>493910.28024949541</v>
      </c>
      <c r="AH18" s="148">
        <f t="shared" si="10"/>
        <v>493910.28024949541</v>
      </c>
      <c r="AI18" s="148">
        <f t="shared" si="10"/>
        <v>461166.11383832444</v>
      </c>
      <c r="AJ18" s="148">
        <f t="shared" ref="AJ18:BO18" si="11">MAX(AJ16-AJ17,0)</f>
        <v>390458.79341634992</v>
      </c>
      <c r="AK18" s="148">
        <f t="shared" si="11"/>
        <v>390458.79341634992</v>
      </c>
      <c r="AL18" s="148">
        <f t="shared" si="11"/>
        <v>390458.79341634992</v>
      </c>
      <c r="AM18" s="148">
        <f t="shared" si="11"/>
        <v>379221.10597836587</v>
      </c>
      <c r="AN18" s="148">
        <f t="shared" si="11"/>
        <v>350558.76114180806</v>
      </c>
      <c r="AO18" s="148">
        <f t="shared" si="11"/>
        <v>290045.7583409787</v>
      </c>
      <c r="AP18" s="148">
        <f t="shared" si="11"/>
        <v>290045.7583409787</v>
      </c>
      <c r="AQ18" s="148">
        <f t="shared" si="11"/>
        <v>290045.7583409787</v>
      </c>
      <c r="AR18" s="148">
        <f t="shared" si="11"/>
        <v>290045.7583409787</v>
      </c>
      <c r="AS18" s="148">
        <f t="shared" si="11"/>
        <v>290045.7583409787</v>
      </c>
      <c r="AT18" s="148">
        <f t="shared" si="11"/>
        <v>290045.7583409787</v>
      </c>
      <c r="AU18" s="148">
        <f t="shared" si="11"/>
        <v>253106.50354794081</v>
      </c>
      <c r="AV18" s="148">
        <f t="shared" si="11"/>
        <v>177939.08295898518</v>
      </c>
      <c r="AW18" s="148">
        <f t="shared" si="11"/>
        <v>177939.08295898518</v>
      </c>
      <c r="AX18" s="148">
        <f t="shared" si="11"/>
        <v>177939.08295898518</v>
      </c>
      <c r="AY18" s="148">
        <f t="shared" si="11"/>
        <v>163713.28387344533</v>
      </c>
      <c r="AZ18" s="148">
        <f t="shared" si="11"/>
        <v>132196.99809074431</v>
      </c>
      <c r="BA18" s="148">
        <f t="shared" si="11"/>
        <v>67561.308960411348</v>
      </c>
      <c r="BB18" s="148">
        <f t="shared" si="11"/>
        <v>67561.308960411348</v>
      </c>
      <c r="BC18" s="148">
        <f t="shared" si="11"/>
        <v>67561.308960411348</v>
      </c>
      <c r="BD18" s="148">
        <f t="shared" si="11"/>
        <v>67561.308960411348</v>
      </c>
      <c r="BE18" s="148">
        <f t="shared" si="11"/>
        <v>67561.308960411348</v>
      </c>
      <c r="BF18" s="148">
        <f t="shared" si="11"/>
        <v>67561.308960411348</v>
      </c>
      <c r="BG18" s="148">
        <f t="shared" si="11"/>
        <v>26339.540447643565</v>
      </c>
      <c r="BH18" s="148">
        <f t="shared" si="11"/>
        <v>0</v>
      </c>
      <c r="BI18" s="148">
        <f t="shared" si="11"/>
        <v>0</v>
      </c>
      <c r="BJ18" s="148">
        <f t="shared" si="11"/>
        <v>0</v>
      </c>
      <c r="BK18" s="148">
        <f t="shared" si="11"/>
        <v>0</v>
      </c>
      <c r="BL18" s="148">
        <f t="shared" si="11"/>
        <v>0</v>
      </c>
      <c r="BM18" s="148">
        <f t="shared" si="11"/>
        <v>0</v>
      </c>
      <c r="BN18" s="148">
        <f t="shared" si="11"/>
        <v>0</v>
      </c>
      <c r="BO18" s="148">
        <f t="shared" si="11"/>
        <v>0</v>
      </c>
      <c r="BP18" s="148">
        <f t="shared" ref="BP18:CU18" si="12">MAX(BP16-BP17,0)</f>
        <v>0</v>
      </c>
      <c r="BQ18" s="148">
        <f t="shared" si="12"/>
        <v>0</v>
      </c>
      <c r="BR18" s="148">
        <f t="shared" si="12"/>
        <v>0</v>
      </c>
      <c r="BS18" s="148">
        <f t="shared" si="12"/>
        <v>0</v>
      </c>
      <c r="BT18" s="148">
        <f t="shared" si="12"/>
        <v>0</v>
      </c>
      <c r="BU18" s="148">
        <f t="shared" si="12"/>
        <v>0</v>
      </c>
      <c r="BV18" s="148">
        <f t="shared" si="12"/>
        <v>0</v>
      </c>
      <c r="BW18" s="148">
        <f t="shared" si="12"/>
        <v>0</v>
      </c>
      <c r="BX18" s="148">
        <f t="shared" si="12"/>
        <v>0</v>
      </c>
      <c r="BY18" s="148">
        <f t="shared" si="12"/>
        <v>0</v>
      </c>
      <c r="BZ18" s="148">
        <f t="shared" si="12"/>
        <v>0</v>
      </c>
      <c r="CA18" s="148">
        <f t="shared" si="12"/>
        <v>0</v>
      </c>
      <c r="CB18" s="148">
        <f t="shared" si="12"/>
        <v>0</v>
      </c>
      <c r="CC18" s="148">
        <f t="shared" si="12"/>
        <v>0</v>
      </c>
      <c r="CD18" s="148">
        <f t="shared" si="12"/>
        <v>0</v>
      </c>
      <c r="CE18" s="148">
        <f t="shared" si="12"/>
        <v>0</v>
      </c>
      <c r="CF18" s="148">
        <f t="shared" si="12"/>
        <v>0</v>
      </c>
      <c r="CG18" s="148">
        <f t="shared" si="12"/>
        <v>0</v>
      </c>
      <c r="CH18" s="148">
        <f t="shared" si="12"/>
        <v>0</v>
      </c>
      <c r="CI18" s="148">
        <f t="shared" si="12"/>
        <v>0</v>
      </c>
      <c r="CJ18" s="148">
        <f t="shared" si="12"/>
        <v>0</v>
      </c>
      <c r="CK18" s="148">
        <f t="shared" si="12"/>
        <v>0</v>
      </c>
      <c r="CL18" s="148">
        <f t="shared" si="12"/>
        <v>0</v>
      </c>
      <c r="CM18" s="148">
        <f t="shared" si="12"/>
        <v>0</v>
      </c>
      <c r="CN18" s="148">
        <f t="shared" si="12"/>
        <v>0</v>
      </c>
      <c r="CO18" s="148">
        <f t="shared" si="12"/>
        <v>0</v>
      </c>
      <c r="CP18" s="148">
        <f t="shared" si="12"/>
        <v>0</v>
      </c>
      <c r="CQ18" s="148">
        <f t="shared" si="12"/>
        <v>0</v>
      </c>
      <c r="CR18" s="148">
        <f t="shared" si="12"/>
        <v>0</v>
      </c>
      <c r="CS18" s="148">
        <f t="shared" si="12"/>
        <v>0</v>
      </c>
      <c r="CT18" s="148">
        <f t="shared" si="12"/>
        <v>0</v>
      </c>
      <c r="CU18" s="148">
        <f t="shared" si="12"/>
        <v>0</v>
      </c>
      <c r="CV18" s="148">
        <f t="shared" ref="CV18:DS18" si="13">MAX(CV16-CV17,0)</f>
        <v>0</v>
      </c>
      <c r="CW18" s="148">
        <f t="shared" si="13"/>
        <v>0</v>
      </c>
      <c r="CX18" s="148">
        <f t="shared" si="13"/>
        <v>0</v>
      </c>
      <c r="CY18" s="148">
        <f t="shared" si="13"/>
        <v>0</v>
      </c>
      <c r="CZ18" s="148">
        <f t="shared" si="13"/>
        <v>0</v>
      </c>
      <c r="DA18" s="148">
        <f t="shared" si="13"/>
        <v>0</v>
      </c>
      <c r="DB18" s="148">
        <f t="shared" si="13"/>
        <v>0</v>
      </c>
      <c r="DC18" s="148">
        <f t="shared" si="13"/>
        <v>0</v>
      </c>
      <c r="DD18" s="148">
        <f t="shared" si="13"/>
        <v>0</v>
      </c>
      <c r="DE18" s="148">
        <f t="shared" si="13"/>
        <v>0</v>
      </c>
      <c r="DF18" s="148">
        <f t="shared" si="13"/>
        <v>0</v>
      </c>
      <c r="DG18" s="148">
        <f t="shared" si="13"/>
        <v>0</v>
      </c>
      <c r="DH18" s="148">
        <f t="shared" si="13"/>
        <v>0</v>
      </c>
      <c r="DI18" s="148">
        <f t="shared" si="13"/>
        <v>0</v>
      </c>
      <c r="DJ18" s="148">
        <f t="shared" si="13"/>
        <v>0</v>
      </c>
      <c r="DK18" s="148">
        <f t="shared" si="13"/>
        <v>0</v>
      </c>
      <c r="DL18" s="148">
        <f t="shared" si="13"/>
        <v>0</v>
      </c>
      <c r="DM18" s="148">
        <f t="shared" si="13"/>
        <v>0</v>
      </c>
      <c r="DN18" s="148">
        <f t="shared" si="13"/>
        <v>0</v>
      </c>
      <c r="DO18" s="148">
        <f t="shared" si="13"/>
        <v>0</v>
      </c>
      <c r="DP18" s="148">
        <f t="shared" si="13"/>
        <v>0</v>
      </c>
      <c r="DQ18" s="148">
        <f t="shared" si="13"/>
        <v>0</v>
      </c>
      <c r="DR18" s="148">
        <f t="shared" si="13"/>
        <v>0</v>
      </c>
      <c r="DS18" s="148">
        <f t="shared" si="13"/>
        <v>0</v>
      </c>
    </row>
    <row r="19" spans="1:123" ht="12.75" customHeight="1" x14ac:dyDescent="0.35">
      <c r="A19" s="149" t="s">
        <v>483</v>
      </c>
      <c r="B19" s="150">
        <f>SUM(D19:BQ19)</f>
        <v>1292164.4673552972</v>
      </c>
      <c r="C19" s="139">
        <f>B19/60</f>
        <v>21536.074455921618</v>
      </c>
      <c r="D19" s="150">
        <f>0</f>
        <v>0</v>
      </c>
      <c r="E19" s="150">
        <f>D14*Premissas!$B$55</f>
        <v>0</v>
      </c>
      <c r="F19" s="150">
        <f>E14*Premissas!$B$55</f>
        <v>0</v>
      </c>
      <c r="G19" s="150">
        <f>F14*Premissas!$B$55</f>
        <v>32711.293107221009</v>
      </c>
      <c r="H19" s="150">
        <f>G14*Premissas!$B$55</f>
        <v>40823.761528761643</v>
      </c>
      <c r="I19" s="150">
        <f>H14*Premissas!$B$55</f>
        <v>41560.461528761633</v>
      </c>
      <c r="J19" s="150">
        <f>I14*Premissas!$B$55</f>
        <v>47597.361528761627</v>
      </c>
      <c r="K19" s="150">
        <f>J14*Premissas!$B$55</f>
        <v>51288.174381559918</v>
      </c>
      <c r="L19" s="150">
        <f>K14*Premissas!$B$55</f>
        <v>0</v>
      </c>
      <c r="M19" s="150">
        <f>L14*Premissas!$B$55</f>
        <v>0</v>
      </c>
      <c r="N19" s="150">
        <f>M14*Premissas!$B$55</f>
        <v>16385.833543216624</v>
      </c>
      <c r="O19" s="150">
        <f>N14*Premissas!$B$55</f>
        <v>15046.461371036234</v>
      </c>
      <c r="P19" s="150">
        <f>O14*Premissas!$B$55</f>
        <v>0</v>
      </c>
      <c r="Q19" s="150">
        <f>P14*Premissas!$B$55</f>
        <v>0</v>
      </c>
      <c r="R19" s="150">
        <f>Q14*Premissas!$B$55</f>
        <v>0</v>
      </c>
      <c r="S19" s="150">
        <f>R14*Premissas!$B$55</f>
        <v>32132.802190028931</v>
      </c>
      <c r="T19" s="150">
        <f>S14*Premissas!$B$55</f>
        <v>40427.854566980684</v>
      </c>
      <c r="U19" s="150">
        <f>T14*Premissas!$B$55</f>
        <v>41160.871066980675</v>
      </c>
      <c r="V19" s="150">
        <f>U14*Premissas!$B$55</f>
        <v>47167.586566980666</v>
      </c>
      <c r="W19" s="150">
        <f>V14*Premissas!$B$55</f>
        <v>50971.717593025634</v>
      </c>
      <c r="X19" s="150">
        <f>W14*Premissas!$B$55</f>
        <v>0</v>
      </c>
      <c r="Y19" s="150">
        <f>X14*Premissas!$B$55</f>
        <v>0</v>
      </c>
      <c r="Z19" s="150">
        <f>Y14*Premissas!$B$55</f>
        <v>16129.467066966627</v>
      </c>
      <c r="AA19" s="150">
        <f>Z14*Premissas!$B$55</f>
        <v>14863.10849228623</v>
      </c>
      <c r="AB19" s="150">
        <f>AA14*Premissas!$B$55</f>
        <v>0</v>
      </c>
      <c r="AC19" s="150">
        <f>AB14*Premissas!$B$55</f>
        <v>0</v>
      </c>
      <c r="AD19" s="150">
        <f>AC14*Premissas!$B$55</f>
        <v>0</v>
      </c>
      <c r="AE19" s="150">
        <f>AD14*Premissas!$B$55</f>
        <v>31547.14735786082</v>
      </c>
      <c r="AF19" s="150">
        <f>AE14*Premissas!$B$55</f>
        <v>40028.800573973691</v>
      </c>
      <c r="AG19" s="150">
        <f>AF14*Premissas!$B$55</f>
        <v>40758.151991473685</v>
      </c>
      <c r="AH19" s="150">
        <f>AG14*Premissas!$B$55</f>
        <v>46734.833913973671</v>
      </c>
      <c r="AI19" s="150">
        <f>AH14*Premissas!$B$55</f>
        <v>50654.765904515312</v>
      </c>
      <c r="AJ19" s="150">
        <f>AI14*Premissas!$B$55</f>
        <v>0</v>
      </c>
      <c r="AK19" s="150">
        <f>AJ14*Premissas!$B$55</f>
        <v>0</v>
      </c>
      <c r="AL19" s="150">
        <f>AK14*Premissas!$B$55</f>
        <v>14107.669446055261</v>
      </c>
      <c r="AM19" s="150">
        <f>AL14*Premissas!$B$55</f>
        <v>13586.545389093428</v>
      </c>
      <c r="AN19" s="150">
        <f>AM14*Premissas!$B$55</f>
        <v>0</v>
      </c>
      <c r="AO19" s="150">
        <f>AN14*Premissas!$B$55</f>
        <v>0</v>
      </c>
      <c r="AP19" s="150">
        <f>AO14*Premissas!$B$55</f>
        <v>0</v>
      </c>
      <c r="AQ19" s="150">
        <f>AP14*Premissas!$B$55</f>
        <v>30953.167895595867</v>
      </c>
      <c r="AR19" s="150">
        <f>AQ14*Premissas!$B$55</f>
        <v>39627.921096379199</v>
      </c>
      <c r="AS19" s="150">
        <f>AR14*Premissas!$B$55</f>
        <v>40353.625756791691</v>
      </c>
      <c r="AT19" s="150">
        <f>AS14*Premissas!$B$55</f>
        <v>46300.424269679177</v>
      </c>
      <c r="AU19" s="150">
        <f>AT14*Premissas!$B$55</f>
        <v>50337.640102011246</v>
      </c>
      <c r="AV19" s="150">
        <f>AU14*Premissas!$B$55</f>
        <v>0</v>
      </c>
      <c r="AW19" s="150">
        <f>AV14*Premissas!$B$55</f>
        <v>0</v>
      </c>
      <c r="AX19" s="150">
        <f>AW14*Premissas!$B$55</f>
        <v>12937.539044528359</v>
      </c>
      <c r="AY19" s="150">
        <f>AX14*Premissas!$B$55</f>
        <v>12836.484441623539</v>
      </c>
      <c r="AZ19" s="150">
        <f>AY14*Premissas!$B$55</f>
        <v>0</v>
      </c>
      <c r="BA19" s="150">
        <f>AZ14*Premissas!$B$55</f>
        <v>0</v>
      </c>
      <c r="BB19" s="150">
        <f>BA14*Premissas!$B$55</f>
        <v>0</v>
      </c>
      <c r="BC19" s="150">
        <f>BB14*Premissas!$B$55</f>
        <v>30352.340360831753</v>
      </c>
      <c r="BD19" s="150">
        <f>BC14*Premissas!$B$55</f>
        <v>39222.555364168082</v>
      </c>
      <c r="BE19" s="150">
        <f>BD14*Premissas!$B$55</f>
        <v>39944.631501278513</v>
      </c>
      <c r="BF19" s="150">
        <f>BE14*Premissas!$B$55</f>
        <v>45861.696021601558</v>
      </c>
      <c r="BG19" s="150">
        <f>BF14*Premissas!$B$55</f>
        <v>50021.333556083395</v>
      </c>
      <c r="BH19" s="150">
        <f>BG14*Premissas!$B$55</f>
        <v>0</v>
      </c>
      <c r="BI19" s="150">
        <f>BH14*Premissas!$B$55</f>
        <v>0</v>
      </c>
      <c r="BJ19" s="150">
        <f>BI14*Premissas!$B$55</f>
        <v>11746.367894200575</v>
      </c>
      <c r="BK19" s="150">
        <f>BJ14*Premissas!$B$55</f>
        <v>12074.176216370506</v>
      </c>
      <c r="BL19" s="150">
        <f>BK14*Premissas!$B$55</f>
        <v>0</v>
      </c>
      <c r="BM19" s="150">
        <f>BL14*Premissas!$B$55</f>
        <v>0</v>
      </c>
      <c r="BN19" s="150">
        <f>BM14*Premissas!$B$55</f>
        <v>0</v>
      </c>
      <c r="BO19" s="150">
        <f>BN14*Premissas!$B$55</f>
        <v>29027.270549276887</v>
      </c>
      <c r="BP19" s="150">
        <f>BO14*Premissas!$B$55</f>
        <v>37441.312087681363</v>
      </c>
      <c r="BQ19" s="150">
        <f>BP14*Premissas!$B$55</f>
        <v>37441.312087681363</v>
      </c>
      <c r="BR19" s="150">
        <f>BQ14*Premissas!$B$55</f>
        <v>37441.312087681363</v>
      </c>
      <c r="BS19" s="150">
        <f>BR14*Premissas!$B$55</f>
        <v>42395.839402891099</v>
      </c>
      <c r="BT19" s="150">
        <f>BS14*Premissas!$B$55</f>
        <v>0</v>
      </c>
      <c r="BU19" s="150">
        <f>BT14*Premissas!$B$55</f>
        <v>0</v>
      </c>
      <c r="BV19" s="150">
        <f>BU14*Premissas!$B$55</f>
        <v>5202.092397735888</v>
      </c>
      <c r="BW19" s="150">
        <f>BV14*Premissas!$B$55</f>
        <v>20209.342907693976</v>
      </c>
      <c r="BX19" s="150">
        <f>BW14*Premissas!$B$55</f>
        <v>0</v>
      </c>
      <c r="BY19" s="150">
        <f>BX14*Premissas!$B$55</f>
        <v>0</v>
      </c>
      <c r="BZ19" s="150">
        <f>BY14*Premissas!$B$55</f>
        <v>0</v>
      </c>
      <c r="CA19" s="150">
        <f>BZ14*Premissas!$B$55</f>
        <v>28635.539343550521</v>
      </c>
      <c r="CB19" s="150">
        <f>CA14*Premissas!$B$55</f>
        <v>37260.178830996279</v>
      </c>
      <c r="CC19" s="150">
        <f>CB14*Premissas!$B$55</f>
        <v>37260.178830996279</v>
      </c>
      <c r="CD19" s="150">
        <f>CC14*Premissas!$B$55</f>
        <v>37260.178830996279</v>
      </c>
      <c r="CE19" s="150">
        <f>CD14*Premissas!$B$55</f>
        <v>42339.564915630777</v>
      </c>
      <c r="CF19" s="150">
        <f>CE14*Premissas!$B$55</f>
        <v>0</v>
      </c>
      <c r="CG19" s="150">
        <f>CF14*Premissas!$B$55</f>
        <v>0</v>
      </c>
      <c r="CH19" s="150">
        <f>CG14*Premissas!$B$55</f>
        <v>4215.5143834199735</v>
      </c>
      <c r="CI19" s="150">
        <f>CH14*Premissas!$B$55</f>
        <v>19597.186304200299</v>
      </c>
      <c r="CJ19" s="150">
        <f>CI14*Premissas!$B$55</f>
        <v>0</v>
      </c>
      <c r="CK19" s="150">
        <f>CJ14*Premissas!$B$55</f>
        <v>0</v>
      </c>
      <c r="CL19" s="150">
        <f>CK14*Premissas!$B$55</f>
        <v>0</v>
      </c>
      <c r="CM19" s="150">
        <f>CL14*Premissas!$B$55</f>
        <v>28234.980689098124</v>
      </c>
      <c r="CN19" s="150">
        <f>CM14*Premissas!$B$55</f>
        <v>37075.545574311189</v>
      </c>
      <c r="CO19" s="150">
        <f>CN14*Premissas!$B$55</f>
        <v>37075.545574311189</v>
      </c>
      <c r="CP19" s="150">
        <f>CO14*Premissas!$B$55</f>
        <v>37075.545574311189</v>
      </c>
      <c r="CQ19" s="150">
        <f>CP14*Premissas!$B$55</f>
        <v>42280.962979644428</v>
      </c>
      <c r="CR19" s="150">
        <f>CQ14*Premissas!$B$55</f>
        <v>0</v>
      </c>
      <c r="CS19" s="150">
        <f>CR14*Premissas!$B$55</f>
        <v>0</v>
      </c>
      <c r="CT19" s="150">
        <f>CS14*Premissas!$B$55</f>
        <v>3203.7991254738999</v>
      </c>
      <c r="CU19" s="150">
        <f>CT14*Premissas!$B$55</f>
        <v>18970.047354528528</v>
      </c>
      <c r="CV19" s="150">
        <f>CU14*Premissas!$B$55</f>
        <v>0</v>
      </c>
      <c r="CW19" s="150">
        <f>CV14*Premissas!$B$55</f>
        <v>0</v>
      </c>
      <c r="CX19" s="150">
        <f>CW14*Premissas!$B$55</f>
        <v>0</v>
      </c>
      <c r="CY19" s="150">
        <f>CX14*Premissas!$B$55</f>
        <v>27823.767137193659</v>
      </c>
      <c r="CZ19" s="150">
        <f>CY14*Premissas!$B$55</f>
        <v>36885.257420174043</v>
      </c>
      <c r="DA19" s="150">
        <f>CZ14*Premissas!$B$55</f>
        <v>36885.257420174043</v>
      </c>
      <c r="DB19" s="150">
        <f>DA14*Premissas!$B$55</f>
        <v>36885.257420174043</v>
      </c>
      <c r="DC19" s="150">
        <f>DB14*Premissas!$B$55</f>
        <v>42220.533594932043</v>
      </c>
      <c r="DD19" s="150">
        <f>DC14*Premissas!$B$55</f>
        <v>0</v>
      </c>
      <c r="DE19" s="150">
        <f>DD14*Premissas!$B$55</f>
        <v>0</v>
      </c>
      <c r="DF19" s="150">
        <f>DE14*Premissas!$B$55</f>
        <v>2167.774072623698</v>
      </c>
      <c r="DG19" s="150">
        <f>DF14*Premissas!$B$55</f>
        <v>18328.25350740469</v>
      </c>
      <c r="DH19" s="150">
        <f>DG14*Premissas!$B$55</f>
        <v>0</v>
      </c>
      <c r="DI19" s="150">
        <f>DH14*Premissas!$B$55</f>
        <v>0</v>
      </c>
      <c r="DJ19" s="150">
        <f>DI14*Premissas!$B$55</f>
        <v>0</v>
      </c>
      <c r="DK19" s="150">
        <f>DJ14*Premissas!$B$55</f>
        <v>27402.898687837136</v>
      </c>
      <c r="DL19" s="150">
        <f>DK14*Premissas!$B$55</f>
        <v>36690.141817310854</v>
      </c>
      <c r="DM19" s="150">
        <f>DL14*Premissas!$B$55</f>
        <v>36690.141817310854</v>
      </c>
      <c r="DN19" s="150">
        <f>DM14*Premissas!$B$55</f>
        <v>36690.141817310854</v>
      </c>
      <c r="DO19" s="150">
        <f>DN14*Premissas!$B$55</f>
        <v>42159.431658945687</v>
      </c>
      <c r="DP19" s="150">
        <f>DO14*Premissas!$B$55</f>
        <v>0</v>
      </c>
      <c r="DQ19" s="150">
        <f>DP14*Premissas!$B$55</f>
        <v>0</v>
      </c>
      <c r="DR19" s="150">
        <f>DQ14*Premissas!$B$55</f>
        <v>1104.7843274173038</v>
      </c>
      <c r="DS19" s="150">
        <f>DR14*Premissas!$B$55</f>
        <v>17669.149865376727</v>
      </c>
    </row>
    <row r="20" spans="1:123" ht="12.75" customHeight="1" x14ac:dyDescent="0.35">
      <c r="A20" s="151" t="s">
        <v>484</v>
      </c>
      <c r="B20" s="152">
        <f>SUM(D20:BQ20)</f>
        <v>1292164.4673552972</v>
      </c>
      <c r="C20" s="139">
        <f>B20/60</f>
        <v>21536.074455921618</v>
      </c>
      <c r="D20" s="152">
        <f>0</f>
        <v>0</v>
      </c>
      <c r="E20" s="152">
        <f>D14*Premissas!$B$56</f>
        <v>0</v>
      </c>
      <c r="F20" s="152">
        <f>E14*Premissas!$B$56</f>
        <v>0</v>
      </c>
      <c r="G20" s="152">
        <f>F14*Premissas!$B$56</f>
        <v>32711.293107221009</v>
      </c>
      <c r="H20" s="152">
        <f>G14*Premissas!$B$56</f>
        <v>40823.761528761643</v>
      </c>
      <c r="I20" s="152">
        <f>H14*Premissas!$B$56</f>
        <v>41560.461528761633</v>
      </c>
      <c r="J20" s="152">
        <f>I14*Premissas!$B$56</f>
        <v>47597.361528761627</v>
      </c>
      <c r="K20" s="152">
        <f>J14*Premissas!$B$56</f>
        <v>51288.174381559918</v>
      </c>
      <c r="L20" s="152">
        <f>K14*Premissas!$B$56</f>
        <v>0</v>
      </c>
      <c r="M20" s="152">
        <f>L14*Premissas!$B$56</f>
        <v>0</v>
      </c>
      <c r="N20" s="152">
        <f>M14*Premissas!$B$56</f>
        <v>16385.833543216624</v>
      </c>
      <c r="O20" s="152">
        <f>N14*Premissas!$B$56</f>
        <v>15046.461371036234</v>
      </c>
      <c r="P20" s="152">
        <f>O14*Premissas!$B$56</f>
        <v>0</v>
      </c>
      <c r="Q20" s="152">
        <f>P14*Premissas!$B$56</f>
        <v>0</v>
      </c>
      <c r="R20" s="152">
        <f>Q14*Premissas!$B$56</f>
        <v>0</v>
      </c>
      <c r="S20" s="152">
        <f>R14*Premissas!$B$56</f>
        <v>32132.802190028931</v>
      </c>
      <c r="T20" s="152">
        <f>S14*Premissas!$B$56</f>
        <v>40427.854566980684</v>
      </c>
      <c r="U20" s="152">
        <f>T14*Premissas!$B$56</f>
        <v>41160.871066980675</v>
      </c>
      <c r="V20" s="152">
        <f>U14*Premissas!$B$56</f>
        <v>47167.586566980666</v>
      </c>
      <c r="W20" s="152">
        <f>V14*Premissas!$B$56</f>
        <v>50971.717593025634</v>
      </c>
      <c r="X20" s="152">
        <f>W14*Premissas!$B$56</f>
        <v>0</v>
      </c>
      <c r="Y20" s="152">
        <f>X14*Premissas!$B$56</f>
        <v>0</v>
      </c>
      <c r="Z20" s="152">
        <f>Y14*Premissas!$B$56</f>
        <v>16129.467066966627</v>
      </c>
      <c r="AA20" s="152">
        <f>Z14*Premissas!$B$56</f>
        <v>14863.10849228623</v>
      </c>
      <c r="AB20" s="152">
        <f>AA14*Premissas!$B$56</f>
        <v>0</v>
      </c>
      <c r="AC20" s="152">
        <f>AB14*Premissas!$B$56</f>
        <v>0</v>
      </c>
      <c r="AD20" s="152">
        <f>AC14*Premissas!$B$56</f>
        <v>0</v>
      </c>
      <c r="AE20" s="152">
        <f>AD14*Premissas!$B$56</f>
        <v>31547.14735786082</v>
      </c>
      <c r="AF20" s="152">
        <f>AE14*Premissas!$B$56</f>
        <v>40028.800573973691</v>
      </c>
      <c r="AG20" s="152">
        <f>AF14*Premissas!$B$56</f>
        <v>40758.151991473685</v>
      </c>
      <c r="AH20" s="152">
        <f>AG14*Premissas!$B$56</f>
        <v>46734.833913973671</v>
      </c>
      <c r="AI20" s="152">
        <f>AH14*Premissas!$B$56</f>
        <v>50654.765904515312</v>
      </c>
      <c r="AJ20" s="152">
        <f>AI14*Premissas!$B$56</f>
        <v>0</v>
      </c>
      <c r="AK20" s="152">
        <f>AJ14*Premissas!$B$56</f>
        <v>0</v>
      </c>
      <c r="AL20" s="152">
        <f>AK14*Premissas!$B$56</f>
        <v>14107.669446055261</v>
      </c>
      <c r="AM20" s="152">
        <f>AL14*Premissas!$B$56</f>
        <v>13586.545389093428</v>
      </c>
      <c r="AN20" s="152">
        <f>AM14*Premissas!$B$56</f>
        <v>0</v>
      </c>
      <c r="AO20" s="152">
        <f>AN14*Premissas!$B$56</f>
        <v>0</v>
      </c>
      <c r="AP20" s="152">
        <f>AO14*Premissas!$B$56</f>
        <v>0</v>
      </c>
      <c r="AQ20" s="152">
        <f>AP14*Premissas!$B$56</f>
        <v>30953.167895595867</v>
      </c>
      <c r="AR20" s="152">
        <f>AQ14*Premissas!$B$56</f>
        <v>39627.921096379199</v>
      </c>
      <c r="AS20" s="152">
        <f>AR14*Premissas!$B$56</f>
        <v>40353.625756791691</v>
      </c>
      <c r="AT20" s="152">
        <f>AS14*Premissas!$B$56</f>
        <v>46300.424269679177</v>
      </c>
      <c r="AU20" s="152">
        <f>AT14*Premissas!$B$56</f>
        <v>50337.640102011246</v>
      </c>
      <c r="AV20" s="152">
        <f>AU14*Premissas!$B$56</f>
        <v>0</v>
      </c>
      <c r="AW20" s="152">
        <f>AV14*Premissas!$B$56</f>
        <v>0</v>
      </c>
      <c r="AX20" s="152">
        <f>AW14*Premissas!$B$56</f>
        <v>12937.539044528359</v>
      </c>
      <c r="AY20" s="152">
        <f>AX14*Premissas!$B$56</f>
        <v>12836.484441623539</v>
      </c>
      <c r="AZ20" s="152">
        <f>AY14*Premissas!$B$56</f>
        <v>0</v>
      </c>
      <c r="BA20" s="152">
        <f>AZ14*Premissas!$B$56</f>
        <v>0</v>
      </c>
      <c r="BB20" s="152">
        <f>BA14*Premissas!$B$56</f>
        <v>0</v>
      </c>
      <c r="BC20" s="152">
        <f>BB14*Premissas!$B$56</f>
        <v>30352.340360831753</v>
      </c>
      <c r="BD20" s="152">
        <f>BC14*Premissas!$B$56</f>
        <v>39222.555364168082</v>
      </c>
      <c r="BE20" s="152">
        <f>BD14*Premissas!$B$56</f>
        <v>39944.631501278513</v>
      </c>
      <c r="BF20" s="152">
        <f>BE14*Premissas!$B$56</f>
        <v>45861.696021601558</v>
      </c>
      <c r="BG20" s="152">
        <f>BF14*Premissas!$B$56</f>
        <v>50021.333556083395</v>
      </c>
      <c r="BH20" s="152">
        <f>BG14*Premissas!$B$56</f>
        <v>0</v>
      </c>
      <c r="BI20" s="152">
        <f>BH14*Premissas!$B$56</f>
        <v>0</v>
      </c>
      <c r="BJ20" s="152">
        <f>BI14*Premissas!$B$56</f>
        <v>11746.367894200575</v>
      </c>
      <c r="BK20" s="152">
        <f>BJ14*Premissas!$B$56</f>
        <v>12074.176216370506</v>
      </c>
      <c r="BL20" s="152">
        <f>BK14*Premissas!$B$56</f>
        <v>0</v>
      </c>
      <c r="BM20" s="152">
        <f>BL14*Premissas!$B$56</f>
        <v>0</v>
      </c>
      <c r="BN20" s="152">
        <f>BM14*Premissas!$B$56</f>
        <v>0</v>
      </c>
      <c r="BO20" s="152">
        <f>BN14*Premissas!$B$56</f>
        <v>29027.270549276887</v>
      </c>
      <c r="BP20" s="152">
        <f>BO14*Premissas!$B$56</f>
        <v>37441.312087681363</v>
      </c>
      <c r="BQ20" s="152">
        <f>BP14*Premissas!$B$56</f>
        <v>37441.312087681363</v>
      </c>
      <c r="BR20" s="152">
        <f>BQ14*Premissas!$B$56</f>
        <v>37441.312087681363</v>
      </c>
      <c r="BS20" s="152">
        <f>BR14*Premissas!$B$56</f>
        <v>42395.839402891099</v>
      </c>
      <c r="BT20" s="152">
        <f>BS14*Premissas!$B$56</f>
        <v>0</v>
      </c>
      <c r="BU20" s="152">
        <f>BT14*Premissas!$B$56</f>
        <v>0</v>
      </c>
      <c r="BV20" s="152">
        <f>BU14*Premissas!$B$56</f>
        <v>5202.092397735888</v>
      </c>
      <c r="BW20" s="152">
        <f>BV14*Premissas!$B$56</f>
        <v>20209.342907693976</v>
      </c>
      <c r="BX20" s="152">
        <f>BW14*Premissas!$B$56</f>
        <v>0</v>
      </c>
      <c r="BY20" s="152">
        <f>BX14*Premissas!$B$56</f>
        <v>0</v>
      </c>
      <c r="BZ20" s="152">
        <f>BY14*Premissas!$B$56</f>
        <v>0</v>
      </c>
      <c r="CA20" s="152">
        <f>BZ14*Premissas!$B$56</f>
        <v>28635.539343550521</v>
      </c>
      <c r="CB20" s="152">
        <f>CA14*Premissas!$B$56</f>
        <v>37260.178830996279</v>
      </c>
      <c r="CC20" s="152">
        <f>CB14*Premissas!$B$56</f>
        <v>37260.178830996279</v>
      </c>
      <c r="CD20" s="152">
        <f>CC14*Premissas!$B$56</f>
        <v>37260.178830996279</v>
      </c>
      <c r="CE20" s="152">
        <f>CD14*Premissas!$B$56</f>
        <v>42339.564915630777</v>
      </c>
      <c r="CF20" s="152">
        <f>CE14*Premissas!$B$56</f>
        <v>0</v>
      </c>
      <c r="CG20" s="152">
        <f>CF14*Premissas!$B$56</f>
        <v>0</v>
      </c>
      <c r="CH20" s="152">
        <f>CG14*Premissas!$B$56</f>
        <v>4215.5143834199735</v>
      </c>
      <c r="CI20" s="152">
        <f>CH14*Premissas!$B$56</f>
        <v>19597.186304200299</v>
      </c>
      <c r="CJ20" s="152">
        <f>CI14*Premissas!$B$56</f>
        <v>0</v>
      </c>
      <c r="CK20" s="152">
        <f>CJ14*Premissas!$B$56</f>
        <v>0</v>
      </c>
      <c r="CL20" s="152">
        <f>CK14*Premissas!$B$56</f>
        <v>0</v>
      </c>
      <c r="CM20" s="152">
        <f>CL14*Premissas!$B$56</f>
        <v>28234.980689098124</v>
      </c>
      <c r="CN20" s="152">
        <f>CM14*Premissas!$B$56</f>
        <v>37075.545574311189</v>
      </c>
      <c r="CO20" s="152">
        <f>CN14*Premissas!$B$56</f>
        <v>37075.545574311189</v>
      </c>
      <c r="CP20" s="152">
        <f>CO14*Premissas!$B$56</f>
        <v>37075.545574311189</v>
      </c>
      <c r="CQ20" s="152">
        <f>CP14*Premissas!$B$56</f>
        <v>42280.962979644428</v>
      </c>
      <c r="CR20" s="152">
        <f>CQ14*Premissas!$B$56</f>
        <v>0</v>
      </c>
      <c r="CS20" s="152">
        <f>CR14*Premissas!$B$56</f>
        <v>0</v>
      </c>
      <c r="CT20" s="152">
        <f>CS14*Premissas!$B$56</f>
        <v>3203.7991254738999</v>
      </c>
      <c r="CU20" s="152">
        <f>CT14*Premissas!$B$56</f>
        <v>18970.047354528528</v>
      </c>
      <c r="CV20" s="152">
        <f>CU14*Premissas!$B$56</f>
        <v>0</v>
      </c>
      <c r="CW20" s="152">
        <f>CV14*Premissas!$B$56</f>
        <v>0</v>
      </c>
      <c r="CX20" s="152">
        <f>CW14*Premissas!$B$56</f>
        <v>0</v>
      </c>
      <c r="CY20" s="152">
        <f>CX14*Premissas!$B$56</f>
        <v>27823.767137193659</v>
      </c>
      <c r="CZ20" s="152">
        <f>CY14*Premissas!$B$56</f>
        <v>36885.257420174043</v>
      </c>
      <c r="DA20" s="152">
        <f>CZ14*Premissas!$B$56</f>
        <v>36885.257420174043</v>
      </c>
      <c r="DB20" s="152">
        <f>DA14*Premissas!$B$56</f>
        <v>36885.257420174043</v>
      </c>
      <c r="DC20" s="152">
        <f>DB14*Premissas!$B$56</f>
        <v>42220.533594932043</v>
      </c>
      <c r="DD20" s="152">
        <f>DC14*Premissas!$B$56</f>
        <v>0</v>
      </c>
      <c r="DE20" s="152">
        <f>DD14*Premissas!$B$56</f>
        <v>0</v>
      </c>
      <c r="DF20" s="152">
        <f>DE14*Premissas!$B$56</f>
        <v>2167.774072623698</v>
      </c>
      <c r="DG20" s="152">
        <f>DF14*Premissas!$B$56</f>
        <v>18328.25350740469</v>
      </c>
      <c r="DH20" s="152">
        <f>DG14*Premissas!$B$56</f>
        <v>0</v>
      </c>
      <c r="DI20" s="152">
        <f>DH14*Premissas!$B$56</f>
        <v>0</v>
      </c>
      <c r="DJ20" s="152">
        <f>DI14*Premissas!$B$56</f>
        <v>0</v>
      </c>
      <c r="DK20" s="152">
        <f>DJ14*Premissas!$B$56</f>
        <v>27402.898687837136</v>
      </c>
      <c r="DL20" s="152">
        <f>DK14*Premissas!$B$56</f>
        <v>36690.141817310854</v>
      </c>
      <c r="DM20" s="152">
        <f>DL14*Premissas!$B$56</f>
        <v>36690.141817310854</v>
      </c>
      <c r="DN20" s="152">
        <f>DM14*Premissas!$B$56</f>
        <v>36690.141817310854</v>
      </c>
      <c r="DO20" s="152">
        <f>DN14*Premissas!$B$56</f>
        <v>42159.431658945687</v>
      </c>
      <c r="DP20" s="152">
        <f>DO14*Premissas!$B$56</f>
        <v>0</v>
      </c>
      <c r="DQ20" s="152">
        <f>DP14*Premissas!$B$56</f>
        <v>0</v>
      </c>
      <c r="DR20" s="152">
        <f>DQ14*Premissas!$B$56</f>
        <v>1104.7843274173038</v>
      </c>
      <c r="DS20" s="152">
        <f>DR14*Premissas!$B$56</f>
        <v>17669.149865376727</v>
      </c>
    </row>
    <row r="21" spans="1:123" ht="15" customHeight="1" x14ac:dyDescent="0.35">
      <c r="A21" s="336" t="s">
        <v>485</v>
      </c>
      <c r="B21" s="336"/>
      <c r="C21" s="336"/>
      <c r="D21" s="336"/>
      <c r="E21" s="336"/>
      <c r="F21" s="336"/>
      <c r="G21" s="336"/>
      <c r="H21" s="336"/>
      <c r="I21" s="336"/>
      <c r="J21" s="336"/>
      <c r="K21" s="336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  <c r="AA21" s="336"/>
    </row>
    <row r="22" spans="1:123" ht="12.75" customHeight="1" x14ac:dyDescent="0.35">
      <c r="A22" s="154" t="s">
        <v>486</v>
      </c>
      <c r="B22" s="140">
        <f t="shared" ref="B22:B28" si="14">SUM(D22:BQ22)</f>
        <v>9848843</v>
      </c>
      <c r="C22" s="139">
        <f t="shared" ref="C22:C28" si="15">B22/60</f>
        <v>164147.38333333333</v>
      </c>
      <c r="D22" s="140">
        <v>108695</v>
      </c>
      <c r="E22" s="140">
        <v>328938</v>
      </c>
      <c r="F22" s="140">
        <v>190978</v>
      </c>
      <c r="G22" s="140">
        <v>126479</v>
      </c>
      <c r="H22" s="140">
        <v>28215</v>
      </c>
      <c r="I22" s="140">
        <v>42210</v>
      </c>
      <c r="J22" s="140">
        <v>42210</v>
      </c>
      <c r="K22" s="140">
        <v>72539</v>
      </c>
      <c r="L22" s="140">
        <v>249813</v>
      </c>
      <c r="M22" s="140">
        <v>340171</v>
      </c>
      <c r="N22" s="140">
        <v>105348</v>
      </c>
      <c r="O22" s="140">
        <v>64385</v>
      </c>
      <c r="P22" s="140">
        <v>111412</v>
      </c>
      <c r="Q22" s="140">
        <v>337162</v>
      </c>
      <c r="R22" s="140">
        <v>195752</v>
      </c>
      <c r="S22" s="140">
        <v>129641</v>
      </c>
      <c r="T22" s="140">
        <v>28920</v>
      </c>
      <c r="U22" s="140">
        <v>43265</v>
      </c>
      <c r="V22" s="140">
        <v>43265</v>
      </c>
      <c r="W22" s="140">
        <v>72539</v>
      </c>
      <c r="X22" s="140">
        <v>249813</v>
      </c>
      <c r="Y22" s="140">
        <v>340171</v>
      </c>
      <c r="Z22" s="140">
        <v>105348</v>
      </c>
      <c r="AA22" s="140">
        <v>64385</v>
      </c>
      <c r="AB22" s="140">
        <v>114198</v>
      </c>
      <c r="AC22" s="140">
        <v>345590</v>
      </c>
      <c r="AD22" s="140">
        <v>200646</v>
      </c>
      <c r="AE22" s="140">
        <v>132882</v>
      </c>
      <c r="AF22" s="140">
        <v>29643</v>
      </c>
      <c r="AG22" s="140">
        <v>44347</v>
      </c>
      <c r="AH22" s="140">
        <v>44347</v>
      </c>
      <c r="AI22" s="140">
        <v>76211</v>
      </c>
      <c r="AJ22" s="140">
        <v>262460</v>
      </c>
      <c r="AK22" s="140">
        <v>357392</v>
      </c>
      <c r="AL22" s="140">
        <v>110681</v>
      </c>
      <c r="AM22" s="140">
        <v>67644</v>
      </c>
      <c r="AN22" s="140">
        <v>117053</v>
      </c>
      <c r="AO22" s="140">
        <v>354230</v>
      </c>
      <c r="AP22" s="140">
        <v>205662</v>
      </c>
      <c r="AQ22" s="140">
        <v>136204</v>
      </c>
      <c r="AR22" s="140">
        <v>30384</v>
      </c>
      <c r="AS22" s="140">
        <v>45456</v>
      </c>
      <c r="AT22" s="140">
        <v>45456</v>
      </c>
      <c r="AU22" s="140">
        <v>78117</v>
      </c>
      <c r="AV22" s="140">
        <v>269021</v>
      </c>
      <c r="AW22" s="140">
        <v>366327</v>
      </c>
      <c r="AX22" s="140">
        <v>113448</v>
      </c>
      <c r="AY22" s="140">
        <v>69336</v>
      </c>
      <c r="AZ22" s="140">
        <v>119979</v>
      </c>
      <c r="BA22" s="140">
        <v>363086</v>
      </c>
      <c r="BB22" s="140">
        <v>210804</v>
      </c>
      <c r="BC22" s="140">
        <v>139609</v>
      </c>
      <c r="BD22" s="140">
        <v>31144</v>
      </c>
      <c r="BE22" s="140">
        <v>46592</v>
      </c>
      <c r="BF22" s="140">
        <v>46592</v>
      </c>
      <c r="BG22" s="140">
        <v>80069</v>
      </c>
      <c r="BH22" s="140">
        <v>275747</v>
      </c>
      <c r="BI22" s="140">
        <v>375485</v>
      </c>
      <c r="BJ22" s="140">
        <v>116284</v>
      </c>
      <c r="BK22" s="140">
        <v>71069</v>
      </c>
      <c r="BL22" s="140">
        <v>122978</v>
      </c>
      <c r="BM22" s="140">
        <v>372163</v>
      </c>
      <c r="BN22" s="140">
        <v>216074</v>
      </c>
      <c r="BO22" s="140">
        <v>143099</v>
      </c>
      <c r="BP22" s="140">
        <v>31923</v>
      </c>
      <c r="BQ22" s="140">
        <v>47757</v>
      </c>
      <c r="BR22" s="140">
        <v>47757</v>
      </c>
      <c r="BS22" s="140">
        <v>82071</v>
      </c>
      <c r="BT22" s="140">
        <v>282640</v>
      </c>
      <c r="BU22" s="140">
        <v>384872</v>
      </c>
      <c r="BV22" s="140">
        <v>119192</v>
      </c>
      <c r="BW22" s="140">
        <v>72846</v>
      </c>
      <c r="BX22" s="140">
        <v>126053</v>
      </c>
      <c r="BY22" s="140">
        <v>381467</v>
      </c>
      <c r="BZ22" s="140">
        <v>221476</v>
      </c>
      <c r="CA22" s="140">
        <v>146677</v>
      </c>
      <c r="CB22" s="140">
        <v>32721</v>
      </c>
      <c r="CC22" s="140">
        <v>48951</v>
      </c>
      <c r="CD22" s="140">
        <v>48951</v>
      </c>
      <c r="CE22" s="140">
        <v>84123</v>
      </c>
      <c r="CF22" s="140">
        <v>289706</v>
      </c>
      <c r="CG22" s="140">
        <v>394494</v>
      </c>
      <c r="CH22" s="140">
        <v>122171</v>
      </c>
      <c r="CI22" s="140">
        <v>74667</v>
      </c>
      <c r="CJ22" s="140">
        <v>129204</v>
      </c>
      <c r="CK22" s="140">
        <v>391004</v>
      </c>
      <c r="CL22" s="140">
        <v>227013</v>
      </c>
      <c r="CM22" s="140">
        <v>150344</v>
      </c>
      <c r="CN22" s="140">
        <v>33539</v>
      </c>
      <c r="CO22" s="140">
        <v>50174</v>
      </c>
      <c r="CP22" s="140">
        <v>50174</v>
      </c>
      <c r="CQ22" s="140">
        <v>86226</v>
      </c>
      <c r="CR22" s="140">
        <v>296949</v>
      </c>
      <c r="CS22" s="140">
        <v>404356</v>
      </c>
      <c r="CT22" s="140">
        <v>125226</v>
      </c>
      <c r="CU22" s="140">
        <v>76534</v>
      </c>
      <c r="CV22" s="140">
        <v>132434</v>
      </c>
      <c r="CW22" s="140">
        <v>400779</v>
      </c>
      <c r="CX22" s="140">
        <v>232688</v>
      </c>
      <c r="CY22" s="140">
        <v>154102</v>
      </c>
      <c r="CZ22" s="140">
        <v>34377</v>
      </c>
      <c r="DA22" s="140">
        <v>51429</v>
      </c>
      <c r="DB22" s="140">
        <v>51429</v>
      </c>
      <c r="DC22" s="140">
        <v>88382</v>
      </c>
      <c r="DD22" s="140">
        <v>304373</v>
      </c>
      <c r="DE22" s="140">
        <v>414465</v>
      </c>
      <c r="DF22" s="140">
        <v>128356</v>
      </c>
      <c r="DG22" s="140">
        <v>78447</v>
      </c>
      <c r="DH22" s="140">
        <v>135745</v>
      </c>
      <c r="DI22" s="140">
        <v>410798</v>
      </c>
      <c r="DJ22" s="140">
        <v>238505</v>
      </c>
      <c r="DK22" s="140">
        <v>157955</v>
      </c>
      <c r="DL22" s="140">
        <v>35237</v>
      </c>
      <c r="DM22" s="140">
        <v>52715</v>
      </c>
      <c r="DN22" s="140">
        <v>52715</v>
      </c>
      <c r="DO22" s="140">
        <v>90591</v>
      </c>
      <c r="DP22" s="140">
        <v>311982</v>
      </c>
      <c r="DQ22" s="140">
        <v>424827</v>
      </c>
      <c r="DR22" s="140">
        <v>131565</v>
      </c>
      <c r="DS22" s="140">
        <v>80408</v>
      </c>
    </row>
    <row r="23" spans="1:123" ht="12.75" customHeight="1" x14ac:dyDescent="0.35">
      <c r="A23" s="154" t="s">
        <v>487</v>
      </c>
      <c r="B23" s="140">
        <f t="shared" si="14"/>
        <v>1094316</v>
      </c>
      <c r="C23" s="139">
        <f t="shared" si="15"/>
        <v>18238.599999999999</v>
      </c>
      <c r="D23" s="140">
        <v>12077</v>
      </c>
      <c r="E23" s="140">
        <v>36549</v>
      </c>
      <c r="F23" s="140">
        <v>21220</v>
      </c>
      <c r="G23" s="140">
        <v>14053</v>
      </c>
      <c r="H23" s="140">
        <v>3135</v>
      </c>
      <c r="I23" s="140">
        <v>4690</v>
      </c>
      <c r="J23" s="140">
        <v>4690</v>
      </c>
      <c r="K23" s="140">
        <v>8060</v>
      </c>
      <c r="L23" s="140">
        <v>27757</v>
      </c>
      <c r="M23" s="140">
        <v>37797</v>
      </c>
      <c r="N23" s="140">
        <v>11705</v>
      </c>
      <c r="O23" s="140">
        <v>7154</v>
      </c>
      <c r="P23" s="140">
        <v>12379</v>
      </c>
      <c r="Q23" s="140">
        <v>37462</v>
      </c>
      <c r="R23" s="140">
        <v>21750</v>
      </c>
      <c r="S23" s="140">
        <v>14405</v>
      </c>
      <c r="T23" s="140">
        <v>3213</v>
      </c>
      <c r="U23" s="140">
        <v>4807</v>
      </c>
      <c r="V23" s="140">
        <v>4807</v>
      </c>
      <c r="W23" s="140">
        <v>8060</v>
      </c>
      <c r="X23" s="140">
        <v>27757</v>
      </c>
      <c r="Y23" s="140">
        <v>37797</v>
      </c>
      <c r="Z23" s="140">
        <v>11705</v>
      </c>
      <c r="AA23" s="140">
        <v>7154</v>
      </c>
      <c r="AB23" s="140">
        <v>12688</v>
      </c>
      <c r="AC23" s="140">
        <v>38399</v>
      </c>
      <c r="AD23" s="140">
        <v>22294</v>
      </c>
      <c r="AE23" s="140">
        <v>14764</v>
      </c>
      <c r="AF23" s="140">
        <v>3294</v>
      </c>
      <c r="AG23" s="140">
        <v>4927</v>
      </c>
      <c r="AH23" s="140">
        <v>4927</v>
      </c>
      <c r="AI23" s="140">
        <v>8468</v>
      </c>
      <c r="AJ23" s="140">
        <v>29162</v>
      </c>
      <c r="AK23" s="140">
        <v>39710</v>
      </c>
      <c r="AL23" s="140">
        <v>12298</v>
      </c>
      <c r="AM23" s="140">
        <v>7516</v>
      </c>
      <c r="AN23" s="140">
        <v>13006</v>
      </c>
      <c r="AO23" s="140">
        <v>39359</v>
      </c>
      <c r="AP23" s="140">
        <v>22852</v>
      </c>
      <c r="AQ23" s="140">
        <v>15134</v>
      </c>
      <c r="AR23" s="140">
        <v>3376</v>
      </c>
      <c r="AS23" s="140">
        <v>5051</v>
      </c>
      <c r="AT23" s="140">
        <v>5051</v>
      </c>
      <c r="AU23" s="140">
        <v>8680</v>
      </c>
      <c r="AV23" s="140">
        <v>29891</v>
      </c>
      <c r="AW23" s="140">
        <v>40703</v>
      </c>
      <c r="AX23" s="140">
        <v>12605</v>
      </c>
      <c r="AY23" s="140">
        <v>7704</v>
      </c>
      <c r="AZ23" s="140">
        <v>13331</v>
      </c>
      <c r="BA23" s="140">
        <v>40343</v>
      </c>
      <c r="BB23" s="140">
        <v>23423</v>
      </c>
      <c r="BC23" s="140">
        <v>15512</v>
      </c>
      <c r="BD23" s="140">
        <v>3460</v>
      </c>
      <c r="BE23" s="140">
        <v>5177</v>
      </c>
      <c r="BF23" s="140">
        <v>5177</v>
      </c>
      <c r="BG23" s="140">
        <v>8897</v>
      </c>
      <c r="BH23" s="140">
        <v>30639</v>
      </c>
      <c r="BI23" s="140">
        <v>41721</v>
      </c>
      <c r="BJ23" s="140">
        <v>12920</v>
      </c>
      <c r="BK23" s="140">
        <v>7897</v>
      </c>
      <c r="BL23" s="140">
        <v>13664</v>
      </c>
      <c r="BM23" s="140">
        <v>41352</v>
      </c>
      <c r="BN23" s="140">
        <v>24008</v>
      </c>
      <c r="BO23" s="140">
        <v>15900</v>
      </c>
      <c r="BP23" s="140">
        <v>3547</v>
      </c>
      <c r="BQ23" s="140">
        <v>5306</v>
      </c>
      <c r="BR23" s="140">
        <v>5306</v>
      </c>
      <c r="BS23" s="140">
        <v>9119</v>
      </c>
      <c r="BT23" s="140">
        <v>31404</v>
      </c>
      <c r="BU23" s="140">
        <v>42764</v>
      </c>
      <c r="BV23" s="140">
        <v>13243</v>
      </c>
      <c r="BW23" s="140">
        <v>8094</v>
      </c>
      <c r="BX23" s="140">
        <v>14006</v>
      </c>
      <c r="BY23" s="140">
        <v>42386</v>
      </c>
      <c r="BZ23" s="140">
        <v>24609</v>
      </c>
      <c r="CA23" s="140">
        <v>16297</v>
      </c>
      <c r="CB23" s="140">
        <v>3636</v>
      </c>
      <c r="CC23" s="140">
        <v>5439</v>
      </c>
      <c r="CD23" s="140">
        <v>5439</v>
      </c>
      <c r="CE23" s="140">
        <v>9347</v>
      </c>
      <c r="CF23" s="140">
        <v>32190</v>
      </c>
      <c r="CG23" s="140">
        <v>43833</v>
      </c>
      <c r="CH23" s="140">
        <v>13574</v>
      </c>
      <c r="CI23" s="140">
        <v>8296</v>
      </c>
      <c r="CJ23" s="140">
        <v>14356</v>
      </c>
      <c r="CK23" s="140">
        <v>43445</v>
      </c>
      <c r="CL23" s="140">
        <v>25224</v>
      </c>
      <c r="CM23" s="140">
        <v>16705</v>
      </c>
      <c r="CN23" s="140">
        <v>3727</v>
      </c>
      <c r="CO23" s="140">
        <v>5575</v>
      </c>
      <c r="CP23" s="140">
        <v>5575</v>
      </c>
      <c r="CQ23" s="140">
        <v>9581</v>
      </c>
      <c r="CR23" s="140">
        <v>32994</v>
      </c>
      <c r="CS23" s="140">
        <v>44929</v>
      </c>
      <c r="CT23" s="140">
        <v>13914</v>
      </c>
      <c r="CU23" s="140">
        <v>8504</v>
      </c>
      <c r="CV23" s="140">
        <v>14715</v>
      </c>
      <c r="CW23" s="140">
        <v>44531</v>
      </c>
      <c r="CX23" s="140">
        <v>25855</v>
      </c>
      <c r="CY23" s="140">
        <v>17122</v>
      </c>
      <c r="CZ23" s="140">
        <v>3820</v>
      </c>
      <c r="DA23" s="140">
        <v>5714</v>
      </c>
      <c r="DB23" s="140">
        <v>5714</v>
      </c>
      <c r="DC23" s="140">
        <v>9820</v>
      </c>
      <c r="DD23" s="140">
        <v>33819</v>
      </c>
      <c r="DE23" s="140">
        <v>46052</v>
      </c>
      <c r="DF23" s="140">
        <v>14261</v>
      </c>
      <c r="DG23" s="140">
        <v>8716</v>
      </c>
      <c r="DH23" s="140">
        <v>15083</v>
      </c>
      <c r="DI23" s="140">
        <v>45645</v>
      </c>
      <c r="DJ23" s="140">
        <v>26501</v>
      </c>
      <c r="DK23" s="140">
        <v>17550</v>
      </c>
      <c r="DL23" s="140">
        <v>3915</v>
      </c>
      <c r="DM23" s="140">
        <v>5857</v>
      </c>
      <c r="DN23" s="140">
        <v>5857</v>
      </c>
      <c r="DO23" s="140">
        <v>10066</v>
      </c>
      <c r="DP23" s="140">
        <v>34665</v>
      </c>
      <c r="DQ23" s="140">
        <v>47203</v>
      </c>
      <c r="DR23" s="140">
        <v>14618</v>
      </c>
      <c r="DS23" s="140">
        <v>8934</v>
      </c>
    </row>
    <row r="24" spans="1:123" ht="12.75" customHeight="1" x14ac:dyDescent="0.35">
      <c r="A24" s="86" t="s">
        <v>488</v>
      </c>
      <c r="B24" s="107">
        <f t="shared" si="14"/>
        <v>5092260.760336116</v>
      </c>
      <c r="C24" s="139">
        <f t="shared" si="15"/>
        <v>84871.012672268596</v>
      </c>
      <c r="D24" s="107">
        <f>+'Novo Horizonte do Sul'!I8</f>
        <v>60380.599999999991</v>
      </c>
      <c r="E24" s="107">
        <f>+'Novo Horizonte do Sul'!I9</f>
        <v>76551.200000000012</v>
      </c>
      <c r="F24" s="107">
        <f>+'Novo Horizonte do Sul'!I10</f>
        <v>79815.599999999991</v>
      </c>
      <c r="G24" s="107">
        <f>+'Novo Horizonte do Sul'!I11</f>
        <v>78203.000000000015</v>
      </c>
      <c r="H24" s="107">
        <f>+'Novo Horizonte do Sul'!I12</f>
        <v>73160.099999999991</v>
      </c>
      <c r="I24" s="107">
        <f>+'Novo Horizonte do Sul'!I13</f>
        <v>91030.500000000015</v>
      </c>
      <c r="J24" s="107">
        <f>+'Novo Horizonte do Sul'!I14</f>
        <v>88631.699999999983</v>
      </c>
      <c r="K24" s="107">
        <f>+'Novo Horizonte do Sul'!I3*(1-Premissas!$B$23)</f>
        <v>83044.590499999977</v>
      </c>
      <c r="L24" s="107">
        <f>+'Novo Horizonte do Sul'!I4*(1-Premissas!$B$23)</f>
        <v>75743.777999999991</v>
      </c>
      <c r="M24" s="107">
        <f>+'Novo Horizonte do Sul'!I5*(1-Premissas!$B$23)</f>
        <v>89408.909</v>
      </c>
      <c r="N24" s="107">
        <f>+'Novo Horizonte do Sul'!I6*(1-Premissas!$B$23)</f>
        <v>62411.772999999994</v>
      </c>
      <c r="O24" s="107">
        <f>+'Novo Horizonte do Sul'!I7*(1-Premissas!$B$23)</f>
        <v>77836.362500000017</v>
      </c>
      <c r="P24" s="107">
        <f>D24*(1-Premissas!$B$23)</f>
        <v>60078.696999999993</v>
      </c>
      <c r="Q24" s="107">
        <f>E24*(1-Premissas!$B$23)</f>
        <v>76168.444000000018</v>
      </c>
      <c r="R24" s="107">
        <f>F24*(1-Premissas!$B$23)</f>
        <v>79416.521999999997</v>
      </c>
      <c r="S24" s="107">
        <f>G24*(1-Premissas!$B$23)</f>
        <v>77811.985000000015</v>
      </c>
      <c r="T24" s="107">
        <f>H24*(1-Premissas!$B$23)</f>
        <v>72794.299499999994</v>
      </c>
      <c r="U24" s="107">
        <f>I24*(1-Premissas!$B$23)</f>
        <v>90575.347500000018</v>
      </c>
      <c r="V24" s="107">
        <f>J24*(1-Premissas!$B$23)</f>
        <v>88188.541499999978</v>
      </c>
      <c r="W24" s="107">
        <f>K24*(1-Premissas!$B$23)</f>
        <v>82629.367547499976</v>
      </c>
      <c r="X24" s="107">
        <f>L24*(1-Premissas!$B$23)</f>
        <v>75365.059109999987</v>
      </c>
      <c r="Y24" s="107">
        <f>M24*(1-Premissas!$B$23)</f>
        <v>88961.864455000003</v>
      </c>
      <c r="Z24" s="107">
        <f>N24*(1-Premissas!$B$23)</f>
        <v>62099.714134999995</v>
      </c>
      <c r="AA24" s="107">
        <f>O24*(1-Premissas!$B$23)</f>
        <v>77447.180687500018</v>
      </c>
      <c r="AB24" s="107">
        <f>P24*(1-Premissas!$B$23)</f>
        <v>59778.303514999992</v>
      </c>
      <c r="AC24" s="107">
        <f>Q24*(1-Premissas!$B$23)</f>
        <v>75787.601780000012</v>
      </c>
      <c r="AD24" s="107">
        <f>R24*(1-Premissas!$B$23)</f>
        <v>79019.43939</v>
      </c>
      <c r="AE24" s="107">
        <f>S24*(1-Premissas!$B$23)</f>
        <v>77422.925075000021</v>
      </c>
      <c r="AF24" s="107">
        <f>T24*(1-Premissas!$B$23)</f>
        <v>72430.328002499999</v>
      </c>
      <c r="AG24" s="107">
        <f>U24*(1-Premissas!$B$23)</f>
        <v>90122.470762500016</v>
      </c>
      <c r="AH24" s="107">
        <f>V24*(1-Premissas!$B$23)</f>
        <v>87747.598792499979</v>
      </c>
      <c r="AI24" s="107">
        <f>W24*(1-Premissas!$B$23)</f>
        <v>82216.220709762478</v>
      </c>
      <c r="AJ24" s="107">
        <f>X24*(1-Premissas!$B$23)</f>
        <v>74988.233814449981</v>
      </c>
      <c r="AK24" s="107">
        <f>Y24*(1-Premissas!$B$23)</f>
        <v>88517.055132725</v>
      </c>
      <c r="AL24" s="107">
        <f>Z24*(1-Premissas!$B$23)</f>
        <v>61789.215564324993</v>
      </c>
      <c r="AM24" s="107">
        <f>AA24*(1-Premissas!$B$23)</f>
        <v>77059.944784062522</v>
      </c>
      <c r="AN24" s="107">
        <f>AB24*(1-Premissas!$B$23)</f>
        <v>59479.411997424992</v>
      </c>
      <c r="AO24" s="107">
        <f>AC24*(1-Premissas!$B$23)</f>
        <v>75408.663771100008</v>
      </c>
      <c r="AP24" s="107">
        <f>AD24*(1-Premissas!$B$23)</f>
        <v>78624.342193050004</v>
      </c>
      <c r="AQ24" s="107">
        <f>AE24*(1-Premissas!$B$23)</f>
        <v>77035.810449625016</v>
      </c>
      <c r="AR24" s="107">
        <f>AF24*(1-Premissas!$B$23)</f>
        <v>72068.176362487502</v>
      </c>
      <c r="AS24" s="107">
        <f>AG24*(1-Premissas!$B$23)</f>
        <v>89671.85840868752</v>
      </c>
      <c r="AT24" s="107">
        <f>AH24*(1-Premissas!$B$23)</f>
        <v>87308.860798537484</v>
      </c>
      <c r="AU24" s="107">
        <f>AI24*(1-Premissas!$B$23)</f>
        <v>81805.139606213663</v>
      </c>
      <c r="AV24" s="107">
        <f>AJ24*(1-Premissas!$B$23)</f>
        <v>74613.292645377733</v>
      </c>
      <c r="AW24" s="107">
        <f>AK24*(1-Premissas!$B$23)</f>
        <v>88074.469857061369</v>
      </c>
      <c r="AX24" s="107">
        <f>AL24*(1-Premissas!$B$23)</f>
        <v>61480.26948650337</v>
      </c>
      <c r="AY24" s="107">
        <f>AM24*(1-Premissas!$B$23)</f>
        <v>76674.645060142211</v>
      </c>
      <c r="AZ24" s="107">
        <f>AN24*(1-Premissas!$B$23)</f>
        <v>59182.014937437867</v>
      </c>
      <c r="BA24" s="107">
        <f>AO24*(1-Premissas!$B$23)</f>
        <v>75031.620452244504</v>
      </c>
      <c r="BB24" s="107">
        <f>AP24*(1-Premissas!$B$23)</f>
        <v>78231.220482084755</v>
      </c>
      <c r="BC24" s="107">
        <f>AQ24*(1-Premissas!$B$23)</f>
        <v>76650.631397376885</v>
      </c>
      <c r="BD24" s="107">
        <f>AR24*(1-Premissas!$B$23)</f>
        <v>71707.835480675058</v>
      </c>
      <c r="BE24" s="107">
        <f>AS24*(1-Premissas!$B$23)</f>
        <v>89223.499116644089</v>
      </c>
      <c r="BF24" s="107">
        <f>AT24*(1-Premissas!$B$23)</f>
        <v>86872.316494544793</v>
      </c>
      <c r="BG24" s="107">
        <f>AU24*(1-Premissas!$B$23)</f>
        <v>81396.113908182597</v>
      </c>
      <c r="BH24" s="107">
        <f>AV24*(1-Premissas!$B$23)</f>
        <v>74240.226182150844</v>
      </c>
      <c r="BI24" s="107">
        <f>AW24*(1-Premissas!$B$23)</f>
        <v>87634.097507776067</v>
      </c>
      <c r="BJ24" s="107">
        <f>AX24*(1-Premissas!$B$23)</f>
        <v>61172.868139070852</v>
      </c>
      <c r="BK24" s="107">
        <f>AY24*(1-Premissas!$B$23)</f>
        <v>76291.271834841493</v>
      </c>
      <c r="BL24" s="107">
        <f>AY24*(1-Premissas!$B$23)</f>
        <v>76291.271834841493</v>
      </c>
      <c r="BM24" s="107">
        <f>AY24*(1-Premissas!$B$23)</f>
        <v>76291.271834841493</v>
      </c>
      <c r="BN24" s="107">
        <f>AY24*(1-Premissas!$B$23)</f>
        <v>76291.271834841493</v>
      </c>
      <c r="BO24" s="107">
        <f>AY24*(1-Premissas!$B$23)</f>
        <v>76291.271834841493</v>
      </c>
      <c r="BP24" s="107">
        <f>AY24*(1-Premissas!$B$23)</f>
        <v>76291.271834841493</v>
      </c>
      <c r="BQ24" s="107">
        <f>AY24*(1-Premissas!$B$23)</f>
        <v>76291.271834841493</v>
      </c>
      <c r="BR24" s="107">
        <f>AY24*(1-Premissas!$B$23)</f>
        <v>76291.271834841493</v>
      </c>
      <c r="BS24" s="107">
        <f>AY24*(1-Premissas!$B$23)</f>
        <v>76291.271834841493</v>
      </c>
      <c r="BT24" s="107">
        <f>AY24*(1-Premissas!$B$23)</f>
        <v>76291.271834841493</v>
      </c>
      <c r="BU24" s="107">
        <f>AY24*(1-Premissas!$B$23)</f>
        <v>76291.271834841493</v>
      </c>
      <c r="BV24" s="107">
        <f>AY24*(1-Premissas!$B$23)</f>
        <v>76291.271834841493</v>
      </c>
      <c r="BW24" s="107">
        <f>AY24*(1-Premissas!$B$23)</f>
        <v>76291.271834841493</v>
      </c>
      <c r="BX24" s="107">
        <f>AY24*(1-Premissas!$B$23)</f>
        <v>76291.271834841493</v>
      </c>
      <c r="BY24" s="107">
        <f>AY24*(1-Premissas!$B$23)</f>
        <v>76291.271834841493</v>
      </c>
      <c r="BZ24" s="107">
        <f>AY24*(1-Premissas!$B$23)</f>
        <v>76291.271834841493</v>
      </c>
      <c r="CA24" s="107">
        <f>AY24*(1-Premissas!$B$23)</f>
        <v>76291.271834841493</v>
      </c>
      <c r="CB24" s="107">
        <f>AY24*(1-Premissas!$B$23)</f>
        <v>76291.271834841493</v>
      </c>
      <c r="CC24" s="107">
        <f>AY24*(1-Premissas!$B$23)</f>
        <v>76291.271834841493</v>
      </c>
      <c r="CD24" s="107">
        <f>AY24*(1-Premissas!$B$23)</f>
        <v>76291.271834841493</v>
      </c>
      <c r="CE24" s="107">
        <f>AY24*(1-Premissas!$B$23)</f>
        <v>76291.271834841493</v>
      </c>
      <c r="CF24" s="107">
        <f>AY24*(1-Premissas!$B$23)</f>
        <v>76291.271834841493</v>
      </c>
      <c r="CG24" s="107">
        <f>AY24*(1-Premissas!$B$23)</f>
        <v>76291.271834841493</v>
      </c>
      <c r="CH24" s="107">
        <f>AY24*(1-Premissas!$B$23)</f>
        <v>76291.271834841493</v>
      </c>
      <c r="CI24" s="107">
        <f>AY24*(1-Premissas!$B$23)</f>
        <v>76291.271834841493</v>
      </c>
      <c r="CJ24" s="107">
        <f>AY24*(1-Premissas!$B$23)</f>
        <v>76291.271834841493</v>
      </c>
      <c r="CK24" s="107">
        <f>AY24*(1-Premissas!$B$23)</f>
        <v>76291.271834841493</v>
      </c>
      <c r="CL24" s="107">
        <f>AY24*(1-Premissas!$B$23)</f>
        <v>76291.271834841493</v>
      </c>
      <c r="CM24" s="107">
        <f>AY24*(1-Premissas!$B$23)</f>
        <v>76291.271834841493</v>
      </c>
      <c r="CN24" s="107">
        <f>AY24*(1-Premissas!$B$23)</f>
        <v>76291.271834841493</v>
      </c>
      <c r="CO24" s="107">
        <f>AY24*(1-Premissas!$B$23)</f>
        <v>76291.271834841493</v>
      </c>
      <c r="CP24" s="107">
        <f>AY24*(1-Premissas!$B$23)</f>
        <v>76291.271834841493</v>
      </c>
      <c r="CQ24" s="107">
        <f>AY24*(1-Premissas!$B$23)</f>
        <v>76291.271834841493</v>
      </c>
      <c r="CR24" s="107">
        <f>AY24*(1-Premissas!$B$23)</f>
        <v>76291.271834841493</v>
      </c>
      <c r="CS24" s="107">
        <f>AY24*(1-Premissas!$B$23)</f>
        <v>76291.271834841493</v>
      </c>
      <c r="CT24" s="107">
        <f>AY24*(1-Premissas!$B$23)</f>
        <v>76291.271834841493</v>
      </c>
      <c r="CU24" s="107">
        <f>AY24*(1-Premissas!$B$23)</f>
        <v>76291.271834841493</v>
      </c>
      <c r="CV24" s="107">
        <f>AY24*(1-Premissas!$B$23)</f>
        <v>76291.271834841493</v>
      </c>
      <c r="CW24" s="107">
        <f>AY24*(1-Premissas!$B$23)</f>
        <v>76291.271834841493</v>
      </c>
      <c r="CX24" s="107">
        <f>AY24*(1-Premissas!$B$23)</f>
        <v>76291.271834841493</v>
      </c>
      <c r="CY24" s="107">
        <f>AY24*(1-Premissas!$B$23)</f>
        <v>76291.271834841493</v>
      </c>
      <c r="CZ24" s="107">
        <f>AY24*(1-Premissas!$B$23)</f>
        <v>76291.271834841493</v>
      </c>
      <c r="DA24" s="107">
        <f>AY24*(1-Premissas!$B$23)</f>
        <v>76291.271834841493</v>
      </c>
      <c r="DB24" s="107">
        <f>AY24*(1-Premissas!$B$23)</f>
        <v>76291.271834841493</v>
      </c>
      <c r="DC24" s="107">
        <f>AY24*(1-Premissas!$B$23)</f>
        <v>76291.271834841493</v>
      </c>
      <c r="DD24" s="107">
        <f>AY24*(1-Premissas!$B$23)</f>
        <v>76291.271834841493</v>
      </c>
      <c r="DE24" s="107">
        <f>AY24*(1-Premissas!$B$23)</f>
        <v>76291.271834841493</v>
      </c>
      <c r="DF24" s="107">
        <f>AY24*(1-Premissas!$B$23)</f>
        <v>76291.271834841493</v>
      </c>
      <c r="DG24" s="107">
        <f>AY24*(1-Premissas!$B$23)</f>
        <v>76291.271834841493</v>
      </c>
      <c r="DH24" s="107">
        <f>AY24*(1-Premissas!$B$23)</f>
        <v>76291.271834841493</v>
      </c>
      <c r="DI24" s="107">
        <f>AY24*(1-Premissas!$B$23)</f>
        <v>76291.271834841493</v>
      </c>
      <c r="DJ24" s="107">
        <f>AY24*(1-Premissas!$B$23)</f>
        <v>76291.271834841493</v>
      </c>
      <c r="DK24" s="107">
        <f>AY24*(1-Premissas!$B$23)</f>
        <v>76291.271834841493</v>
      </c>
      <c r="DL24" s="107">
        <f>AY24*(1-Premissas!$B$23)</f>
        <v>76291.271834841493</v>
      </c>
      <c r="DM24" s="107">
        <f>AY24*(1-Premissas!$B$23)</f>
        <v>76291.271834841493</v>
      </c>
      <c r="DN24" s="107">
        <f>AY24*(1-Premissas!$B$23)</f>
        <v>76291.271834841493</v>
      </c>
      <c r="DO24" s="107">
        <f>AY24*(1-Premissas!$B$23)</f>
        <v>76291.271834841493</v>
      </c>
      <c r="DP24" s="107">
        <f>AY24*(1-Premissas!$B$23)</f>
        <v>76291.271834841493</v>
      </c>
      <c r="DQ24" s="107">
        <f>AY24*(1-Premissas!$B$23)</f>
        <v>76291.271834841493</v>
      </c>
      <c r="DR24" s="107">
        <f>AY24*(1-Premissas!$B$23)</f>
        <v>76291.271834841493</v>
      </c>
      <c r="DS24" s="107">
        <f>AY24*(1-Premissas!$B$23)</f>
        <v>76291.271834841493</v>
      </c>
    </row>
    <row r="25" spans="1:123" ht="12.75" customHeight="1" x14ac:dyDescent="0.35">
      <c r="A25" s="146" t="s">
        <v>489</v>
      </c>
      <c r="B25" s="139">
        <f t="shared" si="14"/>
        <v>4279763.9468091493</v>
      </c>
      <c r="C25" s="139">
        <f t="shared" si="15"/>
        <v>71329.399113485822</v>
      </c>
      <c r="D25" s="139">
        <f t="shared" ref="D25:AI25" si="16">MIN(D24,D22)</f>
        <v>60380.599999999991</v>
      </c>
      <c r="E25" s="139">
        <f t="shared" si="16"/>
        <v>76551.200000000012</v>
      </c>
      <c r="F25" s="139">
        <f t="shared" si="16"/>
        <v>79815.599999999991</v>
      </c>
      <c r="G25" s="139">
        <f t="shared" si="16"/>
        <v>78203.000000000015</v>
      </c>
      <c r="H25" s="139">
        <f t="shared" si="16"/>
        <v>28215</v>
      </c>
      <c r="I25" s="139">
        <f t="shared" si="16"/>
        <v>42210</v>
      </c>
      <c r="J25" s="139">
        <f t="shared" si="16"/>
        <v>42210</v>
      </c>
      <c r="K25" s="139">
        <f t="shared" si="16"/>
        <v>72539</v>
      </c>
      <c r="L25" s="139">
        <f t="shared" si="16"/>
        <v>75743.777999999991</v>
      </c>
      <c r="M25" s="139">
        <f t="shared" si="16"/>
        <v>89408.909</v>
      </c>
      <c r="N25" s="139">
        <f t="shared" si="16"/>
        <v>62411.772999999994</v>
      </c>
      <c r="O25" s="139">
        <f t="shared" si="16"/>
        <v>64385</v>
      </c>
      <c r="P25" s="139">
        <f t="shared" si="16"/>
        <v>60078.696999999993</v>
      </c>
      <c r="Q25" s="139">
        <f t="shared" si="16"/>
        <v>76168.444000000018</v>
      </c>
      <c r="R25" s="139">
        <f t="shared" si="16"/>
        <v>79416.521999999997</v>
      </c>
      <c r="S25" s="139">
        <f t="shared" si="16"/>
        <v>77811.985000000015</v>
      </c>
      <c r="T25" s="139">
        <f t="shared" si="16"/>
        <v>28920</v>
      </c>
      <c r="U25" s="139">
        <f t="shared" si="16"/>
        <v>43265</v>
      </c>
      <c r="V25" s="139">
        <f t="shared" si="16"/>
        <v>43265</v>
      </c>
      <c r="W25" s="139">
        <f t="shared" si="16"/>
        <v>72539</v>
      </c>
      <c r="X25" s="139">
        <f t="shared" si="16"/>
        <v>75365.059109999987</v>
      </c>
      <c r="Y25" s="139">
        <f t="shared" si="16"/>
        <v>88961.864455000003</v>
      </c>
      <c r="Z25" s="139">
        <f t="shared" si="16"/>
        <v>62099.714134999995</v>
      </c>
      <c r="AA25" s="139">
        <f t="shared" si="16"/>
        <v>64385</v>
      </c>
      <c r="AB25" s="139">
        <f t="shared" si="16"/>
        <v>59778.303514999992</v>
      </c>
      <c r="AC25" s="139">
        <f t="shared" si="16"/>
        <v>75787.601780000012</v>
      </c>
      <c r="AD25" s="139">
        <f t="shared" si="16"/>
        <v>79019.43939</v>
      </c>
      <c r="AE25" s="139">
        <f t="shared" si="16"/>
        <v>77422.925075000021</v>
      </c>
      <c r="AF25" s="139">
        <f t="shared" si="16"/>
        <v>29643</v>
      </c>
      <c r="AG25" s="139">
        <f t="shared" si="16"/>
        <v>44347</v>
      </c>
      <c r="AH25" s="139">
        <f t="shared" si="16"/>
        <v>44347</v>
      </c>
      <c r="AI25" s="139">
        <f t="shared" si="16"/>
        <v>76211</v>
      </c>
      <c r="AJ25" s="139">
        <f t="shared" ref="AJ25:BO25" si="17">MIN(AJ24,AJ22)</f>
        <v>74988.233814449981</v>
      </c>
      <c r="AK25" s="139">
        <f t="shared" si="17"/>
        <v>88517.055132725</v>
      </c>
      <c r="AL25" s="139">
        <f t="shared" si="17"/>
        <v>61789.215564324993</v>
      </c>
      <c r="AM25" s="139">
        <f t="shared" si="17"/>
        <v>67644</v>
      </c>
      <c r="AN25" s="139">
        <f t="shared" si="17"/>
        <v>59479.411997424992</v>
      </c>
      <c r="AO25" s="139">
        <f t="shared" si="17"/>
        <v>75408.663771100008</v>
      </c>
      <c r="AP25" s="139">
        <f t="shared" si="17"/>
        <v>78624.342193050004</v>
      </c>
      <c r="AQ25" s="139">
        <f t="shared" si="17"/>
        <v>77035.810449625016</v>
      </c>
      <c r="AR25" s="139">
        <f t="shared" si="17"/>
        <v>30384</v>
      </c>
      <c r="AS25" s="139">
        <f t="shared" si="17"/>
        <v>45456</v>
      </c>
      <c r="AT25" s="139">
        <f t="shared" si="17"/>
        <v>45456</v>
      </c>
      <c r="AU25" s="139">
        <f t="shared" si="17"/>
        <v>78117</v>
      </c>
      <c r="AV25" s="139">
        <f t="shared" si="17"/>
        <v>74613.292645377733</v>
      </c>
      <c r="AW25" s="139">
        <f t="shared" si="17"/>
        <v>88074.469857061369</v>
      </c>
      <c r="AX25" s="139">
        <f t="shared" si="17"/>
        <v>61480.26948650337</v>
      </c>
      <c r="AY25" s="139">
        <f t="shared" si="17"/>
        <v>69336</v>
      </c>
      <c r="AZ25" s="139">
        <f t="shared" si="17"/>
        <v>59182.014937437867</v>
      </c>
      <c r="BA25" s="139">
        <f t="shared" si="17"/>
        <v>75031.620452244504</v>
      </c>
      <c r="BB25" s="139">
        <f t="shared" si="17"/>
        <v>78231.220482084755</v>
      </c>
      <c r="BC25" s="139">
        <f t="shared" si="17"/>
        <v>76650.631397376885</v>
      </c>
      <c r="BD25" s="139">
        <f t="shared" si="17"/>
        <v>31144</v>
      </c>
      <c r="BE25" s="139">
        <f t="shared" si="17"/>
        <v>46592</v>
      </c>
      <c r="BF25" s="139">
        <f t="shared" si="17"/>
        <v>46592</v>
      </c>
      <c r="BG25" s="139">
        <f t="shared" si="17"/>
        <v>80069</v>
      </c>
      <c r="BH25" s="139">
        <f t="shared" si="17"/>
        <v>74240.226182150844</v>
      </c>
      <c r="BI25" s="139">
        <f t="shared" si="17"/>
        <v>87634.097507776067</v>
      </c>
      <c r="BJ25" s="139">
        <f t="shared" si="17"/>
        <v>61172.868139070852</v>
      </c>
      <c r="BK25" s="139">
        <f t="shared" si="17"/>
        <v>71069</v>
      </c>
      <c r="BL25" s="139">
        <f t="shared" si="17"/>
        <v>76291.271834841493</v>
      </c>
      <c r="BM25" s="139">
        <f t="shared" si="17"/>
        <v>76291.271834841493</v>
      </c>
      <c r="BN25" s="139">
        <f t="shared" si="17"/>
        <v>76291.271834841493</v>
      </c>
      <c r="BO25" s="139">
        <f t="shared" si="17"/>
        <v>76291.271834841493</v>
      </c>
      <c r="BP25" s="139">
        <f t="shared" ref="BP25:CU25" si="18">MIN(BP24,BP22)</f>
        <v>31923</v>
      </c>
      <c r="BQ25" s="139">
        <f t="shared" si="18"/>
        <v>47757</v>
      </c>
      <c r="BR25" s="139">
        <f t="shared" si="18"/>
        <v>47757</v>
      </c>
      <c r="BS25" s="139">
        <f t="shared" si="18"/>
        <v>76291.271834841493</v>
      </c>
      <c r="BT25" s="139">
        <f t="shared" si="18"/>
        <v>76291.271834841493</v>
      </c>
      <c r="BU25" s="139">
        <f t="shared" si="18"/>
        <v>76291.271834841493</v>
      </c>
      <c r="BV25" s="139">
        <f t="shared" si="18"/>
        <v>76291.271834841493</v>
      </c>
      <c r="BW25" s="139">
        <f t="shared" si="18"/>
        <v>72846</v>
      </c>
      <c r="BX25" s="139">
        <f t="shared" si="18"/>
        <v>76291.271834841493</v>
      </c>
      <c r="BY25" s="139">
        <f t="shared" si="18"/>
        <v>76291.271834841493</v>
      </c>
      <c r="BZ25" s="139">
        <f t="shared" si="18"/>
        <v>76291.271834841493</v>
      </c>
      <c r="CA25" s="139">
        <f t="shared" si="18"/>
        <v>76291.271834841493</v>
      </c>
      <c r="CB25" s="139">
        <f t="shared" si="18"/>
        <v>32721</v>
      </c>
      <c r="CC25" s="139">
        <f t="shared" si="18"/>
        <v>48951</v>
      </c>
      <c r="CD25" s="139">
        <f t="shared" si="18"/>
        <v>48951</v>
      </c>
      <c r="CE25" s="139">
        <f t="shared" si="18"/>
        <v>76291.271834841493</v>
      </c>
      <c r="CF25" s="139">
        <f t="shared" si="18"/>
        <v>76291.271834841493</v>
      </c>
      <c r="CG25" s="139">
        <f t="shared" si="18"/>
        <v>76291.271834841493</v>
      </c>
      <c r="CH25" s="139">
        <f t="shared" si="18"/>
        <v>76291.271834841493</v>
      </c>
      <c r="CI25" s="139">
        <f t="shared" si="18"/>
        <v>74667</v>
      </c>
      <c r="CJ25" s="139">
        <f t="shared" si="18"/>
        <v>76291.271834841493</v>
      </c>
      <c r="CK25" s="139">
        <f t="shared" si="18"/>
        <v>76291.271834841493</v>
      </c>
      <c r="CL25" s="139">
        <f t="shared" si="18"/>
        <v>76291.271834841493</v>
      </c>
      <c r="CM25" s="139">
        <f t="shared" si="18"/>
        <v>76291.271834841493</v>
      </c>
      <c r="CN25" s="139">
        <f t="shared" si="18"/>
        <v>33539</v>
      </c>
      <c r="CO25" s="139">
        <f t="shared" si="18"/>
        <v>50174</v>
      </c>
      <c r="CP25" s="139">
        <f t="shared" si="18"/>
        <v>50174</v>
      </c>
      <c r="CQ25" s="139">
        <f t="shared" si="18"/>
        <v>76291.271834841493</v>
      </c>
      <c r="CR25" s="139">
        <f t="shared" si="18"/>
        <v>76291.271834841493</v>
      </c>
      <c r="CS25" s="139">
        <f t="shared" si="18"/>
        <v>76291.271834841493</v>
      </c>
      <c r="CT25" s="139">
        <f t="shared" si="18"/>
        <v>76291.271834841493</v>
      </c>
      <c r="CU25" s="139">
        <f t="shared" si="18"/>
        <v>76291.271834841493</v>
      </c>
      <c r="CV25" s="139">
        <f t="shared" ref="CV25:DS25" si="19">MIN(CV24,CV22)</f>
        <v>76291.271834841493</v>
      </c>
      <c r="CW25" s="139">
        <f t="shared" si="19"/>
        <v>76291.271834841493</v>
      </c>
      <c r="CX25" s="139">
        <f t="shared" si="19"/>
        <v>76291.271834841493</v>
      </c>
      <c r="CY25" s="139">
        <f t="shared" si="19"/>
        <v>76291.271834841493</v>
      </c>
      <c r="CZ25" s="139">
        <f t="shared" si="19"/>
        <v>34377</v>
      </c>
      <c r="DA25" s="139">
        <f t="shared" si="19"/>
        <v>51429</v>
      </c>
      <c r="DB25" s="139">
        <f t="shared" si="19"/>
        <v>51429</v>
      </c>
      <c r="DC25" s="139">
        <f t="shared" si="19"/>
        <v>76291.271834841493</v>
      </c>
      <c r="DD25" s="139">
        <f t="shared" si="19"/>
        <v>76291.271834841493</v>
      </c>
      <c r="DE25" s="139">
        <f t="shared" si="19"/>
        <v>76291.271834841493</v>
      </c>
      <c r="DF25" s="139">
        <f t="shared" si="19"/>
        <v>76291.271834841493</v>
      </c>
      <c r="DG25" s="139">
        <f t="shared" si="19"/>
        <v>76291.271834841493</v>
      </c>
      <c r="DH25" s="139">
        <f t="shared" si="19"/>
        <v>76291.271834841493</v>
      </c>
      <c r="DI25" s="139">
        <f t="shared" si="19"/>
        <v>76291.271834841493</v>
      </c>
      <c r="DJ25" s="139">
        <f t="shared" si="19"/>
        <v>76291.271834841493</v>
      </c>
      <c r="DK25" s="139">
        <f t="shared" si="19"/>
        <v>76291.271834841493</v>
      </c>
      <c r="DL25" s="139">
        <f t="shared" si="19"/>
        <v>35237</v>
      </c>
      <c r="DM25" s="139">
        <f t="shared" si="19"/>
        <v>52715</v>
      </c>
      <c r="DN25" s="139">
        <f t="shared" si="19"/>
        <v>52715</v>
      </c>
      <c r="DO25" s="139">
        <f t="shared" si="19"/>
        <v>76291.271834841493</v>
      </c>
      <c r="DP25" s="139">
        <f t="shared" si="19"/>
        <v>76291.271834841493</v>
      </c>
      <c r="DQ25" s="139">
        <f t="shared" si="19"/>
        <v>76291.271834841493</v>
      </c>
      <c r="DR25" s="139">
        <f t="shared" si="19"/>
        <v>76291.271834841493</v>
      </c>
      <c r="DS25" s="139">
        <f t="shared" si="19"/>
        <v>76291.271834841493</v>
      </c>
    </row>
    <row r="26" spans="1:123" ht="12.75" customHeight="1" x14ac:dyDescent="0.35">
      <c r="A26" s="146" t="s">
        <v>490</v>
      </c>
      <c r="B26" s="139">
        <f t="shared" si="14"/>
        <v>121327.66158967432</v>
      </c>
      <c r="C26" s="139">
        <f t="shared" si="15"/>
        <v>2022.1276931612385</v>
      </c>
      <c r="D26" s="139">
        <f>MIN((D24-D25)*Premissas!$B$8,D23)</f>
        <v>0</v>
      </c>
      <c r="E26" s="139">
        <f>MIN((E24-E25)*Premissas!$B$8,E23)</f>
        <v>0</v>
      </c>
      <c r="F26" s="139">
        <f>MIN((F24-F25)*Premissas!$B$8,F23)</f>
        <v>0</v>
      </c>
      <c r="G26" s="139">
        <f>MIN((G24-G25)*Premissas!$B$8,G23)</f>
        <v>0</v>
      </c>
      <c r="H26" s="139">
        <f>MIN((H24-H25)*Premissas!$B$8,H23)</f>
        <v>3135</v>
      </c>
      <c r="I26" s="139">
        <f>MIN((I24-I25)*Premissas!$B$8,I23)</f>
        <v>4690</v>
      </c>
      <c r="J26" s="139">
        <f>MIN((J24-J25)*Premissas!$B$8,J23)</f>
        <v>4690</v>
      </c>
      <c r="K26" s="139">
        <f>MIN((K24-K25)*Premissas!$B$8,K23)</f>
        <v>6348.1821709845053</v>
      </c>
      <c r="L26" s="139">
        <f>MIN((L24-L25)*Premissas!$B$8,L23)</f>
        <v>0</v>
      </c>
      <c r="M26" s="139">
        <f>MIN((M24-M25)*Premissas!$B$8,M23)</f>
        <v>0</v>
      </c>
      <c r="N26" s="139">
        <f>MIN((N24-N25)*Premissas!$B$8,N23)</f>
        <v>0</v>
      </c>
      <c r="O26" s="139">
        <f>MIN((O24-O25)*Premissas!$B$8,O23)</f>
        <v>7154</v>
      </c>
      <c r="P26" s="139">
        <f>MIN((P24-P25)*Premissas!$B$8,P23)</f>
        <v>0</v>
      </c>
      <c r="Q26" s="139">
        <f>MIN((Q24-Q25)*Premissas!$B$8,Q23)</f>
        <v>0</v>
      </c>
      <c r="R26" s="139">
        <f>MIN((R24-R25)*Premissas!$B$8,R23)</f>
        <v>0</v>
      </c>
      <c r="S26" s="139">
        <f>MIN((S24-S25)*Premissas!$B$8,S23)</f>
        <v>0</v>
      </c>
      <c r="T26" s="139">
        <f>MIN((T24-T25)*Premissas!$B$8,T23)</f>
        <v>3213</v>
      </c>
      <c r="U26" s="139">
        <f>MIN((U24-U25)*Premissas!$B$8,U23)</f>
        <v>4807</v>
      </c>
      <c r="V26" s="139">
        <f>MIN((V24-V25)*Premissas!$B$8,V23)</f>
        <v>4807</v>
      </c>
      <c r="W26" s="139">
        <f>MIN((W24-W25)*Premissas!$B$8,W23)</f>
        <v>6097.2766227391166</v>
      </c>
      <c r="X26" s="139">
        <f>MIN((X24-X25)*Premissas!$B$8,X23)</f>
        <v>0</v>
      </c>
      <c r="Y26" s="139">
        <f>MIN((Y24-Y25)*Premissas!$B$8,Y23)</f>
        <v>0</v>
      </c>
      <c r="Z26" s="139">
        <f>MIN((Z24-Z25)*Premissas!$B$8,Z23)</f>
        <v>0</v>
      </c>
      <c r="AA26" s="139">
        <f>MIN((AA24-AA25)*Premissas!$B$8,AA23)</f>
        <v>7154</v>
      </c>
      <c r="AB26" s="139">
        <f>MIN((AB24-AB25)*Premissas!$B$8,AB23)</f>
        <v>0</v>
      </c>
      <c r="AC26" s="139">
        <f>MIN((AC24-AC25)*Premissas!$B$8,AC23)</f>
        <v>0</v>
      </c>
      <c r="AD26" s="139">
        <f>MIN((AD24-AD25)*Premissas!$B$8,AD23)</f>
        <v>0</v>
      </c>
      <c r="AE26" s="139">
        <f>MIN((AE24-AE25)*Premissas!$B$8,AE23)</f>
        <v>0</v>
      </c>
      <c r="AF26" s="139">
        <f>MIN((AF24-AF25)*Premissas!$B$8,AF23)</f>
        <v>3294</v>
      </c>
      <c r="AG26" s="139">
        <f>MIN((AG24-AG25)*Premissas!$B$8,AG23)</f>
        <v>4927</v>
      </c>
      <c r="AH26" s="139">
        <f>MIN((AH24-AH25)*Premissas!$B$8,AH23)</f>
        <v>4927</v>
      </c>
      <c r="AI26" s="139">
        <f>MIN((AI24-AI25)*Premissas!$B$8,AI23)</f>
        <v>3628.7569977662051</v>
      </c>
      <c r="AJ26" s="139">
        <f>MIN((AJ24-AJ25)*Premissas!$B$8,AJ23)</f>
        <v>0</v>
      </c>
      <c r="AK26" s="139">
        <f>MIN((AK24-AK25)*Premissas!$B$8,AK23)</f>
        <v>0</v>
      </c>
      <c r="AL26" s="139">
        <f>MIN((AL24-AL25)*Premissas!$B$8,AL23)</f>
        <v>0</v>
      </c>
      <c r="AM26" s="139">
        <f>MIN((AM24-AM25)*Premissas!$B$8,AM23)</f>
        <v>5689.745169599023</v>
      </c>
      <c r="AN26" s="139">
        <f>MIN((AN24-AN25)*Premissas!$B$8,AN23)</f>
        <v>0</v>
      </c>
      <c r="AO26" s="139">
        <f>MIN((AO24-AO25)*Premissas!$B$8,AO23)</f>
        <v>0</v>
      </c>
      <c r="AP26" s="139">
        <f>MIN((AP24-AP25)*Premissas!$B$8,AP23)</f>
        <v>0</v>
      </c>
      <c r="AQ26" s="139">
        <f>MIN((AQ24-AQ25)*Premissas!$B$8,AQ23)</f>
        <v>0</v>
      </c>
      <c r="AR26" s="139">
        <f>MIN((AR24-AR25)*Premissas!$B$8,AR23)</f>
        <v>3376</v>
      </c>
      <c r="AS26" s="139">
        <f>MIN((AS24-AS25)*Premissas!$B$8,AS23)</f>
        <v>5051</v>
      </c>
      <c r="AT26" s="139">
        <f>MIN((AT24-AT25)*Premissas!$B$8,AT23)</f>
        <v>5051</v>
      </c>
      <c r="AU26" s="139">
        <f>MIN((AU24-AU25)*Premissas!$B$8,AU23)</f>
        <v>2228.6212366898785</v>
      </c>
      <c r="AV26" s="139">
        <f>MIN((AV24-AV25)*Premissas!$B$8,AV23)</f>
        <v>0</v>
      </c>
      <c r="AW26" s="139">
        <f>MIN((AW24-AW25)*Premissas!$B$8,AW23)</f>
        <v>0</v>
      </c>
      <c r="AX26" s="139">
        <f>MIN((AX24-AX25)*Premissas!$B$8,AX23)</f>
        <v>0</v>
      </c>
      <c r="AY26" s="139">
        <f>MIN((AY24-AY25)*Premissas!$B$8,AY23)</f>
        <v>4434.5013952312729</v>
      </c>
      <c r="AZ26" s="139">
        <f>MIN((AZ24-AZ25)*Premissas!$B$8,AZ23)</f>
        <v>0</v>
      </c>
      <c r="BA26" s="139">
        <f>MIN((BA24-BA25)*Premissas!$B$8,BA23)</f>
        <v>0</v>
      </c>
      <c r="BB26" s="139">
        <f>MIN((BB24-BB25)*Premissas!$B$8,BB23)</f>
        <v>0</v>
      </c>
      <c r="BC26" s="139">
        <f>MIN((BC24-BC25)*Premissas!$B$8,BC23)</f>
        <v>0</v>
      </c>
      <c r="BD26" s="139">
        <f>MIN((BD24-BD25)*Premissas!$B$8,BD23)</f>
        <v>3460</v>
      </c>
      <c r="BE26" s="139">
        <f>MIN((BE24-BE25)*Premissas!$B$8,BE23)</f>
        <v>5177</v>
      </c>
      <c r="BF26" s="139">
        <f>MIN((BF24-BF25)*Premissas!$B$8,BF23)</f>
        <v>5177</v>
      </c>
      <c r="BG26" s="139">
        <f>MIN((BG24-BG25)*Premissas!$B$8,BG23)</f>
        <v>801.93120517978957</v>
      </c>
      <c r="BH26" s="139">
        <f>MIN((BH24-BH25)*Premissas!$B$8,BH23)</f>
        <v>0</v>
      </c>
      <c r="BI26" s="139">
        <f>MIN((BI24-BI25)*Premissas!$B$8,BI23)</f>
        <v>0</v>
      </c>
      <c r="BJ26" s="139">
        <f>MIN((BJ24-BJ25)*Premissas!$B$8,BJ23)</f>
        <v>0</v>
      </c>
      <c r="BK26" s="139">
        <f>MIN((BK24-BK25)*Premissas!$B$8,BK23)</f>
        <v>3155.6467914845321</v>
      </c>
      <c r="BL26" s="139">
        <f>MIN((BL24-BL25)*Premissas!$B$8,BL23)</f>
        <v>0</v>
      </c>
      <c r="BM26" s="139">
        <f>MIN((BM24-BM25)*Premissas!$B$8,BM23)</f>
        <v>0</v>
      </c>
      <c r="BN26" s="139">
        <f>MIN((BN24-BN25)*Premissas!$B$8,BN23)</f>
        <v>0</v>
      </c>
      <c r="BO26" s="139">
        <f>MIN((BO24-BO25)*Premissas!$B$8,BO23)</f>
        <v>0</v>
      </c>
      <c r="BP26" s="139">
        <f>MIN((BP24-BP25)*Premissas!$B$8,BP23)</f>
        <v>3547</v>
      </c>
      <c r="BQ26" s="139">
        <f>MIN((BQ24-BQ25)*Premissas!$B$8,BQ23)</f>
        <v>5306</v>
      </c>
      <c r="BR26" s="139">
        <f>MIN((BR24-BR25)*Premissas!$B$8,BR23)</f>
        <v>5306</v>
      </c>
      <c r="BS26" s="139">
        <f>MIN((BS24-BS25)*Premissas!$B$8,BS23)</f>
        <v>0</v>
      </c>
      <c r="BT26" s="139">
        <f>MIN((BT24-BT25)*Premissas!$B$8,BT23)</f>
        <v>0</v>
      </c>
      <c r="BU26" s="139">
        <f>MIN((BU24-BU25)*Premissas!$B$8,BU23)</f>
        <v>0</v>
      </c>
      <c r="BV26" s="139">
        <f>MIN((BV24-BV25)*Premissas!$B$8,BV23)</f>
        <v>0</v>
      </c>
      <c r="BW26" s="139">
        <f>MIN((BW24-BW25)*Premissas!$B$8,BW23)</f>
        <v>2081.8642451498454</v>
      </c>
      <c r="BX26" s="139">
        <f>MIN((BX24-BX25)*Premissas!$B$8,BX23)</f>
        <v>0</v>
      </c>
      <c r="BY26" s="139">
        <f>MIN((BY24-BY25)*Premissas!$B$8,BY23)</f>
        <v>0</v>
      </c>
      <c r="BZ26" s="139">
        <f>MIN((BZ24-BZ25)*Premissas!$B$8,BZ23)</f>
        <v>0</v>
      </c>
      <c r="CA26" s="139">
        <f>MIN((CA24-CA25)*Premissas!$B$8,CA23)</f>
        <v>0</v>
      </c>
      <c r="CB26" s="139">
        <f>MIN((CB24-CB25)*Premissas!$B$8,CB23)</f>
        <v>3636</v>
      </c>
      <c r="CC26" s="139">
        <f>MIN((CC24-CC25)*Premissas!$B$8,CC23)</f>
        <v>5439</v>
      </c>
      <c r="CD26" s="139">
        <f>MIN((CD24-CD25)*Premissas!$B$8,CD23)</f>
        <v>5439</v>
      </c>
      <c r="CE26" s="139">
        <f>MIN((CE24-CE25)*Premissas!$B$8,CE23)</f>
        <v>0</v>
      </c>
      <c r="CF26" s="139">
        <f>MIN((CF24-CF25)*Premissas!$B$8,CF23)</f>
        <v>0</v>
      </c>
      <c r="CG26" s="139">
        <f>MIN((CG24-CG25)*Premissas!$B$8,CG23)</f>
        <v>0</v>
      </c>
      <c r="CH26" s="139">
        <f>MIN((CH24-CH25)*Premissas!$B$8,CH23)</f>
        <v>0</v>
      </c>
      <c r="CI26" s="139">
        <f>MIN((CI24-CI25)*Premissas!$B$8,CI23)</f>
        <v>981.49394865267948</v>
      </c>
      <c r="CJ26" s="139">
        <f>MIN((CJ24-CJ25)*Premissas!$B$8,CJ23)</f>
        <v>0</v>
      </c>
      <c r="CK26" s="139">
        <f>MIN((CK24-CK25)*Premissas!$B$8,CK23)</f>
        <v>0</v>
      </c>
      <c r="CL26" s="139">
        <f>MIN((CL24-CL25)*Premissas!$B$8,CL23)</f>
        <v>0</v>
      </c>
      <c r="CM26" s="139">
        <f>MIN((CM24-CM25)*Premissas!$B$8,CM23)</f>
        <v>0</v>
      </c>
      <c r="CN26" s="139">
        <f>MIN((CN24-CN25)*Premissas!$B$8,CN23)</f>
        <v>3727</v>
      </c>
      <c r="CO26" s="139">
        <f>MIN((CO24-CO25)*Premissas!$B$8,CO23)</f>
        <v>5575</v>
      </c>
      <c r="CP26" s="139">
        <f>MIN((CP24-CP25)*Premissas!$B$8,CP23)</f>
        <v>5575</v>
      </c>
      <c r="CQ26" s="139">
        <f>MIN((CQ24-CQ25)*Premissas!$B$8,CQ23)</f>
        <v>0</v>
      </c>
      <c r="CR26" s="139">
        <f>MIN((CR24-CR25)*Premissas!$B$8,CR23)</f>
        <v>0</v>
      </c>
      <c r="CS26" s="139">
        <f>MIN((CS24-CS25)*Premissas!$B$8,CS23)</f>
        <v>0</v>
      </c>
      <c r="CT26" s="139">
        <f>MIN((CT24-CT25)*Premissas!$B$8,CT23)</f>
        <v>0</v>
      </c>
      <c r="CU26" s="139">
        <f>MIN((CU24-CU25)*Premissas!$B$8,CU23)</f>
        <v>0</v>
      </c>
      <c r="CV26" s="139">
        <f>MIN((CV24-CV25)*Premissas!$B$8,CV23)</f>
        <v>0</v>
      </c>
      <c r="CW26" s="139">
        <f>MIN((CW24-CW25)*Premissas!$B$8,CW23)</f>
        <v>0</v>
      </c>
      <c r="CX26" s="139">
        <f>MIN((CX24-CX25)*Premissas!$B$8,CX23)</f>
        <v>0</v>
      </c>
      <c r="CY26" s="139">
        <f>MIN((CY24-CY25)*Premissas!$B$8,CY23)</f>
        <v>0</v>
      </c>
      <c r="CZ26" s="139">
        <f>MIN((CZ24-CZ25)*Premissas!$B$8,CZ23)</f>
        <v>3820</v>
      </c>
      <c r="DA26" s="139">
        <f>MIN((DA24-DA25)*Premissas!$B$8,DA23)</f>
        <v>5714</v>
      </c>
      <c r="DB26" s="139">
        <f>MIN((DB24-DB25)*Premissas!$B$8,DB23)</f>
        <v>5714</v>
      </c>
      <c r="DC26" s="139">
        <f>MIN((DC24-DC25)*Premissas!$B$8,DC23)</f>
        <v>0</v>
      </c>
      <c r="DD26" s="139">
        <f>MIN((DD24-DD25)*Premissas!$B$8,DD23)</f>
        <v>0</v>
      </c>
      <c r="DE26" s="139">
        <f>MIN((DE24-DE25)*Premissas!$B$8,DE23)</f>
        <v>0</v>
      </c>
      <c r="DF26" s="139">
        <f>MIN((DF24-DF25)*Premissas!$B$8,DF23)</f>
        <v>0</v>
      </c>
      <c r="DG26" s="139">
        <f>MIN((DG24-DG25)*Premissas!$B$8,DG23)</f>
        <v>0</v>
      </c>
      <c r="DH26" s="139">
        <f>MIN((DH24-DH25)*Premissas!$B$8,DH23)</f>
        <v>0</v>
      </c>
      <c r="DI26" s="139">
        <f>MIN((DI24-DI25)*Premissas!$B$8,DI23)</f>
        <v>0</v>
      </c>
      <c r="DJ26" s="139">
        <f>MIN((DJ24-DJ25)*Premissas!$B$8,DJ23)</f>
        <v>0</v>
      </c>
      <c r="DK26" s="139">
        <f>MIN((DK24-DK25)*Premissas!$B$8,DK23)</f>
        <v>0</v>
      </c>
      <c r="DL26" s="139">
        <f>MIN((DL24-DL25)*Premissas!$B$8,DL23)</f>
        <v>3915</v>
      </c>
      <c r="DM26" s="139">
        <f>MIN((DM24-DM25)*Premissas!$B$8,DM23)</f>
        <v>5857</v>
      </c>
      <c r="DN26" s="139">
        <f>MIN((DN24-DN25)*Premissas!$B$8,DN23)</f>
        <v>5857</v>
      </c>
      <c r="DO26" s="139">
        <f>MIN((DO24-DO25)*Premissas!$B$8,DO23)</f>
        <v>0</v>
      </c>
      <c r="DP26" s="139">
        <f>MIN((DP24-DP25)*Premissas!$B$8,DP23)</f>
        <v>0</v>
      </c>
      <c r="DQ26" s="139">
        <f>MIN((DQ24-DQ25)*Premissas!$B$8,DQ23)</f>
        <v>0</v>
      </c>
      <c r="DR26" s="139">
        <f>MIN((DR24-DR25)*Premissas!$B$8,DR23)</f>
        <v>0</v>
      </c>
      <c r="DS26" s="139">
        <f>MIN((DS24-DS25)*Premissas!$B$8,DS23)</f>
        <v>0</v>
      </c>
    </row>
    <row r="27" spans="1:123" ht="12.75" customHeight="1" x14ac:dyDescent="0.35">
      <c r="A27" s="142" t="str">
        <f>"  "&amp;INDEX(PVSYST_Helexia!$A$5:$A$7,MATCH(Premissas!$B$13,PVSYST_Helexia!$B$5:$B$7,0))&amp;" créditos recebidos (kWh)"</f>
        <v xml:space="preserve">  HCS03 créditos recebidos (kWh)</v>
      </c>
      <c r="B27" s="155">
        <f t="shared" si="14"/>
        <v>4204514.8673976287</v>
      </c>
      <c r="C27" s="139">
        <f t="shared" si="15"/>
        <v>70075.247789960486</v>
      </c>
      <c r="D27" s="156">
        <f>D6*Premissas!$B$33</f>
        <v>91504.62</v>
      </c>
      <c r="E27" s="156">
        <f>E6*Premissas!$B$33</f>
        <v>96316.37999999999</v>
      </c>
      <c r="F27" s="156">
        <f>F6*Premissas!$B$33</f>
        <v>115622.45999999999</v>
      </c>
      <c r="G27" s="156">
        <f>G6*Premissas!$B$33</f>
        <v>108493.38</v>
      </c>
      <c r="H27" s="156">
        <f>H6*Premissas!$C$33</f>
        <v>78229.224000000002</v>
      </c>
      <c r="I27" s="156">
        <f>I6*Premissas!$C$33</f>
        <v>75640.224000000002</v>
      </c>
      <c r="J27" s="156">
        <f>J6*Premissas!$C$33</f>
        <v>71824.038</v>
      </c>
      <c r="K27" s="156">
        <f>K6*Premissas!$C$33</f>
        <v>73747.302540000004</v>
      </c>
      <c r="L27" s="156">
        <f>L6*Premissas!$C$33</f>
        <v>65715.163050000003</v>
      </c>
      <c r="M27" s="156">
        <f>M6*Premissas!$C$33</f>
        <v>75375.369300000006</v>
      </c>
      <c r="N27" s="156">
        <f>N6*Premissas!$D$33</f>
        <v>97520.917140000005</v>
      </c>
      <c r="O27" s="156">
        <f>O6*Premissas!$D$33</f>
        <v>91268.03465999999</v>
      </c>
      <c r="P27" s="156">
        <f>P6*Premissas!$D$33</f>
        <v>82830.651570000002</v>
      </c>
      <c r="Q27" s="156">
        <f>Q6*Premissas!$D$33</f>
        <v>87186.291929999992</v>
      </c>
      <c r="R27" s="156">
        <f>R6*Premissas!$D$33</f>
        <v>104662.29681</v>
      </c>
      <c r="S27" s="156">
        <f>S6*Premissas!$D$33</f>
        <v>98209.001430000004</v>
      </c>
      <c r="T27" s="156">
        <f>T6*Premissas!$E$33</f>
        <v>38964.136319999998</v>
      </c>
      <c r="U27" s="156">
        <f>U6*Premissas!$E$33</f>
        <v>37674.616320000001</v>
      </c>
      <c r="V27" s="156">
        <f>V6*Premissas!$E$33</f>
        <v>35773.863839999998</v>
      </c>
      <c r="W27" s="156">
        <f>W6*Premissas!$E$33</f>
        <v>36916.378559999997</v>
      </c>
      <c r="X27" s="156">
        <f>X6*Premissas!$E$33</f>
        <v>32895.655200000001</v>
      </c>
      <c r="Y27" s="156">
        <f>Y6*Premissas!$E$33</f>
        <v>37731.355199999998</v>
      </c>
      <c r="Z27" s="156">
        <f>Z6*Premissas!$E$33</f>
        <v>37648.825920000003</v>
      </c>
      <c r="AA27" s="156">
        <f>AA6*Premissas!$E$33</f>
        <v>35234.84448</v>
      </c>
      <c r="AB27" s="156">
        <f>AB6*Premissas!$F$33</f>
        <v>58197.292001475005</v>
      </c>
      <c r="AC27" s="156">
        <f>AC6*Premissas!$F$33</f>
        <v>61257.589959774996</v>
      </c>
      <c r="AD27" s="156">
        <f>AD6*Premissas!$F$33</f>
        <v>73536.33146117501</v>
      </c>
      <c r="AE27" s="156">
        <f>AE6*Premissas!$F$33</f>
        <v>69002.209026024997</v>
      </c>
      <c r="AF27" s="156">
        <f>AF6*Premissas!$F$33</f>
        <v>70912.548395700011</v>
      </c>
      <c r="AG27" s="156">
        <f>AG6*Premissas!$F$33</f>
        <v>68565.694133200013</v>
      </c>
      <c r="AH27" s="156">
        <f>AH6*Premissas!$G$33</f>
        <v>64172.611649575003</v>
      </c>
      <c r="AI27" s="156">
        <f>AI6*Premissas!$G$33</f>
        <v>66222.101013050007</v>
      </c>
      <c r="AJ27" s="156">
        <f>AJ6*Premissas!$G$33</f>
        <v>59009.563952874996</v>
      </c>
      <c r="AK27" s="156">
        <f>AK6*Premissas!$G$33</f>
        <v>67684.03924975</v>
      </c>
      <c r="AL27" s="156">
        <f>AL6*Premissas!$G$33</f>
        <v>67535.994871350005</v>
      </c>
      <c r="AM27" s="156">
        <f>AM6*Premissas!$G$33</f>
        <v>63205.696803150007</v>
      </c>
      <c r="AN27" s="156">
        <f>AN6*Premissas!$H$33</f>
        <v>57698.668504090499</v>
      </c>
      <c r="AO27" s="156">
        <f>AO6*Premissas!$H$33</f>
        <v>60732.74640268449</v>
      </c>
      <c r="AP27" s="156">
        <f>AP6*Premissas!$H$33</f>
        <v>72906.285946736505</v>
      </c>
      <c r="AQ27" s="156">
        <f>AQ6*Premissas!$H$33</f>
        <v>68411.011023359504</v>
      </c>
      <c r="AR27" s="156">
        <f>AR6*Premissas!$H$33</f>
        <v>70304.982963125993</v>
      </c>
      <c r="AS27" s="156">
        <f>AS6*Premissas!$H$33</f>
        <v>67978.236108376004</v>
      </c>
      <c r="AT27" s="156">
        <f>AT6*Premissas!$I$33</f>
        <v>63619.461040278002</v>
      </c>
      <c r="AU27" s="156">
        <f>AU6*Premissas!$I$33</f>
        <v>65651.284358051998</v>
      </c>
      <c r="AV27" s="156">
        <f>AV6*Premissas!$I$33</f>
        <v>58500.917422590006</v>
      </c>
      <c r="AW27" s="156">
        <f>AW6*Premissas!$I$33</f>
        <v>67100.62108134001</v>
      </c>
      <c r="AX27" s="156">
        <f>AX6*Premissas!$I$33</f>
        <v>66953.852805564005</v>
      </c>
      <c r="AY27" s="156">
        <f>AY6*Premissas!$I$33</f>
        <v>62660.880739116001</v>
      </c>
      <c r="AZ27" s="156">
        <f>AZ6*Premissas!$J$33</f>
        <v>70802.641932960862</v>
      </c>
      <c r="BA27" s="156">
        <f>BA6*Premissas!$J$33</f>
        <v>74525.790778858951</v>
      </c>
      <c r="BB27" s="156">
        <f>BB6*Premissas!$J$33</f>
        <v>89464.068970376466</v>
      </c>
      <c r="BC27" s="156">
        <f>BC6*Premissas!$J$33</f>
        <v>83947.869913417031</v>
      </c>
      <c r="BD27" s="156">
        <f>BD6*Premissas!$J$33</f>
        <v>86271.982766608009</v>
      </c>
      <c r="BE27" s="156">
        <f>BE6*Premissas!$J$33</f>
        <v>83416.807271287384</v>
      </c>
      <c r="BF27" s="156">
        <f>BF6*Premissas!$K$33</f>
        <v>62825.51585476569</v>
      </c>
      <c r="BG27" s="156">
        <f>BG6*Premissas!$K$33</f>
        <v>64831.982837943622</v>
      </c>
      <c r="BH27" s="156">
        <f>BH6*Premissas!$K$33</f>
        <v>57770.84959466054</v>
      </c>
      <c r="BI27" s="156">
        <f>BI6*Premissas!$K$33</f>
        <v>66263.232424138274</v>
      </c>
      <c r="BJ27" s="156">
        <f>BJ6*Premissas!$K$33</f>
        <v>66118.295757181855</v>
      </c>
      <c r="BK27" s="156">
        <f>BK6*Premissas!$K$33</f>
        <v>61878.898248706573</v>
      </c>
      <c r="BL27" s="156">
        <f>BL6*Premissas!$L$33</f>
        <v>8348.4261116931029</v>
      </c>
      <c r="BM27" s="156">
        <f>BM6*Premissas!$L$33</f>
        <v>8787.4271460365107</v>
      </c>
      <c r="BN27" s="156">
        <f>BN6*Premissas!$L$33</f>
        <v>10548.817799168954</v>
      </c>
      <c r="BO27" s="156">
        <f>BO6*Premissas!$L$33</f>
        <v>9898.3960212920647</v>
      </c>
      <c r="BP27" s="156">
        <f>BP6*Premissas!$L$33</f>
        <v>10172.435010521767</v>
      </c>
      <c r="BQ27" s="156">
        <f>BQ6*Premissas!$L$33</f>
        <v>9835.7777755958432</v>
      </c>
      <c r="BR27" s="156">
        <f>BR6*Premissas!$M$33</f>
        <v>9584.8220588192653</v>
      </c>
      <c r="BS27" s="156">
        <f>BS6*Premissas!$M$33</f>
        <v>9890.9338151495194</v>
      </c>
      <c r="BT27" s="156">
        <f>BT6*Premissas!$M$33</f>
        <v>8813.669191856372</v>
      </c>
      <c r="BU27" s="156">
        <f>BU6*Premissas!$M$33</f>
        <v>10109.288928017148</v>
      </c>
      <c r="BV27" s="156">
        <f>BV6*Premissas!$M$33</f>
        <v>10087.177017853339</v>
      </c>
      <c r="BW27" s="156">
        <f>BW6*Premissas!$M$33</f>
        <v>9440.4036455618789</v>
      </c>
      <c r="BX27" s="156">
        <f>BX6*Premissas!$N$33</f>
        <v>8360.9046061972604</v>
      </c>
      <c r="BY27" s="156">
        <f>BY6*Premissas!$N$33</f>
        <v>8800.5618207500938</v>
      </c>
      <c r="BZ27" s="156">
        <f>BZ6*Premissas!$N$33</f>
        <v>10564.585246011167</v>
      </c>
      <c r="CA27" s="156">
        <f>CA6*Premissas!$N$33</f>
        <v>9913.1912747565057</v>
      </c>
      <c r="CB27" s="156">
        <f>CB6*Premissas!$N$33</f>
        <v>10187.639873411421</v>
      </c>
      <c r="CC27" s="156">
        <f>CC6*Premissas!$N$33</f>
        <v>9850.4794328034168</v>
      </c>
      <c r="CD27" s="156">
        <f>CD6*Premissas!$O$33</f>
        <v>9597.9109505927772</v>
      </c>
      <c r="CE27" s="156">
        <f>CE6*Premissas!$O$33</f>
        <v>9904.4407286269925</v>
      </c>
      <c r="CF27" s="156">
        <f>CF6*Premissas!$O$33</f>
        <v>8825.7050086375075</v>
      </c>
      <c r="CG27" s="156">
        <f>CG6*Premissas!$O$33</f>
        <v>10123.094024019345</v>
      </c>
      <c r="CH27" s="156">
        <f>CH6*Premissas!$O$33</f>
        <v>10100.951918156828</v>
      </c>
      <c r="CI27" s="156">
        <f>CI6*Premissas!$O$33</f>
        <v>9453.2953216782153</v>
      </c>
      <c r="CJ27" s="156">
        <f>CJ6*Premissas!$P$33</f>
        <v>8373.1334055370789</v>
      </c>
      <c r="CK27" s="156">
        <f>CK6*Premissas!$P$33</f>
        <v>8813.4336701076209</v>
      </c>
      <c r="CL27" s="156">
        <f>CL6*Premissas!$P$33</f>
        <v>10580.037185623791</v>
      </c>
      <c r="CM27" s="156">
        <f>CM6*Premissas!$P$33</f>
        <v>9927.6904746189666</v>
      </c>
      <c r="CN27" s="156">
        <f>CN6*Premissas!$P$33</f>
        <v>10202.540486398433</v>
      </c>
      <c r="CO27" s="156">
        <f>CO6*Premissas!$P$33</f>
        <v>9864.8869092737823</v>
      </c>
      <c r="CP27" s="156">
        <f>CP6*Premissas!$Q$33</f>
        <v>9610.7096893184316</v>
      </c>
      <c r="CQ27" s="156">
        <f>CQ6*Premissas!$Q$33</f>
        <v>9917.6482223995408</v>
      </c>
      <c r="CR27" s="156">
        <f>CR6*Premissas!$Q$33</f>
        <v>8837.4740168161352</v>
      </c>
      <c r="CS27" s="156">
        <f>CS6*Premissas!$Q$33</f>
        <v>10136.593090240693</v>
      </c>
      <c r="CT27" s="156">
        <f>CT6*Premissas!$Q$33</f>
        <v>10114.421458054248</v>
      </c>
      <c r="CU27" s="156">
        <f>CU6*Premissas!$Q$33</f>
        <v>9465.9012166007069</v>
      </c>
      <c r="CV27" s="156">
        <f>CV6*Premissas!$R$33</f>
        <v>8385.1047463932391</v>
      </c>
      <c r="CW27" s="156">
        <f>CW6*Premissas!$R$33</f>
        <v>8826.034522556507</v>
      </c>
      <c r="CX27" s="156">
        <f>CX6*Premissas!$R$33</f>
        <v>10595.163808512209</v>
      </c>
      <c r="CY27" s="156">
        <f>CY6*Premissas!$R$33</f>
        <v>9941.8844162212281</v>
      </c>
      <c r="CZ27" s="156">
        <f>CZ6*Premissas!$R$33</f>
        <v>10217.127389991858</v>
      </c>
      <c r="DA27" s="156">
        <f>DA6*Premissas!$R$33</f>
        <v>9878.9910585783073</v>
      </c>
      <c r="DB27" s="156">
        <f>DB6*Premissas!$S$33</f>
        <v>43975.051584535126</v>
      </c>
      <c r="DC27" s="156">
        <f>DC6*Premissas!$S$33</f>
        <v>45379.488744938055</v>
      </c>
      <c r="DD27" s="156">
        <f>DD6*Premissas!$S$33</f>
        <v>40437.011243655506</v>
      </c>
      <c r="DE27" s="156">
        <f>DE6*Premissas!$S$33</f>
        <v>46381.299450778526</v>
      </c>
      <c r="DF27" s="156">
        <f>DF6*Premissas!$S$33</f>
        <v>46279.850265376961</v>
      </c>
      <c r="DG27" s="156">
        <f>DG6*Premissas!$S$33</f>
        <v>43312.461592381151</v>
      </c>
      <c r="DH27" s="156">
        <f>DH6*Premissas!$T$33</f>
        <v>39111.847110782765</v>
      </c>
      <c r="DI27" s="156">
        <f>DI6*Premissas!$T$33</f>
        <v>41168.539127576885</v>
      </c>
      <c r="DJ27" s="156">
        <f>DJ6*Premissas!$T$33</f>
        <v>49420.542679622034</v>
      </c>
      <c r="DK27" s="156">
        <f>DK6*Premissas!$T$33</f>
        <v>46373.357881733806</v>
      </c>
      <c r="DL27" s="156">
        <f>DL6*Premissas!$T$33</f>
        <v>47657.213174425844</v>
      </c>
      <c r="DM27" s="156">
        <f>DM6*Premissas!$T$33</f>
        <v>46079.995370135868</v>
      </c>
      <c r="DN27" s="156">
        <f>DN6*Premissas!$U$33</f>
        <v>43755.176326612447</v>
      </c>
      <c r="DO27" s="156">
        <f>DO6*Premissas!$U$33</f>
        <v>45152.591301213368</v>
      </c>
      <c r="DP27" s="156">
        <f>DP6*Premissas!$U$33</f>
        <v>40234.826187437226</v>
      </c>
      <c r="DQ27" s="156">
        <f>DQ6*Premissas!$U$33</f>
        <v>46149.392953524628</v>
      </c>
      <c r="DR27" s="156">
        <f>DR6*Premissas!$U$33</f>
        <v>46048.451014050064</v>
      </c>
      <c r="DS27" s="156">
        <f>DS6*Premissas!$U$33</f>
        <v>43095.89928441924</v>
      </c>
    </row>
    <row r="28" spans="1:123" ht="12.75" customHeight="1" x14ac:dyDescent="0.35">
      <c r="A28" s="149" t="s">
        <v>491</v>
      </c>
      <c r="B28" s="150">
        <f t="shared" si="14"/>
        <v>1292164.4673552972</v>
      </c>
      <c r="C28" s="139">
        <f t="shared" si="15"/>
        <v>21536.074455921618</v>
      </c>
      <c r="D28" s="150">
        <f t="shared" ref="D28:AI28" si="20">D19</f>
        <v>0</v>
      </c>
      <c r="E28" s="150">
        <f t="shared" si="20"/>
        <v>0</v>
      </c>
      <c r="F28" s="150">
        <f t="shared" si="20"/>
        <v>0</v>
      </c>
      <c r="G28" s="150">
        <f t="shared" si="20"/>
        <v>32711.293107221009</v>
      </c>
      <c r="H28" s="150">
        <f t="shared" si="20"/>
        <v>40823.761528761643</v>
      </c>
      <c r="I28" s="150">
        <f t="shared" si="20"/>
        <v>41560.461528761633</v>
      </c>
      <c r="J28" s="150">
        <f t="shared" si="20"/>
        <v>47597.361528761627</v>
      </c>
      <c r="K28" s="150">
        <f t="shared" si="20"/>
        <v>51288.174381559918</v>
      </c>
      <c r="L28" s="150">
        <f t="shared" si="20"/>
        <v>0</v>
      </c>
      <c r="M28" s="150">
        <f t="shared" si="20"/>
        <v>0</v>
      </c>
      <c r="N28" s="150">
        <f t="shared" si="20"/>
        <v>16385.833543216624</v>
      </c>
      <c r="O28" s="150">
        <f t="shared" si="20"/>
        <v>15046.461371036234</v>
      </c>
      <c r="P28" s="150">
        <f t="shared" si="20"/>
        <v>0</v>
      </c>
      <c r="Q28" s="150">
        <f t="shared" si="20"/>
        <v>0</v>
      </c>
      <c r="R28" s="150">
        <f t="shared" si="20"/>
        <v>0</v>
      </c>
      <c r="S28" s="150">
        <f t="shared" si="20"/>
        <v>32132.802190028931</v>
      </c>
      <c r="T28" s="150">
        <f t="shared" si="20"/>
        <v>40427.854566980684</v>
      </c>
      <c r="U28" s="150">
        <f t="shared" si="20"/>
        <v>41160.871066980675</v>
      </c>
      <c r="V28" s="150">
        <f t="shared" si="20"/>
        <v>47167.586566980666</v>
      </c>
      <c r="W28" s="150">
        <f t="shared" si="20"/>
        <v>50971.717593025634</v>
      </c>
      <c r="X28" s="150">
        <f t="shared" si="20"/>
        <v>0</v>
      </c>
      <c r="Y28" s="150">
        <f t="shared" si="20"/>
        <v>0</v>
      </c>
      <c r="Z28" s="150">
        <f t="shared" si="20"/>
        <v>16129.467066966627</v>
      </c>
      <c r="AA28" s="150">
        <f t="shared" si="20"/>
        <v>14863.10849228623</v>
      </c>
      <c r="AB28" s="150">
        <f t="shared" si="20"/>
        <v>0</v>
      </c>
      <c r="AC28" s="150">
        <f t="shared" si="20"/>
        <v>0</v>
      </c>
      <c r="AD28" s="150">
        <f t="shared" si="20"/>
        <v>0</v>
      </c>
      <c r="AE28" s="150">
        <f t="shared" si="20"/>
        <v>31547.14735786082</v>
      </c>
      <c r="AF28" s="150">
        <f t="shared" si="20"/>
        <v>40028.800573973691</v>
      </c>
      <c r="AG28" s="150">
        <f t="shared" si="20"/>
        <v>40758.151991473685</v>
      </c>
      <c r="AH28" s="150">
        <f t="shared" si="20"/>
        <v>46734.833913973671</v>
      </c>
      <c r="AI28" s="150">
        <f t="shared" si="20"/>
        <v>50654.765904515312</v>
      </c>
      <c r="AJ28" s="150">
        <f t="shared" ref="AJ28:BO28" si="21">AJ19</f>
        <v>0</v>
      </c>
      <c r="AK28" s="150">
        <f t="shared" si="21"/>
        <v>0</v>
      </c>
      <c r="AL28" s="150">
        <f t="shared" si="21"/>
        <v>14107.669446055261</v>
      </c>
      <c r="AM28" s="150">
        <f t="shared" si="21"/>
        <v>13586.545389093428</v>
      </c>
      <c r="AN28" s="150">
        <f t="shared" si="21"/>
        <v>0</v>
      </c>
      <c r="AO28" s="150">
        <f t="shared" si="21"/>
        <v>0</v>
      </c>
      <c r="AP28" s="150">
        <f t="shared" si="21"/>
        <v>0</v>
      </c>
      <c r="AQ28" s="150">
        <f t="shared" si="21"/>
        <v>30953.167895595867</v>
      </c>
      <c r="AR28" s="150">
        <f t="shared" si="21"/>
        <v>39627.921096379199</v>
      </c>
      <c r="AS28" s="150">
        <f t="shared" si="21"/>
        <v>40353.625756791691</v>
      </c>
      <c r="AT28" s="150">
        <f t="shared" si="21"/>
        <v>46300.424269679177</v>
      </c>
      <c r="AU28" s="150">
        <f t="shared" si="21"/>
        <v>50337.640102011246</v>
      </c>
      <c r="AV28" s="150">
        <f t="shared" si="21"/>
        <v>0</v>
      </c>
      <c r="AW28" s="150">
        <f t="shared" si="21"/>
        <v>0</v>
      </c>
      <c r="AX28" s="150">
        <f t="shared" si="21"/>
        <v>12937.539044528359</v>
      </c>
      <c r="AY28" s="150">
        <f t="shared" si="21"/>
        <v>12836.484441623539</v>
      </c>
      <c r="AZ28" s="150">
        <f t="shared" si="21"/>
        <v>0</v>
      </c>
      <c r="BA28" s="150">
        <f t="shared" si="21"/>
        <v>0</v>
      </c>
      <c r="BB28" s="150">
        <f t="shared" si="21"/>
        <v>0</v>
      </c>
      <c r="BC28" s="150">
        <f t="shared" si="21"/>
        <v>30352.340360831753</v>
      </c>
      <c r="BD28" s="150">
        <f t="shared" si="21"/>
        <v>39222.555364168082</v>
      </c>
      <c r="BE28" s="150">
        <f t="shared" si="21"/>
        <v>39944.631501278513</v>
      </c>
      <c r="BF28" s="150">
        <f t="shared" si="21"/>
        <v>45861.696021601558</v>
      </c>
      <c r="BG28" s="150">
        <f t="shared" si="21"/>
        <v>50021.333556083395</v>
      </c>
      <c r="BH28" s="150">
        <f t="shared" si="21"/>
        <v>0</v>
      </c>
      <c r="BI28" s="150">
        <f t="shared" si="21"/>
        <v>0</v>
      </c>
      <c r="BJ28" s="150">
        <f t="shared" si="21"/>
        <v>11746.367894200575</v>
      </c>
      <c r="BK28" s="150">
        <f t="shared" si="21"/>
        <v>12074.176216370506</v>
      </c>
      <c r="BL28" s="150">
        <f t="shared" si="21"/>
        <v>0</v>
      </c>
      <c r="BM28" s="150">
        <f t="shared" si="21"/>
        <v>0</v>
      </c>
      <c r="BN28" s="150">
        <f t="shared" si="21"/>
        <v>0</v>
      </c>
      <c r="BO28" s="150">
        <f t="shared" si="21"/>
        <v>29027.270549276887</v>
      </c>
      <c r="BP28" s="150">
        <f t="shared" ref="BP28:CU28" si="22">BP19</f>
        <v>37441.312087681363</v>
      </c>
      <c r="BQ28" s="150">
        <f t="shared" si="22"/>
        <v>37441.312087681363</v>
      </c>
      <c r="BR28" s="150">
        <f t="shared" si="22"/>
        <v>37441.312087681363</v>
      </c>
      <c r="BS28" s="150">
        <f t="shared" si="22"/>
        <v>42395.839402891099</v>
      </c>
      <c r="BT28" s="150">
        <f t="shared" si="22"/>
        <v>0</v>
      </c>
      <c r="BU28" s="150">
        <f t="shared" si="22"/>
        <v>0</v>
      </c>
      <c r="BV28" s="150">
        <f t="shared" si="22"/>
        <v>5202.092397735888</v>
      </c>
      <c r="BW28" s="150">
        <f t="shared" si="22"/>
        <v>20209.342907693976</v>
      </c>
      <c r="BX28" s="150">
        <f t="shared" si="22"/>
        <v>0</v>
      </c>
      <c r="BY28" s="150">
        <f t="shared" si="22"/>
        <v>0</v>
      </c>
      <c r="BZ28" s="150">
        <f t="shared" si="22"/>
        <v>0</v>
      </c>
      <c r="CA28" s="150">
        <f t="shared" si="22"/>
        <v>28635.539343550521</v>
      </c>
      <c r="CB28" s="150">
        <f t="shared" si="22"/>
        <v>37260.178830996279</v>
      </c>
      <c r="CC28" s="150">
        <f t="shared" si="22"/>
        <v>37260.178830996279</v>
      </c>
      <c r="CD28" s="150">
        <f t="shared" si="22"/>
        <v>37260.178830996279</v>
      </c>
      <c r="CE28" s="150">
        <f t="shared" si="22"/>
        <v>42339.564915630777</v>
      </c>
      <c r="CF28" s="150">
        <f t="shared" si="22"/>
        <v>0</v>
      </c>
      <c r="CG28" s="150">
        <f t="shared" si="22"/>
        <v>0</v>
      </c>
      <c r="CH28" s="150">
        <f t="shared" si="22"/>
        <v>4215.5143834199735</v>
      </c>
      <c r="CI28" s="150">
        <f t="shared" si="22"/>
        <v>19597.186304200299</v>
      </c>
      <c r="CJ28" s="150">
        <f t="shared" si="22"/>
        <v>0</v>
      </c>
      <c r="CK28" s="150">
        <f t="shared" si="22"/>
        <v>0</v>
      </c>
      <c r="CL28" s="150">
        <f t="shared" si="22"/>
        <v>0</v>
      </c>
      <c r="CM28" s="150">
        <f t="shared" si="22"/>
        <v>28234.980689098124</v>
      </c>
      <c r="CN28" s="150">
        <f t="shared" si="22"/>
        <v>37075.545574311189</v>
      </c>
      <c r="CO28" s="150">
        <f t="shared" si="22"/>
        <v>37075.545574311189</v>
      </c>
      <c r="CP28" s="150">
        <f t="shared" si="22"/>
        <v>37075.545574311189</v>
      </c>
      <c r="CQ28" s="150">
        <f t="shared" si="22"/>
        <v>42280.962979644428</v>
      </c>
      <c r="CR28" s="150">
        <f t="shared" si="22"/>
        <v>0</v>
      </c>
      <c r="CS28" s="150">
        <f t="shared" si="22"/>
        <v>0</v>
      </c>
      <c r="CT28" s="150">
        <f t="shared" si="22"/>
        <v>3203.7991254738999</v>
      </c>
      <c r="CU28" s="150">
        <f t="shared" si="22"/>
        <v>18970.047354528528</v>
      </c>
      <c r="CV28" s="150">
        <f t="shared" ref="CV28:DS28" si="23">CV19</f>
        <v>0</v>
      </c>
      <c r="CW28" s="150">
        <f t="shared" si="23"/>
        <v>0</v>
      </c>
      <c r="CX28" s="150">
        <f t="shared" si="23"/>
        <v>0</v>
      </c>
      <c r="CY28" s="150">
        <f t="shared" si="23"/>
        <v>27823.767137193659</v>
      </c>
      <c r="CZ28" s="150">
        <f t="shared" si="23"/>
        <v>36885.257420174043</v>
      </c>
      <c r="DA28" s="150">
        <f t="shared" si="23"/>
        <v>36885.257420174043</v>
      </c>
      <c r="DB28" s="150">
        <f t="shared" si="23"/>
        <v>36885.257420174043</v>
      </c>
      <c r="DC28" s="150">
        <f t="shared" si="23"/>
        <v>42220.533594932043</v>
      </c>
      <c r="DD28" s="150">
        <f t="shared" si="23"/>
        <v>0</v>
      </c>
      <c r="DE28" s="150">
        <f t="shared" si="23"/>
        <v>0</v>
      </c>
      <c r="DF28" s="150">
        <f t="shared" si="23"/>
        <v>2167.774072623698</v>
      </c>
      <c r="DG28" s="150">
        <f t="shared" si="23"/>
        <v>18328.25350740469</v>
      </c>
      <c r="DH28" s="150">
        <f t="shared" si="23"/>
        <v>0</v>
      </c>
      <c r="DI28" s="150">
        <f t="shared" si="23"/>
        <v>0</v>
      </c>
      <c r="DJ28" s="150">
        <f t="shared" si="23"/>
        <v>0</v>
      </c>
      <c r="DK28" s="150">
        <f t="shared" si="23"/>
        <v>27402.898687837136</v>
      </c>
      <c r="DL28" s="150">
        <f t="shared" si="23"/>
        <v>36690.141817310854</v>
      </c>
      <c r="DM28" s="150">
        <f t="shared" si="23"/>
        <v>36690.141817310854</v>
      </c>
      <c r="DN28" s="150">
        <f t="shared" si="23"/>
        <v>36690.141817310854</v>
      </c>
      <c r="DO28" s="150">
        <f t="shared" si="23"/>
        <v>42159.431658945687</v>
      </c>
      <c r="DP28" s="150">
        <f t="shared" si="23"/>
        <v>0</v>
      </c>
      <c r="DQ28" s="150">
        <f t="shared" si="23"/>
        <v>0</v>
      </c>
      <c r="DR28" s="150">
        <f t="shared" si="23"/>
        <v>1104.7843274173038</v>
      </c>
      <c r="DS28" s="150">
        <f t="shared" si="23"/>
        <v>17669.149865376727</v>
      </c>
    </row>
    <row r="29" spans="1:123" ht="12.75" customHeight="1" x14ac:dyDescent="0.35">
      <c r="A29" s="146" t="s">
        <v>492</v>
      </c>
      <c r="B29" s="139">
        <f>AA29</f>
        <v>262411.49335981271</v>
      </c>
      <c r="C29" s="139" t="s">
        <v>169</v>
      </c>
      <c r="D29" s="139">
        <f>Premissas!$B$26</f>
        <v>148516</v>
      </c>
      <c r="E29" s="139">
        <f t="shared" ref="E29:AJ29" si="24">D31</f>
        <v>171720.0234714238</v>
      </c>
      <c r="F29" s="139">
        <f t="shared" si="24"/>
        <v>0</v>
      </c>
      <c r="G29" s="139">
        <f t="shared" si="24"/>
        <v>4460.0599999999831</v>
      </c>
      <c r="H29" s="139">
        <f t="shared" si="24"/>
        <v>92928.673107221024</v>
      </c>
      <c r="I29" s="139">
        <f t="shared" si="24"/>
        <v>256926.75863598264</v>
      </c>
      <c r="J29" s="139">
        <f t="shared" si="24"/>
        <v>422947.94416474429</v>
      </c>
      <c r="K29" s="139">
        <f t="shared" si="24"/>
        <v>588791.04369350593</v>
      </c>
      <c r="L29" s="139">
        <f t="shared" si="24"/>
        <v>721499.22815143038</v>
      </c>
      <c r="M29" s="139">
        <f t="shared" si="24"/>
        <v>567210.18062449165</v>
      </c>
      <c r="N29" s="139">
        <f t="shared" si="24"/>
        <v>329273.29992883099</v>
      </c>
      <c r="O29" s="139">
        <f t="shared" si="24"/>
        <v>380873.24893563928</v>
      </c>
      <c r="P29" s="139">
        <f t="shared" si="24"/>
        <v>500639.10746667557</v>
      </c>
      <c r="Q29" s="139">
        <f t="shared" si="24"/>
        <v>511650.48047757609</v>
      </c>
      <c r="R29" s="139">
        <f t="shared" si="24"/>
        <v>275847.44805835688</v>
      </c>
      <c r="S29" s="139">
        <f t="shared" si="24"/>
        <v>228180.24728596624</v>
      </c>
      <c r="T29" s="139">
        <f t="shared" si="24"/>
        <v>282854.23810901411</v>
      </c>
      <c r="U29" s="139">
        <f t="shared" si="24"/>
        <v>406120.52849599475</v>
      </c>
      <c r="V29" s="139">
        <f t="shared" si="24"/>
        <v>532266.36338297545</v>
      </c>
      <c r="W29" s="139">
        <f t="shared" si="24"/>
        <v>660131.35528995609</v>
      </c>
      <c r="X29" s="139">
        <f t="shared" si="24"/>
        <v>750896.74158882059</v>
      </c>
      <c r="Y29" s="139">
        <f t="shared" si="24"/>
        <v>563409.46732188179</v>
      </c>
      <c r="Z29" s="139">
        <f t="shared" si="24"/>
        <v>287381.52798122109</v>
      </c>
      <c r="AA29" s="139">
        <f t="shared" si="24"/>
        <v>262411.49335981271</v>
      </c>
      <c r="AB29" s="139">
        <f t="shared" si="24"/>
        <v>325571.62701959896</v>
      </c>
      <c r="AC29" s="139">
        <f t="shared" si="24"/>
        <v>308351.8836642867</v>
      </c>
      <c r="AD29" s="139">
        <f t="shared" si="24"/>
        <v>36260.668142258539</v>
      </c>
      <c r="AE29" s="139">
        <f t="shared" si="24"/>
        <v>0</v>
      </c>
      <c r="AF29" s="139">
        <f t="shared" si="24"/>
        <v>45090.281458885838</v>
      </c>
      <c r="AG29" s="139">
        <f t="shared" si="24"/>
        <v>198818.95843105955</v>
      </c>
      <c r="AH29" s="139">
        <f t="shared" si="24"/>
        <v>353918.27531823324</v>
      </c>
      <c r="AI29" s="139">
        <f t="shared" si="24"/>
        <v>508226.31967428187</v>
      </c>
      <c r="AJ29" s="139">
        <f t="shared" si="24"/>
        <v>623099.95638729469</v>
      </c>
      <c r="AK29" s="139">
        <f t="shared" ref="AK29:BP29" si="25">AJ31</f>
        <v>446377.6346575311</v>
      </c>
      <c r="AL29" s="139">
        <f t="shared" si="25"/>
        <v>179470.75121854711</v>
      </c>
      <c r="AM29" s="139">
        <f t="shared" si="25"/>
        <v>191870.70223479506</v>
      </c>
      <c r="AN29" s="139">
        <f t="shared" si="25"/>
        <v>275056.62474545097</v>
      </c>
      <c r="AO29" s="139">
        <f t="shared" si="25"/>
        <v>253658.10898542288</v>
      </c>
      <c r="AP29" s="139">
        <f t="shared" si="25"/>
        <v>0</v>
      </c>
      <c r="AQ29" s="139">
        <f t="shared" si="25"/>
        <v>0</v>
      </c>
      <c r="AR29" s="139">
        <f t="shared" si="25"/>
        <v>40195.989368580384</v>
      </c>
      <c r="AS29" s="139">
        <f t="shared" si="25"/>
        <v>191813.06979057309</v>
      </c>
      <c r="AT29" s="139">
        <f t="shared" si="25"/>
        <v>344360.79006442829</v>
      </c>
      <c r="AU29" s="139">
        <f t="shared" si="25"/>
        <v>496133.53617292299</v>
      </c>
      <c r="AV29" s="139">
        <f t="shared" si="25"/>
        <v>605134.22996149852</v>
      </c>
      <c r="AW29" s="139">
        <f t="shared" si="25"/>
        <v>419760.90028982313</v>
      </c>
      <c r="AX29" s="139">
        <f t="shared" si="25"/>
        <v>141249.70023686608</v>
      </c>
      <c r="AY29" s="139">
        <f t="shared" si="25"/>
        <v>148313.37919019588</v>
      </c>
      <c r="AZ29" s="139">
        <f t="shared" si="25"/>
        <v>225738.70452051924</v>
      </c>
      <c r="BA29" s="139">
        <f t="shared" si="25"/>
        <v>213682.92345745361</v>
      </c>
      <c r="BB29" s="139">
        <f t="shared" si="25"/>
        <v>0</v>
      </c>
      <c r="BC29" s="139">
        <f t="shared" si="25"/>
        <v>0</v>
      </c>
      <c r="BD29" s="139">
        <f t="shared" si="25"/>
        <v>51341.841671625669</v>
      </c>
      <c r="BE29" s="139">
        <f t="shared" si="25"/>
        <v>217400.2152830768</v>
      </c>
      <c r="BF29" s="139">
        <f t="shared" si="25"/>
        <v>383393.15317228681</v>
      </c>
      <c r="BG29" s="139">
        <f t="shared" si="25"/>
        <v>532360.68154319888</v>
      </c>
      <c r="BH29" s="139">
        <f t="shared" si="25"/>
        <v>635144.60312257824</v>
      </c>
      <c r="BI29" s="139">
        <f t="shared" si="25"/>
        <v>440704.2758656026</v>
      </c>
      <c r="BJ29" s="139">
        <f t="shared" si="25"/>
        <v>150072.62919995742</v>
      </c>
      <c r="BK29" s="139">
        <f t="shared" si="25"/>
        <v>150705.68191179674</v>
      </c>
      <c r="BL29" s="139">
        <f t="shared" si="25"/>
        <v>222034.57486760788</v>
      </c>
      <c r="BM29" s="139">
        <f t="shared" si="25"/>
        <v>161083.75402914081</v>
      </c>
      <c r="BN29" s="139">
        <f t="shared" si="25"/>
        <v>0</v>
      </c>
      <c r="BO29" s="139">
        <f t="shared" si="25"/>
        <v>0</v>
      </c>
      <c r="BP29" s="139">
        <f t="shared" si="25"/>
        <v>29027.270549276887</v>
      </c>
      <c r="BQ29" s="139">
        <f t="shared" ref="BQ29:CV29" si="26">BP31</f>
        <v>121009.2894823215</v>
      </c>
      <c r="BR29" s="139">
        <f t="shared" si="26"/>
        <v>196820.65118044018</v>
      </c>
      <c r="BS29" s="139">
        <f t="shared" si="26"/>
        <v>272381.05716178229</v>
      </c>
      <c r="BT29" s="139">
        <f t="shared" si="26"/>
        <v>265512.45859639323</v>
      </c>
      <c r="BU29" s="139">
        <f t="shared" si="26"/>
        <v>16007.000038475206</v>
      </c>
      <c r="BV29" s="139">
        <f t="shared" si="26"/>
        <v>0</v>
      </c>
      <c r="BW29" s="139">
        <f t="shared" si="26"/>
        <v>5202.092397735888</v>
      </c>
      <c r="BX29" s="139">
        <f t="shared" si="26"/>
        <v>33095.018388097349</v>
      </c>
      <c r="BY29" s="139">
        <f t="shared" si="26"/>
        <v>0</v>
      </c>
      <c r="BZ29" s="139">
        <f t="shared" si="26"/>
        <v>0</v>
      </c>
      <c r="CA29" s="139">
        <f t="shared" si="26"/>
        <v>0</v>
      </c>
      <c r="CB29" s="139">
        <f t="shared" si="26"/>
        <v>28635.539343550521</v>
      </c>
      <c r="CC29" s="139">
        <f t="shared" si="26"/>
        <v>119653.62988279971</v>
      </c>
      <c r="CD29" s="139">
        <f t="shared" si="26"/>
        <v>194035.13241808952</v>
      </c>
      <c r="CE29" s="139">
        <f t="shared" si="26"/>
        <v>267911.49798895803</v>
      </c>
      <c r="CF29" s="139">
        <f t="shared" si="26"/>
        <v>256588.59663145337</v>
      </c>
      <c r="CG29" s="139">
        <f t="shared" si="26"/>
        <v>0</v>
      </c>
      <c r="CH29" s="139">
        <f t="shared" si="26"/>
        <v>0</v>
      </c>
      <c r="CI29" s="139">
        <f t="shared" si="26"/>
        <v>4215.5143834199735</v>
      </c>
      <c r="CJ29" s="139">
        <f t="shared" si="26"/>
        <v>30674.753460720007</v>
      </c>
      <c r="CK29" s="139">
        <f t="shared" si="26"/>
        <v>0</v>
      </c>
      <c r="CL29" s="139">
        <f t="shared" si="26"/>
        <v>0</v>
      </c>
      <c r="CM29" s="139">
        <f t="shared" si="26"/>
        <v>0</v>
      </c>
      <c r="CN29" s="139">
        <f t="shared" si="26"/>
        <v>28234.980689098124</v>
      </c>
      <c r="CO29" s="139">
        <f t="shared" si="26"/>
        <v>118265.33858464923</v>
      </c>
      <c r="CP29" s="139">
        <f t="shared" si="26"/>
        <v>190229.65607287976</v>
      </c>
      <c r="CQ29" s="139">
        <f t="shared" si="26"/>
        <v>261685.61912119962</v>
      </c>
      <c r="CR29" s="139">
        <f t="shared" si="26"/>
        <v>245812.96669021604</v>
      </c>
      <c r="CS29" s="139">
        <f t="shared" si="26"/>
        <v>0</v>
      </c>
      <c r="CT29" s="139">
        <f t="shared" si="26"/>
        <v>0</v>
      </c>
      <c r="CU29" s="139">
        <f t="shared" si="26"/>
        <v>3203.7991254738999</v>
      </c>
      <c r="CV29" s="139">
        <f t="shared" si="26"/>
        <v>28193.220405970729</v>
      </c>
      <c r="CW29" s="139">
        <f t="shared" ref="CW29:DS29" si="27">CV31</f>
        <v>0</v>
      </c>
      <c r="CX29" s="139">
        <f t="shared" si="27"/>
        <v>0</v>
      </c>
      <c r="CY29" s="139">
        <f t="shared" si="27"/>
        <v>0</v>
      </c>
      <c r="CZ29" s="139">
        <f t="shared" si="27"/>
        <v>27823.767137193659</v>
      </c>
      <c r="DA29" s="139">
        <f t="shared" si="27"/>
        <v>116840.42378220105</v>
      </c>
      <c r="DB29" s="139">
        <f t="shared" si="27"/>
        <v>186322.94956904065</v>
      </c>
      <c r="DC29" s="139">
        <f t="shared" si="27"/>
        <v>292045.53040859126</v>
      </c>
      <c r="DD29" s="139">
        <f t="shared" si="27"/>
        <v>342371.95858888252</v>
      </c>
      <c r="DE29" s="139">
        <f t="shared" si="27"/>
        <v>98760.264736029203</v>
      </c>
      <c r="DF29" s="139">
        <f t="shared" si="27"/>
        <v>0</v>
      </c>
      <c r="DG29" s="139">
        <f t="shared" si="27"/>
        <v>2167.774072623698</v>
      </c>
      <c r="DH29" s="139">
        <f t="shared" si="27"/>
        <v>59484.986934627334</v>
      </c>
      <c r="DI29" s="139">
        <f t="shared" si="27"/>
        <v>14182.287610771215</v>
      </c>
      <c r="DJ29" s="139">
        <f t="shared" si="27"/>
        <v>0</v>
      </c>
      <c r="DK29" s="139">
        <f t="shared" si="27"/>
        <v>0</v>
      </c>
      <c r="DL29" s="139">
        <f t="shared" si="27"/>
        <v>27402.898687837136</v>
      </c>
      <c r="DM29" s="139">
        <f t="shared" si="27"/>
        <v>152804.52551441532</v>
      </c>
      <c r="DN29" s="139">
        <f t="shared" si="27"/>
        <v>259150.93453670354</v>
      </c>
      <c r="DO29" s="139">
        <f t="shared" si="27"/>
        <v>363172.52451546828</v>
      </c>
      <c r="DP29" s="139">
        <f t="shared" si="27"/>
        <v>408220.05303510244</v>
      </c>
      <c r="DQ29" s="139">
        <f t="shared" si="27"/>
        <v>155397.13088158474</v>
      </c>
      <c r="DR29" s="139">
        <f t="shared" si="27"/>
        <v>0</v>
      </c>
      <c r="DS29" s="139">
        <f t="shared" si="27"/>
        <v>1104.7843274173038</v>
      </c>
    </row>
    <row r="30" spans="1:123" ht="12.75" customHeight="1" x14ac:dyDescent="0.35">
      <c r="A30" s="146" t="s">
        <v>493</v>
      </c>
      <c r="B30" s="139">
        <f>SUM(D30:BQ30)</f>
        <v>4016807.1609280622</v>
      </c>
      <c r="C30" s="139">
        <f>B30/60</f>
        <v>66946.786015467704</v>
      </c>
      <c r="D30" s="139">
        <f>MIN(D29,MAX(D22-D24-D27+D28,0)+IF(Premissas!$B$8=0,0,MAX(D23-D26,0)/Premissas!$B$8))</f>
        <v>19986.19652857618</v>
      </c>
      <c r="E30" s="139">
        <f>MIN(E29,MAX(E22-E24-E27+E28,0)+IF(Premissas!$B$8=0,0,MAX(E23-E26,0)/Premissas!$B$8))</f>
        <v>171720.0234714238</v>
      </c>
      <c r="F30" s="139">
        <f>MIN(F29,MAX(F22-F24-F27+F28,0)+IF(Premissas!$B$8=0,0,MAX(F23-F26,0)/Premissas!$B$8))</f>
        <v>0</v>
      </c>
      <c r="G30" s="139">
        <f>MIN(G29,MAX(G22-G24-G27+G28,0)+IF(Premissas!$B$8=0,0,MAX(G23-G26,0)/Premissas!$B$8))</f>
        <v>4460.0599999999831</v>
      </c>
      <c r="H30" s="139">
        <f>MIN(H29,MAX(H22-H24-H27+H28,0)+IF(Premissas!$B$8=0,0,MAX(H23-H26,0)/Premissas!$B$8))</f>
        <v>0</v>
      </c>
      <c r="I30" s="139">
        <f>MIN(I29,MAX(I22-I24-I27+I28,0)+IF(Premissas!$B$8=0,0,MAX(I23-I26,0)/Premissas!$B$8))</f>
        <v>0</v>
      </c>
      <c r="J30" s="139">
        <f>MIN(J29,MAX(J22-J24-J27+J28,0)+IF(Premissas!$B$8=0,0,MAX(J23-J26,0)/Premissas!$B$8))</f>
        <v>0</v>
      </c>
      <c r="K30" s="139">
        <f>MIN(K29,MAX(K22-K24-K27+K28,0)+IF(Premissas!$B$8=0,0,MAX(K23-K26,0)/Premissas!$B$8))</f>
        <v>2832.8829636353639</v>
      </c>
      <c r="L30" s="139">
        <f>MIN(L29,MAX(L22-L24-L27+L28,0)+IF(Premissas!$B$8=0,0,MAX(L23-L26,0)/Premissas!$B$8))</f>
        <v>154289.04752693872</v>
      </c>
      <c r="M30" s="139">
        <f>MIN(M29,MAX(M22-M24-M27+M28,0)+IF(Premissas!$B$8=0,0,MAX(M23-M26,0)/Premissas!$B$8))</f>
        <v>237936.88069566066</v>
      </c>
      <c r="N30" s="139">
        <f>MIN(N29,MAX(N22-N24-N27+N28,0)+IF(Premissas!$B$8=0,0,MAX(N23-N26,0)/Premissas!$B$8))</f>
        <v>19370.574676408396</v>
      </c>
      <c r="O30" s="139">
        <f>MIN(O29,MAX(O22-O24-O27+O28,0)+IF(Premissas!$B$8=0,0,MAX(O23-O26,0)/Premissas!$B$8))</f>
        <v>0</v>
      </c>
      <c r="P30" s="139">
        <f>MIN(P29,MAX(P22-P24-P27+P28,0)+IF(Premissas!$B$8=0,0,MAX(P23-P26,0)/Premissas!$B$8))</f>
        <v>20485.97555909949</v>
      </c>
      <c r="Q30" s="139">
        <f>MIN(Q29,MAX(Q22-Q24-Q27+Q28,0)+IF(Premissas!$B$8=0,0,MAX(Q23-Q26,0)/Premissas!$B$8))</f>
        <v>235803.03241921921</v>
      </c>
      <c r="R30" s="139">
        <f>MIN(R29,MAX(R22-R24-R27+R28,0)+IF(Premissas!$B$8=0,0,MAX(R23-R26,0)/Premissas!$B$8))</f>
        <v>47667.200772390657</v>
      </c>
      <c r="S30" s="139">
        <f>MIN(S29,MAX(S22-S24-S27+S28,0)+IF(Premissas!$B$8=0,0,MAX(S23-S26,0)/Premissas!$B$8))</f>
        <v>23838.797796981027</v>
      </c>
      <c r="T30" s="139">
        <f>MIN(T29,MAX(T22-T24-T27+T28,0)+IF(Premissas!$B$8=0,0,MAX(T23-T26,0)/Premissas!$B$8))</f>
        <v>0</v>
      </c>
      <c r="U30" s="139">
        <f>MIN(U29,MAX(U22-U24-U27+U28,0)+IF(Premissas!$B$8=0,0,MAX(U23-U26,0)/Premissas!$B$8))</f>
        <v>0</v>
      </c>
      <c r="V30" s="139">
        <f>MIN(V29,MAX(V22-V24-V27+V28,0)+IF(Premissas!$B$8=0,0,MAX(V23-V26,0)/Premissas!$B$8))</f>
        <v>0</v>
      </c>
      <c r="W30" s="139">
        <f>MIN(W29,MAX(W22-W24-W27+W28,0)+IF(Premissas!$B$8=0,0,MAX(W23-W26,0)/Premissas!$B$8))</f>
        <v>7213.0774016610239</v>
      </c>
      <c r="X30" s="139">
        <f>MIN(X29,MAX(X22-X24-X27+X28,0)+IF(Premissas!$B$8=0,0,MAX(X23-X26,0)/Premissas!$B$8))</f>
        <v>187487.27426693874</v>
      </c>
      <c r="Y30" s="139">
        <f>MIN(Y29,MAX(Y22-Y24-Y27+Y28,0)+IF(Premissas!$B$8=0,0,MAX(Y23-Y26,0)/Premissas!$B$8))</f>
        <v>276027.9393406607</v>
      </c>
      <c r="Z30" s="139">
        <f>MIN(Z29,MAX(Z22-Z24-Z27+Z28,0)+IF(Premissas!$B$8=0,0,MAX(Z23-Z26,0)/Premissas!$B$8))</f>
        <v>41099.501688375021</v>
      </c>
      <c r="AA30" s="139">
        <f>MIN(AA29,MAX(AA22-AA24-AA27+AA28,0)+IF(Premissas!$B$8=0,0,MAX(AA23-AA26,0)/Premissas!$B$8))</f>
        <v>0</v>
      </c>
      <c r="AB30" s="139">
        <f>MIN(AB29,MAX(AB22-AB24-AB27+AB28,0)+IF(Premissas!$B$8=0,0,MAX(AB23-AB26,0)/Premissas!$B$8))</f>
        <v>20997.338871787244</v>
      </c>
      <c r="AC30" s="139">
        <f>MIN(AC29,MAX(AC22-AC24-AC27+AC28,0)+IF(Premissas!$B$8=0,0,MAX(AC23-AC26,0)/Premissas!$B$8))</f>
        <v>272091.21552202816</v>
      </c>
      <c r="AD30" s="139">
        <f>MIN(AD29,MAX(AD22-AD24-AD27+AD28,0)+IF(Premissas!$B$8=0,0,MAX(AD23-AD26,0)/Premissas!$B$8))</f>
        <v>36260.668142258539</v>
      </c>
      <c r="AE30" s="139">
        <f>MIN(AE29,MAX(AE22-AE24-AE27+AE28,0)+IF(Premissas!$B$8=0,0,MAX(AE23-AE26,0)/Premissas!$B$8))</f>
        <v>0</v>
      </c>
      <c r="AF30" s="139">
        <f>MIN(AF29,MAX(AF22-AF24-AF27+AF28,0)+IF(Premissas!$B$8=0,0,MAX(AF23-AF26,0)/Premissas!$B$8))</f>
        <v>0</v>
      </c>
      <c r="AG30" s="139">
        <f>MIN(AG29,MAX(AG22-AG24-AG27+AG28,0)+IF(Premissas!$B$8=0,0,MAX(AG23-AG26,0)/Premissas!$B$8))</f>
        <v>0</v>
      </c>
      <c r="AH30" s="139">
        <f>MIN(AH29,MAX(AH22-AH24-AH27+AH28,0)+IF(Premissas!$B$8=0,0,MAX(AH23-AH26,0)/Premissas!$B$8))</f>
        <v>0</v>
      </c>
      <c r="AI30" s="139">
        <f>MIN(AI29,MAX(AI22-AI24-AI27+AI28,0)+IF(Premissas!$B$8=0,0,MAX(AI23-AI26,0)/Premissas!$B$8))</f>
        <v>8008.4509143149489</v>
      </c>
      <c r="AJ30" s="139">
        <f>MIN(AJ29,MAX(AJ22-AJ24-AJ27+AJ28,0)+IF(Premissas!$B$8=0,0,MAX(AJ23-AJ26,0)/Premissas!$B$8))</f>
        <v>176722.32172976359</v>
      </c>
      <c r="AK30" s="139">
        <f>MIN(AK29,MAX(AK22-AK24-AK27+AK28,0)+IF(Premissas!$B$8=0,0,MAX(AK23-AK26,0)/Premissas!$B$8))</f>
        <v>266906.88343898399</v>
      </c>
      <c r="AL30" s="139">
        <f>MIN(AL29,MAX(AL22-AL24-AL27+AL28,0)+IF(Premissas!$B$8=0,0,MAX(AL23-AL26,0)/Premissas!$B$8))</f>
        <v>20351.92886548231</v>
      </c>
      <c r="AM30" s="139">
        <f>MIN(AM29,MAX(AM22-AM24-AM27+AM28,0)+IF(Premissas!$B$8=0,0,MAX(AM23-AM26,0)/Premissas!$B$8))</f>
        <v>3022.2644656500361</v>
      </c>
      <c r="AN30" s="139">
        <f>MIN(AN29,MAX(AN22-AN24-AN27+AN28,0)+IF(Premissas!$B$8=0,0,MAX(AN23-AN26,0)/Premissas!$B$8))</f>
        <v>21523.596261543578</v>
      </c>
      <c r="AO30" s="139">
        <f>MIN(AO29,MAX(AO22-AO24-AO27+AO28,0)+IF(Premissas!$B$8=0,0,MAX(AO23-AO26,0)/Premissas!$B$8))</f>
        <v>253658.10898542288</v>
      </c>
      <c r="AP30" s="139">
        <f>MIN(AP29,MAX(AP22-AP24-AP27+AP28,0)+IF(Premissas!$B$8=0,0,MAX(AP23-AP26,0)/Premissas!$B$8))</f>
        <v>0</v>
      </c>
      <c r="AQ30" s="139">
        <f>MIN(AQ29,MAX(AQ22-AQ24-AQ27+AQ28,0)+IF(Premissas!$B$8=0,0,MAX(AQ23-AQ26,0)/Premissas!$B$8))</f>
        <v>0</v>
      </c>
      <c r="AR30" s="139">
        <f>MIN(AR29,MAX(AR22-AR24-AR27+AR28,0)+IF(Premissas!$B$8=0,0,MAX(AR23-AR26,0)/Premissas!$B$8))</f>
        <v>0</v>
      </c>
      <c r="AS30" s="139">
        <f>MIN(AS29,MAX(AS22-AS24-AS27+AS28,0)+IF(Premissas!$B$8=0,0,MAX(AS23-AS26,0)/Premissas!$B$8))</f>
        <v>0</v>
      </c>
      <c r="AT30" s="139">
        <f>MIN(AT29,MAX(AT22-AT24-AT27+AT28,0)+IF(Premissas!$B$8=0,0,MAX(AT23-AT26,0)/Premissas!$B$8))</f>
        <v>0</v>
      </c>
      <c r="AU30" s="139">
        <f>MIN(AU29,MAX(AU22-AU24-AU27+AU28,0)+IF(Premissas!$B$8=0,0,MAX(AU23-AU26,0)/Premissas!$B$8))</f>
        <v>10676.37027770132</v>
      </c>
      <c r="AV30" s="139">
        <f>MIN(AV29,MAX(AV22-AV24-AV27+AV28,0)+IF(Premissas!$B$8=0,0,MAX(AV23-AV26,0)/Premissas!$B$8))</f>
        <v>185373.3296716754</v>
      </c>
      <c r="AW30" s="139">
        <f>MIN(AW29,MAX(AW22-AW24-AW27+AW28,0)+IF(Premissas!$B$8=0,0,MAX(AW23-AW26,0)/Premissas!$B$8))</f>
        <v>278511.20005295705</v>
      </c>
      <c r="AX30" s="139">
        <f>MIN(AX29,MAX(AX22-AX24-AX27+AX28,0)+IF(Premissas!$B$8=0,0,MAX(AX23-AX26,0)/Premissas!$B$8))</f>
        <v>20859.982383265939</v>
      </c>
      <c r="AY30" s="139">
        <f>MIN(AY29,MAX(AY22-AY24-AY27+AY28,0)+IF(Premissas!$B$8=0,0,MAX(AY23-AY26,0)/Premissas!$B$8))</f>
        <v>5410.6849105583669</v>
      </c>
      <c r="AZ30" s="139">
        <f>MIN(AZ29,MAX(AZ22-AZ24-AZ27+AZ28,0)+IF(Premissas!$B$8=0,0,MAX(AZ23-AZ26,0)/Premissas!$B$8))</f>
        <v>22061.437933464356</v>
      </c>
      <c r="BA30" s="139">
        <f>MIN(BA29,MAX(BA22-BA24-BA27+BA28,0)+IF(Premissas!$B$8=0,0,MAX(BA23-BA26,0)/Premissas!$B$8))</f>
        <v>213682.92345745361</v>
      </c>
      <c r="BB30" s="139">
        <f>MIN(BB29,MAX(BB22-BB24-BB27+BB28,0)+IF(Premissas!$B$8=0,0,MAX(BB23-BB26,0)/Premissas!$B$8))</f>
        <v>0</v>
      </c>
      <c r="BC30" s="139">
        <f>MIN(BC29,MAX(BC22-BC24-BC27+BC28,0)+IF(Premissas!$B$8=0,0,MAX(BC23-BC26,0)/Premissas!$B$8))</f>
        <v>0</v>
      </c>
      <c r="BD30" s="139">
        <f>MIN(BD29,MAX(BD22-BD24-BD27+BD28,0)+IF(Premissas!$B$8=0,0,MAX(BD23-BD26,0)/Premissas!$B$8))</f>
        <v>0</v>
      </c>
      <c r="BE30" s="139">
        <f>MIN(BE29,MAX(BE22-BE24-BE27+BE28,0)+IF(Premissas!$B$8=0,0,MAX(BE23-BE26,0)/Premissas!$B$8))</f>
        <v>0</v>
      </c>
      <c r="BF30" s="139">
        <f>MIN(BF29,MAX(BF22-BF24-BF27+BF28,0)+IF(Premissas!$B$8=0,0,MAX(BF23-BF26,0)/Premissas!$B$8))</f>
        <v>0</v>
      </c>
      <c r="BG30" s="139">
        <f>MIN(BG29,MAX(BG22-BG24-BG27+BG28,0)+IF(Premissas!$B$8=0,0,MAX(BG23-BG26,0)/Premissas!$B$8))</f>
        <v>13396.50872283026</v>
      </c>
      <c r="BH30" s="139">
        <f>MIN(BH29,MAX(BH22-BH24-BH27+BH28,0)+IF(Premissas!$B$8=0,0,MAX(BH23-BH26,0)/Premissas!$B$8))</f>
        <v>194440.32725697564</v>
      </c>
      <c r="BI30" s="139">
        <f>MIN(BI29,MAX(BI22-BI24-BI27+BI28,0)+IF(Premissas!$B$8=0,0,MAX(BI23-BI26,0)/Premissas!$B$8))</f>
        <v>290631.64666564518</v>
      </c>
      <c r="BJ30" s="139">
        <f>MIN(BJ29,MAX(BJ22-BJ24-BJ27+BJ28,0)+IF(Premissas!$B$8=0,0,MAX(BJ23-BJ26,0)/Premissas!$B$8))</f>
        <v>22120.479078613949</v>
      </c>
      <c r="BK30" s="139">
        <f>MIN(BK29,MAX(BK22-BK24-BK27+BK28,0)+IF(Premissas!$B$8=0,0,MAX(BK23-BK26,0)/Premissas!$B$8))</f>
        <v>7846.4533441074245</v>
      </c>
      <c r="BL30" s="139">
        <f>MIN(BL29,MAX(BL22-BL24-BL27+BL28,0)+IF(Premissas!$B$8=0,0,MAX(BL23-BL26,0)/Premissas!$B$8))</f>
        <v>60950.820838467058</v>
      </c>
      <c r="BM30" s="139">
        <f>MIN(BM29,MAX(BM22-BM24-BM27+BM28,0)+IF(Premissas!$B$8=0,0,MAX(BM23-BM26,0)/Premissas!$B$8))</f>
        <v>161083.75402914081</v>
      </c>
      <c r="BN30" s="139">
        <f>MIN(BN29,MAX(BN22-BN24-BN27+BN28,0)+IF(Premissas!$B$8=0,0,MAX(BN23-BN26,0)/Premissas!$B$8))</f>
        <v>0</v>
      </c>
      <c r="BO30" s="139">
        <f>MIN(BO29,MAX(BO22-BO24-BO27+BO28,0)+IF(Premissas!$B$8=0,0,MAX(BO23-BO26,0)/Premissas!$B$8))</f>
        <v>0</v>
      </c>
      <c r="BP30" s="139">
        <f>MIN(BP29,MAX(BP22-BP24-BP27+BP28,0)+IF(Premissas!$B$8=0,0,MAX(BP23-BP26,0)/Premissas!$B$8))</f>
        <v>0</v>
      </c>
      <c r="BQ30" s="139">
        <f>MIN(BQ29,MAX(BQ22-BQ24-BQ27+BQ28,0)+IF(Premissas!$B$8=0,0,MAX(BQ23-BQ26,0)/Premissas!$B$8))</f>
        <v>0</v>
      </c>
      <c r="BR30" s="139">
        <f>MIN(BR29,MAX(BR22-BR24-BR27+BR28,0)+IF(Premissas!$B$8=0,0,MAX(BR23-BR26,0)/Premissas!$B$8))</f>
        <v>0</v>
      </c>
      <c r="BS30" s="139">
        <f>MIN(BS29,MAX(BS22-BS24-BS27+BS28,0)+IF(Premissas!$B$8=0,0,MAX(BS23-BS26,0)/Premissas!$B$8))</f>
        <v>53375.64361827114</v>
      </c>
      <c r="BT30" s="139">
        <f>MIN(BT29,MAX(BT22-BT24-BT27+BT28,0)+IF(Premissas!$B$8=0,0,MAX(BT23-BT26,0)/Premissas!$B$8))</f>
        <v>249505.45855791803</v>
      </c>
      <c r="BU30" s="139">
        <f>MIN(BU29,MAX(BU22-BU24-BU27+BU28,0)+IF(Premissas!$B$8=0,0,MAX(BU23-BU26,0)/Premissas!$B$8))</f>
        <v>16007.000038475206</v>
      </c>
      <c r="BV30" s="139">
        <f>MIN(BV29,MAX(BV22-BV24-BV27+BV28,0)+IF(Premissas!$B$8=0,0,MAX(BV23-BV26,0)/Premissas!$B$8))</f>
        <v>0</v>
      </c>
      <c r="BW30" s="139">
        <f>MIN(BW29,MAX(BW22-BW24-BW27+BW28,0)+IF(Premissas!$B$8=0,0,MAX(BW23-BW26,0)/Premissas!$B$8))</f>
        <v>5202.092397735888</v>
      </c>
      <c r="BX30" s="139">
        <f>MIN(BX29,MAX(BX22-BX24-BX27+BX28,0)+IF(Premissas!$B$8=0,0,MAX(BX23-BX26,0)/Premissas!$B$8))</f>
        <v>33095.018388097349</v>
      </c>
      <c r="BY30" s="139">
        <f>MIN(BY29,MAX(BY22-BY24-BY27+BY28,0)+IF(Premissas!$B$8=0,0,MAX(BY23-BY26,0)/Premissas!$B$8))</f>
        <v>0</v>
      </c>
      <c r="BZ30" s="139">
        <f>MIN(BZ29,MAX(BZ22-BZ24-BZ27+BZ28,0)+IF(Premissas!$B$8=0,0,MAX(BZ23-BZ26,0)/Premissas!$B$8))</f>
        <v>0</v>
      </c>
      <c r="CA30" s="139">
        <f>MIN(CA29,MAX(CA22-CA24-CA27+CA28,0)+IF(Premissas!$B$8=0,0,MAX(CA23-CA26,0)/Premissas!$B$8))</f>
        <v>0</v>
      </c>
      <c r="CB30" s="139">
        <f>MIN(CB29,MAX(CB22-CB24-CB27+CB28,0)+IF(Premissas!$B$8=0,0,MAX(CB23-CB26,0)/Premissas!$B$8))</f>
        <v>0</v>
      </c>
      <c r="CC30" s="139">
        <f>MIN(CC29,MAX(CC22-CC24-CC27+CC28,0)+IF(Premissas!$B$8=0,0,MAX(CC23-CC26,0)/Premissas!$B$8))</f>
        <v>69.427563351368008</v>
      </c>
      <c r="CD30" s="139">
        <f>MIN(CD29,MAX(CD22-CD24-CD27+CD28,0)+IF(Premissas!$B$8=0,0,MAX(CD23-CD26,0)/Premissas!$B$8))</f>
        <v>321.99604556200939</v>
      </c>
      <c r="CE30" s="139">
        <f>MIN(CE29,MAX(CE22-CE24-CE27+CE28,0)+IF(Premissas!$B$8=0,0,MAX(CE23-CE26,0)/Premissas!$B$8))</f>
        <v>55735.178836603918</v>
      </c>
      <c r="CF30" s="139">
        <f>MIN(CF29,MAX(CF22-CF24-CF27+CF28,0)+IF(Premissas!$B$8=0,0,MAX(CF23-CF26,0)/Premissas!$B$8))</f>
        <v>256588.59663145337</v>
      </c>
      <c r="CG30" s="139">
        <f>MIN(CG29,MAX(CG22-CG24-CG27+CG28,0)+IF(Premissas!$B$8=0,0,MAX(CG23-CG26,0)/Premissas!$B$8))</f>
        <v>0</v>
      </c>
      <c r="CH30" s="139">
        <f>MIN(CH29,MAX(CH22-CH24-CH27+CH28,0)+IF(Premissas!$B$8=0,0,MAX(CH23-CH26,0)/Premissas!$B$8))</f>
        <v>0</v>
      </c>
      <c r="CI30" s="139">
        <f>MIN(CI29,MAX(CI22-CI24-CI27+CI28,0)+IF(Premissas!$B$8=0,0,MAX(CI23-CI26,0)/Premissas!$B$8))</f>
        <v>4215.5143834199735</v>
      </c>
      <c r="CJ30" s="139">
        <f>MIN(CJ29,MAX(CJ22-CJ24-CJ27+CJ28,0)+IF(Premissas!$B$8=0,0,MAX(CJ23-CJ26,0)/Premissas!$B$8))</f>
        <v>30674.753460720007</v>
      </c>
      <c r="CK30" s="139">
        <f>MIN(CK29,MAX(CK22-CK24-CK27+CK28,0)+IF(Premissas!$B$8=0,0,MAX(CK23-CK26,0)/Premissas!$B$8))</f>
        <v>0</v>
      </c>
      <c r="CL30" s="139">
        <f>MIN(CL29,MAX(CL22-CL24-CL27+CL28,0)+IF(Premissas!$B$8=0,0,MAX(CL23-CL26,0)/Premissas!$B$8))</f>
        <v>0</v>
      </c>
      <c r="CM30" s="139">
        <f>MIN(CM29,MAX(CM22-CM24-CM27+CM28,0)+IF(Premissas!$B$8=0,0,MAX(CM23-CM26,0)/Premissas!$B$8))</f>
        <v>0</v>
      </c>
      <c r="CN30" s="139">
        <f>MIN(CN29,MAX(CN22-CN24-CN27+CN28,0)+IF(Premissas!$B$8=0,0,MAX(CN23-CN26,0)/Premissas!$B$8))</f>
        <v>0</v>
      </c>
      <c r="CO30" s="139">
        <f>MIN(CO29,MAX(CO22-CO24-CO27+CO28,0)+IF(Premissas!$B$8=0,0,MAX(CO23-CO26,0)/Premissas!$B$8))</f>
        <v>1093.3868301959155</v>
      </c>
      <c r="CP30" s="139">
        <f>MIN(CP29,MAX(CP22-CP24-CP27+CP28,0)+IF(Premissas!$B$8=0,0,MAX(CP23-CP26,0)/Premissas!$B$8))</f>
        <v>1347.5640501512607</v>
      </c>
      <c r="CQ30" s="139">
        <f>MIN(CQ29,MAX(CQ22-CQ24-CQ27+CQ28,0)+IF(Premissas!$B$8=0,0,MAX(CQ23-CQ26,0)/Premissas!$B$8))</f>
        <v>58153.615410627986</v>
      </c>
      <c r="CR30" s="139">
        <f>MIN(CR29,MAX(CR22-CR24-CR27+CR28,0)+IF(Premissas!$B$8=0,0,MAX(CR23-CR26,0)/Premissas!$B$8))</f>
        <v>245812.96669021604</v>
      </c>
      <c r="CS30" s="139">
        <f>MIN(CS29,MAX(CS22-CS24-CS27+CS28,0)+IF(Premissas!$B$8=0,0,MAX(CS23-CS26,0)/Premissas!$B$8))</f>
        <v>0</v>
      </c>
      <c r="CT30" s="139">
        <f>MIN(CT29,MAX(CT22-CT24-CT27+CT28,0)+IF(Premissas!$B$8=0,0,MAX(CT23-CT26,0)/Premissas!$B$8))</f>
        <v>0</v>
      </c>
      <c r="CU30" s="139">
        <f>MIN(CU29,MAX(CU22-CU24-CU27+CU28,0)+IF(Premissas!$B$8=0,0,MAX(CU23-CU26,0)/Premissas!$B$8))</f>
        <v>3203.7991254738999</v>
      </c>
      <c r="CV30" s="139">
        <f>MIN(CV29,MAX(CV22-CV24-CV27+CV28,0)+IF(Premissas!$B$8=0,0,MAX(CV23-CV26,0)/Premissas!$B$8))</f>
        <v>28193.220405970729</v>
      </c>
      <c r="CW30" s="139">
        <f>MIN(CW29,MAX(CW22-CW24-CW27+CW28,0)+IF(Premissas!$B$8=0,0,MAX(CW23-CW26,0)/Premissas!$B$8))</f>
        <v>0</v>
      </c>
      <c r="CX30" s="139">
        <f>MIN(CX29,MAX(CX22-CX24-CX27+CX28,0)+IF(Premissas!$B$8=0,0,MAX(CX23-CX26,0)/Premissas!$B$8))</f>
        <v>0</v>
      </c>
      <c r="CY30" s="139">
        <f>MIN(CY29,MAX(CY22-CY24-CY27+CY28,0)+IF(Premissas!$B$8=0,0,MAX(CY23-CY26,0)/Premissas!$B$8))</f>
        <v>0</v>
      </c>
      <c r="CZ30" s="139">
        <f>MIN(CZ29,MAX(CZ22-CZ24-CZ27+CZ28,0)+IF(Premissas!$B$8=0,0,MAX(CZ23-CZ26,0)/Premissas!$B$8))</f>
        <v>0</v>
      </c>
      <c r="DA30" s="139">
        <f>MIN(DA29,MAX(DA22-DA24-DA27+DA28,0)+IF(Premissas!$B$8=0,0,MAX(DA23-DA26,0)/Premissas!$B$8))</f>
        <v>2143.9945267542425</v>
      </c>
      <c r="DB30" s="139">
        <f>MIN(DB29,MAX(DB22-DB24-DB27+DB28,0)+IF(Premissas!$B$8=0,0,MAX(DB23-DB26,0)/Premissas!$B$8))</f>
        <v>0</v>
      </c>
      <c r="DC30" s="139">
        <f>MIN(DC29,MAX(DC22-DC24-DC27+DC28,0)+IF(Premissas!$B$8=0,0,MAX(DC23-DC26,0)/Premissas!$B$8))</f>
        <v>25182.865994420368</v>
      </c>
      <c r="DD30" s="139">
        <f>MIN(DD29,MAX(DD22-DD24-DD27+DD28,0)+IF(Premissas!$B$8=0,0,MAX(DD23-DD26,0)/Premissas!$B$8))</f>
        <v>243611.69385285332</v>
      </c>
      <c r="DE30" s="139">
        <f>MIN(DE29,MAX(DE22-DE24-DE27+DE28,0)+IF(Premissas!$B$8=0,0,MAX(DE23-DE26,0)/Premissas!$B$8))</f>
        <v>98760.264736029203</v>
      </c>
      <c r="DF30" s="139">
        <f>MIN(DF29,MAX(DF22-DF24-DF27+DF28,0)+IF(Premissas!$B$8=0,0,MAX(DF23-DF26,0)/Premissas!$B$8))</f>
        <v>0</v>
      </c>
      <c r="DG30" s="139">
        <f>MIN(DG29,MAX(DG22-DG24-DG27+DG28,0)+IF(Premissas!$B$8=0,0,MAX(DG23-DG26,0)/Premissas!$B$8))</f>
        <v>2167.774072623698</v>
      </c>
      <c r="DH30" s="139">
        <f>MIN(DH29,MAX(DH22-DH24-DH27+DH28,0)+IF(Premissas!$B$8=0,0,MAX(DH23-DH26,0)/Premissas!$B$8))</f>
        <v>45302.699323856119</v>
      </c>
      <c r="DI30" s="139">
        <f>MIN(DI29,MAX(DI22-DI24-DI27+DI28,0)+IF(Premissas!$B$8=0,0,MAX(DI23-DI26,0)/Premissas!$B$8))</f>
        <v>14182.287610771215</v>
      </c>
      <c r="DJ30" s="139">
        <f>MIN(DJ29,MAX(DJ22-DJ24-DJ27+DJ28,0)+IF(Premissas!$B$8=0,0,MAX(DJ23-DJ26,0)/Premissas!$B$8))</f>
        <v>0</v>
      </c>
      <c r="DK30" s="139">
        <f>MIN(DK29,MAX(DK22-DK24-DK27+DK28,0)+IF(Premissas!$B$8=0,0,MAX(DK23-DK26,0)/Premissas!$B$8))</f>
        <v>0</v>
      </c>
      <c r="DL30" s="139">
        <f>MIN(DL29,MAX(DL22-DL24-DL27+DL28,0)+IF(Premissas!$B$8=0,0,MAX(DL23-DL26,0)/Premissas!$B$8))</f>
        <v>0</v>
      </c>
      <c r="DM30" s="139">
        <f>MIN(DM29,MAX(DM22-DM24-DM27+DM28,0)+IF(Premissas!$B$8=0,0,MAX(DM23-DM26,0)/Premissas!$B$8))</f>
        <v>0</v>
      </c>
      <c r="DN30" s="139">
        <f>MIN(DN29,MAX(DN22-DN24-DN27+DN28,0)+IF(Premissas!$B$8=0,0,MAX(DN23-DN26,0)/Premissas!$B$8))</f>
        <v>0</v>
      </c>
      <c r="DO30" s="139">
        <f>MIN(DO29,MAX(DO22-DO24-DO27+DO28,0)+IF(Premissas!$B$8=0,0,MAX(DO23-DO26,0)/Premissas!$B$8))</f>
        <v>27964.766275366426</v>
      </c>
      <c r="DP30" s="139">
        <f>MIN(DP29,MAX(DP22-DP24-DP27+DP28,0)+IF(Premissas!$B$8=0,0,MAX(DP23-DP26,0)/Premissas!$B$8))</f>
        <v>252822.92215351769</v>
      </c>
      <c r="DQ30" s="139">
        <f>MIN(DQ29,MAX(DQ22-DQ24-DQ27+DQ28,0)+IF(Premissas!$B$8=0,0,MAX(DQ23-DQ26,0)/Premissas!$B$8))</f>
        <v>155397.13088158474</v>
      </c>
      <c r="DR30" s="139">
        <f>MIN(DR29,MAX(DR22-DR24-DR27+DR28,0)+IF(Premissas!$B$8=0,0,MAX(DR23-DR26,0)/Premissas!$B$8))</f>
        <v>0</v>
      </c>
      <c r="DS30" s="139">
        <f>MIN(DS29,MAX(DS22-DS24-DS27+DS28,0)+IF(Premissas!$B$8=0,0,MAX(DS23-DS26,0)/Premissas!$B$8))</f>
        <v>1104.7843274173038</v>
      </c>
    </row>
    <row r="31" spans="1:123" ht="13.5" customHeight="1" x14ac:dyDescent="0.35">
      <c r="A31" s="39" t="s">
        <v>494</v>
      </c>
      <c r="B31" s="41">
        <f>AA31</f>
        <v>325571.62701959896</v>
      </c>
      <c r="C31" s="139" t="s">
        <v>169</v>
      </c>
      <c r="D31" s="157">
        <f t="shared" ref="D31:AI31" si="28">MAX(D29-D30,0)+D28+MAX(D27-MAX(D22-D24,0),0)+MAX(D24-D22,0)</f>
        <v>171720.0234714238</v>
      </c>
      <c r="E31" s="157">
        <f t="shared" si="28"/>
        <v>0</v>
      </c>
      <c r="F31" s="157">
        <f t="shared" si="28"/>
        <v>4460.0599999999831</v>
      </c>
      <c r="G31" s="157">
        <f t="shared" si="28"/>
        <v>92928.673107221024</v>
      </c>
      <c r="H31" s="157">
        <f t="shared" si="28"/>
        <v>256926.75863598264</v>
      </c>
      <c r="I31" s="157">
        <f t="shared" si="28"/>
        <v>422947.94416474429</v>
      </c>
      <c r="J31" s="157">
        <f t="shared" si="28"/>
        <v>588791.04369350593</v>
      </c>
      <c r="K31" s="157">
        <f t="shared" si="28"/>
        <v>721499.22815143038</v>
      </c>
      <c r="L31" s="157">
        <f t="shared" si="28"/>
        <v>567210.18062449165</v>
      </c>
      <c r="M31" s="157">
        <f t="shared" si="28"/>
        <v>329273.29992883099</v>
      </c>
      <c r="N31" s="157">
        <f t="shared" si="28"/>
        <v>380873.24893563928</v>
      </c>
      <c r="O31" s="157">
        <f t="shared" si="28"/>
        <v>500639.10746667557</v>
      </c>
      <c r="P31" s="157">
        <f t="shared" si="28"/>
        <v>511650.48047757609</v>
      </c>
      <c r="Q31" s="157">
        <f t="shared" si="28"/>
        <v>275847.44805835688</v>
      </c>
      <c r="R31" s="157">
        <f t="shared" si="28"/>
        <v>228180.24728596624</v>
      </c>
      <c r="S31" s="157">
        <f t="shared" si="28"/>
        <v>282854.23810901411</v>
      </c>
      <c r="T31" s="157">
        <f t="shared" si="28"/>
        <v>406120.52849599475</v>
      </c>
      <c r="U31" s="157">
        <f t="shared" si="28"/>
        <v>532266.36338297545</v>
      </c>
      <c r="V31" s="157">
        <f t="shared" si="28"/>
        <v>660131.35528995609</v>
      </c>
      <c r="W31" s="157">
        <f t="shared" si="28"/>
        <v>750896.74158882059</v>
      </c>
      <c r="X31" s="157">
        <f t="shared" si="28"/>
        <v>563409.46732188179</v>
      </c>
      <c r="Y31" s="157">
        <f t="shared" si="28"/>
        <v>287381.52798122109</v>
      </c>
      <c r="Z31" s="157">
        <f t="shared" si="28"/>
        <v>262411.49335981271</v>
      </c>
      <c r="AA31" s="157">
        <f t="shared" si="28"/>
        <v>325571.62701959896</v>
      </c>
      <c r="AB31" s="157">
        <f t="shared" si="28"/>
        <v>308351.8836642867</v>
      </c>
      <c r="AC31" s="157">
        <f t="shared" si="28"/>
        <v>36260.668142258539</v>
      </c>
      <c r="AD31" s="157">
        <f t="shared" si="28"/>
        <v>0</v>
      </c>
      <c r="AE31" s="157">
        <f t="shared" si="28"/>
        <v>45090.281458885838</v>
      </c>
      <c r="AF31" s="157">
        <f t="shared" si="28"/>
        <v>198818.95843105955</v>
      </c>
      <c r="AG31" s="157">
        <f t="shared" si="28"/>
        <v>353918.27531823324</v>
      </c>
      <c r="AH31" s="157">
        <f t="shared" si="28"/>
        <v>508226.31967428187</v>
      </c>
      <c r="AI31" s="157">
        <f t="shared" si="28"/>
        <v>623099.95638729469</v>
      </c>
      <c r="AJ31" s="157">
        <f t="shared" ref="AJ31:BO31" si="29">MAX(AJ29-AJ30,0)+AJ28+MAX(AJ27-MAX(AJ22-AJ24,0),0)+MAX(AJ24-AJ22,0)</f>
        <v>446377.6346575311</v>
      </c>
      <c r="AK31" s="157">
        <f t="shared" si="29"/>
        <v>179470.75121854711</v>
      </c>
      <c r="AL31" s="157">
        <f t="shared" si="29"/>
        <v>191870.70223479506</v>
      </c>
      <c r="AM31" s="157">
        <f t="shared" si="29"/>
        <v>275056.62474545097</v>
      </c>
      <c r="AN31" s="157">
        <f t="shared" si="29"/>
        <v>253658.10898542288</v>
      </c>
      <c r="AO31" s="157">
        <f t="shared" si="29"/>
        <v>0</v>
      </c>
      <c r="AP31" s="157">
        <f t="shared" si="29"/>
        <v>0</v>
      </c>
      <c r="AQ31" s="157">
        <f t="shared" si="29"/>
        <v>40195.989368580384</v>
      </c>
      <c r="AR31" s="157">
        <f t="shared" si="29"/>
        <v>191813.06979057309</v>
      </c>
      <c r="AS31" s="157">
        <f t="shared" si="29"/>
        <v>344360.79006442829</v>
      </c>
      <c r="AT31" s="157">
        <f t="shared" si="29"/>
        <v>496133.53617292299</v>
      </c>
      <c r="AU31" s="157">
        <f t="shared" si="29"/>
        <v>605134.22996149852</v>
      </c>
      <c r="AV31" s="157">
        <f t="shared" si="29"/>
        <v>419760.90028982313</v>
      </c>
      <c r="AW31" s="157">
        <f t="shared" si="29"/>
        <v>141249.70023686608</v>
      </c>
      <c r="AX31" s="157">
        <f t="shared" si="29"/>
        <v>148313.37919019588</v>
      </c>
      <c r="AY31" s="157">
        <f t="shared" si="29"/>
        <v>225738.70452051924</v>
      </c>
      <c r="AZ31" s="157">
        <f t="shared" si="29"/>
        <v>213682.92345745361</v>
      </c>
      <c r="BA31" s="157">
        <f t="shared" si="29"/>
        <v>0</v>
      </c>
      <c r="BB31" s="157">
        <f t="shared" si="29"/>
        <v>0</v>
      </c>
      <c r="BC31" s="157">
        <f t="shared" si="29"/>
        <v>51341.841671625669</v>
      </c>
      <c r="BD31" s="157">
        <f t="shared" si="29"/>
        <v>217400.2152830768</v>
      </c>
      <c r="BE31" s="157">
        <f t="shared" si="29"/>
        <v>383393.15317228681</v>
      </c>
      <c r="BF31" s="157">
        <f t="shared" si="29"/>
        <v>532360.68154319888</v>
      </c>
      <c r="BG31" s="157">
        <f t="shared" si="29"/>
        <v>635144.60312257824</v>
      </c>
      <c r="BH31" s="157">
        <f t="shared" si="29"/>
        <v>440704.2758656026</v>
      </c>
      <c r="BI31" s="157">
        <f t="shared" si="29"/>
        <v>150072.62919995742</v>
      </c>
      <c r="BJ31" s="157">
        <f t="shared" si="29"/>
        <v>150705.68191179674</v>
      </c>
      <c r="BK31" s="157">
        <f t="shared" si="29"/>
        <v>222034.57486760788</v>
      </c>
      <c r="BL31" s="157">
        <f t="shared" si="29"/>
        <v>161083.75402914081</v>
      </c>
      <c r="BM31" s="157">
        <f t="shared" si="29"/>
        <v>0</v>
      </c>
      <c r="BN31" s="157">
        <f t="shared" si="29"/>
        <v>0</v>
      </c>
      <c r="BO31" s="157">
        <f t="shared" si="29"/>
        <v>29027.270549276887</v>
      </c>
      <c r="BP31" s="157">
        <f t="shared" ref="BP31:CU31" si="30">MAX(BP29-BP30,0)+BP28+MAX(BP27-MAX(BP22-BP24,0),0)+MAX(BP24-BP22,0)</f>
        <v>121009.2894823215</v>
      </c>
      <c r="BQ31" s="157">
        <f t="shared" si="30"/>
        <v>196820.65118044018</v>
      </c>
      <c r="BR31" s="157">
        <f t="shared" si="30"/>
        <v>272381.05716178229</v>
      </c>
      <c r="BS31" s="157">
        <f t="shared" si="30"/>
        <v>265512.45859639323</v>
      </c>
      <c r="BT31" s="157">
        <f t="shared" si="30"/>
        <v>16007.000038475206</v>
      </c>
      <c r="BU31" s="157">
        <f t="shared" si="30"/>
        <v>0</v>
      </c>
      <c r="BV31" s="157">
        <f t="shared" si="30"/>
        <v>5202.092397735888</v>
      </c>
      <c r="BW31" s="157">
        <f t="shared" si="30"/>
        <v>33095.018388097349</v>
      </c>
      <c r="BX31" s="157">
        <f t="shared" si="30"/>
        <v>0</v>
      </c>
      <c r="BY31" s="157">
        <f t="shared" si="30"/>
        <v>0</v>
      </c>
      <c r="BZ31" s="157">
        <f t="shared" si="30"/>
        <v>0</v>
      </c>
      <c r="CA31" s="157">
        <f t="shared" si="30"/>
        <v>28635.539343550521</v>
      </c>
      <c r="CB31" s="157">
        <f t="shared" si="30"/>
        <v>119653.62988279971</v>
      </c>
      <c r="CC31" s="157">
        <f t="shared" si="30"/>
        <v>194035.13241808952</v>
      </c>
      <c r="CD31" s="157">
        <f t="shared" si="30"/>
        <v>267911.49798895803</v>
      </c>
      <c r="CE31" s="157">
        <f t="shared" si="30"/>
        <v>256588.59663145337</v>
      </c>
      <c r="CF31" s="157">
        <f t="shared" si="30"/>
        <v>0</v>
      </c>
      <c r="CG31" s="157">
        <f t="shared" si="30"/>
        <v>0</v>
      </c>
      <c r="CH31" s="157">
        <f t="shared" si="30"/>
        <v>4215.5143834199735</v>
      </c>
      <c r="CI31" s="157">
        <f t="shared" si="30"/>
        <v>30674.753460720007</v>
      </c>
      <c r="CJ31" s="157">
        <f t="shared" si="30"/>
        <v>0</v>
      </c>
      <c r="CK31" s="157">
        <f t="shared" si="30"/>
        <v>0</v>
      </c>
      <c r="CL31" s="157">
        <f t="shared" si="30"/>
        <v>0</v>
      </c>
      <c r="CM31" s="157">
        <f t="shared" si="30"/>
        <v>28234.980689098124</v>
      </c>
      <c r="CN31" s="157">
        <f t="shared" si="30"/>
        <v>118265.33858464923</v>
      </c>
      <c r="CO31" s="157">
        <f t="shared" si="30"/>
        <v>190229.65607287976</v>
      </c>
      <c r="CP31" s="157">
        <f t="shared" si="30"/>
        <v>261685.61912119962</v>
      </c>
      <c r="CQ31" s="157">
        <f t="shared" si="30"/>
        <v>245812.96669021604</v>
      </c>
      <c r="CR31" s="157">
        <f t="shared" si="30"/>
        <v>0</v>
      </c>
      <c r="CS31" s="157">
        <f t="shared" si="30"/>
        <v>0</v>
      </c>
      <c r="CT31" s="157">
        <f t="shared" si="30"/>
        <v>3203.7991254738999</v>
      </c>
      <c r="CU31" s="157">
        <f t="shared" si="30"/>
        <v>28193.220405970729</v>
      </c>
      <c r="CV31" s="157">
        <f t="shared" ref="CV31:DS31" si="31">MAX(CV29-CV30,0)+CV28+MAX(CV27-MAX(CV22-CV24,0),0)+MAX(CV24-CV22,0)</f>
        <v>0</v>
      </c>
      <c r="CW31" s="157">
        <f t="shared" si="31"/>
        <v>0</v>
      </c>
      <c r="CX31" s="157">
        <f t="shared" si="31"/>
        <v>0</v>
      </c>
      <c r="CY31" s="157">
        <f t="shared" si="31"/>
        <v>27823.767137193659</v>
      </c>
      <c r="CZ31" s="157">
        <f t="shared" si="31"/>
        <v>116840.42378220105</v>
      </c>
      <c r="DA31" s="157">
        <f t="shared" si="31"/>
        <v>186322.94956904065</v>
      </c>
      <c r="DB31" s="157">
        <f t="shared" si="31"/>
        <v>292045.53040859126</v>
      </c>
      <c r="DC31" s="157">
        <f t="shared" si="31"/>
        <v>342371.95858888252</v>
      </c>
      <c r="DD31" s="157">
        <f t="shared" si="31"/>
        <v>98760.264736029203</v>
      </c>
      <c r="DE31" s="157">
        <f t="shared" si="31"/>
        <v>0</v>
      </c>
      <c r="DF31" s="157">
        <f t="shared" si="31"/>
        <v>2167.774072623698</v>
      </c>
      <c r="DG31" s="157">
        <f t="shared" si="31"/>
        <v>59484.986934627334</v>
      </c>
      <c r="DH31" s="157">
        <f t="shared" si="31"/>
        <v>14182.287610771215</v>
      </c>
      <c r="DI31" s="157">
        <f t="shared" si="31"/>
        <v>0</v>
      </c>
      <c r="DJ31" s="157">
        <f t="shared" si="31"/>
        <v>0</v>
      </c>
      <c r="DK31" s="157">
        <f t="shared" si="31"/>
        <v>27402.898687837136</v>
      </c>
      <c r="DL31" s="157">
        <f t="shared" si="31"/>
        <v>152804.52551441532</v>
      </c>
      <c r="DM31" s="157">
        <f t="shared" si="31"/>
        <v>259150.93453670354</v>
      </c>
      <c r="DN31" s="157">
        <f t="shared" si="31"/>
        <v>363172.52451546828</v>
      </c>
      <c r="DO31" s="157">
        <f t="shared" si="31"/>
        <v>408220.05303510244</v>
      </c>
      <c r="DP31" s="157">
        <f t="shared" si="31"/>
        <v>155397.13088158474</v>
      </c>
      <c r="DQ31" s="157">
        <f t="shared" si="31"/>
        <v>0</v>
      </c>
      <c r="DR31" s="157">
        <f t="shared" si="31"/>
        <v>1104.7843274173038</v>
      </c>
      <c r="DS31" s="157">
        <f t="shared" si="31"/>
        <v>56648.320984637459</v>
      </c>
    </row>
    <row r="32" spans="1:123" ht="12.75" customHeight="1" x14ac:dyDescent="0.35">
      <c r="A32" s="147" t="s">
        <v>495</v>
      </c>
      <c r="B32" s="148">
        <f>AA32</f>
        <v>16129.467066966627</v>
      </c>
      <c r="C32" s="139" t="s">
        <v>169</v>
      </c>
      <c r="D32" s="148">
        <f>Premissas!$B$26</f>
        <v>148516</v>
      </c>
      <c r="E32" s="148">
        <f t="shared" ref="E32:AJ32" si="32">D34</f>
        <v>80215.403471423808</v>
      </c>
      <c r="F32" s="148">
        <f t="shared" si="32"/>
        <v>0</v>
      </c>
      <c r="G32" s="148">
        <f t="shared" si="32"/>
        <v>0</v>
      </c>
      <c r="H32" s="148">
        <f t="shared" si="32"/>
        <v>32711.293107221009</v>
      </c>
      <c r="I32" s="148">
        <f t="shared" si="32"/>
        <v>118480.15463598265</v>
      </c>
      <c r="J32" s="148">
        <f t="shared" si="32"/>
        <v>208861.11616474431</v>
      </c>
      <c r="K32" s="148">
        <f t="shared" si="32"/>
        <v>302880.17769350589</v>
      </c>
      <c r="L32" s="148">
        <f t="shared" si="32"/>
        <v>364673.94257506583</v>
      </c>
      <c r="M32" s="148">
        <f t="shared" si="32"/>
        <v>144669.7319981271</v>
      </c>
      <c r="N32" s="148">
        <f t="shared" si="32"/>
        <v>0</v>
      </c>
      <c r="O32" s="148">
        <f t="shared" si="32"/>
        <v>16385.833543216624</v>
      </c>
      <c r="P32" s="148">
        <f t="shared" si="32"/>
        <v>44883.657414252877</v>
      </c>
      <c r="Q32" s="148">
        <f t="shared" si="32"/>
        <v>0</v>
      </c>
      <c r="R32" s="148">
        <f t="shared" si="32"/>
        <v>0</v>
      </c>
      <c r="S32" s="148">
        <f t="shared" si="32"/>
        <v>0</v>
      </c>
      <c r="T32" s="148">
        <f t="shared" si="32"/>
        <v>32132.802190028931</v>
      </c>
      <c r="U32" s="148">
        <f t="shared" si="32"/>
        <v>116434.95625700962</v>
      </c>
      <c r="V32" s="148">
        <f t="shared" si="32"/>
        <v>204906.17482399032</v>
      </c>
      <c r="W32" s="148">
        <f t="shared" si="32"/>
        <v>296997.30289097095</v>
      </c>
      <c r="X32" s="148">
        <f t="shared" si="32"/>
        <v>358059.38803149655</v>
      </c>
      <c r="Y32" s="148">
        <f t="shared" si="32"/>
        <v>137676.4585645578</v>
      </c>
      <c r="Z32" s="148">
        <f t="shared" si="32"/>
        <v>0</v>
      </c>
      <c r="AA32" s="148">
        <f t="shared" si="32"/>
        <v>16129.467066966627</v>
      </c>
      <c r="AB32" s="148">
        <f t="shared" si="32"/>
        <v>44054.756246752877</v>
      </c>
      <c r="AC32" s="148">
        <f t="shared" si="32"/>
        <v>0</v>
      </c>
      <c r="AD32" s="148">
        <f t="shared" si="32"/>
        <v>0</v>
      </c>
      <c r="AE32" s="148">
        <f t="shared" si="32"/>
        <v>0</v>
      </c>
      <c r="AF32" s="148">
        <f t="shared" si="32"/>
        <v>31547.14735786082</v>
      </c>
      <c r="AG32" s="148">
        <f t="shared" si="32"/>
        <v>114363.27593433451</v>
      </c>
      <c r="AH32" s="148">
        <f t="shared" si="32"/>
        <v>200896.8986883082</v>
      </c>
      <c r="AI32" s="148">
        <f t="shared" si="32"/>
        <v>291032.33139478182</v>
      </c>
      <c r="AJ32" s="148">
        <f t="shared" si="32"/>
        <v>345689.08780450717</v>
      </c>
      <c r="AK32" s="148">
        <f t="shared" ref="AK32:BP32" si="33">AJ34</f>
        <v>109957.20212186858</v>
      </c>
      <c r="AL32" s="148">
        <f t="shared" si="33"/>
        <v>0</v>
      </c>
      <c r="AM32" s="148">
        <f t="shared" si="33"/>
        <v>14107.669446055261</v>
      </c>
      <c r="AN32" s="148">
        <f t="shared" si="33"/>
        <v>37110.159619211212</v>
      </c>
      <c r="AO32" s="148">
        <f t="shared" si="33"/>
        <v>0</v>
      </c>
      <c r="AP32" s="148">
        <f t="shared" si="33"/>
        <v>0</v>
      </c>
      <c r="AQ32" s="148">
        <f t="shared" si="33"/>
        <v>0</v>
      </c>
      <c r="AR32" s="148">
        <f t="shared" si="33"/>
        <v>30953.167895595867</v>
      </c>
      <c r="AS32" s="148">
        <f t="shared" si="33"/>
        <v>112265.26535446256</v>
      </c>
      <c r="AT32" s="148">
        <f t="shared" si="33"/>
        <v>196834.74951994178</v>
      </c>
      <c r="AU32" s="148">
        <f t="shared" si="33"/>
        <v>284988.03458815842</v>
      </c>
      <c r="AV32" s="148">
        <f t="shared" si="33"/>
        <v>332025.58362489572</v>
      </c>
      <c r="AW32" s="148">
        <f t="shared" si="33"/>
        <v>88151.336530630302</v>
      </c>
      <c r="AX32" s="148">
        <f t="shared" si="33"/>
        <v>0</v>
      </c>
      <c r="AY32" s="148">
        <f t="shared" si="33"/>
        <v>12937.539044528359</v>
      </c>
      <c r="AZ32" s="148">
        <f t="shared" si="33"/>
        <v>33112.66854629411</v>
      </c>
      <c r="BA32" s="148">
        <f t="shared" si="33"/>
        <v>0</v>
      </c>
      <c r="BB32" s="148">
        <f t="shared" si="33"/>
        <v>0</v>
      </c>
      <c r="BC32" s="148">
        <f t="shared" si="33"/>
        <v>0</v>
      </c>
      <c r="BD32" s="148">
        <f t="shared" si="33"/>
        <v>30352.340360831753</v>
      </c>
      <c r="BE32" s="148">
        <f t="shared" si="33"/>
        <v>110138.73120567489</v>
      </c>
      <c r="BF32" s="148">
        <f t="shared" si="33"/>
        <v>192714.86182359749</v>
      </c>
      <c r="BG32" s="148">
        <f t="shared" si="33"/>
        <v>278856.87433974387</v>
      </c>
      <c r="BH32" s="148">
        <f t="shared" si="33"/>
        <v>318135.92698936217</v>
      </c>
      <c r="BI32" s="148">
        <f t="shared" si="33"/>
        <v>65924.75013772599</v>
      </c>
      <c r="BJ32" s="148">
        <f t="shared" si="33"/>
        <v>0</v>
      </c>
      <c r="BK32" s="148">
        <f t="shared" si="33"/>
        <v>11746.367894200575</v>
      </c>
      <c r="BL32" s="148">
        <f t="shared" si="33"/>
        <v>26418.634436146644</v>
      </c>
      <c r="BM32" s="148">
        <f t="shared" si="33"/>
        <v>0</v>
      </c>
      <c r="BN32" s="148">
        <f t="shared" si="33"/>
        <v>0</v>
      </c>
      <c r="BO32" s="148">
        <f t="shared" si="33"/>
        <v>0</v>
      </c>
      <c r="BP32" s="148">
        <f t="shared" si="33"/>
        <v>29027.270549276887</v>
      </c>
      <c r="BQ32" s="148">
        <f t="shared" ref="BQ32:CV32" si="34">BP34</f>
        <v>110836.85447179974</v>
      </c>
      <c r="BR32" s="148">
        <f t="shared" si="34"/>
        <v>176812.43839432261</v>
      </c>
      <c r="BS32" s="148">
        <f t="shared" si="34"/>
        <v>242788.02231684545</v>
      </c>
      <c r="BT32" s="148">
        <f t="shared" si="34"/>
        <v>270092.85185436549</v>
      </c>
      <c r="BU32" s="148">
        <f t="shared" si="34"/>
        <v>11773.724104591063</v>
      </c>
      <c r="BV32" s="148">
        <f t="shared" si="34"/>
        <v>0</v>
      </c>
      <c r="BW32" s="148">
        <f t="shared" si="34"/>
        <v>5202.092397735888</v>
      </c>
      <c r="BX32" s="148">
        <f t="shared" si="34"/>
        <v>23654.614742535468</v>
      </c>
      <c r="BY32" s="148">
        <f t="shared" si="34"/>
        <v>0</v>
      </c>
      <c r="BZ32" s="148">
        <f t="shared" si="34"/>
        <v>0</v>
      </c>
      <c r="CA32" s="148">
        <f t="shared" si="34"/>
        <v>0</v>
      </c>
      <c r="CB32" s="148">
        <f t="shared" si="34"/>
        <v>28635.539343550521</v>
      </c>
      <c r="CC32" s="148">
        <f t="shared" si="34"/>
        <v>109465.99000938829</v>
      </c>
      <c r="CD32" s="148">
        <f t="shared" si="34"/>
        <v>174066.44067522607</v>
      </c>
      <c r="CE32" s="148">
        <f t="shared" si="34"/>
        <v>238666.89134106383</v>
      </c>
      <c r="CF32" s="148">
        <f t="shared" si="34"/>
        <v>265538.12977225299</v>
      </c>
      <c r="CG32" s="148">
        <f t="shared" si="34"/>
        <v>0</v>
      </c>
      <c r="CH32" s="148">
        <f t="shared" si="34"/>
        <v>0</v>
      </c>
      <c r="CI32" s="148">
        <f t="shared" si="34"/>
        <v>4215.5143834199735</v>
      </c>
      <c r="CJ32" s="148">
        <f t="shared" si="34"/>
        <v>21221.458139041792</v>
      </c>
      <c r="CK32" s="148">
        <f t="shared" si="34"/>
        <v>0</v>
      </c>
      <c r="CL32" s="148">
        <f t="shared" si="34"/>
        <v>0</v>
      </c>
      <c r="CM32" s="148">
        <f t="shared" si="34"/>
        <v>0</v>
      </c>
      <c r="CN32" s="148">
        <f t="shared" si="34"/>
        <v>28234.980689098124</v>
      </c>
      <c r="CO32" s="148">
        <f t="shared" si="34"/>
        <v>108062.7980982508</v>
      </c>
      <c r="CP32" s="148">
        <f t="shared" si="34"/>
        <v>171255.61550740348</v>
      </c>
      <c r="CQ32" s="148">
        <f t="shared" si="34"/>
        <v>234448.43291655616</v>
      </c>
      <c r="CR32" s="148">
        <f t="shared" si="34"/>
        <v>260873.82340797599</v>
      </c>
      <c r="CS32" s="148">
        <f t="shared" si="34"/>
        <v>0</v>
      </c>
      <c r="CT32" s="148">
        <f t="shared" si="34"/>
        <v>0</v>
      </c>
      <c r="CU32" s="148">
        <f t="shared" si="34"/>
        <v>3203.7991254738999</v>
      </c>
      <c r="CV32" s="148">
        <f t="shared" si="34"/>
        <v>18970.047354528528</v>
      </c>
      <c r="CW32" s="148">
        <f t="shared" ref="CW32:DS32" si="35">CV34</f>
        <v>0</v>
      </c>
      <c r="CX32" s="148">
        <f t="shared" si="35"/>
        <v>0</v>
      </c>
      <c r="CY32" s="148">
        <f t="shared" si="35"/>
        <v>0</v>
      </c>
      <c r="CZ32" s="148">
        <f t="shared" si="35"/>
        <v>27823.767137193659</v>
      </c>
      <c r="DA32" s="148">
        <f t="shared" si="35"/>
        <v>106623.29639220919</v>
      </c>
      <c r="DB32" s="148">
        <f t="shared" si="35"/>
        <v>168370.82564722473</v>
      </c>
      <c r="DC32" s="148">
        <f t="shared" si="35"/>
        <v>230118.35490224027</v>
      </c>
      <c r="DD32" s="148">
        <f t="shared" si="35"/>
        <v>256087.79551790445</v>
      </c>
      <c r="DE32" s="148">
        <f t="shared" si="35"/>
        <v>0</v>
      </c>
      <c r="DF32" s="148">
        <f t="shared" si="35"/>
        <v>0</v>
      </c>
      <c r="DG32" s="148">
        <f t="shared" si="35"/>
        <v>2167.774072623698</v>
      </c>
      <c r="DH32" s="148">
        <f t="shared" si="35"/>
        <v>18328.25350740469</v>
      </c>
      <c r="DI32" s="148">
        <f t="shared" si="35"/>
        <v>0</v>
      </c>
      <c r="DJ32" s="148">
        <f t="shared" si="35"/>
        <v>0</v>
      </c>
      <c r="DK32" s="148">
        <f t="shared" si="35"/>
        <v>0</v>
      </c>
      <c r="DL32" s="148">
        <f t="shared" si="35"/>
        <v>27402.898687837136</v>
      </c>
      <c r="DM32" s="148">
        <f t="shared" si="35"/>
        <v>105147.31233998948</v>
      </c>
      <c r="DN32" s="148">
        <f t="shared" si="35"/>
        <v>165413.72599214184</v>
      </c>
      <c r="DO32" s="148">
        <f t="shared" si="35"/>
        <v>225680.13964429419</v>
      </c>
      <c r="DP32" s="148">
        <f t="shared" si="35"/>
        <v>251181.37355076429</v>
      </c>
      <c r="DQ32" s="148">
        <f t="shared" si="35"/>
        <v>0</v>
      </c>
      <c r="DR32" s="148">
        <f t="shared" si="35"/>
        <v>0</v>
      </c>
      <c r="DS32" s="148">
        <f t="shared" si="35"/>
        <v>1104.7843274173038</v>
      </c>
    </row>
    <row r="33" spans="1:123" ht="12.75" customHeight="1" x14ac:dyDescent="0.35">
      <c r="A33" s="147" t="s">
        <v>496</v>
      </c>
      <c r="B33" s="139">
        <f>SUM(D33:BQ33)</f>
        <v>2076364.8424879389</v>
      </c>
      <c r="C33" s="148">
        <f>B33/60</f>
        <v>34606.080708132315</v>
      </c>
      <c r="D33" s="139">
        <f>MIN(D32,MAX(D22-D24-D28,0)+IF(Premissas!$B$8=0,0,MAX(D23-D26-(IF(Premissas!$B$8&gt;0,MAX(D24-D22,0)*Premissas!$B$8,0)),0)/Premissas!$B$8))</f>
        <v>68300.596528576192</v>
      </c>
      <c r="E33" s="139">
        <f>MIN(E32,MAX(E22-E24-E28,0)+IF(Premissas!$B$8=0,0,MAX(E23-E26-(IF(Premissas!$B$8&gt;0,MAX(E24-E22,0)*Premissas!$B$8,0)),0)/Premissas!$B$8))</f>
        <v>80215.403471423808</v>
      </c>
      <c r="F33" s="139">
        <f>MIN(F32,MAX(F22-F24-F28,0)+IF(Premissas!$B$8=0,0,MAX(F23-F26-(IF(Premissas!$B$8&gt;0,MAX(F24-F22,0)*Premissas!$B$8,0)),0)/Premissas!$B$8))</f>
        <v>0</v>
      </c>
      <c r="G33" s="139">
        <f>MIN(G32,MAX(G22-G24-G28,0)+IF(Premissas!$B$8=0,0,MAX(G23-G26-(IF(Premissas!$B$8&gt;0,MAX(G24-G22,0)*Premissas!$B$8,0)),0)/Premissas!$B$8))</f>
        <v>0</v>
      </c>
      <c r="H33" s="139">
        <f>MIN(H32,MAX(H22-H24-H28,0)+IF(Premissas!$B$8=0,0,MAX(H23-H26-(IF(Premissas!$B$8&gt;0,MAX(H24-H22,0)*Premissas!$B$8,0)),0)/Premissas!$B$8))</f>
        <v>0</v>
      </c>
      <c r="I33" s="139">
        <f>MIN(I32,MAX(I22-I24-I28,0)+IF(Premissas!$B$8=0,0,MAX(I23-I26-(IF(Premissas!$B$8&gt;0,MAX(I24-I22,0)*Premissas!$B$8,0)),0)/Premissas!$B$8))</f>
        <v>0</v>
      </c>
      <c r="J33" s="139">
        <f>MIN(J32,MAX(J22-J24-J28,0)+IF(Premissas!$B$8=0,0,MAX(J23-J26-(IF(Premissas!$B$8&gt;0,MAX(J24-J22,0)*Premissas!$B$8,0)),0)/Premissas!$B$8))</f>
        <v>0</v>
      </c>
      <c r="K33" s="139">
        <f>MIN(K32,MAX(K22-K24-K28,0)+IF(Premissas!$B$8=0,0,MAX(K23-K26-(IF(Premissas!$B$8&gt;0,MAX(K24-K22,0)*Premissas!$B$8,0)),0)/Premissas!$B$8))</f>
        <v>0</v>
      </c>
      <c r="L33" s="139">
        <f>MIN(L32,MAX(L22-L24-L28,0)+IF(Premissas!$B$8=0,0,MAX(L23-L26-(IF(Premissas!$B$8&gt;0,MAX(L24-L22,0)*Premissas!$B$8,0)),0)/Premissas!$B$8))</f>
        <v>220004.21057693873</v>
      </c>
      <c r="M33" s="139">
        <f>MIN(M32,MAX(M22-M24-M28,0)+IF(Premissas!$B$8=0,0,MAX(M23-M26-(IF(Premissas!$B$8&gt;0,MAX(M24-M22,0)*Premissas!$B$8,0)),0)/Premissas!$B$8))</f>
        <v>144669.7319981271</v>
      </c>
      <c r="N33" s="139">
        <f>MIN(N32,MAX(N22-N24-N28,0)+IF(Premissas!$B$8=0,0,MAX(N23-N26-(IF(Premissas!$B$8&gt;0,MAX(N24-N22,0)*Premissas!$B$8,0)),0)/Premissas!$B$8))</f>
        <v>0</v>
      </c>
      <c r="O33" s="139">
        <f>MIN(O32,MAX(O22-O24-O28,0)+IF(Premissas!$B$8=0,0,MAX(O23-O26-(IF(Premissas!$B$8&gt;0,MAX(O24-O22,0)*Premissas!$B$8,0)),0)/Premissas!$B$8))</f>
        <v>0</v>
      </c>
      <c r="P33" s="139">
        <f>MIN(P32,MAX(P22-P24-P28,0)+IF(Premissas!$B$8=0,0,MAX(P23-P26-(IF(Premissas!$B$8&gt;0,MAX(P24-P22,0)*Premissas!$B$8,0)),0)/Premissas!$B$8))</f>
        <v>44883.657414252877</v>
      </c>
      <c r="Q33" s="139">
        <f>MIN(Q32,MAX(Q22-Q24-Q28,0)+IF(Premissas!$B$8=0,0,MAX(Q23-Q26-(IF(Premissas!$B$8&gt;0,MAX(Q24-Q22,0)*Premissas!$B$8,0)),0)/Premissas!$B$8))</f>
        <v>0</v>
      </c>
      <c r="R33" s="139">
        <f>MIN(R32,MAX(R22-R24-R28,0)+IF(Premissas!$B$8=0,0,MAX(R23-R26-(IF(Premissas!$B$8&gt;0,MAX(R24-R22,0)*Premissas!$B$8,0)),0)/Premissas!$B$8))</f>
        <v>0</v>
      </c>
      <c r="S33" s="139">
        <f>MIN(S32,MAX(S22-S24-S28,0)+IF(Premissas!$B$8=0,0,MAX(S23-S26-(IF(Premissas!$B$8&gt;0,MAX(S24-S22,0)*Premissas!$B$8,0)),0)/Premissas!$B$8))</f>
        <v>0</v>
      </c>
      <c r="T33" s="139">
        <f>MIN(T32,MAX(T22-T24-T28,0)+IF(Premissas!$B$8=0,0,MAX(T23-T26-(IF(Premissas!$B$8&gt;0,MAX(T24-T22,0)*Premissas!$B$8,0)),0)/Premissas!$B$8))</f>
        <v>0</v>
      </c>
      <c r="U33" s="139">
        <f>MIN(U32,MAX(U22-U24-U28,0)+IF(Premissas!$B$8=0,0,MAX(U23-U26-(IF(Premissas!$B$8&gt;0,MAX(U24-U22,0)*Premissas!$B$8,0)),0)/Premissas!$B$8))</f>
        <v>0</v>
      </c>
      <c r="V33" s="139">
        <f>MIN(V32,MAX(V22-V24-V28,0)+IF(Premissas!$B$8=0,0,MAX(V23-V26-(IF(Premissas!$B$8&gt;0,MAX(V24-V22,0)*Premissas!$B$8,0)),0)/Premissas!$B$8))</f>
        <v>0</v>
      </c>
      <c r="W33" s="139">
        <f>MIN(W32,MAX(W22-W24-W28,0)+IF(Premissas!$B$8=0,0,MAX(W23-W26-(IF(Premissas!$B$8&gt;0,MAX(W24-W22,0)*Premissas!$B$8,0)),0)/Premissas!$B$8))</f>
        <v>0</v>
      </c>
      <c r="X33" s="139">
        <f>MIN(X32,MAX(X22-X24-X28,0)+IF(Premissas!$B$8=0,0,MAX(X23-X26-(IF(Premissas!$B$8&gt;0,MAX(X24-X22,0)*Premissas!$B$8,0)),0)/Premissas!$B$8))</f>
        <v>220382.92946693875</v>
      </c>
      <c r="Y33" s="139">
        <f>MIN(Y32,MAX(Y22-Y24-Y28,0)+IF(Premissas!$B$8=0,0,MAX(Y23-Y26-(IF(Premissas!$B$8&gt;0,MAX(Y24-Y22,0)*Premissas!$B$8,0)),0)/Premissas!$B$8))</f>
        <v>137676.4585645578</v>
      </c>
      <c r="Z33" s="139">
        <f>MIN(Z32,MAX(Z22-Z24-Z28,0)+IF(Premissas!$B$8=0,0,MAX(Z23-Z26-(IF(Premissas!$B$8&gt;0,MAX(Z24-Z22,0)*Premissas!$B$8,0)),0)/Premissas!$B$8))</f>
        <v>0</v>
      </c>
      <c r="AA33" s="139">
        <f>MIN(AA32,MAX(AA22-AA24-AA28,0)+IF(Premissas!$B$8=0,0,MAX(AA23-AA26-(IF(Premissas!$B$8&gt;0,MAX(AA24-AA22,0)*Premissas!$B$8,0)),0)/Premissas!$B$8))</f>
        <v>0</v>
      </c>
      <c r="AB33" s="139">
        <f>MIN(AB32,MAX(AB22-AB24-AB28,0)+IF(Premissas!$B$8=0,0,MAX(AB23-AB26-(IF(Premissas!$B$8&gt;0,MAX(AB24-AB22,0),0))*Premissas!$B$8,0)/Premissas!$B$8))</f>
        <v>44054.756246752877</v>
      </c>
      <c r="AC33" s="139">
        <f>MIN(AC32,MAX(AC22-AC24-AC28,0)+IF(Premissas!$B$8=0,0,MAX(AC23-AC26-(IF(Premissas!$B$8&gt;0,MAX(AC24-AC22,0),0))*Premissas!$B$8,0)/Premissas!$B$8))</f>
        <v>0</v>
      </c>
      <c r="AD33" s="139">
        <f>MIN(AD32,MAX(AD22-AD24-AD28,0)+IF(Premissas!$B$8=0,0,MAX(AD23-AD26-(IF(Premissas!$B$8&gt;0,MAX(AD24-AD22,0),0))*Premissas!$B$8,0)/Premissas!$B$8))</f>
        <v>0</v>
      </c>
      <c r="AE33" s="139">
        <f>MIN(AE32,MAX(AE22-AE24-AE28,0)+IF(Premissas!$B$8=0,0,MAX(AE23-AE26-(IF(Premissas!$B$8&gt;0,MAX(AE24-AE22,0),0))*Premissas!$B$8,0)/Premissas!$B$8))</f>
        <v>0</v>
      </c>
      <c r="AF33" s="139">
        <f>MIN(AF32,MAX(AF22-AF24-AF28,0)+IF(Premissas!$B$8=0,0,MAX(AF23-AF26-(IF(Premissas!$B$8&gt;0,MAX(AF24-AF22,0),0))*Premissas!$B$8,0)/Premissas!$B$8))</f>
        <v>0</v>
      </c>
      <c r="AG33" s="139">
        <f>MIN(AG32,MAX(AG22-AG24-AG28,0)+IF(Premissas!$B$8=0,0,MAX(AG23-AG26-(IF(Premissas!$B$8&gt;0,MAX(AG24-AG22,0),0))*Premissas!$B$8,0)/Premissas!$B$8))</f>
        <v>0</v>
      </c>
      <c r="AH33" s="139">
        <f>MIN(AH32,MAX(AH22-AH24-AH28,0)+IF(Premissas!$B$8=0,0,MAX(AH23-AH26-(IF(Premissas!$B$8&gt;0,MAX(AH24-AH22,0),0))*Premissas!$B$8,0)/Premissas!$B$8))</f>
        <v>0</v>
      </c>
      <c r="AI33" s="139">
        <f>MIN(AI32,MAX(AI22-AI24-AI28,0)+IF(Premissas!$B$8=0,0,MAX(AI23-AI26-(IF(Premissas!$B$8&gt;0,MAX(AI24-AI22,0),0))*Premissas!$B$8,0)/Premissas!$B$8))</f>
        <v>2003.2302045524709</v>
      </c>
      <c r="AJ33" s="139">
        <f>MIN(AJ32,MAX(AJ22-AJ24-AJ28,0)+IF(Premissas!$B$8=0,0,MAX(AJ23-AJ26-(IF(Premissas!$B$8&gt;0,MAX(AJ24-AJ22,0),0))*Premissas!$B$8,0)/Premissas!$B$8))</f>
        <v>235731.88568263859</v>
      </c>
      <c r="AK33" s="139">
        <f>MIN(AK32,MAX(AK22-AK24-AK28,0)+IF(Premissas!$B$8=0,0,MAX(AK23-AK26-(IF(Premissas!$B$8&gt;0,MAX(AK24-AK22,0),0))*Premissas!$B$8,0)/Premissas!$B$8))</f>
        <v>109957.20212186858</v>
      </c>
      <c r="AL33" s="139">
        <f>MIN(AL32,MAX(AL22-AL24-AL28,0)+IF(Premissas!$B$8=0,0,MAX(AL23-AL26-(IF(Premissas!$B$8&gt;0,MAX(AL24-AL22,0),0))*Premissas!$B$8,0)/Premissas!$B$8))</f>
        <v>0</v>
      </c>
      <c r="AM33" s="139">
        <f>MIN(AM32,MAX(AM22-AM24-AM28,0)+IF(Premissas!$B$8=0,0,MAX(AM23-AM26-(IF(Premissas!$B$8&gt;0,MAX(AM24-AM22,0),0))*Premissas!$B$8,0)/Premissas!$B$8))</f>
        <v>0</v>
      </c>
      <c r="AN33" s="139">
        <f>MIN(AN32,MAX(AN22-AN24-AN28,0)+IF(Premissas!$B$8=0,0,MAX(AN23-AN26-(IF(Premissas!$B$8&gt;0,MAX(AN24-AN22,0),0))*Premissas!$B$8,0)/Premissas!$B$8))</f>
        <v>37110.159619211212</v>
      </c>
      <c r="AO33" s="139">
        <f>MIN(AO32,MAX(AO22-AO24-AO28,0)+IF(Premissas!$B$8=0,0,MAX(AO23-AO26-(IF(Premissas!$B$8&gt;0,MAX(AO24-AO22,0),0))*Premissas!$B$8,0)/Premissas!$B$8))</f>
        <v>0</v>
      </c>
      <c r="AP33" s="139">
        <f>MIN(AP32,MAX(AP22-AP24-AP28,0)+IF(Premissas!$B$8=0,0,MAX(AP23-AP26-(IF(Premissas!$B$8&gt;0,MAX(AP24-AP22,0),0))*Premissas!$B$8,0)/Premissas!$B$8))</f>
        <v>0</v>
      </c>
      <c r="AQ33" s="139">
        <f>MIN(AQ32,MAX(AQ22-AQ24-AQ28,0)+IF(Premissas!$B$8=0,0,MAX(AQ23-AQ26-(IF(Premissas!$B$8&gt;0,MAX(AQ24-AQ22,0),0))*Premissas!$B$8,0)/Premissas!$B$8))</f>
        <v>0</v>
      </c>
      <c r="AR33" s="139">
        <f>MIN(AR32,MAX(AR22-AR24-AR28,0)+IF(Premissas!$B$8=0,0,MAX(AR23-AR26-(IF(Premissas!$B$8&gt;0,MAX(AR24-AR22,0),0))*Premissas!$B$8,0)/Premissas!$B$8))</f>
        <v>0</v>
      </c>
      <c r="AS33" s="139">
        <f>MIN(AS32,MAX(AS22-AS24-AS28,0)+IF(Premissas!$B$8=0,0,MAX(AS23-AS26-(IF(Premissas!$B$8&gt;0,MAX(AS24-AS22,0),0))*Premissas!$B$8,0)/Premissas!$B$8))</f>
        <v>0</v>
      </c>
      <c r="AT33" s="139">
        <f>MIN(AT32,MAX(AT22-AT24-AT28,0)+IF(Premissas!$B$8=0,0,MAX(AT23-AT26-(IF(Premissas!$B$8&gt;0,MAX(AT24-AT22,0),0))*Premissas!$B$8,0)/Premissas!$B$8))</f>
        <v>0</v>
      </c>
      <c r="AU33" s="139">
        <f>MIN(AU32,MAX(AU22-AU24-AU28,0)+IF(Premissas!$B$8=0,0,MAX(AU23-AU26-(IF(Premissas!$B$8&gt;0,MAX(AU24-AU22,0),0))*Premissas!$B$8,0)/Premissas!$B$8))</f>
        <v>6988.2306714876586</v>
      </c>
      <c r="AV33" s="139">
        <f>MIN(AV32,MAX(AV22-AV24-AV28,0)+IF(Premissas!$B$8=0,0,MAX(AV23-AV26-(IF(Premissas!$B$8&gt;0,MAX(AV24-AV22,0),0))*Premissas!$B$8,0)/Premissas!$B$8))</f>
        <v>243874.24709426542</v>
      </c>
      <c r="AW33" s="139">
        <f>MIN(AW32,MAX(AW22-AW24-AW28,0)+IF(Premissas!$B$8=0,0,MAX(AW23-AW26-(IF(Premissas!$B$8&gt;0,MAX(AW24-AW22,0),0))*Premissas!$B$8,0)/Premissas!$B$8))</f>
        <v>88151.336530630302</v>
      </c>
      <c r="AX33" s="139">
        <f>MIN(AX32,MAX(AX22-AX24-AX28,0)+IF(Premissas!$B$8=0,0,MAX(AX23-AX26-(IF(Premissas!$B$8&gt;0,MAX(AX24-AX22,0),0))*Premissas!$B$8,0)/Premissas!$B$8))</f>
        <v>0</v>
      </c>
      <c r="AY33" s="139">
        <f>MIN(AY32,MAX(AY22-AY24-AY28,0)+IF(Premissas!$B$8=0,0,MAX(AY23-AY26-(IF(Premissas!$B$8&gt;0,MAX(AY24-AY22,0),0))*Premissas!$B$8,0)/Premissas!$B$8))</f>
        <v>0</v>
      </c>
      <c r="AZ33" s="139">
        <f>MIN(AZ32,MAX(AZ22-AZ24-AZ28,0)+IF(Premissas!$B$8=0,0,MAX(AZ23-AZ26-(IF(Premissas!$B$8&gt;0,MAX(AZ24-AZ22,0),0))*Premissas!$B$8,0)/Premissas!$B$8))</f>
        <v>33112.66854629411</v>
      </c>
      <c r="BA33" s="139">
        <f>MIN(BA32,MAX(BA22-BA24-BA28,0)+IF(Premissas!$B$8=0,0,MAX(BA23-BA26-(IF(Premissas!$B$8&gt;0,MAX(BA24-BA22,0),0))*Premissas!$B$8,0)/Premissas!$B$8))</f>
        <v>0</v>
      </c>
      <c r="BB33" s="139">
        <f>MIN(BB32,MAX(BB22-BB24-BB28,0)+IF(Premissas!$B$8=0,0,MAX(BB23-BB26-(IF(Premissas!$B$8&gt;0,MAX(BB24-BB22,0),0))*Premissas!$B$8,0)/Premissas!$B$8))</f>
        <v>0</v>
      </c>
      <c r="BC33" s="139">
        <f>MIN(BC32,MAX(BC22-BC24-BC28,0)+IF(Premissas!$B$8=0,0,MAX(BC23-BC26-(IF(Premissas!$B$8&gt;0,MAX(BC24-BC22,0),0))*Premissas!$B$8,0)/Premissas!$B$8))</f>
        <v>0</v>
      </c>
      <c r="BD33" s="139">
        <f>MIN(BD32,MAX(BD22-BD24-BD28,0)+IF(Premissas!$B$8=0,0,MAX(BD23-BD26-(IF(Premissas!$B$8&gt;0,MAX(BD24-BD22,0),0))*Premissas!$B$8,0)/Premissas!$B$8))</f>
        <v>0</v>
      </c>
      <c r="BE33" s="139">
        <f>MIN(BE32,MAX(BE22-BE24-BE28,0)+IF(Premissas!$B$8=0,0,MAX(BE23-BE26-(IF(Premissas!$B$8&gt;0,MAX(BE24-BE22,0),0))*Premissas!$B$8,0)/Premissas!$B$8))</f>
        <v>0</v>
      </c>
      <c r="BF33" s="139">
        <f>MIN(BF32,MAX(BF22-BF24-BF28,0)+IF(Premissas!$B$8=0,0,MAX(BF23-BF26-(IF(Premissas!$B$8&gt;0,MAX(BF24-BF22,0),0))*Premissas!$B$8,0)/Premissas!$B$8))</f>
        <v>0</v>
      </c>
      <c r="BG33" s="139">
        <f>MIN(BG32,MAX(BG22-BG24-BG28,0)+IF(Premissas!$B$8=0,0,MAX(BG23-BG26-(IF(Premissas!$B$8&gt;0,MAX(BG24-BG22,0),0))*Premissas!$B$8,0)/Premissas!$B$8))</f>
        <v>12069.394814647663</v>
      </c>
      <c r="BH33" s="139">
        <f>MIN(BH32,MAX(BH22-BH24-BH28,0)+IF(Premissas!$B$8=0,0,MAX(BH23-BH26-(IF(Premissas!$B$8&gt;0,MAX(BH24-BH22,0),0))*Premissas!$B$8,0)/Premissas!$B$8))</f>
        <v>252211.17685163618</v>
      </c>
      <c r="BI33" s="139">
        <f>MIN(BI32,MAX(BI22-BI24-BI28,0)+IF(Premissas!$B$8=0,0,MAX(BI23-BI26-(IF(Premissas!$B$8&gt;0,MAX(BI24-BI22,0),0))*Premissas!$B$8,0)/Premissas!$B$8))</f>
        <v>65924.75013772599</v>
      </c>
      <c r="BJ33" s="139">
        <f>MIN(BJ32,MAX(BJ22-BJ24-BJ28,0)+IF(Premissas!$B$8=0,0,MAX(BJ23-BJ26-(IF(Premissas!$B$8&gt;0,MAX(BJ24-BJ22,0),0))*Premissas!$B$8,0)/Premissas!$B$8))</f>
        <v>0</v>
      </c>
      <c r="BK33" s="139">
        <f>MIN(BK32,MAX(BK22-BK24-BK28,0)+IF(Premissas!$B$8=0,0,MAX(BK23-BK26-(IF(Premissas!$B$8&gt;0,MAX(BK24-BK22,0),0))*Premissas!$B$8,0)/Premissas!$B$8))</f>
        <v>2624.1815092659313</v>
      </c>
      <c r="BL33" s="139">
        <f>MIN(BL32,MAX(BL22-BL24-BL28,0)+IF(Premissas!$B$8=0,0,MAX(BL23-BL26-(IF(Premissas!$B$8&gt;0,MAX(BL24-BL22,0),0))*Premissas!$B$8,0)/Premissas!$B$8))</f>
        <v>26418.634436146644</v>
      </c>
      <c r="BM33" s="139">
        <f>MIN(BM32,MAX(BM22-BM24-BM28,0)+IF(Premissas!$B$8=0,0,MAX(BM23-BM26-(IF(Premissas!$B$8&gt;0,MAX(BM24-BM22,0),0))*Premissas!$B$8,0)/Premissas!$B$8))</f>
        <v>0</v>
      </c>
      <c r="BN33" s="139">
        <f>MIN(BN32,MAX(BN22-BN24-BN28,0)+IF(Premissas!$B$8=0,0,MAX(BN23-BN26-(IF(Premissas!$B$8&gt;0,MAX(BN24-BN22,0),0))*Premissas!$B$8,0)/Premissas!$B$8))</f>
        <v>0</v>
      </c>
      <c r="BO33" s="139">
        <f>MIN(BO32,MAX(BO22-BO24-BO28,0)+IF(Premissas!$B$8=0,0,MAX(BO23-BO26-(IF(Premissas!$B$8&gt;0,MAX(BO24-BO22,0),0))*Premissas!$B$8,0)/Premissas!$B$8))</f>
        <v>0</v>
      </c>
      <c r="BP33" s="139">
        <f>MIN(BP32,MAX(BP22-BP24-BP28,0)+IF(Premissas!$B$8=0,0,MAX(BP23-BP26-(IF(Premissas!$B$8&gt;0,MAX(BP24-BP22,0),0))*Premissas!$B$8,0)/Premissas!$B$8))</f>
        <v>0</v>
      </c>
      <c r="BQ33" s="139">
        <f>MIN(BQ32,MAX(BQ22-BQ24-BQ28,0)+IF(Premissas!$B$8=0,0,MAX(BQ23-BQ26-(IF(Premissas!$B$8&gt;0,MAX(BQ24-BQ22,0),0))*Premissas!$B$8,0)/Premissas!$B$8))</f>
        <v>0</v>
      </c>
      <c r="BR33" s="139">
        <f>MIN(BR32,MAX(BR22-BR24-BR28,0)+IF(Premissas!$B$8=0,0,MAX(BR23-BR26-(IF(Premissas!$B$8&gt;0,MAX(BR24-BR22,0),0))*Premissas!$B$8,0)/Premissas!$B$8))</f>
        <v>0</v>
      </c>
      <c r="BS33" s="139">
        <f>MIN(BS32,MAX(BS22-BS24-BS28,0)+IF(Premissas!$B$8=0,0,MAX(BS23-BS26-(IF(Premissas!$B$8&gt;0,MAX(BS24-BS22,0),0))*Premissas!$B$8,0)/Premissas!$B$8))</f>
        <v>15091.00986537105</v>
      </c>
      <c r="BT33" s="139">
        <f>MIN(BT32,MAX(BT22-BT24-BT28,0)+IF(Premissas!$B$8=0,0,MAX(BT23-BT26-(IF(Premissas!$B$8&gt;0,MAX(BT24-BT22,0),0))*Premissas!$B$8,0)/Premissas!$B$8))</f>
        <v>258319.12774977443</v>
      </c>
      <c r="BU33" s="139">
        <f>MIN(BU32,MAX(BU22-BU24-BU28,0)+IF(Premissas!$B$8=0,0,MAX(BU23-BU26-(IF(Premissas!$B$8&gt;0,MAX(BU24-BU22,0),0))*Premissas!$B$8,0)/Premissas!$B$8))</f>
        <v>11773.724104591063</v>
      </c>
      <c r="BV33" s="139">
        <f>MIN(BV32,MAX(BV22-BV24-BV28,0)+IF(Premissas!$B$8=0,0,MAX(BV23-BV26-(IF(Premissas!$B$8&gt;0,MAX(BV24-BV22,0),0))*Premissas!$B$8,0)/Premissas!$B$8))</f>
        <v>0</v>
      </c>
      <c r="BW33" s="139">
        <f>MIN(BW32,MAX(BW22-BW24-BW28,0)+IF(Premissas!$B$8=0,0,MAX(BW23-BW26-(IF(Premissas!$B$8&gt;0,MAX(BW24-BW22,0),0))*Premissas!$B$8,0)/Premissas!$B$8))</f>
        <v>5202.092397735888</v>
      </c>
      <c r="BX33" s="139">
        <f>MIN(BX32,MAX(BX22-BX24-BX28,0)+IF(Premissas!$B$8=0,0,MAX(BX23-BX26-(IF(Premissas!$B$8&gt;0,MAX(BX24-BX22,0),0))*Premissas!$B$8,0)/Premissas!$B$8))</f>
        <v>23654.614742535468</v>
      </c>
      <c r="BY33" s="139">
        <f>MIN(BY32,MAX(BY22-BY24-BY28,0)+IF(Premissas!$B$8=0,0,MAX(BY23-BY26-(IF(Premissas!$B$8&gt;0,MAX(BY24-BY22,0),0))*Premissas!$B$8,0)/Premissas!$B$8))</f>
        <v>0</v>
      </c>
      <c r="BZ33" s="139">
        <f>MIN(BZ32,MAX(BZ22-BZ24-BZ28,0)+IF(Premissas!$B$8=0,0,MAX(BZ23-BZ26-(IF(Premissas!$B$8&gt;0,MAX(BZ24-BZ22,0),0))*Premissas!$B$8,0)/Premissas!$B$8))</f>
        <v>0</v>
      </c>
      <c r="CA33" s="139">
        <f>MIN(CA32,MAX(CA22-CA24-CA28,0)+IF(Premissas!$B$8=0,0,MAX(CA23-CA26-(IF(Premissas!$B$8&gt;0,MAX(CA24-CA22,0),0))*Premissas!$B$8,0)/Premissas!$B$8))</f>
        <v>0</v>
      </c>
      <c r="CB33" s="139">
        <f>MIN(CB32,MAX(CB22-CB24-CB28,0)+IF(Premissas!$B$8=0,0,MAX(CB23-CB26-(IF(Premissas!$B$8&gt;0,MAX(CB24-CB22,0),0))*Premissas!$B$8,0)/Premissas!$B$8))</f>
        <v>0</v>
      </c>
      <c r="CC33" s="139">
        <f>MIN(CC32,MAX(CC22-CC24-CC28,0)+IF(Premissas!$B$8=0,0,MAX(CC23-CC26-(IF(Premissas!$B$8&gt;0,MAX(CC24-CC22,0),0))*Premissas!$B$8,0)/Premissas!$B$8))</f>
        <v>0</v>
      </c>
      <c r="CD33" s="139">
        <f>MIN(CD32,MAX(CD22-CD24-CD28,0)+IF(Premissas!$B$8=0,0,MAX(CD23-CD26-(IF(Premissas!$B$8&gt;0,MAX(CD24-CD22,0),0))*Premissas!$B$8,0)/Premissas!$B$8))</f>
        <v>0</v>
      </c>
      <c r="CE33" s="139">
        <f>MIN(CE32,MAX(CE22-CE24-CE28,0)+IF(Premissas!$B$8=0,0,MAX(CE23-CE26-(IF(Premissas!$B$8&gt;0,MAX(CE24-CE22,0),0))*Premissas!$B$8,0)/Premissas!$B$8))</f>
        <v>15468.326484441628</v>
      </c>
      <c r="CF33" s="139">
        <f>MIN(CF32,MAX(CF22-CF24-CF28,0)+IF(Premissas!$B$8=0,0,MAX(CF23-CF26-(IF(Premissas!$B$8&gt;0,MAX(CF24-CF22,0),0))*Premissas!$B$8,0)/Premissas!$B$8))</f>
        <v>265538.12977225299</v>
      </c>
      <c r="CG33" s="139">
        <f>MIN(CG32,MAX(CG22-CG24-CG28,0)+IF(Premissas!$B$8=0,0,MAX(CG23-CG26-(IF(Premissas!$B$8&gt;0,MAX(CG24-CG22,0),0))*Premissas!$B$8,0)/Premissas!$B$8))</f>
        <v>0</v>
      </c>
      <c r="CH33" s="139">
        <f>MIN(CH32,MAX(CH22-CH24-CH28,0)+IF(Premissas!$B$8=0,0,MAX(CH23-CH26-(IF(Premissas!$B$8&gt;0,MAX(CH24-CH22,0),0))*Premissas!$B$8,0)/Premissas!$B$8))</f>
        <v>0</v>
      </c>
      <c r="CI33" s="139">
        <f>MIN(CI32,MAX(CI22-CI24-CI28,0)+IF(Premissas!$B$8=0,0,MAX(CI23-CI26-(IF(Premissas!$B$8&gt;0,MAX(CI24-CI22,0),0))*Premissas!$B$8,0)/Premissas!$B$8))</f>
        <v>4215.5143834199735</v>
      </c>
      <c r="CJ33" s="139">
        <f>MIN(CJ32,MAX(CJ22-CJ24-CJ28,0)+IF(Premissas!$B$8=0,0,MAX(CJ23-CJ26-(IF(Premissas!$B$8&gt;0,MAX(CJ24-CJ22,0),0))*Premissas!$B$8,0)/Premissas!$B$8))</f>
        <v>21221.458139041792</v>
      </c>
      <c r="CK33" s="139">
        <f>MIN(CK32,MAX(CK22-CK24-CK28,0)+IF(Premissas!$B$8=0,0,MAX(CK23-CK26-(IF(Premissas!$B$8&gt;0,MAX(CK24-CK22,0),0))*Premissas!$B$8,0)/Premissas!$B$8))</f>
        <v>0</v>
      </c>
      <c r="CL33" s="139">
        <f>MIN(CL32,MAX(CL22-CL24-CL28,0)+IF(Premissas!$B$8=0,0,MAX(CL23-CL26-(IF(Premissas!$B$8&gt;0,MAX(CL24-CL22,0),0))*Premissas!$B$8,0)/Premissas!$B$8))</f>
        <v>0</v>
      </c>
      <c r="CM33" s="139">
        <f>MIN(CM32,MAX(CM22-CM24-CM28,0)+IF(Premissas!$B$8=0,0,MAX(CM23-CM26-(IF(Premissas!$B$8&gt;0,MAX(CM24-CM22,0),0))*Premissas!$B$8,0)/Premissas!$B$8))</f>
        <v>0</v>
      </c>
      <c r="CN33" s="139">
        <f>MIN(CN32,MAX(CN22-CN24-CN28,0)+IF(Premissas!$B$8=0,0,MAX(CN23-CN26-(IF(Premissas!$B$8&gt;0,MAX(CN24-CN22,0),0))*Premissas!$B$8,0)/Premissas!$B$8))</f>
        <v>0</v>
      </c>
      <c r="CO33" s="139">
        <f>MIN(CO32,MAX(CO22-CO24-CO28,0)+IF(Premissas!$B$8=0,0,MAX(CO23-CO26-(IF(Premissas!$B$8&gt;0,MAX(CO24-CO22,0),0))*Premissas!$B$8,0)/Premissas!$B$8))</f>
        <v>0</v>
      </c>
      <c r="CP33" s="139">
        <f>MIN(CP32,MAX(CP22-CP24-CP28,0)+IF(Premissas!$B$8=0,0,MAX(CP23-CP26-(IF(Premissas!$B$8&gt;0,MAX(CP24-CP22,0),0))*Premissas!$B$8,0)/Premissas!$B$8))</f>
        <v>0</v>
      </c>
      <c r="CQ33" s="139">
        <f>MIN(CQ32,MAX(CQ22-CQ24-CQ28,0)+IF(Premissas!$B$8=0,0,MAX(CQ23-CQ26-(IF(Premissas!$B$8&gt;0,MAX(CQ24-CQ22,0),0))*Premissas!$B$8,0)/Premissas!$B$8))</f>
        <v>15855.57248822459</v>
      </c>
      <c r="CR33" s="139">
        <f>MIN(CR32,MAX(CR22-CR24-CR28,0)+IF(Premissas!$B$8=0,0,MAX(CR23-CR26-(IF(Premissas!$B$8&gt;0,MAX(CR24-CR22,0),0))*Premissas!$B$8,0)/Premissas!$B$8))</f>
        <v>260873.82340797599</v>
      </c>
      <c r="CS33" s="139">
        <f>MIN(CS32,MAX(CS22-CS24-CS28,0)+IF(Premissas!$B$8=0,0,MAX(CS23-CS26-(IF(Premissas!$B$8&gt;0,MAX(CS24-CS22,0),0))*Premissas!$B$8,0)/Premissas!$B$8))</f>
        <v>0</v>
      </c>
      <c r="CT33" s="139">
        <f>MIN(CT32,MAX(CT22-CT24-CT28,0)+IF(Premissas!$B$8=0,0,MAX(CT23-CT26-(IF(Premissas!$B$8&gt;0,MAX(CT24-CT22,0),0))*Premissas!$B$8,0)/Premissas!$B$8))</f>
        <v>0</v>
      </c>
      <c r="CU33" s="139">
        <f>MIN(CU32,MAX(CU22-CU24-CU28,0)+IF(Premissas!$B$8=0,0,MAX(CU23-CU26-(IF(Premissas!$B$8&gt;0,MAX(CU24-CU22,0),0))*Premissas!$B$8,0)/Premissas!$B$8))</f>
        <v>3203.7991254738999</v>
      </c>
      <c r="CV33" s="139">
        <f>MIN(CV32,MAX(CV22-CV24-CV28,0)+IF(Premissas!$B$8=0,0,MAX(CV23-CV26-(IF(Premissas!$B$8&gt;0,MAX(CV24-CV22,0),0))*Premissas!$B$8,0)/Premissas!$B$8))</f>
        <v>18970.047354528528</v>
      </c>
      <c r="CW33" s="139">
        <f>MIN(CW32,MAX(CW22-CW24-CW28,0)+IF(Premissas!$B$8=0,0,MAX(CW23-CW26-(IF(Premissas!$B$8&gt;0,MAX(CW24-CW22,0),0))*Premissas!$B$8,0)/Premissas!$B$8))</f>
        <v>0</v>
      </c>
      <c r="CX33" s="139">
        <f>MIN(CX32,MAX(CX22-CX24-CX28,0)+IF(Premissas!$B$8=0,0,MAX(CX23-CX26-(IF(Premissas!$B$8&gt;0,MAX(CX24-CX22,0),0))*Premissas!$B$8,0)/Premissas!$B$8))</f>
        <v>0</v>
      </c>
      <c r="CY33" s="139">
        <f>MIN(CY32,MAX(CY22-CY24-CY28,0)+IF(Premissas!$B$8=0,0,MAX(CY23-CY26-(IF(Premissas!$B$8&gt;0,MAX(CY24-CY22,0),0))*Premissas!$B$8,0)/Premissas!$B$8))</f>
        <v>0</v>
      </c>
      <c r="CZ33" s="139">
        <f>MIN(CZ32,MAX(CZ22-CZ24-CZ28,0)+IF(Premissas!$B$8=0,0,MAX(CZ23-CZ26-(IF(Premissas!$B$8&gt;0,MAX(CZ24-CZ22,0),0))*Premissas!$B$8,0)/Premissas!$B$8))</f>
        <v>0</v>
      </c>
      <c r="DA33" s="139">
        <f>MIN(DA32,MAX(DA22-DA24-DA28,0)+IF(Premissas!$B$8=0,0,MAX(DA23-DA26-(IF(Premissas!$B$8&gt;0,MAX(DA24-DA22,0),0))*Premissas!$B$8,0)/Premissas!$B$8))</f>
        <v>0</v>
      </c>
      <c r="DB33" s="139">
        <f>MIN(DB32,MAX(DB22-DB24-DB28,0)+IF(Premissas!$B$8=0,0,MAX(DB23-DB26-(IF(Premissas!$B$8&gt;0,MAX(DB24-DB22,0),0))*Premissas!$B$8,0)/Premissas!$B$8))</f>
        <v>0</v>
      </c>
      <c r="DC33" s="139">
        <f>MIN(DC32,MAX(DC22-DC24-DC28,0)+IF(Premissas!$B$8=0,0,MAX(DC23-DC26-(IF(Premissas!$B$8&gt;0,MAX(DC24-DC22,0),0))*Premissas!$B$8,0)/Premissas!$B$8))</f>
        <v>16251.092979267871</v>
      </c>
      <c r="DD33" s="139">
        <f>MIN(DD32,MAX(DD22-DD24-DD28,0)+IF(Premissas!$B$8=0,0,MAX(DD23-DD26-(IF(Premissas!$B$8&gt;0,MAX(DD24-DD22,0),0))*Premissas!$B$8,0)/Premissas!$B$8))</f>
        <v>256087.79551790445</v>
      </c>
      <c r="DE33" s="139">
        <f>MIN(DE32,MAX(DE22-DE24-DE28,0)+IF(Premissas!$B$8=0,0,MAX(DE23-DE26-(IF(Premissas!$B$8&gt;0,MAX(DE24-DE22,0),0))*Premissas!$B$8,0)/Premissas!$B$8))</f>
        <v>0</v>
      </c>
      <c r="DF33" s="139">
        <f>MIN(DF32,MAX(DF22-DF24-DF28,0)+IF(Premissas!$B$8=0,0,MAX(DF23-DF26-(IF(Premissas!$B$8&gt;0,MAX(DF24-DF22,0),0))*Premissas!$B$8,0)/Premissas!$B$8))</f>
        <v>0</v>
      </c>
      <c r="DG33" s="139">
        <f>MIN(DG32,MAX(DG22-DG24-DG28,0)+IF(Premissas!$B$8=0,0,MAX(DG23-DG26-(IF(Premissas!$B$8&gt;0,MAX(DG24-DG22,0),0))*Premissas!$B$8,0)/Premissas!$B$8))</f>
        <v>2167.774072623698</v>
      </c>
      <c r="DH33" s="139">
        <f>MIN(DH32,MAX(DH22-DH24-DH28,0)+IF(Premissas!$B$8=0,0,MAX(DH23-DH26-(IF(Premissas!$B$8&gt;0,MAX(DH24-DH22,0),0))*Premissas!$B$8,0)/Premissas!$B$8))</f>
        <v>18328.25350740469</v>
      </c>
      <c r="DI33" s="139">
        <f>MIN(DI32,MAX(DI22-DI24-DI28,0)+IF(Premissas!$B$8=0,0,MAX(DI23-DI26-(IF(Premissas!$B$8&gt;0,MAX(DI24-DI22,0),0))*Premissas!$B$8,0)/Premissas!$B$8))</f>
        <v>0</v>
      </c>
      <c r="DJ33" s="139">
        <f>MIN(DJ32,MAX(DJ22-DJ24-DJ28,0)+IF(Premissas!$B$8=0,0,MAX(DJ23-DJ26-(IF(Premissas!$B$8&gt;0,MAX(DJ24-DJ22,0),0))*Premissas!$B$8,0)/Premissas!$B$8))</f>
        <v>0</v>
      </c>
      <c r="DK33" s="139">
        <f>MIN(DK32,MAX(DK22-DK24-DK28,0)+IF(Premissas!$B$8=0,0,MAX(DK23-DK26-(IF(Premissas!$B$8&gt;0,MAX(DK24-DK22,0),0))*Premissas!$B$8,0)/Premissas!$B$8))</f>
        <v>0</v>
      </c>
      <c r="DL33" s="139">
        <f>MIN(DL32,MAX(DL22-DL24-DL28,0)+IF(Premissas!$B$8=0,0,MAX(DL23-DL26-(IF(Premissas!$B$8&gt;0,MAX(DL24-DL22,0),0))*Premissas!$B$8,0)/Premissas!$B$8))</f>
        <v>0</v>
      </c>
      <c r="DM33" s="139">
        <f>MIN(DM32,MAX(DM22-DM24-DM28,0)+IF(Premissas!$B$8=0,0,MAX(DM23-DM26-(IF(Premissas!$B$8&gt;0,MAX(DM24-DM22,0),0))*Premissas!$B$8,0)/Premissas!$B$8))</f>
        <v>0</v>
      </c>
      <c r="DN33" s="139">
        <f>MIN(DN32,MAX(DN22-DN24-DN28,0)+IF(Premissas!$B$8=0,0,MAX(DN23-DN26-(IF(Premissas!$B$8&gt;0,MAX(DN24-DN22,0),0))*Premissas!$B$8,0)/Premissas!$B$8))</f>
        <v>0</v>
      </c>
      <c r="DO33" s="139">
        <f>MIN(DO32,MAX(DO22-DO24-DO28,0)+IF(Premissas!$B$8=0,0,MAX(DO23-DO26-(IF(Premissas!$B$8&gt;0,MAX(DO24-DO22,0),0))*Premissas!$B$8,0)/Premissas!$B$8))</f>
        <v>16658.1977524756</v>
      </c>
      <c r="DP33" s="139">
        <f>MIN(DP32,MAX(DP22-DP24-DP28,0)+IF(Premissas!$B$8=0,0,MAX(DP23-DP26-(IF(Premissas!$B$8&gt;0,MAX(DP24-DP22,0),0))*Premissas!$B$8,0)/Premissas!$B$8))</f>
        <v>251181.37355076429</v>
      </c>
      <c r="DQ33" s="139">
        <f>MIN(DQ32,MAX(DQ22-DQ24-DQ28,0)+IF(Premissas!$B$8=0,0,MAX(DQ23-DQ26-(IF(Premissas!$B$8&gt;0,MAX(DQ24-DQ22,0),0))*Premissas!$B$8,0)/Premissas!$B$8))</f>
        <v>0</v>
      </c>
      <c r="DR33" s="139">
        <f>MIN(DR32,MAX(DR22-DR24-DR28,0)+IF(Premissas!$B$8=0,0,MAX(DR23-DR26-(IF(Premissas!$B$8&gt;0,MAX(DR24-DR22,0),0))*Premissas!$B$8,0)/Premissas!$B$8))</f>
        <v>0</v>
      </c>
      <c r="DS33" s="139">
        <f>MIN(DS32,MAX(DS22-DS24-DS28,0)+IF(Premissas!$B$8=0,0,MAX(DS23-DS26-(IF(Premissas!$B$8&gt;0,MAX(DS24-DS22,0),0))*Premissas!$B$8,0)/Premissas!$B$8))</f>
        <v>1104.7843274173038</v>
      </c>
    </row>
    <row r="34" spans="1:123" ht="12.75" customHeight="1" x14ac:dyDescent="0.35">
      <c r="A34" s="147" t="s">
        <v>497</v>
      </c>
      <c r="B34" s="158">
        <f>AA34</f>
        <v>44054.756246752877</v>
      </c>
      <c r="C34" s="148" t="s">
        <v>169</v>
      </c>
      <c r="D34" s="158">
        <f t="shared" ref="D34:AI34" si="36">MAX(D32-D33,0)+D28+MAX(D24-D22,0)</f>
        <v>80215.403471423808</v>
      </c>
      <c r="E34" s="158">
        <f t="shared" si="36"/>
        <v>0</v>
      </c>
      <c r="F34" s="158">
        <f t="shared" si="36"/>
        <v>0</v>
      </c>
      <c r="G34" s="158">
        <f t="shared" si="36"/>
        <v>32711.293107221009</v>
      </c>
      <c r="H34" s="158">
        <f t="shared" si="36"/>
        <v>118480.15463598265</v>
      </c>
      <c r="I34" s="158">
        <f t="shared" si="36"/>
        <v>208861.11616474431</v>
      </c>
      <c r="J34" s="158">
        <f t="shared" si="36"/>
        <v>302880.17769350589</v>
      </c>
      <c r="K34" s="158">
        <f t="shared" si="36"/>
        <v>364673.94257506583</v>
      </c>
      <c r="L34" s="158">
        <f t="shared" si="36"/>
        <v>144669.7319981271</v>
      </c>
      <c r="M34" s="158">
        <f t="shared" si="36"/>
        <v>0</v>
      </c>
      <c r="N34" s="158">
        <f t="shared" si="36"/>
        <v>16385.833543216624</v>
      </c>
      <c r="O34" s="158">
        <f t="shared" si="36"/>
        <v>44883.657414252877</v>
      </c>
      <c r="P34" s="158">
        <f t="shared" si="36"/>
        <v>0</v>
      </c>
      <c r="Q34" s="158">
        <f t="shared" si="36"/>
        <v>0</v>
      </c>
      <c r="R34" s="158">
        <f t="shared" si="36"/>
        <v>0</v>
      </c>
      <c r="S34" s="158">
        <f t="shared" si="36"/>
        <v>32132.802190028931</v>
      </c>
      <c r="T34" s="158">
        <f t="shared" si="36"/>
        <v>116434.95625700962</v>
      </c>
      <c r="U34" s="158">
        <f t="shared" si="36"/>
        <v>204906.17482399032</v>
      </c>
      <c r="V34" s="158">
        <f t="shared" si="36"/>
        <v>296997.30289097095</v>
      </c>
      <c r="W34" s="158">
        <f t="shared" si="36"/>
        <v>358059.38803149655</v>
      </c>
      <c r="X34" s="158">
        <f t="shared" si="36"/>
        <v>137676.4585645578</v>
      </c>
      <c r="Y34" s="158">
        <f t="shared" si="36"/>
        <v>0</v>
      </c>
      <c r="Z34" s="158">
        <f t="shared" si="36"/>
        <v>16129.467066966627</v>
      </c>
      <c r="AA34" s="158">
        <f t="shared" si="36"/>
        <v>44054.756246752877</v>
      </c>
      <c r="AB34" s="158">
        <f t="shared" si="36"/>
        <v>0</v>
      </c>
      <c r="AC34" s="158">
        <f t="shared" si="36"/>
        <v>0</v>
      </c>
      <c r="AD34" s="158">
        <f t="shared" si="36"/>
        <v>0</v>
      </c>
      <c r="AE34" s="158">
        <f t="shared" si="36"/>
        <v>31547.14735786082</v>
      </c>
      <c r="AF34" s="158">
        <f t="shared" si="36"/>
        <v>114363.27593433451</v>
      </c>
      <c r="AG34" s="158">
        <f t="shared" si="36"/>
        <v>200896.8986883082</v>
      </c>
      <c r="AH34" s="158">
        <f t="shared" si="36"/>
        <v>291032.33139478182</v>
      </c>
      <c r="AI34" s="158">
        <f t="shared" si="36"/>
        <v>345689.08780450717</v>
      </c>
      <c r="AJ34" s="158">
        <f t="shared" ref="AJ34:BO34" si="37">MAX(AJ32-AJ33,0)+AJ28+MAX(AJ24-AJ22,0)</f>
        <v>109957.20212186858</v>
      </c>
      <c r="AK34" s="158">
        <f t="shared" si="37"/>
        <v>0</v>
      </c>
      <c r="AL34" s="158">
        <f t="shared" si="37"/>
        <v>14107.669446055261</v>
      </c>
      <c r="AM34" s="158">
        <f t="shared" si="37"/>
        <v>37110.159619211212</v>
      </c>
      <c r="AN34" s="158">
        <f t="shared" si="37"/>
        <v>0</v>
      </c>
      <c r="AO34" s="158">
        <f t="shared" si="37"/>
        <v>0</v>
      </c>
      <c r="AP34" s="158">
        <f t="shared" si="37"/>
        <v>0</v>
      </c>
      <c r="AQ34" s="158">
        <f t="shared" si="37"/>
        <v>30953.167895595867</v>
      </c>
      <c r="AR34" s="158">
        <f t="shared" si="37"/>
        <v>112265.26535446256</v>
      </c>
      <c r="AS34" s="158">
        <f t="shared" si="37"/>
        <v>196834.74951994178</v>
      </c>
      <c r="AT34" s="158">
        <f t="shared" si="37"/>
        <v>284988.03458815842</v>
      </c>
      <c r="AU34" s="158">
        <f t="shared" si="37"/>
        <v>332025.58362489572</v>
      </c>
      <c r="AV34" s="158">
        <f t="shared" si="37"/>
        <v>88151.336530630302</v>
      </c>
      <c r="AW34" s="158">
        <f t="shared" si="37"/>
        <v>0</v>
      </c>
      <c r="AX34" s="158">
        <f t="shared" si="37"/>
        <v>12937.539044528359</v>
      </c>
      <c r="AY34" s="158">
        <f t="shared" si="37"/>
        <v>33112.66854629411</v>
      </c>
      <c r="AZ34" s="158">
        <f t="shared" si="37"/>
        <v>0</v>
      </c>
      <c r="BA34" s="158">
        <f t="shared" si="37"/>
        <v>0</v>
      </c>
      <c r="BB34" s="158">
        <f t="shared" si="37"/>
        <v>0</v>
      </c>
      <c r="BC34" s="158">
        <f t="shared" si="37"/>
        <v>30352.340360831753</v>
      </c>
      <c r="BD34" s="158">
        <f t="shared" si="37"/>
        <v>110138.73120567489</v>
      </c>
      <c r="BE34" s="158">
        <f t="shared" si="37"/>
        <v>192714.86182359749</v>
      </c>
      <c r="BF34" s="158">
        <f t="shared" si="37"/>
        <v>278856.87433974387</v>
      </c>
      <c r="BG34" s="158">
        <f t="shared" si="37"/>
        <v>318135.92698936217</v>
      </c>
      <c r="BH34" s="158">
        <f t="shared" si="37"/>
        <v>65924.75013772599</v>
      </c>
      <c r="BI34" s="158">
        <f t="shared" si="37"/>
        <v>0</v>
      </c>
      <c r="BJ34" s="158">
        <f t="shared" si="37"/>
        <v>11746.367894200575</v>
      </c>
      <c r="BK34" s="158">
        <f t="shared" si="37"/>
        <v>26418.634436146644</v>
      </c>
      <c r="BL34" s="158">
        <f t="shared" si="37"/>
        <v>0</v>
      </c>
      <c r="BM34" s="158">
        <f t="shared" si="37"/>
        <v>0</v>
      </c>
      <c r="BN34" s="158">
        <f t="shared" si="37"/>
        <v>0</v>
      </c>
      <c r="BO34" s="158">
        <f t="shared" si="37"/>
        <v>29027.270549276887</v>
      </c>
      <c r="BP34" s="158">
        <f t="shared" ref="BP34:CU34" si="38">MAX(BP32-BP33,0)+BP28+MAX(BP24-BP22,0)</f>
        <v>110836.85447179974</v>
      </c>
      <c r="BQ34" s="158">
        <f t="shared" si="38"/>
        <v>176812.43839432261</v>
      </c>
      <c r="BR34" s="158">
        <f t="shared" si="38"/>
        <v>242788.02231684545</v>
      </c>
      <c r="BS34" s="158">
        <f t="shared" si="38"/>
        <v>270092.85185436549</v>
      </c>
      <c r="BT34" s="158">
        <f t="shared" si="38"/>
        <v>11773.724104591063</v>
      </c>
      <c r="BU34" s="158">
        <f t="shared" si="38"/>
        <v>0</v>
      </c>
      <c r="BV34" s="158">
        <f t="shared" si="38"/>
        <v>5202.092397735888</v>
      </c>
      <c r="BW34" s="158">
        <f t="shared" si="38"/>
        <v>23654.614742535468</v>
      </c>
      <c r="BX34" s="158">
        <f t="shared" si="38"/>
        <v>0</v>
      </c>
      <c r="BY34" s="158">
        <f t="shared" si="38"/>
        <v>0</v>
      </c>
      <c r="BZ34" s="158">
        <f t="shared" si="38"/>
        <v>0</v>
      </c>
      <c r="CA34" s="158">
        <f t="shared" si="38"/>
        <v>28635.539343550521</v>
      </c>
      <c r="CB34" s="158">
        <f t="shared" si="38"/>
        <v>109465.99000938829</v>
      </c>
      <c r="CC34" s="158">
        <f t="shared" si="38"/>
        <v>174066.44067522607</v>
      </c>
      <c r="CD34" s="158">
        <f t="shared" si="38"/>
        <v>238666.89134106383</v>
      </c>
      <c r="CE34" s="158">
        <f t="shared" si="38"/>
        <v>265538.12977225299</v>
      </c>
      <c r="CF34" s="158">
        <f t="shared" si="38"/>
        <v>0</v>
      </c>
      <c r="CG34" s="158">
        <f t="shared" si="38"/>
        <v>0</v>
      </c>
      <c r="CH34" s="158">
        <f t="shared" si="38"/>
        <v>4215.5143834199735</v>
      </c>
      <c r="CI34" s="158">
        <f t="shared" si="38"/>
        <v>21221.458139041792</v>
      </c>
      <c r="CJ34" s="158">
        <f t="shared" si="38"/>
        <v>0</v>
      </c>
      <c r="CK34" s="158">
        <f t="shared" si="38"/>
        <v>0</v>
      </c>
      <c r="CL34" s="158">
        <f t="shared" si="38"/>
        <v>0</v>
      </c>
      <c r="CM34" s="158">
        <f t="shared" si="38"/>
        <v>28234.980689098124</v>
      </c>
      <c r="CN34" s="158">
        <f t="shared" si="38"/>
        <v>108062.7980982508</v>
      </c>
      <c r="CO34" s="158">
        <f t="shared" si="38"/>
        <v>171255.61550740348</v>
      </c>
      <c r="CP34" s="158">
        <f t="shared" si="38"/>
        <v>234448.43291655616</v>
      </c>
      <c r="CQ34" s="158">
        <f t="shared" si="38"/>
        <v>260873.82340797599</v>
      </c>
      <c r="CR34" s="158">
        <f t="shared" si="38"/>
        <v>0</v>
      </c>
      <c r="CS34" s="158">
        <f t="shared" si="38"/>
        <v>0</v>
      </c>
      <c r="CT34" s="158">
        <f t="shared" si="38"/>
        <v>3203.7991254738999</v>
      </c>
      <c r="CU34" s="158">
        <f t="shared" si="38"/>
        <v>18970.047354528528</v>
      </c>
      <c r="CV34" s="158">
        <f t="shared" ref="CV34:DS34" si="39">MAX(CV32-CV33,0)+CV28+MAX(CV24-CV22,0)</f>
        <v>0</v>
      </c>
      <c r="CW34" s="158">
        <f t="shared" si="39"/>
        <v>0</v>
      </c>
      <c r="CX34" s="158">
        <f t="shared" si="39"/>
        <v>0</v>
      </c>
      <c r="CY34" s="158">
        <f t="shared" si="39"/>
        <v>27823.767137193659</v>
      </c>
      <c r="CZ34" s="158">
        <f t="shared" si="39"/>
        <v>106623.29639220919</v>
      </c>
      <c r="DA34" s="158">
        <f t="shared" si="39"/>
        <v>168370.82564722473</v>
      </c>
      <c r="DB34" s="158">
        <f t="shared" si="39"/>
        <v>230118.35490224027</v>
      </c>
      <c r="DC34" s="158">
        <f t="shared" si="39"/>
        <v>256087.79551790445</v>
      </c>
      <c r="DD34" s="158">
        <f t="shared" si="39"/>
        <v>0</v>
      </c>
      <c r="DE34" s="158">
        <f t="shared" si="39"/>
        <v>0</v>
      </c>
      <c r="DF34" s="158">
        <f t="shared" si="39"/>
        <v>2167.774072623698</v>
      </c>
      <c r="DG34" s="158">
        <f t="shared" si="39"/>
        <v>18328.25350740469</v>
      </c>
      <c r="DH34" s="158">
        <f t="shared" si="39"/>
        <v>0</v>
      </c>
      <c r="DI34" s="158">
        <f t="shared" si="39"/>
        <v>0</v>
      </c>
      <c r="DJ34" s="158">
        <f t="shared" si="39"/>
        <v>0</v>
      </c>
      <c r="DK34" s="158">
        <f t="shared" si="39"/>
        <v>27402.898687837136</v>
      </c>
      <c r="DL34" s="158">
        <f t="shared" si="39"/>
        <v>105147.31233998948</v>
      </c>
      <c r="DM34" s="158">
        <f t="shared" si="39"/>
        <v>165413.72599214184</v>
      </c>
      <c r="DN34" s="158">
        <f t="shared" si="39"/>
        <v>225680.13964429419</v>
      </c>
      <c r="DO34" s="158">
        <f t="shared" si="39"/>
        <v>251181.37355076429</v>
      </c>
      <c r="DP34" s="158">
        <f t="shared" si="39"/>
        <v>0</v>
      </c>
      <c r="DQ34" s="158">
        <f t="shared" si="39"/>
        <v>0</v>
      </c>
      <c r="DR34" s="158">
        <f t="shared" si="39"/>
        <v>1104.7843274173038</v>
      </c>
      <c r="DS34" s="158">
        <f t="shared" si="39"/>
        <v>17669.149865376727</v>
      </c>
    </row>
    <row r="35" spans="1:123" ht="12.75" customHeight="1" x14ac:dyDescent="0.35">
      <c r="A35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35" s="160">
        <f>SUM(D35:BQ35)</f>
        <v>3557430.3046701904</v>
      </c>
      <c r="C35" s="161">
        <f>B35/60</f>
        <v>59290.505077836504</v>
      </c>
      <c r="D35" s="162">
        <f>IF(D34&gt;0,0,MAX(D22-D24-D28-D32,0)*Premissas!$B$5+MAX(D23-D26-(IF(Premissas!$B$8&gt;0,MAX(D24+D28+D32-D22,0)*Premissas!$B$8,0)),0)*Premissas!$B$6)</f>
        <v>0</v>
      </c>
      <c r="E35" s="162">
        <f>IF(E34&gt;0,0,MAX(E22-E24-E28-E32,0)*Premissas!$B$5+MAX(E23-E26-(IF(Premissas!$B$8&gt;0,MAX(E24+E28+E32-E22,0)*Premissas!$B$8,0)),0)*Premissas!$B$6)</f>
        <v>199280.76126500682</v>
      </c>
      <c r="F35" s="162">
        <f>IF(F34&gt;0,0,MAX(F22-F24-F28-F32,0)*Premissas!$B$5+MAX(F23-F26-(IF(Premissas!$B$8&gt;0,MAX(F24+F28+F32-F22,0)*Premissas!$B$8,0)),0)*Premissas!$B$6)</f>
        <v>121597.68319510968</v>
      </c>
      <c r="G35" s="162">
        <f>IF(G34&gt;0,0,MAX(G22-G24-G28-G32,0)*Premissas!$B$5+MAX(G23-G26-(IF(Premissas!$B$8&gt;0,MAX(G24+G28+G32-G22,0)*Premissas!$B$8,0)),0)*Premissas!$B$6)</f>
        <v>0</v>
      </c>
      <c r="H35" s="162">
        <f>IF(H34&gt;0,0,MAX(H22-H24-H28-H32,0)*Premissas!$B$5+MAX(H23-H26-(IF(Premissas!$B$8&gt;0,MAX(H24+H28+H32-H22,0)*Premissas!$B$8,0)),0)*Premissas!$B$6)</f>
        <v>0</v>
      </c>
      <c r="I35" s="162">
        <f>IF(I34&gt;0,0,MAX(I22-I24-I28-I32,0)*Premissas!$B$5+MAX(I23-I26-(IF(Premissas!$B$8&gt;0,MAX(I24+I28+I32-I22,0)*Premissas!$B$8,0)),0)*Premissas!$B$6)</f>
        <v>0</v>
      </c>
      <c r="J35" s="162">
        <f>IF(J34&gt;0,0,MAX(J22-J24-J28-J32,0)*Premissas!$B$5+MAX(J23-J26-(IF(Premissas!$B$8&gt;0,MAX(J24+J28+J32-J22,0)*Premissas!$B$8,0)),0)*Premissas!$B$6)</f>
        <v>0</v>
      </c>
      <c r="K35" s="162">
        <f>IF(K34&gt;0,0,MAX(K22-K24-K28-K32,0)*Premissas!$B$5+MAX(K23-K26-(IF(Premissas!$B$8&gt;0,MAX(K24+K28+K32-K22,0)*Premissas!$B$8,0)),0)*Premissas!$B$6)</f>
        <v>0</v>
      </c>
      <c r="L35" s="162">
        <f>IF(L34&gt;0,0,MAX(L22-L24-L28-L32,0)*Premissas!$B$5+MAX(L23-L26-(IF(Premissas!$B$8&gt;0,MAX(L24+L28+L32-L22,0)*Premissas!$B$8,0)),0)*Premissas!$B$6)</f>
        <v>0</v>
      </c>
      <c r="M35" s="162">
        <f>IF(M34&gt;0,0,MAX(M22-M24-M28-M32,0)*Premissas!$B$5+MAX(M23-M26-(IF(Premissas!$B$8&gt;0,MAX(M24+M28+M32-M22,0)*Premissas!$B$8,0)),0)*Premissas!$B$6)</f>
        <v>168201.5864363811</v>
      </c>
      <c r="N35" s="162">
        <f>IF(N34&gt;0,0,MAX(N22-N24-N28-N32,0)*Premissas!$B$5+MAX(N23-N26-(IF(Premissas!$B$8&gt;0,MAX(N24+N28+N32-N22,0)*Premissas!$B$8,0)),0)*Premissas!$B$6)</f>
        <v>0</v>
      </c>
      <c r="O35" s="162">
        <f>IF(O34&gt;0,0,MAX(O22-O24-O28-O32,0)*Premissas!$B$5+MAX(O23-O26-(IF(Premissas!$B$8&gt;0,MAX(O24+O28+O32-O22,0)*Premissas!$B$8,0)),0)*Premissas!$B$6)</f>
        <v>0</v>
      </c>
      <c r="P35" s="162">
        <f>IF(P34&gt;0,0,MAX(P22-P24-P28-P32,0)*Premissas!$B$5+MAX(P23-P26-(IF(Premissas!$B$8&gt;0,MAX(P24+P28+P32-P22,0)*Premissas!$B$8,0)),0)*Premissas!$B$6)</f>
        <v>40190.636706502912</v>
      </c>
      <c r="Q35" s="162">
        <f>IF(Q34&gt;0,0,MAX(Q22-Q24-Q28-Q32,0)*Premissas!$B$5+MAX(Q23-Q26-(IF(Premissas!$B$8&gt;0,MAX(Q24+Q28+Q32-Q22,0)*Premissas!$B$8,0)),0)*Premissas!$B$6)</f>
        <v>248756.84466877038</v>
      </c>
      <c r="R35" s="162">
        <f>IF(R34&gt;0,0,MAX(R22-R24-R28-R32,0)*Premissas!$B$5+MAX(R23-R26-(IF(Premissas!$B$8&gt;0,MAX(R24+R28+R32-R22,0)*Premissas!$B$8,0)),0)*Premissas!$B$6)</f>
        <v>125896.52040232674</v>
      </c>
      <c r="S35" s="162">
        <f>IF(S34&gt;0,0,MAX(S22-S24-S28-S32,0)*Premissas!$B$5+MAX(S23-S26-(IF(Premissas!$B$8&gt;0,MAX(S24+S28+S32-S22,0)*Premissas!$B$8,0)),0)*Premissas!$B$6)</f>
        <v>0</v>
      </c>
      <c r="T35" s="162">
        <f>IF(T34&gt;0,0,MAX(T22-T24-T28-T32,0)*Premissas!$B$5+MAX(T23-T26-(IF(Premissas!$B$8&gt;0,MAX(T24+T28+T32-T22,0)*Premissas!$B$8,0)),0)*Premissas!$B$6)</f>
        <v>0</v>
      </c>
      <c r="U35" s="162">
        <f>IF(U34&gt;0,0,MAX(U22-U24-U28-U32,0)*Premissas!$B$5+MAX(U23-U26-(IF(Premissas!$B$8&gt;0,MAX(U24+U28+U32-U22,0)*Premissas!$B$8,0)),0)*Premissas!$B$6)</f>
        <v>0</v>
      </c>
      <c r="V35" s="162">
        <f>IF(V34&gt;0,0,MAX(V22-V24-V28-V32,0)*Premissas!$B$5+MAX(V23-V26-(IF(Premissas!$B$8&gt;0,MAX(V24+V28+V32-V22,0)*Premissas!$B$8,0)),0)*Premissas!$B$6)</f>
        <v>0</v>
      </c>
      <c r="W35" s="162">
        <f>IF(W34&gt;0,0,MAX(W22-W24-W28-W32,0)*Premissas!$B$5+MAX(W23-W26-(IF(Premissas!$B$8&gt;0,MAX(W24+W28+W32-W22,0)*Premissas!$B$8,0)),0)*Premissas!$B$6)</f>
        <v>0</v>
      </c>
      <c r="X35" s="162">
        <f>IF(X34&gt;0,0,MAX(X22-X24-X28-X32,0)*Premissas!$B$5+MAX(X23-X26-(IF(Premissas!$B$8&gt;0,MAX(X24+X28+X32-X22,0)*Premissas!$B$8,0)),0)*Premissas!$B$6)</f>
        <v>0</v>
      </c>
      <c r="Y35" s="162">
        <f>IF(Y34&gt;0,0,MAX(Y22-Y24-Y28-Y32,0)*Premissas!$B$5+MAX(Y23-Y26-(IF(Premissas!$B$8&gt;0,MAX(Y24+Y28+Y32-Y22,0)*Premissas!$B$8,0)),0)*Premissas!$B$6)</f>
        <v>172118.69891132112</v>
      </c>
      <c r="Z35" s="162">
        <f>IF(Z34&gt;0,0,MAX(Z22-Z24-Z28-Z32,0)*Premissas!$B$5+MAX(Z23-Z26-(IF(Premissas!$B$8&gt;0,MAX(Z24+Z28+Z32-Z22,0)*Premissas!$B$8,0)),0)*Premissas!$B$6)</f>
        <v>0</v>
      </c>
      <c r="AA35" s="162">
        <f>IF(AA34&gt;0,0,MAX(AA22-AA24-AA28-AA32,0)*Premissas!$B$5+MAX(AA23-AA26-(IF(Premissas!$B$8&gt;0,MAX(AA24+AA28+AA32-AA22,0)*Premissas!$B$8,0)),0)*Premissas!$B$6)</f>
        <v>0</v>
      </c>
      <c r="AB35" s="162">
        <f>IF(AB34&gt;0,0,MAX(AB22-AB24-AB28-AB32,0)*Premissas!$B$5+MAX(AB23-AB26-(IF(Premissas!$B$8&gt;0,MAX(AB24+AB26-AB22-AB23,0)*Premissas!$B$8,0)),0)*Premissas!$B$6)</f>
        <v>43170.39146891245</v>
      </c>
      <c r="AC35" s="162">
        <f>IF(AC34&gt;0,0,MAX(AC22-AC24-AC28-AC32,0)*Premissas!$B$5+MAX(AC23-AC26-(IF(Premissas!$B$8&gt;0,MAX(AC24+AC26-AC22-AC23,0)*Premissas!$B$8,0)),0)*Premissas!$B$6)</f>
        <v>256179.56512241776</v>
      </c>
      <c r="AD35" s="162">
        <f>IF(AD34&gt;0,0,MAX(AD22-AD24-AD28-AD32,0)*Premissas!$B$5+MAX(AD23-AD26-(IF(Premissas!$B$8&gt;0,MAX(AD24+AD26-AD22-AD23,0)*Premissas!$B$8,0)),0)*Premissas!$B$6)</f>
        <v>130299.09693935349</v>
      </c>
      <c r="AE35" s="162">
        <f>IF(AE34&gt;0,0,MAX(AE22-AE24-AE28-AE32,0)*Premissas!$B$5+MAX(AE23-AE26-(IF(Premissas!$B$8&gt;0,MAX(AE24+AE26-AE22-AE23,0)*Premissas!$B$8,0)),0)*Premissas!$B$6)</f>
        <v>0</v>
      </c>
      <c r="AF35" s="162">
        <f>IF(AF34&gt;0,0,MAX(AF22-AF24-AF28-AF32,0)*Premissas!$B$5+MAX(AF23-AF26-(IF(Premissas!$B$8&gt;0,MAX(AF24+AF26-AF22-AF23,0)*Premissas!$B$8,0)),0)*Premissas!$B$6)</f>
        <v>0</v>
      </c>
      <c r="AG35" s="162">
        <f>IF(AG34&gt;0,0,MAX(AG22-AG24-AG28-AG32,0)*Premissas!$B$5+MAX(AG23-AG26-(IF(Premissas!$B$8&gt;0,MAX(AG24+AG26-AG22-AG23,0)*Premissas!$B$8,0)),0)*Premissas!$B$6)</f>
        <v>0</v>
      </c>
      <c r="AH35" s="162">
        <f>IF(AH34&gt;0,0,MAX(AH22-AH24-AH28-AH32,0)*Premissas!$B$5+MAX(AH23-AH26-(IF(Premissas!$B$8&gt;0,MAX(AH24+AH26-AH22-AH23,0)*Premissas!$B$8,0)),0)*Premissas!$B$6)</f>
        <v>0</v>
      </c>
      <c r="AI35" s="162">
        <f>IF(AI34&gt;0,0,MAX(AI22-AI24-AI28-AI32,0)*Premissas!$B$5+MAX(AI23-AI26-(IF(Premissas!$B$8&gt;0,MAX(AI24+AI26-AI22-AI23,0)*Premissas!$B$8,0)),0)*Premissas!$B$6)</f>
        <v>0</v>
      </c>
      <c r="AJ35" s="162">
        <f>IF(AJ34&gt;0,0,MAX(AJ22-AJ24-AJ28-AJ32,0)*Premissas!$B$5+MAX(AJ23-AJ26-(IF(Premissas!$B$8&gt;0,MAX(AJ24+AJ26-AJ22-AJ23,0)*Premissas!$B$8,0)),0)*Premissas!$B$6)</f>
        <v>0</v>
      </c>
      <c r="AK35" s="162">
        <f>IF(AK34&gt;0,0,MAX(AK22-AK24-AK28-AK32,0)*Premissas!$B$5+MAX(AK23-AK26-(IF(Premissas!$B$8&gt;0,MAX(AK24+AK26-AK22-AK23,0)*Premissas!$B$8,0)),0)*Premissas!$B$6)</f>
        <v>201698.78672062815</v>
      </c>
      <c r="AL35" s="162">
        <f>IF(AL34&gt;0,0,MAX(AL22-AL24-AL28-AL32,0)*Premissas!$B$5+MAX(AL23-AL26-(IF(Premissas!$B$8&gt;0,MAX(AL24+AL26-AL22-AL23,0)*Premissas!$B$8,0)),0)*Premissas!$B$6)</f>
        <v>0</v>
      </c>
      <c r="AM35" s="162">
        <f>IF(AM34&gt;0,0,MAX(AM22-AM24-AM28-AM32,0)*Premissas!$B$5+MAX(AM23-AM26-(IF(Premissas!$B$8&gt;0,MAX(AM24+AM26-AM22-AM23,0)*Premissas!$B$8,0)),0)*Premissas!$B$6)</f>
        <v>0</v>
      </c>
      <c r="AN35" s="162">
        <f>IF(AN34&gt;0,0,MAX(AN22-AN24-AN28-AN32,0)*Premissas!$B$5+MAX(AN23-AN26-(IF(Premissas!$B$8&gt;0,MAX(AN24+AN26-AN22-AN23,0)*Premissas!$B$8,0)),0)*Premissas!$B$6)</f>
        <v>49432.170395668232</v>
      </c>
      <c r="AO35" s="162">
        <f>IF(AO34&gt;0,0,MAX(AO22-AO24-AO28-AO32,0)*Premissas!$B$5+MAX(AO23-AO26-(IF(Premissas!$B$8&gt;0,MAX(AO24+AO26-AO22-AO23,0)*Premissas!$B$8,0)),0)*Premissas!$B$6)</f>
        <v>263781.25966580049</v>
      </c>
      <c r="AP35" s="162">
        <f>IF(AP34&gt;0,0,MAX(AP22-AP24-AP28-AP32,0)*Premissas!$B$5+MAX(AP23-AP26-(IF(Premissas!$B$8&gt;0,MAX(AP24+AP26-AP22-AP23,0)*Premissas!$B$8,0)),0)*Premissas!$B$6)</f>
        <v>134806.47100098859</v>
      </c>
      <c r="AQ35" s="162">
        <f>IF(AQ34&gt;0,0,MAX(AQ22-AQ24-AQ28-AQ32,0)*Premissas!$B$5+MAX(AQ23-AQ26-(IF(Premissas!$B$8&gt;0,MAX(AQ24+AQ26-AQ22-AQ23,0)*Premissas!$B$8,0)),0)*Premissas!$B$6)</f>
        <v>0</v>
      </c>
      <c r="AR35" s="162">
        <f>IF(AR34&gt;0,0,MAX(AR22-AR24-AR28-AR32,0)*Premissas!$B$5+MAX(AR23-AR26-(IF(Premissas!$B$8&gt;0,MAX(AR24+AR26-AR22-AR23,0)*Premissas!$B$8,0)),0)*Premissas!$B$6)</f>
        <v>0</v>
      </c>
      <c r="AS35" s="162">
        <f>IF(AS34&gt;0,0,MAX(AS22-AS24-AS28-AS32,0)*Premissas!$B$5+MAX(AS23-AS26-(IF(Premissas!$B$8&gt;0,MAX(AS24+AS26-AS22-AS23,0)*Premissas!$B$8,0)),0)*Premissas!$B$6)</f>
        <v>0</v>
      </c>
      <c r="AT35" s="162">
        <f>IF(AT34&gt;0,0,MAX(AT22-AT24-AT28-AT32,0)*Premissas!$B$5+MAX(AT23-AT26-(IF(Premissas!$B$8&gt;0,MAX(AT24+AT26-AT22-AT23,0)*Premissas!$B$8,0)),0)*Premissas!$B$6)</f>
        <v>0</v>
      </c>
      <c r="AU35" s="162">
        <f>IF(AU34&gt;0,0,MAX(AU22-AU24-AU28-AU32,0)*Premissas!$B$5+MAX(AU23-AU26-(IF(Premissas!$B$8&gt;0,MAX(AU24+AU26-AU22-AU23,0)*Premissas!$B$8,0)),0)*Premissas!$B$6)</f>
        <v>0</v>
      </c>
      <c r="AV35" s="162">
        <f>IF(AV34&gt;0,0,MAX(AV22-AV24-AV28-AV32,0)*Premissas!$B$5+MAX(AV23-AV26-(IF(Premissas!$B$8&gt;0,MAX(AV24+AV26-AV22-AV23,0)*Premissas!$B$8,0)),0)*Premissas!$B$6)</f>
        <v>0</v>
      </c>
      <c r="AW35" s="162">
        <f>IF(AW34&gt;0,0,MAX(AW22-AW24-AW28-AW32,0)*Premissas!$B$5+MAX(AW23-AW26-(IF(Premissas!$B$8&gt;0,MAX(AW24+AW26-AW22-AW23,0)*Premissas!$B$8,0)),0)*Premissas!$B$6)</f>
        <v>221067.54550108314</v>
      </c>
      <c r="AX35" s="162">
        <f>IF(AX34&gt;0,0,MAX(AX22-AX24-AX28-AX32,0)*Premissas!$B$5+MAX(AX23-AX26-(IF(Premissas!$B$8&gt;0,MAX(AX24+AX26-AX22-AX23,0)*Premissas!$B$8,0)),0)*Premissas!$B$6)</f>
        <v>0</v>
      </c>
      <c r="AY35" s="162">
        <f>IF(AY34&gt;0,0,MAX(AY22-AY24-AY28-AY32,0)*Premissas!$B$5+MAX(AY23-AY26-(IF(Premissas!$B$8&gt;0,MAX(AY24+AY26-AY22-AY23,0)*Premissas!$B$8,0)),0)*Premissas!$B$6)</f>
        <v>0</v>
      </c>
      <c r="AZ35" s="162">
        <f>IF(AZ34&gt;0,0,MAX(AZ22-AZ24-AZ28-AZ32,0)*Premissas!$B$5+MAX(AZ23-AZ26-(IF(Premissas!$B$8&gt;0,MAX(AZ24+AZ26-AZ22-AZ23,0)*Premissas!$B$8,0)),0)*Premissas!$B$6)</f>
        <v>54199.782701806762</v>
      </c>
      <c r="BA35" s="162">
        <f>IF(BA34&gt;0,0,MAX(BA22-BA24-BA28-BA32,0)*Premissas!$B$5+MAX(BA23-BA26-(IF(Premissas!$B$8&gt;0,MAX(BA24+BA26-BA22-BA23,0)*Premissas!$B$8,0)),0)*Premissas!$B$6)</f>
        <v>271567.01157532749</v>
      </c>
      <c r="BB35" s="162">
        <f>IF(BB34&gt;0,0,MAX(BB22-BB24-BB28-BB32,0)*Premissas!$B$5+MAX(BB23-BB26-(IF(Premissas!$B$8&gt;0,MAX(BB24+BB26-BB22-BB23,0)*Premissas!$B$8,0)),0)*Premissas!$B$6)</f>
        <v>139417.78131858766</v>
      </c>
      <c r="BC35" s="162">
        <f>IF(BC34&gt;0,0,MAX(BC22-BC24-BC28-BC32,0)*Premissas!$B$5+MAX(BC23-BC26-(IF(Premissas!$B$8&gt;0,MAX(BC24+BC26-BC22-BC23,0)*Premissas!$B$8,0)),0)*Premissas!$B$6)</f>
        <v>0</v>
      </c>
      <c r="BD35" s="162">
        <f>IF(BD34&gt;0,0,MAX(BD22-BD24-BD28-BD32,0)*Premissas!$B$5+MAX(BD23-BD26-(IF(Premissas!$B$8&gt;0,MAX(BD24+BD26-BD22-BD23,0)*Premissas!$B$8,0)),0)*Premissas!$B$6)</f>
        <v>0</v>
      </c>
      <c r="BE35" s="162">
        <f>IF(BE34&gt;0,0,MAX(BE22-BE24-BE28-BE32,0)*Premissas!$B$5+MAX(BE23-BE26-(IF(Premissas!$B$8&gt;0,MAX(BE24+BE26-BE22-BE23,0)*Premissas!$B$8,0)),0)*Premissas!$B$6)</f>
        <v>0</v>
      </c>
      <c r="BF35" s="162">
        <f>IF(BF34&gt;0,0,MAX(BF22-BF24-BF28-BF32,0)*Premissas!$B$5+MAX(BF23-BF26-(IF(Premissas!$B$8&gt;0,MAX(BF24+BF26-BF22-BF23,0)*Premissas!$B$8,0)),0)*Premissas!$B$6)</f>
        <v>0</v>
      </c>
      <c r="BG35" s="162">
        <f>IF(BG34&gt;0,0,MAX(BG22-BG24-BG28-BG32,0)*Premissas!$B$5+MAX(BG23-BG26-(IF(Premissas!$B$8&gt;0,MAX(BG24+BG26-BG22-BG23,0)*Premissas!$B$8,0)),0)*Premissas!$B$6)</f>
        <v>0</v>
      </c>
      <c r="BH35" s="162">
        <f>IF(BH34&gt;0,0,MAX(BH22-BH24-BH28-BH32,0)*Premissas!$B$5+MAX(BH23-BH26-(IF(Premissas!$B$8&gt;0,MAX(BH24+BH26-BH22-BH23,0)*Premissas!$B$8,0)),0)*Premissas!$B$6)</f>
        <v>0</v>
      </c>
      <c r="BI35" s="162">
        <f>IF(BI34&gt;0,0,MAX(BI22-BI24-BI28-BI32,0)*Premissas!$B$5+MAX(BI23-BI26-(IF(Premissas!$B$8&gt;0,MAX(BI24+BI26-BI22-BI23,0)*Premissas!$B$8,0)),0)*Premissas!$B$6)</f>
        <v>240848.34913064755</v>
      </c>
      <c r="BJ35" s="162">
        <f>IF(BJ34&gt;0,0,MAX(BJ22-BJ24-BJ28-BJ32,0)*Premissas!$B$5+MAX(BJ23-BJ26-(IF(Premissas!$B$8&gt;0,MAX(BJ24+BJ26-BJ22-BJ23,0)*Premissas!$B$8,0)),0)*Premissas!$B$6)</f>
        <v>0</v>
      </c>
      <c r="BK35" s="162">
        <f>IF(BK34&gt;0,0,MAX(BK22-BK24-BK28-BK32,0)*Premissas!$B$5+MAX(BK23-BK26-(IF(Premissas!$B$8&gt;0,MAX(BK24+BK26-BK22-BK23,0)*Premissas!$B$8,0)),0)*Premissas!$B$6)</f>
        <v>0</v>
      </c>
      <c r="BL35" s="162">
        <f>IF(BL34&gt;0,0,MAX(BL22-BL24-BL28-BL32,0)*Premissas!$B$5+MAX(BL23-BL26-(IF(Premissas!$B$8&gt;0,MAX(BL24+BL26-BL22-BL23,0)*Premissas!$B$8,0)),0)*Premissas!$B$6)</f>
        <v>51285.157990145992</v>
      </c>
      <c r="BM35" s="162">
        <f>IF(BM34&gt;0,0,MAX(BM22-BM24-BM28-BM32,0)*Premissas!$B$5+MAX(BM23-BM26-(IF(Premissas!$B$8&gt;0,MAX(BM24+BM26-BM22-BM23,0)*Premissas!$B$8,0)),0)*Premissas!$B$6)</f>
        <v>278681.75060712505</v>
      </c>
      <c r="BN35" s="162">
        <f>IF(BN34&gt;0,0,MAX(BN22-BN24-BN28-BN32,0)*Premissas!$B$5+MAX(BN23-BN26-(IF(Premissas!$B$8&gt;0,MAX(BN24+BN26-BN22-BN23,0)*Premissas!$B$8,0)),0)*Premissas!$B$6)</f>
        <v>144952.45294627926</v>
      </c>
      <c r="BO35" s="162">
        <f>IF(BO34&gt;0,0,MAX(BO22-BO24-BO28-BO32,0)*Premissas!$B$5+MAX(BO23-BO26-(IF(Premissas!$B$8&gt;0,MAX(BO24+BO26-BO22-BO23,0)*Premissas!$B$8,0)),0)*Premissas!$B$6)</f>
        <v>0</v>
      </c>
      <c r="BP35" s="162">
        <f>IF(BP34&gt;0,0,MAX(BP22-BP24-BP28-BP32,0)*Premissas!$B$5+MAX(BP23-BP26-(IF(Premissas!$B$8&gt;0,MAX(BP24+BP26-BP22-BP23,0)*Premissas!$B$8,0)),0)*Premissas!$B$6)</f>
        <v>0</v>
      </c>
      <c r="BQ35" s="162">
        <f>IF(BQ34&gt;0,0,MAX(BQ22-BQ24-BQ28-BQ32,0)*Premissas!$B$5+MAX(BQ23-BQ26-(IF(Premissas!$B$8&gt;0,MAX(BQ24+BQ26-BQ22-BQ23,0)*Premissas!$B$8,0)),0)*Premissas!$B$6)</f>
        <v>0</v>
      </c>
      <c r="BR35" s="162">
        <f>IF(BR34&gt;0,0,MAX(BR22-BR24-BR28-BR32,0)*Premissas!$B$5+MAX(BR23-BR26-(IF(Premissas!$B$8&gt;0,MAX(BR24+BR26-BR22-BR23,0)*Premissas!$B$8,0)),0)*Premissas!$B$6)</f>
        <v>0</v>
      </c>
      <c r="BS35" s="162">
        <f>IF(BS34&gt;0,0,MAX(BS22-BS24-BS28-BS32,0)*Premissas!$B$5+MAX(BS23-BS26-(IF(Premissas!$B$8&gt;0,MAX(BS24+BS26-BS22-BS23,0)*Premissas!$B$8,0)),0)*Premissas!$B$6)</f>
        <v>0</v>
      </c>
      <c r="BT35" s="162">
        <f>IF(BT34&gt;0,0,MAX(BT22-BT24-BT28-BT32,0)*Premissas!$B$5+MAX(BT23-BT26-(IF(Premissas!$B$8&gt;0,MAX(BT24+BT26-BT22-BT23,0)*Premissas!$B$8,0)),0)*Premissas!$B$6)</f>
        <v>0</v>
      </c>
      <c r="BU35" s="162">
        <f>IF(BU34&gt;0,0,MAX(BU22-BU24-BU28-BU32,0)*Premissas!$B$5+MAX(BU23-BU26-(IF(Premissas!$B$8&gt;0,MAX(BU24+BU26-BU22-BU23,0)*Premissas!$B$8,0)),0)*Premissas!$B$6)</f>
        <v>283371.14606394112</v>
      </c>
      <c r="BV35" s="162">
        <f>IF(BV34&gt;0,0,MAX(BV22-BV24-BV28-BV32,0)*Premissas!$B$5+MAX(BV23-BV26-(IF(Premissas!$B$8&gt;0,MAX(BV24+BV26-BV22-BV23,0)*Premissas!$B$8,0)),0)*Premissas!$B$6)</f>
        <v>0</v>
      </c>
      <c r="BW35" s="162">
        <f>IF(BW34&gt;0,0,MAX(BW22-BW24-BW28-BW32,0)*Premissas!$B$5+MAX(BW23-BW26-(IF(Premissas!$B$8&gt;0,MAX(BW24+BW26-BW22-BW23,0)*Premissas!$B$8,0)),0)*Premissas!$B$6)</f>
        <v>0</v>
      </c>
      <c r="BX35" s="162">
        <f>IF(BX34&gt;0,0,MAX(BX22-BX24-BX28-BX32,0)*Premissas!$B$5+MAX(BX23-BX26-(IF(Premissas!$B$8&gt;0,MAX(BX24+BX26-BX22-BX23,0)*Premissas!$B$8,0)),0)*Premissas!$B$6)</f>
        <v>55375.786933164381</v>
      </c>
      <c r="BY35" s="162">
        <f>IF(BY34&gt;0,0,MAX(BY22-BY24-BY28-BY32,0)*Premissas!$B$5+MAX(BY23-BY26-(IF(Premissas!$B$8&gt;0,MAX(BY24+BY26-BY22-BY23,0)*Premissas!$B$8,0)),0)*Premissas!$B$6)</f>
        <v>286653.4781295713</v>
      </c>
      <c r="BZ35" s="162">
        <f>IF(BZ34&gt;0,0,MAX(BZ22-BZ24-BZ28-BZ32,0)*Premissas!$B$5+MAX(BZ23-BZ26-(IF(Premissas!$B$8&gt;0,MAX(BZ24+BZ26-BZ22-BZ23,0)*Premissas!$B$8,0)),0)*Premissas!$B$6)</f>
        <v>149582.8499108461</v>
      </c>
      <c r="CA35" s="162">
        <f>IF(CA34&gt;0,0,MAX(CA22-CA24-CA28-CA32,0)*Premissas!$B$5+MAX(CA23-CA26-(IF(Premissas!$B$8&gt;0,MAX(CA24+CA26-CA22-CA23,0)*Premissas!$B$8,0)),0)*Premissas!$B$6)</f>
        <v>0</v>
      </c>
      <c r="CB35" s="162">
        <f>IF(CB34&gt;0,0,MAX(CB22-CB24-CB28-CB32,0)*Premissas!$B$5+MAX(CB23-CB26-(IF(Premissas!$B$8&gt;0,MAX(CB24+CB26-CB22-CB23,0)*Premissas!$B$8,0)),0)*Premissas!$B$6)</f>
        <v>0</v>
      </c>
      <c r="CC35" s="162">
        <f>IF(CC34&gt;0,0,MAX(CC22-CC24-CC28-CC32,0)*Premissas!$B$5+MAX(CC23-CC26-(IF(Premissas!$B$8&gt;0,MAX(CC24+CC26-CC22-CC23,0)*Premissas!$B$8,0)),0)*Premissas!$B$6)</f>
        <v>0</v>
      </c>
      <c r="CD35" s="162">
        <f>IF(CD34&gt;0,0,MAX(CD22-CD24-CD28-CD32,0)*Premissas!$B$5+MAX(CD23-CD26-(IF(Premissas!$B$8&gt;0,MAX(CD24+CD26-CD22-CD23,0)*Premissas!$B$8,0)),0)*Premissas!$B$6)</f>
        <v>0</v>
      </c>
      <c r="CE35" s="162">
        <f>IF(CE34&gt;0,0,MAX(CE22-CE24-CE28-CE32,0)*Premissas!$B$5+MAX(CE23-CE26-(IF(Premissas!$B$8&gt;0,MAX(CE24+CE26-CE22-CE23,0)*Premissas!$B$8,0)),0)*Premissas!$B$6)</f>
        <v>0</v>
      </c>
      <c r="CF35" s="162">
        <f>IF(CF34&gt;0,0,MAX(CF22-CF24-CF28-CF32,0)*Premissas!$B$5+MAX(CF23-CF26-(IF(Premissas!$B$8&gt;0,MAX(CF24+CF26-CF22-CF23,0)*Premissas!$B$8,0)),0)*Premissas!$B$6)</f>
        <v>95680.892975949813</v>
      </c>
      <c r="CG35" s="162">
        <f>IF(CG34&gt;0,0,MAX(CG22-CG24-CG28-CG32,0)*Premissas!$B$5+MAX(CG23-CG26-(IF(Premissas!$B$8&gt;0,MAX(CG24+CG26-CG22-CG23,0)*Premissas!$B$8,0)),0)*Premissas!$B$6)</f>
        <v>297812.85029291036</v>
      </c>
      <c r="CH35" s="162">
        <f>IF(CH34&gt;0,0,MAX(CH22-CH24-CH28-CH32,0)*Premissas!$B$5+MAX(CH23-CH26-(IF(Premissas!$B$8&gt;0,MAX(CH24+CH26-CH22-CH23,0)*Premissas!$B$8,0)),0)*Premissas!$B$6)</f>
        <v>0</v>
      </c>
      <c r="CI35" s="162">
        <f>IF(CI34&gt;0,0,MAX(CI22-CI24-CI28-CI32,0)*Premissas!$B$5+MAX(CI23-CI26-(IF(Premissas!$B$8&gt;0,MAX(CI24+CI26-CI22-CI23,0)*Premissas!$B$8,0)),0)*Premissas!$B$6)</f>
        <v>0</v>
      </c>
      <c r="CJ35" s="162">
        <f>IF(CJ34&gt;0,0,MAX(CJ22-CJ24-CJ28-CJ32,0)*Premissas!$B$5+MAX(CJ23-CJ26-(IF(Premissas!$B$8&gt;0,MAX(CJ24+CJ26-CJ22-CJ23,0)*Premissas!$B$8,0)),0)*Premissas!$B$6)</f>
        <v>59356.016857110066</v>
      </c>
      <c r="CK35" s="162">
        <f>IF(CK34&gt;0,0,MAX(CK22-CK24-CK28-CK32,0)*Premissas!$B$5+MAX(CK23-CK26-(IF(Premissas!$B$8&gt;0,MAX(CK24+CK26-CK22-CK23,0)*Premissas!$B$8,0)),0)*Premissas!$B$6)</f>
        <v>294822.18290603091</v>
      </c>
      <c r="CL35" s="162">
        <f>IF(CL34&gt;0,0,MAX(CL22-CL24-CL28-CL32,0)*Premissas!$B$5+MAX(CL23-CL26-(IF(Premissas!$B$8&gt;0,MAX(CL24+CL26-CL22-CL23,0)*Premissas!$B$8,0)),0)*Premissas!$B$6)</f>
        <v>154325.93378708372</v>
      </c>
      <c r="CM35" s="162">
        <f>IF(CM34&gt;0,0,MAX(CM22-CM24-CM28-CM32,0)*Premissas!$B$5+MAX(CM23-CM26-(IF(Premissas!$B$8&gt;0,MAX(CM24+CM26-CM22-CM23,0)*Premissas!$B$8,0)),0)*Premissas!$B$6)</f>
        <v>0</v>
      </c>
      <c r="CN35" s="162">
        <f>IF(CN34&gt;0,0,MAX(CN22-CN24-CN28-CN32,0)*Premissas!$B$5+MAX(CN23-CN26-(IF(Premissas!$B$8&gt;0,MAX(CN24+CN26-CN22-CN23,0)*Premissas!$B$8,0)),0)*Premissas!$B$6)</f>
        <v>0</v>
      </c>
      <c r="CO35" s="162">
        <f>IF(CO34&gt;0,0,MAX(CO22-CO24-CO28-CO32,0)*Premissas!$B$5+MAX(CO23-CO26-(IF(Premissas!$B$8&gt;0,MAX(CO24+CO26-CO22-CO23,0)*Premissas!$B$8,0)),0)*Premissas!$B$6)</f>
        <v>0</v>
      </c>
      <c r="CP35" s="162">
        <f>IF(CP34&gt;0,0,MAX(CP22-CP24-CP28-CP32,0)*Premissas!$B$5+MAX(CP23-CP26-(IF(Premissas!$B$8&gt;0,MAX(CP24+CP26-CP22-CP23,0)*Premissas!$B$8,0)),0)*Premissas!$B$6)</f>
        <v>0</v>
      </c>
      <c r="CQ35" s="162">
        <f>IF(CQ34&gt;0,0,MAX(CQ22-CQ24-CQ28-CQ32,0)*Premissas!$B$5+MAX(CQ23-CQ26-(IF(Premissas!$B$8&gt;0,MAX(CQ24+CQ26-CQ22-CQ23,0)*Premissas!$B$8,0)),0)*Premissas!$B$6)</f>
        <v>0</v>
      </c>
      <c r="CR35" s="162">
        <f>IF(CR34&gt;0,0,MAX(CR22-CR24-CR28-CR32,0)*Premissas!$B$5+MAX(CR23-CR26-(IF(Premissas!$B$8&gt;0,MAX(CR24+CR26-CR22-CR23,0)*Premissas!$B$8,0)),0)*Premissas!$B$6)</f>
        <v>98070.686015796455</v>
      </c>
      <c r="CS35" s="162">
        <f>IF(CS34&gt;0,0,MAX(CS22-CS24-CS28-CS32,0)*Premissas!$B$5+MAX(CS23-CS26-(IF(Premissas!$B$8&gt;0,MAX(CS24+CS26-CS22-CS23,0)*Premissas!$B$8,0)),0)*Premissas!$B$6)</f>
        <v>306262.63621846051</v>
      </c>
      <c r="CT35" s="162">
        <f>IF(CT34&gt;0,0,MAX(CT22-CT24-CT28-CT32,0)*Premissas!$B$5+MAX(CT23-CT26-(IF(Premissas!$B$8&gt;0,MAX(CT24+CT26-CT22-CT23,0)*Premissas!$B$8,0)),0)*Premissas!$B$6)</f>
        <v>0</v>
      </c>
      <c r="CU35" s="162">
        <f>IF(CU34&gt;0,0,MAX(CU22-CU24-CU28-CU32,0)*Premissas!$B$5+MAX(CU23-CU26-(IF(Premissas!$B$8&gt;0,MAX(CU24+CU26-CU22-CU23,0)*Premissas!$B$8,0)),0)*Premissas!$B$6)</f>
        <v>0</v>
      </c>
      <c r="CV35" s="162">
        <f>IF(CV34&gt;0,0,MAX(CV22-CV24-CV28-CV32,0)*Premissas!$B$5+MAX(CV23-CV26-(IF(Premissas!$B$8&gt;0,MAX(CV24+CV26-CV22-CV23,0)*Premissas!$B$8,0)),0)*Premissas!$B$6)</f>
        <v>63308.905490176192</v>
      </c>
      <c r="CW35" s="162">
        <f>IF(CW34&gt;0,0,MAX(CW22-CW24-CW28-CW32,0)*Premissas!$B$5+MAX(CW23-CW26-(IF(Premissas!$B$8&gt;0,MAX(CW24+CW26-CW22-CW23,0)*Premissas!$B$8,0)),0)*Premissas!$B$6)</f>
        <v>303196.44205086614</v>
      </c>
      <c r="CX35" s="162">
        <f>IF(CX34&gt;0,0,MAX(CX22-CX24-CX28-CX32,0)*Premissas!$B$5+MAX(CX23-CX26-(IF(Premissas!$B$8&gt;0,MAX(CX24+CX26-CX22-CX23,0)*Premissas!$B$8,0)),0)*Premissas!$B$6)</f>
        <v>159189.22874713165</v>
      </c>
      <c r="CY35" s="162">
        <f>IF(CY34&gt;0,0,MAX(CY22-CY24-CY28-CY32,0)*Premissas!$B$5+MAX(CY23-CY26-(IF(Premissas!$B$8&gt;0,MAX(CY24+CY26-CY22-CY23,0)*Premissas!$B$8,0)),0)*Premissas!$B$6)</f>
        <v>0</v>
      </c>
      <c r="CZ35" s="162">
        <f>IF(CZ34&gt;0,0,MAX(CZ22-CZ24-CZ28-CZ32,0)*Premissas!$B$5+MAX(CZ23-CZ26-(IF(Premissas!$B$8&gt;0,MAX(CZ24+CZ26-CZ22-CZ23,0)*Premissas!$B$8,0)),0)*Premissas!$B$6)</f>
        <v>0</v>
      </c>
      <c r="DA35" s="162">
        <f>IF(DA34&gt;0,0,MAX(DA22-DA24-DA28-DA32,0)*Premissas!$B$5+MAX(DA23-DA26-(IF(Premissas!$B$8&gt;0,MAX(DA24+DA26-DA22-DA23,0)*Premissas!$B$8,0)),0)*Premissas!$B$6)</f>
        <v>0</v>
      </c>
      <c r="DB35" s="162">
        <f>IF(DB34&gt;0,0,MAX(DB22-DB24-DB28-DB32,0)*Premissas!$B$5+MAX(DB23-DB26-(IF(Premissas!$B$8&gt;0,MAX(DB24+DB26-DB22-DB23,0)*Premissas!$B$8,0)),0)*Premissas!$B$6)</f>
        <v>0</v>
      </c>
      <c r="DC35" s="162">
        <f>IF(DC34&gt;0,0,MAX(DC22-DC24-DC28-DC32,0)*Premissas!$B$5+MAX(DC23-DC26-(IF(Premissas!$B$8&gt;0,MAX(DC24+DC26-DC22-DC23,0)*Premissas!$B$8,0)),0)*Premissas!$B$6)</f>
        <v>0</v>
      </c>
      <c r="DD35" s="162">
        <f>IF(DD34&gt;0,0,MAX(DD22-DD24-DD28-DD32,0)*Premissas!$B$5+MAX(DD23-DD26-(IF(Premissas!$B$8&gt;0,MAX(DD24+DD26-DD22-DD23,0)*Premissas!$B$8,0)),0)*Premissas!$B$6)</f>
        <v>100522.8990231018</v>
      </c>
      <c r="DE35" s="162">
        <f>IF(DE34&gt;0,0,MAX(DE22-DE24-DE28-DE32,0)*Premissas!$B$5+MAX(DE23-DE26-(IF(Premissas!$B$8&gt;0,MAX(DE24+DE26-DE22-DE23,0)*Premissas!$B$8,0)),0)*Premissas!$B$6)</f>
        <v>314922.71475238848</v>
      </c>
      <c r="DF35" s="162">
        <f>IF(DF34&gt;0,0,MAX(DF22-DF24-DF28-DF32,0)*Premissas!$B$5+MAX(DF23-DF26-(IF(Premissas!$B$8&gt;0,MAX(DF24+DF26-DF22-DF23,0)*Premissas!$B$8,0)),0)*Premissas!$B$6)</f>
        <v>0</v>
      </c>
      <c r="DG35" s="162">
        <f>IF(DG34&gt;0,0,MAX(DG22-DG24-DG28-DG32,0)*Premissas!$B$5+MAX(DG23-DG26-(IF(Premissas!$B$8&gt;0,MAX(DG24+DG26-DG22-DG23,0)*Premissas!$B$8,0)),0)*Premissas!$B$6)</f>
        <v>0</v>
      </c>
      <c r="DH35" s="162">
        <f>IF(DH34&gt;0,0,MAX(DH22-DH24-DH28-DH32,0)*Premissas!$B$5+MAX(DH23-DH26-(IF(Premissas!$B$8&gt;0,MAX(DH24+DH26-DH22-DH23,0)*Premissas!$B$8,0)),0)*Premissas!$B$6)</f>
        <v>66483.772880018761</v>
      </c>
      <c r="DI35" s="162">
        <f>IF(DI34&gt;0,0,MAX(DI22-DI24-DI28-DI32,0)*Premissas!$B$5+MAX(DI23-DI26-(IF(Premissas!$B$8&gt;0,MAX(DI24+DI26-DI22-DI23,0)*Premissas!$B$8,0)),0)*Premissas!$B$6)</f>
        <v>311782.38677014783</v>
      </c>
      <c r="DJ35" s="162">
        <f>IF(DJ34&gt;0,0,MAX(DJ22-DJ24-DJ28-DJ32,0)*Premissas!$B$5+MAX(DJ23-DJ26-(IF(Premissas!$B$8&gt;0,MAX(DJ24+DJ26-DJ22-DJ23,0)*Premissas!$B$8,0)),0)*Premissas!$B$6)</f>
        <v>164171.8682960326</v>
      </c>
      <c r="DK35" s="162">
        <f>IF(DK34&gt;0,0,MAX(DK22-DK24-DK28-DK32,0)*Premissas!$B$5+MAX(DK23-DK26-(IF(Premissas!$B$8&gt;0,MAX(DK24+DK26-DK22-DK23,0)*Premissas!$B$8,0)),0)*Premissas!$B$6)</f>
        <v>0</v>
      </c>
      <c r="DL35" s="162">
        <f>IF(DL34&gt;0,0,MAX(DL22-DL24-DL28-DL32,0)*Premissas!$B$5+MAX(DL23-DL26-(IF(Premissas!$B$8&gt;0,MAX(DL24+DL26-DL22-DL23,0)*Premissas!$B$8,0)),0)*Premissas!$B$6)</f>
        <v>0</v>
      </c>
      <c r="DM35" s="162">
        <f>IF(DM34&gt;0,0,MAX(DM22-DM24-DM28-DM32,0)*Premissas!$B$5+MAX(DM23-DM26-(IF(Premissas!$B$8&gt;0,MAX(DM24+DM26-DM22-DM23,0)*Premissas!$B$8,0)),0)*Premissas!$B$6)</f>
        <v>0</v>
      </c>
      <c r="DN35" s="162">
        <f>IF(DN34&gt;0,0,MAX(DN22-DN24-DN28-DN32,0)*Premissas!$B$5+MAX(DN23-DN26-(IF(Premissas!$B$8&gt;0,MAX(DN24+DN26-DN22-DN23,0)*Premissas!$B$8,0)),0)*Premissas!$B$6)</f>
        <v>0</v>
      </c>
      <c r="DO35" s="162">
        <f>IF(DO34&gt;0,0,MAX(DO22-DO24-DO28-DO32,0)*Premissas!$B$5+MAX(DO23-DO26-(IF(Premissas!$B$8&gt;0,MAX(DO24+DO26-DO22-DO23,0)*Premissas!$B$8,0)),0)*Premissas!$B$6)</f>
        <v>0</v>
      </c>
      <c r="DP35" s="162">
        <f>IF(DP34&gt;0,0,MAX(DP22-DP24-DP28-DP32,0)*Premissas!$B$5+MAX(DP23-DP26-(IF(Premissas!$B$8&gt;0,MAX(DP24+DP26-DP22-DP23,0)*Premissas!$B$8,0)),0)*Premissas!$B$6)</f>
        <v>103037.53199786581</v>
      </c>
      <c r="DQ35" s="162">
        <f>IF(DQ34&gt;0,0,MAX(DQ22-DQ24-DQ28-DQ32,0)*Premissas!$B$5+MAX(DQ23-DQ26-(IF(Premissas!$B$8&gt;0,MAX(DQ24+DQ26-DQ22-DQ23,0)*Premissas!$B$8,0)),0)*Premissas!$B$6)</f>
        <v>323799.21710076503</v>
      </c>
      <c r="DR35" s="162">
        <f>IF(DR34&gt;0,0,MAX(DR22-DR24-DR28-DR32,0)*Premissas!$B$5+MAX(DR23-DR26-(IF(Premissas!$B$8&gt;0,MAX(DR24+DR26-DR22-DR23,0)*Premissas!$B$8,0)),0)*Premissas!$B$6)</f>
        <v>0</v>
      </c>
      <c r="DS35" s="162">
        <f>IF(DS34&gt;0,0,MAX(DS22-DS24-DS28-DS32,0)*Premissas!$B$5+MAX(DS23-DS26-(IF(Premissas!$B$8&gt;0,MAX(DS24+DS26-DS22-DS23,0)*Premissas!$B$8,0)),0)*Premissas!$B$6)</f>
        <v>0</v>
      </c>
    </row>
    <row r="36" spans="1:123" ht="12.75" customHeight="1" x14ac:dyDescent="0.35">
      <c r="A36" s="163" t="s">
        <v>498</v>
      </c>
      <c r="B36" s="164">
        <f>SUM(D36:BQ36)</f>
        <v>907317.03993556555</v>
      </c>
      <c r="C36" s="144">
        <f>B36/60</f>
        <v>15121.95066559276</v>
      </c>
      <c r="D36" s="164">
        <f>IF(D31&gt;0,0,MAX(D22-D24-D27+D28-D29,0)*Premissas!$B$5+MAX(D23-D26-(IF(Premissas!$B$8&gt;0,MAX(D24+D27+D28+D29-D22,0)*Premissas!$B$8,0)),0)*Premissas!$B$6)</f>
        <v>0</v>
      </c>
      <c r="E36" s="164">
        <f>IF(E31&gt;0,0,MAX(E22-E24-E27+E28-E29,0)*Premissas!$B$5+MAX(E23-E26-(IF(Premissas!$B$8&gt;0,MAX(E24+E27+E28+E29-E22,0)*Premissas!$B$8,0)),0)*Premissas!$B$6)</f>
        <v>80529.070937013472</v>
      </c>
      <c r="F36" s="164">
        <f>IF(F31&gt;0,0,MAX(F22-F24-F27+F28-F29,0)*Premissas!$B$5+MAX(F23-F26-(IF(Premissas!$B$8&gt;0,MAX(F24+F27+F28+F29-F22,0)*Premissas!$B$8,0)),0)*Premissas!$B$6)</f>
        <v>0</v>
      </c>
      <c r="G36" s="164">
        <f>IF(G31&gt;0,0,MAX(G22-G24-G27+G28-G29,0)*Premissas!$B$5+MAX(G23-G26-(IF(Premissas!$B$8&gt;0,MAX(G24+G27+G28+G29-G22,0)*Premissas!$B$8,0)),0)*Premissas!$B$6)</f>
        <v>0</v>
      </c>
      <c r="H36" s="164">
        <f>IF(H31&gt;0,0,MAX(H22-H24-H27+H28-H29,0)*Premissas!$B$5+MAX(H23-H26-(IF(Premissas!$B$8&gt;0,MAX(H24+H27+H28+H29-H22,0)*Premissas!$B$8,0)),0)*Premissas!$B$6)</f>
        <v>0</v>
      </c>
      <c r="I36" s="164">
        <f>IF(I31&gt;0,0,MAX(I22-I24-I27+I28-I29,0)*Premissas!$B$5+MAX(I23-I26-(IF(Premissas!$B$8&gt;0,MAX(I24+I27+I28+I29-I22,0)*Premissas!$B$8,0)),0)*Premissas!$B$6)</f>
        <v>0</v>
      </c>
      <c r="J36" s="164">
        <f>IF(J31&gt;0,0,MAX(J22-J24-J27+J28-J29,0)*Premissas!$B$5+MAX(J23-J26-(IF(Premissas!$B$8&gt;0,MAX(J24+J27+J28+J29-J22,0)*Premissas!$B$8,0)),0)*Premissas!$B$6)</f>
        <v>0</v>
      </c>
      <c r="K36" s="164">
        <f>IF(K31&gt;0,0,MAX(K22-K24-K27+K28-K29,0)*Premissas!$B$5+MAX(K23-K26-(IF(Premissas!$B$8&gt;0,MAX(K24+K27+K28+K29-K22,0)*Premissas!$B$8,0)),0)*Premissas!$B$6)</f>
        <v>0</v>
      </c>
      <c r="L36" s="164">
        <f>IF(L31&gt;0,0,MAX(L22-L24-L27+L28-L29,0)*Premissas!$B$5+MAX(L23-L26-(IF(Premissas!$B$8&gt;0,MAX(L24+L27+L28+L29-L22,0)*Premissas!$B$8,0)),0)*Premissas!$B$6)</f>
        <v>0</v>
      </c>
      <c r="M36" s="164">
        <f>IF(M31&gt;0,0,MAX(M22-M24-M27+M28-M29,0)*Premissas!$B$5+MAX(M23-M26-(IF(Premissas!$B$8&gt;0,MAX(M24+M27+M28+M29-M22,0)*Premissas!$B$8,0)),0)*Premissas!$B$6)</f>
        <v>0</v>
      </c>
      <c r="N36" s="164">
        <f>IF(N31&gt;0,0,MAX(N22-N24-N27+N28-N29,0)*Premissas!$B$5+MAX(N23-N26-(IF(Premissas!$B$8&gt;0,MAX(N24+N27+N28+N29-N22,0)*Premissas!$B$8,0)),0)*Premissas!$B$6)</f>
        <v>0</v>
      </c>
      <c r="O36" s="164">
        <f>IF(O31&gt;0,0,MAX(O22-O24-O27+O28-O29,0)*Premissas!$B$5+MAX(O23-O26-(IF(Premissas!$B$8&gt;0,MAX(O24+O27+O28+O29-O22,0)*Premissas!$B$8,0)),0)*Premissas!$B$6)</f>
        <v>0</v>
      </c>
      <c r="P36" s="164">
        <f>IF(P31&gt;0,0,MAX(P22-P24-P27+P28-P29,0)*Premissas!$B$5+MAX(P23-P26-(IF(Premissas!$B$8&gt;0,MAX(P24+P27+P28+P29-P22,0)*Premissas!$B$8,0)),0)*Premissas!$B$6)</f>
        <v>0</v>
      </c>
      <c r="Q36" s="164">
        <f>IF(Q31&gt;0,0,MAX(Q22-Q24-Q27+Q28-Q29,0)*Premissas!$B$5+MAX(Q23-Q26-(IF(Premissas!$B$8&gt;0,MAX(Q24+Q27+Q28+Q29-Q22,0)*Premissas!$B$8,0)),0)*Premissas!$B$6)</f>
        <v>0</v>
      </c>
      <c r="R36" s="164">
        <f>IF(R31&gt;0,0,MAX(R22-R24-R27+R28-R29,0)*Premissas!$B$5+MAX(R23-R26-(IF(Premissas!$B$8&gt;0,MAX(R24+R27+R28+R29-R22,0)*Premissas!$B$8,0)),0)*Premissas!$B$6)</f>
        <v>0</v>
      </c>
      <c r="S36" s="164">
        <f>IF(S31&gt;0,0,MAX(S22-S24-S27+S28-S29,0)*Premissas!$B$5+MAX(S23-S26-(IF(Premissas!$B$8&gt;0,MAX(S24+S27+S28+S29-S22,0)*Premissas!$B$8,0)),0)*Premissas!$B$6)</f>
        <v>0</v>
      </c>
      <c r="T36" s="164">
        <f>IF(T31&gt;0,0,MAX(T22-T24-T27+T28-T29,0)*Premissas!$B$5+MAX(T23-T26-(IF(Premissas!$B$8&gt;0,MAX(T24+T27+T28+T29-T22,0)*Premissas!$B$8,0)),0)*Premissas!$B$6)</f>
        <v>0</v>
      </c>
      <c r="U36" s="164">
        <f>IF(U31&gt;0,0,MAX(U22-U24-U27+U28-U29,0)*Premissas!$B$5+MAX(U23-U26-(IF(Premissas!$B$8&gt;0,MAX(U24+U27+U28+U29-U22,0)*Premissas!$B$8,0)),0)*Premissas!$B$6)</f>
        <v>0</v>
      </c>
      <c r="V36" s="164">
        <f>IF(V31&gt;0,0,MAX(V22-V24-V27+V28-V29,0)*Premissas!$B$5+MAX(V23-V26-(IF(Premissas!$B$8&gt;0,MAX(V24+V27+V28+V29-V22,0)*Premissas!$B$8,0)),0)*Premissas!$B$6)</f>
        <v>0</v>
      </c>
      <c r="W36" s="164">
        <f>IF(W31&gt;0,0,MAX(W22-W24-W27+W28-W29,0)*Premissas!$B$5+MAX(W23-W26-(IF(Premissas!$B$8&gt;0,MAX(W24+W27+W28+W29-W22,0)*Premissas!$B$8,0)),0)*Premissas!$B$6)</f>
        <v>0</v>
      </c>
      <c r="X36" s="164">
        <f>IF(X31&gt;0,0,MAX(X22-X24-X27+X28-X29,0)*Premissas!$B$5+MAX(X23-X26-(IF(Premissas!$B$8&gt;0,MAX(X24+X27+X28+X29-X22,0)*Premissas!$B$8,0)),0)*Premissas!$B$6)</f>
        <v>0</v>
      </c>
      <c r="Y36" s="164">
        <f>IF(Y31&gt;0,0,MAX(Y22-Y24-Y27+Y28-Y29,0)*Premissas!$B$5+MAX(Y23-Y26-(IF(Premissas!$B$8&gt;0,MAX(Y24+Y27+Y28+Y29-Y22,0)*Premissas!$B$8,0)),0)*Premissas!$B$6)</f>
        <v>0</v>
      </c>
      <c r="Z36" s="164">
        <f>IF(Z31&gt;0,0,MAX(Z22-Z24-Z27+Z28-Z29,0)*Premissas!$B$5+MAX(Z23-Z26-(IF(Premissas!$B$8&gt;0,MAX(Z24+Z27+Z28+Z29-Z22,0)*Premissas!$B$8,0)),0)*Premissas!$B$6)</f>
        <v>0</v>
      </c>
      <c r="AA36" s="164">
        <f>IF(AA31&gt;0,0,MAX(AA22-AA24-AA27+AA28-AA29,0)*Premissas!$B$5+MAX(AA23-AA26-(IF(Premissas!$B$8&gt;0,MAX(AA24+AA27+AA28+AA29-AA22,0)*Premissas!$B$8,0)),0)*Premissas!$B$6)</f>
        <v>0</v>
      </c>
      <c r="AB36" s="164">
        <f>IF(AB31&gt;0,0,MAX(AB22-AB24-AB27+AB28-AB29,0)*Premissas!$B$5+MAX(AB23-AB26-(IF(Premissas!$B$8&gt;0,MAX(AB24+AB26-AB22-AB23,0)*Premissas!$B$8,0)),0)*Premissas!$B$6)</f>
        <v>0</v>
      </c>
      <c r="AC36" s="164">
        <f>IF(AC31&gt;0,0,MAX(AC22-AC24-AC27+AC28-AC29,0)*Premissas!$B$5+MAX(AC23-AC26-(IF(Premissas!$B$8&gt;0,MAX(AC24+AC26-AC22-AC23,0)*Premissas!$B$8,0)),0)*Premissas!$B$6)</f>
        <v>0</v>
      </c>
      <c r="AD36" s="164">
        <f>IF(AD31&gt;0,0,MAX(AD22-AD24-AD27+AD28-AD29,0)*Premissas!$B$5+MAX(AD23-AD26-(IF(Premissas!$B$8&gt;0,MAX(AD24+AD26-AD22-AD23,0)*Premissas!$B$8,0)),0)*Premissas!$B$6)</f>
        <v>72494.148535751403</v>
      </c>
      <c r="AE36" s="164">
        <f>IF(AE31&gt;0,0,MAX(AE22-AE24-AE27+AE28-AE29,0)*Premissas!$B$5+MAX(AE23-AE26-(IF(Premissas!$B$8&gt;0,MAX(AE24+AE26-AE22-AE23,0)*Premissas!$B$8,0)),0)*Premissas!$B$6)</f>
        <v>0</v>
      </c>
      <c r="AF36" s="164">
        <f>IF(AF31&gt;0,0,MAX(AF22-AF24-AF27+AF28-AF29,0)*Premissas!$B$5+MAX(AF23-AF26-(IF(Premissas!$B$8&gt;0,MAX(AF24+AF26-AF22-AF23,0)*Premissas!$B$8,0)),0)*Premissas!$B$6)</f>
        <v>0</v>
      </c>
      <c r="AG36" s="164">
        <f>IF(AG31&gt;0,0,MAX(AG22-AG24-AG27+AG28-AG29,0)*Premissas!$B$5+MAX(AG23-AG26-(IF(Premissas!$B$8&gt;0,MAX(AG24+AG26-AG22-AG23,0)*Premissas!$B$8,0)),0)*Premissas!$B$6)</f>
        <v>0</v>
      </c>
      <c r="AH36" s="164">
        <f>IF(AH31&gt;0,0,MAX(AH22-AH24-AH27+AH28-AH29,0)*Premissas!$B$5+MAX(AH23-AH26-(IF(Premissas!$B$8&gt;0,MAX(AH24+AH26-AH22-AH23,0)*Premissas!$B$8,0)),0)*Premissas!$B$6)</f>
        <v>0</v>
      </c>
      <c r="AI36" s="164">
        <f>IF(AI31&gt;0,0,MAX(AI22-AI24-AI27+AI28-AI29,0)*Premissas!$B$5+MAX(AI23-AI26-(IF(Premissas!$B$8&gt;0,MAX(AI24+AI26-AI22-AI23,0)*Premissas!$B$8,0)),0)*Premissas!$B$6)</f>
        <v>0</v>
      </c>
      <c r="AJ36" s="164">
        <f>IF(AJ31&gt;0,0,MAX(AJ22-AJ24-AJ27+AJ28-AJ29,0)*Premissas!$B$5+MAX(AJ23-AJ26-(IF(Premissas!$B$8&gt;0,MAX(AJ24+AJ26-AJ22-AJ23,0)*Premissas!$B$8,0)),0)*Premissas!$B$6)</f>
        <v>0</v>
      </c>
      <c r="AK36" s="164">
        <f>IF(AK31&gt;0,0,MAX(AK22-AK24-AK27+AK28-AK29,0)*Premissas!$B$5+MAX(AK23-AK26-(IF(Premissas!$B$8&gt;0,MAX(AK24+AK26-AK22-AK23,0)*Premissas!$B$8,0)),0)*Premissas!$B$6)</f>
        <v>0</v>
      </c>
      <c r="AL36" s="164">
        <f>IF(AL31&gt;0,0,MAX(AL22-AL24-AL27+AL28-AL29,0)*Premissas!$B$5+MAX(AL23-AL26-(IF(Premissas!$B$8&gt;0,MAX(AL24+AL26-AL22-AL23,0)*Premissas!$B$8,0)),0)*Premissas!$B$6)</f>
        <v>0</v>
      </c>
      <c r="AM36" s="164">
        <f>IF(AM31&gt;0,0,MAX(AM22-AM24-AM27+AM28-AM29,0)*Premissas!$B$5+MAX(AM23-AM26-(IF(Premissas!$B$8&gt;0,MAX(AM24+AM26-AM22-AM23,0)*Premissas!$B$8,0)),0)*Premissas!$B$6)</f>
        <v>0</v>
      </c>
      <c r="AN36" s="164">
        <f>IF(AN31&gt;0,0,MAX(AN22-AN24-AN27+AN28-AN29,0)*Premissas!$B$5+MAX(AN23-AN26-(IF(Premissas!$B$8&gt;0,MAX(AN24+AN26-AN22-AN23,0)*Premissas!$B$8,0)),0)*Premissas!$B$6)</f>
        <v>0</v>
      </c>
      <c r="AO36" s="164">
        <f>IF(AO31&gt;0,0,MAX(AO22-AO24-AO27+AO28-AO29,0)*Premissas!$B$5+MAX(AO23-AO26-(IF(Premissas!$B$8&gt;0,MAX(AO24+AO26-AO22-AO23,0)*Premissas!$B$8,0)),0)*Premissas!$B$6)</f>
        <v>116989.88091458243</v>
      </c>
      <c r="AP36" s="164">
        <f>IF(AP31&gt;0,0,MAX(AP22-AP24-AP27+AP28-AP29,0)*Premissas!$B$5+MAX(AP23-AP26-(IF(Premissas!$B$8&gt;0,MAX(AP24+AP26-AP22-AP23,0)*Premissas!$B$8,0)),0)*Premissas!$B$6)</f>
        <v>96423.417614550024</v>
      </c>
      <c r="AQ36" s="164">
        <f>IF(AQ31&gt;0,0,MAX(AQ22-AQ24-AQ27+AQ28-AQ29,0)*Premissas!$B$5+MAX(AQ23-AQ26-(IF(Premissas!$B$8&gt;0,MAX(AQ24+AQ26-AQ22-AQ23,0)*Premissas!$B$8,0)),0)*Premissas!$B$6)</f>
        <v>0</v>
      </c>
      <c r="AR36" s="164">
        <f>IF(AR31&gt;0,0,MAX(AR22-AR24-AR27+AR28-AR29,0)*Premissas!$B$5+MAX(AR23-AR26-(IF(Premissas!$B$8&gt;0,MAX(AR24+AR26-AR22-AR23,0)*Premissas!$B$8,0)),0)*Premissas!$B$6)</f>
        <v>0</v>
      </c>
      <c r="AS36" s="164">
        <f>IF(AS31&gt;0,0,MAX(AS22-AS24-AS27+AS28-AS29,0)*Premissas!$B$5+MAX(AS23-AS26-(IF(Premissas!$B$8&gt;0,MAX(AS24+AS26-AS22-AS23,0)*Premissas!$B$8,0)),0)*Premissas!$B$6)</f>
        <v>0</v>
      </c>
      <c r="AT36" s="164">
        <f>IF(AT31&gt;0,0,MAX(AT22-AT24-AT27+AT28-AT29,0)*Premissas!$B$5+MAX(AT23-AT26-(IF(Premissas!$B$8&gt;0,MAX(AT24+AT26-AT22-AT23,0)*Premissas!$B$8,0)),0)*Premissas!$B$6)</f>
        <v>0</v>
      </c>
      <c r="AU36" s="164">
        <f>IF(AU31&gt;0,0,MAX(AU22-AU24-AU27+AU28-AU29,0)*Premissas!$B$5+MAX(AU23-AU26-(IF(Premissas!$B$8&gt;0,MAX(AU24+AU26-AU22-AU23,0)*Premissas!$B$8,0)),0)*Premissas!$B$6)</f>
        <v>0</v>
      </c>
      <c r="AV36" s="164">
        <f>IF(AV31&gt;0,0,MAX(AV22-AV24-AV27+AV28-AV29,0)*Premissas!$B$5+MAX(AV23-AV26-(IF(Premissas!$B$8&gt;0,MAX(AV24+AV26-AV22-AV23,0)*Premissas!$B$8,0)),0)*Premissas!$B$6)</f>
        <v>0</v>
      </c>
      <c r="AW36" s="164">
        <f>IF(AW31&gt;0,0,MAX(AW22-AW24-AW27+AW28-AW29,0)*Premissas!$B$5+MAX(AW23-AW26-(IF(Premissas!$B$8&gt;0,MAX(AW24+AW26-AW22-AW23,0)*Premissas!$B$8,0)),0)*Premissas!$B$6)</f>
        <v>0</v>
      </c>
      <c r="AX36" s="164">
        <f>IF(AX31&gt;0,0,MAX(AX22-AX24-AX27+AX28-AX29,0)*Premissas!$B$5+MAX(AX23-AX26-(IF(Premissas!$B$8&gt;0,MAX(AX24+AX26-AX22-AX23,0)*Premissas!$B$8,0)),0)*Premissas!$B$6)</f>
        <v>0</v>
      </c>
      <c r="AY36" s="164">
        <f>IF(AY31&gt;0,0,MAX(AY22-AY24-AY27+AY28-AY29,0)*Premissas!$B$5+MAX(AY23-AY26-(IF(Premissas!$B$8&gt;0,MAX(AY24+AY26-AY22-AY23,0)*Premissas!$B$8,0)),0)*Premissas!$B$6)</f>
        <v>0</v>
      </c>
      <c r="AZ36" s="164">
        <f>IF(AZ31&gt;0,0,MAX(AZ22-AZ24-AZ27+AZ28-AZ29,0)*Premissas!$B$5+MAX(AZ23-AZ26-(IF(Premissas!$B$8&gt;0,MAX(AZ24+AZ26-AZ22-AZ23,0)*Premissas!$B$8,0)),0)*Premissas!$B$6)</f>
        <v>0</v>
      </c>
      <c r="BA36" s="164">
        <f>IF(BA31&gt;0,0,MAX(BA22-BA24-BA27+BA28-BA29,0)*Premissas!$B$5+MAX(BA23-BA26-(IF(Premissas!$B$8&gt;0,MAX(BA24+BA26-BA22-BA23,0)*Premissas!$B$8,0)),0)*Premissas!$B$6)</f>
        <v>119914.70224693207</v>
      </c>
      <c r="BB36" s="164">
        <f>IF(BB31&gt;0,0,MAX(BB22-BB24-BB27+BB28-BB29,0)*Premissas!$B$5+MAX(BB23-BB26-(IF(Premissas!$B$8&gt;0,MAX(BB24+BB26-BB22-BB23,0)*Premissas!$B$8,0)),0)*Premissas!$B$6)</f>
        <v>92317.533502278588</v>
      </c>
      <c r="BC36" s="164">
        <f>IF(BC31&gt;0,0,MAX(BC22-BC24-BC27+BC28-BC29,0)*Premissas!$B$5+MAX(BC23-BC26-(IF(Premissas!$B$8&gt;0,MAX(BC24+BC26-BC22-BC23,0)*Premissas!$B$8,0)),0)*Premissas!$B$6)</f>
        <v>0</v>
      </c>
      <c r="BD36" s="164">
        <f>IF(BD31&gt;0,0,MAX(BD22-BD24-BD27+BD28-BD29,0)*Premissas!$B$5+MAX(BD23-BD26-(IF(Premissas!$B$8&gt;0,MAX(BD24+BD26-BD22-BD23,0)*Premissas!$B$8,0)),0)*Premissas!$B$6)</f>
        <v>0</v>
      </c>
      <c r="BE36" s="164">
        <f>IF(BE31&gt;0,0,MAX(BE22-BE24-BE27+BE28-BE29,0)*Premissas!$B$5+MAX(BE23-BE26-(IF(Premissas!$B$8&gt;0,MAX(BE24+BE26-BE22-BE23,0)*Premissas!$B$8,0)),0)*Premissas!$B$6)</f>
        <v>0</v>
      </c>
      <c r="BF36" s="164">
        <f>IF(BF31&gt;0,0,MAX(BF22-BF24-BF27+BF28-BF29,0)*Premissas!$B$5+MAX(BF23-BF26-(IF(Premissas!$B$8&gt;0,MAX(BF24+BF26-BF22-BF23,0)*Premissas!$B$8,0)),0)*Premissas!$B$6)</f>
        <v>0</v>
      </c>
      <c r="BG36" s="164">
        <f>IF(BG31&gt;0,0,MAX(BG22-BG24-BG27+BG28-BG29,0)*Premissas!$B$5+MAX(BG23-BG26-(IF(Premissas!$B$8&gt;0,MAX(BG24+BG26-BG22-BG23,0)*Premissas!$B$8,0)),0)*Premissas!$B$6)</f>
        <v>0</v>
      </c>
      <c r="BH36" s="164">
        <f>IF(BH31&gt;0,0,MAX(BH22-BH24-BH27+BH28-BH29,0)*Premissas!$B$5+MAX(BH23-BH26-(IF(Premissas!$B$8&gt;0,MAX(BH24+BH26-BH22-BH23,0)*Premissas!$B$8,0)),0)*Premissas!$B$6)</f>
        <v>0</v>
      </c>
      <c r="BI36" s="164">
        <f>IF(BI31&gt;0,0,MAX(BI22-BI24-BI27+BI28-BI29,0)*Premissas!$B$5+MAX(BI23-BI26-(IF(Premissas!$B$8&gt;0,MAX(BI24+BI26-BI22-BI23,0)*Premissas!$B$8,0)),0)*Premissas!$B$6)</f>
        <v>0</v>
      </c>
      <c r="BJ36" s="164">
        <f>IF(BJ31&gt;0,0,MAX(BJ22-BJ24-BJ27+BJ28-BJ29,0)*Premissas!$B$5+MAX(BJ23-BJ26-(IF(Premissas!$B$8&gt;0,MAX(BJ24+BJ26-BJ22-BJ23,0)*Premissas!$B$8,0)),0)*Premissas!$B$6)</f>
        <v>0</v>
      </c>
      <c r="BK36" s="164">
        <f>IF(BK31&gt;0,0,MAX(BK22-BK24-BK27+BK28-BK29,0)*Premissas!$B$5+MAX(BK23-BK26-(IF(Premissas!$B$8&gt;0,MAX(BK24+BK26-BK22-BK23,0)*Premissas!$B$8,0)),0)*Premissas!$B$6)</f>
        <v>0</v>
      </c>
      <c r="BL36" s="164">
        <f>IF(BL31&gt;0,0,MAX(BL22-BL24-BL27+BL28-BL29,0)*Premissas!$B$5+MAX(BL23-BL26-(IF(Premissas!$B$8&gt;0,MAX(BL24+BL26-BL22-BL23,0)*Premissas!$B$8,0)),0)*Premissas!$B$6)</f>
        <v>0</v>
      </c>
      <c r="BM36" s="164">
        <f>IF(BM31&gt;0,0,MAX(BM22-BM24-BM27+BM28-BM29,0)*Premissas!$B$5+MAX(BM23-BM26-(IF(Premissas!$B$8&gt;0,MAX(BM24+BM26-BM22-BM23,0)*Premissas!$B$8,0)),0)*Premissas!$B$6)</f>
        <v>189249.48106828606</v>
      </c>
      <c r="BN36" s="164">
        <f>IF(BN31&gt;0,0,MAX(BN22-BN24-BN27+BN28-BN29,0)*Premissas!$B$5+MAX(BN23-BN26-(IF(Premissas!$B$8&gt;0,MAX(BN24+BN26-BN22-BN23,0)*Premissas!$B$8,0)),0)*Premissas!$B$6)</f>
        <v>139398.80511617142</v>
      </c>
      <c r="BO36" s="164">
        <f>IF(BO31&gt;0,0,MAX(BO22-BO24-BO27+BO28-BO29,0)*Premissas!$B$5+MAX(BO23-BO26-(IF(Premissas!$B$8&gt;0,MAX(BO24+BO26-BO22-BO23,0)*Premissas!$B$8,0)),0)*Premissas!$B$6)</f>
        <v>0</v>
      </c>
      <c r="BP36" s="164">
        <f>IF(BP31&gt;0,0,MAX(BP22-BP24-BP27+BP28-BP29,0)*Premissas!$B$5+MAX(BP23-BP26-(IF(Premissas!$B$8&gt;0,MAX(BP24+BP26-BP22-BP23,0)*Premissas!$B$8,0)),0)*Premissas!$B$6)</f>
        <v>0</v>
      </c>
      <c r="BQ36" s="164">
        <f>IF(BQ31&gt;0,0,MAX(BQ22-BQ24-BQ27+BQ28-BQ29,0)*Premissas!$B$5+MAX(BQ23-BQ26-(IF(Premissas!$B$8&gt;0,MAX(BQ24+BQ26-BQ22-BQ23,0)*Premissas!$B$8,0)),0)*Premissas!$B$6)</f>
        <v>0</v>
      </c>
      <c r="BR36" s="164">
        <f>IF(BR31&gt;0,0,MAX(BR22-BR24-BR27+BR28-BR29,0)*Premissas!$B$5+MAX(BR23-BR26-(IF(Premissas!$B$8&gt;0,MAX(BR24+BR26-BR22-BR23,0)*Premissas!$B$8,0)),0)*Premissas!$B$6)</f>
        <v>0</v>
      </c>
      <c r="BS36" s="164">
        <f>IF(BS31&gt;0,0,MAX(BS22-BS24-BS27+BS28-BS29,0)*Premissas!$B$5+MAX(BS23-BS26-(IF(Premissas!$B$8&gt;0,MAX(BS24+BS26-BS22-BS23,0)*Premissas!$B$8,0)),0)*Premissas!$B$6)</f>
        <v>0</v>
      </c>
      <c r="BT36" s="164">
        <f>IF(BT31&gt;0,0,MAX(BT22-BT24-BT27+BT28-BT29,0)*Premissas!$B$5+MAX(BT23-BT26-(IF(Premissas!$B$8&gt;0,MAX(BT24+BT26-BT22-BT23,0)*Premissas!$B$8,0)),0)*Premissas!$B$6)</f>
        <v>0</v>
      </c>
      <c r="BU36" s="164">
        <f>IF(BU31&gt;0,0,MAX(BU22-BU24-BU27+BU28-BU29,0)*Premissas!$B$5+MAX(BU23-BU26-(IF(Premissas!$B$8&gt;0,MAX(BU24+BU26-BU22-BU23,0)*Premissas!$B$8,0)),0)*Premissas!$B$6)</f>
        <v>275820.20000155352</v>
      </c>
      <c r="BV36" s="164">
        <f>IF(BV31&gt;0,0,MAX(BV22-BV24-BV27+BV28-BV29,0)*Premissas!$B$5+MAX(BV23-BV26-(IF(Premissas!$B$8&gt;0,MAX(BV24+BV26-BV22-BV23,0)*Premissas!$B$8,0)),0)*Premissas!$B$6)</f>
        <v>0</v>
      </c>
      <c r="BW36" s="164">
        <f>IF(BW31&gt;0,0,MAX(BW22-BW24-BW27+BW28-BW29,0)*Premissas!$B$5+MAX(BW23-BW26-(IF(Premissas!$B$8&gt;0,MAX(BW24+BW26-BW22-BW23,0)*Premissas!$B$8,0)),0)*Premissas!$B$6)</f>
        <v>0</v>
      </c>
      <c r="BX36" s="164">
        <f>IF(BX31&gt;0,0,MAX(BX22-BX24-BX27+BX28-BX29,0)*Premissas!$B$5+MAX(BX23-BX26-(IF(Premissas!$B$8&gt;0,MAX(BX24+BX26-BX22-BX23,0)*Premissas!$B$8,0)),0)*Premissas!$B$6)</f>
        <v>46003.912394460007</v>
      </c>
      <c r="BY36" s="164">
        <f>IF(BY31&gt;0,0,MAX(BY22-BY24-BY27+BY28-BY29,0)*Premissas!$B$5+MAX(BY23-BY26-(IF(Premissas!$B$8&gt;0,MAX(BY24+BY26-BY22-BY23,0)*Premissas!$B$8,0)),0)*Premissas!$B$6)</f>
        <v>282020.23656733776</v>
      </c>
      <c r="BZ36" s="164">
        <f>IF(BZ31&gt;0,0,MAX(BZ22-BZ24-BZ27+BZ28-BZ29,0)*Premissas!$B$5+MAX(BZ23-BZ26-(IF(Premissas!$B$8&gt;0,MAX(BZ24+BZ26-BZ22-BZ23,0)*Premissas!$B$8,0)),0)*Premissas!$B$6)</f>
        <v>144020.90097547614</v>
      </c>
      <c r="CA36" s="164">
        <f>IF(CA31&gt;0,0,MAX(CA22-CA24-CA27+CA28-CA29,0)*Premissas!$B$5+MAX(CA23-CA26-(IF(Premissas!$B$8&gt;0,MAX(CA24+CA26-CA22-CA23,0)*Premissas!$B$8,0)),0)*Premissas!$B$6)</f>
        <v>0</v>
      </c>
      <c r="CB36" s="164">
        <f>IF(CB31&gt;0,0,MAX(CB22-CB24-CB27+CB28-CB29,0)*Premissas!$B$5+MAX(CB23-CB26-(IF(Premissas!$B$8&gt;0,MAX(CB24+CB26-CB22-CB23,0)*Premissas!$B$8,0)),0)*Premissas!$B$6)</f>
        <v>0</v>
      </c>
      <c r="CC36" s="164">
        <f>IF(CC31&gt;0,0,MAX(CC22-CC24-CC27+CC28-CC29,0)*Premissas!$B$5+MAX(CC23-CC26-(IF(Premissas!$B$8&gt;0,MAX(CC24+CC26-CC22-CC23,0)*Premissas!$B$8,0)),0)*Premissas!$B$6)</f>
        <v>0</v>
      </c>
      <c r="CD36" s="164">
        <f>IF(CD31&gt;0,0,MAX(CD22-CD24-CD27+CD28-CD29,0)*Premissas!$B$5+MAX(CD23-CD26-(IF(Premissas!$B$8&gt;0,MAX(CD24+CD26-CD22-CD23,0)*Premissas!$B$8,0)),0)*Premissas!$B$6)</f>
        <v>0</v>
      </c>
      <c r="CE36" s="164">
        <f>IF(CE31&gt;0,0,MAX(CE22-CE24-CE27+CE28-CE29,0)*Premissas!$B$5+MAX(CE23-CE26-(IF(Premissas!$B$8&gt;0,MAX(CE24+CE26-CE22-CE23,0)*Premissas!$B$8,0)),0)*Premissas!$B$6)</f>
        <v>0</v>
      </c>
      <c r="CF36" s="164">
        <f>IF(CF31&gt;0,0,MAX(CF22-CF24-CF27+CF28-CF29,0)*Premissas!$B$5+MAX(CF23-CF26-(IF(Premissas!$B$8&gt;0,MAX(CF24+CF26-CF22-CF23,0)*Premissas!$B$8,0)),0)*Premissas!$B$6)</f>
        <v>95680.892975949813</v>
      </c>
      <c r="CG36" s="164">
        <f>IF(CG31&gt;0,0,MAX(CG22-CG24-CG27+CG28-CG29,0)*Premissas!$B$5+MAX(CG23-CG26-(IF(Premissas!$B$8&gt;0,MAX(CG24+CG26-CG22-CG23,0)*Premissas!$B$8,0)),0)*Premissas!$B$6)</f>
        <v>292483.33373183163</v>
      </c>
      <c r="CH36" s="164">
        <f>IF(CH31&gt;0,0,MAX(CH22-CH24-CH27+CH28-CH29,0)*Premissas!$B$5+MAX(CH23-CH26-(IF(Premissas!$B$8&gt;0,MAX(CH24+CH26-CH22-CH23,0)*Premissas!$B$8,0)),0)*Premissas!$B$6)</f>
        <v>0</v>
      </c>
      <c r="CI36" s="164">
        <f>IF(CI31&gt;0,0,MAX(CI22-CI24-CI27+CI28-CI29,0)*Premissas!$B$5+MAX(CI23-CI26-(IF(Premissas!$B$8&gt;0,MAX(CI24+CI26-CI22-CI23,0)*Premissas!$B$8,0)),0)*Premissas!$B$6)</f>
        <v>0</v>
      </c>
      <c r="CJ36" s="164">
        <f>IF(CJ31&gt;0,0,MAX(CJ22-CJ24-CJ27+CJ28-CJ29,0)*Premissas!$B$5+MAX(CJ23-CJ26-(IF(Premissas!$B$8&gt;0,MAX(CJ24+CJ26-CJ22-CJ23,0)*Premissas!$B$8,0)),0)*Premissas!$B$6)</f>
        <v>49970.917113774762</v>
      </c>
      <c r="CK36" s="164">
        <f>IF(CK31&gt;0,0,MAX(CK22-CK24-CK27+CK28-CK29,0)*Premissas!$B$5+MAX(CK23-CK26-(IF(Premissas!$B$8&gt;0,MAX(CK24+CK26-CK22-CK23,0)*Premissas!$B$8,0)),0)*Premissas!$B$6)</f>
        <v>290182.16468696104</v>
      </c>
      <c r="CL36" s="164">
        <f>IF(CL31&gt;0,0,MAX(CL22-CL24-CL27+CL28-CL29,0)*Premissas!$B$5+MAX(CL23-CL26-(IF(Premissas!$B$8&gt;0,MAX(CL24+CL26-CL22-CL23,0)*Premissas!$B$8,0)),0)*Premissas!$B$6)</f>
        <v>148755.84985189346</v>
      </c>
      <c r="CM36" s="164">
        <f>IF(CM31&gt;0,0,MAX(CM22-CM24-CM27+CM28-CM29,0)*Premissas!$B$5+MAX(CM23-CM26-(IF(Premissas!$B$8&gt;0,MAX(CM24+CM26-CM22-CM23,0)*Premissas!$B$8,0)),0)*Premissas!$B$6)</f>
        <v>0</v>
      </c>
      <c r="CN36" s="164">
        <f>IF(CN31&gt;0,0,MAX(CN22-CN24-CN27+CN28-CN29,0)*Premissas!$B$5+MAX(CN23-CN26-(IF(Premissas!$B$8&gt;0,MAX(CN24+CN26-CN22-CN23,0)*Premissas!$B$8,0)),0)*Premissas!$B$6)</f>
        <v>0</v>
      </c>
      <c r="CO36" s="164">
        <f>IF(CO31&gt;0,0,MAX(CO22-CO24-CO27+CO28-CO29,0)*Premissas!$B$5+MAX(CO23-CO26-(IF(Premissas!$B$8&gt;0,MAX(CO24+CO26-CO22-CO23,0)*Premissas!$B$8,0)),0)*Premissas!$B$6)</f>
        <v>0</v>
      </c>
      <c r="CP36" s="164">
        <f>IF(CP31&gt;0,0,MAX(CP22-CP24-CP27+CP28-CP29,0)*Premissas!$B$5+MAX(CP23-CP26-(IF(Premissas!$B$8&gt;0,MAX(CP24+CP26-CP22-CP23,0)*Premissas!$B$8,0)),0)*Premissas!$B$6)</f>
        <v>0</v>
      </c>
      <c r="CQ36" s="164">
        <f>IF(CQ31&gt;0,0,MAX(CQ22-CQ24-CQ27+CQ28-CQ29,0)*Premissas!$B$5+MAX(CQ23-CQ26-(IF(Premissas!$B$8&gt;0,MAX(CQ24+CQ26-CQ22-CQ23,0)*Premissas!$B$8,0)),0)*Premissas!$B$6)</f>
        <v>0</v>
      </c>
      <c r="CR36" s="164">
        <f>IF(CR31&gt;0,0,MAX(CR22-CR24-CR27+CR28-CR29,0)*Premissas!$B$5+MAX(CR23-CR26-(IF(Premissas!$B$8&gt;0,MAX(CR24+CR26-CR22-CR23,0)*Premissas!$B$8,0)),0)*Premissas!$B$6)</f>
        <v>98070.686015796455</v>
      </c>
      <c r="CS36" s="164">
        <f>IF(CS31&gt;0,0,MAX(CS22-CS24-CS27+CS28-CS29,0)*Premissas!$B$5+MAX(CS23-CS26-(IF(Premissas!$B$8&gt;0,MAX(CS24+CS26-CS22-CS23,0)*Premissas!$B$8,0)),0)*Premissas!$B$6)</f>
        <v>300926.01278898615</v>
      </c>
      <c r="CT36" s="164">
        <f>IF(CT31&gt;0,0,MAX(CT22-CT24-CT27+CT28-CT29,0)*Premissas!$B$5+MAX(CT23-CT26-(IF(Premissas!$B$8&gt;0,MAX(CT24+CT26-CT22-CT23,0)*Premissas!$B$8,0)),0)*Premissas!$B$6)</f>
        <v>0</v>
      </c>
      <c r="CU36" s="164">
        <f>IF(CU31&gt;0,0,MAX(CU22-CU24-CU27+CU28-CU29,0)*Premissas!$B$5+MAX(CU23-CU26-(IF(Premissas!$B$8&gt;0,MAX(CU24+CU26-CU22-CU23,0)*Premissas!$B$8,0)),0)*Premissas!$B$6)</f>
        <v>0</v>
      </c>
      <c r="CV36" s="164">
        <f>IF(CV31&gt;0,0,MAX(CV22-CV24-CV27+CV28-CV29,0)*Premissas!$B$5+MAX(CV23-CV26-(IF(Premissas!$B$8&gt;0,MAX(CV24+CV26-CV22-CV23,0)*Premissas!$B$8,0)),0)*Premissas!$B$6)</f>
        <v>54038.65590907252</v>
      </c>
      <c r="CW36" s="164">
        <f>IF(CW31&gt;0,0,MAX(CW22-CW24-CW27+CW28-CW29,0)*Premissas!$B$5+MAX(CW23-CW26-(IF(Premissas!$B$8&gt;0,MAX(CW24+CW26-CW22-CW23,0)*Premissas!$B$8,0)),0)*Premissas!$B$6)</f>
        <v>298549.78984700359</v>
      </c>
      <c r="CX36" s="164">
        <f>IF(CX31&gt;0,0,MAX(CX22-CX24-CX27+CX28-CX29,0)*Premissas!$B$5+MAX(CX23-CX26-(IF(Premissas!$B$8&gt;0,MAX(CX24+CX26-CX22-CX23,0)*Premissas!$B$8,0)),0)*Premissas!$B$6)</f>
        <v>153611.18108197846</v>
      </c>
      <c r="CY36" s="164">
        <f>IF(CY31&gt;0,0,MAX(CY22-CY24-CY27+CY28-CY29,0)*Premissas!$B$5+MAX(CY23-CY26-(IF(Premissas!$B$8&gt;0,MAX(CY24+CY26-CY22-CY23,0)*Premissas!$B$8,0)),0)*Premissas!$B$6)</f>
        <v>0</v>
      </c>
      <c r="CZ36" s="164">
        <f>IF(CZ31&gt;0,0,MAX(CZ22-CZ24-CZ27+CZ28-CZ29,0)*Premissas!$B$5+MAX(CZ23-CZ26-(IF(Premissas!$B$8&gt;0,MAX(CZ24+CZ26-CZ22-CZ23,0)*Premissas!$B$8,0)),0)*Premissas!$B$6)</f>
        <v>0</v>
      </c>
      <c r="DA36" s="164">
        <f>IF(DA31&gt;0,0,MAX(DA22-DA24-DA27+DA28-DA29,0)*Premissas!$B$5+MAX(DA23-DA26-(IF(Premissas!$B$8&gt;0,MAX(DA24+DA26-DA22-DA23,0)*Premissas!$B$8,0)),0)*Premissas!$B$6)</f>
        <v>0</v>
      </c>
      <c r="DB36" s="164">
        <f>IF(DB31&gt;0,0,MAX(DB22-DB24-DB27+DB28-DB29,0)*Premissas!$B$5+MAX(DB23-DB26-(IF(Premissas!$B$8&gt;0,MAX(DB24+DB26-DB22-DB23,0)*Premissas!$B$8,0)),0)*Premissas!$B$6)</f>
        <v>0</v>
      </c>
      <c r="DC36" s="164">
        <f>IF(DC31&gt;0,0,MAX(DC22-DC24-DC27+DC28-DC29,0)*Premissas!$B$5+MAX(DC23-DC26-(IF(Premissas!$B$8&gt;0,MAX(DC24+DC26-DC22-DC23,0)*Premissas!$B$8,0)),0)*Premissas!$B$6)</f>
        <v>0</v>
      </c>
      <c r="DD36" s="164">
        <f>IF(DD31&gt;0,0,MAX(DD22-DD24-DD27+DD28-DD29,0)*Premissas!$B$5+MAX(DD23-DD26-(IF(Premissas!$B$8&gt;0,MAX(DD24+DD26-DD22-DD23,0)*Premissas!$B$8,0)),0)*Premissas!$B$6)</f>
        <v>0</v>
      </c>
      <c r="DE36" s="164">
        <f>IF(DE31&gt;0,0,MAX(DE22-DE24-DE27+DE28-DE29,0)*Premissas!$B$5+MAX(DE23-DE26-(IF(Premissas!$B$8&gt;0,MAX(DE24+DE26-DE22-DE23,0)*Premissas!$B$8,0)),0)*Premissas!$B$6)</f>
        <v>238509.87415256072</v>
      </c>
      <c r="DF36" s="164">
        <f>IF(DF31&gt;0,0,MAX(DF22-DF24-DF27+DF28-DF29,0)*Premissas!$B$5+MAX(DF23-DF26-(IF(Premissas!$B$8&gt;0,MAX(DF24+DF26-DF22-DF23,0)*Premissas!$B$8,0)),0)*Premissas!$B$6)</f>
        <v>0</v>
      </c>
      <c r="DG36" s="164">
        <f>IF(DG31&gt;0,0,MAX(DG22-DG24-DG27+DG28-DG29,0)*Premissas!$B$5+MAX(DG23-DG26-(IF(Premissas!$B$8&gt;0,MAX(DG24+DG26-DG22-DG23,0)*Premissas!$B$8,0)),0)*Premissas!$B$6)</f>
        <v>0</v>
      </c>
      <c r="DH36" s="164">
        <f>IF(DH31&gt;0,0,MAX(DH22-DH24-DH27+DH28-DH29,0)*Premissas!$B$5+MAX(DH23-DH26-(IF(Premissas!$B$8&gt;0,MAX(DH24+DH26-DH22-DH23,0)*Premissas!$B$8,0)),0)*Premissas!$B$6)</f>
        <v>0</v>
      </c>
      <c r="DI36" s="164">
        <f>IF(DI31&gt;0,0,MAX(DI22-DI24-DI27+DI28-DI29,0)*Premissas!$B$5+MAX(DI23-DI26-(IF(Premissas!$B$8&gt;0,MAX(DI24+DI26-DI22-DI23,0)*Premissas!$B$8,0)),0)*Premissas!$B$6)</f>
        <v>282641.77550332714</v>
      </c>
      <c r="DJ36" s="164">
        <f>IF(DJ31&gt;0,0,MAX(DJ22-DJ24-DJ27+DJ28-DJ29,0)*Premissas!$B$5+MAX(DJ23-DJ26-(IF(Premissas!$B$8&gt;0,MAX(DJ24+DJ26-DJ22-DJ23,0)*Premissas!$B$8,0)),0)*Premissas!$B$6)</f>
        <v>138153.3802682028</v>
      </c>
      <c r="DK36" s="164">
        <f>IF(DK31&gt;0,0,MAX(DK22-DK24-DK27+DK28-DK29,0)*Premissas!$B$5+MAX(DK23-DK26-(IF(Premissas!$B$8&gt;0,MAX(DK24+DK26-DK22-DK23,0)*Premissas!$B$8,0)),0)*Premissas!$B$6)</f>
        <v>0</v>
      </c>
      <c r="DL36" s="164">
        <f>IF(DL31&gt;0,0,MAX(DL22-DL24-DL27+DL28-DL29,0)*Premissas!$B$5+MAX(DL23-DL26-(IF(Premissas!$B$8&gt;0,MAX(DL24+DL26-DL22-DL23,0)*Premissas!$B$8,0)),0)*Premissas!$B$6)</f>
        <v>0</v>
      </c>
      <c r="DM36" s="164">
        <f>IF(DM31&gt;0,0,MAX(DM22-DM24-DM27+DM28-DM29,0)*Premissas!$B$5+MAX(DM23-DM26-(IF(Premissas!$B$8&gt;0,MAX(DM24+DM26-DM22-DM23,0)*Premissas!$B$8,0)),0)*Premissas!$B$6)</f>
        <v>0</v>
      </c>
      <c r="DN36" s="164">
        <f>IF(DN31&gt;0,0,MAX(DN22-DN24-DN27+DN28-DN29,0)*Premissas!$B$5+MAX(DN23-DN26-(IF(Premissas!$B$8&gt;0,MAX(DN24+DN26-DN22-DN23,0)*Premissas!$B$8,0)),0)*Premissas!$B$6)</f>
        <v>0</v>
      </c>
      <c r="DO36" s="164">
        <f>IF(DO31&gt;0,0,MAX(DO22-DO24-DO27+DO28-DO29,0)*Premissas!$B$5+MAX(DO23-DO26-(IF(Premissas!$B$8&gt;0,MAX(DO24+DO26-DO22-DO23,0)*Premissas!$B$8,0)),0)*Premissas!$B$6)</f>
        <v>0</v>
      </c>
      <c r="DP36" s="164">
        <f>IF(DP31&gt;0,0,MAX(DP22-DP24-DP27+DP28-DP29,0)*Premissas!$B$5+MAX(DP23-DP26-(IF(Premissas!$B$8&gt;0,MAX(DP24+DP26-DP22-DP23,0)*Premissas!$B$8,0)),0)*Premissas!$B$6)</f>
        <v>0</v>
      </c>
      <c r="DQ36" s="164">
        <f>IF(DQ31&gt;0,0,MAX(DQ22-DQ24-DQ27+DQ28-DQ29,0)*Premissas!$B$5+MAX(DQ23-DQ26-(IF(Premissas!$B$8&gt;0,MAX(DQ24+DQ26-DQ22-DQ23,0)*Premissas!$B$8,0)),0)*Premissas!$B$6)</f>
        <v>217690.79470950758</v>
      </c>
      <c r="DR36" s="164">
        <f>IF(DR31&gt;0,0,MAX(DR22-DR24-DR27+DR28-DR29,0)*Premissas!$B$5+MAX(DR23-DR26-(IF(Premissas!$B$8&gt;0,MAX(DR24+DR26-DR22-DR23,0)*Premissas!$B$8,0)),0)*Premissas!$B$6)</f>
        <v>0</v>
      </c>
      <c r="DS36" s="164">
        <f>IF(DS31&gt;0,0,MAX(DS22-DS24-DS27+DS28-DS29,0)*Premissas!$B$5+MAX(DS23-DS26-(IF(Premissas!$B$8&gt;0,MAX(DS24+DS26-DS22-DS23,0)*Premissas!$B$8,0)),0)*Premissas!$B$6)</f>
        <v>0</v>
      </c>
    </row>
    <row r="37" spans="1:123" ht="13.5" customHeight="1" x14ac:dyDescent="0.35">
      <c r="A37" s="39" t="s">
        <v>499</v>
      </c>
      <c r="B37" s="42">
        <f>SUM(D37:BQ37)</f>
        <v>2650113.2647346254</v>
      </c>
      <c r="C37" s="144">
        <f>B37/60</f>
        <v>44168.554412243757</v>
      </c>
      <c r="D37" s="165">
        <f t="shared" ref="D37:AI37" si="40">MAX(D35-D36,0)</f>
        <v>0</v>
      </c>
      <c r="E37" s="165">
        <f t="shared" si="40"/>
        <v>118751.69032799335</v>
      </c>
      <c r="F37" s="165">
        <f t="shared" si="40"/>
        <v>121597.68319510968</v>
      </c>
      <c r="G37" s="165">
        <f t="shared" si="40"/>
        <v>0</v>
      </c>
      <c r="H37" s="165">
        <f t="shared" si="40"/>
        <v>0</v>
      </c>
      <c r="I37" s="165">
        <f t="shared" si="40"/>
        <v>0</v>
      </c>
      <c r="J37" s="165">
        <f t="shared" si="40"/>
        <v>0</v>
      </c>
      <c r="K37" s="165">
        <f t="shared" si="40"/>
        <v>0</v>
      </c>
      <c r="L37" s="165">
        <f t="shared" si="40"/>
        <v>0</v>
      </c>
      <c r="M37" s="165">
        <f t="shared" si="40"/>
        <v>168201.5864363811</v>
      </c>
      <c r="N37" s="165">
        <f t="shared" si="40"/>
        <v>0</v>
      </c>
      <c r="O37" s="165">
        <f t="shared" si="40"/>
        <v>0</v>
      </c>
      <c r="P37" s="165">
        <f t="shared" si="40"/>
        <v>40190.636706502912</v>
      </c>
      <c r="Q37" s="165">
        <f t="shared" si="40"/>
        <v>248756.84466877038</v>
      </c>
      <c r="R37" s="165">
        <f t="shared" si="40"/>
        <v>125896.52040232674</v>
      </c>
      <c r="S37" s="165">
        <f t="shared" si="40"/>
        <v>0</v>
      </c>
      <c r="T37" s="165">
        <f t="shared" si="40"/>
        <v>0</v>
      </c>
      <c r="U37" s="165">
        <f t="shared" si="40"/>
        <v>0</v>
      </c>
      <c r="V37" s="165">
        <f t="shared" si="40"/>
        <v>0</v>
      </c>
      <c r="W37" s="165">
        <f t="shared" si="40"/>
        <v>0</v>
      </c>
      <c r="X37" s="165">
        <f t="shared" si="40"/>
        <v>0</v>
      </c>
      <c r="Y37" s="165">
        <f t="shared" si="40"/>
        <v>172118.69891132112</v>
      </c>
      <c r="Z37" s="165">
        <f t="shared" si="40"/>
        <v>0</v>
      </c>
      <c r="AA37" s="165">
        <f t="shared" si="40"/>
        <v>0</v>
      </c>
      <c r="AB37" s="165">
        <f t="shared" si="40"/>
        <v>43170.39146891245</v>
      </c>
      <c r="AC37" s="165">
        <f t="shared" si="40"/>
        <v>256179.56512241776</v>
      </c>
      <c r="AD37" s="165">
        <f t="shared" si="40"/>
        <v>57804.948403602088</v>
      </c>
      <c r="AE37" s="165">
        <f t="shared" si="40"/>
        <v>0</v>
      </c>
      <c r="AF37" s="165">
        <f t="shared" si="40"/>
        <v>0</v>
      </c>
      <c r="AG37" s="165">
        <f t="shared" si="40"/>
        <v>0</v>
      </c>
      <c r="AH37" s="165">
        <f t="shared" si="40"/>
        <v>0</v>
      </c>
      <c r="AI37" s="165">
        <f t="shared" si="40"/>
        <v>0</v>
      </c>
      <c r="AJ37" s="165">
        <f t="shared" ref="AJ37:BO37" si="41">MAX(AJ35-AJ36,0)</f>
        <v>0</v>
      </c>
      <c r="AK37" s="165">
        <f t="shared" si="41"/>
        <v>201698.78672062815</v>
      </c>
      <c r="AL37" s="165">
        <f t="shared" si="41"/>
        <v>0</v>
      </c>
      <c r="AM37" s="165">
        <f t="shared" si="41"/>
        <v>0</v>
      </c>
      <c r="AN37" s="165">
        <f t="shared" si="41"/>
        <v>49432.170395668232</v>
      </c>
      <c r="AO37" s="165">
        <f t="shared" si="41"/>
        <v>146791.37875121806</v>
      </c>
      <c r="AP37" s="165">
        <f t="shared" si="41"/>
        <v>38383.053386438565</v>
      </c>
      <c r="AQ37" s="165">
        <f t="shared" si="41"/>
        <v>0</v>
      </c>
      <c r="AR37" s="165">
        <f t="shared" si="41"/>
        <v>0</v>
      </c>
      <c r="AS37" s="165">
        <f t="shared" si="41"/>
        <v>0</v>
      </c>
      <c r="AT37" s="165">
        <f t="shared" si="41"/>
        <v>0</v>
      </c>
      <c r="AU37" s="165">
        <f t="shared" si="41"/>
        <v>0</v>
      </c>
      <c r="AV37" s="165">
        <f t="shared" si="41"/>
        <v>0</v>
      </c>
      <c r="AW37" s="165">
        <f t="shared" si="41"/>
        <v>221067.54550108314</v>
      </c>
      <c r="AX37" s="165">
        <f t="shared" si="41"/>
        <v>0</v>
      </c>
      <c r="AY37" s="165">
        <f t="shared" si="41"/>
        <v>0</v>
      </c>
      <c r="AZ37" s="165">
        <f t="shared" si="41"/>
        <v>54199.782701806762</v>
      </c>
      <c r="BA37" s="165">
        <f t="shared" si="41"/>
        <v>151652.30932839541</v>
      </c>
      <c r="BB37" s="165">
        <f t="shared" si="41"/>
        <v>47100.247816309071</v>
      </c>
      <c r="BC37" s="165">
        <f t="shared" si="41"/>
        <v>0</v>
      </c>
      <c r="BD37" s="165">
        <f t="shared" si="41"/>
        <v>0</v>
      </c>
      <c r="BE37" s="165">
        <f t="shared" si="41"/>
        <v>0</v>
      </c>
      <c r="BF37" s="165">
        <f t="shared" si="41"/>
        <v>0</v>
      </c>
      <c r="BG37" s="165">
        <f t="shared" si="41"/>
        <v>0</v>
      </c>
      <c r="BH37" s="165">
        <f t="shared" si="41"/>
        <v>0</v>
      </c>
      <c r="BI37" s="165">
        <f t="shared" si="41"/>
        <v>240848.34913064755</v>
      </c>
      <c r="BJ37" s="165">
        <f t="shared" si="41"/>
        <v>0</v>
      </c>
      <c r="BK37" s="165">
        <f t="shared" si="41"/>
        <v>0</v>
      </c>
      <c r="BL37" s="165">
        <f t="shared" si="41"/>
        <v>51285.157990145992</v>
      </c>
      <c r="BM37" s="165">
        <f t="shared" si="41"/>
        <v>89432.269538838998</v>
      </c>
      <c r="BN37" s="165">
        <f t="shared" si="41"/>
        <v>5553.6478301078314</v>
      </c>
      <c r="BO37" s="165">
        <f t="shared" si="41"/>
        <v>0</v>
      </c>
      <c r="BP37" s="165">
        <f t="shared" ref="BP37:CU37" si="42">MAX(BP35-BP36,0)</f>
        <v>0</v>
      </c>
      <c r="BQ37" s="165">
        <f t="shared" si="42"/>
        <v>0</v>
      </c>
      <c r="BR37" s="165">
        <f t="shared" si="42"/>
        <v>0</v>
      </c>
      <c r="BS37" s="165">
        <f t="shared" si="42"/>
        <v>0</v>
      </c>
      <c r="BT37" s="165">
        <f t="shared" si="42"/>
        <v>0</v>
      </c>
      <c r="BU37" s="165">
        <f t="shared" si="42"/>
        <v>7550.9460623876075</v>
      </c>
      <c r="BV37" s="165">
        <f t="shared" si="42"/>
        <v>0</v>
      </c>
      <c r="BW37" s="165">
        <f t="shared" si="42"/>
        <v>0</v>
      </c>
      <c r="BX37" s="165">
        <f t="shared" si="42"/>
        <v>9371.8745387043746</v>
      </c>
      <c r="BY37" s="165">
        <f t="shared" si="42"/>
        <v>4633.2415622335393</v>
      </c>
      <c r="BZ37" s="165">
        <f t="shared" si="42"/>
        <v>5561.948935369961</v>
      </c>
      <c r="CA37" s="165">
        <f t="shared" si="42"/>
        <v>0</v>
      </c>
      <c r="CB37" s="165">
        <f t="shared" si="42"/>
        <v>0</v>
      </c>
      <c r="CC37" s="165">
        <f t="shared" si="42"/>
        <v>0</v>
      </c>
      <c r="CD37" s="165">
        <f t="shared" si="42"/>
        <v>0</v>
      </c>
      <c r="CE37" s="165">
        <f t="shared" si="42"/>
        <v>0</v>
      </c>
      <c r="CF37" s="165">
        <f t="shared" si="42"/>
        <v>0</v>
      </c>
      <c r="CG37" s="165">
        <f t="shared" si="42"/>
        <v>5329.5165610787226</v>
      </c>
      <c r="CH37" s="165">
        <f t="shared" si="42"/>
        <v>0</v>
      </c>
      <c r="CI37" s="165">
        <f t="shared" si="42"/>
        <v>0</v>
      </c>
      <c r="CJ37" s="165">
        <f t="shared" si="42"/>
        <v>9385.0997433353041</v>
      </c>
      <c r="CK37" s="165">
        <f t="shared" si="42"/>
        <v>4640.0182190698688</v>
      </c>
      <c r="CL37" s="165">
        <f t="shared" si="42"/>
        <v>5570.0839351902541</v>
      </c>
      <c r="CM37" s="165">
        <f t="shared" si="42"/>
        <v>0</v>
      </c>
      <c r="CN37" s="165">
        <f t="shared" si="42"/>
        <v>0</v>
      </c>
      <c r="CO37" s="165">
        <f t="shared" si="42"/>
        <v>0</v>
      </c>
      <c r="CP37" s="165">
        <f t="shared" si="42"/>
        <v>0</v>
      </c>
      <c r="CQ37" s="165">
        <f t="shared" si="42"/>
        <v>0</v>
      </c>
      <c r="CR37" s="165">
        <f t="shared" si="42"/>
        <v>0</v>
      </c>
      <c r="CS37" s="165">
        <f t="shared" si="42"/>
        <v>5336.6234294743626</v>
      </c>
      <c r="CT37" s="165">
        <f t="shared" si="42"/>
        <v>0</v>
      </c>
      <c r="CU37" s="165">
        <f t="shared" si="42"/>
        <v>0</v>
      </c>
      <c r="CV37" s="165">
        <f t="shared" ref="CV37:DS37" si="43">MAX(CV35-CV36,0)</f>
        <v>9270.2495811036715</v>
      </c>
      <c r="CW37" s="165">
        <f t="shared" si="43"/>
        <v>4646.6522038625553</v>
      </c>
      <c r="CX37" s="165">
        <f t="shared" si="43"/>
        <v>5578.0476651531935</v>
      </c>
      <c r="CY37" s="165">
        <f t="shared" si="43"/>
        <v>0</v>
      </c>
      <c r="CZ37" s="165">
        <f t="shared" si="43"/>
        <v>0</v>
      </c>
      <c r="DA37" s="165">
        <f t="shared" si="43"/>
        <v>0</v>
      </c>
      <c r="DB37" s="165">
        <f t="shared" si="43"/>
        <v>0</v>
      </c>
      <c r="DC37" s="165">
        <f t="shared" si="43"/>
        <v>0</v>
      </c>
      <c r="DD37" s="165">
        <f t="shared" si="43"/>
        <v>100522.8990231018</v>
      </c>
      <c r="DE37" s="165">
        <f t="shared" si="43"/>
        <v>76412.840599827759</v>
      </c>
      <c r="DF37" s="165">
        <f t="shared" si="43"/>
        <v>0</v>
      </c>
      <c r="DG37" s="165">
        <f t="shared" si="43"/>
        <v>0</v>
      </c>
      <c r="DH37" s="165">
        <f t="shared" si="43"/>
        <v>66483.772880018761</v>
      </c>
      <c r="DI37" s="165">
        <f t="shared" si="43"/>
        <v>29140.611266820692</v>
      </c>
      <c r="DJ37" s="165">
        <f t="shared" si="43"/>
        <v>26018.488027829793</v>
      </c>
      <c r="DK37" s="165">
        <f t="shared" si="43"/>
        <v>0</v>
      </c>
      <c r="DL37" s="165">
        <f t="shared" si="43"/>
        <v>0</v>
      </c>
      <c r="DM37" s="165">
        <f t="shared" si="43"/>
        <v>0</v>
      </c>
      <c r="DN37" s="165">
        <f t="shared" si="43"/>
        <v>0</v>
      </c>
      <c r="DO37" s="165">
        <f t="shared" si="43"/>
        <v>0</v>
      </c>
      <c r="DP37" s="165">
        <f t="shared" si="43"/>
        <v>103037.53199786581</v>
      </c>
      <c r="DQ37" s="165">
        <f t="shared" si="43"/>
        <v>106108.42239125745</v>
      </c>
      <c r="DR37" s="165">
        <f t="shared" si="43"/>
        <v>0</v>
      </c>
      <c r="DS37" s="165">
        <f t="shared" si="43"/>
        <v>0</v>
      </c>
    </row>
    <row r="38" spans="1:123" ht="14.25" customHeight="1" x14ac:dyDescent="0.35">
      <c r="F38" s="141"/>
      <c r="H38" s="141"/>
    </row>
    <row r="39" spans="1:123" ht="15" customHeight="1" x14ac:dyDescent="0.35">
      <c r="A39" s="337" t="s">
        <v>500</v>
      </c>
      <c r="B39" s="337"/>
      <c r="C39" s="337"/>
      <c r="D39" s="337"/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  <c r="R39" s="337"/>
      <c r="S39" s="337"/>
      <c r="T39" s="337"/>
      <c r="U39" s="337"/>
      <c r="V39" s="337"/>
      <c r="W39" s="337"/>
      <c r="X39" s="337"/>
      <c r="Y39" s="337"/>
      <c r="Z39" s="337"/>
      <c r="AA39" s="337"/>
    </row>
    <row r="40" spans="1:123" ht="12.75" customHeight="1" x14ac:dyDescent="0.35">
      <c r="A40" s="154" t="s">
        <v>486</v>
      </c>
      <c r="B40" s="140">
        <f t="shared" ref="B40:B46" si="44">SUM(D40:BQ40)</f>
        <v>7440281</v>
      </c>
      <c r="C40" s="139">
        <f t="shared" ref="C40:C46" si="45">B40/60</f>
        <v>124004.68333333333</v>
      </c>
      <c r="D40" s="140">
        <v>182445</v>
      </c>
      <c r="E40" s="140">
        <v>234799</v>
      </c>
      <c r="F40" s="140">
        <v>134799</v>
      </c>
      <c r="G40" s="140">
        <v>18637</v>
      </c>
      <c r="H40" s="140">
        <v>24383</v>
      </c>
      <c r="I40" s="140">
        <v>20226</v>
      </c>
      <c r="J40" s="140">
        <v>17142</v>
      </c>
      <c r="K40" s="140">
        <v>75823</v>
      </c>
      <c r="L40" s="140">
        <v>214709</v>
      </c>
      <c r="M40" s="140">
        <v>177592</v>
      </c>
      <c r="N40" s="140">
        <v>80410</v>
      </c>
      <c r="O40" s="140">
        <v>105195</v>
      </c>
      <c r="P40" s="140">
        <v>187006</v>
      </c>
      <c r="Q40" s="140">
        <v>240669</v>
      </c>
      <c r="R40" s="140">
        <v>138169</v>
      </c>
      <c r="S40" s="140">
        <v>19103</v>
      </c>
      <c r="T40" s="140">
        <v>24992</v>
      </c>
      <c r="U40" s="140">
        <v>20731</v>
      </c>
      <c r="V40" s="140">
        <v>17571</v>
      </c>
      <c r="W40" s="140">
        <v>75823</v>
      </c>
      <c r="X40" s="140">
        <v>214709</v>
      </c>
      <c r="Y40" s="140">
        <v>177592</v>
      </c>
      <c r="Z40" s="140">
        <v>80410</v>
      </c>
      <c r="AA40" s="140">
        <v>105195</v>
      </c>
      <c r="AB40" s="140">
        <v>191681</v>
      </c>
      <c r="AC40" s="140">
        <v>246686</v>
      </c>
      <c r="AD40" s="140">
        <v>141623</v>
      </c>
      <c r="AE40" s="140">
        <v>19580</v>
      </c>
      <c r="AF40" s="140">
        <v>25617</v>
      </c>
      <c r="AG40" s="140">
        <v>21250</v>
      </c>
      <c r="AH40" s="140">
        <v>18010</v>
      </c>
      <c r="AI40" s="140">
        <v>79662</v>
      </c>
      <c r="AJ40" s="140">
        <v>225579</v>
      </c>
      <c r="AK40" s="140">
        <v>186583</v>
      </c>
      <c r="AL40" s="140">
        <v>84481</v>
      </c>
      <c r="AM40" s="140">
        <v>110520</v>
      </c>
      <c r="AN40" s="140">
        <v>196473</v>
      </c>
      <c r="AO40" s="140">
        <v>252853</v>
      </c>
      <c r="AP40" s="140">
        <v>145164</v>
      </c>
      <c r="AQ40" s="140">
        <v>20070</v>
      </c>
      <c r="AR40" s="140">
        <v>26258</v>
      </c>
      <c r="AS40" s="140">
        <v>21781</v>
      </c>
      <c r="AT40" s="140">
        <v>18460</v>
      </c>
      <c r="AU40" s="140">
        <v>81653</v>
      </c>
      <c r="AV40" s="140">
        <v>231218</v>
      </c>
      <c r="AW40" s="140">
        <v>191247</v>
      </c>
      <c r="AX40" s="140">
        <v>86593</v>
      </c>
      <c r="AY40" s="140">
        <v>113284</v>
      </c>
      <c r="AZ40" s="140">
        <v>201385</v>
      </c>
      <c r="BA40" s="140">
        <v>259174</v>
      </c>
      <c r="BB40" s="140">
        <v>148793</v>
      </c>
      <c r="BC40" s="140">
        <v>20572</v>
      </c>
      <c r="BD40" s="140">
        <v>26914</v>
      </c>
      <c r="BE40" s="140">
        <v>22326</v>
      </c>
      <c r="BF40" s="140">
        <v>18922</v>
      </c>
      <c r="BG40" s="140">
        <v>83694</v>
      </c>
      <c r="BH40" s="140">
        <v>236999</v>
      </c>
      <c r="BI40" s="140">
        <v>196028</v>
      </c>
      <c r="BJ40" s="140">
        <v>88758</v>
      </c>
      <c r="BK40" s="140">
        <v>116116</v>
      </c>
      <c r="BL40" s="140">
        <v>206420</v>
      </c>
      <c r="BM40" s="140">
        <v>265654</v>
      </c>
      <c r="BN40" s="140">
        <v>152513</v>
      </c>
      <c r="BO40" s="140">
        <v>21086</v>
      </c>
      <c r="BP40" s="140">
        <v>27587</v>
      </c>
      <c r="BQ40" s="140">
        <v>22884</v>
      </c>
      <c r="BR40" s="140">
        <v>19395</v>
      </c>
      <c r="BS40" s="140">
        <v>85787</v>
      </c>
      <c r="BT40" s="140">
        <v>242924</v>
      </c>
      <c r="BU40" s="140">
        <v>200929</v>
      </c>
      <c r="BV40" s="140">
        <v>90977</v>
      </c>
      <c r="BW40" s="140">
        <v>119018</v>
      </c>
      <c r="BX40" s="140">
        <v>211580</v>
      </c>
      <c r="BY40" s="140">
        <v>272295</v>
      </c>
      <c r="BZ40" s="140">
        <v>156326</v>
      </c>
      <c r="CA40" s="140">
        <v>21613</v>
      </c>
      <c r="CB40" s="140">
        <v>28277</v>
      </c>
      <c r="CC40" s="140">
        <v>23456</v>
      </c>
      <c r="CD40" s="140">
        <v>19879</v>
      </c>
      <c r="CE40" s="140">
        <v>87931</v>
      </c>
      <c r="CF40" s="140">
        <v>248997</v>
      </c>
      <c r="CG40" s="140">
        <v>205952</v>
      </c>
      <c r="CH40" s="140">
        <v>93251</v>
      </c>
      <c r="CI40" s="140">
        <v>121994</v>
      </c>
      <c r="CJ40" s="140">
        <v>216870</v>
      </c>
      <c r="CK40" s="140">
        <v>279102</v>
      </c>
      <c r="CL40" s="140">
        <v>160234</v>
      </c>
      <c r="CM40" s="140">
        <v>22154</v>
      </c>
      <c r="CN40" s="140">
        <v>28984</v>
      </c>
      <c r="CO40" s="140">
        <v>24042</v>
      </c>
      <c r="CP40" s="140">
        <v>20376</v>
      </c>
      <c r="CQ40" s="140">
        <v>90130</v>
      </c>
      <c r="CR40" s="140">
        <v>255222</v>
      </c>
      <c r="CS40" s="140">
        <v>211101</v>
      </c>
      <c r="CT40" s="140">
        <v>95582</v>
      </c>
      <c r="CU40" s="140">
        <v>125044</v>
      </c>
      <c r="CV40" s="140">
        <v>222292</v>
      </c>
      <c r="CW40" s="140">
        <v>286080</v>
      </c>
      <c r="CX40" s="140">
        <v>164239</v>
      </c>
      <c r="CY40" s="140">
        <v>22707</v>
      </c>
      <c r="CZ40" s="140">
        <v>29708</v>
      </c>
      <c r="DA40" s="140">
        <v>24643</v>
      </c>
      <c r="DB40" s="140">
        <v>20886</v>
      </c>
      <c r="DC40" s="140">
        <v>92383</v>
      </c>
      <c r="DD40" s="140">
        <v>261602</v>
      </c>
      <c r="DE40" s="140">
        <v>216379</v>
      </c>
      <c r="DF40" s="140">
        <v>97972</v>
      </c>
      <c r="DG40" s="140">
        <v>128170</v>
      </c>
      <c r="DH40" s="140">
        <v>227849</v>
      </c>
      <c r="DI40" s="140">
        <v>293232</v>
      </c>
      <c r="DJ40" s="140">
        <v>168345</v>
      </c>
      <c r="DK40" s="140">
        <v>23275</v>
      </c>
      <c r="DL40" s="140">
        <v>30451</v>
      </c>
      <c r="DM40" s="140">
        <v>25260</v>
      </c>
      <c r="DN40" s="140">
        <v>21408</v>
      </c>
      <c r="DO40" s="140">
        <v>94693</v>
      </c>
      <c r="DP40" s="140">
        <v>268142</v>
      </c>
      <c r="DQ40" s="140">
        <v>221788</v>
      </c>
      <c r="DR40" s="140">
        <v>100421</v>
      </c>
      <c r="DS40" s="140">
        <v>131374</v>
      </c>
    </row>
    <row r="41" spans="1:123" ht="12.75" customHeight="1" x14ac:dyDescent="0.35">
      <c r="A41" s="154" t="s">
        <v>487</v>
      </c>
      <c r="B41" s="140">
        <f t="shared" si="44"/>
        <v>826696</v>
      </c>
      <c r="C41" s="139">
        <f t="shared" si="45"/>
        <v>13778.266666666666</v>
      </c>
      <c r="D41" s="140">
        <v>20272</v>
      </c>
      <c r="E41" s="140">
        <v>26089</v>
      </c>
      <c r="F41" s="140">
        <v>14978</v>
      </c>
      <c r="G41" s="140">
        <v>2071</v>
      </c>
      <c r="H41" s="140">
        <v>2709</v>
      </c>
      <c r="I41" s="140">
        <v>2247</v>
      </c>
      <c r="J41" s="140">
        <v>1905</v>
      </c>
      <c r="K41" s="140">
        <v>8425</v>
      </c>
      <c r="L41" s="140">
        <v>23857</v>
      </c>
      <c r="M41" s="140">
        <v>19732</v>
      </c>
      <c r="N41" s="140">
        <v>8934</v>
      </c>
      <c r="O41" s="140">
        <v>11688</v>
      </c>
      <c r="P41" s="140">
        <v>20778</v>
      </c>
      <c r="Q41" s="140">
        <v>26741</v>
      </c>
      <c r="R41" s="140">
        <v>15352</v>
      </c>
      <c r="S41" s="140">
        <v>2123</v>
      </c>
      <c r="T41" s="140">
        <v>2777</v>
      </c>
      <c r="U41" s="140">
        <v>2303</v>
      </c>
      <c r="V41" s="140">
        <v>1952</v>
      </c>
      <c r="W41" s="140">
        <v>8425</v>
      </c>
      <c r="X41" s="140">
        <v>23857</v>
      </c>
      <c r="Y41" s="140">
        <v>19732</v>
      </c>
      <c r="Z41" s="140">
        <v>8934</v>
      </c>
      <c r="AA41" s="140">
        <v>11688</v>
      </c>
      <c r="AB41" s="140">
        <v>21298</v>
      </c>
      <c r="AC41" s="140">
        <v>27410</v>
      </c>
      <c r="AD41" s="140">
        <v>15736</v>
      </c>
      <c r="AE41" s="140">
        <v>2176</v>
      </c>
      <c r="AF41" s="140">
        <v>2846</v>
      </c>
      <c r="AG41" s="140">
        <v>2361</v>
      </c>
      <c r="AH41" s="140">
        <v>2001</v>
      </c>
      <c r="AI41" s="140">
        <v>8852</v>
      </c>
      <c r="AJ41" s="140">
        <v>25065</v>
      </c>
      <c r="AK41" s="140">
        <v>20731</v>
      </c>
      <c r="AL41" s="140">
        <v>9386</v>
      </c>
      <c r="AM41" s="140">
        <v>12280</v>
      </c>
      <c r="AN41" s="140">
        <v>21831</v>
      </c>
      <c r="AO41" s="140">
        <v>28095</v>
      </c>
      <c r="AP41" s="140">
        <v>16130</v>
      </c>
      <c r="AQ41" s="140">
        <v>2230</v>
      </c>
      <c r="AR41" s="140">
        <v>2917</v>
      </c>
      <c r="AS41" s="140">
        <v>2420</v>
      </c>
      <c r="AT41" s="140">
        <v>2051</v>
      </c>
      <c r="AU41" s="140">
        <v>9073</v>
      </c>
      <c r="AV41" s="140">
        <v>25691</v>
      </c>
      <c r="AW41" s="140">
        <v>21249</v>
      </c>
      <c r="AX41" s="140">
        <v>9621</v>
      </c>
      <c r="AY41" s="140">
        <v>12587</v>
      </c>
      <c r="AZ41" s="140">
        <v>22376</v>
      </c>
      <c r="BA41" s="140">
        <v>28797</v>
      </c>
      <c r="BB41" s="140">
        <v>16533</v>
      </c>
      <c r="BC41" s="140">
        <v>2286</v>
      </c>
      <c r="BD41" s="140">
        <v>2990</v>
      </c>
      <c r="BE41" s="140">
        <v>2480</v>
      </c>
      <c r="BF41" s="140">
        <v>2103</v>
      </c>
      <c r="BG41" s="140">
        <v>9300</v>
      </c>
      <c r="BH41" s="140">
        <v>26334</v>
      </c>
      <c r="BI41" s="140">
        <v>21780</v>
      </c>
      <c r="BJ41" s="140">
        <v>9861</v>
      </c>
      <c r="BK41" s="140">
        <v>12901</v>
      </c>
      <c r="BL41" s="140">
        <v>22936</v>
      </c>
      <c r="BM41" s="140">
        <v>29517</v>
      </c>
      <c r="BN41" s="140">
        <v>16946</v>
      </c>
      <c r="BO41" s="140">
        <v>2343</v>
      </c>
      <c r="BP41" s="140">
        <v>3065</v>
      </c>
      <c r="BQ41" s="140">
        <v>2542</v>
      </c>
      <c r="BR41" s="140">
        <v>2155</v>
      </c>
      <c r="BS41" s="140">
        <v>9532</v>
      </c>
      <c r="BT41" s="140">
        <v>26992</v>
      </c>
      <c r="BU41" s="140">
        <v>22325</v>
      </c>
      <c r="BV41" s="140">
        <v>10108</v>
      </c>
      <c r="BW41" s="140">
        <v>13224</v>
      </c>
      <c r="BX41" s="140">
        <v>23509</v>
      </c>
      <c r="BY41" s="140">
        <v>30255</v>
      </c>
      <c r="BZ41" s="140">
        <v>17370</v>
      </c>
      <c r="CA41" s="140">
        <v>2402</v>
      </c>
      <c r="CB41" s="140">
        <v>3142</v>
      </c>
      <c r="CC41" s="140">
        <v>2606</v>
      </c>
      <c r="CD41" s="140">
        <v>2209</v>
      </c>
      <c r="CE41" s="140">
        <v>9770</v>
      </c>
      <c r="CF41" s="140">
        <v>27667</v>
      </c>
      <c r="CG41" s="140">
        <v>22883</v>
      </c>
      <c r="CH41" s="140">
        <v>10361</v>
      </c>
      <c r="CI41" s="140">
        <v>13554</v>
      </c>
      <c r="CJ41" s="140">
        <v>24097</v>
      </c>
      <c r="CK41" s="140">
        <v>31012</v>
      </c>
      <c r="CL41" s="140">
        <v>17804</v>
      </c>
      <c r="CM41" s="140">
        <v>2462</v>
      </c>
      <c r="CN41" s="140">
        <v>3220</v>
      </c>
      <c r="CO41" s="140">
        <v>2671</v>
      </c>
      <c r="CP41" s="140">
        <v>2264</v>
      </c>
      <c r="CQ41" s="140">
        <v>10015</v>
      </c>
      <c r="CR41" s="140">
        <v>28358</v>
      </c>
      <c r="CS41" s="140">
        <v>23455</v>
      </c>
      <c r="CT41" s="140">
        <v>10620</v>
      </c>
      <c r="CU41" s="140">
        <v>13893</v>
      </c>
      <c r="CV41" s="140">
        <v>24699</v>
      </c>
      <c r="CW41" s="140">
        <v>31787</v>
      </c>
      <c r="CX41" s="140">
        <v>18249</v>
      </c>
      <c r="CY41" s="140">
        <v>2523</v>
      </c>
      <c r="CZ41" s="140">
        <v>3301</v>
      </c>
      <c r="DA41" s="140">
        <v>2738</v>
      </c>
      <c r="DB41" s="140">
        <v>2321</v>
      </c>
      <c r="DC41" s="140">
        <v>10265</v>
      </c>
      <c r="DD41" s="140">
        <v>29067</v>
      </c>
      <c r="DE41" s="140">
        <v>24042</v>
      </c>
      <c r="DF41" s="140">
        <v>10885</v>
      </c>
      <c r="DG41" s="140">
        <v>14241</v>
      </c>
      <c r="DH41" s="140">
        <v>25317</v>
      </c>
      <c r="DI41" s="140">
        <v>32582</v>
      </c>
      <c r="DJ41" s="140">
        <v>18705</v>
      </c>
      <c r="DK41" s="140">
        <v>2586</v>
      </c>
      <c r="DL41" s="140">
        <v>3383</v>
      </c>
      <c r="DM41" s="140">
        <v>2806</v>
      </c>
      <c r="DN41" s="140">
        <v>2379</v>
      </c>
      <c r="DO41" s="140">
        <v>10522</v>
      </c>
      <c r="DP41" s="140">
        <v>29794</v>
      </c>
      <c r="DQ41" s="140">
        <v>24643</v>
      </c>
      <c r="DR41" s="140">
        <v>11157</v>
      </c>
      <c r="DS41" s="140">
        <v>14597</v>
      </c>
    </row>
    <row r="42" spans="1:123" ht="12.75" customHeight="1" x14ac:dyDescent="0.35">
      <c r="A42" s="86" t="s">
        <v>488</v>
      </c>
      <c r="B42" s="107">
        <f t="shared" si="44"/>
        <v>4913705.4227481131</v>
      </c>
      <c r="C42" s="139">
        <f t="shared" si="45"/>
        <v>81895.090379135218</v>
      </c>
      <c r="D42" s="107">
        <f>IF(Premissas!$B$24="Sim",Amandina!$L$8*1000,Amandina!$I$8)</f>
        <v>57829.519999999982</v>
      </c>
      <c r="E42" s="107">
        <f>IF(Premissas!$B$24="Sim",Amandina!$L$9*1000,Amandina!$I$9)</f>
        <v>70669.439999999988</v>
      </c>
      <c r="F42" s="107">
        <f>IF(Premissas!$B$24="Sim",Amandina!$L$10*1000,Amandina!$I$10)</f>
        <v>74466.16</v>
      </c>
      <c r="G42" s="107">
        <f>IF(Premissas!$B$24="Sim",Amandina!$L$11*1000,Amandina!$I$11)</f>
        <v>75546.720000000001</v>
      </c>
      <c r="H42" s="107">
        <f>IF(Premissas!$B$24="Sim",Amandina!$L$12*1000,Amandina!$I$12)</f>
        <v>76725.439999999988</v>
      </c>
      <c r="I42" s="107">
        <f>IF(Premissas!$B$24="Sim",Amandina!$L$13*1000,Amandina!$I$13)</f>
        <v>86384.48</v>
      </c>
      <c r="J42" s="107">
        <f>IF(Premissas!$B$24="Sim",Amandina!$L$14*1000,Amandina!$I$14)</f>
        <v>85283.12000000001</v>
      </c>
      <c r="K42" s="107">
        <f>IF(Premissas!$B$24="Sim",Amandina!$L$3*1000*(1-Premissas!$B$23),Amandina!$I$3*(1-Premissas!$B$23))</f>
        <v>90950.163999999961</v>
      </c>
      <c r="L42" s="107">
        <f>IF(Premissas!$B$24="Sim",Amandina!$L$4*1000*(1-Premissas!$B$23),Amandina!$I$4*(1-Premissas!$B$23))</f>
        <v>72540.992400000003</v>
      </c>
      <c r="M42" s="107">
        <f>IF(Premissas!$B$24="Sim",Amandina!$L$5*1000*(1-Premissas!$B$23),Amandina!$I$5*(1-Premissas!$B$23))</f>
        <v>82037.272399999987</v>
      </c>
      <c r="N42" s="107">
        <f>IF(Premissas!$B$24="Sim",Amandina!$L$6*1000*(1-Premissas!$B$23),Amandina!$I$6*(1-Premissas!$B$23))</f>
        <v>58672.921199999997</v>
      </c>
      <c r="O42" s="107">
        <f>IF(Premissas!$B$24="Sim",Amandina!$L$7*1000*(1-Premissas!$B$23),Amandina!$I$7*(1-Premissas!$B$23))</f>
        <v>72926.813599999994</v>
      </c>
      <c r="P42" s="107">
        <f>IF(Premissas!$B$24="Sim",Amandina!$L$8*1000*(1-Premissas!$B$23),Amandina!$I$8*(1-Premissas!$B$23))</f>
        <v>57540.372399999986</v>
      </c>
      <c r="Q42" s="107">
        <f>IF(Premissas!$B$24="Sim",Amandina!$L$9*1000*(1-Premissas!$B$23),Amandina!$I$9*(1-Premissas!$B$23))</f>
        <v>70316.092799999984</v>
      </c>
      <c r="R42" s="107">
        <f>IF(Premissas!$B$24="Sim",Amandina!$L$10*1000*(1-Premissas!$B$23),Amandina!$I$10*(1-Premissas!$B$23))</f>
        <v>74093.829200000007</v>
      </c>
      <c r="S42" s="107">
        <f>IF(Premissas!$B$24="Sim",Amandina!$L$11*1000*(1-Premissas!$B$23),Amandina!$I$11*(1-Premissas!$B$23))</f>
        <v>75168.986399999994</v>
      </c>
      <c r="T42" s="107">
        <f>IF(Premissas!$B$24="Sim",Amandina!$L$12*1000*(1-Premissas!$B$23),Amandina!$I$12*(1-Premissas!$B$23))</f>
        <v>76341.812799999985</v>
      </c>
      <c r="U42" s="107">
        <f>IF(Premissas!$B$24="Sim",Amandina!$L$13*1000*(1-Premissas!$B$23),Amandina!$I$13*(1-Premissas!$B$23))</f>
        <v>85952.5576</v>
      </c>
      <c r="V42" s="107">
        <f>IF(Premissas!$B$24="Sim",Amandina!$L$14*1000*(1-Premissas!$B$23),Amandina!$I$14*(1-Premissas!$B$23))</f>
        <v>84856.704400000002</v>
      </c>
      <c r="W42" s="107">
        <f>IF(Premissas!$B$24="Sim",Amandina!$L$3*1000*(1-Premissas!$B$23),Amandina!$I$3*(1-Premissas!$B$23))</f>
        <v>90950.163999999961</v>
      </c>
      <c r="X42" s="107">
        <f>IF(Premissas!$B$24="Sim",Amandina!$L$4*1000*(1-Premissas!$B$23),Amandina!$I$4*(1-Premissas!$B$23))</f>
        <v>72540.992400000003</v>
      </c>
      <c r="Y42" s="107">
        <f>IF(Premissas!$B$24="Sim",Amandina!$L$5*1000*(1-Premissas!$B$23),Amandina!$I$5*(1-Premissas!$B$23))</f>
        <v>82037.272399999987</v>
      </c>
      <c r="Z42" s="107">
        <f>IF(Premissas!$B$24="Sim",Amandina!$L$6*1000*(1-Premissas!$B$23),Amandina!$I$6*(1-Premissas!$B$23))</f>
        <v>58672.921199999997</v>
      </c>
      <c r="AA42" s="107">
        <f>IF(Premissas!$B$24="Sim",Amandina!$L$7*1000*(1-Premissas!$B$23),Amandina!$I$7*(1-Premissas!$B$23))</f>
        <v>72926.813599999994</v>
      </c>
      <c r="AB42" s="107">
        <f>P42*(1-Premissas!$B$23)</f>
        <v>57252.670537999984</v>
      </c>
      <c r="AC42" s="107">
        <f>Q42*(1-Premissas!$B$23)</f>
        <v>69964.512335999985</v>
      </c>
      <c r="AD42" s="107">
        <f>R42*(1-Premissas!$B$23)</f>
        <v>73723.360054000004</v>
      </c>
      <c r="AE42" s="107">
        <f>S42*(1-Premissas!$B$23)</f>
        <v>74793.141467999987</v>
      </c>
      <c r="AF42" s="107">
        <f>T42*(1-Premissas!$B$23)</f>
        <v>75960.10373599999</v>
      </c>
      <c r="AG42" s="107">
        <f>U42*(1-Premissas!$B$23)</f>
        <v>85522.794811999993</v>
      </c>
      <c r="AH42" s="107">
        <f>V42*(1-Premissas!$B$23)</f>
        <v>84432.420878000004</v>
      </c>
      <c r="AI42" s="107">
        <f>W42*(1-Premissas!$B$23)</f>
        <v>90495.41317999996</v>
      </c>
      <c r="AJ42" s="107">
        <f>X42*(1-Premissas!$B$23)</f>
        <v>72178.287437999999</v>
      </c>
      <c r="AK42" s="107">
        <f>Y42*(1-Premissas!$B$23)</f>
        <v>81627.086037999994</v>
      </c>
      <c r="AL42" s="107">
        <f>Z42*(1-Premissas!$B$23)</f>
        <v>58379.556593999994</v>
      </c>
      <c r="AM42" s="107">
        <f>AA42*(1-Premissas!$B$23)</f>
        <v>72562.179531999995</v>
      </c>
      <c r="AN42" s="107">
        <f>AB42*(1-Premissas!$B$23)</f>
        <v>56966.407185309981</v>
      </c>
      <c r="AO42" s="107">
        <f>AC42*(1-Premissas!$B$23)</f>
        <v>69614.689774319981</v>
      </c>
      <c r="AP42" s="107">
        <f>AD42*(1-Premissas!$B$23)</f>
        <v>73354.743253730005</v>
      </c>
      <c r="AQ42" s="107">
        <f>AE42*(1-Premissas!$B$23)</f>
        <v>74419.175760659986</v>
      </c>
      <c r="AR42" s="107">
        <f>AF42*(1-Premissas!$B$23)</f>
        <v>75580.30321731999</v>
      </c>
      <c r="AS42" s="107">
        <f>AG42*(1-Premissas!$B$23)</f>
        <v>85095.180837939988</v>
      </c>
      <c r="AT42" s="107">
        <f>AH42*(1-Premissas!$B$23)</f>
        <v>84010.25877361001</v>
      </c>
      <c r="AU42" s="107">
        <f>AI42*(1-Premissas!$B$23)</f>
        <v>90042.936114099954</v>
      </c>
      <c r="AV42" s="107">
        <f>AJ42*(1-Premissas!$B$23)</f>
        <v>71817.396000809997</v>
      </c>
      <c r="AW42" s="107">
        <f>AK42*(1-Premissas!$B$23)</f>
        <v>81218.950607809995</v>
      </c>
      <c r="AX42" s="107">
        <f>AL42*(1-Premissas!$B$23)</f>
        <v>58087.658811029993</v>
      </c>
      <c r="AY42" s="107">
        <f>AM42*(1-Premissas!$B$23)</f>
        <v>72199.36863433999</v>
      </c>
      <c r="AZ42" s="107">
        <f>AN42*(1-Premissas!$B$23)</f>
        <v>56681.575149383432</v>
      </c>
      <c r="BA42" s="107">
        <f>AO42*(1-Premissas!$B$23)</f>
        <v>69266.616325448384</v>
      </c>
      <c r="BB42" s="107">
        <f>AP42*(1-Premissas!$B$23)</f>
        <v>72987.969537461351</v>
      </c>
      <c r="BC42" s="107">
        <f>AQ42*(1-Premissas!$B$23)</f>
        <v>74047.079881856684</v>
      </c>
      <c r="BD42" s="107">
        <f>AR42*(1-Premissas!$B$23)</f>
        <v>75202.401701233393</v>
      </c>
      <c r="BE42" s="107">
        <f>AS42*(1-Premissas!$B$23)</f>
        <v>84669.704933750283</v>
      </c>
      <c r="BF42" s="107">
        <f>AT42*(1-Premissas!$B$23)</f>
        <v>83590.207479741963</v>
      </c>
      <c r="BG42" s="107">
        <f>AU42*(1-Premissas!$B$23)</f>
        <v>89592.721433529456</v>
      </c>
      <c r="BH42" s="107">
        <f>AV42*(1-Premissas!$B$23)</f>
        <v>71458.309020805944</v>
      </c>
      <c r="BI42" s="107">
        <f>AW42*(1-Premissas!$B$23)</f>
        <v>80812.85585477094</v>
      </c>
      <c r="BJ42" s="107">
        <f>AX42*(1-Premissas!$B$23)</f>
        <v>57797.220516974841</v>
      </c>
      <c r="BK42" s="107">
        <f>AY42*(1-Premissas!$B$23)</f>
        <v>71838.371791168291</v>
      </c>
      <c r="BL42" s="107">
        <f>AY42*(1-Premissas!$B$23)</f>
        <v>71838.371791168291</v>
      </c>
      <c r="BM42" s="107">
        <f>AY42*(1-Premissas!$B$23)</f>
        <v>71838.371791168291</v>
      </c>
      <c r="BN42" s="107">
        <f>AY42*(1-Premissas!$B$23)</f>
        <v>71838.371791168291</v>
      </c>
      <c r="BO42" s="107">
        <f>AY42*(1-Premissas!$B$23)</f>
        <v>71838.371791168291</v>
      </c>
      <c r="BP42" s="107">
        <f>AY42*(1-Premissas!$B$23)</f>
        <v>71838.371791168291</v>
      </c>
      <c r="BQ42" s="107">
        <f>AY42*(1-Premissas!$B$23)</f>
        <v>71838.371791168291</v>
      </c>
      <c r="BR42" s="107">
        <f>AY42*(1-Premissas!$B$23)</f>
        <v>71838.371791168291</v>
      </c>
      <c r="BS42" s="107">
        <f>AY42*(1-Premissas!$B$23)</f>
        <v>71838.371791168291</v>
      </c>
      <c r="BT42" s="107">
        <f>AY42*(1-Premissas!$B$23)</f>
        <v>71838.371791168291</v>
      </c>
      <c r="BU42" s="107">
        <f>AY42*(1-Premissas!$B$23)</f>
        <v>71838.371791168291</v>
      </c>
      <c r="BV42" s="107">
        <f>AY42*(1-Premissas!$B$23)</f>
        <v>71838.371791168291</v>
      </c>
      <c r="BW42" s="107">
        <f>AY42*(1-Premissas!$B$23)</f>
        <v>71838.371791168291</v>
      </c>
      <c r="BX42" s="107">
        <f>AY42*(1-Premissas!$B$23)</f>
        <v>71838.371791168291</v>
      </c>
      <c r="BY42" s="107">
        <f>AY42*(1-Premissas!$B$23)</f>
        <v>71838.371791168291</v>
      </c>
      <c r="BZ42" s="107">
        <f>AY42*(1-Premissas!$B$23)</f>
        <v>71838.371791168291</v>
      </c>
      <c r="CA42" s="107">
        <f>AY42*(1-Premissas!$B$23)</f>
        <v>71838.371791168291</v>
      </c>
      <c r="CB42" s="107">
        <f>AY42*(1-Premissas!$B$23)</f>
        <v>71838.371791168291</v>
      </c>
      <c r="CC42" s="107">
        <f>AY42*(1-Premissas!$B$23)</f>
        <v>71838.371791168291</v>
      </c>
      <c r="CD42" s="107">
        <f>AY42*(1-Premissas!$B$23)</f>
        <v>71838.371791168291</v>
      </c>
      <c r="CE42" s="107">
        <f>AY42*(1-Premissas!$B$23)</f>
        <v>71838.371791168291</v>
      </c>
      <c r="CF42" s="107">
        <f>AY42*(1-Premissas!$B$23)</f>
        <v>71838.371791168291</v>
      </c>
      <c r="CG42" s="107">
        <f>AY42*(1-Premissas!$B$23)</f>
        <v>71838.371791168291</v>
      </c>
      <c r="CH42" s="107">
        <f>AY42*(1-Premissas!$B$23)</f>
        <v>71838.371791168291</v>
      </c>
      <c r="CI42" s="107">
        <f>AY42*(1-Premissas!$B$23)</f>
        <v>71838.371791168291</v>
      </c>
      <c r="CJ42" s="107">
        <f>AY42*(1-Premissas!$B$23)</f>
        <v>71838.371791168291</v>
      </c>
      <c r="CK42" s="107">
        <f>AY42*(1-Premissas!$B$23)</f>
        <v>71838.371791168291</v>
      </c>
      <c r="CL42" s="107">
        <f>AY42*(1-Premissas!$B$23)</f>
        <v>71838.371791168291</v>
      </c>
      <c r="CM42" s="107">
        <f>AY42*(1-Premissas!$B$23)</f>
        <v>71838.371791168291</v>
      </c>
      <c r="CN42" s="107">
        <f>AY42*(1-Premissas!$B$23)</f>
        <v>71838.371791168291</v>
      </c>
      <c r="CO42" s="107">
        <f>AY42*(1-Premissas!$B$23)</f>
        <v>71838.371791168291</v>
      </c>
      <c r="CP42" s="107">
        <f>AY42*(1-Premissas!$B$23)</f>
        <v>71838.371791168291</v>
      </c>
      <c r="CQ42" s="107">
        <f>AY42*(1-Premissas!$B$23)</f>
        <v>71838.371791168291</v>
      </c>
      <c r="CR42" s="107">
        <f>AY42*(1-Premissas!$B$23)</f>
        <v>71838.371791168291</v>
      </c>
      <c r="CS42" s="107">
        <f>AY42*(1-Premissas!$B$23)</f>
        <v>71838.371791168291</v>
      </c>
      <c r="CT42" s="107">
        <f>AY42*(1-Premissas!$B$23)</f>
        <v>71838.371791168291</v>
      </c>
      <c r="CU42" s="107">
        <f>AY42*(1-Premissas!$B$23)</f>
        <v>71838.371791168291</v>
      </c>
      <c r="CV42" s="107">
        <f>AY42*(1-Premissas!$B$23)</f>
        <v>71838.371791168291</v>
      </c>
      <c r="CW42" s="107">
        <f>AY42*(1-Premissas!$B$23)</f>
        <v>71838.371791168291</v>
      </c>
      <c r="CX42" s="107">
        <f>AY42*(1-Premissas!$B$23)</f>
        <v>71838.371791168291</v>
      </c>
      <c r="CY42" s="107">
        <f>AY42*(1-Premissas!$B$23)</f>
        <v>71838.371791168291</v>
      </c>
      <c r="CZ42" s="107">
        <f>AY42*(1-Premissas!$B$23)</f>
        <v>71838.371791168291</v>
      </c>
      <c r="DA42" s="107">
        <f>AY42*(1-Premissas!$B$23)</f>
        <v>71838.371791168291</v>
      </c>
      <c r="DB42" s="107">
        <f>AY42*(1-Premissas!$B$23)</f>
        <v>71838.371791168291</v>
      </c>
      <c r="DC42" s="107">
        <f>AY42*(1-Premissas!$B$23)</f>
        <v>71838.371791168291</v>
      </c>
      <c r="DD42" s="107">
        <f>AY42*(1-Premissas!$B$23)</f>
        <v>71838.371791168291</v>
      </c>
      <c r="DE42" s="107">
        <f>AY42*(1-Premissas!$B$23)</f>
        <v>71838.371791168291</v>
      </c>
      <c r="DF42" s="107">
        <f>AY42*(1-Premissas!$B$23)</f>
        <v>71838.371791168291</v>
      </c>
      <c r="DG42" s="107">
        <f>AY42*(1-Premissas!$B$23)</f>
        <v>71838.371791168291</v>
      </c>
      <c r="DH42" s="107">
        <f>AY42*(1-Premissas!$B$23)</f>
        <v>71838.371791168291</v>
      </c>
      <c r="DI42" s="107">
        <f>AY42*(1-Premissas!$B$23)</f>
        <v>71838.371791168291</v>
      </c>
      <c r="DJ42" s="107">
        <f>AY42*(1-Premissas!$B$23)</f>
        <v>71838.371791168291</v>
      </c>
      <c r="DK42" s="107">
        <f>AY42*(1-Premissas!$B$23)</f>
        <v>71838.371791168291</v>
      </c>
      <c r="DL42" s="107">
        <f>AY42*(1-Premissas!$B$23)</f>
        <v>71838.371791168291</v>
      </c>
      <c r="DM42" s="107">
        <f>AY42*(1-Premissas!$B$23)</f>
        <v>71838.371791168291</v>
      </c>
      <c r="DN42" s="107">
        <f>AY42*(1-Premissas!$B$23)</f>
        <v>71838.371791168291</v>
      </c>
      <c r="DO42" s="107">
        <f>AY42*(1-Premissas!$B$23)</f>
        <v>71838.371791168291</v>
      </c>
      <c r="DP42" s="107">
        <f>AY42*(1-Premissas!$B$23)</f>
        <v>71838.371791168291</v>
      </c>
      <c r="DQ42" s="107">
        <f>AY42*(1-Premissas!$B$23)</f>
        <v>71838.371791168291</v>
      </c>
      <c r="DR42" s="107">
        <f>AY42*(1-Premissas!$B$23)</f>
        <v>71838.371791168291</v>
      </c>
      <c r="DS42" s="107">
        <f>AY42*(1-Premissas!$B$23)</f>
        <v>71838.371791168291</v>
      </c>
    </row>
    <row r="43" spans="1:123" ht="12.75" customHeight="1" x14ac:dyDescent="0.35">
      <c r="A43" s="146" t="s">
        <v>489</v>
      </c>
      <c r="B43" s="139">
        <f t="shared" si="44"/>
        <v>3533333.3139668675</v>
      </c>
      <c r="C43" s="139">
        <f t="shared" si="45"/>
        <v>58888.88856611446</v>
      </c>
      <c r="D43" s="139">
        <f t="shared" ref="D43:AI43" si="46">MIN(D42,D40)</f>
        <v>57829.519999999982</v>
      </c>
      <c r="E43" s="139">
        <f t="shared" si="46"/>
        <v>70669.439999999988</v>
      </c>
      <c r="F43" s="139">
        <f t="shared" si="46"/>
        <v>74466.16</v>
      </c>
      <c r="G43" s="139">
        <f t="shared" si="46"/>
        <v>18637</v>
      </c>
      <c r="H43" s="139">
        <f t="shared" si="46"/>
        <v>24383</v>
      </c>
      <c r="I43" s="139">
        <f t="shared" si="46"/>
        <v>20226</v>
      </c>
      <c r="J43" s="139">
        <f t="shared" si="46"/>
        <v>17142</v>
      </c>
      <c r="K43" s="139">
        <f t="shared" si="46"/>
        <v>75823</v>
      </c>
      <c r="L43" s="139">
        <f t="shared" si="46"/>
        <v>72540.992400000003</v>
      </c>
      <c r="M43" s="139">
        <f t="shared" si="46"/>
        <v>82037.272399999987</v>
      </c>
      <c r="N43" s="139">
        <f t="shared" si="46"/>
        <v>58672.921199999997</v>
      </c>
      <c r="O43" s="139">
        <f t="shared" si="46"/>
        <v>72926.813599999994</v>
      </c>
      <c r="P43" s="139">
        <f t="shared" si="46"/>
        <v>57540.372399999986</v>
      </c>
      <c r="Q43" s="139">
        <f t="shared" si="46"/>
        <v>70316.092799999984</v>
      </c>
      <c r="R43" s="139">
        <f t="shared" si="46"/>
        <v>74093.829200000007</v>
      </c>
      <c r="S43" s="139">
        <f t="shared" si="46"/>
        <v>19103</v>
      </c>
      <c r="T43" s="139">
        <f t="shared" si="46"/>
        <v>24992</v>
      </c>
      <c r="U43" s="139">
        <f t="shared" si="46"/>
        <v>20731</v>
      </c>
      <c r="V43" s="139">
        <f t="shared" si="46"/>
        <v>17571</v>
      </c>
      <c r="W43" s="139">
        <f t="shared" si="46"/>
        <v>75823</v>
      </c>
      <c r="X43" s="139">
        <f t="shared" si="46"/>
        <v>72540.992400000003</v>
      </c>
      <c r="Y43" s="139">
        <f t="shared" si="46"/>
        <v>82037.272399999987</v>
      </c>
      <c r="Z43" s="139">
        <f t="shared" si="46"/>
        <v>58672.921199999997</v>
      </c>
      <c r="AA43" s="139">
        <f t="shared" si="46"/>
        <v>72926.813599999994</v>
      </c>
      <c r="AB43" s="139">
        <f t="shared" si="46"/>
        <v>57252.670537999984</v>
      </c>
      <c r="AC43" s="139">
        <f t="shared" si="46"/>
        <v>69964.512335999985</v>
      </c>
      <c r="AD43" s="139">
        <f t="shared" si="46"/>
        <v>73723.360054000004</v>
      </c>
      <c r="AE43" s="139">
        <f t="shared" si="46"/>
        <v>19580</v>
      </c>
      <c r="AF43" s="139">
        <f t="shared" si="46"/>
        <v>25617</v>
      </c>
      <c r="AG43" s="139">
        <f t="shared" si="46"/>
        <v>21250</v>
      </c>
      <c r="AH43" s="139">
        <f t="shared" si="46"/>
        <v>18010</v>
      </c>
      <c r="AI43" s="139">
        <f t="shared" si="46"/>
        <v>79662</v>
      </c>
      <c r="AJ43" s="139">
        <f t="shared" ref="AJ43:BO43" si="47">MIN(AJ42,AJ40)</f>
        <v>72178.287437999999</v>
      </c>
      <c r="AK43" s="139">
        <f t="shared" si="47"/>
        <v>81627.086037999994</v>
      </c>
      <c r="AL43" s="139">
        <f t="shared" si="47"/>
        <v>58379.556593999994</v>
      </c>
      <c r="AM43" s="139">
        <f t="shared" si="47"/>
        <v>72562.179531999995</v>
      </c>
      <c r="AN43" s="139">
        <f t="shared" si="47"/>
        <v>56966.407185309981</v>
      </c>
      <c r="AO43" s="139">
        <f t="shared" si="47"/>
        <v>69614.689774319981</v>
      </c>
      <c r="AP43" s="139">
        <f t="shared" si="47"/>
        <v>73354.743253730005</v>
      </c>
      <c r="AQ43" s="139">
        <f t="shared" si="47"/>
        <v>20070</v>
      </c>
      <c r="AR43" s="139">
        <f t="shared" si="47"/>
        <v>26258</v>
      </c>
      <c r="AS43" s="139">
        <f t="shared" si="47"/>
        <v>21781</v>
      </c>
      <c r="AT43" s="139">
        <f t="shared" si="47"/>
        <v>18460</v>
      </c>
      <c r="AU43" s="139">
        <f t="shared" si="47"/>
        <v>81653</v>
      </c>
      <c r="AV43" s="139">
        <f t="shared" si="47"/>
        <v>71817.396000809997</v>
      </c>
      <c r="AW43" s="139">
        <f t="shared" si="47"/>
        <v>81218.950607809995</v>
      </c>
      <c r="AX43" s="139">
        <f t="shared" si="47"/>
        <v>58087.658811029993</v>
      </c>
      <c r="AY43" s="139">
        <f t="shared" si="47"/>
        <v>72199.36863433999</v>
      </c>
      <c r="AZ43" s="139">
        <f t="shared" si="47"/>
        <v>56681.575149383432</v>
      </c>
      <c r="BA43" s="139">
        <f t="shared" si="47"/>
        <v>69266.616325448384</v>
      </c>
      <c r="BB43" s="139">
        <f t="shared" si="47"/>
        <v>72987.969537461351</v>
      </c>
      <c r="BC43" s="139">
        <f t="shared" si="47"/>
        <v>20572</v>
      </c>
      <c r="BD43" s="139">
        <f t="shared" si="47"/>
        <v>26914</v>
      </c>
      <c r="BE43" s="139">
        <f t="shared" si="47"/>
        <v>22326</v>
      </c>
      <c r="BF43" s="139">
        <f t="shared" si="47"/>
        <v>18922</v>
      </c>
      <c r="BG43" s="139">
        <f t="shared" si="47"/>
        <v>83694</v>
      </c>
      <c r="BH43" s="139">
        <f t="shared" si="47"/>
        <v>71458.309020805944</v>
      </c>
      <c r="BI43" s="139">
        <f t="shared" si="47"/>
        <v>80812.85585477094</v>
      </c>
      <c r="BJ43" s="139">
        <f t="shared" si="47"/>
        <v>57797.220516974841</v>
      </c>
      <c r="BK43" s="139">
        <f t="shared" si="47"/>
        <v>71838.371791168291</v>
      </c>
      <c r="BL43" s="139">
        <f t="shared" si="47"/>
        <v>71838.371791168291</v>
      </c>
      <c r="BM43" s="139">
        <f t="shared" si="47"/>
        <v>71838.371791168291</v>
      </c>
      <c r="BN43" s="139">
        <f t="shared" si="47"/>
        <v>71838.371791168291</v>
      </c>
      <c r="BO43" s="139">
        <f t="shared" si="47"/>
        <v>21086</v>
      </c>
      <c r="BP43" s="139">
        <f t="shared" ref="BP43:CU43" si="48">MIN(BP42,BP40)</f>
        <v>27587</v>
      </c>
      <c r="BQ43" s="139">
        <f t="shared" si="48"/>
        <v>22884</v>
      </c>
      <c r="BR43" s="139">
        <f t="shared" si="48"/>
        <v>19395</v>
      </c>
      <c r="BS43" s="139">
        <f t="shared" si="48"/>
        <v>71838.371791168291</v>
      </c>
      <c r="BT43" s="139">
        <f t="shared" si="48"/>
        <v>71838.371791168291</v>
      </c>
      <c r="BU43" s="139">
        <f t="shared" si="48"/>
        <v>71838.371791168291</v>
      </c>
      <c r="BV43" s="139">
        <f t="shared" si="48"/>
        <v>71838.371791168291</v>
      </c>
      <c r="BW43" s="139">
        <f t="shared" si="48"/>
        <v>71838.371791168291</v>
      </c>
      <c r="BX43" s="139">
        <f t="shared" si="48"/>
        <v>71838.371791168291</v>
      </c>
      <c r="BY43" s="139">
        <f t="shared" si="48"/>
        <v>71838.371791168291</v>
      </c>
      <c r="BZ43" s="139">
        <f t="shared" si="48"/>
        <v>71838.371791168291</v>
      </c>
      <c r="CA43" s="139">
        <f t="shared" si="48"/>
        <v>21613</v>
      </c>
      <c r="CB43" s="139">
        <f t="shared" si="48"/>
        <v>28277</v>
      </c>
      <c r="CC43" s="139">
        <f t="shared" si="48"/>
        <v>23456</v>
      </c>
      <c r="CD43" s="139">
        <f t="shared" si="48"/>
        <v>19879</v>
      </c>
      <c r="CE43" s="139">
        <f t="shared" si="48"/>
        <v>71838.371791168291</v>
      </c>
      <c r="CF43" s="139">
        <f t="shared" si="48"/>
        <v>71838.371791168291</v>
      </c>
      <c r="CG43" s="139">
        <f t="shared" si="48"/>
        <v>71838.371791168291</v>
      </c>
      <c r="CH43" s="139">
        <f t="shared" si="48"/>
        <v>71838.371791168291</v>
      </c>
      <c r="CI43" s="139">
        <f t="shared" si="48"/>
        <v>71838.371791168291</v>
      </c>
      <c r="CJ43" s="139">
        <f t="shared" si="48"/>
        <v>71838.371791168291</v>
      </c>
      <c r="CK43" s="139">
        <f t="shared" si="48"/>
        <v>71838.371791168291</v>
      </c>
      <c r="CL43" s="139">
        <f t="shared" si="48"/>
        <v>71838.371791168291</v>
      </c>
      <c r="CM43" s="139">
        <f t="shared" si="48"/>
        <v>22154</v>
      </c>
      <c r="CN43" s="139">
        <f t="shared" si="48"/>
        <v>28984</v>
      </c>
      <c r="CO43" s="139">
        <f t="shared" si="48"/>
        <v>24042</v>
      </c>
      <c r="CP43" s="139">
        <f t="shared" si="48"/>
        <v>20376</v>
      </c>
      <c r="CQ43" s="139">
        <f t="shared" si="48"/>
        <v>71838.371791168291</v>
      </c>
      <c r="CR43" s="139">
        <f t="shared" si="48"/>
        <v>71838.371791168291</v>
      </c>
      <c r="CS43" s="139">
        <f t="shared" si="48"/>
        <v>71838.371791168291</v>
      </c>
      <c r="CT43" s="139">
        <f t="shared" si="48"/>
        <v>71838.371791168291</v>
      </c>
      <c r="CU43" s="139">
        <f t="shared" si="48"/>
        <v>71838.371791168291</v>
      </c>
      <c r="CV43" s="139">
        <f t="shared" ref="CV43:DS43" si="49">MIN(CV42,CV40)</f>
        <v>71838.371791168291</v>
      </c>
      <c r="CW43" s="139">
        <f t="shared" si="49"/>
        <v>71838.371791168291</v>
      </c>
      <c r="CX43" s="139">
        <f t="shared" si="49"/>
        <v>71838.371791168291</v>
      </c>
      <c r="CY43" s="139">
        <f t="shared" si="49"/>
        <v>22707</v>
      </c>
      <c r="CZ43" s="139">
        <f t="shared" si="49"/>
        <v>29708</v>
      </c>
      <c r="DA43" s="139">
        <f t="shared" si="49"/>
        <v>24643</v>
      </c>
      <c r="DB43" s="139">
        <f t="shared" si="49"/>
        <v>20886</v>
      </c>
      <c r="DC43" s="139">
        <f t="shared" si="49"/>
        <v>71838.371791168291</v>
      </c>
      <c r="DD43" s="139">
        <f t="shared" si="49"/>
        <v>71838.371791168291</v>
      </c>
      <c r="DE43" s="139">
        <f t="shared" si="49"/>
        <v>71838.371791168291</v>
      </c>
      <c r="DF43" s="139">
        <f t="shared" si="49"/>
        <v>71838.371791168291</v>
      </c>
      <c r="DG43" s="139">
        <f t="shared" si="49"/>
        <v>71838.371791168291</v>
      </c>
      <c r="DH43" s="139">
        <f t="shared" si="49"/>
        <v>71838.371791168291</v>
      </c>
      <c r="DI43" s="139">
        <f t="shared" si="49"/>
        <v>71838.371791168291</v>
      </c>
      <c r="DJ43" s="139">
        <f t="shared" si="49"/>
        <v>71838.371791168291</v>
      </c>
      <c r="DK43" s="139">
        <f t="shared" si="49"/>
        <v>23275</v>
      </c>
      <c r="DL43" s="139">
        <f t="shared" si="49"/>
        <v>30451</v>
      </c>
      <c r="DM43" s="139">
        <f t="shared" si="49"/>
        <v>25260</v>
      </c>
      <c r="DN43" s="139">
        <f t="shared" si="49"/>
        <v>21408</v>
      </c>
      <c r="DO43" s="139">
        <f t="shared" si="49"/>
        <v>71838.371791168291</v>
      </c>
      <c r="DP43" s="139">
        <f t="shared" si="49"/>
        <v>71838.371791168291</v>
      </c>
      <c r="DQ43" s="139">
        <f t="shared" si="49"/>
        <v>71838.371791168291</v>
      </c>
      <c r="DR43" s="139">
        <f t="shared" si="49"/>
        <v>71838.371791168291</v>
      </c>
      <c r="DS43" s="139">
        <f t="shared" si="49"/>
        <v>71838.371791168291</v>
      </c>
    </row>
    <row r="44" spans="1:123" ht="12.75" customHeight="1" x14ac:dyDescent="0.35">
      <c r="A44" s="146" t="s">
        <v>490</v>
      </c>
      <c r="B44" s="139">
        <f t="shared" si="44"/>
        <v>86928.439547053422</v>
      </c>
      <c r="C44" s="139">
        <f t="shared" si="45"/>
        <v>1448.8073257842236</v>
      </c>
      <c r="D44" s="139">
        <f>MIN((D42-D43)*Premissas!$B$8,D41)</f>
        <v>0</v>
      </c>
      <c r="E44" s="139">
        <f>MIN((E42-E43)*Premissas!$B$8,E41)</f>
        <v>0</v>
      </c>
      <c r="F44" s="139">
        <f>MIN((F42-F43)*Premissas!$B$8,F41)</f>
        <v>0</v>
      </c>
      <c r="G44" s="139">
        <f>MIN((G42-G43)*Premissas!$B$8,G41)</f>
        <v>2071</v>
      </c>
      <c r="H44" s="139">
        <f>MIN((H42-H43)*Premissas!$B$8,H41)</f>
        <v>2709</v>
      </c>
      <c r="I44" s="139">
        <f>MIN((I42-I43)*Premissas!$B$8,I41)</f>
        <v>2247</v>
      </c>
      <c r="J44" s="139">
        <f>MIN((J42-J43)*Premissas!$B$8,J41)</f>
        <v>1905</v>
      </c>
      <c r="K44" s="139">
        <f>MIN((K42-K43)*Premissas!$B$8,K41)</f>
        <v>8425</v>
      </c>
      <c r="L44" s="139">
        <f>MIN((L42-L43)*Premissas!$B$8,L41)</f>
        <v>0</v>
      </c>
      <c r="M44" s="139">
        <f>MIN((M42-M43)*Premissas!$B$8,M41)</f>
        <v>0</v>
      </c>
      <c r="N44" s="139">
        <f>MIN((N42-N43)*Premissas!$B$8,N41)</f>
        <v>0</v>
      </c>
      <c r="O44" s="139">
        <f>MIN((O42-O43)*Premissas!$B$8,O41)</f>
        <v>0</v>
      </c>
      <c r="P44" s="139">
        <f>MIN((P42-P43)*Premissas!$B$8,P41)</f>
        <v>0</v>
      </c>
      <c r="Q44" s="139">
        <f>MIN((Q42-Q43)*Premissas!$B$8,Q41)</f>
        <v>0</v>
      </c>
      <c r="R44" s="139">
        <f>MIN((R42-R43)*Premissas!$B$8,R41)</f>
        <v>0</v>
      </c>
      <c r="S44" s="139">
        <f>MIN((S42-S43)*Premissas!$B$8,S41)</f>
        <v>2123</v>
      </c>
      <c r="T44" s="139">
        <f>MIN((T42-T43)*Premissas!$B$8,T41)</f>
        <v>2777</v>
      </c>
      <c r="U44" s="139">
        <f>MIN((U42-U43)*Premissas!$B$8,U41)</f>
        <v>2303</v>
      </c>
      <c r="V44" s="139">
        <f>MIN((V42-V43)*Premissas!$B$8,V41)</f>
        <v>1952</v>
      </c>
      <c r="W44" s="139">
        <f>MIN((W42-W43)*Premissas!$B$8,W41)</f>
        <v>8425</v>
      </c>
      <c r="X44" s="139">
        <f>MIN((X42-X43)*Premissas!$B$8,X41)</f>
        <v>0</v>
      </c>
      <c r="Y44" s="139">
        <f>MIN((Y42-Y43)*Premissas!$B$8,Y41)</f>
        <v>0</v>
      </c>
      <c r="Z44" s="139">
        <f>MIN((Z42-Z43)*Premissas!$B$8,Z41)</f>
        <v>0</v>
      </c>
      <c r="AA44" s="139">
        <f>MIN((AA42-AA43)*Premissas!$B$8,AA41)</f>
        <v>0</v>
      </c>
      <c r="AB44" s="139">
        <f>MIN((AB42-AB43)*Premissas!$B$8,AB41)</f>
        <v>0</v>
      </c>
      <c r="AC44" s="139">
        <f>MIN((AC42-AC43)*Premissas!$B$8,AC41)</f>
        <v>0</v>
      </c>
      <c r="AD44" s="139">
        <f>MIN((AD42-AD43)*Premissas!$B$8,AD41)</f>
        <v>0</v>
      </c>
      <c r="AE44" s="139">
        <f>MIN((AE42-AE43)*Premissas!$B$8,AE41)</f>
        <v>2176</v>
      </c>
      <c r="AF44" s="139">
        <f>MIN((AF42-AF43)*Premissas!$B$8,AF41)</f>
        <v>2846</v>
      </c>
      <c r="AG44" s="139">
        <f>MIN((AG42-AG43)*Premissas!$B$8,AG41)</f>
        <v>2361</v>
      </c>
      <c r="AH44" s="139">
        <f>MIN((AH42-AH43)*Premissas!$B$8,AH41)</f>
        <v>2001</v>
      </c>
      <c r="AI44" s="139">
        <f>MIN((AI42-AI43)*Premissas!$B$8,AI41)</f>
        <v>6546.274614471643</v>
      </c>
      <c r="AJ44" s="139">
        <f>MIN((AJ42-AJ43)*Premissas!$B$8,AJ41)</f>
        <v>0</v>
      </c>
      <c r="AK44" s="139">
        <f>MIN((AK42-AK43)*Premissas!$B$8,AK41)</f>
        <v>0</v>
      </c>
      <c r="AL44" s="139">
        <f>MIN((AL42-AL43)*Premissas!$B$8,AL41)</f>
        <v>0</v>
      </c>
      <c r="AM44" s="139">
        <f>MIN((AM42-AM43)*Premissas!$B$8,AM41)</f>
        <v>0</v>
      </c>
      <c r="AN44" s="139">
        <f>MIN((AN42-AN43)*Premissas!$B$8,AN41)</f>
        <v>0</v>
      </c>
      <c r="AO44" s="139">
        <f>MIN((AO42-AO43)*Premissas!$B$8,AO41)</f>
        <v>0</v>
      </c>
      <c r="AP44" s="139">
        <f>MIN((AP42-AP43)*Premissas!$B$8,AP41)</f>
        <v>0</v>
      </c>
      <c r="AQ44" s="139">
        <f>MIN((AQ42-AQ43)*Premissas!$B$8,AQ41)</f>
        <v>2230</v>
      </c>
      <c r="AR44" s="139">
        <f>MIN((AR42-AR43)*Premissas!$B$8,AR41)</f>
        <v>2917</v>
      </c>
      <c r="AS44" s="139">
        <f>MIN((AS42-AS43)*Premissas!$B$8,AS41)</f>
        <v>2420</v>
      </c>
      <c r="AT44" s="139">
        <f>MIN((AT42-AT43)*Premissas!$B$8,AT41)</f>
        <v>2051</v>
      </c>
      <c r="AU44" s="139">
        <f>MIN((AU42-AU43)*Premissas!$B$8,AU41)</f>
        <v>5069.7619382012335</v>
      </c>
      <c r="AV44" s="139">
        <f>MIN((AV42-AV43)*Premissas!$B$8,AV41)</f>
        <v>0</v>
      </c>
      <c r="AW44" s="139">
        <f>MIN((AW42-AW43)*Premissas!$B$8,AW41)</f>
        <v>0</v>
      </c>
      <c r="AX44" s="139">
        <f>MIN((AX42-AX43)*Premissas!$B$8,AX41)</f>
        <v>0</v>
      </c>
      <c r="AY44" s="139">
        <f>MIN((AY42-AY43)*Premissas!$B$8,AY41)</f>
        <v>0</v>
      </c>
      <c r="AZ44" s="139">
        <f>MIN((AZ42-AZ43)*Premissas!$B$8,AZ41)</f>
        <v>0</v>
      </c>
      <c r="BA44" s="139">
        <f>MIN((BA42-BA43)*Premissas!$B$8,BA41)</f>
        <v>0</v>
      </c>
      <c r="BB44" s="139">
        <f>MIN((BB42-BB43)*Premissas!$B$8,BB41)</f>
        <v>0</v>
      </c>
      <c r="BC44" s="139">
        <f>MIN((BC42-BC43)*Premissas!$B$8,BC41)</f>
        <v>2286</v>
      </c>
      <c r="BD44" s="139">
        <f>MIN((BD42-BD43)*Premissas!$B$8,BD41)</f>
        <v>2990</v>
      </c>
      <c r="BE44" s="139">
        <f>MIN((BE42-BE43)*Premissas!$B$8,BE41)</f>
        <v>2480</v>
      </c>
      <c r="BF44" s="139">
        <f>MIN((BF42-BF43)*Premissas!$B$8,BF41)</f>
        <v>2103</v>
      </c>
      <c r="BG44" s="139">
        <f>MIN((BG42-BG43)*Premissas!$B$8,BG41)</f>
        <v>3564.4029943805576</v>
      </c>
      <c r="BH44" s="139">
        <f>MIN((BH42-BH43)*Premissas!$B$8,BH41)</f>
        <v>0</v>
      </c>
      <c r="BI44" s="139">
        <f>MIN((BI42-BI43)*Premissas!$B$8,BI41)</f>
        <v>0</v>
      </c>
      <c r="BJ44" s="139">
        <f>MIN((BJ42-BJ43)*Premissas!$B$8,BJ41)</f>
        <v>0</v>
      </c>
      <c r="BK44" s="139">
        <f>MIN((BK42-BK43)*Premissas!$B$8,BK41)</f>
        <v>0</v>
      </c>
      <c r="BL44" s="139">
        <f>MIN((BL42-BL43)*Premissas!$B$8,BL41)</f>
        <v>0</v>
      </c>
      <c r="BM44" s="139">
        <f>MIN((BM42-BM43)*Premissas!$B$8,BM41)</f>
        <v>0</v>
      </c>
      <c r="BN44" s="139">
        <f>MIN((BN42-BN43)*Premissas!$B$8,BN41)</f>
        <v>0</v>
      </c>
      <c r="BO44" s="139">
        <f>MIN((BO42-BO43)*Premissas!$B$8,BO41)</f>
        <v>2343</v>
      </c>
      <c r="BP44" s="139">
        <f>MIN((BP42-BP43)*Premissas!$B$8,BP41)</f>
        <v>3065</v>
      </c>
      <c r="BQ44" s="139">
        <f>MIN((BQ42-BQ43)*Premissas!$B$8,BQ41)</f>
        <v>2542</v>
      </c>
      <c r="BR44" s="139">
        <f>MIN((BR42-BR43)*Premissas!$B$8,BR41)</f>
        <v>2155</v>
      </c>
      <c r="BS44" s="139">
        <f>MIN((BS42-BS43)*Premissas!$B$8,BS41)</f>
        <v>0</v>
      </c>
      <c r="BT44" s="139">
        <f>MIN((BT42-BT43)*Premissas!$B$8,BT41)</f>
        <v>0</v>
      </c>
      <c r="BU44" s="139">
        <f>MIN((BU42-BU43)*Premissas!$B$8,BU41)</f>
        <v>0</v>
      </c>
      <c r="BV44" s="139">
        <f>MIN((BV42-BV43)*Premissas!$B$8,BV41)</f>
        <v>0</v>
      </c>
      <c r="BW44" s="139">
        <f>MIN((BW42-BW43)*Premissas!$B$8,BW41)</f>
        <v>0</v>
      </c>
      <c r="BX44" s="139">
        <f>MIN((BX42-BX43)*Premissas!$B$8,BX41)</f>
        <v>0</v>
      </c>
      <c r="BY44" s="139">
        <f>MIN((BY42-BY43)*Premissas!$B$8,BY41)</f>
        <v>0</v>
      </c>
      <c r="BZ44" s="139">
        <f>MIN((BZ42-BZ43)*Premissas!$B$8,BZ41)</f>
        <v>0</v>
      </c>
      <c r="CA44" s="139">
        <f>MIN((CA42-CA43)*Premissas!$B$8,CA41)</f>
        <v>2402</v>
      </c>
      <c r="CB44" s="139">
        <f>MIN((CB42-CB43)*Premissas!$B$8,CB41)</f>
        <v>3142</v>
      </c>
      <c r="CC44" s="139">
        <f>MIN((CC42-CC43)*Premissas!$B$8,CC41)</f>
        <v>2606</v>
      </c>
      <c r="CD44" s="139">
        <f>MIN((CD42-CD43)*Premissas!$B$8,CD41)</f>
        <v>2209</v>
      </c>
      <c r="CE44" s="139">
        <f>MIN((CE42-CE43)*Premissas!$B$8,CE41)</f>
        <v>0</v>
      </c>
      <c r="CF44" s="139">
        <f>MIN((CF42-CF43)*Premissas!$B$8,CF41)</f>
        <v>0</v>
      </c>
      <c r="CG44" s="139">
        <f>MIN((CG42-CG43)*Premissas!$B$8,CG41)</f>
        <v>0</v>
      </c>
      <c r="CH44" s="139">
        <f>MIN((CH42-CH43)*Premissas!$B$8,CH41)</f>
        <v>0</v>
      </c>
      <c r="CI44" s="139">
        <f>MIN((CI42-CI43)*Premissas!$B$8,CI41)</f>
        <v>0</v>
      </c>
      <c r="CJ44" s="139">
        <f>MIN((CJ42-CJ43)*Premissas!$B$8,CJ41)</f>
        <v>0</v>
      </c>
      <c r="CK44" s="139">
        <f>MIN((CK42-CK43)*Premissas!$B$8,CK41)</f>
        <v>0</v>
      </c>
      <c r="CL44" s="139">
        <f>MIN((CL42-CL43)*Premissas!$B$8,CL41)</f>
        <v>0</v>
      </c>
      <c r="CM44" s="139">
        <f>MIN((CM42-CM43)*Premissas!$B$8,CM41)</f>
        <v>2462</v>
      </c>
      <c r="CN44" s="139">
        <f>MIN((CN42-CN43)*Premissas!$B$8,CN41)</f>
        <v>3220</v>
      </c>
      <c r="CO44" s="139">
        <f>MIN((CO42-CO43)*Premissas!$B$8,CO41)</f>
        <v>2671</v>
      </c>
      <c r="CP44" s="139">
        <f>MIN((CP42-CP43)*Premissas!$B$8,CP41)</f>
        <v>2264</v>
      </c>
      <c r="CQ44" s="139">
        <f>MIN((CQ42-CQ43)*Premissas!$B$8,CQ41)</f>
        <v>0</v>
      </c>
      <c r="CR44" s="139">
        <f>MIN((CR42-CR43)*Premissas!$B$8,CR41)</f>
        <v>0</v>
      </c>
      <c r="CS44" s="139">
        <f>MIN((CS42-CS43)*Premissas!$B$8,CS41)</f>
        <v>0</v>
      </c>
      <c r="CT44" s="139">
        <f>MIN((CT42-CT43)*Premissas!$B$8,CT41)</f>
        <v>0</v>
      </c>
      <c r="CU44" s="139">
        <f>MIN((CU42-CU43)*Premissas!$B$8,CU41)</f>
        <v>0</v>
      </c>
      <c r="CV44" s="139">
        <f>MIN((CV42-CV43)*Premissas!$B$8,CV41)</f>
        <v>0</v>
      </c>
      <c r="CW44" s="139">
        <f>MIN((CW42-CW43)*Premissas!$B$8,CW41)</f>
        <v>0</v>
      </c>
      <c r="CX44" s="139">
        <f>MIN((CX42-CX43)*Premissas!$B$8,CX41)</f>
        <v>0</v>
      </c>
      <c r="CY44" s="139">
        <f>MIN((CY42-CY43)*Premissas!$B$8,CY41)</f>
        <v>2523</v>
      </c>
      <c r="CZ44" s="139">
        <f>MIN((CZ42-CZ43)*Premissas!$B$8,CZ41)</f>
        <v>3301</v>
      </c>
      <c r="DA44" s="139">
        <f>MIN((DA42-DA43)*Premissas!$B$8,DA41)</f>
        <v>2738</v>
      </c>
      <c r="DB44" s="139">
        <f>MIN((DB42-DB43)*Premissas!$B$8,DB41)</f>
        <v>2321</v>
      </c>
      <c r="DC44" s="139">
        <f>MIN((DC42-DC43)*Premissas!$B$8,DC41)</f>
        <v>0</v>
      </c>
      <c r="DD44" s="139">
        <f>MIN((DD42-DD43)*Premissas!$B$8,DD41)</f>
        <v>0</v>
      </c>
      <c r="DE44" s="139">
        <f>MIN((DE42-DE43)*Premissas!$B$8,DE41)</f>
        <v>0</v>
      </c>
      <c r="DF44" s="139">
        <f>MIN((DF42-DF43)*Premissas!$B$8,DF41)</f>
        <v>0</v>
      </c>
      <c r="DG44" s="139">
        <f>MIN((DG42-DG43)*Premissas!$B$8,DG41)</f>
        <v>0</v>
      </c>
      <c r="DH44" s="139">
        <f>MIN((DH42-DH43)*Premissas!$B$8,DH41)</f>
        <v>0</v>
      </c>
      <c r="DI44" s="139">
        <f>MIN((DI42-DI43)*Premissas!$B$8,DI41)</f>
        <v>0</v>
      </c>
      <c r="DJ44" s="139">
        <f>MIN((DJ42-DJ43)*Premissas!$B$8,DJ41)</f>
        <v>0</v>
      </c>
      <c r="DK44" s="139">
        <f>MIN((DK42-DK43)*Premissas!$B$8,DK41)</f>
        <v>2586</v>
      </c>
      <c r="DL44" s="139">
        <f>MIN((DL42-DL43)*Premissas!$B$8,DL41)</f>
        <v>3383</v>
      </c>
      <c r="DM44" s="139">
        <f>MIN((DM42-DM43)*Premissas!$B$8,DM41)</f>
        <v>2806</v>
      </c>
      <c r="DN44" s="139">
        <f>MIN((DN42-DN43)*Premissas!$B$8,DN41)</f>
        <v>2379</v>
      </c>
      <c r="DO44" s="139">
        <f>MIN((DO42-DO43)*Premissas!$B$8,DO41)</f>
        <v>0</v>
      </c>
      <c r="DP44" s="139">
        <f>MIN((DP42-DP43)*Premissas!$B$8,DP41)</f>
        <v>0</v>
      </c>
      <c r="DQ44" s="139">
        <f>MIN((DQ42-DQ43)*Premissas!$B$8,DQ41)</f>
        <v>0</v>
      </c>
      <c r="DR44" s="139">
        <f>MIN((DR42-DR43)*Premissas!$B$8,DR41)</f>
        <v>0</v>
      </c>
      <c r="DS44" s="139">
        <f>MIN((DS42-DS43)*Premissas!$B$8,DS41)</f>
        <v>0</v>
      </c>
    </row>
    <row r="45" spans="1:123" ht="12.75" customHeight="1" x14ac:dyDescent="0.35">
      <c r="A45" s="142" t="str">
        <f>"  "&amp;INDEX(PVSYST_Helexia!$A$5:$A$7,MATCH(Premissas!$B$13,PVSYST_Helexia!$B$5:$B$7,0))&amp;" créditos recebidos (kWh)"</f>
        <v xml:space="preserve">  HCS03 créditos recebidos (kWh)</v>
      </c>
      <c r="B45" s="155">
        <f t="shared" si="44"/>
        <v>2142669.6724322406</v>
      </c>
      <c r="C45" s="139">
        <f t="shared" si="45"/>
        <v>35711.161207204008</v>
      </c>
      <c r="D45" s="156">
        <f>D6*Premissas!$B$35</f>
        <v>0</v>
      </c>
      <c r="E45" s="156">
        <f>E6*Premissas!$B$35</f>
        <v>0</v>
      </c>
      <c r="F45" s="156">
        <f>F6*Premissas!$B$35</f>
        <v>0</v>
      </c>
      <c r="G45" s="156">
        <f>G6*Premissas!$B$35</f>
        <v>0</v>
      </c>
      <c r="H45" s="156">
        <f>H6*Premissas!$C$35</f>
        <v>0</v>
      </c>
      <c r="I45" s="156">
        <f>I6*Premissas!$C$35</f>
        <v>0</v>
      </c>
      <c r="J45" s="156">
        <f>J6*Premissas!$C$35</f>
        <v>0</v>
      </c>
      <c r="K45" s="156">
        <f>K6*Premissas!$C$35</f>
        <v>0</v>
      </c>
      <c r="L45" s="156">
        <f>L6*Premissas!$C$35</f>
        <v>0</v>
      </c>
      <c r="M45" s="156">
        <f>M6*Premissas!$C$35</f>
        <v>0</v>
      </c>
      <c r="N45" s="156">
        <f>N6*Premissas!$D$35</f>
        <v>595.52541000000008</v>
      </c>
      <c r="O45" s="156">
        <f>O6*Premissas!$D$35</f>
        <v>557.34129000000007</v>
      </c>
      <c r="P45" s="156">
        <f>P6*Premissas!$D$35</f>
        <v>505.81720500000006</v>
      </c>
      <c r="Q45" s="156">
        <f>Q6*Premissas!$D$35</f>
        <v>532.41554499999995</v>
      </c>
      <c r="R45" s="156">
        <f>R6*Premissas!$D$35</f>
        <v>639.135265</v>
      </c>
      <c r="S45" s="156">
        <f>S6*Premissas!$D$35</f>
        <v>599.72729500000014</v>
      </c>
      <c r="T45" s="156">
        <f>T6*Premissas!$E$35</f>
        <v>23465.67006</v>
      </c>
      <c r="U45" s="156">
        <f>U6*Premissas!$E$35</f>
        <v>22689.072560000001</v>
      </c>
      <c r="V45" s="156">
        <f>V6*Premissas!$E$35</f>
        <v>21544.367845000001</v>
      </c>
      <c r="W45" s="156">
        <f>W6*Premissas!$E$35</f>
        <v>22232.433229999995</v>
      </c>
      <c r="X45" s="156">
        <f>X6*Premissas!$E$35</f>
        <v>19811.002225</v>
      </c>
      <c r="Y45" s="156">
        <f>Y6*Premissas!$E$35</f>
        <v>22723.242849999999</v>
      </c>
      <c r="Z45" s="156">
        <f>Z6*Premissas!$E$35</f>
        <v>22673.54061</v>
      </c>
      <c r="AA45" s="156">
        <f>AA6*Premissas!$E$35</f>
        <v>21219.750089999998</v>
      </c>
      <c r="AB45" s="156">
        <f>AB6*Premissas!$F$35</f>
        <v>45848.320106624997</v>
      </c>
      <c r="AC45" s="156">
        <f>AC6*Premissas!$F$35</f>
        <v>48259.248787124998</v>
      </c>
      <c r="AD45" s="156">
        <f>AD6*Premissas!$F$35</f>
        <v>57932.545456125008</v>
      </c>
      <c r="AE45" s="156">
        <f>AE6*Premissas!$F$35</f>
        <v>54360.525355874997</v>
      </c>
      <c r="AF45" s="156">
        <f>AF6*Premissas!$F$35</f>
        <v>55865.506909500007</v>
      </c>
      <c r="AG45" s="156">
        <f>AG6*Premissas!$F$35</f>
        <v>54016.635222000004</v>
      </c>
      <c r="AH45" s="156">
        <f>AH6*Premissas!$G$35</f>
        <v>50783.290793950007</v>
      </c>
      <c r="AI45" s="156">
        <f>AI6*Premissas!$G$35</f>
        <v>52405.163609300005</v>
      </c>
      <c r="AJ45" s="156">
        <f>AJ6*Premissas!$G$35</f>
        <v>46697.489299749999</v>
      </c>
      <c r="AK45" s="156">
        <f>AK6*Premissas!$G$35</f>
        <v>53562.075143500006</v>
      </c>
      <c r="AL45" s="156">
        <f>AL6*Premissas!$G$35</f>
        <v>53444.919545100005</v>
      </c>
      <c r="AM45" s="156">
        <f>AM6*Premissas!$G$35</f>
        <v>50018.118291900013</v>
      </c>
      <c r="AN45" s="156">
        <f>AN6*Premissas!$H$35</f>
        <v>45509.153015715754</v>
      </c>
      <c r="AO45" s="156">
        <f>AO6*Premissas!$H$35</f>
        <v>47902.246633446739</v>
      </c>
      <c r="AP45" s="156">
        <f>AP6*Premissas!$H$35</f>
        <v>57503.984216244746</v>
      </c>
      <c r="AQ45" s="156">
        <f>AQ6*Premissas!$H$35</f>
        <v>53958.388457459252</v>
      </c>
      <c r="AR45" s="156">
        <f>AR6*Premissas!$H$35</f>
        <v>55452.236774048994</v>
      </c>
      <c r="AS45" s="156">
        <f>AS6*Premissas!$H$35</f>
        <v>53617.042281924005</v>
      </c>
      <c r="AT45" s="156">
        <f>AT6*Premissas!$I$35</f>
        <v>50392.734604069003</v>
      </c>
      <c r="AU45" s="156">
        <f>AU6*Premissas!$I$35</f>
        <v>52002.134173646002</v>
      </c>
      <c r="AV45" s="156">
        <f>AV6*Premissas!$I$35</f>
        <v>46338.355552945002</v>
      </c>
      <c r="AW45" s="156">
        <f>AW6*Premissas!$I$35</f>
        <v>53150.148313570011</v>
      </c>
      <c r="AX45" s="156">
        <f>AX6*Premissas!$I$35</f>
        <v>53033.89371712201</v>
      </c>
      <c r="AY45" s="156">
        <f>AY6*Premissas!$I$35</f>
        <v>49633.446771017996</v>
      </c>
      <c r="AZ45" s="156">
        <f>AZ6*Premissas!$J$35</f>
        <v>28243.27838177155</v>
      </c>
      <c r="BA45" s="156">
        <f>BA6*Premissas!$J$35</f>
        <v>29728.447952294577</v>
      </c>
      <c r="BB45" s="156">
        <f>BB6*Premissas!$J$35</f>
        <v>35687.349173902323</v>
      </c>
      <c r="BC45" s="156">
        <f>BC6*Premissas!$J$35</f>
        <v>33486.929227391207</v>
      </c>
      <c r="BD45" s="156">
        <f>BD6*Premissas!$J$35</f>
        <v>34414.021275248371</v>
      </c>
      <c r="BE45" s="156">
        <f>BE6*Premissas!$J$35</f>
        <v>33275.087555522121</v>
      </c>
      <c r="BF45" s="156">
        <f>BF6*Premissas!$K$35</f>
        <v>39767.287140270426</v>
      </c>
      <c r="BG45" s="156">
        <f>BG6*Premissas!$K$35</f>
        <v>41037.34035944278</v>
      </c>
      <c r="BH45" s="156">
        <f>BH6*Premissas!$K$35</f>
        <v>36567.785125380236</v>
      </c>
      <c r="BI45" s="156">
        <f>BI6*Premissas!$K$35</f>
        <v>41943.292542870469</v>
      </c>
      <c r="BJ45" s="156">
        <f>BJ6*Premissas!$K$35</f>
        <v>41851.550549611973</v>
      </c>
      <c r="BK45" s="156">
        <f>BK6*Premissas!$K$35</f>
        <v>39168.097246800848</v>
      </c>
      <c r="BL45" s="156">
        <f>BL6*Premissas!$L$35</f>
        <v>41461.80160721828</v>
      </c>
      <c r="BM45" s="156">
        <f>BM6*Premissas!$L$35</f>
        <v>43642.065713025702</v>
      </c>
      <c r="BN45" s="156">
        <f>BN6*Premissas!$L$35</f>
        <v>52389.873843075147</v>
      </c>
      <c r="BO45" s="156">
        <f>BO6*Premissas!$L$35</f>
        <v>49159.605244593586</v>
      </c>
      <c r="BP45" s="156">
        <f>BP6*Premissas!$L$35</f>
        <v>50520.598329046996</v>
      </c>
      <c r="BQ45" s="156">
        <f>BQ6*Premissas!$L$35</f>
        <v>48848.616652814308</v>
      </c>
      <c r="BR45" s="156">
        <f>BR6*Premissas!$M$35</f>
        <v>46157.650200030184</v>
      </c>
      <c r="BS45" s="156">
        <f>BS6*Premissas!$M$35</f>
        <v>47631.793307132306</v>
      </c>
      <c r="BT45" s="156">
        <f>BT6*Premissas!$M$35</f>
        <v>42444.007519384693</v>
      </c>
      <c r="BU45" s="156">
        <f>BU6*Premissas!$M$35</f>
        <v>48683.326539286405</v>
      </c>
      <c r="BV45" s="156">
        <f>BV6*Premissas!$M$35</f>
        <v>48576.842161346751</v>
      </c>
      <c r="BW45" s="156">
        <f>BW6*Premissas!$M$35</f>
        <v>45462.174106611812</v>
      </c>
      <c r="BX45" s="156">
        <f>BX6*Premissas!$N$35</f>
        <v>41204.434924584821</v>
      </c>
      <c r="BY45" s="156">
        <f>BY6*Premissas!$N$35</f>
        <v>43371.165432757189</v>
      </c>
      <c r="BZ45" s="156">
        <f>BZ6*Premissas!$N$35</f>
        <v>52064.67311585373</v>
      </c>
      <c r="CA45" s="156">
        <f>CA6*Premissas!$N$35</f>
        <v>48854.455829205697</v>
      </c>
      <c r="CB45" s="156">
        <f>CB6*Premissas!$N$35</f>
        <v>50207.000793662999</v>
      </c>
      <c r="CC45" s="156">
        <f>CC6*Premissas!$N$35</f>
        <v>48545.397643224052</v>
      </c>
      <c r="CD45" s="156">
        <f>CD6*Premissas!$O$35</f>
        <v>45870.527655850499</v>
      </c>
      <c r="CE45" s="156">
        <f>CE6*Premissas!$O$35</f>
        <v>47335.500891488999</v>
      </c>
      <c r="CF45" s="156">
        <f>CF6*Premissas!$O$35</f>
        <v>42179.98559947899</v>
      </c>
      <c r="CG45" s="156">
        <f>CG6*Premissas!$O$35</f>
        <v>48380.493086662296</v>
      </c>
      <c r="CH45" s="156">
        <f>CH6*Premissas!$O$35</f>
        <v>48274.671092214368</v>
      </c>
      <c r="CI45" s="156">
        <f>CI6*Premissas!$O$35</f>
        <v>45179.377754612462</v>
      </c>
      <c r="CJ45" s="156">
        <f>CJ6*Premissas!$P$35</f>
        <v>40948.523957602119</v>
      </c>
      <c r="CK45" s="156">
        <f>CK6*Premissas!$P$35</f>
        <v>43101.797416780806</v>
      </c>
      <c r="CL45" s="156">
        <f>CL6*Premissas!$P$35</f>
        <v>51741.311786737024</v>
      </c>
      <c r="CM45" s="156">
        <f>CM6*Premissas!$P$35</f>
        <v>48551.032397831172</v>
      </c>
      <c r="CN45" s="156">
        <f>CN6*Premissas!$P$35</f>
        <v>49895.177026490273</v>
      </c>
      <c r="CO45" s="156">
        <f>CO6*Premissas!$P$35</f>
        <v>48243.893698899243</v>
      </c>
      <c r="CP45" s="156">
        <f>CP6*Premissas!$Q$35</f>
        <v>45585.013914688767</v>
      </c>
      <c r="CQ45" s="156">
        <f>CQ6*Premissas!$Q$35</f>
        <v>47040.8686594229</v>
      </c>
      <c r="CR45" s="156">
        <f>CR6*Premissas!$Q$35</f>
        <v>41917.443045335975</v>
      </c>
      <c r="CS45" s="156">
        <f>CS6*Premissas!$Q$35</f>
        <v>48079.356468307742</v>
      </c>
      <c r="CT45" s="156">
        <f>CT6*Premissas!$Q$35</f>
        <v>47974.193145889025</v>
      </c>
      <c r="CU45" s="156">
        <f>CU6*Premissas!$Q$35</f>
        <v>44898.165965141518</v>
      </c>
      <c r="CV45" s="156">
        <f>CV6*Premissas!$R$35</f>
        <v>40694.088387067415</v>
      </c>
      <c r="CW45" s="156">
        <f>CW6*Premissas!$R$35</f>
        <v>42833.982380806257</v>
      </c>
      <c r="CX45" s="156">
        <f>CX6*Premissas!$R$35</f>
        <v>51419.814723782983</v>
      </c>
      <c r="CY45" s="156">
        <f>CY6*Premissas!$R$35</f>
        <v>48249.358285206719</v>
      </c>
      <c r="CZ45" s="156">
        <f>CZ6*Premissas!$R$35</f>
        <v>49585.15100829216</v>
      </c>
      <c r="DA45" s="156">
        <f>DA6*Premissas!$R$35</f>
        <v>47944.128006958694</v>
      </c>
      <c r="DB45" s="156">
        <f>DB6*Premissas!$S$35</f>
        <v>45245.085721306838</v>
      </c>
      <c r="DC45" s="156">
        <f>DC6*Premissas!$S$35</f>
        <v>46690.084133428449</v>
      </c>
      <c r="DD45" s="156">
        <f>DD6*Premissas!$S$35</f>
        <v>41604.863987835677</v>
      </c>
      <c r="DE45" s="156">
        <f>DE6*Premissas!$S$35</f>
        <v>47720.827921758995</v>
      </c>
      <c r="DF45" s="156">
        <f>DF6*Premissas!$S$35</f>
        <v>47616.448803953368</v>
      </c>
      <c r="DG45" s="156">
        <f>DG6*Premissas!$S$35</f>
        <v>44563.359608138853</v>
      </c>
      <c r="DH45" s="156">
        <f>DH6*Premissas!$T$35</f>
        <v>40241.42807073686</v>
      </c>
      <c r="DI45" s="156">
        <f>DI6*Premissas!$T$35</f>
        <v>42357.518973400009</v>
      </c>
      <c r="DJ45" s="156">
        <f>DJ6*Premissas!$T$35</f>
        <v>50847.846889606772</v>
      </c>
      <c r="DK45" s="156">
        <f>DK6*Premissas!$T$35</f>
        <v>47712.656993943274</v>
      </c>
      <c r="DL45" s="156">
        <f>DL6*Premissas!$T$35</f>
        <v>49033.591039010607</v>
      </c>
      <c r="DM45" s="156">
        <f>DM6*Premissas!$T$35</f>
        <v>47410.821941876289</v>
      </c>
      <c r="DN45" s="156">
        <f>DN6*Premissas!$U$35</f>
        <v>45018.860292700294</v>
      </c>
      <c r="DO45" s="156">
        <f>DO6*Premissas!$U$35</f>
        <v>46456.633712761308</v>
      </c>
      <c r="DP45" s="156">
        <f>DP6*Premissas!$U$35</f>
        <v>41396.8396678965</v>
      </c>
      <c r="DQ45" s="156">
        <f>DQ6*Premissas!$U$35</f>
        <v>47482.223782150199</v>
      </c>
      <c r="DR45" s="156">
        <f>DR6*Premissas!$U$35</f>
        <v>47378.366559933595</v>
      </c>
      <c r="DS45" s="156">
        <f>DS6*Premissas!$U$35</f>
        <v>44340.542810098159</v>
      </c>
    </row>
    <row r="46" spans="1:123" ht="12.75" customHeight="1" x14ac:dyDescent="0.35">
      <c r="A46" s="151" t="s">
        <v>501</v>
      </c>
      <c r="B46" s="152">
        <f t="shared" si="44"/>
        <v>1292164.4673552972</v>
      </c>
      <c r="C46" s="139">
        <f t="shared" si="45"/>
        <v>21536.074455921618</v>
      </c>
      <c r="D46" s="152">
        <f t="shared" ref="D46:AI46" si="50">D20</f>
        <v>0</v>
      </c>
      <c r="E46" s="152">
        <f t="shared" si="50"/>
        <v>0</v>
      </c>
      <c r="F46" s="152">
        <f t="shared" si="50"/>
        <v>0</v>
      </c>
      <c r="G46" s="152">
        <f t="shared" si="50"/>
        <v>32711.293107221009</v>
      </c>
      <c r="H46" s="152">
        <f t="shared" si="50"/>
        <v>40823.761528761643</v>
      </c>
      <c r="I46" s="152">
        <f t="shared" si="50"/>
        <v>41560.461528761633</v>
      </c>
      <c r="J46" s="152">
        <f t="shared" si="50"/>
        <v>47597.361528761627</v>
      </c>
      <c r="K46" s="152">
        <f t="shared" si="50"/>
        <v>51288.174381559918</v>
      </c>
      <c r="L46" s="152">
        <f t="shared" si="50"/>
        <v>0</v>
      </c>
      <c r="M46" s="152">
        <f t="shared" si="50"/>
        <v>0</v>
      </c>
      <c r="N46" s="152">
        <f t="shared" si="50"/>
        <v>16385.833543216624</v>
      </c>
      <c r="O46" s="152">
        <f t="shared" si="50"/>
        <v>15046.461371036234</v>
      </c>
      <c r="P46" s="152">
        <f t="shared" si="50"/>
        <v>0</v>
      </c>
      <c r="Q46" s="152">
        <f t="shared" si="50"/>
        <v>0</v>
      </c>
      <c r="R46" s="152">
        <f t="shared" si="50"/>
        <v>0</v>
      </c>
      <c r="S46" s="152">
        <f t="shared" si="50"/>
        <v>32132.802190028931</v>
      </c>
      <c r="T46" s="152">
        <f t="shared" si="50"/>
        <v>40427.854566980684</v>
      </c>
      <c r="U46" s="152">
        <f t="shared" si="50"/>
        <v>41160.871066980675</v>
      </c>
      <c r="V46" s="152">
        <f t="shared" si="50"/>
        <v>47167.586566980666</v>
      </c>
      <c r="W46" s="152">
        <f t="shared" si="50"/>
        <v>50971.717593025634</v>
      </c>
      <c r="X46" s="152">
        <f t="shared" si="50"/>
        <v>0</v>
      </c>
      <c r="Y46" s="152">
        <f t="shared" si="50"/>
        <v>0</v>
      </c>
      <c r="Z46" s="152">
        <f t="shared" si="50"/>
        <v>16129.467066966627</v>
      </c>
      <c r="AA46" s="152">
        <f t="shared" si="50"/>
        <v>14863.10849228623</v>
      </c>
      <c r="AB46" s="152">
        <f t="shared" si="50"/>
        <v>0</v>
      </c>
      <c r="AC46" s="152">
        <f t="shared" si="50"/>
        <v>0</v>
      </c>
      <c r="AD46" s="152">
        <f t="shared" si="50"/>
        <v>0</v>
      </c>
      <c r="AE46" s="152">
        <f t="shared" si="50"/>
        <v>31547.14735786082</v>
      </c>
      <c r="AF46" s="152">
        <f t="shared" si="50"/>
        <v>40028.800573973691</v>
      </c>
      <c r="AG46" s="152">
        <f t="shared" si="50"/>
        <v>40758.151991473685</v>
      </c>
      <c r="AH46" s="152">
        <f t="shared" si="50"/>
        <v>46734.833913973671</v>
      </c>
      <c r="AI46" s="152">
        <f t="shared" si="50"/>
        <v>50654.765904515312</v>
      </c>
      <c r="AJ46" s="152">
        <f t="shared" ref="AJ46:BO46" si="51">AJ20</f>
        <v>0</v>
      </c>
      <c r="AK46" s="152">
        <f t="shared" si="51"/>
        <v>0</v>
      </c>
      <c r="AL46" s="152">
        <f t="shared" si="51"/>
        <v>14107.669446055261</v>
      </c>
      <c r="AM46" s="152">
        <f t="shared" si="51"/>
        <v>13586.545389093428</v>
      </c>
      <c r="AN46" s="152">
        <f t="shared" si="51"/>
        <v>0</v>
      </c>
      <c r="AO46" s="152">
        <f t="shared" si="51"/>
        <v>0</v>
      </c>
      <c r="AP46" s="152">
        <f t="shared" si="51"/>
        <v>0</v>
      </c>
      <c r="AQ46" s="152">
        <f t="shared" si="51"/>
        <v>30953.167895595867</v>
      </c>
      <c r="AR46" s="152">
        <f t="shared" si="51"/>
        <v>39627.921096379199</v>
      </c>
      <c r="AS46" s="152">
        <f t="shared" si="51"/>
        <v>40353.625756791691</v>
      </c>
      <c r="AT46" s="152">
        <f t="shared" si="51"/>
        <v>46300.424269679177</v>
      </c>
      <c r="AU46" s="152">
        <f t="shared" si="51"/>
        <v>50337.640102011246</v>
      </c>
      <c r="AV46" s="152">
        <f t="shared" si="51"/>
        <v>0</v>
      </c>
      <c r="AW46" s="152">
        <f t="shared" si="51"/>
        <v>0</v>
      </c>
      <c r="AX46" s="152">
        <f t="shared" si="51"/>
        <v>12937.539044528359</v>
      </c>
      <c r="AY46" s="152">
        <f t="shared" si="51"/>
        <v>12836.484441623539</v>
      </c>
      <c r="AZ46" s="152">
        <f t="shared" si="51"/>
        <v>0</v>
      </c>
      <c r="BA46" s="152">
        <f t="shared" si="51"/>
        <v>0</v>
      </c>
      <c r="BB46" s="152">
        <f t="shared" si="51"/>
        <v>0</v>
      </c>
      <c r="BC46" s="152">
        <f t="shared" si="51"/>
        <v>30352.340360831753</v>
      </c>
      <c r="BD46" s="152">
        <f t="shared" si="51"/>
        <v>39222.555364168082</v>
      </c>
      <c r="BE46" s="152">
        <f t="shared" si="51"/>
        <v>39944.631501278513</v>
      </c>
      <c r="BF46" s="152">
        <f t="shared" si="51"/>
        <v>45861.696021601558</v>
      </c>
      <c r="BG46" s="152">
        <f t="shared" si="51"/>
        <v>50021.333556083395</v>
      </c>
      <c r="BH46" s="152">
        <f t="shared" si="51"/>
        <v>0</v>
      </c>
      <c r="BI46" s="152">
        <f t="shared" si="51"/>
        <v>0</v>
      </c>
      <c r="BJ46" s="152">
        <f t="shared" si="51"/>
        <v>11746.367894200575</v>
      </c>
      <c r="BK46" s="152">
        <f t="shared" si="51"/>
        <v>12074.176216370506</v>
      </c>
      <c r="BL46" s="152">
        <f t="shared" si="51"/>
        <v>0</v>
      </c>
      <c r="BM46" s="152">
        <f t="shared" si="51"/>
        <v>0</v>
      </c>
      <c r="BN46" s="152">
        <f t="shared" si="51"/>
        <v>0</v>
      </c>
      <c r="BO46" s="152">
        <f t="shared" si="51"/>
        <v>29027.270549276887</v>
      </c>
      <c r="BP46" s="152">
        <f t="shared" ref="BP46:CU46" si="52">BP20</f>
        <v>37441.312087681363</v>
      </c>
      <c r="BQ46" s="152">
        <f t="shared" si="52"/>
        <v>37441.312087681363</v>
      </c>
      <c r="BR46" s="152">
        <f t="shared" si="52"/>
        <v>37441.312087681363</v>
      </c>
      <c r="BS46" s="152">
        <f t="shared" si="52"/>
        <v>42395.839402891099</v>
      </c>
      <c r="BT46" s="152">
        <f t="shared" si="52"/>
        <v>0</v>
      </c>
      <c r="BU46" s="152">
        <f t="shared" si="52"/>
        <v>0</v>
      </c>
      <c r="BV46" s="152">
        <f t="shared" si="52"/>
        <v>5202.092397735888</v>
      </c>
      <c r="BW46" s="152">
        <f t="shared" si="52"/>
        <v>20209.342907693976</v>
      </c>
      <c r="BX46" s="152">
        <f t="shared" si="52"/>
        <v>0</v>
      </c>
      <c r="BY46" s="152">
        <f t="shared" si="52"/>
        <v>0</v>
      </c>
      <c r="BZ46" s="152">
        <f t="shared" si="52"/>
        <v>0</v>
      </c>
      <c r="CA46" s="152">
        <f t="shared" si="52"/>
        <v>28635.539343550521</v>
      </c>
      <c r="CB46" s="152">
        <f t="shared" si="52"/>
        <v>37260.178830996279</v>
      </c>
      <c r="CC46" s="152">
        <f t="shared" si="52"/>
        <v>37260.178830996279</v>
      </c>
      <c r="CD46" s="152">
        <f t="shared" si="52"/>
        <v>37260.178830996279</v>
      </c>
      <c r="CE46" s="152">
        <f t="shared" si="52"/>
        <v>42339.564915630777</v>
      </c>
      <c r="CF46" s="152">
        <f t="shared" si="52"/>
        <v>0</v>
      </c>
      <c r="CG46" s="152">
        <f t="shared" si="52"/>
        <v>0</v>
      </c>
      <c r="CH46" s="152">
        <f t="shared" si="52"/>
        <v>4215.5143834199735</v>
      </c>
      <c r="CI46" s="152">
        <f t="shared" si="52"/>
        <v>19597.186304200299</v>
      </c>
      <c r="CJ46" s="152">
        <f t="shared" si="52"/>
        <v>0</v>
      </c>
      <c r="CK46" s="152">
        <f t="shared" si="52"/>
        <v>0</v>
      </c>
      <c r="CL46" s="152">
        <f t="shared" si="52"/>
        <v>0</v>
      </c>
      <c r="CM46" s="152">
        <f t="shared" si="52"/>
        <v>28234.980689098124</v>
      </c>
      <c r="CN46" s="152">
        <f t="shared" si="52"/>
        <v>37075.545574311189</v>
      </c>
      <c r="CO46" s="152">
        <f t="shared" si="52"/>
        <v>37075.545574311189</v>
      </c>
      <c r="CP46" s="152">
        <f t="shared" si="52"/>
        <v>37075.545574311189</v>
      </c>
      <c r="CQ46" s="152">
        <f t="shared" si="52"/>
        <v>42280.962979644428</v>
      </c>
      <c r="CR46" s="152">
        <f t="shared" si="52"/>
        <v>0</v>
      </c>
      <c r="CS46" s="152">
        <f t="shared" si="52"/>
        <v>0</v>
      </c>
      <c r="CT46" s="152">
        <f t="shared" si="52"/>
        <v>3203.7991254738999</v>
      </c>
      <c r="CU46" s="152">
        <f t="shared" si="52"/>
        <v>18970.047354528528</v>
      </c>
      <c r="CV46" s="152">
        <f t="shared" ref="CV46:DS46" si="53">CV20</f>
        <v>0</v>
      </c>
      <c r="CW46" s="152">
        <f t="shared" si="53"/>
        <v>0</v>
      </c>
      <c r="CX46" s="152">
        <f t="shared" si="53"/>
        <v>0</v>
      </c>
      <c r="CY46" s="152">
        <f t="shared" si="53"/>
        <v>27823.767137193659</v>
      </c>
      <c r="CZ46" s="152">
        <f t="shared" si="53"/>
        <v>36885.257420174043</v>
      </c>
      <c r="DA46" s="152">
        <f t="shared" si="53"/>
        <v>36885.257420174043</v>
      </c>
      <c r="DB46" s="152">
        <f t="shared" si="53"/>
        <v>36885.257420174043</v>
      </c>
      <c r="DC46" s="152">
        <f t="shared" si="53"/>
        <v>42220.533594932043</v>
      </c>
      <c r="DD46" s="152">
        <f t="shared" si="53"/>
        <v>0</v>
      </c>
      <c r="DE46" s="152">
        <f t="shared" si="53"/>
        <v>0</v>
      </c>
      <c r="DF46" s="152">
        <f t="shared" si="53"/>
        <v>2167.774072623698</v>
      </c>
      <c r="DG46" s="152">
        <f t="shared" si="53"/>
        <v>18328.25350740469</v>
      </c>
      <c r="DH46" s="152">
        <f t="shared" si="53"/>
        <v>0</v>
      </c>
      <c r="DI46" s="152">
        <f t="shared" si="53"/>
        <v>0</v>
      </c>
      <c r="DJ46" s="152">
        <f t="shared" si="53"/>
        <v>0</v>
      </c>
      <c r="DK46" s="152">
        <f t="shared" si="53"/>
        <v>27402.898687837136</v>
      </c>
      <c r="DL46" s="152">
        <f t="shared" si="53"/>
        <v>36690.141817310854</v>
      </c>
      <c r="DM46" s="152">
        <f t="shared" si="53"/>
        <v>36690.141817310854</v>
      </c>
      <c r="DN46" s="152">
        <f t="shared" si="53"/>
        <v>36690.141817310854</v>
      </c>
      <c r="DO46" s="152">
        <f t="shared" si="53"/>
        <v>42159.431658945687</v>
      </c>
      <c r="DP46" s="152">
        <f t="shared" si="53"/>
        <v>0</v>
      </c>
      <c r="DQ46" s="152">
        <f t="shared" si="53"/>
        <v>0</v>
      </c>
      <c r="DR46" s="152">
        <f t="shared" si="53"/>
        <v>1104.7843274173038</v>
      </c>
      <c r="DS46" s="152">
        <f t="shared" si="53"/>
        <v>17669.149865376727</v>
      </c>
    </row>
    <row r="47" spans="1:123" ht="12.75" customHeight="1" x14ac:dyDescent="0.35">
      <c r="A47" s="146" t="s">
        <v>492</v>
      </c>
      <c r="B47" s="139">
        <f>AA47</f>
        <v>377435.6440243831</v>
      </c>
      <c r="C47" s="139" t="s">
        <v>169</v>
      </c>
      <c r="D47" s="139">
        <f>Premissas!$B$28</f>
        <v>991029</v>
      </c>
      <c r="E47" s="139">
        <f t="shared" ref="E47:AJ47" si="54">D49</f>
        <v>832865.43885175977</v>
      </c>
      <c r="F47" s="139">
        <f t="shared" si="54"/>
        <v>625561.25922486372</v>
      </c>
      <c r="G47" s="139">
        <f t="shared" si="54"/>
        <v>540441.36518785008</v>
      </c>
      <c r="H47" s="139">
        <f t="shared" si="54"/>
        <v>630062.37829507107</v>
      </c>
      <c r="I47" s="139">
        <f t="shared" si="54"/>
        <v>723228.57982383261</v>
      </c>
      <c r="J47" s="139">
        <f t="shared" si="54"/>
        <v>830947.52135259425</v>
      </c>
      <c r="K47" s="139">
        <f t="shared" si="54"/>
        <v>946686.00288135593</v>
      </c>
      <c r="L47" s="139">
        <f t="shared" si="54"/>
        <v>976940.33088135591</v>
      </c>
      <c r="M47" s="139">
        <f t="shared" si="54"/>
        <v>795291.4347674665</v>
      </c>
      <c r="N47" s="139">
        <f t="shared" si="54"/>
        <v>667082.27064334089</v>
      </c>
      <c r="O47" s="139">
        <f t="shared" si="54"/>
        <v>631155.86341660167</v>
      </c>
      <c r="P47" s="139">
        <f t="shared" si="54"/>
        <v>580102.57688687835</v>
      </c>
      <c r="Q47" s="139">
        <f t="shared" si="54"/>
        <v>416757.30723289383</v>
      </c>
      <c r="R47" s="139">
        <f t="shared" si="54"/>
        <v>202683.20281225204</v>
      </c>
      <c r="S47" s="139">
        <f t="shared" si="54"/>
        <v>113841.18159316648</v>
      </c>
      <c r="T47" s="139">
        <f t="shared" si="54"/>
        <v>202639.69747819539</v>
      </c>
      <c r="U47" s="139">
        <f t="shared" si="54"/>
        <v>317883.03490517603</v>
      </c>
      <c r="V47" s="139">
        <f t="shared" si="54"/>
        <v>446954.53613215667</v>
      </c>
      <c r="W47" s="139">
        <f t="shared" si="54"/>
        <v>582952.19494413736</v>
      </c>
      <c r="X47" s="139">
        <f t="shared" si="54"/>
        <v>657671.38940413727</v>
      </c>
      <c r="Y47" s="139">
        <f t="shared" si="54"/>
        <v>495833.49551524792</v>
      </c>
      <c r="Z47" s="139">
        <f t="shared" si="54"/>
        <v>390347.57424112229</v>
      </c>
      <c r="AA47" s="139">
        <f t="shared" si="54"/>
        <v>377435.6440243831</v>
      </c>
      <c r="AB47" s="139">
        <f t="shared" si="54"/>
        <v>347044.76629465976</v>
      </c>
      <c r="AC47" s="139">
        <f t="shared" si="54"/>
        <v>223218.75100522698</v>
      </c>
      <c r="AD47" s="139">
        <f t="shared" si="54"/>
        <v>49395.772967279423</v>
      </c>
      <c r="AE47" s="139">
        <f t="shared" si="54"/>
        <v>13387.212171726307</v>
      </c>
      <c r="AF47" s="139">
        <f t="shared" si="54"/>
        <v>154508.0263534621</v>
      </c>
      <c r="AG47" s="139">
        <f t="shared" si="54"/>
        <v>300745.43757293583</v>
      </c>
      <c r="AH47" s="139">
        <f t="shared" si="54"/>
        <v>459793.01959840953</v>
      </c>
      <c r="AI47" s="139">
        <f t="shared" si="54"/>
        <v>623733.56518433313</v>
      </c>
      <c r="AJ47" s="139">
        <f t="shared" si="54"/>
        <v>733811.16881247831</v>
      </c>
      <c r="AK47" s="139">
        <f t="shared" ref="AK47:BP47" si="55">AJ49</f>
        <v>585627.94091424567</v>
      </c>
      <c r="AL47" s="139">
        <f t="shared" si="55"/>
        <v>499926.42301700817</v>
      </c>
      <c r="AM47" s="139">
        <f t="shared" si="55"/>
        <v>525844.70111709135</v>
      </c>
      <c r="AN47" s="139">
        <f t="shared" si="55"/>
        <v>529643.15605354612</v>
      </c>
      <c r="AO47" s="139">
        <f t="shared" si="55"/>
        <v>399517.649978564</v>
      </c>
      <c r="AP47" s="139">
        <f t="shared" si="55"/>
        <v>217687.24247059441</v>
      </c>
      <c r="AQ47" s="139">
        <f t="shared" si="55"/>
        <v>176688.47403877784</v>
      </c>
      <c r="AR47" s="139">
        <f t="shared" si="55"/>
        <v>315949.20615249296</v>
      </c>
      <c r="AS47" s="139">
        <f t="shared" si="55"/>
        <v>460351.66724024119</v>
      </c>
      <c r="AT47" s="139">
        <f t="shared" si="55"/>
        <v>617636.51611689688</v>
      </c>
      <c r="AU47" s="139">
        <f t="shared" si="55"/>
        <v>779879.93376425514</v>
      </c>
      <c r="AV47" s="139">
        <f t="shared" si="55"/>
        <v>883984.69568553613</v>
      </c>
      <c r="AW47" s="139">
        <f t="shared" si="55"/>
        <v>728406.47679831646</v>
      </c>
      <c r="AX47" s="139">
        <f t="shared" si="55"/>
        <v>636363.65976078983</v>
      </c>
      <c r="AY47" s="139">
        <f t="shared" si="55"/>
        <v>657907.98294716305</v>
      </c>
      <c r="AZ47" s="139">
        <f t="shared" si="55"/>
        <v>654175.41952875024</v>
      </c>
      <c r="BA47" s="139">
        <f t="shared" si="55"/>
        <v>500685.28767252254</v>
      </c>
      <c r="BB47" s="139">
        <f t="shared" si="55"/>
        <v>292850.27002318029</v>
      </c>
      <c r="BC47" s="139">
        <f t="shared" si="55"/>
        <v>225372.16915957088</v>
      </c>
      <c r="BD47" s="139">
        <f t="shared" si="55"/>
        <v>342686.51862965053</v>
      </c>
      <c r="BE47" s="139">
        <f t="shared" si="55"/>
        <v>464611.49697030039</v>
      </c>
      <c r="BF47" s="139">
        <f t="shared" si="55"/>
        <v>600174.92096085136</v>
      </c>
      <c r="BG47" s="139">
        <f t="shared" si="55"/>
        <v>750472.11160246539</v>
      </c>
      <c r="BH47" s="139">
        <f t="shared" si="55"/>
        <v>834852.41031774459</v>
      </c>
      <c r="BI47" s="139">
        <f t="shared" si="55"/>
        <v>662299.43496127904</v>
      </c>
      <c r="BJ47" s="139">
        <f t="shared" si="55"/>
        <v>552983.91685296781</v>
      </c>
      <c r="BK47" s="139">
        <f t="shared" si="55"/>
        <v>558446.51521133899</v>
      </c>
      <c r="BL47" s="139">
        <f t="shared" si="55"/>
        <v>531987.15222023125</v>
      </c>
      <c r="BM47" s="139">
        <f t="shared" si="55"/>
        <v>400910.59765807935</v>
      </c>
      <c r="BN47" s="139">
        <f t="shared" si="55"/>
        <v>201889.42706970207</v>
      </c>
      <c r="BO47" s="139">
        <f t="shared" si="55"/>
        <v>145560.78048127002</v>
      </c>
      <c r="BP47" s="139">
        <f t="shared" si="55"/>
        <v>274500.02806630876</v>
      </c>
      <c r="BQ47" s="139">
        <f t="shared" ref="BQ47:CV47" si="56">BP49</f>
        <v>406713.3102742054</v>
      </c>
      <c r="BR47" s="139">
        <f t="shared" si="56"/>
        <v>541957.61080586934</v>
      </c>
      <c r="BS47" s="139">
        <f t="shared" si="56"/>
        <v>677999.94488474913</v>
      </c>
      <c r="BT47" s="139">
        <f t="shared" si="56"/>
        <v>729591.79256827687</v>
      </c>
      <c r="BU47" s="139">
        <f t="shared" si="56"/>
        <v>556281.17985272012</v>
      </c>
      <c r="BV47" s="139">
        <f t="shared" si="56"/>
        <v>438928.2925658474</v>
      </c>
      <c r="BW47" s="139">
        <f t="shared" si="56"/>
        <v>456840.89547063602</v>
      </c>
      <c r="BX47" s="139">
        <f t="shared" si="56"/>
        <v>433239.0774623226</v>
      </c>
      <c r="BY47" s="139">
        <f t="shared" si="56"/>
        <v>295796.89997750462</v>
      </c>
      <c r="BZ47" s="139">
        <f t="shared" si="56"/>
        <v>88642.514789235662</v>
      </c>
      <c r="CA47" s="139">
        <f t="shared" si="56"/>
        <v>27473.99095390708</v>
      </c>
      <c r="CB47" s="139">
        <f t="shared" si="56"/>
        <v>155189.3579178316</v>
      </c>
      <c r="CC47" s="139">
        <f t="shared" si="56"/>
        <v>286217.90933365916</v>
      </c>
      <c r="CD47" s="139">
        <f t="shared" si="56"/>
        <v>420405.85759904777</v>
      </c>
      <c r="CE47" s="139">
        <f t="shared" si="56"/>
        <v>555495.93587706285</v>
      </c>
      <c r="CF47" s="139">
        <f t="shared" si="56"/>
        <v>601813.33313571278</v>
      </c>
      <c r="CG47" s="139">
        <f t="shared" si="56"/>
        <v>421048.64272010711</v>
      </c>
      <c r="CH47" s="139">
        <f t="shared" si="56"/>
        <v>297446.48920235859</v>
      </c>
      <c r="CI47" s="139">
        <f t="shared" si="56"/>
        <v>311377.65396832675</v>
      </c>
      <c r="CJ47" s="139">
        <f t="shared" si="56"/>
        <v>283970.92344883294</v>
      </c>
      <c r="CK47" s="139">
        <f t="shared" si="56"/>
        <v>140009.75529521864</v>
      </c>
      <c r="CL47" s="139">
        <f t="shared" si="56"/>
        <v>0</v>
      </c>
      <c r="CM47" s="139">
        <f t="shared" si="56"/>
        <v>0</v>
      </c>
      <c r="CN47" s="139">
        <f t="shared" si="56"/>
        <v>126470.38487809758</v>
      </c>
      <c r="CO47" s="139">
        <f t="shared" si="56"/>
        <v>256295.47927006733</v>
      </c>
      <c r="CP47" s="139">
        <f t="shared" si="56"/>
        <v>389411.29033444606</v>
      </c>
      <c r="CQ47" s="139">
        <f t="shared" si="56"/>
        <v>523534.2216146143</v>
      </c>
      <c r="CR47" s="139">
        <f t="shared" si="56"/>
        <v>564458.90453337634</v>
      </c>
      <c r="CS47" s="139">
        <f t="shared" si="56"/>
        <v>376063.13742425141</v>
      </c>
      <c r="CT47" s="139">
        <f t="shared" si="56"/>
        <v>246064.24594556779</v>
      </c>
      <c r="CU47" s="139">
        <f t="shared" si="56"/>
        <v>255923.59906717998</v>
      </c>
      <c r="CV47" s="139">
        <f t="shared" si="56"/>
        <v>224624.64652196551</v>
      </c>
      <c r="CW47" s="139">
        <f t="shared" ref="CW47:DS47" si="57">CV49</f>
        <v>73990.794531674008</v>
      </c>
      <c r="CX47" s="139">
        <f t="shared" si="57"/>
        <v>0</v>
      </c>
      <c r="CY47" s="139">
        <f t="shared" si="57"/>
        <v>0</v>
      </c>
      <c r="CZ47" s="139">
        <f t="shared" si="57"/>
        <v>125204.49721356867</v>
      </c>
      <c r="DA47" s="139">
        <f t="shared" si="57"/>
        <v>253805.27743320315</v>
      </c>
      <c r="DB47" s="139">
        <f t="shared" si="57"/>
        <v>385830.03465150419</v>
      </c>
      <c r="DC47" s="139">
        <f t="shared" si="57"/>
        <v>518912.74958415335</v>
      </c>
      <c r="DD47" s="139">
        <f t="shared" si="57"/>
        <v>554216.13908791053</v>
      </c>
      <c r="DE47" s="139">
        <f t="shared" si="57"/>
        <v>357954.47062777204</v>
      </c>
      <c r="DF47" s="139">
        <f t="shared" si="57"/>
        <v>221347.62579817814</v>
      </c>
      <c r="DG47" s="139">
        <f t="shared" si="57"/>
        <v>226984.66170020751</v>
      </c>
      <c r="DH47" s="139">
        <f t="shared" si="57"/>
        <v>191648.99848467211</v>
      </c>
      <c r="DI47" s="139">
        <f t="shared" si="57"/>
        <v>33982.759552674543</v>
      </c>
      <c r="DJ47" s="139">
        <f t="shared" si="57"/>
        <v>0</v>
      </c>
      <c r="DK47" s="139">
        <f t="shared" si="57"/>
        <v>0</v>
      </c>
      <c r="DL47" s="139">
        <f t="shared" si="57"/>
        <v>123678.92747294871</v>
      </c>
      <c r="DM47" s="139">
        <f t="shared" si="57"/>
        <v>250790.03212043847</v>
      </c>
      <c r="DN47" s="139">
        <f t="shared" si="57"/>
        <v>381469.36767079396</v>
      </c>
      <c r="DO47" s="139">
        <f t="shared" si="57"/>
        <v>513608.74157197343</v>
      </c>
      <c r="DP47" s="139">
        <f t="shared" si="57"/>
        <v>543399.92158921587</v>
      </c>
      <c r="DQ47" s="139">
        <f t="shared" si="57"/>
        <v>339187.11836148769</v>
      </c>
      <c r="DR47" s="139">
        <f t="shared" si="57"/>
        <v>195938.07602359453</v>
      </c>
      <c r="DS47" s="139">
        <f t="shared" si="57"/>
        <v>197374.90782943636</v>
      </c>
    </row>
    <row r="48" spans="1:123" ht="12.75" customHeight="1" x14ac:dyDescent="0.35">
      <c r="A48" s="146" t="s">
        <v>493</v>
      </c>
      <c r="B48" s="139">
        <f>SUM(D48:BQ48)</f>
        <v>4159810.7550598737</v>
      </c>
      <c r="C48" s="139">
        <f>B48/60</f>
        <v>69330.179250997899</v>
      </c>
      <c r="D48" s="139">
        <f>MIN(D47,MAX(D40-D42-D45+D46,0)+IF(Premissas!$B$8=0,0,MAX(D41-D44,0)/Premissas!$B$8))</f>
        <v>158163.56114824017</v>
      </c>
      <c r="E48" s="139">
        <f>MIN(E47,MAX(E40-E42-E45+E46,0)+IF(Premissas!$B$8=0,0,MAX(E41-E44,0)/Premissas!$B$8))</f>
        <v>207304.17962689608</v>
      </c>
      <c r="F48" s="139">
        <f>MIN(F47,MAX(F40-F42-F45+F46,0)+IF(Premissas!$B$8=0,0,MAX(F41-F44,0)/Premissas!$B$8))</f>
        <v>85119.894037013655</v>
      </c>
      <c r="G48" s="139">
        <f>MIN(G47,MAX(G40-G42-G45+G46,0)+IF(Premissas!$B$8=0,0,MAX(G41-G44,0)/Premissas!$B$8))</f>
        <v>0</v>
      </c>
      <c r="H48" s="139">
        <f>MIN(H47,MAX(H40-H42-H45+H46,0)+IF(Premissas!$B$8=0,0,MAX(H41-H44,0)/Premissas!$B$8))</f>
        <v>0</v>
      </c>
      <c r="I48" s="139">
        <f>MIN(I47,MAX(I40-I42-I45+I46,0)+IF(Premissas!$B$8=0,0,MAX(I41-I44,0)/Premissas!$B$8))</f>
        <v>0</v>
      </c>
      <c r="J48" s="139">
        <f>MIN(J47,MAX(J40-J42-J45+J46,0)+IF(Premissas!$B$8=0,0,MAX(J41-J44,0)/Premissas!$B$8))</f>
        <v>0</v>
      </c>
      <c r="K48" s="139">
        <f>MIN(K47,MAX(K40-K42-K45+K46,0)+IF(Premissas!$B$8=0,0,MAX(K41-K44,0)/Premissas!$B$8))</f>
        <v>36161.010381559958</v>
      </c>
      <c r="L48" s="139">
        <f>MIN(L47,MAX(L40-L42-L45+L46,0)+IF(Premissas!$B$8=0,0,MAX(L41-L44,0)/Premissas!$B$8))</f>
        <v>181648.89611388938</v>
      </c>
      <c r="M48" s="139">
        <f>MIN(M47,MAX(M40-M42-M45+M46,0)+IF(Premissas!$B$8=0,0,MAX(M41-M44,0)/Premissas!$B$8))</f>
        <v>128209.16412412564</v>
      </c>
      <c r="N48" s="139">
        <f>MIN(N47,MAX(N40-N42-N45+N46,0)+IF(Premissas!$B$8=0,0,MAX(N41-N44,0)/Premissas!$B$8))</f>
        <v>52312.240769955853</v>
      </c>
      <c r="O48" s="139">
        <f>MIN(O47,MAX(O40-O42-O45+O46,0)+IF(Premissas!$B$8=0,0,MAX(O41-O44,0)/Premissas!$B$8))</f>
        <v>66099.747900759554</v>
      </c>
      <c r="P48" s="139">
        <f>MIN(P47,MAX(P40-P42-P45+P46,0)+IF(Premissas!$B$8=0,0,MAX(P41-P44,0)/Premissas!$B$8))</f>
        <v>163345.26965398452</v>
      </c>
      <c r="Q48" s="139">
        <f>MIN(Q47,MAX(Q40-Q42-Q45+Q46,0)+IF(Premissas!$B$8=0,0,MAX(Q41-Q44,0)/Premissas!$B$8))</f>
        <v>214074.10442064179</v>
      </c>
      <c r="R48" s="139">
        <f>MIN(R47,MAX(R40-R42-R45+R46,0)+IF(Premissas!$B$8=0,0,MAX(R41-R44,0)/Premissas!$B$8))</f>
        <v>88842.021219085567</v>
      </c>
      <c r="S48" s="139">
        <f>MIN(S47,MAX(S40-S42-S45+S46,0)+IF(Premissas!$B$8=0,0,MAX(S41-S44,0)/Premissas!$B$8))</f>
        <v>0</v>
      </c>
      <c r="T48" s="139">
        <f>MIN(T47,MAX(T40-T42-T45+T46,0)+IF(Premissas!$B$8=0,0,MAX(T41-T44,0)/Premissas!$B$8))</f>
        <v>0</v>
      </c>
      <c r="U48" s="139">
        <f>MIN(U47,MAX(U40-U42-U45+U46,0)+IF(Premissas!$B$8=0,0,MAX(U41-U44,0)/Premissas!$B$8))</f>
        <v>0</v>
      </c>
      <c r="V48" s="139">
        <f>MIN(V47,MAX(V40-V42-V45+V46,0)+IF(Premissas!$B$8=0,0,MAX(V41-V44,0)/Premissas!$B$8))</f>
        <v>0</v>
      </c>
      <c r="W48" s="139">
        <f>MIN(W47,MAX(W40-W42-W45+W46,0)+IF(Premissas!$B$8=0,0,MAX(W41-W44,0)/Premissas!$B$8))</f>
        <v>13612.120363025679</v>
      </c>
      <c r="X48" s="139">
        <f>MIN(X47,MAX(X40-X42-X45+X46,0)+IF(Premissas!$B$8=0,0,MAX(X41-X44,0)/Premissas!$B$8))</f>
        <v>161837.89388888938</v>
      </c>
      <c r="Y48" s="139">
        <f>MIN(Y47,MAX(Y40-Y42-Y45+Y46,0)+IF(Premissas!$B$8=0,0,MAX(Y41-Y44,0)/Premissas!$B$8))</f>
        <v>105485.92127412563</v>
      </c>
      <c r="Z48" s="139">
        <f>MIN(Z47,MAX(Z40-Z42-Z45+Z46,0)+IF(Premissas!$B$8=0,0,MAX(Z41-Z44,0)/Premissas!$B$8))</f>
        <v>29977.859093705854</v>
      </c>
      <c r="AA48" s="139">
        <f>MIN(AA47,MAX(AA40-AA42-AA45+AA46,0)+IF(Premissas!$B$8=0,0,MAX(AA41-AA44,0)/Premissas!$B$8))</f>
        <v>45253.986222009553</v>
      </c>
      <c r="AB48" s="139">
        <f>MIN(AB47,MAX(AB40-AB42-AB45+AB46,0)+IF(Premissas!$B$8=0,0,MAX(AB41-AB44,0)/Premissas!$B$8))</f>
        <v>123826.01528943278</v>
      </c>
      <c r="AC48" s="139">
        <f>MIN(AC47,MAX(AC40-AC42-AC45+AC46,0)+IF(Premissas!$B$8=0,0,MAX(AC41-AC44,0)/Premissas!$B$8))</f>
        <v>173822.97803794756</v>
      </c>
      <c r="AD48" s="139">
        <f>MIN(AD47,MAX(AD40-AD42-AD45+AD46,0)+IF(Premissas!$B$8=0,0,MAX(AD41-AD44,0)/Premissas!$B$8))</f>
        <v>36008.560795553116</v>
      </c>
      <c r="AE48" s="139">
        <f>MIN(AE47,MAX(AE40-AE42-AE45+AE46,0)+IF(Premissas!$B$8=0,0,MAX(AE41-AE44,0)/Premissas!$B$8))</f>
        <v>0</v>
      </c>
      <c r="AF48" s="139">
        <f>MIN(AF47,MAX(AF40-AF42-AF45+AF46,0)+IF(Premissas!$B$8=0,0,MAX(AF41-AF44,0)/Premissas!$B$8))</f>
        <v>0</v>
      </c>
      <c r="AG48" s="139">
        <f>MIN(AG47,MAX(AG40-AG42-AG45+AG46,0)+IF(Premissas!$B$8=0,0,MAX(AG41-AG44,0)/Premissas!$B$8))</f>
        <v>0</v>
      </c>
      <c r="AH48" s="139">
        <f>MIN(AH47,MAX(AH40-AH42-AH45+AH46,0)+IF(Premissas!$B$8=0,0,MAX(AH41-AH44,0)/Premissas!$B$8))</f>
        <v>0</v>
      </c>
      <c r="AI48" s="139">
        <f>MIN(AI47,MAX(AI40-AI42-AI45+AI46,0)+IF(Premissas!$B$8=0,0,MAX(AI41-AI44,0)/Premissas!$B$8))</f>
        <v>3815.739065670019</v>
      </c>
      <c r="AJ48" s="139">
        <f>MIN(AJ47,MAX(AJ40-AJ42-AJ45+AJ46,0)+IF(Premissas!$B$8=0,0,MAX(AJ41-AJ44,0)/Premissas!$B$8))</f>
        <v>148183.22789823261</v>
      </c>
      <c r="AK48" s="139">
        <f>MIN(AK47,MAX(AK40-AK42-AK45+AK46,0)+IF(Premissas!$B$8=0,0,MAX(AK41-AK44,0)/Premissas!$B$8))</f>
        <v>85701.5178972375</v>
      </c>
      <c r="AL48" s="139">
        <f>MIN(AL47,MAX(AL40-AL42-AL45+AL46,0)+IF(Premissas!$B$8=0,0,MAX(AL41-AL44,0)/Premissas!$B$8))</f>
        <v>15532.867485072122</v>
      </c>
      <c r="AM48" s="139">
        <f>MIN(AM47,MAX(AM40-AM42-AM45+AM46,0)+IF(Premissas!$B$8=0,0,MAX(AM41-AM44,0)/Premissas!$B$8))</f>
        <v>21848.388276538579</v>
      </c>
      <c r="AN48" s="139">
        <f>MIN(AN47,MAX(AN40-AN42-AN45+AN46,0)+IF(Premissas!$B$8=0,0,MAX(AN41-AN44,0)/Premissas!$B$8))</f>
        <v>130125.50607498211</v>
      </c>
      <c r="AO48" s="139">
        <f>MIN(AO47,MAX(AO40-AO42-AO45+AO46,0)+IF(Premissas!$B$8=0,0,MAX(AO41-AO44,0)/Premissas!$B$8))</f>
        <v>181830.40750796959</v>
      </c>
      <c r="AP48" s="139">
        <f>MIN(AP47,MAX(AP40-AP42-AP45+AP46,0)+IF(Premissas!$B$8=0,0,MAX(AP41-AP44,0)/Premissas!$B$8))</f>
        <v>40998.76843181657</v>
      </c>
      <c r="AQ48" s="139">
        <f>MIN(AQ47,MAX(AQ40-AQ42-AQ45+AQ46,0)+IF(Premissas!$B$8=0,0,MAX(AQ41-AQ44,0)/Premissas!$B$8))</f>
        <v>0</v>
      </c>
      <c r="AR48" s="139">
        <f>MIN(AR47,MAX(AR40-AR42-AR45+AR46,0)+IF(Premissas!$B$8=0,0,MAX(AR41-AR44,0)/Premissas!$B$8))</f>
        <v>0</v>
      </c>
      <c r="AS48" s="139">
        <f>MIN(AS47,MAX(AS40-AS42-AS45+AS46,0)+IF(Premissas!$B$8=0,0,MAX(AS41-AS44,0)/Premissas!$B$8))</f>
        <v>0</v>
      </c>
      <c r="AT48" s="139">
        <f>MIN(AT47,MAX(AT40-AT42-AT45+AT46,0)+IF(Premissas!$B$8=0,0,MAX(AT41-AT44,0)/Premissas!$B$8))</f>
        <v>0</v>
      </c>
      <c r="AU48" s="139">
        <f>MIN(AU47,MAX(AU40-AU42-AU45+AU46,0)+IF(Premissas!$B$8=0,0,MAX(AU41-AU44,0)/Premissas!$B$8))</f>
        <v>6624.9484684761564</v>
      </c>
      <c r="AV48" s="139">
        <f>MIN(AV47,MAX(AV40-AV42-AV45+AV46,0)+IF(Premissas!$B$8=0,0,MAX(AV41-AV44,0)/Premissas!$B$8))</f>
        <v>155578.21888721964</v>
      </c>
      <c r="AW48" s="139">
        <f>MIN(AW47,MAX(AW40-AW42-AW45+AW46,0)+IF(Premissas!$B$8=0,0,MAX(AW41-AW44,0)/Premissas!$B$8))</f>
        <v>92042.817037526605</v>
      </c>
      <c r="AX48" s="139">
        <f>MIN(AX47,MAX(AX40-AX42-AX45+AX46,0)+IF(Premissas!$B$8=0,0,MAX(AX41-AX44,0)/Premissas!$B$8))</f>
        <v>15921.768386307147</v>
      </c>
      <c r="AY48" s="139">
        <f>MIN(AY47,MAX(AY40-AY42-AY45+AY46,0)+IF(Premissas!$B$8=0,0,MAX(AY41-AY44,0)/Premissas!$B$8))</f>
        <v>25117.863265394342</v>
      </c>
      <c r="AZ48" s="139">
        <f>MIN(AZ47,MAX(AZ40-AZ42-AZ45+AZ46,0)+IF(Premissas!$B$8=0,0,MAX(AZ41-AZ44,0)/Premissas!$B$8))</f>
        <v>153490.1318562277</v>
      </c>
      <c r="BA48" s="139">
        <f>MIN(BA47,MAX(BA40-BA42-BA45+BA46,0)+IF(Premissas!$B$8=0,0,MAX(BA41-BA44,0)/Premissas!$B$8))</f>
        <v>207835.01764934225</v>
      </c>
      <c r="BB48" s="139">
        <f>MIN(BB47,MAX(BB40-BB42-BB45+BB46,0)+IF(Premissas!$B$8=0,0,MAX(BB41-BB44,0)/Premissas!$B$8))</f>
        <v>67478.100863609405</v>
      </c>
      <c r="BC48" s="139">
        <f>MIN(BC47,MAX(BC40-BC42-BC45+BC46,0)+IF(Premissas!$B$8=0,0,MAX(BC41-BC44,0)/Premissas!$B$8))</f>
        <v>0</v>
      </c>
      <c r="BD48" s="139">
        <f>MIN(BD47,MAX(BD40-BD42-BD45+BD46,0)+IF(Premissas!$B$8=0,0,MAX(BD41-BD44,0)/Premissas!$B$8))</f>
        <v>0</v>
      </c>
      <c r="BE48" s="139">
        <f>MIN(BE47,MAX(BE40-BE42-BE45+BE46,0)+IF(Premissas!$B$8=0,0,MAX(BE41-BE44,0)/Premissas!$B$8))</f>
        <v>0</v>
      </c>
      <c r="BF48" s="139">
        <f>MIN(BF47,MAX(BF40-BF42-BF45+BF46,0)+IF(Premissas!$B$8=0,0,MAX(BF41-BF44,0)/Premissas!$B$8))</f>
        <v>0</v>
      </c>
      <c r="BG48" s="139">
        <f>MIN(BG47,MAX(BG40-BG42-BG45+BG46,0)+IF(Premissas!$B$8=0,0,MAX(BG41-BG44,0)/Premissas!$B$8))</f>
        <v>12577.096633776326</v>
      </c>
      <c r="BH48" s="139">
        <f>MIN(BH47,MAX(BH40-BH42-BH45+BH46,0)+IF(Premissas!$B$8=0,0,MAX(BH41-BH44,0)/Premissas!$B$8))</f>
        <v>172552.97535646558</v>
      </c>
      <c r="BI48" s="139">
        <f>MIN(BI47,MAX(BI40-BI42-BI45+BI46,0)+IF(Premissas!$B$8=0,0,MAX(BI41-BI44,0)/Premissas!$B$8))</f>
        <v>109315.51810831117</v>
      </c>
      <c r="BJ48" s="139">
        <f>MIN(BJ47,MAX(BJ40-BJ42-BJ45+BJ46,0)+IF(Premissas!$B$8=0,0,MAX(BJ41-BJ44,0)/Premissas!$B$8))</f>
        <v>17174.540602416251</v>
      </c>
      <c r="BK48" s="139">
        <f>MIN(BK47,MAX(BK40-BK42-BK45+BK46,0)+IF(Premissas!$B$8=0,0,MAX(BK41-BK44,0)/Premissas!$B$8))</f>
        <v>38533.539207478228</v>
      </c>
      <c r="BL48" s="139">
        <f>MIN(BL47,MAX(BL40-BL42-BL45+BL46,0)+IF(Premissas!$B$8=0,0,MAX(BL41-BL44,0)/Premissas!$B$8))</f>
        <v>131076.5545621519</v>
      </c>
      <c r="BM48" s="139">
        <f>MIN(BM47,MAX(BM40-BM42-BM45+BM46,0)+IF(Premissas!$B$8=0,0,MAX(BM41-BM44,0)/Premissas!$B$8))</f>
        <v>199021.17058837728</v>
      </c>
      <c r="BN48" s="139">
        <f>MIN(BN47,MAX(BN40-BN42-BN45+BN46,0)+IF(Premissas!$B$8=0,0,MAX(BN41-BN44,0)/Premissas!$B$8))</f>
        <v>56328.646588432057</v>
      </c>
      <c r="BO48" s="139">
        <f>MIN(BO47,MAX(BO40-BO42-BO45+BO46,0)+IF(Premissas!$B$8=0,0,MAX(BO41-BO44,0)/Premissas!$B$8))</f>
        <v>0</v>
      </c>
      <c r="BP48" s="139">
        <f>MIN(BP47,MAX(BP40-BP42-BP45+BP46,0)+IF(Premissas!$B$8=0,0,MAX(BP41-BP44,0)/Premissas!$B$8))</f>
        <v>0</v>
      </c>
      <c r="BQ48" s="139">
        <f>MIN(BQ47,MAX(BQ40-BQ42-BQ45+BQ46,0)+IF(Premissas!$B$8=0,0,MAX(BQ41-BQ44,0)/Premissas!$B$8))</f>
        <v>0</v>
      </c>
      <c r="BR48" s="139">
        <f>MIN(BR47,MAX(BR40-BR42-BR45+BR46,0)+IF(Premissas!$B$8=0,0,MAX(BR41-BR44,0)/Premissas!$B$8))</f>
        <v>0</v>
      </c>
      <c r="BS48" s="139">
        <f>MIN(BS47,MAX(BS40-BS42-BS45+BS46,0)+IF(Premissas!$B$8=0,0,MAX(BS41-BS44,0)/Premissas!$B$8))</f>
        <v>24487.156817663959</v>
      </c>
      <c r="BT48" s="139">
        <f>MIN(BT47,MAX(BT40-BT42-BT45+BT46,0)+IF(Premissas!$B$8=0,0,MAX(BT41-BT44,0)/Premissas!$B$8))</f>
        <v>173310.61271555681</v>
      </c>
      <c r="BU48" s="139">
        <f>MIN(BU47,MAX(BU40-BU42-BU45+BU46,0)+IF(Premissas!$B$8=0,0,MAX(BU41-BU44,0)/Premissas!$B$8))</f>
        <v>117352.88728687272</v>
      </c>
      <c r="BV48" s="139">
        <f>MIN(BV47,MAX(BV40-BV42-BV45+BV46,0)+IF(Premissas!$B$8=0,0,MAX(BV41-BV44,0)/Premissas!$B$8))</f>
        <v>16727.703445462284</v>
      </c>
      <c r="BW48" s="139">
        <f>MIN(BW47,MAX(BW40-BW42-BW45+BW46,0)+IF(Premissas!$B$8=0,0,MAX(BW41-BW44,0)/Premissas!$B$8))</f>
        <v>43811.160916007386</v>
      </c>
      <c r="BX48" s="139">
        <f>MIN(BX47,MAX(BX40-BX42-BX45+BX46,0)+IF(Premissas!$B$8=0,0,MAX(BX41-BX44,0)/Premissas!$B$8))</f>
        <v>137442.17748481801</v>
      </c>
      <c r="BY48" s="139">
        <f>MIN(BY47,MAX(BY40-BY42-BY45+BY46,0)+IF(Premissas!$B$8=0,0,MAX(BY41-BY44,0)/Premissas!$B$8))</f>
        <v>207154.38518826896</v>
      </c>
      <c r="BZ48" s="139">
        <f>MIN(BZ47,MAX(BZ40-BZ42-BZ45+BZ46,0)+IF(Premissas!$B$8=0,0,MAX(BZ41-BZ44,0)/Premissas!$B$8))</f>
        <v>61168.523835328582</v>
      </c>
      <c r="CA48" s="139">
        <f>MIN(CA47,MAX(CA40-CA42-CA45+CA46,0)+IF(Premissas!$B$8=0,0,MAX(CA41-CA44,0)/Premissas!$B$8))</f>
        <v>0</v>
      </c>
      <c r="CB48" s="139">
        <f>MIN(CB47,MAX(CB40-CB42-CB45+CB46,0)+IF(Premissas!$B$8=0,0,MAX(CB41-CB44,0)/Premissas!$B$8))</f>
        <v>0</v>
      </c>
      <c r="CC48" s="139">
        <f>MIN(CC47,MAX(CC40-CC42-CC45+CC46,0)+IF(Premissas!$B$8=0,0,MAX(CC41-CC44,0)/Premissas!$B$8))</f>
        <v>0</v>
      </c>
      <c r="CD48" s="139">
        <f>MIN(CD47,MAX(CD40-CD42-CD45+CD46,0)+IF(Premissas!$B$8=0,0,MAX(CD41-CD44,0)/Premissas!$B$8))</f>
        <v>0</v>
      </c>
      <c r="CE48" s="139">
        <f>MIN(CE47,MAX(CE40-CE42-CE45+CE46,0)+IF(Premissas!$B$8=0,0,MAX(CE41-CE44,0)/Premissas!$B$8))</f>
        <v>27265.040339638163</v>
      </c>
      <c r="CF48" s="139">
        <f>MIN(CF47,MAX(CF40-CF42-CF45+CF46,0)+IF(Premissas!$B$8=0,0,MAX(CF41-CF44,0)/Premissas!$B$8))</f>
        <v>180764.69041560567</v>
      </c>
      <c r="CG48" s="139">
        <f>MIN(CG47,MAX(CG40-CG42-CG45+CG46,0)+IF(Premissas!$B$8=0,0,MAX(CG41-CG44,0)/Premissas!$B$8))</f>
        <v>123602.15351774852</v>
      </c>
      <c r="CH48" s="139">
        <f>MIN(CH47,MAX(CH40-CH42-CH45+CH46,0)+IF(Premissas!$B$8=0,0,MAX(CH41-CH44,0)/Premissas!$B$8))</f>
        <v>17146.392500834463</v>
      </c>
      <c r="CI48" s="139">
        <f>MIN(CI47,MAX(CI40-CI42-CI45+CI46,0)+IF(Premissas!$B$8=0,0,MAX(CI41-CI44,0)/Premissas!$B$8))</f>
        <v>47003.916823694162</v>
      </c>
      <c r="CJ48" s="139">
        <f>MIN(CJ47,MAX(CJ40-CJ42-CJ45+CJ46,0)+IF(Premissas!$B$8=0,0,MAX(CJ41-CJ44,0)/Premissas!$B$8))</f>
        <v>143961.1681536143</v>
      </c>
      <c r="CK48" s="139">
        <f>MIN(CK47,MAX(CK40-CK42-CK45+CK46,0)+IF(Premissas!$B$8=0,0,MAX(CK41-CK44,0)/Premissas!$B$8))</f>
        <v>140009.75529521864</v>
      </c>
      <c r="CL48" s="139">
        <f>MIN(CL47,MAX(CL40-CL42-CL45+CL46,0)+IF(Premissas!$B$8=0,0,MAX(CL41-CL44,0)/Premissas!$B$8))</f>
        <v>0</v>
      </c>
      <c r="CM48" s="139">
        <f>MIN(CM47,MAX(CM40-CM42-CM45+CM46,0)+IF(Premissas!$B$8=0,0,MAX(CM41-CM44,0)/Premissas!$B$8))</f>
        <v>0</v>
      </c>
      <c r="CN48" s="139">
        <f>MIN(CN47,MAX(CN40-CN42-CN45+CN46,0)+IF(Premissas!$B$8=0,0,MAX(CN41-CN44,0)/Premissas!$B$8))</f>
        <v>0</v>
      </c>
      <c r="CO48" s="139">
        <f>MIN(CO47,MAX(CO40-CO42-CO45+CO46,0)+IF(Premissas!$B$8=0,0,MAX(CO41-CO44,0)/Premissas!$B$8))</f>
        <v>0</v>
      </c>
      <c r="CP48" s="139">
        <f>MIN(CP47,MAX(CP40-CP42-CP45+CP46,0)+IF(Premissas!$B$8=0,0,MAX(CP41-CP44,0)/Premissas!$B$8))</f>
        <v>0</v>
      </c>
      <c r="CQ48" s="139">
        <f>MIN(CQ47,MAX(CQ40-CQ42-CQ45+CQ46,0)+IF(Premissas!$B$8=0,0,MAX(CQ41-CQ44,0)/Premissas!$B$8))</f>
        <v>30105.520511473576</v>
      </c>
      <c r="CR48" s="139">
        <f>MIN(CR47,MAX(CR40-CR42-CR45+CR46,0)+IF(Premissas!$B$8=0,0,MAX(CR41-CR44,0)/Premissas!$B$8))</f>
        <v>188395.76710912489</v>
      </c>
      <c r="CS48" s="139">
        <f>MIN(CS47,MAX(CS40-CS42-CS45+CS46,0)+IF(Premissas!$B$8=0,0,MAX(CS41-CS44,0)/Premissas!$B$8))</f>
        <v>129998.89147868362</v>
      </c>
      <c r="CT48" s="139">
        <f>MIN(CT47,MAX(CT40-CT42-CT45+CT46,0)+IF(Premissas!$B$8=0,0,MAX(CT41-CT44,0)/Premissas!$B$8))</f>
        <v>17575.010940919023</v>
      </c>
      <c r="CU48" s="139">
        <f>MIN(CU47,MAX(CU40-CU42-CU45+CU46,0)+IF(Premissas!$B$8=0,0,MAX(CU41-CU44,0)/Premissas!$B$8))</f>
        <v>50268.999899743008</v>
      </c>
      <c r="CV48" s="139">
        <f>MIN(CV47,MAX(CV40-CV42-CV45+CV46,0)+IF(Premissas!$B$8=0,0,MAX(CV41-CV44,0)/Premissas!$B$8))</f>
        <v>150633.8519902915</v>
      </c>
      <c r="CW48" s="139">
        <f>MIN(CW47,MAX(CW40-CW42-CW45+CW46,0)+IF(Premissas!$B$8=0,0,MAX(CW41-CW44,0)/Premissas!$B$8))</f>
        <v>73990.794531674008</v>
      </c>
      <c r="CX48" s="139">
        <f>MIN(CX47,MAX(CX40-CX42-CX45+CX46,0)+IF(Premissas!$B$8=0,0,MAX(CX41-CX44,0)/Premissas!$B$8))</f>
        <v>0</v>
      </c>
      <c r="CY48" s="139">
        <f>MIN(CY47,MAX(CY40-CY42-CY45+CY46,0)+IF(Premissas!$B$8=0,0,MAX(CY41-CY44,0)/Premissas!$B$8))</f>
        <v>0</v>
      </c>
      <c r="CZ48" s="139">
        <f>MIN(CZ47,MAX(CZ40-CZ42-CZ45+CZ46,0)+IF(Premissas!$B$8=0,0,MAX(CZ41-CZ44,0)/Premissas!$B$8))</f>
        <v>0</v>
      </c>
      <c r="DA48" s="139">
        <f>MIN(DA47,MAX(DA40-DA42-DA45+DA46,0)+IF(Premissas!$B$8=0,0,MAX(DA41-DA44,0)/Premissas!$B$8))</f>
        <v>0</v>
      </c>
      <c r="DB48" s="139">
        <f>MIN(DB47,MAX(DB40-DB42-DB45+DB46,0)+IF(Premissas!$B$8=0,0,MAX(DB41-DB44,0)/Premissas!$B$8))</f>
        <v>0</v>
      </c>
      <c r="DC48" s="139">
        <f>MIN(DC47,MAX(DC40-DC42-DC45+DC46,0)+IF(Premissas!$B$8=0,0,MAX(DC41-DC44,0)/Premissas!$B$8))</f>
        <v>33062.600015771626</v>
      </c>
      <c r="DD48" s="139">
        <f>MIN(DD47,MAX(DD40-DD42-DD45+DD46,0)+IF(Premissas!$B$8=0,0,MAX(DD41-DD44,0)/Premissas!$B$8))</f>
        <v>196261.66846013852</v>
      </c>
      <c r="DE48" s="139">
        <f>MIN(DE47,MAX(DE40-DE42-DE45+DE46,0)+IF(Premissas!$B$8=0,0,MAX(DE41-DE44,0)/Premissas!$B$8))</f>
        <v>136606.8448295939</v>
      </c>
      <c r="DF48" s="139">
        <f>MIN(DF47,MAX(DF40-DF42-DF45+DF46,0)+IF(Premissas!$B$8=0,0,MAX(DF41-DF44,0)/Premissas!$B$8))</f>
        <v>18013.558765715967</v>
      </c>
      <c r="DG48" s="139">
        <f>MIN(DG47,MAX(DG40-DG42-DG45+DG46,0)+IF(Premissas!$B$8=0,0,MAX(DG41-DG44,0)/Premissas!$B$8))</f>
        <v>53663.916722940092</v>
      </c>
      <c r="DH48" s="139">
        <f>MIN(DH47,MAX(DH40-DH42-DH45+DH46,0)+IF(Premissas!$B$8=0,0,MAX(DH41-DH44,0)/Premissas!$B$8))</f>
        <v>157666.23893199756</v>
      </c>
      <c r="DI48" s="139">
        <f>MIN(DI47,MAX(DI40-DI42-DI45+DI46,0)+IF(Premissas!$B$8=0,0,MAX(DI41-DI44,0)/Premissas!$B$8))</f>
        <v>33982.759552674543</v>
      </c>
      <c r="DJ48" s="139">
        <f>MIN(DJ47,MAX(DJ40-DJ42-DJ45+DJ46,0)+IF(Premissas!$B$8=0,0,MAX(DJ41-DJ44,0)/Premissas!$B$8))</f>
        <v>0</v>
      </c>
      <c r="DK48" s="139">
        <f>MIN(DK47,MAX(DK40-DK42-DK45+DK46,0)+IF(Premissas!$B$8=0,0,MAX(DK41-DK44,0)/Premissas!$B$8))</f>
        <v>0</v>
      </c>
      <c r="DL48" s="139">
        <f>MIN(DL47,MAX(DL40-DL42-DL45+DL46,0)+IF(Premissas!$B$8=0,0,MAX(DL41-DL44,0)/Premissas!$B$8))</f>
        <v>0</v>
      </c>
      <c r="DM48" s="139">
        <f>MIN(DM47,MAX(DM40-DM42-DM45+DM46,0)+IF(Premissas!$B$8=0,0,MAX(DM41-DM44,0)/Premissas!$B$8))</f>
        <v>0</v>
      </c>
      <c r="DN48" s="139">
        <f>MIN(DN47,MAX(DN40-DN42-DN45+DN46,0)+IF(Premissas!$B$8=0,0,MAX(DN41-DN44,0)/Premissas!$B$8))</f>
        <v>0</v>
      </c>
      <c r="DO48" s="139">
        <f>MIN(DO47,MAX(DO40-DO42-DO45+DO46,0)+IF(Premissas!$B$8=0,0,MAX(DO41-DO44,0)/Premissas!$B$8))</f>
        <v>35970.257145632844</v>
      </c>
      <c r="DP48" s="139">
        <f>MIN(DP47,MAX(DP40-DP42-DP45+DP46,0)+IF(Premissas!$B$8=0,0,MAX(DP41-DP44,0)/Premissas!$B$8))</f>
        <v>204212.80322772817</v>
      </c>
      <c r="DQ48" s="139">
        <f>MIN(DQ47,MAX(DQ40-DQ42-DQ45+DQ46,0)+IF(Premissas!$B$8=0,0,MAX(DQ41-DQ44,0)/Premissas!$B$8))</f>
        <v>143249.04233789316</v>
      </c>
      <c r="DR48" s="139">
        <f>MIN(DR47,MAX(DR40-DR42-DR45+DR46,0)+IF(Premissas!$B$8=0,0,MAX(DR41-DR44,0)/Premissas!$B$8))</f>
        <v>18463.690872677358</v>
      </c>
      <c r="DS48" s="139">
        <f>MIN(DS47,MAX(DS40-DS42-DS45+DS46,0)+IF(Premissas!$B$8=0,0,MAX(DS41-DS44,0)/Premissas!$B$8))</f>
        <v>57020.773371887582</v>
      </c>
    </row>
    <row r="49" spans="1:123" ht="13.5" customHeight="1" x14ac:dyDescent="0.35">
      <c r="A49" s="39" t="s">
        <v>494</v>
      </c>
      <c r="B49" s="41">
        <f>AA49</f>
        <v>347044.76629465976</v>
      </c>
      <c r="C49" s="139" t="s">
        <v>169</v>
      </c>
      <c r="D49" s="157">
        <f t="shared" ref="D49:AI49" si="58">MAX(D47-D48,0)+D46+MAX(D45-MAX(D40-D42,0),0)+MAX(D42-D40,0)</f>
        <v>832865.43885175977</v>
      </c>
      <c r="E49" s="157">
        <f t="shared" si="58"/>
        <v>625561.25922486372</v>
      </c>
      <c r="F49" s="157">
        <f t="shared" si="58"/>
        <v>540441.36518785008</v>
      </c>
      <c r="G49" s="157">
        <f t="shared" si="58"/>
        <v>630062.37829507107</v>
      </c>
      <c r="H49" s="157">
        <f t="shared" si="58"/>
        <v>723228.57982383261</v>
      </c>
      <c r="I49" s="157">
        <f t="shared" si="58"/>
        <v>830947.52135259425</v>
      </c>
      <c r="J49" s="157">
        <f t="shared" si="58"/>
        <v>946686.00288135593</v>
      </c>
      <c r="K49" s="157">
        <f t="shared" si="58"/>
        <v>976940.33088135591</v>
      </c>
      <c r="L49" s="157">
        <f t="shared" si="58"/>
        <v>795291.4347674665</v>
      </c>
      <c r="M49" s="157">
        <f t="shared" si="58"/>
        <v>667082.27064334089</v>
      </c>
      <c r="N49" s="157">
        <f t="shared" si="58"/>
        <v>631155.86341660167</v>
      </c>
      <c r="O49" s="157">
        <f t="shared" si="58"/>
        <v>580102.57688687835</v>
      </c>
      <c r="P49" s="157">
        <f t="shared" si="58"/>
        <v>416757.30723289383</v>
      </c>
      <c r="Q49" s="157">
        <f t="shared" si="58"/>
        <v>202683.20281225204</v>
      </c>
      <c r="R49" s="157">
        <f t="shared" si="58"/>
        <v>113841.18159316648</v>
      </c>
      <c r="S49" s="157">
        <f t="shared" si="58"/>
        <v>202639.69747819539</v>
      </c>
      <c r="T49" s="157">
        <f t="shared" si="58"/>
        <v>317883.03490517603</v>
      </c>
      <c r="U49" s="157">
        <f t="shared" si="58"/>
        <v>446954.53613215667</v>
      </c>
      <c r="V49" s="157">
        <f t="shared" si="58"/>
        <v>582952.19494413736</v>
      </c>
      <c r="W49" s="157">
        <f t="shared" si="58"/>
        <v>657671.38940413727</v>
      </c>
      <c r="X49" s="157">
        <f t="shared" si="58"/>
        <v>495833.49551524792</v>
      </c>
      <c r="Y49" s="157">
        <f t="shared" si="58"/>
        <v>390347.57424112229</v>
      </c>
      <c r="Z49" s="157">
        <f t="shared" si="58"/>
        <v>377435.6440243831</v>
      </c>
      <c r="AA49" s="157">
        <f t="shared" si="58"/>
        <v>347044.76629465976</v>
      </c>
      <c r="AB49" s="157">
        <f t="shared" si="58"/>
        <v>223218.75100522698</v>
      </c>
      <c r="AC49" s="157">
        <f t="shared" si="58"/>
        <v>49395.772967279423</v>
      </c>
      <c r="AD49" s="157">
        <f t="shared" si="58"/>
        <v>13387.212171726307</v>
      </c>
      <c r="AE49" s="157">
        <f t="shared" si="58"/>
        <v>154508.0263534621</v>
      </c>
      <c r="AF49" s="157">
        <f t="shared" si="58"/>
        <v>300745.43757293583</v>
      </c>
      <c r="AG49" s="157">
        <f t="shared" si="58"/>
        <v>459793.01959840953</v>
      </c>
      <c r="AH49" s="157">
        <f t="shared" si="58"/>
        <v>623733.56518433313</v>
      </c>
      <c r="AI49" s="157">
        <f t="shared" si="58"/>
        <v>733811.16881247831</v>
      </c>
      <c r="AJ49" s="157">
        <f t="shared" ref="AJ49:BO49" si="59">MAX(AJ47-AJ48,0)+AJ46+MAX(AJ45-MAX(AJ40-AJ42,0),0)+MAX(AJ42-AJ40,0)</f>
        <v>585627.94091424567</v>
      </c>
      <c r="AK49" s="157">
        <f t="shared" si="59"/>
        <v>499926.42301700817</v>
      </c>
      <c r="AL49" s="157">
        <f t="shared" si="59"/>
        <v>525844.70111709135</v>
      </c>
      <c r="AM49" s="157">
        <f t="shared" si="59"/>
        <v>529643.15605354612</v>
      </c>
      <c r="AN49" s="157">
        <f t="shared" si="59"/>
        <v>399517.649978564</v>
      </c>
      <c r="AO49" s="157">
        <f t="shared" si="59"/>
        <v>217687.24247059441</v>
      </c>
      <c r="AP49" s="157">
        <f t="shared" si="59"/>
        <v>176688.47403877784</v>
      </c>
      <c r="AQ49" s="157">
        <f t="shared" si="59"/>
        <v>315949.20615249296</v>
      </c>
      <c r="AR49" s="157">
        <f t="shared" si="59"/>
        <v>460351.66724024119</v>
      </c>
      <c r="AS49" s="157">
        <f t="shared" si="59"/>
        <v>617636.51611689688</v>
      </c>
      <c r="AT49" s="157">
        <f t="shared" si="59"/>
        <v>779879.93376425514</v>
      </c>
      <c r="AU49" s="157">
        <f t="shared" si="59"/>
        <v>883984.69568553613</v>
      </c>
      <c r="AV49" s="157">
        <f t="shared" si="59"/>
        <v>728406.47679831646</v>
      </c>
      <c r="AW49" s="157">
        <f t="shared" si="59"/>
        <v>636363.65976078983</v>
      </c>
      <c r="AX49" s="157">
        <f t="shared" si="59"/>
        <v>657907.98294716305</v>
      </c>
      <c r="AY49" s="157">
        <f t="shared" si="59"/>
        <v>654175.41952875024</v>
      </c>
      <c r="AZ49" s="157">
        <f t="shared" si="59"/>
        <v>500685.28767252254</v>
      </c>
      <c r="BA49" s="157">
        <f t="shared" si="59"/>
        <v>292850.27002318029</v>
      </c>
      <c r="BB49" s="157">
        <f t="shared" si="59"/>
        <v>225372.16915957088</v>
      </c>
      <c r="BC49" s="157">
        <f t="shared" si="59"/>
        <v>342686.51862965053</v>
      </c>
      <c r="BD49" s="157">
        <f t="shared" si="59"/>
        <v>464611.49697030039</v>
      </c>
      <c r="BE49" s="157">
        <f t="shared" si="59"/>
        <v>600174.92096085136</v>
      </c>
      <c r="BF49" s="157">
        <f t="shared" si="59"/>
        <v>750472.11160246539</v>
      </c>
      <c r="BG49" s="157">
        <f t="shared" si="59"/>
        <v>834852.41031774459</v>
      </c>
      <c r="BH49" s="157">
        <f t="shared" si="59"/>
        <v>662299.43496127904</v>
      </c>
      <c r="BI49" s="157">
        <f t="shared" si="59"/>
        <v>552983.91685296781</v>
      </c>
      <c r="BJ49" s="157">
        <f t="shared" si="59"/>
        <v>558446.51521133899</v>
      </c>
      <c r="BK49" s="157">
        <f t="shared" si="59"/>
        <v>531987.15222023125</v>
      </c>
      <c r="BL49" s="157">
        <f t="shared" si="59"/>
        <v>400910.59765807935</v>
      </c>
      <c r="BM49" s="157">
        <f t="shared" si="59"/>
        <v>201889.42706970207</v>
      </c>
      <c r="BN49" s="157">
        <f t="shared" si="59"/>
        <v>145560.78048127002</v>
      </c>
      <c r="BO49" s="157">
        <f t="shared" si="59"/>
        <v>274500.02806630876</v>
      </c>
      <c r="BP49" s="157">
        <f t="shared" ref="BP49:CU49" si="60">MAX(BP47-BP48,0)+BP46+MAX(BP45-MAX(BP40-BP42,0),0)+MAX(BP42-BP40,0)</f>
        <v>406713.3102742054</v>
      </c>
      <c r="BQ49" s="157">
        <f t="shared" si="60"/>
        <v>541957.61080586934</v>
      </c>
      <c r="BR49" s="157">
        <f t="shared" si="60"/>
        <v>677999.94488474913</v>
      </c>
      <c r="BS49" s="157">
        <f t="shared" si="60"/>
        <v>729591.79256827687</v>
      </c>
      <c r="BT49" s="157">
        <f t="shared" si="60"/>
        <v>556281.17985272012</v>
      </c>
      <c r="BU49" s="157">
        <f t="shared" si="60"/>
        <v>438928.2925658474</v>
      </c>
      <c r="BV49" s="157">
        <f t="shared" si="60"/>
        <v>456840.89547063602</v>
      </c>
      <c r="BW49" s="157">
        <f t="shared" si="60"/>
        <v>433239.0774623226</v>
      </c>
      <c r="BX49" s="157">
        <f t="shared" si="60"/>
        <v>295796.89997750462</v>
      </c>
      <c r="BY49" s="157">
        <f t="shared" si="60"/>
        <v>88642.514789235662</v>
      </c>
      <c r="BZ49" s="157">
        <f t="shared" si="60"/>
        <v>27473.99095390708</v>
      </c>
      <c r="CA49" s="157">
        <f t="shared" si="60"/>
        <v>155189.3579178316</v>
      </c>
      <c r="CB49" s="157">
        <f t="shared" si="60"/>
        <v>286217.90933365916</v>
      </c>
      <c r="CC49" s="157">
        <f t="shared" si="60"/>
        <v>420405.85759904777</v>
      </c>
      <c r="CD49" s="157">
        <f t="shared" si="60"/>
        <v>555495.93587706285</v>
      </c>
      <c r="CE49" s="157">
        <f t="shared" si="60"/>
        <v>601813.33313571278</v>
      </c>
      <c r="CF49" s="157">
        <f t="shared" si="60"/>
        <v>421048.64272010711</v>
      </c>
      <c r="CG49" s="157">
        <f t="shared" si="60"/>
        <v>297446.48920235859</v>
      </c>
      <c r="CH49" s="157">
        <f t="shared" si="60"/>
        <v>311377.65396832675</v>
      </c>
      <c r="CI49" s="157">
        <f t="shared" si="60"/>
        <v>283970.92344883294</v>
      </c>
      <c r="CJ49" s="157">
        <f t="shared" si="60"/>
        <v>140009.75529521864</v>
      </c>
      <c r="CK49" s="157">
        <f t="shared" si="60"/>
        <v>0</v>
      </c>
      <c r="CL49" s="157">
        <f t="shared" si="60"/>
        <v>0</v>
      </c>
      <c r="CM49" s="157">
        <f t="shared" si="60"/>
        <v>126470.38487809758</v>
      </c>
      <c r="CN49" s="157">
        <f t="shared" si="60"/>
        <v>256295.47927006733</v>
      </c>
      <c r="CO49" s="157">
        <f t="shared" si="60"/>
        <v>389411.29033444606</v>
      </c>
      <c r="CP49" s="157">
        <f t="shared" si="60"/>
        <v>523534.2216146143</v>
      </c>
      <c r="CQ49" s="157">
        <f t="shared" si="60"/>
        <v>564458.90453337634</v>
      </c>
      <c r="CR49" s="157">
        <f t="shared" si="60"/>
        <v>376063.13742425141</v>
      </c>
      <c r="CS49" s="157">
        <f t="shared" si="60"/>
        <v>246064.24594556779</v>
      </c>
      <c r="CT49" s="157">
        <f t="shared" si="60"/>
        <v>255923.59906717998</v>
      </c>
      <c r="CU49" s="157">
        <f t="shared" si="60"/>
        <v>224624.64652196551</v>
      </c>
      <c r="CV49" s="157">
        <f t="shared" ref="CV49:DS49" si="61">MAX(CV47-CV48,0)+CV46+MAX(CV45-MAX(CV40-CV42,0),0)+MAX(CV42-CV40,0)</f>
        <v>73990.794531674008</v>
      </c>
      <c r="CW49" s="157">
        <f t="shared" si="61"/>
        <v>0</v>
      </c>
      <c r="CX49" s="157">
        <f t="shared" si="61"/>
        <v>0</v>
      </c>
      <c r="CY49" s="157">
        <f t="shared" si="61"/>
        <v>125204.49721356867</v>
      </c>
      <c r="CZ49" s="157">
        <f t="shared" si="61"/>
        <v>253805.27743320315</v>
      </c>
      <c r="DA49" s="157">
        <f t="shared" si="61"/>
        <v>385830.03465150419</v>
      </c>
      <c r="DB49" s="157">
        <f t="shared" si="61"/>
        <v>518912.74958415335</v>
      </c>
      <c r="DC49" s="157">
        <f t="shared" si="61"/>
        <v>554216.13908791053</v>
      </c>
      <c r="DD49" s="157">
        <f t="shared" si="61"/>
        <v>357954.47062777204</v>
      </c>
      <c r="DE49" s="157">
        <f t="shared" si="61"/>
        <v>221347.62579817814</v>
      </c>
      <c r="DF49" s="157">
        <f t="shared" si="61"/>
        <v>226984.66170020751</v>
      </c>
      <c r="DG49" s="157">
        <f t="shared" si="61"/>
        <v>191648.99848467211</v>
      </c>
      <c r="DH49" s="157">
        <f t="shared" si="61"/>
        <v>33982.759552674543</v>
      </c>
      <c r="DI49" s="157">
        <f t="shared" si="61"/>
        <v>0</v>
      </c>
      <c r="DJ49" s="157">
        <f t="shared" si="61"/>
        <v>0</v>
      </c>
      <c r="DK49" s="157">
        <f t="shared" si="61"/>
        <v>123678.92747294871</v>
      </c>
      <c r="DL49" s="157">
        <f t="shared" si="61"/>
        <v>250790.03212043847</v>
      </c>
      <c r="DM49" s="157">
        <f t="shared" si="61"/>
        <v>381469.36767079396</v>
      </c>
      <c r="DN49" s="157">
        <f t="shared" si="61"/>
        <v>513608.74157197343</v>
      </c>
      <c r="DO49" s="157">
        <f t="shared" si="61"/>
        <v>543399.92158921587</v>
      </c>
      <c r="DP49" s="157">
        <f t="shared" si="61"/>
        <v>339187.11836148769</v>
      </c>
      <c r="DQ49" s="157">
        <f t="shared" si="61"/>
        <v>195938.07602359453</v>
      </c>
      <c r="DR49" s="157">
        <f t="shared" si="61"/>
        <v>197374.90782943636</v>
      </c>
      <c r="DS49" s="157">
        <f t="shared" si="61"/>
        <v>158023.28432292552</v>
      </c>
    </row>
    <row r="50" spans="1:123" ht="12.75" customHeight="1" x14ac:dyDescent="0.35">
      <c r="A50" s="147" t="s">
        <v>495</v>
      </c>
      <c r="B50" s="148">
        <f>AA50</f>
        <v>362826.54553140758</v>
      </c>
      <c r="C50" s="139" t="s">
        <v>169</v>
      </c>
      <c r="D50" s="148">
        <f>Premissas!$B$28</f>
        <v>991029</v>
      </c>
      <c r="E50" s="148">
        <f t="shared" ref="E50:AJ50" si="62">D52</f>
        <v>832865.43885175977</v>
      </c>
      <c r="F50" s="148">
        <f t="shared" si="62"/>
        <v>625561.25922486372</v>
      </c>
      <c r="G50" s="148">
        <f t="shared" si="62"/>
        <v>540441.36518785008</v>
      </c>
      <c r="H50" s="148">
        <f t="shared" si="62"/>
        <v>630062.37829507107</v>
      </c>
      <c r="I50" s="148">
        <f t="shared" si="62"/>
        <v>723228.57982383261</v>
      </c>
      <c r="J50" s="148">
        <f t="shared" si="62"/>
        <v>830947.52135259425</v>
      </c>
      <c r="K50" s="148">
        <f t="shared" si="62"/>
        <v>946686.00288135593</v>
      </c>
      <c r="L50" s="148">
        <f t="shared" si="62"/>
        <v>1013101.3412629159</v>
      </c>
      <c r="M50" s="148">
        <f t="shared" si="62"/>
        <v>831452.44514902646</v>
      </c>
      <c r="N50" s="148">
        <f t="shared" si="62"/>
        <v>703243.28102490085</v>
      </c>
      <c r="O50" s="148">
        <f t="shared" si="62"/>
        <v>699493.01547459478</v>
      </c>
      <c r="P50" s="148">
        <f t="shared" si="62"/>
        <v>677975.31039694394</v>
      </c>
      <c r="Q50" s="148">
        <f t="shared" si="62"/>
        <v>514124.22353795939</v>
      </c>
      <c r="R50" s="148">
        <f t="shared" si="62"/>
        <v>299517.70357231761</v>
      </c>
      <c r="S50" s="148">
        <f t="shared" si="62"/>
        <v>210036.54708823204</v>
      </c>
      <c r="T50" s="148">
        <f t="shared" si="62"/>
        <v>298235.33567826095</v>
      </c>
      <c r="U50" s="148">
        <f t="shared" si="62"/>
        <v>390013.00304524158</v>
      </c>
      <c r="V50" s="148">
        <f t="shared" si="62"/>
        <v>496395.43171222223</v>
      </c>
      <c r="W50" s="148">
        <f t="shared" si="62"/>
        <v>610848.72267920291</v>
      </c>
      <c r="X50" s="148">
        <f t="shared" si="62"/>
        <v>676947.60427222855</v>
      </c>
      <c r="Y50" s="148">
        <f t="shared" si="62"/>
        <v>495298.70815833914</v>
      </c>
      <c r="Z50" s="148">
        <f t="shared" si="62"/>
        <v>367089.54403421353</v>
      </c>
      <c r="AA50" s="148">
        <f t="shared" si="62"/>
        <v>362826.54553140758</v>
      </c>
      <c r="AB50" s="148">
        <f t="shared" si="62"/>
        <v>340942.13469625672</v>
      </c>
      <c r="AC50" s="148">
        <f t="shared" si="62"/>
        <v>171267.79930019894</v>
      </c>
      <c r="AD50" s="148">
        <f t="shared" si="62"/>
        <v>0</v>
      </c>
      <c r="AE50" s="148">
        <f t="shared" si="62"/>
        <v>0</v>
      </c>
      <c r="AF50" s="148">
        <f t="shared" si="62"/>
        <v>86760.2888258608</v>
      </c>
      <c r="AG50" s="148">
        <f t="shared" si="62"/>
        <v>177132.19313583447</v>
      </c>
      <c r="AH50" s="148">
        <f t="shared" si="62"/>
        <v>282163.13993930817</v>
      </c>
      <c r="AI50" s="148">
        <f t="shared" si="62"/>
        <v>395320.39473128179</v>
      </c>
      <c r="AJ50" s="148">
        <f t="shared" si="62"/>
        <v>456808.57381579705</v>
      </c>
      <c r="AK50" s="148">
        <f t="shared" ref="AK50:BP50" si="63">AJ52</f>
        <v>261927.85661781445</v>
      </c>
      <c r="AL50" s="148">
        <f t="shared" si="63"/>
        <v>122664.26357707696</v>
      </c>
      <c r="AM50" s="148">
        <f t="shared" si="63"/>
        <v>109245.29157811534</v>
      </c>
      <c r="AN50" s="148">
        <f t="shared" si="63"/>
        <v>78138.421176957039</v>
      </c>
      <c r="AO50" s="148">
        <f t="shared" si="63"/>
        <v>0</v>
      </c>
      <c r="AP50" s="148">
        <f t="shared" si="63"/>
        <v>0</v>
      </c>
      <c r="AQ50" s="148">
        <f t="shared" si="63"/>
        <v>0</v>
      </c>
      <c r="AR50" s="148">
        <f t="shared" si="63"/>
        <v>85302.343656255849</v>
      </c>
      <c r="AS50" s="148">
        <f t="shared" si="63"/>
        <v>174252.56796995504</v>
      </c>
      <c r="AT50" s="148">
        <f t="shared" si="63"/>
        <v>277920.37456468667</v>
      </c>
      <c r="AU50" s="148">
        <f t="shared" si="63"/>
        <v>389771.05760797585</v>
      </c>
      <c r="AV50" s="148">
        <f t="shared" si="63"/>
        <v>448498.6338240871</v>
      </c>
      <c r="AW50" s="148">
        <f t="shared" si="63"/>
        <v>246582.05938392246</v>
      </c>
      <c r="AX50" s="148">
        <f t="shared" si="63"/>
        <v>101389.09403282584</v>
      </c>
      <c r="AY50" s="148">
        <f t="shared" si="63"/>
        <v>82837.062546605404</v>
      </c>
      <c r="AZ50" s="148">
        <f t="shared" si="63"/>
        <v>46595.20583506368</v>
      </c>
      <c r="BA50" s="148">
        <f t="shared" si="63"/>
        <v>0</v>
      </c>
      <c r="BB50" s="148">
        <f t="shared" si="63"/>
        <v>0</v>
      </c>
      <c r="BC50" s="148">
        <f t="shared" si="63"/>
        <v>0</v>
      </c>
      <c r="BD50" s="148">
        <f t="shared" si="63"/>
        <v>83827.420242688444</v>
      </c>
      <c r="BE50" s="148">
        <f t="shared" si="63"/>
        <v>171338.37730808993</v>
      </c>
      <c r="BF50" s="148">
        <f t="shared" si="63"/>
        <v>273626.71374311874</v>
      </c>
      <c r="BG50" s="148">
        <f t="shared" si="63"/>
        <v>384156.61724446225</v>
      </c>
      <c r="BH50" s="148">
        <f t="shared" si="63"/>
        <v>436483.56879693939</v>
      </c>
      <c r="BI50" s="148">
        <f t="shared" si="63"/>
        <v>227362.80831509357</v>
      </c>
      <c r="BJ50" s="148">
        <f t="shared" si="63"/>
        <v>76103.997663911956</v>
      </c>
      <c r="BK50" s="148">
        <f t="shared" si="63"/>
        <v>52317.010194485454</v>
      </c>
      <c r="BL50" s="148">
        <f t="shared" si="63"/>
        <v>12074.176216370506</v>
      </c>
      <c r="BM50" s="148">
        <f t="shared" si="63"/>
        <v>0</v>
      </c>
      <c r="BN50" s="148">
        <f t="shared" si="63"/>
        <v>0</v>
      </c>
      <c r="BO50" s="148">
        <f t="shared" si="63"/>
        <v>0</v>
      </c>
      <c r="BP50" s="148">
        <f t="shared" si="63"/>
        <v>79779.642340445178</v>
      </c>
      <c r="BQ50" s="148">
        <f t="shared" ref="BQ50:CV50" si="64">BP52</f>
        <v>161472.32621929483</v>
      </c>
      <c r="BR50" s="148">
        <f t="shared" si="64"/>
        <v>247868.01009814447</v>
      </c>
      <c r="BS50" s="148">
        <f t="shared" si="64"/>
        <v>337752.69397699414</v>
      </c>
      <c r="BT50" s="148">
        <f t="shared" si="64"/>
        <v>364374.05086681177</v>
      </c>
      <c r="BU50" s="148">
        <f t="shared" si="64"/>
        <v>148619.43063187023</v>
      </c>
      <c r="BV50" s="148">
        <f t="shared" si="64"/>
        <v>0</v>
      </c>
      <c r="BW50" s="148">
        <f t="shared" si="64"/>
        <v>5202.092397735888</v>
      </c>
      <c r="BX50" s="148">
        <f t="shared" si="64"/>
        <v>20209.342907693976</v>
      </c>
      <c r="BY50" s="148">
        <f t="shared" si="64"/>
        <v>0</v>
      </c>
      <c r="BZ50" s="148">
        <f t="shared" si="64"/>
        <v>0</v>
      </c>
      <c r="CA50" s="148">
        <f t="shared" si="64"/>
        <v>0</v>
      </c>
      <c r="CB50" s="148">
        <f t="shared" si="64"/>
        <v>78860.911134718815</v>
      </c>
      <c r="CC50" s="148">
        <f t="shared" si="64"/>
        <v>159682.46175688339</v>
      </c>
      <c r="CD50" s="148">
        <f t="shared" si="64"/>
        <v>245325.01237904796</v>
      </c>
      <c r="CE50" s="148">
        <f t="shared" si="64"/>
        <v>334544.56300121255</v>
      </c>
      <c r="CF50" s="148">
        <f t="shared" si="64"/>
        <v>360715.77981017868</v>
      </c>
      <c r="CG50" s="148">
        <f t="shared" si="64"/>
        <v>137771.10379509401</v>
      </c>
      <c r="CH50" s="148">
        <f t="shared" si="64"/>
        <v>0</v>
      </c>
      <c r="CI50" s="148">
        <f t="shared" si="64"/>
        <v>4215.5143834199735</v>
      </c>
      <c r="CJ50" s="148">
        <f t="shared" si="64"/>
        <v>19597.186304200299</v>
      </c>
      <c r="CK50" s="148">
        <f t="shared" si="64"/>
        <v>0</v>
      </c>
      <c r="CL50" s="148">
        <f t="shared" si="64"/>
        <v>0</v>
      </c>
      <c r="CM50" s="148">
        <f t="shared" si="64"/>
        <v>0</v>
      </c>
      <c r="CN50" s="148">
        <f t="shared" si="64"/>
        <v>77919.352480266418</v>
      </c>
      <c r="CO50" s="148">
        <f t="shared" si="64"/>
        <v>157849.2698457459</v>
      </c>
      <c r="CP50" s="148">
        <f t="shared" si="64"/>
        <v>242721.18721122539</v>
      </c>
      <c r="CQ50" s="148">
        <f t="shared" si="64"/>
        <v>331259.10457670485</v>
      </c>
      <c r="CR50" s="148">
        <f t="shared" si="64"/>
        <v>356966.2695739289</v>
      </c>
      <c r="CS50" s="148">
        <f t="shared" si="64"/>
        <v>126653.05941946805</v>
      </c>
      <c r="CT50" s="148">
        <f t="shared" si="64"/>
        <v>0</v>
      </c>
      <c r="CU50" s="148">
        <f t="shared" si="64"/>
        <v>3203.7991254738999</v>
      </c>
      <c r="CV50" s="148">
        <f t="shared" si="64"/>
        <v>18970.047354528528</v>
      </c>
      <c r="CW50" s="148">
        <f t="shared" ref="CW50:DS50" si="65">CV52</f>
        <v>0</v>
      </c>
      <c r="CX50" s="148">
        <f t="shared" si="65"/>
        <v>0</v>
      </c>
      <c r="CY50" s="148">
        <f t="shared" si="65"/>
        <v>0</v>
      </c>
      <c r="CZ50" s="148">
        <f t="shared" si="65"/>
        <v>76955.13892836195</v>
      </c>
      <c r="DA50" s="148">
        <f t="shared" si="65"/>
        <v>155970.76813970428</v>
      </c>
      <c r="DB50" s="148">
        <f t="shared" si="65"/>
        <v>240051.39735104662</v>
      </c>
      <c r="DC50" s="148">
        <f t="shared" si="65"/>
        <v>327889.02656238893</v>
      </c>
      <c r="DD50" s="148">
        <f t="shared" si="65"/>
        <v>353122.03781188466</v>
      </c>
      <c r="DE50" s="148">
        <f t="shared" si="65"/>
        <v>115255.50536391046</v>
      </c>
      <c r="DF50" s="148">
        <f t="shared" si="65"/>
        <v>0</v>
      </c>
      <c r="DG50" s="148">
        <f t="shared" si="65"/>
        <v>2167.774072623698</v>
      </c>
      <c r="DH50" s="148">
        <f t="shared" si="65"/>
        <v>18328.25350740469</v>
      </c>
      <c r="DI50" s="148">
        <f t="shared" si="65"/>
        <v>0</v>
      </c>
      <c r="DJ50" s="148">
        <f t="shared" si="65"/>
        <v>0</v>
      </c>
      <c r="DK50" s="148">
        <f t="shared" si="65"/>
        <v>0</v>
      </c>
      <c r="DL50" s="148">
        <f t="shared" si="65"/>
        <v>75966.270479005427</v>
      </c>
      <c r="DM50" s="148">
        <f t="shared" si="65"/>
        <v>154043.78408748459</v>
      </c>
      <c r="DN50" s="148">
        <f t="shared" si="65"/>
        <v>237312.29769596373</v>
      </c>
      <c r="DO50" s="148">
        <f t="shared" si="65"/>
        <v>324432.81130444288</v>
      </c>
      <c r="DP50" s="148">
        <f t="shared" si="65"/>
        <v>349179.41197277181</v>
      </c>
      <c r="DQ50" s="148">
        <f t="shared" si="65"/>
        <v>103569.76907714712</v>
      </c>
      <c r="DR50" s="148">
        <f t="shared" si="65"/>
        <v>0</v>
      </c>
      <c r="DS50" s="148">
        <f t="shared" si="65"/>
        <v>1104.7843274173038</v>
      </c>
    </row>
    <row r="51" spans="1:123" ht="12.75" customHeight="1" x14ac:dyDescent="0.35">
      <c r="A51" s="147" t="s">
        <v>496</v>
      </c>
      <c r="B51" s="139">
        <f>SUM(D51:BQ51)</f>
        <v>3415697.566038399</v>
      </c>
      <c r="C51" s="148">
        <f>B51/60</f>
        <v>56928.292767306652</v>
      </c>
      <c r="D51" s="139">
        <f>MIN(D50,MAX(D40-D42-D46,0)+IF(Premissas!$B$8=0,0,MAX(D41-D44-(IF(Premissas!$B$8&gt;0,MAX(D42-D40,0)*Premissas!$B$8,0)),0)/Premissas!$B$8))</f>
        <v>158163.56114824017</v>
      </c>
      <c r="E51" s="139">
        <f>MIN(E50,MAX(E40-E42-E46,0)+IF(Premissas!$B$8=0,0,MAX(E41-E44-(IF(Premissas!$B$8&gt;0,MAX(E42-E40,0)*Premissas!$B$8,0)),0)/Premissas!$B$8))</f>
        <v>207304.17962689608</v>
      </c>
      <c r="F51" s="139">
        <f>MIN(F50,MAX(F40-F42-F46,0)+IF(Premissas!$B$8=0,0,MAX(F41-F44-(IF(Premissas!$B$8&gt;0,MAX(F42-F40,0)*Premissas!$B$8,0)),0)/Premissas!$B$8))</f>
        <v>85119.894037013655</v>
      </c>
      <c r="G51" s="139">
        <f>MIN(G50,MAX(G40-G42-G46,0)+IF(Premissas!$B$8=0,0,MAX(G41-G44-(IF(Premissas!$B$8&gt;0,MAX(G42-G40,0)*Premissas!$B$8,0)),0)/Premissas!$B$8))</f>
        <v>0</v>
      </c>
      <c r="H51" s="139">
        <f>MIN(H50,MAX(H40-H42-H46,0)+IF(Premissas!$B$8=0,0,MAX(H41-H44-(IF(Premissas!$B$8&gt;0,MAX(H42-H40,0)*Premissas!$B$8,0)),0)/Premissas!$B$8))</f>
        <v>0</v>
      </c>
      <c r="I51" s="139">
        <f>MIN(I50,MAX(I40-I42-I46,0)+IF(Premissas!$B$8=0,0,MAX(I41-I44-(IF(Premissas!$B$8&gt;0,MAX(I42-I40,0)*Premissas!$B$8,0)),0)/Premissas!$B$8))</f>
        <v>0</v>
      </c>
      <c r="J51" s="139">
        <f>MIN(J50,MAX(J40-J42-J46,0)+IF(Premissas!$B$8=0,0,MAX(J41-J44-(IF(Premissas!$B$8&gt;0,MAX(J42-J40,0)*Premissas!$B$8,0)),0)/Premissas!$B$8))</f>
        <v>0</v>
      </c>
      <c r="K51" s="139">
        <f>MIN(K50,MAX(K40-K42-K46,0)+IF(Premissas!$B$8=0,0,MAX(K41-K44-(IF(Premissas!$B$8&gt;0,MAX(K42-K40,0)*Premissas!$B$8,0)),0)/Premissas!$B$8))</f>
        <v>0</v>
      </c>
      <c r="L51" s="139">
        <f>MIN(L50,MAX(L40-L42-L46,0)+IF(Premissas!$B$8=0,0,MAX(L41-L44-(IF(Premissas!$B$8&gt;0,MAX(L42-L40,0)*Premissas!$B$8,0)),0)/Premissas!$B$8))</f>
        <v>181648.89611388938</v>
      </c>
      <c r="M51" s="139">
        <f>MIN(M50,MAX(M40-M42-M46,0)+IF(Premissas!$B$8=0,0,MAX(M41-M44-(IF(Premissas!$B$8&gt;0,MAX(M42-M40,0)*Premissas!$B$8,0)),0)/Premissas!$B$8))</f>
        <v>128209.16412412564</v>
      </c>
      <c r="N51" s="139">
        <f>MIN(N50,MAX(N40-N42-N46,0)+IF(Premissas!$B$8=0,0,MAX(N41-N44-(IF(Premissas!$B$8&gt;0,MAX(N42-N40,0)*Premissas!$B$8,0)),0)/Premissas!$B$8))</f>
        <v>20136.0990935226</v>
      </c>
      <c r="O51" s="139">
        <f>MIN(O50,MAX(O40-O42-O46,0)+IF(Premissas!$B$8=0,0,MAX(O41-O44-(IF(Premissas!$B$8&gt;0,MAX(O42-O40,0)*Premissas!$B$8,0)),0)/Premissas!$B$8))</f>
        <v>36564.166448687087</v>
      </c>
      <c r="P51" s="139">
        <f>MIN(P50,MAX(P40-P42-P46,0)+IF(Premissas!$B$8=0,0,MAX(P41-P44-(IF(Premissas!$B$8&gt;0,MAX(P42-P40,0)*Premissas!$B$8,0)),0)/Premissas!$B$8))</f>
        <v>163851.08685898452</v>
      </c>
      <c r="Q51" s="139">
        <f>MIN(Q50,MAX(Q40-Q42-Q46,0)+IF(Premissas!$B$8=0,0,MAX(Q41-Q44-(IF(Premissas!$B$8&gt;0,MAX(Q42-Q40,0)*Premissas!$B$8,0)),0)/Premissas!$B$8))</f>
        <v>214606.51996564178</v>
      </c>
      <c r="R51" s="139">
        <f>MIN(R50,MAX(R40-R42-R46,0)+IF(Premissas!$B$8=0,0,MAX(R41-R44-(IF(Premissas!$B$8&gt;0,MAX(R42-R40,0)*Premissas!$B$8,0)),0)/Premissas!$B$8))</f>
        <v>89481.156484085572</v>
      </c>
      <c r="S51" s="139">
        <f>MIN(S50,MAX(S40-S42-S46,0)+IF(Premissas!$B$8=0,0,MAX(S41-S44-(IF(Premissas!$B$8&gt;0,MAX(S42-S40,0)*Premissas!$B$8,0)),0)/Premissas!$B$8))</f>
        <v>0</v>
      </c>
      <c r="T51" s="139">
        <f>MIN(T50,MAX(T40-T42-T46,0)+IF(Premissas!$B$8=0,0,MAX(T41-T44-(IF(Premissas!$B$8&gt;0,MAX(T42-T40,0)*Premissas!$B$8,0)),0)/Premissas!$B$8))</f>
        <v>0</v>
      </c>
      <c r="U51" s="139">
        <f>MIN(U50,MAX(U40-U42-U46,0)+IF(Premissas!$B$8=0,0,MAX(U41-U44-(IF(Premissas!$B$8&gt;0,MAX(U42-U40,0)*Premissas!$B$8,0)),0)/Premissas!$B$8))</f>
        <v>0</v>
      </c>
      <c r="V51" s="139">
        <f>MIN(V50,MAX(V40-V42-V46,0)+IF(Premissas!$B$8=0,0,MAX(V41-V44-(IF(Premissas!$B$8&gt;0,MAX(V42-V40,0)*Premissas!$B$8,0)),0)/Premissas!$B$8))</f>
        <v>0</v>
      </c>
      <c r="W51" s="139">
        <f>MIN(W50,MAX(W40-W42-W46,0)+IF(Premissas!$B$8=0,0,MAX(W41-W44-(IF(Premissas!$B$8&gt;0,MAX(W42-W40,0)*Premissas!$B$8,0)),0)/Premissas!$B$8))</f>
        <v>0</v>
      </c>
      <c r="X51" s="139">
        <f>MIN(X50,MAX(X40-X42-X46,0)+IF(Premissas!$B$8=0,0,MAX(X41-X44-(IF(Premissas!$B$8&gt;0,MAX(X42-X40,0)*Premissas!$B$8,0)),0)/Premissas!$B$8))</f>
        <v>181648.89611388938</v>
      </c>
      <c r="Y51" s="139">
        <f>MIN(Y50,MAX(Y40-Y42-Y46,0)+IF(Premissas!$B$8=0,0,MAX(Y41-Y44-(IF(Premissas!$B$8&gt;0,MAX(Y42-Y40,0)*Premissas!$B$8,0)),0)/Premissas!$B$8))</f>
        <v>128209.16412412564</v>
      </c>
      <c r="Z51" s="139">
        <f>MIN(Z50,MAX(Z40-Z42-Z46,0)+IF(Premissas!$B$8=0,0,MAX(Z41-Z44-(IF(Premissas!$B$8&gt;0,MAX(Z42-Z40,0)*Premissas!$B$8,0)),0)/Premissas!$B$8))</f>
        <v>20392.465569772598</v>
      </c>
      <c r="AA51" s="139">
        <f>MIN(AA50,MAX(AA40-AA42-AA46,0)+IF(Premissas!$B$8=0,0,MAX(AA41-AA44-(IF(Premissas!$B$8&gt;0,MAX(AA42-AA40,0)*Premissas!$B$8,0)),0)/Premissas!$B$8))</f>
        <v>36747.519327437083</v>
      </c>
      <c r="AB51" s="139">
        <f>MIN(AB50,MAX(AB40-AB42-AB46,0)+IF(Premissas!$B$8=0,0,MAX(AB41-AB44-(IF(Premissas!$B$8&gt;0,MAX(AB42-AB40,0),0))*Premissas!$B$8,0)/Premissas!$B$8))</f>
        <v>169674.33539605778</v>
      </c>
      <c r="AC51" s="139">
        <f>MIN(AC50,MAX(AC40-AC42-AC46,0)+IF(Premissas!$B$8=0,0,MAX(AC41-AC44-(IF(Premissas!$B$8&gt;0,MAX(AC42-AC40,0),0))*Premissas!$B$8,0)/Premissas!$B$8))</f>
        <v>171267.79930019894</v>
      </c>
      <c r="AD51" s="139">
        <f>MIN(AD50,MAX(AD40-AD42-AD46,0)+IF(Premissas!$B$8=0,0,MAX(AD41-AD44-(IF(Premissas!$B$8&gt;0,MAX(AD42-AD40,0),0))*Premissas!$B$8,0)/Premissas!$B$8))</f>
        <v>0</v>
      </c>
      <c r="AE51" s="139">
        <f>MIN(AE50,MAX(AE40-AE42-AE46,0)+IF(Premissas!$B$8=0,0,MAX(AE41-AE44-(IF(Premissas!$B$8&gt;0,MAX(AE42-AE40,0),0))*Premissas!$B$8,0)/Premissas!$B$8))</f>
        <v>0</v>
      </c>
      <c r="AF51" s="139">
        <f>MIN(AF50,MAX(AF40-AF42-AF46,0)+IF(Premissas!$B$8=0,0,MAX(AF41-AF44-(IF(Premissas!$B$8&gt;0,MAX(AF42-AF40,0),0))*Premissas!$B$8,0)/Premissas!$B$8))</f>
        <v>0</v>
      </c>
      <c r="AG51" s="139">
        <f>MIN(AG50,MAX(AG40-AG42-AG46,0)+IF(Premissas!$B$8=0,0,MAX(AG41-AG44-(IF(Premissas!$B$8&gt;0,MAX(AG42-AG40,0),0))*Premissas!$B$8,0)/Premissas!$B$8))</f>
        <v>0</v>
      </c>
      <c r="AH51" s="139">
        <f>MIN(AH50,MAX(AH40-AH42-AH46,0)+IF(Premissas!$B$8=0,0,MAX(AH41-AH44-(IF(Premissas!$B$8&gt;0,MAX(AH42-AH40,0),0))*Premissas!$B$8,0)/Premissas!$B$8))</f>
        <v>0</v>
      </c>
      <c r="AI51" s="139">
        <f>MIN(AI50,MAX(AI40-AI42-AI46,0)+IF(Premissas!$B$8=0,0,MAX(AI41-AI44-(IF(Premissas!$B$8&gt;0,MAX(AI42-AI40,0),0))*Premissas!$B$8,0)/Premissas!$B$8))</f>
        <v>0</v>
      </c>
      <c r="AJ51" s="139">
        <f>MIN(AJ50,MAX(AJ40-AJ42-AJ46,0)+IF(Premissas!$B$8=0,0,MAX(AJ41-AJ44-(IF(Premissas!$B$8&gt;0,MAX(AJ42-AJ40,0),0))*Premissas!$B$8,0)/Premissas!$B$8))</f>
        <v>194880.71719798259</v>
      </c>
      <c r="AK51" s="139">
        <f>MIN(AK50,MAX(AK40-AK42-AK46,0)+IF(Premissas!$B$8=0,0,MAX(AK41-AK44-(IF(Premissas!$B$8&gt;0,MAX(AK42-AK40,0),0))*Premissas!$B$8,0)/Premissas!$B$8))</f>
        <v>139263.5930407375</v>
      </c>
      <c r="AL51" s="139">
        <f>MIN(AL50,MAX(AL40-AL42-AL46,0)+IF(Premissas!$B$8=0,0,MAX(AL41-AL44-(IF(Premissas!$B$8&gt;0,MAX(AL42-AL40,0),0))*Premissas!$B$8,0)/Premissas!$B$8))</f>
        <v>27526.641445016867</v>
      </c>
      <c r="AM51" s="139">
        <f>MIN(AM50,MAX(AM40-AM42-AM46,0)+IF(Premissas!$B$8=0,0,MAX(AM41-AM44-(IF(Premissas!$B$8&gt;0,MAX(AM42-AM40,0),0))*Premissas!$B$8,0)/Premissas!$B$8))</f>
        <v>44693.415790251733</v>
      </c>
      <c r="AN51" s="139">
        <f>MIN(AN50,MAX(AN40-AN42-AN46,0)+IF(Premissas!$B$8=0,0,MAX(AN41-AN44-(IF(Premissas!$B$8&gt;0,MAX(AN42-AN40,0),0))*Premissas!$B$8,0)/Premissas!$B$8))</f>
        <v>78138.421176957039</v>
      </c>
      <c r="AO51" s="139">
        <f>MIN(AO50,MAX(AO40-AO42-AO46,0)+IF(Premissas!$B$8=0,0,MAX(AO41-AO44-(IF(Premissas!$B$8&gt;0,MAX(AO42-AO40,0),0))*Premissas!$B$8,0)/Premissas!$B$8))</f>
        <v>0</v>
      </c>
      <c r="AP51" s="139">
        <f>MIN(AP50,MAX(AP40-AP42-AP46,0)+IF(Premissas!$B$8=0,0,MAX(AP41-AP44-(IF(Premissas!$B$8&gt;0,MAX(AP42-AP40,0),0))*Premissas!$B$8,0)/Premissas!$B$8))</f>
        <v>0</v>
      </c>
      <c r="AQ51" s="139">
        <f>MIN(AQ50,MAX(AQ40-AQ42-AQ46,0)+IF(Premissas!$B$8=0,0,MAX(AQ41-AQ44-(IF(Premissas!$B$8&gt;0,MAX(AQ42-AQ40,0),0))*Premissas!$B$8,0)/Premissas!$B$8))</f>
        <v>0</v>
      </c>
      <c r="AR51" s="139">
        <f>MIN(AR50,MAX(AR40-AR42-AR46,0)+IF(Premissas!$B$8=0,0,MAX(AR41-AR44-(IF(Premissas!$B$8&gt;0,MAX(AR42-AR40,0),0))*Premissas!$B$8,0)/Premissas!$B$8))</f>
        <v>0</v>
      </c>
      <c r="AS51" s="139">
        <f>MIN(AS50,MAX(AS40-AS42-AS46,0)+IF(Premissas!$B$8=0,0,MAX(AS41-AS44-(IF(Premissas!$B$8&gt;0,MAX(AS42-AS40,0),0))*Premissas!$B$8,0)/Premissas!$B$8))</f>
        <v>0</v>
      </c>
      <c r="AT51" s="139">
        <f>MIN(AT50,MAX(AT40-AT42-AT46,0)+IF(Premissas!$B$8=0,0,MAX(AT41-AT44-(IF(Premissas!$B$8&gt;0,MAX(AT42-AT40,0),0))*Premissas!$B$8,0)/Premissas!$B$8))</f>
        <v>0</v>
      </c>
      <c r="AU51" s="139">
        <f>MIN(AU50,MAX(AU40-AU42-AU46,0)+IF(Premissas!$B$8=0,0,MAX(AU41-AU44-(IF(Premissas!$B$8&gt;0,MAX(AU42-AU40,0),0))*Premissas!$B$8,0)/Premissas!$B$8))</f>
        <v>0</v>
      </c>
      <c r="AV51" s="139">
        <f>MIN(AV50,MAX(AV40-AV42-AV46,0)+IF(Premissas!$B$8=0,0,MAX(AV41-AV44-(IF(Premissas!$B$8&gt;0,MAX(AV42-AV40,0),0))*Premissas!$B$8,0)/Premissas!$B$8))</f>
        <v>201916.57444016464</v>
      </c>
      <c r="AW51" s="139">
        <f>MIN(AW50,MAX(AW40-AW42-AW46,0)+IF(Premissas!$B$8=0,0,MAX(AW41-AW44-(IF(Premissas!$B$8&gt;0,MAX(AW42-AW40,0),0))*Premissas!$B$8,0)/Premissas!$B$8))</f>
        <v>145192.96535109662</v>
      </c>
      <c r="AX51" s="139">
        <f>MIN(AX50,MAX(AX40-AX42-AX46,0)+IF(Premissas!$B$8=0,0,MAX(AX41-AX44-(IF(Premissas!$B$8&gt;0,MAX(AX42-AX40,0),0))*Premissas!$B$8,0)/Premissas!$B$8))</f>
        <v>31489.570530748795</v>
      </c>
      <c r="AY51" s="139">
        <f>MIN(AY50,MAX(AY40-AY42-AY46,0)+IF(Premissas!$B$8=0,0,MAX(AY41-AY44-(IF(Premissas!$B$8&gt;0,MAX(AY42-AY40,0),0))*Premissas!$B$8,0)/Premissas!$B$8))</f>
        <v>49078.34115316526</v>
      </c>
      <c r="AZ51" s="139">
        <f>MIN(AZ50,MAX(AZ40-AZ42-AZ46,0)+IF(Premissas!$B$8=0,0,MAX(AZ41-AZ44-(IF(Premissas!$B$8&gt;0,MAX(AZ42-AZ40,0),0))*Premissas!$B$8,0)/Premissas!$B$8))</f>
        <v>46595.20583506368</v>
      </c>
      <c r="BA51" s="139">
        <f>MIN(BA50,MAX(BA40-BA42-BA46,0)+IF(Premissas!$B$8=0,0,MAX(BA41-BA44-(IF(Premissas!$B$8&gt;0,MAX(BA42-BA40,0),0))*Premissas!$B$8,0)/Premissas!$B$8))</f>
        <v>0</v>
      </c>
      <c r="BB51" s="139">
        <f>MIN(BB50,MAX(BB40-BB42-BB46,0)+IF(Premissas!$B$8=0,0,MAX(BB41-BB44-(IF(Premissas!$B$8&gt;0,MAX(BB42-BB40,0),0))*Premissas!$B$8,0)/Premissas!$B$8))</f>
        <v>0</v>
      </c>
      <c r="BC51" s="139">
        <f>MIN(BC50,MAX(BC40-BC42-BC46,0)+IF(Premissas!$B$8=0,0,MAX(BC41-BC44-(IF(Premissas!$B$8&gt;0,MAX(BC42-BC40,0),0))*Premissas!$B$8,0)/Premissas!$B$8))</f>
        <v>0</v>
      </c>
      <c r="BD51" s="139">
        <f>MIN(BD50,MAX(BD40-BD42-BD46,0)+IF(Premissas!$B$8=0,0,MAX(BD41-BD44-(IF(Premissas!$B$8&gt;0,MAX(BD42-BD40,0),0))*Premissas!$B$8,0)/Premissas!$B$8))</f>
        <v>0</v>
      </c>
      <c r="BE51" s="139">
        <f>MIN(BE50,MAX(BE40-BE42-BE46,0)+IF(Premissas!$B$8=0,0,MAX(BE41-BE44-(IF(Premissas!$B$8&gt;0,MAX(BE42-BE40,0),0))*Premissas!$B$8,0)/Premissas!$B$8))</f>
        <v>0</v>
      </c>
      <c r="BF51" s="139">
        <f>MIN(BF50,MAX(BF40-BF42-BF46,0)+IF(Premissas!$B$8=0,0,MAX(BF41-BF44-(IF(Premissas!$B$8&gt;0,MAX(BF42-BF40,0),0))*Premissas!$B$8,0)/Premissas!$B$8))</f>
        <v>0</v>
      </c>
      <c r="BG51" s="139">
        <f>MIN(BG50,MAX(BG40-BG42-BG46,0)+IF(Premissas!$B$8=0,0,MAX(BG41-BG44-(IF(Premissas!$B$8&gt;0,MAX(BG42-BG40,0),0))*Premissas!$B$8,0)/Premissas!$B$8))</f>
        <v>3593.1034371357109</v>
      </c>
      <c r="BH51" s="139">
        <f>MIN(BH50,MAX(BH40-BH42-BH46,0)+IF(Premissas!$B$8=0,0,MAX(BH41-BH44-(IF(Premissas!$B$8&gt;0,MAX(BH42-BH40,0),0))*Premissas!$B$8,0)/Premissas!$B$8))</f>
        <v>209120.76048184582</v>
      </c>
      <c r="BI51" s="139">
        <f>MIN(BI50,MAX(BI40-BI42-BI46,0)+IF(Premissas!$B$8=0,0,MAX(BI41-BI44-(IF(Premissas!$B$8&gt;0,MAX(BI42-BI40,0),0))*Premissas!$B$8,0)/Premissas!$B$8))</f>
        <v>151258.81065118161</v>
      </c>
      <c r="BJ51" s="139">
        <f>MIN(BJ50,MAX(BJ40-BJ42-BJ46,0)+IF(Premissas!$B$8=0,0,MAX(BJ41-BJ44-(IF(Premissas!$B$8&gt;0,MAX(BJ42-BJ40,0),0))*Premissas!$B$8,0)/Premissas!$B$8))</f>
        <v>35533.355363627074</v>
      </c>
      <c r="BK51" s="139">
        <f>MIN(BK50,MAX(BK40-BK42-BK46,0)+IF(Premissas!$B$8=0,0,MAX(BK41-BK44-(IF(Premissas!$B$8&gt;0,MAX(BK42-BK40,0),0))*Premissas!$B$8,0)/Premissas!$B$8))</f>
        <v>52317.010194485454</v>
      </c>
      <c r="BL51" s="139">
        <f>MIN(BL50,MAX(BL40-BL42-BL46,0)+IF(Premissas!$B$8=0,0,MAX(BL41-BL44-(IF(Premissas!$B$8&gt;0,MAX(BL42-BL40,0),0))*Premissas!$B$8,0)/Premissas!$B$8))</f>
        <v>12074.176216370506</v>
      </c>
      <c r="BM51" s="139">
        <f>MIN(BM50,MAX(BM40-BM42-BM46,0)+IF(Premissas!$B$8=0,0,MAX(BM41-BM44-(IF(Premissas!$B$8&gt;0,MAX(BM42-BM40,0),0))*Premissas!$B$8,0)/Premissas!$B$8))</f>
        <v>0</v>
      </c>
      <c r="BN51" s="139">
        <f>MIN(BN50,MAX(BN40-BN42-BN46,0)+IF(Premissas!$B$8=0,0,MAX(BN41-BN44-(IF(Premissas!$B$8&gt;0,MAX(BN42-BN40,0),0))*Premissas!$B$8,0)/Premissas!$B$8))</f>
        <v>0</v>
      </c>
      <c r="BO51" s="139">
        <f>MIN(BO50,MAX(BO40-BO42-BO46,0)+IF(Premissas!$B$8=0,0,MAX(BO41-BO44-(IF(Premissas!$B$8&gt;0,MAX(BO42-BO40,0),0))*Premissas!$B$8,0)/Premissas!$B$8))</f>
        <v>0</v>
      </c>
      <c r="BP51" s="139">
        <f>MIN(BP50,MAX(BP40-BP42-BP46,0)+IF(Premissas!$B$8=0,0,MAX(BP41-BP44-(IF(Premissas!$B$8&gt;0,MAX(BP42-BP40,0),0))*Premissas!$B$8,0)/Premissas!$B$8))</f>
        <v>0</v>
      </c>
      <c r="BQ51" s="139">
        <f>MIN(BQ50,MAX(BQ40-BQ42-BQ46,0)+IF(Premissas!$B$8=0,0,MAX(BQ41-BQ44-(IF(Premissas!$B$8&gt;0,MAX(BQ42-BQ40,0),0))*Premissas!$B$8,0)/Premissas!$B$8))</f>
        <v>0</v>
      </c>
      <c r="BR51" s="139">
        <f>MIN(BR50,MAX(BR40-BR42-BR46,0)+IF(Premissas!$B$8=0,0,MAX(BR41-BR44-(IF(Premissas!$B$8&gt;0,MAX(BR42-BR40,0),0))*Premissas!$B$8,0)/Premissas!$B$8))</f>
        <v>0</v>
      </c>
      <c r="BS51" s="139">
        <f>MIN(BS50,MAX(BS40-BS42-BS46,0)+IF(Premissas!$B$8=0,0,MAX(BS41-BS44-(IF(Premissas!$B$8&gt;0,MAX(BS42-BS40,0),0))*Premissas!$B$8,0)/Premissas!$B$8))</f>
        <v>15774.482513073457</v>
      </c>
      <c r="BT51" s="139">
        <f>MIN(BT50,MAX(BT40-BT42-BT46,0)+IF(Premissas!$B$8=0,0,MAX(BT41-BT44-(IF(Premissas!$B$8&gt;0,MAX(BT42-BT40,0),0))*Premissas!$B$8,0)/Premissas!$B$8))</f>
        <v>215754.62023494154</v>
      </c>
      <c r="BU51" s="139">
        <f>MIN(BU50,MAX(BU40-BU42-BU46,0)+IF(Premissas!$B$8=0,0,MAX(BU41-BU44-(IF(Premissas!$B$8&gt;0,MAX(BU42-BU40,0),0))*Premissas!$B$8,0)/Premissas!$B$8))</f>
        <v>148619.43063187023</v>
      </c>
      <c r="BV51" s="139">
        <f>MIN(BV50,MAX(BV40-BV42-BV46,0)+IF(Premissas!$B$8=0,0,MAX(BV41-BV44-(IF(Premissas!$B$8&gt;0,MAX(BV42-BV40,0),0))*Premissas!$B$8,0)/Premissas!$B$8))</f>
        <v>0</v>
      </c>
      <c r="BW51" s="139">
        <f>MIN(BW50,MAX(BW40-BW42-BW46,0)+IF(Premissas!$B$8=0,0,MAX(BW41-BW44-(IF(Premissas!$B$8&gt;0,MAX(BW42-BW40,0),0))*Premissas!$B$8,0)/Premissas!$B$8))</f>
        <v>5202.092397735888</v>
      </c>
      <c r="BX51" s="139">
        <f>MIN(BX50,MAX(BX40-BX42-BX46,0)+IF(Premissas!$B$8=0,0,MAX(BX41-BX44-(IF(Premissas!$B$8&gt;0,MAX(BX42-BX40,0),0))*Premissas!$B$8,0)/Premissas!$B$8))</f>
        <v>20209.342907693976</v>
      </c>
      <c r="BY51" s="139">
        <f>MIN(BY50,MAX(BY40-BY42-BY46,0)+IF(Premissas!$B$8=0,0,MAX(BY41-BY44-(IF(Premissas!$B$8&gt;0,MAX(BY42-BY40,0),0))*Premissas!$B$8,0)/Premissas!$B$8))</f>
        <v>0</v>
      </c>
      <c r="BZ51" s="139">
        <f>MIN(BZ50,MAX(BZ40-BZ42-BZ46,0)+IF(Premissas!$B$8=0,0,MAX(BZ41-BZ44-(IF(Premissas!$B$8&gt;0,MAX(BZ42-BZ40,0),0))*Premissas!$B$8,0)/Premissas!$B$8))</f>
        <v>0</v>
      </c>
      <c r="CA51" s="139">
        <f>MIN(CA50,MAX(CA40-CA42-CA46,0)+IF(Premissas!$B$8=0,0,MAX(CA41-CA44-(IF(Premissas!$B$8&gt;0,MAX(CA42-CA40,0),0))*Premissas!$B$8,0)/Premissas!$B$8))</f>
        <v>0</v>
      </c>
      <c r="CB51" s="139">
        <f>MIN(CB50,MAX(CB40-CB42-CB46,0)+IF(Premissas!$B$8=0,0,MAX(CB41-CB44-(IF(Premissas!$B$8&gt;0,MAX(CB42-CB40,0),0))*Premissas!$B$8,0)/Premissas!$B$8))</f>
        <v>0</v>
      </c>
      <c r="CC51" s="139">
        <f>MIN(CC50,MAX(CC40-CC42-CC46,0)+IF(Premissas!$B$8=0,0,MAX(CC41-CC44-(IF(Premissas!$B$8&gt;0,MAX(CC42-CC40,0),0))*Premissas!$B$8,0)/Premissas!$B$8))</f>
        <v>0</v>
      </c>
      <c r="CD51" s="139">
        <f>MIN(CD50,MAX(CD40-CD42-CD46,0)+IF(Premissas!$B$8=0,0,MAX(CD41-CD44-(IF(Premissas!$B$8&gt;0,MAX(CD42-CD40,0),0))*Premissas!$B$8,0)/Premissas!$B$8))</f>
        <v>0</v>
      </c>
      <c r="CE51" s="139">
        <f>MIN(CE50,MAX(CE40-CE42-CE46,0)+IF(Premissas!$B$8=0,0,MAX(CE41-CE44-(IF(Premissas!$B$8&gt;0,MAX(CE42-CE40,0),0))*Premissas!$B$8,0)/Premissas!$B$8))</f>
        <v>16168.348106664675</v>
      </c>
      <c r="CF51" s="139">
        <f>MIN(CF50,MAX(CF40-CF42-CF46,0)+IF(Premissas!$B$8=0,0,MAX(CF41-CF44-(IF(Premissas!$B$8&gt;0,MAX(CF42-CF40,0),0))*Premissas!$B$8,0)/Premissas!$B$8))</f>
        <v>222944.67601508467</v>
      </c>
      <c r="CG51" s="139">
        <f>MIN(CG50,MAX(CG40-CG42-CG46,0)+IF(Premissas!$B$8=0,0,MAX(CG41-CG44-(IF(Premissas!$B$8&gt;0,MAX(CG42-CG40,0),0))*Premissas!$B$8,0)/Premissas!$B$8))</f>
        <v>137771.10379509401</v>
      </c>
      <c r="CH51" s="139">
        <f>MIN(CH50,MAX(CH40-CH42-CH46,0)+IF(Premissas!$B$8=0,0,MAX(CH41-CH44-(IF(Premissas!$B$8&gt;0,MAX(CH42-CH40,0),0))*Premissas!$B$8,0)/Premissas!$B$8))</f>
        <v>0</v>
      </c>
      <c r="CI51" s="139">
        <f>MIN(CI50,MAX(CI40-CI42-CI46,0)+IF(Premissas!$B$8=0,0,MAX(CI41-CI44-(IF(Premissas!$B$8&gt;0,MAX(CI42-CI40,0),0))*Premissas!$B$8,0)/Premissas!$B$8))</f>
        <v>4215.5143834199735</v>
      </c>
      <c r="CJ51" s="139">
        <f>MIN(CJ50,MAX(CJ40-CJ42-CJ46,0)+IF(Premissas!$B$8=0,0,MAX(CJ41-CJ44-(IF(Premissas!$B$8&gt;0,MAX(CJ42-CJ40,0),0))*Premissas!$B$8,0)/Premissas!$B$8))</f>
        <v>19597.186304200299</v>
      </c>
      <c r="CK51" s="139">
        <f>MIN(CK50,MAX(CK40-CK42-CK46,0)+IF(Premissas!$B$8=0,0,MAX(CK41-CK44-(IF(Premissas!$B$8&gt;0,MAX(CK42-CK40,0),0))*Premissas!$B$8,0)/Premissas!$B$8))</f>
        <v>0</v>
      </c>
      <c r="CL51" s="139">
        <f>MIN(CL50,MAX(CL40-CL42-CL46,0)+IF(Premissas!$B$8=0,0,MAX(CL41-CL44-(IF(Premissas!$B$8&gt;0,MAX(CL42-CL40,0),0))*Premissas!$B$8,0)/Premissas!$B$8))</f>
        <v>0</v>
      </c>
      <c r="CM51" s="139">
        <f>MIN(CM50,MAX(CM40-CM42-CM46,0)+IF(Premissas!$B$8=0,0,MAX(CM41-CM44-(IF(Premissas!$B$8&gt;0,MAX(CM42-CM40,0),0))*Premissas!$B$8,0)/Premissas!$B$8))</f>
        <v>0</v>
      </c>
      <c r="CN51" s="139">
        <f>MIN(CN50,MAX(CN40-CN42-CN46,0)+IF(Premissas!$B$8=0,0,MAX(CN41-CN44-(IF(Premissas!$B$8&gt;0,MAX(CN42-CN40,0),0))*Premissas!$B$8,0)/Premissas!$B$8))</f>
        <v>0</v>
      </c>
      <c r="CO51" s="139">
        <f>MIN(CO50,MAX(CO40-CO42-CO46,0)+IF(Premissas!$B$8=0,0,MAX(CO41-CO44-(IF(Premissas!$B$8&gt;0,MAX(CO42-CO40,0),0))*Premissas!$B$8,0)/Premissas!$B$8))</f>
        <v>0</v>
      </c>
      <c r="CP51" s="139">
        <f>MIN(CP50,MAX(CP40-CP42-CP46,0)+IF(Premissas!$B$8=0,0,MAX(CP41-CP44-(IF(Premissas!$B$8&gt;0,MAX(CP42-CP40,0),0))*Premissas!$B$8,0)/Premissas!$B$8))</f>
        <v>0</v>
      </c>
      <c r="CQ51" s="139">
        <f>MIN(CQ50,MAX(CQ40-CQ42-CQ46,0)+IF(Premissas!$B$8=0,0,MAX(CQ41-CQ44-(IF(Premissas!$B$8&gt;0,MAX(CQ42-CQ40,0),0))*Premissas!$B$8,0)/Premissas!$B$8))</f>
        <v>16573.797982420339</v>
      </c>
      <c r="CR51" s="139">
        <f>MIN(CR50,MAX(CR40-CR42-CR46,0)+IF(Premissas!$B$8=0,0,MAX(CR41-CR44-(IF(Premissas!$B$8&gt;0,MAX(CR42-CR40,0),0))*Premissas!$B$8,0)/Premissas!$B$8))</f>
        <v>230313.21015446086</v>
      </c>
      <c r="CS51" s="139">
        <f>MIN(CS50,MAX(CS40-CS42-CS46,0)+IF(Premissas!$B$8=0,0,MAX(CS41-CS44-(IF(Premissas!$B$8&gt;0,MAX(CS42-CS40,0),0))*Premissas!$B$8,0)/Premissas!$B$8))</f>
        <v>126653.05941946805</v>
      </c>
      <c r="CT51" s="139">
        <f>MIN(CT50,MAX(CT40-CT42-CT46,0)+IF(Premissas!$B$8=0,0,MAX(CT41-CT44-(IF(Premissas!$B$8&gt;0,MAX(CT42-CT40,0),0))*Premissas!$B$8,0)/Premissas!$B$8))</f>
        <v>0</v>
      </c>
      <c r="CU51" s="139">
        <f>MIN(CU50,MAX(CU40-CU42-CU46,0)+IF(Premissas!$B$8=0,0,MAX(CU41-CU44-(IF(Premissas!$B$8&gt;0,MAX(CU42-CU40,0),0))*Premissas!$B$8,0)/Premissas!$B$8))</f>
        <v>3203.7991254738999</v>
      </c>
      <c r="CV51" s="139">
        <f>MIN(CV50,MAX(CV40-CV42-CV46,0)+IF(Premissas!$B$8=0,0,MAX(CV41-CV44-(IF(Premissas!$B$8&gt;0,MAX(CV42-CV40,0),0))*Premissas!$B$8,0)/Premissas!$B$8))</f>
        <v>18970.047354528528</v>
      </c>
      <c r="CW51" s="139">
        <f>MIN(CW50,MAX(CW40-CW42-CW46,0)+IF(Premissas!$B$8=0,0,MAX(CW41-CW44-(IF(Premissas!$B$8&gt;0,MAX(CW42-CW40,0),0))*Premissas!$B$8,0)/Premissas!$B$8))</f>
        <v>0</v>
      </c>
      <c r="CX51" s="139">
        <f>MIN(CX50,MAX(CX40-CX42-CX46,0)+IF(Premissas!$B$8=0,0,MAX(CX41-CX44-(IF(Premissas!$B$8&gt;0,MAX(CX42-CX40,0),0))*Premissas!$B$8,0)/Premissas!$B$8))</f>
        <v>0</v>
      </c>
      <c r="CY51" s="139">
        <f>MIN(CY50,MAX(CY40-CY42-CY46,0)+IF(Premissas!$B$8=0,0,MAX(CY41-CY44-(IF(Premissas!$B$8&gt;0,MAX(CY42-CY40,0),0))*Premissas!$B$8,0)/Premissas!$B$8))</f>
        <v>0</v>
      </c>
      <c r="CZ51" s="139">
        <f>MIN(CZ50,MAX(CZ40-CZ42-CZ46,0)+IF(Premissas!$B$8=0,0,MAX(CZ41-CZ44-(IF(Premissas!$B$8&gt;0,MAX(CZ42-CZ40,0),0))*Premissas!$B$8,0)/Premissas!$B$8))</f>
        <v>0</v>
      </c>
      <c r="DA51" s="139">
        <f>MIN(DA50,MAX(DA40-DA42-DA46,0)+IF(Premissas!$B$8=0,0,MAX(DA41-DA44-(IF(Premissas!$B$8&gt;0,MAX(DA42-DA40,0),0))*Premissas!$B$8,0)/Premissas!$B$8))</f>
        <v>0</v>
      </c>
      <c r="DB51" s="139">
        <f>MIN(DB50,MAX(DB40-DB42-DB46,0)+IF(Premissas!$B$8=0,0,MAX(DB41-DB44-(IF(Premissas!$B$8&gt;0,MAX(DB42-DB40,0),0))*Premissas!$B$8,0)/Premissas!$B$8))</f>
        <v>0</v>
      </c>
      <c r="DC51" s="139">
        <f>MIN(DC50,MAX(DC40-DC42-DC46,0)+IF(Premissas!$B$8=0,0,MAX(DC41-DC44-(IF(Premissas!$B$8&gt;0,MAX(DC42-DC40,0),0))*Premissas!$B$8,0)/Premissas!$B$8))</f>
        <v>16987.522345436322</v>
      </c>
      <c r="DD51" s="139">
        <f>MIN(DD50,MAX(DD40-DD42-DD46,0)+IF(Premissas!$B$8=0,0,MAX(DD41-DD44-(IF(Premissas!$B$8&gt;0,MAX(DD42-DD40,0),0))*Premissas!$B$8,0)/Premissas!$B$8))</f>
        <v>237866.5324479742</v>
      </c>
      <c r="DE51" s="139">
        <f>MIN(DE50,MAX(DE40-DE42-DE46,0)+IF(Premissas!$B$8=0,0,MAX(DE41-DE44-(IF(Premissas!$B$8&gt;0,MAX(DE42-DE40,0),0))*Premissas!$B$8,0)/Premissas!$B$8))</f>
        <v>115255.50536391046</v>
      </c>
      <c r="DF51" s="139">
        <f>MIN(DF50,MAX(DF40-DF42-DF46,0)+IF(Premissas!$B$8=0,0,MAX(DF41-DF44-(IF(Premissas!$B$8&gt;0,MAX(DF42-DF40,0),0))*Premissas!$B$8,0)/Premissas!$B$8))</f>
        <v>0</v>
      </c>
      <c r="DG51" s="139">
        <f>MIN(DG50,MAX(DG40-DG42-DG46,0)+IF(Premissas!$B$8=0,0,MAX(DG41-DG44-(IF(Premissas!$B$8&gt;0,MAX(DG42-DG40,0),0))*Premissas!$B$8,0)/Premissas!$B$8))</f>
        <v>2167.774072623698</v>
      </c>
      <c r="DH51" s="139">
        <f>MIN(DH50,MAX(DH40-DH42-DH46,0)+IF(Premissas!$B$8=0,0,MAX(DH41-DH44-(IF(Premissas!$B$8&gt;0,MAX(DH42-DH40,0),0))*Premissas!$B$8,0)/Premissas!$B$8))</f>
        <v>18328.25350740469</v>
      </c>
      <c r="DI51" s="139">
        <f>MIN(DI50,MAX(DI40-DI42-DI46,0)+IF(Premissas!$B$8=0,0,MAX(DI41-DI44-(IF(Premissas!$B$8&gt;0,MAX(DI42-DI40,0),0))*Premissas!$B$8,0)/Premissas!$B$8))</f>
        <v>0</v>
      </c>
      <c r="DJ51" s="139">
        <f>MIN(DJ50,MAX(DJ40-DJ42-DJ46,0)+IF(Premissas!$B$8=0,0,MAX(DJ41-DJ44-(IF(Premissas!$B$8&gt;0,MAX(DJ42-DJ40,0),0))*Premissas!$B$8,0)/Premissas!$B$8))</f>
        <v>0</v>
      </c>
      <c r="DK51" s="139">
        <f>MIN(DK50,MAX(DK40-DK42-DK46,0)+IF(Premissas!$B$8=0,0,MAX(DK41-DK44-(IF(Premissas!$B$8&gt;0,MAX(DK42-DK40,0),0))*Premissas!$B$8,0)/Premissas!$B$8))</f>
        <v>0</v>
      </c>
      <c r="DL51" s="139">
        <f>MIN(DL50,MAX(DL40-DL42-DL46,0)+IF(Premissas!$B$8=0,0,MAX(DL41-DL44-(IF(Premissas!$B$8&gt;0,MAX(DL42-DL40,0),0))*Premissas!$B$8,0)/Premissas!$B$8))</f>
        <v>0</v>
      </c>
      <c r="DM51" s="139">
        <f>MIN(DM50,MAX(DM40-DM42-DM46,0)+IF(Premissas!$B$8=0,0,MAX(DM41-DM44-(IF(Premissas!$B$8&gt;0,MAX(DM42-DM40,0),0))*Premissas!$B$8,0)/Premissas!$B$8))</f>
        <v>0</v>
      </c>
      <c r="DN51" s="139">
        <f>MIN(DN50,MAX(DN40-DN42-DN46,0)+IF(Premissas!$B$8=0,0,MAX(DN41-DN44-(IF(Premissas!$B$8&gt;0,MAX(DN42-DN40,0),0))*Premissas!$B$8,0)/Premissas!$B$8))</f>
        <v>0</v>
      </c>
      <c r="DO51" s="139">
        <f>MIN(DO50,MAX(DO40-DO42-DO46,0)+IF(Premissas!$B$8=0,0,MAX(DO41-DO44-(IF(Premissas!$B$8&gt;0,MAX(DO42-DO40,0),0))*Premissas!$B$8,0)/Premissas!$B$8))</f>
        <v>17412.830990616756</v>
      </c>
      <c r="DP51" s="139">
        <f>MIN(DP50,MAX(DP40-DP42-DP46,0)+IF(Premissas!$B$8=0,0,MAX(DP41-DP44-(IF(Premissas!$B$8&gt;0,MAX(DP42-DP40,0),0))*Premissas!$B$8,0)/Premissas!$B$8))</f>
        <v>245609.64289562468</v>
      </c>
      <c r="DQ51" s="139">
        <f>MIN(DQ50,MAX(DQ40-DQ42-DQ46,0)+IF(Premissas!$B$8=0,0,MAX(DQ41-DQ44-(IF(Premissas!$B$8&gt;0,MAX(DQ42-DQ40,0),0))*Premissas!$B$8,0)/Premissas!$B$8))</f>
        <v>103569.76907714712</v>
      </c>
      <c r="DR51" s="139">
        <f>MIN(DR50,MAX(DR40-DR42-DR46,0)+IF(Premissas!$B$8=0,0,MAX(DR41-DR44-(IF(Premissas!$B$8&gt;0,MAX(DR42-DR40,0),0))*Premissas!$B$8,0)/Premissas!$B$8))</f>
        <v>0</v>
      </c>
      <c r="DS51" s="139">
        <f>MIN(DS50,MAX(DS40-DS42-DS46,0)+IF(Premissas!$B$8=0,0,MAX(DS41-DS44-(IF(Premissas!$B$8&gt;0,MAX(DS42-DS40,0),0))*Premissas!$B$8,0)/Premissas!$B$8))</f>
        <v>1104.7843274173038</v>
      </c>
    </row>
    <row r="52" spans="1:123" ht="12.75" customHeight="1" x14ac:dyDescent="0.35">
      <c r="A52" s="147" t="s">
        <v>497</v>
      </c>
      <c r="B52" s="158">
        <f>AA52</f>
        <v>340942.13469625672</v>
      </c>
      <c r="C52" s="148" t="s">
        <v>169</v>
      </c>
      <c r="D52" s="158">
        <f t="shared" ref="D52:AI52" si="66">MAX(D50-D51,0)+D46+MAX(D42-D40,0)</f>
        <v>832865.43885175977</v>
      </c>
      <c r="E52" s="158">
        <f t="shared" si="66"/>
        <v>625561.25922486372</v>
      </c>
      <c r="F52" s="158">
        <f t="shared" si="66"/>
        <v>540441.36518785008</v>
      </c>
      <c r="G52" s="158">
        <f t="shared" si="66"/>
        <v>630062.37829507107</v>
      </c>
      <c r="H52" s="158">
        <f t="shared" si="66"/>
        <v>723228.57982383261</v>
      </c>
      <c r="I52" s="158">
        <f t="shared" si="66"/>
        <v>830947.52135259425</v>
      </c>
      <c r="J52" s="158">
        <f t="shared" si="66"/>
        <v>946686.00288135593</v>
      </c>
      <c r="K52" s="158">
        <f t="shared" si="66"/>
        <v>1013101.3412629159</v>
      </c>
      <c r="L52" s="158">
        <f t="shared" si="66"/>
        <v>831452.44514902646</v>
      </c>
      <c r="M52" s="158">
        <f t="shared" si="66"/>
        <v>703243.28102490085</v>
      </c>
      <c r="N52" s="158">
        <f t="shared" si="66"/>
        <v>699493.01547459478</v>
      </c>
      <c r="O52" s="158">
        <f t="shared" si="66"/>
        <v>677975.31039694394</v>
      </c>
      <c r="P52" s="158">
        <f t="shared" si="66"/>
        <v>514124.22353795939</v>
      </c>
      <c r="Q52" s="158">
        <f t="shared" si="66"/>
        <v>299517.70357231761</v>
      </c>
      <c r="R52" s="158">
        <f t="shared" si="66"/>
        <v>210036.54708823204</v>
      </c>
      <c r="S52" s="158">
        <f t="shared" si="66"/>
        <v>298235.33567826095</v>
      </c>
      <c r="T52" s="158">
        <f t="shared" si="66"/>
        <v>390013.00304524158</v>
      </c>
      <c r="U52" s="158">
        <f t="shared" si="66"/>
        <v>496395.43171222223</v>
      </c>
      <c r="V52" s="158">
        <f t="shared" si="66"/>
        <v>610848.72267920291</v>
      </c>
      <c r="W52" s="158">
        <f t="shared" si="66"/>
        <v>676947.60427222855</v>
      </c>
      <c r="X52" s="158">
        <f t="shared" si="66"/>
        <v>495298.70815833914</v>
      </c>
      <c r="Y52" s="158">
        <f t="shared" si="66"/>
        <v>367089.54403421353</v>
      </c>
      <c r="Z52" s="158">
        <f t="shared" si="66"/>
        <v>362826.54553140758</v>
      </c>
      <c r="AA52" s="158">
        <f t="shared" si="66"/>
        <v>340942.13469625672</v>
      </c>
      <c r="AB52" s="158">
        <f t="shared" si="66"/>
        <v>171267.79930019894</v>
      </c>
      <c r="AC52" s="158">
        <f t="shared" si="66"/>
        <v>0</v>
      </c>
      <c r="AD52" s="158">
        <f t="shared" si="66"/>
        <v>0</v>
      </c>
      <c r="AE52" s="158">
        <f t="shared" si="66"/>
        <v>86760.2888258608</v>
      </c>
      <c r="AF52" s="158">
        <f t="shared" si="66"/>
        <v>177132.19313583447</v>
      </c>
      <c r="AG52" s="158">
        <f t="shared" si="66"/>
        <v>282163.13993930817</v>
      </c>
      <c r="AH52" s="158">
        <f t="shared" si="66"/>
        <v>395320.39473128179</v>
      </c>
      <c r="AI52" s="158">
        <f t="shared" si="66"/>
        <v>456808.57381579705</v>
      </c>
      <c r="AJ52" s="158">
        <f t="shared" ref="AJ52:BO52" si="67">MAX(AJ50-AJ51,0)+AJ46+MAX(AJ42-AJ40,0)</f>
        <v>261927.85661781445</v>
      </c>
      <c r="AK52" s="158">
        <f t="shared" si="67"/>
        <v>122664.26357707696</v>
      </c>
      <c r="AL52" s="158">
        <f t="shared" si="67"/>
        <v>109245.29157811534</v>
      </c>
      <c r="AM52" s="158">
        <f t="shared" si="67"/>
        <v>78138.421176957039</v>
      </c>
      <c r="AN52" s="158">
        <f t="shared" si="67"/>
        <v>0</v>
      </c>
      <c r="AO52" s="158">
        <f t="shared" si="67"/>
        <v>0</v>
      </c>
      <c r="AP52" s="158">
        <f t="shared" si="67"/>
        <v>0</v>
      </c>
      <c r="AQ52" s="158">
        <f t="shared" si="67"/>
        <v>85302.343656255849</v>
      </c>
      <c r="AR52" s="158">
        <f t="shared" si="67"/>
        <v>174252.56796995504</v>
      </c>
      <c r="AS52" s="158">
        <f t="shared" si="67"/>
        <v>277920.37456468667</v>
      </c>
      <c r="AT52" s="158">
        <f t="shared" si="67"/>
        <v>389771.05760797585</v>
      </c>
      <c r="AU52" s="158">
        <f t="shared" si="67"/>
        <v>448498.6338240871</v>
      </c>
      <c r="AV52" s="158">
        <f t="shared" si="67"/>
        <v>246582.05938392246</v>
      </c>
      <c r="AW52" s="158">
        <f t="shared" si="67"/>
        <v>101389.09403282584</v>
      </c>
      <c r="AX52" s="158">
        <f t="shared" si="67"/>
        <v>82837.062546605404</v>
      </c>
      <c r="AY52" s="158">
        <f t="shared" si="67"/>
        <v>46595.20583506368</v>
      </c>
      <c r="AZ52" s="158">
        <f t="shared" si="67"/>
        <v>0</v>
      </c>
      <c r="BA52" s="158">
        <f t="shared" si="67"/>
        <v>0</v>
      </c>
      <c r="BB52" s="158">
        <f t="shared" si="67"/>
        <v>0</v>
      </c>
      <c r="BC52" s="158">
        <f t="shared" si="67"/>
        <v>83827.420242688444</v>
      </c>
      <c r="BD52" s="158">
        <f t="shared" si="67"/>
        <v>171338.37730808993</v>
      </c>
      <c r="BE52" s="158">
        <f t="shared" si="67"/>
        <v>273626.71374311874</v>
      </c>
      <c r="BF52" s="158">
        <f t="shared" si="67"/>
        <v>384156.61724446225</v>
      </c>
      <c r="BG52" s="158">
        <f t="shared" si="67"/>
        <v>436483.56879693939</v>
      </c>
      <c r="BH52" s="158">
        <f t="shared" si="67"/>
        <v>227362.80831509357</v>
      </c>
      <c r="BI52" s="158">
        <f t="shared" si="67"/>
        <v>76103.997663911956</v>
      </c>
      <c r="BJ52" s="158">
        <f t="shared" si="67"/>
        <v>52317.010194485454</v>
      </c>
      <c r="BK52" s="158">
        <f t="shared" si="67"/>
        <v>12074.176216370506</v>
      </c>
      <c r="BL52" s="158">
        <f t="shared" si="67"/>
        <v>0</v>
      </c>
      <c r="BM52" s="158">
        <f t="shared" si="67"/>
        <v>0</v>
      </c>
      <c r="BN52" s="158">
        <f t="shared" si="67"/>
        <v>0</v>
      </c>
      <c r="BO52" s="158">
        <f t="shared" si="67"/>
        <v>79779.642340445178</v>
      </c>
      <c r="BP52" s="158">
        <f t="shared" ref="BP52:CU52" si="68">MAX(BP50-BP51,0)+BP46+MAX(BP42-BP40,0)</f>
        <v>161472.32621929483</v>
      </c>
      <c r="BQ52" s="158">
        <f t="shared" si="68"/>
        <v>247868.01009814447</v>
      </c>
      <c r="BR52" s="158">
        <f t="shared" si="68"/>
        <v>337752.69397699414</v>
      </c>
      <c r="BS52" s="158">
        <f t="shared" si="68"/>
        <v>364374.05086681177</v>
      </c>
      <c r="BT52" s="158">
        <f t="shared" si="68"/>
        <v>148619.43063187023</v>
      </c>
      <c r="BU52" s="158">
        <f t="shared" si="68"/>
        <v>0</v>
      </c>
      <c r="BV52" s="158">
        <f t="shared" si="68"/>
        <v>5202.092397735888</v>
      </c>
      <c r="BW52" s="158">
        <f t="shared" si="68"/>
        <v>20209.342907693976</v>
      </c>
      <c r="BX52" s="158">
        <f t="shared" si="68"/>
        <v>0</v>
      </c>
      <c r="BY52" s="158">
        <f t="shared" si="68"/>
        <v>0</v>
      </c>
      <c r="BZ52" s="158">
        <f t="shared" si="68"/>
        <v>0</v>
      </c>
      <c r="CA52" s="158">
        <f t="shared" si="68"/>
        <v>78860.911134718815</v>
      </c>
      <c r="CB52" s="158">
        <f t="shared" si="68"/>
        <v>159682.46175688339</v>
      </c>
      <c r="CC52" s="158">
        <f t="shared" si="68"/>
        <v>245325.01237904796</v>
      </c>
      <c r="CD52" s="158">
        <f t="shared" si="68"/>
        <v>334544.56300121255</v>
      </c>
      <c r="CE52" s="158">
        <f t="shared" si="68"/>
        <v>360715.77981017868</v>
      </c>
      <c r="CF52" s="158">
        <f t="shared" si="68"/>
        <v>137771.10379509401</v>
      </c>
      <c r="CG52" s="158">
        <f t="shared" si="68"/>
        <v>0</v>
      </c>
      <c r="CH52" s="158">
        <f t="shared" si="68"/>
        <v>4215.5143834199735</v>
      </c>
      <c r="CI52" s="158">
        <f t="shared" si="68"/>
        <v>19597.186304200299</v>
      </c>
      <c r="CJ52" s="158">
        <f t="shared" si="68"/>
        <v>0</v>
      </c>
      <c r="CK52" s="158">
        <f t="shared" si="68"/>
        <v>0</v>
      </c>
      <c r="CL52" s="158">
        <f t="shared" si="68"/>
        <v>0</v>
      </c>
      <c r="CM52" s="158">
        <f t="shared" si="68"/>
        <v>77919.352480266418</v>
      </c>
      <c r="CN52" s="158">
        <f t="shared" si="68"/>
        <v>157849.2698457459</v>
      </c>
      <c r="CO52" s="158">
        <f t="shared" si="68"/>
        <v>242721.18721122539</v>
      </c>
      <c r="CP52" s="158">
        <f t="shared" si="68"/>
        <v>331259.10457670485</v>
      </c>
      <c r="CQ52" s="158">
        <f t="shared" si="68"/>
        <v>356966.2695739289</v>
      </c>
      <c r="CR52" s="158">
        <f t="shared" si="68"/>
        <v>126653.05941946805</v>
      </c>
      <c r="CS52" s="158">
        <f t="shared" si="68"/>
        <v>0</v>
      </c>
      <c r="CT52" s="158">
        <f t="shared" si="68"/>
        <v>3203.7991254738999</v>
      </c>
      <c r="CU52" s="158">
        <f t="shared" si="68"/>
        <v>18970.047354528528</v>
      </c>
      <c r="CV52" s="158">
        <f t="shared" ref="CV52:DS52" si="69">MAX(CV50-CV51,0)+CV46+MAX(CV42-CV40,0)</f>
        <v>0</v>
      </c>
      <c r="CW52" s="158">
        <f t="shared" si="69"/>
        <v>0</v>
      </c>
      <c r="CX52" s="158">
        <f t="shared" si="69"/>
        <v>0</v>
      </c>
      <c r="CY52" s="158">
        <f t="shared" si="69"/>
        <v>76955.13892836195</v>
      </c>
      <c r="CZ52" s="158">
        <f t="shared" si="69"/>
        <v>155970.76813970428</v>
      </c>
      <c r="DA52" s="158">
        <f t="shared" si="69"/>
        <v>240051.39735104662</v>
      </c>
      <c r="DB52" s="158">
        <f t="shared" si="69"/>
        <v>327889.02656238893</v>
      </c>
      <c r="DC52" s="158">
        <f t="shared" si="69"/>
        <v>353122.03781188466</v>
      </c>
      <c r="DD52" s="158">
        <f t="shared" si="69"/>
        <v>115255.50536391046</v>
      </c>
      <c r="DE52" s="158">
        <f t="shared" si="69"/>
        <v>0</v>
      </c>
      <c r="DF52" s="158">
        <f t="shared" si="69"/>
        <v>2167.774072623698</v>
      </c>
      <c r="DG52" s="158">
        <f t="shared" si="69"/>
        <v>18328.25350740469</v>
      </c>
      <c r="DH52" s="158">
        <f t="shared" si="69"/>
        <v>0</v>
      </c>
      <c r="DI52" s="158">
        <f t="shared" si="69"/>
        <v>0</v>
      </c>
      <c r="DJ52" s="158">
        <f t="shared" si="69"/>
        <v>0</v>
      </c>
      <c r="DK52" s="158">
        <f t="shared" si="69"/>
        <v>75966.270479005427</v>
      </c>
      <c r="DL52" s="158">
        <f t="shared" si="69"/>
        <v>154043.78408748459</v>
      </c>
      <c r="DM52" s="158">
        <f t="shared" si="69"/>
        <v>237312.29769596373</v>
      </c>
      <c r="DN52" s="158">
        <f t="shared" si="69"/>
        <v>324432.81130444288</v>
      </c>
      <c r="DO52" s="158">
        <f t="shared" si="69"/>
        <v>349179.41197277181</v>
      </c>
      <c r="DP52" s="158">
        <f t="shared" si="69"/>
        <v>103569.76907714712</v>
      </c>
      <c r="DQ52" s="158">
        <f t="shared" si="69"/>
        <v>0</v>
      </c>
      <c r="DR52" s="158">
        <f t="shared" si="69"/>
        <v>1104.7843274173038</v>
      </c>
      <c r="DS52" s="158">
        <f t="shared" si="69"/>
        <v>17669.149865376727</v>
      </c>
    </row>
    <row r="53" spans="1:123" ht="12.75" customHeight="1" x14ac:dyDescent="0.35">
      <c r="A53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53" s="160">
        <f>SUM(D53:BQ53)</f>
        <v>1337868.8852076563</v>
      </c>
      <c r="C53" s="161">
        <f>B53/60</f>
        <v>22297.814753460938</v>
      </c>
      <c r="D53" s="162">
        <f>IF(D52&gt;0,0,MAX(D40-D42-D46-D50,0)*Premissas!$B$5+MAX(D41-D44-(IF(Premissas!$B$8&gt;0,MAX(D42+D46+D50-D40,0)*Premissas!$B$8,0)),0)*Premissas!$B$6)</f>
        <v>0</v>
      </c>
      <c r="E53" s="162">
        <f>IF(E52&gt;0,0,MAX(E40-E42-E46-E50,0)*Premissas!$B$5+MAX(E41-E44-(IF(Premissas!$B$8&gt;0,MAX(E42+E46+E50-E40,0)*Premissas!$B$8,0)),0)*Premissas!$B$6)</f>
        <v>0</v>
      </c>
      <c r="F53" s="162">
        <f>IF(F52&gt;0,0,MAX(F40-F42-F46-F50,0)*Premissas!$B$5+MAX(F41-F44-(IF(Premissas!$B$8&gt;0,MAX(F42+F46+F50-F40,0)*Premissas!$B$8,0)),0)*Premissas!$B$6)</f>
        <v>0</v>
      </c>
      <c r="G53" s="162">
        <f>IF(G52&gt;0,0,MAX(G40-G42-G46-G50,0)*Premissas!$B$5+MAX(G41-G44-(IF(Premissas!$B$8&gt;0,MAX(G42+G46+G50-G40,0)*Premissas!$B$8,0)),0)*Premissas!$B$6)</f>
        <v>0</v>
      </c>
      <c r="H53" s="162">
        <f>IF(H52&gt;0,0,MAX(H40-H42-H46-H50,0)*Premissas!$B$5+MAX(H41-H44-(IF(Premissas!$B$8&gt;0,MAX(H42+H46+H50-H40,0)*Premissas!$B$8,0)),0)*Premissas!$B$6)</f>
        <v>0</v>
      </c>
      <c r="I53" s="162">
        <f>IF(I52&gt;0,0,MAX(I40-I42-I46-I50,0)*Premissas!$B$5+MAX(I41-I44-(IF(Premissas!$B$8&gt;0,MAX(I42+I46+I50-I40,0)*Premissas!$B$8,0)),0)*Premissas!$B$6)</f>
        <v>0</v>
      </c>
      <c r="J53" s="162">
        <f>IF(J52&gt;0,0,MAX(J40-J42-J46-J50,0)*Premissas!$B$5+MAX(J41-J44-(IF(Premissas!$B$8&gt;0,MAX(J42+J46+J50-J40,0)*Premissas!$B$8,0)),0)*Premissas!$B$6)</f>
        <v>0</v>
      </c>
      <c r="K53" s="162">
        <f>IF(K52&gt;0,0,MAX(K40-K42-K46-K50,0)*Premissas!$B$5+MAX(K41-K44-(IF(Premissas!$B$8&gt;0,MAX(K42+K46+K50-K40,0)*Premissas!$B$8,0)),0)*Premissas!$B$6)</f>
        <v>0</v>
      </c>
      <c r="L53" s="162">
        <f>IF(L52&gt;0,0,MAX(L40-L42-L46-L50,0)*Premissas!$B$5+MAX(L41-L44-(IF(Premissas!$B$8&gt;0,MAX(L42+L46+L50-L40,0)*Premissas!$B$8,0)),0)*Premissas!$B$6)</f>
        <v>0</v>
      </c>
      <c r="M53" s="162">
        <f>IF(M52&gt;0,0,MAX(M40-M42-M46-M50,0)*Premissas!$B$5+MAX(M41-M44-(IF(Premissas!$B$8&gt;0,MAX(M42+M46+M50-M40,0)*Premissas!$B$8,0)),0)*Premissas!$B$6)</f>
        <v>0</v>
      </c>
      <c r="N53" s="162">
        <f>IF(N52&gt;0,0,MAX(N40-N42-N46-N50,0)*Premissas!$B$5+MAX(N41-N44-(IF(Premissas!$B$8&gt;0,MAX(N42+N46+N50-N40,0)*Premissas!$B$8,0)),0)*Premissas!$B$6)</f>
        <v>0</v>
      </c>
      <c r="O53" s="162">
        <f>IF(O52&gt;0,0,MAX(O40-O42-O46-O50,0)*Premissas!$B$5+MAX(O41-O44-(IF(Premissas!$B$8&gt;0,MAX(O42+O46+O50-O40,0)*Premissas!$B$8,0)),0)*Premissas!$B$6)</f>
        <v>0</v>
      </c>
      <c r="P53" s="162">
        <f>IF(P52&gt;0,0,MAX(P40-P42-P46-P50,0)*Premissas!$B$5+MAX(P41-P44-(IF(Premissas!$B$8&gt;0,MAX(P42+P46+P50-P40,0)*Premissas!$B$8,0)),0)*Premissas!$B$6)</f>
        <v>0</v>
      </c>
      <c r="Q53" s="162">
        <f>IF(Q52&gt;0,0,MAX(Q40-Q42-Q46-Q50,0)*Premissas!$B$5+MAX(Q41-Q44-(IF(Premissas!$B$8&gt;0,MAX(Q42+Q46+Q50-Q40,0)*Premissas!$B$8,0)),0)*Premissas!$B$6)</f>
        <v>0</v>
      </c>
      <c r="R53" s="162">
        <f>IF(R52&gt;0,0,MAX(R40-R42-R46-R50,0)*Premissas!$B$5+MAX(R41-R44-(IF(Premissas!$B$8&gt;0,MAX(R42+R46+R50-R40,0)*Premissas!$B$8,0)),0)*Premissas!$B$6)</f>
        <v>0</v>
      </c>
      <c r="S53" s="162">
        <f>IF(S52&gt;0,0,MAX(S40-S42-S46-S50,0)*Premissas!$B$5+MAX(S41-S44-(IF(Premissas!$B$8&gt;0,MAX(S42+S46+S50-S40,0)*Premissas!$B$8,0)),0)*Premissas!$B$6)</f>
        <v>0</v>
      </c>
      <c r="T53" s="162">
        <f>IF(T52&gt;0,0,MAX(T40-T42-T46-T50,0)*Premissas!$B$5+MAX(T41-T44-(IF(Premissas!$B$8&gt;0,MAX(T42+T46+T50-T40,0)*Premissas!$B$8,0)),0)*Premissas!$B$6)</f>
        <v>0</v>
      </c>
      <c r="U53" s="162">
        <f>IF(U52&gt;0,0,MAX(U40-U42-U46-U50,0)*Premissas!$B$5+MAX(U41-U44-(IF(Premissas!$B$8&gt;0,MAX(U42+U46+U50-U40,0)*Premissas!$B$8,0)),0)*Premissas!$B$6)</f>
        <v>0</v>
      </c>
      <c r="V53" s="162">
        <f>IF(V52&gt;0,0,MAX(V40-V42-V46-V50,0)*Premissas!$B$5+MAX(V41-V44-(IF(Premissas!$B$8&gt;0,MAX(V42+V46+V50-V40,0)*Premissas!$B$8,0)),0)*Premissas!$B$6)</f>
        <v>0</v>
      </c>
      <c r="W53" s="162">
        <f>IF(W52&gt;0,0,MAX(W40-W42-W46-W50,0)*Premissas!$B$5+MAX(W41-W44-(IF(Premissas!$B$8&gt;0,MAX(W42+W46+W50-W40,0)*Premissas!$B$8,0)),0)*Premissas!$B$6)</f>
        <v>0</v>
      </c>
      <c r="X53" s="162">
        <f>IF(X52&gt;0,0,MAX(X40-X42-X46-X50,0)*Premissas!$B$5+MAX(X41-X44-(IF(Premissas!$B$8&gt;0,MAX(X42+X46+X50-X40,0)*Premissas!$B$8,0)),0)*Premissas!$B$6)</f>
        <v>0</v>
      </c>
      <c r="Y53" s="162">
        <f>IF(Y52&gt;0,0,MAX(Y40-Y42-Y46-Y50,0)*Premissas!$B$5+MAX(Y41-Y44-(IF(Premissas!$B$8&gt;0,MAX(Y42+Y46+Y50-Y40,0)*Premissas!$B$8,0)),0)*Premissas!$B$6)</f>
        <v>0</v>
      </c>
      <c r="Z53" s="162">
        <f>IF(Z52&gt;0,0,MAX(Z40-Z42-Z46-Z50,0)*Premissas!$B$5+MAX(Z41-Z44-(IF(Premissas!$B$8&gt;0,MAX(Z42+Z46+Z50-Z40,0)*Premissas!$B$8,0)),0)*Premissas!$B$6)</f>
        <v>0</v>
      </c>
      <c r="AA53" s="162">
        <f>IF(AA52&gt;0,0,MAX(AA40-AA42-AA46-AA50,0)*Premissas!$B$5+MAX(AA41-AA44-(IF(Premissas!$B$8&gt;0,MAX(AA42+AA46+AA50-AA40,0)*Premissas!$B$8,0)),0)*Premissas!$B$6)</f>
        <v>0</v>
      </c>
      <c r="AB53" s="162">
        <f>IF(AB52&gt;0,0,MAX(AB40-AB42-AB46-AB50,0)*Premissas!$B$5+MAX(AB41-AB44-(IF(Premissas!$B$8&gt;0,MAX(AB42+AB44-AB40-AB41,0)*Premissas!$B$8,0)),0)*Premissas!$B$6)</f>
        <v>0</v>
      </c>
      <c r="AC53" s="162">
        <f>IF(AC52&gt;0,0,MAX(AC40-AC42-AC46-AC50,0)*Premissas!$B$5+MAX(AC41-AC44-(IF(Premissas!$B$8&gt;0,MAX(AC42+AC44-AC40-AC41,0)*Premissas!$B$8,0)),0)*Premissas!$B$6)</f>
        <v>84344.1288044143</v>
      </c>
      <c r="AD53" s="162">
        <f>IF(AD52&gt;0,0,MAX(AD40-AD42-AD46-AD50,0)*Premissas!$B$5+MAX(AD41-AD44-(IF(Premissas!$B$8&gt;0,MAX(AD42+AD44-AD40-AD41,0)*Premissas!$B$8,0)),0)*Premissas!$B$6)</f>
        <v>82520.561184689912</v>
      </c>
      <c r="AE53" s="162">
        <f>IF(AE52&gt;0,0,MAX(AE40-AE42-AE46-AE50,0)*Premissas!$B$5+MAX(AE41-AE44-(IF(Premissas!$B$8&gt;0,MAX(AE42+AE44-AE40-AE41,0)*Premissas!$B$8,0)),0)*Premissas!$B$6)</f>
        <v>0</v>
      </c>
      <c r="AF53" s="162">
        <f>IF(AF52&gt;0,0,MAX(AF40-AF42-AF46-AF50,0)*Premissas!$B$5+MAX(AF41-AF44-(IF(Premissas!$B$8&gt;0,MAX(AF42+AF44-AF40-AF41,0)*Premissas!$B$8,0)),0)*Premissas!$B$6)</f>
        <v>0</v>
      </c>
      <c r="AG53" s="162">
        <f>IF(AG52&gt;0,0,MAX(AG40-AG42-AG46-AG50,0)*Premissas!$B$5+MAX(AG41-AG44-(IF(Premissas!$B$8&gt;0,MAX(AG42+AG44-AG40-AG41,0)*Premissas!$B$8,0)),0)*Premissas!$B$6)</f>
        <v>0</v>
      </c>
      <c r="AH53" s="162">
        <f>IF(AH52&gt;0,0,MAX(AH40-AH42-AH46-AH50,0)*Premissas!$B$5+MAX(AH41-AH44-(IF(Premissas!$B$8&gt;0,MAX(AH42+AH44-AH40-AH41,0)*Premissas!$B$8,0)),0)*Premissas!$B$6)</f>
        <v>0</v>
      </c>
      <c r="AI53" s="162">
        <f>IF(AI52&gt;0,0,MAX(AI40-AI42-AI46-AI50,0)*Premissas!$B$5+MAX(AI41-AI44-(IF(Premissas!$B$8&gt;0,MAX(AI42+AI44-AI40-AI41,0)*Premissas!$B$8,0)),0)*Premissas!$B$6)</f>
        <v>0</v>
      </c>
      <c r="AJ53" s="162">
        <f>IF(AJ52&gt;0,0,MAX(AJ40-AJ42-AJ46-AJ50,0)*Premissas!$B$5+MAX(AJ41-AJ44-(IF(Premissas!$B$8&gt;0,MAX(AJ42+AJ44-AJ40-AJ41,0)*Premissas!$B$8,0)),0)*Premissas!$B$6)</f>
        <v>0</v>
      </c>
      <c r="AK53" s="162">
        <f>IF(AK52&gt;0,0,MAX(AK40-AK42-AK46-AK50,0)*Premissas!$B$5+MAX(AK41-AK44-(IF(Premissas!$B$8&gt;0,MAX(AK42+AK44-AK40-AK41,0)*Premissas!$B$8,0)),0)*Premissas!$B$6)</f>
        <v>0</v>
      </c>
      <c r="AL53" s="162">
        <f>IF(AL52&gt;0,0,MAX(AL40-AL42-AL46-AL50,0)*Premissas!$B$5+MAX(AL41-AL44-(IF(Premissas!$B$8&gt;0,MAX(AL42+AL44-AL40-AL41,0)*Premissas!$B$8,0)),0)*Premissas!$B$6)</f>
        <v>0</v>
      </c>
      <c r="AM53" s="162">
        <f>IF(AM52&gt;0,0,MAX(AM40-AM42-AM46-AM50,0)*Premissas!$B$5+MAX(AM41-AM44-(IF(Premissas!$B$8&gt;0,MAX(AM42+AM44-AM40-AM41,0)*Premissas!$B$8,0)),0)*Premissas!$B$6)</f>
        <v>0</v>
      </c>
      <c r="AN53" s="162">
        <f>IF(AN52&gt;0,0,MAX(AN40-AN42-AN46-AN50,0)*Premissas!$B$5+MAX(AN41-AN44-(IF(Premissas!$B$8&gt;0,MAX(AN42+AN44-AN40-AN41,0)*Premissas!$B$8,0)),0)*Premissas!$B$6)</f>
        <v>97198.584265751299</v>
      </c>
      <c r="AO53" s="162">
        <f>IF(AO52&gt;0,0,MAX(AO40-AO42-AO46-AO50,0)*Premissas!$B$5+MAX(AO41-AO44-(IF(Premissas!$B$8&gt;0,MAX(AO42+AO44-AO40-AO41,0)*Premissas!$B$8,0)),0)*Premissas!$B$6)</f>
        <v>179978.67614706053</v>
      </c>
      <c r="AP53" s="162">
        <f>IF(AP52&gt;0,0,MAX(AP40-AP42-AP46-AP50,0)*Premissas!$B$5+MAX(AP41-AP44-(IF(Premissas!$B$8&gt;0,MAX(AP42+AP44-AP40-AP41,0)*Premissas!$B$8,0)),0)*Premissas!$B$6)</f>
        <v>85749.978971163393</v>
      </c>
      <c r="AQ53" s="162">
        <f>IF(AQ52&gt;0,0,MAX(AQ40-AQ42-AQ46-AQ50,0)*Premissas!$B$5+MAX(AQ41-AQ44-(IF(Premissas!$B$8&gt;0,MAX(AQ42+AQ44-AQ40-AQ41,0)*Premissas!$B$8,0)),0)*Premissas!$B$6)</f>
        <v>0</v>
      </c>
      <c r="AR53" s="162">
        <f>IF(AR52&gt;0,0,MAX(AR40-AR42-AR46-AR50,0)*Premissas!$B$5+MAX(AR41-AR44-(IF(Premissas!$B$8&gt;0,MAX(AR42+AR44-AR40-AR41,0)*Premissas!$B$8,0)),0)*Premissas!$B$6)</f>
        <v>0</v>
      </c>
      <c r="AS53" s="162">
        <f>IF(AS52&gt;0,0,MAX(AS40-AS42-AS46-AS50,0)*Premissas!$B$5+MAX(AS41-AS44-(IF(Premissas!$B$8&gt;0,MAX(AS42+AS44-AS40-AS41,0)*Premissas!$B$8,0)),0)*Premissas!$B$6)</f>
        <v>0</v>
      </c>
      <c r="AT53" s="162">
        <f>IF(AT52&gt;0,0,MAX(AT40-AT42-AT46-AT50,0)*Premissas!$B$5+MAX(AT41-AT44-(IF(Premissas!$B$8&gt;0,MAX(AT42+AT44-AT40-AT41,0)*Premissas!$B$8,0)),0)*Premissas!$B$6)</f>
        <v>0</v>
      </c>
      <c r="AU53" s="162">
        <f>IF(AU52&gt;0,0,MAX(AU40-AU42-AU46-AU50,0)*Premissas!$B$5+MAX(AU41-AU44-(IF(Premissas!$B$8&gt;0,MAX(AU42+AU44-AU40-AU41,0)*Premissas!$B$8,0)),0)*Premissas!$B$6)</f>
        <v>0</v>
      </c>
      <c r="AV53" s="162">
        <f>IF(AV52&gt;0,0,MAX(AV40-AV42-AV46-AV50,0)*Premissas!$B$5+MAX(AV41-AV44-(IF(Premissas!$B$8&gt;0,MAX(AV42+AV44-AV40-AV41,0)*Premissas!$B$8,0)),0)*Premissas!$B$6)</f>
        <v>0</v>
      </c>
      <c r="AW53" s="162">
        <f>IF(AW52&gt;0,0,MAX(AW40-AW42-AW46-AW50,0)*Premissas!$B$5+MAX(AW41-AW44-(IF(Premissas!$B$8&gt;0,MAX(AW42+AW44-AW40-AW41,0)*Premissas!$B$8,0)),0)*Premissas!$B$6)</f>
        <v>0</v>
      </c>
      <c r="AX53" s="162">
        <f>IF(AX52&gt;0,0,MAX(AX40-AX42-AX46-AX50,0)*Premissas!$B$5+MAX(AX41-AX44-(IF(Premissas!$B$8&gt;0,MAX(AX42+AX44-AX40-AX41,0)*Premissas!$B$8,0)),0)*Premissas!$B$6)</f>
        <v>0</v>
      </c>
      <c r="AY53" s="162">
        <f>IF(AY52&gt;0,0,MAX(AY40-AY42-AY46-AY50,0)*Premissas!$B$5+MAX(AY41-AY44-(IF(Premissas!$B$8&gt;0,MAX(AY42+AY44-AY40-AY41,0)*Premissas!$B$8,0)),0)*Premissas!$B$6)</f>
        <v>0</v>
      </c>
      <c r="AZ53" s="162">
        <f>IF(AZ52&gt;0,0,MAX(AZ40-AZ42-AZ46-AZ50,0)*Premissas!$B$5+MAX(AZ41-AZ44-(IF(Premissas!$B$8&gt;0,MAX(AZ42+AZ44-AZ40-AZ41,0)*Premissas!$B$8,0)),0)*Premissas!$B$6)</f>
        <v>118161.10461415502</v>
      </c>
      <c r="BA53" s="162">
        <f>IF(BA52&gt;0,0,MAX(BA40-BA42-BA46-BA50,0)*Premissas!$B$5+MAX(BA41-BA44-(IF(Premissas!$B$8&gt;0,MAX(BA42+BA44-BA40-BA41,0)*Premissas!$B$8,0)),0)*Premissas!$B$6)</f>
        <v>185576.36099809321</v>
      </c>
      <c r="BB53" s="162">
        <f>IF(BB52&gt;0,0,MAX(BB40-BB42-BB46-BB50,0)*Premissas!$B$5+MAX(BB41-BB44-(IF(Premissas!$B$8&gt;0,MAX(BB42+BB44-BB40-BB41,0)*Premissas!$B$8,0)),0)*Premissas!$B$6)</f>
        <v>89051.507299577919</v>
      </c>
      <c r="BC53" s="162">
        <f>IF(BC52&gt;0,0,MAX(BC40-BC42-BC46-BC50,0)*Premissas!$B$5+MAX(BC41-BC44-(IF(Premissas!$B$8&gt;0,MAX(BC42+BC44-BC40-BC41,0)*Premissas!$B$8,0)),0)*Premissas!$B$6)</f>
        <v>0</v>
      </c>
      <c r="BD53" s="162">
        <f>IF(BD52&gt;0,0,MAX(BD40-BD42-BD46-BD50,0)*Premissas!$B$5+MAX(BD41-BD44-(IF(Premissas!$B$8&gt;0,MAX(BD42+BD44-BD40-BD41,0)*Premissas!$B$8,0)),0)*Premissas!$B$6)</f>
        <v>0</v>
      </c>
      <c r="BE53" s="162">
        <f>IF(BE52&gt;0,0,MAX(BE40-BE42-BE46-BE50,0)*Premissas!$B$5+MAX(BE41-BE44-(IF(Premissas!$B$8&gt;0,MAX(BE42+BE44-BE40-BE41,0)*Premissas!$B$8,0)),0)*Premissas!$B$6)</f>
        <v>0</v>
      </c>
      <c r="BF53" s="162">
        <f>IF(BF52&gt;0,0,MAX(BF40-BF42-BF46-BF50,0)*Premissas!$B$5+MAX(BF41-BF44-(IF(Premissas!$B$8&gt;0,MAX(BF42+BF44-BF40-BF41,0)*Premissas!$B$8,0)),0)*Premissas!$B$6)</f>
        <v>0</v>
      </c>
      <c r="BG53" s="162">
        <f>IF(BG52&gt;0,0,MAX(BG40-BG42-BG46-BG50,0)*Premissas!$B$5+MAX(BG41-BG44-(IF(Premissas!$B$8&gt;0,MAX(BG42+BG44-BG40-BG41,0)*Premissas!$B$8,0)),0)*Premissas!$B$6)</f>
        <v>0</v>
      </c>
      <c r="BH53" s="162">
        <f>IF(BH52&gt;0,0,MAX(BH40-BH42-BH46-BH50,0)*Premissas!$B$5+MAX(BH41-BH44-(IF(Premissas!$B$8&gt;0,MAX(BH42+BH44-BH40-BH41,0)*Premissas!$B$8,0)),0)*Premissas!$B$6)</f>
        <v>0</v>
      </c>
      <c r="BI53" s="162">
        <f>IF(BI52&gt;0,0,MAX(BI40-BI42-BI46-BI50,0)*Premissas!$B$5+MAX(BI41-BI44-(IF(Premissas!$B$8&gt;0,MAX(BI42+BI44-BI40-BI41,0)*Premissas!$B$8,0)),0)*Premissas!$B$6)</f>
        <v>0</v>
      </c>
      <c r="BJ53" s="162">
        <f>IF(BJ52&gt;0,0,MAX(BJ40-BJ42-BJ46-BJ50,0)*Premissas!$B$5+MAX(BJ41-BJ44-(IF(Premissas!$B$8&gt;0,MAX(BJ42+BJ44-BJ40-BJ41,0)*Premissas!$B$8,0)),0)*Premissas!$B$6)</f>
        <v>0</v>
      </c>
      <c r="BK53" s="162">
        <f>IF(BK52&gt;0,0,MAX(BK40-BK42-BK46-BK50,0)*Premissas!$B$5+MAX(BK41-BK44-(IF(Premissas!$B$8&gt;0,MAX(BK42+BK44-BK40-BK41,0)*Premissas!$B$8,0)),0)*Premissas!$B$6)</f>
        <v>0</v>
      </c>
      <c r="BL53" s="162">
        <f>IF(BL52&gt;0,0,MAX(BL40-BL42-BL46-BL50,0)*Premissas!$B$5+MAX(BL41-BL44-(IF(Premissas!$B$8&gt;0,MAX(BL42+BL44-BL40-BL41,0)*Premissas!$B$8,0)),0)*Premissas!$B$6)</f>
        <v>132671.12838104632</v>
      </c>
      <c r="BM53" s="162">
        <f>IF(BM52&gt;0,0,MAX(BM40-BM42-BM46-BM50,0)*Premissas!$B$5+MAX(BM41-BM44-(IF(Premissas!$B$8&gt;0,MAX(BM42+BM44-BM40-BM41,0)*Premissas!$B$8,0)),0)*Premissas!$B$6)</f>
        <v>189774.05201147689</v>
      </c>
      <c r="BN53" s="162">
        <f>IF(BN52&gt;0,0,MAX(BN40-BN42-BN46-BN50,0)*Premissas!$B$5+MAX(BN41-BN44-(IF(Premissas!$B$8&gt;0,MAX(BN42+BN44-BN40-BN41,0)*Premissas!$B$8,0)),0)*Premissas!$B$6)</f>
        <v>92842.802530227578</v>
      </c>
      <c r="BO53" s="162">
        <f>IF(BO52&gt;0,0,MAX(BO40-BO42-BO46-BO50,0)*Premissas!$B$5+MAX(BO41-BO44-(IF(Premissas!$B$8&gt;0,MAX(BO42+BO44-BO40-BO41,0)*Premissas!$B$8,0)),0)*Premissas!$B$6)</f>
        <v>0</v>
      </c>
      <c r="BP53" s="162">
        <f>IF(BP52&gt;0,0,MAX(BP40-BP42-BP46-BP50,0)*Premissas!$B$5+MAX(BP41-BP44-(IF(Premissas!$B$8&gt;0,MAX(BP42+BP44-BP40-BP41,0)*Premissas!$B$8,0)),0)*Premissas!$B$6)</f>
        <v>0</v>
      </c>
      <c r="BQ53" s="162">
        <f>IF(BQ52&gt;0,0,MAX(BQ40-BQ42-BQ46-BQ50,0)*Premissas!$B$5+MAX(BQ41-BQ44-(IF(Premissas!$B$8&gt;0,MAX(BQ42+BQ44-BQ40-BQ41,0)*Premissas!$B$8,0)),0)*Premissas!$B$6)</f>
        <v>0</v>
      </c>
      <c r="BR53" s="162">
        <f>IF(BR52&gt;0,0,MAX(BR40-BR42-BR46-BR50,0)*Premissas!$B$5+MAX(BR41-BR44-(IF(Premissas!$B$8&gt;0,MAX(BR42+BR44-BR40-BR41,0)*Premissas!$B$8,0)),0)*Premissas!$B$6)</f>
        <v>0</v>
      </c>
      <c r="BS53" s="162">
        <f>IF(BS52&gt;0,0,MAX(BS40-BS42-BS46-BS50,0)*Premissas!$B$5+MAX(BS41-BS44-(IF(Premissas!$B$8&gt;0,MAX(BS42+BS44-BS40-BS41,0)*Premissas!$B$8,0)),0)*Premissas!$B$6)</f>
        <v>0</v>
      </c>
      <c r="BT53" s="162">
        <f>IF(BT52&gt;0,0,MAX(BT40-BT42-BT46-BT50,0)*Premissas!$B$5+MAX(BT41-BT44-(IF(Premissas!$B$8&gt;0,MAX(BT42+BT44-BT40-BT41,0)*Premissas!$B$8,0)),0)*Premissas!$B$6)</f>
        <v>0</v>
      </c>
      <c r="BU53" s="162">
        <f>IF(BU52&gt;0,0,MAX(BU40-BU42-BU46-BU50,0)*Premissas!$B$5+MAX(BU41-BU44-(IF(Premissas!$B$8&gt;0,MAX(BU42+BU44-BU40-BU41,0)*Premissas!$B$8,0)),0)*Premissas!$B$6)</f>
        <v>66358.370167383648</v>
      </c>
      <c r="BV53" s="162">
        <f>IF(BV52&gt;0,0,MAX(BV40-BV42-BV46-BV50,0)*Premissas!$B$5+MAX(BV41-BV44-(IF(Premissas!$B$8&gt;0,MAX(BV42+BV44-BV40-BV41,0)*Premissas!$B$8,0)),0)*Premissas!$B$6)</f>
        <v>0</v>
      </c>
      <c r="BW53" s="162">
        <f>IF(BW52&gt;0,0,MAX(BW40-BW42-BW46-BW50,0)*Premissas!$B$5+MAX(BW41-BW44-(IF(Premissas!$B$8&gt;0,MAX(BW42+BW44-BW40-BW41,0)*Premissas!$B$8,0)),0)*Premissas!$B$6)</f>
        <v>0</v>
      </c>
      <c r="BX53" s="162">
        <f>IF(BX52&gt;0,0,MAX(BX40-BX42-BX46-BX50,0)*Premissas!$B$5+MAX(BX41-BX44-(IF(Premissas!$B$8&gt;0,MAX(BX42+BX44-BX40-BX41,0)*Premissas!$B$8,0)),0)*Premissas!$B$6)</f>
        <v>132807.96246442883</v>
      </c>
      <c r="BY53" s="162">
        <f>IF(BY52&gt;0,0,MAX(BY40-BY42-BY46-BY50,0)*Premissas!$B$5+MAX(BY41-BY44-(IF(Premissas!$B$8&gt;0,MAX(BY42+BY44-BY40-BY41,0)*Premissas!$B$8,0)),0)*Premissas!$B$6)</f>
        <v>195463.96266118341</v>
      </c>
      <c r="BZ53" s="162">
        <f>IF(BZ52&gt;0,0,MAX(BZ40-BZ42-BZ46-BZ50,0)*Premissas!$B$5+MAX(BZ41-BZ44-(IF(Premissas!$B$8&gt;0,MAX(BZ42+BZ44-BZ40-BZ41,0)*Premissas!$B$8,0)),0)*Premissas!$B$6)</f>
        <v>96110.525744572122</v>
      </c>
      <c r="CA53" s="162">
        <f>IF(CA52&gt;0,0,MAX(CA40-CA42-CA46-CA50,0)*Premissas!$B$5+MAX(CA41-CA44-(IF(Premissas!$B$8&gt;0,MAX(CA42+CA44-CA40-CA41,0)*Premissas!$B$8,0)),0)*Premissas!$B$6)</f>
        <v>0</v>
      </c>
      <c r="CB53" s="162">
        <f>IF(CB52&gt;0,0,MAX(CB40-CB42-CB46-CB50,0)*Premissas!$B$5+MAX(CB41-CB44-(IF(Premissas!$B$8&gt;0,MAX(CB42+CB44-CB40-CB41,0)*Premissas!$B$8,0)),0)*Premissas!$B$6)</f>
        <v>0</v>
      </c>
      <c r="CC53" s="162">
        <f>IF(CC52&gt;0,0,MAX(CC40-CC42-CC46-CC50,0)*Premissas!$B$5+MAX(CC41-CC44-(IF(Premissas!$B$8&gt;0,MAX(CC42+CC44-CC40-CC41,0)*Premissas!$B$8,0)),0)*Premissas!$B$6)</f>
        <v>0</v>
      </c>
      <c r="CD53" s="162">
        <f>IF(CD52&gt;0,0,MAX(CD40-CD42-CD46-CD50,0)*Premissas!$B$5+MAX(CD41-CD44-(IF(Premissas!$B$8&gt;0,MAX(CD42+CD44-CD40-CD41,0)*Premissas!$B$8,0)),0)*Premissas!$B$6)</f>
        <v>0</v>
      </c>
      <c r="CE53" s="162">
        <f>IF(CE52&gt;0,0,MAX(CE40-CE42-CE46-CE50,0)*Premissas!$B$5+MAX(CE41-CE44-(IF(Premissas!$B$8&gt;0,MAX(CE42+CE44-CE40-CE41,0)*Premissas!$B$8,0)),0)*Premissas!$B$6)</f>
        <v>0</v>
      </c>
      <c r="CF53" s="162">
        <f>IF(CF52&gt;0,0,MAX(CF40-CF42-CF46-CF50,0)*Premissas!$B$5+MAX(CF41-CF44-(IF(Premissas!$B$8&gt;0,MAX(CF42+CF44-CF40-CF41,0)*Premissas!$B$8,0)),0)*Premissas!$B$6)</f>
        <v>0</v>
      </c>
      <c r="CG53" s="162">
        <f>IF(CG52&gt;0,0,MAX(CG40-CG42-CG46-CG50,0)*Premissas!$B$5+MAX(CG41-CG44-(IF(Premissas!$B$8&gt;0,MAX(CG42+CG44-CG40-CG41,0)*Premissas!$B$8,0)),0)*Premissas!$B$6)</f>
        <v>68016.957874142885</v>
      </c>
      <c r="CH53" s="162">
        <f>IF(CH52&gt;0,0,MAX(CH40-CH42-CH46-CH50,0)*Premissas!$B$5+MAX(CH41-CH44-(IF(Premissas!$B$8&gt;0,MAX(CH42+CH44-CH40-CH41,0)*Premissas!$B$8,0)),0)*Premissas!$B$6)</f>
        <v>0</v>
      </c>
      <c r="CI53" s="162">
        <f>IF(CI52&gt;0,0,MAX(CI40-CI42-CI46-CI50,0)*Premissas!$B$5+MAX(CI41-CI44-(IF(Premissas!$B$8&gt;0,MAX(CI42+CI44-CI40-CI41,0)*Premissas!$B$8,0)),0)*Premissas!$B$6)</f>
        <v>0</v>
      </c>
      <c r="CJ53" s="162">
        <f>IF(CJ52&gt;0,0,MAX(CJ40-CJ42-CJ46-CJ50,0)*Premissas!$B$5+MAX(CJ41-CJ44-(IF(Premissas!$B$8&gt;0,MAX(CJ42+CJ44-CJ40-CJ41,0)*Premissas!$B$8,0)),0)*Premissas!$B$6)</f>
        <v>137663.03649964737</v>
      </c>
      <c r="CK53" s="162">
        <f>IF(CK52&gt;0,0,MAX(CK40-CK42-CK46-CK50,0)*Premissas!$B$5+MAX(CK41-CK44-(IF(Premissas!$B$8&gt;0,MAX(CK42+CK44-CK40-CK41,0)*Premissas!$B$8,0)),0)*Premissas!$B$6)</f>
        <v>201297.74272402638</v>
      </c>
      <c r="CL53" s="162">
        <f>IF(CL52&gt;0,0,MAX(CL40-CL42-CL46-CL50,0)*Premissas!$B$5+MAX(CL41-CL44-(IF(Premissas!$B$8&gt;0,MAX(CL42+CL44-CL40-CL41,0)*Premissas!$B$8,0)),0)*Premissas!$B$6)</f>
        <v>99457.987508522405</v>
      </c>
      <c r="CM53" s="162">
        <f>IF(CM52&gt;0,0,MAX(CM40-CM42-CM46-CM50,0)*Premissas!$B$5+MAX(CM41-CM44-(IF(Premissas!$B$8&gt;0,MAX(CM42+CM44-CM40-CM41,0)*Premissas!$B$8,0)),0)*Premissas!$B$6)</f>
        <v>0</v>
      </c>
      <c r="CN53" s="162">
        <f>IF(CN52&gt;0,0,MAX(CN40-CN42-CN46-CN50,0)*Premissas!$B$5+MAX(CN41-CN44-(IF(Premissas!$B$8&gt;0,MAX(CN42+CN44-CN40-CN41,0)*Premissas!$B$8,0)),0)*Premissas!$B$6)</f>
        <v>0</v>
      </c>
      <c r="CO53" s="162">
        <f>IF(CO52&gt;0,0,MAX(CO40-CO42-CO46-CO50,0)*Premissas!$B$5+MAX(CO41-CO44-(IF(Premissas!$B$8&gt;0,MAX(CO42+CO44-CO40-CO41,0)*Premissas!$B$8,0)),0)*Premissas!$B$6)</f>
        <v>0</v>
      </c>
      <c r="CP53" s="162">
        <f>IF(CP52&gt;0,0,MAX(CP40-CP42-CP46-CP50,0)*Premissas!$B$5+MAX(CP41-CP44-(IF(Premissas!$B$8&gt;0,MAX(CP42+CP44-CP40-CP41,0)*Premissas!$B$8,0)),0)*Premissas!$B$6)</f>
        <v>0</v>
      </c>
      <c r="CQ53" s="162">
        <f>IF(CQ52&gt;0,0,MAX(CQ40-CQ42-CQ46-CQ50,0)*Premissas!$B$5+MAX(CQ41-CQ44-(IF(Premissas!$B$8&gt;0,MAX(CQ42+CQ44-CQ40-CQ41,0)*Premissas!$B$8,0)),0)*Premissas!$B$6)</f>
        <v>0</v>
      </c>
      <c r="CR53" s="162">
        <f>IF(CR52&gt;0,0,MAX(CR40-CR42-CR46-CR50,0)*Premissas!$B$5+MAX(CR41-CR44-(IF(Premissas!$B$8&gt;0,MAX(CR42+CR44-CR40-CR41,0)*Premissas!$B$8,0)),0)*Premissas!$B$6)</f>
        <v>0</v>
      </c>
      <c r="CS53" s="162">
        <f>IF(CS52&gt;0,0,MAX(CS40-CS42-CS46-CS50,0)*Premissas!$B$5+MAX(CS41-CS44-(IF(Premissas!$B$8&gt;0,MAX(CS42+CS44-CS40-CS41,0)*Premissas!$B$8,0)),0)*Premissas!$B$6)</f>
        <v>76355.732586662882</v>
      </c>
      <c r="CT53" s="162">
        <f>IF(CT52&gt;0,0,MAX(CT40-CT42-CT46-CT50,0)*Premissas!$B$5+MAX(CT41-CT44-(IF(Premissas!$B$8&gt;0,MAX(CT42+CT44-CT40-CT41,0)*Premissas!$B$8,0)),0)*Premissas!$B$6)</f>
        <v>0</v>
      </c>
      <c r="CU53" s="162">
        <f>IF(CU52&gt;0,0,MAX(CU40-CU42-CU46-CU50,0)*Premissas!$B$5+MAX(CU41-CU44-(IF(Premissas!$B$8&gt;0,MAX(CU42+CU44-CU40-CU41,0)*Premissas!$B$8,0)),0)*Premissas!$B$6)</f>
        <v>0</v>
      </c>
      <c r="CV53" s="162">
        <f>IF(CV52&gt;0,0,MAX(CV40-CV42-CV46-CV50,0)*Premissas!$B$5+MAX(CV41-CV44-(IF(Premissas!$B$8&gt;0,MAX(CV42+CV44-CV40-CV41,0)*Premissas!$B$8,0)),0)*Premissas!$B$6)</f>
        <v>142637.10580564558</v>
      </c>
      <c r="CW53" s="162">
        <f>IF(CW52&gt;0,0,MAX(CW40-CW42-CW46-CW50,0)*Premissas!$B$5+MAX(CW41-CW44-(IF(Premissas!$B$8&gt;0,MAX(CW42+CW44-CW40-CW41,0)*Premissas!$B$8,0)),0)*Premissas!$B$6)</f>
        <v>207275.05217615969</v>
      </c>
      <c r="CX53" s="162">
        <f>IF(CX52&gt;0,0,MAX(CX40-CX42-CX46-CX50,0)*Premissas!$B$5+MAX(CX41-CX44-(IF(Premissas!$B$8&gt;0,MAX(CX42+CX44-CX40-CX41,0)*Premissas!$B$8,0)),0)*Premissas!$B$6)</f>
        <v>102889.21314370391</v>
      </c>
      <c r="CY53" s="162">
        <f>IF(CY52&gt;0,0,MAX(CY40-CY42-CY46-CY50,0)*Premissas!$B$5+MAX(CY41-CY44-(IF(Premissas!$B$8&gt;0,MAX(CY42+CY44-CY40-CY41,0)*Premissas!$B$8,0)),0)*Premissas!$B$6)</f>
        <v>0</v>
      </c>
      <c r="CZ53" s="162">
        <f>IF(CZ52&gt;0,0,MAX(CZ40-CZ42-CZ46-CZ50,0)*Premissas!$B$5+MAX(CZ41-CZ44-(IF(Premissas!$B$8&gt;0,MAX(CZ42+CZ44-CZ40-CZ41,0)*Premissas!$B$8,0)),0)*Premissas!$B$6)</f>
        <v>0</v>
      </c>
      <c r="DA53" s="162">
        <f>IF(DA52&gt;0,0,MAX(DA40-DA42-DA46-DA50,0)*Premissas!$B$5+MAX(DA41-DA44-(IF(Premissas!$B$8&gt;0,MAX(DA42+DA44-DA40-DA41,0)*Premissas!$B$8,0)),0)*Premissas!$B$6)</f>
        <v>0</v>
      </c>
      <c r="DB53" s="162">
        <f>IF(DB52&gt;0,0,MAX(DB40-DB42-DB46-DB50,0)*Premissas!$B$5+MAX(DB41-DB44-(IF(Premissas!$B$8&gt;0,MAX(DB42+DB44-DB40-DB41,0)*Premissas!$B$8,0)),0)*Premissas!$B$6)</f>
        <v>0</v>
      </c>
      <c r="DC53" s="162">
        <f>IF(DC52&gt;0,0,MAX(DC40-DC42-DC46-DC50,0)*Premissas!$B$5+MAX(DC41-DC44-(IF(Premissas!$B$8&gt;0,MAX(DC42+DC44-DC40-DC41,0)*Premissas!$B$8,0)),0)*Premissas!$B$6)</f>
        <v>0</v>
      </c>
      <c r="DD53" s="162">
        <f>IF(DD52&gt;0,0,MAX(DD40-DD42-DD46-DD50,0)*Premissas!$B$5+MAX(DD41-DD44-(IF(Premissas!$B$8&gt;0,MAX(DD42+DD44-DD40-DD41,0)*Premissas!$B$8,0)),0)*Premissas!$B$6)</f>
        <v>0</v>
      </c>
      <c r="DE53" s="162">
        <f>IF(DE52&gt;0,0,MAX(DE40-DE42-DE46-DE50,0)*Premissas!$B$5+MAX(DE41-DE44-(IF(Premissas!$B$8&gt;0,MAX(DE42+DE44-DE40-DE41,0)*Premissas!$B$8,0)),0)*Premissas!$B$6)</f>
        <v>86879.716772031636</v>
      </c>
      <c r="DF53" s="162">
        <f>IF(DF52&gt;0,0,MAX(DF40-DF42-DF46-DF50,0)*Premissas!$B$5+MAX(DF41-DF44-(IF(Premissas!$B$8&gt;0,MAX(DF42+DF44-DF40-DF41,0)*Premissas!$B$8,0)),0)*Premissas!$B$6)</f>
        <v>0</v>
      </c>
      <c r="DG53" s="162">
        <f>IF(DG52&gt;0,0,MAX(DG40-DG42-DG46-DG50,0)*Premissas!$B$5+MAX(DG41-DG44-(IF(Premissas!$B$8&gt;0,MAX(DG42+DG44-DG40-DG41,0)*Premissas!$B$8,0)),0)*Premissas!$B$6)</f>
        <v>0</v>
      </c>
      <c r="DH53" s="162">
        <f>IF(DH52&gt;0,0,MAX(DH40-DH42-DH46-DH50,0)*Premissas!$B$5+MAX(DH41-DH44-(IF(Premissas!$B$8&gt;0,MAX(DH42+DH44-DH40-DH41,0)*Premissas!$B$8,0)),0)*Premissas!$B$6)</f>
        <v>147737.52216226832</v>
      </c>
      <c r="DI53" s="162">
        <f>IF(DI52&gt;0,0,MAX(DI40-DI42-DI46-DI50,0)*Premissas!$B$5+MAX(DI41-DI44-(IF(Premissas!$B$8&gt;0,MAX(DI42+DI44-DI40-DI41,0)*Premissas!$B$8,0)),0)*Premissas!$B$6)</f>
        <v>213403.41518972296</v>
      </c>
      <c r="DJ53" s="162">
        <f>IF(DJ52&gt;0,0,MAX(DJ40-DJ42-DJ46-DJ50,0)*Premissas!$B$5+MAX(DJ41-DJ44-(IF(Premissas!$B$8&gt;0,MAX(DJ42+DJ44-DJ40-DJ41,0)*Premissas!$B$8,0)),0)*Premissas!$B$6)</f>
        <v>106406.30853456203</v>
      </c>
      <c r="DK53" s="162">
        <f>IF(DK52&gt;0,0,MAX(DK40-DK42-DK46-DK50,0)*Premissas!$B$5+MAX(DK41-DK44-(IF(Premissas!$B$8&gt;0,MAX(DK42+DK44-DK40-DK41,0)*Premissas!$B$8,0)),0)*Premissas!$B$6)</f>
        <v>0</v>
      </c>
      <c r="DL53" s="162">
        <f>IF(DL52&gt;0,0,MAX(DL40-DL42-DL46-DL50,0)*Premissas!$B$5+MAX(DL41-DL44-(IF(Premissas!$B$8&gt;0,MAX(DL42+DL44-DL40-DL41,0)*Premissas!$B$8,0)),0)*Premissas!$B$6)</f>
        <v>0</v>
      </c>
      <c r="DM53" s="162">
        <f>IF(DM52&gt;0,0,MAX(DM40-DM42-DM46-DM50,0)*Premissas!$B$5+MAX(DM41-DM44-(IF(Premissas!$B$8&gt;0,MAX(DM42+DM44-DM40-DM41,0)*Premissas!$B$8,0)),0)*Premissas!$B$6)</f>
        <v>0</v>
      </c>
      <c r="DN53" s="162">
        <f>IF(DN52&gt;0,0,MAX(DN40-DN42-DN46-DN50,0)*Premissas!$B$5+MAX(DN41-DN44-(IF(Premissas!$B$8&gt;0,MAX(DN42+DN44-DN40-DN41,0)*Premissas!$B$8,0)),0)*Premissas!$B$6)</f>
        <v>0</v>
      </c>
      <c r="DO53" s="162">
        <f>IF(DO52&gt;0,0,MAX(DO40-DO42-DO46-DO50,0)*Premissas!$B$5+MAX(DO41-DO44-(IF(Premissas!$B$8&gt;0,MAX(DO42+DO44-DO40-DO41,0)*Premissas!$B$8,0)),0)*Premissas!$B$6)</f>
        <v>0</v>
      </c>
      <c r="DP53" s="162">
        <f>IF(DP52&gt;0,0,MAX(DP40-DP42-DP46-DP50,0)*Premissas!$B$5+MAX(DP41-DP44-(IF(Premissas!$B$8&gt;0,MAX(DP42+DP44-DP40-DP41,0)*Premissas!$B$8,0)),0)*Premissas!$B$6)</f>
        <v>0</v>
      </c>
      <c r="DQ53" s="162">
        <f>IF(DQ52&gt;0,0,MAX(DQ40-DQ42-DQ46-DQ50,0)*Premissas!$B$5+MAX(DQ41-DQ44-(IF(Premissas!$B$8&gt;0,MAX(DQ42+DQ44-DQ40-DQ41,0)*Premissas!$B$8,0)),0)*Premissas!$B$6)</f>
        <v>97666.00160415862</v>
      </c>
      <c r="DR53" s="162">
        <f>IF(DR52&gt;0,0,MAX(DR40-DR42-DR46-DR50,0)*Premissas!$B$5+MAX(DR41-DR44-(IF(Premissas!$B$8&gt;0,MAX(DR42+DR44-DR40-DR41,0)*Premissas!$B$8,0)),0)*Premissas!$B$6)</f>
        <v>0</v>
      </c>
      <c r="DS53" s="162">
        <f>IF(DS52&gt;0,0,MAX(DS40-DS42-DS46-DS50,0)*Premissas!$B$5+MAX(DS41-DS44-(IF(Premissas!$B$8&gt;0,MAX(DS42+DS44-DS40-DS41,0)*Premissas!$B$8,0)),0)*Premissas!$B$6)</f>
        <v>0</v>
      </c>
    </row>
    <row r="54" spans="1:123" ht="12.75" customHeight="1" x14ac:dyDescent="0.35">
      <c r="A54" s="163" t="s">
        <v>498</v>
      </c>
      <c r="B54" s="164">
        <f>SUM(D54:BQ54)</f>
        <v>0</v>
      </c>
      <c r="C54" s="144">
        <f>B54/60</f>
        <v>0</v>
      </c>
      <c r="D54" s="164">
        <f>IF(D49&gt;0,0,MAX(D40-D42-D45+D46-D47,0)*Premissas!$B$5+MAX(D41-D44-(IF(Premissas!$B$8&gt;0,MAX(D42+D45+D46+D47-D40,0)*Premissas!$B$8,0)),0)*Premissas!$B$6)</f>
        <v>0</v>
      </c>
      <c r="E54" s="164">
        <f>IF(E49&gt;0,0,MAX(E40-E42-E45+E46-E47,0)*Premissas!$B$5+MAX(E41-E44-(IF(Premissas!$B$8&gt;0,MAX(E42+E45+E46+E47-E40,0)*Premissas!$B$8,0)),0)*Premissas!$B$6)</f>
        <v>0</v>
      </c>
      <c r="F54" s="164">
        <f>IF(F49&gt;0,0,MAX(F40-F42-F45+F46-F47,0)*Premissas!$B$5+MAX(F41-F44-(IF(Premissas!$B$8&gt;0,MAX(F42+F45+F46+F47-F40,0)*Premissas!$B$8,0)),0)*Premissas!$B$6)</f>
        <v>0</v>
      </c>
      <c r="G54" s="164">
        <f>IF(G49&gt;0,0,MAX(G40-G42-G45+G46-G47,0)*Premissas!$B$5+MAX(G41-G44-(IF(Premissas!$B$8&gt;0,MAX(G42+G45+G46+G47-G40,0)*Premissas!$B$8,0)),0)*Premissas!$B$6)</f>
        <v>0</v>
      </c>
      <c r="H54" s="164">
        <f>IF(H49&gt;0,0,MAX(H40-H42-H45+H46-H47,0)*Premissas!$B$5+MAX(H41-H44-(IF(Premissas!$B$8&gt;0,MAX(H42+H45+H46+H47-H40,0)*Premissas!$B$8,0)),0)*Premissas!$B$6)</f>
        <v>0</v>
      </c>
      <c r="I54" s="164">
        <f>IF(I49&gt;0,0,MAX(I40-I42-I45+I46-I47,0)*Premissas!$B$5+MAX(I41-I44-(IF(Premissas!$B$8&gt;0,MAX(I42+I45+I46+I47-I40,0)*Premissas!$B$8,0)),0)*Premissas!$B$6)</f>
        <v>0</v>
      </c>
      <c r="J54" s="164">
        <f>IF(J49&gt;0,0,MAX(J40-J42-J45+J46-J47,0)*Premissas!$B$5+MAX(J41-J44-(IF(Premissas!$B$8&gt;0,MAX(J42+J45+J46+J47-J40,0)*Premissas!$B$8,0)),0)*Premissas!$B$6)</f>
        <v>0</v>
      </c>
      <c r="K54" s="164">
        <f>IF(K49&gt;0,0,MAX(K40-K42-K45+K46-K47,0)*Premissas!$B$5+MAX(K41-K44-(IF(Premissas!$B$8&gt;0,MAX(K42+K45+K46+K47-K40,0)*Premissas!$B$8,0)),0)*Premissas!$B$6)</f>
        <v>0</v>
      </c>
      <c r="L54" s="164">
        <f>IF(L49&gt;0,0,MAX(L40-L42-L45+L46-L47,0)*Premissas!$B$5+MAX(L41-L44-(IF(Premissas!$B$8&gt;0,MAX(L42+L45+L46+L47-L40,0)*Premissas!$B$8,0)),0)*Premissas!$B$6)</f>
        <v>0</v>
      </c>
      <c r="M54" s="164">
        <f>IF(M49&gt;0,0,MAX(M40-M42-M45+M46-M47,0)*Premissas!$B$5+MAX(M41-M44-(IF(Premissas!$B$8&gt;0,MAX(M42+M45+M46+M47-M40,0)*Premissas!$B$8,0)),0)*Premissas!$B$6)</f>
        <v>0</v>
      </c>
      <c r="N54" s="164">
        <f>IF(N49&gt;0,0,MAX(N40-N42-N45+N46-N47,0)*Premissas!$B$5+MAX(N41-N44-(IF(Premissas!$B$8&gt;0,MAX(N42+N45+N46+N47-N40,0)*Premissas!$B$8,0)),0)*Premissas!$B$6)</f>
        <v>0</v>
      </c>
      <c r="O54" s="164">
        <f>IF(O49&gt;0,0,MAX(O40-O42-O45+O46-O47,0)*Premissas!$B$5+MAX(O41-O44-(IF(Premissas!$B$8&gt;0,MAX(O42+O45+O46+O47-O40,0)*Premissas!$B$8,0)),0)*Premissas!$B$6)</f>
        <v>0</v>
      </c>
      <c r="P54" s="164">
        <f>IF(P49&gt;0,0,MAX(P40-P42-P45+P46-P47,0)*Premissas!$B$5+MAX(P41-P44-(IF(Premissas!$B$8&gt;0,MAX(P42+P45+P46+P47-P40,0)*Premissas!$B$8,0)),0)*Premissas!$B$6)</f>
        <v>0</v>
      </c>
      <c r="Q54" s="164">
        <f>IF(Q49&gt;0,0,MAX(Q40-Q42-Q45+Q46-Q47,0)*Premissas!$B$5+MAX(Q41-Q44-(IF(Premissas!$B$8&gt;0,MAX(Q42+Q45+Q46+Q47-Q40,0)*Premissas!$B$8,0)),0)*Premissas!$B$6)</f>
        <v>0</v>
      </c>
      <c r="R54" s="164">
        <f>IF(R49&gt;0,0,MAX(R40-R42-R45+R46-R47,0)*Premissas!$B$5+MAX(R41-R44-(IF(Premissas!$B$8&gt;0,MAX(R42+R45+R46+R47-R40,0)*Premissas!$B$8,0)),0)*Premissas!$B$6)</f>
        <v>0</v>
      </c>
      <c r="S54" s="164">
        <f>IF(S49&gt;0,0,MAX(S40-S42-S45+S46-S47,0)*Premissas!$B$5+MAX(S41-S44-(IF(Premissas!$B$8&gt;0,MAX(S42+S45+S46+S47-S40,0)*Premissas!$B$8,0)),0)*Premissas!$B$6)</f>
        <v>0</v>
      </c>
      <c r="T54" s="164">
        <f>IF(T49&gt;0,0,MAX(T40-T42-T45+T46-T47,0)*Premissas!$B$5+MAX(T41-T44-(IF(Premissas!$B$8&gt;0,MAX(T42+T45+T46+T47-T40,0)*Premissas!$B$8,0)),0)*Premissas!$B$6)</f>
        <v>0</v>
      </c>
      <c r="U54" s="164">
        <f>IF(U49&gt;0,0,MAX(U40-U42-U45+U46-U47,0)*Premissas!$B$5+MAX(U41-U44-(IF(Premissas!$B$8&gt;0,MAX(U42+U45+U46+U47-U40,0)*Premissas!$B$8,0)),0)*Premissas!$B$6)</f>
        <v>0</v>
      </c>
      <c r="V54" s="164">
        <f>IF(V49&gt;0,0,MAX(V40-V42-V45+V46-V47,0)*Premissas!$B$5+MAX(V41-V44-(IF(Premissas!$B$8&gt;0,MAX(V42+V45+V46+V47-V40,0)*Premissas!$B$8,0)),0)*Premissas!$B$6)</f>
        <v>0</v>
      </c>
      <c r="W54" s="164">
        <f>IF(W49&gt;0,0,MAX(W40-W42-W45+W46-W47,0)*Premissas!$B$5+MAX(W41-W44-(IF(Premissas!$B$8&gt;0,MAX(W42+W45+W46+W47-W40,0)*Premissas!$B$8,0)),0)*Premissas!$B$6)</f>
        <v>0</v>
      </c>
      <c r="X54" s="164">
        <f>IF(X49&gt;0,0,MAX(X40-X42-X45+X46-X47,0)*Premissas!$B$5+MAX(X41-X44-(IF(Premissas!$B$8&gt;0,MAX(X42+X45+X46+X47-X40,0)*Premissas!$B$8,0)),0)*Premissas!$B$6)</f>
        <v>0</v>
      </c>
      <c r="Y54" s="164">
        <f>IF(Y49&gt;0,0,MAX(Y40-Y42-Y45+Y46-Y47,0)*Premissas!$B$5+MAX(Y41-Y44-(IF(Premissas!$B$8&gt;0,MAX(Y42+Y45+Y46+Y47-Y40,0)*Premissas!$B$8,0)),0)*Premissas!$B$6)</f>
        <v>0</v>
      </c>
      <c r="Z54" s="164">
        <f>IF(Z49&gt;0,0,MAX(Z40-Z42-Z45+Z46-Z47,0)*Premissas!$B$5+MAX(Z41-Z44-(IF(Premissas!$B$8&gt;0,MAX(Z42+Z45+Z46+Z47-Z40,0)*Premissas!$B$8,0)),0)*Premissas!$B$6)</f>
        <v>0</v>
      </c>
      <c r="AA54" s="164">
        <f>IF(AA49&gt;0,0,MAX(AA40-AA42-AA45+AA46-AA47,0)*Premissas!$B$5+MAX(AA41-AA44-(IF(Premissas!$B$8&gt;0,MAX(AA42+AA45+AA46+AA47-AA40,0)*Premissas!$B$8,0)),0)*Premissas!$B$6)</f>
        <v>0</v>
      </c>
      <c r="AB54" s="164">
        <f>IF(AB49&gt;0,0,MAX(AB40-AB42-AB45+AB46-AB47,0)*Premissas!$B$5+MAX(AB41-AB44-(IF(Premissas!$B$8&gt;0,MAX(AB42+AB44-AB40-AB41,0)*Premissas!$B$8,0)),0)*Premissas!$B$6)</f>
        <v>0</v>
      </c>
      <c r="AC54" s="164">
        <f>IF(AC49&gt;0,0,MAX(AC40-AC42-AC45+AC46-AC47,0)*Premissas!$B$5+MAX(AC41-AC44-(IF(Premissas!$B$8&gt;0,MAX(AC42+AC44-AC40-AC41,0)*Premissas!$B$8,0)),0)*Premissas!$B$6)</f>
        <v>0</v>
      </c>
      <c r="AD54" s="164">
        <f>IF(AD49&gt;0,0,MAX(AD40-AD42-AD45+AD46-AD47,0)*Premissas!$B$5+MAX(AD41-AD44-(IF(Premissas!$B$8&gt;0,MAX(AD42+AD44-AD40-AD41,0)*Premissas!$B$8,0)),0)*Premissas!$B$6)</f>
        <v>0</v>
      </c>
      <c r="AE54" s="164">
        <f>IF(AE49&gt;0,0,MAX(AE40-AE42-AE45+AE46-AE47,0)*Premissas!$B$5+MAX(AE41-AE44-(IF(Premissas!$B$8&gt;0,MAX(AE42+AE44-AE40-AE41,0)*Premissas!$B$8,0)),0)*Premissas!$B$6)</f>
        <v>0</v>
      </c>
      <c r="AF54" s="164">
        <f>IF(AF49&gt;0,0,MAX(AF40-AF42-AF45+AF46-AF47,0)*Premissas!$B$5+MAX(AF41-AF44-(IF(Premissas!$B$8&gt;0,MAX(AF42+AF44-AF40-AF41,0)*Premissas!$B$8,0)),0)*Premissas!$B$6)</f>
        <v>0</v>
      </c>
      <c r="AG54" s="164">
        <f>IF(AG49&gt;0,0,MAX(AG40-AG42-AG45+AG46-AG47,0)*Premissas!$B$5+MAX(AG41-AG44-(IF(Premissas!$B$8&gt;0,MAX(AG42+AG44-AG40-AG41,0)*Premissas!$B$8,0)),0)*Premissas!$B$6)</f>
        <v>0</v>
      </c>
      <c r="AH54" s="164">
        <f>IF(AH49&gt;0,0,MAX(AH40-AH42-AH45+AH46-AH47,0)*Premissas!$B$5+MAX(AH41-AH44-(IF(Premissas!$B$8&gt;0,MAX(AH42+AH44-AH40-AH41,0)*Premissas!$B$8,0)),0)*Premissas!$B$6)</f>
        <v>0</v>
      </c>
      <c r="AI54" s="164">
        <f>IF(AI49&gt;0,0,MAX(AI40-AI42-AI45+AI46-AI47,0)*Premissas!$B$5+MAX(AI41-AI44-(IF(Premissas!$B$8&gt;0,MAX(AI42+AI44-AI40-AI41,0)*Premissas!$B$8,0)),0)*Premissas!$B$6)</f>
        <v>0</v>
      </c>
      <c r="AJ54" s="164">
        <f>IF(AJ49&gt;0,0,MAX(AJ40-AJ42-AJ45+AJ46-AJ47,0)*Premissas!$B$5+MAX(AJ41-AJ44-(IF(Premissas!$B$8&gt;0,MAX(AJ42+AJ44-AJ40-AJ41,0)*Premissas!$B$8,0)),0)*Premissas!$B$6)</f>
        <v>0</v>
      </c>
      <c r="AK54" s="164">
        <f>IF(AK49&gt;0,0,MAX(AK40-AK42-AK45+AK46-AK47,0)*Premissas!$B$5+MAX(AK41-AK44-(IF(Premissas!$B$8&gt;0,MAX(AK42+AK44-AK40-AK41,0)*Premissas!$B$8,0)),0)*Premissas!$B$6)</f>
        <v>0</v>
      </c>
      <c r="AL54" s="164">
        <f>IF(AL49&gt;0,0,MAX(AL40-AL42-AL45+AL46-AL47,0)*Premissas!$B$5+MAX(AL41-AL44-(IF(Premissas!$B$8&gt;0,MAX(AL42+AL44-AL40-AL41,0)*Premissas!$B$8,0)),0)*Premissas!$B$6)</f>
        <v>0</v>
      </c>
      <c r="AM54" s="164">
        <f>IF(AM49&gt;0,0,MAX(AM40-AM42-AM45+AM46-AM47,0)*Premissas!$B$5+MAX(AM41-AM44-(IF(Premissas!$B$8&gt;0,MAX(AM42+AM44-AM40-AM41,0)*Premissas!$B$8,0)),0)*Premissas!$B$6)</f>
        <v>0</v>
      </c>
      <c r="AN54" s="164">
        <f>IF(AN49&gt;0,0,MAX(AN40-AN42-AN45+AN46-AN47,0)*Premissas!$B$5+MAX(AN41-AN44-(IF(Premissas!$B$8&gt;0,MAX(AN42+AN44-AN40-AN41,0)*Premissas!$B$8,0)),0)*Premissas!$B$6)</f>
        <v>0</v>
      </c>
      <c r="AO54" s="164">
        <f>IF(AO49&gt;0,0,MAX(AO40-AO42-AO45+AO46-AO47,0)*Premissas!$B$5+MAX(AO41-AO44-(IF(Premissas!$B$8&gt;0,MAX(AO42+AO44-AO40-AO41,0)*Premissas!$B$8,0)),0)*Premissas!$B$6)</f>
        <v>0</v>
      </c>
      <c r="AP54" s="164">
        <f>IF(AP49&gt;0,0,MAX(AP40-AP42-AP45+AP46-AP47,0)*Premissas!$B$5+MAX(AP41-AP44-(IF(Premissas!$B$8&gt;0,MAX(AP42+AP44-AP40-AP41,0)*Premissas!$B$8,0)),0)*Premissas!$B$6)</f>
        <v>0</v>
      </c>
      <c r="AQ54" s="164">
        <f>IF(AQ49&gt;0,0,MAX(AQ40-AQ42-AQ45+AQ46-AQ47,0)*Premissas!$B$5+MAX(AQ41-AQ44-(IF(Premissas!$B$8&gt;0,MAX(AQ42+AQ44-AQ40-AQ41,0)*Premissas!$B$8,0)),0)*Premissas!$B$6)</f>
        <v>0</v>
      </c>
      <c r="AR54" s="164">
        <f>IF(AR49&gt;0,0,MAX(AR40-AR42-AR45+AR46-AR47,0)*Premissas!$B$5+MAX(AR41-AR44-(IF(Premissas!$B$8&gt;0,MAX(AR42+AR44-AR40-AR41,0)*Premissas!$B$8,0)),0)*Premissas!$B$6)</f>
        <v>0</v>
      </c>
      <c r="AS54" s="164">
        <f>IF(AS49&gt;0,0,MAX(AS40-AS42-AS45+AS46-AS47,0)*Premissas!$B$5+MAX(AS41-AS44-(IF(Premissas!$B$8&gt;0,MAX(AS42+AS44-AS40-AS41,0)*Premissas!$B$8,0)),0)*Premissas!$B$6)</f>
        <v>0</v>
      </c>
      <c r="AT54" s="164">
        <f>IF(AT49&gt;0,0,MAX(AT40-AT42-AT45+AT46-AT47,0)*Premissas!$B$5+MAX(AT41-AT44-(IF(Premissas!$B$8&gt;0,MAX(AT42+AT44-AT40-AT41,0)*Premissas!$B$8,0)),0)*Premissas!$B$6)</f>
        <v>0</v>
      </c>
      <c r="AU54" s="164">
        <f>IF(AU49&gt;0,0,MAX(AU40-AU42-AU45+AU46-AU47,0)*Premissas!$B$5+MAX(AU41-AU44-(IF(Premissas!$B$8&gt;0,MAX(AU42+AU44-AU40-AU41,0)*Premissas!$B$8,0)),0)*Premissas!$B$6)</f>
        <v>0</v>
      </c>
      <c r="AV54" s="164">
        <f>IF(AV49&gt;0,0,MAX(AV40-AV42-AV45+AV46-AV47,0)*Premissas!$B$5+MAX(AV41-AV44-(IF(Premissas!$B$8&gt;0,MAX(AV42+AV44-AV40-AV41,0)*Premissas!$B$8,0)),0)*Premissas!$B$6)</f>
        <v>0</v>
      </c>
      <c r="AW54" s="164">
        <f>IF(AW49&gt;0,0,MAX(AW40-AW42-AW45+AW46-AW47,0)*Premissas!$B$5+MAX(AW41-AW44-(IF(Premissas!$B$8&gt;0,MAX(AW42+AW44-AW40-AW41,0)*Premissas!$B$8,0)),0)*Premissas!$B$6)</f>
        <v>0</v>
      </c>
      <c r="AX54" s="164">
        <f>IF(AX49&gt;0,0,MAX(AX40-AX42-AX45+AX46-AX47,0)*Premissas!$B$5+MAX(AX41-AX44-(IF(Premissas!$B$8&gt;0,MAX(AX42+AX44-AX40-AX41,0)*Premissas!$B$8,0)),0)*Premissas!$B$6)</f>
        <v>0</v>
      </c>
      <c r="AY54" s="164">
        <f>IF(AY49&gt;0,0,MAX(AY40-AY42-AY45+AY46-AY47,0)*Premissas!$B$5+MAX(AY41-AY44-(IF(Premissas!$B$8&gt;0,MAX(AY42+AY44-AY40-AY41,0)*Premissas!$B$8,0)),0)*Premissas!$B$6)</f>
        <v>0</v>
      </c>
      <c r="AZ54" s="164">
        <f>IF(AZ49&gt;0,0,MAX(AZ40-AZ42-AZ45+AZ46-AZ47,0)*Premissas!$B$5+MAX(AZ41-AZ44-(IF(Premissas!$B$8&gt;0,MAX(AZ42+AZ44-AZ40-AZ41,0)*Premissas!$B$8,0)),0)*Premissas!$B$6)</f>
        <v>0</v>
      </c>
      <c r="BA54" s="164">
        <f>IF(BA49&gt;0,0,MAX(BA40-BA42-BA45+BA46-BA47,0)*Premissas!$B$5+MAX(BA41-BA44-(IF(Premissas!$B$8&gt;0,MAX(BA42+BA44-BA40-BA41,0)*Premissas!$B$8,0)),0)*Premissas!$B$6)</f>
        <v>0</v>
      </c>
      <c r="BB54" s="164">
        <f>IF(BB49&gt;0,0,MAX(BB40-BB42-BB45+BB46-BB47,0)*Premissas!$B$5+MAX(BB41-BB44-(IF(Premissas!$B$8&gt;0,MAX(BB42+BB44-BB40-BB41,0)*Premissas!$B$8,0)),0)*Premissas!$B$6)</f>
        <v>0</v>
      </c>
      <c r="BC54" s="164">
        <f>IF(BC49&gt;0,0,MAX(BC40-BC42-BC45+BC46-BC47,0)*Premissas!$B$5+MAX(BC41-BC44-(IF(Premissas!$B$8&gt;0,MAX(BC42+BC44-BC40-BC41,0)*Premissas!$B$8,0)),0)*Premissas!$B$6)</f>
        <v>0</v>
      </c>
      <c r="BD54" s="164">
        <f>IF(BD49&gt;0,0,MAX(BD40-BD42-BD45+BD46-BD47,0)*Premissas!$B$5+MAX(BD41-BD44-(IF(Premissas!$B$8&gt;0,MAX(BD42+BD44-BD40-BD41,0)*Premissas!$B$8,0)),0)*Premissas!$B$6)</f>
        <v>0</v>
      </c>
      <c r="BE54" s="164">
        <f>IF(BE49&gt;0,0,MAX(BE40-BE42-BE45+BE46-BE47,0)*Premissas!$B$5+MAX(BE41-BE44-(IF(Premissas!$B$8&gt;0,MAX(BE42+BE44-BE40-BE41,0)*Premissas!$B$8,0)),0)*Premissas!$B$6)</f>
        <v>0</v>
      </c>
      <c r="BF54" s="164">
        <f>IF(BF49&gt;0,0,MAX(BF40-BF42-BF45+BF46-BF47,0)*Premissas!$B$5+MAX(BF41-BF44-(IF(Premissas!$B$8&gt;0,MAX(BF42+BF44-BF40-BF41,0)*Premissas!$B$8,0)),0)*Premissas!$B$6)</f>
        <v>0</v>
      </c>
      <c r="BG54" s="164">
        <f>IF(BG49&gt;0,0,MAX(BG40-BG42-BG45+BG46-BG47,0)*Premissas!$B$5+MAX(BG41-BG44-(IF(Premissas!$B$8&gt;0,MAX(BG42+BG44-BG40-BG41,0)*Premissas!$B$8,0)),0)*Premissas!$B$6)</f>
        <v>0</v>
      </c>
      <c r="BH54" s="164">
        <f>IF(BH49&gt;0,0,MAX(BH40-BH42-BH45+BH46-BH47,0)*Premissas!$B$5+MAX(BH41-BH44-(IF(Premissas!$B$8&gt;0,MAX(BH42+BH44-BH40-BH41,0)*Premissas!$B$8,0)),0)*Premissas!$B$6)</f>
        <v>0</v>
      </c>
      <c r="BI54" s="164">
        <f>IF(BI49&gt;0,0,MAX(BI40-BI42-BI45+BI46-BI47,0)*Premissas!$B$5+MAX(BI41-BI44-(IF(Premissas!$B$8&gt;0,MAX(BI42+BI44-BI40-BI41,0)*Premissas!$B$8,0)),0)*Premissas!$B$6)</f>
        <v>0</v>
      </c>
      <c r="BJ54" s="164">
        <f>IF(BJ49&gt;0,0,MAX(BJ40-BJ42-BJ45+BJ46-BJ47,0)*Premissas!$B$5+MAX(BJ41-BJ44-(IF(Premissas!$B$8&gt;0,MAX(BJ42+BJ44-BJ40-BJ41,0)*Premissas!$B$8,0)),0)*Premissas!$B$6)</f>
        <v>0</v>
      </c>
      <c r="BK54" s="164">
        <f>IF(BK49&gt;0,0,MAX(BK40-BK42-BK45+BK46-BK47,0)*Premissas!$B$5+MAX(BK41-BK44-(IF(Premissas!$B$8&gt;0,MAX(BK42+BK44-BK40-BK41,0)*Premissas!$B$8,0)),0)*Premissas!$B$6)</f>
        <v>0</v>
      </c>
      <c r="BL54" s="164">
        <f>IF(BL49&gt;0,0,MAX(BL40-BL42-BL45+BL46-BL47,0)*Premissas!$B$5+MAX(BL41-BL44-(IF(Premissas!$B$8&gt;0,MAX(BL42+BL44-BL40-BL41,0)*Premissas!$B$8,0)),0)*Premissas!$B$6)</f>
        <v>0</v>
      </c>
      <c r="BM54" s="164">
        <f>IF(BM49&gt;0,0,MAX(BM40-BM42-BM45+BM46-BM47,0)*Premissas!$B$5+MAX(BM41-BM44-(IF(Premissas!$B$8&gt;0,MAX(BM42+BM44-BM40-BM41,0)*Premissas!$B$8,0)),0)*Premissas!$B$6)</f>
        <v>0</v>
      </c>
      <c r="BN54" s="164">
        <f>IF(BN49&gt;0,0,MAX(BN40-BN42-BN45+BN46-BN47,0)*Premissas!$B$5+MAX(BN41-BN44-(IF(Premissas!$B$8&gt;0,MAX(BN42+BN44-BN40-BN41,0)*Premissas!$B$8,0)),0)*Premissas!$B$6)</f>
        <v>0</v>
      </c>
      <c r="BO54" s="164">
        <f>IF(BO49&gt;0,0,MAX(BO40-BO42-BO45+BO46-BO47,0)*Premissas!$B$5+MAX(BO41-BO44-(IF(Premissas!$B$8&gt;0,MAX(BO42+BO44-BO40-BO41,0)*Premissas!$B$8,0)),0)*Premissas!$B$6)</f>
        <v>0</v>
      </c>
      <c r="BP54" s="164">
        <f>IF(BP49&gt;0,0,MAX(BP40-BP42-BP45+BP46-BP47,0)*Premissas!$B$5+MAX(BP41-BP44-(IF(Premissas!$B$8&gt;0,MAX(BP42+BP44-BP40-BP41,0)*Premissas!$B$8,0)),0)*Premissas!$B$6)</f>
        <v>0</v>
      </c>
      <c r="BQ54" s="164">
        <f>IF(BQ49&gt;0,0,MAX(BQ40-BQ42-BQ45+BQ46-BQ47,0)*Premissas!$B$5+MAX(BQ41-BQ44-(IF(Premissas!$B$8&gt;0,MAX(BQ42+BQ44-BQ40-BQ41,0)*Premissas!$B$8,0)),0)*Premissas!$B$6)</f>
        <v>0</v>
      </c>
      <c r="BR54" s="164">
        <f>IF(BR49&gt;0,0,MAX(BR40-BR42-BR45+BR46-BR47,0)*Premissas!$B$5+MAX(BR41-BR44-(IF(Premissas!$B$8&gt;0,MAX(BR42+BR44-BR40-BR41,0)*Premissas!$B$8,0)),0)*Premissas!$B$6)</f>
        <v>0</v>
      </c>
      <c r="BS54" s="164">
        <f>IF(BS49&gt;0,0,MAX(BS40-BS42-BS45+BS46-BS47,0)*Premissas!$B$5+MAX(BS41-BS44-(IF(Premissas!$B$8&gt;0,MAX(BS42+BS44-BS40-BS41,0)*Premissas!$B$8,0)),0)*Premissas!$B$6)</f>
        <v>0</v>
      </c>
      <c r="BT54" s="164">
        <f>IF(BT49&gt;0,0,MAX(BT40-BT42-BT45+BT46-BT47,0)*Premissas!$B$5+MAX(BT41-BT44-(IF(Premissas!$B$8&gt;0,MAX(BT42+BT44-BT40-BT41,0)*Premissas!$B$8,0)),0)*Premissas!$B$6)</f>
        <v>0</v>
      </c>
      <c r="BU54" s="164">
        <f>IF(BU49&gt;0,0,MAX(BU40-BU42-BU45+BU46-BU47,0)*Premissas!$B$5+MAX(BU41-BU44-(IF(Premissas!$B$8&gt;0,MAX(BU42+BU44-BU40-BU41,0)*Premissas!$B$8,0)),0)*Premissas!$B$6)</f>
        <v>0</v>
      </c>
      <c r="BV54" s="164">
        <f>IF(BV49&gt;0,0,MAX(BV40-BV42-BV45+BV46-BV47,0)*Premissas!$B$5+MAX(BV41-BV44-(IF(Premissas!$B$8&gt;0,MAX(BV42+BV44-BV40-BV41,0)*Premissas!$B$8,0)),0)*Premissas!$B$6)</f>
        <v>0</v>
      </c>
      <c r="BW54" s="164">
        <f>IF(BW49&gt;0,0,MAX(BW40-BW42-BW45+BW46-BW47,0)*Premissas!$B$5+MAX(BW41-BW44-(IF(Premissas!$B$8&gt;0,MAX(BW42+BW44-BW40-BW41,0)*Premissas!$B$8,0)),0)*Premissas!$B$6)</f>
        <v>0</v>
      </c>
      <c r="BX54" s="164">
        <f>IF(BX49&gt;0,0,MAX(BX40-BX42-BX45+BX46-BX47,0)*Premissas!$B$5+MAX(BX41-BX44-(IF(Premissas!$B$8&gt;0,MAX(BX42+BX44-BX40-BX41,0)*Premissas!$B$8,0)),0)*Premissas!$B$6)</f>
        <v>0</v>
      </c>
      <c r="BY54" s="164">
        <f>IF(BY49&gt;0,0,MAX(BY40-BY42-BY45+BY46-BY47,0)*Premissas!$B$5+MAX(BY41-BY44-(IF(Premissas!$B$8&gt;0,MAX(BY42+BY44-BY40-BY41,0)*Premissas!$B$8,0)),0)*Premissas!$B$6)</f>
        <v>0</v>
      </c>
      <c r="BZ54" s="164">
        <f>IF(BZ49&gt;0,0,MAX(BZ40-BZ42-BZ45+BZ46-BZ47,0)*Premissas!$B$5+MAX(BZ41-BZ44-(IF(Premissas!$B$8&gt;0,MAX(BZ42+BZ44-BZ40-BZ41,0)*Premissas!$B$8,0)),0)*Premissas!$B$6)</f>
        <v>0</v>
      </c>
      <c r="CA54" s="164">
        <f>IF(CA49&gt;0,0,MAX(CA40-CA42-CA45+CA46-CA47,0)*Premissas!$B$5+MAX(CA41-CA44-(IF(Premissas!$B$8&gt;0,MAX(CA42+CA44-CA40-CA41,0)*Premissas!$B$8,0)),0)*Premissas!$B$6)</f>
        <v>0</v>
      </c>
      <c r="CB54" s="164">
        <f>IF(CB49&gt;0,0,MAX(CB40-CB42-CB45+CB46-CB47,0)*Premissas!$B$5+MAX(CB41-CB44-(IF(Premissas!$B$8&gt;0,MAX(CB42+CB44-CB40-CB41,0)*Premissas!$B$8,0)),0)*Premissas!$B$6)</f>
        <v>0</v>
      </c>
      <c r="CC54" s="164">
        <f>IF(CC49&gt;0,0,MAX(CC40-CC42-CC45+CC46-CC47,0)*Premissas!$B$5+MAX(CC41-CC44-(IF(Premissas!$B$8&gt;0,MAX(CC42+CC44-CC40-CC41,0)*Premissas!$B$8,0)),0)*Premissas!$B$6)</f>
        <v>0</v>
      </c>
      <c r="CD54" s="164">
        <f>IF(CD49&gt;0,0,MAX(CD40-CD42-CD45+CD46-CD47,0)*Premissas!$B$5+MAX(CD41-CD44-(IF(Premissas!$B$8&gt;0,MAX(CD42+CD44-CD40-CD41,0)*Premissas!$B$8,0)),0)*Premissas!$B$6)</f>
        <v>0</v>
      </c>
      <c r="CE54" s="164">
        <f>IF(CE49&gt;0,0,MAX(CE40-CE42-CE45+CE46-CE47,0)*Premissas!$B$5+MAX(CE41-CE44-(IF(Premissas!$B$8&gt;0,MAX(CE42+CE44-CE40-CE41,0)*Premissas!$B$8,0)),0)*Premissas!$B$6)</f>
        <v>0</v>
      </c>
      <c r="CF54" s="164">
        <f>IF(CF49&gt;0,0,MAX(CF40-CF42-CF45+CF46-CF47,0)*Premissas!$B$5+MAX(CF41-CF44-(IF(Premissas!$B$8&gt;0,MAX(CF42+CF44-CF40-CF41,0)*Premissas!$B$8,0)),0)*Premissas!$B$6)</f>
        <v>0</v>
      </c>
      <c r="CG54" s="164">
        <f>IF(CG49&gt;0,0,MAX(CG40-CG42-CG45+CG46-CG47,0)*Premissas!$B$5+MAX(CG41-CG44-(IF(Premissas!$B$8&gt;0,MAX(CG42+CG44-CG40-CG41,0)*Premissas!$B$8,0)),0)*Premissas!$B$6)</f>
        <v>0</v>
      </c>
      <c r="CH54" s="164">
        <f>IF(CH49&gt;0,0,MAX(CH40-CH42-CH45+CH46-CH47,0)*Premissas!$B$5+MAX(CH41-CH44-(IF(Premissas!$B$8&gt;0,MAX(CH42+CH44-CH40-CH41,0)*Premissas!$B$8,0)),0)*Premissas!$B$6)</f>
        <v>0</v>
      </c>
      <c r="CI54" s="164">
        <f>IF(CI49&gt;0,0,MAX(CI40-CI42-CI45+CI46-CI47,0)*Premissas!$B$5+MAX(CI41-CI44-(IF(Premissas!$B$8&gt;0,MAX(CI42+CI44-CI40-CI41,0)*Premissas!$B$8,0)),0)*Premissas!$B$6)</f>
        <v>0</v>
      </c>
      <c r="CJ54" s="164">
        <f>IF(CJ49&gt;0,0,MAX(CJ40-CJ42-CJ45+CJ46-CJ47,0)*Premissas!$B$5+MAX(CJ41-CJ44-(IF(Premissas!$B$8&gt;0,MAX(CJ42+CJ44-CJ40-CJ41,0)*Premissas!$B$8,0)),0)*Premissas!$B$6)</f>
        <v>0</v>
      </c>
      <c r="CK54" s="164">
        <f>IF(CK49&gt;0,0,MAX(CK40-CK42-CK45+CK46-CK47,0)*Premissas!$B$5+MAX(CK41-CK44-(IF(Premissas!$B$8&gt;0,MAX(CK42+CK44-CK40-CK41,0)*Premissas!$B$8,0)),0)*Premissas!$B$6)</f>
        <v>104894.8000675716</v>
      </c>
      <c r="CL54" s="164">
        <f>IF(CL49&gt;0,0,MAX(CL40-CL42-CL45+CL46-CL47,0)*Premissas!$B$5+MAX(CL41-CL44-(IF(Premissas!$B$8&gt;0,MAX(CL42+CL44-CL40-CL41,0)*Premissas!$B$8,0)),0)*Premissas!$B$6)</f>
        <v>72217.681589693893</v>
      </c>
      <c r="CM54" s="164">
        <f>IF(CM49&gt;0,0,MAX(CM40-CM42-CM45+CM46-CM47,0)*Premissas!$B$5+MAX(CM41-CM44-(IF(Premissas!$B$8&gt;0,MAX(CM42+CM44-CM40-CM41,0)*Premissas!$B$8,0)),0)*Premissas!$B$6)</f>
        <v>0</v>
      </c>
      <c r="CN54" s="164">
        <f>IF(CN49&gt;0,0,MAX(CN40-CN42-CN45+CN46-CN47,0)*Premissas!$B$5+MAX(CN41-CN44-(IF(Premissas!$B$8&gt;0,MAX(CN42+CN44-CN40-CN41,0)*Premissas!$B$8,0)),0)*Premissas!$B$6)</f>
        <v>0</v>
      </c>
      <c r="CO54" s="164">
        <f>IF(CO49&gt;0,0,MAX(CO40-CO42-CO45+CO46-CO47,0)*Premissas!$B$5+MAX(CO41-CO44-(IF(Premissas!$B$8&gt;0,MAX(CO42+CO44-CO40-CO41,0)*Premissas!$B$8,0)),0)*Premissas!$B$6)</f>
        <v>0</v>
      </c>
      <c r="CP54" s="164">
        <f>IF(CP49&gt;0,0,MAX(CP40-CP42-CP45+CP46-CP47,0)*Premissas!$B$5+MAX(CP41-CP44-(IF(Premissas!$B$8&gt;0,MAX(CP42+CP44-CP40-CP41,0)*Premissas!$B$8,0)),0)*Premissas!$B$6)</f>
        <v>0</v>
      </c>
      <c r="CQ54" s="164">
        <f>IF(CQ49&gt;0,0,MAX(CQ40-CQ42-CQ45+CQ46-CQ47,0)*Premissas!$B$5+MAX(CQ41-CQ44-(IF(Premissas!$B$8&gt;0,MAX(CQ42+CQ44-CQ40-CQ41,0)*Premissas!$B$8,0)),0)*Premissas!$B$6)</f>
        <v>0</v>
      </c>
      <c r="CR54" s="164">
        <f>IF(CR49&gt;0,0,MAX(CR40-CR42-CR45+CR46-CR47,0)*Premissas!$B$5+MAX(CR41-CR44-(IF(Premissas!$B$8&gt;0,MAX(CR42+CR44-CR40-CR41,0)*Premissas!$B$8,0)),0)*Premissas!$B$6)</f>
        <v>0</v>
      </c>
      <c r="CS54" s="164">
        <f>IF(CS49&gt;0,0,MAX(CS40-CS42-CS45+CS46-CS47,0)*Premissas!$B$5+MAX(CS41-CS44-(IF(Premissas!$B$8&gt;0,MAX(CS42+CS44-CS40-CS41,0)*Premissas!$B$8,0)),0)*Premissas!$B$6)</f>
        <v>0</v>
      </c>
      <c r="CT54" s="164">
        <f>IF(CT49&gt;0,0,MAX(CT40-CT42-CT45+CT46-CT47,0)*Premissas!$B$5+MAX(CT41-CT44-(IF(Premissas!$B$8&gt;0,MAX(CT42+CT44-CT40-CT41,0)*Premissas!$B$8,0)),0)*Premissas!$B$6)</f>
        <v>0</v>
      </c>
      <c r="CU54" s="164">
        <f>IF(CU49&gt;0,0,MAX(CU40-CU42-CU45+CU46-CU47,0)*Premissas!$B$5+MAX(CU41-CU44-(IF(Premissas!$B$8&gt;0,MAX(CU42+CU44-CU40-CU41,0)*Premissas!$B$8,0)),0)*Premissas!$B$6)</f>
        <v>0</v>
      </c>
      <c r="CV54" s="164">
        <f>IF(CV49&gt;0,0,MAX(CV40-CV42-CV45+CV46-CV47,0)*Premissas!$B$5+MAX(CV41-CV44-(IF(Premissas!$B$8&gt;0,MAX(CV42+CV44-CV40-CV41,0)*Premissas!$B$8,0)),0)*Premissas!$B$6)</f>
        <v>0</v>
      </c>
      <c r="CW54" s="164">
        <f>IF(CW49&gt;0,0,MAX(CW40-CW42-CW45+CW46-CW47,0)*Premissas!$B$5+MAX(CW41-CW44-(IF(Premissas!$B$8&gt;0,MAX(CW42+CW44-CW40-CW41,0)*Premissas!$B$8,0)),0)*Premissas!$B$6)</f>
        <v>145770.18204237631</v>
      </c>
      <c r="CX54" s="164">
        <f>IF(CX49&gt;0,0,MAX(CX40-CX42-CX45+CX46-CX47,0)*Premissas!$B$5+MAX(CX41-CX44-(IF(Premissas!$B$8&gt;0,MAX(CX42+CX44-CX40-CX41,0)*Premissas!$B$8,0)),0)*Premissas!$B$6)</f>
        <v>75818.166140903078</v>
      </c>
      <c r="CY54" s="164">
        <f>IF(CY49&gt;0,0,MAX(CY40-CY42-CY45+CY46-CY47,0)*Premissas!$B$5+MAX(CY41-CY44-(IF(Premissas!$B$8&gt;0,MAX(CY42+CY44-CY40-CY41,0)*Premissas!$B$8,0)),0)*Premissas!$B$6)</f>
        <v>0</v>
      </c>
      <c r="CZ54" s="164">
        <f>IF(CZ49&gt;0,0,MAX(CZ40-CZ42-CZ45+CZ46-CZ47,0)*Premissas!$B$5+MAX(CZ41-CZ44-(IF(Premissas!$B$8&gt;0,MAX(CZ42+CZ44-CZ40-CZ41,0)*Premissas!$B$8,0)),0)*Premissas!$B$6)</f>
        <v>0</v>
      </c>
      <c r="DA54" s="164">
        <f>IF(DA49&gt;0,0,MAX(DA40-DA42-DA45+DA46-DA47,0)*Premissas!$B$5+MAX(DA41-DA44-(IF(Premissas!$B$8&gt;0,MAX(DA42+DA44-DA40-DA41,0)*Premissas!$B$8,0)),0)*Premissas!$B$6)</f>
        <v>0</v>
      </c>
      <c r="DB54" s="164">
        <f>IF(DB49&gt;0,0,MAX(DB40-DB42-DB45+DB46-DB47,0)*Premissas!$B$5+MAX(DB41-DB44-(IF(Premissas!$B$8&gt;0,MAX(DB42+DB44-DB40-DB41,0)*Premissas!$B$8,0)),0)*Premissas!$B$6)</f>
        <v>0</v>
      </c>
      <c r="DC54" s="164">
        <f>IF(DC49&gt;0,0,MAX(DC40-DC42-DC45+DC46-DC47,0)*Premissas!$B$5+MAX(DC41-DC44-(IF(Premissas!$B$8&gt;0,MAX(DC42+DC44-DC40-DC41,0)*Premissas!$B$8,0)),0)*Premissas!$B$6)</f>
        <v>0</v>
      </c>
      <c r="DD54" s="164">
        <f>IF(DD49&gt;0,0,MAX(DD40-DD42-DD45+DD46-DD47,0)*Premissas!$B$5+MAX(DD41-DD44-(IF(Premissas!$B$8&gt;0,MAX(DD42+DD44-DD40-DD41,0)*Premissas!$B$8,0)),0)*Premissas!$B$6)</f>
        <v>0</v>
      </c>
      <c r="DE54" s="164">
        <f>IF(DE49&gt;0,0,MAX(DE40-DE42-DE45+DE46-DE47,0)*Premissas!$B$5+MAX(DE41-DE44-(IF(Premissas!$B$8&gt;0,MAX(DE42+DE44-DE40-DE41,0)*Premissas!$B$8,0)),0)*Premissas!$B$6)</f>
        <v>0</v>
      </c>
      <c r="DF54" s="164">
        <f>IF(DF49&gt;0,0,MAX(DF40-DF42-DF45+DF46-DF47,0)*Premissas!$B$5+MAX(DF41-DF44-(IF(Premissas!$B$8&gt;0,MAX(DF42+DF44-DF40-DF41,0)*Premissas!$B$8,0)),0)*Premissas!$B$6)</f>
        <v>0</v>
      </c>
      <c r="DG54" s="164">
        <f>IF(DG49&gt;0,0,MAX(DG40-DG42-DG45+DG46-DG47,0)*Premissas!$B$5+MAX(DG41-DG44-(IF(Premissas!$B$8&gt;0,MAX(DG42+DG44-DG40-DG41,0)*Premissas!$B$8,0)),0)*Premissas!$B$6)</f>
        <v>0</v>
      </c>
      <c r="DH54" s="164">
        <f>IF(DH49&gt;0,0,MAX(DH40-DH42-DH45+DH46-DH47,0)*Premissas!$B$5+MAX(DH41-DH44-(IF(Premissas!$B$8&gt;0,MAX(DH42+DH44-DH40-DH41,0)*Premissas!$B$8,0)),0)*Premissas!$B$6)</f>
        <v>0</v>
      </c>
      <c r="DI54" s="164">
        <f>IF(DI49&gt;0,0,MAX(DI40-DI42-DI45+DI46-DI47,0)*Premissas!$B$5+MAX(DI41-DI44-(IF(Premissas!$B$8&gt;0,MAX(DI42+DI44-DI40-DI41,0)*Premissas!$B$8,0)),0)*Premissas!$B$6)</f>
        <v>173212.46391368867</v>
      </c>
      <c r="DJ54" s="164">
        <f>IF(DJ49&gt;0,0,MAX(DJ40-DJ42-DJ45+DJ46-DJ47,0)*Premissas!$B$5+MAX(DJ41-DJ44-(IF(Premissas!$B$8&gt;0,MAX(DJ42+DJ44-DJ40-DJ41,0)*Premissas!$B$8,0)),0)*Premissas!$B$6)</f>
        <v>79636.386073073736</v>
      </c>
      <c r="DK54" s="164">
        <f>IF(DK49&gt;0,0,MAX(DK40-DK42-DK45+DK46-DK47,0)*Premissas!$B$5+MAX(DK41-DK44-(IF(Premissas!$B$8&gt;0,MAX(DK42+DK44-DK40-DK41,0)*Premissas!$B$8,0)),0)*Premissas!$B$6)</f>
        <v>0</v>
      </c>
      <c r="DL54" s="164">
        <f>IF(DL49&gt;0,0,MAX(DL40-DL42-DL45+DL46-DL47,0)*Premissas!$B$5+MAX(DL41-DL44-(IF(Premissas!$B$8&gt;0,MAX(DL42+DL44-DL40-DL41,0)*Premissas!$B$8,0)),0)*Premissas!$B$6)</f>
        <v>0</v>
      </c>
      <c r="DM54" s="164">
        <f>IF(DM49&gt;0,0,MAX(DM40-DM42-DM45+DM46-DM47,0)*Premissas!$B$5+MAX(DM41-DM44-(IF(Premissas!$B$8&gt;0,MAX(DM42+DM44-DM40-DM41,0)*Premissas!$B$8,0)),0)*Premissas!$B$6)</f>
        <v>0</v>
      </c>
      <c r="DN54" s="164">
        <f>IF(DN49&gt;0,0,MAX(DN40-DN42-DN45+DN46-DN47,0)*Premissas!$B$5+MAX(DN41-DN44-(IF(Premissas!$B$8&gt;0,MAX(DN42+DN44-DN40-DN41,0)*Premissas!$B$8,0)),0)*Premissas!$B$6)</f>
        <v>0</v>
      </c>
      <c r="DO54" s="164">
        <f>IF(DO49&gt;0,0,MAX(DO40-DO42-DO45+DO46-DO47,0)*Premissas!$B$5+MAX(DO41-DO44-(IF(Premissas!$B$8&gt;0,MAX(DO42+DO44-DO40-DO41,0)*Premissas!$B$8,0)),0)*Premissas!$B$6)</f>
        <v>0</v>
      </c>
      <c r="DP54" s="164">
        <f>IF(DP49&gt;0,0,MAX(DP40-DP42-DP45+DP46-DP47,0)*Premissas!$B$5+MAX(DP41-DP44-(IF(Premissas!$B$8&gt;0,MAX(DP42+DP44-DP40-DP41,0)*Premissas!$B$8,0)),0)*Premissas!$B$6)</f>
        <v>0</v>
      </c>
      <c r="DQ54" s="164">
        <f>IF(DQ49&gt;0,0,MAX(DQ40-DQ42-DQ45+DQ46-DQ47,0)*Premissas!$B$5+MAX(DQ41-DQ44-(IF(Premissas!$B$8&gt;0,MAX(DQ42+DQ44-DQ40-DQ41,0)*Premissas!$B$8,0)),0)*Premissas!$B$6)</f>
        <v>0</v>
      </c>
      <c r="DR54" s="164">
        <f>IF(DR49&gt;0,0,MAX(DR40-DR42-DR45+DR46-DR47,0)*Premissas!$B$5+MAX(DR41-DR44-(IF(Premissas!$B$8&gt;0,MAX(DR42+DR44-DR40-DR41,0)*Premissas!$B$8,0)),0)*Premissas!$B$6)</f>
        <v>0</v>
      </c>
      <c r="DS54" s="164">
        <f>IF(DS49&gt;0,0,MAX(DS40-DS42-DS45+DS46-DS47,0)*Premissas!$B$5+MAX(DS41-DS44-(IF(Premissas!$B$8&gt;0,MAX(DS42+DS44-DS40-DS41,0)*Premissas!$B$8,0)),0)*Premissas!$B$6)</f>
        <v>0</v>
      </c>
    </row>
    <row r="55" spans="1:123" ht="13.5" customHeight="1" x14ac:dyDescent="0.35">
      <c r="A55" s="39" t="s">
        <v>499</v>
      </c>
      <c r="B55" s="42">
        <f>SUM(D55:BQ55)</f>
        <v>1337868.8852076563</v>
      </c>
      <c r="C55" s="144">
        <f>B55/60</f>
        <v>22297.814753460938</v>
      </c>
      <c r="D55" s="165">
        <f t="shared" ref="D55:AI55" si="70">MAX(D53-D54,0)</f>
        <v>0</v>
      </c>
      <c r="E55" s="165">
        <f t="shared" si="70"/>
        <v>0</v>
      </c>
      <c r="F55" s="165">
        <f t="shared" si="70"/>
        <v>0</v>
      </c>
      <c r="G55" s="165">
        <f t="shared" si="70"/>
        <v>0</v>
      </c>
      <c r="H55" s="165">
        <f t="shared" si="70"/>
        <v>0</v>
      </c>
      <c r="I55" s="165">
        <f t="shared" si="70"/>
        <v>0</v>
      </c>
      <c r="J55" s="165">
        <f t="shared" si="70"/>
        <v>0</v>
      </c>
      <c r="K55" s="165">
        <f t="shared" si="70"/>
        <v>0</v>
      </c>
      <c r="L55" s="165">
        <f t="shared" si="70"/>
        <v>0</v>
      </c>
      <c r="M55" s="165">
        <f t="shared" si="70"/>
        <v>0</v>
      </c>
      <c r="N55" s="165">
        <f t="shared" si="70"/>
        <v>0</v>
      </c>
      <c r="O55" s="165">
        <f t="shared" si="70"/>
        <v>0</v>
      </c>
      <c r="P55" s="165">
        <f t="shared" si="70"/>
        <v>0</v>
      </c>
      <c r="Q55" s="165">
        <f t="shared" si="70"/>
        <v>0</v>
      </c>
      <c r="R55" s="165">
        <f t="shared" si="70"/>
        <v>0</v>
      </c>
      <c r="S55" s="165">
        <f t="shared" si="70"/>
        <v>0</v>
      </c>
      <c r="T55" s="165">
        <f t="shared" si="70"/>
        <v>0</v>
      </c>
      <c r="U55" s="165">
        <f t="shared" si="70"/>
        <v>0</v>
      </c>
      <c r="V55" s="165">
        <f t="shared" si="70"/>
        <v>0</v>
      </c>
      <c r="W55" s="165">
        <f t="shared" si="70"/>
        <v>0</v>
      </c>
      <c r="X55" s="165">
        <f t="shared" si="70"/>
        <v>0</v>
      </c>
      <c r="Y55" s="165">
        <f t="shared" si="70"/>
        <v>0</v>
      </c>
      <c r="Z55" s="165">
        <f t="shared" si="70"/>
        <v>0</v>
      </c>
      <c r="AA55" s="165">
        <f t="shared" si="70"/>
        <v>0</v>
      </c>
      <c r="AB55" s="165">
        <f t="shared" si="70"/>
        <v>0</v>
      </c>
      <c r="AC55" s="165">
        <f t="shared" si="70"/>
        <v>84344.1288044143</v>
      </c>
      <c r="AD55" s="165">
        <f t="shared" si="70"/>
        <v>82520.561184689912</v>
      </c>
      <c r="AE55" s="165">
        <f t="shared" si="70"/>
        <v>0</v>
      </c>
      <c r="AF55" s="165">
        <f t="shared" si="70"/>
        <v>0</v>
      </c>
      <c r="AG55" s="165">
        <f t="shared" si="70"/>
        <v>0</v>
      </c>
      <c r="AH55" s="165">
        <f t="shared" si="70"/>
        <v>0</v>
      </c>
      <c r="AI55" s="165">
        <f t="shared" si="70"/>
        <v>0</v>
      </c>
      <c r="AJ55" s="165">
        <f t="shared" ref="AJ55:BO55" si="71">MAX(AJ53-AJ54,0)</f>
        <v>0</v>
      </c>
      <c r="AK55" s="165">
        <f t="shared" si="71"/>
        <v>0</v>
      </c>
      <c r="AL55" s="165">
        <f t="shared" si="71"/>
        <v>0</v>
      </c>
      <c r="AM55" s="165">
        <f t="shared" si="71"/>
        <v>0</v>
      </c>
      <c r="AN55" s="165">
        <f t="shared" si="71"/>
        <v>97198.584265751299</v>
      </c>
      <c r="AO55" s="165">
        <f t="shared" si="71"/>
        <v>179978.67614706053</v>
      </c>
      <c r="AP55" s="165">
        <f t="shared" si="71"/>
        <v>85749.978971163393</v>
      </c>
      <c r="AQ55" s="165">
        <f t="shared" si="71"/>
        <v>0</v>
      </c>
      <c r="AR55" s="165">
        <f t="shared" si="71"/>
        <v>0</v>
      </c>
      <c r="AS55" s="165">
        <f t="shared" si="71"/>
        <v>0</v>
      </c>
      <c r="AT55" s="165">
        <f t="shared" si="71"/>
        <v>0</v>
      </c>
      <c r="AU55" s="165">
        <f t="shared" si="71"/>
        <v>0</v>
      </c>
      <c r="AV55" s="165">
        <f t="shared" si="71"/>
        <v>0</v>
      </c>
      <c r="AW55" s="165">
        <f t="shared" si="71"/>
        <v>0</v>
      </c>
      <c r="AX55" s="165">
        <f t="shared" si="71"/>
        <v>0</v>
      </c>
      <c r="AY55" s="165">
        <f t="shared" si="71"/>
        <v>0</v>
      </c>
      <c r="AZ55" s="165">
        <f t="shared" si="71"/>
        <v>118161.10461415502</v>
      </c>
      <c r="BA55" s="165">
        <f t="shared" si="71"/>
        <v>185576.36099809321</v>
      </c>
      <c r="BB55" s="165">
        <f t="shared" si="71"/>
        <v>89051.507299577919</v>
      </c>
      <c r="BC55" s="165">
        <f t="shared" si="71"/>
        <v>0</v>
      </c>
      <c r="BD55" s="165">
        <f t="shared" si="71"/>
        <v>0</v>
      </c>
      <c r="BE55" s="165">
        <f t="shared" si="71"/>
        <v>0</v>
      </c>
      <c r="BF55" s="165">
        <f t="shared" si="71"/>
        <v>0</v>
      </c>
      <c r="BG55" s="165">
        <f t="shared" si="71"/>
        <v>0</v>
      </c>
      <c r="BH55" s="165">
        <f t="shared" si="71"/>
        <v>0</v>
      </c>
      <c r="BI55" s="165">
        <f t="shared" si="71"/>
        <v>0</v>
      </c>
      <c r="BJ55" s="165">
        <f t="shared" si="71"/>
        <v>0</v>
      </c>
      <c r="BK55" s="165">
        <f t="shared" si="71"/>
        <v>0</v>
      </c>
      <c r="BL55" s="165">
        <f t="shared" si="71"/>
        <v>132671.12838104632</v>
      </c>
      <c r="BM55" s="165">
        <f t="shared" si="71"/>
        <v>189774.05201147689</v>
      </c>
      <c r="BN55" s="165">
        <f t="shared" si="71"/>
        <v>92842.802530227578</v>
      </c>
      <c r="BO55" s="165">
        <f t="shared" si="71"/>
        <v>0</v>
      </c>
      <c r="BP55" s="165">
        <f t="shared" ref="BP55:CU55" si="72">MAX(BP53-BP54,0)</f>
        <v>0</v>
      </c>
      <c r="BQ55" s="165">
        <f t="shared" si="72"/>
        <v>0</v>
      </c>
      <c r="BR55" s="165">
        <f t="shared" si="72"/>
        <v>0</v>
      </c>
      <c r="BS55" s="165">
        <f t="shared" si="72"/>
        <v>0</v>
      </c>
      <c r="BT55" s="165">
        <f t="shared" si="72"/>
        <v>0</v>
      </c>
      <c r="BU55" s="165">
        <f t="shared" si="72"/>
        <v>66358.370167383648</v>
      </c>
      <c r="BV55" s="165">
        <f t="shared" si="72"/>
        <v>0</v>
      </c>
      <c r="BW55" s="165">
        <f t="shared" si="72"/>
        <v>0</v>
      </c>
      <c r="BX55" s="165">
        <f t="shared" si="72"/>
        <v>132807.96246442883</v>
      </c>
      <c r="BY55" s="165">
        <f t="shared" si="72"/>
        <v>195463.96266118341</v>
      </c>
      <c r="BZ55" s="165">
        <f t="shared" si="72"/>
        <v>96110.525744572122</v>
      </c>
      <c r="CA55" s="165">
        <f t="shared" si="72"/>
        <v>0</v>
      </c>
      <c r="CB55" s="165">
        <f t="shared" si="72"/>
        <v>0</v>
      </c>
      <c r="CC55" s="165">
        <f t="shared" si="72"/>
        <v>0</v>
      </c>
      <c r="CD55" s="165">
        <f t="shared" si="72"/>
        <v>0</v>
      </c>
      <c r="CE55" s="165">
        <f t="shared" si="72"/>
        <v>0</v>
      </c>
      <c r="CF55" s="165">
        <f t="shared" si="72"/>
        <v>0</v>
      </c>
      <c r="CG55" s="165">
        <f t="shared" si="72"/>
        <v>68016.957874142885</v>
      </c>
      <c r="CH55" s="165">
        <f t="shared" si="72"/>
        <v>0</v>
      </c>
      <c r="CI55" s="165">
        <f t="shared" si="72"/>
        <v>0</v>
      </c>
      <c r="CJ55" s="165">
        <f t="shared" si="72"/>
        <v>137663.03649964737</v>
      </c>
      <c r="CK55" s="165">
        <f t="shared" si="72"/>
        <v>96402.942656454776</v>
      </c>
      <c r="CL55" s="165">
        <f t="shared" si="72"/>
        <v>27240.305918828511</v>
      </c>
      <c r="CM55" s="165">
        <f t="shared" si="72"/>
        <v>0</v>
      </c>
      <c r="CN55" s="165">
        <f t="shared" si="72"/>
        <v>0</v>
      </c>
      <c r="CO55" s="165">
        <f t="shared" si="72"/>
        <v>0</v>
      </c>
      <c r="CP55" s="165">
        <f t="shared" si="72"/>
        <v>0</v>
      </c>
      <c r="CQ55" s="165">
        <f t="shared" si="72"/>
        <v>0</v>
      </c>
      <c r="CR55" s="165">
        <f t="shared" si="72"/>
        <v>0</v>
      </c>
      <c r="CS55" s="165">
        <f t="shared" si="72"/>
        <v>76355.732586662882</v>
      </c>
      <c r="CT55" s="165">
        <f t="shared" si="72"/>
        <v>0</v>
      </c>
      <c r="CU55" s="165">
        <f t="shared" si="72"/>
        <v>0</v>
      </c>
      <c r="CV55" s="165">
        <f t="shared" ref="CV55:DS55" si="73">MAX(CV53-CV54,0)</f>
        <v>142637.10580564558</v>
      </c>
      <c r="CW55" s="165">
        <f t="shared" si="73"/>
        <v>61504.870133783377</v>
      </c>
      <c r="CX55" s="165">
        <f t="shared" si="73"/>
        <v>27071.047002800828</v>
      </c>
      <c r="CY55" s="165">
        <f t="shared" si="73"/>
        <v>0</v>
      </c>
      <c r="CZ55" s="165">
        <f t="shared" si="73"/>
        <v>0</v>
      </c>
      <c r="DA55" s="165">
        <f t="shared" si="73"/>
        <v>0</v>
      </c>
      <c r="DB55" s="165">
        <f t="shared" si="73"/>
        <v>0</v>
      </c>
      <c r="DC55" s="165">
        <f t="shared" si="73"/>
        <v>0</v>
      </c>
      <c r="DD55" s="165">
        <f t="shared" si="73"/>
        <v>0</v>
      </c>
      <c r="DE55" s="165">
        <f t="shared" si="73"/>
        <v>86879.716772031636</v>
      </c>
      <c r="DF55" s="165">
        <f t="shared" si="73"/>
        <v>0</v>
      </c>
      <c r="DG55" s="165">
        <f t="shared" si="73"/>
        <v>0</v>
      </c>
      <c r="DH55" s="165">
        <f t="shared" si="73"/>
        <v>147737.52216226832</v>
      </c>
      <c r="DI55" s="165">
        <f t="shared" si="73"/>
        <v>40190.951276034291</v>
      </c>
      <c r="DJ55" s="165">
        <f t="shared" si="73"/>
        <v>26769.922461488299</v>
      </c>
      <c r="DK55" s="165">
        <f t="shared" si="73"/>
        <v>0</v>
      </c>
      <c r="DL55" s="165">
        <f t="shared" si="73"/>
        <v>0</v>
      </c>
      <c r="DM55" s="165">
        <f t="shared" si="73"/>
        <v>0</v>
      </c>
      <c r="DN55" s="165">
        <f t="shared" si="73"/>
        <v>0</v>
      </c>
      <c r="DO55" s="165">
        <f t="shared" si="73"/>
        <v>0</v>
      </c>
      <c r="DP55" s="165">
        <f t="shared" si="73"/>
        <v>0</v>
      </c>
      <c r="DQ55" s="165">
        <f t="shared" si="73"/>
        <v>97666.00160415862</v>
      </c>
      <c r="DR55" s="165">
        <f t="shared" si="73"/>
        <v>0</v>
      </c>
      <c r="DS55" s="165">
        <f t="shared" si="73"/>
        <v>0</v>
      </c>
    </row>
    <row r="57" spans="1:123" ht="15" customHeight="1" x14ac:dyDescent="0.35">
      <c r="A57" s="289" t="s">
        <v>502</v>
      </c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</row>
    <row r="58" spans="1:123" ht="12.75" customHeight="1" x14ac:dyDescent="0.35">
      <c r="A58" s="166" t="s">
        <v>486</v>
      </c>
      <c r="B58" s="167">
        <f>SUM(D58:BQ58)</f>
        <v>319448</v>
      </c>
      <c r="C58" s="139">
        <f>B58/60</f>
        <v>5324.1333333333332</v>
      </c>
      <c r="D58" s="167">
        <v>3657</v>
      </c>
      <c r="E58" s="167">
        <v>3451</v>
      </c>
      <c r="F58" s="167">
        <v>3409</v>
      </c>
      <c r="G58" s="167">
        <v>4205</v>
      </c>
      <c r="H58" s="167">
        <v>5428</v>
      </c>
      <c r="I58" s="167">
        <v>6374</v>
      </c>
      <c r="J58" s="167">
        <v>6073</v>
      </c>
      <c r="K58" s="167">
        <v>4224</v>
      </c>
      <c r="L58" s="167">
        <v>4441</v>
      </c>
      <c r="M58" s="167">
        <v>5202</v>
      </c>
      <c r="N58" s="167">
        <v>4526</v>
      </c>
      <c r="O58" s="167">
        <v>4182</v>
      </c>
      <c r="P58" s="167">
        <v>3749</v>
      </c>
      <c r="Q58" s="167">
        <v>3537</v>
      </c>
      <c r="R58" s="167">
        <v>3494</v>
      </c>
      <c r="S58" s="167">
        <v>4310</v>
      </c>
      <c r="T58" s="167">
        <v>5564</v>
      </c>
      <c r="U58" s="167">
        <v>6533</v>
      </c>
      <c r="V58" s="167">
        <v>6225</v>
      </c>
      <c r="W58" s="167">
        <v>4224</v>
      </c>
      <c r="X58" s="167">
        <v>4441</v>
      </c>
      <c r="Y58" s="167">
        <v>5202</v>
      </c>
      <c r="Z58" s="167">
        <v>4526</v>
      </c>
      <c r="AA58" s="167">
        <v>4182</v>
      </c>
      <c r="AB58" s="167">
        <v>3842</v>
      </c>
      <c r="AC58" s="167">
        <v>3626</v>
      </c>
      <c r="AD58" s="167">
        <v>3582</v>
      </c>
      <c r="AE58" s="167">
        <v>4418</v>
      </c>
      <c r="AF58" s="167">
        <v>5703</v>
      </c>
      <c r="AG58" s="167">
        <v>6697</v>
      </c>
      <c r="AH58" s="167">
        <v>6380</v>
      </c>
      <c r="AI58" s="167">
        <v>4438</v>
      </c>
      <c r="AJ58" s="167">
        <v>4666</v>
      </c>
      <c r="AK58" s="167">
        <v>5465</v>
      </c>
      <c r="AL58" s="167">
        <v>4755</v>
      </c>
      <c r="AM58" s="167">
        <v>4394</v>
      </c>
      <c r="AN58" s="167">
        <v>3938</v>
      </c>
      <c r="AO58" s="167">
        <v>3716</v>
      </c>
      <c r="AP58" s="167">
        <v>3671</v>
      </c>
      <c r="AQ58" s="167">
        <v>4528</v>
      </c>
      <c r="AR58" s="167">
        <v>5845</v>
      </c>
      <c r="AS58" s="167">
        <v>6864</v>
      </c>
      <c r="AT58" s="167">
        <v>6540</v>
      </c>
      <c r="AU58" s="167">
        <v>4549</v>
      </c>
      <c r="AV58" s="167">
        <v>4782</v>
      </c>
      <c r="AW58" s="167">
        <v>5602</v>
      </c>
      <c r="AX58" s="167">
        <v>4874</v>
      </c>
      <c r="AY58" s="167">
        <v>4504</v>
      </c>
      <c r="AZ58" s="167">
        <v>4037</v>
      </c>
      <c r="BA58" s="167">
        <v>3809</v>
      </c>
      <c r="BB58" s="167">
        <v>3763</v>
      </c>
      <c r="BC58" s="167">
        <v>4642</v>
      </c>
      <c r="BD58" s="167">
        <v>5991</v>
      </c>
      <c r="BE58" s="167">
        <v>7036</v>
      </c>
      <c r="BF58" s="167">
        <v>6703</v>
      </c>
      <c r="BG58" s="167">
        <v>4663</v>
      </c>
      <c r="BH58" s="167">
        <v>4902</v>
      </c>
      <c r="BI58" s="167">
        <v>5742</v>
      </c>
      <c r="BJ58" s="167">
        <v>4996</v>
      </c>
      <c r="BK58" s="167">
        <v>4616</v>
      </c>
      <c r="BL58" s="167">
        <v>4138</v>
      </c>
      <c r="BM58" s="167">
        <v>3904</v>
      </c>
      <c r="BN58" s="167">
        <v>3857</v>
      </c>
      <c r="BO58" s="167">
        <v>4758</v>
      </c>
      <c r="BP58" s="167">
        <v>6141</v>
      </c>
      <c r="BQ58" s="167">
        <v>7212</v>
      </c>
      <c r="BR58" s="167">
        <v>6871</v>
      </c>
      <c r="BS58" s="167">
        <v>4779</v>
      </c>
      <c r="BT58" s="167">
        <v>5025</v>
      </c>
      <c r="BU58" s="167">
        <v>5886</v>
      </c>
      <c r="BV58" s="167">
        <v>5121</v>
      </c>
      <c r="BW58" s="167">
        <v>4732</v>
      </c>
      <c r="BX58" s="167">
        <v>4241</v>
      </c>
      <c r="BY58" s="167">
        <v>4002</v>
      </c>
      <c r="BZ58" s="167">
        <v>3953</v>
      </c>
      <c r="CA58" s="167">
        <v>4877</v>
      </c>
      <c r="CB58" s="167">
        <v>6295</v>
      </c>
      <c r="CC58" s="167">
        <v>7392</v>
      </c>
      <c r="CD58" s="167">
        <v>7043</v>
      </c>
      <c r="CE58" s="167">
        <v>4899</v>
      </c>
      <c r="CF58" s="167">
        <v>5150</v>
      </c>
      <c r="CG58" s="167">
        <v>6033</v>
      </c>
      <c r="CH58" s="167">
        <v>5249</v>
      </c>
      <c r="CI58" s="167">
        <v>4850</v>
      </c>
      <c r="CJ58" s="167">
        <v>4347</v>
      </c>
      <c r="CK58" s="167">
        <v>4102</v>
      </c>
      <c r="CL58" s="167">
        <v>4052</v>
      </c>
      <c r="CM58" s="167">
        <v>4998</v>
      </c>
      <c r="CN58" s="167">
        <v>6452</v>
      </c>
      <c r="CO58" s="167">
        <v>7577</v>
      </c>
      <c r="CP58" s="167">
        <v>7219</v>
      </c>
      <c r="CQ58" s="167">
        <v>5021</v>
      </c>
      <c r="CR58" s="167">
        <v>5279</v>
      </c>
      <c r="CS58" s="167">
        <v>6184</v>
      </c>
      <c r="CT58" s="167">
        <v>5380</v>
      </c>
      <c r="CU58" s="167">
        <v>4971</v>
      </c>
      <c r="CV58" s="167">
        <v>4456</v>
      </c>
      <c r="CW58" s="167">
        <v>4205</v>
      </c>
      <c r="CX58" s="167">
        <v>4154</v>
      </c>
      <c r="CY58" s="167">
        <v>5123</v>
      </c>
      <c r="CZ58" s="167">
        <v>6613</v>
      </c>
      <c r="DA58" s="167">
        <v>7766</v>
      </c>
      <c r="DB58" s="167">
        <v>7399</v>
      </c>
      <c r="DC58" s="167">
        <v>5147</v>
      </c>
      <c r="DD58" s="167">
        <v>5411</v>
      </c>
      <c r="DE58" s="167">
        <v>6338</v>
      </c>
      <c r="DF58" s="167">
        <v>5514</v>
      </c>
      <c r="DG58" s="167">
        <v>5095</v>
      </c>
      <c r="DH58" s="167">
        <v>4567</v>
      </c>
      <c r="DI58" s="167">
        <v>4310</v>
      </c>
      <c r="DJ58" s="167">
        <v>4257</v>
      </c>
      <c r="DK58" s="167">
        <v>5251</v>
      </c>
      <c r="DL58" s="167">
        <v>6779</v>
      </c>
      <c r="DM58" s="167">
        <v>7960</v>
      </c>
      <c r="DN58" s="167">
        <v>7584</v>
      </c>
      <c r="DO58" s="167">
        <v>5275</v>
      </c>
      <c r="DP58" s="167">
        <v>5546</v>
      </c>
      <c r="DQ58" s="167">
        <v>6497</v>
      </c>
      <c r="DR58" s="167">
        <v>5652</v>
      </c>
      <c r="DS58" s="167">
        <v>5223</v>
      </c>
    </row>
    <row r="59" spans="1:123" ht="12.75" customHeight="1" x14ac:dyDescent="0.35">
      <c r="A59" s="142" t="str">
        <f>"  "&amp;INDEX(PVSYST_Helexia!$A$5:$A$7,MATCH(Premissas!$B$13,PVSYST_Helexia!$B$5:$B$7,0))&amp;" créditos recebidos (kWh)"</f>
        <v xml:space="preserve">  HCS03 créditos recebidos (kWh)</v>
      </c>
      <c r="B59" s="155">
        <f>SUM(D59:BQ59)</f>
        <v>308535.04586985154</v>
      </c>
      <c r="C59" s="139">
        <f>B59/60</f>
        <v>5142.2507644975258</v>
      </c>
      <c r="D59" s="156">
        <f>D6*Premissas!$B$36</f>
        <v>3347.73</v>
      </c>
      <c r="E59" s="156">
        <f>E6*Premissas!$B$36</f>
        <v>3523.7699999999995</v>
      </c>
      <c r="F59" s="156">
        <f>F6*Premissas!$B$36</f>
        <v>4230.09</v>
      </c>
      <c r="G59" s="156">
        <f>G6*Premissas!$B$36</f>
        <v>3969.27</v>
      </c>
      <c r="H59" s="156">
        <f>H6*Premissas!$C$36</f>
        <v>8037.4559999999992</v>
      </c>
      <c r="I59" s="156">
        <f>I6*Premissas!$C$36</f>
        <v>7771.4559999999992</v>
      </c>
      <c r="J59" s="156">
        <f>J6*Premissas!$C$36</f>
        <v>7379.3719999999994</v>
      </c>
      <c r="K59" s="156">
        <f>K6*Premissas!$C$36</f>
        <v>7576.9727599999987</v>
      </c>
      <c r="L59" s="156">
        <f>L6*Premissas!$C$36</f>
        <v>6751.7316999999994</v>
      </c>
      <c r="M59" s="156">
        <f>M6*Premissas!$C$36</f>
        <v>7744.2441999999992</v>
      </c>
      <c r="N59" s="156">
        <f>N6*Premissas!$D$36</f>
        <v>4517.2781100000002</v>
      </c>
      <c r="O59" s="156">
        <f>O6*Premissas!$D$36</f>
        <v>4227.6375899999994</v>
      </c>
      <c r="P59" s="156">
        <f>P6*Premissas!$D$36</f>
        <v>3836.8085550000001</v>
      </c>
      <c r="Q59" s="156">
        <f>Q6*Premissas!$D$36</f>
        <v>4038.5666949999995</v>
      </c>
      <c r="R59" s="156">
        <f>R6*Premissas!$D$36</f>
        <v>4848.0748149999999</v>
      </c>
      <c r="S59" s="156">
        <f>S6*Premissas!$D$36</f>
        <v>4549.1509450000003</v>
      </c>
      <c r="T59" s="156">
        <f>T6*Premissas!$E$36</f>
        <v>10131.878040000001</v>
      </c>
      <c r="U59" s="156">
        <f>U6*Premissas!$E$36</f>
        <v>9796.5630400000009</v>
      </c>
      <c r="V59" s="156">
        <f>V6*Premissas!$E$36</f>
        <v>9302.3087300000007</v>
      </c>
      <c r="W59" s="156">
        <f>W6*Premissas!$E$36</f>
        <v>9599.3978200000001</v>
      </c>
      <c r="X59" s="156">
        <f>X6*Premissas!$E$36</f>
        <v>8553.8856500000002</v>
      </c>
      <c r="Y59" s="156">
        <f>Y6*Premissas!$E$36</f>
        <v>9811.3168999999998</v>
      </c>
      <c r="Z59" s="156">
        <f>Z6*Premissas!$E$36</f>
        <v>9789.8567400000011</v>
      </c>
      <c r="AA59" s="156">
        <f>AA6*Premissas!$E$36</f>
        <v>9162.1470599999993</v>
      </c>
      <c r="AB59" s="156">
        <f>AB6*Premissas!$F$36</f>
        <v>1914.9499160999999</v>
      </c>
      <c r="AC59" s="156">
        <f>AC6*Premissas!$F$36</f>
        <v>2015.6473388999998</v>
      </c>
      <c r="AD59" s="156">
        <f>AD6*Premissas!$F$36</f>
        <v>2419.6725813000003</v>
      </c>
      <c r="AE59" s="156">
        <f>AE6*Premissas!$F$36</f>
        <v>2270.4797738999996</v>
      </c>
      <c r="AF59" s="156">
        <f>AF6*Premissas!$F$36</f>
        <v>2333.3384412</v>
      </c>
      <c r="AG59" s="156">
        <f>AG6*Premissas!$F$36</f>
        <v>2256.1164911999999</v>
      </c>
      <c r="AH59" s="156">
        <f>AH6*Premissas!$G$36</f>
        <v>2348.2808885250001</v>
      </c>
      <c r="AI59" s="156">
        <f>AI6*Premissas!$G$36</f>
        <v>2423.2782523500005</v>
      </c>
      <c r="AJ59" s="156">
        <f>AJ6*Premissas!$G$36</f>
        <v>2159.3484776250002</v>
      </c>
      <c r="AK59" s="156">
        <f>AK6*Premissas!$G$36</f>
        <v>2476.7752432500001</v>
      </c>
      <c r="AL59" s="156">
        <f>AL6*Premissas!$G$36</f>
        <v>2471.3578264500002</v>
      </c>
      <c r="AM59" s="156">
        <f>AM6*Premissas!$G$36</f>
        <v>2312.8983850500003</v>
      </c>
      <c r="AN59" s="156">
        <f>AN6*Premissas!$H$36</f>
        <v>1954.2309400200002</v>
      </c>
      <c r="AO59" s="156">
        <f>AO6*Premissas!$H$36</f>
        <v>2056.9939509799997</v>
      </c>
      <c r="AP59" s="156">
        <f>AP6*Premissas!$H$36</f>
        <v>2469.3068906600001</v>
      </c>
      <c r="AQ59" s="156">
        <f>AQ6*Premissas!$H$36</f>
        <v>2317.0537179800003</v>
      </c>
      <c r="AR59" s="156">
        <f>AR6*Premissas!$H$36</f>
        <v>2381.2017938399999</v>
      </c>
      <c r="AS59" s="156">
        <f>AS6*Premissas!$H$36</f>
        <v>2302.3958038400001</v>
      </c>
      <c r="AT59" s="156">
        <f>AT6*Premissas!$I$36</f>
        <v>2377.5314048557498</v>
      </c>
      <c r="AU59" s="156">
        <f>AU6*Premissas!$I$36</f>
        <v>2453.4629463704996</v>
      </c>
      <c r="AV59" s="156">
        <f>AV6*Premissas!$I$36</f>
        <v>2186.2456253287501</v>
      </c>
      <c r="AW59" s="156">
        <f>AW6*Premissas!$I$36</f>
        <v>2507.6263032975003</v>
      </c>
      <c r="AX59" s="156">
        <f>AX6*Premissas!$I$36</f>
        <v>2502.1414063934999</v>
      </c>
      <c r="AY59" s="156">
        <f>AY6*Premissas!$I$36</f>
        <v>2341.7081719514995</v>
      </c>
      <c r="AZ59" s="156">
        <f>AZ6*Premissas!$J$36</f>
        <v>3694.4735921078104</v>
      </c>
      <c r="BA59" s="156">
        <f>BA6*Premissas!$J$36</f>
        <v>3888.7470643276897</v>
      </c>
      <c r="BB59" s="156">
        <f>BB6*Premissas!$J$36</f>
        <v>4668.22467679273</v>
      </c>
      <c r="BC59" s="156">
        <f>BC6*Premissas!$J$36</f>
        <v>4380.3900538411908</v>
      </c>
      <c r="BD59" s="156">
        <f>BD6*Premissas!$J$36</f>
        <v>4501.6619912545202</v>
      </c>
      <c r="BE59" s="156">
        <f>BE6*Premissas!$J$36</f>
        <v>4352.6792671595204</v>
      </c>
      <c r="BF59" s="156">
        <f>BF6*Premissas!$K$36</f>
        <v>4377.8004988605389</v>
      </c>
      <c r="BG59" s="156">
        <f>BG6*Premissas!$K$36</f>
        <v>4517.614904526692</v>
      </c>
      <c r="BH59" s="156">
        <f>BH6*Premissas!$K$36</f>
        <v>4025.5818155119441</v>
      </c>
      <c r="BI59" s="156">
        <f>BI6*Premissas!$K$36</f>
        <v>4617.3470765142874</v>
      </c>
      <c r="BJ59" s="156">
        <f>BJ6*Premissas!$K$36</f>
        <v>4607.247616059848</v>
      </c>
      <c r="BK59" s="156">
        <f>BK6*Premissas!$K$36</f>
        <v>4311.8383977674775</v>
      </c>
      <c r="BL59" s="156">
        <f>BL6*Premissas!$L$36</f>
        <v>5630.5951632056122</v>
      </c>
      <c r="BM59" s="156">
        <f>BM6*Premissas!$L$36</f>
        <v>5926.6793672873973</v>
      </c>
      <c r="BN59" s="156">
        <f>BN6*Premissas!$L$36</f>
        <v>7114.6491186339481</v>
      </c>
      <c r="BO59" s="156">
        <f>BO6*Premissas!$L$36</f>
        <v>6675.9722150403832</v>
      </c>
      <c r="BP59" s="156">
        <f>BP6*Premissas!$L$36</f>
        <v>6860.7977841527854</v>
      </c>
      <c r="BQ59" s="156">
        <f>BQ6*Premissas!$L$36</f>
        <v>6633.7393454397597</v>
      </c>
      <c r="BR59" s="156">
        <f>BR6*Premissas!$M$36</f>
        <v>6317.4095568334978</v>
      </c>
      <c r="BS59" s="156">
        <f>BS6*Premissas!$M$36</f>
        <v>6519.1695188893882</v>
      </c>
      <c r="BT59" s="156">
        <f>BT6*Premissas!$M$36</f>
        <v>5809.1384108868342</v>
      </c>
      <c r="BU59" s="156">
        <f>BU6*Premissas!$M$36</f>
        <v>6663.0885888886223</v>
      </c>
      <c r="BV59" s="156">
        <f>BV6*Premissas!$M$36</f>
        <v>6648.514505850726</v>
      </c>
      <c r="BW59" s="156">
        <f>BW6*Premissas!$M$36</f>
        <v>6222.2225769922325</v>
      </c>
      <c r="BX59" s="156">
        <f>BX6*Premissas!$N$36</f>
        <v>5606.6977815501632</v>
      </c>
      <c r="BY59" s="156">
        <f>BY6*Premissas!$N$36</f>
        <v>5901.5253445448161</v>
      </c>
      <c r="BZ59" s="156">
        <f>BZ6*Premissas!$N$36</f>
        <v>7084.4531126337934</v>
      </c>
      <c r="CA59" s="156">
        <f>CA6*Premissas!$N$36</f>
        <v>6647.6380423073588</v>
      </c>
      <c r="CB59" s="156">
        <f>CB6*Premissas!$N$36</f>
        <v>6831.67917442212</v>
      </c>
      <c r="CC59" s="156">
        <f>CC6*Premissas!$N$36</f>
        <v>6605.5844175243792</v>
      </c>
      <c r="CD59" s="156">
        <f>CD6*Premissas!$O$36</f>
        <v>6290.018002606319</v>
      </c>
      <c r="CE59" s="156">
        <f>CE6*Premissas!$O$36</f>
        <v>6490.9031568961755</v>
      </c>
      <c r="CF59" s="156">
        <f>CF6*Premissas!$O$36</f>
        <v>5783.9506613253261</v>
      </c>
      <c r="CG59" s="156">
        <f>CG6*Premissas!$O$36</f>
        <v>6634.1982105205425</v>
      </c>
      <c r="CH59" s="156">
        <f>CH6*Premissas!$O$36</f>
        <v>6619.6873190142778</v>
      </c>
      <c r="CI59" s="156">
        <f>CI6*Premissas!$O$36</f>
        <v>6195.2437424560258</v>
      </c>
      <c r="CJ59" s="156">
        <f>CJ6*Premissas!$P$36</f>
        <v>5582.774105330991</v>
      </c>
      <c r="CK59" s="156">
        <f>CK6*Premissas!$P$36</f>
        <v>5876.3436445418783</v>
      </c>
      <c r="CL59" s="156">
        <f>CL6*Premissas!$P$36</f>
        <v>7054.2238816211484</v>
      </c>
      <c r="CM59" s="156">
        <f>CM6*Premissas!$P$36</f>
        <v>6619.2726931583902</v>
      </c>
      <c r="CN59" s="156">
        <f>CN6*Premissas!$P$36</f>
        <v>6802.5285251504647</v>
      </c>
      <c r="CO59" s="156">
        <f>CO6*Premissas!$P$36</f>
        <v>6577.3985104181866</v>
      </c>
      <c r="CP59" s="156">
        <f>CP6*Premissas!$Q$36</f>
        <v>6262.6151976820174</v>
      </c>
      <c r="CQ59" s="156">
        <f>CQ6*Premissas!$Q$36</f>
        <v>6462.6251848908087</v>
      </c>
      <c r="CR59" s="156">
        <f>CR6*Premissas!$Q$36</f>
        <v>5758.7525662485868</v>
      </c>
      <c r="CS59" s="156">
        <f>CS6*Premissas!$Q$36</f>
        <v>6605.2959658343252</v>
      </c>
      <c r="CT59" s="156">
        <f>CT6*Premissas!$Q$36</f>
        <v>6590.8482918147283</v>
      </c>
      <c r="CU59" s="156">
        <f>CU6*Premissas!$Q$36</f>
        <v>6168.2538267415275</v>
      </c>
      <c r="CV59" s="156">
        <f>CV6*Premissas!$R$36</f>
        <v>5558.82323511917</v>
      </c>
      <c r="CW59" s="156">
        <f>CW6*Premissas!$R$36</f>
        <v>5851.1333205532919</v>
      </c>
      <c r="CX59" s="156">
        <f>CX6*Premissas!$R$36</f>
        <v>7023.9602891049308</v>
      </c>
      <c r="CY59" s="156">
        <f>CY6*Premissas!$R$36</f>
        <v>6590.8751011764589</v>
      </c>
      <c r="CZ59" s="156">
        <f>CZ6*Premissas!$R$36</f>
        <v>6773.3447403968394</v>
      </c>
      <c r="DA59" s="156">
        <f>DA6*Premissas!$R$36</f>
        <v>6549.1805644504266</v>
      </c>
      <c r="DB59" s="156">
        <f>DB6*Premissas!$S$36</f>
        <v>0</v>
      </c>
      <c r="DC59" s="156">
        <f>DC6*Premissas!$S$36</f>
        <v>0</v>
      </c>
      <c r="DD59" s="156">
        <f>DD6*Premissas!$S$36</f>
        <v>0</v>
      </c>
      <c r="DE59" s="156">
        <f>DE6*Premissas!$S$36</f>
        <v>0</v>
      </c>
      <c r="DF59" s="156">
        <f>DF6*Premissas!$S$36</f>
        <v>0</v>
      </c>
      <c r="DG59" s="156">
        <f>DG6*Premissas!$S$36</f>
        <v>0</v>
      </c>
      <c r="DH59" s="156">
        <f>DH6*Premissas!$T$36</f>
        <v>0</v>
      </c>
      <c r="DI59" s="156">
        <f>DI6*Premissas!$T$36</f>
        <v>0</v>
      </c>
      <c r="DJ59" s="156">
        <f>DJ6*Premissas!$T$36</f>
        <v>0</v>
      </c>
      <c r="DK59" s="156">
        <f>DK6*Premissas!$T$36</f>
        <v>0</v>
      </c>
      <c r="DL59" s="156">
        <f>DL6*Premissas!$T$36</f>
        <v>0</v>
      </c>
      <c r="DM59" s="156">
        <f>DM6*Premissas!$T$36</f>
        <v>0</v>
      </c>
      <c r="DN59" s="156">
        <f>DN6*Premissas!$U$36</f>
        <v>0</v>
      </c>
      <c r="DO59" s="156">
        <f>DO6*Premissas!$U$36</f>
        <v>0</v>
      </c>
      <c r="DP59" s="156">
        <f>DP6*Premissas!$U$36</f>
        <v>0</v>
      </c>
      <c r="DQ59" s="156">
        <f>DQ6*Premissas!$U$36</f>
        <v>0</v>
      </c>
      <c r="DR59" s="156">
        <f>DR6*Premissas!$U$36</f>
        <v>0</v>
      </c>
      <c r="DS59" s="156">
        <f>DS6*Premissas!$U$36</f>
        <v>0</v>
      </c>
    </row>
    <row r="60" spans="1:123" ht="12.75" customHeight="1" x14ac:dyDescent="0.35">
      <c r="A60" s="146" t="s">
        <v>492</v>
      </c>
      <c r="B60" s="139">
        <f>AA60</f>
        <v>46667.086289999999</v>
      </c>
      <c r="C60" s="139" t="s">
        <v>169</v>
      </c>
      <c r="D60" s="139">
        <f>0</f>
        <v>0</v>
      </c>
      <c r="E60" s="139">
        <f t="shared" ref="E60:AJ60" si="74">D62</f>
        <v>0</v>
      </c>
      <c r="F60" s="139">
        <f t="shared" si="74"/>
        <v>72.769999999999527</v>
      </c>
      <c r="G60" s="139">
        <f t="shared" si="74"/>
        <v>893.85999999999967</v>
      </c>
      <c r="H60" s="139">
        <f t="shared" si="74"/>
        <v>658.12999999999965</v>
      </c>
      <c r="I60" s="139">
        <f t="shared" si="74"/>
        <v>3267.5859999999989</v>
      </c>
      <c r="J60" s="139">
        <f t="shared" si="74"/>
        <v>4665.0419999999976</v>
      </c>
      <c r="K60" s="139">
        <f t="shared" si="74"/>
        <v>5971.413999999997</v>
      </c>
      <c r="L60" s="139">
        <f t="shared" si="74"/>
        <v>9324.3867599999958</v>
      </c>
      <c r="M60" s="139">
        <f t="shared" si="74"/>
        <v>11635.118459999994</v>
      </c>
      <c r="N60" s="139">
        <f t="shared" si="74"/>
        <v>14177.362659999993</v>
      </c>
      <c r="O60" s="139">
        <f t="shared" si="74"/>
        <v>14168.640769999995</v>
      </c>
      <c r="P60" s="139">
        <f t="shared" si="74"/>
        <v>14214.278359999993</v>
      </c>
      <c r="Q60" s="139">
        <f t="shared" si="74"/>
        <v>14302.086914999993</v>
      </c>
      <c r="R60" s="139">
        <f t="shared" si="74"/>
        <v>14803.653609999992</v>
      </c>
      <c r="S60" s="139">
        <f t="shared" si="74"/>
        <v>16157.728424999992</v>
      </c>
      <c r="T60" s="139">
        <f t="shared" si="74"/>
        <v>16396.879369999991</v>
      </c>
      <c r="U60" s="139">
        <f t="shared" si="74"/>
        <v>20964.757409999991</v>
      </c>
      <c r="V60" s="139">
        <f t="shared" si="74"/>
        <v>24228.320449999992</v>
      </c>
      <c r="W60" s="139">
        <f t="shared" si="74"/>
        <v>27305.629179999993</v>
      </c>
      <c r="X60" s="139">
        <f t="shared" si="74"/>
        <v>32681.026999999995</v>
      </c>
      <c r="Y60" s="139">
        <f t="shared" si="74"/>
        <v>36793.912649999998</v>
      </c>
      <c r="Z60" s="139">
        <f t="shared" si="74"/>
        <v>41403.229549999996</v>
      </c>
      <c r="AA60" s="139">
        <f t="shared" si="74"/>
        <v>46667.086289999999</v>
      </c>
      <c r="AB60" s="139">
        <f t="shared" si="74"/>
        <v>51647.233349999995</v>
      </c>
      <c r="AC60" s="139">
        <f t="shared" si="74"/>
        <v>49720.183266099993</v>
      </c>
      <c r="AD60" s="139">
        <f t="shared" si="74"/>
        <v>48109.830604999996</v>
      </c>
      <c r="AE60" s="139">
        <f t="shared" si="74"/>
        <v>46947.503186299997</v>
      </c>
      <c r="AF60" s="139">
        <f t="shared" si="74"/>
        <v>44799.982960199995</v>
      </c>
      <c r="AG60" s="139">
        <f t="shared" si="74"/>
        <v>41430.321401399997</v>
      </c>
      <c r="AH60" s="139">
        <f t="shared" si="74"/>
        <v>36989.437892599999</v>
      </c>
      <c r="AI60" s="139">
        <f t="shared" si="74"/>
        <v>32957.718781124997</v>
      </c>
      <c r="AJ60" s="139">
        <f t="shared" si="74"/>
        <v>30942.997033474996</v>
      </c>
      <c r="AK60" s="139">
        <f t="shared" ref="AK60:BP60" si="75">AJ62</f>
        <v>28436.345511099997</v>
      </c>
      <c r="AL60" s="139">
        <f t="shared" si="75"/>
        <v>25448.120754349999</v>
      </c>
      <c r="AM60" s="139">
        <f t="shared" si="75"/>
        <v>23164.478580799998</v>
      </c>
      <c r="AN60" s="139">
        <f t="shared" si="75"/>
        <v>21083.376965849999</v>
      </c>
      <c r="AO60" s="139">
        <f t="shared" si="75"/>
        <v>19099.607905869998</v>
      </c>
      <c r="AP60" s="139">
        <f t="shared" si="75"/>
        <v>17440.601856849997</v>
      </c>
      <c r="AQ60" s="139">
        <f t="shared" si="75"/>
        <v>16238.908747509997</v>
      </c>
      <c r="AR60" s="139">
        <f t="shared" si="75"/>
        <v>14027.962465489996</v>
      </c>
      <c r="AS60" s="139">
        <f t="shared" si="75"/>
        <v>10564.164259329997</v>
      </c>
      <c r="AT60" s="139">
        <f t="shared" si="75"/>
        <v>6002.5600631699963</v>
      </c>
      <c r="AU60" s="139">
        <f t="shared" si="75"/>
        <v>1840.0914680257465</v>
      </c>
      <c r="AV60" s="139">
        <f t="shared" si="75"/>
        <v>0</v>
      </c>
      <c r="AW60" s="139">
        <f t="shared" si="75"/>
        <v>0</v>
      </c>
      <c r="AX60" s="139">
        <f t="shared" si="75"/>
        <v>0</v>
      </c>
      <c r="AY60" s="139">
        <f t="shared" si="75"/>
        <v>0</v>
      </c>
      <c r="AZ60" s="139">
        <f t="shared" si="75"/>
        <v>0</v>
      </c>
      <c r="BA60" s="139">
        <f t="shared" si="75"/>
        <v>0</v>
      </c>
      <c r="BB60" s="139">
        <f t="shared" si="75"/>
        <v>79.747064327689714</v>
      </c>
      <c r="BC60" s="139">
        <f t="shared" si="75"/>
        <v>984.97174112041967</v>
      </c>
      <c r="BD60" s="139">
        <f t="shared" si="75"/>
        <v>723.36179496161049</v>
      </c>
      <c r="BE60" s="139">
        <f t="shared" si="75"/>
        <v>0</v>
      </c>
      <c r="BF60" s="139">
        <f t="shared" si="75"/>
        <v>0</v>
      </c>
      <c r="BG60" s="139">
        <f t="shared" si="75"/>
        <v>0</v>
      </c>
      <c r="BH60" s="139">
        <f t="shared" si="75"/>
        <v>0</v>
      </c>
      <c r="BI60" s="139">
        <f t="shared" si="75"/>
        <v>0</v>
      </c>
      <c r="BJ60" s="139">
        <f t="shared" si="75"/>
        <v>0</v>
      </c>
      <c r="BK60" s="139">
        <f t="shared" si="75"/>
        <v>0</v>
      </c>
      <c r="BL60" s="139">
        <f t="shared" si="75"/>
        <v>0</v>
      </c>
      <c r="BM60" s="139">
        <f t="shared" si="75"/>
        <v>1492.5951632056122</v>
      </c>
      <c r="BN60" s="139">
        <f t="shared" si="75"/>
        <v>3515.2745304930095</v>
      </c>
      <c r="BO60" s="139">
        <f t="shared" si="75"/>
        <v>6772.9236491269576</v>
      </c>
      <c r="BP60" s="139">
        <f t="shared" si="75"/>
        <v>8690.8958641673416</v>
      </c>
      <c r="BQ60" s="139">
        <f t="shared" ref="BQ60:CV60" si="76">BP62</f>
        <v>9410.693648320128</v>
      </c>
      <c r="BR60" s="139">
        <f t="shared" si="76"/>
        <v>8832.4329937598886</v>
      </c>
      <c r="BS60" s="139">
        <f t="shared" si="76"/>
        <v>8278.8425505933865</v>
      </c>
      <c r="BT60" s="139">
        <f t="shared" si="76"/>
        <v>10019.012069482775</v>
      </c>
      <c r="BU60" s="139">
        <f t="shared" si="76"/>
        <v>10803.150480369608</v>
      </c>
      <c r="BV60" s="139">
        <f t="shared" si="76"/>
        <v>11580.23906925823</v>
      </c>
      <c r="BW60" s="139">
        <f t="shared" si="76"/>
        <v>13107.753575108956</v>
      </c>
      <c r="BX60" s="139">
        <f t="shared" si="76"/>
        <v>14597.97615210119</v>
      </c>
      <c r="BY60" s="139">
        <f t="shared" si="76"/>
        <v>15963.673933651353</v>
      </c>
      <c r="BZ60" s="139">
        <f t="shared" si="76"/>
        <v>17863.199278196167</v>
      </c>
      <c r="CA60" s="139">
        <f t="shared" si="76"/>
        <v>20994.65239082996</v>
      </c>
      <c r="CB60" s="139">
        <f t="shared" si="76"/>
        <v>22765.290433137321</v>
      </c>
      <c r="CC60" s="139">
        <f t="shared" si="76"/>
        <v>23301.96960755944</v>
      </c>
      <c r="CD60" s="139">
        <f t="shared" si="76"/>
        <v>22515.55402508382</v>
      </c>
      <c r="CE60" s="139">
        <f t="shared" si="76"/>
        <v>21762.572027690141</v>
      </c>
      <c r="CF60" s="139">
        <f t="shared" si="76"/>
        <v>23354.475184586317</v>
      </c>
      <c r="CG60" s="139">
        <f t="shared" si="76"/>
        <v>23988.425845911643</v>
      </c>
      <c r="CH60" s="139">
        <f t="shared" si="76"/>
        <v>24589.624056432185</v>
      </c>
      <c r="CI60" s="139">
        <f t="shared" si="76"/>
        <v>25960.311375446465</v>
      </c>
      <c r="CJ60" s="139">
        <f t="shared" si="76"/>
        <v>27305.555117902491</v>
      </c>
      <c r="CK60" s="139">
        <f t="shared" si="76"/>
        <v>28541.329223233482</v>
      </c>
      <c r="CL60" s="139">
        <f t="shared" si="76"/>
        <v>30315.67286777536</v>
      </c>
      <c r="CM60" s="139">
        <f t="shared" si="76"/>
        <v>33317.89674939651</v>
      </c>
      <c r="CN60" s="139">
        <f t="shared" si="76"/>
        <v>34939.169442554899</v>
      </c>
      <c r="CO60" s="139">
        <f t="shared" si="76"/>
        <v>35289.69796770536</v>
      </c>
      <c r="CP60" s="139">
        <f t="shared" si="76"/>
        <v>34290.096478123545</v>
      </c>
      <c r="CQ60" s="139">
        <f t="shared" si="76"/>
        <v>33333.711675805564</v>
      </c>
      <c r="CR60" s="139">
        <f t="shared" si="76"/>
        <v>34775.33686069637</v>
      </c>
      <c r="CS60" s="139">
        <f t="shared" si="76"/>
        <v>35255.089426944956</v>
      </c>
      <c r="CT60" s="139">
        <f t="shared" si="76"/>
        <v>35676.385392779281</v>
      </c>
      <c r="CU60" s="139">
        <f t="shared" si="76"/>
        <v>36887.233684594008</v>
      </c>
      <c r="CV60" s="139">
        <f t="shared" si="76"/>
        <v>38084.487511335537</v>
      </c>
      <c r="CW60" s="139">
        <f t="shared" ref="CW60:DS60" si="77">CV62</f>
        <v>39187.310746454707</v>
      </c>
      <c r="CX60" s="139">
        <f t="shared" si="77"/>
        <v>40833.444067008</v>
      </c>
      <c r="CY60" s="139">
        <f t="shared" si="77"/>
        <v>43703.404356112929</v>
      </c>
      <c r="CZ60" s="139">
        <f t="shared" si="77"/>
        <v>45171.279457289391</v>
      </c>
      <c r="DA60" s="139">
        <f t="shared" si="77"/>
        <v>45331.624197686229</v>
      </c>
      <c r="DB60" s="139">
        <f t="shared" si="77"/>
        <v>44114.804762136657</v>
      </c>
      <c r="DC60" s="139">
        <f t="shared" si="77"/>
        <v>36715.804762136657</v>
      </c>
      <c r="DD60" s="139">
        <f t="shared" si="77"/>
        <v>31568.804762136657</v>
      </c>
      <c r="DE60" s="139">
        <f t="shared" si="77"/>
        <v>26157.804762136657</v>
      </c>
      <c r="DF60" s="139">
        <f t="shared" si="77"/>
        <v>19819.804762136657</v>
      </c>
      <c r="DG60" s="139">
        <f t="shared" si="77"/>
        <v>14305.804762136657</v>
      </c>
      <c r="DH60" s="139">
        <f t="shared" si="77"/>
        <v>9210.8047621366568</v>
      </c>
      <c r="DI60" s="139">
        <f t="shared" si="77"/>
        <v>4643.8047621366568</v>
      </c>
      <c r="DJ60" s="139">
        <f t="shared" si="77"/>
        <v>333.80476213665679</v>
      </c>
      <c r="DK60" s="139">
        <f t="shared" si="77"/>
        <v>0</v>
      </c>
      <c r="DL60" s="139">
        <f t="shared" si="77"/>
        <v>0</v>
      </c>
      <c r="DM60" s="139">
        <f t="shared" si="77"/>
        <v>0</v>
      </c>
      <c r="DN60" s="139">
        <f t="shared" si="77"/>
        <v>0</v>
      </c>
      <c r="DO60" s="139">
        <f t="shared" si="77"/>
        <v>0</v>
      </c>
      <c r="DP60" s="139">
        <f t="shared" si="77"/>
        <v>0</v>
      </c>
      <c r="DQ60" s="139">
        <f t="shared" si="77"/>
        <v>0</v>
      </c>
      <c r="DR60" s="139">
        <f t="shared" si="77"/>
        <v>0</v>
      </c>
      <c r="DS60" s="139">
        <f t="shared" si="77"/>
        <v>0</v>
      </c>
    </row>
    <row r="61" spans="1:123" ht="12.75" customHeight="1" x14ac:dyDescent="0.35">
      <c r="A61" s="146" t="s">
        <v>493</v>
      </c>
      <c r="B61" s="139">
        <f>SUM(D61:BQ61)</f>
        <v>53454.917635680649</v>
      </c>
      <c r="C61" s="139">
        <f>B61/60</f>
        <v>890.91529392801078</v>
      </c>
      <c r="D61" s="139">
        <f t="shared" ref="D61:AI61" si="78">MIN(D60,MAX(D58-D59,0))</f>
        <v>0</v>
      </c>
      <c r="E61" s="139">
        <f t="shared" si="78"/>
        <v>0</v>
      </c>
      <c r="F61" s="139">
        <f t="shared" si="78"/>
        <v>0</v>
      </c>
      <c r="G61" s="139">
        <f t="shared" si="78"/>
        <v>235.73000000000002</v>
      </c>
      <c r="H61" s="139">
        <f t="shared" si="78"/>
        <v>0</v>
      </c>
      <c r="I61" s="139">
        <f t="shared" si="78"/>
        <v>0</v>
      </c>
      <c r="J61" s="139">
        <f t="shared" si="78"/>
        <v>0</v>
      </c>
      <c r="K61" s="139">
        <f t="shared" si="78"/>
        <v>0</v>
      </c>
      <c r="L61" s="139">
        <f t="shared" si="78"/>
        <v>0</v>
      </c>
      <c r="M61" s="139">
        <f t="shared" si="78"/>
        <v>0</v>
      </c>
      <c r="N61" s="139">
        <f t="shared" si="78"/>
        <v>8.721889999999803</v>
      </c>
      <c r="O61" s="139">
        <f t="shared" si="78"/>
        <v>0</v>
      </c>
      <c r="P61" s="139">
        <f t="shared" si="78"/>
        <v>0</v>
      </c>
      <c r="Q61" s="139">
        <f t="shared" si="78"/>
        <v>0</v>
      </c>
      <c r="R61" s="139">
        <f t="shared" si="78"/>
        <v>0</v>
      </c>
      <c r="S61" s="139">
        <f t="shared" si="78"/>
        <v>0</v>
      </c>
      <c r="T61" s="139">
        <f t="shared" si="78"/>
        <v>0</v>
      </c>
      <c r="U61" s="139">
        <f t="shared" si="78"/>
        <v>0</v>
      </c>
      <c r="V61" s="139">
        <f t="shared" si="78"/>
        <v>0</v>
      </c>
      <c r="W61" s="139">
        <f t="shared" si="78"/>
        <v>0</v>
      </c>
      <c r="X61" s="139">
        <f t="shared" si="78"/>
        <v>0</v>
      </c>
      <c r="Y61" s="139">
        <f t="shared" si="78"/>
        <v>0</v>
      </c>
      <c r="Z61" s="139">
        <f t="shared" si="78"/>
        <v>0</v>
      </c>
      <c r="AA61" s="139">
        <f t="shared" si="78"/>
        <v>0</v>
      </c>
      <c r="AB61" s="139">
        <f t="shared" si="78"/>
        <v>1927.0500839000001</v>
      </c>
      <c r="AC61" s="139">
        <f t="shared" si="78"/>
        <v>1610.3526611000002</v>
      </c>
      <c r="AD61" s="139">
        <f t="shared" si="78"/>
        <v>1162.3274186999997</v>
      </c>
      <c r="AE61" s="139">
        <f t="shared" si="78"/>
        <v>2147.5202261000004</v>
      </c>
      <c r="AF61" s="139">
        <f t="shared" si="78"/>
        <v>3369.6615588</v>
      </c>
      <c r="AG61" s="139">
        <f t="shared" si="78"/>
        <v>4440.8835087999996</v>
      </c>
      <c r="AH61" s="139">
        <f t="shared" si="78"/>
        <v>4031.7191114749999</v>
      </c>
      <c r="AI61" s="139">
        <f t="shared" si="78"/>
        <v>2014.7217476499995</v>
      </c>
      <c r="AJ61" s="139">
        <f t="shared" ref="AJ61:BO61" si="79">MIN(AJ60,MAX(AJ58-AJ59,0))</f>
        <v>2506.6515223749998</v>
      </c>
      <c r="AK61" s="139">
        <f t="shared" si="79"/>
        <v>2988.2247567499999</v>
      </c>
      <c r="AL61" s="139">
        <f t="shared" si="79"/>
        <v>2283.6421735499998</v>
      </c>
      <c r="AM61" s="139">
        <f t="shared" si="79"/>
        <v>2081.1016149499997</v>
      </c>
      <c r="AN61" s="139">
        <f t="shared" si="79"/>
        <v>1983.7690599799998</v>
      </c>
      <c r="AO61" s="139">
        <f t="shared" si="79"/>
        <v>1659.0060490200003</v>
      </c>
      <c r="AP61" s="139">
        <f t="shared" si="79"/>
        <v>1201.6931093399999</v>
      </c>
      <c r="AQ61" s="139">
        <f t="shared" si="79"/>
        <v>2210.9462820199997</v>
      </c>
      <c r="AR61" s="139">
        <f t="shared" si="79"/>
        <v>3463.7982061600001</v>
      </c>
      <c r="AS61" s="139">
        <f t="shared" si="79"/>
        <v>4561.6041961600004</v>
      </c>
      <c r="AT61" s="139">
        <f t="shared" si="79"/>
        <v>4162.4685951442498</v>
      </c>
      <c r="AU61" s="139">
        <f t="shared" si="79"/>
        <v>1840.0914680257465</v>
      </c>
      <c r="AV61" s="139">
        <f t="shared" si="79"/>
        <v>0</v>
      </c>
      <c r="AW61" s="139">
        <f t="shared" si="79"/>
        <v>0</v>
      </c>
      <c r="AX61" s="139">
        <f t="shared" si="79"/>
        <v>0</v>
      </c>
      <c r="AY61" s="139">
        <f t="shared" si="79"/>
        <v>0</v>
      </c>
      <c r="AZ61" s="139">
        <f t="shared" si="79"/>
        <v>0</v>
      </c>
      <c r="BA61" s="139">
        <f t="shared" si="79"/>
        <v>0</v>
      </c>
      <c r="BB61" s="139">
        <f t="shared" si="79"/>
        <v>0</v>
      </c>
      <c r="BC61" s="139">
        <f t="shared" si="79"/>
        <v>261.60994615880918</v>
      </c>
      <c r="BD61" s="139">
        <f t="shared" si="79"/>
        <v>723.36179496161049</v>
      </c>
      <c r="BE61" s="139">
        <f t="shared" si="79"/>
        <v>0</v>
      </c>
      <c r="BF61" s="139">
        <f t="shared" si="79"/>
        <v>0</v>
      </c>
      <c r="BG61" s="139">
        <f t="shared" si="79"/>
        <v>0</v>
      </c>
      <c r="BH61" s="139">
        <f t="shared" si="79"/>
        <v>0</v>
      </c>
      <c r="BI61" s="139">
        <f t="shared" si="79"/>
        <v>0</v>
      </c>
      <c r="BJ61" s="139">
        <f t="shared" si="79"/>
        <v>0</v>
      </c>
      <c r="BK61" s="139">
        <f t="shared" si="79"/>
        <v>0</v>
      </c>
      <c r="BL61" s="139">
        <f t="shared" si="79"/>
        <v>0</v>
      </c>
      <c r="BM61" s="139">
        <f t="shared" si="79"/>
        <v>0</v>
      </c>
      <c r="BN61" s="139">
        <f t="shared" si="79"/>
        <v>0</v>
      </c>
      <c r="BO61" s="139">
        <f t="shared" si="79"/>
        <v>0</v>
      </c>
      <c r="BP61" s="139">
        <f t="shared" ref="BP61:CU61" si="80">MIN(BP60,MAX(BP58-BP59,0))</f>
        <v>0</v>
      </c>
      <c r="BQ61" s="139">
        <f t="shared" si="80"/>
        <v>578.26065456024025</v>
      </c>
      <c r="BR61" s="139">
        <f t="shared" si="80"/>
        <v>553.59044316650215</v>
      </c>
      <c r="BS61" s="139">
        <f t="shared" si="80"/>
        <v>0</v>
      </c>
      <c r="BT61" s="139">
        <f t="shared" si="80"/>
        <v>0</v>
      </c>
      <c r="BU61" s="139">
        <f t="shared" si="80"/>
        <v>0</v>
      </c>
      <c r="BV61" s="139">
        <f t="shared" si="80"/>
        <v>0</v>
      </c>
      <c r="BW61" s="139">
        <f t="shared" si="80"/>
        <v>0</v>
      </c>
      <c r="BX61" s="139">
        <f t="shared" si="80"/>
        <v>0</v>
      </c>
      <c r="BY61" s="139">
        <f t="shared" si="80"/>
        <v>0</v>
      </c>
      <c r="BZ61" s="139">
        <f t="shared" si="80"/>
        <v>0</v>
      </c>
      <c r="CA61" s="139">
        <f t="shared" si="80"/>
        <v>0</v>
      </c>
      <c r="CB61" s="139">
        <f t="shared" si="80"/>
        <v>0</v>
      </c>
      <c r="CC61" s="139">
        <f t="shared" si="80"/>
        <v>786.41558247562079</v>
      </c>
      <c r="CD61" s="139">
        <f t="shared" si="80"/>
        <v>752.98199739368101</v>
      </c>
      <c r="CE61" s="139">
        <f t="shared" si="80"/>
        <v>0</v>
      </c>
      <c r="CF61" s="139">
        <f t="shared" si="80"/>
        <v>0</v>
      </c>
      <c r="CG61" s="139">
        <f t="shared" si="80"/>
        <v>0</v>
      </c>
      <c r="CH61" s="139">
        <f t="shared" si="80"/>
        <v>0</v>
      </c>
      <c r="CI61" s="139">
        <f t="shared" si="80"/>
        <v>0</v>
      </c>
      <c r="CJ61" s="139">
        <f t="shared" si="80"/>
        <v>0</v>
      </c>
      <c r="CK61" s="139">
        <f t="shared" si="80"/>
        <v>0</v>
      </c>
      <c r="CL61" s="139">
        <f t="shared" si="80"/>
        <v>0</v>
      </c>
      <c r="CM61" s="139">
        <f t="shared" si="80"/>
        <v>0</v>
      </c>
      <c r="CN61" s="139">
        <f t="shared" si="80"/>
        <v>0</v>
      </c>
      <c r="CO61" s="139">
        <f t="shared" si="80"/>
        <v>999.60148958181344</v>
      </c>
      <c r="CP61" s="139">
        <f t="shared" si="80"/>
        <v>956.38480231798258</v>
      </c>
      <c r="CQ61" s="139">
        <f t="shared" si="80"/>
        <v>0</v>
      </c>
      <c r="CR61" s="139">
        <f t="shared" si="80"/>
        <v>0</v>
      </c>
      <c r="CS61" s="139">
        <f t="shared" si="80"/>
        <v>0</v>
      </c>
      <c r="CT61" s="139">
        <f t="shared" si="80"/>
        <v>0</v>
      </c>
      <c r="CU61" s="139">
        <f t="shared" si="80"/>
        <v>0</v>
      </c>
      <c r="CV61" s="139">
        <f t="shared" ref="CV61:DS61" si="81">MIN(CV60,MAX(CV58-CV59,0))</f>
        <v>0</v>
      </c>
      <c r="CW61" s="139">
        <f t="shared" si="81"/>
        <v>0</v>
      </c>
      <c r="CX61" s="139">
        <f t="shared" si="81"/>
        <v>0</v>
      </c>
      <c r="CY61" s="139">
        <f t="shared" si="81"/>
        <v>0</v>
      </c>
      <c r="CZ61" s="139">
        <f t="shared" si="81"/>
        <v>0</v>
      </c>
      <c r="DA61" s="139">
        <f t="shared" si="81"/>
        <v>1216.8194355495734</v>
      </c>
      <c r="DB61" s="139">
        <f t="shared" si="81"/>
        <v>7399</v>
      </c>
      <c r="DC61" s="139">
        <f t="shared" si="81"/>
        <v>5147</v>
      </c>
      <c r="DD61" s="139">
        <f t="shared" si="81"/>
        <v>5411</v>
      </c>
      <c r="DE61" s="139">
        <f t="shared" si="81"/>
        <v>6338</v>
      </c>
      <c r="DF61" s="139">
        <f t="shared" si="81"/>
        <v>5514</v>
      </c>
      <c r="DG61" s="139">
        <f t="shared" si="81"/>
        <v>5095</v>
      </c>
      <c r="DH61" s="139">
        <f t="shared" si="81"/>
        <v>4567</v>
      </c>
      <c r="DI61" s="139">
        <f t="shared" si="81"/>
        <v>4310</v>
      </c>
      <c r="DJ61" s="139">
        <f t="shared" si="81"/>
        <v>333.80476213665679</v>
      </c>
      <c r="DK61" s="139">
        <f t="shared" si="81"/>
        <v>0</v>
      </c>
      <c r="DL61" s="139">
        <f t="shared" si="81"/>
        <v>0</v>
      </c>
      <c r="DM61" s="139">
        <f t="shared" si="81"/>
        <v>0</v>
      </c>
      <c r="DN61" s="139">
        <f t="shared" si="81"/>
        <v>0</v>
      </c>
      <c r="DO61" s="139">
        <f t="shared" si="81"/>
        <v>0</v>
      </c>
      <c r="DP61" s="139">
        <f t="shared" si="81"/>
        <v>0</v>
      </c>
      <c r="DQ61" s="139">
        <f t="shared" si="81"/>
        <v>0</v>
      </c>
      <c r="DR61" s="139">
        <f t="shared" si="81"/>
        <v>0</v>
      </c>
      <c r="DS61" s="139">
        <f t="shared" si="81"/>
        <v>0</v>
      </c>
    </row>
    <row r="62" spans="1:123" ht="13.5" customHeight="1" x14ac:dyDescent="0.35">
      <c r="A62" s="39" t="s">
        <v>494</v>
      </c>
      <c r="B62" s="41">
        <f>AA62</f>
        <v>51647.233349999995</v>
      </c>
      <c r="C62" s="139" t="s">
        <v>169</v>
      </c>
      <c r="D62" s="157">
        <f t="shared" ref="D62:AI62" si="82">MAX(D60-D61,0)+MAX(D59-D58,0)</f>
        <v>0</v>
      </c>
      <c r="E62" s="157">
        <f t="shared" si="82"/>
        <v>72.769999999999527</v>
      </c>
      <c r="F62" s="157">
        <f t="shared" si="82"/>
        <v>893.85999999999967</v>
      </c>
      <c r="G62" s="157">
        <f t="shared" si="82"/>
        <v>658.12999999999965</v>
      </c>
      <c r="H62" s="157">
        <f t="shared" si="82"/>
        <v>3267.5859999999989</v>
      </c>
      <c r="I62" s="157">
        <f t="shared" si="82"/>
        <v>4665.0419999999976</v>
      </c>
      <c r="J62" s="157">
        <f t="shared" si="82"/>
        <v>5971.413999999997</v>
      </c>
      <c r="K62" s="157">
        <f t="shared" si="82"/>
        <v>9324.3867599999958</v>
      </c>
      <c r="L62" s="157">
        <f t="shared" si="82"/>
        <v>11635.118459999994</v>
      </c>
      <c r="M62" s="157">
        <f t="shared" si="82"/>
        <v>14177.362659999993</v>
      </c>
      <c r="N62" s="157">
        <f t="shared" si="82"/>
        <v>14168.640769999995</v>
      </c>
      <c r="O62" s="157">
        <f t="shared" si="82"/>
        <v>14214.278359999993</v>
      </c>
      <c r="P62" s="157">
        <f t="shared" si="82"/>
        <v>14302.086914999993</v>
      </c>
      <c r="Q62" s="157">
        <f t="shared" si="82"/>
        <v>14803.653609999992</v>
      </c>
      <c r="R62" s="157">
        <f t="shared" si="82"/>
        <v>16157.728424999992</v>
      </c>
      <c r="S62" s="157">
        <f t="shared" si="82"/>
        <v>16396.879369999991</v>
      </c>
      <c r="T62" s="157">
        <f t="shared" si="82"/>
        <v>20964.757409999991</v>
      </c>
      <c r="U62" s="157">
        <f t="shared" si="82"/>
        <v>24228.320449999992</v>
      </c>
      <c r="V62" s="157">
        <f t="shared" si="82"/>
        <v>27305.629179999993</v>
      </c>
      <c r="W62" s="157">
        <f t="shared" si="82"/>
        <v>32681.026999999995</v>
      </c>
      <c r="X62" s="157">
        <f t="shared" si="82"/>
        <v>36793.912649999998</v>
      </c>
      <c r="Y62" s="157">
        <f t="shared" si="82"/>
        <v>41403.229549999996</v>
      </c>
      <c r="Z62" s="157">
        <f t="shared" si="82"/>
        <v>46667.086289999999</v>
      </c>
      <c r="AA62" s="157">
        <f t="shared" si="82"/>
        <v>51647.233349999995</v>
      </c>
      <c r="AB62" s="157">
        <f t="shared" si="82"/>
        <v>49720.183266099993</v>
      </c>
      <c r="AC62" s="157">
        <f t="shared" si="82"/>
        <v>48109.830604999996</v>
      </c>
      <c r="AD62" s="157">
        <f t="shared" si="82"/>
        <v>46947.503186299997</v>
      </c>
      <c r="AE62" s="157">
        <f t="shared" si="82"/>
        <v>44799.982960199995</v>
      </c>
      <c r="AF62" s="157">
        <f t="shared" si="82"/>
        <v>41430.321401399997</v>
      </c>
      <c r="AG62" s="157">
        <f t="shared" si="82"/>
        <v>36989.437892599999</v>
      </c>
      <c r="AH62" s="157">
        <f t="shared" si="82"/>
        <v>32957.718781124997</v>
      </c>
      <c r="AI62" s="157">
        <f t="shared" si="82"/>
        <v>30942.997033474996</v>
      </c>
      <c r="AJ62" s="157">
        <f t="shared" ref="AJ62:BO62" si="83">MAX(AJ60-AJ61,0)+MAX(AJ59-AJ58,0)</f>
        <v>28436.345511099997</v>
      </c>
      <c r="AK62" s="157">
        <f t="shared" si="83"/>
        <v>25448.120754349999</v>
      </c>
      <c r="AL62" s="157">
        <f t="shared" si="83"/>
        <v>23164.478580799998</v>
      </c>
      <c r="AM62" s="157">
        <f t="shared" si="83"/>
        <v>21083.376965849999</v>
      </c>
      <c r="AN62" s="157">
        <f t="shared" si="83"/>
        <v>19099.607905869998</v>
      </c>
      <c r="AO62" s="157">
        <f t="shared" si="83"/>
        <v>17440.601856849997</v>
      </c>
      <c r="AP62" s="157">
        <f t="shared" si="83"/>
        <v>16238.908747509997</v>
      </c>
      <c r="AQ62" s="157">
        <f t="shared" si="83"/>
        <v>14027.962465489996</v>
      </c>
      <c r="AR62" s="157">
        <f t="shared" si="83"/>
        <v>10564.164259329997</v>
      </c>
      <c r="AS62" s="157">
        <f t="shared" si="83"/>
        <v>6002.5600631699963</v>
      </c>
      <c r="AT62" s="157">
        <f t="shared" si="83"/>
        <v>1840.0914680257465</v>
      </c>
      <c r="AU62" s="157">
        <f t="shared" si="83"/>
        <v>0</v>
      </c>
      <c r="AV62" s="157">
        <f t="shared" si="83"/>
        <v>0</v>
      </c>
      <c r="AW62" s="157">
        <f t="shared" si="83"/>
        <v>0</v>
      </c>
      <c r="AX62" s="157">
        <f t="shared" si="83"/>
        <v>0</v>
      </c>
      <c r="AY62" s="157">
        <f t="shared" si="83"/>
        <v>0</v>
      </c>
      <c r="AZ62" s="157">
        <f t="shared" si="83"/>
        <v>0</v>
      </c>
      <c r="BA62" s="157">
        <f t="shared" si="83"/>
        <v>79.747064327689714</v>
      </c>
      <c r="BB62" s="157">
        <f t="shared" si="83"/>
        <v>984.97174112041967</v>
      </c>
      <c r="BC62" s="157">
        <f t="shared" si="83"/>
        <v>723.36179496161049</v>
      </c>
      <c r="BD62" s="157">
        <f t="shared" si="83"/>
        <v>0</v>
      </c>
      <c r="BE62" s="157">
        <f t="shared" si="83"/>
        <v>0</v>
      </c>
      <c r="BF62" s="157">
        <f t="shared" si="83"/>
        <v>0</v>
      </c>
      <c r="BG62" s="157">
        <f t="shared" si="83"/>
        <v>0</v>
      </c>
      <c r="BH62" s="157">
        <f t="shared" si="83"/>
        <v>0</v>
      </c>
      <c r="BI62" s="157">
        <f t="shared" si="83"/>
        <v>0</v>
      </c>
      <c r="BJ62" s="157">
        <f t="shared" si="83"/>
        <v>0</v>
      </c>
      <c r="BK62" s="157">
        <f t="shared" si="83"/>
        <v>0</v>
      </c>
      <c r="BL62" s="157">
        <f t="shared" si="83"/>
        <v>1492.5951632056122</v>
      </c>
      <c r="BM62" s="157">
        <f t="shared" si="83"/>
        <v>3515.2745304930095</v>
      </c>
      <c r="BN62" s="157">
        <f t="shared" si="83"/>
        <v>6772.9236491269576</v>
      </c>
      <c r="BO62" s="157">
        <f t="shared" si="83"/>
        <v>8690.8958641673416</v>
      </c>
      <c r="BP62" s="157">
        <f t="shared" ref="BP62:CU62" si="84">MAX(BP60-BP61,0)+MAX(BP59-BP58,0)</f>
        <v>9410.693648320128</v>
      </c>
      <c r="BQ62" s="157">
        <f t="shared" si="84"/>
        <v>8832.4329937598886</v>
      </c>
      <c r="BR62" s="157">
        <f t="shared" si="84"/>
        <v>8278.8425505933865</v>
      </c>
      <c r="BS62" s="157">
        <f t="shared" si="84"/>
        <v>10019.012069482775</v>
      </c>
      <c r="BT62" s="157">
        <f t="shared" si="84"/>
        <v>10803.150480369608</v>
      </c>
      <c r="BU62" s="157">
        <f t="shared" si="84"/>
        <v>11580.23906925823</v>
      </c>
      <c r="BV62" s="157">
        <f t="shared" si="84"/>
        <v>13107.753575108956</v>
      </c>
      <c r="BW62" s="157">
        <f t="shared" si="84"/>
        <v>14597.97615210119</v>
      </c>
      <c r="BX62" s="157">
        <f t="shared" si="84"/>
        <v>15963.673933651353</v>
      </c>
      <c r="BY62" s="157">
        <f t="shared" si="84"/>
        <v>17863.199278196167</v>
      </c>
      <c r="BZ62" s="157">
        <f t="shared" si="84"/>
        <v>20994.65239082996</v>
      </c>
      <c r="CA62" s="157">
        <f t="shared" si="84"/>
        <v>22765.290433137321</v>
      </c>
      <c r="CB62" s="157">
        <f t="shared" si="84"/>
        <v>23301.96960755944</v>
      </c>
      <c r="CC62" s="157">
        <f t="shared" si="84"/>
        <v>22515.55402508382</v>
      </c>
      <c r="CD62" s="157">
        <f t="shared" si="84"/>
        <v>21762.572027690141</v>
      </c>
      <c r="CE62" s="157">
        <f t="shared" si="84"/>
        <v>23354.475184586317</v>
      </c>
      <c r="CF62" s="157">
        <f t="shared" si="84"/>
        <v>23988.425845911643</v>
      </c>
      <c r="CG62" s="157">
        <f t="shared" si="84"/>
        <v>24589.624056432185</v>
      </c>
      <c r="CH62" s="157">
        <f t="shared" si="84"/>
        <v>25960.311375446465</v>
      </c>
      <c r="CI62" s="157">
        <f t="shared" si="84"/>
        <v>27305.555117902491</v>
      </c>
      <c r="CJ62" s="157">
        <f t="shared" si="84"/>
        <v>28541.329223233482</v>
      </c>
      <c r="CK62" s="157">
        <f t="shared" si="84"/>
        <v>30315.67286777536</v>
      </c>
      <c r="CL62" s="157">
        <f t="shared" si="84"/>
        <v>33317.89674939651</v>
      </c>
      <c r="CM62" s="157">
        <f t="shared" si="84"/>
        <v>34939.169442554899</v>
      </c>
      <c r="CN62" s="157">
        <f t="shared" si="84"/>
        <v>35289.69796770536</v>
      </c>
      <c r="CO62" s="157">
        <f t="shared" si="84"/>
        <v>34290.096478123545</v>
      </c>
      <c r="CP62" s="157">
        <f t="shared" si="84"/>
        <v>33333.711675805564</v>
      </c>
      <c r="CQ62" s="157">
        <f t="shared" si="84"/>
        <v>34775.33686069637</v>
      </c>
      <c r="CR62" s="157">
        <f t="shared" si="84"/>
        <v>35255.089426944956</v>
      </c>
      <c r="CS62" s="157">
        <f t="shared" si="84"/>
        <v>35676.385392779281</v>
      </c>
      <c r="CT62" s="157">
        <f t="shared" si="84"/>
        <v>36887.233684594008</v>
      </c>
      <c r="CU62" s="157">
        <f t="shared" si="84"/>
        <v>38084.487511335537</v>
      </c>
      <c r="CV62" s="157">
        <f t="shared" ref="CV62:DS62" si="85">MAX(CV60-CV61,0)+MAX(CV59-CV58,0)</f>
        <v>39187.310746454707</v>
      </c>
      <c r="CW62" s="157">
        <f t="shared" si="85"/>
        <v>40833.444067008</v>
      </c>
      <c r="CX62" s="157">
        <f t="shared" si="85"/>
        <v>43703.404356112929</v>
      </c>
      <c r="CY62" s="157">
        <f t="shared" si="85"/>
        <v>45171.279457289391</v>
      </c>
      <c r="CZ62" s="157">
        <f t="shared" si="85"/>
        <v>45331.624197686229</v>
      </c>
      <c r="DA62" s="157">
        <f t="shared" si="85"/>
        <v>44114.804762136657</v>
      </c>
      <c r="DB62" s="157">
        <f t="shared" si="85"/>
        <v>36715.804762136657</v>
      </c>
      <c r="DC62" s="157">
        <f t="shared" si="85"/>
        <v>31568.804762136657</v>
      </c>
      <c r="DD62" s="157">
        <f t="shared" si="85"/>
        <v>26157.804762136657</v>
      </c>
      <c r="DE62" s="157">
        <f t="shared" si="85"/>
        <v>19819.804762136657</v>
      </c>
      <c r="DF62" s="157">
        <f t="shared" si="85"/>
        <v>14305.804762136657</v>
      </c>
      <c r="DG62" s="157">
        <f t="shared" si="85"/>
        <v>9210.8047621366568</v>
      </c>
      <c r="DH62" s="157">
        <f t="shared" si="85"/>
        <v>4643.8047621366568</v>
      </c>
      <c r="DI62" s="157">
        <f t="shared" si="85"/>
        <v>333.80476213665679</v>
      </c>
      <c r="DJ62" s="157">
        <f t="shared" si="85"/>
        <v>0</v>
      </c>
      <c r="DK62" s="157">
        <f t="shared" si="85"/>
        <v>0</v>
      </c>
      <c r="DL62" s="157">
        <f t="shared" si="85"/>
        <v>0</v>
      </c>
      <c r="DM62" s="157">
        <f t="shared" si="85"/>
        <v>0</v>
      </c>
      <c r="DN62" s="157">
        <f t="shared" si="85"/>
        <v>0</v>
      </c>
      <c r="DO62" s="157">
        <f t="shared" si="85"/>
        <v>0</v>
      </c>
      <c r="DP62" s="157">
        <f t="shared" si="85"/>
        <v>0</v>
      </c>
      <c r="DQ62" s="157">
        <f t="shared" si="85"/>
        <v>0</v>
      </c>
      <c r="DR62" s="157">
        <f t="shared" si="85"/>
        <v>0</v>
      </c>
      <c r="DS62" s="157">
        <f t="shared" si="85"/>
        <v>0</v>
      </c>
    </row>
    <row r="63" spans="1:123" ht="12.75" customHeight="1" x14ac:dyDescent="0.35">
      <c r="A63" s="147" t="s">
        <v>495</v>
      </c>
      <c r="B63" s="148">
        <f>AA63</f>
        <v>0</v>
      </c>
      <c r="C63" s="139" t="s">
        <v>169</v>
      </c>
      <c r="D63" s="148">
        <f>0</f>
        <v>0</v>
      </c>
      <c r="E63" s="148">
        <f t="shared" ref="E63:AJ63" si="86">D65</f>
        <v>0</v>
      </c>
      <c r="F63" s="148">
        <f t="shared" si="86"/>
        <v>0</v>
      </c>
      <c r="G63" s="148">
        <f t="shared" si="86"/>
        <v>0</v>
      </c>
      <c r="H63" s="148">
        <f t="shared" si="86"/>
        <v>0</v>
      </c>
      <c r="I63" s="148">
        <f t="shared" si="86"/>
        <v>0</v>
      </c>
      <c r="J63" s="148">
        <f t="shared" si="86"/>
        <v>0</v>
      </c>
      <c r="K63" s="148">
        <f t="shared" si="86"/>
        <v>0</v>
      </c>
      <c r="L63" s="148">
        <f t="shared" si="86"/>
        <v>0</v>
      </c>
      <c r="M63" s="148">
        <f t="shared" si="86"/>
        <v>0</v>
      </c>
      <c r="N63" s="148">
        <f t="shared" si="86"/>
        <v>0</v>
      </c>
      <c r="O63" s="148">
        <f t="shared" si="86"/>
        <v>0</v>
      </c>
      <c r="P63" s="148">
        <f t="shared" si="86"/>
        <v>0</v>
      </c>
      <c r="Q63" s="148">
        <f t="shared" si="86"/>
        <v>0</v>
      </c>
      <c r="R63" s="148">
        <f t="shared" si="86"/>
        <v>0</v>
      </c>
      <c r="S63" s="148">
        <f t="shared" si="86"/>
        <v>0</v>
      </c>
      <c r="T63" s="148">
        <f t="shared" si="86"/>
        <v>0</v>
      </c>
      <c r="U63" s="148">
        <f t="shared" si="86"/>
        <v>0</v>
      </c>
      <c r="V63" s="148">
        <f t="shared" si="86"/>
        <v>0</v>
      </c>
      <c r="W63" s="148">
        <f t="shared" si="86"/>
        <v>0</v>
      </c>
      <c r="X63" s="148">
        <f t="shared" si="86"/>
        <v>0</v>
      </c>
      <c r="Y63" s="148">
        <f t="shared" si="86"/>
        <v>0</v>
      </c>
      <c r="Z63" s="148">
        <f t="shared" si="86"/>
        <v>0</v>
      </c>
      <c r="AA63" s="148">
        <f t="shared" si="86"/>
        <v>0</v>
      </c>
      <c r="AB63" s="148">
        <f t="shared" si="86"/>
        <v>0</v>
      </c>
      <c r="AC63" s="148">
        <f t="shared" si="86"/>
        <v>0</v>
      </c>
      <c r="AD63" s="148">
        <f t="shared" si="86"/>
        <v>0</v>
      </c>
      <c r="AE63" s="148">
        <f t="shared" si="86"/>
        <v>0</v>
      </c>
      <c r="AF63" s="148">
        <f t="shared" si="86"/>
        <v>0</v>
      </c>
      <c r="AG63" s="148">
        <f t="shared" si="86"/>
        <v>0</v>
      </c>
      <c r="AH63" s="148">
        <f t="shared" si="86"/>
        <v>0</v>
      </c>
      <c r="AI63" s="148">
        <f t="shared" si="86"/>
        <v>0</v>
      </c>
      <c r="AJ63" s="148">
        <f t="shared" si="86"/>
        <v>0</v>
      </c>
      <c r="AK63" s="148">
        <f t="shared" ref="AK63:BP63" si="87">AJ65</f>
        <v>0</v>
      </c>
      <c r="AL63" s="148">
        <f t="shared" si="87"/>
        <v>0</v>
      </c>
      <c r="AM63" s="148">
        <f t="shared" si="87"/>
        <v>0</v>
      </c>
      <c r="AN63" s="148">
        <f t="shared" si="87"/>
        <v>0</v>
      </c>
      <c r="AO63" s="148">
        <f t="shared" si="87"/>
        <v>0</v>
      </c>
      <c r="AP63" s="148">
        <f t="shared" si="87"/>
        <v>0</v>
      </c>
      <c r="AQ63" s="148">
        <f t="shared" si="87"/>
        <v>0</v>
      </c>
      <c r="AR63" s="148">
        <f t="shared" si="87"/>
        <v>0</v>
      </c>
      <c r="AS63" s="148">
        <f t="shared" si="87"/>
        <v>0</v>
      </c>
      <c r="AT63" s="148">
        <f t="shared" si="87"/>
        <v>0</v>
      </c>
      <c r="AU63" s="148">
        <f t="shared" si="87"/>
        <v>0</v>
      </c>
      <c r="AV63" s="148">
        <f t="shared" si="87"/>
        <v>0</v>
      </c>
      <c r="AW63" s="148">
        <f t="shared" si="87"/>
        <v>0</v>
      </c>
      <c r="AX63" s="148">
        <f t="shared" si="87"/>
        <v>0</v>
      </c>
      <c r="AY63" s="148">
        <f t="shared" si="87"/>
        <v>0</v>
      </c>
      <c r="AZ63" s="148">
        <f t="shared" si="87"/>
        <v>0</v>
      </c>
      <c r="BA63" s="148">
        <f t="shared" si="87"/>
        <v>0</v>
      </c>
      <c r="BB63" s="148">
        <f t="shared" si="87"/>
        <v>0</v>
      </c>
      <c r="BC63" s="148">
        <f t="shared" si="87"/>
        <v>0</v>
      </c>
      <c r="BD63" s="148">
        <f t="shared" si="87"/>
        <v>0</v>
      </c>
      <c r="BE63" s="148">
        <f t="shared" si="87"/>
        <v>0</v>
      </c>
      <c r="BF63" s="148">
        <f t="shared" si="87"/>
        <v>0</v>
      </c>
      <c r="BG63" s="148">
        <f t="shared" si="87"/>
        <v>0</v>
      </c>
      <c r="BH63" s="148">
        <f t="shared" si="87"/>
        <v>0</v>
      </c>
      <c r="BI63" s="148">
        <f t="shared" si="87"/>
        <v>0</v>
      </c>
      <c r="BJ63" s="148">
        <f t="shared" si="87"/>
        <v>0</v>
      </c>
      <c r="BK63" s="148">
        <f t="shared" si="87"/>
        <v>0</v>
      </c>
      <c r="BL63" s="148">
        <f t="shared" si="87"/>
        <v>0</v>
      </c>
      <c r="BM63" s="148">
        <f t="shared" si="87"/>
        <v>0</v>
      </c>
      <c r="BN63" s="148">
        <f t="shared" si="87"/>
        <v>0</v>
      </c>
      <c r="BO63" s="148">
        <f t="shared" si="87"/>
        <v>0</v>
      </c>
      <c r="BP63" s="148">
        <f t="shared" si="87"/>
        <v>0</v>
      </c>
      <c r="BQ63" s="148">
        <f t="shared" ref="BQ63:CV63" si="88">BP65</f>
        <v>0</v>
      </c>
      <c r="BR63" s="148">
        <f t="shared" si="88"/>
        <v>0</v>
      </c>
      <c r="BS63" s="148">
        <f t="shared" si="88"/>
        <v>0</v>
      </c>
      <c r="BT63" s="148">
        <f t="shared" si="88"/>
        <v>0</v>
      </c>
      <c r="BU63" s="148">
        <f t="shared" si="88"/>
        <v>0</v>
      </c>
      <c r="BV63" s="148">
        <f t="shared" si="88"/>
        <v>0</v>
      </c>
      <c r="BW63" s="148">
        <f t="shared" si="88"/>
        <v>0</v>
      </c>
      <c r="BX63" s="148">
        <f t="shared" si="88"/>
        <v>0</v>
      </c>
      <c r="BY63" s="148">
        <f t="shared" si="88"/>
        <v>0</v>
      </c>
      <c r="BZ63" s="148">
        <f t="shared" si="88"/>
        <v>0</v>
      </c>
      <c r="CA63" s="148">
        <f t="shared" si="88"/>
        <v>0</v>
      </c>
      <c r="CB63" s="148">
        <f t="shared" si="88"/>
        <v>0</v>
      </c>
      <c r="CC63" s="148">
        <f t="shared" si="88"/>
        <v>0</v>
      </c>
      <c r="CD63" s="148">
        <f t="shared" si="88"/>
        <v>0</v>
      </c>
      <c r="CE63" s="148">
        <f t="shared" si="88"/>
        <v>0</v>
      </c>
      <c r="CF63" s="148">
        <f t="shared" si="88"/>
        <v>0</v>
      </c>
      <c r="CG63" s="148">
        <f t="shared" si="88"/>
        <v>0</v>
      </c>
      <c r="CH63" s="148">
        <f t="shared" si="88"/>
        <v>0</v>
      </c>
      <c r="CI63" s="148">
        <f t="shared" si="88"/>
        <v>0</v>
      </c>
      <c r="CJ63" s="148">
        <f t="shared" si="88"/>
        <v>0</v>
      </c>
      <c r="CK63" s="148">
        <f t="shared" si="88"/>
        <v>0</v>
      </c>
      <c r="CL63" s="148">
        <f t="shared" si="88"/>
        <v>0</v>
      </c>
      <c r="CM63" s="148">
        <f t="shared" si="88"/>
        <v>0</v>
      </c>
      <c r="CN63" s="148">
        <f t="shared" si="88"/>
        <v>0</v>
      </c>
      <c r="CO63" s="148">
        <f t="shared" si="88"/>
        <v>0</v>
      </c>
      <c r="CP63" s="148">
        <f t="shared" si="88"/>
        <v>0</v>
      </c>
      <c r="CQ63" s="148">
        <f t="shared" si="88"/>
        <v>0</v>
      </c>
      <c r="CR63" s="148">
        <f t="shared" si="88"/>
        <v>0</v>
      </c>
      <c r="CS63" s="148">
        <f t="shared" si="88"/>
        <v>0</v>
      </c>
      <c r="CT63" s="148">
        <f t="shared" si="88"/>
        <v>0</v>
      </c>
      <c r="CU63" s="148">
        <f t="shared" si="88"/>
        <v>0</v>
      </c>
      <c r="CV63" s="148">
        <f t="shared" si="88"/>
        <v>0</v>
      </c>
      <c r="CW63" s="148">
        <f t="shared" ref="CW63:DS63" si="89">CV65</f>
        <v>0</v>
      </c>
      <c r="CX63" s="148">
        <f t="shared" si="89"/>
        <v>0</v>
      </c>
      <c r="CY63" s="148">
        <f t="shared" si="89"/>
        <v>0</v>
      </c>
      <c r="CZ63" s="148">
        <f t="shared" si="89"/>
        <v>0</v>
      </c>
      <c r="DA63" s="148">
        <f t="shared" si="89"/>
        <v>0</v>
      </c>
      <c r="DB63" s="148">
        <f t="shared" si="89"/>
        <v>0</v>
      </c>
      <c r="DC63" s="148">
        <f t="shared" si="89"/>
        <v>0</v>
      </c>
      <c r="DD63" s="148">
        <f t="shared" si="89"/>
        <v>0</v>
      </c>
      <c r="DE63" s="148">
        <f t="shared" si="89"/>
        <v>0</v>
      </c>
      <c r="DF63" s="148">
        <f t="shared" si="89"/>
        <v>0</v>
      </c>
      <c r="DG63" s="148">
        <f t="shared" si="89"/>
        <v>0</v>
      </c>
      <c r="DH63" s="148">
        <f t="shared" si="89"/>
        <v>0</v>
      </c>
      <c r="DI63" s="148">
        <f t="shared" si="89"/>
        <v>0</v>
      </c>
      <c r="DJ63" s="148">
        <f t="shared" si="89"/>
        <v>0</v>
      </c>
      <c r="DK63" s="148">
        <f t="shared" si="89"/>
        <v>0</v>
      </c>
      <c r="DL63" s="148">
        <f t="shared" si="89"/>
        <v>0</v>
      </c>
      <c r="DM63" s="148">
        <f t="shared" si="89"/>
        <v>0</v>
      </c>
      <c r="DN63" s="148">
        <f t="shared" si="89"/>
        <v>0</v>
      </c>
      <c r="DO63" s="148">
        <f t="shared" si="89"/>
        <v>0</v>
      </c>
      <c r="DP63" s="148">
        <f t="shared" si="89"/>
        <v>0</v>
      </c>
      <c r="DQ63" s="148">
        <f t="shared" si="89"/>
        <v>0</v>
      </c>
      <c r="DR63" s="148">
        <f t="shared" si="89"/>
        <v>0</v>
      </c>
      <c r="DS63" s="148">
        <f t="shared" si="89"/>
        <v>0</v>
      </c>
    </row>
    <row r="64" spans="1:123" ht="12.75" customHeight="1" x14ac:dyDescent="0.35">
      <c r="A64" s="147" t="s">
        <v>503</v>
      </c>
      <c r="B64" s="148">
        <f>SUM(D64:BQ64)</f>
        <v>0</v>
      </c>
      <c r="C64" s="139">
        <f>B64/60</f>
        <v>0</v>
      </c>
      <c r="D64" s="148">
        <f t="shared" ref="D64:AI64" si="90">MIN(D63,D58)</f>
        <v>0</v>
      </c>
      <c r="E64" s="148">
        <f t="shared" si="90"/>
        <v>0</v>
      </c>
      <c r="F64" s="148">
        <f t="shared" si="90"/>
        <v>0</v>
      </c>
      <c r="G64" s="148">
        <f t="shared" si="90"/>
        <v>0</v>
      </c>
      <c r="H64" s="148">
        <f t="shared" si="90"/>
        <v>0</v>
      </c>
      <c r="I64" s="148">
        <f t="shared" si="90"/>
        <v>0</v>
      </c>
      <c r="J64" s="148">
        <f t="shared" si="90"/>
        <v>0</v>
      </c>
      <c r="K64" s="148">
        <f t="shared" si="90"/>
        <v>0</v>
      </c>
      <c r="L64" s="148">
        <f t="shared" si="90"/>
        <v>0</v>
      </c>
      <c r="M64" s="148">
        <f t="shared" si="90"/>
        <v>0</v>
      </c>
      <c r="N64" s="148">
        <f t="shared" si="90"/>
        <v>0</v>
      </c>
      <c r="O64" s="148">
        <f t="shared" si="90"/>
        <v>0</v>
      </c>
      <c r="P64" s="148">
        <f t="shared" si="90"/>
        <v>0</v>
      </c>
      <c r="Q64" s="148">
        <f t="shared" si="90"/>
        <v>0</v>
      </c>
      <c r="R64" s="148">
        <f t="shared" si="90"/>
        <v>0</v>
      </c>
      <c r="S64" s="148">
        <f t="shared" si="90"/>
        <v>0</v>
      </c>
      <c r="T64" s="148">
        <f t="shared" si="90"/>
        <v>0</v>
      </c>
      <c r="U64" s="148">
        <f t="shared" si="90"/>
        <v>0</v>
      </c>
      <c r="V64" s="148">
        <f t="shared" si="90"/>
        <v>0</v>
      </c>
      <c r="W64" s="148">
        <f t="shared" si="90"/>
        <v>0</v>
      </c>
      <c r="X64" s="148">
        <f t="shared" si="90"/>
        <v>0</v>
      </c>
      <c r="Y64" s="148">
        <f t="shared" si="90"/>
        <v>0</v>
      </c>
      <c r="Z64" s="148">
        <f t="shared" si="90"/>
        <v>0</v>
      </c>
      <c r="AA64" s="148">
        <f t="shared" si="90"/>
        <v>0</v>
      </c>
      <c r="AB64" s="148">
        <f t="shared" si="90"/>
        <v>0</v>
      </c>
      <c r="AC64" s="148">
        <f t="shared" si="90"/>
        <v>0</v>
      </c>
      <c r="AD64" s="148">
        <f t="shared" si="90"/>
        <v>0</v>
      </c>
      <c r="AE64" s="148">
        <f t="shared" si="90"/>
        <v>0</v>
      </c>
      <c r="AF64" s="148">
        <f t="shared" si="90"/>
        <v>0</v>
      </c>
      <c r="AG64" s="148">
        <f t="shared" si="90"/>
        <v>0</v>
      </c>
      <c r="AH64" s="148">
        <f t="shared" si="90"/>
        <v>0</v>
      </c>
      <c r="AI64" s="148">
        <f t="shared" si="90"/>
        <v>0</v>
      </c>
      <c r="AJ64" s="148">
        <f t="shared" ref="AJ64:BO64" si="91">MIN(AJ63,AJ58)</f>
        <v>0</v>
      </c>
      <c r="AK64" s="148">
        <f t="shared" si="91"/>
        <v>0</v>
      </c>
      <c r="AL64" s="148">
        <f t="shared" si="91"/>
        <v>0</v>
      </c>
      <c r="AM64" s="148">
        <f t="shared" si="91"/>
        <v>0</v>
      </c>
      <c r="AN64" s="148">
        <f t="shared" si="91"/>
        <v>0</v>
      </c>
      <c r="AO64" s="148">
        <f t="shared" si="91"/>
        <v>0</v>
      </c>
      <c r="AP64" s="148">
        <f t="shared" si="91"/>
        <v>0</v>
      </c>
      <c r="AQ64" s="148">
        <f t="shared" si="91"/>
        <v>0</v>
      </c>
      <c r="AR64" s="148">
        <f t="shared" si="91"/>
        <v>0</v>
      </c>
      <c r="AS64" s="148">
        <f t="shared" si="91"/>
        <v>0</v>
      </c>
      <c r="AT64" s="148">
        <f t="shared" si="91"/>
        <v>0</v>
      </c>
      <c r="AU64" s="148">
        <f t="shared" si="91"/>
        <v>0</v>
      </c>
      <c r="AV64" s="148">
        <f t="shared" si="91"/>
        <v>0</v>
      </c>
      <c r="AW64" s="148">
        <f t="shared" si="91"/>
        <v>0</v>
      </c>
      <c r="AX64" s="148">
        <f t="shared" si="91"/>
        <v>0</v>
      </c>
      <c r="AY64" s="148">
        <f t="shared" si="91"/>
        <v>0</v>
      </c>
      <c r="AZ64" s="148">
        <f t="shared" si="91"/>
        <v>0</v>
      </c>
      <c r="BA64" s="148">
        <f t="shared" si="91"/>
        <v>0</v>
      </c>
      <c r="BB64" s="148">
        <f t="shared" si="91"/>
        <v>0</v>
      </c>
      <c r="BC64" s="148">
        <f t="shared" si="91"/>
        <v>0</v>
      </c>
      <c r="BD64" s="148">
        <f t="shared" si="91"/>
        <v>0</v>
      </c>
      <c r="BE64" s="148">
        <f t="shared" si="91"/>
        <v>0</v>
      </c>
      <c r="BF64" s="148">
        <f t="shared" si="91"/>
        <v>0</v>
      </c>
      <c r="BG64" s="148">
        <f t="shared" si="91"/>
        <v>0</v>
      </c>
      <c r="BH64" s="148">
        <f t="shared" si="91"/>
        <v>0</v>
      </c>
      <c r="BI64" s="148">
        <f t="shared" si="91"/>
        <v>0</v>
      </c>
      <c r="BJ64" s="148">
        <f t="shared" si="91"/>
        <v>0</v>
      </c>
      <c r="BK64" s="148">
        <f t="shared" si="91"/>
        <v>0</v>
      </c>
      <c r="BL64" s="148">
        <f t="shared" si="91"/>
        <v>0</v>
      </c>
      <c r="BM64" s="148">
        <f t="shared" si="91"/>
        <v>0</v>
      </c>
      <c r="BN64" s="148">
        <f t="shared" si="91"/>
        <v>0</v>
      </c>
      <c r="BO64" s="148">
        <f t="shared" si="91"/>
        <v>0</v>
      </c>
      <c r="BP64" s="148">
        <f t="shared" ref="BP64:CU64" si="92">MIN(BP63,BP58)</f>
        <v>0</v>
      </c>
      <c r="BQ64" s="148">
        <f t="shared" si="92"/>
        <v>0</v>
      </c>
      <c r="BR64" s="148">
        <f t="shared" si="92"/>
        <v>0</v>
      </c>
      <c r="BS64" s="148">
        <f t="shared" si="92"/>
        <v>0</v>
      </c>
      <c r="BT64" s="148">
        <f t="shared" si="92"/>
        <v>0</v>
      </c>
      <c r="BU64" s="148">
        <f t="shared" si="92"/>
        <v>0</v>
      </c>
      <c r="BV64" s="148">
        <f t="shared" si="92"/>
        <v>0</v>
      </c>
      <c r="BW64" s="148">
        <f t="shared" si="92"/>
        <v>0</v>
      </c>
      <c r="BX64" s="148">
        <f t="shared" si="92"/>
        <v>0</v>
      </c>
      <c r="BY64" s="148">
        <f t="shared" si="92"/>
        <v>0</v>
      </c>
      <c r="BZ64" s="148">
        <f t="shared" si="92"/>
        <v>0</v>
      </c>
      <c r="CA64" s="148">
        <f t="shared" si="92"/>
        <v>0</v>
      </c>
      <c r="CB64" s="148">
        <f t="shared" si="92"/>
        <v>0</v>
      </c>
      <c r="CC64" s="148">
        <f t="shared" si="92"/>
        <v>0</v>
      </c>
      <c r="CD64" s="148">
        <f t="shared" si="92"/>
        <v>0</v>
      </c>
      <c r="CE64" s="148">
        <f t="shared" si="92"/>
        <v>0</v>
      </c>
      <c r="CF64" s="148">
        <f t="shared" si="92"/>
        <v>0</v>
      </c>
      <c r="CG64" s="148">
        <f t="shared" si="92"/>
        <v>0</v>
      </c>
      <c r="CH64" s="148">
        <f t="shared" si="92"/>
        <v>0</v>
      </c>
      <c r="CI64" s="148">
        <f t="shared" si="92"/>
        <v>0</v>
      </c>
      <c r="CJ64" s="148">
        <f t="shared" si="92"/>
        <v>0</v>
      </c>
      <c r="CK64" s="148">
        <f t="shared" si="92"/>
        <v>0</v>
      </c>
      <c r="CL64" s="148">
        <f t="shared" si="92"/>
        <v>0</v>
      </c>
      <c r="CM64" s="148">
        <f t="shared" si="92"/>
        <v>0</v>
      </c>
      <c r="CN64" s="148">
        <f t="shared" si="92"/>
        <v>0</v>
      </c>
      <c r="CO64" s="148">
        <f t="shared" si="92"/>
        <v>0</v>
      </c>
      <c r="CP64" s="148">
        <f t="shared" si="92"/>
        <v>0</v>
      </c>
      <c r="CQ64" s="148">
        <f t="shared" si="92"/>
        <v>0</v>
      </c>
      <c r="CR64" s="148">
        <f t="shared" si="92"/>
        <v>0</v>
      </c>
      <c r="CS64" s="148">
        <f t="shared" si="92"/>
        <v>0</v>
      </c>
      <c r="CT64" s="148">
        <f t="shared" si="92"/>
        <v>0</v>
      </c>
      <c r="CU64" s="148">
        <f t="shared" si="92"/>
        <v>0</v>
      </c>
      <c r="CV64" s="148">
        <f t="shared" ref="CV64:DS64" si="93">MIN(CV63,CV58)</f>
        <v>0</v>
      </c>
      <c r="CW64" s="148">
        <f t="shared" si="93"/>
        <v>0</v>
      </c>
      <c r="CX64" s="148">
        <f t="shared" si="93"/>
        <v>0</v>
      </c>
      <c r="CY64" s="148">
        <f t="shared" si="93"/>
        <v>0</v>
      </c>
      <c r="CZ64" s="148">
        <f t="shared" si="93"/>
        <v>0</v>
      </c>
      <c r="DA64" s="148">
        <f t="shared" si="93"/>
        <v>0</v>
      </c>
      <c r="DB64" s="148">
        <f t="shared" si="93"/>
        <v>0</v>
      </c>
      <c r="DC64" s="148">
        <f t="shared" si="93"/>
        <v>0</v>
      </c>
      <c r="DD64" s="148">
        <f t="shared" si="93"/>
        <v>0</v>
      </c>
      <c r="DE64" s="148">
        <f t="shared" si="93"/>
        <v>0</v>
      </c>
      <c r="DF64" s="148">
        <f t="shared" si="93"/>
        <v>0</v>
      </c>
      <c r="DG64" s="148">
        <f t="shared" si="93"/>
        <v>0</v>
      </c>
      <c r="DH64" s="148">
        <f t="shared" si="93"/>
        <v>0</v>
      </c>
      <c r="DI64" s="148">
        <f t="shared" si="93"/>
        <v>0</v>
      </c>
      <c r="DJ64" s="148">
        <f t="shared" si="93"/>
        <v>0</v>
      </c>
      <c r="DK64" s="148">
        <f t="shared" si="93"/>
        <v>0</v>
      </c>
      <c r="DL64" s="148">
        <f t="shared" si="93"/>
        <v>0</v>
      </c>
      <c r="DM64" s="148">
        <f t="shared" si="93"/>
        <v>0</v>
      </c>
      <c r="DN64" s="148">
        <f t="shared" si="93"/>
        <v>0</v>
      </c>
      <c r="DO64" s="148">
        <f t="shared" si="93"/>
        <v>0</v>
      </c>
      <c r="DP64" s="148">
        <f t="shared" si="93"/>
        <v>0</v>
      </c>
      <c r="DQ64" s="148">
        <f t="shared" si="93"/>
        <v>0</v>
      </c>
      <c r="DR64" s="148">
        <f t="shared" si="93"/>
        <v>0</v>
      </c>
      <c r="DS64" s="148">
        <f t="shared" si="93"/>
        <v>0</v>
      </c>
    </row>
    <row r="65" spans="1:123" ht="12.75" customHeight="1" x14ac:dyDescent="0.35">
      <c r="A65" s="147" t="s">
        <v>504</v>
      </c>
      <c r="B65" s="148">
        <f>AA65</f>
        <v>0</v>
      </c>
      <c r="C65" s="139" t="s">
        <v>169</v>
      </c>
      <c r="D65" s="168">
        <f t="shared" ref="D65:AI65" si="94">MAX(D63-D64,0)</f>
        <v>0</v>
      </c>
      <c r="E65" s="168">
        <f t="shared" si="94"/>
        <v>0</v>
      </c>
      <c r="F65" s="168">
        <f t="shared" si="94"/>
        <v>0</v>
      </c>
      <c r="G65" s="168">
        <f t="shared" si="94"/>
        <v>0</v>
      </c>
      <c r="H65" s="168">
        <f t="shared" si="94"/>
        <v>0</v>
      </c>
      <c r="I65" s="168">
        <f t="shared" si="94"/>
        <v>0</v>
      </c>
      <c r="J65" s="168">
        <f t="shared" si="94"/>
        <v>0</v>
      </c>
      <c r="K65" s="168">
        <f t="shared" si="94"/>
        <v>0</v>
      </c>
      <c r="L65" s="168">
        <f t="shared" si="94"/>
        <v>0</v>
      </c>
      <c r="M65" s="168">
        <f t="shared" si="94"/>
        <v>0</v>
      </c>
      <c r="N65" s="168">
        <f t="shared" si="94"/>
        <v>0</v>
      </c>
      <c r="O65" s="168">
        <f t="shared" si="94"/>
        <v>0</v>
      </c>
      <c r="P65" s="168">
        <f t="shared" si="94"/>
        <v>0</v>
      </c>
      <c r="Q65" s="168">
        <f t="shared" si="94"/>
        <v>0</v>
      </c>
      <c r="R65" s="168">
        <f t="shared" si="94"/>
        <v>0</v>
      </c>
      <c r="S65" s="168">
        <f t="shared" si="94"/>
        <v>0</v>
      </c>
      <c r="T65" s="168">
        <f t="shared" si="94"/>
        <v>0</v>
      </c>
      <c r="U65" s="168">
        <f t="shared" si="94"/>
        <v>0</v>
      </c>
      <c r="V65" s="168">
        <f t="shared" si="94"/>
        <v>0</v>
      </c>
      <c r="W65" s="168">
        <f t="shared" si="94"/>
        <v>0</v>
      </c>
      <c r="X65" s="168">
        <f t="shared" si="94"/>
        <v>0</v>
      </c>
      <c r="Y65" s="168">
        <f t="shared" si="94"/>
        <v>0</v>
      </c>
      <c r="Z65" s="168">
        <f t="shared" si="94"/>
        <v>0</v>
      </c>
      <c r="AA65" s="168">
        <f t="shared" si="94"/>
        <v>0</v>
      </c>
      <c r="AB65" s="168">
        <f t="shared" si="94"/>
        <v>0</v>
      </c>
      <c r="AC65" s="168">
        <f t="shared" si="94"/>
        <v>0</v>
      </c>
      <c r="AD65" s="168">
        <f t="shared" si="94"/>
        <v>0</v>
      </c>
      <c r="AE65" s="168">
        <f t="shared" si="94"/>
        <v>0</v>
      </c>
      <c r="AF65" s="168">
        <f t="shared" si="94"/>
        <v>0</v>
      </c>
      <c r="AG65" s="168">
        <f t="shared" si="94"/>
        <v>0</v>
      </c>
      <c r="AH65" s="168">
        <f t="shared" si="94"/>
        <v>0</v>
      </c>
      <c r="AI65" s="168">
        <f t="shared" si="94"/>
        <v>0</v>
      </c>
      <c r="AJ65" s="168">
        <f t="shared" ref="AJ65:BO65" si="95">MAX(AJ63-AJ64,0)</f>
        <v>0</v>
      </c>
      <c r="AK65" s="168">
        <f t="shared" si="95"/>
        <v>0</v>
      </c>
      <c r="AL65" s="168">
        <f t="shared" si="95"/>
        <v>0</v>
      </c>
      <c r="AM65" s="168">
        <f t="shared" si="95"/>
        <v>0</v>
      </c>
      <c r="AN65" s="168">
        <f t="shared" si="95"/>
        <v>0</v>
      </c>
      <c r="AO65" s="168">
        <f t="shared" si="95"/>
        <v>0</v>
      </c>
      <c r="AP65" s="168">
        <f t="shared" si="95"/>
        <v>0</v>
      </c>
      <c r="AQ65" s="168">
        <f t="shared" si="95"/>
        <v>0</v>
      </c>
      <c r="AR65" s="168">
        <f t="shared" si="95"/>
        <v>0</v>
      </c>
      <c r="AS65" s="168">
        <f t="shared" si="95"/>
        <v>0</v>
      </c>
      <c r="AT65" s="168">
        <f t="shared" si="95"/>
        <v>0</v>
      </c>
      <c r="AU65" s="168">
        <f t="shared" si="95"/>
        <v>0</v>
      </c>
      <c r="AV65" s="168">
        <f t="shared" si="95"/>
        <v>0</v>
      </c>
      <c r="AW65" s="168">
        <f t="shared" si="95"/>
        <v>0</v>
      </c>
      <c r="AX65" s="168">
        <f t="shared" si="95"/>
        <v>0</v>
      </c>
      <c r="AY65" s="168">
        <f t="shared" si="95"/>
        <v>0</v>
      </c>
      <c r="AZ65" s="168">
        <f t="shared" si="95"/>
        <v>0</v>
      </c>
      <c r="BA65" s="168">
        <f t="shared" si="95"/>
        <v>0</v>
      </c>
      <c r="BB65" s="168">
        <f t="shared" si="95"/>
        <v>0</v>
      </c>
      <c r="BC65" s="168">
        <f t="shared" si="95"/>
        <v>0</v>
      </c>
      <c r="BD65" s="168">
        <f t="shared" si="95"/>
        <v>0</v>
      </c>
      <c r="BE65" s="168">
        <f t="shared" si="95"/>
        <v>0</v>
      </c>
      <c r="BF65" s="168">
        <f t="shared" si="95"/>
        <v>0</v>
      </c>
      <c r="BG65" s="168">
        <f t="shared" si="95"/>
        <v>0</v>
      </c>
      <c r="BH65" s="168">
        <f t="shared" si="95"/>
        <v>0</v>
      </c>
      <c r="BI65" s="168">
        <f t="shared" si="95"/>
        <v>0</v>
      </c>
      <c r="BJ65" s="168">
        <f t="shared" si="95"/>
        <v>0</v>
      </c>
      <c r="BK65" s="168">
        <f t="shared" si="95"/>
        <v>0</v>
      </c>
      <c r="BL65" s="168">
        <f t="shared" si="95"/>
        <v>0</v>
      </c>
      <c r="BM65" s="168">
        <f t="shared" si="95"/>
        <v>0</v>
      </c>
      <c r="BN65" s="168">
        <f t="shared" si="95"/>
        <v>0</v>
      </c>
      <c r="BO65" s="168">
        <f t="shared" si="95"/>
        <v>0</v>
      </c>
      <c r="BP65" s="168">
        <f t="shared" ref="BP65:CU65" si="96">MAX(BP63-BP64,0)</f>
        <v>0</v>
      </c>
      <c r="BQ65" s="168">
        <f t="shared" si="96"/>
        <v>0</v>
      </c>
      <c r="BR65" s="168">
        <f t="shared" si="96"/>
        <v>0</v>
      </c>
      <c r="BS65" s="168">
        <f t="shared" si="96"/>
        <v>0</v>
      </c>
      <c r="BT65" s="168">
        <f t="shared" si="96"/>
        <v>0</v>
      </c>
      <c r="BU65" s="168">
        <f t="shared" si="96"/>
        <v>0</v>
      </c>
      <c r="BV65" s="168">
        <f t="shared" si="96"/>
        <v>0</v>
      </c>
      <c r="BW65" s="168">
        <f t="shared" si="96"/>
        <v>0</v>
      </c>
      <c r="BX65" s="168">
        <f t="shared" si="96"/>
        <v>0</v>
      </c>
      <c r="BY65" s="168">
        <f t="shared" si="96"/>
        <v>0</v>
      </c>
      <c r="BZ65" s="168">
        <f t="shared" si="96"/>
        <v>0</v>
      </c>
      <c r="CA65" s="168">
        <f t="shared" si="96"/>
        <v>0</v>
      </c>
      <c r="CB65" s="168">
        <f t="shared" si="96"/>
        <v>0</v>
      </c>
      <c r="CC65" s="168">
        <f t="shared" si="96"/>
        <v>0</v>
      </c>
      <c r="CD65" s="168">
        <f t="shared" si="96"/>
        <v>0</v>
      </c>
      <c r="CE65" s="168">
        <f t="shared" si="96"/>
        <v>0</v>
      </c>
      <c r="CF65" s="168">
        <f t="shared" si="96"/>
        <v>0</v>
      </c>
      <c r="CG65" s="168">
        <f t="shared" si="96"/>
        <v>0</v>
      </c>
      <c r="CH65" s="168">
        <f t="shared" si="96"/>
        <v>0</v>
      </c>
      <c r="CI65" s="168">
        <f t="shared" si="96"/>
        <v>0</v>
      </c>
      <c r="CJ65" s="168">
        <f t="shared" si="96"/>
        <v>0</v>
      </c>
      <c r="CK65" s="168">
        <f t="shared" si="96"/>
        <v>0</v>
      </c>
      <c r="CL65" s="168">
        <f t="shared" si="96"/>
        <v>0</v>
      </c>
      <c r="CM65" s="168">
        <f t="shared" si="96"/>
        <v>0</v>
      </c>
      <c r="CN65" s="168">
        <f t="shared" si="96"/>
        <v>0</v>
      </c>
      <c r="CO65" s="168">
        <f t="shared" si="96"/>
        <v>0</v>
      </c>
      <c r="CP65" s="168">
        <f t="shared" si="96"/>
        <v>0</v>
      </c>
      <c r="CQ65" s="168">
        <f t="shared" si="96"/>
        <v>0</v>
      </c>
      <c r="CR65" s="168">
        <f t="shared" si="96"/>
        <v>0</v>
      </c>
      <c r="CS65" s="168">
        <f t="shared" si="96"/>
        <v>0</v>
      </c>
      <c r="CT65" s="168">
        <f t="shared" si="96"/>
        <v>0</v>
      </c>
      <c r="CU65" s="168">
        <f t="shared" si="96"/>
        <v>0</v>
      </c>
      <c r="CV65" s="168">
        <f t="shared" ref="CV65:DS65" si="97">MAX(CV63-CV64,0)</f>
        <v>0</v>
      </c>
      <c r="CW65" s="168">
        <f t="shared" si="97"/>
        <v>0</v>
      </c>
      <c r="CX65" s="168">
        <f t="shared" si="97"/>
        <v>0</v>
      </c>
      <c r="CY65" s="168">
        <f t="shared" si="97"/>
        <v>0</v>
      </c>
      <c r="CZ65" s="168">
        <f t="shared" si="97"/>
        <v>0</v>
      </c>
      <c r="DA65" s="168">
        <f t="shared" si="97"/>
        <v>0</v>
      </c>
      <c r="DB65" s="168">
        <f t="shared" si="97"/>
        <v>0</v>
      </c>
      <c r="DC65" s="168">
        <f t="shared" si="97"/>
        <v>0</v>
      </c>
      <c r="DD65" s="168">
        <f t="shared" si="97"/>
        <v>0</v>
      </c>
      <c r="DE65" s="168">
        <f t="shared" si="97"/>
        <v>0</v>
      </c>
      <c r="DF65" s="168">
        <f t="shared" si="97"/>
        <v>0</v>
      </c>
      <c r="DG65" s="168">
        <f t="shared" si="97"/>
        <v>0</v>
      </c>
      <c r="DH65" s="168">
        <f t="shared" si="97"/>
        <v>0</v>
      </c>
      <c r="DI65" s="168">
        <f t="shared" si="97"/>
        <v>0</v>
      </c>
      <c r="DJ65" s="168">
        <f t="shared" si="97"/>
        <v>0</v>
      </c>
      <c r="DK65" s="168">
        <f t="shared" si="97"/>
        <v>0</v>
      </c>
      <c r="DL65" s="168">
        <f t="shared" si="97"/>
        <v>0</v>
      </c>
      <c r="DM65" s="168">
        <f t="shared" si="97"/>
        <v>0</v>
      </c>
      <c r="DN65" s="168">
        <f t="shared" si="97"/>
        <v>0</v>
      </c>
      <c r="DO65" s="168">
        <f t="shared" si="97"/>
        <v>0</v>
      </c>
      <c r="DP65" s="168">
        <f t="shared" si="97"/>
        <v>0</v>
      </c>
      <c r="DQ65" s="168">
        <f t="shared" si="97"/>
        <v>0</v>
      </c>
      <c r="DR65" s="168">
        <f t="shared" si="97"/>
        <v>0</v>
      </c>
      <c r="DS65" s="168">
        <f t="shared" si="97"/>
        <v>0</v>
      </c>
    </row>
    <row r="66" spans="1:123" ht="12.75" customHeight="1" x14ac:dyDescent="0.35">
      <c r="A66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66" s="162">
        <f>SUM(D66:BQ66)</f>
        <v>295646.2232176392</v>
      </c>
      <c r="C66" s="144">
        <f>B66/60</f>
        <v>4927.43705362732</v>
      </c>
      <c r="D66" s="162">
        <f>D58*Premissas!$F$19</f>
        <v>3384.5202922131507</v>
      </c>
      <c r="E66" s="162">
        <f>E58*Premissas!$F$19</f>
        <v>3193.8691628185898</v>
      </c>
      <c r="F66" s="162">
        <f>F58*Premissas!$F$19</f>
        <v>3154.9985442041648</v>
      </c>
      <c r="G66" s="162">
        <f>G58*Premissas!$F$19</f>
        <v>3891.6893160394579</v>
      </c>
      <c r="H66" s="162">
        <f>H58*Premissas!$F$19</f>
        <v>5023.5647104547397</v>
      </c>
      <c r="I66" s="162">
        <f>I58*Premissas!$F$19</f>
        <v>5899.0791201986931</v>
      </c>
      <c r="J66" s="162">
        <f>J58*Premissas!$F$19</f>
        <v>5620.5063534619812</v>
      </c>
      <c r="K66" s="162">
        <f>K58*Premissas!$F$19</f>
        <v>3909.2736435078887</v>
      </c>
      <c r="L66" s="162">
        <f>L58*Premissas!$F$19</f>
        <v>4110.1051730157515</v>
      </c>
      <c r="M66" s="162">
        <f>M58*Premissas!$F$19</f>
        <v>4814.4037626723566</v>
      </c>
      <c r="N66" s="162">
        <f>N58*Premissas!$F$19</f>
        <v>4188.771901163992</v>
      </c>
      <c r="O66" s="162">
        <f>O58*Premissas!$F$19</f>
        <v>3870.4030248934637</v>
      </c>
      <c r="P66" s="162">
        <f>P58*Premissas!$F$19</f>
        <v>3469.6654567971291</v>
      </c>
      <c r="Q66" s="162">
        <f>Q58*Premissas!$F$19</f>
        <v>3273.4613818862222</v>
      </c>
      <c r="R66" s="162">
        <f>R58*Premissas!$F$19</f>
        <v>3233.6652723524057</v>
      </c>
      <c r="S66" s="162">
        <f>S58*Premissas!$F$19</f>
        <v>3988.8658625755206</v>
      </c>
      <c r="T66" s="162">
        <f>T58*Premissas!$F$19</f>
        <v>5149.4314754919251</v>
      </c>
      <c r="U66" s="162">
        <f>U58*Premissas!$F$19</f>
        <v>6046.2321763818736</v>
      </c>
      <c r="V66" s="162">
        <f>V58*Premissas!$F$19</f>
        <v>5761.1809732094234</v>
      </c>
      <c r="W66" s="162">
        <f>W58*Premissas!$F$19</f>
        <v>3909.2736435078887</v>
      </c>
      <c r="X66" s="162">
        <f>X58*Premissas!$F$19</f>
        <v>4110.1051730157515</v>
      </c>
      <c r="Y66" s="162">
        <f>Y58*Premissas!$F$19</f>
        <v>4814.4037626723566</v>
      </c>
      <c r="Z66" s="162">
        <f>Z58*Premissas!$F$19</f>
        <v>4188.771901163992</v>
      </c>
      <c r="AA66" s="162">
        <f>AA58*Premissas!$F$19</f>
        <v>3870.4030248934637</v>
      </c>
      <c r="AB66" s="162">
        <f>AB58*Premissas!$F$19</f>
        <v>3555.7361123004989</v>
      </c>
      <c r="AC66" s="162">
        <f>AC58*Premissas!$F$19</f>
        <v>3355.8300737120276</v>
      </c>
      <c r="AD66" s="162">
        <f>AD58*Premissas!$F$19</f>
        <v>3315.1084732588201</v>
      </c>
      <c r="AE66" s="162">
        <f>AE58*Premissas!$F$19</f>
        <v>4088.8188818697563</v>
      </c>
      <c r="AF66" s="162">
        <f>AF58*Premissas!$F$19</f>
        <v>5278.0747132872839</v>
      </c>
      <c r="AG66" s="162">
        <f>AG58*Premissas!$F$19</f>
        <v>6198.0126871620096</v>
      </c>
      <c r="AH66" s="162">
        <f>AH58*Premissas!$F$19</f>
        <v>5904.63206571504</v>
      </c>
      <c r="AI66" s="162">
        <f>AI58*Premissas!$F$19</f>
        <v>4107.328700257578</v>
      </c>
      <c r="AJ66" s="162">
        <f>AJ58*Premissas!$F$19</f>
        <v>4318.3406298787422</v>
      </c>
      <c r="AK66" s="162">
        <f>AK58*Premissas!$F$19</f>
        <v>5057.8078744722088</v>
      </c>
      <c r="AL66" s="162">
        <f>AL58*Premissas!$F$19</f>
        <v>4400.7093217045476</v>
      </c>
      <c r="AM66" s="162">
        <f>AM58*Premissas!$F$19</f>
        <v>4066.6070998043706</v>
      </c>
      <c r="AN66" s="162">
        <f>AN58*Premissas!$F$19</f>
        <v>3644.5832405620417</v>
      </c>
      <c r="AO66" s="162">
        <f>AO58*Premissas!$F$19</f>
        <v>3439.124256457224</v>
      </c>
      <c r="AP66" s="162">
        <f>AP58*Premissas!$F$19</f>
        <v>3397.4771650846255</v>
      </c>
      <c r="AQ66" s="162">
        <f>AQ58*Premissas!$F$19</f>
        <v>4190.622883002774</v>
      </c>
      <c r="AR66" s="162">
        <f>AR58*Premissas!$F$19</f>
        <v>5409.4944238408161</v>
      </c>
      <c r="AS66" s="162">
        <f>AS58*Premissas!$F$19</f>
        <v>6352.569670700319</v>
      </c>
      <c r="AT66" s="162">
        <f>AT58*Premissas!$F$19</f>
        <v>6052.710612817611</v>
      </c>
      <c r="AU66" s="162">
        <f>AU58*Premissas!$F$19</f>
        <v>4210.0581923099871</v>
      </c>
      <c r="AV66" s="162">
        <f>AV58*Premissas!$F$19</f>
        <v>4425.6975765281068</v>
      </c>
      <c r="AW66" s="162">
        <f>AW58*Premissas!$F$19</f>
        <v>5184.6001304287856</v>
      </c>
      <c r="AX66" s="162">
        <f>AX58*Premissas!$F$19</f>
        <v>4510.8427411120856</v>
      </c>
      <c r="AY66" s="162">
        <f>AY58*Premissas!$F$19</f>
        <v>4168.4111009373883</v>
      </c>
      <c r="AZ66" s="162">
        <f>AZ58*Premissas!$F$19</f>
        <v>3736.206841581758</v>
      </c>
      <c r="BA66" s="162">
        <f>BA58*Premissas!$F$19</f>
        <v>3525.1949119605938</v>
      </c>
      <c r="BB66" s="162">
        <f>BB58*Premissas!$F$19</f>
        <v>3482.6223296686044</v>
      </c>
      <c r="BC66" s="162">
        <f>BC58*Premissas!$F$19</f>
        <v>4296.1288478133565</v>
      </c>
      <c r="BD66" s="162">
        <f>BD58*Premissas!$F$19</f>
        <v>5544.6160980719133</v>
      </c>
      <c r="BE66" s="162">
        <f>BE58*Premissas!$F$19</f>
        <v>6511.7541088355829</v>
      </c>
      <c r="BF66" s="162">
        <f>BF58*Premissas!$F$19</f>
        <v>6203.5656326783565</v>
      </c>
      <c r="BG66" s="162">
        <f>BG58*Premissas!$F$19</f>
        <v>4315.5641571205688</v>
      </c>
      <c r="BH66" s="162">
        <f>BH58*Premissas!$F$19</f>
        <v>4536.7564868550353</v>
      </c>
      <c r="BI66" s="162">
        <f>BI58*Premissas!$F$19</f>
        <v>5314.1688591435359</v>
      </c>
      <c r="BJ66" s="162">
        <f>BJ58*Premissas!$F$19</f>
        <v>4623.7526332777961</v>
      </c>
      <c r="BK66" s="162">
        <f>BK58*Premissas!$F$19</f>
        <v>4272.0660839091888</v>
      </c>
      <c r="BL66" s="162">
        <f>BL58*Premissas!$F$19</f>
        <v>3829.6814244402563</v>
      </c>
      <c r="BM66" s="162">
        <f>BM58*Premissas!$F$19</f>
        <v>3613.1165493027456</v>
      </c>
      <c r="BN66" s="162">
        <f>BN58*Premissas!$F$19</f>
        <v>3569.6184760913652</v>
      </c>
      <c r="BO66" s="162">
        <f>BO58*Premissas!$F$19</f>
        <v>4403.4857944627211</v>
      </c>
      <c r="BP66" s="162">
        <f>BP58*Premissas!$F$19</f>
        <v>5683.4397359805735</v>
      </c>
      <c r="BQ66" s="162">
        <f>BQ58*Premissas!$F$19</f>
        <v>6674.6405106484117</v>
      </c>
      <c r="BR66" s="162">
        <f>BR58*Premissas!$F$19</f>
        <v>6359.0481071360564</v>
      </c>
      <c r="BS66" s="162">
        <f>BS58*Premissas!$F$19</f>
        <v>4422.9211037699333</v>
      </c>
      <c r="BT66" s="162">
        <f>BT58*Premissas!$F$19</f>
        <v>4650.5918699401373</v>
      </c>
      <c r="BU66" s="162">
        <f>BU58*Premissas!$F$19</f>
        <v>5447.4395515358501</v>
      </c>
      <c r="BV66" s="162">
        <f>BV58*Premissas!$F$19</f>
        <v>4739.4389982016801</v>
      </c>
      <c r="BW66" s="162">
        <f>BW58*Premissas!$F$19</f>
        <v>4379.4230305585534</v>
      </c>
      <c r="BX66" s="162">
        <f>BX58*Premissas!$F$19</f>
        <v>3925.0069891375365</v>
      </c>
      <c r="BY66" s="162">
        <f>BY58*Premissas!$F$19</f>
        <v>3703.8146594030704</v>
      </c>
      <c r="BZ66" s="162">
        <f>BZ58*Premissas!$F$19</f>
        <v>3658.465604352908</v>
      </c>
      <c r="CA66" s="162">
        <f>CA58*Premissas!$F$19</f>
        <v>4513.6192138702581</v>
      </c>
      <c r="CB66" s="162">
        <f>CB58*Premissas!$F$19</f>
        <v>5825.9653375667986</v>
      </c>
      <c r="CC66" s="162">
        <f>CC58*Premissas!$F$19</f>
        <v>6841.2288761388045</v>
      </c>
      <c r="CD66" s="162">
        <f>CD58*Premissas!$F$19</f>
        <v>6518.2325452713203</v>
      </c>
      <c r="CE66" s="162">
        <f>CE58*Premissas!$F$19</f>
        <v>4533.9800140968619</v>
      </c>
      <c r="CF66" s="162">
        <f>CF58*Premissas!$F$19</f>
        <v>4766.2782348640212</v>
      </c>
      <c r="CG66" s="162">
        <f>CG58*Premissas!$F$19</f>
        <v>5583.4867166863378</v>
      </c>
      <c r="CH66" s="162">
        <f>CH58*Premissas!$F$19</f>
        <v>4857.9018358837375</v>
      </c>
      <c r="CI66" s="162">
        <f>CI58*Premissas!$F$19</f>
        <v>4488.6309590466999</v>
      </c>
      <c r="CJ66" s="162">
        <f>CJ58*Premissas!$F$19</f>
        <v>4023.1090265929902</v>
      </c>
      <c r="CK66" s="162">
        <f>CK58*Premissas!$F$19</f>
        <v>3796.3637513421777</v>
      </c>
      <c r="CL66" s="162">
        <f>CL58*Premissas!$F$19</f>
        <v>3750.0892053726243</v>
      </c>
      <c r="CM66" s="162">
        <f>CM58*Premissas!$F$19</f>
        <v>4625.6036151165781</v>
      </c>
      <c r="CN66" s="162">
        <f>CN58*Premissas!$F$19</f>
        <v>5971.2674119111971</v>
      </c>
      <c r="CO66" s="162">
        <f>CO58*Premissas!$F$19</f>
        <v>7012.4446962261536</v>
      </c>
      <c r="CP66" s="162">
        <f>CP58*Premissas!$F$19</f>
        <v>6681.1189470841491</v>
      </c>
      <c r="CQ66" s="162">
        <f>CQ58*Premissas!$F$19</f>
        <v>4646.8899062625733</v>
      </c>
      <c r="CR66" s="162">
        <f>CR58*Premissas!$F$19</f>
        <v>4885.6665634654692</v>
      </c>
      <c r="CS66" s="162">
        <f>CS58*Premissas!$F$19</f>
        <v>5723.2358455143894</v>
      </c>
      <c r="CT66" s="162">
        <f>CT58*Premissas!$F$19</f>
        <v>4979.1411463239674</v>
      </c>
      <c r="CU66" s="162">
        <f>CU58*Premissas!$F$19</f>
        <v>4600.615360293019</v>
      </c>
      <c r="CV66" s="162">
        <f>CV58*Premissas!$F$19</f>
        <v>4123.9875368066168</v>
      </c>
      <c r="CW66" s="162">
        <f>CW58*Premissas!$F$19</f>
        <v>3891.6893160394579</v>
      </c>
      <c r="CX66" s="162">
        <f>CX58*Premissas!$F$19</f>
        <v>3844.4892791505135</v>
      </c>
      <c r="CY66" s="162">
        <f>CY58*Premissas!$F$19</f>
        <v>4741.2899800404621</v>
      </c>
      <c r="CZ66" s="162">
        <f>CZ58*Premissas!$F$19</f>
        <v>6120.2714499331596</v>
      </c>
      <c r="DA66" s="162">
        <f>DA58*Premissas!$F$19</f>
        <v>7187.3624799910658</v>
      </c>
      <c r="DB66" s="162">
        <f>DB58*Premissas!$F$19</f>
        <v>6847.7073125745428</v>
      </c>
      <c r="DC66" s="162">
        <f>DC58*Premissas!$F$19</f>
        <v>4763.5017621058478</v>
      </c>
      <c r="DD66" s="162">
        <f>DD58*Premissas!$F$19</f>
        <v>5007.8313648250914</v>
      </c>
      <c r="DE66" s="162">
        <f>DE58*Premissas!$F$19</f>
        <v>5865.7614471006145</v>
      </c>
      <c r="DF66" s="162">
        <f>DF58*Premissas!$F$19</f>
        <v>5103.1569295223717</v>
      </c>
      <c r="DG66" s="162">
        <f>DG58*Premissas!$F$19</f>
        <v>4715.3762342975124</v>
      </c>
      <c r="DH66" s="162">
        <f>DH58*Premissas!$F$19</f>
        <v>4226.717028859026</v>
      </c>
      <c r="DI66" s="162">
        <f>DI58*Premissas!$F$19</f>
        <v>3988.8658625755206</v>
      </c>
      <c r="DJ66" s="162">
        <f>DJ58*Premissas!$F$19</f>
        <v>3939.8148438477938</v>
      </c>
      <c r="DK66" s="162">
        <f>DK58*Premissas!$F$19</f>
        <v>4859.7528177225195</v>
      </c>
      <c r="DL66" s="162">
        <f>DL58*Premissas!$F$19</f>
        <v>6273.9029425520775</v>
      </c>
      <c r="DM66" s="162">
        <f>DM58*Premissas!$F$19</f>
        <v>7366.9077183529334</v>
      </c>
      <c r="DN66" s="162">
        <f>DN58*Premissas!$F$19</f>
        <v>7018.923132661891</v>
      </c>
      <c r="DO66" s="162">
        <f>DO58*Premissas!$F$19</f>
        <v>4881.9645997879052</v>
      </c>
      <c r="DP66" s="162">
        <f>DP58*Premissas!$F$19</f>
        <v>5132.7726389428854</v>
      </c>
      <c r="DQ66" s="162">
        <f>DQ58*Premissas!$F$19</f>
        <v>6012.9145032837951</v>
      </c>
      <c r="DR66" s="162">
        <f>DR58*Premissas!$F$19</f>
        <v>5230.874676398339</v>
      </c>
      <c r="DS66" s="162">
        <f>DS58*Premissas!$F$19</f>
        <v>4833.8390719795698</v>
      </c>
    </row>
    <row r="67" spans="1:123" ht="12.75" customHeight="1" x14ac:dyDescent="0.35">
      <c r="A67" s="163" t="s">
        <v>498</v>
      </c>
      <c r="B67" s="164">
        <f>SUM(D67:BQ67)</f>
        <v>22842.720603798109</v>
      </c>
      <c r="C67" s="144">
        <f>B67/60</f>
        <v>380.71201006330182</v>
      </c>
      <c r="D67" s="164">
        <f>IF(D62&gt;0,0,MAX(D58-D59-D60,0)*Premissas!$B$7)</f>
        <v>357.78322080009605</v>
      </c>
      <c r="E67" s="164">
        <f>IF(E62&gt;0,0,MAX(E58-E59-E60,0)*Premissas!$B$7)</f>
        <v>0</v>
      </c>
      <c r="F67" s="164">
        <f>IF(F62&gt;0,0,MAX(F58-F59-F60,0)*Premissas!$B$7)</f>
        <v>0</v>
      </c>
      <c r="G67" s="164">
        <f>IF(G62&gt;0,0,MAX(G58-G59-G60,0)*Premissas!$B$7)</f>
        <v>0</v>
      </c>
      <c r="H67" s="164">
        <f>IF(H62&gt;0,0,MAX(H58-H59-H60,0)*Premissas!$B$7)</f>
        <v>0</v>
      </c>
      <c r="I67" s="164">
        <f>IF(I62&gt;0,0,MAX(I58-I59-I60,0)*Premissas!$B$7)</f>
        <v>0</v>
      </c>
      <c r="J67" s="164">
        <f>IF(J62&gt;0,0,MAX(J58-J59-J60,0)*Premissas!$B$7)</f>
        <v>0</v>
      </c>
      <c r="K67" s="164">
        <f>IF(K62&gt;0,0,MAX(K58-K59-K60,0)*Premissas!$B$7)</f>
        <v>0</v>
      </c>
      <c r="L67" s="164">
        <f>IF(L62&gt;0,0,MAX(L58-L59-L60,0)*Premissas!$B$7)</f>
        <v>0</v>
      </c>
      <c r="M67" s="164">
        <f>IF(M62&gt;0,0,MAX(M58-M59-M60,0)*Premissas!$B$7)</f>
        <v>0</v>
      </c>
      <c r="N67" s="164">
        <f>IF(N62&gt;0,0,MAX(N58-N59-N60,0)*Premissas!$B$7)</f>
        <v>0</v>
      </c>
      <c r="O67" s="164">
        <f>IF(O62&gt;0,0,MAX(O58-O59-O60,0)*Premissas!$B$7)</f>
        <v>0</v>
      </c>
      <c r="P67" s="164">
        <f>IF(P62&gt;0,0,MAX(P58-P59-P60,0)*Premissas!$B$7)</f>
        <v>0</v>
      </c>
      <c r="Q67" s="164">
        <f>IF(Q62&gt;0,0,MAX(Q58-Q59-Q60,0)*Premissas!$B$7)</f>
        <v>0</v>
      </c>
      <c r="R67" s="164">
        <f>IF(R62&gt;0,0,MAX(R58-R59-R60,0)*Premissas!$B$7)</f>
        <v>0</v>
      </c>
      <c r="S67" s="164">
        <f>IF(S62&gt;0,0,MAX(S58-S59-S60,0)*Premissas!$B$7)</f>
        <v>0</v>
      </c>
      <c r="T67" s="164">
        <f>IF(T62&gt;0,0,MAX(T58-T59-T60,0)*Premissas!$B$7)</f>
        <v>0</v>
      </c>
      <c r="U67" s="164">
        <f>IF(U62&gt;0,0,MAX(U58-U59-U60,0)*Premissas!$B$7)</f>
        <v>0</v>
      </c>
      <c r="V67" s="164">
        <f>IF(V62&gt;0,0,MAX(V58-V59-V60,0)*Premissas!$B$7)</f>
        <v>0</v>
      </c>
      <c r="W67" s="164">
        <f>IF(W62&gt;0,0,MAX(W58-W59-W60,0)*Premissas!$B$7)</f>
        <v>0</v>
      </c>
      <c r="X67" s="164">
        <f>IF(X62&gt;0,0,MAX(X58-X59-X60,0)*Premissas!$B$7)</f>
        <v>0</v>
      </c>
      <c r="Y67" s="164">
        <f>IF(Y62&gt;0,0,MAX(Y58-Y59-Y60,0)*Premissas!$B$7)</f>
        <v>0</v>
      </c>
      <c r="Z67" s="164">
        <f>IF(Z62&gt;0,0,MAX(Z58-Z59-Z60,0)*Premissas!$B$7)</f>
        <v>0</v>
      </c>
      <c r="AA67" s="164">
        <f>IF(AA62&gt;0,0,MAX(AA58-AA59-AA60,0)*Premissas!$B$7)</f>
        <v>0</v>
      </c>
      <c r="AB67" s="164">
        <f>IF(AB62&gt;0,0,MAX(AB58-AB59-AB60,0)*Premissas!$B$7)</f>
        <v>0</v>
      </c>
      <c r="AC67" s="164">
        <f>IF(AC62&gt;0,0,MAX(AC58-AC59-AC60,0)*Premissas!$B$7)</f>
        <v>0</v>
      </c>
      <c r="AD67" s="164">
        <f>IF(AD62&gt;0,0,MAX(AD58-AD59-AD60,0)*Premissas!$B$7)</f>
        <v>0</v>
      </c>
      <c r="AE67" s="164">
        <f>IF(AE62&gt;0,0,MAX(AE58-AE59-AE60,0)*Premissas!$B$7)</f>
        <v>0</v>
      </c>
      <c r="AF67" s="164">
        <f>IF(AF62&gt;0,0,MAX(AF58-AF59-AF60,0)*Premissas!$B$7)</f>
        <v>0</v>
      </c>
      <c r="AG67" s="164">
        <f>IF(AG62&gt;0,0,MAX(AG58-AG59-AG60,0)*Premissas!$B$7)</f>
        <v>0</v>
      </c>
      <c r="AH67" s="164">
        <f>IF(AH62&gt;0,0,MAX(AH58-AH59-AH60,0)*Premissas!$B$7)</f>
        <v>0</v>
      </c>
      <c r="AI67" s="164">
        <f>IF(AI62&gt;0,0,MAX(AI58-AI59-AI60,0)*Premissas!$B$7)</f>
        <v>0</v>
      </c>
      <c r="AJ67" s="164">
        <f>IF(AJ62&gt;0,0,MAX(AJ58-AJ59-AJ60,0)*Premissas!$B$7)</f>
        <v>0</v>
      </c>
      <c r="AK67" s="164">
        <f>IF(AK62&gt;0,0,MAX(AK58-AK59-AK60,0)*Premissas!$B$7)</f>
        <v>0</v>
      </c>
      <c r="AL67" s="164">
        <f>IF(AL62&gt;0,0,MAX(AL58-AL59-AL60,0)*Premissas!$B$7)</f>
        <v>0</v>
      </c>
      <c r="AM67" s="164">
        <f>IF(AM62&gt;0,0,MAX(AM58-AM59-AM60,0)*Premissas!$B$7)</f>
        <v>0</v>
      </c>
      <c r="AN67" s="164">
        <f>IF(AN62&gt;0,0,MAX(AN58-AN59-AN60,0)*Premissas!$B$7)</f>
        <v>0</v>
      </c>
      <c r="AO67" s="164">
        <f>IF(AO62&gt;0,0,MAX(AO58-AO59-AO60,0)*Premissas!$B$7)</f>
        <v>0</v>
      </c>
      <c r="AP67" s="164">
        <f>IF(AP62&gt;0,0,MAX(AP58-AP59-AP60,0)*Premissas!$B$7)</f>
        <v>0</v>
      </c>
      <c r="AQ67" s="164">
        <f>IF(AQ62&gt;0,0,MAX(AQ58-AQ59-AQ60,0)*Premissas!$B$7)</f>
        <v>0</v>
      </c>
      <c r="AR67" s="164">
        <f>IF(AR62&gt;0,0,MAX(AR58-AR59-AR60,0)*Premissas!$B$7)</f>
        <v>0</v>
      </c>
      <c r="AS67" s="164">
        <f>IF(AS62&gt;0,0,MAX(AS58-AS59-AS60,0)*Premissas!$B$7)</f>
        <v>0</v>
      </c>
      <c r="AT67" s="164">
        <f>IF(AT62&gt;0,0,MAX(AT58-AT59-AT60,0)*Premissas!$B$7)</f>
        <v>0</v>
      </c>
      <c r="AU67" s="164">
        <f>IF(AU62&gt;0,0,MAX(AU58-AU59-AU60,0)*Premissas!$B$7)</f>
        <v>295.51571234351121</v>
      </c>
      <c r="AV67" s="164">
        <f>IF(AV62&gt;0,0,MAX(AV58-AV59-AV60,0)*Premissas!$B$7)</f>
        <v>3002.9338784098654</v>
      </c>
      <c r="AW67" s="164">
        <f>IF(AW62&gt;0,0,MAX(AW58-AW59-AW60,0)*Premissas!$B$7)</f>
        <v>3579.7684468759335</v>
      </c>
      <c r="AX67" s="164">
        <f>IF(AX62&gt;0,0,MAX(AX58-AX59-AX60,0)*Premissas!$B$7)</f>
        <v>2743.9169880781183</v>
      </c>
      <c r="AY67" s="164">
        <f>IF(AY62&gt;0,0,MAX(AY58-AY59-AY60,0)*Premissas!$B$7)</f>
        <v>2501.4768149155107</v>
      </c>
      <c r="AZ67" s="164">
        <f>IF(AZ62&gt;0,0,MAX(AZ58-AZ59-AZ60,0)*Premissas!$B$7)</f>
        <v>396.25635019482985</v>
      </c>
      <c r="BA67" s="164">
        <f>IF(BA62&gt;0,0,MAX(BA58-BA59-BA60,0)*Premissas!$B$7)</f>
        <v>0</v>
      </c>
      <c r="BB67" s="164">
        <f>IF(BB62&gt;0,0,MAX(BB58-BB59-BB60,0)*Premissas!$B$7)</f>
        <v>0</v>
      </c>
      <c r="BC67" s="164">
        <f>IF(BC62&gt;0,0,MAX(BC58-BC59-BC60,0)*Premissas!$B$7)</f>
        <v>0</v>
      </c>
      <c r="BD67" s="164">
        <f>IF(BD62&gt;0,0,MAX(BD58-BD59-BD60,0)*Premissas!$B$7)</f>
        <v>886.13003790815685</v>
      </c>
      <c r="BE67" s="164">
        <f>IF(BE62&gt;0,0,MAX(BE58-BE59-BE60,0)*Premissas!$B$7)</f>
        <v>3104.2362150720755</v>
      </c>
      <c r="BF67" s="164">
        <f>IF(BF62&gt;0,0,MAX(BF58-BF59-BF60,0)*Premissas!$B$7)</f>
        <v>2689.9387800965274</v>
      </c>
      <c r="BG67" s="164">
        <f>IF(BG62&gt;0,0,MAX(BG58-BG59-BG60,0)*Premissas!$B$7)</f>
        <v>168.19073209418821</v>
      </c>
      <c r="BH67" s="164">
        <f>IF(BH62&gt;0,0,MAX(BH58-BH59-BH60,0)*Premissas!$B$7)</f>
        <v>1013.8963391661313</v>
      </c>
      <c r="BI67" s="164">
        <f>IF(BI62&gt;0,0,MAX(BI58-BI59-BI60,0)*Premissas!$B$7)</f>
        <v>1301.0700851908114</v>
      </c>
      <c r="BJ67" s="164">
        <f>IF(BJ62&gt;0,0,MAX(BJ58-BJ59-BJ60,0)*Premissas!$B$7)</f>
        <v>449.73350153530282</v>
      </c>
      <c r="BK67" s="164">
        <f>IF(BK62&gt;0,0,MAX(BK58-BK59-BK60,0)*Premissas!$B$7)</f>
        <v>351.87350111704842</v>
      </c>
      <c r="BL67" s="164">
        <f>IF(BL62&gt;0,0,MAX(BL58-BL59-BL60,0)*Premissas!$B$7)</f>
        <v>0</v>
      </c>
      <c r="BM67" s="164">
        <f>IF(BM62&gt;0,0,MAX(BM58-BM59-BM60,0)*Premissas!$B$7)</f>
        <v>0</v>
      </c>
      <c r="BN67" s="164">
        <f>IF(BN62&gt;0,0,MAX(BN58-BN59-BN60,0)*Premissas!$B$7)</f>
        <v>0</v>
      </c>
      <c r="BO67" s="164">
        <f>IF(BO62&gt;0,0,MAX(BO58-BO59-BO60,0)*Premissas!$B$7)</f>
        <v>0</v>
      </c>
      <c r="BP67" s="164">
        <f>IF(BP62&gt;0,0,MAX(BP58-BP59-BP60,0)*Premissas!$B$7)</f>
        <v>0</v>
      </c>
      <c r="BQ67" s="164">
        <f>IF(BQ62&gt;0,0,MAX(BQ58-BQ59-BQ60,0)*Premissas!$B$7)</f>
        <v>0</v>
      </c>
      <c r="BR67" s="164">
        <f>IF(BR62&gt;0,0,MAX(BR58-BR59-BR60,0)*Premissas!$B$7)</f>
        <v>0</v>
      </c>
      <c r="BS67" s="164">
        <f>IF(BS62&gt;0,0,MAX(BS58-BS59-BS60,0)*Premissas!$B$7)</f>
        <v>0</v>
      </c>
      <c r="BT67" s="164">
        <f>IF(BT62&gt;0,0,MAX(BT58-BT59-BT60,0)*Premissas!$B$7)</f>
        <v>0</v>
      </c>
      <c r="BU67" s="164">
        <f>IF(BU62&gt;0,0,MAX(BU58-BU59-BU60,0)*Premissas!$B$7)</f>
        <v>0</v>
      </c>
      <c r="BV67" s="164">
        <f>IF(BV62&gt;0,0,MAX(BV58-BV59-BV60,0)*Premissas!$B$7)</f>
        <v>0</v>
      </c>
      <c r="BW67" s="164">
        <f>IF(BW62&gt;0,0,MAX(BW58-BW59-BW60,0)*Premissas!$B$7)</f>
        <v>0</v>
      </c>
      <c r="BX67" s="164">
        <f>IF(BX62&gt;0,0,MAX(BX58-BX59-BX60,0)*Premissas!$B$7)</f>
        <v>0</v>
      </c>
      <c r="BY67" s="164">
        <f>IF(BY62&gt;0,0,MAX(BY58-BY59-BY60,0)*Premissas!$B$7)</f>
        <v>0</v>
      </c>
      <c r="BZ67" s="164">
        <f>IF(BZ62&gt;0,0,MAX(BZ58-BZ59-BZ60,0)*Premissas!$B$7)</f>
        <v>0</v>
      </c>
      <c r="CA67" s="164">
        <f>IF(CA62&gt;0,0,MAX(CA58-CA59-CA60,0)*Premissas!$B$7)</f>
        <v>0</v>
      </c>
      <c r="CB67" s="164">
        <f>IF(CB62&gt;0,0,MAX(CB58-CB59-CB60,0)*Premissas!$B$7)</f>
        <v>0</v>
      </c>
      <c r="CC67" s="164">
        <f>IF(CC62&gt;0,0,MAX(CC58-CC59-CC60,0)*Premissas!$B$7)</f>
        <v>0</v>
      </c>
      <c r="CD67" s="164">
        <f>IF(CD62&gt;0,0,MAX(CD58-CD59-CD60,0)*Premissas!$B$7)</f>
        <v>0</v>
      </c>
      <c r="CE67" s="164">
        <f>IF(CE62&gt;0,0,MAX(CE58-CE59-CE60,0)*Premissas!$B$7)</f>
        <v>0</v>
      </c>
      <c r="CF67" s="164">
        <f>IF(CF62&gt;0,0,MAX(CF58-CF59-CF60,0)*Premissas!$B$7)</f>
        <v>0</v>
      </c>
      <c r="CG67" s="164">
        <f>IF(CG62&gt;0,0,MAX(CG58-CG59-CG60,0)*Premissas!$B$7)</f>
        <v>0</v>
      </c>
      <c r="CH67" s="164">
        <f>IF(CH62&gt;0,0,MAX(CH58-CH59-CH60,0)*Premissas!$B$7)</f>
        <v>0</v>
      </c>
      <c r="CI67" s="164">
        <f>IF(CI62&gt;0,0,MAX(CI58-CI59-CI60,0)*Premissas!$B$7)</f>
        <v>0</v>
      </c>
      <c r="CJ67" s="164">
        <f>IF(CJ62&gt;0,0,MAX(CJ58-CJ59-CJ60,0)*Premissas!$B$7)</f>
        <v>0</v>
      </c>
      <c r="CK67" s="164">
        <f>IF(CK62&gt;0,0,MAX(CK58-CK59-CK60,0)*Premissas!$B$7)</f>
        <v>0</v>
      </c>
      <c r="CL67" s="164">
        <f>IF(CL62&gt;0,0,MAX(CL58-CL59-CL60,0)*Premissas!$B$7)</f>
        <v>0</v>
      </c>
      <c r="CM67" s="164">
        <f>IF(CM62&gt;0,0,MAX(CM58-CM59-CM60,0)*Premissas!$B$7)</f>
        <v>0</v>
      </c>
      <c r="CN67" s="164">
        <f>IF(CN62&gt;0,0,MAX(CN58-CN59-CN60,0)*Premissas!$B$7)</f>
        <v>0</v>
      </c>
      <c r="CO67" s="164">
        <f>IF(CO62&gt;0,0,MAX(CO58-CO59-CO60,0)*Premissas!$B$7)</f>
        <v>0</v>
      </c>
      <c r="CP67" s="164">
        <f>IF(CP62&gt;0,0,MAX(CP58-CP59-CP60,0)*Premissas!$B$7)</f>
        <v>0</v>
      </c>
      <c r="CQ67" s="164">
        <f>IF(CQ62&gt;0,0,MAX(CQ58-CQ59-CQ60,0)*Premissas!$B$7)</f>
        <v>0</v>
      </c>
      <c r="CR67" s="164">
        <f>IF(CR62&gt;0,0,MAX(CR58-CR59-CR60,0)*Premissas!$B$7)</f>
        <v>0</v>
      </c>
      <c r="CS67" s="164">
        <f>IF(CS62&gt;0,0,MAX(CS58-CS59-CS60,0)*Premissas!$B$7)</f>
        <v>0</v>
      </c>
      <c r="CT67" s="164">
        <f>IF(CT62&gt;0,0,MAX(CT58-CT59-CT60,0)*Premissas!$B$7)</f>
        <v>0</v>
      </c>
      <c r="CU67" s="164">
        <f>IF(CU62&gt;0,0,MAX(CU58-CU59-CU60,0)*Premissas!$B$7)</f>
        <v>0</v>
      </c>
      <c r="CV67" s="164">
        <f>IF(CV62&gt;0,0,MAX(CV58-CV59-CV60,0)*Premissas!$B$7)</f>
        <v>0</v>
      </c>
      <c r="CW67" s="164">
        <f>IF(CW62&gt;0,0,MAX(CW58-CW59-CW60,0)*Premissas!$B$7)</f>
        <v>0</v>
      </c>
      <c r="CX67" s="164">
        <f>IF(CX62&gt;0,0,MAX(CX58-CX59-CX60,0)*Premissas!$B$7)</f>
        <v>0</v>
      </c>
      <c r="CY67" s="164">
        <f>IF(CY62&gt;0,0,MAX(CY58-CY59-CY60,0)*Premissas!$B$7)</f>
        <v>0</v>
      </c>
      <c r="CZ67" s="164">
        <f>IF(CZ62&gt;0,0,MAX(CZ58-CZ59-CZ60,0)*Premissas!$B$7)</f>
        <v>0</v>
      </c>
      <c r="DA67" s="164">
        <f>IF(DA62&gt;0,0,MAX(DA58-DA59-DA60,0)*Premissas!$B$7)</f>
        <v>0</v>
      </c>
      <c r="DB67" s="164">
        <f>IF(DB62&gt;0,0,MAX(DB58-DB59-DB60,0)*Premissas!$B$7)</f>
        <v>0</v>
      </c>
      <c r="DC67" s="164">
        <f>IF(DC62&gt;0,0,MAX(DC58-DC59-DC60,0)*Premissas!$B$7)</f>
        <v>0</v>
      </c>
      <c r="DD67" s="164">
        <f>IF(DD62&gt;0,0,MAX(DD58-DD59-DD60,0)*Premissas!$B$7)</f>
        <v>0</v>
      </c>
      <c r="DE67" s="164">
        <f>IF(DE62&gt;0,0,MAX(DE58-DE59-DE60,0)*Premissas!$B$7)</f>
        <v>0</v>
      </c>
      <c r="DF67" s="164">
        <f>IF(DF62&gt;0,0,MAX(DF58-DF59-DF60,0)*Premissas!$B$7)</f>
        <v>0</v>
      </c>
      <c r="DG67" s="164">
        <f>IF(DG62&gt;0,0,MAX(DG58-DG59-DG60,0)*Premissas!$B$7)</f>
        <v>0</v>
      </c>
      <c r="DH67" s="164">
        <f>IF(DH62&gt;0,0,MAX(DH58-DH59-DH60,0)*Premissas!$B$7)</f>
        <v>0</v>
      </c>
      <c r="DI67" s="164">
        <f>IF(DI62&gt;0,0,MAX(DI58-DI59-DI60,0)*Premissas!$B$7)</f>
        <v>0</v>
      </c>
      <c r="DJ67" s="164">
        <f>IF(DJ62&gt;0,0,MAX(DJ58-DJ59-DJ60,0)*Premissas!$B$7)</f>
        <v>4538.6019595510261</v>
      </c>
      <c r="DK67" s="164">
        <f>IF(DK62&gt;0,0,MAX(DK58-DK59-DK60,0)*Premissas!$B$7)</f>
        <v>6074.6910221531489</v>
      </c>
      <c r="DL67" s="164">
        <f>IF(DL62&gt;0,0,MAX(DL58-DL59-DL60,0)*Premissas!$B$7)</f>
        <v>7842.3786781900963</v>
      </c>
      <c r="DM67" s="164">
        <f>IF(DM62&gt;0,0,MAX(DM58-DM59-DM60,0)*Premissas!$B$7)</f>
        <v>9208.6346479411659</v>
      </c>
      <c r="DN67" s="164">
        <f>IF(DN62&gt;0,0,MAX(DN58-DN59-DN60,0)*Premissas!$B$7)</f>
        <v>8773.6539158273627</v>
      </c>
      <c r="DO67" s="164">
        <f>IF(DO62&gt;0,0,MAX(DO58-DO59-DO60,0)*Premissas!$B$7)</f>
        <v>6102.4557497348806</v>
      </c>
      <c r="DP67" s="164">
        <f>IF(DP62&gt;0,0,MAX(DP58-DP59-DP60,0)*Premissas!$B$7)</f>
        <v>6415.9657986786069</v>
      </c>
      <c r="DQ67" s="164">
        <f>IF(DQ62&gt;0,0,MAX(DQ58-DQ59-DQ60,0)*Premissas!$B$7)</f>
        <v>7516.1431291047438</v>
      </c>
      <c r="DR67" s="164">
        <f>IF(DR62&gt;0,0,MAX(DR58-DR59-DR60,0)*Premissas!$B$7)</f>
        <v>6538.593345497924</v>
      </c>
      <c r="DS67" s="164">
        <f>IF(DS62&gt;0,0,MAX(DS58-DS59-DS60,0)*Premissas!$B$7)</f>
        <v>6042.2988399744609</v>
      </c>
    </row>
    <row r="68" spans="1:123" ht="13.5" customHeight="1" x14ac:dyDescent="0.35">
      <c r="A68" s="39" t="s">
        <v>499</v>
      </c>
      <c r="B68" s="42">
        <f>SUM(D68:BQ68)</f>
        <v>272803.50261384109</v>
      </c>
      <c r="C68" s="144">
        <f>B68/60</f>
        <v>4546.7250435640181</v>
      </c>
      <c r="D68" s="165">
        <f t="shared" ref="D68:AI68" si="98">MAX(D66-D67,0)</f>
        <v>3026.7370714130548</v>
      </c>
      <c r="E68" s="165">
        <f t="shared" si="98"/>
        <v>3193.8691628185898</v>
      </c>
      <c r="F68" s="165">
        <f t="shared" si="98"/>
        <v>3154.9985442041648</v>
      </c>
      <c r="G68" s="165">
        <f t="shared" si="98"/>
        <v>3891.6893160394579</v>
      </c>
      <c r="H68" s="165">
        <f t="shared" si="98"/>
        <v>5023.5647104547397</v>
      </c>
      <c r="I68" s="165">
        <f t="shared" si="98"/>
        <v>5899.0791201986931</v>
      </c>
      <c r="J68" s="165">
        <f t="shared" si="98"/>
        <v>5620.5063534619812</v>
      </c>
      <c r="K68" s="165">
        <f t="shared" si="98"/>
        <v>3909.2736435078887</v>
      </c>
      <c r="L68" s="165">
        <f t="shared" si="98"/>
        <v>4110.1051730157515</v>
      </c>
      <c r="M68" s="165">
        <f t="shared" si="98"/>
        <v>4814.4037626723566</v>
      </c>
      <c r="N68" s="165">
        <f t="shared" si="98"/>
        <v>4188.771901163992</v>
      </c>
      <c r="O68" s="165">
        <f t="shared" si="98"/>
        <v>3870.4030248934637</v>
      </c>
      <c r="P68" s="165">
        <f t="shared" si="98"/>
        <v>3469.6654567971291</v>
      </c>
      <c r="Q68" s="165">
        <f t="shared" si="98"/>
        <v>3273.4613818862222</v>
      </c>
      <c r="R68" s="165">
        <f t="shared" si="98"/>
        <v>3233.6652723524057</v>
      </c>
      <c r="S68" s="165">
        <f t="shared" si="98"/>
        <v>3988.8658625755206</v>
      </c>
      <c r="T68" s="165">
        <f t="shared" si="98"/>
        <v>5149.4314754919251</v>
      </c>
      <c r="U68" s="165">
        <f t="shared" si="98"/>
        <v>6046.2321763818736</v>
      </c>
      <c r="V68" s="165">
        <f t="shared" si="98"/>
        <v>5761.1809732094234</v>
      </c>
      <c r="W68" s="165">
        <f t="shared" si="98"/>
        <v>3909.2736435078887</v>
      </c>
      <c r="X68" s="165">
        <f t="shared" si="98"/>
        <v>4110.1051730157515</v>
      </c>
      <c r="Y68" s="165">
        <f t="shared" si="98"/>
        <v>4814.4037626723566</v>
      </c>
      <c r="Z68" s="165">
        <f t="shared" si="98"/>
        <v>4188.771901163992</v>
      </c>
      <c r="AA68" s="165">
        <f t="shared" si="98"/>
        <v>3870.4030248934637</v>
      </c>
      <c r="AB68" s="165">
        <f t="shared" si="98"/>
        <v>3555.7361123004989</v>
      </c>
      <c r="AC68" s="165">
        <f t="shared" si="98"/>
        <v>3355.8300737120276</v>
      </c>
      <c r="AD68" s="165">
        <f t="shared" si="98"/>
        <v>3315.1084732588201</v>
      </c>
      <c r="AE68" s="165">
        <f t="shared" si="98"/>
        <v>4088.8188818697563</v>
      </c>
      <c r="AF68" s="165">
        <f t="shared" si="98"/>
        <v>5278.0747132872839</v>
      </c>
      <c r="AG68" s="165">
        <f t="shared" si="98"/>
        <v>6198.0126871620096</v>
      </c>
      <c r="AH68" s="165">
        <f t="shared" si="98"/>
        <v>5904.63206571504</v>
      </c>
      <c r="AI68" s="165">
        <f t="shared" si="98"/>
        <v>4107.328700257578</v>
      </c>
      <c r="AJ68" s="165">
        <f t="shared" ref="AJ68:BO68" si="99">MAX(AJ66-AJ67,0)</f>
        <v>4318.3406298787422</v>
      </c>
      <c r="AK68" s="165">
        <f t="shared" si="99"/>
        <v>5057.8078744722088</v>
      </c>
      <c r="AL68" s="165">
        <f t="shared" si="99"/>
        <v>4400.7093217045476</v>
      </c>
      <c r="AM68" s="165">
        <f t="shared" si="99"/>
        <v>4066.6070998043706</v>
      </c>
      <c r="AN68" s="165">
        <f t="shared" si="99"/>
        <v>3644.5832405620417</v>
      </c>
      <c r="AO68" s="165">
        <f t="shared" si="99"/>
        <v>3439.124256457224</v>
      </c>
      <c r="AP68" s="165">
        <f t="shared" si="99"/>
        <v>3397.4771650846255</v>
      </c>
      <c r="AQ68" s="165">
        <f t="shared" si="99"/>
        <v>4190.622883002774</v>
      </c>
      <c r="AR68" s="165">
        <f t="shared" si="99"/>
        <v>5409.4944238408161</v>
      </c>
      <c r="AS68" s="165">
        <f t="shared" si="99"/>
        <v>6352.569670700319</v>
      </c>
      <c r="AT68" s="165">
        <f t="shared" si="99"/>
        <v>6052.710612817611</v>
      </c>
      <c r="AU68" s="165">
        <f t="shared" si="99"/>
        <v>3914.5424799664761</v>
      </c>
      <c r="AV68" s="165">
        <f t="shared" si="99"/>
        <v>1422.7636981182413</v>
      </c>
      <c r="AW68" s="165">
        <f t="shared" si="99"/>
        <v>1604.8316835528522</v>
      </c>
      <c r="AX68" s="165">
        <f t="shared" si="99"/>
        <v>1766.9257530339673</v>
      </c>
      <c r="AY68" s="165">
        <f t="shared" si="99"/>
        <v>1666.9342860218776</v>
      </c>
      <c r="AZ68" s="165">
        <f t="shared" si="99"/>
        <v>3339.9504913869282</v>
      </c>
      <c r="BA68" s="165">
        <f t="shared" si="99"/>
        <v>3525.1949119605938</v>
      </c>
      <c r="BB68" s="165">
        <f t="shared" si="99"/>
        <v>3482.6223296686044</v>
      </c>
      <c r="BC68" s="165">
        <f t="shared" si="99"/>
        <v>4296.1288478133565</v>
      </c>
      <c r="BD68" s="165">
        <f t="shared" si="99"/>
        <v>4658.4860601637565</v>
      </c>
      <c r="BE68" s="165">
        <f t="shared" si="99"/>
        <v>3407.5178937635073</v>
      </c>
      <c r="BF68" s="165">
        <f t="shared" si="99"/>
        <v>3513.6268525818291</v>
      </c>
      <c r="BG68" s="165">
        <f t="shared" si="99"/>
        <v>4147.3734250263806</v>
      </c>
      <c r="BH68" s="165">
        <f t="shared" si="99"/>
        <v>3522.8601476889039</v>
      </c>
      <c r="BI68" s="165">
        <f t="shared" si="99"/>
        <v>4013.0987739527245</v>
      </c>
      <c r="BJ68" s="165">
        <f t="shared" si="99"/>
        <v>4174.0191317424933</v>
      </c>
      <c r="BK68" s="165">
        <f t="shared" si="99"/>
        <v>3920.1925827921405</v>
      </c>
      <c r="BL68" s="165">
        <f t="shared" si="99"/>
        <v>3829.6814244402563</v>
      </c>
      <c r="BM68" s="165">
        <f t="shared" si="99"/>
        <v>3613.1165493027456</v>
      </c>
      <c r="BN68" s="165">
        <f t="shared" si="99"/>
        <v>3569.6184760913652</v>
      </c>
      <c r="BO68" s="165">
        <f t="shared" si="99"/>
        <v>4403.4857944627211</v>
      </c>
      <c r="BP68" s="165">
        <f t="shared" ref="BP68:CU68" si="100">MAX(BP66-BP67,0)</f>
        <v>5683.4397359805735</v>
      </c>
      <c r="BQ68" s="165">
        <f t="shared" si="100"/>
        <v>6674.6405106484117</v>
      </c>
      <c r="BR68" s="165">
        <f t="shared" si="100"/>
        <v>6359.0481071360564</v>
      </c>
      <c r="BS68" s="165">
        <f t="shared" si="100"/>
        <v>4422.9211037699333</v>
      </c>
      <c r="BT68" s="165">
        <f t="shared" si="100"/>
        <v>4650.5918699401373</v>
      </c>
      <c r="BU68" s="165">
        <f t="shared" si="100"/>
        <v>5447.4395515358501</v>
      </c>
      <c r="BV68" s="165">
        <f t="shared" si="100"/>
        <v>4739.4389982016801</v>
      </c>
      <c r="BW68" s="165">
        <f t="shared" si="100"/>
        <v>4379.4230305585534</v>
      </c>
      <c r="BX68" s="165">
        <f t="shared" si="100"/>
        <v>3925.0069891375365</v>
      </c>
      <c r="BY68" s="165">
        <f t="shared" si="100"/>
        <v>3703.8146594030704</v>
      </c>
      <c r="BZ68" s="165">
        <f t="shared" si="100"/>
        <v>3658.465604352908</v>
      </c>
      <c r="CA68" s="165">
        <f t="shared" si="100"/>
        <v>4513.6192138702581</v>
      </c>
      <c r="CB68" s="165">
        <f t="shared" si="100"/>
        <v>5825.9653375667986</v>
      </c>
      <c r="CC68" s="165">
        <f t="shared" si="100"/>
        <v>6841.2288761388045</v>
      </c>
      <c r="CD68" s="165">
        <f t="shared" si="100"/>
        <v>6518.2325452713203</v>
      </c>
      <c r="CE68" s="165">
        <f t="shared" si="100"/>
        <v>4533.9800140968619</v>
      </c>
      <c r="CF68" s="165">
        <f t="shared" si="100"/>
        <v>4766.2782348640212</v>
      </c>
      <c r="CG68" s="165">
        <f t="shared" si="100"/>
        <v>5583.4867166863378</v>
      </c>
      <c r="CH68" s="165">
        <f t="shared" si="100"/>
        <v>4857.9018358837375</v>
      </c>
      <c r="CI68" s="165">
        <f t="shared" si="100"/>
        <v>4488.6309590466999</v>
      </c>
      <c r="CJ68" s="165">
        <f t="shared" si="100"/>
        <v>4023.1090265929902</v>
      </c>
      <c r="CK68" s="165">
        <f t="shared" si="100"/>
        <v>3796.3637513421777</v>
      </c>
      <c r="CL68" s="165">
        <f t="shared" si="100"/>
        <v>3750.0892053726243</v>
      </c>
      <c r="CM68" s="165">
        <f t="shared" si="100"/>
        <v>4625.6036151165781</v>
      </c>
      <c r="CN68" s="165">
        <f t="shared" si="100"/>
        <v>5971.2674119111971</v>
      </c>
      <c r="CO68" s="165">
        <f t="shared" si="100"/>
        <v>7012.4446962261536</v>
      </c>
      <c r="CP68" s="165">
        <f t="shared" si="100"/>
        <v>6681.1189470841491</v>
      </c>
      <c r="CQ68" s="165">
        <f t="shared" si="100"/>
        <v>4646.8899062625733</v>
      </c>
      <c r="CR68" s="165">
        <f t="shared" si="100"/>
        <v>4885.6665634654692</v>
      </c>
      <c r="CS68" s="165">
        <f t="shared" si="100"/>
        <v>5723.2358455143894</v>
      </c>
      <c r="CT68" s="165">
        <f t="shared" si="100"/>
        <v>4979.1411463239674</v>
      </c>
      <c r="CU68" s="165">
        <f t="shared" si="100"/>
        <v>4600.615360293019</v>
      </c>
      <c r="CV68" s="165">
        <f t="shared" ref="CV68:DS68" si="101">MAX(CV66-CV67,0)</f>
        <v>4123.9875368066168</v>
      </c>
      <c r="CW68" s="165">
        <f t="shared" si="101"/>
        <v>3891.6893160394579</v>
      </c>
      <c r="CX68" s="165">
        <f t="shared" si="101"/>
        <v>3844.4892791505135</v>
      </c>
      <c r="CY68" s="165">
        <f t="shared" si="101"/>
        <v>4741.2899800404621</v>
      </c>
      <c r="CZ68" s="165">
        <f t="shared" si="101"/>
        <v>6120.2714499331596</v>
      </c>
      <c r="DA68" s="165">
        <f t="shared" si="101"/>
        <v>7187.3624799910658</v>
      </c>
      <c r="DB68" s="165">
        <f t="shared" si="101"/>
        <v>6847.7073125745428</v>
      </c>
      <c r="DC68" s="165">
        <f t="shared" si="101"/>
        <v>4763.5017621058478</v>
      </c>
      <c r="DD68" s="165">
        <f t="shared" si="101"/>
        <v>5007.8313648250914</v>
      </c>
      <c r="DE68" s="165">
        <f t="shared" si="101"/>
        <v>5865.7614471006145</v>
      </c>
      <c r="DF68" s="165">
        <f t="shared" si="101"/>
        <v>5103.1569295223717</v>
      </c>
      <c r="DG68" s="165">
        <f t="shared" si="101"/>
        <v>4715.3762342975124</v>
      </c>
      <c r="DH68" s="165">
        <f t="shared" si="101"/>
        <v>4226.717028859026</v>
      </c>
      <c r="DI68" s="165">
        <f t="shared" si="101"/>
        <v>3988.8658625755206</v>
      </c>
      <c r="DJ68" s="165">
        <f t="shared" si="101"/>
        <v>0</v>
      </c>
      <c r="DK68" s="165">
        <f t="shared" si="101"/>
        <v>0</v>
      </c>
      <c r="DL68" s="165">
        <f t="shared" si="101"/>
        <v>0</v>
      </c>
      <c r="DM68" s="165">
        <f t="shared" si="101"/>
        <v>0</v>
      </c>
      <c r="DN68" s="165">
        <f t="shared" si="101"/>
        <v>0</v>
      </c>
      <c r="DO68" s="165">
        <f t="shared" si="101"/>
        <v>0</v>
      </c>
      <c r="DP68" s="165">
        <f t="shared" si="101"/>
        <v>0</v>
      </c>
      <c r="DQ68" s="165">
        <f t="shared" si="101"/>
        <v>0</v>
      </c>
      <c r="DR68" s="165">
        <f t="shared" si="101"/>
        <v>0</v>
      </c>
      <c r="DS68" s="165">
        <f t="shared" si="101"/>
        <v>0</v>
      </c>
    </row>
    <row r="70" spans="1:123" ht="15" customHeight="1" x14ac:dyDescent="0.35">
      <c r="A70" s="289" t="s">
        <v>505</v>
      </c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89"/>
      <c r="R70" s="289"/>
      <c r="S70" s="289"/>
      <c r="T70" s="289"/>
      <c r="U70" s="289"/>
      <c r="V70" s="289"/>
      <c r="W70" s="289"/>
      <c r="X70" s="289"/>
      <c r="Y70" s="289"/>
      <c r="Z70" s="289"/>
      <c r="AA70" s="289"/>
    </row>
    <row r="71" spans="1:123" ht="12.75" customHeight="1" x14ac:dyDescent="0.35">
      <c r="A71" s="166" t="s">
        <v>486</v>
      </c>
      <c r="B71" s="167">
        <f>SUM(D71:BQ71)</f>
        <v>31671</v>
      </c>
      <c r="C71" s="139">
        <f>B71/60</f>
        <v>527.85</v>
      </c>
      <c r="D71" s="167">
        <v>450</v>
      </c>
      <c r="E71" s="167">
        <v>450</v>
      </c>
      <c r="F71" s="167">
        <v>450</v>
      </c>
      <c r="G71" s="167">
        <v>450</v>
      </c>
      <c r="H71" s="167">
        <v>450</v>
      </c>
      <c r="I71" s="167">
        <v>450</v>
      </c>
      <c r="J71" s="167">
        <v>450</v>
      </c>
      <c r="K71" s="167">
        <v>461</v>
      </c>
      <c r="L71" s="167">
        <v>461</v>
      </c>
      <c r="M71" s="167">
        <v>461</v>
      </c>
      <c r="N71" s="167">
        <v>461</v>
      </c>
      <c r="O71" s="167">
        <v>461</v>
      </c>
      <c r="P71" s="167">
        <v>461</v>
      </c>
      <c r="Q71" s="167">
        <v>461</v>
      </c>
      <c r="R71" s="167">
        <v>461</v>
      </c>
      <c r="S71" s="167">
        <v>461</v>
      </c>
      <c r="T71" s="167">
        <v>461</v>
      </c>
      <c r="U71" s="167">
        <v>461</v>
      </c>
      <c r="V71" s="167">
        <v>461</v>
      </c>
      <c r="W71" s="167">
        <v>461</v>
      </c>
      <c r="X71" s="167">
        <v>461</v>
      </c>
      <c r="Y71" s="167">
        <v>461</v>
      </c>
      <c r="Z71" s="167">
        <v>461</v>
      </c>
      <c r="AA71" s="167">
        <v>461</v>
      </c>
      <c r="AB71" s="167">
        <v>473</v>
      </c>
      <c r="AC71" s="167">
        <v>473</v>
      </c>
      <c r="AD71" s="167">
        <v>473</v>
      </c>
      <c r="AE71" s="167">
        <v>473</v>
      </c>
      <c r="AF71" s="167">
        <v>473</v>
      </c>
      <c r="AG71" s="167">
        <v>473</v>
      </c>
      <c r="AH71" s="167">
        <v>473</v>
      </c>
      <c r="AI71" s="167">
        <v>484</v>
      </c>
      <c r="AJ71" s="167">
        <v>484</v>
      </c>
      <c r="AK71" s="167">
        <v>484</v>
      </c>
      <c r="AL71" s="167">
        <v>484</v>
      </c>
      <c r="AM71" s="167">
        <v>484</v>
      </c>
      <c r="AN71" s="167">
        <v>485</v>
      </c>
      <c r="AO71" s="167">
        <v>485</v>
      </c>
      <c r="AP71" s="167">
        <v>485</v>
      </c>
      <c r="AQ71" s="167">
        <v>485</v>
      </c>
      <c r="AR71" s="167">
        <v>485</v>
      </c>
      <c r="AS71" s="167">
        <v>485</v>
      </c>
      <c r="AT71" s="167">
        <v>485</v>
      </c>
      <c r="AU71" s="167">
        <v>496</v>
      </c>
      <c r="AV71" s="167">
        <v>496</v>
      </c>
      <c r="AW71" s="167">
        <v>496</v>
      </c>
      <c r="AX71" s="167">
        <v>496</v>
      </c>
      <c r="AY71" s="167">
        <v>496</v>
      </c>
      <c r="AZ71" s="167">
        <v>497</v>
      </c>
      <c r="BA71" s="167">
        <v>497</v>
      </c>
      <c r="BB71" s="167">
        <v>497</v>
      </c>
      <c r="BC71" s="167">
        <v>497</v>
      </c>
      <c r="BD71" s="167">
        <v>497</v>
      </c>
      <c r="BE71" s="167">
        <v>497</v>
      </c>
      <c r="BF71" s="167">
        <v>497</v>
      </c>
      <c r="BG71" s="167">
        <v>509</v>
      </c>
      <c r="BH71" s="167">
        <v>509</v>
      </c>
      <c r="BI71" s="167">
        <v>509</v>
      </c>
      <c r="BJ71" s="167">
        <v>509</v>
      </c>
      <c r="BK71" s="167">
        <v>509</v>
      </c>
      <c r="BL71" s="167">
        <v>509</v>
      </c>
      <c r="BM71" s="167">
        <v>509</v>
      </c>
      <c r="BN71" s="167">
        <v>509</v>
      </c>
      <c r="BO71" s="167">
        <v>509</v>
      </c>
      <c r="BP71" s="167">
        <v>509</v>
      </c>
      <c r="BQ71" s="167">
        <v>509</v>
      </c>
      <c r="BR71" s="167">
        <v>509</v>
      </c>
      <c r="BS71" s="167">
        <v>522</v>
      </c>
      <c r="BT71" s="167">
        <v>522</v>
      </c>
      <c r="BU71" s="167">
        <v>522</v>
      </c>
      <c r="BV71" s="167">
        <v>522</v>
      </c>
      <c r="BW71" s="167">
        <v>522</v>
      </c>
      <c r="BX71" s="167">
        <v>522</v>
      </c>
      <c r="BY71" s="167">
        <v>522</v>
      </c>
      <c r="BZ71" s="167">
        <v>522</v>
      </c>
      <c r="CA71" s="167">
        <v>522</v>
      </c>
      <c r="CB71" s="167">
        <v>522</v>
      </c>
      <c r="CC71" s="167">
        <v>522</v>
      </c>
      <c r="CD71" s="167">
        <v>522</v>
      </c>
      <c r="CE71" s="167">
        <v>535</v>
      </c>
      <c r="CF71" s="167">
        <v>535</v>
      </c>
      <c r="CG71" s="167">
        <v>535</v>
      </c>
      <c r="CH71" s="167">
        <v>535</v>
      </c>
      <c r="CI71" s="167">
        <v>535</v>
      </c>
      <c r="CJ71" s="167">
        <v>535</v>
      </c>
      <c r="CK71" s="167">
        <v>535</v>
      </c>
      <c r="CL71" s="167">
        <v>535</v>
      </c>
      <c r="CM71" s="167">
        <v>535</v>
      </c>
      <c r="CN71" s="167">
        <v>535</v>
      </c>
      <c r="CO71" s="167">
        <v>535</v>
      </c>
      <c r="CP71" s="167">
        <v>535</v>
      </c>
      <c r="CQ71" s="167">
        <v>548</v>
      </c>
      <c r="CR71" s="167">
        <v>548</v>
      </c>
      <c r="CS71" s="167">
        <v>548</v>
      </c>
      <c r="CT71" s="167">
        <v>548</v>
      </c>
      <c r="CU71" s="167">
        <v>548</v>
      </c>
      <c r="CV71" s="167">
        <v>548</v>
      </c>
      <c r="CW71" s="167">
        <v>548</v>
      </c>
      <c r="CX71" s="167">
        <v>548</v>
      </c>
      <c r="CY71" s="167">
        <v>548</v>
      </c>
      <c r="CZ71" s="167">
        <v>548</v>
      </c>
      <c r="DA71" s="167">
        <v>548</v>
      </c>
      <c r="DB71" s="167">
        <v>548</v>
      </c>
      <c r="DC71" s="167">
        <v>562</v>
      </c>
      <c r="DD71" s="167">
        <v>562</v>
      </c>
      <c r="DE71" s="167">
        <v>562</v>
      </c>
      <c r="DF71" s="167">
        <v>562</v>
      </c>
      <c r="DG71" s="167">
        <v>562</v>
      </c>
      <c r="DH71" s="167">
        <v>562</v>
      </c>
      <c r="DI71" s="167">
        <v>562</v>
      </c>
      <c r="DJ71" s="167">
        <v>562</v>
      </c>
      <c r="DK71" s="167">
        <v>562</v>
      </c>
      <c r="DL71" s="167">
        <v>562</v>
      </c>
      <c r="DM71" s="167">
        <v>562</v>
      </c>
      <c r="DN71" s="167">
        <v>562</v>
      </c>
      <c r="DO71" s="167">
        <v>576</v>
      </c>
      <c r="DP71" s="167">
        <v>576</v>
      </c>
      <c r="DQ71" s="167">
        <v>576</v>
      </c>
      <c r="DR71" s="167">
        <v>576</v>
      </c>
      <c r="DS71" s="167">
        <v>576</v>
      </c>
    </row>
    <row r="72" spans="1:123" ht="12.75" customHeight="1" x14ac:dyDescent="0.35">
      <c r="A72" s="142" t="str">
        <f>"  "&amp;INDEX(PVSYST_Helexia!$A$5:$A$7,MATCH(Premissas!$B$13,PVSYST_Helexia!$B$5:$B$7,0))&amp;" créditos recebidos (kWh)"</f>
        <v xml:space="preserve">  HCS03 créditos recebidos (kWh)</v>
      </c>
      <c r="B72" s="155">
        <f>SUM(D72:BQ72)</f>
        <v>51558.59414979232</v>
      </c>
      <c r="C72" s="139">
        <f>B72/60</f>
        <v>859.30990249653871</v>
      </c>
      <c r="D72" s="156">
        <f>D6*Premissas!$B$37</f>
        <v>409.16699999999997</v>
      </c>
      <c r="E72" s="156">
        <f>E6*Premissas!$B$37</f>
        <v>430.68299999999994</v>
      </c>
      <c r="F72" s="156">
        <f>F6*Premissas!$B$37</f>
        <v>517.01099999999997</v>
      </c>
      <c r="G72" s="156">
        <f>G6*Premissas!$B$37</f>
        <v>485.13299999999998</v>
      </c>
      <c r="H72" s="156">
        <f>H6*Premissas!$C$37</f>
        <v>755.4</v>
      </c>
      <c r="I72" s="156">
        <f>I6*Premissas!$C$37</f>
        <v>730.4</v>
      </c>
      <c r="J72" s="156">
        <f>J6*Premissas!$C$37</f>
        <v>693.55000000000007</v>
      </c>
      <c r="K72" s="156">
        <f>K6*Premissas!$C$37</f>
        <v>712.12149999999997</v>
      </c>
      <c r="L72" s="156">
        <f>L6*Premissas!$C$37</f>
        <v>634.56124999999997</v>
      </c>
      <c r="M72" s="156">
        <f>M6*Premissas!$C$37</f>
        <v>727.84249999999997</v>
      </c>
      <c r="N72" s="156">
        <f>N6*Premissas!$D$37</f>
        <v>581.00040000000001</v>
      </c>
      <c r="O72" s="156">
        <f>O6*Premissas!$D$37</f>
        <v>543.74760000000003</v>
      </c>
      <c r="P72" s="156">
        <f>P6*Premissas!$D$37</f>
        <v>493.48020000000002</v>
      </c>
      <c r="Q72" s="156">
        <f>Q6*Premissas!$D$37</f>
        <v>519.42979999999989</v>
      </c>
      <c r="R72" s="156">
        <f>R6*Premissas!$D$37</f>
        <v>623.54660000000001</v>
      </c>
      <c r="S72" s="156">
        <f>S6*Premissas!$D$37</f>
        <v>585.09980000000007</v>
      </c>
      <c r="T72" s="156">
        <f>T6*Premissas!$E$37</f>
        <v>676.46069999999997</v>
      </c>
      <c r="U72" s="156">
        <f>U6*Premissas!$E$37</f>
        <v>654.07319999999993</v>
      </c>
      <c r="V72" s="156">
        <f>V6*Premissas!$E$37</f>
        <v>621.07402500000001</v>
      </c>
      <c r="W72" s="156">
        <f>W6*Premissas!$E$37</f>
        <v>640.9093499999999</v>
      </c>
      <c r="X72" s="156">
        <f>X6*Premissas!$E$37</f>
        <v>571.10512499999993</v>
      </c>
      <c r="Y72" s="156">
        <f>Y6*Premissas!$E$37</f>
        <v>655.05824999999993</v>
      </c>
      <c r="Z72" s="156">
        <f>Z6*Premissas!$E$37</f>
        <v>653.62545</v>
      </c>
      <c r="AA72" s="156">
        <f>AA6*Premissas!$E$37</f>
        <v>611.71604999999988</v>
      </c>
      <c r="AB72" s="156">
        <f>AB6*Premissas!$F$37</f>
        <v>319.15831935</v>
      </c>
      <c r="AC72" s="156">
        <f>AC6*Premissas!$F$37</f>
        <v>335.94122314999993</v>
      </c>
      <c r="AD72" s="156">
        <f>AD6*Premissas!$F$37</f>
        <v>403.27876355000006</v>
      </c>
      <c r="AE72" s="156">
        <f>AE6*Premissas!$F$37</f>
        <v>378.41329564999995</v>
      </c>
      <c r="AF72" s="156">
        <f>AF6*Premissas!$F$37</f>
        <v>388.88974020000001</v>
      </c>
      <c r="AG72" s="156">
        <f>AG6*Premissas!$F$37</f>
        <v>376.01941520000003</v>
      </c>
      <c r="AH72" s="156">
        <f>AH6*Premissas!$G$37</f>
        <v>370.78119292500003</v>
      </c>
      <c r="AI72" s="156">
        <f>AI6*Premissas!$G$37</f>
        <v>382.62288195000002</v>
      </c>
      <c r="AJ72" s="156">
        <f>AJ6*Premissas!$G$37</f>
        <v>340.94975962500001</v>
      </c>
      <c r="AK72" s="156">
        <f>AK6*Premissas!$G$37</f>
        <v>391.06977525000002</v>
      </c>
      <c r="AL72" s="156">
        <f>AL6*Premissas!$G$37</f>
        <v>390.21439365000003</v>
      </c>
      <c r="AM72" s="156">
        <f>AM6*Premissas!$G$37</f>
        <v>365.1944818500001</v>
      </c>
      <c r="AN72" s="156">
        <f>AN6*Premissas!$H$37</f>
        <v>317.56252775324998</v>
      </c>
      <c r="AO72" s="156">
        <f>AO6*Premissas!$H$37</f>
        <v>334.26151703424995</v>
      </c>
      <c r="AP72" s="156">
        <f>AP6*Premissas!$H$37</f>
        <v>401.26236973224997</v>
      </c>
      <c r="AQ72" s="156">
        <f>AQ6*Premissas!$H$37</f>
        <v>376.52122917175001</v>
      </c>
      <c r="AR72" s="156">
        <f>AR6*Premissas!$H$37</f>
        <v>386.94529149899995</v>
      </c>
      <c r="AS72" s="156">
        <f>AS6*Premissas!$H$37</f>
        <v>374.139318124</v>
      </c>
      <c r="AT72" s="156">
        <f>AT6*Premissas!$I$37</f>
        <v>368.927286960375</v>
      </c>
      <c r="AU72" s="156">
        <f>AU6*Premissas!$I$37</f>
        <v>380.70976754025003</v>
      </c>
      <c r="AV72" s="156">
        <f>AV6*Premissas!$I$37</f>
        <v>339.24501082687505</v>
      </c>
      <c r="AW72" s="156">
        <f>AW6*Premissas!$I$37</f>
        <v>389.11442637375006</v>
      </c>
      <c r="AX72" s="156">
        <f>AX6*Premissas!$I$37</f>
        <v>388.26332168175003</v>
      </c>
      <c r="AY72" s="156">
        <f>AY6*Premissas!$I$37</f>
        <v>363.36850944075002</v>
      </c>
      <c r="AZ72" s="156">
        <f>AZ6*Premissas!$J$37</f>
        <v>328.12758877273319</v>
      </c>
      <c r="BA72" s="156">
        <f>BA6*Premissas!$J$37</f>
        <v>345.3821405817356</v>
      </c>
      <c r="BB72" s="156">
        <f>BB6*Premissas!$J$37</f>
        <v>414.6120601098807</v>
      </c>
      <c r="BC72" s="156">
        <f>BC6*Premissas!$J$37</f>
        <v>389.04780083457945</v>
      </c>
      <c r="BD72" s="156">
        <f>BD6*Premissas!$J$37</f>
        <v>399.81866369694751</v>
      </c>
      <c r="BE72" s="156">
        <f>BE6*Premissas!$J$37</f>
        <v>386.58664543851006</v>
      </c>
      <c r="BF72" s="156">
        <f>BF6*Premissas!$K$37</f>
        <v>462.2522265877588</v>
      </c>
      <c r="BG72" s="156">
        <f>BG6*Premissas!$K$37</f>
        <v>477.01523836617247</v>
      </c>
      <c r="BH72" s="156">
        <f>BH6*Premissas!$K$37</f>
        <v>425.06143393604373</v>
      </c>
      <c r="BI72" s="156">
        <f>BI6*Premissas!$K$37</f>
        <v>487.54596460088749</v>
      </c>
      <c r="BJ72" s="156">
        <f>BJ6*Premissas!$K$37</f>
        <v>486.47956194420755</v>
      </c>
      <c r="BK72" s="156">
        <f>BK6*Premissas!$K$37</f>
        <v>455.28728423631753</v>
      </c>
      <c r="BL72" s="156">
        <f>BL6*Premissas!$L$37</f>
        <v>3350.3607209686984</v>
      </c>
      <c r="BM72" s="156">
        <f>BM6*Premissas!$L$37</f>
        <v>3526.5390571306139</v>
      </c>
      <c r="BN72" s="156">
        <f>BN6*Premissas!$L$37</f>
        <v>4233.4140991544964</v>
      </c>
      <c r="BO72" s="156">
        <f>BO6*Premissas!$L$37</f>
        <v>3972.3891409759531</v>
      </c>
      <c r="BP72" s="156">
        <f>BP6*Premissas!$L$37</f>
        <v>4082.3654949911361</v>
      </c>
      <c r="BQ72" s="156">
        <f>BQ6*Premissas!$L$37</f>
        <v>3947.2594089773975</v>
      </c>
      <c r="BR72" s="156">
        <f>BR6*Premissas!$M$37</f>
        <v>3780.0275301255288</v>
      </c>
      <c r="BS72" s="156">
        <f>BS6*Premissas!$M$37</f>
        <v>3900.7507797719577</v>
      </c>
      <c r="BT72" s="156">
        <f>BT6*Premissas!$M$37</f>
        <v>3475.9030456889282</v>
      </c>
      <c r="BU72" s="156">
        <f>BU6*Premissas!$M$37</f>
        <v>3986.8648810998839</v>
      </c>
      <c r="BV72" s="156">
        <f>BV6*Premissas!$M$37</f>
        <v>3978.1444657755374</v>
      </c>
      <c r="BW72" s="156">
        <f>BW6*Premissas!$M$37</f>
        <v>3723.0723175383878</v>
      </c>
      <c r="BX72" s="156">
        <f>BX6*Premissas!$N$37</f>
        <v>3340.7328565848866</v>
      </c>
      <c r="BY72" s="156">
        <f>BY6*Premissas!$N$37</f>
        <v>3516.4049125969309</v>
      </c>
      <c r="BZ72" s="156">
        <f>BZ6*Premissas!$N$37</f>
        <v>4221.2486219949524</v>
      </c>
      <c r="CA72" s="156">
        <f>CA6*Premissas!$N$37</f>
        <v>3960.9737660016463</v>
      </c>
      <c r="CB72" s="156">
        <f>CB6*Premissas!$N$37</f>
        <v>4070.6340831748103</v>
      </c>
      <c r="CC72" s="156">
        <f>CC6*Premissas!$N$37</f>
        <v>3935.9162488097445</v>
      </c>
      <c r="CD72" s="156">
        <f>CD6*Premissas!$O$37</f>
        <v>3768.9382519908477</v>
      </c>
      <c r="CE72" s="156">
        <f>CE6*Premissas!$O$37</f>
        <v>3889.3073418641043</v>
      </c>
      <c r="CF72" s="156">
        <f>CF6*Premissas!$O$37</f>
        <v>3465.7059623778573</v>
      </c>
      <c r="CG72" s="156">
        <f>CG6*Premissas!$O$37</f>
        <v>3975.1688145502198</v>
      </c>
      <c r="CH72" s="156">
        <f>CH6*Premissas!$O$37</f>
        <v>3966.4739818731446</v>
      </c>
      <c r="CI72" s="156">
        <f>CI6*Premissas!$O$37</f>
        <v>3712.1501260687019</v>
      </c>
      <c r="CJ72" s="156">
        <f>CJ6*Premissas!$P$37</f>
        <v>3331.0827945044389</v>
      </c>
      <c r="CK72" s="156">
        <f>CK6*Premissas!$P$37</f>
        <v>3506.2474031032684</v>
      </c>
      <c r="CL72" s="156">
        <f>CL6*Premissas!$P$37</f>
        <v>4209.0550964998019</v>
      </c>
      <c r="CM72" s="156">
        <f>CM6*Premissas!$P$37</f>
        <v>3949.5320721033754</v>
      </c>
      <c r="CN72" s="156">
        <f>CN6*Premissas!$P$37</f>
        <v>4058.8756237900693</v>
      </c>
      <c r="CO72" s="156">
        <f>CO6*Premissas!$P$37</f>
        <v>3924.5469362142785</v>
      </c>
      <c r="CP72" s="156">
        <f>CP6*Premissas!$Q$37</f>
        <v>3757.8265270122729</v>
      </c>
      <c r="CQ72" s="156">
        <f>CQ6*Premissas!$Q$37</f>
        <v>3877.8407402244738</v>
      </c>
      <c r="CR72" s="156">
        <f>CR6*Premissas!$Q$37</f>
        <v>3455.48823819779</v>
      </c>
      <c r="CS72" s="156">
        <f>CS6*Premissas!$Q$37</f>
        <v>3963.4490728995424</v>
      </c>
      <c r="CT72" s="156">
        <f>CT6*Premissas!$Q$37</f>
        <v>3954.7798746539661</v>
      </c>
      <c r="CU72" s="156">
        <f>CU6*Premissas!$Q$37</f>
        <v>3701.2058259708506</v>
      </c>
      <c r="CV72" s="156">
        <f>CV6*Premissas!$R$37</f>
        <v>3321.4099798242391</v>
      </c>
      <c r="CW72" s="156">
        <f>CW6*Premissas!$R$37</f>
        <v>3496.0659445669921</v>
      </c>
      <c r="CX72" s="156">
        <f>CX6*Premissas!$R$37</f>
        <v>4196.832821510312</v>
      </c>
      <c r="CY72" s="156">
        <f>CY6*Premissas!$R$37</f>
        <v>3938.0634013546369</v>
      </c>
      <c r="CZ72" s="156">
        <f>CZ6*Premissas!$R$37</f>
        <v>4047.0894406955886</v>
      </c>
      <c r="DA72" s="156">
        <f>DA6*Premissas!$R$37</f>
        <v>3913.150817426606</v>
      </c>
      <c r="DB72" s="156">
        <f>DB6*Premissas!$S$37</f>
        <v>0</v>
      </c>
      <c r="DC72" s="156">
        <f>DC6*Premissas!$S$37</f>
        <v>0</v>
      </c>
      <c r="DD72" s="156">
        <f>DD6*Premissas!$S$37</f>
        <v>0</v>
      </c>
      <c r="DE72" s="156">
        <f>DE6*Premissas!$S$37</f>
        <v>0</v>
      </c>
      <c r="DF72" s="156">
        <f>DF6*Premissas!$S$37</f>
        <v>0</v>
      </c>
      <c r="DG72" s="156">
        <f>DG6*Premissas!$S$37</f>
        <v>0</v>
      </c>
      <c r="DH72" s="156">
        <f>DH6*Premissas!$T$37</f>
        <v>0</v>
      </c>
      <c r="DI72" s="156">
        <f>DI6*Premissas!$T$37</f>
        <v>0</v>
      </c>
      <c r="DJ72" s="156">
        <f>DJ6*Premissas!$T$37</f>
        <v>0</v>
      </c>
      <c r="DK72" s="156">
        <f>DK6*Premissas!$T$37</f>
        <v>0</v>
      </c>
      <c r="DL72" s="156">
        <f>DL6*Premissas!$T$37</f>
        <v>0</v>
      </c>
      <c r="DM72" s="156">
        <f>DM6*Premissas!$T$37</f>
        <v>0</v>
      </c>
      <c r="DN72" s="156">
        <f>DN6*Premissas!$U$37</f>
        <v>0</v>
      </c>
      <c r="DO72" s="156">
        <f>DO6*Premissas!$U$37</f>
        <v>0</v>
      </c>
      <c r="DP72" s="156">
        <f>DP6*Premissas!$U$37</f>
        <v>0</v>
      </c>
      <c r="DQ72" s="156">
        <f>DQ6*Premissas!$U$37</f>
        <v>0</v>
      </c>
      <c r="DR72" s="156">
        <f>DR6*Premissas!$U$37</f>
        <v>0</v>
      </c>
      <c r="DS72" s="156">
        <f>DS6*Premissas!$U$37</f>
        <v>0</v>
      </c>
    </row>
    <row r="73" spans="1:123" ht="12.75" customHeight="1" x14ac:dyDescent="0.35">
      <c r="A73" s="146" t="s">
        <v>492</v>
      </c>
      <c r="B73" s="139">
        <f>AA73</f>
        <v>3448.6297499999996</v>
      </c>
      <c r="C73" s="139" t="s">
        <v>169</v>
      </c>
      <c r="D73" s="139">
        <f>0</f>
        <v>0</v>
      </c>
      <c r="E73" s="139">
        <f t="shared" ref="E73:AJ73" si="102">D75</f>
        <v>0</v>
      </c>
      <c r="F73" s="139">
        <f t="shared" si="102"/>
        <v>0</v>
      </c>
      <c r="G73" s="139">
        <f t="shared" si="102"/>
        <v>67.010999999999967</v>
      </c>
      <c r="H73" s="139">
        <f t="shared" si="102"/>
        <v>102.14399999999995</v>
      </c>
      <c r="I73" s="139">
        <f t="shared" si="102"/>
        <v>407.54399999999993</v>
      </c>
      <c r="J73" s="139">
        <f t="shared" si="102"/>
        <v>687.94399999999996</v>
      </c>
      <c r="K73" s="139">
        <f t="shared" si="102"/>
        <v>931.49400000000003</v>
      </c>
      <c r="L73" s="139">
        <f t="shared" si="102"/>
        <v>1182.6154999999999</v>
      </c>
      <c r="M73" s="139">
        <f t="shared" si="102"/>
        <v>1356.1767499999999</v>
      </c>
      <c r="N73" s="139">
        <f t="shared" si="102"/>
        <v>1623.0192499999998</v>
      </c>
      <c r="O73" s="139">
        <f t="shared" si="102"/>
        <v>1743.0196499999997</v>
      </c>
      <c r="P73" s="139">
        <f t="shared" si="102"/>
        <v>1825.7672499999999</v>
      </c>
      <c r="Q73" s="139">
        <f t="shared" si="102"/>
        <v>1858.2474499999998</v>
      </c>
      <c r="R73" s="139">
        <f t="shared" si="102"/>
        <v>1916.6772499999997</v>
      </c>
      <c r="S73" s="139">
        <f t="shared" si="102"/>
        <v>2079.2238499999999</v>
      </c>
      <c r="T73" s="139">
        <f t="shared" si="102"/>
        <v>2203.3236499999998</v>
      </c>
      <c r="U73" s="139">
        <f t="shared" si="102"/>
        <v>2418.7843499999999</v>
      </c>
      <c r="V73" s="139">
        <f t="shared" si="102"/>
        <v>2611.8575499999997</v>
      </c>
      <c r="W73" s="139">
        <f t="shared" si="102"/>
        <v>2771.9315749999996</v>
      </c>
      <c r="X73" s="139">
        <f t="shared" si="102"/>
        <v>2951.8409249999995</v>
      </c>
      <c r="Y73" s="139">
        <f t="shared" si="102"/>
        <v>3061.9460499999996</v>
      </c>
      <c r="Z73" s="139">
        <f t="shared" si="102"/>
        <v>3256.0042999999996</v>
      </c>
      <c r="AA73" s="139">
        <f t="shared" si="102"/>
        <v>3448.6297499999996</v>
      </c>
      <c r="AB73" s="139">
        <f t="shared" si="102"/>
        <v>3599.3457999999996</v>
      </c>
      <c r="AC73" s="139">
        <f t="shared" si="102"/>
        <v>3445.5041193499997</v>
      </c>
      <c r="AD73" s="139">
        <f t="shared" si="102"/>
        <v>3308.4453424999997</v>
      </c>
      <c r="AE73" s="139">
        <f t="shared" si="102"/>
        <v>3238.7241060499996</v>
      </c>
      <c r="AF73" s="139">
        <f t="shared" si="102"/>
        <v>3144.1374016999994</v>
      </c>
      <c r="AG73" s="139">
        <f t="shared" si="102"/>
        <v>3060.0271418999992</v>
      </c>
      <c r="AH73" s="139">
        <f t="shared" si="102"/>
        <v>2963.0465570999991</v>
      </c>
      <c r="AI73" s="139">
        <f t="shared" si="102"/>
        <v>2860.8277500249992</v>
      </c>
      <c r="AJ73" s="139">
        <f t="shared" si="102"/>
        <v>2759.4506319749994</v>
      </c>
      <c r="AK73" s="139">
        <f t="shared" ref="AK73:BP73" si="103">AJ75</f>
        <v>2616.4003915999992</v>
      </c>
      <c r="AL73" s="139">
        <f t="shared" si="103"/>
        <v>2523.4701668499993</v>
      </c>
      <c r="AM73" s="139">
        <f t="shared" si="103"/>
        <v>2429.6845604999994</v>
      </c>
      <c r="AN73" s="139">
        <f t="shared" si="103"/>
        <v>2310.8790423499995</v>
      </c>
      <c r="AO73" s="139">
        <f t="shared" si="103"/>
        <v>2143.4415701032494</v>
      </c>
      <c r="AP73" s="139">
        <f t="shared" si="103"/>
        <v>1992.7030871374993</v>
      </c>
      <c r="AQ73" s="139">
        <f t="shared" si="103"/>
        <v>1908.9654568697492</v>
      </c>
      <c r="AR73" s="139">
        <f t="shared" si="103"/>
        <v>1800.4866860414993</v>
      </c>
      <c r="AS73" s="139">
        <f t="shared" si="103"/>
        <v>1702.4319775404992</v>
      </c>
      <c r="AT73" s="139">
        <f t="shared" si="103"/>
        <v>1591.5712956644993</v>
      </c>
      <c r="AU73" s="139">
        <f t="shared" si="103"/>
        <v>1475.4985826248744</v>
      </c>
      <c r="AV73" s="139">
        <f t="shared" si="103"/>
        <v>1360.2083501651246</v>
      </c>
      <c r="AW73" s="139">
        <f t="shared" si="103"/>
        <v>1203.4533609919995</v>
      </c>
      <c r="AX73" s="139">
        <f t="shared" si="103"/>
        <v>1096.5677873657496</v>
      </c>
      <c r="AY73" s="139">
        <f t="shared" si="103"/>
        <v>988.83110904749969</v>
      </c>
      <c r="AZ73" s="139">
        <f t="shared" si="103"/>
        <v>856.19961848824971</v>
      </c>
      <c r="BA73" s="139">
        <f t="shared" si="103"/>
        <v>687.32720726098296</v>
      </c>
      <c r="BB73" s="139">
        <f t="shared" si="103"/>
        <v>535.70934784271856</v>
      </c>
      <c r="BC73" s="139">
        <f t="shared" si="103"/>
        <v>453.32140795259926</v>
      </c>
      <c r="BD73" s="139">
        <f t="shared" si="103"/>
        <v>345.36920878717871</v>
      </c>
      <c r="BE73" s="139">
        <f t="shared" si="103"/>
        <v>248.18787248412622</v>
      </c>
      <c r="BF73" s="139">
        <f t="shared" si="103"/>
        <v>137.77451792263628</v>
      </c>
      <c r="BG73" s="139">
        <f t="shared" si="103"/>
        <v>103.02674451039508</v>
      </c>
      <c r="BH73" s="139">
        <f t="shared" si="103"/>
        <v>71.041982876567545</v>
      </c>
      <c r="BI73" s="139">
        <f t="shared" si="103"/>
        <v>0</v>
      </c>
      <c r="BJ73" s="139">
        <f t="shared" si="103"/>
        <v>0</v>
      </c>
      <c r="BK73" s="139">
        <f t="shared" si="103"/>
        <v>0</v>
      </c>
      <c r="BL73" s="139">
        <f t="shared" si="103"/>
        <v>0</v>
      </c>
      <c r="BM73" s="139">
        <f t="shared" si="103"/>
        <v>2841.3607209686984</v>
      </c>
      <c r="BN73" s="139">
        <f t="shared" si="103"/>
        <v>5858.8997780993122</v>
      </c>
      <c r="BO73" s="139">
        <f t="shared" si="103"/>
        <v>9583.3138772538077</v>
      </c>
      <c r="BP73" s="139">
        <f t="shared" si="103"/>
        <v>13046.70301822976</v>
      </c>
      <c r="BQ73" s="139">
        <f t="shared" ref="BQ73:CV73" si="104">BP75</f>
        <v>16620.068513220896</v>
      </c>
      <c r="BR73" s="139">
        <f t="shared" si="104"/>
        <v>20058.327922198296</v>
      </c>
      <c r="BS73" s="139">
        <f t="shared" si="104"/>
        <v>23329.355452323824</v>
      </c>
      <c r="BT73" s="139">
        <f t="shared" si="104"/>
        <v>26708.106232095783</v>
      </c>
      <c r="BU73" s="139">
        <f t="shared" si="104"/>
        <v>29662.009277784709</v>
      </c>
      <c r="BV73" s="139">
        <f t="shared" si="104"/>
        <v>33126.874158884595</v>
      </c>
      <c r="BW73" s="139">
        <f t="shared" si="104"/>
        <v>36583.01862466013</v>
      </c>
      <c r="BX73" s="139">
        <f t="shared" si="104"/>
        <v>39784.09094219852</v>
      </c>
      <c r="BY73" s="139">
        <f t="shared" si="104"/>
        <v>42602.823798783407</v>
      </c>
      <c r="BZ73" s="139">
        <f t="shared" si="104"/>
        <v>45597.22871138034</v>
      </c>
      <c r="CA73" s="139">
        <f t="shared" si="104"/>
        <v>49296.477333375289</v>
      </c>
      <c r="CB73" s="139">
        <f t="shared" si="104"/>
        <v>52735.451099376936</v>
      </c>
      <c r="CC73" s="139">
        <f t="shared" si="104"/>
        <v>56284.085182551746</v>
      </c>
      <c r="CD73" s="139">
        <f t="shared" si="104"/>
        <v>59698.001431361488</v>
      </c>
      <c r="CE73" s="139">
        <f t="shared" si="104"/>
        <v>62944.939683352335</v>
      </c>
      <c r="CF73" s="139">
        <f t="shared" si="104"/>
        <v>66299.247025216435</v>
      </c>
      <c r="CG73" s="139">
        <f t="shared" si="104"/>
        <v>69229.952987594297</v>
      </c>
      <c r="CH73" s="139">
        <f t="shared" si="104"/>
        <v>72670.121802144524</v>
      </c>
      <c r="CI73" s="139">
        <f t="shared" si="104"/>
        <v>76101.595784017671</v>
      </c>
      <c r="CJ73" s="139">
        <f t="shared" si="104"/>
        <v>79278.745910086378</v>
      </c>
      <c r="CK73" s="139">
        <f t="shared" si="104"/>
        <v>82074.828704590822</v>
      </c>
      <c r="CL73" s="139">
        <f t="shared" si="104"/>
        <v>85046.076107694083</v>
      </c>
      <c r="CM73" s="139">
        <f t="shared" si="104"/>
        <v>88720.13120419388</v>
      </c>
      <c r="CN73" s="139">
        <f t="shared" si="104"/>
        <v>92134.663276297259</v>
      </c>
      <c r="CO73" s="139">
        <f t="shared" si="104"/>
        <v>95658.538900087326</v>
      </c>
      <c r="CP73" s="139">
        <f t="shared" si="104"/>
        <v>99048.085836301601</v>
      </c>
      <c r="CQ73" s="139">
        <f t="shared" si="104"/>
        <v>102270.91236331388</v>
      </c>
      <c r="CR73" s="139">
        <f t="shared" si="104"/>
        <v>105600.75310353836</v>
      </c>
      <c r="CS73" s="139">
        <f t="shared" si="104"/>
        <v>108508.24134173615</v>
      </c>
      <c r="CT73" s="139">
        <f t="shared" si="104"/>
        <v>111923.6904146357</v>
      </c>
      <c r="CU73" s="139">
        <f t="shared" si="104"/>
        <v>115330.47028928966</v>
      </c>
      <c r="CV73" s="139">
        <f t="shared" si="104"/>
        <v>118483.67611526052</v>
      </c>
      <c r="CW73" s="139">
        <f t="shared" ref="CW73:DS73" si="105">CV75</f>
        <v>121257.08609508476</v>
      </c>
      <c r="CX73" s="139">
        <f t="shared" si="105"/>
        <v>124205.15203965174</v>
      </c>
      <c r="CY73" s="139">
        <f t="shared" si="105"/>
        <v>127853.98486116205</v>
      </c>
      <c r="CZ73" s="139">
        <f t="shared" si="105"/>
        <v>131244.04826251668</v>
      </c>
      <c r="DA73" s="139">
        <f t="shared" si="105"/>
        <v>134743.13770321227</v>
      </c>
      <c r="DB73" s="139">
        <f t="shared" si="105"/>
        <v>138108.28852063889</v>
      </c>
      <c r="DC73" s="139">
        <f t="shared" si="105"/>
        <v>137560.28852063889</v>
      </c>
      <c r="DD73" s="139">
        <f t="shared" si="105"/>
        <v>136998.28852063889</v>
      </c>
      <c r="DE73" s="139">
        <f t="shared" si="105"/>
        <v>136436.28852063889</v>
      </c>
      <c r="DF73" s="139">
        <f t="shared" si="105"/>
        <v>135874.28852063889</v>
      </c>
      <c r="DG73" s="139">
        <f t="shared" si="105"/>
        <v>135312.28852063889</v>
      </c>
      <c r="DH73" s="139">
        <f t="shared" si="105"/>
        <v>134750.28852063889</v>
      </c>
      <c r="DI73" s="139">
        <f t="shared" si="105"/>
        <v>134188.28852063889</v>
      </c>
      <c r="DJ73" s="139">
        <f t="shared" si="105"/>
        <v>133626.28852063889</v>
      </c>
      <c r="DK73" s="139">
        <f t="shared" si="105"/>
        <v>133064.28852063889</v>
      </c>
      <c r="DL73" s="139">
        <f t="shared" si="105"/>
        <v>132502.28852063889</v>
      </c>
      <c r="DM73" s="139">
        <f t="shared" si="105"/>
        <v>131940.28852063889</v>
      </c>
      <c r="DN73" s="139">
        <f t="shared" si="105"/>
        <v>131378.28852063889</v>
      </c>
      <c r="DO73" s="139">
        <f t="shared" si="105"/>
        <v>130816.28852063889</v>
      </c>
      <c r="DP73" s="139">
        <f t="shared" si="105"/>
        <v>130240.28852063889</v>
      </c>
      <c r="DQ73" s="139">
        <f t="shared" si="105"/>
        <v>129664.28852063889</v>
      </c>
      <c r="DR73" s="139">
        <f t="shared" si="105"/>
        <v>129088.28852063889</v>
      </c>
      <c r="DS73" s="139">
        <f t="shared" si="105"/>
        <v>128512.28852063889</v>
      </c>
    </row>
    <row r="74" spans="1:123" ht="12.75" customHeight="1" x14ac:dyDescent="0.35">
      <c r="A74" s="146" t="s">
        <v>493</v>
      </c>
      <c r="B74" s="139">
        <f>SUM(D74:BQ74)</f>
        <v>3599.3457999999991</v>
      </c>
      <c r="C74" s="139">
        <f>B74/60</f>
        <v>59.989096666666654</v>
      </c>
      <c r="D74" s="139">
        <f t="shared" ref="D74:AI74" si="106">MIN(D73,MAX(D71-D72,0))</f>
        <v>0</v>
      </c>
      <c r="E74" s="139">
        <f t="shared" si="106"/>
        <v>0</v>
      </c>
      <c r="F74" s="139">
        <f t="shared" si="106"/>
        <v>0</v>
      </c>
      <c r="G74" s="139">
        <f t="shared" si="106"/>
        <v>0</v>
      </c>
      <c r="H74" s="139">
        <f t="shared" si="106"/>
        <v>0</v>
      </c>
      <c r="I74" s="139">
        <f t="shared" si="106"/>
        <v>0</v>
      </c>
      <c r="J74" s="139">
        <f t="shared" si="106"/>
        <v>0</v>
      </c>
      <c r="K74" s="139">
        <f t="shared" si="106"/>
        <v>0</v>
      </c>
      <c r="L74" s="139">
        <f t="shared" si="106"/>
        <v>0</v>
      </c>
      <c r="M74" s="139">
        <f t="shared" si="106"/>
        <v>0</v>
      </c>
      <c r="N74" s="139">
        <f t="shared" si="106"/>
        <v>0</v>
      </c>
      <c r="O74" s="139">
        <f t="shared" si="106"/>
        <v>0</v>
      </c>
      <c r="P74" s="139">
        <f t="shared" si="106"/>
        <v>0</v>
      </c>
      <c r="Q74" s="139">
        <f t="shared" si="106"/>
        <v>0</v>
      </c>
      <c r="R74" s="139">
        <f t="shared" si="106"/>
        <v>0</v>
      </c>
      <c r="S74" s="139">
        <f t="shared" si="106"/>
        <v>0</v>
      </c>
      <c r="T74" s="139">
        <f t="shared" si="106"/>
        <v>0</v>
      </c>
      <c r="U74" s="139">
        <f t="shared" si="106"/>
        <v>0</v>
      </c>
      <c r="V74" s="139">
        <f t="shared" si="106"/>
        <v>0</v>
      </c>
      <c r="W74" s="139">
        <f t="shared" si="106"/>
        <v>0</v>
      </c>
      <c r="X74" s="139">
        <f t="shared" si="106"/>
        <v>0</v>
      </c>
      <c r="Y74" s="139">
        <f t="shared" si="106"/>
        <v>0</v>
      </c>
      <c r="Z74" s="139">
        <f t="shared" si="106"/>
        <v>0</v>
      </c>
      <c r="AA74" s="139">
        <f t="shared" si="106"/>
        <v>0</v>
      </c>
      <c r="AB74" s="139">
        <f t="shared" si="106"/>
        <v>153.84168065</v>
      </c>
      <c r="AC74" s="139">
        <f t="shared" si="106"/>
        <v>137.05877685000007</v>
      </c>
      <c r="AD74" s="139">
        <f t="shared" si="106"/>
        <v>69.721236449999935</v>
      </c>
      <c r="AE74" s="139">
        <f t="shared" si="106"/>
        <v>94.586704350000048</v>
      </c>
      <c r="AF74" s="139">
        <f t="shared" si="106"/>
        <v>84.110259799999994</v>
      </c>
      <c r="AG74" s="139">
        <f t="shared" si="106"/>
        <v>96.980584799999974</v>
      </c>
      <c r="AH74" s="139">
        <f t="shared" si="106"/>
        <v>102.21880707499997</v>
      </c>
      <c r="AI74" s="139">
        <f t="shared" si="106"/>
        <v>101.37711804999998</v>
      </c>
      <c r="AJ74" s="139">
        <f t="shared" ref="AJ74:BO74" si="107">MIN(AJ73,MAX(AJ71-AJ72,0))</f>
        <v>143.05024037499999</v>
      </c>
      <c r="AK74" s="139">
        <f t="shared" si="107"/>
        <v>92.930224749999979</v>
      </c>
      <c r="AL74" s="139">
        <f t="shared" si="107"/>
        <v>93.785606349999966</v>
      </c>
      <c r="AM74" s="139">
        <f t="shared" si="107"/>
        <v>118.8055181499999</v>
      </c>
      <c r="AN74" s="139">
        <f t="shared" si="107"/>
        <v>167.43747224675002</v>
      </c>
      <c r="AO74" s="139">
        <f t="shared" si="107"/>
        <v>150.73848296575005</v>
      </c>
      <c r="AP74" s="139">
        <f t="shared" si="107"/>
        <v>83.737630267750035</v>
      </c>
      <c r="AQ74" s="139">
        <f t="shared" si="107"/>
        <v>108.47877082824999</v>
      </c>
      <c r="AR74" s="139">
        <f t="shared" si="107"/>
        <v>98.05470850100005</v>
      </c>
      <c r="AS74" s="139">
        <f t="shared" si="107"/>
        <v>110.860681876</v>
      </c>
      <c r="AT74" s="139">
        <f t="shared" si="107"/>
        <v>116.072713039625</v>
      </c>
      <c r="AU74" s="139">
        <f t="shared" si="107"/>
        <v>115.29023245974997</v>
      </c>
      <c r="AV74" s="139">
        <f t="shared" si="107"/>
        <v>156.75498917312495</v>
      </c>
      <c r="AW74" s="139">
        <f t="shared" si="107"/>
        <v>106.88557362624994</v>
      </c>
      <c r="AX74" s="139">
        <f t="shared" si="107"/>
        <v>107.73667831824997</v>
      </c>
      <c r="AY74" s="139">
        <f t="shared" si="107"/>
        <v>132.63149055924998</v>
      </c>
      <c r="AZ74" s="139">
        <f t="shared" si="107"/>
        <v>168.87241122726681</v>
      </c>
      <c r="BA74" s="139">
        <f t="shared" si="107"/>
        <v>151.6178594182644</v>
      </c>
      <c r="BB74" s="139">
        <f t="shared" si="107"/>
        <v>82.387939890119299</v>
      </c>
      <c r="BC74" s="139">
        <f t="shared" si="107"/>
        <v>107.95219916542055</v>
      </c>
      <c r="BD74" s="139">
        <f t="shared" si="107"/>
        <v>97.18133630305249</v>
      </c>
      <c r="BE74" s="139">
        <f t="shared" si="107"/>
        <v>110.41335456148994</v>
      </c>
      <c r="BF74" s="139">
        <f t="shared" si="107"/>
        <v>34.747773412241202</v>
      </c>
      <c r="BG74" s="139">
        <f t="shared" si="107"/>
        <v>31.984761633827532</v>
      </c>
      <c r="BH74" s="139">
        <f t="shared" si="107"/>
        <v>71.041982876567545</v>
      </c>
      <c r="BI74" s="139">
        <f t="shared" si="107"/>
        <v>0</v>
      </c>
      <c r="BJ74" s="139">
        <f t="shared" si="107"/>
        <v>0</v>
      </c>
      <c r="BK74" s="139">
        <f t="shared" si="107"/>
        <v>0</v>
      </c>
      <c r="BL74" s="139">
        <f t="shared" si="107"/>
        <v>0</v>
      </c>
      <c r="BM74" s="139">
        <f t="shared" si="107"/>
        <v>0</v>
      </c>
      <c r="BN74" s="139">
        <f t="shared" si="107"/>
        <v>0</v>
      </c>
      <c r="BO74" s="139">
        <f t="shared" si="107"/>
        <v>0</v>
      </c>
      <c r="BP74" s="139">
        <f t="shared" ref="BP74:CU74" si="108">MIN(BP73,MAX(BP71-BP72,0))</f>
        <v>0</v>
      </c>
      <c r="BQ74" s="139">
        <f t="shared" si="108"/>
        <v>0</v>
      </c>
      <c r="BR74" s="139">
        <f t="shared" si="108"/>
        <v>0</v>
      </c>
      <c r="BS74" s="139">
        <f t="shared" si="108"/>
        <v>0</v>
      </c>
      <c r="BT74" s="139">
        <f t="shared" si="108"/>
        <v>0</v>
      </c>
      <c r="BU74" s="139">
        <f t="shared" si="108"/>
        <v>0</v>
      </c>
      <c r="BV74" s="139">
        <f t="shared" si="108"/>
        <v>0</v>
      </c>
      <c r="BW74" s="139">
        <f t="shared" si="108"/>
        <v>0</v>
      </c>
      <c r="BX74" s="139">
        <f t="shared" si="108"/>
        <v>0</v>
      </c>
      <c r="BY74" s="139">
        <f t="shared" si="108"/>
        <v>0</v>
      </c>
      <c r="BZ74" s="139">
        <f t="shared" si="108"/>
        <v>0</v>
      </c>
      <c r="CA74" s="139">
        <f t="shared" si="108"/>
        <v>0</v>
      </c>
      <c r="CB74" s="139">
        <f t="shared" si="108"/>
        <v>0</v>
      </c>
      <c r="CC74" s="139">
        <f t="shared" si="108"/>
        <v>0</v>
      </c>
      <c r="CD74" s="139">
        <f t="shared" si="108"/>
        <v>0</v>
      </c>
      <c r="CE74" s="139">
        <f t="shared" si="108"/>
        <v>0</v>
      </c>
      <c r="CF74" s="139">
        <f t="shared" si="108"/>
        <v>0</v>
      </c>
      <c r="CG74" s="139">
        <f t="shared" si="108"/>
        <v>0</v>
      </c>
      <c r="CH74" s="139">
        <f t="shared" si="108"/>
        <v>0</v>
      </c>
      <c r="CI74" s="139">
        <f t="shared" si="108"/>
        <v>0</v>
      </c>
      <c r="CJ74" s="139">
        <f t="shared" si="108"/>
        <v>0</v>
      </c>
      <c r="CK74" s="139">
        <f t="shared" si="108"/>
        <v>0</v>
      </c>
      <c r="CL74" s="139">
        <f t="shared" si="108"/>
        <v>0</v>
      </c>
      <c r="CM74" s="139">
        <f t="shared" si="108"/>
        <v>0</v>
      </c>
      <c r="CN74" s="139">
        <f t="shared" si="108"/>
        <v>0</v>
      </c>
      <c r="CO74" s="139">
        <f t="shared" si="108"/>
        <v>0</v>
      </c>
      <c r="CP74" s="139">
        <f t="shared" si="108"/>
        <v>0</v>
      </c>
      <c r="CQ74" s="139">
        <f t="shared" si="108"/>
        <v>0</v>
      </c>
      <c r="CR74" s="139">
        <f t="shared" si="108"/>
        <v>0</v>
      </c>
      <c r="CS74" s="139">
        <f t="shared" si="108"/>
        <v>0</v>
      </c>
      <c r="CT74" s="139">
        <f t="shared" si="108"/>
        <v>0</v>
      </c>
      <c r="CU74" s="139">
        <f t="shared" si="108"/>
        <v>0</v>
      </c>
      <c r="CV74" s="139">
        <f t="shared" ref="CV74:DS74" si="109">MIN(CV73,MAX(CV71-CV72,0))</f>
        <v>0</v>
      </c>
      <c r="CW74" s="139">
        <f t="shared" si="109"/>
        <v>0</v>
      </c>
      <c r="CX74" s="139">
        <f t="shared" si="109"/>
        <v>0</v>
      </c>
      <c r="CY74" s="139">
        <f t="shared" si="109"/>
        <v>0</v>
      </c>
      <c r="CZ74" s="139">
        <f t="shared" si="109"/>
        <v>0</v>
      </c>
      <c r="DA74" s="139">
        <f t="shared" si="109"/>
        <v>0</v>
      </c>
      <c r="DB74" s="139">
        <f t="shared" si="109"/>
        <v>548</v>
      </c>
      <c r="DC74" s="139">
        <f t="shared" si="109"/>
        <v>562</v>
      </c>
      <c r="DD74" s="139">
        <f t="shared" si="109"/>
        <v>562</v>
      </c>
      <c r="DE74" s="139">
        <f t="shared" si="109"/>
        <v>562</v>
      </c>
      <c r="DF74" s="139">
        <f t="shared" si="109"/>
        <v>562</v>
      </c>
      <c r="DG74" s="139">
        <f t="shared" si="109"/>
        <v>562</v>
      </c>
      <c r="DH74" s="139">
        <f t="shared" si="109"/>
        <v>562</v>
      </c>
      <c r="DI74" s="139">
        <f t="shared" si="109"/>
        <v>562</v>
      </c>
      <c r="DJ74" s="139">
        <f t="shared" si="109"/>
        <v>562</v>
      </c>
      <c r="DK74" s="139">
        <f t="shared" si="109"/>
        <v>562</v>
      </c>
      <c r="DL74" s="139">
        <f t="shared" si="109"/>
        <v>562</v>
      </c>
      <c r="DM74" s="139">
        <f t="shared" si="109"/>
        <v>562</v>
      </c>
      <c r="DN74" s="139">
        <f t="shared" si="109"/>
        <v>562</v>
      </c>
      <c r="DO74" s="139">
        <f t="shared" si="109"/>
        <v>576</v>
      </c>
      <c r="DP74" s="139">
        <f t="shared" si="109"/>
        <v>576</v>
      </c>
      <c r="DQ74" s="139">
        <f t="shared" si="109"/>
        <v>576</v>
      </c>
      <c r="DR74" s="139">
        <f t="shared" si="109"/>
        <v>576</v>
      </c>
      <c r="DS74" s="139">
        <f t="shared" si="109"/>
        <v>576</v>
      </c>
    </row>
    <row r="75" spans="1:123" ht="13.5" customHeight="1" x14ac:dyDescent="0.35">
      <c r="A75" s="39" t="s">
        <v>494</v>
      </c>
      <c r="B75" s="41">
        <f>AA75</f>
        <v>3599.3457999999996</v>
      </c>
      <c r="C75" s="139" t="s">
        <v>169</v>
      </c>
      <c r="D75" s="157">
        <f t="shared" ref="D75:AI75" si="110">MAX(D73-D74,0)+MAX(D72-D71,0)</f>
        <v>0</v>
      </c>
      <c r="E75" s="157">
        <f t="shared" si="110"/>
        <v>0</v>
      </c>
      <c r="F75" s="157">
        <f t="shared" si="110"/>
        <v>67.010999999999967</v>
      </c>
      <c r="G75" s="157">
        <f t="shared" si="110"/>
        <v>102.14399999999995</v>
      </c>
      <c r="H75" s="157">
        <f t="shared" si="110"/>
        <v>407.54399999999993</v>
      </c>
      <c r="I75" s="157">
        <f t="shared" si="110"/>
        <v>687.94399999999996</v>
      </c>
      <c r="J75" s="157">
        <f t="shared" si="110"/>
        <v>931.49400000000003</v>
      </c>
      <c r="K75" s="157">
        <f t="shared" si="110"/>
        <v>1182.6154999999999</v>
      </c>
      <c r="L75" s="157">
        <f t="shared" si="110"/>
        <v>1356.1767499999999</v>
      </c>
      <c r="M75" s="157">
        <f t="shared" si="110"/>
        <v>1623.0192499999998</v>
      </c>
      <c r="N75" s="157">
        <f t="shared" si="110"/>
        <v>1743.0196499999997</v>
      </c>
      <c r="O75" s="157">
        <f t="shared" si="110"/>
        <v>1825.7672499999999</v>
      </c>
      <c r="P75" s="157">
        <f t="shared" si="110"/>
        <v>1858.2474499999998</v>
      </c>
      <c r="Q75" s="157">
        <f t="shared" si="110"/>
        <v>1916.6772499999997</v>
      </c>
      <c r="R75" s="157">
        <f t="shared" si="110"/>
        <v>2079.2238499999999</v>
      </c>
      <c r="S75" s="157">
        <f t="shared" si="110"/>
        <v>2203.3236499999998</v>
      </c>
      <c r="T75" s="157">
        <f t="shared" si="110"/>
        <v>2418.7843499999999</v>
      </c>
      <c r="U75" s="157">
        <f t="shared" si="110"/>
        <v>2611.8575499999997</v>
      </c>
      <c r="V75" s="157">
        <f t="shared" si="110"/>
        <v>2771.9315749999996</v>
      </c>
      <c r="W75" s="157">
        <f t="shared" si="110"/>
        <v>2951.8409249999995</v>
      </c>
      <c r="X75" s="157">
        <f t="shared" si="110"/>
        <v>3061.9460499999996</v>
      </c>
      <c r="Y75" s="157">
        <f t="shared" si="110"/>
        <v>3256.0042999999996</v>
      </c>
      <c r="Z75" s="157">
        <f t="shared" si="110"/>
        <v>3448.6297499999996</v>
      </c>
      <c r="AA75" s="157">
        <f t="shared" si="110"/>
        <v>3599.3457999999996</v>
      </c>
      <c r="AB75" s="157">
        <f t="shared" si="110"/>
        <v>3445.5041193499997</v>
      </c>
      <c r="AC75" s="157">
        <f t="shared" si="110"/>
        <v>3308.4453424999997</v>
      </c>
      <c r="AD75" s="157">
        <f t="shared" si="110"/>
        <v>3238.7241060499996</v>
      </c>
      <c r="AE75" s="157">
        <f t="shared" si="110"/>
        <v>3144.1374016999994</v>
      </c>
      <c r="AF75" s="157">
        <f t="shared" si="110"/>
        <v>3060.0271418999992</v>
      </c>
      <c r="AG75" s="157">
        <f t="shared" si="110"/>
        <v>2963.0465570999991</v>
      </c>
      <c r="AH75" s="157">
        <f t="shared" si="110"/>
        <v>2860.8277500249992</v>
      </c>
      <c r="AI75" s="157">
        <f t="shared" si="110"/>
        <v>2759.4506319749994</v>
      </c>
      <c r="AJ75" s="157">
        <f t="shared" ref="AJ75:BO75" si="111">MAX(AJ73-AJ74,0)+MAX(AJ72-AJ71,0)</f>
        <v>2616.4003915999992</v>
      </c>
      <c r="AK75" s="157">
        <f t="shared" si="111"/>
        <v>2523.4701668499993</v>
      </c>
      <c r="AL75" s="157">
        <f t="shared" si="111"/>
        <v>2429.6845604999994</v>
      </c>
      <c r="AM75" s="157">
        <f t="shared" si="111"/>
        <v>2310.8790423499995</v>
      </c>
      <c r="AN75" s="157">
        <f t="shared" si="111"/>
        <v>2143.4415701032494</v>
      </c>
      <c r="AO75" s="157">
        <f t="shared" si="111"/>
        <v>1992.7030871374993</v>
      </c>
      <c r="AP75" s="157">
        <f t="shared" si="111"/>
        <v>1908.9654568697492</v>
      </c>
      <c r="AQ75" s="157">
        <f t="shared" si="111"/>
        <v>1800.4866860414993</v>
      </c>
      <c r="AR75" s="157">
        <f t="shared" si="111"/>
        <v>1702.4319775404992</v>
      </c>
      <c r="AS75" s="157">
        <f t="shared" si="111"/>
        <v>1591.5712956644993</v>
      </c>
      <c r="AT75" s="157">
        <f t="shared" si="111"/>
        <v>1475.4985826248744</v>
      </c>
      <c r="AU75" s="157">
        <f t="shared" si="111"/>
        <v>1360.2083501651246</v>
      </c>
      <c r="AV75" s="157">
        <f t="shared" si="111"/>
        <v>1203.4533609919995</v>
      </c>
      <c r="AW75" s="157">
        <f t="shared" si="111"/>
        <v>1096.5677873657496</v>
      </c>
      <c r="AX75" s="157">
        <f t="shared" si="111"/>
        <v>988.83110904749969</v>
      </c>
      <c r="AY75" s="157">
        <f t="shared" si="111"/>
        <v>856.19961848824971</v>
      </c>
      <c r="AZ75" s="157">
        <f t="shared" si="111"/>
        <v>687.32720726098296</v>
      </c>
      <c r="BA75" s="157">
        <f t="shared" si="111"/>
        <v>535.70934784271856</v>
      </c>
      <c r="BB75" s="157">
        <f t="shared" si="111"/>
        <v>453.32140795259926</v>
      </c>
      <c r="BC75" s="157">
        <f t="shared" si="111"/>
        <v>345.36920878717871</v>
      </c>
      <c r="BD75" s="157">
        <f t="shared" si="111"/>
        <v>248.18787248412622</v>
      </c>
      <c r="BE75" s="157">
        <f t="shared" si="111"/>
        <v>137.77451792263628</v>
      </c>
      <c r="BF75" s="157">
        <f t="shared" si="111"/>
        <v>103.02674451039508</v>
      </c>
      <c r="BG75" s="157">
        <f t="shared" si="111"/>
        <v>71.041982876567545</v>
      </c>
      <c r="BH75" s="157">
        <f t="shared" si="111"/>
        <v>0</v>
      </c>
      <c r="BI75" s="157">
        <f t="shared" si="111"/>
        <v>0</v>
      </c>
      <c r="BJ75" s="157">
        <f t="shared" si="111"/>
        <v>0</v>
      </c>
      <c r="BK75" s="157">
        <f t="shared" si="111"/>
        <v>0</v>
      </c>
      <c r="BL75" s="157">
        <f t="shared" si="111"/>
        <v>2841.3607209686984</v>
      </c>
      <c r="BM75" s="157">
        <f t="shared" si="111"/>
        <v>5858.8997780993122</v>
      </c>
      <c r="BN75" s="157">
        <f t="shared" si="111"/>
        <v>9583.3138772538077</v>
      </c>
      <c r="BO75" s="157">
        <f t="shared" si="111"/>
        <v>13046.70301822976</v>
      </c>
      <c r="BP75" s="157">
        <f t="shared" ref="BP75:CU75" si="112">MAX(BP73-BP74,0)+MAX(BP72-BP71,0)</f>
        <v>16620.068513220896</v>
      </c>
      <c r="BQ75" s="157">
        <f t="shared" si="112"/>
        <v>20058.327922198296</v>
      </c>
      <c r="BR75" s="157">
        <f t="shared" si="112"/>
        <v>23329.355452323824</v>
      </c>
      <c r="BS75" s="157">
        <f t="shared" si="112"/>
        <v>26708.106232095783</v>
      </c>
      <c r="BT75" s="157">
        <f t="shared" si="112"/>
        <v>29662.009277784709</v>
      </c>
      <c r="BU75" s="157">
        <f t="shared" si="112"/>
        <v>33126.874158884595</v>
      </c>
      <c r="BV75" s="157">
        <f t="shared" si="112"/>
        <v>36583.01862466013</v>
      </c>
      <c r="BW75" s="157">
        <f t="shared" si="112"/>
        <v>39784.09094219852</v>
      </c>
      <c r="BX75" s="157">
        <f t="shared" si="112"/>
        <v>42602.823798783407</v>
      </c>
      <c r="BY75" s="157">
        <f t="shared" si="112"/>
        <v>45597.22871138034</v>
      </c>
      <c r="BZ75" s="157">
        <f t="shared" si="112"/>
        <v>49296.477333375289</v>
      </c>
      <c r="CA75" s="157">
        <f t="shared" si="112"/>
        <v>52735.451099376936</v>
      </c>
      <c r="CB75" s="157">
        <f t="shared" si="112"/>
        <v>56284.085182551746</v>
      </c>
      <c r="CC75" s="157">
        <f t="shared" si="112"/>
        <v>59698.001431361488</v>
      </c>
      <c r="CD75" s="157">
        <f t="shared" si="112"/>
        <v>62944.939683352335</v>
      </c>
      <c r="CE75" s="157">
        <f t="shared" si="112"/>
        <v>66299.247025216435</v>
      </c>
      <c r="CF75" s="157">
        <f t="shared" si="112"/>
        <v>69229.952987594297</v>
      </c>
      <c r="CG75" s="157">
        <f t="shared" si="112"/>
        <v>72670.121802144524</v>
      </c>
      <c r="CH75" s="157">
        <f t="shared" si="112"/>
        <v>76101.595784017671</v>
      </c>
      <c r="CI75" s="157">
        <f t="shared" si="112"/>
        <v>79278.745910086378</v>
      </c>
      <c r="CJ75" s="157">
        <f t="shared" si="112"/>
        <v>82074.828704590822</v>
      </c>
      <c r="CK75" s="157">
        <f t="shared" si="112"/>
        <v>85046.076107694083</v>
      </c>
      <c r="CL75" s="157">
        <f t="shared" si="112"/>
        <v>88720.13120419388</v>
      </c>
      <c r="CM75" s="157">
        <f t="shared" si="112"/>
        <v>92134.663276297259</v>
      </c>
      <c r="CN75" s="157">
        <f t="shared" si="112"/>
        <v>95658.538900087326</v>
      </c>
      <c r="CO75" s="157">
        <f t="shared" si="112"/>
        <v>99048.085836301601</v>
      </c>
      <c r="CP75" s="157">
        <f t="shared" si="112"/>
        <v>102270.91236331388</v>
      </c>
      <c r="CQ75" s="157">
        <f t="shared" si="112"/>
        <v>105600.75310353836</v>
      </c>
      <c r="CR75" s="157">
        <f t="shared" si="112"/>
        <v>108508.24134173615</v>
      </c>
      <c r="CS75" s="157">
        <f t="shared" si="112"/>
        <v>111923.6904146357</v>
      </c>
      <c r="CT75" s="157">
        <f t="shared" si="112"/>
        <v>115330.47028928966</v>
      </c>
      <c r="CU75" s="157">
        <f t="shared" si="112"/>
        <v>118483.67611526052</v>
      </c>
      <c r="CV75" s="157">
        <f t="shared" ref="CV75:DS75" si="113">MAX(CV73-CV74,0)+MAX(CV72-CV71,0)</f>
        <v>121257.08609508476</v>
      </c>
      <c r="CW75" s="157">
        <f t="shared" si="113"/>
        <v>124205.15203965174</v>
      </c>
      <c r="CX75" s="157">
        <f t="shared" si="113"/>
        <v>127853.98486116205</v>
      </c>
      <c r="CY75" s="157">
        <f t="shared" si="113"/>
        <v>131244.04826251668</v>
      </c>
      <c r="CZ75" s="157">
        <f t="shared" si="113"/>
        <v>134743.13770321227</v>
      </c>
      <c r="DA75" s="157">
        <f t="shared" si="113"/>
        <v>138108.28852063889</v>
      </c>
      <c r="DB75" s="157">
        <f t="shared" si="113"/>
        <v>137560.28852063889</v>
      </c>
      <c r="DC75" s="157">
        <f t="shared" si="113"/>
        <v>136998.28852063889</v>
      </c>
      <c r="DD75" s="157">
        <f t="shared" si="113"/>
        <v>136436.28852063889</v>
      </c>
      <c r="DE75" s="157">
        <f t="shared" si="113"/>
        <v>135874.28852063889</v>
      </c>
      <c r="DF75" s="157">
        <f t="shared" si="113"/>
        <v>135312.28852063889</v>
      </c>
      <c r="DG75" s="157">
        <f t="shared" si="113"/>
        <v>134750.28852063889</v>
      </c>
      <c r="DH75" s="157">
        <f t="shared" si="113"/>
        <v>134188.28852063889</v>
      </c>
      <c r="DI75" s="157">
        <f t="shared" si="113"/>
        <v>133626.28852063889</v>
      </c>
      <c r="DJ75" s="157">
        <f t="shared" si="113"/>
        <v>133064.28852063889</v>
      </c>
      <c r="DK75" s="157">
        <f t="shared" si="113"/>
        <v>132502.28852063889</v>
      </c>
      <c r="DL75" s="157">
        <f t="shared" si="113"/>
        <v>131940.28852063889</v>
      </c>
      <c r="DM75" s="157">
        <f t="shared" si="113"/>
        <v>131378.28852063889</v>
      </c>
      <c r="DN75" s="157">
        <f t="shared" si="113"/>
        <v>130816.28852063889</v>
      </c>
      <c r="DO75" s="157">
        <f t="shared" si="113"/>
        <v>130240.28852063889</v>
      </c>
      <c r="DP75" s="157">
        <f t="shared" si="113"/>
        <v>129664.28852063889</v>
      </c>
      <c r="DQ75" s="157">
        <f t="shared" si="113"/>
        <v>129088.28852063889</v>
      </c>
      <c r="DR75" s="157">
        <f t="shared" si="113"/>
        <v>128512.28852063889</v>
      </c>
      <c r="DS75" s="157">
        <f t="shared" si="113"/>
        <v>127936.28852063889</v>
      </c>
    </row>
    <row r="76" spans="1:123" ht="12.75" customHeight="1" x14ac:dyDescent="0.35">
      <c r="A76" s="147" t="s">
        <v>495</v>
      </c>
      <c r="B76" s="148">
        <f>AA76</f>
        <v>0</v>
      </c>
      <c r="C76" s="139" t="s">
        <v>169</v>
      </c>
      <c r="D76" s="148">
        <f>0</f>
        <v>0</v>
      </c>
      <c r="E76" s="148">
        <f t="shared" ref="E76:AJ76" si="114">D78</f>
        <v>0</v>
      </c>
      <c r="F76" s="148">
        <f t="shared" si="114"/>
        <v>0</v>
      </c>
      <c r="G76" s="148">
        <f t="shared" si="114"/>
        <v>0</v>
      </c>
      <c r="H76" s="148">
        <f t="shared" si="114"/>
        <v>0</v>
      </c>
      <c r="I76" s="148">
        <f t="shared" si="114"/>
        <v>0</v>
      </c>
      <c r="J76" s="148">
        <f t="shared" si="114"/>
        <v>0</v>
      </c>
      <c r="K76" s="148">
        <f t="shared" si="114"/>
        <v>0</v>
      </c>
      <c r="L76" s="148">
        <f t="shared" si="114"/>
        <v>0</v>
      </c>
      <c r="M76" s="148">
        <f t="shared" si="114"/>
        <v>0</v>
      </c>
      <c r="N76" s="148">
        <f t="shared" si="114"/>
        <v>0</v>
      </c>
      <c r="O76" s="148">
        <f t="shared" si="114"/>
        <v>0</v>
      </c>
      <c r="P76" s="148">
        <f t="shared" si="114"/>
        <v>0</v>
      </c>
      <c r="Q76" s="148">
        <f t="shared" si="114"/>
        <v>0</v>
      </c>
      <c r="R76" s="148">
        <f t="shared" si="114"/>
        <v>0</v>
      </c>
      <c r="S76" s="148">
        <f t="shared" si="114"/>
        <v>0</v>
      </c>
      <c r="T76" s="148">
        <f t="shared" si="114"/>
        <v>0</v>
      </c>
      <c r="U76" s="148">
        <f t="shared" si="114"/>
        <v>0</v>
      </c>
      <c r="V76" s="148">
        <f t="shared" si="114"/>
        <v>0</v>
      </c>
      <c r="W76" s="148">
        <f t="shared" si="114"/>
        <v>0</v>
      </c>
      <c r="X76" s="148">
        <f t="shared" si="114"/>
        <v>0</v>
      </c>
      <c r="Y76" s="148">
        <f t="shared" si="114"/>
        <v>0</v>
      </c>
      <c r="Z76" s="148">
        <f t="shared" si="114"/>
        <v>0</v>
      </c>
      <c r="AA76" s="148">
        <f t="shared" si="114"/>
        <v>0</v>
      </c>
      <c r="AB76" s="148">
        <f t="shared" si="114"/>
        <v>0</v>
      </c>
      <c r="AC76" s="148">
        <f t="shared" si="114"/>
        <v>0</v>
      </c>
      <c r="AD76" s="148">
        <f t="shared" si="114"/>
        <v>0</v>
      </c>
      <c r="AE76" s="148">
        <f t="shared" si="114"/>
        <v>0</v>
      </c>
      <c r="AF76" s="148">
        <f t="shared" si="114"/>
        <v>0</v>
      </c>
      <c r="AG76" s="148">
        <f t="shared" si="114"/>
        <v>0</v>
      </c>
      <c r="AH76" s="148">
        <f t="shared" si="114"/>
        <v>0</v>
      </c>
      <c r="AI76" s="148">
        <f t="shared" si="114"/>
        <v>0</v>
      </c>
      <c r="AJ76" s="148">
        <f t="shared" si="114"/>
        <v>0</v>
      </c>
      <c r="AK76" s="148">
        <f t="shared" ref="AK76:BP76" si="115">AJ78</f>
        <v>0</v>
      </c>
      <c r="AL76" s="148">
        <f t="shared" si="115"/>
        <v>0</v>
      </c>
      <c r="AM76" s="148">
        <f t="shared" si="115"/>
        <v>0</v>
      </c>
      <c r="AN76" s="148">
        <f t="shared" si="115"/>
        <v>0</v>
      </c>
      <c r="AO76" s="148">
        <f t="shared" si="115"/>
        <v>0</v>
      </c>
      <c r="AP76" s="148">
        <f t="shared" si="115"/>
        <v>0</v>
      </c>
      <c r="AQ76" s="148">
        <f t="shared" si="115"/>
        <v>0</v>
      </c>
      <c r="AR76" s="148">
        <f t="shared" si="115"/>
        <v>0</v>
      </c>
      <c r="AS76" s="148">
        <f t="shared" si="115"/>
        <v>0</v>
      </c>
      <c r="AT76" s="148">
        <f t="shared" si="115"/>
        <v>0</v>
      </c>
      <c r="AU76" s="148">
        <f t="shared" si="115"/>
        <v>0</v>
      </c>
      <c r="AV76" s="148">
        <f t="shared" si="115"/>
        <v>0</v>
      </c>
      <c r="AW76" s="148">
        <f t="shared" si="115"/>
        <v>0</v>
      </c>
      <c r="AX76" s="148">
        <f t="shared" si="115"/>
        <v>0</v>
      </c>
      <c r="AY76" s="148">
        <f t="shared" si="115"/>
        <v>0</v>
      </c>
      <c r="AZ76" s="148">
        <f t="shared" si="115"/>
        <v>0</v>
      </c>
      <c r="BA76" s="148">
        <f t="shared" si="115"/>
        <v>0</v>
      </c>
      <c r="BB76" s="148">
        <f t="shared" si="115"/>
        <v>0</v>
      </c>
      <c r="BC76" s="148">
        <f t="shared" si="115"/>
        <v>0</v>
      </c>
      <c r="BD76" s="148">
        <f t="shared" si="115"/>
        <v>0</v>
      </c>
      <c r="BE76" s="148">
        <f t="shared" si="115"/>
        <v>0</v>
      </c>
      <c r="BF76" s="148">
        <f t="shared" si="115"/>
        <v>0</v>
      </c>
      <c r="BG76" s="148">
        <f t="shared" si="115"/>
        <v>0</v>
      </c>
      <c r="BH76" s="148">
        <f t="shared" si="115"/>
        <v>0</v>
      </c>
      <c r="BI76" s="148">
        <f t="shared" si="115"/>
        <v>0</v>
      </c>
      <c r="BJ76" s="148">
        <f t="shared" si="115"/>
        <v>0</v>
      </c>
      <c r="BK76" s="148">
        <f t="shared" si="115"/>
        <v>0</v>
      </c>
      <c r="BL76" s="148">
        <f t="shared" si="115"/>
        <v>0</v>
      </c>
      <c r="BM76" s="148">
        <f t="shared" si="115"/>
        <v>0</v>
      </c>
      <c r="BN76" s="148">
        <f t="shared" si="115"/>
        <v>0</v>
      </c>
      <c r="BO76" s="148">
        <f t="shared" si="115"/>
        <v>0</v>
      </c>
      <c r="BP76" s="148">
        <f t="shared" si="115"/>
        <v>0</v>
      </c>
      <c r="BQ76" s="148">
        <f t="shared" ref="BQ76:CV76" si="116">BP78</f>
        <v>0</v>
      </c>
      <c r="BR76" s="148">
        <f t="shared" si="116"/>
        <v>0</v>
      </c>
      <c r="BS76" s="148">
        <f t="shared" si="116"/>
        <v>0</v>
      </c>
      <c r="BT76" s="148">
        <f t="shared" si="116"/>
        <v>0</v>
      </c>
      <c r="BU76" s="148">
        <f t="shared" si="116"/>
        <v>0</v>
      </c>
      <c r="BV76" s="148">
        <f t="shared" si="116"/>
        <v>0</v>
      </c>
      <c r="BW76" s="148">
        <f t="shared" si="116"/>
        <v>0</v>
      </c>
      <c r="BX76" s="148">
        <f t="shared" si="116"/>
        <v>0</v>
      </c>
      <c r="BY76" s="148">
        <f t="shared" si="116"/>
        <v>0</v>
      </c>
      <c r="BZ76" s="148">
        <f t="shared" si="116"/>
        <v>0</v>
      </c>
      <c r="CA76" s="148">
        <f t="shared" si="116"/>
        <v>0</v>
      </c>
      <c r="CB76" s="148">
        <f t="shared" si="116"/>
        <v>0</v>
      </c>
      <c r="CC76" s="148">
        <f t="shared" si="116"/>
        <v>0</v>
      </c>
      <c r="CD76" s="148">
        <f t="shared" si="116"/>
        <v>0</v>
      </c>
      <c r="CE76" s="148">
        <f t="shared" si="116"/>
        <v>0</v>
      </c>
      <c r="CF76" s="148">
        <f t="shared" si="116"/>
        <v>0</v>
      </c>
      <c r="CG76" s="148">
        <f t="shared" si="116"/>
        <v>0</v>
      </c>
      <c r="CH76" s="148">
        <f t="shared" si="116"/>
        <v>0</v>
      </c>
      <c r="CI76" s="148">
        <f t="shared" si="116"/>
        <v>0</v>
      </c>
      <c r="CJ76" s="148">
        <f t="shared" si="116"/>
        <v>0</v>
      </c>
      <c r="CK76" s="148">
        <f t="shared" si="116"/>
        <v>0</v>
      </c>
      <c r="CL76" s="148">
        <f t="shared" si="116"/>
        <v>0</v>
      </c>
      <c r="CM76" s="148">
        <f t="shared" si="116"/>
        <v>0</v>
      </c>
      <c r="CN76" s="148">
        <f t="shared" si="116"/>
        <v>0</v>
      </c>
      <c r="CO76" s="148">
        <f t="shared" si="116"/>
        <v>0</v>
      </c>
      <c r="CP76" s="148">
        <f t="shared" si="116"/>
        <v>0</v>
      </c>
      <c r="CQ76" s="148">
        <f t="shared" si="116"/>
        <v>0</v>
      </c>
      <c r="CR76" s="148">
        <f t="shared" si="116"/>
        <v>0</v>
      </c>
      <c r="CS76" s="148">
        <f t="shared" si="116"/>
        <v>0</v>
      </c>
      <c r="CT76" s="148">
        <f t="shared" si="116"/>
        <v>0</v>
      </c>
      <c r="CU76" s="148">
        <f t="shared" si="116"/>
        <v>0</v>
      </c>
      <c r="CV76" s="148">
        <f t="shared" si="116"/>
        <v>0</v>
      </c>
      <c r="CW76" s="148">
        <f t="shared" ref="CW76:DS76" si="117">CV78</f>
        <v>0</v>
      </c>
      <c r="CX76" s="148">
        <f t="shared" si="117"/>
        <v>0</v>
      </c>
      <c r="CY76" s="148">
        <f t="shared" si="117"/>
        <v>0</v>
      </c>
      <c r="CZ76" s="148">
        <f t="shared" si="117"/>
        <v>0</v>
      </c>
      <c r="DA76" s="148">
        <f t="shared" si="117"/>
        <v>0</v>
      </c>
      <c r="DB76" s="148">
        <f t="shared" si="117"/>
        <v>0</v>
      </c>
      <c r="DC76" s="148">
        <f t="shared" si="117"/>
        <v>0</v>
      </c>
      <c r="DD76" s="148">
        <f t="shared" si="117"/>
        <v>0</v>
      </c>
      <c r="DE76" s="148">
        <f t="shared" si="117"/>
        <v>0</v>
      </c>
      <c r="DF76" s="148">
        <f t="shared" si="117"/>
        <v>0</v>
      </c>
      <c r="DG76" s="148">
        <f t="shared" si="117"/>
        <v>0</v>
      </c>
      <c r="DH76" s="148">
        <f t="shared" si="117"/>
        <v>0</v>
      </c>
      <c r="DI76" s="148">
        <f t="shared" si="117"/>
        <v>0</v>
      </c>
      <c r="DJ76" s="148">
        <f t="shared" si="117"/>
        <v>0</v>
      </c>
      <c r="DK76" s="148">
        <f t="shared" si="117"/>
        <v>0</v>
      </c>
      <c r="DL76" s="148">
        <f t="shared" si="117"/>
        <v>0</v>
      </c>
      <c r="DM76" s="148">
        <f t="shared" si="117"/>
        <v>0</v>
      </c>
      <c r="DN76" s="148">
        <f t="shared" si="117"/>
        <v>0</v>
      </c>
      <c r="DO76" s="148">
        <f t="shared" si="117"/>
        <v>0</v>
      </c>
      <c r="DP76" s="148">
        <f t="shared" si="117"/>
        <v>0</v>
      </c>
      <c r="DQ76" s="148">
        <f t="shared" si="117"/>
        <v>0</v>
      </c>
      <c r="DR76" s="148">
        <f t="shared" si="117"/>
        <v>0</v>
      </c>
      <c r="DS76" s="148">
        <f t="shared" si="117"/>
        <v>0</v>
      </c>
    </row>
    <row r="77" spans="1:123" ht="12.75" customHeight="1" x14ac:dyDescent="0.35">
      <c r="A77" s="147" t="s">
        <v>503</v>
      </c>
      <c r="B77" s="148">
        <f>SUM(D77:BQ77)</f>
        <v>0</v>
      </c>
      <c r="C77" s="139">
        <f>B77/60</f>
        <v>0</v>
      </c>
      <c r="D77" s="148">
        <f t="shared" ref="D77:AI77" si="118">MIN(D76,D71)</f>
        <v>0</v>
      </c>
      <c r="E77" s="148">
        <f t="shared" si="118"/>
        <v>0</v>
      </c>
      <c r="F77" s="148">
        <f t="shared" si="118"/>
        <v>0</v>
      </c>
      <c r="G77" s="148">
        <f t="shared" si="118"/>
        <v>0</v>
      </c>
      <c r="H77" s="148">
        <f t="shared" si="118"/>
        <v>0</v>
      </c>
      <c r="I77" s="148">
        <f t="shared" si="118"/>
        <v>0</v>
      </c>
      <c r="J77" s="148">
        <f t="shared" si="118"/>
        <v>0</v>
      </c>
      <c r="K77" s="148">
        <f t="shared" si="118"/>
        <v>0</v>
      </c>
      <c r="L77" s="148">
        <f t="shared" si="118"/>
        <v>0</v>
      </c>
      <c r="M77" s="148">
        <f t="shared" si="118"/>
        <v>0</v>
      </c>
      <c r="N77" s="148">
        <f t="shared" si="118"/>
        <v>0</v>
      </c>
      <c r="O77" s="148">
        <f t="shared" si="118"/>
        <v>0</v>
      </c>
      <c r="P77" s="148">
        <f t="shared" si="118"/>
        <v>0</v>
      </c>
      <c r="Q77" s="148">
        <f t="shared" si="118"/>
        <v>0</v>
      </c>
      <c r="R77" s="148">
        <f t="shared" si="118"/>
        <v>0</v>
      </c>
      <c r="S77" s="148">
        <f t="shared" si="118"/>
        <v>0</v>
      </c>
      <c r="T77" s="148">
        <f t="shared" si="118"/>
        <v>0</v>
      </c>
      <c r="U77" s="148">
        <f t="shared" si="118"/>
        <v>0</v>
      </c>
      <c r="V77" s="148">
        <f t="shared" si="118"/>
        <v>0</v>
      </c>
      <c r="W77" s="148">
        <f t="shared" si="118"/>
        <v>0</v>
      </c>
      <c r="X77" s="148">
        <f t="shared" si="118"/>
        <v>0</v>
      </c>
      <c r="Y77" s="148">
        <f t="shared" si="118"/>
        <v>0</v>
      </c>
      <c r="Z77" s="148">
        <f t="shared" si="118"/>
        <v>0</v>
      </c>
      <c r="AA77" s="148">
        <f t="shared" si="118"/>
        <v>0</v>
      </c>
      <c r="AB77" s="148">
        <f t="shared" si="118"/>
        <v>0</v>
      </c>
      <c r="AC77" s="148">
        <f t="shared" si="118"/>
        <v>0</v>
      </c>
      <c r="AD77" s="148">
        <f t="shared" si="118"/>
        <v>0</v>
      </c>
      <c r="AE77" s="148">
        <f t="shared" si="118"/>
        <v>0</v>
      </c>
      <c r="AF77" s="148">
        <f t="shared" si="118"/>
        <v>0</v>
      </c>
      <c r="AG77" s="148">
        <f t="shared" si="118"/>
        <v>0</v>
      </c>
      <c r="AH77" s="148">
        <f t="shared" si="118"/>
        <v>0</v>
      </c>
      <c r="AI77" s="148">
        <f t="shared" si="118"/>
        <v>0</v>
      </c>
      <c r="AJ77" s="148">
        <f t="shared" ref="AJ77:BO77" si="119">MIN(AJ76,AJ71)</f>
        <v>0</v>
      </c>
      <c r="AK77" s="148">
        <f t="shared" si="119"/>
        <v>0</v>
      </c>
      <c r="AL77" s="148">
        <f t="shared" si="119"/>
        <v>0</v>
      </c>
      <c r="AM77" s="148">
        <f t="shared" si="119"/>
        <v>0</v>
      </c>
      <c r="AN77" s="148">
        <f t="shared" si="119"/>
        <v>0</v>
      </c>
      <c r="AO77" s="148">
        <f t="shared" si="119"/>
        <v>0</v>
      </c>
      <c r="AP77" s="148">
        <f t="shared" si="119"/>
        <v>0</v>
      </c>
      <c r="AQ77" s="148">
        <f t="shared" si="119"/>
        <v>0</v>
      </c>
      <c r="AR77" s="148">
        <f t="shared" si="119"/>
        <v>0</v>
      </c>
      <c r="AS77" s="148">
        <f t="shared" si="119"/>
        <v>0</v>
      </c>
      <c r="AT77" s="148">
        <f t="shared" si="119"/>
        <v>0</v>
      </c>
      <c r="AU77" s="148">
        <f t="shared" si="119"/>
        <v>0</v>
      </c>
      <c r="AV77" s="148">
        <f t="shared" si="119"/>
        <v>0</v>
      </c>
      <c r="AW77" s="148">
        <f t="shared" si="119"/>
        <v>0</v>
      </c>
      <c r="AX77" s="148">
        <f t="shared" si="119"/>
        <v>0</v>
      </c>
      <c r="AY77" s="148">
        <f t="shared" si="119"/>
        <v>0</v>
      </c>
      <c r="AZ77" s="148">
        <f t="shared" si="119"/>
        <v>0</v>
      </c>
      <c r="BA77" s="148">
        <f t="shared" si="119"/>
        <v>0</v>
      </c>
      <c r="BB77" s="148">
        <f t="shared" si="119"/>
        <v>0</v>
      </c>
      <c r="BC77" s="148">
        <f t="shared" si="119"/>
        <v>0</v>
      </c>
      <c r="BD77" s="148">
        <f t="shared" si="119"/>
        <v>0</v>
      </c>
      <c r="BE77" s="148">
        <f t="shared" si="119"/>
        <v>0</v>
      </c>
      <c r="BF77" s="148">
        <f t="shared" si="119"/>
        <v>0</v>
      </c>
      <c r="BG77" s="148">
        <f t="shared" si="119"/>
        <v>0</v>
      </c>
      <c r="BH77" s="148">
        <f t="shared" si="119"/>
        <v>0</v>
      </c>
      <c r="BI77" s="148">
        <f t="shared" si="119"/>
        <v>0</v>
      </c>
      <c r="BJ77" s="148">
        <f t="shared" si="119"/>
        <v>0</v>
      </c>
      <c r="BK77" s="148">
        <f t="shared" si="119"/>
        <v>0</v>
      </c>
      <c r="BL77" s="148">
        <f t="shared" si="119"/>
        <v>0</v>
      </c>
      <c r="BM77" s="148">
        <f t="shared" si="119"/>
        <v>0</v>
      </c>
      <c r="BN77" s="148">
        <f t="shared" si="119"/>
        <v>0</v>
      </c>
      <c r="BO77" s="148">
        <f t="shared" si="119"/>
        <v>0</v>
      </c>
      <c r="BP77" s="148">
        <f t="shared" ref="BP77:CU77" si="120">MIN(BP76,BP71)</f>
        <v>0</v>
      </c>
      <c r="BQ77" s="148">
        <f t="shared" si="120"/>
        <v>0</v>
      </c>
      <c r="BR77" s="148">
        <f t="shared" si="120"/>
        <v>0</v>
      </c>
      <c r="BS77" s="148">
        <f t="shared" si="120"/>
        <v>0</v>
      </c>
      <c r="BT77" s="148">
        <f t="shared" si="120"/>
        <v>0</v>
      </c>
      <c r="BU77" s="148">
        <f t="shared" si="120"/>
        <v>0</v>
      </c>
      <c r="BV77" s="148">
        <f t="shared" si="120"/>
        <v>0</v>
      </c>
      <c r="BW77" s="148">
        <f t="shared" si="120"/>
        <v>0</v>
      </c>
      <c r="BX77" s="148">
        <f t="shared" si="120"/>
        <v>0</v>
      </c>
      <c r="BY77" s="148">
        <f t="shared" si="120"/>
        <v>0</v>
      </c>
      <c r="BZ77" s="148">
        <f t="shared" si="120"/>
        <v>0</v>
      </c>
      <c r="CA77" s="148">
        <f t="shared" si="120"/>
        <v>0</v>
      </c>
      <c r="CB77" s="148">
        <f t="shared" si="120"/>
        <v>0</v>
      </c>
      <c r="CC77" s="148">
        <f t="shared" si="120"/>
        <v>0</v>
      </c>
      <c r="CD77" s="148">
        <f t="shared" si="120"/>
        <v>0</v>
      </c>
      <c r="CE77" s="148">
        <f t="shared" si="120"/>
        <v>0</v>
      </c>
      <c r="CF77" s="148">
        <f t="shared" si="120"/>
        <v>0</v>
      </c>
      <c r="CG77" s="148">
        <f t="shared" si="120"/>
        <v>0</v>
      </c>
      <c r="CH77" s="148">
        <f t="shared" si="120"/>
        <v>0</v>
      </c>
      <c r="CI77" s="148">
        <f t="shared" si="120"/>
        <v>0</v>
      </c>
      <c r="CJ77" s="148">
        <f t="shared" si="120"/>
        <v>0</v>
      </c>
      <c r="CK77" s="148">
        <f t="shared" si="120"/>
        <v>0</v>
      </c>
      <c r="CL77" s="148">
        <f t="shared" si="120"/>
        <v>0</v>
      </c>
      <c r="CM77" s="148">
        <f t="shared" si="120"/>
        <v>0</v>
      </c>
      <c r="CN77" s="148">
        <f t="shared" si="120"/>
        <v>0</v>
      </c>
      <c r="CO77" s="148">
        <f t="shared" si="120"/>
        <v>0</v>
      </c>
      <c r="CP77" s="148">
        <f t="shared" si="120"/>
        <v>0</v>
      </c>
      <c r="CQ77" s="148">
        <f t="shared" si="120"/>
        <v>0</v>
      </c>
      <c r="CR77" s="148">
        <f t="shared" si="120"/>
        <v>0</v>
      </c>
      <c r="CS77" s="148">
        <f t="shared" si="120"/>
        <v>0</v>
      </c>
      <c r="CT77" s="148">
        <f t="shared" si="120"/>
        <v>0</v>
      </c>
      <c r="CU77" s="148">
        <f t="shared" si="120"/>
        <v>0</v>
      </c>
      <c r="CV77" s="148">
        <f t="shared" ref="CV77:DS77" si="121">MIN(CV76,CV71)</f>
        <v>0</v>
      </c>
      <c r="CW77" s="148">
        <f t="shared" si="121"/>
        <v>0</v>
      </c>
      <c r="CX77" s="148">
        <f t="shared" si="121"/>
        <v>0</v>
      </c>
      <c r="CY77" s="148">
        <f t="shared" si="121"/>
        <v>0</v>
      </c>
      <c r="CZ77" s="148">
        <f t="shared" si="121"/>
        <v>0</v>
      </c>
      <c r="DA77" s="148">
        <f t="shared" si="121"/>
        <v>0</v>
      </c>
      <c r="DB77" s="148">
        <f t="shared" si="121"/>
        <v>0</v>
      </c>
      <c r="DC77" s="148">
        <f t="shared" si="121"/>
        <v>0</v>
      </c>
      <c r="DD77" s="148">
        <f t="shared" si="121"/>
        <v>0</v>
      </c>
      <c r="DE77" s="148">
        <f t="shared" si="121"/>
        <v>0</v>
      </c>
      <c r="DF77" s="148">
        <f t="shared" si="121"/>
        <v>0</v>
      </c>
      <c r="DG77" s="148">
        <f t="shared" si="121"/>
        <v>0</v>
      </c>
      <c r="DH77" s="148">
        <f t="shared" si="121"/>
        <v>0</v>
      </c>
      <c r="DI77" s="148">
        <f t="shared" si="121"/>
        <v>0</v>
      </c>
      <c r="DJ77" s="148">
        <f t="shared" si="121"/>
        <v>0</v>
      </c>
      <c r="DK77" s="148">
        <f t="shared" si="121"/>
        <v>0</v>
      </c>
      <c r="DL77" s="148">
        <f t="shared" si="121"/>
        <v>0</v>
      </c>
      <c r="DM77" s="148">
        <f t="shared" si="121"/>
        <v>0</v>
      </c>
      <c r="DN77" s="148">
        <f t="shared" si="121"/>
        <v>0</v>
      </c>
      <c r="DO77" s="148">
        <f t="shared" si="121"/>
        <v>0</v>
      </c>
      <c r="DP77" s="148">
        <f t="shared" si="121"/>
        <v>0</v>
      </c>
      <c r="DQ77" s="148">
        <f t="shared" si="121"/>
        <v>0</v>
      </c>
      <c r="DR77" s="148">
        <f t="shared" si="121"/>
        <v>0</v>
      </c>
      <c r="DS77" s="148">
        <f t="shared" si="121"/>
        <v>0</v>
      </c>
    </row>
    <row r="78" spans="1:123" ht="12.75" customHeight="1" x14ac:dyDescent="0.35">
      <c r="A78" s="147" t="s">
        <v>504</v>
      </c>
      <c r="B78" s="148">
        <f>AA78</f>
        <v>0</v>
      </c>
      <c r="C78" s="139" t="s">
        <v>169</v>
      </c>
      <c r="D78" s="168">
        <f t="shared" ref="D78:AI78" si="122">MAX(D76-D77,0)</f>
        <v>0</v>
      </c>
      <c r="E78" s="168">
        <f t="shared" si="122"/>
        <v>0</v>
      </c>
      <c r="F78" s="168">
        <f t="shared" si="122"/>
        <v>0</v>
      </c>
      <c r="G78" s="168">
        <f t="shared" si="122"/>
        <v>0</v>
      </c>
      <c r="H78" s="168">
        <f t="shared" si="122"/>
        <v>0</v>
      </c>
      <c r="I78" s="168">
        <f t="shared" si="122"/>
        <v>0</v>
      </c>
      <c r="J78" s="168">
        <f t="shared" si="122"/>
        <v>0</v>
      </c>
      <c r="K78" s="168">
        <f t="shared" si="122"/>
        <v>0</v>
      </c>
      <c r="L78" s="168">
        <f t="shared" si="122"/>
        <v>0</v>
      </c>
      <c r="M78" s="168">
        <f t="shared" si="122"/>
        <v>0</v>
      </c>
      <c r="N78" s="168">
        <f t="shared" si="122"/>
        <v>0</v>
      </c>
      <c r="O78" s="168">
        <f t="shared" si="122"/>
        <v>0</v>
      </c>
      <c r="P78" s="168">
        <f t="shared" si="122"/>
        <v>0</v>
      </c>
      <c r="Q78" s="168">
        <f t="shared" si="122"/>
        <v>0</v>
      </c>
      <c r="R78" s="168">
        <f t="shared" si="122"/>
        <v>0</v>
      </c>
      <c r="S78" s="168">
        <f t="shared" si="122"/>
        <v>0</v>
      </c>
      <c r="T78" s="168">
        <f t="shared" si="122"/>
        <v>0</v>
      </c>
      <c r="U78" s="168">
        <f t="shared" si="122"/>
        <v>0</v>
      </c>
      <c r="V78" s="168">
        <f t="shared" si="122"/>
        <v>0</v>
      </c>
      <c r="W78" s="168">
        <f t="shared" si="122"/>
        <v>0</v>
      </c>
      <c r="X78" s="168">
        <f t="shared" si="122"/>
        <v>0</v>
      </c>
      <c r="Y78" s="168">
        <f t="shared" si="122"/>
        <v>0</v>
      </c>
      <c r="Z78" s="168">
        <f t="shared" si="122"/>
        <v>0</v>
      </c>
      <c r="AA78" s="168">
        <f t="shared" si="122"/>
        <v>0</v>
      </c>
      <c r="AB78" s="168">
        <f t="shared" si="122"/>
        <v>0</v>
      </c>
      <c r="AC78" s="168">
        <f t="shared" si="122"/>
        <v>0</v>
      </c>
      <c r="AD78" s="168">
        <f t="shared" si="122"/>
        <v>0</v>
      </c>
      <c r="AE78" s="168">
        <f t="shared" si="122"/>
        <v>0</v>
      </c>
      <c r="AF78" s="168">
        <f t="shared" si="122"/>
        <v>0</v>
      </c>
      <c r="AG78" s="168">
        <f t="shared" si="122"/>
        <v>0</v>
      </c>
      <c r="AH78" s="168">
        <f t="shared" si="122"/>
        <v>0</v>
      </c>
      <c r="AI78" s="168">
        <f t="shared" si="122"/>
        <v>0</v>
      </c>
      <c r="AJ78" s="168">
        <f t="shared" ref="AJ78:BO78" si="123">MAX(AJ76-AJ77,0)</f>
        <v>0</v>
      </c>
      <c r="AK78" s="168">
        <f t="shared" si="123"/>
        <v>0</v>
      </c>
      <c r="AL78" s="168">
        <f t="shared" si="123"/>
        <v>0</v>
      </c>
      <c r="AM78" s="168">
        <f t="shared" si="123"/>
        <v>0</v>
      </c>
      <c r="AN78" s="168">
        <f t="shared" si="123"/>
        <v>0</v>
      </c>
      <c r="AO78" s="168">
        <f t="shared" si="123"/>
        <v>0</v>
      </c>
      <c r="AP78" s="168">
        <f t="shared" si="123"/>
        <v>0</v>
      </c>
      <c r="AQ78" s="168">
        <f t="shared" si="123"/>
        <v>0</v>
      </c>
      <c r="AR78" s="168">
        <f t="shared" si="123"/>
        <v>0</v>
      </c>
      <c r="AS78" s="168">
        <f t="shared" si="123"/>
        <v>0</v>
      </c>
      <c r="AT78" s="168">
        <f t="shared" si="123"/>
        <v>0</v>
      </c>
      <c r="AU78" s="168">
        <f t="shared" si="123"/>
        <v>0</v>
      </c>
      <c r="AV78" s="168">
        <f t="shared" si="123"/>
        <v>0</v>
      </c>
      <c r="AW78" s="168">
        <f t="shared" si="123"/>
        <v>0</v>
      </c>
      <c r="AX78" s="168">
        <f t="shared" si="123"/>
        <v>0</v>
      </c>
      <c r="AY78" s="168">
        <f t="shared" si="123"/>
        <v>0</v>
      </c>
      <c r="AZ78" s="168">
        <f t="shared" si="123"/>
        <v>0</v>
      </c>
      <c r="BA78" s="168">
        <f t="shared" si="123"/>
        <v>0</v>
      </c>
      <c r="BB78" s="168">
        <f t="shared" si="123"/>
        <v>0</v>
      </c>
      <c r="BC78" s="168">
        <f t="shared" si="123"/>
        <v>0</v>
      </c>
      <c r="BD78" s="168">
        <f t="shared" si="123"/>
        <v>0</v>
      </c>
      <c r="BE78" s="168">
        <f t="shared" si="123"/>
        <v>0</v>
      </c>
      <c r="BF78" s="168">
        <f t="shared" si="123"/>
        <v>0</v>
      </c>
      <c r="BG78" s="168">
        <f t="shared" si="123"/>
        <v>0</v>
      </c>
      <c r="BH78" s="168">
        <f t="shared" si="123"/>
        <v>0</v>
      </c>
      <c r="BI78" s="168">
        <f t="shared" si="123"/>
        <v>0</v>
      </c>
      <c r="BJ78" s="168">
        <f t="shared" si="123"/>
        <v>0</v>
      </c>
      <c r="BK78" s="168">
        <f t="shared" si="123"/>
        <v>0</v>
      </c>
      <c r="BL78" s="168">
        <f t="shared" si="123"/>
        <v>0</v>
      </c>
      <c r="BM78" s="168">
        <f t="shared" si="123"/>
        <v>0</v>
      </c>
      <c r="BN78" s="168">
        <f t="shared" si="123"/>
        <v>0</v>
      </c>
      <c r="BO78" s="168">
        <f t="shared" si="123"/>
        <v>0</v>
      </c>
      <c r="BP78" s="168">
        <f t="shared" ref="BP78:CU78" si="124">MAX(BP76-BP77,0)</f>
        <v>0</v>
      </c>
      <c r="BQ78" s="168">
        <f t="shared" si="124"/>
        <v>0</v>
      </c>
      <c r="BR78" s="168">
        <f t="shared" si="124"/>
        <v>0</v>
      </c>
      <c r="BS78" s="168">
        <f t="shared" si="124"/>
        <v>0</v>
      </c>
      <c r="BT78" s="168">
        <f t="shared" si="124"/>
        <v>0</v>
      </c>
      <c r="BU78" s="168">
        <f t="shared" si="124"/>
        <v>0</v>
      </c>
      <c r="BV78" s="168">
        <f t="shared" si="124"/>
        <v>0</v>
      </c>
      <c r="BW78" s="168">
        <f t="shared" si="124"/>
        <v>0</v>
      </c>
      <c r="BX78" s="168">
        <f t="shared" si="124"/>
        <v>0</v>
      </c>
      <c r="BY78" s="168">
        <f t="shared" si="124"/>
        <v>0</v>
      </c>
      <c r="BZ78" s="168">
        <f t="shared" si="124"/>
        <v>0</v>
      </c>
      <c r="CA78" s="168">
        <f t="shared" si="124"/>
        <v>0</v>
      </c>
      <c r="CB78" s="168">
        <f t="shared" si="124"/>
        <v>0</v>
      </c>
      <c r="CC78" s="168">
        <f t="shared" si="124"/>
        <v>0</v>
      </c>
      <c r="CD78" s="168">
        <f t="shared" si="124"/>
        <v>0</v>
      </c>
      <c r="CE78" s="168">
        <f t="shared" si="124"/>
        <v>0</v>
      </c>
      <c r="CF78" s="168">
        <f t="shared" si="124"/>
        <v>0</v>
      </c>
      <c r="CG78" s="168">
        <f t="shared" si="124"/>
        <v>0</v>
      </c>
      <c r="CH78" s="168">
        <f t="shared" si="124"/>
        <v>0</v>
      </c>
      <c r="CI78" s="168">
        <f t="shared" si="124"/>
        <v>0</v>
      </c>
      <c r="CJ78" s="168">
        <f t="shared" si="124"/>
        <v>0</v>
      </c>
      <c r="CK78" s="168">
        <f t="shared" si="124"/>
        <v>0</v>
      </c>
      <c r="CL78" s="168">
        <f t="shared" si="124"/>
        <v>0</v>
      </c>
      <c r="CM78" s="168">
        <f t="shared" si="124"/>
        <v>0</v>
      </c>
      <c r="CN78" s="168">
        <f t="shared" si="124"/>
        <v>0</v>
      </c>
      <c r="CO78" s="168">
        <f t="shared" si="124"/>
        <v>0</v>
      </c>
      <c r="CP78" s="168">
        <f t="shared" si="124"/>
        <v>0</v>
      </c>
      <c r="CQ78" s="168">
        <f t="shared" si="124"/>
        <v>0</v>
      </c>
      <c r="CR78" s="168">
        <f t="shared" si="124"/>
        <v>0</v>
      </c>
      <c r="CS78" s="168">
        <f t="shared" si="124"/>
        <v>0</v>
      </c>
      <c r="CT78" s="168">
        <f t="shared" si="124"/>
        <v>0</v>
      </c>
      <c r="CU78" s="168">
        <f t="shared" si="124"/>
        <v>0</v>
      </c>
      <c r="CV78" s="168">
        <f t="shared" ref="CV78:DS78" si="125">MAX(CV76-CV77,0)</f>
        <v>0</v>
      </c>
      <c r="CW78" s="168">
        <f t="shared" si="125"/>
        <v>0</v>
      </c>
      <c r="CX78" s="168">
        <f t="shared" si="125"/>
        <v>0</v>
      </c>
      <c r="CY78" s="168">
        <f t="shared" si="125"/>
        <v>0</v>
      </c>
      <c r="CZ78" s="168">
        <f t="shared" si="125"/>
        <v>0</v>
      </c>
      <c r="DA78" s="168">
        <f t="shared" si="125"/>
        <v>0</v>
      </c>
      <c r="DB78" s="168">
        <f t="shared" si="125"/>
        <v>0</v>
      </c>
      <c r="DC78" s="168">
        <f t="shared" si="125"/>
        <v>0</v>
      </c>
      <c r="DD78" s="168">
        <f t="shared" si="125"/>
        <v>0</v>
      </c>
      <c r="DE78" s="168">
        <f t="shared" si="125"/>
        <v>0</v>
      </c>
      <c r="DF78" s="168">
        <f t="shared" si="125"/>
        <v>0</v>
      </c>
      <c r="DG78" s="168">
        <f t="shared" si="125"/>
        <v>0</v>
      </c>
      <c r="DH78" s="168">
        <f t="shared" si="125"/>
        <v>0</v>
      </c>
      <c r="DI78" s="168">
        <f t="shared" si="125"/>
        <v>0</v>
      </c>
      <c r="DJ78" s="168">
        <f t="shared" si="125"/>
        <v>0</v>
      </c>
      <c r="DK78" s="168">
        <f t="shared" si="125"/>
        <v>0</v>
      </c>
      <c r="DL78" s="168">
        <f t="shared" si="125"/>
        <v>0</v>
      </c>
      <c r="DM78" s="168">
        <f t="shared" si="125"/>
        <v>0</v>
      </c>
      <c r="DN78" s="168">
        <f t="shared" si="125"/>
        <v>0</v>
      </c>
      <c r="DO78" s="168">
        <f t="shared" si="125"/>
        <v>0</v>
      </c>
      <c r="DP78" s="168">
        <f t="shared" si="125"/>
        <v>0</v>
      </c>
      <c r="DQ78" s="168">
        <f t="shared" si="125"/>
        <v>0</v>
      </c>
      <c r="DR78" s="168">
        <f t="shared" si="125"/>
        <v>0</v>
      </c>
      <c r="DS78" s="168">
        <f t="shared" si="125"/>
        <v>0</v>
      </c>
    </row>
    <row r="79" spans="1:123" ht="12.75" customHeight="1" x14ac:dyDescent="0.35">
      <c r="A79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79" s="162">
        <f>SUM(D79:BQ79)</f>
        <v>29311.222908034619</v>
      </c>
      <c r="C79" s="144">
        <f>B79/60</f>
        <v>488.52038180057696</v>
      </c>
      <c r="D79" s="162">
        <f>D71*Premissas!$F$19</f>
        <v>416.47091372598243</v>
      </c>
      <c r="E79" s="162">
        <f>E71*Premissas!$F$19</f>
        <v>416.47091372598243</v>
      </c>
      <c r="F79" s="162">
        <f>F71*Premissas!$F$19</f>
        <v>416.47091372598243</v>
      </c>
      <c r="G79" s="162">
        <f>G71*Premissas!$F$19</f>
        <v>416.47091372598243</v>
      </c>
      <c r="H79" s="162">
        <f>H71*Premissas!$F$19</f>
        <v>416.47091372598243</v>
      </c>
      <c r="I79" s="162">
        <f>I71*Premissas!$F$19</f>
        <v>416.47091372598243</v>
      </c>
      <c r="J79" s="162">
        <f>J71*Premissas!$F$19</f>
        <v>416.47091372598243</v>
      </c>
      <c r="K79" s="162">
        <f>K71*Premissas!$F$19</f>
        <v>426.65131383928423</v>
      </c>
      <c r="L79" s="162">
        <f>L71*Premissas!$F$19</f>
        <v>426.65131383928423</v>
      </c>
      <c r="M79" s="162">
        <f>M71*Premissas!$F$19</f>
        <v>426.65131383928423</v>
      </c>
      <c r="N79" s="162">
        <f>N71*Premissas!$F$19</f>
        <v>426.65131383928423</v>
      </c>
      <c r="O79" s="162">
        <f>O71*Premissas!$F$19</f>
        <v>426.65131383928423</v>
      </c>
      <c r="P79" s="162">
        <f>P71*Premissas!$F$19</f>
        <v>426.65131383928423</v>
      </c>
      <c r="Q79" s="162">
        <f>Q71*Premissas!$F$19</f>
        <v>426.65131383928423</v>
      </c>
      <c r="R79" s="162">
        <f>R71*Premissas!$F$19</f>
        <v>426.65131383928423</v>
      </c>
      <c r="S79" s="162">
        <f>S71*Premissas!$F$19</f>
        <v>426.65131383928423</v>
      </c>
      <c r="T79" s="162">
        <f>T71*Premissas!$F$19</f>
        <v>426.65131383928423</v>
      </c>
      <c r="U79" s="162">
        <f>U71*Premissas!$F$19</f>
        <v>426.65131383928423</v>
      </c>
      <c r="V79" s="162">
        <f>V71*Premissas!$F$19</f>
        <v>426.65131383928423</v>
      </c>
      <c r="W79" s="162">
        <f>W71*Premissas!$F$19</f>
        <v>426.65131383928423</v>
      </c>
      <c r="X79" s="162">
        <f>X71*Premissas!$F$19</f>
        <v>426.65131383928423</v>
      </c>
      <c r="Y79" s="162">
        <f>Y71*Premissas!$F$19</f>
        <v>426.65131383928423</v>
      </c>
      <c r="Z79" s="162">
        <f>Z71*Premissas!$F$19</f>
        <v>426.65131383928423</v>
      </c>
      <c r="AA79" s="162">
        <f>AA71*Premissas!$F$19</f>
        <v>426.65131383928423</v>
      </c>
      <c r="AB79" s="162">
        <f>AB71*Premissas!$F$19</f>
        <v>437.75720487197708</v>
      </c>
      <c r="AC79" s="162">
        <f>AC71*Premissas!$F$19</f>
        <v>437.75720487197708</v>
      </c>
      <c r="AD79" s="162">
        <f>AD71*Premissas!$F$19</f>
        <v>437.75720487197708</v>
      </c>
      <c r="AE79" s="162">
        <f>AE71*Premissas!$F$19</f>
        <v>437.75720487197708</v>
      </c>
      <c r="AF79" s="162">
        <f>AF71*Premissas!$F$19</f>
        <v>437.75720487197708</v>
      </c>
      <c r="AG79" s="162">
        <f>AG71*Premissas!$F$19</f>
        <v>437.75720487197708</v>
      </c>
      <c r="AH79" s="162">
        <f>AH71*Premissas!$F$19</f>
        <v>437.75720487197708</v>
      </c>
      <c r="AI79" s="162">
        <f>AI71*Premissas!$F$19</f>
        <v>447.93760498527888</v>
      </c>
      <c r="AJ79" s="162">
        <f>AJ71*Premissas!$F$19</f>
        <v>447.93760498527888</v>
      </c>
      <c r="AK79" s="162">
        <f>AK71*Premissas!$F$19</f>
        <v>447.93760498527888</v>
      </c>
      <c r="AL79" s="162">
        <f>AL71*Premissas!$F$19</f>
        <v>447.93760498527888</v>
      </c>
      <c r="AM79" s="162">
        <f>AM71*Premissas!$F$19</f>
        <v>447.93760498527888</v>
      </c>
      <c r="AN79" s="162">
        <f>AN71*Premissas!$F$19</f>
        <v>448.86309590466999</v>
      </c>
      <c r="AO79" s="162">
        <f>AO71*Premissas!$F$19</f>
        <v>448.86309590466999</v>
      </c>
      <c r="AP79" s="162">
        <f>AP71*Premissas!$F$19</f>
        <v>448.86309590466999</v>
      </c>
      <c r="AQ79" s="162">
        <f>AQ71*Premissas!$F$19</f>
        <v>448.86309590466999</v>
      </c>
      <c r="AR79" s="162">
        <f>AR71*Premissas!$F$19</f>
        <v>448.86309590466999</v>
      </c>
      <c r="AS79" s="162">
        <f>AS71*Premissas!$F$19</f>
        <v>448.86309590466999</v>
      </c>
      <c r="AT79" s="162">
        <f>AT71*Premissas!$F$19</f>
        <v>448.86309590466999</v>
      </c>
      <c r="AU79" s="162">
        <f>AU71*Premissas!$F$19</f>
        <v>459.04349601797173</v>
      </c>
      <c r="AV79" s="162">
        <f>AV71*Premissas!$F$19</f>
        <v>459.04349601797173</v>
      </c>
      <c r="AW79" s="162">
        <f>AW71*Premissas!$F$19</f>
        <v>459.04349601797173</v>
      </c>
      <c r="AX79" s="162">
        <f>AX71*Premissas!$F$19</f>
        <v>459.04349601797173</v>
      </c>
      <c r="AY79" s="162">
        <f>AY71*Premissas!$F$19</f>
        <v>459.04349601797173</v>
      </c>
      <c r="AZ79" s="162">
        <f>AZ71*Premissas!$F$19</f>
        <v>459.96898693736284</v>
      </c>
      <c r="BA79" s="162">
        <f>BA71*Premissas!$F$19</f>
        <v>459.96898693736284</v>
      </c>
      <c r="BB79" s="162">
        <f>BB71*Premissas!$F$19</f>
        <v>459.96898693736284</v>
      </c>
      <c r="BC79" s="162">
        <f>BC71*Premissas!$F$19</f>
        <v>459.96898693736284</v>
      </c>
      <c r="BD79" s="162">
        <f>BD71*Premissas!$F$19</f>
        <v>459.96898693736284</v>
      </c>
      <c r="BE79" s="162">
        <f>BE71*Premissas!$F$19</f>
        <v>459.96898693736284</v>
      </c>
      <c r="BF79" s="162">
        <f>BF71*Premissas!$F$19</f>
        <v>459.96898693736284</v>
      </c>
      <c r="BG79" s="162">
        <f>BG71*Premissas!$F$19</f>
        <v>471.0748779700557</v>
      </c>
      <c r="BH79" s="162">
        <f>BH71*Premissas!$F$19</f>
        <v>471.0748779700557</v>
      </c>
      <c r="BI79" s="162">
        <f>BI71*Premissas!$F$19</f>
        <v>471.0748779700557</v>
      </c>
      <c r="BJ79" s="162">
        <f>BJ71*Premissas!$F$19</f>
        <v>471.0748779700557</v>
      </c>
      <c r="BK79" s="162">
        <f>BK71*Premissas!$F$19</f>
        <v>471.0748779700557</v>
      </c>
      <c r="BL79" s="162">
        <f>BL71*Premissas!$F$19</f>
        <v>471.0748779700557</v>
      </c>
      <c r="BM79" s="162">
        <f>BM71*Premissas!$F$19</f>
        <v>471.0748779700557</v>
      </c>
      <c r="BN79" s="162">
        <f>BN71*Premissas!$F$19</f>
        <v>471.0748779700557</v>
      </c>
      <c r="BO79" s="162">
        <f>BO71*Premissas!$F$19</f>
        <v>471.0748779700557</v>
      </c>
      <c r="BP79" s="162">
        <f>BP71*Premissas!$F$19</f>
        <v>471.0748779700557</v>
      </c>
      <c r="BQ79" s="162">
        <f>BQ71*Premissas!$F$19</f>
        <v>471.0748779700557</v>
      </c>
      <c r="BR79" s="162">
        <f>BR71*Premissas!$F$19</f>
        <v>471.0748779700557</v>
      </c>
      <c r="BS79" s="162">
        <f>BS71*Premissas!$F$19</f>
        <v>483.10625992213966</v>
      </c>
      <c r="BT79" s="162">
        <f>BT71*Premissas!$F$19</f>
        <v>483.10625992213966</v>
      </c>
      <c r="BU79" s="162">
        <f>BU71*Premissas!$F$19</f>
        <v>483.10625992213966</v>
      </c>
      <c r="BV79" s="162">
        <f>BV71*Premissas!$F$19</f>
        <v>483.10625992213966</v>
      </c>
      <c r="BW79" s="162">
        <f>BW71*Premissas!$F$19</f>
        <v>483.10625992213966</v>
      </c>
      <c r="BX79" s="162">
        <f>BX71*Premissas!$F$19</f>
        <v>483.10625992213966</v>
      </c>
      <c r="BY79" s="162">
        <f>BY71*Premissas!$F$19</f>
        <v>483.10625992213966</v>
      </c>
      <c r="BZ79" s="162">
        <f>BZ71*Premissas!$F$19</f>
        <v>483.10625992213966</v>
      </c>
      <c r="CA79" s="162">
        <f>CA71*Premissas!$F$19</f>
        <v>483.10625992213966</v>
      </c>
      <c r="CB79" s="162">
        <f>CB71*Premissas!$F$19</f>
        <v>483.10625992213966</v>
      </c>
      <c r="CC79" s="162">
        <f>CC71*Premissas!$F$19</f>
        <v>483.10625992213966</v>
      </c>
      <c r="CD79" s="162">
        <f>CD71*Premissas!$F$19</f>
        <v>483.10625992213966</v>
      </c>
      <c r="CE79" s="162">
        <f>CE71*Premissas!$F$19</f>
        <v>495.13764187422356</v>
      </c>
      <c r="CF79" s="162">
        <f>CF71*Premissas!$F$19</f>
        <v>495.13764187422356</v>
      </c>
      <c r="CG79" s="162">
        <f>CG71*Premissas!$F$19</f>
        <v>495.13764187422356</v>
      </c>
      <c r="CH79" s="162">
        <f>CH71*Premissas!$F$19</f>
        <v>495.13764187422356</v>
      </c>
      <c r="CI79" s="162">
        <f>CI71*Premissas!$F$19</f>
        <v>495.13764187422356</v>
      </c>
      <c r="CJ79" s="162">
        <f>CJ71*Premissas!$F$19</f>
        <v>495.13764187422356</v>
      </c>
      <c r="CK79" s="162">
        <f>CK71*Premissas!$F$19</f>
        <v>495.13764187422356</v>
      </c>
      <c r="CL79" s="162">
        <f>CL71*Premissas!$F$19</f>
        <v>495.13764187422356</v>
      </c>
      <c r="CM79" s="162">
        <f>CM71*Premissas!$F$19</f>
        <v>495.13764187422356</v>
      </c>
      <c r="CN79" s="162">
        <f>CN71*Premissas!$F$19</f>
        <v>495.13764187422356</v>
      </c>
      <c r="CO79" s="162">
        <f>CO71*Premissas!$F$19</f>
        <v>495.13764187422356</v>
      </c>
      <c r="CP79" s="162">
        <f>CP71*Premissas!$F$19</f>
        <v>495.13764187422356</v>
      </c>
      <c r="CQ79" s="162">
        <f>CQ71*Premissas!$F$19</f>
        <v>507.16902382630752</v>
      </c>
      <c r="CR79" s="162">
        <f>CR71*Premissas!$F$19</f>
        <v>507.16902382630752</v>
      </c>
      <c r="CS79" s="162">
        <f>CS71*Premissas!$F$19</f>
        <v>507.16902382630752</v>
      </c>
      <c r="CT79" s="162">
        <f>CT71*Premissas!$F$19</f>
        <v>507.16902382630752</v>
      </c>
      <c r="CU79" s="162">
        <f>CU71*Premissas!$F$19</f>
        <v>507.16902382630752</v>
      </c>
      <c r="CV79" s="162">
        <f>CV71*Premissas!$F$19</f>
        <v>507.16902382630752</v>
      </c>
      <c r="CW79" s="162">
        <f>CW71*Premissas!$F$19</f>
        <v>507.16902382630752</v>
      </c>
      <c r="CX79" s="162">
        <f>CX71*Premissas!$F$19</f>
        <v>507.16902382630752</v>
      </c>
      <c r="CY79" s="162">
        <f>CY71*Premissas!$F$19</f>
        <v>507.16902382630752</v>
      </c>
      <c r="CZ79" s="162">
        <f>CZ71*Premissas!$F$19</f>
        <v>507.16902382630752</v>
      </c>
      <c r="DA79" s="162">
        <f>DA71*Premissas!$F$19</f>
        <v>507.16902382630752</v>
      </c>
      <c r="DB79" s="162">
        <f>DB71*Premissas!$F$19</f>
        <v>507.16902382630752</v>
      </c>
      <c r="DC79" s="162">
        <f>DC71*Premissas!$F$19</f>
        <v>520.12589669778254</v>
      </c>
      <c r="DD79" s="162">
        <f>DD71*Premissas!$F$19</f>
        <v>520.12589669778254</v>
      </c>
      <c r="DE79" s="162">
        <f>DE71*Premissas!$F$19</f>
        <v>520.12589669778254</v>
      </c>
      <c r="DF79" s="162">
        <f>DF71*Premissas!$F$19</f>
        <v>520.12589669778254</v>
      </c>
      <c r="DG79" s="162">
        <f>DG71*Premissas!$F$19</f>
        <v>520.12589669778254</v>
      </c>
      <c r="DH79" s="162">
        <f>DH71*Premissas!$F$19</f>
        <v>520.12589669778254</v>
      </c>
      <c r="DI79" s="162">
        <f>DI71*Premissas!$F$19</f>
        <v>520.12589669778254</v>
      </c>
      <c r="DJ79" s="162">
        <f>DJ71*Premissas!$F$19</f>
        <v>520.12589669778254</v>
      </c>
      <c r="DK79" s="162">
        <f>DK71*Premissas!$F$19</f>
        <v>520.12589669778254</v>
      </c>
      <c r="DL79" s="162">
        <f>DL71*Premissas!$F$19</f>
        <v>520.12589669778254</v>
      </c>
      <c r="DM79" s="162">
        <f>DM71*Premissas!$F$19</f>
        <v>520.12589669778254</v>
      </c>
      <c r="DN79" s="162">
        <f>DN71*Premissas!$F$19</f>
        <v>520.12589669778254</v>
      </c>
      <c r="DO79" s="162">
        <f>DO71*Premissas!$F$19</f>
        <v>533.08276956925749</v>
      </c>
      <c r="DP79" s="162">
        <f>DP71*Premissas!$F$19</f>
        <v>533.08276956925749</v>
      </c>
      <c r="DQ79" s="162">
        <f>DQ71*Premissas!$F$19</f>
        <v>533.08276956925749</v>
      </c>
      <c r="DR79" s="162">
        <f>DR71*Premissas!$F$19</f>
        <v>533.08276956925749</v>
      </c>
      <c r="DS79" s="162">
        <f>DS71*Premissas!$F$19</f>
        <v>533.08276956925749</v>
      </c>
    </row>
    <row r="80" spans="1:123" ht="12.75" customHeight="1" x14ac:dyDescent="0.35">
      <c r="A80" s="163" t="s">
        <v>498</v>
      </c>
      <c r="B80" s="164">
        <f>SUM(D80:BQ80)</f>
        <v>197.51569499389123</v>
      </c>
      <c r="C80" s="144">
        <f>B80/60</f>
        <v>3.291928249898187</v>
      </c>
      <c r="D80" s="164">
        <f>IF(D75&gt;0,0,MAX(D71-D72-D73,0)*Premissas!$B$7)</f>
        <v>47.238213389369584</v>
      </c>
      <c r="E80" s="164">
        <f>IF(E75&gt;0,0,MAX(E71-E72-E73,0)*Premissas!$B$7)</f>
        <v>22.347135112346745</v>
      </c>
      <c r="F80" s="164">
        <f>IF(F75&gt;0,0,MAX(F71-F72-F73,0)*Premissas!$B$7)</f>
        <v>0</v>
      </c>
      <c r="G80" s="164">
        <f>IF(G75&gt;0,0,MAX(G71-G72-G73,0)*Premissas!$B$7)</f>
        <v>0</v>
      </c>
      <c r="H80" s="164">
        <f>IF(H75&gt;0,0,MAX(H71-H72-H73,0)*Premissas!$B$7)</f>
        <v>0</v>
      </c>
      <c r="I80" s="164">
        <f>IF(I75&gt;0,0,MAX(I71-I72-I73,0)*Premissas!$B$7)</f>
        <v>0</v>
      </c>
      <c r="J80" s="164">
        <f>IF(J75&gt;0,0,MAX(J71-J72-J73,0)*Premissas!$B$7)</f>
        <v>0</v>
      </c>
      <c r="K80" s="164">
        <f>IF(K75&gt;0,0,MAX(K71-K72-K73,0)*Premissas!$B$7)</f>
        <v>0</v>
      </c>
      <c r="L80" s="164">
        <f>IF(L75&gt;0,0,MAX(L71-L72-L73,0)*Premissas!$B$7)</f>
        <v>0</v>
      </c>
      <c r="M80" s="164">
        <f>IF(M75&gt;0,0,MAX(M71-M72-M73,0)*Premissas!$B$7)</f>
        <v>0</v>
      </c>
      <c r="N80" s="164">
        <f>IF(N75&gt;0,0,MAX(N71-N72-N73,0)*Premissas!$B$7)</f>
        <v>0</v>
      </c>
      <c r="O80" s="164">
        <f>IF(O75&gt;0,0,MAX(O71-O72-O73,0)*Premissas!$B$7)</f>
        <v>0</v>
      </c>
      <c r="P80" s="164">
        <f>IF(P75&gt;0,0,MAX(P71-P72-P73,0)*Premissas!$B$7)</f>
        <v>0</v>
      </c>
      <c r="Q80" s="164">
        <f>IF(Q75&gt;0,0,MAX(Q71-Q72-Q73,0)*Premissas!$B$7)</f>
        <v>0</v>
      </c>
      <c r="R80" s="164">
        <f>IF(R75&gt;0,0,MAX(R71-R72-R73,0)*Premissas!$B$7)</f>
        <v>0</v>
      </c>
      <c r="S80" s="164">
        <f>IF(S75&gt;0,0,MAX(S71-S72-S73,0)*Premissas!$B$7)</f>
        <v>0</v>
      </c>
      <c r="T80" s="164">
        <f>IF(T75&gt;0,0,MAX(T71-T72-T73,0)*Premissas!$B$7)</f>
        <v>0</v>
      </c>
      <c r="U80" s="164">
        <f>IF(U75&gt;0,0,MAX(U71-U72-U73,0)*Premissas!$B$7)</f>
        <v>0</v>
      </c>
      <c r="V80" s="164">
        <f>IF(V75&gt;0,0,MAX(V71-V72-V73,0)*Premissas!$B$7)</f>
        <v>0</v>
      </c>
      <c r="W80" s="164">
        <f>IF(W75&gt;0,0,MAX(W71-W72-W73,0)*Premissas!$B$7)</f>
        <v>0</v>
      </c>
      <c r="X80" s="164">
        <f>IF(X75&gt;0,0,MAX(X71-X72-X73,0)*Premissas!$B$7)</f>
        <v>0</v>
      </c>
      <c r="Y80" s="164">
        <f>IF(Y75&gt;0,0,MAX(Y71-Y72-Y73,0)*Premissas!$B$7)</f>
        <v>0</v>
      </c>
      <c r="Z80" s="164">
        <f>IF(Z75&gt;0,0,MAX(Z71-Z72-Z73,0)*Premissas!$B$7)</f>
        <v>0</v>
      </c>
      <c r="AA80" s="164">
        <f>IF(AA75&gt;0,0,MAX(AA71-AA72-AA73,0)*Premissas!$B$7)</f>
        <v>0</v>
      </c>
      <c r="AB80" s="164">
        <f>IF(AB75&gt;0,0,MAX(AB71-AB72-AB73,0)*Premissas!$B$7)</f>
        <v>0</v>
      </c>
      <c r="AC80" s="164">
        <f>IF(AC75&gt;0,0,MAX(AC71-AC72-AC73,0)*Premissas!$B$7)</f>
        <v>0</v>
      </c>
      <c r="AD80" s="164">
        <f>IF(AD75&gt;0,0,MAX(AD71-AD72-AD73,0)*Premissas!$B$7)</f>
        <v>0</v>
      </c>
      <c r="AE80" s="164">
        <f>IF(AE75&gt;0,0,MAX(AE71-AE72-AE73,0)*Premissas!$B$7)</f>
        <v>0</v>
      </c>
      <c r="AF80" s="164">
        <f>IF(AF75&gt;0,0,MAX(AF71-AF72-AF73,0)*Premissas!$B$7)</f>
        <v>0</v>
      </c>
      <c r="AG80" s="164">
        <f>IF(AG75&gt;0,0,MAX(AG71-AG72-AG73,0)*Premissas!$B$7)</f>
        <v>0</v>
      </c>
      <c r="AH80" s="164">
        <f>IF(AH75&gt;0,0,MAX(AH71-AH72-AH73,0)*Premissas!$B$7)</f>
        <v>0</v>
      </c>
      <c r="AI80" s="164">
        <f>IF(AI75&gt;0,0,MAX(AI71-AI72-AI73,0)*Premissas!$B$7)</f>
        <v>0</v>
      </c>
      <c r="AJ80" s="164">
        <f>IF(AJ75&gt;0,0,MAX(AJ71-AJ72-AJ73,0)*Premissas!$B$7)</f>
        <v>0</v>
      </c>
      <c r="AK80" s="164">
        <f>IF(AK75&gt;0,0,MAX(AK71-AK72-AK73,0)*Premissas!$B$7)</f>
        <v>0</v>
      </c>
      <c r="AL80" s="164">
        <f>IF(AL75&gt;0,0,MAX(AL71-AL72-AL73,0)*Premissas!$B$7)</f>
        <v>0</v>
      </c>
      <c r="AM80" s="164">
        <f>IF(AM75&gt;0,0,MAX(AM71-AM72-AM73,0)*Premissas!$B$7)</f>
        <v>0</v>
      </c>
      <c r="AN80" s="164">
        <f>IF(AN75&gt;0,0,MAX(AN71-AN72-AN73,0)*Premissas!$B$7)</f>
        <v>0</v>
      </c>
      <c r="AO80" s="164">
        <f>IF(AO75&gt;0,0,MAX(AO71-AO72-AO73,0)*Premissas!$B$7)</f>
        <v>0</v>
      </c>
      <c r="AP80" s="164">
        <f>IF(AP75&gt;0,0,MAX(AP71-AP72-AP73,0)*Premissas!$B$7)</f>
        <v>0</v>
      </c>
      <c r="AQ80" s="164">
        <f>IF(AQ75&gt;0,0,MAX(AQ71-AQ72-AQ73,0)*Premissas!$B$7)</f>
        <v>0</v>
      </c>
      <c r="AR80" s="164">
        <f>IF(AR75&gt;0,0,MAX(AR71-AR72-AR73,0)*Premissas!$B$7)</f>
        <v>0</v>
      </c>
      <c r="AS80" s="164">
        <f>IF(AS75&gt;0,0,MAX(AS71-AS72-AS73,0)*Premissas!$B$7)</f>
        <v>0</v>
      </c>
      <c r="AT80" s="164">
        <f>IF(AT75&gt;0,0,MAX(AT71-AT72-AT73,0)*Premissas!$B$7)</f>
        <v>0</v>
      </c>
      <c r="AU80" s="164">
        <f>IF(AU75&gt;0,0,MAX(AU71-AU72-AU73,0)*Premissas!$B$7)</f>
        <v>0</v>
      </c>
      <c r="AV80" s="164">
        <f>IF(AV75&gt;0,0,MAX(AV71-AV72-AV73,0)*Premissas!$B$7)</f>
        <v>0</v>
      </c>
      <c r="AW80" s="164">
        <f>IF(AW75&gt;0,0,MAX(AW71-AW72-AW73,0)*Premissas!$B$7)</f>
        <v>0</v>
      </c>
      <c r="AX80" s="164">
        <f>IF(AX75&gt;0,0,MAX(AX71-AX72-AX73,0)*Premissas!$B$7)</f>
        <v>0</v>
      </c>
      <c r="AY80" s="164">
        <f>IF(AY75&gt;0,0,MAX(AY71-AY72-AY73,0)*Premissas!$B$7)</f>
        <v>0</v>
      </c>
      <c r="AZ80" s="164">
        <f>IF(AZ75&gt;0,0,MAX(AZ71-AZ72-AZ73,0)*Premissas!$B$7)</f>
        <v>0</v>
      </c>
      <c r="BA80" s="164">
        <f>IF(BA75&gt;0,0,MAX(BA71-BA72-BA73,0)*Premissas!$B$7)</f>
        <v>0</v>
      </c>
      <c r="BB80" s="164">
        <f>IF(BB75&gt;0,0,MAX(BB71-BB72-BB73,0)*Premissas!$B$7)</f>
        <v>0</v>
      </c>
      <c r="BC80" s="164">
        <f>IF(BC75&gt;0,0,MAX(BC71-BC72-BC73,0)*Premissas!$B$7)</f>
        <v>0</v>
      </c>
      <c r="BD80" s="164">
        <f>IF(BD75&gt;0,0,MAX(BD71-BD72-BD73,0)*Premissas!$B$7)</f>
        <v>0</v>
      </c>
      <c r="BE80" s="164">
        <f>IF(BE75&gt;0,0,MAX(BE71-BE72-BE73,0)*Premissas!$B$7)</f>
        <v>0</v>
      </c>
      <c r="BF80" s="164">
        <f>IF(BF75&gt;0,0,MAX(BF71-BF72-BF73,0)*Premissas!$B$7)</f>
        <v>0</v>
      </c>
      <c r="BG80" s="164">
        <f>IF(BG75&gt;0,0,MAX(BG71-BG72-BG73,0)*Premissas!$B$7)</f>
        <v>0</v>
      </c>
      <c r="BH80" s="164">
        <f>IF(BH75&gt;0,0,MAX(BH71-BH72-BH73,0)*Premissas!$B$7)</f>
        <v>14.919588288874795</v>
      </c>
      <c r="BI80" s="164">
        <f>IF(BI75&gt;0,0,MAX(BI71-BI72-BI73,0)*Premissas!$B$7)</f>
        <v>24.819393682716555</v>
      </c>
      <c r="BJ80" s="164">
        <f>IF(BJ75&gt;0,0,MAX(BJ71-BJ72-BJ73,0)*Premissas!$B$7)</f>
        <v>26.053076151681307</v>
      </c>
      <c r="BK80" s="164">
        <f>IF(BK75&gt;0,0,MAX(BK71-BK72-BK73,0)*Premissas!$B$7)</f>
        <v>62.138288368902266</v>
      </c>
      <c r="BL80" s="164">
        <f>IF(BL75&gt;0,0,MAX(BL71-BL72-BL73,0)*Premissas!$B$7)</f>
        <v>0</v>
      </c>
      <c r="BM80" s="164">
        <f>IF(BM75&gt;0,0,MAX(BM71-BM72-BM73,0)*Premissas!$B$7)</f>
        <v>0</v>
      </c>
      <c r="BN80" s="164">
        <f>IF(BN75&gt;0,0,MAX(BN71-BN72-BN73,0)*Premissas!$B$7)</f>
        <v>0</v>
      </c>
      <c r="BO80" s="164">
        <f>IF(BO75&gt;0,0,MAX(BO71-BO72-BO73,0)*Premissas!$B$7)</f>
        <v>0</v>
      </c>
      <c r="BP80" s="164">
        <f>IF(BP75&gt;0,0,MAX(BP71-BP72-BP73,0)*Premissas!$B$7)</f>
        <v>0</v>
      </c>
      <c r="BQ80" s="164">
        <f>IF(BQ75&gt;0,0,MAX(BQ71-BQ72-BQ73,0)*Premissas!$B$7)</f>
        <v>0</v>
      </c>
      <c r="BR80" s="164">
        <f>IF(BR75&gt;0,0,MAX(BR71-BR72-BR73,0)*Premissas!$B$7)</f>
        <v>0</v>
      </c>
      <c r="BS80" s="164">
        <f>IF(BS75&gt;0,0,MAX(BS71-BS72-BS73,0)*Premissas!$B$7)</f>
        <v>0</v>
      </c>
      <c r="BT80" s="164">
        <f>IF(BT75&gt;0,0,MAX(BT71-BT72-BT73,0)*Premissas!$B$7)</f>
        <v>0</v>
      </c>
      <c r="BU80" s="164">
        <f>IF(BU75&gt;0,0,MAX(BU71-BU72-BU73,0)*Premissas!$B$7)</f>
        <v>0</v>
      </c>
      <c r="BV80" s="164">
        <f>IF(BV75&gt;0,0,MAX(BV71-BV72-BV73,0)*Premissas!$B$7)</f>
        <v>0</v>
      </c>
      <c r="BW80" s="164">
        <f>IF(BW75&gt;0,0,MAX(BW71-BW72-BW73,0)*Premissas!$B$7)</f>
        <v>0</v>
      </c>
      <c r="BX80" s="164">
        <f>IF(BX75&gt;0,0,MAX(BX71-BX72-BX73,0)*Premissas!$B$7)</f>
        <v>0</v>
      </c>
      <c r="BY80" s="164">
        <f>IF(BY75&gt;0,0,MAX(BY71-BY72-BY73,0)*Premissas!$B$7)</f>
        <v>0</v>
      </c>
      <c r="BZ80" s="164">
        <f>IF(BZ75&gt;0,0,MAX(BZ71-BZ72-BZ73,0)*Premissas!$B$7)</f>
        <v>0</v>
      </c>
      <c r="CA80" s="164">
        <f>IF(CA75&gt;0,0,MAX(CA71-CA72-CA73,0)*Premissas!$B$7)</f>
        <v>0</v>
      </c>
      <c r="CB80" s="164">
        <f>IF(CB75&gt;0,0,MAX(CB71-CB72-CB73,0)*Premissas!$B$7)</f>
        <v>0</v>
      </c>
      <c r="CC80" s="164">
        <f>IF(CC75&gt;0,0,MAX(CC71-CC72-CC73,0)*Premissas!$B$7)</f>
        <v>0</v>
      </c>
      <c r="CD80" s="164">
        <f>IF(CD75&gt;0,0,MAX(CD71-CD72-CD73,0)*Premissas!$B$7)</f>
        <v>0</v>
      </c>
      <c r="CE80" s="164">
        <f>IF(CE75&gt;0,0,MAX(CE71-CE72-CE73,0)*Premissas!$B$7)</f>
        <v>0</v>
      </c>
      <c r="CF80" s="164">
        <f>IF(CF75&gt;0,0,MAX(CF71-CF72-CF73,0)*Premissas!$B$7)</f>
        <v>0</v>
      </c>
      <c r="CG80" s="164">
        <f>IF(CG75&gt;0,0,MAX(CG71-CG72-CG73,0)*Premissas!$B$7)</f>
        <v>0</v>
      </c>
      <c r="CH80" s="164">
        <f>IF(CH75&gt;0,0,MAX(CH71-CH72-CH73,0)*Premissas!$B$7)</f>
        <v>0</v>
      </c>
      <c r="CI80" s="164">
        <f>IF(CI75&gt;0,0,MAX(CI71-CI72-CI73,0)*Premissas!$B$7)</f>
        <v>0</v>
      </c>
      <c r="CJ80" s="164">
        <f>IF(CJ75&gt;0,0,MAX(CJ71-CJ72-CJ73,0)*Premissas!$B$7)</f>
        <v>0</v>
      </c>
      <c r="CK80" s="164">
        <f>IF(CK75&gt;0,0,MAX(CK71-CK72-CK73,0)*Premissas!$B$7)</f>
        <v>0</v>
      </c>
      <c r="CL80" s="164">
        <f>IF(CL75&gt;0,0,MAX(CL71-CL72-CL73,0)*Premissas!$B$7)</f>
        <v>0</v>
      </c>
      <c r="CM80" s="164">
        <f>IF(CM75&gt;0,0,MAX(CM71-CM72-CM73,0)*Premissas!$B$7)</f>
        <v>0</v>
      </c>
      <c r="CN80" s="164">
        <f>IF(CN75&gt;0,0,MAX(CN71-CN72-CN73,0)*Premissas!$B$7)</f>
        <v>0</v>
      </c>
      <c r="CO80" s="164">
        <f>IF(CO75&gt;0,0,MAX(CO71-CO72-CO73,0)*Premissas!$B$7)</f>
        <v>0</v>
      </c>
      <c r="CP80" s="164">
        <f>IF(CP75&gt;0,0,MAX(CP71-CP72-CP73,0)*Premissas!$B$7)</f>
        <v>0</v>
      </c>
      <c r="CQ80" s="164">
        <f>IF(CQ75&gt;0,0,MAX(CQ71-CQ72-CQ73,0)*Premissas!$B$7)</f>
        <v>0</v>
      </c>
      <c r="CR80" s="164">
        <f>IF(CR75&gt;0,0,MAX(CR71-CR72-CR73,0)*Premissas!$B$7)</f>
        <v>0</v>
      </c>
      <c r="CS80" s="164">
        <f>IF(CS75&gt;0,0,MAX(CS71-CS72-CS73,0)*Premissas!$B$7)</f>
        <v>0</v>
      </c>
      <c r="CT80" s="164">
        <f>IF(CT75&gt;0,0,MAX(CT71-CT72-CT73,0)*Premissas!$B$7)</f>
        <v>0</v>
      </c>
      <c r="CU80" s="164">
        <f>IF(CU75&gt;0,0,MAX(CU71-CU72-CU73,0)*Premissas!$B$7)</f>
        <v>0</v>
      </c>
      <c r="CV80" s="164">
        <f>IF(CV75&gt;0,0,MAX(CV71-CV72-CV73,0)*Premissas!$B$7)</f>
        <v>0</v>
      </c>
      <c r="CW80" s="164">
        <f>IF(CW75&gt;0,0,MAX(CW71-CW72-CW73,0)*Premissas!$B$7)</f>
        <v>0</v>
      </c>
      <c r="CX80" s="164">
        <f>IF(CX75&gt;0,0,MAX(CX71-CX72-CX73,0)*Premissas!$B$7)</f>
        <v>0</v>
      </c>
      <c r="CY80" s="164">
        <f>IF(CY75&gt;0,0,MAX(CY71-CY72-CY73,0)*Premissas!$B$7)</f>
        <v>0</v>
      </c>
      <c r="CZ80" s="164">
        <f>IF(CZ75&gt;0,0,MAX(CZ71-CZ72-CZ73,0)*Premissas!$B$7)</f>
        <v>0</v>
      </c>
      <c r="DA80" s="164">
        <f>IF(DA75&gt;0,0,MAX(DA71-DA72-DA73,0)*Premissas!$B$7)</f>
        <v>0</v>
      </c>
      <c r="DB80" s="164">
        <f>IF(DB75&gt;0,0,MAX(DB71-DB72-DB73,0)*Premissas!$B$7)</f>
        <v>0</v>
      </c>
      <c r="DC80" s="164">
        <f>IF(DC75&gt;0,0,MAX(DC71-DC72-DC73,0)*Premissas!$B$7)</f>
        <v>0</v>
      </c>
      <c r="DD80" s="164">
        <f>IF(DD75&gt;0,0,MAX(DD71-DD72-DD73,0)*Premissas!$B$7)</f>
        <v>0</v>
      </c>
      <c r="DE80" s="164">
        <f>IF(DE75&gt;0,0,MAX(DE71-DE72-DE73,0)*Premissas!$B$7)</f>
        <v>0</v>
      </c>
      <c r="DF80" s="164">
        <f>IF(DF75&gt;0,0,MAX(DF71-DF72-DF73,0)*Premissas!$B$7)</f>
        <v>0</v>
      </c>
      <c r="DG80" s="164">
        <f>IF(DG75&gt;0,0,MAX(DG71-DG72-DG73,0)*Premissas!$B$7)</f>
        <v>0</v>
      </c>
      <c r="DH80" s="164">
        <f>IF(DH75&gt;0,0,MAX(DH71-DH72-DH73,0)*Premissas!$B$7)</f>
        <v>0</v>
      </c>
      <c r="DI80" s="164">
        <f>IF(DI75&gt;0,0,MAX(DI71-DI72-DI73,0)*Premissas!$B$7)</f>
        <v>0</v>
      </c>
      <c r="DJ80" s="164">
        <f>IF(DJ75&gt;0,0,MAX(DJ71-DJ72-DJ73,0)*Premissas!$B$7)</f>
        <v>0</v>
      </c>
      <c r="DK80" s="164">
        <f>IF(DK75&gt;0,0,MAX(DK71-DK72-DK73,0)*Premissas!$B$7)</f>
        <v>0</v>
      </c>
      <c r="DL80" s="164">
        <f>IF(DL75&gt;0,0,MAX(DL71-DL72-DL73,0)*Premissas!$B$7)</f>
        <v>0</v>
      </c>
      <c r="DM80" s="164">
        <f>IF(DM75&gt;0,0,MAX(DM71-DM72-DM73,0)*Premissas!$B$7)</f>
        <v>0</v>
      </c>
      <c r="DN80" s="164">
        <f>IF(DN75&gt;0,0,MAX(DN71-DN72-DN73,0)*Premissas!$B$7)</f>
        <v>0</v>
      </c>
      <c r="DO80" s="164">
        <f>IF(DO75&gt;0,0,MAX(DO71-DO72-DO73,0)*Premissas!$B$7)</f>
        <v>0</v>
      </c>
      <c r="DP80" s="164">
        <f>IF(DP75&gt;0,0,MAX(DP71-DP72-DP73,0)*Premissas!$B$7)</f>
        <v>0</v>
      </c>
      <c r="DQ80" s="164">
        <f>IF(DQ75&gt;0,0,MAX(DQ71-DQ72-DQ73,0)*Premissas!$B$7)</f>
        <v>0</v>
      </c>
      <c r="DR80" s="164">
        <f>IF(DR75&gt;0,0,MAX(DR71-DR72-DR73,0)*Premissas!$B$7)</f>
        <v>0</v>
      </c>
      <c r="DS80" s="164">
        <f>IF(DS75&gt;0,0,MAX(DS71-DS72-DS73,0)*Premissas!$B$7)</f>
        <v>0</v>
      </c>
    </row>
    <row r="81" spans="1:123" ht="13.5" customHeight="1" x14ac:dyDescent="0.35">
      <c r="A81" s="39" t="s">
        <v>499</v>
      </c>
      <c r="B81" s="42">
        <f>SUM(D81:BQ81)</f>
        <v>29113.707213040732</v>
      </c>
      <c r="C81" s="144">
        <f>B81/60</f>
        <v>485.22845355067886</v>
      </c>
      <c r="D81" s="165">
        <f t="shared" ref="D81:AI81" si="126">MAX(D79-D80,0)</f>
        <v>369.23270033661282</v>
      </c>
      <c r="E81" s="165">
        <f t="shared" si="126"/>
        <v>394.12377861363569</v>
      </c>
      <c r="F81" s="165">
        <f t="shared" si="126"/>
        <v>416.47091372598243</v>
      </c>
      <c r="G81" s="165">
        <f t="shared" si="126"/>
        <v>416.47091372598243</v>
      </c>
      <c r="H81" s="165">
        <f t="shared" si="126"/>
        <v>416.47091372598243</v>
      </c>
      <c r="I81" s="165">
        <f t="shared" si="126"/>
        <v>416.47091372598243</v>
      </c>
      <c r="J81" s="165">
        <f t="shared" si="126"/>
        <v>416.47091372598243</v>
      </c>
      <c r="K81" s="165">
        <f t="shared" si="126"/>
        <v>426.65131383928423</v>
      </c>
      <c r="L81" s="165">
        <f t="shared" si="126"/>
        <v>426.65131383928423</v>
      </c>
      <c r="M81" s="165">
        <f t="shared" si="126"/>
        <v>426.65131383928423</v>
      </c>
      <c r="N81" s="165">
        <f t="shared" si="126"/>
        <v>426.65131383928423</v>
      </c>
      <c r="O81" s="165">
        <f t="shared" si="126"/>
        <v>426.65131383928423</v>
      </c>
      <c r="P81" s="165">
        <f t="shared" si="126"/>
        <v>426.65131383928423</v>
      </c>
      <c r="Q81" s="165">
        <f t="shared" si="126"/>
        <v>426.65131383928423</v>
      </c>
      <c r="R81" s="165">
        <f t="shared" si="126"/>
        <v>426.65131383928423</v>
      </c>
      <c r="S81" s="165">
        <f t="shared" si="126"/>
        <v>426.65131383928423</v>
      </c>
      <c r="T81" s="165">
        <f t="shared" si="126"/>
        <v>426.65131383928423</v>
      </c>
      <c r="U81" s="165">
        <f t="shared" si="126"/>
        <v>426.65131383928423</v>
      </c>
      <c r="V81" s="165">
        <f t="shared" si="126"/>
        <v>426.65131383928423</v>
      </c>
      <c r="W81" s="165">
        <f t="shared" si="126"/>
        <v>426.65131383928423</v>
      </c>
      <c r="X81" s="165">
        <f t="shared" si="126"/>
        <v>426.65131383928423</v>
      </c>
      <c r="Y81" s="165">
        <f t="shared" si="126"/>
        <v>426.65131383928423</v>
      </c>
      <c r="Z81" s="165">
        <f t="shared" si="126"/>
        <v>426.65131383928423</v>
      </c>
      <c r="AA81" s="165">
        <f t="shared" si="126"/>
        <v>426.65131383928423</v>
      </c>
      <c r="AB81" s="165">
        <f t="shared" si="126"/>
        <v>437.75720487197708</v>
      </c>
      <c r="AC81" s="165">
        <f t="shared" si="126"/>
        <v>437.75720487197708</v>
      </c>
      <c r="AD81" s="165">
        <f t="shared" si="126"/>
        <v>437.75720487197708</v>
      </c>
      <c r="AE81" s="165">
        <f t="shared" si="126"/>
        <v>437.75720487197708</v>
      </c>
      <c r="AF81" s="165">
        <f t="shared" si="126"/>
        <v>437.75720487197708</v>
      </c>
      <c r="AG81" s="165">
        <f t="shared" si="126"/>
        <v>437.75720487197708</v>
      </c>
      <c r="AH81" s="165">
        <f t="shared" si="126"/>
        <v>437.75720487197708</v>
      </c>
      <c r="AI81" s="165">
        <f t="shared" si="126"/>
        <v>447.93760498527888</v>
      </c>
      <c r="AJ81" s="165">
        <f t="shared" ref="AJ81:BO81" si="127">MAX(AJ79-AJ80,0)</f>
        <v>447.93760498527888</v>
      </c>
      <c r="AK81" s="165">
        <f t="shared" si="127"/>
        <v>447.93760498527888</v>
      </c>
      <c r="AL81" s="165">
        <f t="shared" si="127"/>
        <v>447.93760498527888</v>
      </c>
      <c r="AM81" s="165">
        <f t="shared" si="127"/>
        <v>447.93760498527888</v>
      </c>
      <c r="AN81" s="165">
        <f t="shared" si="127"/>
        <v>448.86309590466999</v>
      </c>
      <c r="AO81" s="165">
        <f t="shared" si="127"/>
        <v>448.86309590466999</v>
      </c>
      <c r="AP81" s="165">
        <f t="shared" si="127"/>
        <v>448.86309590466999</v>
      </c>
      <c r="AQ81" s="165">
        <f t="shared" si="127"/>
        <v>448.86309590466999</v>
      </c>
      <c r="AR81" s="165">
        <f t="shared" si="127"/>
        <v>448.86309590466999</v>
      </c>
      <c r="AS81" s="165">
        <f t="shared" si="127"/>
        <v>448.86309590466999</v>
      </c>
      <c r="AT81" s="165">
        <f t="shared" si="127"/>
        <v>448.86309590466999</v>
      </c>
      <c r="AU81" s="165">
        <f t="shared" si="127"/>
        <v>459.04349601797173</v>
      </c>
      <c r="AV81" s="165">
        <f t="shared" si="127"/>
        <v>459.04349601797173</v>
      </c>
      <c r="AW81" s="165">
        <f t="shared" si="127"/>
        <v>459.04349601797173</v>
      </c>
      <c r="AX81" s="165">
        <f t="shared" si="127"/>
        <v>459.04349601797173</v>
      </c>
      <c r="AY81" s="165">
        <f t="shared" si="127"/>
        <v>459.04349601797173</v>
      </c>
      <c r="AZ81" s="165">
        <f t="shared" si="127"/>
        <v>459.96898693736284</v>
      </c>
      <c r="BA81" s="165">
        <f t="shared" si="127"/>
        <v>459.96898693736284</v>
      </c>
      <c r="BB81" s="165">
        <f t="shared" si="127"/>
        <v>459.96898693736284</v>
      </c>
      <c r="BC81" s="165">
        <f t="shared" si="127"/>
        <v>459.96898693736284</v>
      </c>
      <c r="BD81" s="165">
        <f t="shared" si="127"/>
        <v>459.96898693736284</v>
      </c>
      <c r="BE81" s="165">
        <f t="shared" si="127"/>
        <v>459.96898693736284</v>
      </c>
      <c r="BF81" s="165">
        <f t="shared" si="127"/>
        <v>459.96898693736284</v>
      </c>
      <c r="BG81" s="165">
        <f t="shared" si="127"/>
        <v>471.0748779700557</v>
      </c>
      <c r="BH81" s="165">
        <f t="shared" si="127"/>
        <v>456.15528968118088</v>
      </c>
      <c r="BI81" s="165">
        <f t="shared" si="127"/>
        <v>446.25548428733913</v>
      </c>
      <c r="BJ81" s="165">
        <f t="shared" si="127"/>
        <v>445.0218018183744</v>
      </c>
      <c r="BK81" s="165">
        <f t="shared" si="127"/>
        <v>408.9365896011534</v>
      </c>
      <c r="BL81" s="165">
        <f t="shared" si="127"/>
        <v>471.0748779700557</v>
      </c>
      <c r="BM81" s="165">
        <f t="shared" si="127"/>
        <v>471.0748779700557</v>
      </c>
      <c r="BN81" s="165">
        <f t="shared" si="127"/>
        <v>471.0748779700557</v>
      </c>
      <c r="BO81" s="165">
        <f t="shared" si="127"/>
        <v>471.0748779700557</v>
      </c>
      <c r="BP81" s="165">
        <f t="shared" ref="BP81:CU81" si="128">MAX(BP79-BP80,0)</f>
        <v>471.0748779700557</v>
      </c>
      <c r="BQ81" s="165">
        <f t="shared" si="128"/>
        <v>471.0748779700557</v>
      </c>
      <c r="BR81" s="165">
        <f t="shared" si="128"/>
        <v>471.0748779700557</v>
      </c>
      <c r="BS81" s="165">
        <f t="shared" si="128"/>
        <v>483.10625992213966</v>
      </c>
      <c r="BT81" s="165">
        <f t="shared" si="128"/>
        <v>483.10625992213966</v>
      </c>
      <c r="BU81" s="165">
        <f t="shared" si="128"/>
        <v>483.10625992213966</v>
      </c>
      <c r="BV81" s="165">
        <f t="shared" si="128"/>
        <v>483.10625992213966</v>
      </c>
      <c r="BW81" s="165">
        <f t="shared" si="128"/>
        <v>483.10625992213966</v>
      </c>
      <c r="BX81" s="165">
        <f t="shared" si="128"/>
        <v>483.10625992213966</v>
      </c>
      <c r="BY81" s="165">
        <f t="shared" si="128"/>
        <v>483.10625992213966</v>
      </c>
      <c r="BZ81" s="165">
        <f t="shared" si="128"/>
        <v>483.10625992213966</v>
      </c>
      <c r="CA81" s="165">
        <f t="shared" si="128"/>
        <v>483.10625992213966</v>
      </c>
      <c r="CB81" s="165">
        <f t="shared" si="128"/>
        <v>483.10625992213966</v>
      </c>
      <c r="CC81" s="165">
        <f t="shared" si="128"/>
        <v>483.10625992213966</v>
      </c>
      <c r="CD81" s="165">
        <f t="shared" si="128"/>
        <v>483.10625992213966</v>
      </c>
      <c r="CE81" s="165">
        <f t="shared" si="128"/>
        <v>495.13764187422356</v>
      </c>
      <c r="CF81" s="165">
        <f t="shared" si="128"/>
        <v>495.13764187422356</v>
      </c>
      <c r="CG81" s="165">
        <f t="shared" si="128"/>
        <v>495.13764187422356</v>
      </c>
      <c r="CH81" s="165">
        <f t="shared" si="128"/>
        <v>495.13764187422356</v>
      </c>
      <c r="CI81" s="165">
        <f t="shared" si="128"/>
        <v>495.13764187422356</v>
      </c>
      <c r="CJ81" s="165">
        <f t="shared" si="128"/>
        <v>495.13764187422356</v>
      </c>
      <c r="CK81" s="165">
        <f t="shared" si="128"/>
        <v>495.13764187422356</v>
      </c>
      <c r="CL81" s="165">
        <f t="shared" si="128"/>
        <v>495.13764187422356</v>
      </c>
      <c r="CM81" s="165">
        <f t="shared" si="128"/>
        <v>495.13764187422356</v>
      </c>
      <c r="CN81" s="165">
        <f t="shared" si="128"/>
        <v>495.13764187422356</v>
      </c>
      <c r="CO81" s="165">
        <f t="shared" si="128"/>
        <v>495.13764187422356</v>
      </c>
      <c r="CP81" s="165">
        <f t="shared" si="128"/>
        <v>495.13764187422356</v>
      </c>
      <c r="CQ81" s="165">
        <f t="shared" si="128"/>
        <v>507.16902382630752</v>
      </c>
      <c r="CR81" s="165">
        <f t="shared" si="128"/>
        <v>507.16902382630752</v>
      </c>
      <c r="CS81" s="165">
        <f t="shared" si="128"/>
        <v>507.16902382630752</v>
      </c>
      <c r="CT81" s="165">
        <f t="shared" si="128"/>
        <v>507.16902382630752</v>
      </c>
      <c r="CU81" s="165">
        <f t="shared" si="128"/>
        <v>507.16902382630752</v>
      </c>
      <c r="CV81" s="165">
        <f t="shared" ref="CV81:DS81" si="129">MAX(CV79-CV80,0)</f>
        <v>507.16902382630752</v>
      </c>
      <c r="CW81" s="165">
        <f t="shared" si="129"/>
        <v>507.16902382630752</v>
      </c>
      <c r="CX81" s="165">
        <f t="shared" si="129"/>
        <v>507.16902382630752</v>
      </c>
      <c r="CY81" s="165">
        <f t="shared" si="129"/>
        <v>507.16902382630752</v>
      </c>
      <c r="CZ81" s="165">
        <f t="shared" si="129"/>
        <v>507.16902382630752</v>
      </c>
      <c r="DA81" s="165">
        <f t="shared" si="129"/>
        <v>507.16902382630752</v>
      </c>
      <c r="DB81" s="165">
        <f t="shared" si="129"/>
        <v>507.16902382630752</v>
      </c>
      <c r="DC81" s="165">
        <f t="shared" si="129"/>
        <v>520.12589669778254</v>
      </c>
      <c r="DD81" s="165">
        <f t="shared" si="129"/>
        <v>520.12589669778254</v>
      </c>
      <c r="DE81" s="165">
        <f t="shared" si="129"/>
        <v>520.12589669778254</v>
      </c>
      <c r="DF81" s="165">
        <f t="shared" si="129"/>
        <v>520.12589669778254</v>
      </c>
      <c r="DG81" s="165">
        <f t="shared" si="129"/>
        <v>520.12589669778254</v>
      </c>
      <c r="DH81" s="165">
        <f t="shared" si="129"/>
        <v>520.12589669778254</v>
      </c>
      <c r="DI81" s="165">
        <f t="shared" si="129"/>
        <v>520.12589669778254</v>
      </c>
      <c r="DJ81" s="165">
        <f t="shared" si="129"/>
        <v>520.12589669778254</v>
      </c>
      <c r="DK81" s="165">
        <f t="shared" si="129"/>
        <v>520.12589669778254</v>
      </c>
      <c r="DL81" s="165">
        <f t="shared" si="129"/>
        <v>520.12589669778254</v>
      </c>
      <c r="DM81" s="165">
        <f t="shared" si="129"/>
        <v>520.12589669778254</v>
      </c>
      <c r="DN81" s="165">
        <f t="shared" si="129"/>
        <v>520.12589669778254</v>
      </c>
      <c r="DO81" s="165">
        <f t="shared" si="129"/>
        <v>533.08276956925749</v>
      </c>
      <c r="DP81" s="165">
        <f t="shared" si="129"/>
        <v>533.08276956925749</v>
      </c>
      <c r="DQ81" s="165">
        <f t="shared" si="129"/>
        <v>533.08276956925749</v>
      </c>
      <c r="DR81" s="165">
        <f t="shared" si="129"/>
        <v>533.08276956925749</v>
      </c>
      <c r="DS81" s="165">
        <f t="shared" si="129"/>
        <v>533.08276956925749</v>
      </c>
    </row>
    <row r="83" spans="1:123" ht="15" customHeight="1" x14ac:dyDescent="0.35">
      <c r="A83" s="289" t="s">
        <v>506</v>
      </c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</row>
    <row r="84" spans="1:123" ht="12.75" customHeight="1" x14ac:dyDescent="0.35">
      <c r="A84" s="166" t="s">
        <v>486</v>
      </c>
      <c r="B84" s="167">
        <f>SUM(D84:BQ84)</f>
        <v>42066</v>
      </c>
      <c r="C84" s="139">
        <f>B84/60</f>
        <v>701.1</v>
      </c>
      <c r="D84" s="167">
        <v>364</v>
      </c>
      <c r="E84" s="167">
        <v>293</v>
      </c>
      <c r="F84" s="167">
        <v>369</v>
      </c>
      <c r="G84" s="167">
        <v>674</v>
      </c>
      <c r="H84" s="167">
        <v>752</v>
      </c>
      <c r="I84" s="167">
        <v>769</v>
      </c>
      <c r="J84" s="167">
        <v>670</v>
      </c>
      <c r="K84" s="167">
        <v>399</v>
      </c>
      <c r="L84" s="167">
        <v>917</v>
      </c>
      <c r="M84" s="167">
        <v>968</v>
      </c>
      <c r="N84" s="167">
        <v>541</v>
      </c>
      <c r="O84" s="167">
        <v>610</v>
      </c>
      <c r="P84" s="167">
        <v>373</v>
      </c>
      <c r="Q84" s="167">
        <v>300</v>
      </c>
      <c r="R84" s="167">
        <v>378</v>
      </c>
      <c r="S84" s="167">
        <v>691</v>
      </c>
      <c r="T84" s="167">
        <v>771</v>
      </c>
      <c r="U84" s="167">
        <v>788</v>
      </c>
      <c r="V84" s="167">
        <v>687</v>
      </c>
      <c r="W84" s="167">
        <v>399</v>
      </c>
      <c r="X84" s="167">
        <v>917</v>
      </c>
      <c r="Y84" s="167">
        <v>968</v>
      </c>
      <c r="Z84" s="167">
        <v>541</v>
      </c>
      <c r="AA84" s="167">
        <v>610</v>
      </c>
      <c r="AB84" s="167">
        <v>382</v>
      </c>
      <c r="AC84" s="167">
        <v>308</v>
      </c>
      <c r="AD84" s="167">
        <v>388</v>
      </c>
      <c r="AE84" s="167">
        <v>708</v>
      </c>
      <c r="AF84" s="167">
        <v>790</v>
      </c>
      <c r="AG84" s="167">
        <v>808</v>
      </c>
      <c r="AH84" s="167">
        <v>704</v>
      </c>
      <c r="AI84" s="167">
        <v>419</v>
      </c>
      <c r="AJ84" s="167">
        <v>963</v>
      </c>
      <c r="AK84" s="167">
        <v>1017</v>
      </c>
      <c r="AL84" s="167">
        <v>568</v>
      </c>
      <c r="AM84" s="167">
        <v>641</v>
      </c>
      <c r="AN84" s="167">
        <v>392</v>
      </c>
      <c r="AO84" s="167">
        <v>316</v>
      </c>
      <c r="AP84" s="167">
        <v>397</v>
      </c>
      <c r="AQ84" s="167">
        <v>726</v>
      </c>
      <c r="AR84" s="167">
        <v>810</v>
      </c>
      <c r="AS84" s="167">
        <v>828</v>
      </c>
      <c r="AT84" s="167">
        <v>722</v>
      </c>
      <c r="AU84" s="167">
        <v>430</v>
      </c>
      <c r="AV84" s="167">
        <v>988</v>
      </c>
      <c r="AW84" s="167">
        <v>1042</v>
      </c>
      <c r="AX84" s="167">
        <v>583</v>
      </c>
      <c r="AY84" s="167">
        <v>657</v>
      </c>
      <c r="AZ84" s="167">
        <v>402</v>
      </c>
      <c r="BA84" s="167">
        <v>323</v>
      </c>
      <c r="BB84" s="167">
        <v>407</v>
      </c>
      <c r="BC84" s="167">
        <v>744</v>
      </c>
      <c r="BD84" s="167">
        <v>830</v>
      </c>
      <c r="BE84" s="167">
        <v>849</v>
      </c>
      <c r="BF84" s="167">
        <v>740</v>
      </c>
      <c r="BG84" s="167">
        <v>440</v>
      </c>
      <c r="BH84" s="167">
        <v>1012</v>
      </c>
      <c r="BI84" s="167">
        <v>1068</v>
      </c>
      <c r="BJ84" s="167">
        <v>597</v>
      </c>
      <c r="BK84" s="167">
        <v>673</v>
      </c>
      <c r="BL84" s="167">
        <v>412</v>
      </c>
      <c r="BM84" s="167">
        <v>332</v>
      </c>
      <c r="BN84" s="167">
        <v>417</v>
      </c>
      <c r="BO84" s="167">
        <v>763</v>
      </c>
      <c r="BP84" s="167">
        <v>851</v>
      </c>
      <c r="BQ84" s="167">
        <v>870</v>
      </c>
      <c r="BR84" s="167">
        <v>758</v>
      </c>
      <c r="BS84" s="167">
        <v>451</v>
      </c>
      <c r="BT84" s="167">
        <v>1038</v>
      </c>
      <c r="BU84" s="167">
        <v>1095</v>
      </c>
      <c r="BV84" s="167">
        <v>612</v>
      </c>
      <c r="BW84" s="167">
        <v>690</v>
      </c>
      <c r="BX84" s="167">
        <v>422</v>
      </c>
      <c r="BY84" s="167">
        <v>340</v>
      </c>
      <c r="BZ84" s="167">
        <v>428</v>
      </c>
      <c r="CA84" s="167">
        <v>782</v>
      </c>
      <c r="CB84" s="167">
        <v>872</v>
      </c>
      <c r="CC84" s="167">
        <v>892</v>
      </c>
      <c r="CD84" s="167">
        <v>777</v>
      </c>
      <c r="CE84" s="167">
        <v>463</v>
      </c>
      <c r="CF84" s="167">
        <v>1063</v>
      </c>
      <c r="CG84" s="167">
        <v>1123</v>
      </c>
      <c r="CH84" s="167">
        <v>627</v>
      </c>
      <c r="CI84" s="167">
        <v>707</v>
      </c>
      <c r="CJ84" s="167">
        <v>433</v>
      </c>
      <c r="CK84" s="167">
        <v>348</v>
      </c>
      <c r="CL84" s="167">
        <v>439</v>
      </c>
      <c r="CM84" s="167">
        <v>801</v>
      </c>
      <c r="CN84" s="167">
        <v>894</v>
      </c>
      <c r="CO84" s="167">
        <v>914</v>
      </c>
      <c r="CP84" s="167">
        <v>796</v>
      </c>
      <c r="CQ84" s="167">
        <v>474</v>
      </c>
      <c r="CR84" s="167">
        <v>1090</v>
      </c>
      <c r="CS84" s="167">
        <v>1151</v>
      </c>
      <c r="CT84" s="167">
        <v>643</v>
      </c>
      <c r="CU84" s="167">
        <v>725</v>
      </c>
      <c r="CV84" s="167">
        <v>443</v>
      </c>
      <c r="CW84" s="167">
        <v>357</v>
      </c>
      <c r="CX84" s="167">
        <v>450</v>
      </c>
      <c r="CY84" s="167">
        <v>821</v>
      </c>
      <c r="CZ84" s="167">
        <v>916</v>
      </c>
      <c r="DA84" s="167">
        <v>937</v>
      </c>
      <c r="DB84" s="167">
        <v>816</v>
      </c>
      <c r="DC84" s="167">
        <v>486</v>
      </c>
      <c r="DD84" s="167">
        <v>1117</v>
      </c>
      <c r="DE84" s="167">
        <v>1179</v>
      </c>
      <c r="DF84" s="167">
        <v>659</v>
      </c>
      <c r="DG84" s="167">
        <v>743</v>
      </c>
      <c r="DH84" s="167">
        <v>455</v>
      </c>
      <c r="DI84" s="167">
        <v>366</v>
      </c>
      <c r="DJ84" s="167">
        <v>461</v>
      </c>
      <c r="DK84" s="167">
        <v>842</v>
      </c>
      <c r="DL84" s="167">
        <v>939</v>
      </c>
      <c r="DM84" s="167">
        <v>960</v>
      </c>
      <c r="DN84" s="167">
        <v>837</v>
      </c>
      <c r="DO84" s="167">
        <v>498</v>
      </c>
      <c r="DP84" s="167">
        <v>1145</v>
      </c>
      <c r="DQ84" s="167">
        <v>1209</v>
      </c>
      <c r="DR84" s="167">
        <v>676</v>
      </c>
      <c r="DS84" s="167">
        <v>762</v>
      </c>
    </row>
    <row r="85" spans="1:123" ht="12.75" customHeight="1" x14ac:dyDescent="0.35">
      <c r="A85" s="142" t="str">
        <f>"  "&amp;INDEX(PVSYST_Helexia!$A$5:$A$7,MATCH(Premissas!$B$13,PVSYST_Helexia!$B$5:$B$7,0))&amp;" créditos recebidos (kWh)"</f>
        <v xml:space="preserve">  HCS03 créditos recebidos (kWh)</v>
      </c>
      <c r="B85" s="155">
        <f>SUM(D85:BQ85)</f>
        <v>60461.298446291687</v>
      </c>
      <c r="C85" s="139">
        <f>B85/60</f>
        <v>1007.6883074381948</v>
      </c>
      <c r="D85" s="156">
        <f>D6*Premissas!$B$38</f>
        <v>384.36899999999997</v>
      </c>
      <c r="E85" s="156">
        <f>E6*Premissas!$B$38</f>
        <v>404.58099999999996</v>
      </c>
      <c r="F85" s="156">
        <f>F6*Premissas!$B$38</f>
        <v>485.67699999999996</v>
      </c>
      <c r="G85" s="156">
        <f>G6*Premissas!$B$38</f>
        <v>455.73099999999999</v>
      </c>
      <c r="H85" s="156">
        <f>H6*Premissas!$C$38</f>
        <v>1163.316</v>
      </c>
      <c r="I85" s="156">
        <f>I6*Premissas!$C$38</f>
        <v>1124.816</v>
      </c>
      <c r="J85" s="156">
        <f>J6*Premissas!$C$38</f>
        <v>1068.067</v>
      </c>
      <c r="K85" s="156">
        <f>K6*Premissas!$C$38</f>
        <v>1096.6671099999999</v>
      </c>
      <c r="L85" s="156">
        <f>L6*Premissas!$C$38</f>
        <v>977.22432500000002</v>
      </c>
      <c r="M85" s="156">
        <f>M6*Premissas!$C$38</f>
        <v>1120.87745</v>
      </c>
      <c r="N85" s="156">
        <f>N6*Premissas!$D$38</f>
        <v>566.47538999999995</v>
      </c>
      <c r="O85" s="156">
        <f>O6*Premissas!$D$38</f>
        <v>530.15391</v>
      </c>
      <c r="P85" s="156">
        <f>P6*Premissas!$D$38</f>
        <v>481.14319499999999</v>
      </c>
      <c r="Q85" s="156">
        <f>Q6*Premissas!$D$38</f>
        <v>506.44405499999993</v>
      </c>
      <c r="R85" s="156">
        <f>R6*Premissas!$D$38</f>
        <v>607.95793499999991</v>
      </c>
      <c r="S85" s="156">
        <f>S6*Premissas!$D$38</f>
        <v>570.47230500000001</v>
      </c>
      <c r="T85" s="156">
        <f>T6*Premissas!$E$38</f>
        <v>1082.3371199999999</v>
      </c>
      <c r="U85" s="156">
        <f>U6*Premissas!$E$38</f>
        <v>1046.51712</v>
      </c>
      <c r="V85" s="156">
        <f>V6*Premissas!$E$38</f>
        <v>993.7184400000001</v>
      </c>
      <c r="W85" s="156">
        <f>W6*Premissas!$E$38</f>
        <v>1025.4549599999998</v>
      </c>
      <c r="X85" s="156">
        <f>X6*Premissas!$E$38</f>
        <v>913.76819999999998</v>
      </c>
      <c r="Y85" s="156">
        <f>Y6*Premissas!$E$38</f>
        <v>1048.0932</v>
      </c>
      <c r="Z85" s="156">
        <f>Z6*Premissas!$E$38</f>
        <v>1045.80072</v>
      </c>
      <c r="AA85" s="156">
        <f>AA6*Premissas!$E$38</f>
        <v>978.74567999999988</v>
      </c>
      <c r="AB85" s="156">
        <f>AB6*Premissas!$F$38</f>
        <v>392.81023920000001</v>
      </c>
      <c r="AC85" s="156">
        <f>AC6*Premissas!$F$38</f>
        <v>413.4661208</v>
      </c>
      <c r="AD85" s="156">
        <f>AD6*Premissas!$F$38</f>
        <v>496.34309360000009</v>
      </c>
      <c r="AE85" s="156">
        <f>AE6*Premissas!$F$38</f>
        <v>465.73944080000001</v>
      </c>
      <c r="AF85" s="156">
        <f>AF6*Premissas!$F$38</f>
        <v>478.63352640000005</v>
      </c>
      <c r="AG85" s="156">
        <f>AG6*Premissas!$F$38</f>
        <v>462.79312640000006</v>
      </c>
      <c r="AH85" s="156">
        <f>AH6*Premissas!$G$38</f>
        <v>466.90965034999999</v>
      </c>
      <c r="AI85" s="156">
        <f>AI6*Premissas!$G$38</f>
        <v>481.8214069</v>
      </c>
      <c r="AJ85" s="156">
        <f>AJ6*Premissas!$G$38</f>
        <v>429.34414175000001</v>
      </c>
      <c r="AK85" s="156">
        <f>AK6*Premissas!$G$38</f>
        <v>492.4582355</v>
      </c>
      <c r="AL85" s="156">
        <f>AL6*Premissas!$G$38</f>
        <v>491.38108829999999</v>
      </c>
      <c r="AM85" s="156">
        <f>AM6*Premissas!$G$38</f>
        <v>459.87453270000003</v>
      </c>
      <c r="AN85" s="156">
        <f>AN6*Premissas!$H$38</f>
        <v>390.84618800400006</v>
      </c>
      <c r="AO85" s="156">
        <f>AO6*Premissas!$H$38</f>
        <v>411.39879019599999</v>
      </c>
      <c r="AP85" s="156">
        <f>AP6*Premissas!$H$38</f>
        <v>493.86137813200003</v>
      </c>
      <c r="AQ85" s="156">
        <f>AQ6*Premissas!$H$38</f>
        <v>463.41074359600009</v>
      </c>
      <c r="AR85" s="156">
        <f>AR6*Premissas!$H$38</f>
        <v>476.24035876800002</v>
      </c>
      <c r="AS85" s="156">
        <f>AS6*Premissas!$H$38</f>
        <v>460.47916076800004</v>
      </c>
      <c r="AT85" s="156">
        <f>AT6*Premissas!$I$38</f>
        <v>464.57510209824994</v>
      </c>
      <c r="AU85" s="156">
        <f>AU6*Premissas!$I$38</f>
        <v>479.41229986549996</v>
      </c>
      <c r="AV85" s="156">
        <f>AV6*Premissas!$I$38</f>
        <v>427.19742104124998</v>
      </c>
      <c r="AW85" s="156">
        <f>AW6*Premissas!$I$38</f>
        <v>489.99594432250001</v>
      </c>
      <c r="AX85" s="156">
        <f>AX6*Premissas!$I$38</f>
        <v>488.92418285849999</v>
      </c>
      <c r="AY85" s="156">
        <f>AY6*Premissas!$I$38</f>
        <v>457.57516003649994</v>
      </c>
      <c r="AZ85" s="156">
        <f>AZ6*Premissas!$J$38</f>
        <v>449.65632535522695</v>
      </c>
      <c r="BA85" s="156">
        <f>BA6*Premissas!$J$38</f>
        <v>473.30145190830439</v>
      </c>
      <c r="BB85" s="156">
        <f>BB6*Premissas!$J$38</f>
        <v>568.17208237279942</v>
      </c>
      <c r="BC85" s="156">
        <f>BC6*Premissas!$J$38</f>
        <v>533.13957892146072</v>
      </c>
      <c r="BD85" s="156">
        <f>BD6*Premissas!$J$38</f>
        <v>547.89965025137258</v>
      </c>
      <c r="BE85" s="156">
        <f>BE6*Premissas!$J$38</f>
        <v>529.76688448981008</v>
      </c>
      <c r="BF85" s="156">
        <f>BF6*Premissas!$K$38</f>
        <v>584.61311009628321</v>
      </c>
      <c r="BG85" s="156">
        <f>BG6*Premissas!$K$38</f>
        <v>603.28397793368879</v>
      </c>
      <c r="BH85" s="156">
        <f>BH6*Premissas!$K$38</f>
        <v>537.57769586029065</v>
      </c>
      <c r="BI85" s="156">
        <f>BI6*Premissas!$K$38</f>
        <v>616.60224934818132</v>
      </c>
      <c r="BJ85" s="156">
        <f>BJ6*Premissas!$K$38</f>
        <v>615.25356363532137</v>
      </c>
      <c r="BK85" s="156">
        <f>BK6*Premissas!$K$38</f>
        <v>575.80450653416631</v>
      </c>
      <c r="BL85" s="156">
        <f>BL6*Premissas!$L$38</f>
        <v>3350.3607209686984</v>
      </c>
      <c r="BM85" s="156">
        <f>BM6*Premissas!$L$38</f>
        <v>3526.5390571306139</v>
      </c>
      <c r="BN85" s="156">
        <f>BN6*Premissas!$L$38</f>
        <v>4233.4140991544964</v>
      </c>
      <c r="BO85" s="156">
        <f>BO6*Premissas!$L$38</f>
        <v>3972.3891409759531</v>
      </c>
      <c r="BP85" s="156">
        <f>BP6*Premissas!$L$38</f>
        <v>4082.3654949911361</v>
      </c>
      <c r="BQ85" s="156">
        <f>BQ6*Premissas!$L$38</f>
        <v>3947.2594089773975</v>
      </c>
      <c r="BR85" s="156">
        <f>BR6*Premissas!$M$38</f>
        <v>3780.0275301255288</v>
      </c>
      <c r="BS85" s="156">
        <f>BS6*Premissas!$M$38</f>
        <v>3900.7507797719577</v>
      </c>
      <c r="BT85" s="156">
        <f>BT6*Premissas!$M$38</f>
        <v>3475.9030456889282</v>
      </c>
      <c r="BU85" s="156">
        <f>BU6*Premissas!$M$38</f>
        <v>3986.8648810998839</v>
      </c>
      <c r="BV85" s="156">
        <f>BV6*Premissas!$M$38</f>
        <v>3978.1444657755374</v>
      </c>
      <c r="BW85" s="156">
        <f>BW6*Premissas!$M$38</f>
        <v>3723.0723175383878</v>
      </c>
      <c r="BX85" s="156">
        <f>BX6*Premissas!$N$38</f>
        <v>3340.7328565848866</v>
      </c>
      <c r="BY85" s="156">
        <f>BY6*Premissas!$N$38</f>
        <v>3516.4049125969309</v>
      </c>
      <c r="BZ85" s="156">
        <f>BZ6*Premissas!$N$38</f>
        <v>4221.2486219949524</v>
      </c>
      <c r="CA85" s="156">
        <f>CA6*Premissas!$N$38</f>
        <v>3960.9737660016463</v>
      </c>
      <c r="CB85" s="156">
        <f>CB6*Premissas!$N$38</f>
        <v>4070.6340831748103</v>
      </c>
      <c r="CC85" s="156">
        <f>CC6*Premissas!$N$38</f>
        <v>3935.9162488097445</v>
      </c>
      <c r="CD85" s="156">
        <f>CD6*Premissas!$O$38</f>
        <v>3768.9382519908477</v>
      </c>
      <c r="CE85" s="156">
        <f>CE6*Premissas!$O$38</f>
        <v>3889.3073418641043</v>
      </c>
      <c r="CF85" s="156">
        <f>CF6*Premissas!$O$38</f>
        <v>3465.7059623778573</v>
      </c>
      <c r="CG85" s="156">
        <f>CG6*Premissas!$O$38</f>
        <v>3975.1688145502198</v>
      </c>
      <c r="CH85" s="156">
        <f>CH6*Premissas!$O$38</f>
        <v>3966.4739818731446</v>
      </c>
      <c r="CI85" s="156">
        <f>CI6*Premissas!$O$38</f>
        <v>3712.1501260687019</v>
      </c>
      <c r="CJ85" s="156">
        <f>CJ6*Premissas!$P$38</f>
        <v>3331.0827945044389</v>
      </c>
      <c r="CK85" s="156">
        <f>CK6*Premissas!$P$38</f>
        <v>3506.2474031032684</v>
      </c>
      <c r="CL85" s="156">
        <f>CL6*Premissas!$P$38</f>
        <v>4209.0550964998019</v>
      </c>
      <c r="CM85" s="156">
        <f>CM6*Premissas!$P$38</f>
        <v>3949.5320721033754</v>
      </c>
      <c r="CN85" s="156">
        <f>CN6*Premissas!$P$38</f>
        <v>4058.8756237900693</v>
      </c>
      <c r="CO85" s="156">
        <f>CO6*Premissas!$P$38</f>
        <v>3924.5469362142785</v>
      </c>
      <c r="CP85" s="156">
        <f>CP6*Premissas!$Q$38</f>
        <v>3757.8265270122729</v>
      </c>
      <c r="CQ85" s="156">
        <f>CQ6*Premissas!$Q$38</f>
        <v>3877.8407402244738</v>
      </c>
      <c r="CR85" s="156">
        <f>CR6*Premissas!$Q$38</f>
        <v>3455.48823819779</v>
      </c>
      <c r="CS85" s="156">
        <f>CS6*Premissas!$Q$38</f>
        <v>3963.4490728995424</v>
      </c>
      <c r="CT85" s="156">
        <f>CT6*Premissas!$Q$38</f>
        <v>3954.7798746539661</v>
      </c>
      <c r="CU85" s="156">
        <f>CU6*Premissas!$Q$38</f>
        <v>3701.2058259708506</v>
      </c>
      <c r="CV85" s="156">
        <f>CV6*Premissas!$R$38</f>
        <v>3321.4099798242391</v>
      </c>
      <c r="CW85" s="156">
        <f>CW6*Premissas!$R$38</f>
        <v>3496.0659445669921</v>
      </c>
      <c r="CX85" s="156">
        <f>CX6*Premissas!$R$38</f>
        <v>4196.832821510312</v>
      </c>
      <c r="CY85" s="156">
        <f>CY6*Premissas!$R$38</f>
        <v>3938.0634013546369</v>
      </c>
      <c r="CZ85" s="156">
        <f>CZ6*Premissas!$R$38</f>
        <v>4047.0894406955886</v>
      </c>
      <c r="DA85" s="156">
        <f>DA6*Premissas!$R$38</f>
        <v>3913.150817426606</v>
      </c>
      <c r="DB85" s="156">
        <f>DB6*Premissas!$S$38</f>
        <v>0</v>
      </c>
      <c r="DC85" s="156">
        <f>DC6*Premissas!$S$38</f>
        <v>0</v>
      </c>
      <c r="DD85" s="156">
        <f>DD6*Premissas!$S$38</f>
        <v>0</v>
      </c>
      <c r="DE85" s="156">
        <f>DE6*Premissas!$S$38</f>
        <v>0</v>
      </c>
      <c r="DF85" s="156">
        <f>DF6*Premissas!$S$38</f>
        <v>0</v>
      </c>
      <c r="DG85" s="156">
        <f>DG6*Premissas!$S$38</f>
        <v>0</v>
      </c>
      <c r="DH85" s="156">
        <f>DH6*Premissas!$T$38</f>
        <v>0</v>
      </c>
      <c r="DI85" s="156">
        <f>DI6*Premissas!$T$38</f>
        <v>0</v>
      </c>
      <c r="DJ85" s="156">
        <f>DJ6*Premissas!$T$38</f>
        <v>0</v>
      </c>
      <c r="DK85" s="156">
        <f>DK6*Premissas!$T$38</f>
        <v>0</v>
      </c>
      <c r="DL85" s="156">
        <f>DL6*Premissas!$T$38</f>
        <v>0</v>
      </c>
      <c r="DM85" s="156">
        <f>DM6*Premissas!$T$38</f>
        <v>0</v>
      </c>
      <c r="DN85" s="156">
        <f>DN6*Premissas!$U$38</f>
        <v>0</v>
      </c>
      <c r="DO85" s="156">
        <f>DO6*Premissas!$U$38</f>
        <v>0</v>
      </c>
      <c r="DP85" s="156">
        <f>DP6*Premissas!$U$38</f>
        <v>0</v>
      </c>
      <c r="DQ85" s="156">
        <f>DQ6*Premissas!$U$38</f>
        <v>0</v>
      </c>
      <c r="DR85" s="156">
        <f>DR6*Premissas!$U$38</f>
        <v>0</v>
      </c>
      <c r="DS85" s="156">
        <f>DS6*Premissas!$U$38</f>
        <v>0</v>
      </c>
    </row>
    <row r="86" spans="1:123" ht="12.75" customHeight="1" x14ac:dyDescent="0.35">
      <c r="A86" s="146" t="s">
        <v>492</v>
      </c>
      <c r="B86" s="139">
        <f>AA86</f>
        <v>4560.6624350000002</v>
      </c>
      <c r="C86" s="139" t="s">
        <v>169</v>
      </c>
      <c r="D86" s="139">
        <f>0</f>
        <v>0</v>
      </c>
      <c r="E86" s="139">
        <f t="shared" ref="E86:AJ86" si="130">D88</f>
        <v>20.368999999999971</v>
      </c>
      <c r="F86" s="139">
        <f t="shared" si="130"/>
        <v>131.94999999999993</v>
      </c>
      <c r="G86" s="139">
        <f t="shared" si="130"/>
        <v>248.6269999999999</v>
      </c>
      <c r="H86" s="139">
        <f t="shared" si="130"/>
        <v>30.35799999999989</v>
      </c>
      <c r="I86" s="139">
        <f t="shared" si="130"/>
        <v>441.67399999999992</v>
      </c>
      <c r="J86" s="139">
        <f t="shared" si="130"/>
        <v>797.49</v>
      </c>
      <c r="K86" s="139">
        <f t="shared" si="130"/>
        <v>1195.557</v>
      </c>
      <c r="L86" s="139">
        <f t="shared" si="130"/>
        <v>1893.2241099999999</v>
      </c>
      <c r="M86" s="139">
        <f t="shared" si="130"/>
        <v>1953.4484349999998</v>
      </c>
      <c r="N86" s="139">
        <f t="shared" si="130"/>
        <v>2106.3258849999997</v>
      </c>
      <c r="O86" s="139">
        <f t="shared" si="130"/>
        <v>2131.8012749999998</v>
      </c>
      <c r="P86" s="139">
        <f t="shared" si="130"/>
        <v>2051.9551849999998</v>
      </c>
      <c r="Q86" s="139">
        <f t="shared" si="130"/>
        <v>2160.0983799999999</v>
      </c>
      <c r="R86" s="139">
        <f t="shared" si="130"/>
        <v>2366.5424349999998</v>
      </c>
      <c r="S86" s="139">
        <f t="shared" si="130"/>
        <v>2596.5003699999997</v>
      </c>
      <c r="T86" s="139">
        <f t="shared" si="130"/>
        <v>2475.972675</v>
      </c>
      <c r="U86" s="139">
        <f t="shared" si="130"/>
        <v>2787.3097950000001</v>
      </c>
      <c r="V86" s="139">
        <f t="shared" si="130"/>
        <v>3045.8269150000001</v>
      </c>
      <c r="W86" s="139">
        <f t="shared" si="130"/>
        <v>3352.5453550000002</v>
      </c>
      <c r="X86" s="139">
        <f t="shared" si="130"/>
        <v>3979.0003150000002</v>
      </c>
      <c r="Y86" s="139">
        <f t="shared" si="130"/>
        <v>3975.7685150000002</v>
      </c>
      <c r="Z86" s="139">
        <f t="shared" si="130"/>
        <v>4055.861715</v>
      </c>
      <c r="AA86" s="139">
        <f t="shared" si="130"/>
        <v>4560.6624350000002</v>
      </c>
      <c r="AB86" s="139">
        <f t="shared" si="130"/>
        <v>4929.4081150000002</v>
      </c>
      <c r="AC86" s="139">
        <f t="shared" si="130"/>
        <v>4940.2183542000002</v>
      </c>
      <c r="AD86" s="139">
        <f t="shared" si="130"/>
        <v>5045.684475</v>
      </c>
      <c r="AE86" s="139">
        <f t="shared" si="130"/>
        <v>5154.0275686000004</v>
      </c>
      <c r="AF86" s="139">
        <f t="shared" si="130"/>
        <v>4911.7670094000005</v>
      </c>
      <c r="AG86" s="139">
        <f t="shared" si="130"/>
        <v>4600.4005358000004</v>
      </c>
      <c r="AH86" s="139">
        <f t="shared" si="130"/>
        <v>4255.1936622000003</v>
      </c>
      <c r="AI86" s="139">
        <f t="shared" si="130"/>
        <v>4018.1033125500003</v>
      </c>
      <c r="AJ86" s="139">
        <f t="shared" si="130"/>
        <v>4080.9247194500003</v>
      </c>
      <c r="AK86" s="139">
        <f t="shared" ref="AK86:BP86" si="131">AJ88</f>
        <v>3547.2688612000002</v>
      </c>
      <c r="AL86" s="139">
        <f t="shared" si="131"/>
        <v>3022.7270967000004</v>
      </c>
      <c r="AM86" s="139">
        <f t="shared" si="131"/>
        <v>2946.1081850000005</v>
      </c>
      <c r="AN86" s="139">
        <f t="shared" si="131"/>
        <v>2764.9827177000006</v>
      </c>
      <c r="AO86" s="139">
        <f t="shared" si="131"/>
        <v>2763.8289057040006</v>
      </c>
      <c r="AP86" s="139">
        <f t="shared" si="131"/>
        <v>2859.2276959000005</v>
      </c>
      <c r="AQ86" s="139">
        <f t="shared" si="131"/>
        <v>2956.0890740320006</v>
      </c>
      <c r="AR86" s="139">
        <f t="shared" si="131"/>
        <v>2693.4998176280005</v>
      </c>
      <c r="AS86" s="139">
        <f t="shared" si="131"/>
        <v>2359.7401763960006</v>
      </c>
      <c r="AT86" s="139">
        <f t="shared" si="131"/>
        <v>1992.2193371640005</v>
      </c>
      <c r="AU86" s="139">
        <f t="shared" si="131"/>
        <v>1734.7944392622505</v>
      </c>
      <c r="AV86" s="139">
        <f t="shared" si="131"/>
        <v>1784.2067391277506</v>
      </c>
      <c r="AW86" s="139">
        <f t="shared" si="131"/>
        <v>1223.4041601690005</v>
      </c>
      <c r="AX86" s="139">
        <f t="shared" si="131"/>
        <v>671.40010449150054</v>
      </c>
      <c r="AY86" s="139">
        <f t="shared" si="131"/>
        <v>577.32428735000053</v>
      </c>
      <c r="AZ86" s="139">
        <f t="shared" si="131"/>
        <v>377.89944738650047</v>
      </c>
      <c r="BA86" s="139">
        <f t="shared" si="131"/>
        <v>425.55577274172742</v>
      </c>
      <c r="BB86" s="139">
        <f t="shared" si="131"/>
        <v>575.85722465003187</v>
      </c>
      <c r="BC86" s="139">
        <f t="shared" si="131"/>
        <v>737.02930702283129</v>
      </c>
      <c r="BD86" s="139">
        <f t="shared" si="131"/>
        <v>526.16888594429201</v>
      </c>
      <c r="BE86" s="139">
        <f t="shared" si="131"/>
        <v>244.06853619566459</v>
      </c>
      <c r="BF86" s="139">
        <f t="shared" si="131"/>
        <v>0</v>
      </c>
      <c r="BG86" s="139">
        <f t="shared" si="131"/>
        <v>0</v>
      </c>
      <c r="BH86" s="139">
        <f t="shared" si="131"/>
        <v>163.28397793368879</v>
      </c>
      <c r="BI86" s="139">
        <f t="shared" si="131"/>
        <v>0</v>
      </c>
      <c r="BJ86" s="139">
        <f t="shared" si="131"/>
        <v>0</v>
      </c>
      <c r="BK86" s="139">
        <f t="shared" si="131"/>
        <v>18.25356363532137</v>
      </c>
      <c r="BL86" s="139">
        <f t="shared" si="131"/>
        <v>0</v>
      </c>
      <c r="BM86" s="139">
        <f t="shared" si="131"/>
        <v>2938.3607209686984</v>
      </c>
      <c r="BN86" s="139">
        <f t="shared" si="131"/>
        <v>6132.8997780993122</v>
      </c>
      <c r="BO86" s="139">
        <f t="shared" si="131"/>
        <v>9949.3138772538077</v>
      </c>
      <c r="BP86" s="139">
        <f t="shared" si="131"/>
        <v>13158.70301822976</v>
      </c>
      <c r="BQ86" s="139">
        <f t="shared" ref="BQ86:CV86" si="132">BP88</f>
        <v>16390.068513220896</v>
      </c>
      <c r="BR86" s="139">
        <f t="shared" si="132"/>
        <v>19467.327922198296</v>
      </c>
      <c r="BS86" s="139">
        <f t="shared" si="132"/>
        <v>22489.355452323824</v>
      </c>
      <c r="BT86" s="139">
        <f t="shared" si="132"/>
        <v>25939.106232095783</v>
      </c>
      <c r="BU86" s="139">
        <f t="shared" si="132"/>
        <v>28377.009277784709</v>
      </c>
      <c r="BV86" s="139">
        <f t="shared" si="132"/>
        <v>31268.874158884595</v>
      </c>
      <c r="BW86" s="139">
        <f t="shared" si="132"/>
        <v>34635.01862466013</v>
      </c>
      <c r="BX86" s="139">
        <f t="shared" si="132"/>
        <v>37668.09094219852</v>
      </c>
      <c r="BY86" s="139">
        <f t="shared" si="132"/>
        <v>40586.823798783407</v>
      </c>
      <c r="BZ86" s="139">
        <f t="shared" si="132"/>
        <v>43763.22871138034</v>
      </c>
      <c r="CA86" s="139">
        <f t="shared" si="132"/>
        <v>47556.477333375289</v>
      </c>
      <c r="CB86" s="139">
        <f t="shared" si="132"/>
        <v>50735.451099376936</v>
      </c>
      <c r="CC86" s="139">
        <f t="shared" si="132"/>
        <v>53934.085182551746</v>
      </c>
      <c r="CD86" s="139">
        <f t="shared" si="132"/>
        <v>56978.001431361488</v>
      </c>
      <c r="CE86" s="139">
        <f t="shared" si="132"/>
        <v>59969.939683352335</v>
      </c>
      <c r="CF86" s="139">
        <f t="shared" si="132"/>
        <v>63396.247025216442</v>
      </c>
      <c r="CG86" s="139">
        <f t="shared" si="132"/>
        <v>65798.952987594297</v>
      </c>
      <c r="CH86" s="139">
        <f t="shared" si="132"/>
        <v>68651.121802144524</v>
      </c>
      <c r="CI86" s="139">
        <f t="shared" si="132"/>
        <v>71990.595784017671</v>
      </c>
      <c r="CJ86" s="139">
        <f t="shared" si="132"/>
        <v>74995.745910086378</v>
      </c>
      <c r="CK86" s="139">
        <f t="shared" si="132"/>
        <v>77893.828704590822</v>
      </c>
      <c r="CL86" s="139">
        <f t="shared" si="132"/>
        <v>81052.076107694083</v>
      </c>
      <c r="CM86" s="139">
        <f t="shared" si="132"/>
        <v>84822.13120419388</v>
      </c>
      <c r="CN86" s="139">
        <f t="shared" si="132"/>
        <v>87970.663276297259</v>
      </c>
      <c r="CO86" s="139">
        <f t="shared" si="132"/>
        <v>91135.538900087326</v>
      </c>
      <c r="CP86" s="139">
        <f t="shared" si="132"/>
        <v>94146.085836301601</v>
      </c>
      <c r="CQ86" s="139">
        <f t="shared" si="132"/>
        <v>97107.912363313881</v>
      </c>
      <c r="CR86" s="139">
        <f t="shared" si="132"/>
        <v>100511.75310353836</v>
      </c>
      <c r="CS86" s="139">
        <f t="shared" si="132"/>
        <v>102877.24134173615</v>
      </c>
      <c r="CT86" s="139">
        <f t="shared" si="132"/>
        <v>105689.6904146357</v>
      </c>
      <c r="CU86" s="139">
        <f t="shared" si="132"/>
        <v>109001.47028928966</v>
      </c>
      <c r="CV86" s="139">
        <f t="shared" si="132"/>
        <v>111977.67611526052</v>
      </c>
      <c r="CW86" s="139">
        <f t="shared" ref="CW86:DS86" si="133">CV88</f>
        <v>114856.08609508476</v>
      </c>
      <c r="CX86" s="139">
        <f t="shared" si="133"/>
        <v>117995.15203965174</v>
      </c>
      <c r="CY86" s="139">
        <f t="shared" si="133"/>
        <v>121741.98486116205</v>
      </c>
      <c r="CZ86" s="139">
        <f t="shared" si="133"/>
        <v>124859.04826251669</v>
      </c>
      <c r="DA86" s="139">
        <f t="shared" si="133"/>
        <v>127990.13770321228</v>
      </c>
      <c r="DB86" s="139">
        <f t="shared" si="133"/>
        <v>130966.28852063889</v>
      </c>
      <c r="DC86" s="139">
        <f t="shared" si="133"/>
        <v>130150.28852063889</v>
      </c>
      <c r="DD86" s="139">
        <f t="shared" si="133"/>
        <v>129664.28852063889</v>
      </c>
      <c r="DE86" s="139">
        <f t="shared" si="133"/>
        <v>128547.28852063889</v>
      </c>
      <c r="DF86" s="139">
        <f t="shared" si="133"/>
        <v>127368.28852063889</v>
      </c>
      <c r="DG86" s="139">
        <f t="shared" si="133"/>
        <v>126709.28852063889</v>
      </c>
      <c r="DH86" s="139">
        <f t="shared" si="133"/>
        <v>125966.28852063889</v>
      </c>
      <c r="DI86" s="139">
        <f t="shared" si="133"/>
        <v>125511.28852063889</v>
      </c>
      <c r="DJ86" s="139">
        <f t="shared" si="133"/>
        <v>125145.28852063889</v>
      </c>
      <c r="DK86" s="139">
        <f t="shared" si="133"/>
        <v>124684.28852063889</v>
      </c>
      <c r="DL86" s="139">
        <f t="shared" si="133"/>
        <v>123842.28852063889</v>
      </c>
      <c r="DM86" s="139">
        <f t="shared" si="133"/>
        <v>122903.28852063889</v>
      </c>
      <c r="DN86" s="139">
        <f t="shared" si="133"/>
        <v>121943.28852063889</v>
      </c>
      <c r="DO86" s="139">
        <f t="shared" si="133"/>
        <v>121106.28852063889</v>
      </c>
      <c r="DP86" s="139">
        <f t="shared" si="133"/>
        <v>120608.28852063889</v>
      </c>
      <c r="DQ86" s="139">
        <f t="shared" si="133"/>
        <v>119463.28852063889</v>
      </c>
      <c r="DR86" s="139">
        <f t="shared" si="133"/>
        <v>118254.28852063889</v>
      </c>
      <c r="DS86" s="139">
        <f t="shared" si="133"/>
        <v>117578.28852063889</v>
      </c>
    </row>
    <row r="87" spans="1:123" ht="12.75" customHeight="1" x14ac:dyDescent="0.35">
      <c r="A87" s="146" t="s">
        <v>493</v>
      </c>
      <c r="B87" s="139">
        <f>SUM(D87:BQ87)</f>
        <v>6421.0634298988416</v>
      </c>
      <c r="C87" s="139">
        <f>B87/60</f>
        <v>107.01772383164736</v>
      </c>
      <c r="D87" s="139">
        <f t="shared" ref="D87:AI87" si="134">MIN(D86,MAX(D84-D85,0))</f>
        <v>0</v>
      </c>
      <c r="E87" s="139">
        <f t="shared" si="134"/>
        <v>0</v>
      </c>
      <c r="F87" s="139">
        <f t="shared" si="134"/>
        <v>0</v>
      </c>
      <c r="G87" s="139">
        <f t="shared" si="134"/>
        <v>218.26900000000001</v>
      </c>
      <c r="H87" s="139">
        <f t="shared" si="134"/>
        <v>0</v>
      </c>
      <c r="I87" s="139">
        <f t="shared" si="134"/>
        <v>0</v>
      </c>
      <c r="J87" s="139">
        <f t="shared" si="134"/>
        <v>0</v>
      </c>
      <c r="K87" s="139">
        <f t="shared" si="134"/>
        <v>0</v>
      </c>
      <c r="L87" s="139">
        <f t="shared" si="134"/>
        <v>0</v>
      </c>
      <c r="M87" s="139">
        <f t="shared" si="134"/>
        <v>0</v>
      </c>
      <c r="N87" s="139">
        <f t="shared" si="134"/>
        <v>0</v>
      </c>
      <c r="O87" s="139">
        <f t="shared" si="134"/>
        <v>79.846090000000004</v>
      </c>
      <c r="P87" s="139">
        <f t="shared" si="134"/>
        <v>0</v>
      </c>
      <c r="Q87" s="139">
        <f t="shared" si="134"/>
        <v>0</v>
      </c>
      <c r="R87" s="139">
        <f t="shared" si="134"/>
        <v>0</v>
      </c>
      <c r="S87" s="139">
        <f t="shared" si="134"/>
        <v>120.52769499999999</v>
      </c>
      <c r="T87" s="139">
        <f t="shared" si="134"/>
        <v>0</v>
      </c>
      <c r="U87" s="139">
        <f t="shared" si="134"/>
        <v>0</v>
      </c>
      <c r="V87" s="139">
        <f t="shared" si="134"/>
        <v>0</v>
      </c>
      <c r="W87" s="139">
        <f t="shared" si="134"/>
        <v>0</v>
      </c>
      <c r="X87" s="139">
        <f t="shared" si="134"/>
        <v>3.2318000000000211</v>
      </c>
      <c r="Y87" s="139">
        <f t="shared" si="134"/>
        <v>0</v>
      </c>
      <c r="Z87" s="139">
        <f t="shared" si="134"/>
        <v>0</v>
      </c>
      <c r="AA87" s="139">
        <f t="shared" si="134"/>
        <v>0</v>
      </c>
      <c r="AB87" s="139">
        <f t="shared" si="134"/>
        <v>0</v>
      </c>
      <c r="AC87" s="139">
        <f t="shared" si="134"/>
        <v>0</v>
      </c>
      <c r="AD87" s="139">
        <f t="shared" si="134"/>
        <v>0</v>
      </c>
      <c r="AE87" s="139">
        <f t="shared" si="134"/>
        <v>242.26055919999999</v>
      </c>
      <c r="AF87" s="139">
        <f t="shared" si="134"/>
        <v>311.36647359999995</v>
      </c>
      <c r="AG87" s="139">
        <f t="shared" si="134"/>
        <v>345.20687359999994</v>
      </c>
      <c r="AH87" s="139">
        <f t="shared" si="134"/>
        <v>237.09034965000001</v>
      </c>
      <c r="AI87" s="139">
        <f t="shared" si="134"/>
        <v>0</v>
      </c>
      <c r="AJ87" s="139">
        <f t="shared" ref="AJ87:BO87" si="135">MIN(AJ86,MAX(AJ84-AJ85,0))</f>
        <v>533.65585824999994</v>
      </c>
      <c r="AK87" s="139">
        <f t="shared" si="135"/>
        <v>524.5417645</v>
      </c>
      <c r="AL87" s="139">
        <f t="shared" si="135"/>
        <v>76.618911700000012</v>
      </c>
      <c r="AM87" s="139">
        <f t="shared" si="135"/>
        <v>181.12546729999997</v>
      </c>
      <c r="AN87" s="139">
        <f t="shared" si="135"/>
        <v>1.1538119959999449</v>
      </c>
      <c r="AO87" s="139">
        <f t="shared" si="135"/>
        <v>0</v>
      </c>
      <c r="AP87" s="139">
        <f t="shared" si="135"/>
        <v>0</v>
      </c>
      <c r="AQ87" s="139">
        <f t="shared" si="135"/>
        <v>262.58925640399991</v>
      </c>
      <c r="AR87" s="139">
        <f t="shared" si="135"/>
        <v>333.75964123199998</v>
      </c>
      <c r="AS87" s="139">
        <f t="shared" si="135"/>
        <v>367.52083923199996</v>
      </c>
      <c r="AT87" s="139">
        <f t="shared" si="135"/>
        <v>257.42489790175006</v>
      </c>
      <c r="AU87" s="139">
        <f t="shared" si="135"/>
        <v>0</v>
      </c>
      <c r="AV87" s="139">
        <f t="shared" si="135"/>
        <v>560.80257895875002</v>
      </c>
      <c r="AW87" s="139">
        <f t="shared" si="135"/>
        <v>552.00405567749999</v>
      </c>
      <c r="AX87" s="139">
        <f t="shared" si="135"/>
        <v>94.075817141500011</v>
      </c>
      <c r="AY87" s="139">
        <f t="shared" si="135"/>
        <v>199.42483996350006</v>
      </c>
      <c r="AZ87" s="139">
        <f t="shared" si="135"/>
        <v>0</v>
      </c>
      <c r="BA87" s="139">
        <f t="shared" si="135"/>
        <v>0</v>
      </c>
      <c r="BB87" s="139">
        <f t="shared" si="135"/>
        <v>0</v>
      </c>
      <c r="BC87" s="139">
        <f t="shared" si="135"/>
        <v>210.86042107853928</v>
      </c>
      <c r="BD87" s="139">
        <f t="shared" si="135"/>
        <v>282.10034974862742</v>
      </c>
      <c r="BE87" s="139">
        <f t="shared" si="135"/>
        <v>244.06853619566459</v>
      </c>
      <c r="BF87" s="139">
        <f t="shared" si="135"/>
        <v>0</v>
      </c>
      <c r="BG87" s="139">
        <f t="shared" si="135"/>
        <v>0</v>
      </c>
      <c r="BH87" s="139">
        <f t="shared" si="135"/>
        <v>163.28397793368879</v>
      </c>
      <c r="BI87" s="139">
        <f t="shared" si="135"/>
        <v>0</v>
      </c>
      <c r="BJ87" s="139">
        <f t="shared" si="135"/>
        <v>0</v>
      </c>
      <c r="BK87" s="139">
        <f t="shared" si="135"/>
        <v>18.25356363532137</v>
      </c>
      <c r="BL87" s="139">
        <f t="shared" si="135"/>
        <v>0</v>
      </c>
      <c r="BM87" s="139">
        <f t="shared" si="135"/>
        <v>0</v>
      </c>
      <c r="BN87" s="139">
        <f t="shared" si="135"/>
        <v>0</v>
      </c>
      <c r="BO87" s="139">
        <f t="shared" si="135"/>
        <v>0</v>
      </c>
      <c r="BP87" s="139">
        <f t="shared" ref="BP87:CU87" si="136">MIN(BP86,MAX(BP84-BP85,0))</f>
        <v>0</v>
      </c>
      <c r="BQ87" s="139">
        <f t="shared" si="136"/>
        <v>0</v>
      </c>
      <c r="BR87" s="139">
        <f t="shared" si="136"/>
        <v>0</v>
      </c>
      <c r="BS87" s="139">
        <f t="shared" si="136"/>
        <v>0</v>
      </c>
      <c r="BT87" s="139">
        <f t="shared" si="136"/>
        <v>0</v>
      </c>
      <c r="BU87" s="139">
        <f t="shared" si="136"/>
        <v>0</v>
      </c>
      <c r="BV87" s="139">
        <f t="shared" si="136"/>
        <v>0</v>
      </c>
      <c r="BW87" s="139">
        <f t="shared" si="136"/>
        <v>0</v>
      </c>
      <c r="BX87" s="139">
        <f t="shared" si="136"/>
        <v>0</v>
      </c>
      <c r="BY87" s="139">
        <f t="shared" si="136"/>
        <v>0</v>
      </c>
      <c r="BZ87" s="139">
        <f t="shared" si="136"/>
        <v>0</v>
      </c>
      <c r="CA87" s="139">
        <f t="shared" si="136"/>
        <v>0</v>
      </c>
      <c r="CB87" s="139">
        <f t="shared" si="136"/>
        <v>0</v>
      </c>
      <c r="CC87" s="139">
        <f t="shared" si="136"/>
        <v>0</v>
      </c>
      <c r="CD87" s="139">
        <f t="shared" si="136"/>
        <v>0</v>
      </c>
      <c r="CE87" s="139">
        <f t="shared" si="136"/>
        <v>0</v>
      </c>
      <c r="CF87" s="139">
        <f t="shared" si="136"/>
        <v>0</v>
      </c>
      <c r="CG87" s="139">
        <f t="shared" si="136"/>
        <v>0</v>
      </c>
      <c r="CH87" s="139">
        <f t="shared" si="136"/>
        <v>0</v>
      </c>
      <c r="CI87" s="139">
        <f t="shared" si="136"/>
        <v>0</v>
      </c>
      <c r="CJ87" s="139">
        <f t="shared" si="136"/>
        <v>0</v>
      </c>
      <c r="CK87" s="139">
        <f t="shared" si="136"/>
        <v>0</v>
      </c>
      <c r="CL87" s="139">
        <f t="shared" si="136"/>
        <v>0</v>
      </c>
      <c r="CM87" s="139">
        <f t="shared" si="136"/>
        <v>0</v>
      </c>
      <c r="CN87" s="139">
        <f t="shared" si="136"/>
        <v>0</v>
      </c>
      <c r="CO87" s="139">
        <f t="shared" si="136"/>
        <v>0</v>
      </c>
      <c r="CP87" s="139">
        <f t="shared" si="136"/>
        <v>0</v>
      </c>
      <c r="CQ87" s="139">
        <f t="shared" si="136"/>
        <v>0</v>
      </c>
      <c r="CR87" s="139">
        <f t="shared" si="136"/>
        <v>0</v>
      </c>
      <c r="CS87" s="139">
        <f t="shared" si="136"/>
        <v>0</v>
      </c>
      <c r="CT87" s="139">
        <f t="shared" si="136"/>
        <v>0</v>
      </c>
      <c r="CU87" s="139">
        <f t="shared" si="136"/>
        <v>0</v>
      </c>
      <c r="CV87" s="139">
        <f t="shared" ref="CV87:DS87" si="137">MIN(CV86,MAX(CV84-CV85,0))</f>
        <v>0</v>
      </c>
      <c r="CW87" s="139">
        <f t="shared" si="137"/>
        <v>0</v>
      </c>
      <c r="CX87" s="139">
        <f t="shared" si="137"/>
        <v>0</v>
      </c>
      <c r="CY87" s="139">
        <f t="shared" si="137"/>
        <v>0</v>
      </c>
      <c r="CZ87" s="139">
        <f t="shared" si="137"/>
        <v>0</v>
      </c>
      <c r="DA87" s="139">
        <f t="shared" si="137"/>
        <v>0</v>
      </c>
      <c r="DB87" s="139">
        <f t="shared" si="137"/>
        <v>816</v>
      </c>
      <c r="DC87" s="139">
        <f t="shared" si="137"/>
        <v>486</v>
      </c>
      <c r="DD87" s="139">
        <f t="shared" si="137"/>
        <v>1117</v>
      </c>
      <c r="DE87" s="139">
        <f t="shared" si="137"/>
        <v>1179</v>
      </c>
      <c r="DF87" s="139">
        <f t="shared" si="137"/>
        <v>659</v>
      </c>
      <c r="DG87" s="139">
        <f t="shared" si="137"/>
        <v>743</v>
      </c>
      <c r="DH87" s="139">
        <f t="shared" si="137"/>
        <v>455</v>
      </c>
      <c r="DI87" s="139">
        <f t="shared" si="137"/>
        <v>366</v>
      </c>
      <c r="DJ87" s="139">
        <f t="shared" si="137"/>
        <v>461</v>
      </c>
      <c r="DK87" s="139">
        <f t="shared" si="137"/>
        <v>842</v>
      </c>
      <c r="DL87" s="139">
        <f t="shared" si="137"/>
        <v>939</v>
      </c>
      <c r="DM87" s="139">
        <f t="shared" si="137"/>
        <v>960</v>
      </c>
      <c r="DN87" s="139">
        <f t="shared" si="137"/>
        <v>837</v>
      </c>
      <c r="DO87" s="139">
        <f t="shared" si="137"/>
        <v>498</v>
      </c>
      <c r="DP87" s="139">
        <f t="shared" si="137"/>
        <v>1145</v>
      </c>
      <c r="DQ87" s="139">
        <f t="shared" si="137"/>
        <v>1209</v>
      </c>
      <c r="DR87" s="139">
        <f t="shared" si="137"/>
        <v>676</v>
      </c>
      <c r="DS87" s="139">
        <f t="shared" si="137"/>
        <v>762</v>
      </c>
    </row>
    <row r="88" spans="1:123" ht="13.5" customHeight="1" x14ac:dyDescent="0.35">
      <c r="A88" s="39" t="s">
        <v>494</v>
      </c>
      <c r="B88" s="41">
        <f>AA88</f>
        <v>4929.4081150000002</v>
      </c>
      <c r="C88" s="139" t="s">
        <v>169</v>
      </c>
      <c r="D88" s="157">
        <f t="shared" ref="D88:AI88" si="138">MAX(D86-D87,0)+MAX(D85-D84,0)</f>
        <v>20.368999999999971</v>
      </c>
      <c r="E88" s="157">
        <f t="shared" si="138"/>
        <v>131.94999999999993</v>
      </c>
      <c r="F88" s="157">
        <f t="shared" si="138"/>
        <v>248.6269999999999</v>
      </c>
      <c r="G88" s="157">
        <f t="shared" si="138"/>
        <v>30.35799999999989</v>
      </c>
      <c r="H88" s="157">
        <f t="shared" si="138"/>
        <v>441.67399999999992</v>
      </c>
      <c r="I88" s="157">
        <f t="shared" si="138"/>
        <v>797.49</v>
      </c>
      <c r="J88" s="157">
        <f t="shared" si="138"/>
        <v>1195.557</v>
      </c>
      <c r="K88" s="157">
        <f t="shared" si="138"/>
        <v>1893.2241099999999</v>
      </c>
      <c r="L88" s="157">
        <f t="shared" si="138"/>
        <v>1953.4484349999998</v>
      </c>
      <c r="M88" s="157">
        <f t="shared" si="138"/>
        <v>2106.3258849999997</v>
      </c>
      <c r="N88" s="157">
        <f t="shared" si="138"/>
        <v>2131.8012749999998</v>
      </c>
      <c r="O88" s="157">
        <f t="shared" si="138"/>
        <v>2051.9551849999998</v>
      </c>
      <c r="P88" s="157">
        <f t="shared" si="138"/>
        <v>2160.0983799999999</v>
      </c>
      <c r="Q88" s="157">
        <f t="shared" si="138"/>
        <v>2366.5424349999998</v>
      </c>
      <c r="R88" s="157">
        <f t="shared" si="138"/>
        <v>2596.5003699999997</v>
      </c>
      <c r="S88" s="157">
        <f t="shared" si="138"/>
        <v>2475.972675</v>
      </c>
      <c r="T88" s="157">
        <f t="shared" si="138"/>
        <v>2787.3097950000001</v>
      </c>
      <c r="U88" s="157">
        <f t="shared" si="138"/>
        <v>3045.8269150000001</v>
      </c>
      <c r="V88" s="157">
        <f t="shared" si="138"/>
        <v>3352.5453550000002</v>
      </c>
      <c r="W88" s="157">
        <f t="shared" si="138"/>
        <v>3979.0003150000002</v>
      </c>
      <c r="X88" s="157">
        <f t="shared" si="138"/>
        <v>3975.7685150000002</v>
      </c>
      <c r="Y88" s="157">
        <f t="shared" si="138"/>
        <v>4055.861715</v>
      </c>
      <c r="Z88" s="157">
        <f t="shared" si="138"/>
        <v>4560.6624350000002</v>
      </c>
      <c r="AA88" s="157">
        <f t="shared" si="138"/>
        <v>4929.4081150000002</v>
      </c>
      <c r="AB88" s="157">
        <f t="shared" si="138"/>
        <v>4940.2183542000002</v>
      </c>
      <c r="AC88" s="157">
        <f t="shared" si="138"/>
        <v>5045.684475</v>
      </c>
      <c r="AD88" s="157">
        <f t="shared" si="138"/>
        <v>5154.0275686000004</v>
      </c>
      <c r="AE88" s="157">
        <f t="shared" si="138"/>
        <v>4911.7670094000005</v>
      </c>
      <c r="AF88" s="157">
        <f t="shared" si="138"/>
        <v>4600.4005358000004</v>
      </c>
      <c r="AG88" s="157">
        <f t="shared" si="138"/>
        <v>4255.1936622000003</v>
      </c>
      <c r="AH88" s="157">
        <f t="shared" si="138"/>
        <v>4018.1033125500003</v>
      </c>
      <c r="AI88" s="157">
        <f t="shared" si="138"/>
        <v>4080.9247194500003</v>
      </c>
      <c r="AJ88" s="157">
        <f t="shared" ref="AJ88:BO88" si="139">MAX(AJ86-AJ87,0)+MAX(AJ85-AJ84,0)</f>
        <v>3547.2688612000002</v>
      </c>
      <c r="AK88" s="157">
        <f t="shared" si="139"/>
        <v>3022.7270967000004</v>
      </c>
      <c r="AL88" s="157">
        <f t="shared" si="139"/>
        <v>2946.1081850000005</v>
      </c>
      <c r="AM88" s="157">
        <f t="shared" si="139"/>
        <v>2764.9827177000006</v>
      </c>
      <c r="AN88" s="157">
        <f t="shared" si="139"/>
        <v>2763.8289057040006</v>
      </c>
      <c r="AO88" s="157">
        <f t="shared" si="139"/>
        <v>2859.2276959000005</v>
      </c>
      <c r="AP88" s="157">
        <f t="shared" si="139"/>
        <v>2956.0890740320006</v>
      </c>
      <c r="AQ88" s="157">
        <f t="shared" si="139"/>
        <v>2693.4998176280005</v>
      </c>
      <c r="AR88" s="157">
        <f t="shared" si="139"/>
        <v>2359.7401763960006</v>
      </c>
      <c r="AS88" s="157">
        <f t="shared" si="139"/>
        <v>1992.2193371640005</v>
      </c>
      <c r="AT88" s="157">
        <f t="shared" si="139"/>
        <v>1734.7944392622505</v>
      </c>
      <c r="AU88" s="157">
        <f t="shared" si="139"/>
        <v>1784.2067391277506</v>
      </c>
      <c r="AV88" s="157">
        <f t="shared" si="139"/>
        <v>1223.4041601690005</v>
      </c>
      <c r="AW88" s="157">
        <f t="shared" si="139"/>
        <v>671.40010449150054</v>
      </c>
      <c r="AX88" s="157">
        <f t="shared" si="139"/>
        <v>577.32428735000053</v>
      </c>
      <c r="AY88" s="157">
        <f t="shared" si="139"/>
        <v>377.89944738650047</v>
      </c>
      <c r="AZ88" s="157">
        <f t="shared" si="139"/>
        <v>425.55577274172742</v>
      </c>
      <c r="BA88" s="157">
        <f t="shared" si="139"/>
        <v>575.85722465003187</v>
      </c>
      <c r="BB88" s="157">
        <f t="shared" si="139"/>
        <v>737.02930702283129</v>
      </c>
      <c r="BC88" s="157">
        <f t="shared" si="139"/>
        <v>526.16888594429201</v>
      </c>
      <c r="BD88" s="157">
        <f t="shared" si="139"/>
        <v>244.06853619566459</v>
      </c>
      <c r="BE88" s="157">
        <f t="shared" si="139"/>
        <v>0</v>
      </c>
      <c r="BF88" s="157">
        <f t="shared" si="139"/>
        <v>0</v>
      </c>
      <c r="BG88" s="157">
        <f t="shared" si="139"/>
        <v>163.28397793368879</v>
      </c>
      <c r="BH88" s="157">
        <f t="shared" si="139"/>
        <v>0</v>
      </c>
      <c r="BI88" s="157">
        <f t="shared" si="139"/>
        <v>0</v>
      </c>
      <c r="BJ88" s="157">
        <f t="shared" si="139"/>
        <v>18.25356363532137</v>
      </c>
      <c r="BK88" s="157">
        <f t="shared" si="139"/>
        <v>0</v>
      </c>
      <c r="BL88" s="157">
        <f t="shared" si="139"/>
        <v>2938.3607209686984</v>
      </c>
      <c r="BM88" s="157">
        <f t="shared" si="139"/>
        <v>6132.8997780993122</v>
      </c>
      <c r="BN88" s="157">
        <f t="shared" si="139"/>
        <v>9949.3138772538077</v>
      </c>
      <c r="BO88" s="157">
        <f t="shared" si="139"/>
        <v>13158.70301822976</v>
      </c>
      <c r="BP88" s="157">
        <f t="shared" ref="BP88:CU88" si="140">MAX(BP86-BP87,0)+MAX(BP85-BP84,0)</f>
        <v>16390.068513220896</v>
      </c>
      <c r="BQ88" s="157">
        <f t="shared" si="140"/>
        <v>19467.327922198296</v>
      </c>
      <c r="BR88" s="157">
        <f t="shared" si="140"/>
        <v>22489.355452323824</v>
      </c>
      <c r="BS88" s="157">
        <f t="shared" si="140"/>
        <v>25939.106232095783</v>
      </c>
      <c r="BT88" s="157">
        <f t="shared" si="140"/>
        <v>28377.009277784709</v>
      </c>
      <c r="BU88" s="157">
        <f t="shared" si="140"/>
        <v>31268.874158884595</v>
      </c>
      <c r="BV88" s="157">
        <f t="shared" si="140"/>
        <v>34635.01862466013</v>
      </c>
      <c r="BW88" s="157">
        <f t="shared" si="140"/>
        <v>37668.09094219852</v>
      </c>
      <c r="BX88" s="157">
        <f t="shared" si="140"/>
        <v>40586.823798783407</v>
      </c>
      <c r="BY88" s="157">
        <f t="shared" si="140"/>
        <v>43763.22871138034</v>
      </c>
      <c r="BZ88" s="157">
        <f t="shared" si="140"/>
        <v>47556.477333375289</v>
      </c>
      <c r="CA88" s="157">
        <f t="shared" si="140"/>
        <v>50735.451099376936</v>
      </c>
      <c r="CB88" s="157">
        <f t="shared" si="140"/>
        <v>53934.085182551746</v>
      </c>
      <c r="CC88" s="157">
        <f t="shared" si="140"/>
        <v>56978.001431361488</v>
      </c>
      <c r="CD88" s="157">
        <f t="shared" si="140"/>
        <v>59969.939683352335</v>
      </c>
      <c r="CE88" s="157">
        <f t="shared" si="140"/>
        <v>63396.247025216442</v>
      </c>
      <c r="CF88" s="157">
        <f t="shared" si="140"/>
        <v>65798.952987594297</v>
      </c>
      <c r="CG88" s="157">
        <f t="shared" si="140"/>
        <v>68651.121802144524</v>
      </c>
      <c r="CH88" s="157">
        <f t="shared" si="140"/>
        <v>71990.595784017671</v>
      </c>
      <c r="CI88" s="157">
        <f t="shared" si="140"/>
        <v>74995.745910086378</v>
      </c>
      <c r="CJ88" s="157">
        <f t="shared" si="140"/>
        <v>77893.828704590822</v>
      </c>
      <c r="CK88" s="157">
        <f t="shared" si="140"/>
        <v>81052.076107694083</v>
      </c>
      <c r="CL88" s="157">
        <f t="shared" si="140"/>
        <v>84822.13120419388</v>
      </c>
      <c r="CM88" s="157">
        <f t="shared" si="140"/>
        <v>87970.663276297259</v>
      </c>
      <c r="CN88" s="157">
        <f t="shared" si="140"/>
        <v>91135.538900087326</v>
      </c>
      <c r="CO88" s="157">
        <f t="shared" si="140"/>
        <v>94146.085836301601</v>
      </c>
      <c r="CP88" s="157">
        <f t="shared" si="140"/>
        <v>97107.912363313881</v>
      </c>
      <c r="CQ88" s="157">
        <f t="shared" si="140"/>
        <v>100511.75310353836</v>
      </c>
      <c r="CR88" s="157">
        <f t="shared" si="140"/>
        <v>102877.24134173615</v>
      </c>
      <c r="CS88" s="157">
        <f t="shared" si="140"/>
        <v>105689.6904146357</v>
      </c>
      <c r="CT88" s="157">
        <f t="shared" si="140"/>
        <v>109001.47028928966</v>
      </c>
      <c r="CU88" s="157">
        <f t="shared" si="140"/>
        <v>111977.67611526052</v>
      </c>
      <c r="CV88" s="157">
        <f t="shared" ref="CV88:DS88" si="141">MAX(CV86-CV87,0)+MAX(CV85-CV84,0)</f>
        <v>114856.08609508476</v>
      </c>
      <c r="CW88" s="157">
        <f t="shared" si="141"/>
        <v>117995.15203965174</v>
      </c>
      <c r="CX88" s="157">
        <f t="shared" si="141"/>
        <v>121741.98486116205</v>
      </c>
      <c r="CY88" s="157">
        <f t="shared" si="141"/>
        <v>124859.04826251669</v>
      </c>
      <c r="CZ88" s="157">
        <f t="shared" si="141"/>
        <v>127990.13770321228</v>
      </c>
      <c r="DA88" s="157">
        <f t="shared" si="141"/>
        <v>130966.28852063889</v>
      </c>
      <c r="DB88" s="157">
        <f t="shared" si="141"/>
        <v>130150.28852063889</v>
      </c>
      <c r="DC88" s="157">
        <f t="shared" si="141"/>
        <v>129664.28852063889</v>
      </c>
      <c r="DD88" s="157">
        <f t="shared" si="141"/>
        <v>128547.28852063889</v>
      </c>
      <c r="DE88" s="157">
        <f t="shared" si="141"/>
        <v>127368.28852063889</v>
      </c>
      <c r="DF88" s="157">
        <f t="shared" si="141"/>
        <v>126709.28852063889</v>
      </c>
      <c r="DG88" s="157">
        <f t="shared" si="141"/>
        <v>125966.28852063889</v>
      </c>
      <c r="DH88" s="157">
        <f t="shared" si="141"/>
        <v>125511.28852063889</v>
      </c>
      <c r="DI88" s="157">
        <f t="shared" si="141"/>
        <v>125145.28852063889</v>
      </c>
      <c r="DJ88" s="157">
        <f t="shared" si="141"/>
        <v>124684.28852063889</v>
      </c>
      <c r="DK88" s="157">
        <f t="shared" si="141"/>
        <v>123842.28852063889</v>
      </c>
      <c r="DL88" s="157">
        <f t="shared" si="141"/>
        <v>122903.28852063889</v>
      </c>
      <c r="DM88" s="157">
        <f t="shared" si="141"/>
        <v>121943.28852063889</v>
      </c>
      <c r="DN88" s="157">
        <f t="shared" si="141"/>
        <v>121106.28852063889</v>
      </c>
      <c r="DO88" s="157">
        <f t="shared" si="141"/>
        <v>120608.28852063889</v>
      </c>
      <c r="DP88" s="157">
        <f t="shared" si="141"/>
        <v>119463.28852063889</v>
      </c>
      <c r="DQ88" s="157">
        <f t="shared" si="141"/>
        <v>118254.28852063889</v>
      </c>
      <c r="DR88" s="157">
        <f t="shared" si="141"/>
        <v>117578.28852063889</v>
      </c>
      <c r="DS88" s="157">
        <f t="shared" si="141"/>
        <v>116816.28852063889</v>
      </c>
    </row>
    <row r="89" spans="1:123" ht="12.75" customHeight="1" x14ac:dyDescent="0.35">
      <c r="A89" s="147" t="s">
        <v>495</v>
      </c>
      <c r="B89" s="148">
        <f>AA89</f>
        <v>0</v>
      </c>
      <c r="C89" s="139" t="s">
        <v>169</v>
      </c>
      <c r="D89" s="148">
        <f>0</f>
        <v>0</v>
      </c>
      <c r="E89" s="148">
        <f t="shared" ref="E89:AJ89" si="142">D91</f>
        <v>0</v>
      </c>
      <c r="F89" s="148">
        <f t="shared" si="142"/>
        <v>0</v>
      </c>
      <c r="G89" s="148">
        <f t="shared" si="142"/>
        <v>0</v>
      </c>
      <c r="H89" s="148">
        <f t="shared" si="142"/>
        <v>0</v>
      </c>
      <c r="I89" s="148">
        <f t="shared" si="142"/>
        <v>0</v>
      </c>
      <c r="J89" s="148">
        <f t="shared" si="142"/>
        <v>0</v>
      </c>
      <c r="K89" s="148">
        <f t="shared" si="142"/>
        <v>0</v>
      </c>
      <c r="L89" s="148">
        <f t="shared" si="142"/>
        <v>0</v>
      </c>
      <c r="M89" s="148">
        <f t="shared" si="142"/>
        <v>0</v>
      </c>
      <c r="N89" s="148">
        <f t="shared" si="142"/>
        <v>0</v>
      </c>
      <c r="O89" s="148">
        <f t="shared" si="142"/>
        <v>0</v>
      </c>
      <c r="P89" s="148">
        <f t="shared" si="142"/>
        <v>0</v>
      </c>
      <c r="Q89" s="148">
        <f t="shared" si="142"/>
        <v>0</v>
      </c>
      <c r="R89" s="148">
        <f t="shared" si="142"/>
        <v>0</v>
      </c>
      <c r="S89" s="148">
        <f t="shared" si="142"/>
        <v>0</v>
      </c>
      <c r="T89" s="148">
        <f t="shared" si="142"/>
        <v>0</v>
      </c>
      <c r="U89" s="148">
        <f t="shared" si="142"/>
        <v>0</v>
      </c>
      <c r="V89" s="148">
        <f t="shared" si="142"/>
        <v>0</v>
      </c>
      <c r="W89" s="148">
        <f t="shared" si="142"/>
        <v>0</v>
      </c>
      <c r="X89" s="148">
        <f t="shared" si="142"/>
        <v>0</v>
      </c>
      <c r="Y89" s="148">
        <f t="shared" si="142"/>
        <v>0</v>
      </c>
      <c r="Z89" s="148">
        <f t="shared" si="142"/>
        <v>0</v>
      </c>
      <c r="AA89" s="148">
        <f t="shared" si="142"/>
        <v>0</v>
      </c>
      <c r="AB89" s="148">
        <f t="shared" si="142"/>
        <v>0</v>
      </c>
      <c r="AC89" s="148">
        <f t="shared" si="142"/>
        <v>0</v>
      </c>
      <c r="AD89" s="148">
        <f t="shared" si="142"/>
        <v>0</v>
      </c>
      <c r="AE89" s="148">
        <f t="shared" si="142"/>
        <v>0</v>
      </c>
      <c r="AF89" s="148">
        <f t="shared" si="142"/>
        <v>0</v>
      </c>
      <c r="AG89" s="148">
        <f t="shared" si="142"/>
        <v>0</v>
      </c>
      <c r="AH89" s="148">
        <f t="shared" si="142"/>
        <v>0</v>
      </c>
      <c r="AI89" s="148">
        <f t="shared" si="142"/>
        <v>0</v>
      </c>
      <c r="AJ89" s="148">
        <f t="shared" si="142"/>
        <v>0</v>
      </c>
      <c r="AK89" s="148">
        <f t="shared" ref="AK89:BP89" si="143">AJ91</f>
        <v>0</v>
      </c>
      <c r="AL89" s="148">
        <f t="shared" si="143"/>
        <v>0</v>
      </c>
      <c r="AM89" s="148">
        <f t="shared" si="143"/>
        <v>0</v>
      </c>
      <c r="AN89" s="148">
        <f t="shared" si="143"/>
        <v>0</v>
      </c>
      <c r="AO89" s="148">
        <f t="shared" si="143"/>
        <v>0</v>
      </c>
      <c r="AP89" s="148">
        <f t="shared" si="143"/>
        <v>0</v>
      </c>
      <c r="AQ89" s="148">
        <f t="shared" si="143"/>
        <v>0</v>
      </c>
      <c r="AR89" s="148">
        <f t="shared" si="143"/>
        <v>0</v>
      </c>
      <c r="AS89" s="148">
        <f t="shared" si="143"/>
        <v>0</v>
      </c>
      <c r="AT89" s="148">
        <f t="shared" si="143"/>
        <v>0</v>
      </c>
      <c r="AU89" s="148">
        <f t="shared" si="143"/>
        <v>0</v>
      </c>
      <c r="AV89" s="148">
        <f t="shared" si="143"/>
        <v>0</v>
      </c>
      <c r="AW89" s="148">
        <f t="shared" si="143"/>
        <v>0</v>
      </c>
      <c r="AX89" s="148">
        <f t="shared" si="143"/>
        <v>0</v>
      </c>
      <c r="AY89" s="148">
        <f t="shared" si="143"/>
        <v>0</v>
      </c>
      <c r="AZ89" s="148">
        <f t="shared" si="143"/>
        <v>0</v>
      </c>
      <c r="BA89" s="148">
        <f t="shared" si="143"/>
        <v>0</v>
      </c>
      <c r="BB89" s="148">
        <f t="shared" si="143"/>
        <v>0</v>
      </c>
      <c r="BC89" s="148">
        <f t="shared" si="143"/>
        <v>0</v>
      </c>
      <c r="BD89" s="148">
        <f t="shared" si="143"/>
        <v>0</v>
      </c>
      <c r="BE89" s="148">
        <f t="shared" si="143"/>
        <v>0</v>
      </c>
      <c r="BF89" s="148">
        <f t="shared" si="143"/>
        <v>0</v>
      </c>
      <c r="BG89" s="148">
        <f t="shared" si="143"/>
        <v>0</v>
      </c>
      <c r="BH89" s="148">
        <f t="shared" si="143"/>
        <v>0</v>
      </c>
      <c r="BI89" s="148">
        <f t="shared" si="143"/>
        <v>0</v>
      </c>
      <c r="BJ89" s="148">
        <f t="shared" si="143"/>
        <v>0</v>
      </c>
      <c r="BK89" s="148">
        <f t="shared" si="143"/>
        <v>0</v>
      </c>
      <c r="BL89" s="148">
        <f t="shared" si="143"/>
        <v>0</v>
      </c>
      <c r="BM89" s="148">
        <f t="shared" si="143"/>
        <v>0</v>
      </c>
      <c r="BN89" s="148">
        <f t="shared" si="143"/>
        <v>0</v>
      </c>
      <c r="BO89" s="148">
        <f t="shared" si="143"/>
        <v>0</v>
      </c>
      <c r="BP89" s="148">
        <f t="shared" si="143"/>
        <v>0</v>
      </c>
      <c r="BQ89" s="148">
        <f t="shared" ref="BQ89:CV89" si="144">BP91</f>
        <v>0</v>
      </c>
      <c r="BR89" s="148">
        <f t="shared" si="144"/>
        <v>0</v>
      </c>
      <c r="BS89" s="148">
        <f t="shared" si="144"/>
        <v>0</v>
      </c>
      <c r="BT89" s="148">
        <f t="shared" si="144"/>
        <v>0</v>
      </c>
      <c r="BU89" s="148">
        <f t="shared" si="144"/>
        <v>0</v>
      </c>
      <c r="BV89" s="148">
        <f t="shared" si="144"/>
        <v>0</v>
      </c>
      <c r="BW89" s="148">
        <f t="shared" si="144"/>
        <v>0</v>
      </c>
      <c r="BX89" s="148">
        <f t="shared" si="144"/>
        <v>0</v>
      </c>
      <c r="BY89" s="148">
        <f t="shared" si="144"/>
        <v>0</v>
      </c>
      <c r="BZ89" s="148">
        <f t="shared" si="144"/>
        <v>0</v>
      </c>
      <c r="CA89" s="148">
        <f t="shared" si="144"/>
        <v>0</v>
      </c>
      <c r="CB89" s="148">
        <f t="shared" si="144"/>
        <v>0</v>
      </c>
      <c r="CC89" s="148">
        <f t="shared" si="144"/>
        <v>0</v>
      </c>
      <c r="CD89" s="148">
        <f t="shared" si="144"/>
        <v>0</v>
      </c>
      <c r="CE89" s="148">
        <f t="shared" si="144"/>
        <v>0</v>
      </c>
      <c r="CF89" s="148">
        <f t="shared" si="144"/>
        <v>0</v>
      </c>
      <c r="CG89" s="148">
        <f t="shared" si="144"/>
        <v>0</v>
      </c>
      <c r="CH89" s="148">
        <f t="shared" si="144"/>
        <v>0</v>
      </c>
      <c r="CI89" s="148">
        <f t="shared" si="144"/>
        <v>0</v>
      </c>
      <c r="CJ89" s="148">
        <f t="shared" si="144"/>
        <v>0</v>
      </c>
      <c r="CK89" s="148">
        <f t="shared" si="144"/>
        <v>0</v>
      </c>
      <c r="CL89" s="148">
        <f t="shared" si="144"/>
        <v>0</v>
      </c>
      <c r="CM89" s="148">
        <f t="shared" si="144"/>
        <v>0</v>
      </c>
      <c r="CN89" s="148">
        <f t="shared" si="144"/>
        <v>0</v>
      </c>
      <c r="CO89" s="148">
        <f t="shared" si="144"/>
        <v>0</v>
      </c>
      <c r="CP89" s="148">
        <f t="shared" si="144"/>
        <v>0</v>
      </c>
      <c r="CQ89" s="148">
        <f t="shared" si="144"/>
        <v>0</v>
      </c>
      <c r="CR89" s="148">
        <f t="shared" si="144"/>
        <v>0</v>
      </c>
      <c r="CS89" s="148">
        <f t="shared" si="144"/>
        <v>0</v>
      </c>
      <c r="CT89" s="148">
        <f t="shared" si="144"/>
        <v>0</v>
      </c>
      <c r="CU89" s="148">
        <f t="shared" si="144"/>
        <v>0</v>
      </c>
      <c r="CV89" s="148">
        <f t="shared" si="144"/>
        <v>0</v>
      </c>
      <c r="CW89" s="148">
        <f t="shared" ref="CW89:DS89" si="145">CV91</f>
        <v>0</v>
      </c>
      <c r="CX89" s="148">
        <f t="shared" si="145"/>
        <v>0</v>
      </c>
      <c r="CY89" s="148">
        <f t="shared" si="145"/>
        <v>0</v>
      </c>
      <c r="CZ89" s="148">
        <f t="shared" si="145"/>
        <v>0</v>
      </c>
      <c r="DA89" s="148">
        <f t="shared" si="145"/>
        <v>0</v>
      </c>
      <c r="DB89" s="148">
        <f t="shared" si="145"/>
        <v>0</v>
      </c>
      <c r="DC89" s="148">
        <f t="shared" si="145"/>
        <v>0</v>
      </c>
      <c r="DD89" s="148">
        <f t="shared" si="145"/>
        <v>0</v>
      </c>
      <c r="DE89" s="148">
        <f t="shared" si="145"/>
        <v>0</v>
      </c>
      <c r="DF89" s="148">
        <f t="shared" si="145"/>
        <v>0</v>
      </c>
      <c r="DG89" s="148">
        <f t="shared" si="145"/>
        <v>0</v>
      </c>
      <c r="DH89" s="148">
        <f t="shared" si="145"/>
        <v>0</v>
      </c>
      <c r="DI89" s="148">
        <f t="shared" si="145"/>
        <v>0</v>
      </c>
      <c r="DJ89" s="148">
        <f t="shared" si="145"/>
        <v>0</v>
      </c>
      <c r="DK89" s="148">
        <f t="shared" si="145"/>
        <v>0</v>
      </c>
      <c r="DL89" s="148">
        <f t="shared" si="145"/>
        <v>0</v>
      </c>
      <c r="DM89" s="148">
        <f t="shared" si="145"/>
        <v>0</v>
      </c>
      <c r="DN89" s="148">
        <f t="shared" si="145"/>
        <v>0</v>
      </c>
      <c r="DO89" s="148">
        <f t="shared" si="145"/>
        <v>0</v>
      </c>
      <c r="DP89" s="148">
        <f t="shared" si="145"/>
        <v>0</v>
      </c>
      <c r="DQ89" s="148">
        <f t="shared" si="145"/>
        <v>0</v>
      </c>
      <c r="DR89" s="148">
        <f t="shared" si="145"/>
        <v>0</v>
      </c>
      <c r="DS89" s="148">
        <f t="shared" si="145"/>
        <v>0</v>
      </c>
    </row>
    <row r="90" spans="1:123" ht="12.75" customHeight="1" x14ac:dyDescent="0.35">
      <c r="A90" s="147" t="s">
        <v>503</v>
      </c>
      <c r="B90" s="148">
        <f>SUM(D90:BQ90)</f>
        <v>0</v>
      </c>
      <c r="C90" s="139">
        <f>B90/60</f>
        <v>0</v>
      </c>
      <c r="D90" s="148">
        <f t="shared" ref="D90:AI90" si="146">MIN(D89,D84)</f>
        <v>0</v>
      </c>
      <c r="E90" s="148">
        <f t="shared" si="146"/>
        <v>0</v>
      </c>
      <c r="F90" s="148">
        <f t="shared" si="146"/>
        <v>0</v>
      </c>
      <c r="G90" s="148">
        <f t="shared" si="146"/>
        <v>0</v>
      </c>
      <c r="H90" s="148">
        <f t="shared" si="146"/>
        <v>0</v>
      </c>
      <c r="I90" s="148">
        <f t="shared" si="146"/>
        <v>0</v>
      </c>
      <c r="J90" s="148">
        <f t="shared" si="146"/>
        <v>0</v>
      </c>
      <c r="K90" s="148">
        <f t="shared" si="146"/>
        <v>0</v>
      </c>
      <c r="L90" s="148">
        <f t="shared" si="146"/>
        <v>0</v>
      </c>
      <c r="M90" s="148">
        <f t="shared" si="146"/>
        <v>0</v>
      </c>
      <c r="N90" s="148">
        <f t="shared" si="146"/>
        <v>0</v>
      </c>
      <c r="O90" s="148">
        <f t="shared" si="146"/>
        <v>0</v>
      </c>
      <c r="P90" s="148">
        <f t="shared" si="146"/>
        <v>0</v>
      </c>
      <c r="Q90" s="148">
        <f t="shared" si="146"/>
        <v>0</v>
      </c>
      <c r="R90" s="148">
        <f t="shared" si="146"/>
        <v>0</v>
      </c>
      <c r="S90" s="148">
        <f t="shared" si="146"/>
        <v>0</v>
      </c>
      <c r="T90" s="148">
        <f t="shared" si="146"/>
        <v>0</v>
      </c>
      <c r="U90" s="148">
        <f t="shared" si="146"/>
        <v>0</v>
      </c>
      <c r="V90" s="148">
        <f t="shared" si="146"/>
        <v>0</v>
      </c>
      <c r="W90" s="148">
        <f t="shared" si="146"/>
        <v>0</v>
      </c>
      <c r="X90" s="148">
        <f t="shared" si="146"/>
        <v>0</v>
      </c>
      <c r="Y90" s="148">
        <f t="shared" si="146"/>
        <v>0</v>
      </c>
      <c r="Z90" s="148">
        <f t="shared" si="146"/>
        <v>0</v>
      </c>
      <c r="AA90" s="148">
        <f t="shared" si="146"/>
        <v>0</v>
      </c>
      <c r="AB90" s="148">
        <f t="shared" si="146"/>
        <v>0</v>
      </c>
      <c r="AC90" s="148">
        <f t="shared" si="146"/>
        <v>0</v>
      </c>
      <c r="AD90" s="148">
        <f t="shared" si="146"/>
        <v>0</v>
      </c>
      <c r="AE90" s="148">
        <f t="shared" si="146"/>
        <v>0</v>
      </c>
      <c r="AF90" s="148">
        <f t="shared" si="146"/>
        <v>0</v>
      </c>
      <c r="AG90" s="148">
        <f t="shared" si="146"/>
        <v>0</v>
      </c>
      <c r="AH90" s="148">
        <f t="shared" si="146"/>
        <v>0</v>
      </c>
      <c r="AI90" s="148">
        <f t="shared" si="146"/>
        <v>0</v>
      </c>
      <c r="AJ90" s="148">
        <f t="shared" ref="AJ90:BO90" si="147">MIN(AJ89,AJ84)</f>
        <v>0</v>
      </c>
      <c r="AK90" s="148">
        <f t="shared" si="147"/>
        <v>0</v>
      </c>
      <c r="AL90" s="148">
        <f t="shared" si="147"/>
        <v>0</v>
      </c>
      <c r="AM90" s="148">
        <f t="shared" si="147"/>
        <v>0</v>
      </c>
      <c r="AN90" s="148">
        <f t="shared" si="147"/>
        <v>0</v>
      </c>
      <c r="AO90" s="148">
        <f t="shared" si="147"/>
        <v>0</v>
      </c>
      <c r="AP90" s="148">
        <f t="shared" si="147"/>
        <v>0</v>
      </c>
      <c r="AQ90" s="148">
        <f t="shared" si="147"/>
        <v>0</v>
      </c>
      <c r="AR90" s="148">
        <f t="shared" si="147"/>
        <v>0</v>
      </c>
      <c r="AS90" s="148">
        <f t="shared" si="147"/>
        <v>0</v>
      </c>
      <c r="AT90" s="148">
        <f t="shared" si="147"/>
        <v>0</v>
      </c>
      <c r="AU90" s="148">
        <f t="shared" si="147"/>
        <v>0</v>
      </c>
      <c r="AV90" s="148">
        <f t="shared" si="147"/>
        <v>0</v>
      </c>
      <c r="AW90" s="148">
        <f t="shared" si="147"/>
        <v>0</v>
      </c>
      <c r="AX90" s="148">
        <f t="shared" si="147"/>
        <v>0</v>
      </c>
      <c r="AY90" s="148">
        <f t="shared" si="147"/>
        <v>0</v>
      </c>
      <c r="AZ90" s="148">
        <f t="shared" si="147"/>
        <v>0</v>
      </c>
      <c r="BA90" s="148">
        <f t="shared" si="147"/>
        <v>0</v>
      </c>
      <c r="BB90" s="148">
        <f t="shared" si="147"/>
        <v>0</v>
      </c>
      <c r="BC90" s="148">
        <f t="shared" si="147"/>
        <v>0</v>
      </c>
      <c r="BD90" s="148">
        <f t="shared" si="147"/>
        <v>0</v>
      </c>
      <c r="BE90" s="148">
        <f t="shared" si="147"/>
        <v>0</v>
      </c>
      <c r="BF90" s="148">
        <f t="shared" si="147"/>
        <v>0</v>
      </c>
      <c r="BG90" s="148">
        <f t="shared" si="147"/>
        <v>0</v>
      </c>
      <c r="BH90" s="148">
        <f t="shared" si="147"/>
        <v>0</v>
      </c>
      <c r="BI90" s="148">
        <f t="shared" si="147"/>
        <v>0</v>
      </c>
      <c r="BJ90" s="148">
        <f t="shared" si="147"/>
        <v>0</v>
      </c>
      <c r="BK90" s="148">
        <f t="shared" si="147"/>
        <v>0</v>
      </c>
      <c r="BL90" s="148">
        <f t="shared" si="147"/>
        <v>0</v>
      </c>
      <c r="BM90" s="148">
        <f t="shared" si="147"/>
        <v>0</v>
      </c>
      <c r="BN90" s="148">
        <f t="shared" si="147"/>
        <v>0</v>
      </c>
      <c r="BO90" s="148">
        <f t="shared" si="147"/>
        <v>0</v>
      </c>
      <c r="BP90" s="148">
        <f t="shared" ref="BP90:CU90" si="148">MIN(BP89,BP84)</f>
        <v>0</v>
      </c>
      <c r="BQ90" s="148">
        <f t="shared" si="148"/>
        <v>0</v>
      </c>
      <c r="BR90" s="148">
        <f t="shared" si="148"/>
        <v>0</v>
      </c>
      <c r="BS90" s="148">
        <f t="shared" si="148"/>
        <v>0</v>
      </c>
      <c r="BT90" s="148">
        <f t="shared" si="148"/>
        <v>0</v>
      </c>
      <c r="BU90" s="148">
        <f t="shared" si="148"/>
        <v>0</v>
      </c>
      <c r="BV90" s="148">
        <f t="shared" si="148"/>
        <v>0</v>
      </c>
      <c r="BW90" s="148">
        <f t="shared" si="148"/>
        <v>0</v>
      </c>
      <c r="BX90" s="148">
        <f t="shared" si="148"/>
        <v>0</v>
      </c>
      <c r="BY90" s="148">
        <f t="shared" si="148"/>
        <v>0</v>
      </c>
      <c r="BZ90" s="148">
        <f t="shared" si="148"/>
        <v>0</v>
      </c>
      <c r="CA90" s="148">
        <f t="shared" si="148"/>
        <v>0</v>
      </c>
      <c r="CB90" s="148">
        <f t="shared" si="148"/>
        <v>0</v>
      </c>
      <c r="CC90" s="148">
        <f t="shared" si="148"/>
        <v>0</v>
      </c>
      <c r="CD90" s="148">
        <f t="shared" si="148"/>
        <v>0</v>
      </c>
      <c r="CE90" s="148">
        <f t="shared" si="148"/>
        <v>0</v>
      </c>
      <c r="CF90" s="148">
        <f t="shared" si="148"/>
        <v>0</v>
      </c>
      <c r="CG90" s="148">
        <f t="shared" si="148"/>
        <v>0</v>
      </c>
      <c r="CH90" s="148">
        <f t="shared" si="148"/>
        <v>0</v>
      </c>
      <c r="CI90" s="148">
        <f t="shared" si="148"/>
        <v>0</v>
      </c>
      <c r="CJ90" s="148">
        <f t="shared" si="148"/>
        <v>0</v>
      </c>
      <c r="CK90" s="148">
        <f t="shared" si="148"/>
        <v>0</v>
      </c>
      <c r="CL90" s="148">
        <f t="shared" si="148"/>
        <v>0</v>
      </c>
      <c r="CM90" s="148">
        <f t="shared" si="148"/>
        <v>0</v>
      </c>
      <c r="CN90" s="148">
        <f t="shared" si="148"/>
        <v>0</v>
      </c>
      <c r="CO90" s="148">
        <f t="shared" si="148"/>
        <v>0</v>
      </c>
      <c r="CP90" s="148">
        <f t="shared" si="148"/>
        <v>0</v>
      </c>
      <c r="CQ90" s="148">
        <f t="shared" si="148"/>
        <v>0</v>
      </c>
      <c r="CR90" s="148">
        <f t="shared" si="148"/>
        <v>0</v>
      </c>
      <c r="CS90" s="148">
        <f t="shared" si="148"/>
        <v>0</v>
      </c>
      <c r="CT90" s="148">
        <f t="shared" si="148"/>
        <v>0</v>
      </c>
      <c r="CU90" s="148">
        <f t="shared" si="148"/>
        <v>0</v>
      </c>
      <c r="CV90" s="148">
        <f t="shared" ref="CV90:DS90" si="149">MIN(CV89,CV84)</f>
        <v>0</v>
      </c>
      <c r="CW90" s="148">
        <f t="shared" si="149"/>
        <v>0</v>
      </c>
      <c r="CX90" s="148">
        <f t="shared" si="149"/>
        <v>0</v>
      </c>
      <c r="CY90" s="148">
        <f t="shared" si="149"/>
        <v>0</v>
      </c>
      <c r="CZ90" s="148">
        <f t="shared" si="149"/>
        <v>0</v>
      </c>
      <c r="DA90" s="148">
        <f t="shared" si="149"/>
        <v>0</v>
      </c>
      <c r="DB90" s="148">
        <f t="shared" si="149"/>
        <v>0</v>
      </c>
      <c r="DC90" s="148">
        <f t="shared" si="149"/>
        <v>0</v>
      </c>
      <c r="DD90" s="148">
        <f t="shared" si="149"/>
        <v>0</v>
      </c>
      <c r="DE90" s="148">
        <f t="shared" si="149"/>
        <v>0</v>
      </c>
      <c r="DF90" s="148">
        <f t="shared" si="149"/>
        <v>0</v>
      </c>
      <c r="DG90" s="148">
        <f t="shared" si="149"/>
        <v>0</v>
      </c>
      <c r="DH90" s="148">
        <f t="shared" si="149"/>
        <v>0</v>
      </c>
      <c r="DI90" s="148">
        <f t="shared" si="149"/>
        <v>0</v>
      </c>
      <c r="DJ90" s="148">
        <f t="shared" si="149"/>
        <v>0</v>
      </c>
      <c r="DK90" s="148">
        <f t="shared" si="149"/>
        <v>0</v>
      </c>
      <c r="DL90" s="148">
        <f t="shared" si="149"/>
        <v>0</v>
      </c>
      <c r="DM90" s="148">
        <f t="shared" si="149"/>
        <v>0</v>
      </c>
      <c r="DN90" s="148">
        <f t="shared" si="149"/>
        <v>0</v>
      </c>
      <c r="DO90" s="148">
        <f t="shared" si="149"/>
        <v>0</v>
      </c>
      <c r="DP90" s="148">
        <f t="shared" si="149"/>
        <v>0</v>
      </c>
      <c r="DQ90" s="148">
        <f t="shared" si="149"/>
        <v>0</v>
      </c>
      <c r="DR90" s="148">
        <f t="shared" si="149"/>
        <v>0</v>
      </c>
      <c r="DS90" s="148">
        <f t="shared" si="149"/>
        <v>0</v>
      </c>
    </row>
    <row r="91" spans="1:123" ht="12.75" customHeight="1" x14ac:dyDescent="0.35">
      <c r="A91" s="147" t="s">
        <v>504</v>
      </c>
      <c r="B91" s="148">
        <f>AA91</f>
        <v>0</v>
      </c>
      <c r="C91" s="139" t="s">
        <v>169</v>
      </c>
      <c r="D91" s="168">
        <f t="shared" ref="D91:AI91" si="150">MAX(D89-D90,0)</f>
        <v>0</v>
      </c>
      <c r="E91" s="168">
        <f t="shared" si="150"/>
        <v>0</v>
      </c>
      <c r="F91" s="168">
        <f t="shared" si="150"/>
        <v>0</v>
      </c>
      <c r="G91" s="168">
        <f t="shared" si="150"/>
        <v>0</v>
      </c>
      <c r="H91" s="168">
        <f t="shared" si="150"/>
        <v>0</v>
      </c>
      <c r="I91" s="168">
        <f t="shared" si="150"/>
        <v>0</v>
      </c>
      <c r="J91" s="168">
        <f t="shared" si="150"/>
        <v>0</v>
      </c>
      <c r="K91" s="168">
        <f t="shared" si="150"/>
        <v>0</v>
      </c>
      <c r="L91" s="168">
        <f t="shared" si="150"/>
        <v>0</v>
      </c>
      <c r="M91" s="168">
        <f t="shared" si="150"/>
        <v>0</v>
      </c>
      <c r="N91" s="168">
        <f t="shared" si="150"/>
        <v>0</v>
      </c>
      <c r="O91" s="168">
        <f t="shared" si="150"/>
        <v>0</v>
      </c>
      <c r="P91" s="168">
        <f t="shared" si="150"/>
        <v>0</v>
      </c>
      <c r="Q91" s="168">
        <f t="shared" si="150"/>
        <v>0</v>
      </c>
      <c r="R91" s="168">
        <f t="shared" si="150"/>
        <v>0</v>
      </c>
      <c r="S91" s="168">
        <f t="shared" si="150"/>
        <v>0</v>
      </c>
      <c r="T91" s="168">
        <f t="shared" si="150"/>
        <v>0</v>
      </c>
      <c r="U91" s="168">
        <f t="shared" si="150"/>
        <v>0</v>
      </c>
      <c r="V91" s="168">
        <f t="shared" si="150"/>
        <v>0</v>
      </c>
      <c r="W91" s="168">
        <f t="shared" si="150"/>
        <v>0</v>
      </c>
      <c r="X91" s="168">
        <f t="shared" si="150"/>
        <v>0</v>
      </c>
      <c r="Y91" s="168">
        <f t="shared" si="150"/>
        <v>0</v>
      </c>
      <c r="Z91" s="168">
        <f t="shared" si="150"/>
        <v>0</v>
      </c>
      <c r="AA91" s="168">
        <f t="shared" si="150"/>
        <v>0</v>
      </c>
      <c r="AB91" s="168">
        <f t="shared" si="150"/>
        <v>0</v>
      </c>
      <c r="AC91" s="168">
        <f t="shared" si="150"/>
        <v>0</v>
      </c>
      <c r="AD91" s="168">
        <f t="shared" si="150"/>
        <v>0</v>
      </c>
      <c r="AE91" s="168">
        <f t="shared" si="150"/>
        <v>0</v>
      </c>
      <c r="AF91" s="168">
        <f t="shared" si="150"/>
        <v>0</v>
      </c>
      <c r="AG91" s="168">
        <f t="shared" si="150"/>
        <v>0</v>
      </c>
      <c r="AH91" s="168">
        <f t="shared" si="150"/>
        <v>0</v>
      </c>
      <c r="AI91" s="168">
        <f t="shared" si="150"/>
        <v>0</v>
      </c>
      <c r="AJ91" s="168">
        <f t="shared" ref="AJ91:BO91" si="151">MAX(AJ89-AJ90,0)</f>
        <v>0</v>
      </c>
      <c r="AK91" s="168">
        <f t="shared" si="151"/>
        <v>0</v>
      </c>
      <c r="AL91" s="168">
        <f t="shared" si="151"/>
        <v>0</v>
      </c>
      <c r="AM91" s="168">
        <f t="shared" si="151"/>
        <v>0</v>
      </c>
      <c r="AN91" s="168">
        <f t="shared" si="151"/>
        <v>0</v>
      </c>
      <c r="AO91" s="168">
        <f t="shared" si="151"/>
        <v>0</v>
      </c>
      <c r="AP91" s="168">
        <f t="shared" si="151"/>
        <v>0</v>
      </c>
      <c r="AQ91" s="168">
        <f t="shared" si="151"/>
        <v>0</v>
      </c>
      <c r="AR91" s="168">
        <f t="shared" si="151"/>
        <v>0</v>
      </c>
      <c r="AS91" s="168">
        <f t="shared" si="151"/>
        <v>0</v>
      </c>
      <c r="AT91" s="168">
        <f t="shared" si="151"/>
        <v>0</v>
      </c>
      <c r="AU91" s="168">
        <f t="shared" si="151"/>
        <v>0</v>
      </c>
      <c r="AV91" s="168">
        <f t="shared" si="151"/>
        <v>0</v>
      </c>
      <c r="AW91" s="168">
        <f t="shared" si="151"/>
        <v>0</v>
      </c>
      <c r="AX91" s="168">
        <f t="shared" si="151"/>
        <v>0</v>
      </c>
      <c r="AY91" s="168">
        <f t="shared" si="151"/>
        <v>0</v>
      </c>
      <c r="AZ91" s="168">
        <f t="shared" si="151"/>
        <v>0</v>
      </c>
      <c r="BA91" s="168">
        <f t="shared" si="151"/>
        <v>0</v>
      </c>
      <c r="BB91" s="168">
        <f t="shared" si="151"/>
        <v>0</v>
      </c>
      <c r="BC91" s="168">
        <f t="shared" si="151"/>
        <v>0</v>
      </c>
      <c r="BD91" s="168">
        <f t="shared" si="151"/>
        <v>0</v>
      </c>
      <c r="BE91" s="168">
        <f t="shared" si="151"/>
        <v>0</v>
      </c>
      <c r="BF91" s="168">
        <f t="shared" si="151"/>
        <v>0</v>
      </c>
      <c r="BG91" s="168">
        <f t="shared" si="151"/>
        <v>0</v>
      </c>
      <c r="BH91" s="168">
        <f t="shared" si="151"/>
        <v>0</v>
      </c>
      <c r="BI91" s="168">
        <f t="shared" si="151"/>
        <v>0</v>
      </c>
      <c r="BJ91" s="168">
        <f t="shared" si="151"/>
        <v>0</v>
      </c>
      <c r="BK91" s="168">
        <f t="shared" si="151"/>
        <v>0</v>
      </c>
      <c r="BL91" s="168">
        <f t="shared" si="151"/>
        <v>0</v>
      </c>
      <c r="BM91" s="168">
        <f t="shared" si="151"/>
        <v>0</v>
      </c>
      <c r="BN91" s="168">
        <f t="shared" si="151"/>
        <v>0</v>
      </c>
      <c r="BO91" s="168">
        <f t="shared" si="151"/>
        <v>0</v>
      </c>
      <c r="BP91" s="168">
        <f t="shared" ref="BP91:CU91" si="152">MAX(BP89-BP90,0)</f>
        <v>0</v>
      </c>
      <c r="BQ91" s="168">
        <f t="shared" si="152"/>
        <v>0</v>
      </c>
      <c r="BR91" s="168">
        <f t="shared" si="152"/>
        <v>0</v>
      </c>
      <c r="BS91" s="168">
        <f t="shared" si="152"/>
        <v>0</v>
      </c>
      <c r="BT91" s="168">
        <f t="shared" si="152"/>
        <v>0</v>
      </c>
      <c r="BU91" s="168">
        <f t="shared" si="152"/>
        <v>0</v>
      </c>
      <c r="BV91" s="168">
        <f t="shared" si="152"/>
        <v>0</v>
      </c>
      <c r="BW91" s="168">
        <f t="shared" si="152"/>
        <v>0</v>
      </c>
      <c r="BX91" s="168">
        <f t="shared" si="152"/>
        <v>0</v>
      </c>
      <c r="BY91" s="168">
        <f t="shared" si="152"/>
        <v>0</v>
      </c>
      <c r="BZ91" s="168">
        <f t="shared" si="152"/>
        <v>0</v>
      </c>
      <c r="CA91" s="168">
        <f t="shared" si="152"/>
        <v>0</v>
      </c>
      <c r="CB91" s="168">
        <f t="shared" si="152"/>
        <v>0</v>
      </c>
      <c r="CC91" s="168">
        <f t="shared" si="152"/>
        <v>0</v>
      </c>
      <c r="CD91" s="168">
        <f t="shared" si="152"/>
        <v>0</v>
      </c>
      <c r="CE91" s="168">
        <f t="shared" si="152"/>
        <v>0</v>
      </c>
      <c r="CF91" s="168">
        <f t="shared" si="152"/>
        <v>0</v>
      </c>
      <c r="CG91" s="168">
        <f t="shared" si="152"/>
        <v>0</v>
      </c>
      <c r="CH91" s="168">
        <f t="shared" si="152"/>
        <v>0</v>
      </c>
      <c r="CI91" s="168">
        <f t="shared" si="152"/>
        <v>0</v>
      </c>
      <c r="CJ91" s="168">
        <f t="shared" si="152"/>
        <v>0</v>
      </c>
      <c r="CK91" s="168">
        <f t="shared" si="152"/>
        <v>0</v>
      </c>
      <c r="CL91" s="168">
        <f t="shared" si="152"/>
        <v>0</v>
      </c>
      <c r="CM91" s="168">
        <f t="shared" si="152"/>
        <v>0</v>
      </c>
      <c r="CN91" s="168">
        <f t="shared" si="152"/>
        <v>0</v>
      </c>
      <c r="CO91" s="168">
        <f t="shared" si="152"/>
        <v>0</v>
      </c>
      <c r="CP91" s="168">
        <f t="shared" si="152"/>
        <v>0</v>
      </c>
      <c r="CQ91" s="168">
        <f t="shared" si="152"/>
        <v>0</v>
      </c>
      <c r="CR91" s="168">
        <f t="shared" si="152"/>
        <v>0</v>
      </c>
      <c r="CS91" s="168">
        <f t="shared" si="152"/>
        <v>0</v>
      </c>
      <c r="CT91" s="168">
        <f t="shared" si="152"/>
        <v>0</v>
      </c>
      <c r="CU91" s="168">
        <f t="shared" si="152"/>
        <v>0</v>
      </c>
      <c r="CV91" s="168">
        <f t="shared" ref="CV91:DS91" si="153">MAX(CV89-CV90,0)</f>
        <v>0</v>
      </c>
      <c r="CW91" s="168">
        <f t="shared" si="153"/>
        <v>0</v>
      </c>
      <c r="CX91" s="168">
        <f t="shared" si="153"/>
        <v>0</v>
      </c>
      <c r="CY91" s="168">
        <f t="shared" si="153"/>
        <v>0</v>
      </c>
      <c r="CZ91" s="168">
        <f t="shared" si="153"/>
        <v>0</v>
      </c>
      <c r="DA91" s="168">
        <f t="shared" si="153"/>
        <v>0</v>
      </c>
      <c r="DB91" s="168">
        <f t="shared" si="153"/>
        <v>0</v>
      </c>
      <c r="DC91" s="168">
        <f t="shared" si="153"/>
        <v>0</v>
      </c>
      <c r="DD91" s="168">
        <f t="shared" si="153"/>
        <v>0</v>
      </c>
      <c r="DE91" s="168">
        <f t="shared" si="153"/>
        <v>0</v>
      </c>
      <c r="DF91" s="168">
        <f t="shared" si="153"/>
        <v>0</v>
      </c>
      <c r="DG91" s="168">
        <f t="shared" si="153"/>
        <v>0</v>
      </c>
      <c r="DH91" s="168">
        <f t="shared" si="153"/>
        <v>0</v>
      </c>
      <c r="DI91" s="168">
        <f t="shared" si="153"/>
        <v>0</v>
      </c>
      <c r="DJ91" s="168">
        <f t="shared" si="153"/>
        <v>0</v>
      </c>
      <c r="DK91" s="168">
        <f t="shared" si="153"/>
        <v>0</v>
      </c>
      <c r="DL91" s="168">
        <f t="shared" si="153"/>
        <v>0</v>
      </c>
      <c r="DM91" s="168">
        <f t="shared" si="153"/>
        <v>0</v>
      </c>
      <c r="DN91" s="168">
        <f t="shared" si="153"/>
        <v>0</v>
      </c>
      <c r="DO91" s="168">
        <f t="shared" si="153"/>
        <v>0</v>
      </c>
      <c r="DP91" s="168">
        <f t="shared" si="153"/>
        <v>0</v>
      </c>
      <c r="DQ91" s="168">
        <f t="shared" si="153"/>
        <v>0</v>
      </c>
      <c r="DR91" s="168">
        <f t="shared" si="153"/>
        <v>0</v>
      </c>
      <c r="DS91" s="168">
        <f t="shared" si="153"/>
        <v>0</v>
      </c>
    </row>
    <row r="92" spans="1:123" ht="12.75" customHeight="1" x14ac:dyDescent="0.35">
      <c r="A92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92" s="162">
        <f>SUM(D92:BQ92)</f>
        <v>38931.701015104838</v>
      </c>
      <c r="C92" s="144">
        <f>B92/60</f>
        <v>648.86168358508064</v>
      </c>
      <c r="D92" s="162">
        <f>D84*Premissas!$F$19</f>
        <v>336.87869465835024</v>
      </c>
      <c r="E92" s="162">
        <f>E84*Premissas!$F$19</f>
        <v>271.16883938158412</v>
      </c>
      <c r="F92" s="162">
        <f>F84*Premissas!$F$19</f>
        <v>341.50614925530562</v>
      </c>
      <c r="G92" s="162">
        <f>G84*Premissas!$F$19</f>
        <v>623.78087966958253</v>
      </c>
      <c r="H92" s="162">
        <f>H84*Premissas!$F$19</f>
        <v>695.96917138208619</v>
      </c>
      <c r="I92" s="162">
        <f>I84*Premissas!$F$19</f>
        <v>711.70251701173447</v>
      </c>
      <c r="J92" s="162">
        <f>J84*Premissas!$F$19</f>
        <v>620.07891599201832</v>
      </c>
      <c r="K92" s="162">
        <f>K84*Premissas!$F$19</f>
        <v>369.27087683703775</v>
      </c>
      <c r="L92" s="162">
        <f>L84*Premissas!$F$19</f>
        <v>848.67517308161314</v>
      </c>
      <c r="M92" s="162">
        <f>M84*Premissas!$F$19</f>
        <v>895.87520997055776</v>
      </c>
      <c r="N92" s="162">
        <f>N84*Premissas!$F$19</f>
        <v>500.69058739056999</v>
      </c>
      <c r="O92" s="162">
        <f>O84*Premissas!$F$19</f>
        <v>564.54946082855395</v>
      </c>
      <c r="P92" s="162">
        <f>P84*Premissas!$F$19</f>
        <v>345.20811293286988</v>
      </c>
      <c r="Q92" s="162">
        <f>Q84*Premissas!$F$19</f>
        <v>277.6472758173216</v>
      </c>
      <c r="R92" s="162">
        <f>R84*Premissas!$F$19</f>
        <v>349.83556752982525</v>
      </c>
      <c r="S92" s="162">
        <f>S84*Premissas!$F$19</f>
        <v>639.51422529923082</v>
      </c>
      <c r="T92" s="162">
        <f>T84*Premissas!$F$19</f>
        <v>713.55349885051658</v>
      </c>
      <c r="U92" s="162">
        <f>U84*Premissas!$F$19</f>
        <v>729.28684448016486</v>
      </c>
      <c r="V92" s="162">
        <f>V84*Premissas!$F$19</f>
        <v>635.81226162166649</v>
      </c>
      <c r="W92" s="162">
        <f>W84*Premissas!$F$19</f>
        <v>369.27087683703775</v>
      </c>
      <c r="X92" s="162">
        <f>X84*Premissas!$F$19</f>
        <v>848.67517308161314</v>
      </c>
      <c r="Y92" s="162">
        <f>Y84*Premissas!$F$19</f>
        <v>895.87520997055776</v>
      </c>
      <c r="Z92" s="162">
        <f>Z84*Premissas!$F$19</f>
        <v>500.69058739056999</v>
      </c>
      <c r="AA92" s="162">
        <f>AA84*Premissas!$F$19</f>
        <v>564.54946082855395</v>
      </c>
      <c r="AB92" s="162">
        <f>AB84*Premissas!$F$19</f>
        <v>353.53753120738952</v>
      </c>
      <c r="AC92" s="162">
        <f>AC84*Premissas!$F$19</f>
        <v>285.05120317245019</v>
      </c>
      <c r="AD92" s="162">
        <f>AD84*Premissas!$F$19</f>
        <v>359.09047672373595</v>
      </c>
      <c r="AE92" s="162">
        <f>AE84*Premissas!$F$19</f>
        <v>655.24757092887899</v>
      </c>
      <c r="AF92" s="162">
        <f>AF84*Premissas!$F$19</f>
        <v>731.13782631894696</v>
      </c>
      <c r="AG92" s="162">
        <f>AG84*Premissas!$F$19</f>
        <v>747.79666286798624</v>
      </c>
      <c r="AH92" s="162">
        <f>AH84*Premissas!$F$19</f>
        <v>651.54560725131478</v>
      </c>
      <c r="AI92" s="162">
        <f>AI84*Premissas!$F$19</f>
        <v>387.78069522485919</v>
      </c>
      <c r="AJ92" s="162">
        <f>AJ84*Premissas!$F$19</f>
        <v>891.24775537360244</v>
      </c>
      <c r="AK92" s="162">
        <f>AK84*Premissas!$F$19</f>
        <v>941.22426502072028</v>
      </c>
      <c r="AL92" s="162">
        <f>AL84*Premissas!$F$19</f>
        <v>525.67884221412896</v>
      </c>
      <c r="AM92" s="162">
        <f>AM84*Premissas!$F$19</f>
        <v>593.23967932967719</v>
      </c>
      <c r="AN92" s="162">
        <f>AN84*Premissas!$F$19</f>
        <v>362.79244040130027</v>
      </c>
      <c r="AO92" s="162">
        <f>AO84*Premissas!$F$19</f>
        <v>292.45513052757877</v>
      </c>
      <c r="AP92" s="162">
        <f>AP84*Premissas!$F$19</f>
        <v>367.41989499825564</v>
      </c>
      <c r="AQ92" s="162">
        <f>AQ84*Premissas!$F$19</f>
        <v>671.90640747791838</v>
      </c>
      <c r="AR92" s="162">
        <f>AR84*Premissas!$F$19</f>
        <v>749.64764470676835</v>
      </c>
      <c r="AS92" s="162">
        <f>AS84*Premissas!$F$19</f>
        <v>766.30648125580774</v>
      </c>
      <c r="AT92" s="162">
        <f>AT84*Premissas!$F$19</f>
        <v>668.20444380035406</v>
      </c>
      <c r="AU92" s="162">
        <f>AU84*Premissas!$F$19</f>
        <v>397.96109533816099</v>
      </c>
      <c r="AV92" s="162">
        <f>AV84*Premissas!$F$19</f>
        <v>914.38502835837926</v>
      </c>
      <c r="AW92" s="162">
        <f>AW84*Premissas!$F$19</f>
        <v>964.3615380054971</v>
      </c>
      <c r="AX92" s="162">
        <f>AX84*Premissas!$F$19</f>
        <v>539.56120600499503</v>
      </c>
      <c r="AY92" s="162">
        <f>AY84*Premissas!$F$19</f>
        <v>608.04753403993436</v>
      </c>
      <c r="AZ92" s="162">
        <f>AZ84*Premissas!$F$19</f>
        <v>372.04734959521096</v>
      </c>
      <c r="BA92" s="162">
        <f>BA84*Premissas!$F$19</f>
        <v>298.93356696331631</v>
      </c>
      <c r="BB92" s="162">
        <f>BB84*Premissas!$F$19</f>
        <v>376.67480419216633</v>
      </c>
      <c r="BC92" s="162">
        <f>BC84*Premissas!$F$19</f>
        <v>688.56524402695766</v>
      </c>
      <c r="BD92" s="162">
        <f>BD84*Premissas!$F$19</f>
        <v>768.15746309458984</v>
      </c>
      <c r="BE92" s="162">
        <f>BE84*Premissas!$F$19</f>
        <v>785.74179056302023</v>
      </c>
      <c r="BF92" s="162">
        <f>BF84*Premissas!$F$19</f>
        <v>684.86328034939334</v>
      </c>
      <c r="BG92" s="162">
        <f>BG84*Premissas!$F$19</f>
        <v>407.21600453207174</v>
      </c>
      <c r="BH92" s="162">
        <f>BH84*Premissas!$F$19</f>
        <v>936.59681042376496</v>
      </c>
      <c r="BI92" s="162">
        <f>BI84*Premissas!$F$19</f>
        <v>988.42430190966502</v>
      </c>
      <c r="BJ92" s="162">
        <f>BJ84*Premissas!$F$19</f>
        <v>552.51807887646999</v>
      </c>
      <c r="BK92" s="162">
        <f>BK84*Premissas!$F$19</f>
        <v>622.85538875019154</v>
      </c>
      <c r="BL92" s="162">
        <f>BL84*Premissas!$F$19</f>
        <v>381.30225878912171</v>
      </c>
      <c r="BM92" s="162">
        <f>BM84*Premissas!$F$19</f>
        <v>307.26298523783595</v>
      </c>
      <c r="BN92" s="162">
        <f>BN84*Premissas!$F$19</f>
        <v>385.92971338607708</v>
      </c>
      <c r="BO92" s="162">
        <f>BO84*Premissas!$F$19</f>
        <v>706.14957149538805</v>
      </c>
      <c r="BP92" s="162">
        <f>BP84*Premissas!$F$19</f>
        <v>787.59277240180234</v>
      </c>
      <c r="BQ92" s="162">
        <f>BQ84*Premissas!$F$19</f>
        <v>805.17709987023272</v>
      </c>
      <c r="BR92" s="162">
        <f>BR84*Premissas!$F$19</f>
        <v>701.52211689843261</v>
      </c>
      <c r="BS92" s="162">
        <f>BS84*Premissas!$F$19</f>
        <v>417.39640464537354</v>
      </c>
      <c r="BT92" s="162">
        <f>BT84*Premissas!$F$19</f>
        <v>960.65957432793277</v>
      </c>
      <c r="BU92" s="162">
        <f>BU84*Premissas!$F$19</f>
        <v>1013.4125567332239</v>
      </c>
      <c r="BV92" s="162">
        <f>BV84*Premissas!$F$19</f>
        <v>566.40044266733616</v>
      </c>
      <c r="BW92" s="162">
        <f>BW84*Premissas!$F$19</f>
        <v>638.58873437983971</v>
      </c>
      <c r="BX92" s="162">
        <f>BX84*Premissas!$F$19</f>
        <v>390.5571679830324</v>
      </c>
      <c r="BY92" s="162">
        <f>BY84*Premissas!$F$19</f>
        <v>314.66691259296454</v>
      </c>
      <c r="BZ92" s="162">
        <f>BZ84*Premissas!$F$19</f>
        <v>396.11011349937883</v>
      </c>
      <c r="CA92" s="162">
        <f>CA84*Premissas!$F$19</f>
        <v>723.73389896381832</v>
      </c>
      <c r="CB92" s="162">
        <f>CB84*Premissas!$F$19</f>
        <v>807.02808170901483</v>
      </c>
      <c r="CC92" s="162">
        <f>CC84*Premissas!$F$19</f>
        <v>825.53790009683632</v>
      </c>
      <c r="CD92" s="162">
        <f>CD84*Premissas!$F$19</f>
        <v>719.106444366863</v>
      </c>
      <c r="CE92" s="162">
        <f>CE84*Premissas!$F$19</f>
        <v>428.50229567806639</v>
      </c>
      <c r="CF92" s="162">
        <f>CF84*Premissas!$F$19</f>
        <v>983.79684731270959</v>
      </c>
      <c r="CG92" s="162">
        <f>CG84*Premissas!$F$19</f>
        <v>1039.3263024761739</v>
      </c>
      <c r="CH92" s="162">
        <f>CH84*Premissas!$F$19</f>
        <v>580.28280645820223</v>
      </c>
      <c r="CI92" s="162">
        <f>CI84*Premissas!$F$19</f>
        <v>654.32208000948799</v>
      </c>
      <c r="CJ92" s="162">
        <f>CJ84*Premissas!$F$19</f>
        <v>400.7375680963342</v>
      </c>
      <c r="CK92" s="162">
        <f>CK84*Premissas!$F$19</f>
        <v>322.07083994809307</v>
      </c>
      <c r="CL92" s="162">
        <f>CL84*Premissas!$F$19</f>
        <v>406.29051361268063</v>
      </c>
      <c r="CM92" s="162">
        <f>CM84*Premissas!$F$19</f>
        <v>741.31822643224871</v>
      </c>
      <c r="CN92" s="162">
        <f>CN84*Premissas!$F$19</f>
        <v>827.38888193561843</v>
      </c>
      <c r="CO92" s="162">
        <f>CO84*Premissas!$F$19</f>
        <v>845.89870032343993</v>
      </c>
      <c r="CP92" s="162">
        <f>CP84*Premissas!$F$19</f>
        <v>736.69077183529339</v>
      </c>
      <c r="CQ92" s="162">
        <f>CQ84*Premissas!$F$19</f>
        <v>438.68269579136819</v>
      </c>
      <c r="CR92" s="162">
        <f>CR84*Premissas!$F$19</f>
        <v>1008.7851021362686</v>
      </c>
      <c r="CS92" s="162">
        <f>CS84*Premissas!$F$19</f>
        <v>1065.240048219124</v>
      </c>
      <c r="CT92" s="162">
        <f>CT84*Premissas!$F$19</f>
        <v>595.09066116845941</v>
      </c>
      <c r="CU92" s="162">
        <f>CU84*Premissas!$F$19</f>
        <v>670.98091655852727</v>
      </c>
      <c r="CV92" s="162">
        <f>CV84*Premissas!$F$19</f>
        <v>409.99247729024495</v>
      </c>
      <c r="CW92" s="162">
        <f>CW84*Premissas!$F$19</f>
        <v>330.40025822261276</v>
      </c>
      <c r="CX92" s="162">
        <f>CX84*Premissas!$F$19</f>
        <v>416.47091372598243</v>
      </c>
      <c r="CY92" s="162">
        <f>CY84*Premissas!$F$19</f>
        <v>759.8280448200702</v>
      </c>
      <c r="CZ92" s="162">
        <f>CZ84*Premissas!$F$19</f>
        <v>847.74968216222203</v>
      </c>
      <c r="DA92" s="162">
        <f>DA84*Premissas!$F$19</f>
        <v>867.18499146943452</v>
      </c>
      <c r="DB92" s="162">
        <f>DB84*Premissas!$F$19</f>
        <v>755.20059022311477</v>
      </c>
      <c r="DC92" s="162">
        <f>DC84*Premissas!$F$19</f>
        <v>449.78858682406104</v>
      </c>
      <c r="DD92" s="162">
        <f>DD84*Premissas!$F$19</f>
        <v>1033.7733569598274</v>
      </c>
      <c r="DE92" s="162">
        <f>DE84*Premissas!$F$19</f>
        <v>1091.1537939620739</v>
      </c>
      <c r="DF92" s="162">
        <f>DF84*Premissas!$F$19</f>
        <v>609.89851587871647</v>
      </c>
      <c r="DG92" s="162">
        <f>DG84*Premissas!$F$19</f>
        <v>687.63975310756655</v>
      </c>
      <c r="DH92" s="162">
        <f>DH84*Premissas!$F$19</f>
        <v>421.0983683229378</v>
      </c>
      <c r="DI92" s="162">
        <f>DI84*Premissas!$F$19</f>
        <v>338.7296764971324</v>
      </c>
      <c r="DJ92" s="162">
        <f>DJ84*Premissas!$F$19</f>
        <v>426.65131383928423</v>
      </c>
      <c r="DK92" s="162">
        <f>DK84*Premissas!$F$19</f>
        <v>779.2633541272827</v>
      </c>
      <c r="DL92" s="162">
        <f>DL84*Premissas!$F$19</f>
        <v>869.03597330821674</v>
      </c>
      <c r="DM92" s="162">
        <f>DM84*Premissas!$F$19</f>
        <v>888.47128261542923</v>
      </c>
      <c r="DN92" s="162">
        <f>DN84*Premissas!$F$19</f>
        <v>774.63589953032738</v>
      </c>
      <c r="DO92" s="162">
        <f>DO84*Premissas!$F$19</f>
        <v>460.89447785675389</v>
      </c>
      <c r="DP92" s="162">
        <f>DP84*Premissas!$F$19</f>
        <v>1059.6871027027776</v>
      </c>
      <c r="DQ92" s="162">
        <f>DQ84*Premissas!$F$19</f>
        <v>1118.9185215438063</v>
      </c>
      <c r="DR92" s="162">
        <f>DR84*Premissas!$F$19</f>
        <v>625.63186150836475</v>
      </c>
      <c r="DS92" s="162">
        <f>DS84*Premissas!$F$19</f>
        <v>705.22408057599694</v>
      </c>
    </row>
    <row r="93" spans="1:123" ht="12.75" customHeight="1" x14ac:dyDescent="0.35">
      <c r="A93" s="163" t="s">
        <v>498</v>
      </c>
      <c r="B93" s="164">
        <f>SUM(D93:BQ93)</f>
        <v>1240.1919315889031</v>
      </c>
      <c r="C93" s="144">
        <f>B93/60</f>
        <v>20.669865526481718</v>
      </c>
      <c r="D93" s="164">
        <f>IF(D88&gt;0,0,MAX(D84-D85-D86,0)*Premissas!$B$7)</f>
        <v>0</v>
      </c>
      <c r="E93" s="164">
        <f>IF(E88&gt;0,0,MAX(E84-E85-E86,0)*Premissas!$B$7)</f>
        <v>0</v>
      </c>
      <c r="F93" s="164">
        <f>IF(F88&gt;0,0,MAX(F84-F85-F86,0)*Premissas!$B$7)</f>
        <v>0</v>
      </c>
      <c r="G93" s="164">
        <f>IF(G88&gt;0,0,MAX(G84-G85-G86,0)*Premissas!$B$7)</f>
        <v>0</v>
      </c>
      <c r="H93" s="164">
        <f>IF(H88&gt;0,0,MAX(H84-H85-H86,0)*Premissas!$B$7)</f>
        <v>0</v>
      </c>
      <c r="I93" s="164">
        <f>IF(I88&gt;0,0,MAX(I84-I85-I86,0)*Premissas!$B$7)</f>
        <v>0</v>
      </c>
      <c r="J93" s="164">
        <f>IF(J88&gt;0,0,MAX(J84-J85-J86,0)*Premissas!$B$7)</f>
        <v>0</v>
      </c>
      <c r="K93" s="164">
        <f>IF(K88&gt;0,0,MAX(K84-K85-K86,0)*Premissas!$B$7)</f>
        <v>0</v>
      </c>
      <c r="L93" s="164">
        <f>IF(L88&gt;0,0,MAX(L84-L85-L86,0)*Premissas!$B$7)</f>
        <v>0</v>
      </c>
      <c r="M93" s="164">
        <f>IF(M88&gt;0,0,MAX(M84-M85-M86,0)*Premissas!$B$7)</f>
        <v>0</v>
      </c>
      <c r="N93" s="164">
        <f>IF(N88&gt;0,0,MAX(N84-N85-N86,0)*Premissas!$B$7)</f>
        <v>0</v>
      </c>
      <c r="O93" s="164">
        <f>IF(O88&gt;0,0,MAX(O84-O85-O86,0)*Premissas!$B$7)</f>
        <v>0</v>
      </c>
      <c r="P93" s="164">
        <f>IF(P88&gt;0,0,MAX(P84-P85-P86,0)*Premissas!$B$7)</f>
        <v>0</v>
      </c>
      <c r="Q93" s="164">
        <f>IF(Q88&gt;0,0,MAX(Q84-Q85-Q86,0)*Premissas!$B$7)</f>
        <v>0</v>
      </c>
      <c r="R93" s="164">
        <f>IF(R88&gt;0,0,MAX(R84-R85-R86,0)*Premissas!$B$7)</f>
        <v>0</v>
      </c>
      <c r="S93" s="164">
        <f>IF(S88&gt;0,0,MAX(S84-S85-S86,0)*Premissas!$B$7)</f>
        <v>0</v>
      </c>
      <c r="T93" s="164">
        <f>IF(T88&gt;0,0,MAX(T84-T85-T86,0)*Premissas!$B$7)</f>
        <v>0</v>
      </c>
      <c r="U93" s="164">
        <f>IF(U88&gt;0,0,MAX(U84-U85-U86,0)*Premissas!$B$7)</f>
        <v>0</v>
      </c>
      <c r="V93" s="164">
        <f>IF(V88&gt;0,0,MAX(V84-V85-V86,0)*Premissas!$B$7)</f>
        <v>0</v>
      </c>
      <c r="W93" s="164">
        <f>IF(W88&gt;0,0,MAX(W84-W85-W86,0)*Premissas!$B$7)</f>
        <v>0</v>
      </c>
      <c r="X93" s="164">
        <f>IF(X88&gt;0,0,MAX(X84-X85-X86,0)*Premissas!$B$7)</f>
        <v>0</v>
      </c>
      <c r="Y93" s="164">
        <f>IF(Y88&gt;0,0,MAX(Y84-Y85-Y86,0)*Premissas!$B$7)</f>
        <v>0</v>
      </c>
      <c r="Z93" s="164">
        <f>IF(Z88&gt;0,0,MAX(Z84-Z85-Z86,0)*Premissas!$B$7)</f>
        <v>0</v>
      </c>
      <c r="AA93" s="164">
        <f>IF(AA88&gt;0,0,MAX(AA84-AA85-AA86,0)*Premissas!$B$7)</f>
        <v>0</v>
      </c>
      <c r="AB93" s="164">
        <f>IF(AB88&gt;0,0,MAX(AB84-AB85-AB86,0)*Premissas!$B$7)</f>
        <v>0</v>
      </c>
      <c r="AC93" s="164">
        <f>IF(AC88&gt;0,0,MAX(AC84-AC85-AC86,0)*Premissas!$B$7)</f>
        <v>0</v>
      </c>
      <c r="AD93" s="164">
        <f>IF(AD88&gt;0,0,MAX(AD84-AD85-AD86,0)*Premissas!$B$7)</f>
        <v>0</v>
      </c>
      <c r="AE93" s="164">
        <f>IF(AE88&gt;0,0,MAX(AE84-AE85-AE86,0)*Premissas!$B$7)</f>
        <v>0</v>
      </c>
      <c r="AF93" s="164">
        <f>IF(AF88&gt;0,0,MAX(AF84-AF85-AF86,0)*Premissas!$B$7)</f>
        <v>0</v>
      </c>
      <c r="AG93" s="164">
        <f>IF(AG88&gt;0,0,MAX(AG84-AG85-AG86,0)*Premissas!$B$7)</f>
        <v>0</v>
      </c>
      <c r="AH93" s="164">
        <f>IF(AH88&gt;0,0,MAX(AH84-AH85-AH86,0)*Premissas!$B$7)</f>
        <v>0</v>
      </c>
      <c r="AI93" s="164">
        <f>IF(AI88&gt;0,0,MAX(AI84-AI85-AI86,0)*Premissas!$B$7)</f>
        <v>0</v>
      </c>
      <c r="AJ93" s="164">
        <f>IF(AJ88&gt;0,0,MAX(AJ84-AJ85-AJ86,0)*Premissas!$B$7)</f>
        <v>0</v>
      </c>
      <c r="AK93" s="164">
        <f>IF(AK88&gt;0,0,MAX(AK84-AK85-AK86,0)*Premissas!$B$7)</f>
        <v>0</v>
      </c>
      <c r="AL93" s="164">
        <f>IF(AL88&gt;0,0,MAX(AL84-AL85-AL86,0)*Premissas!$B$7)</f>
        <v>0</v>
      </c>
      <c r="AM93" s="164">
        <f>IF(AM88&gt;0,0,MAX(AM84-AM85-AM86,0)*Premissas!$B$7)</f>
        <v>0</v>
      </c>
      <c r="AN93" s="164">
        <f>IF(AN88&gt;0,0,MAX(AN84-AN85-AN86,0)*Premissas!$B$7)</f>
        <v>0</v>
      </c>
      <c r="AO93" s="164">
        <f>IF(AO88&gt;0,0,MAX(AO84-AO85-AO86,0)*Premissas!$B$7)</f>
        <v>0</v>
      </c>
      <c r="AP93" s="164">
        <f>IF(AP88&gt;0,0,MAX(AP84-AP85-AP86,0)*Premissas!$B$7)</f>
        <v>0</v>
      </c>
      <c r="AQ93" s="164">
        <f>IF(AQ88&gt;0,0,MAX(AQ84-AQ85-AQ86,0)*Premissas!$B$7)</f>
        <v>0</v>
      </c>
      <c r="AR93" s="164">
        <f>IF(AR88&gt;0,0,MAX(AR84-AR85-AR86,0)*Premissas!$B$7)</f>
        <v>0</v>
      </c>
      <c r="AS93" s="164">
        <f>IF(AS88&gt;0,0,MAX(AS84-AS85-AS86,0)*Premissas!$B$7)</f>
        <v>0</v>
      </c>
      <c r="AT93" s="164">
        <f>IF(AT88&gt;0,0,MAX(AT84-AT85-AT86,0)*Premissas!$B$7)</f>
        <v>0</v>
      </c>
      <c r="AU93" s="164">
        <f>IF(AU88&gt;0,0,MAX(AU84-AU85-AU86,0)*Premissas!$B$7)</f>
        <v>0</v>
      </c>
      <c r="AV93" s="164">
        <f>IF(AV88&gt;0,0,MAX(AV84-AV85-AV86,0)*Premissas!$B$7)</f>
        <v>0</v>
      </c>
      <c r="AW93" s="164">
        <f>IF(AW88&gt;0,0,MAX(AW84-AW85-AW86,0)*Premissas!$B$7)</f>
        <v>0</v>
      </c>
      <c r="AX93" s="164">
        <f>IF(AX88&gt;0,0,MAX(AX84-AX85-AX86,0)*Premissas!$B$7)</f>
        <v>0</v>
      </c>
      <c r="AY93" s="164">
        <f>IF(AY88&gt;0,0,MAX(AY84-AY85-AY86,0)*Premissas!$B$7)</f>
        <v>0</v>
      </c>
      <c r="AZ93" s="164">
        <f>IF(AZ88&gt;0,0,MAX(AZ84-AZ85-AZ86,0)*Premissas!$B$7)</f>
        <v>0</v>
      </c>
      <c r="BA93" s="164">
        <f>IF(BA88&gt;0,0,MAX(BA84-BA85-BA86,0)*Premissas!$B$7)</f>
        <v>0</v>
      </c>
      <c r="BB93" s="164">
        <f>IF(BB88&gt;0,0,MAX(BB84-BB85-BB86,0)*Premissas!$B$7)</f>
        <v>0</v>
      </c>
      <c r="BC93" s="164">
        <f>IF(BC88&gt;0,0,MAX(BC84-BC85-BC86,0)*Premissas!$B$7)</f>
        <v>0</v>
      </c>
      <c r="BD93" s="164">
        <f>IF(BD88&gt;0,0,MAX(BD84-BD85-BD86,0)*Premissas!$B$7)</f>
        <v>0</v>
      </c>
      <c r="BE93" s="164">
        <f>IF(BE88&gt;0,0,MAX(BE84-BE85-BE86,0)*Premissas!$B$7)</f>
        <v>86.955169519303993</v>
      </c>
      <c r="BF93" s="164">
        <f>IF(BF88&gt;0,0,MAX(BF84-BF85-BF86,0)*Premissas!$B$7)</f>
        <v>179.76144449788768</v>
      </c>
      <c r="BG93" s="164">
        <f>IF(BG88&gt;0,0,MAX(BG84-BG85-BG86,0)*Premissas!$B$7)</f>
        <v>0</v>
      </c>
      <c r="BH93" s="164">
        <f>IF(BH88&gt;0,0,MAX(BH84-BH85-BH86,0)*Premissas!$B$7)</f>
        <v>359.94461947276153</v>
      </c>
      <c r="BI93" s="164">
        <f>IF(BI88&gt;0,0,MAX(BI84-BI85-BI86,0)*Premissas!$B$7)</f>
        <v>522.20564907726691</v>
      </c>
      <c r="BJ93" s="164">
        <f>IF(BJ88&gt;0,0,MAX(BJ84-BJ85-BJ86,0)*Premissas!$B$7)</f>
        <v>0</v>
      </c>
      <c r="BK93" s="164">
        <f>IF(BK88&gt;0,0,MAX(BK84-BK85-BK86,0)*Premissas!$B$7)</f>
        <v>91.325049021682929</v>
      </c>
      <c r="BL93" s="164">
        <f>IF(BL88&gt;0,0,MAX(BL84-BL85-BL86,0)*Premissas!$B$7)</f>
        <v>0</v>
      </c>
      <c r="BM93" s="164">
        <f>IF(BM88&gt;0,0,MAX(BM84-BM85-BM86,0)*Premissas!$B$7)</f>
        <v>0</v>
      </c>
      <c r="BN93" s="164">
        <f>IF(BN88&gt;0,0,MAX(BN84-BN85-BN86,0)*Premissas!$B$7)</f>
        <v>0</v>
      </c>
      <c r="BO93" s="164">
        <f>IF(BO88&gt;0,0,MAX(BO84-BO85-BO86,0)*Premissas!$B$7)</f>
        <v>0</v>
      </c>
      <c r="BP93" s="164">
        <f>IF(BP88&gt;0,0,MAX(BP84-BP85-BP86,0)*Premissas!$B$7)</f>
        <v>0</v>
      </c>
      <c r="BQ93" s="164">
        <f>IF(BQ88&gt;0,0,MAX(BQ84-BQ85-BQ86,0)*Premissas!$B$7)</f>
        <v>0</v>
      </c>
      <c r="BR93" s="164">
        <f>IF(BR88&gt;0,0,MAX(BR84-BR85-BR86,0)*Premissas!$B$7)</f>
        <v>0</v>
      </c>
      <c r="BS93" s="164">
        <f>IF(BS88&gt;0,0,MAX(BS84-BS85-BS86,0)*Premissas!$B$7)</f>
        <v>0</v>
      </c>
      <c r="BT93" s="164">
        <f>IF(BT88&gt;0,0,MAX(BT84-BT85-BT86,0)*Premissas!$B$7)</f>
        <v>0</v>
      </c>
      <c r="BU93" s="164">
        <f>IF(BU88&gt;0,0,MAX(BU84-BU85-BU86,0)*Premissas!$B$7)</f>
        <v>0</v>
      </c>
      <c r="BV93" s="164">
        <f>IF(BV88&gt;0,0,MAX(BV84-BV85-BV86,0)*Premissas!$B$7)</f>
        <v>0</v>
      </c>
      <c r="BW93" s="164">
        <f>IF(BW88&gt;0,0,MAX(BW84-BW85-BW86,0)*Premissas!$B$7)</f>
        <v>0</v>
      </c>
      <c r="BX93" s="164">
        <f>IF(BX88&gt;0,0,MAX(BX84-BX85-BX86,0)*Premissas!$B$7)</f>
        <v>0</v>
      </c>
      <c r="BY93" s="164">
        <f>IF(BY88&gt;0,0,MAX(BY84-BY85-BY86,0)*Premissas!$B$7)</f>
        <v>0</v>
      </c>
      <c r="BZ93" s="164">
        <f>IF(BZ88&gt;0,0,MAX(BZ84-BZ85-BZ86,0)*Premissas!$B$7)</f>
        <v>0</v>
      </c>
      <c r="CA93" s="164">
        <f>IF(CA88&gt;0,0,MAX(CA84-CA85-CA86,0)*Premissas!$B$7)</f>
        <v>0</v>
      </c>
      <c r="CB93" s="164">
        <f>IF(CB88&gt;0,0,MAX(CB84-CB85-CB86,0)*Premissas!$B$7)</f>
        <v>0</v>
      </c>
      <c r="CC93" s="164">
        <f>IF(CC88&gt;0,0,MAX(CC84-CC85-CC86,0)*Premissas!$B$7)</f>
        <v>0</v>
      </c>
      <c r="CD93" s="164">
        <f>IF(CD88&gt;0,0,MAX(CD84-CD85-CD86,0)*Premissas!$B$7)</f>
        <v>0</v>
      </c>
      <c r="CE93" s="164">
        <f>IF(CE88&gt;0,0,MAX(CE84-CE85-CE86,0)*Premissas!$B$7)</f>
        <v>0</v>
      </c>
      <c r="CF93" s="164">
        <f>IF(CF88&gt;0,0,MAX(CF84-CF85-CF86,0)*Premissas!$B$7)</f>
        <v>0</v>
      </c>
      <c r="CG93" s="164">
        <f>IF(CG88&gt;0,0,MAX(CG84-CG85-CG86,0)*Premissas!$B$7)</f>
        <v>0</v>
      </c>
      <c r="CH93" s="164">
        <f>IF(CH88&gt;0,0,MAX(CH84-CH85-CH86,0)*Premissas!$B$7)</f>
        <v>0</v>
      </c>
      <c r="CI93" s="164">
        <f>IF(CI88&gt;0,0,MAX(CI84-CI85-CI86,0)*Premissas!$B$7)</f>
        <v>0</v>
      </c>
      <c r="CJ93" s="164">
        <f>IF(CJ88&gt;0,0,MAX(CJ84-CJ85-CJ86,0)*Premissas!$B$7)</f>
        <v>0</v>
      </c>
      <c r="CK93" s="164">
        <f>IF(CK88&gt;0,0,MAX(CK84-CK85-CK86,0)*Premissas!$B$7)</f>
        <v>0</v>
      </c>
      <c r="CL93" s="164">
        <f>IF(CL88&gt;0,0,MAX(CL84-CL85-CL86,0)*Premissas!$B$7)</f>
        <v>0</v>
      </c>
      <c r="CM93" s="164">
        <f>IF(CM88&gt;0,0,MAX(CM84-CM85-CM86,0)*Premissas!$B$7)</f>
        <v>0</v>
      </c>
      <c r="CN93" s="164">
        <f>IF(CN88&gt;0,0,MAX(CN84-CN85-CN86,0)*Premissas!$B$7)</f>
        <v>0</v>
      </c>
      <c r="CO93" s="164">
        <f>IF(CO88&gt;0,0,MAX(CO84-CO85-CO86,0)*Premissas!$B$7)</f>
        <v>0</v>
      </c>
      <c r="CP93" s="164">
        <f>IF(CP88&gt;0,0,MAX(CP84-CP85-CP86,0)*Premissas!$B$7)</f>
        <v>0</v>
      </c>
      <c r="CQ93" s="164">
        <f>IF(CQ88&gt;0,0,MAX(CQ84-CQ85-CQ86,0)*Premissas!$B$7)</f>
        <v>0</v>
      </c>
      <c r="CR93" s="164">
        <f>IF(CR88&gt;0,0,MAX(CR84-CR85-CR86,0)*Premissas!$B$7)</f>
        <v>0</v>
      </c>
      <c r="CS93" s="164">
        <f>IF(CS88&gt;0,0,MAX(CS84-CS85-CS86,0)*Premissas!$B$7)</f>
        <v>0</v>
      </c>
      <c r="CT93" s="164">
        <f>IF(CT88&gt;0,0,MAX(CT84-CT85-CT86,0)*Premissas!$B$7)</f>
        <v>0</v>
      </c>
      <c r="CU93" s="164">
        <f>IF(CU88&gt;0,0,MAX(CU84-CU85-CU86,0)*Premissas!$B$7)</f>
        <v>0</v>
      </c>
      <c r="CV93" s="164">
        <f>IF(CV88&gt;0,0,MAX(CV84-CV85-CV86,0)*Premissas!$B$7)</f>
        <v>0</v>
      </c>
      <c r="CW93" s="164">
        <f>IF(CW88&gt;0,0,MAX(CW84-CW85-CW86,0)*Premissas!$B$7)</f>
        <v>0</v>
      </c>
      <c r="CX93" s="164">
        <f>IF(CX88&gt;0,0,MAX(CX84-CX85-CX86,0)*Premissas!$B$7)</f>
        <v>0</v>
      </c>
      <c r="CY93" s="164">
        <f>IF(CY88&gt;0,0,MAX(CY84-CY85-CY86,0)*Premissas!$B$7)</f>
        <v>0</v>
      </c>
      <c r="CZ93" s="164">
        <f>IF(CZ88&gt;0,0,MAX(CZ84-CZ85-CZ86,0)*Premissas!$B$7)</f>
        <v>0</v>
      </c>
      <c r="DA93" s="164">
        <f>IF(DA88&gt;0,0,MAX(DA84-DA85-DA86,0)*Premissas!$B$7)</f>
        <v>0</v>
      </c>
      <c r="DB93" s="164">
        <f>IF(DB88&gt;0,0,MAX(DB84-DB85-DB86,0)*Premissas!$B$7)</f>
        <v>0</v>
      </c>
      <c r="DC93" s="164">
        <f>IF(DC88&gt;0,0,MAX(DC84-DC85-DC86,0)*Premissas!$B$7)</f>
        <v>0</v>
      </c>
      <c r="DD93" s="164">
        <f>IF(DD88&gt;0,0,MAX(DD84-DD85-DD86,0)*Premissas!$B$7)</f>
        <v>0</v>
      </c>
      <c r="DE93" s="164">
        <f>IF(DE88&gt;0,0,MAX(DE84-DE85-DE86,0)*Premissas!$B$7)</f>
        <v>0</v>
      </c>
      <c r="DF93" s="164">
        <f>IF(DF88&gt;0,0,MAX(DF84-DF85-DF86,0)*Premissas!$B$7)</f>
        <v>0</v>
      </c>
      <c r="DG93" s="164">
        <f>IF(DG88&gt;0,0,MAX(DG84-DG85-DG86,0)*Premissas!$B$7)</f>
        <v>0</v>
      </c>
      <c r="DH93" s="164">
        <f>IF(DH88&gt;0,0,MAX(DH84-DH85-DH86,0)*Premissas!$B$7)</f>
        <v>0</v>
      </c>
      <c r="DI93" s="164">
        <f>IF(DI88&gt;0,0,MAX(DI84-DI85-DI86,0)*Premissas!$B$7)</f>
        <v>0</v>
      </c>
      <c r="DJ93" s="164">
        <f>IF(DJ88&gt;0,0,MAX(DJ84-DJ85-DJ86,0)*Premissas!$B$7)</f>
        <v>0</v>
      </c>
      <c r="DK93" s="164">
        <f>IF(DK88&gt;0,0,MAX(DK84-DK85-DK86,0)*Premissas!$B$7)</f>
        <v>0</v>
      </c>
      <c r="DL93" s="164">
        <f>IF(DL88&gt;0,0,MAX(DL84-DL85-DL86,0)*Premissas!$B$7)</f>
        <v>0</v>
      </c>
      <c r="DM93" s="164">
        <f>IF(DM88&gt;0,0,MAX(DM84-DM85-DM86,0)*Premissas!$B$7)</f>
        <v>0</v>
      </c>
      <c r="DN93" s="164">
        <f>IF(DN88&gt;0,0,MAX(DN84-DN85-DN86,0)*Premissas!$B$7)</f>
        <v>0</v>
      </c>
      <c r="DO93" s="164">
        <f>IF(DO88&gt;0,0,MAX(DO84-DO85-DO86,0)*Premissas!$B$7)</f>
        <v>0</v>
      </c>
      <c r="DP93" s="164">
        <f>IF(DP88&gt;0,0,MAX(DP84-DP85-DP86,0)*Premissas!$B$7)</f>
        <v>0</v>
      </c>
      <c r="DQ93" s="164">
        <f>IF(DQ88&gt;0,0,MAX(DQ84-DQ85-DQ86,0)*Premissas!$B$7)</f>
        <v>0</v>
      </c>
      <c r="DR93" s="164">
        <f>IF(DR88&gt;0,0,MAX(DR84-DR85-DR86,0)*Premissas!$B$7)</f>
        <v>0</v>
      </c>
      <c r="DS93" s="164">
        <f>IF(DS88&gt;0,0,MAX(DS84-DS85-DS86,0)*Premissas!$B$7)</f>
        <v>0</v>
      </c>
    </row>
    <row r="94" spans="1:123" ht="13.5" customHeight="1" x14ac:dyDescent="0.35">
      <c r="A94" s="39" t="s">
        <v>499</v>
      </c>
      <c r="B94" s="42">
        <f>SUM(D94:BQ94)</f>
        <v>37691.509083515935</v>
      </c>
      <c r="C94" s="144">
        <f>B94/60</f>
        <v>628.19181805859887</v>
      </c>
      <c r="D94" s="165">
        <f t="shared" ref="D94:AI94" si="154">MAX(D92-D93,0)</f>
        <v>336.87869465835024</v>
      </c>
      <c r="E94" s="165">
        <f t="shared" si="154"/>
        <v>271.16883938158412</v>
      </c>
      <c r="F94" s="165">
        <f t="shared" si="154"/>
        <v>341.50614925530562</v>
      </c>
      <c r="G94" s="165">
        <f t="shared" si="154"/>
        <v>623.78087966958253</v>
      </c>
      <c r="H94" s="165">
        <f t="shared" si="154"/>
        <v>695.96917138208619</v>
      </c>
      <c r="I94" s="165">
        <f t="shared" si="154"/>
        <v>711.70251701173447</v>
      </c>
      <c r="J94" s="165">
        <f t="shared" si="154"/>
        <v>620.07891599201832</v>
      </c>
      <c r="K94" s="165">
        <f t="shared" si="154"/>
        <v>369.27087683703775</v>
      </c>
      <c r="L94" s="165">
        <f t="shared" si="154"/>
        <v>848.67517308161314</v>
      </c>
      <c r="M94" s="165">
        <f t="shared" si="154"/>
        <v>895.87520997055776</v>
      </c>
      <c r="N94" s="165">
        <f t="shared" si="154"/>
        <v>500.69058739056999</v>
      </c>
      <c r="O94" s="165">
        <f t="shared" si="154"/>
        <v>564.54946082855395</v>
      </c>
      <c r="P94" s="165">
        <f t="shared" si="154"/>
        <v>345.20811293286988</v>
      </c>
      <c r="Q94" s="165">
        <f t="shared" si="154"/>
        <v>277.6472758173216</v>
      </c>
      <c r="R94" s="165">
        <f t="shared" si="154"/>
        <v>349.83556752982525</v>
      </c>
      <c r="S94" s="165">
        <f t="shared" si="154"/>
        <v>639.51422529923082</v>
      </c>
      <c r="T94" s="165">
        <f t="shared" si="154"/>
        <v>713.55349885051658</v>
      </c>
      <c r="U94" s="165">
        <f t="shared" si="154"/>
        <v>729.28684448016486</v>
      </c>
      <c r="V94" s="165">
        <f t="shared" si="154"/>
        <v>635.81226162166649</v>
      </c>
      <c r="W94" s="165">
        <f t="shared" si="154"/>
        <v>369.27087683703775</v>
      </c>
      <c r="X94" s="165">
        <f t="shared" si="154"/>
        <v>848.67517308161314</v>
      </c>
      <c r="Y94" s="165">
        <f t="shared" si="154"/>
        <v>895.87520997055776</v>
      </c>
      <c r="Z94" s="165">
        <f t="shared" si="154"/>
        <v>500.69058739056999</v>
      </c>
      <c r="AA94" s="165">
        <f t="shared" si="154"/>
        <v>564.54946082855395</v>
      </c>
      <c r="AB94" s="165">
        <f t="shared" si="154"/>
        <v>353.53753120738952</v>
      </c>
      <c r="AC94" s="165">
        <f t="shared" si="154"/>
        <v>285.05120317245019</v>
      </c>
      <c r="AD94" s="165">
        <f t="shared" si="154"/>
        <v>359.09047672373595</v>
      </c>
      <c r="AE94" s="165">
        <f t="shared" si="154"/>
        <v>655.24757092887899</v>
      </c>
      <c r="AF94" s="165">
        <f t="shared" si="154"/>
        <v>731.13782631894696</v>
      </c>
      <c r="AG94" s="165">
        <f t="shared" si="154"/>
        <v>747.79666286798624</v>
      </c>
      <c r="AH94" s="165">
        <f t="shared" si="154"/>
        <v>651.54560725131478</v>
      </c>
      <c r="AI94" s="165">
        <f t="shared" si="154"/>
        <v>387.78069522485919</v>
      </c>
      <c r="AJ94" s="165">
        <f t="shared" ref="AJ94:BO94" si="155">MAX(AJ92-AJ93,0)</f>
        <v>891.24775537360244</v>
      </c>
      <c r="AK94" s="165">
        <f t="shared" si="155"/>
        <v>941.22426502072028</v>
      </c>
      <c r="AL94" s="165">
        <f t="shared" si="155"/>
        <v>525.67884221412896</v>
      </c>
      <c r="AM94" s="165">
        <f t="shared" si="155"/>
        <v>593.23967932967719</v>
      </c>
      <c r="AN94" s="165">
        <f t="shared" si="155"/>
        <v>362.79244040130027</v>
      </c>
      <c r="AO94" s="165">
        <f t="shared" si="155"/>
        <v>292.45513052757877</v>
      </c>
      <c r="AP94" s="165">
        <f t="shared" si="155"/>
        <v>367.41989499825564</v>
      </c>
      <c r="AQ94" s="165">
        <f t="shared" si="155"/>
        <v>671.90640747791838</v>
      </c>
      <c r="AR94" s="165">
        <f t="shared" si="155"/>
        <v>749.64764470676835</v>
      </c>
      <c r="AS94" s="165">
        <f t="shared" si="155"/>
        <v>766.30648125580774</v>
      </c>
      <c r="AT94" s="165">
        <f t="shared" si="155"/>
        <v>668.20444380035406</v>
      </c>
      <c r="AU94" s="165">
        <f t="shared" si="155"/>
        <v>397.96109533816099</v>
      </c>
      <c r="AV94" s="165">
        <f t="shared" si="155"/>
        <v>914.38502835837926</v>
      </c>
      <c r="AW94" s="165">
        <f t="shared" si="155"/>
        <v>964.3615380054971</v>
      </c>
      <c r="AX94" s="165">
        <f t="shared" si="155"/>
        <v>539.56120600499503</v>
      </c>
      <c r="AY94" s="165">
        <f t="shared" si="155"/>
        <v>608.04753403993436</v>
      </c>
      <c r="AZ94" s="165">
        <f t="shared" si="155"/>
        <v>372.04734959521096</v>
      </c>
      <c r="BA94" s="165">
        <f t="shared" si="155"/>
        <v>298.93356696331631</v>
      </c>
      <c r="BB94" s="165">
        <f t="shared" si="155"/>
        <v>376.67480419216633</v>
      </c>
      <c r="BC94" s="165">
        <f t="shared" si="155"/>
        <v>688.56524402695766</v>
      </c>
      <c r="BD94" s="165">
        <f t="shared" si="155"/>
        <v>768.15746309458984</v>
      </c>
      <c r="BE94" s="165">
        <f t="shared" si="155"/>
        <v>698.7866210437162</v>
      </c>
      <c r="BF94" s="165">
        <f t="shared" si="155"/>
        <v>505.10183585150565</v>
      </c>
      <c r="BG94" s="165">
        <f t="shared" si="155"/>
        <v>407.21600453207174</v>
      </c>
      <c r="BH94" s="165">
        <f t="shared" si="155"/>
        <v>576.65219095100338</v>
      </c>
      <c r="BI94" s="165">
        <f t="shared" si="155"/>
        <v>466.21865283239811</v>
      </c>
      <c r="BJ94" s="165">
        <f t="shared" si="155"/>
        <v>552.51807887646999</v>
      </c>
      <c r="BK94" s="165">
        <f t="shared" si="155"/>
        <v>531.53033972850858</v>
      </c>
      <c r="BL94" s="165">
        <f t="shared" si="155"/>
        <v>381.30225878912171</v>
      </c>
      <c r="BM94" s="165">
        <f t="shared" si="155"/>
        <v>307.26298523783595</v>
      </c>
      <c r="BN94" s="165">
        <f t="shared" si="155"/>
        <v>385.92971338607708</v>
      </c>
      <c r="BO94" s="165">
        <f t="shared" si="155"/>
        <v>706.14957149538805</v>
      </c>
      <c r="BP94" s="165">
        <f t="shared" ref="BP94:CU94" si="156">MAX(BP92-BP93,0)</f>
        <v>787.59277240180234</v>
      </c>
      <c r="BQ94" s="165">
        <f t="shared" si="156"/>
        <v>805.17709987023272</v>
      </c>
      <c r="BR94" s="165">
        <f t="shared" si="156"/>
        <v>701.52211689843261</v>
      </c>
      <c r="BS94" s="165">
        <f t="shared" si="156"/>
        <v>417.39640464537354</v>
      </c>
      <c r="BT94" s="165">
        <f t="shared" si="156"/>
        <v>960.65957432793277</v>
      </c>
      <c r="BU94" s="165">
        <f t="shared" si="156"/>
        <v>1013.4125567332239</v>
      </c>
      <c r="BV94" s="165">
        <f t="shared" si="156"/>
        <v>566.40044266733616</v>
      </c>
      <c r="BW94" s="165">
        <f t="shared" si="156"/>
        <v>638.58873437983971</v>
      </c>
      <c r="BX94" s="165">
        <f t="shared" si="156"/>
        <v>390.5571679830324</v>
      </c>
      <c r="BY94" s="165">
        <f t="shared" si="156"/>
        <v>314.66691259296454</v>
      </c>
      <c r="BZ94" s="165">
        <f t="shared" si="156"/>
        <v>396.11011349937883</v>
      </c>
      <c r="CA94" s="165">
        <f t="shared" si="156"/>
        <v>723.73389896381832</v>
      </c>
      <c r="CB94" s="165">
        <f t="shared" si="156"/>
        <v>807.02808170901483</v>
      </c>
      <c r="CC94" s="165">
        <f t="shared" si="156"/>
        <v>825.53790009683632</v>
      </c>
      <c r="CD94" s="165">
        <f t="shared" si="156"/>
        <v>719.106444366863</v>
      </c>
      <c r="CE94" s="165">
        <f t="shared" si="156"/>
        <v>428.50229567806639</v>
      </c>
      <c r="CF94" s="165">
        <f t="shared" si="156"/>
        <v>983.79684731270959</v>
      </c>
      <c r="CG94" s="165">
        <f t="shared" si="156"/>
        <v>1039.3263024761739</v>
      </c>
      <c r="CH94" s="165">
        <f t="shared" si="156"/>
        <v>580.28280645820223</v>
      </c>
      <c r="CI94" s="165">
        <f t="shared" si="156"/>
        <v>654.32208000948799</v>
      </c>
      <c r="CJ94" s="165">
        <f t="shared" si="156"/>
        <v>400.7375680963342</v>
      </c>
      <c r="CK94" s="165">
        <f t="shared" si="156"/>
        <v>322.07083994809307</v>
      </c>
      <c r="CL94" s="165">
        <f t="shared" si="156"/>
        <v>406.29051361268063</v>
      </c>
      <c r="CM94" s="165">
        <f t="shared" si="156"/>
        <v>741.31822643224871</v>
      </c>
      <c r="CN94" s="165">
        <f t="shared" si="156"/>
        <v>827.38888193561843</v>
      </c>
      <c r="CO94" s="165">
        <f t="shared" si="156"/>
        <v>845.89870032343993</v>
      </c>
      <c r="CP94" s="165">
        <f t="shared" si="156"/>
        <v>736.69077183529339</v>
      </c>
      <c r="CQ94" s="165">
        <f t="shared" si="156"/>
        <v>438.68269579136819</v>
      </c>
      <c r="CR94" s="165">
        <f t="shared" si="156"/>
        <v>1008.7851021362686</v>
      </c>
      <c r="CS94" s="165">
        <f t="shared" si="156"/>
        <v>1065.240048219124</v>
      </c>
      <c r="CT94" s="165">
        <f t="shared" si="156"/>
        <v>595.09066116845941</v>
      </c>
      <c r="CU94" s="165">
        <f t="shared" si="156"/>
        <v>670.98091655852727</v>
      </c>
      <c r="CV94" s="165">
        <f t="shared" ref="CV94:DS94" si="157">MAX(CV92-CV93,0)</f>
        <v>409.99247729024495</v>
      </c>
      <c r="CW94" s="165">
        <f t="shared" si="157"/>
        <v>330.40025822261276</v>
      </c>
      <c r="CX94" s="165">
        <f t="shared" si="157"/>
        <v>416.47091372598243</v>
      </c>
      <c r="CY94" s="165">
        <f t="shared" si="157"/>
        <v>759.8280448200702</v>
      </c>
      <c r="CZ94" s="165">
        <f t="shared" si="157"/>
        <v>847.74968216222203</v>
      </c>
      <c r="DA94" s="165">
        <f t="shared" si="157"/>
        <v>867.18499146943452</v>
      </c>
      <c r="DB94" s="165">
        <f t="shared" si="157"/>
        <v>755.20059022311477</v>
      </c>
      <c r="DC94" s="165">
        <f t="shared" si="157"/>
        <v>449.78858682406104</v>
      </c>
      <c r="DD94" s="165">
        <f t="shared" si="157"/>
        <v>1033.7733569598274</v>
      </c>
      <c r="DE94" s="165">
        <f t="shared" si="157"/>
        <v>1091.1537939620739</v>
      </c>
      <c r="DF94" s="165">
        <f t="shared" si="157"/>
        <v>609.89851587871647</v>
      </c>
      <c r="DG94" s="165">
        <f t="shared" si="157"/>
        <v>687.63975310756655</v>
      </c>
      <c r="DH94" s="165">
        <f t="shared" si="157"/>
        <v>421.0983683229378</v>
      </c>
      <c r="DI94" s="165">
        <f t="shared" si="157"/>
        <v>338.7296764971324</v>
      </c>
      <c r="DJ94" s="165">
        <f t="shared" si="157"/>
        <v>426.65131383928423</v>
      </c>
      <c r="DK94" s="165">
        <f t="shared" si="157"/>
        <v>779.2633541272827</v>
      </c>
      <c r="DL94" s="165">
        <f t="shared" si="157"/>
        <v>869.03597330821674</v>
      </c>
      <c r="DM94" s="165">
        <f t="shared" si="157"/>
        <v>888.47128261542923</v>
      </c>
      <c r="DN94" s="165">
        <f t="shared" si="157"/>
        <v>774.63589953032738</v>
      </c>
      <c r="DO94" s="165">
        <f t="shared" si="157"/>
        <v>460.89447785675389</v>
      </c>
      <c r="DP94" s="165">
        <f t="shared" si="157"/>
        <v>1059.6871027027776</v>
      </c>
      <c r="DQ94" s="165">
        <f t="shared" si="157"/>
        <v>1118.9185215438063</v>
      </c>
      <c r="DR94" s="165">
        <f t="shared" si="157"/>
        <v>625.63186150836475</v>
      </c>
      <c r="DS94" s="165">
        <f t="shared" si="157"/>
        <v>705.22408057599694</v>
      </c>
    </row>
    <row r="96" spans="1:123" ht="15" customHeight="1" x14ac:dyDescent="0.35">
      <c r="A96" s="289" t="s">
        <v>507</v>
      </c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89"/>
    </row>
    <row r="97" spans="1:123" ht="12.75" customHeight="1" x14ac:dyDescent="0.35">
      <c r="A97" s="166" t="s">
        <v>486</v>
      </c>
      <c r="B97" s="167">
        <f>SUM(D97:BQ97)</f>
        <v>65325</v>
      </c>
      <c r="C97" s="139">
        <f>B97/60</f>
        <v>1088.75</v>
      </c>
      <c r="D97" s="167">
        <v>1067</v>
      </c>
      <c r="E97" s="167">
        <v>899</v>
      </c>
      <c r="F97" s="167">
        <v>816</v>
      </c>
      <c r="G97" s="167">
        <v>719</v>
      </c>
      <c r="H97" s="167">
        <v>943</v>
      </c>
      <c r="I97" s="167">
        <v>925</v>
      </c>
      <c r="J97" s="167">
        <v>838</v>
      </c>
      <c r="K97" s="167">
        <v>898</v>
      </c>
      <c r="L97" s="167">
        <v>909</v>
      </c>
      <c r="M97" s="167">
        <v>1056</v>
      </c>
      <c r="N97" s="167">
        <v>1052</v>
      </c>
      <c r="O97" s="167">
        <v>1175</v>
      </c>
      <c r="P97" s="167">
        <v>1094</v>
      </c>
      <c r="Q97" s="167">
        <v>921</v>
      </c>
      <c r="R97" s="167">
        <v>836</v>
      </c>
      <c r="S97" s="167">
        <v>737</v>
      </c>
      <c r="T97" s="167">
        <v>967</v>
      </c>
      <c r="U97" s="167">
        <v>948</v>
      </c>
      <c r="V97" s="167">
        <v>859</v>
      </c>
      <c r="W97" s="167">
        <v>898</v>
      </c>
      <c r="X97" s="167">
        <v>909</v>
      </c>
      <c r="Y97" s="167">
        <v>1056</v>
      </c>
      <c r="Z97" s="167">
        <v>1052</v>
      </c>
      <c r="AA97" s="167">
        <v>1175</v>
      </c>
      <c r="AB97" s="167">
        <v>1121</v>
      </c>
      <c r="AC97" s="167">
        <v>945</v>
      </c>
      <c r="AD97" s="167">
        <v>857</v>
      </c>
      <c r="AE97" s="167">
        <v>755</v>
      </c>
      <c r="AF97" s="167">
        <v>991</v>
      </c>
      <c r="AG97" s="167">
        <v>972</v>
      </c>
      <c r="AH97" s="167">
        <v>880</v>
      </c>
      <c r="AI97" s="167">
        <v>943</v>
      </c>
      <c r="AJ97" s="167">
        <v>955</v>
      </c>
      <c r="AK97" s="167">
        <v>1109</v>
      </c>
      <c r="AL97" s="167">
        <v>1105</v>
      </c>
      <c r="AM97" s="167">
        <v>1234</v>
      </c>
      <c r="AN97" s="167">
        <v>1149</v>
      </c>
      <c r="AO97" s="167">
        <v>968</v>
      </c>
      <c r="AP97" s="167">
        <v>879</v>
      </c>
      <c r="AQ97" s="167">
        <v>774</v>
      </c>
      <c r="AR97" s="167">
        <v>1016</v>
      </c>
      <c r="AS97" s="167">
        <v>996</v>
      </c>
      <c r="AT97" s="167">
        <v>902</v>
      </c>
      <c r="AU97" s="167">
        <v>967</v>
      </c>
      <c r="AV97" s="167">
        <v>979</v>
      </c>
      <c r="AW97" s="167">
        <v>1137</v>
      </c>
      <c r="AX97" s="167">
        <v>1133</v>
      </c>
      <c r="AY97" s="167">
        <v>1265</v>
      </c>
      <c r="AZ97" s="167">
        <v>1178</v>
      </c>
      <c r="BA97" s="167">
        <v>992</v>
      </c>
      <c r="BB97" s="167">
        <v>901</v>
      </c>
      <c r="BC97" s="167">
        <v>794</v>
      </c>
      <c r="BD97" s="167">
        <v>1041</v>
      </c>
      <c r="BE97" s="167">
        <v>1021</v>
      </c>
      <c r="BF97" s="167">
        <v>925</v>
      </c>
      <c r="BG97" s="167">
        <v>991</v>
      </c>
      <c r="BH97" s="167">
        <v>1003</v>
      </c>
      <c r="BI97" s="167">
        <v>1166</v>
      </c>
      <c r="BJ97" s="167">
        <v>1161</v>
      </c>
      <c r="BK97" s="167">
        <v>1297</v>
      </c>
      <c r="BL97" s="167">
        <v>1207</v>
      </c>
      <c r="BM97" s="167">
        <v>1017</v>
      </c>
      <c r="BN97" s="167">
        <v>923</v>
      </c>
      <c r="BO97" s="167">
        <v>813</v>
      </c>
      <c r="BP97" s="167">
        <v>1067</v>
      </c>
      <c r="BQ97" s="167">
        <v>1047</v>
      </c>
      <c r="BR97" s="167">
        <v>948</v>
      </c>
      <c r="BS97" s="167">
        <v>1016</v>
      </c>
      <c r="BT97" s="167">
        <v>1028</v>
      </c>
      <c r="BU97" s="167">
        <v>1195</v>
      </c>
      <c r="BV97" s="167">
        <v>1190</v>
      </c>
      <c r="BW97" s="167">
        <v>1329</v>
      </c>
      <c r="BX97" s="167">
        <v>1237</v>
      </c>
      <c r="BY97" s="167">
        <v>1043</v>
      </c>
      <c r="BZ97" s="167">
        <v>946</v>
      </c>
      <c r="CA97" s="167">
        <v>834</v>
      </c>
      <c r="CB97" s="167">
        <v>1094</v>
      </c>
      <c r="CC97" s="167">
        <v>1073</v>
      </c>
      <c r="CD97" s="167">
        <v>972</v>
      </c>
      <c r="CE97" s="167">
        <v>1041</v>
      </c>
      <c r="CF97" s="167">
        <v>1054</v>
      </c>
      <c r="CG97" s="167">
        <v>1225</v>
      </c>
      <c r="CH97" s="167">
        <v>1220</v>
      </c>
      <c r="CI97" s="167">
        <v>1363</v>
      </c>
      <c r="CJ97" s="167">
        <v>1268</v>
      </c>
      <c r="CK97" s="167">
        <v>1069</v>
      </c>
      <c r="CL97" s="167">
        <v>970</v>
      </c>
      <c r="CM97" s="167">
        <v>855</v>
      </c>
      <c r="CN97" s="167">
        <v>1121</v>
      </c>
      <c r="CO97" s="167">
        <v>1100</v>
      </c>
      <c r="CP97" s="167">
        <v>996</v>
      </c>
      <c r="CQ97" s="167">
        <v>1067</v>
      </c>
      <c r="CR97" s="167">
        <v>1081</v>
      </c>
      <c r="CS97" s="167">
        <v>1255</v>
      </c>
      <c r="CT97" s="167">
        <v>1250</v>
      </c>
      <c r="CU97" s="167">
        <v>1397</v>
      </c>
      <c r="CV97" s="167">
        <v>1300</v>
      </c>
      <c r="CW97" s="167">
        <v>1095</v>
      </c>
      <c r="CX97" s="167">
        <v>994</v>
      </c>
      <c r="CY97" s="167">
        <v>876</v>
      </c>
      <c r="CZ97" s="167">
        <v>1149</v>
      </c>
      <c r="DA97" s="167">
        <v>1127</v>
      </c>
      <c r="DB97" s="167">
        <v>1021</v>
      </c>
      <c r="DC97" s="167">
        <v>1094</v>
      </c>
      <c r="DD97" s="167">
        <v>1108</v>
      </c>
      <c r="DE97" s="167">
        <v>1287</v>
      </c>
      <c r="DF97" s="167">
        <v>1282</v>
      </c>
      <c r="DG97" s="167">
        <v>1432</v>
      </c>
      <c r="DH97" s="167">
        <v>1333</v>
      </c>
      <c r="DI97" s="167">
        <v>1123</v>
      </c>
      <c r="DJ97" s="167">
        <v>1019</v>
      </c>
      <c r="DK97" s="167">
        <v>898</v>
      </c>
      <c r="DL97" s="167">
        <v>1178</v>
      </c>
      <c r="DM97" s="167">
        <v>1155</v>
      </c>
      <c r="DN97" s="167">
        <v>1047</v>
      </c>
      <c r="DO97" s="167">
        <v>1121</v>
      </c>
      <c r="DP97" s="167">
        <v>1135</v>
      </c>
      <c r="DQ97" s="167">
        <v>1319</v>
      </c>
      <c r="DR97" s="167">
        <v>1314</v>
      </c>
      <c r="DS97" s="167">
        <v>1467</v>
      </c>
    </row>
    <row r="98" spans="1:123" ht="12.75" customHeight="1" x14ac:dyDescent="0.35">
      <c r="A98" s="142" t="str">
        <f>"  "&amp;INDEX(PVSYST_Helexia!$A$5:$A$7,MATCH(Premissas!$B$13,PVSYST_Helexia!$B$5:$B$7,0))&amp;" créditos recebidos (kWh)"</f>
        <v xml:space="preserve">  HCS03 créditos recebidos (kWh)</v>
      </c>
      <c r="B98" s="155">
        <f>SUM(D98:BQ98)</f>
        <v>90134.413511917359</v>
      </c>
      <c r="C98" s="139">
        <f>B98/60</f>
        <v>1502.2402251986227</v>
      </c>
      <c r="D98" s="156">
        <f>D6*Premissas!$B$39</f>
        <v>793.53600000000006</v>
      </c>
      <c r="E98" s="156">
        <f>E6*Premissas!$B$39</f>
        <v>835.2639999999999</v>
      </c>
      <c r="F98" s="156">
        <f>F6*Premissas!$B$39</f>
        <v>1002.6880000000001</v>
      </c>
      <c r="G98" s="156">
        <f>G6*Premissas!$B$39</f>
        <v>940.86400000000003</v>
      </c>
      <c r="H98" s="156">
        <f>H6*Premissas!$C$39</f>
        <v>1722.3120000000001</v>
      </c>
      <c r="I98" s="156">
        <f>I6*Premissas!$C$39</f>
        <v>1665.3120000000001</v>
      </c>
      <c r="J98" s="156">
        <f>J6*Premissas!$C$39</f>
        <v>1581.2940000000001</v>
      </c>
      <c r="K98" s="156">
        <f>K6*Premissas!$C$39</f>
        <v>1623.6370199999999</v>
      </c>
      <c r="L98" s="156">
        <f>L6*Premissas!$C$39</f>
        <v>1446.7996500000002</v>
      </c>
      <c r="M98" s="156">
        <f>M6*Premissas!$C$39</f>
        <v>1659.4809</v>
      </c>
      <c r="N98" s="156">
        <f>N6*Premissas!$D$39</f>
        <v>1176.5258100000001</v>
      </c>
      <c r="O98" s="156">
        <f>O6*Premissas!$D$39</f>
        <v>1101.08889</v>
      </c>
      <c r="P98" s="156">
        <f>P6*Premissas!$D$39</f>
        <v>999.29740500000003</v>
      </c>
      <c r="Q98" s="156">
        <f>Q6*Premissas!$D$39</f>
        <v>1051.8453449999997</v>
      </c>
      <c r="R98" s="156">
        <f>R6*Premissas!$D$39</f>
        <v>1262.6818649999998</v>
      </c>
      <c r="S98" s="156">
        <f>S6*Premissas!$D$39</f>
        <v>1184.8270950000001</v>
      </c>
      <c r="T98" s="156">
        <f>T6*Premissas!$E$39</f>
        <v>1428.0836999999999</v>
      </c>
      <c r="U98" s="156">
        <f>U6*Premissas!$E$39</f>
        <v>1380.8212000000001</v>
      </c>
      <c r="V98" s="156">
        <f>V6*Premissas!$E$39</f>
        <v>1311.1562750000001</v>
      </c>
      <c r="W98" s="156">
        <f>W6*Premissas!$E$39</f>
        <v>1353.0308499999999</v>
      </c>
      <c r="X98" s="156">
        <f>X6*Premissas!$E$39</f>
        <v>1205.666375</v>
      </c>
      <c r="Y98" s="156">
        <f>Y6*Premissas!$E$39</f>
        <v>1382.90075</v>
      </c>
      <c r="Z98" s="156">
        <f>Z6*Premissas!$E$39</f>
        <v>1379.8759500000001</v>
      </c>
      <c r="AA98" s="156">
        <f>AA6*Premissas!$E$39</f>
        <v>1291.4005499999998</v>
      </c>
      <c r="AB98" s="156">
        <f>AB6*Premissas!$F$39</f>
        <v>859.27239825000004</v>
      </c>
      <c r="AC98" s="156">
        <f>AC6*Premissas!$F$39</f>
        <v>904.45713924999995</v>
      </c>
      <c r="AD98" s="156">
        <f>AD6*Premissas!$F$39</f>
        <v>1085.7505172500003</v>
      </c>
      <c r="AE98" s="156">
        <f>AE6*Premissas!$F$39</f>
        <v>1018.80502675</v>
      </c>
      <c r="AF98" s="156">
        <f>AF6*Premissas!$F$39</f>
        <v>1047.010839</v>
      </c>
      <c r="AG98" s="156">
        <f>AG6*Premissas!$F$39</f>
        <v>1012.3599640000001</v>
      </c>
      <c r="AH98" s="156">
        <f>AH6*Premissas!$G$39</f>
        <v>1029.9477581250001</v>
      </c>
      <c r="AI98" s="156">
        <f>AI6*Premissas!$G$39</f>
        <v>1062.84133875</v>
      </c>
      <c r="AJ98" s="156">
        <f>AJ6*Premissas!$G$39</f>
        <v>947.082665625</v>
      </c>
      <c r="AK98" s="156">
        <f>AK6*Premissas!$G$39</f>
        <v>1086.30493125</v>
      </c>
      <c r="AL98" s="156">
        <f>AL6*Premissas!$G$39</f>
        <v>1083.9288712500002</v>
      </c>
      <c r="AM98" s="156">
        <f>AM6*Premissas!$G$39</f>
        <v>1014.4291162500001</v>
      </c>
      <c r="AN98" s="156">
        <f>AN6*Premissas!$H$39</f>
        <v>867.18997963387505</v>
      </c>
      <c r="AO98" s="156">
        <f>AO6*Premissas!$H$39</f>
        <v>912.79106574737489</v>
      </c>
      <c r="AP98" s="156">
        <f>AP6*Premissas!$H$39</f>
        <v>1095.754932730375</v>
      </c>
      <c r="AQ98" s="156">
        <f>AQ6*Premissas!$H$39</f>
        <v>1028.1925873536252</v>
      </c>
      <c r="AR98" s="156">
        <f>AR6*Premissas!$H$39</f>
        <v>1056.6582960165001</v>
      </c>
      <c r="AS98" s="156">
        <f>AS6*Premissas!$H$39</f>
        <v>1021.6881379540001</v>
      </c>
      <c r="AT98" s="156">
        <f>AT6*Premissas!$I$39</f>
        <v>1038.4619929255</v>
      </c>
      <c r="AU98" s="156">
        <f>AU6*Premissas!$I$39</f>
        <v>1071.627493817</v>
      </c>
      <c r="AV98" s="156">
        <f>AV6*Premissas!$I$39</f>
        <v>954.91188232750005</v>
      </c>
      <c r="AW98" s="156">
        <f>AW6*Premissas!$I$39</f>
        <v>1095.285052015</v>
      </c>
      <c r="AX98" s="156">
        <f>AX6*Premissas!$I$39</f>
        <v>1092.8893499190001</v>
      </c>
      <c r="AY98" s="156">
        <f>AY6*Premissas!$I$39</f>
        <v>1022.8150636109999</v>
      </c>
      <c r="AZ98" s="156">
        <f>AZ6*Premissas!$J$39</f>
        <v>1190.9816185084387</v>
      </c>
      <c r="BA98" s="156">
        <f>BA6*Premissas!$J$39</f>
        <v>1253.6092510003737</v>
      </c>
      <c r="BB98" s="156">
        <f>BB6*Premissas!$J$39</f>
        <v>1504.8882181766039</v>
      </c>
      <c r="BC98" s="156">
        <f>BC6*Premissas!$J$39</f>
        <v>1412.0994252514363</v>
      </c>
      <c r="BD98" s="156">
        <f>BD6*Premissas!$J$39</f>
        <v>1451.1936682333651</v>
      </c>
      <c r="BE98" s="156">
        <f>BE6*Premissas!$J$39</f>
        <v>1403.1663427027402</v>
      </c>
      <c r="BF98" s="156">
        <f>BF6*Premissas!$K$39</f>
        <v>598.20876381945266</v>
      </c>
      <c r="BG98" s="156">
        <f>BG6*Premissas!$K$39</f>
        <v>617.31383788563505</v>
      </c>
      <c r="BH98" s="156">
        <f>BH6*Premissas!$K$39</f>
        <v>550.07950274076256</v>
      </c>
      <c r="BI98" s="156">
        <f>BI6*Premissas!$K$39</f>
        <v>630.94183654232506</v>
      </c>
      <c r="BJ98" s="156">
        <f>BJ6*Premissas!$K$39</f>
        <v>629.56178604544516</v>
      </c>
      <c r="BK98" s="156">
        <f>BK6*Premissas!$K$39</f>
        <v>589.19530901170515</v>
      </c>
      <c r="BL98" s="156">
        <f>BL6*Premissas!$L$39</f>
        <v>3350.3607209686984</v>
      </c>
      <c r="BM98" s="156">
        <f>BM6*Premissas!$L$39</f>
        <v>3526.5390571306139</v>
      </c>
      <c r="BN98" s="156">
        <f>BN6*Premissas!$L$39</f>
        <v>4233.4140991544964</v>
      </c>
      <c r="BO98" s="156">
        <f>BO6*Premissas!$L$39</f>
        <v>3972.3891409759531</v>
      </c>
      <c r="BP98" s="156">
        <f>BP6*Premissas!$L$39</f>
        <v>4082.3654949911361</v>
      </c>
      <c r="BQ98" s="156">
        <f>BQ6*Premissas!$L$39</f>
        <v>3947.2594089773975</v>
      </c>
      <c r="BR98" s="156">
        <f>BR6*Premissas!$M$39</f>
        <v>3780.0275301255288</v>
      </c>
      <c r="BS98" s="156">
        <f>BS6*Premissas!$M$39</f>
        <v>3900.7507797719577</v>
      </c>
      <c r="BT98" s="156">
        <f>BT6*Premissas!$M$39</f>
        <v>3475.9030456889282</v>
      </c>
      <c r="BU98" s="156">
        <f>BU6*Premissas!$M$39</f>
        <v>3986.8648810998839</v>
      </c>
      <c r="BV98" s="156">
        <f>BV6*Premissas!$M$39</f>
        <v>3978.1444657755374</v>
      </c>
      <c r="BW98" s="156">
        <f>BW6*Premissas!$M$39</f>
        <v>3723.0723175383878</v>
      </c>
      <c r="BX98" s="156">
        <f>BX6*Premissas!$N$39</f>
        <v>3340.7328565848866</v>
      </c>
      <c r="BY98" s="156">
        <f>BY6*Premissas!$N$39</f>
        <v>3516.4049125969309</v>
      </c>
      <c r="BZ98" s="156">
        <f>BZ6*Premissas!$N$39</f>
        <v>4221.2486219949524</v>
      </c>
      <c r="CA98" s="156">
        <f>CA6*Premissas!$N$39</f>
        <v>3960.9737660016463</v>
      </c>
      <c r="CB98" s="156">
        <f>CB6*Premissas!$N$39</f>
        <v>4070.6340831748103</v>
      </c>
      <c r="CC98" s="156">
        <f>CC6*Premissas!$N$39</f>
        <v>3935.9162488097445</v>
      </c>
      <c r="CD98" s="156">
        <f>CD6*Premissas!$O$39</f>
        <v>3768.9382519908477</v>
      </c>
      <c r="CE98" s="156">
        <f>CE6*Premissas!$O$39</f>
        <v>3889.3073418641043</v>
      </c>
      <c r="CF98" s="156">
        <f>CF6*Premissas!$O$39</f>
        <v>3465.7059623778573</v>
      </c>
      <c r="CG98" s="156">
        <f>CG6*Premissas!$O$39</f>
        <v>3975.1688145502198</v>
      </c>
      <c r="CH98" s="156">
        <f>CH6*Premissas!$O$39</f>
        <v>3966.4739818731446</v>
      </c>
      <c r="CI98" s="156">
        <f>CI6*Premissas!$O$39</f>
        <v>3712.1501260687019</v>
      </c>
      <c r="CJ98" s="156">
        <f>CJ6*Premissas!$P$39</f>
        <v>3331.0827945044389</v>
      </c>
      <c r="CK98" s="156">
        <f>CK6*Premissas!$P$39</f>
        <v>3506.2474031032684</v>
      </c>
      <c r="CL98" s="156">
        <f>CL6*Premissas!$P$39</f>
        <v>4209.0550964998019</v>
      </c>
      <c r="CM98" s="156">
        <f>CM6*Premissas!$P$39</f>
        <v>3949.5320721033754</v>
      </c>
      <c r="CN98" s="156">
        <f>CN6*Premissas!$P$39</f>
        <v>4058.8756237900693</v>
      </c>
      <c r="CO98" s="156">
        <f>CO6*Premissas!$P$39</f>
        <v>3924.5469362142785</v>
      </c>
      <c r="CP98" s="156">
        <f>CP6*Premissas!$Q$39</f>
        <v>3757.8265270122729</v>
      </c>
      <c r="CQ98" s="156">
        <f>CQ6*Premissas!$Q$39</f>
        <v>3877.8407402244738</v>
      </c>
      <c r="CR98" s="156">
        <f>CR6*Premissas!$Q$39</f>
        <v>3455.48823819779</v>
      </c>
      <c r="CS98" s="156">
        <f>CS6*Premissas!$Q$39</f>
        <v>3963.4490728995424</v>
      </c>
      <c r="CT98" s="156">
        <f>CT6*Premissas!$Q$39</f>
        <v>3954.7798746539661</v>
      </c>
      <c r="CU98" s="156">
        <f>CU6*Premissas!$Q$39</f>
        <v>3701.2058259708506</v>
      </c>
      <c r="CV98" s="156">
        <f>CV6*Premissas!$R$39</f>
        <v>3321.4099798242391</v>
      </c>
      <c r="CW98" s="156">
        <f>CW6*Premissas!$R$39</f>
        <v>3496.0659445669921</v>
      </c>
      <c r="CX98" s="156">
        <f>CX6*Premissas!$R$39</f>
        <v>4196.832821510312</v>
      </c>
      <c r="CY98" s="156">
        <f>CY6*Premissas!$R$39</f>
        <v>3938.0634013546369</v>
      </c>
      <c r="CZ98" s="156">
        <f>CZ6*Premissas!$R$39</f>
        <v>4047.0894406955886</v>
      </c>
      <c r="DA98" s="156">
        <f>DA6*Premissas!$R$39</f>
        <v>3913.150817426606</v>
      </c>
      <c r="DB98" s="156">
        <f>DB6*Premissas!$S$39</f>
        <v>0</v>
      </c>
      <c r="DC98" s="156">
        <f>DC6*Premissas!$S$39</f>
        <v>0</v>
      </c>
      <c r="DD98" s="156">
        <f>DD6*Premissas!$S$39</f>
        <v>0</v>
      </c>
      <c r="DE98" s="156">
        <f>DE6*Premissas!$S$39</f>
        <v>0</v>
      </c>
      <c r="DF98" s="156">
        <f>DF6*Premissas!$S$39</f>
        <v>0</v>
      </c>
      <c r="DG98" s="156">
        <f>DG6*Premissas!$S$39</f>
        <v>0</v>
      </c>
      <c r="DH98" s="156">
        <f>DH6*Premissas!$T$39</f>
        <v>0</v>
      </c>
      <c r="DI98" s="156">
        <f>DI6*Premissas!$T$39</f>
        <v>0</v>
      </c>
      <c r="DJ98" s="156">
        <f>DJ6*Premissas!$T$39</f>
        <v>0</v>
      </c>
      <c r="DK98" s="156">
        <f>DK6*Premissas!$T$39</f>
        <v>0</v>
      </c>
      <c r="DL98" s="156">
        <f>DL6*Premissas!$T$39</f>
        <v>0</v>
      </c>
      <c r="DM98" s="156">
        <f>DM6*Premissas!$T$39</f>
        <v>0</v>
      </c>
      <c r="DN98" s="156">
        <f>DN6*Premissas!$U$39</f>
        <v>0</v>
      </c>
      <c r="DO98" s="156">
        <f>DO6*Premissas!$U$39</f>
        <v>0</v>
      </c>
      <c r="DP98" s="156">
        <f>DP6*Premissas!$U$39</f>
        <v>0</v>
      </c>
      <c r="DQ98" s="156">
        <f>DQ6*Premissas!$U$39</f>
        <v>0</v>
      </c>
      <c r="DR98" s="156">
        <f>DR6*Premissas!$U$39</f>
        <v>0</v>
      </c>
      <c r="DS98" s="156">
        <f>DS6*Premissas!$U$39</f>
        <v>0</v>
      </c>
    </row>
    <row r="99" spans="1:123" ht="12.75" customHeight="1" x14ac:dyDescent="0.35">
      <c r="A99" s="146" t="s">
        <v>492</v>
      </c>
      <c r="B99" s="139">
        <f>AA99</f>
        <v>8252.1890800000019</v>
      </c>
      <c r="C99" s="139" t="s">
        <v>169</v>
      </c>
      <c r="D99" s="139">
        <f>0</f>
        <v>0</v>
      </c>
      <c r="E99" s="139">
        <f t="shared" ref="E99:AJ99" si="158">D101</f>
        <v>0</v>
      </c>
      <c r="F99" s="139">
        <f t="shared" si="158"/>
        <v>0</v>
      </c>
      <c r="G99" s="139">
        <f t="shared" si="158"/>
        <v>186.6880000000001</v>
      </c>
      <c r="H99" s="139">
        <f t="shared" si="158"/>
        <v>408.55200000000013</v>
      </c>
      <c r="I99" s="139">
        <f t="shared" si="158"/>
        <v>1187.8640000000003</v>
      </c>
      <c r="J99" s="139">
        <f t="shared" si="158"/>
        <v>1928.1760000000004</v>
      </c>
      <c r="K99" s="139">
        <f t="shared" si="158"/>
        <v>2671.4700000000003</v>
      </c>
      <c r="L99" s="139">
        <f t="shared" si="158"/>
        <v>3397.1070200000004</v>
      </c>
      <c r="M99" s="139">
        <f t="shared" si="158"/>
        <v>3934.9066700000003</v>
      </c>
      <c r="N99" s="139">
        <f t="shared" si="158"/>
        <v>4538.3875700000008</v>
      </c>
      <c r="O99" s="139">
        <f t="shared" si="158"/>
        <v>4662.9133800000009</v>
      </c>
      <c r="P99" s="139">
        <f t="shared" si="158"/>
        <v>4589.0022700000009</v>
      </c>
      <c r="Q99" s="139">
        <f t="shared" si="158"/>
        <v>4494.2996750000011</v>
      </c>
      <c r="R99" s="139">
        <f t="shared" si="158"/>
        <v>4625.1450200000008</v>
      </c>
      <c r="S99" s="139">
        <f t="shared" si="158"/>
        <v>5051.8268850000004</v>
      </c>
      <c r="T99" s="139">
        <f t="shared" si="158"/>
        <v>5499.653980000001</v>
      </c>
      <c r="U99" s="139">
        <f t="shared" si="158"/>
        <v>5960.7376800000011</v>
      </c>
      <c r="V99" s="139">
        <f t="shared" si="158"/>
        <v>6393.5588800000014</v>
      </c>
      <c r="W99" s="139">
        <f t="shared" si="158"/>
        <v>6845.7151550000017</v>
      </c>
      <c r="X99" s="139">
        <f t="shared" si="158"/>
        <v>7300.7460050000018</v>
      </c>
      <c r="Y99" s="139">
        <f t="shared" si="158"/>
        <v>7597.4123800000016</v>
      </c>
      <c r="Z99" s="139">
        <f t="shared" si="158"/>
        <v>7924.3131300000014</v>
      </c>
      <c r="AA99" s="139">
        <f t="shared" si="158"/>
        <v>8252.1890800000019</v>
      </c>
      <c r="AB99" s="139">
        <f t="shared" si="158"/>
        <v>8368.5896300000022</v>
      </c>
      <c r="AC99" s="139">
        <f t="shared" si="158"/>
        <v>8106.8620282500024</v>
      </c>
      <c r="AD99" s="139">
        <f t="shared" si="158"/>
        <v>8066.3191675000025</v>
      </c>
      <c r="AE99" s="139">
        <f t="shared" si="158"/>
        <v>8295.0696847500021</v>
      </c>
      <c r="AF99" s="139">
        <f t="shared" si="158"/>
        <v>8558.8747115000024</v>
      </c>
      <c r="AG99" s="139">
        <f t="shared" si="158"/>
        <v>8614.8855505000029</v>
      </c>
      <c r="AH99" s="139">
        <f t="shared" si="158"/>
        <v>8655.2455145000022</v>
      </c>
      <c r="AI99" s="139">
        <f t="shared" si="158"/>
        <v>8805.1932726250016</v>
      </c>
      <c r="AJ99" s="139">
        <f t="shared" si="158"/>
        <v>8925.034611375002</v>
      </c>
      <c r="AK99" s="139">
        <f t="shared" ref="AK99:BP99" si="159">AJ101</f>
        <v>8917.1172770000012</v>
      </c>
      <c r="AL99" s="139">
        <f t="shared" si="159"/>
        <v>8894.4222082500019</v>
      </c>
      <c r="AM99" s="139">
        <f t="shared" si="159"/>
        <v>8873.351079500002</v>
      </c>
      <c r="AN99" s="139">
        <f t="shared" si="159"/>
        <v>8653.7801957500014</v>
      </c>
      <c r="AO99" s="139">
        <f t="shared" si="159"/>
        <v>8371.9701753838763</v>
      </c>
      <c r="AP99" s="139">
        <f t="shared" si="159"/>
        <v>8316.7612411312512</v>
      </c>
      <c r="AQ99" s="139">
        <f t="shared" si="159"/>
        <v>8533.5161738616262</v>
      </c>
      <c r="AR99" s="139">
        <f t="shared" si="159"/>
        <v>8787.7087612152518</v>
      </c>
      <c r="AS99" s="139">
        <f t="shared" si="159"/>
        <v>8828.3670572317515</v>
      </c>
      <c r="AT99" s="139">
        <f t="shared" si="159"/>
        <v>8854.0551951857524</v>
      </c>
      <c r="AU99" s="139">
        <f t="shared" si="159"/>
        <v>8990.5171881112528</v>
      </c>
      <c r="AV99" s="139">
        <f t="shared" si="159"/>
        <v>9095.1446819282537</v>
      </c>
      <c r="AW99" s="139">
        <f t="shared" si="159"/>
        <v>9071.056564255754</v>
      </c>
      <c r="AX99" s="139">
        <f t="shared" si="159"/>
        <v>9029.3416162707545</v>
      </c>
      <c r="AY99" s="139">
        <f t="shared" si="159"/>
        <v>8989.2309661897543</v>
      </c>
      <c r="AZ99" s="139">
        <f t="shared" si="159"/>
        <v>8747.0460298007547</v>
      </c>
      <c r="BA99" s="139">
        <f t="shared" si="159"/>
        <v>8760.027648309193</v>
      </c>
      <c r="BB99" s="139">
        <f t="shared" si="159"/>
        <v>9021.6368993095675</v>
      </c>
      <c r="BC99" s="139">
        <f t="shared" si="159"/>
        <v>9625.5251174861714</v>
      </c>
      <c r="BD99" s="139">
        <f t="shared" si="159"/>
        <v>10243.624542737607</v>
      </c>
      <c r="BE99" s="139">
        <f t="shared" si="159"/>
        <v>10653.818210970972</v>
      </c>
      <c r="BF99" s="139">
        <f t="shared" si="159"/>
        <v>11035.984553673712</v>
      </c>
      <c r="BG99" s="139">
        <f t="shared" si="159"/>
        <v>10709.193317493166</v>
      </c>
      <c r="BH99" s="139">
        <f t="shared" si="159"/>
        <v>10335.5071553788</v>
      </c>
      <c r="BI99" s="139">
        <f t="shared" si="159"/>
        <v>9882.5866581195623</v>
      </c>
      <c r="BJ99" s="139">
        <f t="shared" si="159"/>
        <v>9347.5284946618867</v>
      </c>
      <c r="BK99" s="139">
        <f t="shared" si="159"/>
        <v>8816.0902807073326</v>
      </c>
      <c r="BL99" s="139">
        <f t="shared" si="159"/>
        <v>8108.2855897190375</v>
      </c>
      <c r="BM99" s="139">
        <f t="shared" si="159"/>
        <v>10251.646310687736</v>
      </c>
      <c r="BN99" s="139">
        <f t="shared" si="159"/>
        <v>12761.185367818351</v>
      </c>
      <c r="BO99" s="139">
        <f t="shared" si="159"/>
        <v>16071.599466972846</v>
      </c>
      <c r="BP99" s="139">
        <f t="shared" si="159"/>
        <v>19230.988607948799</v>
      </c>
      <c r="BQ99" s="139">
        <f t="shared" ref="BQ99:CV99" si="160">BP101</f>
        <v>22246.354102939935</v>
      </c>
      <c r="BR99" s="139">
        <f t="shared" si="160"/>
        <v>25146.613511917334</v>
      </c>
      <c r="BS99" s="139">
        <f t="shared" si="160"/>
        <v>27978.641042042862</v>
      </c>
      <c r="BT99" s="139">
        <f t="shared" si="160"/>
        <v>30863.391821814821</v>
      </c>
      <c r="BU99" s="139">
        <f t="shared" si="160"/>
        <v>33311.294867503748</v>
      </c>
      <c r="BV99" s="139">
        <f t="shared" si="160"/>
        <v>36103.159748603633</v>
      </c>
      <c r="BW99" s="139">
        <f t="shared" si="160"/>
        <v>38891.304214379168</v>
      </c>
      <c r="BX99" s="139">
        <f t="shared" si="160"/>
        <v>41285.376531917558</v>
      </c>
      <c r="BY99" s="139">
        <f t="shared" si="160"/>
        <v>43389.109388502446</v>
      </c>
      <c r="BZ99" s="139">
        <f t="shared" si="160"/>
        <v>45862.514301099378</v>
      </c>
      <c r="CA99" s="139">
        <f t="shared" si="160"/>
        <v>49137.762923094328</v>
      </c>
      <c r="CB99" s="139">
        <f t="shared" si="160"/>
        <v>52264.736689095975</v>
      </c>
      <c r="CC99" s="139">
        <f t="shared" si="160"/>
        <v>55241.370772270784</v>
      </c>
      <c r="CD99" s="139">
        <f t="shared" si="160"/>
        <v>58104.287021080527</v>
      </c>
      <c r="CE99" s="139">
        <f t="shared" si="160"/>
        <v>60901.225273071374</v>
      </c>
      <c r="CF99" s="139">
        <f t="shared" si="160"/>
        <v>63749.532614935481</v>
      </c>
      <c r="CG99" s="139">
        <f t="shared" si="160"/>
        <v>66161.238577313343</v>
      </c>
      <c r="CH99" s="139">
        <f t="shared" si="160"/>
        <v>68911.40739186357</v>
      </c>
      <c r="CI99" s="139">
        <f t="shared" si="160"/>
        <v>71657.881373736716</v>
      </c>
      <c r="CJ99" s="139">
        <f t="shared" si="160"/>
        <v>74007.031499805424</v>
      </c>
      <c r="CK99" s="139">
        <f t="shared" si="160"/>
        <v>76070.114294309868</v>
      </c>
      <c r="CL99" s="139">
        <f t="shared" si="160"/>
        <v>78507.361697413129</v>
      </c>
      <c r="CM99" s="139">
        <f t="shared" si="160"/>
        <v>81746.416793912926</v>
      </c>
      <c r="CN99" s="139">
        <f t="shared" si="160"/>
        <v>84840.948866016304</v>
      </c>
      <c r="CO99" s="139">
        <f t="shared" si="160"/>
        <v>87778.824489806371</v>
      </c>
      <c r="CP99" s="139">
        <f t="shared" si="160"/>
        <v>90603.371426020647</v>
      </c>
      <c r="CQ99" s="139">
        <f t="shared" si="160"/>
        <v>93365.197953032926</v>
      </c>
      <c r="CR99" s="139">
        <f t="shared" si="160"/>
        <v>96176.038693257404</v>
      </c>
      <c r="CS99" s="139">
        <f t="shared" si="160"/>
        <v>98550.526931455199</v>
      </c>
      <c r="CT99" s="139">
        <f t="shared" si="160"/>
        <v>101258.97600435474</v>
      </c>
      <c r="CU99" s="139">
        <f t="shared" si="160"/>
        <v>103963.75587900871</v>
      </c>
      <c r="CV99" s="139">
        <f t="shared" si="160"/>
        <v>106267.96170497956</v>
      </c>
      <c r="CW99" s="139">
        <f t="shared" ref="CW99:DS99" si="161">CV101</f>
        <v>108289.3716848038</v>
      </c>
      <c r="CX99" s="139">
        <f t="shared" si="161"/>
        <v>110690.43762937079</v>
      </c>
      <c r="CY99" s="139">
        <f t="shared" si="161"/>
        <v>113893.2704508811</v>
      </c>
      <c r="CZ99" s="139">
        <f t="shared" si="161"/>
        <v>116955.33385223574</v>
      </c>
      <c r="DA99" s="139">
        <f t="shared" si="161"/>
        <v>119853.42329293133</v>
      </c>
      <c r="DB99" s="139">
        <f t="shared" si="161"/>
        <v>122639.57411035793</v>
      </c>
      <c r="DC99" s="139">
        <f t="shared" si="161"/>
        <v>121618.57411035793</v>
      </c>
      <c r="DD99" s="139">
        <f t="shared" si="161"/>
        <v>120524.57411035793</v>
      </c>
      <c r="DE99" s="139">
        <f t="shared" si="161"/>
        <v>119416.57411035793</v>
      </c>
      <c r="DF99" s="139">
        <f t="shared" si="161"/>
        <v>118129.57411035793</v>
      </c>
      <c r="DG99" s="139">
        <f t="shared" si="161"/>
        <v>116847.57411035793</v>
      </c>
      <c r="DH99" s="139">
        <f t="shared" si="161"/>
        <v>115415.57411035793</v>
      </c>
      <c r="DI99" s="139">
        <f t="shared" si="161"/>
        <v>114082.57411035793</v>
      </c>
      <c r="DJ99" s="139">
        <f t="shared" si="161"/>
        <v>112959.57411035793</v>
      </c>
      <c r="DK99" s="139">
        <f t="shared" si="161"/>
        <v>111940.57411035793</v>
      </c>
      <c r="DL99" s="139">
        <f t="shared" si="161"/>
        <v>111042.57411035793</v>
      </c>
      <c r="DM99" s="139">
        <f t="shared" si="161"/>
        <v>109864.57411035793</v>
      </c>
      <c r="DN99" s="139">
        <f t="shared" si="161"/>
        <v>108709.57411035793</v>
      </c>
      <c r="DO99" s="139">
        <f t="shared" si="161"/>
        <v>107662.57411035793</v>
      </c>
      <c r="DP99" s="139">
        <f t="shared" si="161"/>
        <v>106541.57411035793</v>
      </c>
      <c r="DQ99" s="139">
        <f t="shared" si="161"/>
        <v>105406.57411035793</v>
      </c>
      <c r="DR99" s="139">
        <f t="shared" si="161"/>
        <v>104087.57411035793</v>
      </c>
      <c r="DS99" s="139">
        <f t="shared" si="161"/>
        <v>102773.57411035793</v>
      </c>
    </row>
    <row r="100" spans="1:123" ht="12.75" customHeight="1" x14ac:dyDescent="0.35">
      <c r="A100" s="146" t="s">
        <v>493</v>
      </c>
      <c r="B100" s="139">
        <f>SUM(D100:BQ100)</f>
        <v>4354.9551538259248</v>
      </c>
      <c r="C100" s="139">
        <f>B100/60</f>
        <v>72.582585897098753</v>
      </c>
      <c r="D100" s="139">
        <f t="shared" ref="D100:AI100" si="162">MIN(D99,MAX(D97-D98,0))</f>
        <v>0</v>
      </c>
      <c r="E100" s="139">
        <f t="shared" si="162"/>
        <v>0</v>
      </c>
      <c r="F100" s="139">
        <f t="shared" si="162"/>
        <v>0</v>
      </c>
      <c r="G100" s="139">
        <f t="shared" si="162"/>
        <v>0</v>
      </c>
      <c r="H100" s="139">
        <f t="shared" si="162"/>
        <v>0</v>
      </c>
      <c r="I100" s="139">
        <f t="shared" si="162"/>
        <v>0</v>
      </c>
      <c r="J100" s="139">
        <f t="shared" si="162"/>
        <v>0</v>
      </c>
      <c r="K100" s="139">
        <f t="shared" si="162"/>
        <v>0</v>
      </c>
      <c r="L100" s="139">
        <f t="shared" si="162"/>
        <v>0</v>
      </c>
      <c r="M100" s="139">
        <f t="shared" si="162"/>
        <v>0</v>
      </c>
      <c r="N100" s="139">
        <f t="shared" si="162"/>
        <v>0</v>
      </c>
      <c r="O100" s="139">
        <f t="shared" si="162"/>
        <v>73.911110000000008</v>
      </c>
      <c r="P100" s="139">
        <f t="shared" si="162"/>
        <v>94.702594999999974</v>
      </c>
      <c r="Q100" s="139">
        <f t="shared" si="162"/>
        <v>0</v>
      </c>
      <c r="R100" s="139">
        <f t="shared" si="162"/>
        <v>0</v>
      </c>
      <c r="S100" s="139">
        <f t="shared" si="162"/>
        <v>0</v>
      </c>
      <c r="T100" s="139">
        <f t="shared" si="162"/>
        <v>0</v>
      </c>
      <c r="U100" s="139">
        <f t="shared" si="162"/>
        <v>0</v>
      </c>
      <c r="V100" s="139">
        <f t="shared" si="162"/>
        <v>0</v>
      </c>
      <c r="W100" s="139">
        <f t="shared" si="162"/>
        <v>0</v>
      </c>
      <c r="X100" s="139">
        <f t="shared" si="162"/>
        <v>0</v>
      </c>
      <c r="Y100" s="139">
        <f t="shared" si="162"/>
        <v>0</v>
      </c>
      <c r="Z100" s="139">
        <f t="shared" si="162"/>
        <v>0</v>
      </c>
      <c r="AA100" s="139">
        <f t="shared" si="162"/>
        <v>0</v>
      </c>
      <c r="AB100" s="139">
        <f t="shared" si="162"/>
        <v>261.72760174999996</v>
      </c>
      <c r="AC100" s="139">
        <f t="shared" si="162"/>
        <v>40.542860750000045</v>
      </c>
      <c r="AD100" s="139">
        <f t="shared" si="162"/>
        <v>0</v>
      </c>
      <c r="AE100" s="139">
        <f t="shared" si="162"/>
        <v>0</v>
      </c>
      <c r="AF100" s="139">
        <f t="shared" si="162"/>
        <v>0</v>
      </c>
      <c r="AG100" s="139">
        <f t="shared" si="162"/>
        <v>0</v>
      </c>
      <c r="AH100" s="139">
        <f t="shared" si="162"/>
        <v>0</v>
      </c>
      <c r="AI100" s="139">
        <f t="shared" si="162"/>
        <v>0</v>
      </c>
      <c r="AJ100" s="139">
        <f t="shared" ref="AJ100:BO100" si="163">MIN(AJ99,MAX(AJ97-AJ98,0))</f>
        <v>7.9173343749999958</v>
      </c>
      <c r="AK100" s="139">
        <f t="shared" si="163"/>
        <v>22.695068750000019</v>
      </c>
      <c r="AL100" s="139">
        <f t="shared" si="163"/>
        <v>21.071128749999843</v>
      </c>
      <c r="AM100" s="139">
        <f t="shared" si="163"/>
        <v>219.57088374999989</v>
      </c>
      <c r="AN100" s="139">
        <f t="shared" si="163"/>
        <v>281.81002036612495</v>
      </c>
      <c r="AO100" s="139">
        <f t="shared" si="163"/>
        <v>55.208934252625113</v>
      </c>
      <c r="AP100" s="139">
        <f t="shared" si="163"/>
        <v>0</v>
      </c>
      <c r="AQ100" s="139">
        <f t="shared" si="163"/>
        <v>0</v>
      </c>
      <c r="AR100" s="139">
        <f t="shared" si="163"/>
        <v>0</v>
      </c>
      <c r="AS100" s="139">
        <f t="shared" si="163"/>
        <v>0</v>
      </c>
      <c r="AT100" s="139">
        <f t="shared" si="163"/>
        <v>0</v>
      </c>
      <c r="AU100" s="139">
        <f t="shared" si="163"/>
        <v>0</v>
      </c>
      <c r="AV100" s="139">
        <f t="shared" si="163"/>
        <v>24.088117672499948</v>
      </c>
      <c r="AW100" s="139">
        <f t="shared" si="163"/>
        <v>41.714947984999981</v>
      </c>
      <c r="AX100" s="139">
        <f t="shared" si="163"/>
        <v>40.110650080999903</v>
      </c>
      <c r="AY100" s="139">
        <f t="shared" si="163"/>
        <v>242.18493638900009</v>
      </c>
      <c r="AZ100" s="139">
        <f t="shared" si="163"/>
        <v>0</v>
      </c>
      <c r="BA100" s="139">
        <f t="shared" si="163"/>
        <v>0</v>
      </c>
      <c r="BB100" s="139">
        <f t="shared" si="163"/>
        <v>0</v>
      </c>
      <c r="BC100" s="139">
        <f t="shared" si="163"/>
        <v>0</v>
      </c>
      <c r="BD100" s="139">
        <f t="shared" si="163"/>
        <v>0</v>
      </c>
      <c r="BE100" s="139">
        <f t="shared" si="163"/>
        <v>0</v>
      </c>
      <c r="BF100" s="139">
        <f t="shared" si="163"/>
        <v>326.79123618054734</v>
      </c>
      <c r="BG100" s="139">
        <f t="shared" si="163"/>
        <v>373.68616211436495</v>
      </c>
      <c r="BH100" s="139">
        <f t="shared" si="163"/>
        <v>452.92049725923744</v>
      </c>
      <c r="BI100" s="139">
        <f t="shared" si="163"/>
        <v>535.05816345767494</v>
      </c>
      <c r="BJ100" s="139">
        <f t="shared" si="163"/>
        <v>531.43821395455484</v>
      </c>
      <c r="BK100" s="139">
        <f t="shared" si="163"/>
        <v>707.80469098829485</v>
      </c>
      <c r="BL100" s="139">
        <f t="shared" si="163"/>
        <v>0</v>
      </c>
      <c r="BM100" s="139">
        <f t="shared" si="163"/>
        <v>0</v>
      </c>
      <c r="BN100" s="139">
        <f t="shared" si="163"/>
        <v>0</v>
      </c>
      <c r="BO100" s="139">
        <f t="shared" si="163"/>
        <v>0</v>
      </c>
      <c r="BP100" s="139">
        <f t="shared" ref="BP100:CU100" si="164">MIN(BP99,MAX(BP97-BP98,0))</f>
        <v>0</v>
      </c>
      <c r="BQ100" s="139">
        <f t="shared" si="164"/>
        <v>0</v>
      </c>
      <c r="BR100" s="139">
        <f t="shared" si="164"/>
        <v>0</v>
      </c>
      <c r="BS100" s="139">
        <f t="shared" si="164"/>
        <v>0</v>
      </c>
      <c r="BT100" s="139">
        <f t="shared" si="164"/>
        <v>0</v>
      </c>
      <c r="BU100" s="139">
        <f t="shared" si="164"/>
        <v>0</v>
      </c>
      <c r="BV100" s="139">
        <f t="shared" si="164"/>
        <v>0</v>
      </c>
      <c r="BW100" s="139">
        <f t="shared" si="164"/>
        <v>0</v>
      </c>
      <c r="BX100" s="139">
        <f t="shared" si="164"/>
        <v>0</v>
      </c>
      <c r="BY100" s="139">
        <f t="shared" si="164"/>
        <v>0</v>
      </c>
      <c r="BZ100" s="139">
        <f t="shared" si="164"/>
        <v>0</v>
      </c>
      <c r="CA100" s="139">
        <f t="shared" si="164"/>
        <v>0</v>
      </c>
      <c r="CB100" s="139">
        <f t="shared" si="164"/>
        <v>0</v>
      </c>
      <c r="CC100" s="139">
        <f t="shared" si="164"/>
        <v>0</v>
      </c>
      <c r="CD100" s="139">
        <f t="shared" si="164"/>
        <v>0</v>
      </c>
      <c r="CE100" s="139">
        <f t="shared" si="164"/>
        <v>0</v>
      </c>
      <c r="CF100" s="139">
        <f t="shared" si="164"/>
        <v>0</v>
      </c>
      <c r="CG100" s="139">
        <f t="shared" si="164"/>
        <v>0</v>
      </c>
      <c r="CH100" s="139">
        <f t="shared" si="164"/>
        <v>0</v>
      </c>
      <c r="CI100" s="139">
        <f t="shared" si="164"/>
        <v>0</v>
      </c>
      <c r="CJ100" s="139">
        <f t="shared" si="164"/>
        <v>0</v>
      </c>
      <c r="CK100" s="139">
        <f t="shared" si="164"/>
        <v>0</v>
      </c>
      <c r="CL100" s="139">
        <f t="shared" si="164"/>
        <v>0</v>
      </c>
      <c r="CM100" s="139">
        <f t="shared" si="164"/>
        <v>0</v>
      </c>
      <c r="CN100" s="139">
        <f t="shared" si="164"/>
        <v>0</v>
      </c>
      <c r="CO100" s="139">
        <f t="shared" si="164"/>
        <v>0</v>
      </c>
      <c r="CP100" s="139">
        <f t="shared" si="164"/>
        <v>0</v>
      </c>
      <c r="CQ100" s="139">
        <f t="shared" si="164"/>
        <v>0</v>
      </c>
      <c r="CR100" s="139">
        <f t="shared" si="164"/>
        <v>0</v>
      </c>
      <c r="CS100" s="139">
        <f t="shared" si="164"/>
        <v>0</v>
      </c>
      <c r="CT100" s="139">
        <f t="shared" si="164"/>
        <v>0</v>
      </c>
      <c r="CU100" s="139">
        <f t="shared" si="164"/>
        <v>0</v>
      </c>
      <c r="CV100" s="139">
        <f t="shared" ref="CV100:DS100" si="165">MIN(CV99,MAX(CV97-CV98,0))</f>
        <v>0</v>
      </c>
      <c r="CW100" s="139">
        <f t="shared" si="165"/>
        <v>0</v>
      </c>
      <c r="CX100" s="139">
        <f t="shared" si="165"/>
        <v>0</v>
      </c>
      <c r="CY100" s="139">
        <f t="shared" si="165"/>
        <v>0</v>
      </c>
      <c r="CZ100" s="139">
        <f t="shared" si="165"/>
        <v>0</v>
      </c>
      <c r="DA100" s="139">
        <f t="shared" si="165"/>
        <v>0</v>
      </c>
      <c r="DB100" s="139">
        <f t="shared" si="165"/>
        <v>1021</v>
      </c>
      <c r="DC100" s="139">
        <f t="shared" si="165"/>
        <v>1094</v>
      </c>
      <c r="DD100" s="139">
        <f t="shared" si="165"/>
        <v>1108</v>
      </c>
      <c r="DE100" s="139">
        <f t="shared" si="165"/>
        <v>1287</v>
      </c>
      <c r="DF100" s="139">
        <f t="shared" si="165"/>
        <v>1282</v>
      </c>
      <c r="DG100" s="139">
        <f t="shared" si="165"/>
        <v>1432</v>
      </c>
      <c r="DH100" s="139">
        <f t="shared" si="165"/>
        <v>1333</v>
      </c>
      <c r="DI100" s="139">
        <f t="shared" si="165"/>
        <v>1123</v>
      </c>
      <c r="DJ100" s="139">
        <f t="shared" si="165"/>
        <v>1019</v>
      </c>
      <c r="DK100" s="139">
        <f t="shared" si="165"/>
        <v>898</v>
      </c>
      <c r="DL100" s="139">
        <f t="shared" si="165"/>
        <v>1178</v>
      </c>
      <c r="DM100" s="139">
        <f t="shared" si="165"/>
        <v>1155</v>
      </c>
      <c r="DN100" s="139">
        <f t="shared" si="165"/>
        <v>1047</v>
      </c>
      <c r="DO100" s="139">
        <f t="shared" si="165"/>
        <v>1121</v>
      </c>
      <c r="DP100" s="139">
        <f t="shared" si="165"/>
        <v>1135</v>
      </c>
      <c r="DQ100" s="139">
        <f t="shared" si="165"/>
        <v>1319</v>
      </c>
      <c r="DR100" s="139">
        <f t="shared" si="165"/>
        <v>1314</v>
      </c>
      <c r="DS100" s="139">
        <f t="shared" si="165"/>
        <v>1467</v>
      </c>
    </row>
    <row r="101" spans="1:123" ht="13.5" customHeight="1" x14ac:dyDescent="0.35">
      <c r="A101" s="39" t="s">
        <v>494</v>
      </c>
      <c r="B101" s="41">
        <f>AA101</f>
        <v>8368.5896300000022</v>
      </c>
      <c r="C101" s="139" t="s">
        <v>169</v>
      </c>
      <c r="D101" s="157">
        <f t="shared" ref="D101:AI101" si="166">MAX(D99-D100,0)+MAX(D98-D97,0)</f>
        <v>0</v>
      </c>
      <c r="E101" s="157">
        <f t="shared" si="166"/>
        <v>0</v>
      </c>
      <c r="F101" s="157">
        <f t="shared" si="166"/>
        <v>186.6880000000001</v>
      </c>
      <c r="G101" s="157">
        <f t="shared" si="166"/>
        <v>408.55200000000013</v>
      </c>
      <c r="H101" s="157">
        <f t="shared" si="166"/>
        <v>1187.8640000000003</v>
      </c>
      <c r="I101" s="157">
        <f t="shared" si="166"/>
        <v>1928.1760000000004</v>
      </c>
      <c r="J101" s="157">
        <f t="shared" si="166"/>
        <v>2671.4700000000003</v>
      </c>
      <c r="K101" s="157">
        <f t="shared" si="166"/>
        <v>3397.1070200000004</v>
      </c>
      <c r="L101" s="157">
        <f t="shared" si="166"/>
        <v>3934.9066700000003</v>
      </c>
      <c r="M101" s="157">
        <f t="shared" si="166"/>
        <v>4538.3875700000008</v>
      </c>
      <c r="N101" s="157">
        <f t="shared" si="166"/>
        <v>4662.9133800000009</v>
      </c>
      <c r="O101" s="157">
        <f t="shared" si="166"/>
        <v>4589.0022700000009</v>
      </c>
      <c r="P101" s="157">
        <f t="shared" si="166"/>
        <v>4494.2996750000011</v>
      </c>
      <c r="Q101" s="157">
        <f t="shared" si="166"/>
        <v>4625.1450200000008</v>
      </c>
      <c r="R101" s="157">
        <f t="shared" si="166"/>
        <v>5051.8268850000004</v>
      </c>
      <c r="S101" s="157">
        <f t="shared" si="166"/>
        <v>5499.653980000001</v>
      </c>
      <c r="T101" s="157">
        <f t="shared" si="166"/>
        <v>5960.7376800000011</v>
      </c>
      <c r="U101" s="157">
        <f t="shared" si="166"/>
        <v>6393.5588800000014</v>
      </c>
      <c r="V101" s="157">
        <f t="shared" si="166"/>
        <v>6845.7151550000017</v>
      </c>
      <c r="W101" s="157">
        <f t="shared" si="166"/>
        <v>7300.7460050000018</v>
      </c>
      <c r="X101" s="157">
        <f t="shared" si="166"/>
        <v>7597.4123800000016</v>
      </c>
      <c r="Y101" s="157">
        <f t="shared" si="166"/>
        <v>7924.3131300000014</v>
      </c>
      <c r="Z101" s="157">
        <f t="shared" si="166"/>
        <v>8252.1890800000019</v>
      </c>
      <c r="AA101" s="157">
        <f t="shared" si="166"/>
        <v>8368.5896300000022</v>
      </c>
      <c r="AB101" s="157">
        <f t="shared" si="166"/>
        <v>8106.8620282500024</v>
      </c>
      <c r="AC101" s="157">
        <f t="shared" si="166"/>
        <v>8066.3191675000025</v>
      </c>
      <c r="AD101" s="157">
        <f t="shared" si="166"/>
        <v>8295.0696847500021</v>
      </c>
      <c r="AE101" s="157">
        <f t="shared" si="166"/>
        <v>8558.8747115000024</v>
      </c>
      <c r="AF101" s="157">
        <f t="shared" si="166"/>
        <v>8614.8855505000029</v>
      </c>
      <c r="AG101" s="157">
        <f t="shared" si="166"/>
        <v>8655.2455145000022</v>
      </c>
      <c r="AH101" s="157">
        <f t="shared" si="166"/>
        <v>8805.1932726250016</v>
      </c>
      <c r="AI101" s="157">
        <f t="shared" si="166"/>
        <v>8925.034611375002</v>
      </c>
      <c r="AJ101" s="157">
        <f t="shared" ref="AJ101:BO101" si="167">MAX(AJ99-AJ100,0)+MAX(AJ98-AJ97,0)</f>
        <v>8917.1172770000012</v>
      </c>
      <c r="AK101" s="157">
        <f t="shared" si="167"/>
        <v>8894.4222082500019</v>
      </c>
      <c r="AL101" s="157">
        <f t="shared" si="167"/>
        <v>8873.351079500002</v>
      </c>
      <c r="AM101" s="157">
        <f t="shared" si="167"/>
        <v>8653.7801957500014</v>
      </c>
      <c r="AN101" s="157">
        <f t="shared" si="167"/>
        <v>8371.9701753838763</v>
      </c>
      <c r="AO101" s="157">
        <f t="shared" si="167"/>
        <v>8316.7612411312512</v>
      </c>
      <c r="AP101" s="157">
        <f t="shared" si="167"/>
        <v>8533.5161738616262</v>
      </c>
      <c r="AQ101" s="157">
        <f t="shared" si="167"/>
        <v>8787.7087612152518</v>
      </c>
      <c r="AR101" s="157">
        <f t="shared" si="167"/>
        <v>8828.3670572317515</v>
      </c>
      <c r="AS101" s="157">
        <f t="shared" si="167"/>
        <v>8854.0551951857524</v>
      </c>
      <c r="AT101" s="157">
        <f t="shared" si="167"/>
        <v>8990.5171881112528</v>
      </c>
      <c r="AU101" s="157">
        <f t="shared" si="167"/>
        <v>9095.1446819282537</v>
      </c>
      <c r="AV101" s="157">
        <f t="shared" si="167"/>
        <v>9071.056564255754</v>
      </c>
      <c r="AW101" s="157">
        <f t="shared" si="167"/>
        <v>9029.3416162707545</v>
      </c>
      <c r="AX101" s="157">
        <f t="shared" si="167"/>
        <v>8989.2309661897543</v>
      </c>
      <c r="AY101" s="157">
        <f t="shared" si="167"/>
        <v>8747.0460298007547</v>
      </c>
      <c r="AZ101" s="157">
        <f t="shared" si="167"/>
        <v>8760.027648309193</v>
      </c>
      <c r="BA101" s="157">
        <f t="shared" si="167"/>
        <v>9021.6368993095675</v>
      </c>
      <c r="BB101" s="157">
        <f t="shared" si="167"/>
        <v>9625.5251174861714</v>
      </c>
      <c r="BC101" s="157">
        <f t="shared" si="167"/>
        <v>10243.624542737607</v>
      </c>
      <c r="BD101" s="157">
        <f t="shared" si="167"/>
        <v>10653.818210970972</v>
      </c>
      <c r="BE101" s="157">
        <f t="shared" si="167"/>
        <v>11035.984553673712</v>
      </c>
      <c r="BF101" s="157">
        <f t="shared" si="167"/>
        <v>10709.193317493166</v>
      </c>
      <c r="BG101" s="157">
        <f t="shared" si="167"/>
        <v>10335.5071553788</v>
      </c>
      <c r="BH101" s="157">
        <f t="shared" si="167"/>
        <v>9882.5866581195623</v>
      </c>
      <c r="BI101" s="157">
        <f t="shared" si="167"/>
        <v>9347.5284946618867</v>
      </c>
      <c r="BJ101" s="157">
        <f t="shared" si="167"/>
        <v>8816.0902807073326</v>
      </c>
      <c r="BK101" s="157">
        <f t="shared" si="167"/>
        <v>8108.2855897190375</v>
      </c>
      <c r="BL101" s="157">
        <f t="shared" si="167"/>
        <v>10251.646310687736</v>
      </c>
      <c r="BM101" s="157">
        <f t="shared" si="167"/>
        <v>12761.185367818351</v>
      </c>
      <c r="BN101" s="157">
        <f t="shared" si="167"/>
        <v>16071.599466972846</v>
      </c>
      <c r="BO101" s="157">
        <f t="shared" si="167"/>
        <v>19230.988607948799</v>
      </c>
      <c r="BP101" s="157">
        <f t="shared" ref="BP101:CU101" si="168">MAX(BP99-BP100,0)+MAX(BP98-BP97,0)</f>
        <v>22246.354102939935</v>
      </c>
      <c r="BQ101" s="157">
        <f t="shared" si="168"/>
        <v>25146.613511917334</v>
      </c>
      <c r="BR101" s="157">
        <f t="shared" si="168"/>
        <v>27978.641042042862</v>
      </c>
      <c r="BS101" s="157">
        <f t="shared" si="168"/>
        <v>30863.391821814821</v>
      </c>
      <c r="BT101" s="157">
        <f t="shared" si="168"/>
        <v>33311.294867503748</v>
      </c>
      <c r="BU101" s="157">
        <f t="shared" si="168"/>
        <v>36103.159748603633</v>
      </c>
      <c r="BV101" s="157">
        <f t="shared" si="168"/>
        <v>38891.304214379168</v>
      </c>
      <c r="BW101" s="157">
        <f t="shared" si="168"/>
        <v>41285.376531917558</v>
      </c>
      <c r="BX101" s="157">
        <f t="shared" si="168"/>
        <v>43389.109388502446</v>
      </c>
      <c r="BY101" s="157">
        <f t="shared" si="168"/>
        <v>45862.514301099378</v>
      </c>
      <c r="BZ101" s="157">
        <f t="shared" si="168"/>
        <v>49137.762923094328</v>
      </c>
      <c r="CA101" s="157">
        <f t="shared" si="168"/>
        <v>52264.736689095975</v>
      </c>
      <c r="CB101" s="157">
        <f t="shared" si="168"/>
        <v>55241.370772270784</v>
      </c>
      <c r="CC101" s="157">
        <f t="shared" si="168"/>
        <v>58104.287021080527</v>
      </c>
      <c r="CD101" s="157">
        <f t="shared" si="168"/>
        <v>60901.225273071374</v>
      </c>
      <c r="CE101" s="157">
        <f t="shared" si="168"/>
        <v>63749.532614935481</v>
      </c>
      <c r="CF101" s="157">
        <f t="shared" si="168"/>
        <v>66161.238577313343</v>
      </c>
      <c r="CG101" s="157">
        <f t="shared" si="168"/>
        <v>68911.40739186357</v>
      </c>
      <c r="CH101" s="157">
        <f t="shared" si="168"/>
        <v>71657.881373736716</v>
      </c>
      <c r="CI101" s="157">
        <f t="shared" si="168"/>
        <v>74007.031499805424</v>
      </c>
      <c r="CJ101" s="157">
        <f t="shared" si="168"/>
        <v>76070.114294309868</v>
      </c>
      <c r="CK101" s="157">
        <f t="shared" si="168"/>
        <v>78507.361697413129</v>
      </c>
      <c r="CL101" s="157">
        <f t="shared" si="168"/>
        <v>81746.416793912926</v>
      </c>
      <c r="CM101" s="157">
        <f t="shared" si="168"/>
        <v>84840.948866016304</v>
      </c>
      <c r="CN101" s="157">
        <f t="shared" si="168"/>
        <v>87778.824489806371</v>
      </c>
      <c r="CO101" s="157">
        <f t="shared" si="168"/>
        <v>90603.371426020647</v>
      </c>
      <c r="CP101" s="157">
        <f t="shared" si="168"/>
        <v>93365.197953032926</v>
      </c>
      <c r="CQ101" s="157">
        <f t="shared" si="168"/>
        <v>96176.038693257404</v>
      </c>
      <c r="CR101" s="157">
        <f t="shared" si="168"/>
        <v>98550.526931455199</v>
      </c>
      <c r="CS101" s="157">
        <f t="shared" si="168"/>
        <v>101258.97600435474</v>
      </c>
      <c r="CT101" s="157">
        <f t="shared" si="168"/>
        <v>103963.75587900871</v>
      </c>
      <c r="CU101" s="157">
        <f t="shared" si="168"/>
        <v>106267.96170497956</v>
      </c>
      <c r="CV101" s="157">
        <f t="shared" ref="CV101:DS101" si="169">MAX(CV99-CV100,0)+MAX(CV98-CV97,0)</f>
        <v>108289.3716848038</v>
      </c>
      <c r="CW101" s="157">
        <f t="shared" si="169"/>
        <v>110690.43762937079</v>
      </c>
      <c r="CX101" s="157">
        <f t="shared" si="169"/>
        <v>113893.2704508811</v>
      </c>
      <c r="CY101" s="157">
        <f t="shared" si="169"/>
        <v>116955.33385223574</v>
      </c>
      <c r="CZ101" s="157">
        <f t="shared" si="169"/>
        <v>119853.42329293133</v>
      </c>
      <c r="DA101" s="157">
        <f t="shared" si="169"/>
        <v>122639.57411035793</v>
      </c>
      <c r="DB101" s="157">
        <f t="shared" si="169"/>
        <v>121618.57411035793</v>
      </c>
      <c r="DC101" s="157">
        <f t="shared" si="169"/>
        <v>120524.57411035793</v>
      </c>
      <c r="DD101" s="157">
        <f t="shared" si="169"/>
        <v>119416.57411035793</v>
      </c>
      <c r="DE101" s="157">
        <f t="shared" si="169"/>
        <v>118129.57411035793</v>
      </c>
      <c r="DF101" s="157">
        <f t="shared" si="169"/>
        <v>116847.57411035793</v>
      </c>
      <c r="DG101" s="157">
        <f t="shared" si="169"/>
        <v>115415.57411035793</v>
      </c>
      <c r="DH101" s="157">
        <f t="shared" si="169"/>
        <v>114082.57411035793</v>
      </c>
      <c r="DI101" s="157">
        <f t="shared" si="169"/>
        <v>112959.57411035793</v>
      </c>
      <c r="DJ101" s="157">
        <f t="shared" si="169"/>
        <v>111940.57411035793</v>
      </c>
      <c r="DK101" s="157">
        <f t="shared" si="169"/>
        <v>111042.57411035793</v>
      </c>
      <c r="DL101" s="157">
        <f t="shared" si="169"/>
        <v>109864.57411035793</v>
      </c>
      <c r="DM101" s="157">
        <f t="shared" si="169"/>
        <v>108709.57411035793</v>
      </c>
      <c r="DN101" s="157">
        <f t="shared" si="169"/>
        <v>107662.57411035793</v>
      </c>
      <c r="DO101" s="157">
        <f t="shared" si="169"/>
        <v>106541.57411035793</v>
      </c>
      <c r="DP101" s="157">
        <f t="shared" si="169"/>
        <v>105406.57411035793</v>
      </c>
      <c r="DQ101" s="157">
        <f t="shared" si="169"/>
        <v>104087.57411035793</v>
      </c>
      <c r="DR101" s="157">
        <f t="shared" si="169"/>
        <v>102773.57411035793</v>
      </c>
      <c r="DS101" s="157">
        <f t="shared" si="169"/>
        <v>101306.57411035793</v>
      </c>
    </row>
    <row r="102" spans="1:123" ht="12.75" customHeight="1" x14ac:dyDescent="0.35">
      <c r="A102" s="147" t="s">
        <v>495</v>
      </c>
      <c r="B102" s="148">
        <f>AA102</f>
        <v>0</v>
      </c>
      <c r="C102" s="139" t="s">
        <v>169</v>
      </c>
      <c r="D102" s="148">
        <f>0</f>
        <v>0</v>
      </c>
      <c r="E102" s="148">
        <f t="shared" ref="E102:AJ102" si="170">D104</f>
        <v>0</v>
      </c>
      <c r="F102" s="148">
        <f t="shared" si="170"/>
        <v>0</v>
      </c>
      <c r="G102" s="148">
        <f t="shared" si="170"/>
        <v>0</v>
      </c>
      <c r="H102" s="148">
        <f t="shared" si="170"/>
        <v>0</v>
      </c>
      <c r="I102" s="148">
        <f t="shared" si="170"/>
        <v>0</v>
      </c>
      <c r="J102" s="148">
        <f t="shared" si="170"/>
        <v>0</v>
      </c>
      <c r="K102" s="148">
        <f t="shared" si="170"/>
        <v>0</v>
      </c>
      <c r="L102" s="148">
        <f t="shared" si="170"/>
        <v>0</v>
      </c>
      <c r="M102" s="148">
        <f t="shared" si="170"/>
        <v>0</v>
      </c>
      <c r="N102" s="148">
        <f t="shared" si="170"/>
        <v>0</v>
      </c>
      <c r="O102" s="148">
        <f t="shared" si="170"/>
        <v>0</v>
      </c>
      <c r="P102" s="148">
        <f t="shared" si="170"/>
        <v>0</v>
      </c>
      <c r="Q102" s="148">
        <f t="shared" si="170"/>
        <v>0</v>
      </c>
      <c r="R102" s="148">
        <f t="shared" si="170"/>
        <v>0</v>
      </c>
      <c r="S102" s="148">
        <f t="shared" si="170"/>
        <v>0</v>
      </c>
      <c r="T102" s="148">
        <f t="shared" si="170"/>
        <v>0</v>
      </c>
      <c r="U102" s="148">
        <f t="shared" si="170"/>
        <v>0</v>
      </c>
      <c r="V102" s="148">
        <f t="shared" si="170"/>
        <v>0</v>
      </c>
      <c r="W102" s="148">
        <f t="shared" si="170"/>
        <v>0</v>
      </c>
      <c r="X102" s="148">
        <f t="shared" si="170"/>
        <v>0</v>
      </c>
      <c r="Y102" s="148">
        <f t="shared" si="170"/>
        <v>0</v>
      </c>
      <c r="Z102" s="148">
        <f t="shared" si="170"/>
        <v>0</v>
      </c>
      <c r="AA102" s="148">
        <f t="shared" si="170"/>
        <v>0</v>
      </c>
      <c r="AB102" s="148">
        <f t="shared" si="170"/>
        <v>0</v>
      </c>
      <c r="AC102" s="148">
        <f t="shared" si="170"/>
        <v>0</v>
      </c>
      <c r="AD102" s="148">
        <f t="shared" si="170"/>
        <v>0</v>
      </c>
      <c r="AE102" s="148">
        <f t="shared" si="170"/>
        <v>0</v>
      </c>
      <c r="AF102" s="148">
        <f t="shared" si="170"/>
        <v>0</v>
      </c>
      <c r="AG102" s="148">
        <f t="shared" si="170"/>
        <v>0</v>
      </c>
      <c r="AH102" s="148">
        <f t="shared" si="170"/>
        <v>0</v>
      </c>
      <c r="AI102" s="148">
        <f t="shared" si="170"/>
        <v>0</v>
      </c>
      <c r="AJ102" s="148">
        <f t="shared" si="170"/>
        <v>0</v>
      </c>
      <c r="AK102" s="148">
        <f t="shared" ref="AK102:BP102" si="171">AJ104</f>
        <v>0</v>
      </c>
      <c r="AL102" s="148">
        <f t="shared" si="171"/>
        <v>0</v>
      </c>
      <c r="AM102" s="148">
        <f t="shared" si="171"/>
        <v>0</v>
      </c>
      <c r="AN102" s="148">
        <f t="shared" si="171"/>
        <v>0</v>
      </c>
      <c r="AO102" s="148">
        <f t="shared" si="171"/>
        <v>0</v>
      </c>
      <c r="AP102" s="148">
        <f t="shared" si="171"/>
        <v>0</v>
      </c>
      <c r="AQ102" s="148">
        <f t="shared" si="171"/>
        <v>0</v>
      </c>
      <c r="AR102" s="148">
        <f t="shared" si="171"/>
        <v>0</v>
      </c>
      <c r="AS102" s="148">
        <f t="shared" si="171"/>
        <v>0</v>
      </c>
      <c r="AT102" s="148">
        <f t="shared" si="171"/>
        <v>0</v>
      </c>
      <c r="AU102" s="148">
        <f t="shared" si="171"/>
        <v>0</v>
      </c>
      <c r="AV102" s="148">
        <f t="shared" si="171"/>
        <v>0</v>
      </c>
      <c r="AW102" s="148">
        <f t="shared" si="171"/>
        <v>0</v>
      </c>
      <c r="AX102" s="148">
        <f t="shared" si="171"/>
        <v>0</v>
      </c>
      <c r="AY102" s="148">
        <f t="shared" si="171"/>
        <v>0</v>
      </c>
      <c r="AZ102" s="148">
        <f t="shared" si="171"/>
        <v>0</v>
      </c>
      <c r="BA102" s="148">
        <f t="shared" si="171"/>
        <v>0</v>
      </c>
      <c r="BB102" s="148">
        <f t="shared" si="171"/>
        <v>0</v>
      </c>
      <c r="BC102" s="148">
        <f t="shared" si="171"/>
        <v>0</v>
      </c>
      <c r="BD102" s="148">
        <f t="shared" si="171"/>
        <v>0</v>
      </c>
      <c r="BE102" s="148">
        <f t="shared" si="171"/>
        <v>0</v>
      </c>
      <c r="BF102" s="148">
        <f t="shared" si="171"/>
        <v>0</v>
      </c>
      <c r="BG102" s="148">
        <f t="shared" si="171"/>
        <v>0</v>
      </c>
      <c r="BH102" s="148">
        <f t="shared" si="171"/>
        <v>0</v>
      </c>
      <c r="BI102" s="148">
        <f t="shared" si="171"/>
        <v>0</v>
      </c>
      <c r="BJ102" s="148">
        <f t="shared" si="171"/>
        <v>0</v>
      </c>
      <c r="BK102" s="148">
        <f t="shared" si="171"/>
        <v>0</v>
      </c>
      <c r="BL102" s="148">
        <f t="shared" si="171"/>
        <v>0</v>
      </c>
      <c r="BM102" s="148">
        <f t="shared" si="171"/>
        <v>0</v>
      </c>
      <c r="BN102" s="148">
        <f t="shared" si="171"/>
        <v>0</v>
      </c>
      <c r="BO102" s="148">
        <f t="shared" si="171"/>
        <v>0</v>
      </c>
      <c r="BP102" s="148">
        <f t="shared" si="171"/>
        <v>0</v>
      </c>
      <c r="BQ102" s="148">
        <f t="shared" ref="BQ102:CV102" si="172">BP104</f>
        <v>0</v>
      </c>
      <c r="BR102" s="148">
        <f t="shared" si="172"/>
        <v>0</v>
      </c>
      <c r="BS102" s="148">
        <f t="shared" si="172"/>
        <v>0</v>
      </c>
      <c r="BT102" s="148">
        <f t="shared" si="172"/>
        <v>0</v>
      </c>
      <c r="BU102" s="148">
        <f t="shared" si="172"/>
        <v>0</v>
      </c>
      <c r="BV102" s="148">
        <f t="shared" si="172"/>
        <v>0</v>
      </c>
      <c r="BW102" s="148">
        <f t="shared" si="172"/>
        <v>0</v>
      </c>
      <c r="BX102" s="148">
        <f t="shared" si="172"/>
        <v>0</v>
      </c>
      <c r="BY102" s="148">
        <f t="shared" si="172"/>
        <v>0</v>
      </c>
      <c r="BZ102" s="148">
        <f t="shared" si="172"/>
        <v>0</v>
      </c>
      <c r="CA102" s="148">
        <f t="shared" si="172"/>
        <v>0</v>
      </c>
      <c r="CB102" s="148">
        <f t="shared" si="172"/>
        <v>0</v>
      </c>
      <c r="CC102" s="148">
        <f t="shared" si="172"/>
        <v>0</v>
      </c>
      <c r="CD102" s="148">
        <f t="shared" si="172"/>
        <v>0</v>
      </c>
      <c r="CE102" s="148">
        <f t="shared" si="172"/>
        <v>0</v>
      </c>
      <c r="CF102" s="148">
        <f t="shared" si="172"/>
        <v>0</v>
      </c>
      <c r="CG102" s="148">
        <f t="shared" si="172"/>
        <v>0</v>
      </c>
      <c r="CH102" s="148">
        <f t="shared" si="172"/>
        <v>0</v>
      </c>
      <c r="CI102" s="148">
        <f t="shared" si="172"/>
        <v>0</v>
      </c>
      <c r="CJ102" s="148">
        <f t="shared" si="172"/>
        <v>0</v>
      </c>
      <c r="CK102" s="148">
        <f t="shared" si="172"/>
        <v>0</v>
      </c>
      <c r="CL102" s="148">
        <f t="shared" si="172"/>
        <v>0</v>
      </c>
      <c r="CM102" s="148">
        <f t="shared" si="172"/>
        <v>0</v>
      </c>
      <c r="CN102" s="148">
        <f t="shared" si="172"/>
        <v>0</v>
      </c>
      <c r="CO102" s="148">
        <f t="shared" si="172"/>
        <v>0</v>
      </c>
      <c r="CP102" s="148">
        <f t="shared" si="172"/>
        <v>0</v>
      </c>
      <c r="CQ102" s="148">
        <f t="shared" si="172"/>
        <v>0</v>
      </c>
      <c r="CR102" s="148">
        <f t="shared" si="172"/>
        <v>0</v>
      </c>
      <c r="CS102" s="148">
        <f t="shared" si="172"/>
        <v>0</v>
      </c>
      <c r="CT102" s="148">
        <f t="shared" si="172"/>
        <v>0</v>
      </c>
      <c r="CU102" s="148">
        <f t="shared" si="172"/>
        <v>0</v>
      </c>
      <c r="CV102" s="148">
        <f t="shared" si="172"/>
        <v>0</v>
      </c>
      <c r="CW102" s="148">
        <f t="shared" ref="CW102:DS102" si="173">CV104</f>
        <v>0</v>
      </c>
      <c r="CX102" s="148">
        <f t="shared" si="173"/>
        <v>0</v>
      </c>
      <c r="CY102" s="148">
        <f t="shared" si="173"/>
        <v>0</v>
      </c>
      <c r="CZ102" s="148">
        <f t="shared" si="173"/>
        <v>0</v>
      </c>
      <c r="DA102" s="148">
        <f t="shared" si="173"/>
        <v>0</v>
      </c>
      <c r="DB102" s="148">
        <f t="shared" si="173"/>
        <v>0</v>
      </c>
      <c r="DC102" s="148">
        <f t="shared" si="173"/>
        <v>0</v>
      </c>
      <c r="DD102" s="148">
        <f t="shared" si="173"/>
        <v>0</v>
      </c>
      <c r="DE102" s="148">
        <f t="shared" si="173"/>
        <v>0</v>
      </c>
      <c r="DF102" s="148">
        <f t="shared" si="173"/>
        <v>0</v>
      </c>
      <c r="DG102" s="148">
        <f t="shared" si="173"/>
        <v>0</v>
      </c>
      <c r="DH102" s="148">
        <f t="shared" si="173"/>
        <v>0</v>
      </c>
      <c r="DI102" s="148">
        <f t="shared" si="173"/>
        <v>0</v>
      </c>
      <c r="DJ102" s="148">
        <f t="shared" si="173"/>
        <v>0</v>
      </c>
      <c r="DK102" s="148">
        <f t="shared" si="173"/>
        <v>0</v>
      </c>
      <c r="DL102" s="148">
        <f t="shared" si="173"/>
        <v>0</v>
      </c>
      <c r="DM102" s="148">
        <f t="shared" si="173"/>
        <v>0</v>
      </c>
      <c r="DN102" s="148">
        <f t="shared" si="173"/>
        <v>0</v>
      </c>
      <c r="DO102" s="148">
        <f t="shared" si="173"/>
        <v>0</v>
      </c>
      <c r="DP102" s="148">
        <f t="shared" si="173"/>
        <v>0</v>
      </c>
      <c r="DQ102" s="148">
        <f t="shared" si="173"/>
        <v>0</v>
      </c>
      <c r="DR102" s="148">
        <f t="shared" si="173"/>
        <v>0</v>
      </c>
      <c r="DS102" s="148">
        <f t="shared" si="173"/>
        <v>0</v>
      </c>
    </row>
    <row r="103" spans="1:123" ht="12.75" customHeight="1" x14ac:dyDescent="0.35">
      <c r="A103" s="147" t="s">
        <v>503</v>
      </c>
      <c r="B103" s="148">
        <f>SUM(D103:BQ103)</f>
        <v>0</v>
      </c>
      <c r="C103" s="139">
        <f>B103/60</f>
        <v>0</v>
      </c>
      <c r="D103" s="148">
        <f t="shared" ref="D103:AI103" si="174">MIN(D102,D97)</f>
        <v>0</v>
      </c>
      <c r="E103" s="148">
        <f t="shared" si="174"/>
        <v>0</v>
      </c>
      <c r="F103" s="148">
        <f t="shared" si="174"/>
        <v>0</v>
      </c>
      <c r="G103" s="148">
        <f t="shared" si="174"/>
        <v>0</v>
      </c>
      <c r="H103" s="148">
        <f t="shared" si="174"/>
        <v>0</v>
      </c>
      <c r="I103" s="148">
        <f t="shared" si="174"/>
        <v>0</v>
      </c>
      <c r="J103" s="148">
        <f t="shared" si="174"/>
        <v>0</v>
      </c>
      <c r="K103" s="148">
        <f t="shared" si="174"/>
        <v>0</v>
      </c>
      <c r="L103" s="148">
        <f t="shared" si="174"/>
        <v>0</v>
      </c>
      <c r="M103" s="148">
        <f t="shared" si="174"/>
        <v>0</v>
      </c>
      <c r="N103" s="148">
        <f t="shared" si="174"/>
        <v>0</v>
      </c>
      <c r="O103" s="148">
        <f t="shared" si="174"/>
        <v>0</v>
      </c>
      <c r="P103" s="148">
        <f t="shared" si="174"/>
        <v>0</v>
      </c>
      <c r="Q103" s="148">
        <f t="shared" si="174"/>
        <v>0</v>
      </c>
      <c r="R103" s="148">
        <f t="shared" si="174"/>
        <v>0</v>
      </c>
      <c r="S103" s="148">
        <f t="shared" si="174"/>
        <v>0</v>
      </c>
      <c r="T103" s="148">
        <f t="shared" si="174"/>
        <v>0</v>
      </c>
      <c r="U103" s="148">
        <f t="shared" si="174"/>
        <v>0</v>
      </c>
      <c r="V103" s="148">
        <f t="shared" si="174"/>
        <v>0</v>
      </c>
      <c r="W103" s="148">
        <f t="shared" si="174"/>
        <v>0</v>
      </c>
      <c r="X103" s="148">
        <f t="shared" si="174"/>
        <v>0</v>
      </c>
      <c r="Y103" s="148">
        <f t="shared" si="174"/>
        <v>0</v>
      </c>
      <c r="Z103" s="148">
        <f t="shared" si="174"/>
        <v>0</v>
      </c>
      <c r="AA103" s="148">
        <f t="shared" si="174"/>
        <v>0</v>
      </c>
      <c r="AB103" s="148">
        <f t="shared" si="174"/>
        <v>0</v>
      </c>
      <c r="AC103" s="148">
        <f t="shared" si="174"/>
        <v>0</v>
      </c>
      <c r="AD103" s="148">
        <f t="shared" si="174"/>
        <v>0</v>
      </c>
      <c r="AE103" s="148">
        <f t="shared" si="174"/>
        <v>0</v>
      </c>
      <c r="AF103" s="148">
        <f t="shared" si="174"/>
        <v>0</v>
      </c>
      <c r="AG103" s="148">
        <f t="shared" si="174"/>
        <v>0</v>
      </c>
      <c r="AH103" s="148">
        <f t="shared" si="174"/>
        <v>0</v>
      </c>
      <c r="AI103" s="148">
        <f t="shared" si="174"/>
        <v>0</v>
      </c>
      <c r="AJ103" s="148">
        <f t="shared" ref="AJ103:BO103" si="175">MIN(AJ102,AJ97)</f>
        <v>0</v>
      </c>
      <c r="AK103" s="148">
        <f t="shared" si="175"/>
        <v>0</v>
      </c>
      <c r="AL103" s="148">
        <f t="shared" si="175"/>
        <v>0</v>
      </c>
      <c r="AM103" s="148">
        <f t="shared" si="175"/>
        <v>0</v>
      </c>
      <c r="AN103" s="148">
        <f t="shared" si="175"/>
        <v>0</v>
      </c>
      <c r="AO103" s="148">
        <f t="shared" si="175"/>
        <v>0</v>
      </c>
      <c r="AP103" s="148">
        <f t="shared" si="175"/>
        <v>0</v>
      </c>
      <c r="AQ103" s="148">
        <f t="shared" si="175"/>
        <v>0</v>
      </c>
      <c r="AR103" s="148">
        <f t="shared" si="175"/>
        <v>0</v>
      </c>
      <c r="AS103" s="148">
        <f t="shared" si="175"/>
        <v>0</v>
      </c>
      <c r="AT103" s="148">
        <f t="shared" si="175"/>
        <v>0</v>
      </c>
      <c r="AU103" s="148">
        <f t="shared" si="175"/>
        <v>0</v>
      </c>
      <c r="AV103" s="148">
        <f t="shared" si="175"/>
        <v>0</v>
      </c>
      <c r="AW103" s="148">
        <f t="shared" si="175"/>
        <v>0</v>
      </c>
      <c r="AX103" s="148">
        <f t="shared" si="175"/>
        <v>0</v>
      </c>
      <c r="AY103" s="148">
        <f t="shared" si="175"/>
        <v>0</v>
      </c>
      <c r="AZ103" s="148">
        <f t="shared" si="175"/>
        <v>0</v>
      </c>
      <c r="BA103" s="148">
        <f t="shared" si="175"/>
        <v>0</v>
      </c>
      <c r="BB103" s="148">
        <f t="shared" si="175"/>
        <v>0</v>
      </c>
      <c r="BC103" s="148">
        <f t="shared" si="175"/>
        <v>0</v>
      </c>
      <c r="BD103" s="148">
        <f t="shared" si="175"/>
        <v>0</v>
      </c>
      <c r="BE103" s="148">
        <f t="shared" si="175"/>
        <v>0</v>
      </c>
      <c r="BF103" s="148">
        <f t="shared" si="175"/>
        <v>0</v>
      </c>
      <c r="BG103" s="148">
        <f t="shared" si="175"/>
        <v>0</v>
      </c>
      <c r="BH103" s="148">
        <f t="shared" si="175"/>
        <v>0</v>
      </c>
      <c r="BI103" s="148">
        <f t="shared" si="175"/>
        <v>0</v>
      </c>
      <c r="BJ103" s="148">
        <f t="shared" si="175"/>
        <v>0</v>
      </c>
      <c r="BK103" s="148">
        <f t="shared" si="175"/>
        <v>0</v>
      </c>
      <c r="BL103" s="148">
        <f t="shared" si="175"/>
        <v>0</v>
      </c>
      <c r="BM103" s="148">
        <f t="shared" si="175"/>
        <v>0</v>
      </c>
      <c r="BN103" s="148">
        <f t="shared" si="175"/>
        <v>0</v>
      </c>
      <c r="BO103" s="148">
        <f t="shared" si="175"/>
        <v>0</v>
      </c>
      <c r="BP103" s="148">
        <f t="shared" ref="BP103:CU103" si="176">MIN(BP102,BP97)</f>
        <v>0</v>
      </c>
      <c r="BQ103" s="148">
        <f t="shared" si="176"/>
        <v>0</v>
      </c>
      <c r="BR103" s="148">
        <f t="shared" si="176"/>
        <v>0</v>
      </c>
      <c r="BS103" s="148">
        <f t="shared" si="176"/>
        <v>0</v>
      </c>
      <c r="BT103" s="148">
        <f t="shared" si="176"/>
        <v>0</v>
      </c>
      <c r="BU103" s="148">
        <f t="shared" si="176"/>
        <v>0</v>
      </c>
      <c r="BV103" s="148">
        <f t="shared" si="176"/>
        <v>0</v>
      </c>
      <c r="BW103" s="148">
        <f t="shared" si="176"/>
        <v>0</v>
      </c>
      <c r="BX103" s="148">
        <f t="shared" si="176"/>
        <v>0</v>
      </c>
      <c r="BY103" s="148">
        <f t="shared" si="176"/>
        <v>0</v>
      </c>
      <c r="BZ103" s="148">
        <f t="shared" si="176"/>
        <v>0</v>
      </c>
      <c r="CA103" s="148">
        <f t="shared" si="176"/>
        <v>0</v>
      </c>
      <c r="CB103" s="148">
        <f t="shared" si="176"/>
        <v>0</v>
      </c>
      <c r="CC103" s="148">
        <f t="shared" si="176"/>
        <v>0</v>
      </c>
      <c r="CD103" s="148">
        <f t="shared" si="176"/>
        <v>0</v>
      </c>
      <c r="CE103" s="148">
        <f t="shared" si="176"/>
        <v>0</v>
      </c>
      <c r="CF103" s="148">
        <f t="shared" si="176"/>
        <v>0</v>
      </c>
      <c r="CG103" s="148">
        <f t="shared" si="176"/>
        <v>0</v>
      </c>
      <c r="CH103" s="148">
        <f t="shared" si="176"/>
        <v>0</v>
      </c>
      <c r="CI103" s="148">
        <f t="shared" si="176"/>
        <v>0</v>
      </c>
      <c r="CJ103" s="148">
        <f t="shared" si="176"/>
        <v>0</v>
      </c>
      <c r="CK103" s="148">
        <f t="shared" si="176"/>
        <v>0</v>
      </c>
      <c r="CL103" s="148">
        <f t="shared" si="176"/>
        <v>0</v>
      </c>
      <c r="CM103" s="148">
        <f t="shared" si="176"/>
        <v>0</v>
      </c>
      <c r="CN103" s="148">
        <f t="shared" si="176"/>
        <v>0</v>
      </c>
      <c r="CO103" s="148">
        <f t="shared" si="176"/>
        <v>0</v>
      </c>
      <c r="CP103" s="148">
        <f t="shared" si="176"/>
        <v>0</v>
      </c>
      <c r="CQ103" s="148">
        <f t="shared" si="176"/>
        <v>0</v>
      </c>
      <c r="CR103" s="148">
        <f t="shared" si="176"/>
        <v>0</v>
      </c>
      <c r="CS103" s="148">
        <f t="shared" si="176"/>
        <v>0</v>
      </c>
      <c r="CT103" s="148">
        <f t="shared" si="176"/>
        <v>0</v>
      </c>
      <c r="CU103" s="148">
        <f t="shared" si="176"/>
        <v>0</v>
      </c>
      <c r="CV103" s="148">
        <f t="shared" ref="CV103:DS103" si="177">MIN(CV102,CV97)</f>
        <v>0</v>
      </c>
      <c r="CW103" s="148">
        <f t="shared" si="177"/>
        <v>0</v>
      </c>
      <c r="CX103" s="148">
        <f t="shared" si="177"/>
        <v>0</v>
      </c>
      <c r="CY103" s="148">
        <f t="shared" si="177"/>
        <v>0</v>
      </c>
      <c r="CZ103" s="148">
        <f t="shared" si="177"/>
        <v>0</v>
      </c>
      <c r="DA103" s="148">
        <f t="shared" si="177"/>
        <v>0</v>
      </c>
      <c r="DB103" s="148">
        <f t="shared" si="177"/>
        <v>0</v>
      </c>
      <c r="DC103" s="148">
        <f t="shared" si="177"/>
        <v>0</v>
      </c>
      <c r="DD103" s="148">
        <f t="shared" si="177"/>
        <v>0</v>
      </c>
      <c r="DE103" s="148">
        <f t="shared" si="177"/>
        <v>0</v>
      </c>
      <c r="DF103" s="148">
        <f t="shared" si="177"/>
        <v>0</v>
      </c>
      <c r="DG103" s="148">
        <f t="shared" si="177"/>
        <v>0</v>
      </c>
      <c r="DH103" s="148">
        <f t="shared" si="177"/>
        <v>0</v>
      </c>
      <c r="DI103" s="148">
        <f t="shared" si="177"/>
        <v>0</v>
      </c>
      <c r="DJ103" s="148">
        <f t="shared" si="177"/>
        <v>0</v>
      </c>
      <c r="DK103" s="148">
        <f t="shared" si="177"/>
        <v>0</v>
      </c>
      <c r="DL103" s="148">
        <f t="shared" si="177"/>
        <v>0</v>
      </c>
      <c r="DM103" s="148">
        <f t="shared" si="177"/>
        <v>0</v>
      </c>
      <c r="DN103" s="148">
        <f t="shared" si="177"/>
        <v>0</v>
      </c>
      <c r="DO103" s="148">
        <f t="shared" si="177"/>
        <v>0</v>
      </c>
      <c r="DP103" s="148">
        <f t="shared" si="177"/>
        <v>0</v>
      </c>
      <c r="DQ103" s="148">
        <f t="shared" si="177"/>
        <v>0</v>
      </c>
      <c r="DR103" s="148">
        <f t="shared" si="177"/>
        <v>0</v>
      </c>
      <c r="DS103" s="148">
        <f t="shared" si="177"/>
        <v>0</v>
      </c>
    </row>
    <row r="104" spans="1:123" ht="12.75" customHeight="1" x14ac:dyDescent="0.35">
      <c r="A104" s="147" t="s">
        <v>504</v>
      </c>
      <c r="B104" s="148">
        <f>AA104</f>
        <v>0</v>
      </c>
      <c r="C104" s="139" t="s">
        <v>169</v>
      </c>
      <c r="D104" s="168">
        <f t="shared" ref="D104:AI104" si="178">MAX(D102-D103,0)</f>
        <v>0</v>
      </c>
      <c r="E104" s="168">
        <f t="shared" si="178"/>
        <v>0</v>
      </c>
      <c r="F104" s="168">
        <f t="shared" si="178"/>
        <v>0</v>
      </c>
      <c r="G104" s="168">
        <f t="shared" si="178"/>
        <v>0</v>
      </c>
      <c r="H104" s="168">
        <f t="shared" si="178"/>
        <v>0</v>
      </c>
      <c r="I104" s="168">
        <f t="shared" si="178"/>
        <v>0</v>
      </c>
      <c r="J104" s="168">
        <f t="shared" si="178"/>
        <v>0</v>
      </c>
      <c r="K104" s="168">
        <f t="shared" si="178"/>
        <v>0</v>
      </c>
      <c r="L104" s="168">
        <f t="shared" si="178"/>
        <v>0</v>
      </c>
      <c r="M104" s="168">
        <f t="shared" si="178"/>
        <v>0</v>
      </c>
      <c r="N104" s="168">
        <f t="shared" si="178"/>
        <v>0</v>
      </c>
      <c r="O104" s="168">
        <f t="shared" si="178"/>
        <v>0</v>
      </c>
      <c r="P104" s="168">
        <f t="shared" si="178"/>
        <v>0</v>
      </c>
      <c r="Q104" s="168">
        <f t="shared" si="178"/>
        <v>0</v>
      </c>
      <c r="R104" s="168">
        <f t="shared" si="178"/>
        <v>0</v>
      </c>
      <c r="S104" s="168">
        <f t="shared" si="178"/>
        <v>0</v>
      </c>
      <c r="T104" s="168">
        <f t="shared" si="178"/>
        <v>0</v>
      </c>
      <c r="U104" s="168">
        <f t="shared" si="178"/>
        <v>0</v>
      </c>
      <c r="V104" s="168">
        <f t="shared" si="178"/>
        <v>0</v>
      </c>
      <c r="W104" s="168">
        <f t="shared" si="178"/>
        <v>0</v>
      </c>
      <c r="X104" s="168">
        <f t="shared" si="178"/>
        <v>0</v>
      </c>
      <c r="Y104" s="168">
        <f t="shared" si="178"/>
        <v>0</v>
      </c>
      <c r="Z104" s="168">
        <f t="shared" si="178"/>
        <v>0</v>
      </c>
      <c r="AA104" s="168">
        <f t="shared" si="178"/>
        <v>0</v>
      </c>
      <c r="AB104" s="168">
        <f t="shared" si="178"/>
        <v>0</v>
      </c>
      <c r="AC104" s="168">
        <f t="shared" si="178"/>
        <v>0</v>
      </c>
      <c r="AD104" s="168">
        <f t="shared" si="178"/>
        <v>0</v>
      </c>
      <c r="AE104" s="168">
        <f t="shared" si="178"/>
        <v>0</v>
      </c>
      <c r="AF104" s="168">
        <f t="shared" si="178"/>
        <v>0</v>
      </c>
      <c r="AG104" s="168">
        <f t="shared" si="178"/>
        <v>0</v>
      </c>
      <c r="AH104" s="168">
        <f t="shared" si="178"/>
        <v>0</v>
      </c>
      <c r="AI104" s="168">
        <f t="shared" si="178"/>
        <v>0</v>
      </c>
      <c r="AJ104" s="168">
        <f t="shared" ref="AJ104:BO104" si="179">MAX(AJ102-AJ103,0)</f>
        <v>0</v>
      </c>
      <c r="AK104" s="168">
        <f t="shared" si="179"/>
        <v>0</v>
      </c>
      <c r="AL104" s="168">
        <f t="shared" si="179"/>
        <v>0</v>
      </c>
      <c r="AM104" s="168">
        <f t="shared" si="179"/>
        <v>0</v>
      </c>
      <c r="AN104" s="168">
        <f t="shared" si="179"/>
        <v>0</v>
      </c>
      <c r="AO104" s="168">
        <f t="shared" si="179"/>
        <v>0</v>
      </c>
      <c r="AP104" s="168">
        <f t="shared" si="179"/>
        <v>0</v>
      </c>
      <c r="AQ104" s="168">
        <f t="shared" si="179"/>
        <v>0</v>
      </c>
      <c r="AR104" s="168">
        <f t="shared" si="179"/>
        <v>0</v>
      </c>
      <c r="AS104" s="168">
        <f t="shared" si="179"/>
        <v>0</v>
      </c>
      <c r="AT104" s="168">
        <f t="shared" si="179"/>
        <v>0</v>
      </c>
      <c r="AU104" s="168">
        <f t="shared" si="179"/>
        <v>0</v>
      </c>
      <c r="AV104" s="168">
        <f t="shared" si="179"/>
        <v>0</v>
      </c>
      <c r="AW104" s="168">
        <f t="shared" si="179"/>
        <v>0</v>
      </c>
      <c r="AX104" s="168">
        <f t="shared" si="179"/>
        <v>0</v>
      </c>
      <c r="AY104" s="168">
        <f t="shared" si="179"/>
        <v>0</v>
      </c>
      <c r="AZ104" s="168">
        <f t="shared" si="179"/>
        <v>0</v>
      </c>
      <c r="BA104" s="168">
        <f t="shared" si="179"/>
        <v>0</v>
      </c>
      <c r="BB104" s="168">
        <f t="shared" si="179"/>
        <v>0</v>
      </c>
      <c r="BC104" s="168">
        <f t="shared" si="179"/>
        <v>0</v>
      </c>
      <c r="BD104" s="168">
        <f t="shared" si="179"/>
        <v>0</v>
      </c>
      <c r="BE104" s="168">
        <f t="shared" si="179"/>
        <v>0</v>
      </c>
      <c r="BF104" s="168">
        <f t="shared" si="179"/>
        <v>0</v>
      </c>
      <c r="BG104" s="168">
        <f t="shared" si="179"/>
        <v>0</v>
      </c>
      <c r="BH104" s="168">
        <f t="shared" si="179"/>
        <v>0</v>
      </c>
      <c r="BI104" s="168">
        <f t="shared" si="179"/>
        <v>0</v>
      </c>
      <c r="BJ104" s="168">
        <f t="shared" si="179"/>
        <v>0</v>
      </c>
      <c r="BK104" s="168">
        <f t="shared" si="179"/>
        <v>0</v>
      </c>
      <c r="BL104" s="168">
        <f t="shared" si="179"/>
        <v>0</v>
      </c>
      <c r="BM104" s="168">
        <f t="shared" si="179"/>
        <v>0</v>
      </c>
      <c r="BN104" s="168">
        <f t="shared" si="179"/>
        <v>0</v>
      </c>
      <c r="BO104" s="168">
        <f t="shared" si="179"/>
        <v>0</v>
      </c>
      <c r="BP104" s="168">
        <f t="shared" ref="BP104:CU104" si="180">MAX(BP102-BP103,0)</f>
        <v>0</v>
      </c>
      <c r="BQ104" s="168">
        <f t="shared" si="180"/>
        <v>0</v>
      </c>
      <c r="BR104" s="168">
        <f t="shared" si="180"/>
        <v>0</v>
      </c>
      <c r="BS104" s="168">
        <f t="shared" si="180"/>
        <v>0</v>
      </c>
      <c r="BT104" s="168">
        <f t="shared" si="180"/>
        <v>0</v>
      </c>
      <c r="BU104" s="168">
        <f t="shared" si="180"/>
        <v>0</v>
      </c>
      <c r="BV104" s="168">
        <f t="shared" si="180"/>
        <v>0</v>
      </c>
      <c r="BW104" s="168">
        <f t="shared" si="180"/>
        <v>0</v>
      </c>
      <c r="BX104" s="168">
        <f t="shared" si="180"/>
        <v>0</v>
      </c>
      <c r="BY104" s="168">
        <f t="shared" si="180"/>
        <v>0</v>
      </c>
      <c r="BZ104" s="168">
        <f t="shared" si="180"/>
        <v>0</v>
      </c>
      <c r="CA104" s="168">
        <f t="shared" si="180"/>
        <v>0</v>
      </c>
      <c r="CB104" s="168">
        <f t="shared" si="180"/>
        <v>0</v>
      </c>
      <c r="CC104" s="168">
        <f t="shared" si="180"/>
        <v>0</v>
      </c>
      <c r="CD104" s="168">
        <f t="shared" si="180"/>
        <v>0</v>
      </c>
      <c r="CE104" s="168">
        <f t="shared" si="180"/>
        <v>0</v>
      </c>
      <c r="CF104" s="168">
        <f t="shared" si="180"/>
        <v>0</v>
      </c>
      <c r="CG104" s="168">
        <f t="shared" si="180"/>
        <v>0</v>
      </c>
      <c r="CH104" s="168">
        <f t="shared" si="180"/>
        <v>0</v>
      </c>
      <c r="CI104" s="168">
        <f t="shared" si="180"/>
        <v>0</v>
      </c>
      <c r="CJ104" s="168">
        <f t="shared" si="180"/>
        <v>0</v>
      </c>
      <c r="CK104" s="168">
        <f t="shared" si="180"/>
        <v>0</v>
      </c>
      <c r="CL104" s="168">
        <f t="shared" si="180"/>
        <v>0</v>
      </c>
      <c r="CM104" s="168">
        <f t="shared" si="180"/>
        <v>0</v>
      </c>
      <c r="CN104" s="168">
        <f t="shared" si="180"/>
        <v>0</v>
      </c>
      <c r="CO104" s="168">
        <f t="shared" si="180"/>
        <v>0</v>
      </c>
      <c r="CP104" s="168">
        <f t="shared" si="180"/>
        <v>0</v>
      </c>
      <c r="CQ104" s="168">
        <f t="shared" si="180"/>
        <v>0</v>
      </c>
      <c r="CR104" s="168">
        <f t="shared" si="180"/>
        <v>0</v>
      </c>
      <c r="CS104" s="168">
        <f t="shared" si="180"/>
        <v>0</v>
      </c>
      <c r="CT104" s="168">
        <f t="shared" si="180"/>
        <v>0</v>
      </c>
      <c r="CU104" s="168">
        <f t="shared" si="180"/>
        <v>0</v>
      </c>
      <c r="CV104" s="168">
        <f t="shared" ref="CV104:DS104" si="181">MAX(CV102-CV103,0)</f>
        <v>0</v>
      </c>
      <c r="CW104" s="168">
        <f t="shared" si="181"/>
        <v>0</v>
      </c>
      <c r="CX104" s="168">
        <f t="shared" si="181"/>
        <v>0</v>
      </c>
      <c r="CY104" s="168">
        <f t="shared" si="181"/>
        <v>0</v>
      </c>
      <c r="CZ104" s="168">
        <f t="shared" si="181"/>
        <v>0</v>
      </c>
      <c r="DA104" s="168">
        <f t="shared" si="181"/>
        <v>0</v>
      </c>
      <c r="DB104" s="168">
        <f t="shared" si="181"/>
        <v>0</v>
      </c>
      <c r="DC104" s="168">
        <f t="shared" si="181"/>
        <v>0</v>
      </c>
      <c r="DD104" s="168">
        <f t="shared" si="181"/>
        <v>0</v>
      </c>
      <c r="DE104" s="168">
        <f t="shared" si="181"/>
        <v>0</v>
      </c>
      <c r="DF104" s="168">
        <f t="shared" si="181"/>
        <v>0</v>
      </c>
      <c r="DG104" s="168">
        <f t="shared" si="181"/>
        <v>0</v>
      </c>
      <c r="DH104" s="168">
        <f t="shared" si="181"/>
        <v>0</v>
      </c>
      <c r="DI104" s="168">
        <f t="shared" si="181"/>
        <v>0</v>
      </c>
      <c r="DJ104" s="168">
        <f t="shared" si="181"/>
        <v>0</v>
      </c>
      <c r="DK104" s="168">
        <f t="shared" si="181"/>
        <v>0</v>
      </c>
      <c r="DL104" s="168">
        <f t="shared" si="181"/>
        <v>0</v>
      </c>
      <c r="DM104" s="168">
        <f t="shared" si="181"/>
        <v>0</v>
      </c>
      <c r="DN104" s="168">
        <f t="shared" si="181"/>
        <v>0</v>
      </c>
      <c r="DO104" s="168">
        <f t="shared" si="181"/>
        <v>0</v>
      </c>
      <c r="DP104" s="168">
        <f t="shared" si="181"/>
        <v>0</v>
      </c>
      <c r="DQ104" s="168">
        <f t="shared" si="181"/>
        <v>0</v>
      </c>
      <c r="DR104" s="168">
        <f t="shared" si="181"/>
        <v>0</v>
      </c>
      <c r="DS104" s="168">
        <f t="shared" si="181"/>
        <v>0</v>
      </c>
    </row>
    <row r="105" spans="1:123" ht="12.75" customHeight="1" x14ac:dyDescent="0.35">
      <c r="A105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05" s="162">
        <f>SUM(D105:BQ105)</f>
        <v>60457.694309221799</v>
      </c>
      <c r="C105" s="144">
        <f>B105/60</f>
        <v>1007.62823848703</v>
      </c>
      <c r="D105" s="162">
        <f>D97*Premissas!$F$19</f>
        <v>987.49881099027391</v>
      </c>
      <c r="E105" s="162">
        <f>E97*Premissas!$F$19</f>
        <v>832.01633653257386</v>
      </c>
      <c r="F105" s="162">
        <f>F97*Premissas!$F$19</f>
        <v>755.20059022311477</v>
      </c>
      <c r="G105" s="162">
        <f>G97*Premissas!$F$19</f>
        <v>665.42797104218084</v>
      </c>
      <c r="H105" s="162">
        <f>H97*Premissas!$F$19</f>
        <v>872.73793698578095</v>
      </c>
      <c r="I105" s="162">
        <f>I97*Premissas!$F$19</f>
        <v>856.07910043674167</v>
      </c>
      <c r="J105" s="162">
        <f>J97*Premissas!$F$19</f>
        <v>775.56139044971837</v>
      </c>
      <c r="K105" s="162">
        <f>K97*Premissas!$F$19</f>
        <v>831.09084561318275</v>
      </c>
      <c r="L105" s="162">
        <f>L97*Premissas!$F$19</f>
        <v>841.27124572648449</v>
      </c>
      <c r="M105" s="162">
        <f>M97*Premissas!$F$19</f>
        <v>977.31841087697217</v>
      </c>
      <c r="N105" s="162">
        <f>N97*Premissas!$F$19</f>
        <v>973.61644719940784</v>
      </c>
      <c r="O105" s="162">
        <f>O97*Premissas!$F$19</f>
        <v>1087.4518302845097</v>
      </c>
      <c r="P105" s="162">
        <f>P97*Premissas!$F$19</f>
        <v>1012.4870658138328</v>
      </c>
      <c r="Q105" s="162">
        <f>Q97*Premissas!$F$19</f>
        <v>852.37713675917735</v>
      </c>
      <c r="R105" s="162">
        <f>R97*Premissas!$F$19</f>
        <v>773.71040861093627</v>
      </c>
      <c r="S105" s="162">
        <f>S97*Premissas!$F$19</f>
        <v>682.08680759122012</v>
      </c>
      <c r="T105" s="162">
        <f>T97*Premissas!$F$19</f>
        <v>894.94971905116665</v>
      </c>
      <c r="U105" s="162">
        <f>U97*Premissas!$F$19</f>
        <v>877.36539158273638</v>
      </c>
      <c r="V105" s="162">
        <f>V97*Premissas!$F$19</f>
        <v>794.99669975693087</v>
      </c>
      <c r="W105" s="162">
        <f>W97*Premissas!$F$19</f>
        <v>831.09084561318275</v>
      </c>
      <c r="X105" s="162">
        <f>X97*Premissas!$F$19</f>
        <v>841.27124572648449</v>
      </c>
      <c r="Y105" s="162">
        <f>Y97*Premissas!$F$19</f>
        <v>977.31841087697217</v>
      </c>
      <c r="Z105" s="162">
        <f>Z97*Premissas!$F$19</f>
        <v>973.61644719940784</v>
      </c>
      <c r="AA105" s="162">
        <f>AA97*Premissas!$F$19</f>
        <v>1087.4518302845097</v>
      </c>
      <c r="AB105" s="162">
        <f>AB97*Premissas!$F$19</f>
        <v>1037.4753206373919</v>
      </c>
      <c r="AC105" s="162">
        <f>AC97*Premissas!$F$19</f>
        <v>874.58891882456317</v>
      </c>
      <c r="AD105" s="162">
        <f>AD97*Premissas!$F$19</f>
        <v>793.14571791814876</v>
      </c>
      <c r="AE105" s="162">
        <f>AE97*Premissas!$F$19</f>
        <v>698.7456441402594</v>
      </c>
      <c r="AF105" s="162">
        <f>AF97*Premissas!$F$19</f>
        <v>917.16150111655247</v>
      </c>
      <c r="AG105" s="162">
        <f>AG97*Premissas!$F$19</f>
        <v>899.57717364812208</v>
      </c>
      <c r="AH105" s="162">
        <f>AH97*Premissas!$F$19</f>
        <v>814.43200906414347</v>
      </c>
      <c r="AI105" s="162">
        <f>AI97*Premissas!$F$19</f>
        <v>872.73793698578095</v>
      </c>
      <c r="AJ105" s="162">
        <f>AJ97*Premissas!$F$19</f>
        <v>883.8438280184738</v>
      </c>
      <c r="AK105" s="162">
        <f>AK97*Premissas!$F$19</f>
        <v>1026.369429604699</v>
      </c>
      <c r="AL105" s="162">
        <f>AL97*Premissas!$F$19</f>
        <v>1022.6674659271347</v>
      </c>
      <c r="AM105" s="162">
        <f>AM97*Premissas!$F$19</f>
        <v>1142.055794528583</v>
      </c>
      <c r="AN105" s="162">
        <f>AN97*Premissas!$F$19</f>
        <v>1063.3890663803418</v>
      </c>
      <c r="AO105" s="162">
        <f>AO97*Premissas!$F$19</f>
        <v>895.87520997055776</v>
      </c>
      <c r="AP105" s="162">
        <f>AP97*Premissas!$F$19</f>
        <v>813.50651814475236</v>
      </c>
      <c r="AQ105" s="162">
        <f>AQ97*Premissas!$F$19</f>
        <v>716.32997160868979</v>
      </c>
      <c r="AR105" s="162">
        <f>AR97*Premissas!$F$19</f>
        <v>940.29877410132929</v>
      </c>
      <c r="AS105" s="162">
        <f>AS97*Premissas!$F$19</f>
        <v>921.78895571350779</v>
      </c>
      <c r="AT105" s="162">
        <f>AT97*Premissas!$F$19</f>
        <v>834.79280929074707</v>
      </c>
      <c r="AU105" s="162">
        <f>AU97*Premissas!$F$19</f>
        <v>894.94971905116665</v>
      </c>
      <c r="AV105" s="162">
        <f>AV97*Premissas!$F$19</f>
        <v>906.05561008385962</v>
      </c>
      <c r="AW105" s="162">
        <f>AW97*Premissas!$F$19</f>
        <v>1052.2831753476489</v>
      </c>
      <c r="AX105" s="162">
        <f>AX97*Premissas!$F$19</f>
        <v>1048.5812116700847</v>
      </c>
      <c r="AY105" s="162">
        <f>AY97*Premissas!$F$19</f>
        <v>1170.7460130297061</v>
      </c>
      <c r="AZ105" s="162">
        <f>AZ97*Premissas!$F$19</f>
        <v>1090.2283030426829</v>
      </c>
      <c r="BA105" s="162">
        <f>BA97*Premissas!$F$19</f>
        <v>918.08699203594347</v>
      </c>
      <c r="BB105" s="162">
        <f>BB97*Premissas!$F$19</f>
        <v>833.86731837135596</v>
      </c>
      <c r="BC105" s="162">
        <f>BC97*Premissas!$F$19</f>
        <v>734.83978999651129</v>
      </c>
      <c r="BD105" s="162">
        <f>BD97*Premissas!$F$19</f>
        <v>963.43604708610599</v>
      </c>
      <c r="BE105" s="162">
        <f>BE97*Premissas!$F$19</f>
        <v>944.9262286982846</v>
      </c>
      <c r="BF105" s="162">
        <f>BF97*Premissas!$F$19</f>
        <v>856.07910043674167</v>
      </c>
      <c r="BG105" s="162">
        <f>BG97*Premissas!$F$19</f>
        <v>917.16150111655247</v>
      </c>
      <c r="BH105" s="162">
        <f>BH97*Premissas!$F$19</f>
        <v>928.26739214924532</v>
      </c>
      <c r="BI105" s="162">
        <f>BI97*Premissas!$F$19</f>
        <v>1079.1224120099901</v>
      </c>
      <c r="BJ105" s="162">
        <f>BJ97*Premissas!$F$19</f>
        <v>1074.4949574130346</v>
      </c>
      <c r="BK105" s="162">
        <f>BK97*Premissas!$F$19</f>
        <v>1200.3617224502204</v>
      </c>
      <c r="BL105" s="162">
        <f>BL97*Premissas!$F$19</f>
        <v>1117.067539705024</v>
      </c>
      <c r="BM105" s="162">
        <f>BM97*Premissas!$F$19</f>
        <v>941.22426502072028</v>
      </c>
      <c r="BN105" s="162">
        <f>BN97*Premissas!$F$19</f>
        <v>854.22811859795956</v>
      </c>
      <c r="BO105" s="162">
        <f>BO97*Premissas!$F$19</f>
        <v>752.42411746494156</v>
      </c>
      <c r="BP105" s="162">
        <f>BP97*Premissas!$F$19</f>
        <v>987.49881099027391</v>
      </c>
      <c r="BQ105" s="162">
        <f>BQ97*Premissas!$F$19</f>
        <v>968.98899260245253</v>
      </c>
      <c r="BR105" s="162">
        <f>BR97*Premissas!$F$19</f>
        <v>877.36539158273638</v>
      </c>
      <c r="BS105" s="162">
        <f>BS97*Premissas!$F$19</f>
        <v>940.29877410132929</v>
      </c>
      <c r="BT105" s="162">
        <f>BT97*Premissas!$F$19</f>
        <v>951.40466513402214</v>
      </c>
      <c r="BU105" s="162">
        <f>BU97*Premissas!$F$19</f>
        <v>1105.9616486723312</v>
      </c>
      <c r="BV105" s="162">
        <f>BV97*Premissas!$F$19</f>
        <v>1101.3341940753758</v>
      </c>
      <c r="BW105" s="162">
        <f>BW97*Premissas!$F$19</f>
        <v>1229.9774318707348</v>
      </c>
      <c r="BX105" s="162">
        <f>BX97*Premissas!$F$19</f>
        <v>1144.8322672867562</v>
      </c>
      <c r="BY105" s="162">
        <f>BY97*Premissas!$F$19</f>
        <v>965.2870289248882</v>
      </c>
      <c r="BZ105" s="162">
        <f>BZ97*Premissas!$F$19</f>
        <v>875.51440974395416</v>
      </c>
      <c r="CA105" s="162">
        <f>CA97*Premissas!$F$19</f>
        <v>771.85942677215417</v>
      </c>
      <c r="CB105" s="162">
        <f>CB97*Premissas!$F$19</f>
        <v>1012.4870658138328</v>
      </c>
      <c r="CC105" s="162">
        <f>CC97*Premissas!$F$19</f>
        <v>993.05175650662034</v>
      </c>
      <c r="CD105" s="162">
        <f>CD97*Premissas!$F$19</f>
        <v>899.57717364812208</v>
      </c>
      <c r="CE105" s="162">
        <f>CE97*Premissas!$F$19</f>
        <v>963.43604708610599</v>
      </c>
      <c r="CF105" s="162">
        <f>CF97*Premissas!$F$19</f>
        <v>975.46742903818995</v>
      </c>
      <c r="CG105" s="162">
        <f>CG97*Premissas!$F$19</f>
        <v>1133.7263762540633</v>
      </c>
      <c r="CH105" s="162">
        <f>CH97*Premissas!$F$19</f>
        <v>1129.0989216571079</v>
      </c>
      <c r="CI105" s="162">
        <f>CI97*Premissas!$F$19</f>
        <v>1261.4441231300314</v>
      </c>
      <c r="CJ105" s="162">
        <f>CJ97*Premissas!$F$19</f>
        <v>1173.5224857878793</v>
      </c>
      <c r="CK105" s="162">
        <f>CK97*Premissas!$F$19</f>
        <v>989.34979282905601</v>
      </c>
      <c r="CL105" s="162">
        <f>CL97*Premissas!$F$19</f>
        <v>897.72619180933998</v>
      </c>
      <c r="CM105" s="162">
        <f>CM97*Premissas!$F$19</f>
        <v>791.29473607936666</v>
      </c>
      <c r="CN105" s="162">
        <f>CN97*Premissas!$F$19</f>
        <v>1037.4753206373919</v>
      </c>
      <c r="CO105" s="162">
        <f>CO97*Premissas!$F$19</f>
        <v>1018.0400113301793</v>
      </c>
      <c r="CP105" s="162">
        <f>CP97*Premissas!$F$19</f>
        <v>921.78895571350779</v>
      </c>
      <c r="CQ105" s="162">
        <f>CQ97*Premissas!$F$19</f>
        <v>987.49881099027391</v>
      </c>
      <c r="CR105" s="162">
        <f>CR97*Premissas!$F$19</f>
        <v>1000.455683861749</v>
      </c>
      <c r="CS105" s="162">
        <f>CS97*Premissas!$F$19</f>
        <v>1161.4911038357955</v>
      </c>
      <c r="CT105" s="162">
        <f>CT97*Premissas!$F$19</f>
        <v>1156.86364923884</v>
      </c>
      <c r="CU105" s="162">
        <f>CU97*Premissas!$F$19</f>
        <v>1292.9108143893277</v>
      </c>
      <c r="CV105" s="162">
        <f>CV97*Premissas!$F$19</f>
        <v>1203.1381952083937</v>
      </c>
      <c r="CW105" s="162">
        <f>CW97*Premissas!$F$19</f>
        <v>1013.4125567332239</v>
      </c>
      <c r="CX105" s="162">
        <f>CX97*Premissas!$F$19</f>
        <v>919.93797387472569</v>
      </c>
      <c r="CY105" s="162">
        <f>CY97*Premissas!$F$19</f>
        <v>810.73004538657915</v>
      </c>
      <c r="CZ105" s="162">
        <f>CZ97*Premissas!$F$19</f>
        <v>1063.3890663803418</v>
      </c>
      <c r="DA105" s="162">
        <f>DA97*Premissas!$F$19</f>
        <v>1043.0282661537383</v>
      </c>
      <c r="DB105" s="162">
        <f>DB97*Premissas!$F$19</f>
        <v>944.9262286982846</v>
      </c>
      <c r="DC105" s="162">
        <f>DC97*Premissas!$F$19</f>
        <v>1012.4870658138328</v>
      </c>
      <c r="DD105" s="162">
        <f>DD97*Premissas!$F$19</f>
        <v>1025.4439386853078</v>
      </c>
      <c r="DE105" s="162">
        <f>DE97*Premissas!$F$19</f>
        <v>1191.1068132563098</v>
      </c>
      <c r="DF105" s="162">
        <f>DF97*Premissas!$F$19</f>
        <v>1186.4793586593544</v>
      </c>
      <c r="DG105" s="162">
        <f>DG97*Premissas!$F$19</f>
        <v>1325.3029965680153</v>
      </c>
      <c r="DH105" s="162">
        <f>DH97*Premissas!$F$19</f>
        <v>1233.679395548299</v>
      </c>
      <c r="DI105" s="162">
        <f>DI97*Premissas!$F$19</f>
        <v>1039.3263024761739</v>
      </c>
      <c r="DJ105" s="162">
        <f>DJ97*Premissas!$F$19</f>
        <v>943.0752468595025</v>
      </c>
      <c r="DK105" s="162">
        <f>DK97*Premissas!$F$19</f>
        <v>831.09084561318275</v>
      </c>
      <c r="DL105" s="162">
        <f>DL97*Premissas!$F$19</f>
        <v>1090.2283030426829</v>
      </c>
      <c r="DM105" s="162">
        <f>DM97*Premissas!$F$19</f>
        <v>1068.9420118966882</v>
      </c>
      <c r="DN105" s="162">
        <f>DN97*Premissas!$F$19</f>
        <v>968.98899260245253</v>
      </c>
      <c r="DO105" s="162">
        <f>DO97*Premissas!$F$19</f>
        <v>1037.4753206373919</v>
      </c>
      <c r="DP105" s="162">
        <f>DP97*Premissas!$F$19</f>
        <v>1050.4321935088669</v>
      </c>
      <c r="DQ105" s="162">
        <f>DQ97*Premissas!$F$19</f>
        <v>1220.7225226768242</v>
      </c>
      <c r="DR105" s="162">
        <f>DR97*Premissas!$F$19</f>
        <v>1216.0950680798687</v>
      </c>
      <c r="DS105" s="162">
        <f>DS97*Premissas!$F$19</f>
        <v>1357.6951787467028</v>
      </c>
    </row>
    <row r="106" spans="1:123" ht="12.75" customHeight="1" x14ac:dyDescent="0.35">
      <c r="A106" s="163" t="s">
        <v>498</v>
      </c>
      <c r="B106" s="164">
        <f>SUM(D106:BQ106)</f>
        <v>390.0944225233369</v>
      </c>
      <c r="C106" s="144">
        <f>B106/60</f>
        <v>6.5015737087222814</v>
      </c>
      <c r="D106" s="164">
        <f>IF(D101&gt;0,0,MAX(D97-D98-D99,0)*Premissas!$B$7)</f>
        <v>316.36056097545008</v>
      </c>
      <c r="E106" s="164">
        <f>IF(E101&gt;0,0,MAX(E97-E98-E99,0)*Premissas!$B$7)</f>
        <v>73.733861547886832</v>
      </c>
      <c r="F106" s="164">
        <f>IF(F101&gt;0,0,MAX(F97-F98-F99,0)*Premissas!$B$7)</f>
        <v>0</v>
      </c>
      <c r="G106" s="164">
        <f>IF(G101&gt;0,0,MAX(G97-G98-G99,0)*Premissas!$B$7)</f>
        <v>0</v>
      </c>
      <c r="H106" s="164">
        <f>IF(H101&gt;0,0,MAX(H97-H98-H99,0)*Premissas!$B$7)</f>
        <v>0</v>
      </c>
      <c r="I106" s="164">
        <f>IF(I101&gt;0,0,MAX(I97-I98-I99,0)*Premissas!$B$7)</f>
        <v>0</v>
      </c>
      <c r="J106" s="164">
        <f>IF(J101&gt;0,0,MAX(J97-J98-J99,0)*Premissas!$B$7)</f>
        <v>0</v>
      </c>
      <c r="K106" s="164">
        <f>IF(K101&gt;0,0,MAX(K97-K98-K99,0)*Premissas!$B$7)</f>
        <v>0</v>
      </c>
      <c r="L106" s="164">
        <f>IF(L101&gt;0,0,MAX(L97-L98-L99,0)*Premissas!$B$7)</f>
        <v>0</v>
      </c>
      <c r="M106" s="164">
        <f>IF(M101&gt;0,0,MAX(M97-M98-M99,0)*Premissas!$B$7)</f>
        <v>0</v>
      </c>
      <c r="N106" s="164">
        <f>IF(N101&gt;0,0,MAX(N97-N98-N99,0)*Premissas!$B$7)</f>
        <v>0</v>
      </c>
      <c r="O106" s="164">
        <f>IF(O101&gt;0,0,MAX(O97-O98-O99,0)*Premissas!$B$7)</f>
        <v>0</v>
      </c>
      <c r="P106" s="164">
        <f>IF(P101&gt;0,0,MAX(P97-P98-P99,0)*Premissas!$B$7)</f>
        <v>0</v>
      </c>
      <c r="Q106" s="164">
        <f>IF(Q101&gt;0,0,MAX(Q97-Q98-Q99,0)*Premissas!$B$7)</f>
        <v>0</v>
      </c>
      <c r="R106" s="164">
        <f>IF(R101&gt;0,0,MAX(R97-R98-R99,0)*Premissas!$B$7)</f>
        <v>0</v>
      </c>
      <c r="S106" s="164">
        <f>IF(S101&gt;0,0,MAX(S97-S98-S99,0)*Premissas!$B$7)</f>
        <v>0</v>
      </c>
      <c r="T106" s="164">
        <f>IF(T101&gt;0,0,MAX(T97-T98-T99,0)*Premissas!$B$7)</f>
        <v>0</v>
      </c>
      <c r="U106" s="164">
        <f>IF(U101&gt;0,0,MAX(U97-U98-U99,0)*Premissas!$B$7)</f>
        <v>0</v>
      </c>
      <c r="V106" s="164">
        <f>IF(V101&gt;0,0,MAX(V97-V98-V99,0)*Premissas!$B$7)</f>
        <v>0</v>
      </c>
      <c r="W106" s="164">
        <f>IF(W101&gt;0,0,MAX(W97-W98-W99,0)*Premissas!$B$7)</f>
        <v>0</v>
      </c>
      <c r="X106" s="164">
        <f>IF(X101&gt;0,0,MAX(X97-X98-X99,0)*Premissas!$B$7)</f>
        <v>0</v>
      </c>
      <c r="Y106" s="164">
        <f>IF(Y101&gt;0,0,MAX(Y97-Y98-Y99,0)*Premissas!$B$7)</f>
        <v>0</v>
      </c>
      <c r="Z106" s="164">
        <f>IF(Z101&gt;0,0,MAX(Z97-Z98-Z99,0)*Premissas!$B$7)</f>
        <v>0</v>
      </c>
      <c r="AA106" s="164">
        <f>IF(AA101&gt;0,0,MAX(AA97-AA98-AA99,0)*Premissas!$B$7)</f>
        <v>0</v>
      </c>
      <c r="AB106" s="164">
        <f>IF(AB101&gt;0,0,MAX(AB97-AB98-AB99,0)*Premissas!$B$7)</f>
        <v>0</v>
      </c>
      <c r="AC106" s="164">
        <f>IF(AC101&gt;0,0,MAX(AC97-AC98-AC99,0)*Premissas!$B$7)</f>
        <v>0</v>
      </c>
      <c r="AD106" s="164">
        <f>IF(AD101&gt;0,0,MAX(AD97-AD98-AD99,0)*Premissas!$B$7)</f>
        <v>0</v>
      </c>
      <c r="AE106" s="164">
        <f>IF(AE101&gt;0,0,MAX(AE97-AE98-AE99,0)*Premissas!$B$7)</f>
        <v>0</v>
      </c>
      <c r="AF106" s="164">
        <f>IF(AF101&gt;0,0,MAX(AF97-AF98-AF99,0)*Premissas!$B$7)</f>
        <v>0</v>
      </c>
      <c r="AG106" s="164">
        <f>IF(AG101&gt;0,0,MAX(AG97-AG98-AG99,0)*Premissas!$B$7)</f>
        <v>0</v>
      </c>
      <c r="AH106" s="164">
        <f>IF(AH101&gt;0,0,MAX(AH97-AH98-AH99,0)*Premissas!$B$7)</f>
        <v>0</v>
      </c>
      <c r="AI106" s="164">
        <f>IF(AI101&gt;0,0,MAX(AI97-AI98-AI99,0)*Premissas!$B$7)</f>
        <v>0</v>
      </c>
      <c r="AJ106" s="164">
        <f>IF(AJ101&gt;0,0,MAX(AJ97-AJ98-AJ99,0)*Premissas!$B$7)</f>
        <v>0</v>
      </c>
      <c r="AK106" s="164">
        <f>IF(AK101&gt;0,0,MAX(AK97-AK98-AK99,0)*Premissas!$B$7)</f>
        <v>0</v>
      </c>
      <c r="AL106" s="164">
        <f>IF(AL101&gt;0,0,MAX(AL97-AL98-AL99,0)*Premissas!$B$7)</f>
        <v>0</v>
      </c>
      <c r="AM106" s="164">
        <f>IF(AM101&gt;0,0,MAX(AM97-AM98-AM99,0)*Premissas!$B$7)</f>
        <v>0</v>
      </c>
      <c r="AN106" s="164">
        <f>IF(AN101&gt;0,0,MAX(AN97-AN98-AN99,0)*Premissas!$B$7)</f>
        <v>0</v>
      </c>
      <c r="AO106" s="164">
        <f>IF(AO101&gt;0,0,MAX(AO97-AO98-AO99,0)*Premissas!$B$7)</f>
        <v>0</v>
      </c>
      <c r="AP106" s="164">
        <f>IF(AP101&gt;0,0,MAX(AP97-AP98-AP99,0)*Premissas!$B$7)</f>
        <v>0</v>
      </c>
      <c r="AQ106" s="164">
        <f>IF(AQ101&gt;0,0,MAX(AQ97-AQ98-AQ99,0)*Premissas!$B$7)</f>
        <v>0</v>
      </c>
      <c r="AR106" s="164">
        <f>IF(AR101&gt;0,0,MAX(AR97-AR98-AR99,0)*Premissas!$B$7)</f>
        <v>0</v>
      </c>
      <c r="AS106" s="164">
        <f>IF(AS101&gt;0,0,MAX(AS97-AS98-AS99,0)*Premissas!$B$7)</f>
        <v>0</v>
      </c>
      <c r="AT106" s="164">
        <f>IF(AT101&gt;0,0,MAX(AT97-AT98-AT99,0)*Premissas!$B$7)</f>
        <v>0</v>
      </c>
      <c r="AU106" s="164">
        <f>IF(AU101&gt;0,0,MAX(AU97-AU98-AU99,0)*Premissas!$B$7)</f>
        <v>0</v>
      </c>
      <c r="AV106" s="164">
        <f>IF(AV101&gt;0,0,MAX(AV97-AV98-AV99,0)*Premissas!$B$7)</f>
        <v>0</v>
      </c>
      <c r="AW106" s="164">
        <f>IF(AW101&gt;0,0,MAX(AW97-AW98-AW99,0)*Premissas!$B$7)</f>
        <v>0</v>
      </c>
      <c r="AX106" s="164">
        <f>IF(AX101&gt;0,0,MAX(AX97-AX98-AX99,0)*Premissas!$B$7)</f>
        <v>0</v>
      </c>
      <c r="AY106" s="164">
        <f>IF(AY101&gt;0,0,MAX(AY97-AY98-AY99,0)*Premissas!$B$7)</f>
        <v>0</v>
      </c>
      <c r="AZ106" s="164">
        <f>IF(AZ101&gt;0,0,MAX(AZ97-AZ98-AZ99,0)*Premissas!$B$7)</f>
        <v>0</v>
      </c>
      <c r="BA106" s="164">
        <f>IF(BA101&gt;0,0,MAX(BA97-BA98-BA99,0)*Premissas!$B$7)</f>
        <v>0</v>
      </c>
      <c r="BB106" s="164">
        <f>IF(BB101&gt;0,0,MAX(BB97-BB98-BB99,0)*Premissas!$B$7)</f>
        <v>0</v>
      </c>
      <c r="BC106" s="164">
        <f>IF(BC101&gt;0,0,MAX(BC97-BC98-BC99,0)*Premissas!$B$7)</f>
        <v>0</v>
      </c>
      <c r="BD106" s="164">
        <f>IF(BD101&gt;0,0,MAX(BD97-BD98-BD99,0)*Premissas!$B$7)</f>
        <v>0</v>
      </c>
      <c r="BE106" s="164">
        <f>IF(BE101&gt;0,0,MAX(BE97-BE98-BE99,0)*Premissas!$B$7)</f>
        <v>0</v>
      </c>
      <c r="BF106" s="164">
        <f>IF(BF101&gt;0,0,MAX(BF97-BF98-BF99,0)*Premissas!$B$7)</f>
        <v>0</v>
      </c>
      <c r="BG106" s="164">
        <f>IF(BG101&gt;0,0,MAX(BG97-BG98-BG99,0)*Premissas!$B$7)</f>
        <v>0</v>
      </c>
      <c r="BH106" s="164">
        <f>IF(BH101&gt;0,0,MAX(BH97-BH98-BH99,0)*Premissas!$B$7)</f>
        <v>0</v>
      </c>
      <c r="BI106" s="164">
        <f>IF(BI101&gt;0,0,MAX(BI97-BI98-BI99,0)*Premissas!$B$7)</f>
        <v>0</v>
      </c>
      <c r="BJ106" s="164">
        <f>IF(BJ101&gt;0,0,MAX(BJ97-BJ98-BJ99,0)*Premissas!$B$7)</f>
        <v>0</v>
      </c>
      <c r="BK106" s="164">
        <f>IF(BK101&gt;0,0,MAX(BK97-BK98-BK99,0)*Premissas!$B$7)</f>
        <v>0</v>
      </c>
      <c r="BL106" s="164">
        <f>IF(BL101&gt;0,0,MAX(BL97-BL98-BL99,0)*Premissas!$B$7)</f>
        <v>0</v>
      </c>
      <c r="BM106" s="164">
        <f>IF(BM101&gt;0,0,MAX(BM97-BM98-BM99,0)*Premissas!$B$7)</f>
        <v>0</v>
      </c>
      <c r="BN106" s="164">
        <f>IF(BN101&gt;0,0,MAX(BN97-BN98-BN99,0)*Premissas!$B$7)</f>
        <v>0</v>
      </c>
      <c r="BO106" s="164">
        <f>IF(BO101&gt;0,0,MAX(BO97-BO98-BO99,0)*Premissas!$B$7)</f>
        <v>0</v>
      </c>
      <c r="BP106" s="164">
        <f>IF(BP101&gt;0,0,MAX(BP97-BP98-BP99,0)*Premissas!$B$7)</f>
        <v>0</v>
      </c>
      <c r="BQ106" s="164">
        <f>IF(BQ101&gt;0,0,MAX(BQ97-BQ98-BQ99,0)*Premissas!$B$7)</f>
        <v>0</v>
      </c>
      <c r="BR106" s="164">
        <f>IF(BR101&gt;0,0,MAX(BR97-BR98-BR99,0)*Premissas!$B$7)</f>
        <v>0</v>
      </c>
      <c r="BS106" s="164">
        <f>IF(BS101&gt;0,0,MAX(BS97-BS98-BS99,0)*Premissas!$B$7)</f>
        <v>0</v>
      </c>
      <c r="BT106" s="164">
        <f>IF(BT101&gt;0,0,MAX(BT97-BT98-BT99,0)*Premissas!$B$7)</f>
        <v>0</v>
      </c>
      <c r="BU106" s="164">
        <f>IF(BU101&gt;0,0,MAX(BU97-BU98-BU99,0)*Premissas!$B$7)</f>
        <v>0</v>
      </c>
      <c r="BV106" s="164">
        <f>IF(BV101&gt;0,0,MAX(BV97-BV98-BV99,0)*Premissas!$B$7)</f>
        <v>0</v>
      </c>
      <c r="BW106" s="164">
        <f>IF(BW101&gt;0,0,MAX(BW97-BW98-BW99,0)*Premissas!$B$7)</f>
        <v>0</v>
      </c>
      <c r="BX106" s="164">
        <f>IF(BX101&gt;0,0,MAX(BX97-BX98-BX99,0)*Premissas!$B$7)</f>
        <v>0</v>
      </c>
      <c r="BY106" s="164">
        <f>IF(BY101&gt;0,0,MAX(BY97-BY98-BY99,0)*Premissas!$B$7)</f>
        <v>0</v>
      </c>
      <c r="BZ106" s="164">
        <f>IF(BZ101&gt;0,0,MAX(BZ97-BZ98-BZ99,0)*Premissas!$B$7)</f>
        <v>0</v>
      </c>
      <c r="CA106" s="164">
        <f>IF(CA101&gt;0,0,MAX(CA97-CA98-CA99,0)*Premissas!$B$7)</f>
        <v>0</v>
      </c>
      <c r="CB106" s="164">
        <f>IF(CB101&gt;0,0,MAX(CB97-CB98-CB99,0)*Premissas!$B$7)</f>
        <v>0</v>
      </c>
      <c r="CC106" s="164">
        <f>IF(CC101&gt;0,0,MAX(CC97-CC98-CC99,0)*Premissas!$B$7)</f>
        <v>0</v>
      </c>
      <c r="CD106" s="164">
        <f>IF(CD101&gt;0,0,MAX(CD97-CD98-CD99,0)*Premissas!$B$7)</f>
        <v>0</v>
      </c>
      <c r="CE106" s="164">
        <f>IF(CE101&gt;0,0,MAX(CE97-CE98-CE99,0)*Premissas!$B$7)</f>
        <v>0</v>
      </c>
      <c r="CF106" s="164">
        <f>IF(CF101&gt;0,0,MAX(CF97-CF98-CF99,0)*Premissas!$B$7)</f>
        <v>0</v>
      </c>
      <c r="CG106" s="164">
        <f>IF(CG101&gt;0,0,MAX(CG97-CG98-CG99,0)*Premissas!$B$7)</f>
        <v>0</v>
      </c>
      <c r="CH106" s="164">
        <f>IF(CH101&gt;0,0,MAX(CH97-CH98-CH99,0)*Premissas!$B$7)</f>
        <v>0</v>
      </c>
      <c r="CI106" s="164">
        <f>IF(CI101&gt;0,0,MAX(CI97-CI98-CI99,0)*Premissas!$B$7)</f>
        <v>0</v>
      </c>
      <c r="CJ106" s="164">
        <f>IF(CJ101&gt;0,0,MAX(CJ97-CJ98-CJ99,0)*Premissas!$B$7)</f>
        <v>0</v>
      </c>
      <c r="CK106" s="164">
        <f>IF(CK101&gt;0,0,MAX(CK97-CK98-CK99,0)*Premissas!$B$7)</f>
        <v>0</v>
      </c>
      <c r="CL106" s="164">
        <f>IF(CL101&gt;0,0,MAX(CL97-CL98-CL99,0)*Premissas!$B$7)</f>
        <v>0</v>
      </c>
      <c r="CM106" s="164">
        <f>IF(CM101&gt;0,0,MAX(CM97-CM98-CM99,0)*Premissas!$B$7)</f>
        <v>0</v>
      </c>
      <c r="CN106" s="164">
        <f>IF(CN101&gt;0,0,MAX(CN97-CN98-CN99,0)*Premissas!$B$7)</f>
        <v>0</v>
      </c>
      <c r="CO106" s="164">
        <f>IF(CO101&gt;0,0,MAX(CO97-CO98-CO99,0)*Premissas!$B$7)</f>
        <v>0</v>
      </c>
      <c r="CP106" s="164">
        <f>IF(CP101&gt;0,0,MAX(CP97-CP98-CP99,0)*Premissas!$B$7)</f>
        <v>0</v>
      </c>
      <c r="CQ106" s="164">
        <f>IF(CQ101&gt;0,0,MAX(CQ97-CQ98-CQ99,0)*Premissas!$B$7)</f>
        <v>0</v>
      </c>
      <c r="CR106" s="164">
        <f>IF(CR101&gt;0,0,MAX(CR97-CR98-CR99,0)*Premissas!$B$7)</f>
        <v>0</v>
      </c>
      <c r="CS106" s="164">
        <f>IF(CS101&gt;0,0,MAX(CS97-CS98-CS99,0)*Premissas!$B$7)</f>
        <v>0</v>
      </c>
      <c r="CT106" s="164">
        <f>IF(CT101&gt;0,0,MAX(CT97-CT98-CT99,0)*Premissas!$B$7)</f>
        <v>0</v>
      </c>
      <c r="CU106" s="164">
        <f>IF(CU101&gt;0,0,MAX(CU97-CU98-CU99,0)*Premissas!$B$7)</f>
        <v>0</v>
      </c>
      <c r="CV106" s="164">
        <f>IF(CV101&gt;0,0,MAX(CV97-CV98-CV99,0)*Premissas!$B$7)</f>
        <v>0</v>
      </c>
      <c r="CW106" s="164">
        <f>IF(CW101&gt;0,0,MAX(CW97-CW98-CW99,0)*Premissas!$B$7)</f>
        <v>0</v>
      </c>
      <c r="CX106" s="164">
        <f>IF(CX101&gt;0,0,MAX(CX97-CX98-CX99,0)*Premissas!$B$7)</f>
        <v>0</v>
      </c>
      <c r="CY106" s="164">
        <f>IF(CY101&gt;0,0,MAX(CY97-CY98-CY99,0)*Premissas!$B$7)</f>
        <v>0</v>
      </c>
      <c r="CZ106" s="164">
        <f>IF(CZ101&gt;0,0,MAX(CZ97-CZ98-CZ99,0)*Premissas!$B$7)</f>
        <v>0</v>
      </c>
      <c r="DA106" s="164">
        <f>IF(DA101&gt;0,0,MAX(DA97-DA98-DA99,0)*Premissas!$B$7)</f>
        <v>0</v>
      </c>
      <c r="DB106" s="164">
        <f>IF(DB101&gt;0,0,MAX(DB97-DB98-DB99,0)*Premissas!$B$7)</f>
        <v>0</v>
      </c>
      <c r="DC106" s="164">
        <f>IF(DC101&gt;0,0,MAX(DC97-DC98-DC99,0)*Premissas!$B$7)</f>
        <v>0</v>
      </c>
      <c r="DD106" s="164">
        <f>IF(DD101&gt;0,0,MAX(DD97-DD98-DD99,0)*Premissas!$B$7)</f>
        <v>0</v>
      </c>
      <c r="DE106" s="164">
        <f>IF(DE101&gt;0,0,MAX(DE97-DE98-DE99,0)*Premissas!$B$7)</f>
        <v>0</v>
      </c>
      <c r="DF106" s="164">
        <f>IF(DF101&gt;0,0,MAX(DF97-DF98-DF99,0)*Premissas!$B$7)</f>
        <v>0</v>
      </c>
      <c r="DG106" s="164">
        <f>IF(DG101&gt;0,0,MAX(DG97-DG98-DG99,0)*Premissas!$B$7)</f>
        <v>0</v>
      </c>
      <c r="DH106" s="164">
        <f>IF(DH101&gt;0,0,MAX(DH97-DH98-DH99,0)*Premissas!$B$7)</f>
        <v>0</v>
      </c>
      <c r="DI106" s="164">
        <f>IF(DI101&gt;0,0,MAX(DI97-DI98-DI99,0)*Premissas!$B$7)</f>
        <v>0</v>
      </c>
      <c r="DJ106" s="164">
        <f>IF(DJ101&gt;0,0,MAX(DJ97-DJ98-DJ99,0)*Premissas!$B$7)</f>
        <v>0</v>
      </c>
      <c r="DK106" s="164">
        <f>IF(DK101&gt;0,0,MAX(DK97-DK98-DK99,0)*Premissas!$B$7)</f>
        <v>0</v>
      </c>
      <c r="DL106" s="164">
        <f>IF(DL101&gt;0,0,MAX(DL97-DL98-DL99,0)*Premissas!$B$7)</f>
        <v>0</v>
      </c>
      <c r="DM106" s="164">
        <f>IF(DM101&gt;0,0,MAX(DM97-DM98-DM99,0)*Premissas!$B$7)</f>
        <v>0</v>
      </c>
      <c r="DN106" s="164">
        <f>IF(DN101&gt;0,0,MAX(DN97-DN98-DN99,0)*Premissas!$B$7)</f>
        <v>0</v>
      </c>
      <c r="DO106" s="164">
        <f>IF(DO101&gt;0,0,MAX(DO97-DO98-DO99,0)*Premissas!$B$7)</f>
        <v>0</v>
      </c>
      <c r="DP106" s="164">
        <f>IF(DP101&gt;0,0,MAX(DP97-DP98-DP99,0)*Premissas!$B$7)</f>
        <v>0</v>
      </c>
      <c r="DQ106" s="164">
        <f>IF(DQ101&gt;0,0,MAX(DQ97-DQ98-DQ99,0)*Premissas!$B$7)</f>
        <v>0</v>
      </c>
      <c r="DR106" s="164">
        <f>IF(DR101&gt;0,0,MAX(DR97-DR98-DR99,0)*Premissas!$B$7)</f>
        <v>0</v>
      </c>
      <c r="DS106" s="164">
        <f>IF(DS101&gt;0,0,MAX(DS97-DS98-DS99,0)*Premissas!$B$7)</f>
        <v>0</v>
      </c>
    </row>
    <row r="107" spans="1:123" ht="13.5" customHeight="1" x14ac:dyDescent="0.35">
      <c r="A107" s="39" t="s">
        <v>499</v>
      </c>
      <c r="B107" s="42">
        <f>SUM(D107:BQ107)</f>
        <v>60067.599886698459</v>
      </c>
      <c r="C107" s="144">
        <f>B107/60</f>
        <v>1001.1266647783076</v>
      </c>
      <c r="D107" s="165">
        <f t="shared" ref="D107:AI107" si="182">MAX(D105-D106,0)</f>
        <v>671.13825001482383</v>
      </c>
      <c r="E107" s="165">
        <f t="shared" si="182"/>
        <v>758.28247498468704</v>
      </c>
      <c r="F107" s="165">
        <f t="shared" si="182"/>
        <v>755.20059022311477</v>
      </c>
      <c r="G107" s="165">
        <f t="shared" si="182"/>
        <v>665.42797104218084</v>
      </c>
      <c r="H107" s="165">
        <f t="shared" si="182"/>
        <v>872.73793698578095</v>
      </c>
      <c r="I107" s="165">
        <f t="shared" si="182"/>
        <v>856.07910043674167</v>
      </c>
      <c r="J107" s="165">
        <f t="shared" si="182"/>
        <v>775.56139044971837</v>
      </c>
      <c r="K107" s="165">
        <f t="shared" si="182"/>
        <v>831.09084561318275</v>
      </c>
      <c r="L107" s="165">
        <f t="shared" si="182"/>
        <v>841.27124572648449</v>
      </c>
      <c r="M107" s="165">
        <f t="shared" si="182"/>
        <v>977.31841087697217</v>
      </c>
      <c r="N107" s="165">
        <f t="shared" si="182"/>
        <v>973.61644719940784</v>
      </c>
      <c r="O107" s="165">
        <f t="shared" si="182"/>
        <v>1087.4518302845097</v>
      </c>
      <c r="P107" s="165">
        <f t="shared" si="182"/>
        <v>1012.4870658138328</v>
      </c>
      <c r="Q107" s="165">
        <f t="shared" si="182"/>
        <v>852.37713675917735</v>
      </c>
      <c r="R107" s="165">
        <f t="shared" si="182"/>
        <v>773.71040861093627</v>
      </c>
      <c r="S107" s="165">
        <f t="shared" si="182"/>
        <v>682.08680759122012</v>
      </c>
      <c r="T107" s="165">
        <f t="shared" si="182"/>
        <v>894.94971905116665</v>
      </c>
      <c r="U107" s="165">
        <f t="shared" si="182"/>
        <v>877.36539158273638</v>
      </c>
      <c r="V107" s="165">
        <f t="shared" si="182"/>
        <v>794.99669975693087</v>
      </c>
      <c r="W107" s="165">
        <f t="shared" si="182"/>
        <v>831.09084561318275</v>
      </c>
      <c r="X107" s="165">
        <f t="shared" si="182"/>
        <v>841.27124572648449</v>
      </c>
      <c r="Y107" s="165">
        <f t="shared" si="182"/>
        <v>977.31841087697217</v>
      </c>
      <c r="Z107" s="165">
        <f t="shared" si="182"/>
        <v>973.61644719940784</v>
      </c>
      <c r="AA107" s="165">
        <f t="shared" si="182"/>
        <v>1087.4518302845097</v>
      </c>
      <c r="AB107" s="165">
        <f t="shared" si="182"/>
        <v>1037.4753206373919</v>
      </c>
      <c r="AC107" s="165">
        <f t="shared" si="182"/>
        <v>874.58891882456317</v>
      </c>
      <c r="AD107" s="165">
        <f t="shared" si="182"/>
        <v>793.14571791814876</v>
      </c>
      <c r="AE107" s="165">
        <f t="shared" si="182"/>
        <v>698.7456441402594</v>
      </c>
      <c r="AF107" s="165">
        <f t="shared" si="182"/>
        <v>917.16150111655247</v>
      </c>
      <c r="AG107" s="165">
        <f t="shared" si="182"/>
        <v>899.57717364812208</v>
      </c>
      <c r="AH107" s="165">
        <f t="shared" si="182"/>
        <v>814.43200906414347</v>
      </c>
      <c r="AI107" s="165">
        <f t="shared" si="182"/>
        <v>872.73793698578095</v>
      </c>
      <c r="AJ107" s="165">
        <f t="shared" ref="AJ107:BO107" si="183">MAX(AJ105-AJ106,0)</f>
        <v>883.8438280184738</v>
      </c>
      <c r="AK107" s="165">
        <f t="shared" si="183"/>
        <v>1026.369429604699</v>
      </c>
      <c r="AL107" s="165">
        <f t="shared" si="183"/>
        <v>1022.6674659271347</v>
      </c>
      <c r="AM107" s="165">
        <f t="shared" si="183"/>
        <v>1142.055794528583</v>
      </c>
      <c r="AN107" s="165">
        <f t="shared" si="183"/>
        <v>1063.3890663803418</v>
      </c>
      <c r="AO107" s="165">
        <f t="shared" si="183"/>
        <v>895.87520997055776</v>
      </c>
      <c r="AP107" s="165">
        <f t="shared" si="183"/>
        <v>813.50651814475236</v>
      </c>
      <c r="AQ107" s="165">
        <f t="shared" si="183"/>
        <v>716.32997160868979</v>
      </c>
      <c r="AR107" s="165">
        <f t="shared" si="183"/>
        <v>940.29877410132929</v>
      </c>
      <c r="AS107" s="165">
        <f t="shared" si="183"/>
        <v>921.78895571350779</v>
      </c>
      <c r="AT107" s="165">
        <f t="shared" si="183"/>
        <v>834.79280929074707</v>
      </c>
      <c r="AU107" s="165">
        <f t="shared" si="183"/>
        <v>894.94971905116665</v>
      </c>
      <c r="AV107" s="165">
        <f t="shared" si="183"/>
        <v>906.05561008385962</v>
      </c>
      <c r="AW107" s="165">
        <f t="shared" si="183"/>
        <v>1052.2831753476489</v>
      </c>
      <c r="AX107" s="165">
        <f t="shared" si="183"/>
        <v>1048.5812116700847</v>
      </c>
      <c r="AY107" s="165">
        <f t="shared" si="183"/>
        <v>1170.7460130297061</v>
      </c>
      <c r="AZ107" s="165">
        <f t="shared" si="183"/>
        <v>1090.2283030426829</v>
      </c>
      <c r="BA107" s="165">
        <f t="shared" si="183"/>
        <v>918.08699203594347</v>
      </c>
      <c r="BB107" s="165">
        <f t="shared" si="183"/>
        <v>833.86731837135596</v>
      </c>
      <c r="BC107" s="165">
        <f t="shared" si="183"/>
        <v>734.83978999651129</v>
      </c>
      <c r="BD107" s="165">
        <f t="shared" si="183"/>
        <v>963.43604708610599</v>
      </c>
      <c r="BE107" s="165">
        <f t="shared" si="183"/>
        <v>944.9262286982846</v>
      </c>
      <c r="BF107" s="165">
        <f t="shared" si="183"/>
        <v>856.07910043674167</v>
      </c>
      <c r="BG107" s="165">
        <f t="shared" si="183"/>
        <v>917.16150111655247</v>
      </c>
      <c r="BH107" s="165">
        <f t="shared" si="183"/>
        <v>928.26739214924532</v>
      </c>
      <c r="BI107" s="165">
        <f t="shared" si="183"/>
        <v>1079.1224120099901</v>
      </c>
      <c r="BJ107" s="165">
        <f t="shared" si="183"/>
        <v>1074.4949574130346</v>
      </c>
      <c r="BK107" s="165">
        <f t="shared" si="183"/>
        <v>1200.3617224502204</v>
      </c>
      <c r="BL107" s="165">
        <f t="shared" si="183"/>
        <v>1117.067539705024</v>
      </c>
      <c r="BM107" s="165">
        <f t="shared" si="183"/>
        <v>941.22426502072028</v>
      </c>
      <c r="BN107" s="165">
        <f t="shared" si="183"/>
        <v>854.22811859795956</v>
      </c>
      <c r="BO107" s="165">
        <f t="shared" si="183"/>
        <v>752.42411746494156</v>
      </c>
      <c r="BP107" s="165">
        <f t="shared" ref="BP107:CU107" si="184">MAX(BP105-BP106,0)</f>
        <v>987.49881099027391</v>
      </c>
      <c r="BQ107" s="165">
        <f t="shared" si="184"/>
        <v>968.98899260245253</v>
      </c>
      <c r="BR107" s="165">
        <f t="shared" si="184"/>
        <v>877.36539158273638</v>
      </c>
      <c r="BS107" s="165">
        <f t="shared" si="184"/>
        <v>940.29877410132929</v>
      </c>
      <c r="BT107" s="165">
        <f t="shared" si="184"/>
        <v>951.40466513402214</v>
      </c>
      <c r="BU107" s="165">
        <f t="shared" si="184"/>
        <v>1105.9616486723312</v>
      </c>
      <c r="BV107" s="165">
        <f t="shared" si="184"/>
        <v>1101.3341940753758</v>
      </c>
      <c r="BW107" s="165">
        <f t="shared" si="184"/>
        <v>1229.9774318707348</v>
      </c>
      <c r="BX107" s="165">
        <f t="shared" si="184"/>
        <v>1144.8322672867562</v>
      </c>
      <c r="BY107" s="165">
        <f t="shared" si="184"/>
        <v>965.2870289248882</v>
      </c>
      <c r="BZ107" s="165">
        <f t="shared" si="184"/>
        <v>875.51440974395416</v>
      </c>
      <c r="CA107" s="165">
        <f t="shared" si="184"/>
        <v>771.85942677215417</v>
      </c>
      <c r="CB107" s="165">
        <f t="shared" si="184"/>
        <v>1012.4870658138328</v>
      </c>
      <c r="CC107" s="165">
        <f t="shared" si="184"/>
        <v>993.05175650662034</v>
      </c>
      <c r="CD107" s="165">
        <f t="shared" si="184"/>
        <v>899.57717364812208</v>
      </c>
      <c r="CE107" s="165">
        <f t="shared" si="184"/>
        <v>963.43604708610599</v>
      </c>
      <c r="CF107" s="165">
        <f t="shared" si="184"/>
        <v>975.46742903818995</v>
      </c>
      <c r="CG107" s="165">
        <f t="shared" si="184"/>
        <v>1133.7263762540633</v>
      </c>
      <c r="CH107" s="165">
        <f t="shared" si="184"/>
        <v>1129.0989216571079</v>
      </c>
      <c r="CI107" s="165">
        <f t="shared" si="184"/>
        <v>1261.4441231300314</v>
      </c>
      <c r="CJ107" s="165">
        <f t="shared" si="184"/>
        <v>1173.5224857878793</v>
      </c>
      <c r="CK107" s="165">
        <f t="shared" si="184"/>
        <v>989.34979282905601</v>
      </c>
      <c r="CL107" s="165">
        <f t="shared" si="184"/>
        <v>897.72619180933998</v>
      </c>
      <c r="CM107" s="165">
        <f t="shared" si="184"/>
        <v>791.29473607936666</v>
      </c>
      <c r="CN107" s="165">
        <f t="shared" si="184"/>
        <v>1037.4753206373919</v>
      </c>
      <c r="CO107" s="165">
        <f t="shared" si="184"/>
        <v>1018.0400113301793</v>
      </c>
      <c r="CP107" s="165">
        <f t="shared" si="184"/>
        <v>921.78895571350779</v>
      </c>
      <c r="CQ107" s="165">
        <f t="shared" si="184"/>
        <v>987.49881099027391</v>
      </c>
      <c r="CR107" s="165">
        <f t="shared" si="184"/>
        <v>1000.455683861749</v>
      </c>
      <c r="CS107" s="165">
        <f t="shared" si="184"/>
        <v>1161.4911038357955</v>
      </c>
      <c r="CT107" s="165">
        <f t="shared" si="184"/>
        <v>1156.86364923884</v>
      </c>
      <c r="CU107" s="165">
        <f t="shared" si="184"/>
        <v>1292.9108143893277</v>
      </c>
      <c r="CV107" s="165">
        <f t="shared" ref="CV107:DS107" si="185">MAX(CV105-CV106,0)</f>
        <v>1203.1381952083937</v>
      </c>
      <c r="CW107" s="165">
        <f t="shared" si="185"/>
        <v>1013.4125567332239</v>
      </c>
      <c r="CX107" s="165">
        <f t="shared" si="185"/>
        <v>919.93797387472569</v>
      </c>
      <c r="CY107" s="165">
        <f t="shared" si="185"/>
        <v>810.73004538657915</v>
      </c>
      <c r="CZ107" s="165">
        <f t="shared" si="185"/>
        <v>1063.3890663803418</v>
      </c>
      <c r="DA107" s="165">
        <f t="shared" si="185"/>
        <v>1043.0282661537383</v>
      </c>
      <c r="DB107" s="165">
        <f t="shared" si="185"/>
        <v>944.9262286982846</v>
      </c>
      <c r="DC107" s="165">
        <f t="shared" si="185"/>
        <v>1012.4870658138328</v>
      </c>
      <c r="DD107" s="165">
        <f t="shared" si="185"/>
        <v>1025.4439386853078</v>
      </c>
      <c r="DE107" s="165">
        <f t="shared" si="185"/>
        <v>1191.1068132563098</v>
      </c>
      <c r="DF107" s="165">
        <f t="shared" si="185"/>
        <v>1186.4793586593544</v>
      </c>
      <c r="DG107" s="165">
        <f t="shared" si="185"/>
        <v>1325.3029965680153</v>
      </c>
      <c r="DH107" s="165">
        <f t="shared" si="185"/>
        <v>1233.679395548299</v>
      </c>
      <c r="DI107" s="165">
        <f t="shared" si="185"/>
        <v>1039.3263024761739</v>
      </c>
      <c r="DJ107" s="165">
        <f t="shared" si="185"/>
        <v>943.0752468595025</v>
      </c>
      <c r="DK107" s="165">
        <f t="shared" si="185"/>
        <v>831.09084561318275</v>
      </c>
      <c r="DL107" s="165">
        <f t="shared" si="185"/>
        <v>1090.2283030426829</v>
      </c>
      <c r="DM107" s="165">
        <f t="shared" si="185"/>
        <v>1068.9420118966882</v>
      </c>
      <c r="DN107" s="165">
        <f t="shared" si="185"/>
        <v>968.98899260245253</v>
      </c>
      <c r="DO107" s="165">
        <f t="shared" si="185"/>
        <v>1037.4753206373919</v>
      </c>
      <c r="DP107" s="165">
        <f t="shared" si="185"/>
        <v>1050.4321935088669</v>
      </c>
      <c r="DQ107" s="165">
        <f t="shared" si="185"/>
        <v>1220.7225226768242</v>
      </c>
      <c r="DR107" s="165">
        <f t="shared" si="185"/>
        <v>1216.0950680798687</v>
      </c>
      <c r="DS107" s="165">
        <f t="shared" si="185"/>
        <v>1357.6951787467028</v>
      </c>
    </row>
    <row r="109" spans="1:123" ht="15" customHeight="1" x14ac:dyDescent="0.35">
      <c r="A109" s="289" t="s">
        <v>508</v>
      </c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289"/>
      <c r="W109" s="289"/>
      <c r="X109" s="289"/>
      <c r="Y109" s="289"/>
      <c r="Z109" s="289"/>
      <c r="AA109" s="289"/>
    </row>
    <row r="110" spans="1:123" ht="12.75" customHeight="1" x14ac:dyDescent="0.35">
      <c r="A110" s="166" t="s">
        <v>486</v>
      </c>
      <c r="B110" s="167">
        <f>SUM(D110:BQ110)</f>
        <v>661450</v>
      </c>
      <c r="C110" s="139">
        <f>B110/60</f>
        <v>11024.166666666666</v>
      </c>
      <c r="D110" s="167">
        <v>6483</v>
      </c>
      <c r="E110" s="167">
        <v>8738</v>
      </c>
      <c r="F110" s="167">
        <v>8554</v>
      </c>
      <c r="G110" s="167">
        <v>11071</v>
      </c>
      <c r="H110" s="167">
        <v>10947</v>
      </c>
      <c r="I110" s="167">
        <v>12098</v>
      </c>
      <c r="J110" s="167">
        <v>11642</v>
      </c>
      <c r="K110" s="167">
        <v>10293</v>
      </c>
      <c r="L110" s="167">
        <v>11096</v>
      </c>
      <c r="M110" s="167">
        <v>8702</v>
      </c>
      <c r="N110" s="167">
        <v>7410</v>
      </c>
      <c r="O110" s="167">
        <v>6554</v>
      </c>
      <c r="P110" s="167">
        <v>6645</v>
      </c>
      <c r="Q110" s="167">
        <v>8956</v>
      </c>
      <c r="R110" s="167">
        <v>8768</v>
      </c>
      <c r="S110" s="167">
        <v>11348</v>
      </c>
      <c r="T110" s="167">
        <v>11221</v>
      </c>
      <c r="U110" s="167">
        <v>12400</v>
      </c>
      <c r="V110" s="167">
        <v>11933</v>
      </c>
      <c r="W110" s="167">
        <v>10293</v>
      </c>
      <c r="X110" s="167">
        <v>11096</v>
      </c>
      <c r="Y110" s="167">
        <v>8702</v>
      </c>
      <c r="Z110" s="167">
        <v>7410</v>
      </c>
      <c r="AA110" s="167">
        <v>6554</v>
      </c>
      <c r="AB110" s="167">
        <v>6811</v>
      </c>
      <c r="AC110" s="167">
        <v>9180</v>
      </c>
      <c r="AD110" s="167">
        <v>8987</v>
      </c>
      <c r="AE110" s="167">
        <v>11631</v>
      </c>
      <c r="AF110" s="167">
        <v>11501</v>
      </c>
      <c r="AG110" s="167">
        <v>12710</v>
      </c>
      <c r="AH110" s="167">
        <v>12231</v>
      </c>
      <c r="AI110" s="167">
        <v>10814</v>
      </c>
      <c r="AJ110" s="167">
        <v>11658</v>
      </c>
      <c r="AK110" s="167">
        <v>9143</v>
      </c>
      <c r="AL110" s="167">
        <v>7785</v>
      </c>
      <c r="AM110" s="167">
        <v>6886</v>
      </c>
      <c r="AN110" s="167">
        <v>6981</v>
      </c>
      <c r="AO110" s="167">
        <v>9410</v>
      </c>
      <c r="AP110" s="167">
        <v>9212</v>
      </c>
      <c r="AQ110" s="167">
        <v>11922</v>
      </c>
      <c r="AR110" s="167">
        <v>11789</v>
      </c>
      <c r="AS110" s="167">
        <v>13028</v>
      </c>
      <c r="AT110" s="167">
        <v>12537</v>
      </c>
      <c r="AU110" s="167">
        <v>11084</v>
      </c>
      <c r="AV110" s="167">
        <v>11949</v>
      </c>
      <c r="AW110" s="167">
        <v>9371</v>
      </c>
      <c r="AX110" s="167">
        <v>7980</v>
      </c>
      <c r="AY110" s="167">
        <v>7058</v>
      </c>
      <c r="AZ110" s="167">
        <v>7156</v>
      </c>
      <c r="BA110" s="167">
        <v>9645</v>
      </c>
      <c r="BB110" s="167">
        <v>9442</v>
      </c>
      <c r="BC110" s="167">
        <v>12220</v>
      </c>
      <c r="BD110" s="167">
        <v>12083</v>
      </c>
      <c r="BE110" s="167">
        <v>13354</v>
      </c>
      <c r="BF110" s="167">
        <v>12851</v>
      </c>
      <c r="BG110" s="167">
        <v>11362</v>
      </c>
      <c r="BH110" s="167">
        <v>12248</v>
      </c>
      <c r="BI110" s="167">
        <v>9605</v>
      </c>
      <c r="BJ110" s="167">
        <v>8179</v>
      </c>
      <c r="BK110" s="167">
        <v>7234</v>
      </c>
      <c r="BL110" s="167">
        <v>7335</v>
      </c>
      <c r="BM110" s="167">
        <v>9886</v>
      </c>
      <c r="BN110" s="167">
        <v>9678</v>
      </c>
      <c r="BO110" s="167">
        <v>12526</v>
      </c>
      <c r="BP110" s="167">
        <v>12386</v>
      </c>
      <c r="BQ110" s="167">
        <v>13688</v>
      </c>
      <c r="BR110" s="167">
        <v>13172</v>
      </c>
      <c r="BS110" s="167">
        <v>11646</v>
      </c>
      <c r="BT110" s="167">
        <v>12554</v>
      </c>
      <c r="BU110" s="167">
        <v>9846</v>
      </c>
      <c r="BV110" s="167">
        <v>8384</v>
      </c>
      <c r="BW110" s="167">
        <v>7415</v>
      </c>
      <c r="BX110" s="167">
        <v>7518</v>
      </c>
      <c r="BY110" s="167">
        <v>10133</v>
      </c>
      <c r="BZ110" s="167">
        <v>9920</v>
      </c>
      <c r="CA110" s="167">
        <v>12839</v>
      </c>
      <c r="CB110" s="167">
        <v>12695</v>
      </c>
      <c r="CC110" s="167">
        <v>14030</v>
      </c>
      <c r="CD110" s="167">
        <v>13501</v>
      </c>
      <c r="CE110" s="167">
        <v>11937</v>
      </c>
      <c r="CF110" s="167">
        <v>12868</v>
      </c>
      <c r="CG110" s="167">
        <v>10092</v>
      </c>
      <c r="CH110" s="167">
        <v>8593</v>
      </c>
      <c r="CI110" s="167">
        <v>7601</v>
      </c>
      <c r="CJ110" s="167">
        <v>7706</v>
      </c>
      <c r="CK110" s="167">
        <v>10387</v>
      </c>
      <c r="CL110" s="167">
        <v>10168</v>
      </c>
      <c r="CM110" s="167">
        <v>13160</v>
      </c>
      <c r="CN110" s="167">
        <v>13013</v>
      </c>
      <c r="CO110" s="167">
        <v>14381</v>
      </c>
      <c r="CP110" s="167">
        <v>13839</v>
      </c>
      <c r="CQ110" s="167">
        <v>12235</v>
      </c>
      <c r="CR110" s="167">
        <v>13190</v>
      </c>
      <c r="CS110" s="167">
        <v>10344</v>
      </c>
      <c r="CT110" s="167">
        <v>8808</v>
      </c>
      <c r="CU110" s="167">
        <v>7791</v>
      </c>
      <c r="CV110" s="167">
        <v>7899</v>
      </c>
      <c r="CW110" s="167">
        <v>10646</v>
      </c>
      <c r="CX110" s="167">
        <v>10422</v>
      </c>
      <c r="CY110" s="167">
        <v>13489</v>
      </c>
      <c r="CZ110" s="167">
        <v>13338</v>
      </c>
      <c r="DA110" s="167">
        <v>14740</v>
      </c>
      <c r="DB110" s="167">
        <v>14185</v>
      </c>
      <c r="DC110" s="167">
        <v>12541</v>
      </c>
      <c r="DD110" s="167">
        <v>13519</v>
      </c>
      <c r="DE110" s="167">
        <v>10603</v>
      </c>
      <c r="DF110" s="167">
        <v>9028</v>
      </c>
      <c r="DG110" s="167">
        <v>7985</v>
      </c>
      <c r="DH110" s="167">
        <v>8096</v>
      </c>
      <c r="DI110" s="167">
        <v>10913</v>
      </c>
      <c r="DJ110" s="167">
        <v>10683</v>
      </c>
      <c r="DK110" s="167">
        <v>13826</v>
      </c>
      <c r="DL110" s="167">
        <v>13671</v>
      </c>
      <c r="DM110" s="167">
        <v>15109</v>
      </c>
      <c r="DN110" s="167">
        <v>14539</v>
      </c>
      <c r="DO110" s="167">
        <v>12855</v>
      </c>
      <c r="DP110" s="167">
        <v>13857</v>
      </c>
      <c r="DQ110" s="167">
        <v>10868</v>
      </c>
      <c r="DR110" s="167">
        <v>9254</v>
      </c>
      <c r="DS110" s="167">
        <v>8185</v>
      </c>
    </row>
    <row r="111" spans="1:123" ht="12.75" customHeight="1" x14ac:dyDescent="0.35">
      <c r="A111" s="142" t="str">
        <f>"  "&amp;INDEX(PVSYST_Helexia!$A$5:$A$7,MATCH(Premissas!$B$13,PVSYST_Helexia!$B$5:$B$7,0))&amp;" créditos recebidos (kWh)"</f>
        <v xml:space="preserve">  HCS03 créditos recebidos (kWh)</v>
      </c>
      <c r="B111" s="155">
        <f>SUM(D111:BQ111)</f>
        <v>554458.56135082839</v>
      </c>
      <c r="C111" s="139">
        <f>B111/60</f>
        <v>9240.976022513807</v>
      </c>
      <c r="D111" s="156">
        <f>D6*Premissas!$B$40</f>
        <v>7315.41</v>
      </c>
      <c r="E111" s="156">
        <f>E6*Premissas!$B$40</f>
        <v>7700.0899999999983</v>
      </c>
      <c r="F111" s="156">
        <f>F6*Premissas!$B$40</f>
        <v>9243.5299999999988</v>
      </c>
      <c r="G111" s="156">
        <f>G6*Premissas!$B$40</f>
        <v>8673.59</v>
      </c>
      <c r="H111" s="156">
        <f>H6*Premissas!$C$40</f>
        <v>16120.236000000001</v>
      </c>
      <c r="I111" s="156">
        <f>I6*Premissas!$C$40</f>
        <v>15586.736000000001</v>
      </c>
      <c r="J111" s="156">
        <f>J6*Premissas!$C$40</f>
        <v>14800.357</v>
      </c>
      <c r="K111" s="156">
        <f>K6*Premissas!$C$40</f>
        <v>15196.67281</v>
      </c>
      <c r="L111" s="156">
        <f>L6*Premissas!$C$40</f>
        <v>13541.537075</v>
      </c>
      <c r="M111" s="156">
        <f>M6*Premissas!$C$40</f>
        <v>15532.158950000001</v>
      </c>
      <c r="N111" s="156">
        <f>N6*Premissas!$D$40</f>
        <v>10559.682270000001</v>
      </c>
      <c r="O111" s="156">
        <f>O6*Premissas!$D$40</f>
        <v>9882.6126299999996</v>
      </c>
      <c r="P111" s="156">
        <f>P6*Premissas!$D$40</f>
        <v>8969.0026350000007</v>
      </c>
      <c r="Q111" s="156">
        <f>Q6*Premissas!$D$40</f>
        <v>9440.6366149999994</v>
      </c>
      <c r="R111" s="156">
        <f>R6*Premissas!$D$40</f>
        <v>11332.959455</v>
      </c>
      <c r="S111" s="156">
        <f>S6*Premissas!$D$40</f>
        <v>10634.188865</v>
      </c>
      <c r="T111" s="156">
        <f>T6*Premissas!$E$40</f>
        <v>31628.295840000002</v>
      </c>
      <c r="U111" s="156">
        <f>U6*Premissas!$E$40</f>
        <v>30581.555840000001</v>
      </c>
      <c r="V111" s="156">
        <f>V6*Premissas!$E$40</f>
        <v>29038.661080000002</v>
      </c>
      <c r="W111" s="156">
        <f>W6*Premissas!$E$40</f>
        <v>29966.072719999996</v>
      </c>
      <c r="X111" s="156">
        <f>X6*Premissas!$E$40</f>
        <v>26702.3374</v>
      </c>
      <c r="Y111" s="156">
        <f>Y6*Premissas!$E$40</f>
        <v>30627.612400000002</v>
      </c>
      <c r="Z111" s="156">
        <f>Z6*Premissas!$E$40</f>
        <v>30560.621040000002</v>
      </c>
      <c r="AA111" s="156">
        <f>AA6*Premissas!$E$40</f>
        <v>28601.123759999999</v>
      </c>
      <c r="AB111" s="156">
        <f>AB6*Premissas!$F$40</f>
        <v>736.51919850000002</v>
      </c>
      <c r="AC111" s="156">
        <f>AC6*Premissas!$F$40</f>
        <v>775.24897649999991</v>
      </c>
      <c r="AD111" s="156">
        <f>AD6*Premissas!$F$40</f>
        <v>930.64330050000012</v>
      </c>
      <c r="AE111" s="156">
        <f>AE6*Premissas!$F$40</f>
        <v>873.26145150000002</v>
      </c>
      <c r="AF111" s="156">
        <f>AF6*Premissas!$F$40</f>
        <v>897.43786200000011</v>
      </c>
      <c r="AG111" s="156">
        <f>AG6*Premissas!$F$40</f>
        <v>867.73711200000014</v>
      </c>
      <c r="AH111" s="156">
        <f>AH6*Premissas!$G$40</f>
        <v>878.88875360000009</v>
      </c>
      <c r="AI111" s="156">
        <f>AI6*Premissas!$G$40</f>
        <v>906.95794240000009</v>
      </c>
      <c r="AJ111" s="156">
        <f>AJ6*Premissas!$G$40</f>
        <v>808.17720800000006</v>
      </c>
      <c r="AK111" s="156">
        <f>AK6*Premissas!$G$40</f>
        <v>926.98020800000006</v>
      </c>
      <c r="AL111" s="156">
        <f>AL6*Premissas!$G$40</f>
        <v>924.95263680000016</v>
      </c>
      <c r="AM111" s="156">
        <f>AM6*Premissas!$G$40</f>
        <v>865.64617920000012</v>
      </c>
      <c r="AN111" s="156">
        <f>AN6*Premissas!$H$40</f>
        <v>745.0505458826251</v>
      </c>
      <c r="AO111" s="156">
        <f>AO6*Premissas!$H$40</f>
        <v>784.22894381112496</v>
      </c>
      <c r="AP111" s="156">
        <f>AP6*Premissas!$H$40</f>
        <v>941.42325206412511</v>
      </c>
      <c r="AQ111" s="156">
        <f>AQ6*Premissas!$H$40</f>
        <v>883.37672997987511</v>
      </c>
      <c r="AR111" s="156">
        <f>AR6*Premissas!$H$40</f>
        <v>907.83318390149998</v>
      </c>
      <c r="AS111" s="156">
        <f>AS6*Premissas!$H$40</f>
        <v>877.78840021400015</v>
      </c>
      <c r="AT111" s="156">
        <f>AT6*Premissas!$I$40</f>
        <v>888.158283423125</v>
      </c>
      <c r="AU111" s="156">
        <f>AU6*Premissas!$I$40</f>
        <v>916.52351444874989</v>
      </c>
      <c r="AV111" s="156">
        <f>AV6*Premissas!$I$40</f>
        <v>816.70095199062496</v>
      </c>
      <c r="AW111" s="156">
        <f>AW6*Premissas!$I$40</f>
        <v>936.75695238125002</v>
      </c>
      <c r="AX111" s="156">
        <f>AX6*Premissas!$I$40</f>
        <v>934.70799664125002</v>
      </c>
      <c r="AY111" s="156">
        <f>AY6*Premissas!$I$40</f>
        <v>874.77604124624986</v>
      </c>
      <c r="AZ111" s="156">
        <f>AZ6*Premissas!$J$40</f>
        <v>911.4655243687032</v>
      </c>
      <c r="BA111" s="156">
        <f>BA6*Premissas!$J$40</f>
        <v>959.39483494926549</v>
      </c>
      <c r="BB111" s="156">
        <f>BB6*Premissas!$J$40</f>
        <v>1151.7001669718907</v>
      </c>
      <c r="BC111" s="156">
        <f>BC6*Premissas!$J$40</f>
        <v>1080.6883356516096</v>
      </c>
      <c r="BD111" s="156">
        <f>BD6*Premissas!$J$40</f>
        <v>1110.6073991581875</v>
      </c>
      <c r="BE111" s="156">
        <f>BE6*Premissas!$J$40</f>
        <v>1073.85179288475</v>
      </c>
      <c r="BF111" s="156">
        <f>BF6*Premissas!$K$40</f>
        <v>4255.4396153520156</v>
      </c>
      <c r="BG111" s="156">
        <f>BG6*Premissas!$K$40</f>
        <v>4391.3461649591763</v>
      </c>
      <c r="BH111" s="156">
        <f>BH6*Premissas!$K$40</f>
        <v>3913.0655535876972</v>
      </c>
      <c r="BI111" s="156">
        <f>BI6*Premissas!$K$40</f>
        <v>4488.2907917669945</v>
      </c>
      <c r="BJ111" s="156">
        <f>BJ6*Premissas!$K$40</f>
        <v>4478.4736143687342</v>
      </c>
      <c r="BK111" s="156">
        <f>BK6*Premissas!$K$40</f>
        <v>4191.3211754696295</v>
      </c>
      <c r="BL111" s="156">
        <f>BL6*Premissas!$L$40</f>
        <v>11497.851043379638</v>
      </c>
      <c r="BM111" s="156">
        <f>BM6*Premissas!$L$40</f>
        <v>12102.464228336774</v>
      </c>
      <c r="BN111" s="156">
        <f>BN6*Premissas!$L$40</f>
        <v>14528.335534851907</v>
      </c>
      <c r="BO111" s="156">
        <f>BO6*Premissas!$L$40</f>
        <v>13632.54360744609</v>
      </c>
      <c r="BP111" s="156">
        <f>BP6*Premissas!$L$40</f>
        <v>14009.963187626387</v>
      </c>
      <c r="BQ111" s="156">
        <f>BQ6*Premissas!$L$40</f>
        <v>13546.302769714473</v>
      </c>
      <c r="BR111" s="156">
        <f>BR6*Premissas!$M$40</f>
        <v>12659.577465283919</v>
      </c>
      <c r="BS111" s="156">
        <f>BS6*Premissas!$M$40</f>
        <v>13063.888100214406</v>
      </c>
      <c r="BT111" s="156">
        <f>BT6*Premissas!$M$40</f>
        <v>11641.043224691544</v>
      </c>
      <c r="BU111" s="156">
        <f>BU6*Premissas!$M$40</f>
        <v>13352.290268697552</v>
      </c>
      <c r="BV111" s="156">
        <f>BV6*Premissas!$M$40</f>
        <v>13323.084985813184</v>
      </c>
      <c r="BW111" s="156">
        <f>BW6*Premissas!$M$40</f>
        <v>12468.830461445383</v>
      </c>
      <c r="BX111" s="156">
        <f>BX6*Premissas!$N$40</f>
        <v>11394.846060966049</v>
      </c>
      <c r="BY111" s="156">
        <f>BY6*Premissas!$N$40</f>
        <v>11994.042740678111</v>
      </c>
      <c r="BZ111" s="156">
        <f>BZ6*Premissas!$N$40</f>
        <v>14398.181566025896</v>
      </c>
      <c r="CA111" s="156">
        <f>CA6*Premissas!$N$40</f>
        <v>13510.414706207104</v>
      </c>
      <c r="CB111" s="156">
        <f>CB6*Premissas!$N$40</f>
        <v>13884.453124370924</v>
      </c>
      <c r="CC111" s="156">
        <f>CC6*Premissas!$N$40</f>
        <v>13424.946468150016</v>
      </c>
      <c r="CD111" s="156">
        <f>CD6*Premissas!$O$40</f>
        <v>12546.791059635463</v>
      </c>
      <c r="CE111" s="156">
        <f>CE6*Premissas!$O$40</f>
        <v>12947.499619899214</v>
      </c>
      <c r="CF111" s="156">
        <f>CF6*Premissas!$O$40</f>
        <v>11537.331120009394</v>
      </c>
      <c r="CG111" s="156">
        <f>CG6*Premissas!$O$40</f>
        <v>13233.332362660718</v>
      </c>
      <c r="CH111" s="156">
        <f>CH6*Premissas!$O$40</f>
        <v>13204.387274786135</v>
      </c>
      <c r="CI111" s="156">
        <f>CI6*Premissas!$O$40</f>
        <v>12357.743454454596</v>
      </c>
      <c r="CJ111" s="156">
        <f>CJ6*Premissas!$P$40</f>
        <v>11292.892546555406</v>
      </c>
      <c r="CK111" s="156">
        <f>CK6*Premissas!$P$40</f>
        <v>11886.728012347332</v>
      </c>
      <c r="CL111" s="156">
        <f>CL6*Premissas!$P$40</f>
        <v>14269.356200248691</v>
      </c>
      <c r="CM111" s="156">
        <f>CM6*Premissas!$P$40</f>
        <v>13389.532488661263</v>
      </c>
      <c r="CN111" s="156">
        <f>CN6*Premissas!$P$40</f>
        <v>13760.224259485367</v>
      </c>
      <c r="CO111" s="156">
        <f>CO6*Premissas!$P$40</f>
        <v>13304.828963632659</v>
      </c>
      <c r="CP111" s="156">
        <f>CP6*Premissas!$Q$40</f>
        <v>12435.160221944978</v>
      </c>
      <c r="CQ111" s="156">
        <f>CQ6*Premissas!$Q$40</f>
        <v>12832.303613071907</v>
      </c>
      <c r="CR111" s="156">
        <f>CR6*Premissas!$Q$40</f>
        <v>11434.681611340799</v>
      </c>
      <c r="CS111" s="156">
        <f>CS6*Premissas!$Q$40</f>
        <v>13115.593255501048</v>
      </c>
      <c r="CT111" s="156">
        <f>CT6*Premissas!$Q$40</f>
        <v>13086.905696774047</v>
      </c>
      <c r="CU111" s="156">
        <f>CU6*Premissas!$Q$40</f>
        <v>12247.794604009248</v>
      </c>
      <c r="CV111" s="156">
        <f>CV6*Premissas!$R$40</f>
        <v>11191.991736739707</v>
      </c>
      <c r="CW111" s="156">
        <f>CW6*Premissas!$R$40</f>
        <v>11780.521344962488</v>
      </c>
      <c r="CX111" s="156">
        <f>CX6*Premissas!$R$40</f>
        <v>14141.861000040404</v>
      </c>
      <c r="CY111" s="156">
        <f>CY6*Premissas!$R$40</f>
        <v>13269.898420986405</v>
      </c>
      <c r="CZ111" s="156">
        <f>CZ6*Premissas!$R$40</f>
        <v>13637.278099738969</v>
      </c>
      <c r="DA111" s="156">
        <f>DA6*Premissas!$R$40</f>
        <v>13185.951713065057</v>
      </c>
      <c r="DB111" s="156">
        <f>DB6*Premissas!$S$40</f>
        <v>0</v>
      </c>
      <c r="DC111" s="156">
        <f>DC6*Premissas!$S$40</f>
        <v>0</v>
      </c>
      <c r="DD111" s="156">
        <f>DD6*Premissas!$S$40</f>
        <v>0</v>
      </c>
      <c r="DE111" s="156">
        <f>DE6*Premissas!$S$40</f>
        <v>0</v>
      </c>
      <c r="DF111" s="156">
        <f>DF6*Premissas!$S$40</f>
        <v>0</v>
      </c>
      <c r="DG111" s="156">
        <f>DG6*Premissas!$S$40</f>
        <v>0</v>
      </c>
      <c r="DH111" s="156">
        <f>DH6*Premissas!$T$40</f>
        <v>0</v>
      </c>
      <c r="DI111" s="156">
        <f>DI6*Premissas!$T$40</f>
        <v>0</v>
      </c>
      <c r="DJ111" s="156">
        <f>DJ6*Premissas!$T$40</f>
        <v>0</v>
      </c>
      <c r="DK111" s="156">
        <f>DK6*Premissas!$T$40</f>
        <v>0</v>
      </c>
      <c r="DL111" s="156">
        <f>DL6*Premissas!$T$40</f>
        <v>0</v>
      </c>
      <c r="DM111" s="156">
        <f>DM6*Premissas!$T$40</f>
        <v>0</v>
      </c>
      <c r="DN111" s="156">
        <f>DN6*Premissas!$U$40</f>
        <v>0</v>
      </c>
      <c r="DO111" s="156">
        <f>DO6*Premissas!$U$40</f>
        <v>0</v>
      </c>
      <c r="DP111" s="156">
        <f>DP6*Premissas!$U$40</f>
        <v>0</v>
      </c>
      <c r="DQ111" s="156">
        <f>DQ6*Premissas!$U$40</f>
        <v>0</v>
      </c>
      <c r="DR111" s="156">
        <f>DR6*Premissas!$U$40</f>
        <v>0</v>
      </c>
      <c r="DS111" s="156">
        <f>DS6*Premissas!$U$40</f>
        <v>0</v>
      </c>
    </row>
    <row r="112" spans="1:123" ht="12.75" customHeight="1" x14ac:dyDescent="0.35">
      <c r="A112" s="146" t="s">
        <v>492</v>
      </c>
      <c r="B112" s="139">
        <f>AA112</f>
        <v>173187.93662500003</v>
      </c>
      <c r="C112" s="139" t="s">
        <v>169</v>
      </c>
      <c r="D112" s="139">
        <f>0</f>
        <v>0</v>
      </c>
      <c r="E112" s="139">
        <f t="shared" ref="E112:AJ112" si="186">D114</f>
        <v>832.40999999999985</v>
      </c>
      <c r="F112" s="139">
        <f t="shared" si="186"/>
        <v>0</v>
      </c>
      <c r="G112" s="139">
        <f t="shared" si="186"/>
        <v>689.52999999999884</v>
      </c>
      <c r="H112" s="139">
        <f t="shared" si="186"/>
        <v>0</v>
      </c>
      <c r="I112" s="139">
        <f t="shared" si="186"/>
        <v>5173.2360000000008</v>
      </c>
      <c r="J112" s="139">
        <f t="shared" si="186"/>
        <v>8661.9720000000016</v>
      </c>
      <c r="K112" s="139">
        <f t="shared" si="186"/>
        <v>11820.329000000002</v>
      </c>
      <c r="L112" s="139">
        <f t="shared" si="186"/>
        <v>16724.001810000002</v>
      </c>
      <c r="M112" s="139">
        <f t="shared" si="186"/>
        <v>19169.538885000002</v>
      </c>
      <c r="N112" s="139">
        <f t="shared" si="186"/>
        <v>25999.697835000003</v>
      </c>
      <c r="O112" s="139">
        <f t="shared" si="186"/>
        <v>29149.380105000004</v>
      </c>
      <c r="P112" s="139">
        <f t="shared" si="186"/>
        <v>32477.992735000003</v>
      </c>
      <c r="Q112" s="139">
        <f t="shared" si="186"/>
        <v>34801.995370000004</v>
      </c>
      <c r="R112" s="139">
        <f t="shared" si="186"/>
        <v>35286.631985</v>
      </c>
      <c r="S112" s="139">
        <f t="shared" si="186"/>
        <v>37851.591440000004</v>
      </c>
      <c r="T112" s="139">
        <f t="shared" si="186"/>
        <v>37137.780305000008</v>
      </c>
      <c r="U112" s="139">
        <f t="shared" si="186"/>
        <v>57545.076145000014</v>
      </c>
      <c r="V112" s="139">
        <f t="shared" si="186"/>
        <v>75726.631985000015</v>
      </c>
      <c r="W112" s="139">
        <f t="shared" si="186"/>
        <v>92832.29306500002</v>
      </c>
      <c r="X112" s="139">
        <f t="shared" si="186"/>
        <v>112505.36578500002</v>
      </c>
      <c r="Y112" s="139">
        <f t="shared" si="186"/>
        <v>128111.70318500002</v>
      </c>
      <c r="Z112" s="139">
        <f t="shared" si="186"/>
        <v>150037.31558500003</v>
      </c>
      <c r="AA112" s="139">
        <f t="shared" si="186"/>
        <v>173187.93662500003</v>
      </c>
      <c r="AB112" s="139">
        <f t="shared" si="186"/>
        <v>195235.06038500002</v>
      </c>
      <c r="AC112" s="139">
        <f t="shared" si="186"/>
        <v>189160.57958350002</v>
      </c>
      <c r="AD112" s="139">
        <f t="shared" si="186"/>
        <v>180755.82856000002</v>
      </c>
      <c r="AE112" s="139">
        <f t="shared" si="186"/>
        <v>172699.47186050002</v>
      </c>
      <c r="AF112" s="139">
        <f t="shared" si="186"/>
        <v>161941.73331200003</v>
      </c>
      <c r="AG112" s="139">
        <f t="shared" si="186"/>
        <v>151338.17117400002</v>
      </c>
      <c r="AH112" s="139">
        <f t="shared" si="186"/>
        <v>139495.90828600002</v>
      </c>
      <c r="AI112" s="139">
        <f t="shared" si="186"/>
        <v>128143.79703960002</v>
      </c>
      <c r="AJ112" s="139">
        <f t="shared" si="186"/>
        <v>118236.75498200001</v>
      </c>
      <c r="AK112" s="139">
        <f t="shared" ref="AK112:BP112" si="187">AJ114</f>
        <v>107386.93219000002</v>
      </c>
      <c r="AL112" s="139">
        <f t="shared" si="187"/>
        <v>99170.912398000015</v>
      </c>
      <c r="AM112" s="139">
        <f t="shared" si="187"/>
        <v>92310.865034800023</v>
      </c>
      <c r="AN112" s="139">
        <f t="shared" si="187"/>
        <v>86290.511214000027</v>
      </c>
      <c r="AO112" s="139">
        <f t="shared" si="187"/>
        <v>80054.56175988265</v>
      </c>
      <c r="AP112" s="139">
        <f t="shared" si="187"/>
        <v>71428.790703693783</v>
      </c>
      <c r="AQ112" s="139">
        <f t="shared" si="187"/>
        <v>63158.213955757907</v>
      </c>
      <c r="AR112" s="139">
        <f t="shared" si="187"/>
        <v>52119.590685737785</v>
      </c>
      <c r="AS112" s="139">
        <f t="shared" si="187"/>
        <v>41238.423869639286</v>
      </c>
      <c r="AT112" s="139">
        <f t="shared" si="187"/>
        <v>29088.212269853284</v>
      </c>
      <c r="AU112" s="139">
        <f t="shared" si="187"/>
        <v>17439.370553276407</v>
      </c>
      <c r="AV112" s="139">
        <f t="shared" si="187"/>
        <v>7271.8940677251576</v>
      </c>
      <c r="AW112" s="139">
        <f t="shared" si="187"/>
        <v>0</v>
      </c>
      <c r="AX112" s="139">
        <f t="shared" si="187"/>
        <v>0</v>
      </c>
      <c r="AY112" s="139">
        <f t="shared" si="187"/>
        <v>0</v>
      </c>
      <c r="AZ112" s="139">
        <f t="shared" si="187"/>
        <v>0</v>
      </c>
      <c r="BA112" s="139">
        <f t="shared" si="187"/>
        <v>0</v>
      </c>
      <c r="BB112" s="139">
        <f t="shared" si="187"/>
        <v>0</v>
      </c>
      <c r="BC112" s="139">
        <f t="shared" si="187"/>
        <v>0</v>
      </c>
      <c r="BD112" s="139">
        <f t="shared" si="187"/>
        <v>0</v>
      </c>
      <c r="BE112" s="139">
        <f t="shared" si="187"/>
        <v>0</v>
      </c>
      <c r="BF112" s="139">
        <f t="shared" si="187"/>
        <v>0</v>
      </c>
      <c r="BG112" s="139">
        <f t="shared" si="187"/>
        <v>0</v>
      </c>
      <c r="BH112" s="139">
        <f t="shared" si="187"/>
        <v>0</v>
      </c>
      <c r="BI112" s="139">
        <f t="shared" si="187"/>
        <v>0</v>
      </c>
      <c r="BJ112" s="139">
        <f t="shared" si="187"/>
        <v>0</v>
      </c>
      <c r="BK112" s="139">
        <f t="shared" si="187"/>
        <v>0</v>
      </c>
      <c r="BL112" s="139">
        <f t="shared" si="187"/>
        <v>0</v>
      </c>
      <c r="BM112" s="139">
        <f t="shared" si="187"/>
        <v>4162.8510433796382</v>
      </c>
      <c r="BN112" s="139">
        <f t="shared" si="187"/>
        <v>6379.3152717164121</v>
      </c>
      <c r="BO112" s="139">
        <f t="shared" si="187"/>
        <v>11229.650806568319</v>
      </c>
      <c r="BP112" s="139">
        <f t="shared" si="187"/>
        <v>12336.19441401441</v>
      </c>
      <c r="BQ112" s="139">
        <f t="shared" ref="BQ112:CV112" si="188">BP114</f>
        <v>13960.157601640796</v>
      </c>
      <c r="BR112" s="139">
        <f t="shared" si="188"/>
        <v>13818.46037135527</v>
      </c>
      <c r="BS112" s="139">
        <f t="shared" si="188"/>
        <v>13306.037836639189</v>
      </c>
      <c r="BT112" s="139">
        <f t="shared" si="188"/>
        <v>14723.925936853595</v>
      </c>
      <c r="BU112" s="139">
        <f t="shared" si="188"/>
        <v>13810.969161545139</v>
      </c>
      <c r="BV112" s="139">
        <f t="shared" si="188"/>
        <v>17317.259430242691</v>
      </c>
      <c r="BW112" s="139">
        <f t="shared" si="188"/>
        <v>22256.344416055876</v>
      </c>
      <c r="BX112" s="139">
        <f t="shared" si="188"/>
        <v>27310.17487750126</v>
      </c>
      <c r="BY112" s="139">
        <f t="shared" si="188"/>
        <v>31187.020938467307</v>
      </c>
      <c r="BZ112" s="139">
        <f t="shared" si="188"/>
        <v>33048.063679145416</v>
      </c>
      <c r="CA112" s="139">
        <f t="shared" si="188"/>
        <v>37526.245245171311</v>
      </c>
      <c r="CB112" s="139">
        <f t="shared" si="188"/>
        <v>38197.659951378417</v>
      </c>
      <c r="CC112" s="139">
        <f t="shared" si="188"/>
        <v>39387.113075749337</v>
      </c>
      <c r="CD112" s="139">
        <f t="shared" si="188"/>
        <v>38782.059543899355</v>
      </c>
      <c r="CE112" s="139">
        <f t="shared" si="188"/>
        <v>37827.850603534818</v>
      </c>
      <c r="CF112" s="139">
        <f t="shared" si="188"/>
        <v>38838.350223434034</v>
      </c>
      <c r="CG112" s="139">
        <f t="shared" si="188"/>
        <v>37507.68134344343</v>
      </c>
      <c r="CH112" s="139">
        <f t="shared" si="188"/>
        <v>40649.013706104146</v>
      </c>
      <c r="CI112" s="139">
        <f t="shared" si="188"/>
        <v>45260.400980890277</v>
      </c>
      <c r="CJ112" s="139">
        <f t="shared" si="188"/>
        <v>50017.144435344875</v>
      </c>
      <c r="CK112" s="139">
        <f t="shared" si="188"/>
        <v>53604.036981900281</v>
      </c>
      <c r="CL112" s="139">
        <f t="shared" si="188"/>
        <v>55103.764994247613</v>
      </c>
      <c r="CM112" s="139">
        <f t="shared" si="188"/>
        <v>59205.1211944963</v>
      </c>
      <c r="CN112" s="139">
        <f t="shared" si="188"/>
        <v>59434.653683157565</v>
      </c>
      <c r="CO112" s="139">
        <f t="shared" si="188"/>
        <v>60181.877942642932</v>
      </c>
      <c r="CP112" s="139">
        <f t="shared" si="188"/>
        <v>59105.706906275591</v>
      </c>
      <c r="CQ112" s="139">
        <f t="shared" si="188"/>
        <v>57701.867128220569</v>
      </c>
      <c r="CR112" s="139">
        <f t="shared" si="188"/>
        <v>58299.170741292473</v>
      </c>
      <c r="CS112" s="139">
        <f t="shared" si="188"/>
        <v>56543.852352633272</v>
      </c>
      <c r="CT112" s="139">
        <f t="shared" si="188"/>
        <v>59315.445608134323</v>
      </c>
      <c r="CU112" s="139">
        <f t="shared" si="188"/>
        <v>63594.35130490837</v>
      </c>
      <c r="CV112" s="139">
        <f t="shared" si="188"/>
        <v>68051.145908917621</v>
      </c>
      <c r="CW112" s="139">
        <f t="shared" ref="CW112:DS112" si="189">CV114</f>
        <v>71344.13764565732</v>
      </c>
      <c r="CX112" s="139">
        <f t="shared" si="189"/>
        <v>72478.658990619806</v>
      </c>
      <c r="CY112" s="139">
        <f t="shared" si="189"/>
        <v>76198.519990660207</v>
      </c>
      <c r="CZ112" s="139">
        <f t="shared" si="189"/>
        <v>75979.418411646606</v>
      </c>
      <c r="DA112" s="139">
        <f t="shared" si="189"/>
        <v>76278.696511385569</v>
      </c>
      <c r="DB112" s="139">
        <f t="shared" si="189"/>
        <v>74724.648224450619</v>
      </c>
      <c r="DC112" s="139">
        <f t="shared" si="189"/>
        <v>60539.648224450619</v>
      </c>
      <c r="DD112" s="139">
        <f t="shared" si="189"/>
        <v>47998.648224450619</v>
      </c>
      <c r="DE112" s="139">
        <f t="shared" si="189"/>
        <v>34479.648224450619</v>
      </c>
      <c r="DF112" s="139">
        <f t="shared" si="189"/>
        <v>23876.648224450619</v>
      </c>
      <c r="DG112" s="139">
        <f t="shared" si="189"/>
        <v>14848.648224450619</v>
      </c>
      <c r="DH112" s="139">
        <f t="shared" si="189"/>
        <v>6863.6482244506187</v>
      </c>
      <c r="DI112" s="139">
        <f t="shared" si="189"/>
        <v>0</v>
      </c>
      <c r="DJ112" s="139">
        <f t="shared" si="189"/>
        <v>0</v>
      </c>
      <c r="DK112" s="139">
        <f t="shared" si="189"/>
        <v>0</v>
      </c>
      <c r="DL112" s="139">
        <f t="shared" si="189"/>
        <v>0</v>
      </c>
      <c r="DM112" s="139">
        <f t="shared" si="189"/>
        <v>0</v>
      </c>
      <c r="DN112" s="139">
        <f t="shared" si="189"/>
        <v>0</v>
      </c>
      <c r="DO112" s="139">
        <f t="shared" si="189"/>
        <v>0</v>
      </c>
      <c r="DP112" s="139">
        <f t="shared" si="189"/>
        <v>0</v>
      </c>
      <c r="DQ112" s="139">
        <f t="shared" si="189"/>
        <v>0</v>
      </c>
      <c r="DR112" s="139">
        <f t="shared" si="189"/>
        <v>0</v>
      </c>
      <c r="DS112" s="139">
        <f t="shared" si="189"/>
        <v>0</v>
      </c>
    </row>
    <row r="113" spans="1:123" ht="12.75" customHeight="1" x14ac:dyDescent="0.35">
      <c r="A113" s="146" t="s">
        <v>493</v>
      </c>
      <c r="B113" s="139">
        <f>SUM(D113:BQ113)</f>
        <v>197612.50875028555</v>
      </c>
      <c r="C113" s="139">
        <f>B113/60</f>
        <v>3293.541812504759</v>
      </c>
      <c r="D113" s="139">
        <f t="shared" ref="D113:AI113" si="190">MIN(D112,MAX(D110-D111,0))</f>
        <v>0</v>
      </c>
      <c r="E113" s="139">
        <f t="shared" si="190"/>
        <v>832.40999999999985</v>
      </c>
      <c r="F113" s="139">
        <f t="shared" si="190"/>
        <v>0</v>
      </c>
      <c r="G113" s="139">
        <f t="shared" si="190"/>
        <v>689.52999999999884</v>
      </c>
      <c r="H113" s="139">
        <f t="shared" si="190"/>
        <v>0</v>
      </c>
      <c r="I113" s="139">
        <f t="shared" si="190"/>
        <v>0</v>
      </c>
      <c r="J113" s="139">
        <f t="shared" si="190"/>
        <v>0</v>
      </c>
      <c r="K113" s="139">
        <f t="shared" si="190"/>
        <v>0</v>
      </c>
      <c r="L113" s="139">
        <f t="shared" si="190"/>
        <v>0</v>
      </c>
      <c r="M113" s="139">
        <f t="shared" si="190"/>
        <v>0</v>
      </c>
      <c r="N113" s="139">
        <f t="shared" si="190"/>
        <v>0</v>
      </c>
      <c r="O113" s="139">
        <f t="shared" si="190"/>
        <v>0</v>
      </c>
      <c r="P113" s="139">
        <f t="shared" si="190"/>
        <v>0</v>
      </c>
      <c r="Q113" s="139">
        <f t="shared" si="190"/>
        <v>0</v>
      </c>
      <c r="R113" s="139">
        <f t="shared" si="190"/>
        <v>0</v>
      </c>
      <c r="S113" s="139">
        <f t="shared" si="190"/>
        <v>713.81113499999992</v>
      </c>
      <c r="T113" s="139">
        <f t="shared" si="190"/>
        <v>0</v>
      </c>
      <c r="U113" s="139">
        <f t="shared" si="190"/>
        <v>0</v>
      </c>
      <c r="V113" s="139">
        <f t="shared" si="190"/>
        <v>0</v>
      </c>
      <c r="W113" s="139">
        <f t="shared" si="190"/>
        <v>0</v>
      </c>
      <c r="X113" s="139">
        <f t="shared" si="190"/>
        <v>0</v>
      </c>
      <c r="Y113" s="139">
        <f t="shared" si="190"/>
        <v>0</v>
      </c>
      <c r="Z113" s="139">
        <f t="shared" si="190"/>
        <v>0</v>
      </c>
      <c r="AA113" s="139">
        <f t="shared" si="190"/>
        <v>0</v>
      </c>
      <c r="AB113" s="139">
        <f t="shared" si="190"/>
        <v>6074.4808014999999</v>
      </c>
      <c r="AC113" s="139">
        <f t="shared" si="190"/>
        <v>8404.7510235000009</v>
      </c>
      <c r="AD113" s="139">
        <f t="shared" si="190"/>
        <v>8056.3566995000001</v>
      </c>
      <c r="AE113" s="139">
        <f t="shared" si="190"/>
        <v>10757.7385485</v>
      </c>
      <c r="AF113" s="139">
        <f t="shared" si="190"/>
        <v>10603.562137999999</v>
      </c>
      <c r="AG113" s="139">
        <f t="shared" si="190"/>
        <v>11842.262887999999</v>
      </c>
      <c r="AH113" s="139">
        <f t="shared" si="190"/>
        <v>11352.1112464</v>
      </c>
      <c r="AI113" s="139">
        <f t="shared" si="190"/>
        <v>9907.0420575999997</v>
      </c>
      <c r="AJ113" s="139">
        <f t="shared" ref="AJ113:BO113" si="191">MIN(AJ112,MAX(AJ110-AJ111,0))</f>
        <v>10849.822791999999</v>
      </c>
      <c r="AK113" s="139">
        <f t="shared" si="191"/>
        <v>8216.0197919999991</v>
      </c>
      <c r="AL113" s="139">
        <f t="shared" si="191"/>
        <v>6860.0473631999994</v>
      </c>
      <c r="AM113" s="139">
        <f t="shared" si="191"/>
        <v>6020.3538208</v>
      </c>
      <c r="AN113" s="139">
        <f t="shared" si="191"/>
        <v>6235.9494541173754</v>
      </c>
      <c r="AO113" s="139">
        <f t="shared" si="191"/>
        <v>8625.7710561888744</v>
      </c>
      <c r="AP113" s="139">
        <f t="shared" si="191"/>
        <v>8270.5767479358747</v>
      </c>
      <c r="AQ113" s="139">
        <f t="shared" si="191"/>
        <v>11038.623270020125</v>
      </c>
      <c r="AR113" s="139">
        <f t="shared" si="191"/>
        <v>10881.166816098499</v>
      </c>
      <c r="AS113" s="139">
        <f t="shared" si="191"/>
        <v>12150.211599786</v>
      </c>
      <c r="AT113" s="139">
        <f t="shared" si="191"/>
        <v>11648.841716576875</v>
      </c>
      <c r="AU113" s="139">
        <f t="shared" si="191"/>
        <v>10167.476485551249</v>
      </c>
      <c r="AV113" s="139">
        <f t="shared" si="191"/>
        <v>7271.8940677251576</v>
      </c>
      <c r="AW113" s="139">
        <f t="shared" si="191"/>
        <v>0</v>
      </c>
      <c r="AX113" s="139">
        <f t="shared" si="191"/>
        <v>0</v>
      </c>
      <c r="AY113" s="139">
        <f t="shared" si="191"/>
        <v>0</v>
      </c>
      <c r="AZ113" s="139">
        <f t="shared" si="191"/>
        <v>0</v>
      </c>
      <c r="BA113" s="139">
        <f t="shared" si="191"/>
        <v>0</v>
      </c>
      <c r="BB113" s="139">
        <f t="shared" si="191"/>
        <v>0</v>
      </c>
      <c r="BC113" s="139">
        <f t="shared" si="191"/>
        <v>0</v>
      </c>
      <c r="BD113" s="139">
        <f t="shared" si="191"/>
        <v>0</v>
      </c>
      <c r="BE113" s="139">
        <f t="shared" si="191"/>
        <v>0</v>
      </c>
      <c r="BF113" s="139">
        <f t="shared" si="191"/>
        <v>0</v>
      </c>
      <c r="BG113" s="139">
        <f t="shared" si="191"/>
        <v>0</v>
      </c>
      <c r="BH113" s="139">
        <f t="shared" si="191"/>
        <v>0</v>
      </c>
      <c r="BI113" s="139">
        <f t="shared" si="191"/>
        <v>0</v>
      </c>
      <c r="BJ113" s="139">
        <f t="shared" si="191"/>
        <v>0</v>
      </c>
      <c r="BK113" s="139">
        <f t="shared" si="191"/>
        <v>0</v>
      </c>
      <c r="BL113" s="139">
        <f t="shared" si="191"/>
        <v>0</v>
      </c>
      <c r="BM113" s="139">
        <f t="shared" si="191"/>
        <v>0</v>
      </c>
      <c r="BN113" s="139">
        <f t="shared" si="191"/>
        <v>0</v>
      </c>
      <c r="BO113" s="139">
        <f t="shared" si="191"/>
        <v>0</v>
      </c>
      <c r="BP113" s="139">
        <f t="shared" ref="BP113:CU113" si="192">MIN(BP112,MAX(BP110-BP111,0))</f>
        <v>0</v>
      </c>
      <c r="BQ113" s="139">
        <f t="shared" si="192"/>
        <v>141.69723028552653</v>
      </c>
      <c r="BR113" s="139">
        <f t="shared" si="192"/>
        <v>512.42253471608092</v>
      </c>
      <c r="BS113" s="139">
        <f t="shared" si="192"/>
        <v>0</v>
      </c>
      <c r="BT113" s="139">
        <f t="shared" si="192"/>
        <v>912.95677530845569</v>
      </c>
      <c r="BU113" s="139">
        <f t="shared" si="192"/>
        <v>0</v>
      </c>
      <c r="BV113" s="139">
        <f t="shared" si="192"/>
        <v>0</v>
      </c>
      <c r="BW113" s="139">
        <f t="shared" si="192"/>
        <v>0</v>
      </c>
      <c r="BX113" s="139">
        <f t="shared" si="192"/>
        <v>0</v>
      </c>
      <c r="BY113" s="139">
        <f t="shared" si="192"/>
        <v>0</v>
      </c>
      <c r="BZ113" s="139">
        <f t="shared" si="192"/>
        <v>0</v>
      </c>
      <c r="CA113" s="139">
        <f t="shared" si="192"/>
        <v>0</v>
      </c>
      <c r="CB113" s="139">
        <f t="shared" si="192"/>
        <v>0</v>
      </c>
      <c r="CC113" s="139">
        <f t="shared" si="192"/>
        <v>605.05353184998421</v>
      </c>
      <c r="CD113" s="139">
        <f t="shared" si="192"/>
        <v>954.20894036453683</v>
      </c>
      <c r="CE113" s="139">
        <f t="shared" si="192"/>
        <v>0</v>
      </c>
      <c r="CF113" s="139">
        <f t="shared" si="192"/>
        <v>1330.668879990606</v>
      </c>
      <c r="CG113" s="139">
        <f t="shared" si="192"/>
        <v>0</v>
      </c>
      <c r="CH113" s="139">
        <f t="shared" si="192"/>
        <v>0</v>
      </c>
      <c r="CI113" s="139">
        <f t="shared" si="192"/>
        <v>0</v>
      </c>
      <c r="CJ113" s="139">
        <f t="shared" si="192"/>
        <v>0</v>
      </c>
      <c r="CK113" s="139">
        <f t="shared" si="192"/>
        <v>0</v>
      </c>
      <c r="CL113" s="139">
        <f t="shared" si="192"/>
        <v>0</v>
      </c>
      <c r="CM113" s="139">
        <f t="shared" si="192"/>
        <v>0</v>
      </c>
      <c r="CN113" s="139">
        <f t="shared" si="192"/>
        <v>0</v>
      </c>
      <c r="CO113" s="139">
        <f t="shared" si="192"/>
        <v>1076.171036367341</v>
      </c>
      <c r="CP113" s="139">
        <f t="shared" si="192"/>
        <v>1403.8397780550222</v>
      </c>
      <c r="CQ113" s="139">
        <f t="shared" si="192"/>
        <v>0</v>
      </c>
      <c r="CR113" s="139">
        <f t="shared" si="192"/>
        <v>1755.3183886592014</v>
      </c>
      <c r="CS113" s="139">
        <f t="shared" si="192"/>
        <v>0</v>
      </c>
      <c r="CT113" s="139">
        <f t="shared" si="192"/>
        <v>0</v>
      </c>
      <c r="CU113" s="139">
        <f t="shared" si="192"/>
        <v>0</v>
      </c>
      <c r="CV113" s="139">
        <f t="shared" ref="CV113:DS113" si="193">MIN(CV112,MAX(CV110-CV111,0))</f>
        <v>0</v>
      </c>
      <c r="CW113" s="139">
        <f t="shared" si="193"/>
        <v>0</v>
      </c>
      <c r="CX113" s="139">
        <f t="shared" si="193"/>
        <v>0</v>
      </c>
      <c r="CY113" s="139">
        <f t="shared" si="193"/>
        <v>219.10157901359526</v>
      </c>
      <c r="CZ113" s="139">
        <f t="shared" si="193"/>
        <v>0</v>
      </c>
      <c r="DA113" s="139">
        <f t="shared" si="193"/>
        <v>1554.0482869349435</v>
      </c>
      <c r="DB113" s="139">
        <f t="shared" si="193"/>
        <v>14185</v>
      </c>
      <c r="DC113" s="139">
        <f t="shared" si="193"/>
        <v>12541</v>
      </c>
      <c r="DD113" s="139">
        <f t="shared" si="193"/>
        <v>13519</v>
      </c>
      <c r="DE113" s="139">
        <f t="shared" si="193"/>
        <v>10603</v>
      </c>
      <c r="DF113" s="139">
        <f t="shared" si="193"/>
        <v>9028</v>
      </c>
      <c r="DG113" s="139">
        <f t="shared" si="193"/>
        <v>7985</v>
      </c>
      <c r="DH113" s="139">
        <f t="shared" si="193"/>
        <v>6863.6482244506187</v>
      </c>
      <c r="DI113" s="139">
        <f t="shared" si="193"/>
        <v>0</v>
      </c>
      <c r="DJ113" s="139">
        <f t="shared" si="193"/>
        <v>0</v>
      </c>
      <c r="DK113" s="139">
        <f t="shared" si="193"/>
        <v>0</v>
      </c>
      <c r="DL113" s="139">
        <f t="shared" si="193"/>
        <v>0</v>
      </c>
      <c r="DM113" s="139">
        <f t="shared" si="193"/>
        <v>0</v>
      </c>
      <c r="DN113" s="139">
        <f t="shared" si="193"/>
        <v>0</v>
      </c>
      <c r="DO113" s="139">
        <f t="shared" si="193"/>
        <v>0</v>
      </c>
      <c r="DP113" s="139">
        <f t="shared" si="193"/>
        <v>0</v>
      </c>
      <c r="DQ113" s="139">
        <f t="shared" si="193"/>
        <v>0</v>
      </c>
      <c r="DR113" s="139">
        <f t="shared" si="193"/>
        <v>0</v>
      </c>
      <c r="DS113" s="139">
        <f t="shared" si="193"/>
        <v>0</v>
      </c>
    </row>
    <row r="114" spans="1:123" ht="13.5" customHeight="1" x14ac:dyDescent="0.35">
      <c r="A114" s="39" t="s">
        <v>494</v>
      </c>
      <c r="B114" s="41">
        <f>AA114</f>
        <v>195235.06038500002</v>
      </c>
      <c r="C114" s="139" t="s">
        <v>169</v>
      </c>
      <c r="D114" s="157">
        <f t="shared" ref="D114:AI114" si="194">MAX(D112-D113,0)+MAX(D111-D110,0)</f>
        <v>832.40999999999985</v>
      </c>
      <c r="E114" s="157">
        <f t="shared" si="194"/>
        <v>0</v>
      </c>
      <c r="F114" s="157">
        <f t="shared" si="194"/>
        <v>689.52999999999884</v>
      </c>
      <c r="G114" s="157">
        <f t="shared" si="194"/>
        <v>0</v>
      </c>
      <c r="H114" s="157">
        <f t="shared" si="194"/>
        <v>5173.2360000000008</v>
      </c>
      <c r="I114" s="157">
        <f t="shared" si="194"/>
        <v>8661.9720000000016</v>
      </c>
      <c r="J114" s="157">
        <f t="shared" si="194"/>
        <v>11820.329000000002</v>
      </c>
      <c r="K114" s="157">
        <f t="shared" si="194"/>
        <v>16724.001810000002</v>
      </c>
      <c r="L114" s="157">
        <f t="shared" si="194"/>
        <v>19169.538885000002</v>
      </c>
      <c r="M114" s="157">
        <f t="shared" si="194"/>
        <v>25999.697835000003</v>
      </c>
      <c r="N114" s="157">
        <f t="shared" si="194"/>
        <v>29149.380105000004</v>
      </c>
      <c r="O114" s="157">
        <f t="shared" si="194"/>
        <v>32477.992735000003</v>
      </c>
      <c r="P114" s="157">
        <f t="shared" si="194"/>
        <v>34801.995370000004</v>
      </c>
      <c r="Q114" s="157">
        <f t="shared" si="194"/>
        <v>35286.631985</v>
      </c>
      <c r="R114" s="157">
        <f t="shared" si="194"/>
        <v>37851.591440000004</v>
      </c>
      <c r="S114" s="157">
        <f t="shared" si="194"/>
        <v>37137.780305000008</v>
      </c>
      <c r="T114" s="157">
        <f t="shared" si="194"/>
        <v>57545.076145000014</v>
      </c>
      <c r="U114" s="157">
        <f t="shared" si="194"/>
        <v>75726.631985000015</v>
      </c>
      <c r="V114" s="157">
        <f t="shared" si="194"/>
        <v>92832.29306500002</v>
      </c>
      <c r="W114" s="157">
        <f t="shared" si="194"/>
        <v>112505.36578500002</v>
      </c>
      <c r="X114" s="157">
        <f t="shared" si="194"/>
        <v>128111.70318500002</v>
      </c>
      <c r="Y114" s="157">
        <f t="shared" si="194"/>
        <v>150037.31558500003</v>
      </c>
      <c r="Z114" s="157">
        <f t="shared" si="194"/>
        <v>173187.93662500003</v>
      </c>
      <c r="AA114" s="157">
        <f t="shared" si="194"/>
        <v>195235.06038500002</v>
      </c>
      <c r="AB114" s="157">
        <f t="shared" si="194"/>
        <v>189160.57958350002</v>
      </c>
      <c r="AC114" s="157">
        <f t="shared" si="194"/>
        <v>180755.82856000002</v>
      </c>
      <c r="AD114" s="157">
        <f t="shared" si="194"/>
        <v>172699.47186050002</v>
      </c>
      <c r="AE114" s="157">
        <f t="shared" si="194"/>
        <v>161941.73331200003</v>
      </c>
      <c r="AF114" s="157">
        <f t="shared" si="194"/>
        <v>151338.17117400002</v>
      </c>
      <c r="AG114" s="157">
        <f t="shared" si="194"/>
        <v>139495.90828600002</v>
      </c>
      <c r="AH114" s="157">
        <f t="shared" si="194"/>
        <v>128143.79703960002</v>
      </c>
      <c r="AI114" s="157">
        <f t="shared" si="194"/>
        <v>118236.75498200001</v>
      </c>
      <c r="AJ114" s="157">
        <f t="shared" ref="AJ114:BO114" si="195">MAX(AJ112-AJ113,0)+MAX(AJ111-AJ110,0)</f>
        <v>107386.93219000002</v>
      </c>
      <c r="AK114" s="157">
        <f t="shared" si="195"/>
        <v>99170.912398000015</v>
      </c>
      <c r="AL114" s="157">
        <f t="shared" si="195"/>
        <v>92310.865034800023</v>
      </c>
      <c r="AM114" s="157">
        <f t="shared" si="195"/>
        <v>86290.511214000027</v>
      </c>
      <c r="AN114" s="157">
        <f t="shared" si="195"/>
        <v>80054.56175988265</v>
      </c>
      <c r="AO114" s="157">
        <f t="shared" si="195"/>
        <v>71428.790703693783</v>
      </c>
      <c r="AP114" s="157">
        <f t="shared" si="195"/>
        <v>63158.213955757907</v>
      </c>
      <c r="AQ114" s="157">
        <f t="shared" si="195"/>
        <v>52119.590685737785</v>
      </c>
      <c r="AR114" s="157">
        <f t="shared" si="195"/>
        <v>41238.423869639286</v>
      </c>
      <c r="AS114" s="157">
        <f t="shared" si="195"/>
        <v>29088.212269853284</v>
      </c>
      <c r="AT114" s="157">
        <f t="shared" si="195"/>
        <v>17439.370553276407</v>
      </c>
      <c r="AU114" s="157">
        <f t="shared" si="195"/>
        <v>7271.8940677251576</v>
      </c>
      <c r="AV114" s="157">
        <f t="shared" si="195"/>
        <v>0</v>
      </c>
      <c r="AW114" s="157">
        <f t="shared" si="195"/>
        <v>0</v>
      </c>
      <c r="AX114" s="157">
        <f t="shared" si="195"/>
        <v>0</v>
      </c>
      <c r="AY114" s="157">
        <f t="shared" si="195"/>
        <v>0</v>
      </c>
      <c r="AZ114" s="157">
        <f t="shared" si="195"/>
        <v>0</v>
      </c>
      <c r="BA114" s="157">
        <f t="shared" si="195"/>
        <v>0</v>
      </c>
      <c r="BB114" s="157">
        <f t="shared" si="195"/>
        <v>0</v>
      </c>
      <c r="BC114" s="157">
        <f t="shared" si="195"/>
        <v>0</v>
      </c>
      <c r="BD114" s="157">
        <f t="shared" si="195"/>
        <v>0</v>
      </c>
      <c r="BE114" s="157">
        <f t="shared" si="195"/>
        <v>0</v>
      </c>
      <c r="BF114" s="157">
        <f t="shared" si="195"/>
        <v>0</v>
      </c>
      <c r="BG114" s="157">
        <f t="shared" si="195"/>
        <v>0</v>
      </c>
      <c r="BH114" s="157">
        <f t="shared" si="195"/>
        <v>0</v>
      </c>
      <c r="BI114" s="157">
        <f t="shared" si="195"/>
        <v>0</v>
      </c>
      <c r="BJ114" s="157">
        <f t="shared" si="195"/>
        <v>0</v>
      </c>
      <c r="BK114" s="157">
        <f t="shared" si="195"/>
        <v>0</v>
      </c>
      <c r="BL114" s="157">
        <f t="shared" si="195"/>
        <v>4162.8510433796382</v>
      </c>
      <c r="BM114" s="157">
        <f t="shared" si="195"/>
        <v>6379.3152717164121</v>
      </c>
      <c r="BN114" s="157">
        <f t="shared" si="195"/>
        <v>11229.650806568319</v>
      </c>
      <c r="BO114" s="157">
        <f t="shared" si="195"/>
        <v>12336.19441401441</v>
      </c>
      <c r="BP114" s="157">
        <f t="shared" ref="BP114:CU114" si="196">MAX(BP112-BP113,0)+MAX(BP111-BP110,0)</f>
        <v>13960.157601640796</v>
      </c>
      <c r="BQ114" s="157">
        <f t="shared" si="196"/>
        <v>13818.46037135527</v>
      </c>
      <c r="BR114" s="157">
        <f t="shared" si="196"/>
        <v>13306.037836639189</v>
      </c>
      <c r="BS114" s="157">
        <f t="shared" si="196"/>
        <v>14723.925936853595</v>
      </c>
      <c r="BT114" s="157">
        <f t="shared" si="196"/>
        <v>13810.969161545139</v>
      </c>
      <c r="BU114" s="157">
        <f t="shared" si="196"/>
        <v>17317.259430242691</v>
      </c>
      <c r="BV114" s="157">
        <f t="shared" si="196"/>
        <v>22256.344416055876</v>
      </c>
      <c r="BW114" s="157">
        <f t="shared" si="196"/>
        <v>27310.17487750126</v>
      </c>
      <c r="BX114" s="157">
        <f t="shared" si="196"/>
        <v>31187.020938467307</v>
      </c>
      <c r="BY114" s="157">
        <f t="shared" si="196"/>
        <v>33048.063679145416</v>
      </c>
      <c r="BZ114" s="157">
        <f t="shared" si="196"/>
        <v>37526.245245171311</v>
      </c>
      <c r="CA114" s="157">
        <f t="shared" si="196"/>
        <v>38197.659951378417</v>
      </c>
      <c r="CB114" s="157">
        <f t="shared" si="196"/>
        <v>39387.113075749337</v>
      </c>
      <c r="CC114" s="157">
        <f t="shared" si="196"/>
        <v>38782.059543899355</v>
      </c>
      <c r="CD114" s="157">
        <f t="shared" si="196"/>
        <v>37827.850603534818</v>
      </c>
      <c r="CE114" s="157">
        <f t="shared" si="196"/>
        <v>38838.350223434034</v>
      </c>
      <c r="CF114" s="157">
        <f t="shared" si="196"/>
        <v>37507.68134344343</v>
      </c>
      <c r="CG114" s="157">
        <f t="shared" si="196"/>
        <v>40649.013706104146</v>
      </c>
      <c r="CH114" s="157">
        <f t="shared" si="196"/>
        <v>45260.400980890277</v>
      </c>
      <c r="CI114" s="157">
        <f t="shared" si="196"/>
        <v>50017.144435344875</v>
      </c>
      <c r="CJ114" s="157">
        <f t="shared" si="196"/>
        <v>53604.036981900281</v>
      </c>
      <c r="CK114" s="157">
        <f t="shared" si="196"/>
        <v>55103.764994247613</v>
      </c>
      <c r="CL114" s="157">
        <f t="shared" si="196"/>
        <v>59205.1211944963</v>
      </c>
      <c r="CM114" s="157">
        <f t="shared" si="196"/>
        <v>59434.653683157565</v>
      </c>
      <c r="CN114" s="157">
        <f t="shared" si="196"/>
        <v>60181.877942642932</v>
      </c>
      <c r="CO114" s="157">
        <f t="shared" si="196"/>
        <v>59105.706906275591</v>
      </c>
      <c r="CP114" s="157">
        <f t="shared" si="196"/>
        <v>57701.867128220569</v>
      </c>
      <c r="CQ114" s="157">
        <f t="shared" si="196"/>
        <v>58299.170741292473</v>
      </c>
      <c r="CR114" s="157">
        <f t="shared" si="196"/>
        <v>56543.852352633272</v>
      </c>
      <c r="CS114" s="157">
        <f t="shared" si="196"/>
        <v>59315.445608134323</v>
      </c>
      <c r="CT114" s="157">
        <f t="shared" si="196"/>
        <v>63594.35130490837</v>
      </c>
      <c r="CU114" s="157">
        <f t="shared" si="196"/>
        <v>68051.145908917621</v>
      </c>
      <c r="CV114" s="157">
        <f t="shared" ref="CV114:DS114" si="197">MAX(CV112-CV113,0)+MAX(CV111-CV110,0)</f>
        <v>71344.13764565732</v>
      </c>
      <c r="CW114" s="157">
        <f t="shared" si="197"/>
        <v>72478.658990619806</v>
      </c>
      <c r="CX114" s="157">
        <f t="shared" si="197"/>
        <v>76198.519990660207</v>
      </c>
      <c r="CY114" s="157">
        <f t="shared" si="197"/>
        <v>75979.418411646606</v>
      </c>
      <c r="CZ114" s="157">
        <f t="shared" si="197"/>
        <v>76278.696511385569</v>
      </c>
      <c r="DA114" s="157">
        <f t="shared" si="197"/>
        <v>74724.648224450619</v>
      </c>
      <c r="DB114" s="157">
        <f t="shared" si="197"/>
        <v>60539.648224450619</v>
      </c>
      <c r="DC114" s="157">
        <f t="shared" si="197"/>
        <v>47998.648224450619</v>
      </c>
      <c r="DD114" s="157">
        <f t="shared" si="197"/>
        <v>34479.648224450619</v>
      </c>
      <c r="DE114" s="157">
        <f t="shared" si="197"/>
        <v>23876.648224450619</v>
      </c>
      <c r="DF114" s="157">
        <f t="shared" si="197"/>
        <v>14848.648224450619</v>
      </c>
      <c r="DG114" s="157">
        <f t="shared" si="197"/>
        <v>6863.6482244506187</v>
      </c>
      <c r="DH114" s="157">
        <f t="shared" si="197"/>
        <v>0</v>
      </c>
      <c r="DI114" s="157">
        <f t="shared" si="197"/>
        <v>0</v>
      </c>
      <c r="DJ114" s="157">
        <f t="shared" si="197"/>
        <v>0</v>
      </c>
      <c r="DK114" s="157">
        <f t="shared" si="197"/>
        <v>0</v>
      </c>
      <c r="DL114" s="157">
        <f t="shared" si="197"/>
        <v>0</v>
      </c>
      <c r="DM114" s="157">
        <f t="shared" si="197"/>
        <v>0</v>
      </c>
      <c r="DN114" s="157">
        <f t="shared" si="197"/>
        <v>0</v>
      </c>
      <c r="DO114" s="157">
        <f t="shared" si="197"/>
        <v>0</v>
      </c>
      <c r="DP114" s="157">
        <f t="shared" si="197"/>
        <v>0</v>
      </c>
      <c r="DQ114" s="157">
        <f t="shared" si="197"/>
        <v>0</v>
      </c>
      <c r="DR114" s="157">
        <f t="shared" si="197"/>
        <v>0</v>
      </c>
      <c r="DS114" s="157">
        <f t="shared" si="197"/>
        <v>0</v>
      </c>
    </row>
    <row r="115" spans="1:123" ht="12.75" customHeight="1" x14ac:dyDescent="0.35">
      <c r="A115" s="147" t="s">
        <v>495</v>
      </c>
      <c r="B115" s="148">
        <f>AA115</f>
        <v>0</v>
      </c>
      <c r="C115" s="139" t="s">
        <v>169</v>
      </c>
      <c r="D115" s="148">
        <f>0</f>
        <v>0</v>
      </c>
      <c r="E115" s="148">
        <f t="shared" ref="E115:AJ115" si="198">D117</f>
        <v>0</v>
      </c>
      <c r="F115" s="148">
        <f t="shared" si="198"/>
        <v>0</v>
      </c>
      <c r="G115" s="148">
        <f t="shared" si="198"/>
        <v>0</v>
      </c>
      <c r="H115" s="148">
        <f t="shared" si="198"/>
        <v>0</v>
      </c>
      <c r="I115" s="148">
        <f t="shared" si="198"/>
        <v>0</v>
      </c>
      <c r="J115" s="148">
        <f t="shared" si="198"/>
        <v>0</v>
      </c>
      <c r="K115" s="148">
        <f t="shared" si="198"/>
        <v>0</v>
      </c>
      <c r="L115" s="148">
        <f t="shared" si="198"/>
        <v>0</v>
      </c>
      <c r="M115" s="148">
        <f t="shared" si="198"/>
        <v>0</v>
      </c>
      <c r="N115" s="148">
        <f t="shared" si="198"/>
        <v>0</v>
      </c>
      <c r="O115" s="148">
        <f t="shared" si="198"/>
        <v>0</v>
      </c>
      <c r="P115" s="148">
        <f t="shared" si="198"/>
        <v>0</v>
      </c>
      <c r="Q115" s="148">
        <f t="shared" si="198"/>
        <v>0</v>
      </c>
      <c r="R115" s="148">
        <f t="shared" si="198"/>
        <v>0</v>
      </c>
      <c r="S115" s="148">
        <f t="shared" si="198"/>
        <v>0</v>
      </c>
      <c r="T115" s="148">
        <f t="shared" si="198"/>
        <v>0</v>
      </c>
      <c r="U115" s="148">
        <f t="shared" si="198"/>
        <v>0</v>
      </c>
      <c r="V115" s="148">
        <f t="shared" si="198"/>
        <v>0</v>
      </c>
      <c r="W115" s="148">
        <f t="shared" si="198"/>
        <v>0</v>
      </c>
      <c r="X115" s="148">
        <f t="shared" si="198"/>
        <v>0</v>
      </c>
      <c r="Y115" s="148">
        <f t="shared" si="198"/>
        <v>0</v>
      </c>
      <c r="Z115" s="148">
        <f t="shared" si="198"/>
        <v>0</v>
      </c>
      <c r="AA115" s="148">
        <f t="shared" si="198"/>
        <v>0</v>
      </c>
      <c r="AB115" s="148">
        <f t="shared" si="198"/>
        <v>0</v>
      </c>
      <c r="AC115" s="148">
        <f t="shared" si="198"/>
        <v>0</v>
      </c>
      <c r="AD115" s="148">
        <f t="shared" si="198"/>
        <v>0</v>
      </c>
      <c r="AE115" s="148">
        <f t="shared" si="198"/>
        <v>0</v>
      </c>
      <c r="AF115" s="148">
        <f t="shared" si="198"/>
        <v>0</v>
      </c>
      <c r="AG115" s="148">
        <f t="shared" si="198"/>
        <v>0</v>
      </c>
      <c r="AH115" s="148">
        <f t="shared" si="198"/>
        <v>0</v>
      </c>
      <c r="AI115" s="148">
        <f t="shared" si="198"/>
        <v>0</v>
      </c>
      <c r="AJ115" s="148">
        <f t="shared" si="198"/>
        <v>0</v>
      </c>
      <c r="AK115" s="148">
        <f t="shared" ref="AK115:BP115" si="199">AJ117</f>
        <v>0</v>
      </c>
      <c r="AL115" s="148">
        <f t="shared" si="199"/>
        <v>0</v>
      </c>
      <c r="AM115" s="148">
        <f t="shared" si="199"/>
        <v>0</v>
      </c>
      <c r="AN115" s="148">
        <f t="shared" si="199"/>
        <v>0</v>
      </c>
      <c r="AO115" s="148">
        <f t="shared" si="199"/>
        <v>0</v>
      </c>
      <c r="AP115" s="148">
        <f t="shared" si="199"/>
        <v>0</v>
      </c>
      <c r="AQ115" s="148">
        <f t="shared" si="199"/>
        <v>0</v>
      </c>
      <c r="AR115" s="148">
        <f t="shared" si="199"/>
        <v>0</v>
      </c>
      <c r="AS115" s="148">
        <f t="shared" si="199"/>
        <v>0</v>
      </c>
      <c r="AT115" s="148">
        <f t="shared" si="199"/>
        <v>0</v>
      </c>
      <c r="AU115" s="148">
        <f t="shared" si="199"/>
        <v>0</v>
      </c>
      <c r="AV115" s="148">
        <f t="shared" si="199"/>
        <v>0</v>
      </c>
      <c r="AW115" s="148">
        <f t="shared" si="199"/>
        <v>0</v>
      </c>
      <c r="AX115" s="148">
        <f t="shared" si="199"/>
        <v>0</v>
      </c>
      <c r="AY115" s="148">
        <f t="shared" si="199"/>
        <v>0</v>
      </c>
      <c r="AZ115" s="148">
        <f t="shared" si="199"/>
        <v>0</v>
      </c>
      <c r="BA115" s="148">
        <f t="shared" si="199"/>
        <v>0</v>
      </c>
      <c r="BB115" s="148">
        <f t="shared" si="199"/>
        <v>0</v>
      </c>
      <c r="BC115" s="148">
        <f t="shared" si="199"/>
        <v>0</v>
      </c>
      <c r="BD115" s="148">
        <f t="shared" si="199"/>
        <v>0</v>
      </c>
      <c r="BE115" s="148">
        <f t="shared" si="199"/>
        <v>0</v>
      </c>
      <c r="BF115" s="148">
        <f t="shared" si="199"/>
        <v>0</v>
      </c>
      <c r="BG115" s="148">
        <f t="shared" si="199"/>
        <v>0</v>
      </c>
      <c r="BH115" s="148">
        <f t="shared" si="199"/>
        <v>0</v>
      </c>
      <c r="BI115" s="148">
        <f t="shared" si="199"/>
        <v>0</v>
      </c>
      <c r="BJ115" s="148">
        <f t="shared" si="199"/>
        <v>0</v>
      </c>
      <c r="BK115" s="148">
        <f t="shared" si="199"/>
        <v>0</v>
      </c>
      <c r="BL115" s="148">
        <f t="shared" si="199"/>
        <v>0</v>
      </c>
      <c r="BM115" s="148">
        <f t="shared" si="199"/>
        <v>0</v>
      </c>
      <c r="BN115" s="148">
        <f t="shared" si="199"/>
        <v>0</v>
      </c>
      <c r="BO115" s="148">
        <f t="shared" si="199"/>
        <v>0</v>
      </c>
      <c r="BP115" s="148">
        <f t="shared" si="199"/>
        <v>0</v>
      </c>
      <c r="BQ115" s="148">
        <f t="shared" ref="BQ115:CV115" si="200">BP117</f>
        <v>0</v>
      </c>
      <c r="BR115" s="148">
        <f t="shared" si="200"/>
        <v>0</v>
      </c>
      <c r="BS115" s="148">
        <f t="shared" si="200"/>
        <v>0</v>
      </c>
      <c r="BT115" s="148">
        <f t="shared" si="200"/>
        <v>0</v>
      </c>
      <c r="BU115" s="148">
        <f t="shared" si="200"/>
        <v>0</v>
      </c>
      <c r="BV115" s="148">
        <f t="shared" si="200"/>
        <v>0</v>
      </c>
      <c r="BW115" s="148">
        <f t="shared" si="200"/>
        <v>0</v>
      </c>
      <c r="BX115" s="148">
        <f t="shared" si="200"/>
        <v>0</v>
      </c>
      <c r="BY115" s="148">
        <f t="shared" si="200"/>
        <v>0</v>
      </c>
      <c r="BZ115" s="148">
        <f t="shared" si="200"/>
        <v>0</v>
      </c>
      <c r="CA115" s="148">
        <f t="shared" si="200"/>
        <v>0</v>
      </c>
      <c r="CB115" s="148">
        <f t="shared" si="200"/>
        <v>0</v>
      </c>
      <c r="CC115" s="148">
        <f t="shared" si="200"/>
        <v>0</v>
      </c>
      <c r="CD115" s="148">
        <f t="shared" si="200"/>
        <v>0</v>
      </c>
      <c r="CE115" s="148">
        <f t="shared" si="200"/>
        <v>0</v>
      </c>
      <c r="CF115" s="148">
        <f t="shared" si="200"/>
        <v>0</v>
      </c>
      <c r="CG115" s="148">
        <f t="shared" si="200"/>
        <v>0</v>
      </c>
      <c r="CH115" s="148">
        <f t="shared" si="200"/>
        <v>0</v>
      </c>
      <c r="CI115" s="148">
        <f t="shared" si="200"/>
        <v>0</v>
      </c>
      <c r="CJ115" s="148">
        <f t="shared" si="200"/>
        <v>0</v>
      </c>
      <c r="CK115" s="148">
        <f t="shared" si="200"/>
        <v>0</v>
      </c>
      <c r="CL115" s="148">
        <f t="shared" si="200"/>
        <v>0</v>
      </c>
      <c r="CM115" s="148">
        <f t="shared" si="200"/>
        <v>0</v>
      </c>
      <c r="CN115" s="148">
        <f t="shared" si="200"/>
        <v>0</v>
      </c>
      <c r="CO115" s="148">
        <f t="shared" si="200"/>
        <v>0</v>
      </c>
      <c r="CP115" s="148">
        <f t="shared" si="200"/>
        <v>0</v>
      </c>
      <c r="CQ115" s="148">
        <f t="shared" si="200"/>
        <v>0</v>
      </c>
      <c r="CR115" s="148">
        <f t="shared" si="200"/>
        <v>0</v>
      </c>
      <c r="CS115" s="148">
        <f t="shared" si="200"/>
        <v>0</v>
      </c>
      <c r="CT115" s="148">
        <f t="shared" si="200"/>
        <v>0</v>
      </c>
      <c r="CU115" s="148">
        <f t="shared" si="200"/>
        <v>0</v>
      </c>
      <c r="CV115" s="148">
        <f t="shared" si="200"/>
        <v>0</v>
      </c>
      <c r="CW115" s="148">
        <f t="shared" ref="CW115:DS115" si="201">CV117</f>
        <v>0</v>
      </c>
      <c r="CX115" s="148">
        <f t="shared" si="201"/>
        <v>0</v>
      </c>
      <c r="CY115" s="148">
        <f t="shared" si="201"/>
        <v>0</v>
      </c>
      <c r="CZ115" s="148">
        <f t="shared" si="201"/>
        <v>0</v>
      </c>
      <c r="DA115" s="148">
        <f t="shared" si="201"/>
        <v>0</v>
      </c>
      <c r="DB115" s="148">
        <f t="shared" si="201"/>
        <v>0</v>
      </c>
      <c r="DC115" s="148">
        <f t="shared" si="201"/>
        <v>0</v>
      </c>
      <c r="DD115" s="148">
        <f t="shared" si="201"/>
        <v>0</v>
      </c>
      <c r="DE115" s="148">
        <f t="shared" si="201"/>
        <v>0</v>
      </c>
      <c r="DF115" s="148">
        <f t="shared" si="201"/>
        <v>0</v>
      </c>
      <c r="DG115" s="148">
        <f t="shared" si="201"/>
        <v>0</v>
      </c>
      <c r="DH115" s="148">
        <f t="shared" si="201"/>
        <v>0</v>
      </c>
      <c r="DI115" s="148">
        <f t="shared" si="201"/>
        <v>0</v>
      </c>
      <c r="DJ115" s="148">
        <f t="shared" si="201"/>
        <v>0</v>
      </c>
      <c r="DK115" s="148">
        <f t="shared" si="201"/>
        <v>0</v>
      </c>
      <c r="DL115" s="148">
        <f t="shared" si="201"/>
        <v>0</v>
      </c>
      <c r="DM115" s="148">
        <f t="shared" si="201"/>
        <v>0</v>
      </c>
      <c r="DN115" s="148">
        <f t="shared" si="201"/>
        <v>0</v>
      </c>
      <c r="DO115" s="148">
        <f t="shared" si="201"/>
        <v>0</v>
      </c>
      <c r="DP115" s="148">
        <f t="shared" si="201"/>
        <v>0</v>
      </c>
      <c r="DQ115" s="148">
        <f t="shared" si="201"/>
        <v>0</v>
      </c>
      <c r="DR115" s="148">
        <f t="shared" si="201"/>
        <v>0</v>
      </c>
      <c r="DS115" s="148">
        <f t="shared" si="201"/>
        <v>0</v>
      </c>
    </row>
    <row r="116" spans="1:123" ht="12.75" customHeight="1" x14ac:dyDescent="0.35">
      <c r="A116" s="147" t="s">
        <v>503</v>
      </c>
      <c r="B116" s="148">
        <f>SUM(D116:BQ116)</f>
        <v>0</v>
      </c>
      <c r="C116" s="139">
        <f>B116/60</f>
        <v>0</v>
      </c>
      <c r="D116" s="148">
        <f t="shared" ref="D116:AI116" si="202">MIN(D115,D110)</f>
        <v>0</v>
      </c>
      <c r="E116" s="148">
        <f t="shared" si="202"/>
        <v>0</v>
      </c>
      <c r="F116" s="148">
        <f t="shared" si="202"/>
        <v>0</v>
      </c>
      <c r="G116" s="148">
        <f t="shared" si="202"/>
        <v>0</v>
      </c>
      <c r="H116" s="148">
        <f t="shared" si="202"/>
        <v>0</v>
      </c>
      <c r="I116" s="148">
        <f t="shared" si="202"/>
        <v>0</v>
      </c>
      <c r="J116" s="148">
        <f t="shared" si="202"/>
        <v>0</v>
      </c>
      <c r="K116" s="148">
        <f t="shared" si="202"/>
        <v>0</v>
      </c>
      <c r="L116" s="148">
        <f t="shared" si="202"/>
        <v>0</v>
      </c>
      <c r="M116" s="148">
        <f t="shared" si="202"/>
        <v>0</v>
      </c>
      <c r="N116" s="148">
        <f t="shared" si="202"/>
        <v>0</v>
      </c>
      <c r="O116" s="148">
        <f t="shared" si="202"/>
        <v>0</v>
      </c>
      <c r="P116" s="148">
        <f t="shared" si="202"/>
        <v>0</v>
      </c>
      <c r="Q116" s="148">
        <f t="shared" si="202"/>
        <v>0</v>
      </c>
      <c r="R116" s="148">
        <f t="shared" si="202"/>
        <v>0</v>
      </c>
      <c r="S116" s="148">
        <f t="shared" si="202"/>
        <v>0</v>
      </c>
      <c r="T116" s="148">
        <f t="shared" si="202"/>
        <v>0</v>
      </c>
      <c r="U116" s="148">
        <f t="shared" si="202"/>
        <v>0</v>
      </c>
      <c r="V116" s="148">
        <f t="shared" si="202"/>
        <v>0</v>
      </c>
      <c r="W116" s="148">
        <f t="shared" si="202"/>
        <v>0</v>
      </c>
      <c r="X116" s="148">
        <f t="shared" si="202"/>
        <v>0</v>
      </c>
      <c r="Y116" s="148">
        <f t="shared" si="202"/>
        <v>0</v>
      </c>
      <c r="Z116" s="148">
        <f t="shared" si="202"/>
        <v>0</v>
      </c>
      <c r="AA116" s="148">
        <f t="shared" si="202"/>
        <v>0</v>
      </c>
      <c r="AB116" s="148">
        <f t="shared" si="202"/>
        <v>0</v>
      </c>
      <c r="AC116" s="148">
        <f t="shared" si="202"/>
        <v>0</v>
      </c>
      <c r="AD116" s="148">
        <f t="shared" si="202"/>
        <v>0</v>
      </c>
      <c r="AE116" s="148">
        <f t="shared" si="202"/>
        <v>0</v>
      </c>
      <c r="AF116" s="148">
        <f t="shared" si="202"/>
        <v>0</v>
      </c>
      <c r="AG116" s="148">
        <f t="shared" si="202"/>
        <v>0</v>
      </c>
      <c r="AH116" s="148">
        <f t="shared" si="202"/>
        <v>0</v>
      </c>
      <c r="AI116" s="148">
        <f t="shared" si="202"/>
        <v>0</v>
      </c>
      <c r="AJ116" s="148">
        <f t="shared" ref="AJ116:BO116" si="203">MIN(AJ115,AJ110)</f>
        <v>0</v>
      </c>
      <c r="AK116" s="148">
        <f t="shared" si="203"/>
        <v>0</v>
      </c>
      <c r="AL116" s="148">
        <f t="shared" si="203"/>
        <v>0</v>
      </c>
      <c r="AM116" s="148">
        <f t="shared" si="203"/>
        <v>0</v>
      </c>
      <c r="AN116" s="148">
        <f t="shared" si="203"/>
        <v>0</v>
      </c>
      <c r="AO116" s="148">
        <f t="shared" si="203"/>
        <v>0</v>
      </c>
      <c r="AP116" s="148">
        <f t="shared" si="203"/>
        <v>0</v>
      </c>
      <c r="AQ116" s="148">
        <f t="shared" si="203"/>
        <v>0</v>
      </c>
      <c r="AR116" s="148">
        <f t="shared" si="203"/>
        <v>0</v>
      </c>
      <c r="AS116" s="148">
        <f t="shared" si="203"/>
        <v>0</v>
      </c>
      <c r="AT116" s="148">
        <f t="shared" si="203"/>
        <v>0</v>
      </c>
      <c r="AU116" s="148">
        <f t="shared" si="203"/>
        <v>0</v>
      </c>
      <c r="AV116" s="148">
        <f t="shared" si="203"/>
        <v>0</v>
      </c>
      <c r="AW116" s="148">
        <f t="shared" si="203"/>
        <v>0</v>
      </c>
      <c r="AX116" s="148">
        <f t="shared" si="203"/>
        <v>0</v>
      </c>
      <c r="AY116" s="148">
        <f t="shared" si="203"/>
        <v>0</v>
      </c>
      <c r="AZ116" s="148">
        <f t="shared" si="203"/>
        <v>0</v>
      </c>
      <c r="BA116" s="148">
        <f t="shared" si="203"/>
        <v>0</v>
      </c>
      <c r="BB116" s="148">
        <f t="shared" si="203"/>
        <v>0</v>
      </c>
      <c r="BC116" s="148">
        <f t="shared" si="203"/>
        <v>0</v>
      </c>
      <c r="BD116" s="148">
        <f t="shared" si="203"/>
        <v>0</v>
      </c>
      <c r="BE116" s="148">
        <f t="shared" si="203"/>
        <v>0</v>
      </c>
      <c r="BF116" s="148">
        <f t="shared" si="203"/>
        <v>0</v>
      </c>
      <c r="BG116" s="148">
        <f t="shared" si="203"/>
        <v>0</v>
      </c>
      <c r="BH116" s="148">
        <f t="shared" si="203"/>
        <v>0</v>
      </c>
      <c r="BI116" s="148">
        <f t="shared" si="203"/>
        <v>0</v>
      </c>
      <c r="BJ116" s="148">
        <f t="shared" si="203"/>
        <v>0</v>
      </c>
      <c r="BK116" s="148">
        <f t="shared" si="203"/>
        <v>0</v>
      </c>
      <c r="BL116" s="148">
        <f t="shared" si="203"/>
        <v>0</v>
      </c>
      <c r="BM116" s="148">
        <f t="shared" si="203"/>
        <v>0</v>
      </c>
      <c r="BN116" s="148">
        <f t="shared" si="203"/>
        <v>0</v>
      </c>
      <c r="BO116" s="148">
        <f t="shared" si="203"/>
        <v>0</v>
      </c>
      <c r="BP116" s="148">
        <f t="shared" ref="BP116:CU116" si="204">MIN(BP115,BP110)</f>
        <v>0</v>
      </c>
      <c r="BQ116" s="148">
        <f t="shared" si="204"/>
        <v>0</v>
      </c>
      <c r="BR116" s="148">
        <f t="shared" si="204"/>
        <v>0</v>
      </c>
      <c r="BS116" s="148">
        <f t="shared" si="204"/>
        <v>0</v>
      </c>
      <c r="BT116" s="148">
        <f t="shared" si="204"/>
        <v>0</v>
      </c>
      <c r="BU116" s="148">
        <f t="shared" si="204"/>
        <v>0</v>
      </c>
      <c r="BV116" s="148">
        <f t="shared" si="204"/>
        <v>0</v>
      </c>
      <c r="BW116" s="148">
        <f t="shared" si="204"/>
        <v>0</v>
      </c>
      <c r="BX116" s="148">
        <f t="shared" si="204"/>
        <v>0</v>
      </c>
      <c r="BY116" s="148">
        <f t="shared" si="204"/>
        <v>0</v>
      </c>
      <c r="BZ116" s="148">
        <f t="shared" si="204"/>
        <v>0</v>
      </c>
      <c r="CA116" s="148">
        <f t="shared" si="204"/>
        <v>0</v>
      </c>
      <c r="CB116" s="148">
        <f t="shared" si="204"/>
        <v>0</v>
      </c>
      <c r="CC116" s="148">
        <f t="shared" si="204"/>
        <v>0</v>
      </c>
      <c r="CD116" s="148">
        <f t="shared" si="204"/>
        <v>0</v>
      </c>
      <c r="CE116" s="148">
        <f t="shared" si="204"/>
        <v>0</v>
      </c>
      <c r="CF116" s="148">
        <f t="shared" si="204"/>
        <v>0</v>
      </c>
      <c r="CG116" s="148">
        <f t="shared" si="204"/>
        <v>0</v>
      </c>
      <c r="CH116" s="148">
        <f t="shared" si="204"/>
        <v>0</v>
      </c>
      <c r="CI116" s="148">
        <f t="shared" si="204"/>
        <v>0</v>
      </c>
      <c r="CJ116" s="148">
        <f t="shared" si="204"/>
        <v>0</v>
      </c>
      <c r="CK116" s="148">
        <f t="shared" si="204"/>
        <v>0</v>
      </c>
      <c r="CL116" s="148">
        <f t="shared" si="204"/>
        <v>0</v>
      </c>
      <c r="CM116" s="148">
        <f t="shared" si="204"/>
        <v>0</v>
      </c>
      <c r="CN116" s="148">
        <f t="shared" si="204"/>
        <v>0</v>
      </c>
      <c r="CO116" s="148">
        <f t="shared" si="204"/>
        <v>0</v>
      </c>
      <c r="CP116" s="148">
        <f t="shared" si="204"/>
        <v>0</v>
      </c>
      <c r="CQ116" s="148">
        <f t="shared" si="204"/>
        <v>0</v>
      </c>
      <c r="CR116" s="148">
        <f t="shared" si="204"/>
        <v>0</v>
      </c>
      <c r="CS116" s="148">
        <f t="shared" si="204"/>
        <v>0</v>
      </c>
      <c r="CT116" s="148">
        <f t="shared" si="204"/>
        <v>0</v>
      </c>
      <c r="CU116" s="148">
        <f t="shared" si="204"/>
        <v>0</v>
      </c>
      <c r="CV116" s="148">
        <f t="shared" ref="CV116:DS116" si="205">MIN(CV115,CV110)</f>
        <v>0</v>
      </c>
      <c r="CW116" s="148">
        <f t="shared" si="205"/>
        <v>0</v>
      </c>
      <c r="CX116" s="148">
        <f t="shared" si="205"/>
        <v>0</v>
      </c>
      <c r="CY116" s="148">
        <f t="shared" si="205"/>
        <v>0</v>
      </c>
      <c r="CZ116" s="148">
        <f t="shared" si="205"/>
        <v>0</v>
      </c>
      <c r="DA116" s="148">
        <f t="shared" si="205"/>
        <v>0</v>
      </c>
      <c r="DB116" s="148">
        <f t="shared" si="205"/>
        <v>0</v>
      </c>
      <c r="DC116" s="148">
        <f t="shared" si="205"/>
        <v>0</v>
      </c>
      <c r="DD116" s="148">
        <f t="shared" si="205"/>
        <v>0</v>
      </c>
      <c r="DE116" s="148">
        <f t="shared" si="205"/>
        <v>0</v>
      </c>
      <c r="DF116" s="148">
        <f t="shared" si="205"/>
        <v>0</v>
      </c>
      <c r="DG116" s="148">
        <f t="shared" si="205"/>
        <v>0</v>
      </c>
      <c r="DH116" s="148">
        <f t="shared" si="205"/>
        <v>0</v>
      </c>
      <c r="DI116" s="148">
        <f t="shared" si="205"/>
        <v>0</v>
      </c>
      <c r="DJ116" s="148">
        <f t="shared" si="205"/>
        <v>0</v>
      </c>
      <c r="DK116" s="148">
        <f t="shared" si="205"/>
        <v>0</v>
      </c>
      <c r="DL116" s="148">
        <f t="shared" si="205"/>
        <v>0</v>
      </c>
      <c r="DM116" s="148">
        <f t="shared" si="205"/>
        <v>0</v>
      </c>
      <c r="DN116" s="148">
        <f t="shared" si="205"/>
        <v>0</v>
      </c>
      <c r="DO116" s="148">
        <f t="shared" si="205"/>
        <v>0</v>
      </c>
      <c r="DP116" s="148">
        <f t="shared" si="205"/>
        <v>0</v>
      </c>
      <c r="DQ116" s="148">
        <f t="shared" si="205"/>
        <v>0</v>
      </c>
      <c r="DR116" s="148">
        <f t="shared" si="205"/>
        <v>0</v>
      </c>
      <c r="DS116" s="148">
        <f t="shared" si="205"/>
        <v>0</v>
      </c>
    </row>
    <row r="117" spans="1:123" ht="12.75" customHeight="1" x14ac:dyDescent="0.35">
      <c r="A117" s="147" t="s">
        <v>504</v>
      </c>
      <c r="B117" s="148">
        <f>AA117</f>
        <v>0</v>
      </c>
      <c r="C117" s="139" t="s">
        <v>169</v>
      </c>
      <c r="D117" s="168">
        <f t="shared" ref="D117:AI117" si="206">MAX(D115-D116,0)</f>
        <v>0</v>
      </c>
      <c r="E117" s="168">
        <f t="shared" si="206"/>
        <v>0</v>
      </c>
      <c r="F117" s="168">
        <f t="shared" si="206"/>
        <v>0</v>
      </c>
      <c r="G117" s="168">
        <f t="shared" si="206"/>
        <v>0</v>
      </c>
      <c r="H117" s="168">
        <f t="shared" si="206"/>
        <v>0</v>
      </c>
      <c r="I117" s="168">
        <f t="shared" si="206"/>
        <v>0</v>
      </c>
      <c r="J117" s="168">
        <f t="shared" si="206"/>
        <v>0</v>
      </c>
      <c r="K117" s="168">
        <f t="shared" si="206"/>
        <v>0</v>
      </c>
      <c r="L117" s="168">
        <f t="shared" si="206"/>
        <v>0</v>
      </c>
      <c r="M117" s="168">
        <f t="shared" si="206"/>
        <v>0</v>
      </c>
      <c r="N117" s="168">
        <f t="shared" si="206"/>
        <v>0</v>
      </c>
      <c r="O117" s="168">
        <f t="shared" si="206"/>
        <v>0</v>
      </c>
      <c r="P117" s="168">
        <f t="shared" si="206"/>
        <v>0</v>
      </c>
      <c r="Q117" s="168">
        <f t="shared" si="206"/>
        <v>0</v>
      </c>
      <c r="R117" s="168">
        <f t="shared" si="206"/>
        <v>0</v>
      </c>
      <c r="S117" s="168">
        <f t="shared" si="206"/>
        <v>0</v>
      </c>
      <c r="T117" s="168">
        <f t="shared" si="206"/>
        <v>0</v>
      </c>
      <c r="U117" s="168">
        <f t="shared" si="206"/>
        <v>0</v>
      </c>
      <c r="V117" s="168">
        <f t="shared" si="206"/>
        <v>0</v>
      </c>
      <c r="W117" s="168">
        <f t="shared" si="206"/>
        <v>0</v>
      </c>
      <c r="X117" s="168">
        <f t="shared" si="206"/>
        <v>0</v>
      </c>
      <c r="Y117" s="168">
        <f t="shared" si="206"/>
        <v>0</v>
      </c>
      <c r="Z117" s="168">
        <f t="shared" si="206"/>
        <v>0</v>
      </c>
      <c r="AA117" s="168">
        <f t="shared" si="206"/>
        <v>0</v>
      </c>
      <c r="AB117" s="168">
        <f t="shared" si="206"/>
        <v>0</v>
      </c>
      <c r="AC117" s="168">
        <f t="shared" si="206"/>
        <v>0</v>
      </c>
      <c r="AD117" s="168">
        <f t="shared" si="206"/>
        <v>0</v>
      </c>
      <c r="AE117" s="168">
        <f t="shared" si="206"/>
        <v>0</v>
      </c>
      <c r="AF117" s="168">
        <f t="shared" si="206"/>
        <v>0</v>
      </c>
      <c r="AG117" s="168">
        <f t="shared" si="206"/>
        <v>0</v>
      </c>
      <c r="AH117" s="168">
        <f t="shared" si="206"/>
        <v>0</v>
      </c>
      <c r="AI117" s="168">
        <f t="shared" si="206"/>
        <v>0</v>
      </c>
      <c r="AJ117" s="168">
        <f t="shared" ref="AJ117:BO117" si="207">MAX(AJ115-AJ116,0)</f>
        <v>0</v>
      </c>
      <c r="AK117" s="168">
        <f t="shared" si="207"/>
        <v>0</v>
      </c>
      <c r="AL117" s="168">
        <f t="shared" si="207"/>
        <v>0</v>
      </c>
      <c r="AM117" s="168">
        <f t="shared" si="207"/>
        <v>0</v>
      </c>
      <c r="AN117" s="168">
        <f t="shared" si="207"/>
        <v>0</v>
      </c>
      <c r="AO117" s="168">
        <f t="shared" si="207"/>
        <v>0</v>
      </c>
      <c r="AP117" s="168">
        <f t="shared" si="207"/>
        <v>0</v>
      </c>
      <c r="AQ117" s="168">
        <f t="shared" si="207"/>
        <v>0</v>
      </c>
      <c r="AR117" s="168">
        <f t="shared" si="207"/>
        <v>0</v>
      </c>
      <c r="AS117" s="168">
        <f t="shared" si="207"/>
        <v>0</v>
      </c>
      <c r="AT117" s="168">
        <f t="shared" si="207"/>
        <v>0</v>
      </c>
      <c r="AU117" s="168">
        <f t="shared" si="207"/>
        <v>0</v>
      </c>
      <c r="AV117" s="168">
        <f t="shared" si="207"/>
        <v>0</v>
      </c>
      <c r="AW117" s="168">
        <f t="shared" si="207"/>
        <v>0</v>
      </c>
      <c r="AX117" s="168">
        <f t="shared" si="207"/>
        <v>0</v>
      </c>
      <c r="AY117" s="168">
        <f t="shared" si="207"/>
        <v>0</v>
      </c>
      <c r="AZ117" s="168">
        <f t="shared" si="207"/>
        <v>0</v>
      </c>
      <c r="BA117" s="168">
        <f t="shared" si="207"/>
        <v>0</v>
      </c>
      <c r="BB117" s="168">
        <f t="shared" si="207"/>
        <v>0</v>
      </c>
      <c r="BC117" s="168">
        <f t="shared" si="207"/>
        <v>0</v>
      </c>
      <c r="BD117" s="168">
        <f t="shared" si="207"/>
        <v>0</v>
      </c>
      <c r="BE117" s="168">
        <f t="shared" si="207"/>
        <v>0</v>
      </c>
      <c r="BF117" s="168">
        <f t="shared" si="207"/>
        <v>0</v>
      </c>
      <c r="BG117" s="168">
        <f t="shared" si="207"/>
        <v>0</v>
      </c>
      <c r="BH117" s="168">
        <f t="shared" si="207"/>
        <v>0</v>
      </c>
      <c r="BI117" s="168">
        <f t="shared" si="207"/>
        <v>0</v>
      </c>
      <c r="BJ117" s="168">
        <f t="shared" si="207"/>
        <v>0</v>
      </c>
      <c r="BK117" s="168">
        <f t="shared" si="207"/>
        <v>0</v>
      </c>
      <c r="BL117" s="168">
        <f t="shared" si="207"/>
        <v>0</v>
      </c>
      <c r="BM117" s="168">
        <f t="shared" si="207"/>
        <v>0</v>
      </c>
      <c r="BN117" s="168">
        <f t="shared" si="207"/>
        <v>0</v>
      </c>
      <c r="BO117" s="168">
        <f t="shared" si="207"/>
        <v>0</v>
      </c>
      <c r="BP117" s="168">
        <f t="shared" ref="BP117:CU117" si="208">MAX(BP115-BP116,0)</f>
        <v>0</v>
      </c>
      <c r="BQ117" s="168">
        <f t="shared" si="208"/>
        <v>0</v>
      </c>
      <c r="BR117" s="168">
        <f t="shared" si="208"/>
        <v>0</v>
      </c>
      <c r="BS117" s="168">
        <f t="shared" si="208"/>
        <v>0</v>
      </c>
      <c r="BT117" s="168">
        <f t="shared" si="208"/>
        <v>0</v>
      </c>
      <c r="BU117" s="168">
        <f t="shared" si="208"/>
        <v>0</v>
      </c>
      <c r="BV117" s="168">
        <f t="shared" si="208"/>
        <v>0</v>
      </c>
      <c r="BW117" s="168">
        <f t="shared" si="208"/>
        <v>0</v>
      </c>
      <c r="BX117" s="168">
        <f t="shared" si="208"/>
        <v>0</v>
      </c>
      <c r="BY117" s="168">
        <f t="shared" si="208"/>
        <v>0</v>
      </c>
      <c r="BZ117" s="168">
        <f t="shared" si="208"/>
        <v>0</v>
      </c>
      <c r="CA117" s="168">
        <f t="shared" si="208"/>
        <v>0</v>
      </c>
      <c r="CB117" s="168">
        <f t="shared" si="208"/>
        <v>0</v>
      </c>
      <c r="CC117" s="168">
        <f t="shared" si="208"/>
        <v>0</v>
      </c>
      <c r="CD117" s="168">
        <f t="shared" si="208"/>
        <v>0</v>
      </c>
      <c r="CE117" s="168">
        <f t="shared" si="208"/>
        <v>0</v>
      </c>
      <c r="CF117" s="168">
        <f t="shared" si="208"/>
        <v>0</v>
      </c>
      <c r="CG117" s="168">
        <f t="shared" si="208"/>
        <v>0</v>
      </c>
      <c r="CH117" s="168">
        <f t="shared" si="208"/>
        <v>0</v>
      </c>
      <c r="CI117" s="168">
        <f t="shared" si="208"/>
        <v>0</v>
      </c>
      <c r="CJ117" s="168">
        <f t="shared" si="208"/>
        <v>0</v>
      </c>
      <c r="CK117" s="168">
        <f t="shared" si="208"/>
        <v>0</v>
      </c>
      <c r="CL117" s="168">
        <f t="shared" si="208"/>
        <v>0</v>
      </c>
      <c r="CM117" s="168">
        <f t="shared" si="208"/>
        <v>0</v>
      </c>
      <c r="CN117" s="168">
        <f t="shared" si="208"/>
        <v>0</v>
      </c>
      <c r="CO117" s="168">
        <f t="shared" si="208"/>
        <v>0</v>
      </c>
      <c r="CP117" s="168">
        <f t="shared" si="208"/>
        <v>0</v>
      </c>
      <c r="CQ117" s="168">
        <f t="shared" si="208"/>
        <v>0</v>
      </c>
      <c r="CR117" s="168">
        <f t="shared" si="208"/>
        <v>0</v>
      </c>
      <c r="CS117" s="168">
        <f t="shared" si="208"/>
        <v>0</v>
      </c>
      <c r="CT117" s="168">
        <f t="shared" si="208"/>
        <v>0</v>
      </c>
      <c r="CU117" s="168">
        <f t="shared" si="208"/>
        <v>0</v>
      </c>
      <c r="CV117" s="168">
        <f t="shared" ref="CV117:DS117" si="209">MAX(CV115-CV116,0)</f>
        <v>0</v>
      </c>
      <c r="CW117" s="168">
        <f t="shared" si="209"/>
        <v>0</v>
      </c>
      <c r="CX117" s="168">
        <f t="shared" si="209"/>
        <v>0</v>
      </c>
      <c r="CY117" s="168">
        <f t="shared" si="209"/>
        <v>0</v>
      </c>
      <c r="CZ117" s="168">
        <f t="shared" si="209"/>
        <v>0</v>
      </c>
      <c r="DA117" s="168">
        <f t="shared" si="209"/>
        <v>0</v>
      </c>
      <c r="DB117" s="168">
        <f t="shared" si="209"/>
        <v>0</v>
      </c>
      <c r="DC117" s="168">
        <f t="shared" si="209"/>
        <v>0</v>
      </c>
      <c r="DD117" s="168">
        <f t="shared" si="209"/>
        <v>0</v>
      </c>
      <c r="DE117" s="168">
        <f t="shared" si="209"/>
        <v>0</v>
      </c>
      <c r="DF117" s="168">
        <f t="shared" si="209"/>
        <v>0</v>
      </c>
      <c r="DG117" s="168">
        <f t="shared" si="209"/>
        <v>0</v>
      </c>
      <c r="DH117" s="168">
        <f t="shared" si="209"/>
        <v>0</v>
      </c>
      <c r="DI117" s="168">
        <f t="shared" si="209"/>
        <v>0</v>
      </c>
      <c r="DJ117" s="168">
        <f t="shared" si="209"/>
        <v>0</v>
      </c>
      <c r="DK117" s="168">
        <f t="shared" si="209"/>
        <v>0</v>
      </c>
      <c r="DL117" s="168">
        <f t="shared" si="209"/>
        <v>0</v>
      </c>
      <c r="DM117" s="168">
        <f t="shared" si="209"/>
        <v>0</v>
      </c>
      <c r="DN117" s="168">
        <f t="shared" si="209"/>
        <v>0</v>
      </c>
      <c r="DO117" s="168">
        <f t="shared" si="209"/>
        <v>0</v>
      </c>
      <c r="DP117" s="168">
        <f t="shared" si="209"/>
        <v>0</v>
      </c>
      <c r="DQ117" s="168">
        <f t="shared" si="209"/>
        <v>0</v>
      </c>
      <c r="DR117" s="168">
        <f t="shared" si="209"/>
        <v>0</v>
      </c>
      <c r="DS117" s="168">
        <f t="shared" si="209"/>
        <v>0</v>
      </c>
    </row>
    <row r="118" spans="1:123" ht="12.75" customHeight="1" x14ac:dyDescent="0.35">
      <c r="A118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18" s="162">
        <f>SUM(D118:BQ118)</f>
        <v>612165.96863122482</v>
      </c>
      <c r="C118" s="144">
        <f>B118/60</f>
        <v>10202.766143853747</v>
      </c>
      <c r="D118" s="162">
        <f>D110*Premissas!$F$19</f>
        <v>5999.9576304123202</v>
      </c>
      <c r="E118" s="162">
        <f>E110*Premissas!$F$19</f>
        <v>8086.9396536391878</v>
      </c>
      <c r="F118" s="162">
        <f>F110*Premissas!$F$19</f>
        <v>7916.649324471231</v>
      </c>
      <c r="G118" s="162">
        <f>G110*Premissas!$F$19</f>
        <v>10246.109968578559</v>
      </c>
      <c r="H118" s="162">
        <f>H110*Premissas!$F$19</f>
        <v>10131.349094574067</v>
      </c>
      <c r="I118" s="162">
        <f>I110*Premissas!$F$19</f>
        <v>11196.589142793189</v>
      </c>
      <c r="J118" s="162">
        <f>J110*Premissas!$F$19</f>
        <v>10774.565283550861</v>
      </c>
      <c r="K118" s="162">
        <f>K110*Premissas!$F$19</f>
        <v>9526.0780332923041</v>
      </c>
      <c r="L118" s="162">
        <f>L110*Premissas!$F$19</f>
        <v>10269.247241563337</v>
      </c>
      <c r="M118" s="162">
        <f>M110*Premissas!$F$19</f>
        <v>8053.6219805411092</v>
      </c>
      <c r="N118" s="162">
        <f>N110*Premissas!$F$19</f>
        <v>6857.8877126878442</v>
      </c>
      <c r="O118" s="162">
        <f>O110*Premissas!$F$19</f>
        <v>6065.6674856890868</v>
      </c>
      <c r="P118" s="162">
        <f>P110*Premissas!$F$19</f>
        <v>6149.8871593536742</v>
      </c>
      <c r="Q118" s="162">
        <f>Q110*Premissas!$F$19</f>
        <v>8288.6966740664411</v>
      </c>
      <c r="R118" s="162">
        <f>R110*Premissas!$F$19</f>
        <v>8114.7043812209204</v>
      </c>
      <c r="S118" s="162">
        <f>S110*Premissas!$F$19</f>
        <v>10502.470953249885</v>
      </c>
      <c r="T118" s="162">
        <f>T110*Premissas!$F$19</f>
        <v>10384.93360648722</v>
      </c>
      <c r="U118" s="162">
        <f>U110*Premissas!$F$19</f>
        <v>11476.087400449294</v>
      </c>
      <c r="V118" s="162">
        <f>V110*Premissas!$F$19</f>
        <v>11043.883141093664</v>
      </c>
      <c r="W118" s="162">
        <f>W110*Premissas!$F$19</f>
        <v>9526.0780332923041</v>
      </c>
      <c r="X118" s="162">
        <f>X110*Premissas!$F$19</f>
        <v>10269.247241563337</v>
      </c>
      <c r="Y118" s="162">
        <f>Y110*Premissas!$F$19</f>
        <v>8053.6219805411092</v>
      </c>
      <c r="Z118" s="162">
        <f>Z110*Premissas!$F$19</f>
        <v>6857.8877126878442</v>
      </c>
      <c r="AA118" s="162">
        <f>AA110*Premissas!$F$19</f>
        <v>6065.6674856890868</v>
      </c>
      <c r="AB118" s="162">
        <f>AB110*Premissas!$F$19</f>
        <v>6303.5186519725921</v>
      </c>
      <c r="AC118" s="162">
        <f>AC110*Premissas!$F$19</f>
        <v>8496.0066400100422</v>
      </c>
      <c r="AD118" s="162">
        <f>AD110*Premissas!$F$19</f>
        <v>8317.3868925675652</v>
      </c>
      <c r="AE118" s="162">
        <f>AE110*Premissas!$F$19</f>
        <v>10764.38488343756</v>
      </c>
      <c r="AF118" s="162">
        <f>AF110*Premissas!$F$19</f>
        <v>10644.071063916721</v>
      </c>
      <c r="AG118" s="162">
        <f>AG110*Premissas!$F$19</f>
        <v>11762.989585460526</v>
      </c>
      <c r="AH118" s="162">
        <f>AH110*Premissas!$F$19</f>
        <v>11319.679435072203</v>
      </c>
      <c r="AI118" s="162">
        <f>AI110*Premissas!$F$19</f>
        <v>10008.258802295053</v>
      </c>
      <c r="AJ118" s="162">
        <f>AJ110*Premissas!$F$19</f>
        <v>10789.373138261119</v>
      </c>
      <c r="AK118" s="162">
        <f>AK110*Premissas!$F$19</f>
        <v>8461.7634759925713</v>
      </c>
      <c r="AL118" s="162">
        <f>AL110*Premissas!$F$19</f>
        <v>7204.9468074594961</v>
      </c>
      <c r="AM118" s="162">
        <f>AM110*Premissas!$F$19</f>
        <v>6372.9304709269227</v>
      </c>
      <c r="AN118" s="162">
        <f>AN110*Premissas!$F$19</f>
        <v>6460.8521082690741</v>
      </c>
      <c r="AO118" s="162">
        <f>AO110*Premissas!$F$19</f>
        <v>8708.8695514699884</v>
      </c>
      <c r="AP118" s="162">
        <f>AP110*Premissas!$F$19</f>
        <v>8525.6223494305559</v>
      </c>
      <c r="AQ118" s="162">
        <f>AQ110*Premissas!$F$19</f>
        <v>11033.702740980361</v>
      </c>
      <c r="AR118" s="162">
        <f>AR110*Premissas!$F$19</f>
        <v>10910.612448701349</v>
      </c>
      <c r="AS118" s="162">
        <f>AS110*Premissas!$F$19</f>
        <v>12057.295697826887</v>
      </c>
      <c r="AT118" s="162">
        <f>AT110*Premissas!$F$19</f>
        <v>11602.87965640587</v>
      </c>
      <c r="AU118" s="162">
        <f>AU110*Premissas!$F$19</f>
        <v>10258.141350530643</v>
      </c>
      <c r="AV118" s="162">
        <f>AV110*Premissas!$F$19</f>
        <v>11058.69099580392</v>
      </c>
      <c r="AW118" s="162">
        <f>AW110*Premissas!$F$19</f>
        <v>8672.7754056137364</v>
      </c>
      <c r="AX118" s="162">
        <f>AX110*Premissas!$F$19</f>
        <v>7385.4175367407552</v>
      </c>
      <c r="AY118" s="162">
        <f>AY110*Premissas!$F$19</f>
        <v>6532.1149090621866</v>
      </c>
      <c r="AZ118" s="162">
        <f>AZ110*Premissas!$F$19</f>
        <v>6622.8130191625114</v>
      </c>
      <c r="BA118" s="162">
        <f>BA110*Premissas!$F$19</f>
        <v>8926.3599175268901</v>
      </c>
      <c r="BB118" s="162">
        <f>BB110*Premissas!$F$19</f>
        <v>8738.4852608905021</v>
      </c>
      <c r="BC118" s="162">
        <f>BC110*Premissas!$F$19</f>
        <v>11309.499034958901</v>
      </c>
      <c r="BD118" s="162">
        <f>BD110*Premissas!$F$19</f>
        <v>11182.706779002325</v>
      </c>
      <c r="BE118" s="162">
        <f>BE110*Premissas!$F$19</f>
        <v>12359.005737548378</v>
      </c>
      <c r="BF118" s="162">
        <f>BF110*Premissas!$F$19</f>
        <v>11893.483805094667</v>
      </c>
      <c r="BG118" s="162">
        <f>BG110*Premissas!$F$19</f>
        <v>10515.42782612136</v>
      </c>
      <c r="BH118" s="162">
        <f>BH110*Premissas!$F$19</f>
        <v>11335.41278070185</v>
      </c>
      <c r="BI118" s="162">
        <f>BI110*Premissas!$F$19</f>
        <v>8889.3402807512466</v>
      </c>
      <c r="BJ118" s="162">
        <f>BJ110*Premissas!$F$19</f>
        <v>7569.5902296995782</v>
      </c>
      <c r="BK118" s="162">
        <f>BK110*Premissas!$F$19</f>
        <v>6695.0013108750154</v>
      </c>
      <c r="BL118" s="162">
        <f>BL110*Premissas!$F$19</f>
        <v>6788.4758937335137</v>
      </c>
      <c r="BM118" s="162">
        <f>BM110*Premissas!$F$19</f>
        <v>9149.4032291001386</v>
      </c>
      <c r="BN118" s="162">
        <f>BN110*Premissas!$F$19</f>
        <v>8956.9011178667952</v>
      </c>
      <c r="BO118" s="162">
        <f>BO110*Premissas!$F$19</f>
        <v>11592.69925629257</v>
      </c>
      <c r="BP118" s="162">
        <f>BP110*Premissas!$F$19</f>
        <v>11463.13052757782</v>
      </c>
      <c r="BQ118" s="162">
        <f>BQ110*Premissas!$F$19</f>
        <v>12668.119704624994</v>
      </c>
      <c r="BR118" s="162">
        <f>BR110*Premissas!$F$19</f>
        <v>12190.566390219201</v>
      </c>
      <c r="BS118" s="162">
        <f>BS110*Premissas!$F$19</f>
        <v>10778.267247228425</v>
      </c>
      <c r="BT118" s="162">
        <f>BT110*Premissas!$F$19</f>
        <v>11618.613002035519</v>
      </c>
      <c r="BU118" s="162">
        <f>BU110*Premissas!$F$19</f>
        <v>9112.3835923244951</v>
      </c>
      <c r="BV118" s="162">
        <f>BV110*Premissas!$F$19</f>
        <v>7759.3158681747482</v>
      </c>
      <c r="BW118" s="162">
        <f>BW110*Premissas!$F$19</f>
        <v>6862.5151672847996</v>
      </c>
      <c r="BX118" s="162">
        <f>BX110*Premissas!$F$19</f>
        <v>6957.8407319820799</v>
      </c>
      <c r="BY118" s="162">
        <f>BY110*Premissas!$F$19</f>
        <v>9377.9994861897339</v>
      </c>
      <c r="BZ118" s="162">
        <f>BZ110*Premissas!$F$19</f>
        <v>9180.8699203594351</v>
      </c>
      <c r="CA118" s="162">
        <f>CA110*Premissas!$F$19</f>
        <v>11882.377914061975</v>
      </c>
      <c r="CB118" s="162">
        <f>CB110*Premissas!$F$19</f>
        <v>11749.107221669659</v>
      </c>
      <c r="CC118" s="162">
        <f>CC110*Premissas!$F$19</f>
        <v>12984.637599056741</v>
      </c>
      <c r="CD118" s="162">
        <f>CD110*Premissas!$F$19</f>
        <v>12495.052902698864</v>
      </c>
      <c r="CE118" s="162">
        <f>CE110*Premissas!$F$19</f>
        <v>11047.585104771228</v>
      </c>
      <c r="CF118" s="162">
        <f>CF110*Premissas!$F$19</f>
        <v>11909.217150724315</v>
      </c>
      <c r="CG118" s="162">
        <f>CG110*Premissas!$F$19</f>
        <v>9340.054358494699</v>
      </c>
      <c r="CH118" s="162">
        <f>CH110*Premissas!$F$19</f>
        <v>7952.7434703274821</v>
      </c>
      <c r="CI118" s="162">
        <f>CI110*Premissas!$F$19</f>
        <v>7034.6564782915393</v>
      </c>
      <c r="CJ118" s="162">
        <f>CJ110*Premissas!$F$19</f>
        <v>7131.8330248276015</v>
      </c>
      <c r="CK118" s="162">
        <f>CK110*Premissas!$F$19</f>
        <v>9613.0741797150658</v>
      </c>
      <c r="CL118" s="162">
        <f>CL110*Premissas!$F$19</f>
        <v>9410.3916683684201</v>
      </c>
      <c r="CM118" s="162">
        <f>CM110*Premissas!$F$19</f>
        <v>12179.460499186509</v>
      </c>
      <c r="CN118" s="162">
        <f>CN110*Premissas!$F$19</f>
        <v>12043.41333403602</v>
      </c>
      <c r="CO118" s="162">
        <f>CO110*Premissas!$F$19</f>
        <v>13309.484911763007</v>
      </c>
      <c r="CP118" s="162">
        <f>CP110*Premissas!$F$19</f>
        <v>12807.868833453047</v>
      </c>
      <c r="CQ118" s="162">
        <f>CQ110*Premissas!$F$19</f>
        <v>11323.381398749767</v>
      </c>
      <c r="CR118" s="162">
        <f>CR110*Premissas!$F$19</f>
        <v>12207.225226768242</v>
      </c>
      <c r="CS118" s="162">
        <f>CS110*Premissas!$F$19</f>
        <v>9573.2780701812499</v>
      </c>
      <c r="CT118" s="162">
        <f>CT110*Premissas!$F$19</f>
        <v>8151.7240179965629</v>
      </c>
      <c r="CU118" s="162">
        <f>CU110*Premissas!$F$19</f>
        <v>7210.499752975843</v>
      </c>
      <c r="CV118" s="162">
        <f>CV110*Premissas!$F$19</f>
        <v>7310.4527722700786</v>
      </c>
      <c r="CW118" s="162">
        <f>CW110*Premissas!$F$19</f>
        <v>9852.7763278373532</v>
      </c>
      <c r="CX118" s="162">
        <f>CX110*Premissas!$F$19</f>
        <v>9645.4663618937539</v>
      </c>
      <c r="CY118" s="162">
        <f>CY110*Premissas!$F$19</f>
        <v>12483.947011666171</v>
      </c>
      <c r="CZ118" s="162">
        <f>CZ110*Premissas!$F$19</f>
        <v>12344.19788283812</v>
      </c>
      <c r="DA118" s="162">
        <f>DA110*Premissas!$F$19</f>
        <v>13641.736151824403</v>
      </c>
      <c r="DB118" s="162">
        <f>DB110*Premissas!$F$19</f>
        <v>13128.088691562358</v>
      </c>
      <c r="DC118" s="162">
        <f>DC110*Premissas!$F$19</f>
        <v>11606.581620083434</v>
      </c>
      <c r="DD118" s="162">
        <f>DD110*Premissas!$F$19</f>
        <v>12511.711739247903</v>
      </c>
      <c r="DE118" s="162">
        <f>DE110*Premissas!$F$19</f>
        <v>9812.9802183035372</v>
      </c>
      <c r="DF118" s="162">
        <f>DF110*Premissas!$F$19</f>
        <v>8355.3320202625982</v>
      </c>
      <c r="DG118" s="162">
        <f>DG110*Premissas!$F$19</f>
        <v>7390.0449913377106</v>
      </c>
      <c r="DH118" s="162">
        <f>DH110*Premissas!$F$19</f>
        <v>7492.7744833901197</v>
      </c>
      <c r="DI118" s="162">
        <f>DI110*Premissas!$F$19</f>
        <v>10099.88240331477</v>
      </c>
      <c r="DJ118" s="162">
        <f>DJ110*Premissas!$F$19</f>
        <v>9887.0194918548223</v>
      </c>
      <c r="DK118" s="162">
        <f>DK110*Premissas!$F$19</f>
        <v>12795.837451500962</v>
      </c>
      <c r="DL118" s="162">
        <f>DL110*Premissas!$F$19</f>
        <v>12652.386358995347</v>
      </c>
      <c r="DM118" s="162">
        <f>DM110*Premissas!$F$19</f>
        <v>13983.242301079708</v>
      </c>
      <c r="DN118" s="162">
        <f>DN110*Premissas!$F$19</f>
        <v>13455.712477026796</v>
      </c>
      <c r="DO118" s="162">
        <f>DO110*Premissas!$F$19</f>
        <v>11897.185768772231</v>
      </c>
      <c r="DP118" s="162">
        <f>DP110*Premissas!$F$19</f>
        <v>12824.527670002086</v>
      </c>
      <c r="DQ118" s="162">
        <f>DQ110*Premissas!$F$19</f>
        <v>10058.235311942171</v>
      </c>
      <c r="DR118" s="162">
        <f>DR110*Premissas!$F$19</f>
        <v>8564.4929680449804</v>
      </c>
      <c r="DS118" s="162">
        <f>DS110*Premissas!$F$19</f>
        <v>7575.1431752159251</v>
      </c>
    </row>
    <row r="119" spans="1:123" ht="12.75" customHeight="1" x14ac:dyDescent="0.35">
      <c r="A119" s="163" t="s">
        <v>498</v>
      </c>
      <c r="B119" s="164">
        <f>SUM(D119:BQ119)</f>
        <v>139760.58064506244</v>
      </c>
      <c r="C119" s="144">
        <f>B119/60</f>
        <v>2329.3430107510408</v>
      </c>
      <c r="D119" s="164">
        <f>IF(D114&gt;0,0,MAX(D110-D111-D112,0)*Premissas!$B$7)</f>
        <v>0</v>
      </c>
      <c r="E119" s="164">
        <f>IF(E114&gt;0,0,MAX(E110-E111-E112,0)*Premissas!$B$7)</f>
        <v>237.73547991858374</v>
      </c>
      <c r="F119" s="164">
        <f>IF(F114&gt;0,0,MAX(F110-F111-F112,0)*Premissas!$B$7)</f>
        <v>0</v>
      </c>
      <c r="G119" s="164">
        <f>IF(G114&gt;0,0,MAX(G110-G111-G112,0)*Premissas!$B$7)</f>
        <v>1975.7842892620313</v>
      </c>
      <c r="H119" s="164">
        <f>IF(H114&gt;0,0,MAX(H110-H111-H112,0)*Premissas!$B$7)</f>
        <v>0</v>
      </c>
      <c r="I119" s="164">
        <f>IF(I114&gt;0,0,MAX(I110-I111-I112,0)*Premissas!$B$7)</f>
        <v>0</v>
      </c>
      <c r="J119" s="164">
        <f>IF(J114&gt;0,0,MAX(J110-J111-J112,0)*Premissas!$B$7)</f>
        <v>0</v>
      </c>
      <c r="K119" s="164">
        <f>IF(K114&gt;0,0,MAX(K110-K111-K112,0)*Premissas!$B$7)</f>
        <v>0</v>
      </c>
      <c r="L119" s="164">
        <f>IF(L114&gt;0,0,MAX(L110-L111-L112,0)*Premissas!$B$7)</f>
        <v>0</v>
      </c>
      <c r="M119" s="164">
        <f>IF(M114&gt;0,0,MAX(M110-M111-M112,0)*Premissas!$B$7)</f>
        <v>0</v>
      </c>
      <c r="N119" s="164">
        <f>IF(N114&gt;0,0,MAX(N110-N111-N112,0)*Premissas!$B$7)</f>
        <v>0</v>
      </c>
      <c r="O119" s="164">
        <f>IF(O114&gt;0,0,MAX(O110-O111-O112,0)*Premissas!$B$7)</f>
        <v>0</v>
      </c>
      <c r="P119" s="164">
        <f>IF(P114&gt;0,0,MAX(P110-P111-P112,0)*Premissas!$B$7)</f>
        <v>0</v>
      </c>
      <c r="Q119" s="164">
        <f>IF(Q114&gt;0,0,MAX(Q110-Q111-Q112,0)*Premissas!$B$7)</f>
        <v>0</v>
      </c>
      <c r="R119" s="164">
        <f>IF(R114&gt;0,0,MAX(R110-R111-R112,0)*Premissas!$B$7)</f>
        <v>0</v>
      </c>
      <c r="S119" s="164">
        <f>IF(S114&gt;0,0,MAX(S110-S111-S112,0)*Premissas!$B$7)</f>
        <v>0</v>
      </c>
      <c r="T119" s="164">
        <f>IF(T114&gt;0,0,MAX(T110-T111-T112,0)*Premissas!$B$7)</f>
        <v>0</v>
      </c>
      <c r="U119" s="164">
        <f>IF(U114&gt;0,0,MAX(U110-U111-U112,0)*Premissas!$B$7)</f>
        <v>0</v>
      </c>
      <c r="V119" s="164">
        <f>IF(V114&gt;0,0,MAX(V110-V111-V112,0)*Premissas!$B$7)</f>
        <v>0</v>
      </c>
      <c r="W119" s="164">
        <f>IF(W114&gt;0,0,MAX(W110-W111-W112,0)*Premissas!$B$7)</f>
        <v>0</v>
      </c>
      <c r="X119" s="164">
        <f>IF(X114&gt;0,0,MAX(X110-X111-X112,0)*Premissas!$B$7)</f>
        <v>0</v>
      </c>
      <c r="Y119" s="164">
        <f>IF(Y114&gt;0,0,MAX(Y110-Y111-Y112,0)*Premissas!$B$7)</f>
        <v>0</v>
      </c>
      <c r="Z119" s="164">
        <f>IF(Z114&gt;0,0,MAX(Z110-Z111-Z112,0)*Premissas!$B$7)</f>
        <v>0</v>
      </c>
      <c r="AA119" s="164">
        <f>IF(AA114&gt;0,0,MAX(AA110-AA111-AA112,0)*Premissas!$B$7)</f>
        <v>0</v>
      </c>
      <c r="AB119" s="164">
        <f>IF(AB114&gt;0,0,MAX(AB110-AB111-AB112,0)*Premissas!$B$7)</f>
        <v>0</v>
      </c>
      <c r="AC119" s="164">
        <f>IF(AC114&gt;0,0,MAX(AC110-AC111-AC112,0)*Premissas!$B$7)</f>
        <v>0</v>
      </c>
      <c r="AD119" s="164">
        <f>IF(AD114&gt;0,0,MAX(AD110-AD111-AD112,0)*Premissas!$B$7)</f>
        <v>0</v>
      </c>
      <c r="AE119" s="164">
        <f>IF(AE114&gt;0,0,MAX(AE110-AE111-AE112,0)*Premissas!$B$7)</f>
        <v>0</v>
      </c>
      <c r="AF119" s="164">
        <f>IF(AF114&gt;0,0,MAX(AF110-AF111-AF112,0)*Premissas!$B$7)</f>
        <v>0</v>
      </c>
      <c r="AG119" s="164">
        <f>IF(AG114&gt;0,0,MAX(AG110-AG111-AG112,0)*Premissas!$B$7)</f>
        <v>0</v>
      </c>
      <c r="AH119" s="164">
        <f>IF(AH114&gt;0,0,MAX(AH110-AH111-AH112,0)*Premissas!$B$7)</f>
        <v>0</v>
      </c>
      <c r="AI119" s="164">
        <f>IF(AI114&gt;0,0,MAX(AI110-AI111-AI112,0)*Premissas!$B$7)</f>
        <v>0</v>
      </c>
      <c r="AJ119" s="164">
        <f>IF(AJ114&gt;0,0,MAX(AJ110-AJ111-AJ112,0)*Premissas!$B$7)</f>
        <v>0</v>
      </c>
      <c r="AK119" s="164">
        <f>IF(AK114&gt;0,0,MAX(AK110-AK111-AK112,0)*Premissas!$B$7)</f>
        <v>0</v>
      </c>
      <c r="AL119" s="164">
        <f>IF(AL114&gt;0,0,MAX(AL110-AL111-AL112,0)*Premissas!$B$7)</f>
        <v>0</v>
      </c>
      <c r="AM119" s="164">
        <f>IF(AM114&gt;0,0,MAX(AM110-AM111-AM112,0)*Premissas!$B$7)</f>
        <v>0</v>
      </c>
      <c r="AN119" s="164">
        <f>IF(AN114&gt;0,0,MAX(AN110-AN111-AN112,0)*Premissas!$B$7)</f>
        <v>0</v>
      </c>
      <c r="AO119" s="164">
        <f>IF(AO114&gt;0,0,MAX(AO110-AO111-AO112,0)*Premissas!$B$7)</f>
        <v>0</v>
      </c>
      <c r="AP119" s="164">
        <f>IF(AP114&gt;0,0,MAX(AP110-AP111-AP112,0)*Premissas!$B$7)</f>
        <v>0</v>
      </c>
      <c r="AQ119" s="164">
        <f>IF(AQ114&gt;0,0,MAX(AQ110-AQ111-AQ112,0)*Premissas!$B$7)</f>
        <v>0</v>
      </c>
      <c r="AR119" s="164">
        <f>IF(AR114&gt;0,0,MAX(AR110-AR111-AR112,0)*Premissas!$B$7)</f>
        <v>0</v>
      </c>
      <c r="AS119" s="164">
        <f>IF(AS114&gt;0,0,MAX(AS110-AS111-AS112,0)*Premissas!$B$7)</f>
        <v>0</v>
      </c>
      <c r="AT119" s="164">
        <f>IF(AT114&gt;0,0,MAX(AT110-AT111-AT112,0)*Premissas!$B$7)</f>
        <v>0</v>
      </c>
      <c r="AU119" s="164">
        <f>IF(AU114&gt;0,0,MAX(AU110-AU111-AU112,0)*Premissas!$B$7)</f>
        <v>0</v>
      </c>
      <c r="AV119" s="164">
        <f>IF(AV114&gt;0,0,MAX(AV110-AV111-AV112,0)*Premissas!$B$7)</f>
        <v>4465.9621930313933</v>
      </c>
      <c r="AW119" s="164">
        <f>IF(AW114&gt;0,0,MAX(AW110-AW111-AW112,0)*Premissas!$B$7)</f>
        <v>9757.2691906355412</v>
      </c>
      <c r="AX119" s="164">
        <f>IF(AX114&gt;0,0,MAX(AX110-AX111-AX112,0)*Premissas!$B$7)</f>
        <v>8150.4422169588206</v>
      </c>
      <c r="AY119" s="164">
        <f>IF(AY114&gt;0,0,MAX(AY110-AY111-AY112,0)*Premissas!$B$7)</f>
        <v>7153.1470329848898</v>
      </c>
      <c r="AZ119" s="164">
        <f>IF(AZ114&gt;0,0,MAX(AZ110-AZ111-AZ112,0)*Premissas!$B$7)</f>
        <v>7224.0749412765681</v>
      </c>
      <c r="BA119" s="164">
        <f>IF(BA114&gt;0,0,MAX(BA110-BA111-BA112,0)*Premissas!$B$7)</f>
        <v>10048.06088708831</v>
      </c>
      <c r="BB119" s="164">
        <f>IF(BB114&gt;0,0,MAX(BB110-BB111-BB112,0)*Premissas!$B$7)</f>
        <v>9590.7465181210446</v>
      </c>
      <c r="BC119" s="164">
        <f>IF(BC114&gt;0,0,MAX(BC110-BC111-BC112,0)*Premissas!$B$7)</f>
        <v>12886.664742026855</v>
      </c>
      <c r="BD119" s="164">
        <f>IF(BD114&gt;0,0,MAX(BD110-BD111-BD112,0)*Premissas!$B$7)</f>
        <v>12693.562145091106</v>
      </c>
      <c r="BE119" s="164">
        <f>IF(BE114&gt;0,0,MAX(BE110-BE111-BE112,0)*Premissas!$B$7)</f>
        <v>14206.457068077147</v>
      </c>
      <c r="BF119" s="164">
        <f>IF(BF114&gt;0,0,MAX(BF110-BF111-BF112,0)*Premissas!$B$7)</f>
        <v>9943.8913538366742</v>
      </c>
      <c r="BG119" s="164">
        <f>IF(BG114&gt;0,0,MAX(BG110-BG111-BG112,0)*Premissas!$B$7)</f>
        <v>8064.0960331860424</v>
      </c>
      <c r="BH119" s="164">
        <f>IF(BH114&gt;0,0,MAX(BH110-BH111-BH112,0)*Premissas!$B$7)</f>
        <v>9642.3826798430473</v>
      </c>
      <c r="BI119" s="164">
        <f>IF(BI114&gt;0,0,MAX(BI110-BI111-BI112,0)*Premissas!$B$7)</f>
        <v>5919.3348867304103</v>
      </c>
      <c r="BJ119" s="164">
        <f>IF(BJ114&gt;0,0,MAX(BJ110-BJ111-BJ112,0)*Premissas!$B$7)</f>
        <v>4281.0044585860014</v>
      </c>
      <c r="BK119" s="164">
        <f>IF(BK114&gt;0,0,MAX(BK110-BK111-BK112,0)*Premissas!$B$7)</f>
        <v>3519.9645284079484</v>
      </c>
      <c r="BL119" s="164">
        <f>IF(BL114&gt;0,0,MAX(BL110-BL111-BL112,0)*Premissas!$B$7)</f>
        <v>0</v>
      </c>
      <c r="BM119" s="164">
        <f>IF(BM114&gt;0,0,MAX(BM110-BM111-BM112,0)*Premissas!$B$7)</f>
        <v>0</v>
      </c>
      <c r="BN119" s="164">
        <f>IF(BN114&gt;0,0,MAX(BN110-BN111-BN112,0)*Premissas!$B$7)</f>
        <v>0</v>
      </c>
      <c r="BO119" s="164">
        <f>IF(BO114&gt;0,0,MAX(BO110-BO111-BO112,0)*Premissas!$B$7)</f>
        <v>0</v>
      </c>
      <c r="BP119" s="164">
        <f>IF(BP114&gt;0,0,MAX(BP110-BP111-BP112,0)*Premissas!$B$7)</f>
        <v>0</v>
      </c>
      <c r="BQ119" s="164">
        <f>IF(BQ114&gt;0,0,MAX(BQ110-BQ111-BQ112,0)*Premissas!$B$7)</f>
        <v>0</v>
      </c>
      <c r="BR119" s="164">
        <f>IF(BR114&gt;0,0,MAX(BR110-BR111-BR112,0)*Premissas!$B$7)</f>
        <v>0</v>
      </c>
      <c r="BS119" s="164">
        <f>IF(BS114&gt;0,0,MAX(BS110-BS111-BS112,0)*Premissas!$B$7)</f>
        <v>0</v>
      </c>
      <c r="BT119" s="164">
        <f>IF(BT114&gt;0,0,MAX(BT110-BT111-BT112,0)*Premissas!$B$7)</f>
        <v>0</v>
      </c>
      <c r="BU119" s="164">
        <f>IF(BU114&gt;0,0,MAX(BU110-BU111-BU112,0)*Premissas!$B$7)</f>
        <v>0</v>
      </c>
      <c r="BV119" s="164">
        <f>IF(BV114&gt;0,0,MAX(BV110-BV111-BV112,0)*Premissas!$B$7)</f>
        <v>0</v>
      </c>
      <c r="BW119" s="164">
        <f>IF(BW114&gt;0,0,MAX(BW110-BW111-BW112,0)*Premissas!$B$7)</f>
        <v>0</v>
      </c>
      <c r="BX119" s="164">
        <f>IF(BX114&gt;0,0,MAX(BX110-BX111-BX112,0)*Premissas!$B$7)</f>
        <v>0</v>
      </c>
      <c r="BY119" s="164">
        <f>IF(BY114&gt;0,0,MAX(BY110-BY111-BY112,0)*Premissas!$B$7)</f>
        <v>0</v>
      </c>
      <c r="BZ119" s="164">
        <f>IF(BZ114&gt;0,0,MAX(BZ110-BZ111-BZ112,0)*Premissas!$B$7)</f>
        <v>0</v>
      </c>
      <c r="CA119" s="164">
        <f>IF(CA114&gt;0,0,MAX(CA110-CA111-CA112,0)*Premissas!$B$7)</f>
        <v>0</v>
      </c>
      <c r="CB119" s="164">
        <f>IF(CB114&gt;0,0,MAX(CB110-CB111-CB112,0)*Premissas!$B$7)</f>
        <v>0</v>
      </c>
      <c r="CC119" s="164">
        <f>IF(CC114&gt;0,0,MAX(CC110-CC111-CC112,0)*Premissas!$B$7)</f>
        <v>0</v>
      </c>
      <c r="CD119" s="164">
        <f>IF(CD114&gt;0,0,MAX(CD110-CD111-CD112,0)*Premissas!$B$7)</f>
        <v>0</v>
      </c>
      <c r="CE119" s="164">
        <f>IF(CE114&gt;0,0,MAX(CE110-CE111-CE112,0)*Premissas!$B$7)</f>
        <v>0</v>
      </c>
      <c r="CF119" s="164">
        <f>IF(CF114&gt;0,0,MAX(CF110-CF111-CF112,0)*Premissas!$B$7)</f>
        <v>0</v>
      </c>
      <c r="CG119" s="164">
        <f>IF(CG114&gt;0,0,MAX(CG110-CG111-CG112,0)*Premissas!$B$7)</f>
        <v>0</v>
      </c>
      <c r="CH119" s="164">
        <f>IF(CH114&gt;0,0,MAX(CH110-CH111-CH112,0)*Premissas!$B$7)</f>
        <v>0</v>
      </c>
      <c r="CI119" s="164">
        <f>IF(CI114&gt;0,0,MAX(CI110-CI111-CI112,0)*Premissas!$B$7)</f>
        <v>0</v>
      </c>
      <c r="CJ119" s="164">
        <f>IF(CJ114&gt;0,0,MAX(CJ110-CJ111-CJ112,0)*Premissas!$B$7)</f>
        <v>0</v>
      </c>
      <c r="CK119" s="164">
        <f>IF(CK114&gt;0,0,MAX(CK110-CK111-CK112,0)*Premissas!$B$7)</f>
        <v>0</v>
      </c>
      <c r="CL119" s="164">
        <f>IF(CL114&gt;0,0,MAX(CL110-CL111-CL112,0)*Premissas!$B$7)</f>
        <v>0</v>
      </c>
      <c r="CM119" s="164">
        <f>IF(CM114&gt;0,0,MAX(CM110-CM111-CM112,0)*Premissas!$B$7)</f>
        <v>0</v>
      </c>
      <c r="CN119" s="164">
        <f>IF(CN114&gt;0,0,MAX(CN110-CN111-CN112,0)*Premissas!$B$7)</f>
        <v>0</v>
      </c>
      <c r="CO119" s="164">
        <f>IF(CO114&gt;0,0,MAX(CO110-CO111-CO112,0)*Premissas!$B$7)</f>
        <v>0</v>
      </c>
      <c r="CP119" s="164">
        <f>IF(CP114&gt;0,0,MAX(CP110-CP111-CP112,0)*Premissas!$B$7)</f>
        <v>0</v>
      </c>
      <c r="CQ119" s="164">
        <f>IF(CQ114&gt;0,0,MAX(CQ110-CQ111-CQ112,0)*Premissas!$B$7)</f>
        <v>0</v>
      </c>
      <c r="CR119" s="164">
        <f>IF(CR114&gt;0,0,MAX(CR110-CR111-CR112,0)*Premissas!$B$7)</f>
        <v>0</v>
      </c>
      <c r="CS119" s="164">
        <f>IF(CS114&gt;0,0,MAX(CS110-CS111-CS112,0)*Premissas!$B$7)</f>
        <v>0</v>
      </c>
      <c r="CT119" s="164">
        <f>IF(CT114&gt;0,0,MAX(CT110-CT111-CT112,0)*Premissas!$B$7)</f>
        <v>0</v>
      </c>
      <c r="CU119" s="164">
        <f>IF(CU114&gt;0,0,MAX(CU110-CU111-CU112,0)*Premissas!$B$7)</f>
        <v>0</v>
      </c>
      <c r="CV119" s="164">
        <f>IF(CV114&gt;0,0,MAX(CV110-CV111-CV112,0)*Premissas!$B$7)</f>
        <v>0</v>
      </c>
      <c r="CW119" s="164">
        <f>IF(CW114&gt;0,0,MAX(CW110-CW111-CW112,0)*Premissas!$B$7)</f>
        <v>0</v>
      </c>
      <c r="CX119" s="164">
        <f>IF(CX114&gt;0,0,MAX(CX110-CX111-CX112,0)*Premissas!$B$7)</f>
        <v>0</v>
      </c>
      <c r="CY119" s="164">
        <f>IF(CY114&gt;0,0,MAX(CY110-CY111-CY112,0)*Premissas!$B$7)</f>
        <v>0</v>
      </c>
      <c r="CZ119" s="164">
        <f>IF(CZ114&gt;0,0,MAX(CZ110-CZ111-CZ112,0)*Premissas!$B$7)</f>
        <v>0</v>
      </c>
      <c r="DA119" s="164">
        <f>IF(DA114&gt;0,0,MAX(DA110-DA111-DA112,0)*Premissas!$B$7)</f>
        <v>0</v>
      </c>
      <c r="DB119" s="164">
        <f>IF(DB114&gt;0,0,MAX(DB110-DB111-DB112,0)*Premissas!$B$7)</f>
        <v>0</v>
      </c>
      <c r="DC119" s="164">
        <f>IF(DC114&gt;0,0,MAX(DC110-DC111-DC112,0)*Premissas!$B$7)</f>
        <v>0</v>
      </c>
      <c r="DD119" s="164">
        <f>IF(DD114&gt;0,0,MAX(DD110-DD111-DD112,0)*Premissas!$B$7)</f>
        <v>0</v>
      </c>
      <c r="DE119" s="164">
        <f>IF(DE114&gt;0,0,MAX(DE110-DE111-DE112,0)*Premissas!$B$7)</f>
        <v>0</v>
      </c>
      <c r="DF119" s="164">
        <f>IF(DF114&gt;0,0,MAX(DF110-DF111-DF112,0)*Premissas!$B$7)</f>
        <v>0</v>
      </c>
      <c r="DG119" s="164">
        <f>IF(DG114&gt;0,0,MAX(DG110-DG111-DG112,0)*Premissas!$B$7)</f>
        <v>0</v>
      </c>
      <c r="DH119" s="164">
        <f>IF(DH114&gt;0,0,MAX(DH110-DH111-DH112,0)*Premissas!$B$7)</f>
        <v>1425.6629722080211</v>
      </c>
      <c r="DI119" s="164">
        <f>IF(DI114&gt;0,0,MAX(DI110-DI111-DI112,0)*Premissas!$B$7)</f>
        <v>12624.853004143461</v>
      </c>
      <c r="DJ119" s="164">
        <f>IF(DJ114&gt;0,0,MAX(DJ110-DJ111-DJ112,0)*Premissas!$B$7)</f>
        <v>12358.774364818528</v>
      </c>
      <c r="DK119" s="164">
        <f>IF(DK114&gt;0,0,MAX(DK110-DK111-DK112,0)*Premissas!$B$7)</f>
        <v>15994.796814376201</v>
      </c>
      <c r="DL119" s="164">
        <f>IF(DL114&gt;0,0,MAX(DL110-DL111-DL112,0)*Premissas!$B$7)</f>
        <v>15815.482948744182</v>
      </c>
      <c r="DM119" s="164">
        <f>IF(DM114&gt;0,0,MAX(DM110-DM111-DM112,0)*Premissas!$B$7)</f>
        <v>17479.052876349633</v>
      </c>
      <c r="DN119" s="164">
        <f>IF(DN114&gt;0,0,MAX(DN110-DN111-DN112,0)*Premissas!$B$7)</f>
        <v>16819.640596283494</v>
      </c>
      <c r="DO119" s="164">
        <f>IF(DO114&gt;0,0,MAX(DO110-DO111-DO112,0)*Premissas!$B$7)</f>
        <v>14871.482210965289</v>
      </c>
      <c r="DP119" s="164">
        <f>IF(DP114&gt;0,0,MAX(DP110-DP111-DP112,0)*Premissas!$B$7)</f>
        <v>16030.659587502605</v>
      </c>
      <c r="DQ119" s="164">
        <f>IF(DQ114&gt;0,0,MAX(DQ110-DQ111-DQ112,0)*Premissas!$B$7)</f>
        <v>12572.794139927713</v>
      </c>
      <c r="DR119" s="164">
        <f>IF(DR114&gt;0,0,MAX(DR110-DR111-DR112,0)*Premissas!$B$7)</f>
        <v>10705.616210056225</v>
      </c>
      <c r="DS119" s="164">
        <f>IF(DS114&gt;0,0,MAX(DS110-DS111-DS112,0)*Premissas!$B$7)</f>
        <v>9468.9289690199057</v>
      </c>
    </row>
    <row r="120" spans="1:123" ht="13.5" customHeight="1" x14ac:dyDescent="0.35">
      <c r="A120" s="39" t="s">
        <v>499</v>
      </c>
      <c r="B120" s="42">
        <f>SUM(D120:BQ120)</f>
        <v>482386.63512791641</v>
      </c>
      <c r="C120" s="144">
        <f>B120/60</f>
        <v>8039.7772521319403</v>
      </c>
      <c r="D120" s="165">
        <f t="shared" ref="D120:AI120" si="210">MAX(D118-D119,0)</f>
        <v>5999.9576304123202</v>
      </c>
      <c r="E120" s="165">
        <f t="shared" si="210"/>
        <v>7849.2041737206036</v>
      </c>
      <c r="F120" s="165">
        <f t="shared" si="210"/>
        <v>7916.649324471231</v>
      </c>
      <c r="G120" s="165">
        <f t="shared" si="210"/>
        <v>8270.3256793165274</v>
      </c>
      <c r="H120" s="165">
        <f t="shared" si="210"/>
        <v>10131.349094574067</v>
      </c>
      <c r="I120" s="165">
        <f t="shared" si="210"/>
        <v>11196.589142793189</v>
      </c>
      <c r="J120" s="165">
        <f t="shared" si="210"/>
        <v>10774.565283550861</v>
      </c>
      <c r="K120" s="165">
        <f t="shared" si="210"/>
        <v>9526.0780332923041</v>
      </c>
      <c r="L120" s="165">
        <f t="shared" si="210"/>
        <v>10269.247241563337</v>
      </c>
      <c r="M120" s="165">
        <f t="shared" si="210"/>
        <v>8053.6219805411092</v>
      </c>
      <c r="N120" s="165">
        <f t="shared" si="210"/>
        <v>6857.8877126878442</v>
      </c>
      <c r="O120" s="165">
        <f t="shared" si="210"/>
        <v>6065.6674856890868</v>
      </c>
      <c r="P120" s="165">
        <f t="shared" si="210"/>
        <v>6149.8871593536742</v>
      </c>
      <c r="Q120" s="165">
        <f t="shared" si="210"/>
        <v>8288.6966740664411</v>
      </c>
      <c r="R120" s="165">
        <f t="shared" si="210"/>
        <v>8114.7043812209204</v>
      </c>
      <c r="S120" s="165">
        <f t="shared" si="210"/>
        <v>10502.470953249885</v>
      </c>
      <c r="T120" s="165">
        <f t="shared" si="210"/>
        <v>10384.93360648722</v>
      </c>
      <c r="U120" s="165">
        <f t="shared" si="210"/>
        <v>11476.087400449294</v>
      </c>
      <c r="V120" s="165">
        <f t="shared" si="210"/>
        <v>11043.883141093664</v>
      </c>
      <c r="W120" s="165">
        <f t="shared" si="210"/>
        <v>9526.0780332923041</v>
      </c>
      <c r="X120" s="165">
        <f t="shared" si="210"/>
        <v>10269.247241563337</v>
      </c>
      <c r="Y120" s="165">
        <f t="shared" si="210"/>
        <v>8053.6219805411092</v>
      </c>
      <c r="Z120" s="165">
        <f t="shared" si="210"/>
        <v>6857.8877126878442</v>
      </c>
      <c r="AA120" s="165">
        <f t="shared" si="210"/>
        <v>6065.6674856890868</v>
      </c>
      <c r="AB120" s="165">
        <f t="shared" si="210"/>
        <v>6303.5186519725921</v>
      </c>
      <c r="AC120" s="165">
        <f t="shared" si="210"/>
        <v>8496.0066400100422</v>
      </c>
      <c r="AD120" s="165">
        <f t="shared" si="210"/>
        <v>8317.3868925675652</v>
      </c>
      <c r="AE120" s="165">
        <f t="shared" si="210"/>
        <v>10764.38488343756</v>
      </c>
      <c r="AF120" s="165">
        <f t="shared" si="210"/>
        <v>10644.071063916721</v>
      </c>
      <c r="AG120" s="165">
        <f t="shared" si="210"/>
        <v>11762.989585460526</v>
      </c>
      <c r="AH120" s="165">
        <f t="shared" si="210"/>
        <v>11319.679435072203</v>
      </c>
      <c r="AI120" s="165">
        <f t="shared" si="210"/>
        <v>10008.258802295053</v>
      </c>
      <c r="AJ120" s="165">
        <f t="shared" ref="AJ120:BO120" si="211">MAX(AJ118-AJ119,0)</f>
        <v>10789.373138261119</v>
      </c>
      <c r="AK120" s="165">
        <f t="shared" si="211"/>
        <v>8461.7634759925713</v>
      </c>
      <c r="AL120" s="165">
        <f t="shared" si="211"/>
        <v>7204.9468074594961</v>
      </c>
      <c r="AM120" s="165">
        <f t="shared" si="211"/>
        <v>6372.9304709269227</v>
      </c>
      <c r="AN120" s="165">
        <f t="shared" si="211"/>
        <v>6460.8521082690741</v>
      </c>
      <c r="AO120" s="165">
        <f t="shared" si="211"/>
        <v>8708.8695514699884</v>
      </c>
      <c r="AP120" s="165">
        <f t="shared" si="211"/>
        <v>8525.6223494305559</v>
      </c>
      <c r="AQ120" s="165">
        <f t="shared" si="211"/>
        <v>11033.702740980361</v>
      </c>
      <c r="AR120" s="165">
        <f t="shared" si="211"/>
        <v>10910.612448701349</v>
      </c>
      <c r="AS120" s="165">
        <f t="shared" si="211"/>
        <v>12057.295697826887</v>
      </c>
      <c r="AT120" s="165">
        <f t="shared" si="211"/>
        <v>11602.87965640587</v>
      </c>
      <c r="AU120" s="165">
        <f t="shared" si="211"/>
        <v>10258.141350530643</v>
      </c>
      <c r="AV120" s="165">
        <f t="shared" si="211"/>
        <v>6592.7288027725263</v>
      </c>
      <c r="AW120" s="165">
        <f t="shared" si="211"/>
        <v>0</v>
      </c>
      <c r="AX120" s="165">
        <f t="shared" si="211"/>
        <v>0</v>
      </c>
      <c r="AY120" s="165">
        <f t="shared" si="211"/>
        <v>0</v>
      </c>
      <c r="AZ120" s="165">
        <f t="shared" si="211"/>
        <v>0</v>
      </c>
      <c r="BA120" s="165">
        <f t="shared" si="211"/>
        <v>0</v>
      </c>
      <c r="BB120" s="165">
        <f t="shared" si="211"/>
        <v>0</v>
      </c>
      <c r="BC120" s="165">
        <f t="shared" si="211"/>
        <v>0</v>
      </c>
      <c r="BD120" s="165">
        <f t="shared" si="211"/>
        <v>0</v>
      </c>
      <c r="BE120" s="165">
        <f t="shared" si="211"/>
        <v>0</v>
      </c>
      <c r="BF120" s="165">
        <f t="shared" si="211"/>
        <v>1949.5924512579932</v>
      </c>
      <c r="BG120" s="165">
        <f t="shared" si="211"/>
        <v>2451.3317929353179</v>
      </c>
      <c r="BH120" s="165">
        <f t="shared" si="211"/>
        <v>1693.0301008588031</v>
      </c>
      <c r="BI120" s="165">
        <f t="shared" si="211"/>
        <v>2970.0053940208363</v>
      </c>
      <c r="BJ120" s="165">
        <f t="shared" si="211"/>
        <v>3288.5857711135768</v>
      </c>
      <c r="BK120" s="165">
        <f t="shared" si="211"/>
        <v>3175.036782467067</v>
      </c>
      <c r="BL120" s="165">
        <f t="shared" si="211"/>
        <v>6788.4758937335137</v>
      </c>
      <c r="BM120" s="165">
        <f t="shared" si="211"/>
        <v>9149.4032291001386</v>
      </c>
      <c r="BN120" s="165">
        <f t="shared" si="211"/>
        <v>8956.9011178667952</v>
      </c>
      <c r="BO120" s="165">
        <f t="shared" si="211"/>
        <v>11592.69925629257</v>
      </c>
      <c r="BP120" s="165">
        <f t="shared" ref="BP120:CU120" si="212">MAX(BP118-BP119,0)</f>
        <v>11463.13052757782</v>
      </c>
      <c r="BQ120" s="165">
        <f t="shared" si="212"/>
        <v>12668.119704624994</v>
      </c>
      <c r="BR120" s="165">
        <f t="shared" si="212"/>
        <v>12190.566390219201</v>
      </c>
      <c r="BS120" s="165">
        <f t="shared" si="212"/>
        <v>10778.267247228425</v>
      </c>
      <c r="BT120" s="165">
        <f t="shared" si="212"/>
        <v>11618.613002035519</v>
      </c>
      <c r="BU120" s="165">
        <f t="shared" si="212"/>
        <v>9112.3835923244951</v>
      </c>
      <c r="BV120" s="165">
        <f t="shared" si="212"/>
        <v>7759.3158681747482</v>
      </c>
      <c r="BW120" s="165">
        <f t="shared" si="212"/>
        <v>6862.5151672847996</v>
      </c>
      <c r="BX120" s="165">
        <f t="shared" si="212"/>
        <v>6957.8407319820799</v>
      </c>
      <c r="BY120" s="165">
        <f t="shared" si="212"/>
        <v>9377.9994861897339</v>
      </c>
      <c r="BZ120" s="165">
        <f t="shared" si="212"/>
        <v>9180.8699203594351</v>
      </c>
      <c r="CA120" s="165">
        <f t="shared" si="212"/>
        <v>11882.377914061975</v>
      </c>
      <c r="CB120" s="165">
        <f t="shared" si="212"/>
        <v>11749.107221669659</v>
      </c>
      <c r="CC120" s="165">
        <f t="shared" si="212"/>
        <v>12984.637599056741</v>
      </c>
      <c r="CD120" s="165">
        <f t="shared" si="212"/>
        <v>12495.052902698864</v>
      </c>
      <c r="CE120" s="165">
        <f t="shared" si="212"/>
        <v>11047.585104771228</v>
      </c>
      <c r="CF120" s="165">
        <f t="shared" si="212"/>
        <v>11909.217150724315</v>
      </c>
      <c r="CG120" s="165">
        <f t="shared" si="212"/>
        <v>9340.054358494699</v>
      </c>
      <c r="CH120" s="165">
        <f t="shared" si="212"/>
        <v>7952.7434703274821</v>
      </c>
      <c r="CI120" s="165">
        <f t="shared" si="212"/>
        <v>7034.6564782915393</v>
      </c>
      <c r="CJ120" s="165">
        <f t="shared" si="212"/>
        <v>7131.8330248276015</v>
      </c>
      <c r="CK120" s="165">
        <f t="shared" si="212"/>
        <v>9613.0741797150658</v>
      </c>
      <c r="CL120" s="165">
        <f t="shared" si="212"/>
        <v>9410.3916683684201</v>
      </c>
      <c r="CM120" s="165">
        <f t="shared" si="212"/>
        <v>12179.460499186509</v>
      </c>
      <c r="CN120" s="165">
        <f t="shared" si="212"/>
        <v>12043.41333403602</v>
      </c>
      <c r="CO120" s="165">
        <f t="shared" si="212"/>
        <v>13309.484911763007</v>
      </c>
      <c r="CP120" s="165">
        <f t="shared" si="212"/>
        <v>12807.868833453047</v>
      </c>
      <c r="CQ120" s="165">
        <f t="shared" si="212"/>
        <v>11323.381398749767</v>
      </c>
      <c r="CR120" s="165">
        <f t="shared" si="212"/>
        <v>12207.225226768242</v>
      </c>
      <c r="CS120" s="165">
        <f t="shared" si="212"/>
        <v>9573.2780701812499</v>
      </c>
      <c r="CT120" s="165">
        <f t="shared" si="212"/>
        <v>8151.7240179965629</v>
      </c>
      <c r="CU120" s="165">
        <f t="shared" si="212"/>
        <v>7210.499752975843</v>
      </c>
      <c r="CV120" s="165">
        <f t="shared" ref="CV120:DS120" si="213">MAX(CV118-CV119,0)</f>
        <v>7310.4527722700786</v>
      </c>
      <c r="CW120" s="165">
        <f t="shared" si="213"/>
        <v>9852.7763278373532</v>
      </c>
      <c r="CX120" s="165">
        <f t="shared" si="213"/>
        <v>9645.4663618937539</v>
      </c>
      <c r="CY120" s="165">
        <f t="shared" si="213"/>
        <v>12483.947011666171</v>
      </c>
      <c r="CZ120" s="165">
        <f t="shared" si="213"/>
        <v>12344.19788283812</v>
      </c>
      <c r="DA120" s="165">
        <f t="shared" si="213"/>
        <v>13641.736151824403</v>
      </c>
      <c r="DB120" s="165">
        <f t="shared" si="213"/>
        <v>13128.088691562358</v>
      </c>
      <c r="DC120" s="165">
        <f t="shared" si="213"/>
        <v>11606.581620083434</v>
      </c>
      <c r="DD120" s="165">
        <f t="shared" si="213"/>
        <v>12511.711739247903</v>
      </c>
      <c r="DE120" s="165">
        <f t="shared" si="213"/>
        <v>9812.9802183035372</v>
      </c>
      <c r="DF120" s="165">
        <f t="shared" si="213"/>
        <v>8355.3320202625982</v>
      </c>
      <c r="DG120" s="165">
        <f t="shared" si="213"/>
        <v>7390.0449913377106</v>
      </c>
      <c r="DH120" s="165">
        <f t="shared" si="213"/>
        <v>6067.1115111820982</v>
      </c>
      <c r="DI120" s="165">
        <f t="shared" si="213"/>
        <v>0</v>
      </c>
      <c r="DJ120" s="165">
        <f t="shared" si="213"/>
        <v>0</v>
      </c>
      <c r="DK120" s="165">
        <f t="shared" si="213"/>
        <v>0</v>
      </c>
      <c r="DL120" s="165">
        <f t="shared" si="213"/>
        <v>0</v>
      </c>
      <c r="DM120" s="165">
        <f t="shared" si="213"/>
        <v>0</v>
      </c>
      <c r="DN120" s="165">
        <f t="shared" si="213"/>
        <v>0</v>
      </c>
      <c r="DO120" s="165">
        <f t="shared" si="213"/>
        <v>0</v>
      </c>
      <c r="DP120" s="165">
        <f t="shared" si="213"/>
        <v>0</v>
      </c>
      <c r="DQ120" s="165">
        <f t="shared" si="213"/>
        <v>0</v>
      </c>
      <c r="DR120" s="165">
        <f t="shared" si="213"/>
        <v>0</v>
      </c>
      <c r="DS120" s="165">
        <f t="shared" si="213"/>
        <v>0</v>
      </c>
    </row>
    <row r="122" spans="1:123" ht="15" customHeight="1" x14ac:dyDescent="0.35">
      <c r="A122" s="289" t="s">
        <v>509</v>
      </c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89"/>
    </row>
    <row r="123" spans="1:123" ht="12.75" customHeight="1" x14ac:dyDescent="0.35">
      <c r="A123" s="166" t="s">
        <v>486</v>
      </c>
      <c r="B123" s="167">
        <f>SUM(D123:BQ123)</f>
        <v>232996</v>
      </c>
      <c r="C123" s="139">
        <f>B123/60</f>
        <v>3883.2666666666669</v>
      </c>
      <c r="D123" s="167">
        <v>2632</v>
      </c>
      <c r="E123" s="167">
        <v>2764</v>
      </c>
      <c r="F123" s="167">
        <v>3150</v>
      </c>
      <c r="G123" s="167">
        <v>3035</v>
      </c>
      <c r="H123" s="167">
        <v>3101</v>
      </c>
      <c r="I123" s="167">
        <v>3722</v>
      </c>
      <c r="J123" s="167">
        <v>3167</v>
      </c>
      <c r="K123" s="167">
        <v>4534</v>
      </c>
      <c r="L123" s="167">
        <v>4886</v>
      </c>
      <c r="M123" s="167">
        <v>3626</v>
      </c>
      <c r="N123" s="167">
        <v>3097</v>
      </c>
      <c r="O123" s="167">
        <v>2741</v>
      </c>
      <c r="P123" s="167">
        <v>2698</v>
      </c>
      <c r="Q123" s="167">
        <v>2833</v>
      </c>
      <c r="R123" s="167">
        <v>3229</v>
      </c>
      <c r="S123" s="167">
        <v>3111</v>
      </c>
      <c r="T123" s="167">
        <v>3179</v>
      </c>
      <c r="U123" s="167">
        <v>3815</v>
      </c>
      <c r="V123" s="167">
        <v>3246</v>
      </c>
      <c r="W123" s="167">
        <v>4534</v>
      </c>
      <c r="X123" s="167">
        <v>4886</v>
      </c>
      <c r="Y123" s="167">
        <v>3626</v>
      </c>
      <c r="Z123" s="167">
        <v>3097</v>
      </c>
      <c r="AA123" s="167">
        <v>2741</v>
      </c>
      <c r="AB123" s="167">
        <v>2765</v>
      </c>
      <c r="AC123" s="167">
        <v>2904</v>
      </c>
      <c r="AD123" s="167">
        <v>3309</v>
      </c>
      <c r="AE123" s="167">
        <v>3189</v>
      </c>
      <c r="AF123" s="167">
        <v>3258</v>
      </c>
      <c r="AG123" s="167">
        <v>3910</v>
      </c>
      <c r="AH123" s="167">
        <v>3327</v>
      </c>
      <c r="AI123" s="167">
        <v>4764</v>
      </c>
      <c r="AJ123" s="167">
        <v>5133</v>
      </c>
      <c r="AK123" s="167">
        <v>3810</v>
      </c>
      <c r="AL123" s="167">
        <v>3254</v>
      </c>
      <c r="AM123" s="167">
        <v>2880</v>
      </c>
      <c r="AN123" s="167">
        <v>2834</v>
      </c>
      <c r="AO123" s="167">
        <v>2977</v>
      </c>
      <c r="AP123" s="167">
        <v>3392</v>
      </c>
      <c r="AQ123" s="167">
        <v>3268</v>
      </c>
      <c r="AR123" s="167">
        <v>3339</v>
      </c>
      <c r="AS123" s="167">
        <v>4008</v>
      </c>
      <c r="AT123" s="167">
        <v>3411</v>
      </c>
      <c r="AU123" s="167">
        <v>4883</v>
      </c>
      <c r="AV123" s="167">
        <v>5262</v>
      </c>
      <c r="AW123" s="167">
        <v>3905</v>
      </c>
      <c r="AX123" s="167">
        <v>3335</v>
      </c>
      <c r="AY123" s="167">
        <v>2952</v>
      </c>
      <c r="AZ123" s="167">
        <v>2905</v>
      </c>
      <c r="BA123" s="167">
        <v>3051</v>
      </c>
      <c r="BB123" s="167">
        <v>3477</v>
      </c>
      <c r="BC123" s="167">
        <v>3350</v>
      </c>
      <c r="BD123" s="167">
        <v>3423</v>
      </c>
      <c r="BE123" s="167">
        <v>4108</v>
      </c>
      <c r="BF123" s="167">
        <v>3496</v>
      </c>
      <c r="BG123" s="167">
        <v>5005</v>
      </c>
      <c r="BH123" s="167">
        <v>5393</v>
      </c>
      <c r="BI123" s="167">
        <v>4002</v>
      </c>
      <c r="BJ123" s="167">
        <v>3419</v>
      </c>
      <c r="BK123" s="167">
        <v>3026</v>
      </c>
      <c r="BL123" s="167">
        <v>2978</v>
      </c>
      <c r="BM123" s="167">
        <v>3127</v>
      </c>
      <c r="BN123" s="167">
        <v>3564</v>
      </c>
      <c r="BO123" s="167">
        <v>3434</v>
      </c>
      <c r="BP123" s="167">
        <v>3508</v>
      </c>
      <c r="BQ123" s="167">
        <v>4211</v>
      </c>
      <c r="BR123" s="167">
        <v>3583</v>
      </c>
      <c r="BS123" s="167">
        <v>5130</v>
      </c>
      <c r="BT123" s="167">
        <v>5528</v>
      </c>
      <c r="BU123" s="167">
        <v>4102</v>
      </c>
      <c r="BV123" s="167">
        <v>3504</v>
      </c>
      <c r="BW123" s="167">
        <v>3101</v>
      </c>
      <c r="BX123" s="167">
        <v>3052</v>
      </c>
      <c r="BY123" s="167">
        <v>3205</v>
      </c>
      <c r="BZ123" s="167">
        <v>3653</v>
      </c>
      <c r="CA123" s="167">
        <v>3520</v>
      </c>
      <c r="CB123" s="167">
        <v>3596</v>
      </c>
      <c r="CC123" s="167">
        <v>4316</v>
      </c>
      <c r="CD123" s="167">
        <v>3673</v>
      </c>
      <c r="CE123" s="167">
        <v>5258</v>
      </c>
      <c r="CF123" s="167">
        <v>5666</v>
      </c>
      <c r="CG123" s="167">
        <v>4205</v>
      </c>
      <c r="CH123" s="167">
        <v>3592</v>
      </c>
      <c r="CI123" s="167">
        <v>3179</v>
      </c>
      <c r="CJ123" s="167">
        <v>3129</v>
      </c>
      <c r="CK123" s="167">
        <v>3286</v>
      </c>
      <c r="CL123" s="167">
        <v>3744</v>
      </c>
      <c r="CM123" s="167">
        <v>3608</v>
      </c>
      <c r="CN123" s="167">
        <v>3686</v>
      </c>
      <c r="CO123" s="167">
        <v>4424</v>
      </c>
      <c r="CP123" s="167">
        <v>3765</v>
      </c>
      <c r="CQ123" s="167">
        <v>5390</v>
      </c>
      <c r="CR123" s="167">
        <v>5808</v>
      </c>
      <c r="CS123" s="167">
        <v>4310</v>
      </c>
      <c r="CT123" s="167">
        <v>3681</v>
      </c>
      <c r="CU123" s="167">
        <v>3258</v>
      </c>
      <c r="CV123" s="167">
        <v>3207</v>
      </c>
      <c r="CW123" s="167">
        <v>3368</v>
      </c>
      <c r="CX123" s="167">
        <v>3838</v>
      </c>
      <c r="CY123" s="167">
        <v>3698</v>
      </c>
      <c r="CZ123" s="167">
        <v>3778</v>
      </c>
      <c r="DA123" s="167">
        <v>4535</v>
      </c>
      <c r="DB123" s="167">
        <v>3859</v>
      </c>
      <c r="DC123" s="167">
        <v>5524</v>
      </c>
      <c r="DD123" s="167">
        <v>5953</v>
      </c>
      <c r="DE123" s="167">
        <v>4418</v>
      </c>
      <c r="DF123" s="167">
        <v>3773</v>
      </c>
      <c r="DG123" s="167">
        <v>3340</v>
      </c>
      <c r="DH123" s="167">
        <v>3287</v>
      </c>
      <c r="DI123" s="167">
        <v>3452</v>
      </c>
      <c r="DJ123" s="167">
        <v>3934</v>
      </c>
      <c r="DK123" s="167">
        <v>3790</v>
      </c>
      <c r="DL123" s="167">
        <v>3873</v>
      </c>
      <c r="DM123" s="167">
        <v>4648</v>
      </c>
      <c r="DN123" s="167">
        <v>3955</v>
      </c>
      <c r="DO123" s="167">
        <v>5662</v>
      </c>
      <c r="DP123" s="167">
        <v>6102</v>
      </c>
      <c r="DQ123" s="167">
        <v>4528</v>
      </c>
      <c r="DR123" s="167">
        <v>3868</v>
      </c>
      <c r="DS123" s="167">
        <v>3423</v>
      </c>
    </row>
    <row r="124" spans="1:123" ht="12.75" customHeight="1" x14ac:dyDescent="0.35">
      <c r="A124" s="142" t="str">
        <f>"  "&amp;INDEX(PVSYST_Helexia!$A$5:$A$7,MATCH(Premissas!$B$13,PVSYST_Helexia!$B$5:$B$7,0))&amp;" créditos recebidos (kWh)"</f>
        <v xml:space="preserve">  HCS03 créditos recebidos (kWh)</v>
      </c>
      <c r="B124" s="155">
        <f>SUM(D124:BQ124)</f>
        <v>208521.36015622067</v>
      </c>
      <c r="C124" s="139">
        <f>B124/60</f>
        <v>3475.356002603678</v>
      </c>
      <c r="D124" s="156">
        <f>D6*Premissas!$B$41</f>
        <v>2640.9870000000001</v>
      </c>
      <c r="E124" s="156">
        <f>E6*Premissas!$B$41</f>
        <v>2779.8629999999998</v>
      </c>
      <c r="F124" s="156">
        <f>F6*Premissas!$B$41</f>
        <v>3337.0709999999999</v>
      </c>
      <c r="G124" s="156">
        <f>G6*Premissas!$B$41</f>
        <v>3131.3130000000001</v>
      </c>
      <c r="H124" s="156">
        <f>H6*Premissas!$C$41</f>
        <v>5408.6639999999998</v>
      </c>
      <c r="I124" s="156">
        <f>I6*Premissas!$C$41</f>
        <v>5229.6639999999998</v>
      </c>
      <c r="J124" s="156">
        <f>J6*Premissas!$C$41</f>
        <v>4965.8180000000002</v>
      </c>
      <c r="K124" s="156">
        <f>K6*Premissas!$C$41</f>
        <v>5098.7899399999997</v>
      </c>
      <c r="L124" s="156">
        <f>L6*Premissas!$C$41</f>
        <v>4543.4585499999994</v>
      </c>
      <c r="M124" s="156">
        <f>M6*Premissas!$C$41</f>
        <v>5211.3522999999996</v>
      </c>
      <c r="N124" s="156">
        <f>N6*Premissas!$D$41</f>
        <v>3776.5025999999998</v>
      </c>
      <c r="O124" s="156">
        <f>O6*Premissas!$D$41</f>
        <v>3534.3593999999998</v>
      </c>
      <c r="P124" s="156">
        <f>P6*Premissas!$D$41</f>
        <v>3207.6212999999998</v>
      </c>
      <c r="Q124" s="156">
        <f>Q6*Premissas!$D$41</f>
        <v>3376.2936999999993</v>
      </c>
      <c r="R124" s="156">
        <f>R6*Premissas!$D$41</f>
        <v>4053.0528999999997</v>
      </c>
      <c r="S124" s="156">
        <f>S6*Premissas!$D$41</f>
        <v>3803.1487000000002</v>
      </c>
      <c r="T124" s="156">
        <f>T6*Premissas!$E$41</f>
        <v>6599.2499400000006</v>
      </c>
      <c r="U124" s="156">
        <f>U6*Premissas!$E$41</f>
        <v>6380.8474400000005</v>
      </c>
      <c r="V124" s="156">
        <f>V6*Premissas!$E$41</f>
        <v>6058.9221550000011</v>
      </c>
      <c r="W124" s="156">
        <f>W6*Premissas!$E$41</f>
        <v>6252.42677</v>
      </c>
      <c r="X124" s="156">
        <f>X6*Premissas!$E$41</f>
        <v>5571.4477750000005</v>
      </c>
      <c r="Y124" s="156">
        <f>Y6*Premissas!$E$41</f>
        <v>6390.4571500000002</v>
      </c>
      <c r="Z124" s="156">
        <f>Z6*Premissas!$E$41</f>
        <v>6376.4793900000004</v>
      </c>
      <c r="AA124" s="156">
        <f>AA6*Premissas!$E$41</f>
        <v>5967.6299099999997</v>
      </c>
      <c r="AB124" s="156">
        <f>AB6*Premissas!$F$41</f>
        <v>1362.560517225</v>
      </c>
      <c r="AC124" s="156">
        <f>AC6*Premissas!$F$41</f>
        <v>1434.210606525</v>
      </c>
      <c r="AD124" s="156">
        <f>AD6*Premissas!$F$41</f>
        <v>1721.6901059250004</v>
      </c>
      <c r="AE124" s="156">
        <f>AE6*Premissas!$F$41</f>
        <v>1615.5336852749999</v>
      </c>
      <c r="AF124" s="156">
        <f>AF6*Premissas!$F$41</f>
        <v>1660.2600447000002</v>
      </c>
      <c r="AG124" s="156">
        <f>AG6*Premissas!$F$41</f>
        <v>1605.3136572000003</v>
      </c>
      <c r="AH124" s="156">
        <f>AH6*Premissas!$G$41</f>
        <v>1661.6490497750001</v>
      </c>
      <c r="AI124" s="156">
        <f>AI6*Premissas!$G$41</f>
        <v>1714.7173598500001</v>
      </c>
      <c r="AJ124" s="156">
        <f>AJ6*Premissas!$G$41</f>
        <v>1527.9600338749999</v>
      </c>
      <c r="AK124" s="156">
        <f>AK6*Premissas!$G$41</f>
        <v>1752.5719557499999</v>
      </c>
      <c r="AL124" s="156">
        <f>AL6*Premissas!$G$41</f>
        <v>1748.7385789500001</v>
      </c>
      <c r="AM124" s="156">
        <f>AM6*Premissas!$G$41</f>
        <v>1636.6123075500002</v>
      </c>
      <c r="AN124" s="156">
        <f>AN6*Premissas!$H$41</f>
        <v>1380.1756013891249</v>
      </c>
      <c r="AO124" s="156">
        <f>AO6*Premissas!$H$41</f>
        <v>1452.7519778796247</v>
      </c>
      <c r="AP124" s="156">
        <f>AP6*Premissas!$H$41</f>
        <v>1743.9479915286249</v>
      </c>
      <c r="AQ124" s="156">
        <f>AQ6*Premissas!$H$41</f>
        <v>1636.419188323375</v>
      </c>
      <c r="AR124" s="156">
        <f>AR6*Premissas!$H$41</f>
        <v>1681.7237668994999</v>
      </c>
      <c r="AS124" s="156">
        <f>AS6*Premissas!$H$41</f>
        <v>1626.067036462</v>
      </c>
      <c r="AT124" s="156">
        <f>AT6*Premissas!$I$41</f>
        <v>1680.6687517083751</v>
      </c>
      <c r="AU124" s="156">
        <f>AU6*Premissas!$I$41</f>
        <v>1734.3444965722499</v>
      </c>
      <c r="AV124" s="156">
        <f>AV6*Premissas!$I$41</f>
        <v>1545.4494937668751</v>
      </c>
      <c r="AW124" s="156">
        <f>AW6*Premissas!$I$41</f>
        <v>1772.6323868137501</v>
      </c>
      <c r="AX124" s="156">
        <f>AX6*Premissas!$I$41</f>
        <v>1768.7551321057501</v>
      </c>
      <c r="AY124" s="156">
        <f>AY6*Premissas!$I$41</f>
        <v>1655.3454318967499</v>
      </c>
      <c r="AZ124" s="156">
        <f>AZ6*Premissas!$J$41</f>
        <v>2199.6701321431374</v>
      </c>
      <c r="BA124" s="156">
        <f>BA6*Premissas!$J$41</f>
        <v>2315.3395350108945</v>
      </c>
      <c r="BB124" s="156">
        <f>BB6*Premissas!$J$41</f>
        <v>2779.4364029588301</v>
      </c>
      <c r="BC124" s="156">
        <f>BC6*Premissas!$J$41</f>
        <v>2608.0611833725511</v>
      </c>
      <c r="BD124" s="156">
        <f>BD6*Premissas!$J$41</f>
        <v>2680.2658566350929</v>
      </c>
      <c r="BE124" s="156">
        <f>BE6*Premissas!$J$41</f>
        <v>2591.5623268285303</v>
      </c>
      <c r="BF124" s="156">
        <f>BF6*Premissas!$K$41</f>
        <v>2882.278589311908</v>
      </c>
      <c r="BG124" s="156">
        <f>BG6*Premissas!$K$41</f>
        <v>2974.3303098126048</v>
      </c>
      <c r="BH124" s="156">
        <f>BH6*Premissas!$K$41</f>
        <v>2650.3830586600375</v>
      </c>
      <c r="BI124" s="156">
        <f>BI6*Premissas!$K$41</f>
        <v>3039.9924851584751</v>
      </c>
      <c r="BJ124" s="156">
        <f>BJ6*Premissas!$K$41</f>
        <v>3033.3431509462353</v>
      </c>
      <c r="BK124" s="156">
        <f>BK6*Premissas!$K$41</f>
        <v>2838.8501252382152</v>
      </c>
      <c r="BL124" s="156">
        <f>BL6*Premissas!$L$41</f>
        <v>3350.3607209686984</v>
      </c>
      <c r="BM124" s="156">
        <f>BM6*Premissas!$L$41</f>
        <v>3526.5390571306139</v>
      </c>
      <c r="BN124" s="156">
        <f>BN6*Premissas!$L$41</f>
        <v>4233.4140991544964</v>
      </c>
      <c r="BO124" s="156">
        <f>BO6*Premissas!$L$41</f>
        <v>3972.3891409759531</v>
      </c>
      <c r="BP124" s="156">
        <f>BP6*Premissas!$L$41</f>
        <v>4082.3654949911361</v>
      </c>
      <c r="BQ124" s="156">
        <f>BQ6*Premissas!$L$41</f>
        <v>3947.2594089773975</v>
      </c>
      <c r="BR124" s="156">
        <f>BR6*Premissas!$M$41</f>
        <v>3780.0275301255288</v>
      </c>
      <c r="BS124" s="156">
        <f>BS6*Premissas!$M$41</f>
        <v>3900.7507797719577</v>
      </c>
      <c r="BT124" s="156">
        <f>BT6*Premissas!$M$41</f>
        <v>3475.9030456889282</v>
      </c>
      <c r="BU124" s="156">
        <f>BU6*Premissas!$M$41</f>
        <v>3986.8648810998839</v>
      </c>
      <c r="BV124" s="156">
        <f>BV6*Premissas!$M$41</f>
        <v>3978.1444657755374</v>
      </c>
      <c r="BW124" s="156">
        <f>BW6*Premissas!$M$41</f>
        <v>3723.0723175383878</v>
      </c>
      <c r="BX124" s="156">
        <f>BX6*Premissas!$N$41</f>
        <v>3340.7328565848866</v>
      </c>
      <c r="BY124" s="156">
        <f>BY6*Premissas!$N$41</f>
        <v>3516.4049125969309</v>
      </c>
      <c r="BZ124" s="156">
        <f>BZ6*Premissas!$N$41</f>
        <v>4221.2486219949524</v>
      </c>
      <c r="CA124" s="156">
        <f>CA6*Premissas!$N$41</f>
        <v>3960.9737660016463</v>
      </c>
      <c r="CB124" s="156">
        <f>CB6*Premissas!$N$41</f>
        <v>4070.6340831748103</v>
      </c>
      <c r="CC124" s="156">
        <f>CC6*Premissas!$N$41</f>
        <v>3935.9162488097445</v>
      </c>
      <c r="CD124" s="156">
        <f>CD6*Premissas!$O$41</f>
        <v>3768.9382519908477</v>
      </c>
      <c r="CE124" s="156">
        <f>CE6*Premissas!$O$41</f>
        <v>3889.3073418641043</v>
      </c>
      <c r="CF124" s="156">
        <f>CF6*Premissas!$O$41</f>
        <v>3465.7059623778573</v>
      </c>
      <c r="CG124" s="156">
        <f>CG6*Premissas!$O$41</f>
        <v>3975.1688145502198</v>
      </c>
      <c r="CH124" s="156">
        <f>CH6*Premissas!$O$41</f>
        <v>3966.4739818731446</v>
      </c>
      <c r="CI124" s="156">
        <f>CI6*Premissas!$O$41</f>
        <v>3712.1501260687019</v>
      </c>
      <c r="CJ124" s="156">
        <f>CJ6*Premissas!$P$41</f>
        <v>3331.0827945044389</v>
      </c>
      <c r="CK124" s="156">
        <f>CK6*Premissas!$P$41</f>
        <v>3506.2474031032684</v>
      </c>
      <c r="CL124" s="156">
        <f>CL6*Premissas!$P$41</f>
        <v>4209.0550964998019</v>
      </c>
      <c r="CM124" s="156">
        <f>CM6*Premissas!$P$41</f>
        <v>3949.5320721033754</v>
      </c>
      <c r="CN124" s="156">
        <f>CN6*Premissas!$P$41</f>
        <v>4058.8756237900693</v>
      </c>
      <c r="CO124" s="156">
        <f>CO6*Premissas!$P$41</f>
        <v>3924.5469362142785</v>
      </c>
      <c r="CP124" s="156">
        <f>CP6*Premissas!$Q$41</f>
        <v>3757.8265270122729</v>
      </c>
      <c r="CQ124" s="156">
        <f>CQ6*Premissas!$Q$41</f>
        <v>3877.8407402244738</v>
      </c>
      <c r="CR124" s="156">
        <f>CR6*Premissas!$Q$41</f>
        <v>3455.48823819779</v>
      </c>
      <c r="CS124" s="156">
        <f>CS6*Premissas!$Q$41</f>
        <v>3963.4490728995424</v>
      </c>
      <c r="CT124" s="156">
        <f>CT6*Premissas!$Q$41</f>
        <v>3954.7798746539661</v>
      </c>
      <c r="CU124" s="156">
        <f>CU6*Premissas!$Q$41</f>
        <v>3701.2058259708506</v>
      </c>
      <c r="CV124" s="156">
        <f>CV6*Premissas!$R$41</f>
        <v>3321.4099798242391</v>
      </c>
      <c r="CW124" s="156">
        <f>CW6*Premissas!$R$41</f>
        <v>3496.0659445669921</v>
      </c>
      <c r="CX124" s="156">
        <f>CX6*Premissas!$R$41</f>
        <v>4196.832821510312</v>
      </c>
      <c r="CY124" s="156">
        <f>CY6*Premissas!$R$41</f>
        <v>3938.0634013546369</v>
      </c>
      <c r="CZ124" s="156">
        <f>CZ6*Premissas!$R$41</f>
        <v>4047.0894406955886</v>
      </c>
      <c r="DA124" s="156">
        <f>DA6*Premissas!$R$41</f>
        <v>3913.150817426606</v>
      </c>
      <c r="DB124" s="156">
        <f>DB6*Premissas!$S$41</f>
        <v>0</v>
      </c>
      <c r="DC124" s="156">
        <f>DC6*Premissas!$S$41</f>
        <v>0</v>
      </c>
      <c r="DD124" s="156">
        <f>DD6*Premissas!$S$41</f>
        <v>0</v>
      </c>
      <c r="DE124" s="156">
        <f>DE6*Premissas!$S$41</f>
        <v>0</v>
      </c>
      <c r="DF124" s="156">
        <f>DF6*Premissas!$S$41</f>
        <v>0</v>
      </c>
      <c r="DG124" s="156">
        <f>DG6*Premissas!$S$41</f>
        <v>0</v>
      </c>
      <c r="DH124" s="156">
        <f>DH6*Premissas!$T$41</f>
        <v>0</v>
      </c>
      <c r="DI124" s="156">
        <f>DI6*Premissas!$T$41</f>
        <v>0</v>
      </c>
      <c r="DJ124" s="156">
        <f>DJ6*Premissas!$T$41</f>
        <v>0</v>
      </c>
      <c r="DK124" s="156">
        <f>DK6*Premissas!$T$41</f>
        <v>0</v>
      </c>
      <c r="DL124" s="156">
        <f>DL6*Premissas!$T$41</f>
        <v>0</v>
      </c>
      <c r="DM124" s="156">
        <f>DM6*Premissas!$T$41</f>
        <v>0</v>
      </c>
      <c r="DN124" s="156">
        <f>DN6*Premissas!$U$41</f>
        <v>0</v>
      </c>
      <c r="DO124" s="156">
        <f>DO6*Premissas!$U$41</f>
        <v>0</v>
      </c>
      <c r="DP124" s="156">
        <f>DP6*Premissas!$U$41</f>
        <v>0</v>
      </c>
      <c r="DQ124" s="156">
        <f>DQ6*Premissas!$U$41</f>
        <v>0</v>
      </c>
      <c r="DR124" s="156">
        <f>DR6*Premissas!$U$41</f>
        <v>0</v>
      </c>
      <c r="DS124" s="156">
        <f>DS6*Premissas!$U$41</f>
        <v>0</v>
      </c>
    </row>
    <row r="125" spans="1:123" ht="12.75" customHeight="1" x14ac:dyDescent="0.35">
      <c r="A125" s="146" t="s">
        <v>492</v>
      </c>
      <c r="B125" s="139">
        <f>AA125</f>
        <v>29018.790009999997</v>
      </c>
      <c r="C125" s="139" t="s">
        <v>169</v>
      </c>
      <c r="D125" s="139">
        <f>0</f>
        <v>0</v>
      </c>
      <c r="E125" s="139">
        <f t="shared" ref="E125:AJ125" si="214">D127</f>
        <v>8.98700000000008</v>
      </c>
      <c r="F125" s="139">
        <f t="shared" si="214"/>
        <v>24.849999999999909</v>
      </c>
      <c r="G125" s="139">
        <f t="shared" si="214"/>
        <v>211.92099999999982</v>
      </c>
      <c r="H125" s="139">
        <f t="shared" si="214"/>
        <v>308.23399999999992</v>
      </c>
      <c r="I125" s="139">
        <f t="shared" si="214"/>
        <v>2615.8979999999997</v>
      </c>
      <c r="J125" s="139">
        <f t="shared" si="214"/>
        <v>4123.5619999999999</v>
      </c>
      <c r="K125" s="139">
        <f t="shared" si="214"/>
        <v>5922.38</v>
      </c>
      <c r="L125" s="139">
        <f t="shared" si="214"/>
        <v>6487.1699399999998</v>
      </c>
      <c r="M125" s="139">
        <f t="shared" si="214"/>
        <v>6144.6284899999991</v>
      </c>
      <c r="N125" s="139">
        <f t="shared" si="214"/>
        <v>7729.9807899999987</v>
      </c>
      <c r="O125" s="139">
        <f t="shared" si="214"/>
        <v>8409.4833899999976</v>
      </c>
      <c r="P125" s="139">
        <f t="shared" si="214"/>
        <v>9202.842789999997</v>
      </c>
      <c r="Q125" s="139">
        <f t="shared" si="214"/>
        <v>9712.4640899999977</v>
      </c>
      <c r="R125" s="139">
        <f t="shared" si="214"/>
        <v>10255.757789999996</v>
      </c>
      <c r="S125" s="139">
        <f t="shared" si="214"/>
        <v>11079.810689999995</v>
      </c>
      <c r="T125" s="139">
        <f t="shared" si="214"/>
        <v>11771.959389999995</v>
      </c>
      <c r="U125" s="139">
        <f t="shared" si="214"/>
        <v>15192.209329999994</v>
      </c>
      <c r="V125" s="139">
        <f t="shared" si="214"/>
        <v>17758.056769999996</v>
      </c>
      <c r="W125" s="139">
        <f t="shared" si="214"/>
        <v>20570.978924999996</v>
      </c>
      <c r="X125" s="139">
        <f t="shared" si="214"/>
        <v>22289.405694999994</v>
      </c>
      <c r="Y125" s="139">
        <f t="shared" si="214"/>
        <v>22974.853469999995</v>
      </c>
      <c r="Z125" s="139">
        <f t="shared" si="214"/>
        <v>25739.310619999997</v>
      </c>
      <c r="AA125" s="139">
        <f t="shared" si="214"/>
        <v>29018.790009999997</v>
      </c>
      <c r="AB125" s="139">
        <f t="shared" si="214"/>
        <v>32245.419919999997</v>
      </c>
      <c r="AC125" s="139">
        <f t="shared" si="214"/>
        <v>30842.980437224996</v>
      </c>
      <c r="AD125" s="139">
        <f t="shared" si="214"/>
        <v>29373.191043749997</v>
      </c>
      <c r="AE125" s="139">
        <f t="shared" si="214"/>
        <v>27785.881149674999</v>
      </c>
      <c r="AF125" s="139">
        <f t="shared" si="214"/>
        <v>26212.414834949999</v>
      </c>
      <c r="AG125" s="139">
        <f t="shared" si="214"/>
        <v>24614.67487965</v>
      </c>
      <c r="AH125" s="139">
        <f t="shared" si="214"/>
        <v>22309.98853685</v>
      </c>
      <c r="AI125" s="139">
        <f t="shared" si="214"/>
        <v>20644.637586625002</v>
      </c>
      <c r="AJ125" s="139">
        <f t="shared" si="214"/>
        <v>17595.354946475003</v>
      </c>
      <c r="AK125" s="139">
        <f t="shared" ref="AK125:BP125" si="215">AJ127</f>
        <v>13990.314980350002</v>
      </c>
      <c r="AL125" s="139">
        <f t="shared" si="215"/>
        <v>11932.886936100002</v>
      </c>
      <c r="AM125" s="139">
        <f t="shared" si="215"/>
        <v>10427.625515050002</v>
      </c>
      <c r="AN125" s="139">
        <f t="shared" si="215"/>
        <v>9184.2378226000019</v>
      </c>
      <c r="AO125" s="139">
        <f t="shared" si="215"/>
        <v>7730.4134239891264</v>
      </c>
      <c r="AP125" s="139">
        <f t="shared" si="215"/>
        <v>6206.1654018687514</v>
      </c>
      <c r="AQ125" s="139">
        <f t="shared" si="215"/>
        <v>4558.1133933973761</v>
      </c>
      <c r="AR125" s="139">
        <f t="shared" si="215"/>
        <v>2926.5325817207513</v>
      </c>
      <c r="AS125" s="139">
        <f t="shared" si="215"/>
        <v>1269.2563486202512</v>
      </c>
      <c r="AT125" s="139">
        <f t="shared" si="215"/>
        <v>0</v>
      </c>
      <c r="AU125" s="139">
        <f t="shared" si="215"/>
        <v>0</v>
      </c>
      <c r="AV125" s="139">
        <f t="shared" si="215"/>
        <v>0</v>
      </c>
      <c r="AW125" s="139">
        <f t="shared" si="215"/>
        <v>0</v>
      </c>
      <c r="AX125" s="139">
        <f t="shared" si="215"/>
        <v>0</v>
      </c>
      <c r="AY125" s="139">
        <f t="shared" si="215"/>
        <v>0</v>
      </c>
      <c r="AZ125" s="139">
        <f t="shared" si="215"/>
        <v>0</v>
      </c>
      <c r="BA125" s="139">
        <f t="shared" si="215"/>
        <v>0</v>
      </c>
      <c r="BB125" s="139">
        <f t="shared" si="215"/>
        <v>0</v>
      </c>
      <c r="BC125" s="139">
        <f t="shared" si="215"/>
        <v>0</v>
      </c>
      <c r="BD125" s="139">
        <f t="shared" si="215"/>
        <v>0</v>
      </c>
      <c r="BE125" s="139">
        <f t="shared" si="215"/>
        <v>0</v>
      </c>
      <c r="BF125" s="139">
        <f t="shared" si="215"/>
        <v>0</v>
      </c>
      <c r="BG125" s="139">
        <f t="shared" si="215"/>
        <v>0</v>
      </c>
      <c r="BH125" s="139">
        <f t="shared" si="215"/>
        <v>0</v>
      </c>
      <c r="BI125" s="139">
        <f t="shared" si="215"/>
        <v>0</v>
      </c>
      <c r="BJ125" s="139">
        <f t="shared" si="215"/>
        <v>0</v>
      </c>
      <c r="BK125" s="139">
        <f t="shared" si="215"/>
        <v>0</v>
      </c>
      <c r="BL125" s="139">
        <f t="shared" si="215"/>
        <v>0</v>
      </c>
      <c r="BM125" s="139">
        <f t="shared" si="215"/>
        <v>372.36072096869839</v>
      </c>
      <c r="BN125" s="139">
        <f t="shared" si="215"/>
        <v>771.89977809931224</v>
      </c>
      <c r="BO125" s="139">
        <f t="shared" si="215"/>
        <v>1441.3138772538086</v>
      </c>
      <c r="BP125" s="139">
        <f t="shared" si="215"/>
        <v>1979.7030182297617</v>
      </c>
      <c r="BQ125" s="139">
        <f t="shared" ref="BQ125:CV125" si="216">BP127</f>
        <v>2554.0685132208978</v>
      </c>
      <c r="BR125" s="139">
        <f t="shared" si="216"/>
        <v>2290.3279221982953</v>
      </c>
      <c r="BS125" s="139">
        <f t="shared" si="216"/>
        <v>2487.355452323824</v>
      </c>
      <c r="BT125" s="139">
        <f t="shared" si="216"/>
        <v>1258.1062320957817</v>
      </c>
      <c r="BU125" s="139">
        <f t="shared" si="216"/>
        <v>0</v>
      </c>
      <c r="BV125" s="139">
        <f t="shared" si="216"/>
        <v>0</v>
      </c>
      <c r="BW125" s="139">
        <f t="shared" si="216"/>
        <v>474.14446577553736</v>
      </c>
      <c r="BX125" s="139">
        <f t="shared" si="216"/>
        <v>1096.2167833139251</v>
      </c>
      <c r="BY125" s="139">
        <f t="shared" si="216"/>
        <v>1384.9496398988117</v>
      </c>
      <c r="BZ125" s="139">
        <f t="shared" si="216"/>
        <v>1696.3545524957426</v>
      </c>
      <c r="CA125" s="139">
        <f t="shared" si="216"/>
        <v>2264.603174490695</v>
      </c>
      <c r="CB125" s="139">
        <f t="shared" si="216"/>
        <v>2705.5769404923412</v>
      </c>
      <c r="CC125" s="139">
        <f t="shared" si="216"/>
        <v>3180.2110236671515</v>
      </c>
      <c r="CD125" s="139">
        <f t="shared" si="216"/>
        <v>2800.127272476896</v>
      </c>
      <c r="CE125" s="139">
        <f t="shared" si="216"/>
        <v>2896.0655244677437</v>
      </c>
      <c r="CF125" s="139">
        <f t="shared" si="216"/>
        <v>1527.3728663318479</v>
      </c>
      <c r="CG125" s="139">
        <f t="shared" si="216"/>
        <v>0</v>
      </c>
      <c r="CH125" s="139">
        <f t="shared" si="216"/>
        <v>0</v>
      </c>
      <c r="CI125" s="139">
        <f t="shared" si="216"/>
        <v>374.47398187314457</v>
      </c>
      <c r="CJ125" s="139">
        <f t="shared" si="216"/>
        <v>907.62410794184643</v>
      </c>
      <c r="CK125" s="139">
        <f t="shared" si="216"/>
        <v>1109.7069024462853</v>
      </c>
      <c r="CL125" s="139">
        <f t="shared" si="216"/>
        <v>1329.9543055495537</v>
      </c>
      <c r="CM125" s="139">
        <f t="shared" si="216"/>
        <v>1795.0094020493557</v>
      </c>
      <c r="CN125" s="139">
        <f t="shared" si="216"/>
        <v>2136.5414741527311</v>
      </c>
      <c r="CO125" s="139">
        <f t="shared" si="216"/>
        <v>2509.4170979428004</v>
      </c>
      <c r="CP125" s="139">
        <f t="shared" si="216"/>
        <v>2009.9640341570789</v>
      </c>
      <c r="CQ125" s="139">
        <f t="shared" si="216"/>
        <v>2002.7905611693518</v>
      </c>
      <c r="CR125" s="139">
        <f t="shared" si="216"/>
        <v>490.63130139382565</v>
      </c>
      <c r="CS125" s="139">
        <f t="shared" si="216"/>
        <v>0</v>
      </c>
      <c r="CT125" s="139">
        <f t="shared" si="216"/>
        <v>0</v>
      </c>
      <c r="CU125" s="139">
        <f t="shared" si="216"/>
        <v>273.77987465396609</v>
      </c>
      <c r="CV125" s="139">
        <f t="shared" si="216"/>
        <v>716.98570062481667</v>
      </c>
      <c r="CW125" s="139">
        <f t="shared" ref="CW125:DS125" si="217">CV127</f>
        <v>831.39568044905582</v>
      </c>
      <c r="CX125" s="139">
        <f t="shared" si="217"/>
        <v>959.46162501604795</v>
      </c>
      <c r="CY125" s="139">
        <f t="shared" si="217"/>
        <v>1318.2944465263599</v>
      </c>
      <c r="CZ125" s="139">
        <f t="shared" si="217"/>
        <v>1558.3578478809968</v>
      </c>
      <c r="DA125" s="139">
        <f t="shared" si="217"/>
        <v>1827.4472885765854</v>
      </c>
      <c r="DB125" s="139">
        <f t="shared" si="217"/>
        <v>1205.5981060031913</v>
      </c>
      <c r="DC125" s="139">
        <f t="shared" si="217"/>
        <v>0</v>
      </c>
      <c r="DD125" s="139">
        <f t="shared" si="217"/>
        <v>0</v>
      </c>
      <c r="DE125" s="139">
        <f t="shared" si="217"/>
        <v>0</v>
      </c>
      <c r="DF125" s="139">
        <f t="shared" si="217"/>
        <v>0</v>
      </c>
      <c r="DG125" s="139">
        <f t="shared" si="217"/>
        <v>0</v>
      </c>
      <c r="DH125" s="139">
        <f t="shared" si="217"/>
        <v>0</v>
      </c>
      <c r="DI125" s="139">
        <f t="shared" si="217"/>
        <v>0</v>
      </c>
      <c r="DJ125" s="139">
        <f t="shared" si="217"/>
        <v>0</v>
      </c>
      <c r="DK125" s="139">
        <f t="shared" si="217"/>
        <v>0</v>
      </c>
      <c r="DL125" s="139">
        <f t="shared" si="217"/>
        <v>0</v>
      </c>
      <c r="DM125" s="139">
        <f t="shared" si="217"/>
        <v>0</v>
      </c>
      <c r="DN125" s="139">
        <f t="shared" si="217"/>
        <v>0</v>
      </c>
      <c r="DO125" s="139">
        <f t="shared" si="217"/>
        <v>0</v>
      </c>
      <c r="DP125" s="139">
        <f t="shared" si="217"/>
        <v>0</v>
      </c>
      <c r="DQ125" s="139">
        <f t="shared" si="217"/>
        <v>0</v>
      </c>
      <c r="DR125" s="139">
        <f t="shared" si="217"/>
        <v>0</v>
      </c>
      <c r="DS125" s="139">
        <f t="shared" si="217"/>
        <v>0</v>
      </c>
    </row>
    <row r="126" spans="1:123" ht="12.75" customHeight="1" x14ac:dyDescent="0.35">
      <c r="A126" s="146" t="s">
        <v>493</v>
      </c>
      <c r="B126" s="139">
        <f>SUM(D126:BQ126)</f>
        <v>32851.701961022605</v>
      </c>
      <c r="C126" s="139">
        <f>B126/60</f>
        <v>547.52836601704337</v>
      </c>
      <c r="D126" s="139">
        <f t="shared" ref="D126:AI126" si="218">MIN(D125,MAX(D123-D124,0))</f>
        <v>0</v>
      </c>
      <c r="E126" s="139">
        <f t="shared" si="218"/>
        <v>0</v>
      </c>
      <c r="F126" s="139">
        <f t="shared" si="218"/>
        <v>0</v>
      </c>
      <c r="G126" s="139">
        <f t="shared" si="218"/>
        <v>0</v>
      </c>
      <c r="H126" s="139">
        <f t="shared" si="218"/>
        <v>0</v>
      </c>
      <c r="I126" s="139">
        <f t="shared" si="218"/>
        <v>0</v>
      </c>
      <c r="J126" s="139">
        <f t="shared" si="218"/>
        <v>0</v>
      </c>
      <c r="K126" s="139">
        <f t="shared" si="218"/>
        <v>0</v>
      </c>
      <c r="L126" s="139">
        <f t="shared" si="218"/>
        <v>342.54145000000062</v>
      </c>
      <c r="M126" s="139">
        <f t="shared" si="218"/>
        <v>0</v>
      </c>
      <c r="N126" s="139">
        <f t="shared" si="218"/>
        <v>0</v>
      </c>
      <c r="O126" s="139">
        <f t="shared" si="218"/>
        <v>0</v>
      </c>
      <c r="P126" s="139">
        <f t="shared" si="218"/>
        <v>0</v>
      </c>
      <c r="Q126" s="139">
        <f t="shared" si="218"/>
        <v>0</v>
      </c>
      <c r="R126" s="139">
        <f t="shared" si="218"/>
        <v>0</v>
      </c>
      <c r="S126" s="139">
        <f t="shared" si="218"/>
        <v>0</v>
      </c>
      <c r="T126" s="139">
        <f t="shared" si="218"/>
        <v>0</v>
      </c>
      <c r="U126" s="139">
        <f t="shared" si="218"/>
        <v>0</v>
      </c>
      <c r="V126" s="139">
        <f t="shared" si="218"/>
        <v>0</v>
      </c>
      <c r="W126" s="139">
        <f t="shared" si="218"/>
        <v>0</v>
      </c>
      <c r="X126" s="139">
        <f t="shared" si="218"/>
        <v>0</v>
      </c>
      <c r="Y126" s="139">
        <f t="shared" si="218"/>
        <v>0</v>
      </c>
      <c r="Z126" s="139">
        <f t="shared" si="218"/>
        <v>0</v>
      </c>
      <c r="AA126" s="139">
        <f t="shared" si="218"/>
        <v>0</v>
      </c>
      <c r="AB126" s="139">
        <f t="shared" si="218"/>
        <v>1402.439482775</v>
      </c>
      <c r="AC126" s="139">
        <f t="shared" si="218"/>
        <v>1469.789393475</v>
      </c>
      <c r="AD126" s="139">
        <f t="shared" si="218"/>
        <v>1587.3098940749996</v>
      </c>
      <c r="AE126" s="139">
        <f t="shared" si="218"/>
        <v>1573.4663147250001</v>
      </c>
      <c r="AF126" s="139">
        <f t="shared" si="218"/>
        <v>1597.7399552999998</v>
      </c>
      <c r="AG126" s="139">
        <f t="shared" si="218"/>
        <v>2304.6863427999997</v>
      </c>
      <c r="AH126" s="139">
        <f t="shared" si="218"/>
        <v>1665.3509502249999</v>
      </c>
      <c r="AI126" s="139">
        <f t="shared" si="218"/>
        <v>3049.2826401499997</v>
      </c>
      <c r="AJ126" s="139">
        <f t="shared" ref="AJ126:BO126" si="219">MIN(AJ125,MAX(AJ123-AJ124,0))</f>
        <v>3605.0399661250003</v>
      </c>
      <c r="AK126" s="139">
        <f t="shared" si="219"/>
        <v>2057.4280442500003</v>
      </c>
      <c r="AL126" s="139">
        <f t="shared" si="219"/>
        <v>1505.2614210499999</v>
      </c>
      <c r="AM126" s="139">
        <f t="shared" si="219"/>
        <v>1243.3876924499998</v>
      </c>
      <c r="AN126" s="139">
        <f t="shared" si="219"/>
        <v>1453.8243986108751</v>
      </c>
      <c r="AO126" s="139">
        <f t="shared" si="219"/>
        <v>1524.2480221203753</v>
      </c>
      <c r="AP126" s="139">
        <f t="shared" si="219"/>
        <v>1648.0520084713751</v>
      </c>
      <c r="AQ126" s="139">
        <f t="shared" si="219"/>
        <v>1631.580811676625</v>
      </c>
      <c r="AR126" s="139">
        <f t="shared" si="219"/>
        <v>1657.2762331005001</v>
      </c>
      <c r="AS126" s="139">
        <f t="shared" si="219"/>
        <v>1269.2563486202512</v>
      </c>
      <c r="AT126" s="139">
        <f t="shared" si="219"/>
        <v>0</v>
      </c>
      <c r="AU126" s="139">
        <f t="shared" si="219"/>
        <v>0</v>
      </c>
      <c r="AV126" s="139">
        <f t="shared" si="219"/>
        <v>0</v>
      </c>
      <c r="AW126" s="139">
        <f t="shared" si="219"/>
        <v>0</v>
      </c>
      <c r="AX126" s="139">
        <f t="shared" si="219"/>
        <v>0</v>
      </c>
      <c r="AY126" s="139">
        <f t="shared" si="219"/>
        <v>0</v>
      </c>
      <c r="AZ126" s="139">
        <f t="shared" si="219"/>
        <v>0</v>
      </c>
      <c r="BA126" s="139">
        <f t="shared" si="219"/>
        <v>0</v>
      </c>
      <c r="BB126" s="139">
        <f t="shared" si="219"/>
        <v>0</v>
      </c>
      <c r="BC126" s="139">
        <f t="shared" si="219"/>
        <v>0</v>
      </c>
      <c r="BD126" s="139">
        <f t="shared" si="219"/>
        <v>0</v>
      </c>
      <c r="BE126" s="139">
        <f t="shared" si="219"/>
        <v>0</v>
      </c>
      <c r="BF126" s="139">
        <f t="shared" si="219"/>
        <v>0</v>
      </c>
      <c r="BG126" s="139">
        <f t="shared" si="219"/>
        <v>0</v>
      </c>
      <c r="BH126" s="139">
        <f t="shared" si="219"/>
        <v>0</v>
      </c>
      <c r="BI126" s="139">
        <f t="shared" si="219"/>
        <v>0</v>
      </c>
      <c r="BJ126" s="139">
        <f t="shared" si="219"/>
        <v>0</v>
      </c>
      <c r="BK126" s="139">
        <f t="shared" si="219"/>
        <v>0</v>
      </c>
      <c r="BL126" s="139">
        <f t="shared" si="219"/>
        <v>0</v>
      </c>
      <c r="BM126" s="139">
        <f t="shared" si="219"/>
        <v>0</v>
      </c>
      <c r="BN126" s="139">
        <f t="shared" si="219"/>
        <v>0</v>
      </c>
      <c r="BO126" s="139">
        <f t="shared" si="219"/>
        <v>0</v>
      </c>
      <c r="BP126" s="139">
        <f t="shared" ref="BP126:CU126" si="220">MIN(BP125,MAX(BP123-BP124,0))</f>
        <v>0</v>
      </c>
      <c r="BQ126" s="139">
        <f t="shared" si="220"/>
        <v>263.74059102260253</v>
      </c>
      <c r="BR126" s="139">
        <f t="shared" si="220"/>
        <v>0</v>
      </c>
      <c r="BS126" s="139">
        <f t="shared" si="220"/>
        <v>1229.2492202280423</v>
      </c>
      <c r="BT126" s="139">
        <f t="shared" si="220"/>
        <v>1258.1062320957817</v>
      </c>
      <c r="BU126" s="139">
        <f t="shared" si="220"/>
        <v>0</v>
      </c>
      <c r="BV126" s="139">
        <f t="shared" si="220"/>
        <v>0</v>
      </c>
      <c r="BW126" s="139">
        <f t="shared" si="220"/>
        <v>0</v>
      </c>
      <c r="BX126" s="139">
        <f t="shared" si="220"/>
        <v>0</v>
      </c>
      <c r="BY126" s="139">
        <f t="shared" si="220"/>
        <v>0</v>
      </c>
      <c r="BZ126" s="139">
        <f t="shared" si="220"/>
        <v>0</v>
      </c>
      <c r="CA126" s="139">
        <f t="shared" si="220"/>
        <v>0</v>
      </c>
      <c r="CB126" s="139">
        <f t="shared" si="220"/>
        <v>0</v>
      </c>
      <c r="CC126" s="139">
        <f t="shared" si="220"/>
        <v>380.0837511902555</v>
      </c>
      <c r="CD126" s="139">
        <f t="shared" si="220"/>
        <v>0</v>
      </c>
      <c r="CE126" s="139">
        <f t="shared" si="220"/>
        <v>1368.6926581358957</v>
      </c>
      <c r="CF126" s="139">
        <f t="shared" si="220"/>
        <v>1527.3728663318479</v>
      </c>
      <c r="CG126" s="139">
        <f t="shared" si="220"/>
        <v>0</v>
      </c>
      <c r="CH126" s="139">
        <f t="shared" si="220"/>
        <v>0</v>
      </c>
      <c r="CI126" s="139">
        <f t="shared" si="220"/>
        <v>0</v>
      </c>
      <c r="CJ126" s="139">
        <f t="shared" si="220"/>
        <v>0</v>
      </c>
      <c r="CK126" s="139">
        <f t="shared" si="220"/>
        <v>0</v>
      </c>
      <c r="CL126" s="139">
        <f t="shared" si="220"/>
        <v>0</v>
      </c>
      <c r="CM126" s="139">
        <f t="shared" si="220"/>
        <v>0</v>
      </c>
      <c r="CN126" s="139">
        <f t="shared" si="220"/>
        <v>0</v>
      </c>
      <c r="CO126" s="139">
        <f t="shared" si="220"/>
        <v>499.4530637857215</v>
      </c>
      <c r="CP126" s="139">
        <f t="shared" si="220"/>
        <v>7.1734729877271093</v>
      </c>
      <c r="CQ126" s="139">
        <f t="shared" si="220"/>
        <v>1512.1592597755262</v>
      </c>
      <c r="CR126" s="139">
        <f t="shared" si="220"/>
        <v>490.63130139382565</v>
      </c>
      <c r="CS126" s="139">
        <f t="shared" si="220"/>
        <v>0</v>
      </c>
      <c r="CT126" s="139">
        <f t="shared" si="220"/>
        <v>0</v>
      </c>
      <c r="CU126" s="139">
        <f t="shared" si="220"/>
        <v>0</v>
      </c>
      <c r="CV126" s="139">
        <f t="shared" ref="CV126:DS126" si="221">MIN(CV125,MAX(CV123-CV124,0))</f>
        <v>0</v>
      </c>
      <c r="CW126" s="139">
        <f t="shared" si="221"/>
        <v>0</v>
      </c>
      <c r="CX126" s="139">
        <f t="shared" si="221"/>
        <v>0</v>
      </c>
      <c r="CY126" s="139">
        <f t="shared" si="221"/>
        <v>0</v>
      </c>
      <c r="CZ126" s="139">
        <f t="shared" si="221"/>
        <v>0</v>
      </c>
      <c r="DA126" s="139">
        <f t="shared" si="221"/>
        <v>621.84918257339405</v>
      </c>
      <c r="DB126" s="139">
        <f t="shared" si="221"/>
        <v>1205.5981060031913</v>
      </c>
      <c r="DC126" s="139">
        <f t="shared" si="221"/>
        <v>0</v>
      </c>
      <c r="DD126" s="139">
        <f t="shared" si="221"/>
        <v>0</v>
      </c>
      <c r="DE126" s="139">
        <f t="shared" si="221"/>
        <v>0</v>
      </c>
      <c r="DF126" s="139">
        <f t="shared" si="221"/>
        <v>0</v>
      </c>
      <c r="DG126" s="139">
        <f t="shared" si="221"/>
        <v>0</v>
      </c>
      <c r="DH126" s="139">
        <f t="shared" si="221"/>
        <v>0</v>
      </c>
      <c r="DI126" s="139">
        <f t="shared" si="221"/>
        <v>0</v>
      </c>
      <c r="DJ126" s="139">
        <f t="shared" si="221"/>
        <v>0</v>
      </c>
      <c r="DK126" s="139">
        <f t="shared" si="221"/>
        <v>0</v>
      </c>
      <c r="DL126" s="139">
        <f t="shared" si="221"/>
        <v>0</v>
      </c>
      <c r="DM126" s="139">
        <f t="shared" si="221"/>
        <v>0</v>
      </c>
      <c r="DN126" s="139">
        <f t="shared" si="221"/>
        <v>0</v>
      </c>
      <c r="DO126" s="139">
        <f t="shared" si="221"/>
        <v>0</v>
      </c>
      <c r="DP126" s="139">
        <f t="shared" si="221"/>
        <v>0</v>
      </c>
      <c r="DQ126" s="139">
        <f t="shared" si="221"/>
        <v>0</v>
      </c>
      <c r="DR126" s="139">
        <f t="shared" si="221"/>
        <v>0</v>
      </c>
      <c r="DS126" s="139">
        <f t="shared" si="221"/>
        <v>0</v>
      </c>
    </row>
    <row r="127" spans="1:123" ht="13.5" customHeight="1" x14ac:dyDescent="0.35">
      <c r="A127" s="39" t="s">
        <v>494</v>
      </c>
      <c r="B127" s="41">
        <f>AA127</f>
        <v>32245.419919999997</v>
      </c>
      <c r="C127" s="139" t="s">
        <v>169</v>
      </c>
      <c r="D127" s="157">
        <f t="shared" ref="D127:AI127" si="222">MAX(D125-D126,0)+MAX(D124-D123,0)</f>
        <v>8.98700000000008</v>
      </c>
      <c r="E127" s="157">
        <f t="shared" si="222"/>
        <v>24.849999999999909</v>
      </c>
      <c r="F127" s="157">
        <f t="shared" si="222"/>
        <v>211.92099999999982</v>
      </c>
      <c r="G127" s="157">
        <f t="shared" si="222"/>
        <v>308.23399999999992</v>
      </c>
      <c r="H127" s="157">
        <f t="shared" si="222"/>
        <v>2615.8979999999997</v>
      </c>
      <c r="I127" s="157">
        <f t="shared" si="222"/>
        <v>4123.5619999999999</v>
      </c>
      <c r="J127" s="157">
        <f t="shared" si="222"/>
        <v>5922.38</v>
      </c>
      <c r="K127" s="157">
        <f t="shared" si="222"/>
        <v>6487.1699399999998</v>
      </c>
      <c r="L127" s="157">
        <f t="shared" si="222"/>
        <v>6144.6284899999991</v>
      </c>
      <c r="M127" s="157">
        <f t="shared" si="222"/>
        <v>7729.9807899999987</v>
      </c>
      <c r="N127" s="157">
        <f t="shared" si="222"/>
        <v>8409.4833899999976</v>
      </c>
      <c r="O127" s="157">
        <f t="shared" si="222"/>
        <v>9202.842789999997</v>
      </c>
      <c r="P127" s="157">
        <f t="shared" si="222"/>
        <v>9712.4640899999977</v>
      </c>
      <c r="Q127" s="157">
        <f t="shared" si="222"/>
        <v>10255.757789999996</v>
      </c>
      <c r="R127" s="157">
        <f t="shared" si="222"/>
        <v>11079.810689999995</v>
      </c>
      <c r="S127" s="157">
        <f t="shared" si="222"/>
        <v>11771.959389999995</v>
      </c>
      <c r="T127" s="157">
        <f t="shared" si="222"/>
        <v>15192.209329999994</v>
      </c>
      <c r="U127" s="157">
        <f t="shared" si="222"/>
        <v>17758.056769999996</v>
      </c>
      <c r="V127" s="157">
        <f t="shared" si="222"/>
        <v>20570.978924999996</v>
      </c>
      <c r="W127" s="157">
        <f t="shared" si="222"/>
        <v>22289.405694999994</v>
      </c>
      <c r="X127" s="157">
        <f t="shared" si="222"/>
        <v>22974.853469999995</v>
      </c>
      <c r="Y127" s="157">
        <f t="shared" si="222"/>
        <v>25739.310619999997</v>
      </c>
      <c r="Z127" s="157">
        <f t="shared" si="222"/>
        <v>29018.790009999997</v>
      </c>
      <c r="AA127" s="157">
        <f t="shared" si="222"/>
        <v>32245.419919999997</v>
      </c>
      <c r="AB127" s="157">
        <f t="shared" si="222"/>
        <v>30842.980437224996</v>
      </c>
      <c r="AC127" s="157">
        <f t="shared" si="222"/>
        <v>29373.191043749997</v>
      </c>
      <c r="AD127" s="157">
        <f t="shared" si="222"/>
        <v>27785.881149674999</v>
      </c>
      <c r="AE127" s="157">
        <f t="shared" si="222"/>
        <v>26212.414834949999</v>
      </c>
      <c r="AF127" s="157">
        <f t="shared" si="222"/>
        <v>24614.67487965</v>
      </c>
      <c r="AG127" s="157">
        <f t="shared" si="222"/>
        <v>22309.98853685</v>
      </c>
      <c r="AH127" s="157">
        <f t="shared" si="222"/>
        <v>20644.637586625002</v>
      </c>
      <c r="AI127" s="157">
        <f t="shared" si="222"/>
        <v>17595.354946475003</v>
      </c>
      <c r="AJ127" s="157">
        <f t="shared" ref="AJ127:BO127" si="223">MAX(AJ125-AJ126,0)+MAX(AJ124-AJ123,0)</f>
        <v>13990.314980350002</v>
      </c>
      <c r="AK127" s="157">
        <f t="shared" si="223"/>
        <v>11932.886936100002</v>
      </c>
      <c r="AL127" s="157">
        <f t="shared" si="223"/>
        <v>10427.625515050002</v>
      </c>
      <c r="AM127" s="157">
        <f t="shared" si="223"/>
        <v>9184.2378226000019</v>
      </c>
      <c r="AN127" s="157">
        <f t="shared" si="223"/>
        <v>7730.4134239891264</v>
      </c>
      <c r="AO127" s="157">
        <f t="shared" si="223"/>
        <v>6206.1654018687514</v>
      </c>
      <c r="AP127" s="157">
        <f t="shared" si="223"/>
        <v>4558.1133933973761</v>
      </c>
      <c r="AQ127" s="157">
        <f t="shared" si="223"/>
        <v>2926.5325817207513</v>
      </c>
      <c r="AR127" s="157">
        <f t="shared" si="223"/>
        <v>1269.2563486202512</v>
      </c>
      <c r="AS127" s="157">
        <f t="shared" si="223"/>
        <v>0</v>
      </c>
      <c r="AT127" s="157">
        <f t="shared" si="223"/>
        <v>0</v>
      </c>
      <c r="AU127" s="157">
        <f t="shared" si="223"/>
        <v>0</v>
      </c>
      <c r="AV127" s="157">
        <f t="shared" si="223"/>
        <v>0</v>
      </c>
      <c r="AW127" s="157">
        <f t="shared" si="223"/>
        <v>0</v>
      </c>
      <c r="AX127" s="157">
        <f t="shared" si="223"/>
        <v>0</v>
      </c>
      <c r="AY127" s="157">
        <f t="shared" si="223"/>
        <v>0</v>
      </c>
      <c r="AZ127" s="157">
        <f t="shared" si="223"/>
        <v>0</v>
      </c>
      <c r="BA127" s="157">
        <f t="shared" si="223"/>
        <v>0</v>
      </c>
      <c r="BB127" s="157">
        <f t="shared" si="223"/>
        <v>0</v>
      </c>
      <c r="BC127" s="157">
        <f t="shared" si="223"/>
        <v>0</v>
      </c>
      <c r="BD127" s="157">
        <f t="shared" si="223"/>
        <v>0</v>
      </c>
      <c r="BE127" s="157">
        <f t="shared" si="223"/>
        <v>0</v>
      </c>
      <c r="BF127" s="157">
        <f t="shared" si="223"/>
        <v>0</v>
      </c>
      <c r="BG127" s="157">
        <f t="shared" si="223"/>
        <v>0</v>
      </c>
      <c r="BH127" s="157">
        <f t="shared" si="223"/>
        <v>0</v>
      </c>
      <c r="BI127" s="157">
        <f t="shared" si="223"/>
        <v>0</v>
      </c>
      <c r="BJ127" s="157">
        <f t="shared" si="223"/>
        <v>0</v>
      </c>
      <c r="BK127" s="157">
        <f t="shared" si="223"/>
        <v>0</v>
      </c>
      <c r="BL127" s="157">
        <f t="shared" si="223"/>
        <v>372.36072096869839</v>
      </c>
      <c r="BM127" s="157">
        <f t="shared" si="223"/>
        <v>771.89977809931224</v>
      </c>
      <c r="BN127" s="157">
        <f t="shared" si="223"/>
        <v>1441.3138772538086</v>
      </c>
      <c r="BO127" s="157">
        <f t="shared" si="223"/>
        <v>1979.7030182297617</v>
      </c>
      <c r="BP127" s="157">
        <f t="shared" ref="BP127:CU127" si="224">MAX(BP125-BP126,0)+MAX(BP124-BP123,0)</f>
        <v>2554.0685132208978</v>
      </c>
      <c r="BQ127" s="157">
        <f t="shared" si="224"/>
        <v>2290.3279221982953</v>
      </c>
      <c r="BR127" s="157">
        <f t="shared" si="224"/>
        <v>2487.355452323824</v>
      </c>
      <c r="BS127" s="157">
        <f t="shared" si="224"/>
        <v>1258.1062320957817</v>
      </c>
      <c r="BT127" s="157">
        <f t="shared" si="224"/>
        <v>0</v>
      </c>
      <c r="BU127" s="157">
        <f t="shared" si="224"/>
        <v>0</v>
      </c>
      <c r="BV127" s="157">
        <f t="shared" si="224"/>
        <v>474.14446577553736</v>
      </c>
      <c r="BW127" s="157">
        <f t="shared" si="224"/>
        <v>1096.2167833139251</v>
      </c>
      <c r="BX127" s="157">
        <f t="shared" si="224"/>
        <v>1384.9496398988117</v>
      </c>
      <c r="BY127" s="157">
        <f t="shared" si="224"/>
        <v>1696.3545524957426</v>
      </c>
      <c r="BZ127" s="157">
        <f t="shared" si="224"/>
        <v>2264.603174490695</v>
      </c>
      <c r="CA127" s="157">
        <f t="shared" si="224"/>
        <v>2705.5769404923412</v>
      </c>
      <c r="CB127" s="157">
        <f t="shared" si="224"/>
        <v>3180.2110236671515</v>
      </c>
      <c r="CC127" s="157">
        <f t="shared" si="224"/>
        <v>2800.127272476896</v>
      </c>
      <c r="CD127" s="157">
        <f t="shared" si="224"/>
        <v>2896.0655244677437</v>
      </c>
      <c r="CE127" s="157">
        <f t="shared" si="224"/>
        <v>1527.3728663318479</v>
      </c>
      <c r="CF127" s="157">
        <f t="shared" si="224"/>
        <v>0</v>
      </c>
      <c r="CG127" s="157">
        <f t="shared" si="224"/>
        <v>0</v>
      </c>
      <c r="CH127" s="157">
        <f t="shared" si="224"/>
        <v>374.47398187314457</v>
      </c>
      <c r="CI127" s="157">
        <f t="shared" si="224"/>
        <v>907.62410794184643</v>
      </c>
      <c r="CJ127" s="157">
        <f t="shared" si="224"/>
        <v>1109.7069024462853</v>
      </c>
      <c r="CK127" s="157">
        <f t="shared" si="224"/>
        <v>1329.9543055495537</v>
      </c>
      <c r="CL127" s="157">
        <f t="shared" si="224"/>
        <v>1795.0094020493557</v>
      </c>
      <c r="CM127" s="157">
        <f t="shared" si="224"/>
        <v>2136.5414741527311</v>
      </c>
      <c r="CN127" s="157">
        <f t="shared" si="224"/>
        <v>2509.4170979428004</v>
      </c>
      <c r="CO127" s="157">
        <f t="shared" si="224"/>
        <v>2009.9640341570789</v>
      </c>
      <c r="CP127" s="157">
        <f t="shared" si="224"/>
        <v>2002.7905611693518</v>
      </c>
      <c r="CQ127" s="157">
        <f t="shared" si="224"/>
        <v>490.63130139382565</v>
      </c>
      <c r="CR127" s="157">
        <f t="shared" si="224"/>
        <v>0</v>
      </c>
      <c r="CS127" s="157">
        <f t="shared" si="224"/>
        <v>0</v>
      </c>
      <c r="CT127" s="157">
        <f t="shared" si="224"/>
        <v>273.77987465396609</v>
      </c>
      <c r="CU127" s="157">
        <f t="shared" si="224"/>
        <v>716.98570062481667</v>
      </c>
      <c r="CV127" s="157">
        <f t="shared" ref="CV127:DS127" si="225">MAX(CV125-CV126,0)+MAX(CV124-CV123,0)</f>
        <v>831.39568044905582</v>
      </c>
      <c r="CW127" s="157">
        <f t="shared" si="225"/>
        <v>959.46162501604795</v>
      </c>
      <c r="CX127" s="157">
        <f t="shared" si="225"/>
        <v>1318.2944465263599</v>
      </c>
      <c r="CY127" s="157">
        <f t="shared" si="225"/>
        <v>1558.3578478809968</v>
      </c>
      <c r="CZ127" s="157">
        <f t="shared" si="225"/>
        <v>1827.4472885765854</v>
      </c>
      <c r="DA127" s="157">
        <f t="shared" si="225"/>
        <v>1205.5981060031913</v>
      </c>
      <c r="DB127" s="157">
        <f t="shared" si="225"/>
        <v>0</v>
      </c>
      <c r="DC127" s="157">
        <f t="shared" si="225"/>
        <v>0</v>
      </c>
      <c r="DD127" s="157">
        <f t="shared" si="225"/>
        <v>0</v>
      </c>
      <c r="DE127" s="157">
        <f t="shared" si="225"/>
        <v>0</v>
      </c>
      <c r="DF127" s="157">
        <f t="shared" si="225"/>
        <v>0</v>
      </c>
      <c r="DG127" s="157">
        <f t="shared" si="225"/>
        <v>0</v>
      </c>
      <c r="DH127" s="157">
        <f t="shared" si="225"/>
        <v>0</v>
      </c>
      <c r="DI127" s="157">
        <f t="shared" si="225"/>
        <v>0</v>
      </c>
      <c r="DJ127" s="157">
        <f t="shared" si="225"/>
        <v>0</v>
      </c>
      <c r="DK127" s="157">
        <f t="shared" si="225"/>
        <v>0</v>
      </c>
      <c r="DL127" s="157">
        <f t="shared" si="225"/>
        <v>0</v>
      </c>
      <c r="DM127" s="157">
        <f t="shared" si="225"/>
        <v>0</v>
      </c>
      <c r="DN127" s="157">
        <f t="shared" si="225"/>
        <v>0</v>
      </c>
      <c r="DO127" s="157">
        <f t="shared" si="225"/>
        <v>0</v>
      </c>
      <c r="DP127" s="157">
        <f t="shared" si="225"/>
        <v>0</v>
      </c>
      <c r="DQ127" s="157">
        <f t="shared" si="225"/>
        <v>0</v>
      </c>
      <c r="DR127" s="157">
        <f t="shared" si="225"/>
        <v>0</v>
      </c>
      <c r="DS127" s="157">
        <f t="shared" si="225"/>
        <v>0</v>
      </c>
    </row>
    <row r="128" spans="1:123" ht="12.75" customHeight="1" x14ac:dyDescent="0.35">
      <c r="A128" s="147" t="s">
        <v>495</v>
      </c>
      <c r="B128" s="148">
        <f>AA128</f>
        <v>0</v>
      </c>
      <c r="C128" s="139" t="s">
        <v>169</v>
      </c>
      <c r="D128" s="148">
        <f>0</f>
        <v>0</v>
      </c>
      <c r="E128" s="148">
        <f t="shared" ref="E128:AJ128" si="226">D130</f>
        <v>0</v>
      </c>
      <c r="F128" s="148">
        <f t="shared" si="226"/>
        <v>0</v>
      </c>
      <c r="G128" s="148">
        <f t="shared" si="226"/>
        <v>0</v>
      </c>
      <c r="H128" s="148">
        <f t="shared" si="226"/>
        <v>0</v>
      </c>
      <c r="I128" s="148">
        <f t="shared" si="226"/>
        <v>0</v>
      </c>
      <c r="J128" s="148">
        <f t="shared" si="226"/>
        <v>0</v>
      </c>
      <c r="K128" s="148">
        <f t="shared" si="226"/>
        <v>0</v>
      </c>
      <c r="L128" s="148">
        <f t="shared" si="226"/>
        <v>0</v>
      </c>
      <c r="M128" s="148">
        <f t="shared" si="226"/>
        <v>0</v>
      </c>
      <c r="N128" s="148">
        <f t="shared" si="226"/>
        <v>0</v>
      </c>
      <c r="O128" s="148">
        <f t="shared" si="226"/>
        <v>0</v>
      </c>
      <c r="P128" s="148">
        <f t="shared" si="226"/>
        <v>0</v>
      </c>
      <c r="Q128" s="148">
        <f t="shared" si="226"/>
        <v>0</v>
      </c>
      <c r="R128" s="148">
        <f t="shared" si="226"/>
        <v>0</v>
      </c>
      <c r="S128" s="148">
        <f t="shared" si="226"/>
        <v>0</v>
      </c>
      <c r="T128" s="148">
        <f t="shared" si="226"/>
        <v>0</v>
      </c>
      <c r="U128" s="148">
        <f t="shared" si="226"/>
        <v>0</v>
      </c>
      <c r="V128" s="148">
        <f t="shared" si="226"/>
        <v>0</v>
      </c>
      <c r="W128" s="148">
        <f t="shared" si="226"/>
        <v>0</v>
      </c>
      <c r="X128" s="148">
        <f t="shared" si="226"/>
        <v>0</v>
      </c>
      <c r="Y128" s="148">
        <f t="shared" si="226"/>
        <v>0</v>
      </c>
      <c r="Z128" s="148">
        <f t="shared" si="226"/>
        <v>0</v>
      </c>
      <c r="AA128" s="148">
        <f t="shared" si="226"/>
        <v>0</v>
      </c>
      <c r="AB128" s="148">
        <f t="shared" si="226"/>
        <v>0</v>
      </c>
      <c r="AC128" s="148">
        <f t="shared" si="226"/>
        <v>0</v>
      </c>
      <c r="AD128" s="148">
        <f t="shared" si="226"/>
        <v>0</v>
      </c>
      <c r="AE128" s="148">
        <f t="shared" si="226"/>
        <v>0</v>
      </c>
      <c r="AF128" s="148">
        <f t="shared" si="226"/>
        <v>0</v>
      </c>
      <c r="AG128" s="148">
        <f t="shared" si="226"/>
        <v>0</v>
      </c>
      <c r="AH128" s="148">
        <f t="shared" si="226"/>
        <v>0</v>
      </c>
      <c r="AI128" s="148">
        <f t="shared" si="226"/>
        <v>0</v>
      </c>
      <c r="AJ128" s="148">
        <f t="shared" si="226"/>
        <v>0</v>
      </c>
      <c r="AK128" s="148">
        <f t="shared" ref="AK128:BP128" si="227">AJ130</f>
        <v>0</v>
      </c>
      <c r="AL128" s="148">
        <f t="shared" si="227"/>
        <v>0</v>
      </c>
      <c r="AM128" s="148">
        <f t="shared" si="227"/>
        <v>0</v>
      </c>
      <c r="AN128" s="148">
        <f t="shared" si="227"/>
        <v>0</v>
      </c>
      <c r="AO128" s="148">
        <f t="shared" si="227"/>
        <v>0</v>
      </c>
      <c r="AP128" s="148">
        <f t="shared" si="227"/>
        <v>0</v>
      </c>
      <c r="AQ128" s="148">
        <f t="shared" si="227"/>
        <v>0</v>
      </c>
      <c r="AR128" s="148">
        <f t="shared" si="227"/>
        <v>0</v>
      </c>
      <c r="AS128" s="148">
        <f t="shared" si="227"/>
        <v>0</v>
      </c>
      <c r="AT128" s="148">
        <f t="shared" si="227"/>
        <v>0</v>
      </c>
      <c r="AU128" s="148">
        <f t="shared" si="227"/>
        <v>0</v>
      </c>
      <c r="AV128" s="148">
        <f t="shared" si="227"/>
        <v>0</v>
      </c>
      <c r="AW128" s="148">
        <f t="shared" si="227"/>
        <v>0</v>
      </c>
      <c r="AX128" s="148">
        <f t="shared" si="227"/>
        <v>0</v>
      </c>
      <c r="AY128" s="148">
        <f t="shared" si="227"/>
        <v>0</v>
      </c>
      <c r="AZ128" s="148">
        <f t="shared" si="227"/>
        <v>0</v>
      </c>
      <c r="BA128" s="148">
        <f t="shared" si="227"/>
        <v>0</v>
      </c>
      <c r="BB128" s="148">
        <f t="shared" si="227"/>
        <v>0</v>
      </c>
      <c r="BC128" s="148">
        <f t="shared" si="227"/>
        <v>0</v>
      </c>
      <c r="BD128" s="148">
        <f t="shared" si="227"/>
        <v>0</v>
      </c>
      <c r="BE128" s="148">
        <f t="shared" si="227"/>
        <v>0</v>
      </c>
      <c r="BF128" s="148">
        <f t="shared" si="227"/>
        <v>0</v>
      </c>
      <c r="BG128" s="148">
        <f t="shared" si="227"/>
        <v>0</v>
      </c>
      <c r="BH128" s="148">
        <f t="shared" si="227"/>
        <v>0</v>
      </c>
      <c r="BI128" s="148">
        <f t="shared" si="227"/>
        <v>0</v>
      </c>
      <c r="BJ128" s="148">
        <f t="shared" si="227"/>
        <v>0</v>
      </c>
      <c r="BK128" s="148">
        <f t="shared" si="227"/>
        <v>0</v>
      </c>
      <c r="BL128" s="148">
        <f t="shared" si="227"/>
        <v>0</v>
      </c>
      <c r="BM128" s="148">
        <f t="shared" si="227"/>
        <v>0</v>
      </c>
      <c r="BN128" s="148">
        <f t="shared" si="227"/>
        <v>0</v>
      </c>
      <c r="BO128" s="148">
        <f t="shared" si="227"/>
        <v>0</v>
      </c>
      <c r="BP128" s="148">
        <f t="shared" si="227"/>
        <v>0</v>
      </c>
      <c r="BQ128" s="148">
        <f t="shared" ref="BQ128:CV128" si="228">BP130</f>
        <v>0</v>
      </c>
      <c r="BR128" s="148">
        <f t="shared" si="228"/>
        <v>0</v>
      </c>
      <c r="BS128" s="148">
        <f t="shared" si="228"/>
        <v>0</v>
      </c>
      <c r="BT128" s="148">
        <f t="shared" si="228"/>
        <v>0</v>
      </c>
      <c r="BU128" s="148">
        <f t="shared" si="228"/>
        <v>0</v>
      </c>
      <c r="BV128" s="148">
        <f t="shared" si="228"/>
        <v>0</v>
      </c>
      <c r="BW128" s="148">
        <f t="shared" si="228"/>
        <v>0</v>
      </c>
      <c r="BX128" s="148">
        <f t="shared" si="228"/>
        <v>0</v>
      </c>
      <c r="BY128" s="148">
        <f t="shared" si="228"/>
        <v>0</v>
      </c>
      <c r="BZ128" s="148">
        <f t="shared" si="228"/>
        <v>0</v>
      </c>
      <c r="CA128" s="148">
        <f t="shared" si="228"/>
        <v>0</v>
      </c>
      <c r="CB128" s="148">
        <f t="shared" si="228"/>
        <v>0</v>
      </c>
      <c r="CC128" s="148">
        <f t="shared" si="228"/>
        <v>0</v>
      </c>
      <c r="CD128" s="148">
        <f t="shared" si="228"/>
        <v>0</v>
      </c>
      <c r="CE128" s="148">
        <f t="shared" si="228"/>
        <v>0</v>
      </c>
      <c r="CF128" s="148">
        <f t="shared" si="228"/>
        <v>0</v>
      </c>
      <c r="CG128" s="148">
        <f t="shared" si="228"/>
        <v>0</v>
      </c>
      <c r="CH128" s="148">
        <f t="shared" si="228"/>
        <v>0</v>
      </c>
      <c r="CI128" s="148">
        <f t="shared" si="228"/>
        <v>0</v>
      </c>
      <c r="CJ128" s="148">
        <f t="shared" si="228"/>
        <v>0</v>
      </c>
      <c r="CK128" s="148">
        <f t="shared" si="228"/>
        <v>0</v>
      </c>
      <c r="CL128" s="148">
        <f t="shared" si="228"/>
        <v>0</v>
      </c>
      <c r="CM128" s="148">
        <f t="shared" si="228"/>
        <v>0</v>
      </c>
      <c r="CN128" s="148">
        <f t="shared" si="228"/>
        <v>0</v>
      </c>
      <c r="CO128" s="148">
        <f t="shared" si="228"/>
        <v>0</v>
      </c>
      <c r="CP128" s="148">
        <f t="shared" si="228"/>
        <v>0</v>
      </c>
      <c r="CQ128" s="148">
        <f t="shared" si="228"/>
        <v>0</v>
      </c>
      <c r="CR128" s="148">
        <f t="shared" si="228"/>
        <v>0</v>
      </c>
      <c r="CS128" s="148">
        <f t="shared" si="228"/>
        <v>0</v>
      </c>
      <c r="CT128" s="148">
        <f t="shared" si="228"/>
        <v>0</v>
      </c>
      <c r="CU128" s="148">
        <f t="shared" si="228"/>
        <v>0</v>
      </c>
      <c r="CV128" s="148">
        <f t="shared" si="228"/>
        <v>0</v>
      </c>
      <c r="CW128" s="148">
        <f t="shared" ref="CW128:DS128" si="229">CV130</f>
        <v>0</v>
      </c>
      <c r="CX128" s="148">
        <f t="shared" si="229"/>
        <v>0</v>
      </c>
      <c r="CY128" s="148">
        <f t="shared" si="229"/>
        <v>0</v>
      </c>
      <c r="CZ128" s="148">
        <f t="shared" si="229"/>
        <v>0</v>
      </c>
      <c r="DA128" s="148">
        <f t="shared" si="229"/>
        <v>0</v>
      </c>
      <c r="DB128" s="148">
        <f t="shared" si="229"/>
        <v>0</v>
      </c>
      <c r="DC128" s="148">
        <f t="shared" si="229"/>
        <v>0</v>
      </c>
      <c r="DD128" s="148">
        <f t="shared" si="229"/>
        <v>0</v>
      </c>
      <c r="DE128" s="148">
        <f t="shared" si="229"/>
        <v>0</v>
      </c>
      <c r="DF128" s="148">
        <f t="shared" si="229"/>
        <v>0</v>
      </c>
      <c r="DG128" s="148">
        <f t="shared" si="229"/>
        <v>0</v>
      </c>
      <c r="DH128" s="148">
        <f t="shared" si="229"/>
        <v>0</v>
      </c>
      <c r="DI128" s="148">
        <f t="shared" si="229"/>
        <v>0</v>
      </c>
      <c r="DJ128" s="148">
        <f t="shared" si="229"/>
        <v>0</v>
      </c>
      <c r="DK128" s="148">
        <f t="shared" si="229"/>
        <v>0</v>
      </c>
      <c r="DL128" s="148">
        <f t="shared" si="229"/>
        <v>0</v>
      </c>
      <c r="DM128" s="148">
        <f t="shared" si="229"/>
        <v>0</v>
      </c>
      <c r="DN128" s="148">
        <f t="shared" si="229"/>
        <v>0</v>
      </c>
      <c r="DO128" s="148">
        <f t="shared" si="229"/>
        <v>0</v>
      </c>
      <c r="DP128" s="148">
        <f t="shared" si="229"/>
        <v>0</v>
      </c>
      <c r="DQ128" s="148">
        <f t="shared" si="229"/>
        <v>0</v>
      </c>
      <c r="DR128" s="148">
        <f t="shared" si="229"/>
        <v>0</v>
      </c>
      <c r="DS128" s="148">
        <f t="shared" si="229"/>
        <v>0</v>
      </c>
    </row>
    <row r="129" spans="1:123" ht="12.75" customHeight="1" x14ac:dyDescent="0.35">
      <c r="A129" s="147" t="s">
        <v>503</v>
      </c>
      <c r="B129" s="148">
        <f>SUM(D129:BQ129)</f>
        <v>0</v>
      </c>
      <c r="C129" s="139">
        <f>B129/60</f>
        <v>0</v>
      </c>
      <c r="D129" s="148">
        <f t="shared" ref="D129:AI129" si="230">MIN(D128,D123)</f>
        <v>0</v>
      </c>
      <c r="E129" s="148">
        <f t="shared" si="230"/>
        <v>0</v>
      </c>
      <c r="F129" s="148">
        <f t="shared" si="230"/>
        <v>0</v>
      </c>
      <c r="G129" s="148">
        <f t="shared" si="230"/>
        <v>0</v>
      </c>
      <c r="H129" s="148">
        <f t="shared" si="230"/>
        <v>0</v>
      </c>
      <c r="I129" s="148">
        <f t="shared" si="230"/>
        <v>0</v>
      </c>
      <c r="J129" s="148">
        <f t="shared" si="230"/>
        <v>0</v>
      </c>
      <c r="K129" s="148">
        <f t="shared" si="230"/>
        <v>0</v>
      </c>
      <c r="L129" s="148">
        <f t="shared" si="230"/>
        <v>0</v>
      </c>
      <c r="M129" s="148">
        <f t="shared" si="230"/>
        <v>0</v>
      </c>
      <c r="N129" s="148">
        <f t="shared" si="230"/>
        <v>0</v>
      </c>
      <c r="O129" s="148">
        <f t="shared" si="230"/>
        <v>0</v>
      </c>
      <c r="P129" s="148">
        <f t="shared" si="230"/>
        <v>0</v>
      </c>
      <c r="Q129" s="148">
        <f t="shared" si="230"/>
        <v>0</v>
      </c>
      <c r="R129" s="148">
        <f t="shared" si="230"/>
        <v>0</v>
      </c>
      <c r="S129" s="148">
        <f t="shared" si="230"/>
        <v>0</v>
      </c>
      <c r="T129" s="148">
        <f t="shared" si="230"/>
        <v>0</v>
      </c>
      <c r="U129" s="148">
        <f t="shared" si="230"/>
        <v>0</v>
      </c>
      <c r="V129" s="148">
        <f t="shared" si="230"/>
        <v>0</v>
      </c>
      <c r="W129" s="148">
        <f t="shared" si="230"/>
        <v>0</v>
      </c>
      <c r="X129" s="148">
        <f t="shared" si="230"/>
        <v>0</v>
      </c>
      <c r="Y129" s="148">
        <f t="shared" si="230"/>
        <v>0</v>
      </c>
      <c r="Z129" s="148">
        <f t="shared" si="230"/>
        <v>0</v>
      </c>
      <c r="AA129" s="148">
        <f t="shared" si="230"/>
        <v>0</v>
      </c>
      <c r="AB129" s="148">
        <f t="shared" si="230"/>
        <v>0</v>
      </c>
      <c r="AC129" s="148">
        <f t="shared" si="230"/>
        <v>0</v>
      </c>
      <c r="AD129" s="148">
        <f t="shared" si="230"/>
        <v>0</v>
      </c>
      <c r="AE129" s="148">
        <f t="shared" si="230"/>
        <v>0</v>
      </c>
      <c r="AF129" s="148">
        <f t="shared" si="230"/>
        <v>0</v>
      </c>
      <c r="AG129" s="148">
        <f t="shared" si="230"/>
        <v>0</v>
      </c>
      <c r="AH129" s="148">
        <f t="shared" si="230"/>
        <v>0</v>
      </c>
      <c r="AI129" s="148">
        <f t="shared" si="230"/>
        <v>0</v>
      </c>
      <c r="AJ129" s="148">
        <f t="shared" ref="AJ129:BO129" si="231">MIN(AJ128,AJ123)</f>
        <v>0</v>
      </c>
      <c r="AK129" s="148">
        <f t="shared" si="231"/>
        <v>0</v>
      </c>
      <c r="AL129" s="148">
        <f t="shared" si="231"/>
        <v>0</v>
      </c>
      <c r="AM129" s="148">
        <f t="shared" si="231"/>
        <v>0</v>
      </c>
      <c r="AN129" s="148">
        <f t="shared" si="231"/>
        <v>0</v>
      </c>
      <c r="AO129" s="148">
        <f t="shared" si="231"/>
        <v>0</v>
      </c>
      <c r="AP129" s="148">
        <f t="shared" si="231"/>
        <v>0</v>
      </c>
      <c r="AQ129" s="148">
        <f t="shared" si="231"/>
        <v>0</v>
      </c>
      <c r="AR129" s="148">
        <f t="shared" si="231"/>
        <v>0</v>
      </c>
      <c r="AS129" s="148">
        <f t="shared" si="231"/>
        <v>0</v>
      </c>
      <c r="AT129" s="148">
        <f t="shared" si="231"/>
        <v>0</v>
      </c>
      <c r="AU129" s="148">
        <f t="shared" si="231"/>
        <v>0</v>
      </c>
      <c r="AV129" s="148">
        <f t="shared" si="231"/>
        <v>0</v>
      </c>
      <c r="AW129" s="148">
        <f t="shared" si="231"/>
        <v>0</v>
      </c>
      <c r="AX129" s="148">
        <f t="shared" si="231"/>
        <v>0</v>
      </c>
      <c r="AY129" s="148">
        <f t="shared" si="231"/>
        <v>0</v>
      </c>
      <c r="AZ129" s="148">
        <f t="shared" si="231"/>
        <v>0</v>
      </c>
      <c r="BA129" s="148">
        <f t="shared" si="231"/>
        <v>0</v>
      </c>
      <c r="BB129" s="148">
        <f t="shared" si="231"/>
        <v>0</v>
      </c>
      <c r="BC129" s="148">
        <f t="shared" si="231"/>
        <v>0</v>
      </c>
      <c r="BD129" s="148">
        <f t="shared" si="231"/>
        <v>0</v>
      </c>
      <c r="BE129" s="148">
        <f t="shared" si="231"/>
        <v>0</v>
      </c>
      <c r="BF129" s="148">
        <f t="shared" si="231"/>
        <v>0</v>
      </c>
      <c r="BG129" s="148">
        <f t="shared" si="231"/>
        <v>0</v>
      </c>
      <c r="BH129" s="148">
        <f t="shared" si="231"/>
        <v>0</v>
      </c>
      <c r="BI129" s="148">
        <f t="shared" si="231"/>
        <v>0</v>
      </c>
      <c r="BJ129" s="148">
        <f t="shared" si="231"/>
        <v>0</v>
      </c>
      <c r="BK129" s="148">
        <f t="shared" si="231"/>
        <v>0</v>
      </c>
      <c r="BL129" s="148">
        <f t="shared" si="231"/>
        <v>0</v>
      </c>
      <c r="BM129" s="148">
        <f t="shared" si="231"/>
        <v>0</v>
      </c>
      <c r="BN129" s="148">
        <f t="shared" si="231"/>
        <v>0</v>
      </c>
      <c r="BO129" s="148">
        <f t="shared" si="231"/>
        <v>0</v>
      </c>
      <c r="BP129" s="148">
        <f t="shared" ref="BP129:CU129" si="232">MIN(BP128,BP123)</f>
        <v>0</v>
      </c>
      <c r="BQ129" s="148">
        <f t="shared" si="232"/>
        <v>0</v>
      </c>
      <c r="BR129" s="148">
        <f t="shared" si="232"/>
        <v>0</v>
      </c>
      <c r="BS129" s="148">
        <f t="shared" si="232"/>
        <v>0</v>
      </c>
      <c r="BT129" s="148">
        <f t="shared" si="232"/>
        <v>0</v>
      </c>
      <c r="BU129" s="148">
        <f t="shared" si="232"/>
        <v>0</v>
      </c>
      <c r="BV129" s="148">
        <f t="shared" si="232"/>
        <v>0</v>
      </c>
      <c r="BW129" s="148">
        <f t="shared" si="232"/>
        <v>0</v>
      </c>
      <c r="BX129" s="148">
        <f t="shared" si="232"/>
        <v>0</v>
      </c>
      <c r="BY129" s="148">
        <f t="shared" si="232"/>
        <v>0</v>
      </c>
      <c r="BZ129" s="148">
        <f t="shared" si="232"/>
        <v>0</v>
      </c>
      <c r="CA129" s="148">
        <f t="shared" si="232"/>
        <v>0</v>
      </c>
      <c r="CB129" s="148">
        <f t="shared" si="232"/>
        <v>0</v>
      </c>
      <c r="CC129" s="148">
        <f t="shared" si="232"/>
        <v>0</v>
      </c>
      <c r="CD129" s="148">
        <f t="shared" si="232"/>
        <v>0</v>
      </c>
      <c r="CE129" s="148">
        <f t="shared" si="232"/>
        <v>0</v>
      </c>
      <c r="CF129" s="148">
        <f t="shared" si="232"/>
        <v>0</v>
      </c>
      <c r="CG129" s="148">
        <f t="shared" si="232"/>
        <v>0</v>
      </c>
      <c r="CH129" s="148">
        <f t="shared" si="232"/>
        <v>0</v>
      </c>
      <c r="CI129" s="148">
        <f t="shared" si="232"/>
        <v>0</v>
      </c>
      <c r="CJ129" s="148">
        <f t="shared" si="232"/>
        <v>0</v>
      </c>
      <c r="CK129" s="148">
        <f t="shared" si="232"/>
        <v>0</v>
      </c>
      <c r="CL129" s="148">
        <f t="shared" si="232"/>
        <v>0</v>
      </c>
      <c r="CM129" s="148">
        <f t="shared" si="232"/>
        <v>0</v>
      </c>
      <c r="CN129" s="148">
        <f t="shared" si="232"/>
        <v>0</v>
      </c>
      <c r="CO129" s="148">
        <f t="shared" si="232"/>
        <v>0</v>
      </c>
      <c r="CP129" s="148">
        <f t="shared" si="232"/>
        <v>0</v>
      </c>
      <c r="CQ129" s="148">
        <f t="shared" si="232"/>
        <v>0</v>
      </c>
      <c r="CR129" s="148">
        <f t="shared" si="232"/>
        <v>0</v>
      </c>
      <c r="CS129" s="148">
        <f t="shared" si="232"/>
        <v>0</v>
      </c>
      <c r="CT129" s="148">
        <f t="shared" si="232"/>
        <v>0</v>
      </c>
      <c r="CU129" s="148">
        <f t="shared" si="232"/>
        <v>0</v>
      </c>
      <c r="CV129" s="148">
        <f t="shared" ref="CV129:DS129" si="233">MIN(CV128,CV123)</f>
        <v>0</v>
      </c>
      <c r="CW129" s="148">
        <f t="shared" si="233"/>
        <v>0</v>
      </c>
      <c r="CX129" s="148">
        <f t="shared" si="233"/>
        <v>0</v>
      </c>
      <c r="CY129" s="148">
        <f t="shared" si="233"/>
        <v>0</v>
      </c>
      <c r="CZ129" s="148">
        <f t="shared" si="233"/>
        <v>0</v>
      </c>
      <c r="DA129" s="148">
        <f t="shared" si="233"/>
        <v>0</v>
      </c>
      <c r="DB129" s="148">
        <f t="shared" si="233"/>
        <v>0</v>
      </c>
      <c r="DC129" s="148">
        <f t="shared" si="233"/>
        <v>0</v>
      </c>
      <c r="DD129" s="148">
        <f t="shared" si="233"/>
        <v>0</v>
      </c>
      <c r="DE129" s="148">
        <f t="shared" si="233"/>
        <v>0</v>
      </c>
      <c r="DF129" s="148">
        <f t="shared" si="233"/>
        <v>0</v>
      </c>
      <c r="DG129" s="148">
        <f t="shared" si="233"/>
        <v>0</v>
      </c>
      <c r="DH129" s="148">
        <f t="shared" si="233"/>
        <v>0</v>
      </c>
      <c r="DI129" s="148">
        <f t="shared" si="233"/>
        <v>0</v>
      </c>
      <c r="DJ129" s="148">
        <f t="shared" si="233"/>
        <v>0</v>
      </c>
      <c r="DK129" s="148">
        <f t="shared" si="233"/>
        <v>0</v>
      </c>
      <c r="DL129" s="148">
        <f t="shared" si="233"/>
        <v>0</v>
      </c>
      <c r="DM129" s="148">
        <f t="shared" si="233"/>
        <v>0</v>
      </c>
      <c r="DN129" s="148">
        <f t="shared" si="233"/>
        <v>0</v>
      </c>
      <c r="DO129" s="148">
        <f t="shared" si="233"/>
        <v>0</v>
      </c>
      <c r="DP129" s="148">
        <f t="shared" si="233"/>
        <v>0</v>
      </c>
      <c r="DQ129" s="148">
        <f t="shared" si="233"/>
        <v>0</v>
      </c>
      <c r="DR129" s="148">
        <f t="shared" si="233"/>
        <v>0</v>
      </c>
      <c r="DS129" s="148">
        <f t="shared" si="233"/>
        <v>0</v>
      </c>
    </row>
    <row r="130" spans="1:123" ht="12.75" customHeight="1" x14ac:dyDescent="0.35">
      <c r="A130" s="147" t="s">
        <v>504</v>
      </c>
      <c r="B130" s="148">
        <f>AA130</f>
        <v>0</v>
      </c>
      <c r="C130" s="139" t="s">
        <v>169</v>
      </c>
      <c r="D130" s="168">
        <f t="shared" ref="D130:AI130" si="234">MAX(D128-D129,0)</f>
        <v>0</v>
      </c>
      <c r="E130" s="168">
        <f t="shared" si="234"/>
        <v>0</v>
      </c>
      <c r="F130" s="168">
        <f t="shared" si="234"/>
        <v>0</v>
      </c>
      <c r="G130" s="168">
        <f t="shared" si="234"/>
        <v>0</v>
      </c>
      <c r="H130" s="168">
        <f t="shared" si="234"/>
        <v>0</v>
      </c>
      <c r="I130" s="168">
        <f t="shared" si="234"/>
        <v>0</v>
      </c>
      <c r="J130" s="168">
        <f t="shared" si="234"/>
        <v>0</v>
      </c>
      <c r="K130" s="168">
        <f t="shared" si="234"/>
        <v>0</v>
      </c>
      <c r="L130" s="168">
        <f t="shared" si="234"/>
        <v>0</v>
      </c>
      <c r="M130" s="168">
        <f t="shared" si="234"/>
        <v>0</v>
      </c>
      <c r="N130" s="168">
        <f t="shared" si="234"/>
        <v>0</v>
      </c>
      <c r="O130" s="168">
        <f t="shared" si="234"/>
        <v>0</v>
      </c>
      <c r="P130" s="168">
        <f t="shared" si="234"/>
        <v>0</v>
      </c>
      <c r="Q130" s="168">
        <f t="shared" si="234"/>
        <v>0</v>
      </c>
      <c r="R130" s="168">
        <f t="shared" si="234"/>
        <v>0</v>
      </c>
      <c r="S130" s="168">
        <f t="shared" si="234"/>
        <v>0</v>
      </c>
      <c r="T130" s="168">
        <f t="shared" si="234"/>
        <v>0</v>
      </c>
      <c r="U130" s="168">
        <f t="shared" si="234"/>
        <v>0</v>
      </c>
      <c r="V130" s="168">
        <f t="shared" si="234"/>
        <v>0</v>
      </c>
      <c r="W130" s="168">
        <f t="shared" si="234"/>
        <v>0</v>
      </c>
      <c r="X130" s="168">
        <f t="shared" si="234"/>
        <v>0</v>
      </c>
      <c r="Y130" s="168">
        <f t="shared" si="234"/>
        <v>0</v>
      </c>
      <c r="Z130" s="168">
        <f t="shared" si="234"/>
        <v>0</v>
      </c>
      <c r="AA130" s="168">
        <f t="shared" si="234"/>
        <v>0</v>
      </c>
      <c r="AB130" s="168">
        <f t="shared" si="234"/>
        <v>0</v>
      </c>
      <c r="AC130" s="168">
        <f t="shared" si="234"/>
        <v>0</v>
      </c>
      <c r="AD130" s="168">
        <f t="shared" si="234"/>
        <v>0</v>
      </c>
      <c r="AE130" s="168">
        <f t="shared" si="234"/>
        <v>0</v>
      </c>
      <c r="AF130" s="168">
        <f t="shared" si="234"/>
        <v>0</v>
      </c>
      <c r="AG130" s="168">
        <f t="shared" si="234"/>
        <v>0</v>
      </c>
      <c r="AH130" s="168">
        <f t="shared" si="234"/>
        <v>0</v>
      </c>
      <c r="AI130" s="168">
        <f t="shared" si="234"/>
        <v>0</v>
      </c>
      <c r="AJ130" s="168">
        <f t="shared" ref="AJ130:BO130" si="235">MAX(AJ128-AJ129,0)</f>
        <v>0</v>
      </c>
      <c r="AK130" s="168">
        <f t="shared" si="235"/>
        <v>0</v>
      </c>
      <c r="AL130" s="168">
        <f t="shared" si="235"/>
        <v>0</v>
      </c>
      <c r="AM130" s="168">
        <f t="shared" si="235"/>
        <v>0</v>
      </c>
      <c r="AN130" s="168">
        <f t="shared" si="235"/>
        <v>0</v>
      </c>
      <c r="AO130" s="168">
        <f t="shared" si="235"/>
        <v>0</v>
      </c>
      <c r="AP130" s="168">
        <f t="shared" si="235"/>
        <v>0</v>
      </c>
      <c r="AQ130" s="168">
        <f t="shared" si="235"/>
        <v>0</v>
      </c>
      <c r="AR130" s="168">
        <f t="shared" si="235"/>
        <v>0</v>
      </c>
      <c r="AS130" s="168">
        <f t="shared" si="235"/>
        <v>0</v>
      </c>
      <c r="AT130" s="168">
        <f t="shared" si="235"/>
        <v>0</v>
      </c>
      <c r="AU130" s="168">
        <f t="shared" si="235"/>
        <v>0</v>
      </c>
      <c r="AV130" s="168">
        <f t="shared" si="235"/>
        <v>0</v>
      </c>
      <c r="AW130" s="168">
        <f t="shared" si="235"/>
        <v>0</v>
      </c>
      <c r="AX130" s="168">
        <f t="shared" si="235"/>
        <v>0</v>
      </c>
      <c r="AY130" s="168">
        <f t="shared" si="235"/>
        <v>0</v>
      </c>
      <c r="AZ130" s="168">
        <f t="shared" si="235"/>
        <v>0</v>
      </c>
      <c r="BA130" s="168">
        <f t="shared" si="235"/>
        <v>0</v>
      </c>
      <c r="BB130" s="168">
        <f t="shared" si="235"/>
        <v>0</v>
      </c>
      <c r="BC130" s="168">
        <f t="shared" si="235"/>
        <v>0</v>
      </c>
      <c r="BD130" s="168">
        <f t="shared" si="235"/>
        <v>0</v>
      </c>
      <c r="BE130" s="168">
        <f t="shared" si="235"/>
        <v>0</v>
      </c>
      <c r="BF130" s="168">
        <f t="shared" si="235"/>
        <v>0</v>
      </c>
      <c r="BG130" s="168">
        <f t="shared" si="235"/>
        <v>0</v>
      </c>
      <c r="BH130" s="168">
        <f t="shared" si="235"/>
        <v>0</v>
      </c>
      <c r="BI130" s="168">
        <f t="shared" si="235"/>
        <v>0</v>
      </c>
      <c r="BJ130" s="168">
        <f t="shared" si="235"/>
        <v>0</v>
      </c>
      <c r="BK130" s="168">
        <f t="shared" si="235"/>
        <v>0</v>
      </c>
      <c r="BL130" s="168">
        <f t="shared" si="235"/>
        <v>0</v>
      </c>
      <c r="BM130" s="168">
        <f t="shared" si="235"/>
        <v>0</v>
      </c>
      <c r="BN130" s="168">
        <f t="shared" si="235"/>
        <v>0</v>
      </c>
      <c r="BO130" s="168">
        <f t="shared" si="235"/>
        <v>0</v>
      </c>
      <c r="BP130" s="168">
        <f t="shared" ref="BP130:CU130" si="236">MAX(BP128-BP129,0)</f>
        <v>0</v>
      </c>
      <c r="BQ130" s="168">
        <f t="shared" si="236"/>
        <v>0</v>
      </c>
      <c r="BR130" s="168">
        <f t="shared" si="236"/>
        <v>0</v>
      </c>
      <c r="BS130" s="168">
        <f t="shared" si="236"/>
        <v>0</v>
      </c>
      <c r="BT130" s="168">
        <f t="shared" si="236"/>
        <v>0</v>
      </c>
      <c r="BU130" s="168">
        <f t="shared" si="236"/>
        <v>0</v>
      </c>
      <c r="BV130" s="168">
        <f t="shared" si="236"/>
        <v>0</v>
      </c>
      <c r="BW130" s="168">
        <f t="shared" si="236"/>
        <v>0</v>
      </c>
      <c r="BX130" s="168">
        <f t="shared" si="236"/>
        <v>0</v>
      </c>
      <c r="BY130" s="168">
        <f t="shared" si="236"/>
        <v>0</v>
      </c>
      <c r="BZ130" s="168">
        <f t="shared" si="236"/>
        <v>0</v>
      </c>
      <c r="CA130" s="168">
        <f t="shared" si="236"/>
        <v>0</v>
      </c>
      <c r="CB130" s="168">
        <f t="shared" si="236"/>
        <v>0</v>
      </c>
      <c r="CC130" s="168">
        <f t="shared" si="236"/>
        <v>0</v>
      </c>
      <c r="CD130" s="168">
        <f t="shared" si="236"/>
        <v>0</v>
      </c>
      <c r="CE130" s="168">
        <f t="shared" si="236"/>
        <v>0</v>
      </c>
      <c r="CF130" s="168">
        <f t="shared" si="236"/>
        <v>0</v>
      </c>
      <c r="CG130" s="168">
        <f t="shared" si="236"/>
        <v>0</v>
      </c>
      <c r="CH130" s="168">
        <f t="shared" si="236"/>
        <v>0</v>
      </c>
      <c r="CI130" s="168">
        <f t="shared" si="236"/>
        <v>0</v>
      </c>
      <c r="CJ130" s="168">
        <f t="shared" si="236"/>
        <v>0</v>
      </c>
      <c r="CK130" s="168">
        <f t="shared" si="236"/>
        <v>0</v>
      </c>
      <c r="CL130" s="168">
        <f t="shared" si="236"/>
        <v>0</v>
      </c>
      <c r="CM130" s="168">
        <f t="shared" si="236"/>
        <v>0</v>
      </c>
      <c r="CN130" s="168">
        <f t="shared" si="236"/>
        <v>0</v>
      </c>
      <c r="CO130" s="168">
        <f t="shared" si="236"/>
        <v>0</v>
      </c>
      <c r="CP130" s="168">
        <f t="shared" si="236"/>
        <v>0</v>
      </c>
      <c r="CQ130" s="168">
        <f t="shared" si="236"/>
        <v>0</v>
      </c>
      <c r="CR130" s="168">
        <f t="shared" si="236"/>
        <v>0</v>
      </c>
      <c r="CS130" s="168">
        <f t="shared" si="236"/>
        <v>0</v>
      </c>
      <c r="CT130" s="168">
        <f t="shared" si="236"/>
        <v>0</v>
      </c>
      <c r="CU130" s="168">
        <f t="shared" si="236"/>
        <v>0</v>
      </c>
      <c r="CV130" s="168">
        <f t="shared" ref="CV130:DS130" si="237">MAX(CV128-CV129,0)</f>
        <v>0</v>
      </c>
      <c r="CW130" s="168">
        <f t="shared" si="237"/>
        <v>0</v>
      </c>
      <c r="CX130" s="168">
        <f t="shared" si="237"/>
        <v>0</v>
      </c>
      <c r="CY130" s="168">
        <f t="shared" si="237"/>
        <v>0</v>
      </c>
      <c r="CZ130" s="168">
        <f t="shared" si="237"/>
        <v>0</v>
      </c>
      <c r="DA130" s="168">
        <f t="shared" si="237"/>
        <v>0</v>
      </c>
      <c r="DB130" s="168">
        <f t="shared" si="237"/>
        <v>0</v>
      </c>
      <c r="DC130" s="168">
        <f t="shared" si="237"/>
        <v>0</v>
      </c>
      <c r="DD130" s="168">
        <f t="shared" si="237"/>
        <v>0</v>
      </c>
      <c r="DE130" s="168">
        <f t="shared" si="237"/>
        <v>0</v>
      </c>
      <c r="DF130" s="168">
        <f t="shared" si="237"/>
        <v>0</v>
      </c>
      <c r="DG130" s="168">
        <f t="shared" si="237"/>
        <v>0</v>
      </c>
      <c r="DH130" s="168">
        <f t="shared" si="237"/>
        <v>0</v>
      </c>
      <c r="DI130" s="168">
        <f t="shared" si="237"/>
        <v>0</v>
      </c>
      <c r="DJ130" s="168">
        <f t="shared" si="237"/>
        <v>0</v>
      </c>
      <c r="DK130" s="168">
        <f t="shared" si="237"/>
        <v>0</v>
      </c>
      <c r="DL130" s="168">
        <f t="shared" si="237"/>
        <v>0</v>
      </c>
      <c r="DM130" s="168">
        <f t="shared" si="237"/>
        <v>0</v>
      </c>
      <c r="DN130" s="168">
        <f t="shared" si="237"/>
        <v>0</v>
      </c>
      <c r="DO130" s="168">
        <f t="shared" si="237"/>
        <v>0</v>
      </c>
      <c r="DP130" s="168">
        <f t="shared" si="237"/>
        <v>0</v>
      </c>
      <c r="DQ130" s="168">
        <f t="shared" si="237"/>
        <v>0</v>
      </c>
      <c r="DR130" s="168">
        <f t="shared" si="237"/>
        <v>0</v>
      </c>
      <c r="DS130" s="168">
        <f t="shared" si="237"/>
        <v>0</v>
      </c>
    </row>
    <row r="131" spans="1:123" ht="12.75" customHeight="1" x14ac:dyDescent="0.35">
      <c r="A131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31" s="162">
        <f>SUM(D131:BQ131)</f>
        <v>215635.68225444219</v>
      </c>
      <c r="C131" s="144">
        <f>B131/60</f>
        <v>3593.9280375740364</v>
      </c>
      <c r="D131" s="162">
        <f>D123*Premissas!$F$19</f>
        <v>2435.8920998373019</v>
      </c>
      <c r="E131" s="162">
        <f>E123*Premissas!$F$19</f>
        <v>2558.0569011969233</v>
      </c>
      <c r="F131" s="162">
        <f>F123*Premissas!$F$19</f>
        <v>2915.296396081877</v>
      </c>
      <c r="G131" s="162">
        <f>G123*Premissas!$F$19</f>
        <v>2808.8649403519039</v>
      </c>
      <c r="H131" s="162">
        <f>H123*Premissas!$F$19</f>
        <v>2869.9473410317146</v>
      </c>
      <c r="I131" s="162">
        <f>I123*Premissas!$F$19</f>
        <v>3444.6772019735704</v>
      </c>
      <c r="J131" s="162">
        <f>J123*Premissas!$F$19</f>
        <v>2931.0297417115253</v>
      </c>
      <c r="K131" s="162">
        <f>K123*Premissas!$F$19</f>
        <v>4196.1758285191208</v>
      </c>
      <c r="L131" s="162">
        <f>L123*Premissas!$F$19</f>
        <v>4521.9486321447785</v>
      </c>
      <c r="M131" s="162">
        <f>M123*Premissas!$F$19</f>
        <v>3355.8300737120276</v>
      </c>
      <c r="N131" s="162">
        <f>N123*Premissas!$F$19</f>
        <v>2866.2453773541502</v>
      </c>
      <c r="O131" s="162">
        <f>O123*Premissas!$F$19</f>
        <v>2536.7706100509286</v>
      </c>
      <c r="P131" s="162">
        <f>P123*Premissas!$F$19</f>
        <v>2496.9745005171126</v>
      </c>
      <c r="Q131" s="162">
        <f>Q123*Premissas!$F$19</f>
        <v>2621.9157746349074</v>
      </c>
      <c r="R131" s="162">
        <f>R123*Premissas!$F$19</f>
        <v>2988.410178713772</v>
      </c>
      <c r="S131" s="162">
        <f>S123*Premissas!$F$19</f>
        <v>2879.2022502256254</v>
      </c>
      <c r="T131" s="162">
        <f>T123*Premissas!$F$19</f>
        <v>2942.1356327442181</v>
      </c>
      <c r="U131" s="162">
        <f>U123*Premissas!$F$19</f>
        <v>3530.7478574769402</v>
      </c>
      <c r="V131" s="162">
        <f>V123*Premissas!$F$19</f>
        <v>3004.1435243434198</v>
      </c>
      <c r="W131" s="162">
        <f>W123*Premissas!$F$19</f>
        <v>4196.1758285191208</v>
      </c>
      <c r="X131" s="162">
        <f>X123*Premissas!$F$19</f>
        <v>4521.9486321447785</v>
      </c>
      <c r="Y131" s="162">
        <f>Y123*Premissas!$F$19</f>
        <v>3355.8300737120276</v>
      </c>
      <c r="Z131" s="162">
        <f>Z123*Premissas!$F$19</f>
        <v>2866.2453773541502</v>
      </c>
      <c r="AA131" s="162">
        <f>AA123*Premissas!$F$19</f>
        <v>2536.7706100509286</v>
      </c>
      <c r="AB131" s="162">
        <f>AB123*Premissas!$F$19</f>
        <v>2558.9823921163143</v>
      </c>
      <c r="AC131" s="162">
        <f>AC123*Premissas!$F$19</f>
        <v>2687.6256299116735</v>
      </c>
      <c r="AD131" s="162">
        <f>AD123*Premissas!$F$19</f>
        <v>3062.4494522650575</v>
      </c>
      <c r="AE131" s="162">
        <f>AE123*Premissas!$F$19</f>
        <v>2951.390541938129</v>
      </c>
      <c r="AF131" s="162">
        <f>AF123*Premissas!$F$19</f>
        <v>3015.2494153761127</v>
      </c>
      <c r="AG131" s="162">
        <f>AG123*Premissas!$F$19</f>
        <v>3618.6694948190921</v>
      </c>
      <c r="AH131" s="162">
        <f>AH123*Premissas!$F$19</f>
        <v>3079.1082888140968</v>
      </c>
      <c r="AI131" s="162">
        <f>AI123*Premissas!$F$19</f>
        <v>4409.038739979067</v>
      </c>
      <c r="AJ131" s="162">
        <f>AJ123*Premissas!$F$19</f>
        <v>4750.5448892343729</v>
      </c>
      <c r="AK131" s="162">
        <f>AK123*Premissas!$F$19</f>
        <v>3526.1204028799848</v>
      </c>
      <c r="AL131" s="162">
        <f>AL123*Premissas!$F$19</f>
        <v>3011.5474516985487</v>
      </c>
      <c r="AM131" s="162">
        <f>AM123*Premissas!$F$19</f>
        <v>2665.4138478462878</v>
      </c>
      <c r="AN131" s="162">
        <f>AN123*Premissas!$F$19</f>
        <v>2622.8412655542984</v>
      </c>
      <c r="AO131" s="162">
        <f>AO123*Premissas!$F$19</f>
        <v>2755.1864670272216</v>
      </c>
      <c r="AP131" s="162">
        <f>AP123*Premissas!$F$19</f>
        <v>3139.2651985745165</v>
      </c>
      <c r="AQ131" s="162">
        <f>AQ123*Premissas!$F$19</f>
        <v>3024.5043245700235</v>
      </c>
      <c r="AR131" s="162">
        <f>AR123*Premissas!$F$19</f>
        <v>3090.2141798467896</v>
      </c>
      <c r="AS131" s="162">
        <f>AS123*Premissas!$F$19</f>
        <v>3709.3676049194169</v>
      </c>
      <c r="AT131" s="162">
        <f>AT123*Premissas!$F$19</f>
        <v>3156.8495260429468</v>
      </c>
      <c r="AU131" s="162">
        <f>AU123*Premissas!$F$19</f>
        <v>4519.172159386605</v>
      </c>
      <c r="AV131" s="162">
        <f>AV123*Premissas!$F$19</f>
        <v>4869.9332178358209</v>
      </c>
      <c r="AW131" s="162">
        <f>AW123*Premissas!$F$19</f>
        <v>3614.0420402221366</v>
      </c>
      <c r="AX131" s="162">
        <f>AX123*Premissas!$F$19</f>
        <v>3086.5122161692252</v>
      </c>
      <c r="AY131" s="162">
        <f>AY123*Premissas!$F$19</f>
        <v>2732.0491940424449</v>
      </c>
      <c r="AZ131" s="162">
        <f>AZ123*Premissas!$F$19</f>
        <v>2688.5511208310645</v>
      </c>
      <c r="BA131" s="162">
        <f>BA123*Premissas!$F$19</f>
        <v>2823.6727950621607</v>
      </c>
      <c r="BB131" s="162">
        <f>BB123*Premissas!$F$19</f>
        <v>3217.9319267227575</v>
      </c>
      <c r="BC131" s="162">
        <f>BC123*Premissas!$F$19</f>
        <v>3100.3945799600915</v>
      </c>
      <c r="BD131" s="162">
        <f>BD123*Premissas!$F$19</f>
        <v>3167.9554170756396</v>
      </c>
      <c r="BE131" s="162">
        <f>BE123*Premissas!$F$19</f>
        <v>3801.9166968585241</v>
      </c>
      <c r="BF131" s="162">
        <f>BF123*Premissas!$F$19</f>
        <v>3235.5162541911882</v>
      </c>
      <c r="BG131" s="162">
        <f>BG123*Premissas!$F$19</f>
        <v>4632.0820515523155</v>
      </c>
      <c r="BH131" s="162">
        <f>BH123*Premissas!$F$19</f>
        <v>4991.1725282760517</v>
      </c>
      <c r="BI131" s="162">
        <f>BI123*Premissas!$F$19</f>
        <v>3703.8146594030704</v>
      </c>
      <c r="BJ131" s="162">
        <f>BJ123*Premissas!$F$19</f>
        <v>3164.2534533980756</v>
      </c>
      <c r="BK131" s="162">
        <f>BK123*Premissas!$F$19</f>
        <v>2800.535522077384</v>
      </c>
      <c r="BL131" s="162">
        <f>BL123*Premissas!$F$19</f>
        <v>2756.1119579466126</v>
      </c>
      <c r="BM131" s="162">
        <f>BM123*Premissas!$F$19</f>
        <v>2894.0101049358823</v>
      </c>
      <c r="BN131" s="162">
        <f>BN123*Premissas!$F$19</f>
        <v>3298.4496367097809</v>
      </c>
      <c r="BO131" s="162">
        <f>BO123*Premissas!$F$19</f>
        <v>3178.1358171889415</v>
      </c>
      <c r="BP131" s="162">
        <f>BP123*Premissas!$F$19</f>
        <v>3246.622145223881</v>
      </c>
      <c r="BQ131" s="162">
        <f>BQ123*Premissas!$F$19</f>
        <v>3897.2422615558044</v>
      </c>
      <c r="BR131" s="162">
        <f>BR123*Premissas!$F$19</f>
        <v>3316.0339641782111</v>
      </c>
      <c r="BS131" s="162">
        <f>BS123*Premissas!$F$19</f>
        <v>4747.7684164761995</v>
      </c>
      <c r="BT131" s="162">
        <f>BT123*Premissas!$F$19</f>
        <v>5116.1138023938465</v>
      </c>
      <c r="BU131" s="162">
        <f>BU123*Premissas!$F$19</f>
        <v>3796.3637513421777</v>
      </c>
      <c r="BV131" s="162">
        <f>BV123*Premissas!$F$19</f>
        <v>3242.9201815463166</v>
      </c>
      <c r="BW131" s="162">
        <f>BW123*Premissas!$F$19</f>
        <v>2869.9473410317146</v>
      </c>
      <c r="BX131" s="162">
        <f>BX123*Premissas!$F$19</f>
        <v>2824.5982859815522</v>
      </c>
      <c r="BY131" s="162">
        <f>BY123*Premissas!$F$19</f>
        <v>2966.1983966483858</v>
      </c>
      <c r="BZ131" s="162">
        <f>BZ123*Premissas!$F$19</f>
        <v>3380.8183285355863</v>
      </c>
      <c r="CA131" s="162">
        <f>CA123*Premissas!$F$19</f>
        <v>3257.7280362565739</v>
      </c>
      <c r="CB131" s="162">
        <f>CB123*Premissas!$F$19</f>
        <v>3328.0653461302954</v>
      </c>
      <c r="CC131" s="162">
        <f>CC123*Premissas!$F$19</f>
        <v>3994.418808091867</v>
      </c>
      <c r="CD131" s="162">
        <f>CD123*Premissas!$F$19</f>
        <v>3399.328146923408</v>
      </c>
      <c r="CE131" s="162">
        <f>CE123*Premissas!$F$19</f>
        <v>4866.2312541582569</v>
      </c>
      <c r="CF131" s="162">
        <f>CF123*Premissas!$F$19</f>
        <v>5243.8315492698148</v>
      </c>
      <c r="CG131" s="162">
        <f>CG123*Premissas!$F$19</f>
        <v>3891.6893160394579</v>
      </c>
      <c r="CH131" s="162">
        <f>CH123*Premissas!$F$19</f>
        <v>3324.363382452731</v>
      </c>
      <c r="CI131" s="162">
        <f>CI123*Premissas!$F$19</f>
        <v>2942.1356327442181</v>
      </c>
      <c r="CJ131" s="162">
        <f>CJ123*Premissas!$F$19</f>
        <v>2895.8610867746647</v>
      </c>
      <c r="CK131" s="162">
        <f>CK123*Premissas!$F$19</f>
        <v>3041.1631611190628</v>
      </c>
      <c r="CL131" s="162">
        <f>CL123*Premissas!$F$19</f>
        <v>3465.0380022001741</v>
      </c>
      <c r="CM131" s="162">
        <f>CM123*Premissas!$F$19</f>
        <v>3339.1712371629883</v>
      </c>
      <c r="CN131" s="162">
        <f>CN123*Premissas!$F$19</f>
        <v>3411.3595288754918</v>
      </c>
      <c r="CO131" s="162">
        <f>CO123*Premissas!$F$19</f>
        <v>4094.3718273861027</v>
      </c>
      <c r="CP131" s="162">
        <f>CP123*Premissas!$F$19</f>
        <v>3484.4733115073864</v>
      </c>
      <c r="CQ131" s="162">
        <f>CQ123*Premissas!$F$19</f>
        <v>4988.3960555178783</v>
      </c>
      <c r="CR131" s="162">
        <f>CR123*Premissas!$F$19</f>
        <v>5375.251259823347</v>
      </c>
      <c r="CS131" s="162">
        <f>CS123*Premissas!$F$19</f>
        <v>3988.8658625755206</v>
      </c>
      <c r="CT131" s="162">
        <f>CT123*Premissas!$F$19</f>
        <v>3406.7320742785364</v>
      </c>
      <c r="CU131" s="162">
        <f>CU123*Premissas!$F$19</f>
        <v>3015.2494153761127</v>
      </c>
      <c r="CV131" s="162">
        <f>CV123*Premissas!$F$19</f>
        <v>2968.0493784871683</v>
      </c>
      <c r="CW131" s="162">
        <f>CW123*Premissas!$F$19</f>
        <v>3117.0534165091308</v>
      </c>
      <c r="CX131" s="162">
        <f>CX123*Premissas!$F$19</f>
        <v>3552.0341486229345</v>
      </c>
      <c r="CY131" s="162">
        <f>CY123*Premissas!$F$19</f>
        <v>3422.4654199081847</v>
      </c>
      <c r="CZ131" s="162">
        <f>CZ123*Premissas!$F$19</f>
        <v>3496.5046934594702</v>
      </c>
      <c r="DA131" s="162">
        <f>DA123*Premissas!$F$19</f>
        <v>4197.1013194385123</v>
      </c>
      <c r="DB131" s="162">
        <f>DB123*Premissas!$F$19</f>
        <v>3571.4694579301472</v>
      </c>
      <c r="DC131" s="162">
        <f>DC123*Premissas!$F$19</f>
        <v>5112.4118387162825</v>
      </c>
      <c r="DD131" s="162">
        <f>DD123*Premissas!$F$19</f>
        <v>5509.4474431350518</v>
      </c>
      <c r="DE131" s="162">
        <f>DE123*Premissas!$F$19</f>
        <v>4088.8188818697563</v>
      </c>
      <c r="DF131" s="162">
        <f>DF123*Premissas!$F$19</f>
        <v>3491.8772388625148</v>
      </c>
      <c r="DG131" s="162">
        <f>DG123*Premissas!$F$19</f>
        <v>3091.1396707661806</v>
      </c>
      <c r="DH131" s="162">
        <f>DH123*Premissas!$F$19</f>
        <v>3042.0886520384538</v>
      </c>
      <c r="DI131" s="162">
        <f>DI123*Premissas!$F$19</f>
        <v>3194.7946537379808</v>
      </c>
      <c r="DJ131" s="162">
        <f>DJ123*Premissas!$F$19</f>
        <v>3640.8812768844778</v>
      </c>
      <c r="DK131" s="162">
        <f>DK123*Premissas!$F$19</f>
        <v>3507.6105844921631</v>
      </c>
      <c r="DL131" s="162">
        <f>DL123*Premissas!$F$19</f>
        <v>3584.426330801622</v>
      </c>
      <c r="DM131" s="162">
        <f>DM123*Premissas!$F$19</f>
        <v>4301.6817933297034</v>
      </c>
      <c r="DN131" s="162">
        <f>DN123*Premissas!$F$19</f>
        <v>3660.31658619169</v>
      </c>
      <c r="DO131" s="162">
        <f>DO123*Premissas!$F$19</f>
        <v>5240.1295855922499</v>
      </c>
      <c r="DP131" s="162">
        <f>DP123*Premissas!$F$19</f>
        <v>5647.3455901243215</v>
      </c>
      <c r="DQ131" s="162">
        <f>DQ123*Premissas!$F$19</f>
        <v>4190.622883002774</v>
      </c>
      <c r="DR131" s="162">
        <f>DR123*Premissas!$F$19</f>
        <v>3579.7988762046666</v>
      </c>
      <c r="DS131" s="162">
        <f>DS123*Premissas!$F$19</f>
        <v>3167.9554170756396</v>
      </c>
    </row>
    <row r="132" spans="1:123" ht="12.75" customHeight="1" x14ac:dyDescent="0.35">
      <c r="A132" s="163" t="s">
        <v>498</v>
      </c>
      <c r="B132" s="164">
        <f>SUM(D132:BQ132)</f>
        <v>30963.418281508639</v>
      </c>
      <c r="C132" s="144">
        <f>B132/60</f>
        <v>516.05697135847731</v>
      </c>
      <c r="D132" s="164">
        <f>IF(D127&gt;0,0,MAX(D123-D124-D125,0)*Premissas!$B$7)</f>
        <v>0</v>
      </c>
      <c r="E132" s="164">
        <f>IF(E127&gt;0,0,MAX(E123-E124-E125,0)*Premissas!$B$7)</f>
        <v>0</v>
      </c>
      <c r="F132" s="164">
        <f>IF(F127&gt;0,0,MAX(F123-F124-F125,0)*Premissas!$B$7)</f>
        <v>0</v>
      </c>
      <c r="G132" s="164">
        <f>IF(G127&gt;0,0,MAX(G123-G124-G125,0)*Premissas!$B$7)</f>
        <v>0</v>
      </c>
      <c r="H132" s="164">
        <f>IF(H127&gt;0,0,MAX(H123-H124-H125,0)*Premissas!$B$7)</f>
        <v>0</v>
      </c>
      <c r="I132" s="164">
        <f>IF(I127&gt;0,0,MAX(I123-I124-I125,0)*Premissas!$B$7)</f>
        <v>0</v>
      </c>
      <c r="J132" s="164">
        <f>IF(J127&gt;0,0,MAX(J123-J124-J125,0)*Premissas!$B$7)</f>
        <v>0</v>
      </c>
      <c r="K132" s="164">
        <f>IF(K127&gt;0,0,MAX(K123-K124-K125,0)*Premissas!$B$7)</f>
        <v>0</v>
      </c>
      <c r="L132" s="164">
        <f>IF(L127&gt;0,0,MAX(L123-L124-L125,0)*Premissas!$B$7)</f>
        <v>0</v>
      </c>
      <c r="M132" s="164">
        <f>IF(M127&gt;0,0,MAX(M123-M124-M125,0)*Premissas!$B$7)</f>
        <v>0</v>
      </c>
      <c r="N132" s="164">
        <f>IF(N127&gt;0,0,MAX(N123-N124-N125,0)*Premissas!$B$7)</f>
        <v>0</v>
      </c>
      <c r="O132" s="164">
        <f>IF(O127&gt;0,0,MAX(O123-O124-O125,0)*Premissas!$B$7)</f>
        <v>0</v>
      </c>
      <c r="P132" s="164">
        <f>IF(P127&gt;0,0,MAX(P123-P124-P125,0)*Premissas!$B$7)</f>
        <v>0</v>
      </c>
      <c r="Q132" s="164">
        <f>IF(Q127&gt;0,0,MAX(Q123-Q124-Q125,0)*Premissas!$B$7)</f>
        <v>0</v>
      </c>
      <c r="R132" s="164">
        <f>IF(R127&gt;0,0,MAX(R123-R124-R125,0)*Premissas!$B$7)</f>
        <v>0</v>
      </c>
      <c r="S132" s="164">
        <f>IF(S127&gt;0,0,MAX(S123-S124-S125,0)*Premissas!$B$7)</f>
        <v>0</v>
      </c>
      <c r="T132" s="164">
        <f>IF(T127&gt;0,0,MAX(T123-T124-T125,0)*Premissas!$B$7)</f>
        <v>0</v>
      </c>
      <c r="U132" s="164">
        <f>IF(U127&gt;0,0,MAX(U123-U124-U125,0)*Premissas!$B$7)</f>
        <v>0</v>
      </c>
      <c r="V132" s="164">
        <f>IF(V127&gt;0,0,MAX(V123-V124-V125,0)*Premissas!$B$7)</f>
        <v>0</v>
      </c>
      <c r="W132" s="164">
        <f>IF(W127&gt;0,0,MAX(W123-W124-W125,0)*Premissas!$B$7)</f>
        <v>0</v>
      </c>
      <c r="X132" s="164">
        <f>IF(X127&gt;0,0,MAX(X123-X124-X125,0)*Premissas!$B$7)</f>
        <v>0</v>
      </c>
      <c r="Y132" s="164">
        <f>IF(Y127&gt;0,0,MAX(Y123-Y124-Y125,0)*Premissas!$B$7)</f>
        <v>0</v>
      </c>
      <c r="Z132" s="164">
        <f>IF(Z127&gt;0,0,MAX(Z123-Z124-Z125,0)*Premissas!$B$7)</f>
        <v>0</v>
      </c>
      <c r="AA132" s="164">
        <f>IF(AA127&gt;0,0,MAX(AA123-AA124-AA125,0)*Premissas!$B$7)</f>
        <v>0</v>
      </c>
      <c r="AB132" s="164">
        <f>IF(AB127&gt;0,0,MAX(AB123-AB124-AB125,0)*Premissas!$B$7)</f>
        <v>0</v>
      </c>
      <c r="AC132" s="164">
        <f>IF(AC127&gt;0,0,MAX(AC123-AC124-AC125,0)*Premissas!$B$7)</f>
        <v>0</v>
      </c>
      <c r="AD132" s="164">
        <f>IF(AD127&gt;0,0,MAX(AD123-AD124-AD125,0)*Premissas!$B$7)</f>
        <v>0</v>
      </c>
      <c r="AE132" s="164">
        <f>IF(AE127&gt;0,0,MAX(AE123-AE124-AE125,0)*Premissas!$B$7)</f>
        <v>0</v>
      </c>
      <c r="AF132" s="164">
        <f>IF(AF127&gt;0,0,MAX(AF123-AF124-AF125,0)*Premissas!$B$7)</f>
        <v>0</v>
      </c>
      <c r="AG132" s="164">
        <f>IF(AG127&gt;0,0,MAX(AG123-AG124-AG125,0)*Premissas!$B$7)</f>
        <v>0</v>
      </c>
      <c r="AH132" s="164">
        <f>IF(AH127&gt;0,0,MAX(AH123-AH124-AH125,0)*Premissas!$B$7)</f>
        <v>0</v>
      </c>
      <c r="AI132" s="164">
        <f>IF(AI127&gt;0,0,MAX(AI123-AI124-AI125,0)*Premissas!$B$7)</f>
        <v>0</v>
      </c>
      <c r="AJ132" s="164">
        <f>IF(AJ127&gt;0,0,MAX(AJ123-AJ124-AJ125,0)*Premissas!$B$7)</f>
        <v>0</v>
      </c>
      <c r="AK132" s="164">
        <f>IF(AK127&gt;0,0,MAX(AK123-AK124-AK125,0)*Premissas!$B$7)</f>
        <v>0</v>
      </c>
      <c r="AL132" s="164">
        <f>IF(AL127&gt;0,0,MAX(AL123-AL124-AL125,0)*Premissas!$B$7)</f>
        <v>0</v>
      </c>
      <c r="AM132" s="164">
        <f>IF(AM127&gt;0,0,MAX(AM123-AM124-AM125,0)*Premissas!$B$7)</f>
        <v>0</v>
      </c>
      <c r="AN132" s="164">
        <f>IF(AN127&gt;0,0,MAX(AN123-AN124-AN125,0)*Premissas!$B$7)</f>
        <v>0</v>
      </c>
      <c r="AO132" s="164">
        <f>IF(AO127&gt;0,0,MAX(AO123-AO124-AO125,0)*Premissas!$B$7)</f>
        <v>0</v>
      </c>
      <c r="AP132" s="164">
        <f>IF(AP127&gt;0,0,MAX(AP123-AP124-AP125,0)*Premissas!$B$7)</f>
        <v>0</v>
      </c>
      <c r="AQ132" s="164">
        <f>IF(AQ127&gt;0,0,MAX(AQ123-AQ124-AQ125,0)*Premissas!$B$7)</f>
        <v>0</v>
      </c>
      <c r="AR132" s="164">
        <f>IF(AR127&gt;0,0,MAX(AR123-AR124-AR125,0)*Premissas!$B$7)</f>
        <v>0</v>
      </c>
      <c r="AS132" s="164">
        <f>IF(AS127&gt;0,0,MAX(AS123-AS124-AS125,0)*Premissas!$B$7)</f>
        <v>1287.2151291564664</v>
      </c>
      <c r="AT132" s="164">
        <f>IF(AT127&gt;0,0,MAX(AT123-AT124-AT125,0)*Premissas!$B$7)</f>
        <v>2001.7573222906465</v>
      </c>
      <c r="AU132" s="164">
        <f>IF(AU127&gt;0,0,MAX(AU123-AU124-AU125,0)*Premissas!$B$7)</f>
        <v>3642.5650958913834</v>
      </c>
      <c r="AV132" s="164">
        <f>IF(AV127&gt;0,0,MAX(AV123-AV124-AV125,0)*Premissas!$B$7)</f>
        <v>4299.5421812213108</v>
      </c>
      <c r="AW132" s="164">
        <f>IF(AW127&gt;0,0,MAX(AW123-AW124-AW125,0)*Premissas!$B$7)</f>
        <v>2466.8585785093601</v>
      </c>
      <c r="AX132" s="164">
        <f>IF(AX127&gt;0,0,MAX(AX123-AX124-AX125,0)*Premissas!$B$7)</f>
        <v>1811.9317534737468</v>
      </c>
      <c r="AY132" s="164">
        <f>IF(AY127&gt;0,0,MAX(AY123-AY124-AY125,0)*Premissas!$B$7)</f>
        <v>1500.052535458138</v>
      </c>
      <c r="AZ132" s="164">
        <f>IF(AZ127&gt;0,0,MAX(AZ123-AZ124-AZ125,0)*Premissas!$B$7)</f>
        <v>815.97048484603886</v>
      </c>
      <c r="BA132" s="164">
        <f>IF(BA127&gt;0,0,MAX(BA123-BA124-BA125,0)*Premissas!$B$7)</f>
        <v>851.05885012803856</v>
      </c>
      <c r="BB132" s="164">
        <f>IF(BB127&gt;0,0,MAX(BB123-BB124-BB125,0)*Premissas!$B$7)</f>
        <v>806.98596844921951</v>
      </c>
      <c r="BC132" s="164">
        <f>IF(BC127&gt;0,0,MAX(BC123-BC124-BC125,0)*Premissas!$B$7)</f>
        <v>858.32204691557706</v>
      </c>
      <c r="BD132" s="164">
        <f>IF(BD127&gt;0,0,MAX(BD123-BD124-BD125,0)*Premissas!$B$7)</f>
        <v>859.24213150741025</v>
      </c>
      <c r="BE132" s="164">
        <f>IF(BE127&gt;0,0,MAX(BE123-BE124-BE125,0)*Premissas!$B$7)</f>
        <v>1754.3116204284017</v>
      </c>
      <c r="BF132" s="164">
        <f>IF(BF127&gt;0,0,MAX(BF123-BF124-BF125,0)*Premissas!$B$7)</f>
        <v>709.99199078463494</v>
      </c>
      <c r="BG132" s="164">
        <f>IF(BG127&gt;0,0,MAX(BG123-BG124-BG125,0)*Premissas!$B$7)</f>
        <v>2349.2079481888945</v>
      </c>
      <c r="BH132" s="164">
        <f>IF(BH127&gt;0,0,MAX(BH123-BH124-BH125,0)*Premissas!$B$7)</f>
        <v>3172.8338432228147</v>
      </c>
      <c r="BI132" s="164">
        <f>IF(BI127&gt;0,0,MAX(BI123-BI124-BI125,0)*Premissas!$B$7)</f>
        <v>1112.9115242147541</v>
      </c>
      <c r="BJ132" s="164">
        <f>IF(BJ127&gt;0,0,MAX(BJ123-BJ124-BJ125,0)*Premissas!$B$7)</f>
        <v>446.15238975029075</v>
      </c>
      <c r="BK132" s="164">
        <f>IF(BK127&gt;0,0,MAX(BK123-BK124-BK125,0)*Premissas!$B$7)</f>
        <v>216.50688707151019</v>
      </c>
      <c r="BL132" s="164">
        <f>IF(BL127&gt;0,0,MAX(BL123-BL124-BL125,0)*Premissas!$B$7)</f>
        <v>0</v>
      </c>
      <c r="BM132" s="164">
        <f>IF(BM127&gt;0,0,MAX(BM123-BM124-BM125,0)*Premissas!$B$7)</f>
        <v>0</v>
      </c>
      <c r="BN132" s="164">
        <f>IF(BN127&gt;0,0,MAX(BN123-BN124-BN125,0)*Premissas!$B$7)</f>
        <v>0</v>
      </c>
      <c r="BO132" s="164">
        <f>IF(BO127&gt;0,0,MAX(BO123-BO124-BO125,0)*Premissas!$B$7)</f>
        <v>0</v>
      </c>
      <c r="BP132" s="164">
        <f>IF(BP127&gt;0,0,MAX(BP123-BP124-BP125,0)*Premissas!$B$7)</f>
        <v>0</v>
      </c>
      <c r="BQ132" s="164">
        <f>IF(BQ127&gt;0,0,MAX(BQ123-BQ124-BQ125,0)*Premissas!$B$7)</f>
        <v>0</v>
      </c>
      <c r="BR132" s="164">
        <f>IF(BR127&gt;0,0,MAX(BR123-BR124-BR125,0)*Premissas!$B$7)</f>
        <v>0</v>
      </c>
      <c r="BS132" s="164">
        <f>IF(BS127&gt;0,0,MAX(BS123-BS124-BS125,0)*Premissas!$B$7)</f>
        <v>0</v>
      </c>
      <c r="BT132" s="164">
        <f>IF(BT127&gt;0,0,MAX(BT123-BT124-BT125,0)*Premissas!$B$7)</f>
        <v>918.53900436376261</v>
      </c>
      <c r="BU132" s="164">
        <f>IF(BU127&gt;0,0,MAX(BU123-BU124-BU125,0)*Premissas!$B$7)</f>
        <v>133.1956338063361</v>
      </c>
      <c r="BV132" s="164">
        <f>IF(BV127&gt;0,0,MAX(BV123-BV124-BV125,0)*Premissas!$B$7)</f>
        <v>0</v>
      </c>
      <c r="BW132" s="164">
        <f>IF(BW127&gt;0,0,MAX(BW123-BW124-BW125,0)*Premissas!$B$7)</f>
        <v>0</v>
      </c>
      <c r="BX132" s="164">
        <f>IF(BX127&gt;0,0,MAX(BX123-BX124-BX125,0)*Premissas!$B$7)</f>
        <v>0</v>
      </c>
      <c r="BY132" s="164">
        <f>IF(BY127&gt;0,0,MAX(BY123-BY124-BY125,0)*Premissas!$B$7)</f>
        <v>0</v>
      </c>
      <c r="BZ132" s="164">
        <f>IF(BZ127&gt;0,0,MAX(BZ123-BZ124-BZ125,0)*Premissas!$B$7)</f>
        <v>0</v>
      </c>
      <c r="CA132" s="164">
        <f>IF(CA127&gt;0,0,MAX(CA123-CA124-CA125,0)*Premissas!$B$7)</f>
        <v>0</v>
      </c>
      <c r="CB132" s="164">
        <f>IF(CB127&gt;0,0,MAX(CB123-CB124-CB125,0)*Premissas!$B$7)</f>
        <v>0</v>
      </c>
      <c r="CC132" s="164">
        <f>IF(CC127&gt;0,0,MAX(CC123-CC124-CC125,0)*Premissas!$B$7)</f>
        <v>0</v>
      </c>
      <c r="CD132" s="164">
        <f>IF(CD127&gt;0,0,MAX(CD123-CD124-CD125,0)*Premissas!$B$7)</f>
        <v>0</v>
      </c>
      <c r="CE132" s="164">
        <f>IF(CE127&gt;0,0,MAX(CE123-CE124-CE125,0)*Premissas!$B$7)</f>
        <v>0</v>
      </c>
      <c r="CF132" s="164">
        <f>IF(CF127&gt;0,0,MAX(CF123-CF124-CF125,0)*Premissas!$B$7)</f>
        <v>778.47804186896497</v>
      </c>
      <c r="CG132" s="164">
        <f>IF(CG127&gt;0,0,MAX(CG123-CG124-CG125,0)*Premissas!$B$7)</f>
        <v>265.88334390832125</v>
      </c>
      <c r="CH132" s="164">
        <f>IF(CH127&gt;0,0,MAX(CH123-CH124-CH125,0)*Premissas!$B$7)</f>
        <v>0</v>
      </c>
      <c r="CI132" s="164">
        <f>IF(CI127&gt;0,0,MAX(CI123-CI124-CI125,0)*Premissas!$B$7)</f>
        <v>0</v>
      </c>
      <c r="CJ132" s="164">
        <f>IF(CJ127&gt;0,0,MAX(CJ123-CJ124-CJ125,0)*Premissas!$B$7)</f>
        <v>0</v>
      </c>
      <c r="CK132" s="164">
        <f>IF(CK127&gt;0,0,MAX(CK123-CK124-CK125,0)*Premissas!$B$7)</f>
        <v>0</v>
      </c>
      <c r="CL132" s="164">
        <f>IF(CL127&gt;0,0,MAX(CL123-CL124-CL125,0)*Premissas!$B$7)</f>
        <v>0</v>
      </c>
      <c r="CM132" s="164">
        <f>IF(CM127&gt;0,0,MAX(CM123-CM124-CM125,0)*Premissas!$B$7)</f>
        <v>0</v>
      </c>
      <c r="CN132" s="164">
        <f>IF(CN127&gt;0,0,MAX(CN123-CN124-CN125,0)*Premissas!$B$7)</f>
        <v>0</v>
      </c>
      <c r="CO132" s="164">
        <f>IF(CO127&gt;0,0,MAX(CO123-CO124-CO125,0)*Premissas!$B$7)</f>
        <v>0</v>
      </c>
      <c r="CP132" s="164">
        <f>IF(CP127&gt;0,0,MAX(CP123-CP124-CP125,0)*Premissas!$B$7)</f>
        <v>0</v>
      </c>
      <c r="CQ132" s="164">
        <f>IF(CQ127&gt;0,0,MAX(CQ123-CQ124-CQ125,0)*Premissas!$B$7)</f>
        <v>0</v>
      </c>
      <c r="CR132" s="164">
        <f>IF(CR127&gt;0,0,MAX(CR123-CR124-CR125,0)*Premissas!$B$7)</f>
        <v>2153.9418238745352</v>
      </c>
      <c r="CS132" s="164">
        <f>IF(CS127&gt;0,0,MAX(CS123-CS124-CS125,0)*Premissas!$B$7)</f>
        <v>400.91217017253854</v>
      </c>
      <c r="CT132" s="164">
        <f>IF(CT127&gt;0,0,MAX(CT123-CT124-CT125,0)*Premissas!$B$7)</f>
        <v>0</v>
      </c>
      <c r="CU132" s="164">
        <f>IF(CU127&gt;0,0,MAX(CU123-CU124-CU125,0)*Premissas!$B$7)</f>
        <v>0</v>
      </c>
      <c r="CV132" s="164">
        <f>IF(CV127&gt;0,0,MAX(CV123-CV124-CV125,0)*Premissas!$B$7)</f>
        <v>0</v>
      </c>
      <c r="CW132" s="164">
        <f>IF(CW127&gt;0,0,MAX(CW123-CW124-CW125,0)*Premissas!$B$7)</f>
        <v>0</v>
      </c>
      <c r="CX132" s="164">
        <f>IF(CX127&gt;0,0,MAX(CX123-CX124-CX125,0)*Premissas!$B$7)</f>
        <v>0</v>
      </c>
      <c r="CY132" s="164">
        <f>IF(CY127&gt;0,0,MAX(CY123-CY124-CY125,0)*Premissas!$B$7)</f>
        <v>0</v>
      </c>
      <c r="CZ132" s="164">
        <f>IF(CZ127&gt;0,0,MAX(CZ123-CZ124-CZ125,0)*Premissas!$B$7)</f>
        <v>0</v>
      </c>
      <c r="DA132" s="164">
        <f>IF(DA127&gt;0,0,MAX(DA123-DA124-DA125,0)*Premissas!$B$7)</f>
        <v>0</v>
      </c>
      <c r="DB132" s="164">
        <f>IF(DB127&gt;0,0,MAX(DB123-DB124-DB125,0)*Premissas!$B$7)</f>
        <v>3069.6241979863976</v>
      </c>
      <c r="DC132" s="164">
        <f>IF(DC127&gt;0,0,MAX(DC123-DC124-DC125,0)*Premissas!$B$7)</f>
        <v>6390.514798395352</v>
      </c>
      <c r="DD132" s="164">
        <f>IF(DD127&gt;0,0,MAX(DD123-DD124-DD125,0)*Premissas!$B$7)</f>
        <v>6886.8093039188143</v>
      </c>
      <c r="DE132" s="164">
        <f>IF(DE127&gt;0,0,MAX(DE123-DE124-DE125,0)*Premissas!$B$7)</f>
        <v>5111.0236023371954</v>
      </c>
      <c r="DF132" s="164">
        <f>IF(DF127&gt;0,0,MAX(DF123-DF124-DF125,0)*Premissas!$B$7)</f>
        <v>4364.8465485781435</v>
      </c>
      <c r="DG132" s="164">
        <f>IF(DG127&gt;0,0,MAX(DG123-DG124-DG125,0)*Premissas!$B$7)</f>
        <v>3863.9245884577258</v>
      </c>
      <c r="DH132" s="164">
        <f>IF(DH127&gt;0,0,MAX(DH123-DH124-DH125,0)*Premissas!$B$7)</f>
        <v>3802.6108150480673</v>
      </c>
      <c r="DI132" s="164">
        <f>IF(DI127&gt;0,0,MAX(DI123-DI124-DI125,0)*Premissas!$B$7)</f>
        <v>3993.4933171724756</v>
      </c>
      <c r="DJ132" s="164">
        <f>IF(DJ127&gt;0,0,MAX(DJ123-DJ124-DJ125,0)*Premissas!$B$7)</f>
        <v>4551.1015961055964</v>
      </c>
      <c r="DK132" s="164">
        <f>IF(DK127&gt;0,0,MAX(DK123-DK124-DK125,0)*Premissas!$B$7)</f>
        <v>4384.5132306152036</v>
      </c>
      <c r="DL132" s="164">
        <f>IF(DL127&gt;0,0,MAX(DL123-DL124-DL125,0)*Premissas!$B$7)</f>
        <v>4480.5329135020274</v>
      </c>
      <c r="DM132" s="164">
        <f>IF(DM127&gt;0,0,MAX(DM123-DM124-DM125,0)*Premissas!$B$7)</f>
        <v>5377.1022416621281</v>
      </c>
      <c r="DN132" s="164">
        <f>IF(DN127&gt;0,0,MAX(DN123-DN124-DN125,0)*Premissas!$B$7)</f>
        <v>4575.395732739612</v>
      </c>
      <c r="DO132" s="164">
        <f>IF(DO127&gt;0,0,MAX(DO123-DO124-DO125,0)*Premissas!$B$7)</f>
        <v>6550.1619819903117</v>
      </c>
      <c r="DP132" s="164">
        <f>IF(DP127&gt;0,0,MAX(DP123-DP124-DP125,0)*Premissas!$B$7)</f>
        <v>7059.1819876554018</v>
      </c>
      <c r="DQ132" s="164">
        <f>IF(DQ127&gt;0,0,MAX(DQ123-DQ124-DQ125,0)*Premissas!$B$7)</f>
        <v>5238.2786037534679</v>
      </c>
      <c r="DR132" s="164">
        <f>IF(DR127&gt;0,0,MAX(DR123-DR124-DR125,0)*Premissas!$B$7)</f>
        <v>4474.7485952558327</v>
      </c>
      <c r="DS132" s="164">
        <f>IF(DS127&gt;0,0,MAX(DS123-DS124-DS125,0)*Premissas!$B$7)</f>
        <v>3959.9442713445492</v>
      </c>
    </row>
    <row r="133" spans="1:123" ht="13.5" customHeight="1" x14ac:dyDescent="0.35">
      <c r="A133" s="39" t="s">
        <v>499</v>
      </c>
      <c r="B133" s="42">
        <f>SUM(D133:BQ133)</f>
        <v>184672.26397293364</v>
      </c>
      <c r="C133" s="144">
        <f>B133/60</f>
        <v>3077.8710662155604</v>
      </c>
      <c r="D133" s="165">
        <f t="shared" ref="D133:AI133" si="238">MAX(D131-D132,0)</f>
        <v>2435.8920998373019</v>
      </c>
      <c r="E133" s="165">
        <f t="shared" si="238"/>
        <v>2558.0569011969233</v>
      </c>
      <c r="F133" s="165">
        <f t="shared" si="238"/>
        <v>2915.296396081877</v>
      </c>
      <c r="G133" s="165">
        <f t="shared" si="238"/>
        <v>2808.8649403519039</v>
      </c>
      <c r="H133" s="165">
        <f t="shared" si="238"/>
        <v>2869.9473410317146</v>
      </c>
      <c r="I133" s="165">
        <f t="shared" si="238"/>
        <v>3444.6772019735704</v>
      </c>
      <c r="J133" s="165">
        <f t="shared" si="238"/>
        <v>2931.0297417115253</v>
      </c>
      <c r="K133" s="165">
        <f t="shared" si="238"/>
        <v>4196.1758285191208</v>
      </c>
      <c r="L133" s="165">
        <f t="shared" si="238"/>
        <v>4521.9486321447785</v>
      </c>
      <c r="M133" s="165">
        <f t="shared" si="238"/>
        <v>3355.8300737120276</v>
      </c>
      <c r="N133" s="165">
        <f t="shared" si="238"/>
        <v>2866.2453773541502</v>
      </c>
      <c r="O133" s="165">
        <f t="shared" si="238"/>
        <v>2536.7706100509286</v>
      </c>
      <c r="P133" s="165">
        <f t="shared" si="238"/>
        <v>2496.9745005171126</v>
      </c>
      <c r="Q133" s="165">
        <f t="shared" si="238"/>
        <v>2621.9157746349074</v>
      </c>
      <c r="R133" s="165">
        <f t="shared" si="238"/>
        <v>2988.410178713772</v>
      </c>
      <c r="S133" s="165">
        <f t="shared" si="238"/>
        <v>2879.2022502256254</v>
      </c>
      <c r="T133" s="165">
        <f t="shared" si="238"/>
        <v>2942.1356327442181</v>
      </c>
      <c r="U133" s="165">
        <f t="shared" si="238"/>
        <v>3530.7478574769402</v>
      </c>
      <c r="V133" s="165">
        <f t="shared" si="238"/>
        <v>3004.1435243434198</v>
      </c>
      <c r="W133" s="165">
        <f t="shared" si="238"/>
        <v>4196.1758285191208</v>
      </c>
      <c r="X133" s="165">
        <f t="shared" si="238"/>
        <v>4521.9486321447785</v>
      </c>
      <c r="Y133" s="165">
        <f t="shared" si="238"/>
        <v>3355.8300737120276</v>
      </c>
      <c r="Z133" s="165">
        <f t="shared" si="238"/>
        <v>2866.2453773541502</v>
      </c>
      <c r="AA133" s="165">
        <f t="shared" si="238"/>
        <v>2536.7706100509286</v>
      </c>
      <c r="AB133" s="165">
        <f t="shared" si="238"/>
        <v>2558.9823921163143</v>
      </c>
      <c r="AC133" s="165">
        <f t="shared" si="238"/>
        <v>2687.6256299116735</v>
      </c>
      <c r="AD133" s="165">
        <f t="shared" si="238"/>
        <v>3062.4494522650575</v>
      </c>
      <c r="AE133" s="165">
        <f t="shared" si="238"/>
        <v>2951.390541938129</v>
      </c>
      <c r="AF133" s="165">
        <f t="shared" si="238"/>
        <v>3015.2494153761127</v>
      </c>
      <c r="AG133" s="165">
        <f t="shared" si="238"/>
        <v>3618.6694948190921</v>
      </c>
      <c r="AH133" s="165">
        <f t="shared" si="238"/>
        <v>3079.1082888140968</v>
      </c>
      <c r="AI133" s="165">
        <f t="shared" si="238"/>
        <v>4409.038739979067</v>
      </c>
      <c r="AJ133" s="165">
        <f t="shared" ref="AJ133:BO133" si="239">MAX(AJ131-AJ132,0)</f>
        <v>4750.5448892343729</v>
      </c>
      <c r="AK133" s="165">
        <f t="shared" si="239"/>
        <v>3526.1204028799848</v>
      </c>
      <c r="AL133" s="165">
        <f t="shared" si="239"/>
        <v>3011.5474516985487</v>
      </c>
      <c r="AM133" s="165">
        <f t="shared" si="239"/>
        <v>2665.4138478462878</v>
      </c>
      <c r="AN133" s="165">
        <f t="shared" si="239"/>
        <v>2622.8412655542984</v>
      </c>
      <c r="AO133" s="165">
        <f t="shared" si="239"/>
        <v>2755.1864670272216</v>
      </c>
      <c r="AP133" s="165">
        <f t="shared" si="239"/>
        <v>3139.2651985745165</v>
      </c>
      <c r="AQ133" s="165">
        <f t="shared" si="239"/>
        <v>3024.5043245700235</v>
      </c>
      <c r="AR133" s="165">
        <f t="shared" si="239"/>
        <v>3090.2141798467896</v>
      </c>
      <c r="AS133" s="165">
        <f t="shared" si="239"/>
        <v>2422.1524757629504</v>
      </c>
      <c r="AT133" s="165">
        <f t="shared" si="239"/>
        <v>1155.0922037523003</v>
      </c>
      <c r="AU133" s="165">
        <f t="shared" si="239"/>
        <v>876.60706349522161</v>
      </c>
      <c r="AV133" s="165">
        <f t="shared" si="239"/>
        <v>570.39103661451009</v>
      </c>
      <c r="AW133" s="165">
        <f t="shared" si="239"/>
        <v>1147.1834617127765</v>
      </c>
      <c r="AX133" s="165">
        <f t="shared" si="239"/>
        <v>1274.5804626954784</v>
      </c>
      <c r="AY133" s="165">
        <f t="shared" si="239"/>
        <v>1231.9966585843069</v>
      </c>
      <c r="AZ133" s="165">
        <f t="shared" si="239"/>
        <v>1872.5806359850258</v>
      </c>
      <c r="BA133" s="165">
        <f t="shared" si="239"/>
        <v>1972.6139449341222</v>
      </c>
      <c r="BB133" s="165">
        <f t="shared" si="239"/>
        <v>2410.9459582735381</v>
      </c>
      <c r="BC133" s="165">
        <f t="shared" si="239"/>
        <v>2242.0725330445143</v>
      </c>
      <c r="BD133" s="165">
        <f t="shared" si="239"/>
        <v>2308.7132855682294</v>
      </c>
      <c r="BE133" s="165">
        <f t="shared" si="239"/>
        <v>2047.6050764301224</v>
      </c>
      <c r="BF133" s="165">
        <f t="shared" si="239"/>
        <v>2525.5242634065535</v>
      </c>
      <c r="BG133" s="165">
        <f t="shared" si="239"/>
        <v>2282.874103363421</v>
      </c>
      <c r="BH133" s="165">
        <f t="shared" si="239"/>
        <v>1818.338685053237</v>
      </c>
      <c r="BI133" s="165">
        <f t="shared" si="239"/>
        <v>2590.9031351883164</v>
      </c>
      <c r="BJ133" s="165">
        <f t="shared" si="239"/>
        <v>2718.1010636477849</v>
      </c>
      <c r="BK133" s="165">
        <f t="shared" si="239"/>
        <v>2584.0286350058736</v>
      </c>
      <c r="BL133" s="165">
        <f t="shared" si="239"/>
        <v>2756.1119579466126</v>
      </c>
      <c r="BM133" s="165">
        <f t="shared" si="239"/>
        <v>2894.0101049358823</v>
      </c>
      <c r="BN133" s="165">
        <f t="shared" si="239"/>
        <v>3298.4496367097809</v>
      </c>
      <c r="BO133" s="165">
        <f t="shared" si="239"/>
        <v>3178.1358171889415</v>
      </c>
      <c r="BP133" s="165">
        <f t="shared" ref="BP133:CU133" si="240">MAX(BP131-BP132,0)</f>
        <v>3246.622145223881</v>
      </c>
      <c r="BQ133" s="165">
        <f t="shared" si="240"/>
        <v>3897.2422615558044</v>
      </c>
      <c r="BR133" s="165">
        <f t="shared" si="240"/>
        <v>3316.0339641782111</v>
      </c>
      <c r="BS133" s="165">
        <f t="shared" si="240"/>
        <v>4747.7684164761995</v>
      </c>
      <c r="BT133" s="165">
        <f t="shared" si="240"/>
        <v>4197.5747980300839</v>
      </c>
      <c r="BU133" s="165">
        <f t="shared" si="240"/>
        <v>3663.1681175358417</v>
      </c>
      <c r="BV133" s="165">
        <f t="shared" si="240"/>
        <v>3242.9201815463166</v>
      </c>
      <c r="BW133" s="165">
        <f t="shared" si="240"/>
        <v>2869.9473410317146</v>
      </c>
      <c r="BX133" s="165">
        <f t="shared" si="240"/>
        <v>2824.5982859815522</v>
      </c>
      <c r="BY133" s="165">
        <f t="shared" si="240"/>
        <v>2966.1983966483858</v>
      </c>
      <c r="BZ133" s="165">
        <f t="shared" si="240"/>
        <v>3380.8183285355863</v>
      </c>
      <c r="CA133" s="165">
        <f t="shared" si="240"/>
        <v>3257.7280362565739</v>
      </c>
      <c r="CB133" s="165">
        <f t="shared" si="240"/>
        <v>3328.0653461302954</v>
      </c>
      <c r="CC133" s="165">
        <f t="shared" si="240"/>
        <v>3994.418808091867</v>
      </c>
      <c r="CD133" s="165">
        <f t="shared" si="240"/>
        <v>3399.328146923408</v>
      </c>
      <c r="CE133" s="165">
        <f t="shared" si="240"/>
        <v>4866.2312541582569</v>
      </c>
      <c r="CF133" s="165">
        <f t="shared" si="240"/>
        <v>4465.3535074008496</v>
      </c>
      <c r="CG133" s="165">
        <f t="shared" si="240"/>
        <v>3625.8059721311365</v>
      </c>
      <c r="CH133" s="165">
        <f t="shared" si="240"/>
        <v>3324.363382452731</v>
      </c>
      <c r="CI133" s="165">
        <f t="shared" si="240"/>
        <v>2942.1356327442181</v>
      </c>
      <c r="CJ133" s="165">
        <f t="shared" si="240"/>
        <v>2895.8610867746647</v>
      </c>
      <c r="CK133" s="165">
        <f t="shared" si="240"/>
        <v>3041.1631611190628</v>
      </c>
      <c r="CL133" s="165">
        <f t="shared" si="240"/>
        <v>3465.0380022001741</v>
      </c>
      <c r="CM133" s="165">
        <f t="shared" si="240"/>
        <v>3339.1712371629883</v>
      </c>
      <c r="CN133" s="165">
        <f t="shared" si="240"/>
        <v>3411.3595288754918</v>
      </c>
      <c r="CO133" s="165">
        <f t="shared" si="240"/>
        <v>4094.3718273861027</v>
      </c>
      <c r="CP133" s="165">
        <f t="shared" si="240"/>
        <v>3484.4733115073864</v>
      </c>
      <c r="CQ133" s="165">
        <f t="shared" si="240"/>
        <v>4988.3960555178783</v>
      </c>
      <c r="CR133" s="165">
        <f t="shared" si="240"/>
        <v>3221.3094359488118</v>
      </c>
      <c r="CS133" s="165">
        <f t="shared" si="240"/>
        <v>3587.9536924029821</v>
      </c>
      <c r="CT133" s="165">
        <f t="shared" si="240"/>
        <v>3406.7320742785364</v>
      </c>
      <c r="CU133" s="165">
        <f t="shared" si="240"/>
        <v>3015.2494153761127</v>
      </c>
      <c r="CV133" s="165">
        <f t="shared" ref="CV133:DS133" si="241">MAX(CV131-CV132,0)</f>
        <v>2968.0493784871683</v>
      </c>
      <c r="CW133" s="165">
        <f t="shared" si="241"/>
        <v>3117.0534165091308</v>
      </c>
      <c r="CX133" s="165">
        <f t="shared" si="241"/>
        <v>3552.0341486229345</v>
      </c>
      <c r="CY133" s="165">
        <f t="shared" si="241"/>
        <v>3422.4654199081847</v>
      </c>
      <c r="CZ133" s="165">
        <f t="shared" si="241"/>
        <v>3496.5046934594702</v>
      </c>
      <c r="DA133" s="165">
        <f t="shared" si="241"/>
        <v>4197.1013194385123</v>
      </c>
      <c r="DB133" s="165">
        <f t="shared" si="241"/>
        <v>501.84525994374962</v>
      </c>
      <c r="DC133" s="165">
        <f t="shared" si="241"/>
        <v>0</v>
      </c>
      <c r="DD133" s="165">
        <f t="shared" si="241"/>
        <v>0</v>
      </c>
      <c r="DE133" s="165">
        <f t="shared" si="241"/>
        <v>0</v>
      </c>
      <c r="DF133" s="165">
        <f t="shared" si="241"/>
        <v>0</v>
      </c>
      <c r="DG133" s="165">
        <f t="shared" si="241"/>
        <v>0</v>
      </c>
      <c r="DH133" s="165">
        <f t="shared" si="241"/>
        <v>0</v>
      </c>
      <c r="DI133" s="165">
        <f t="shared" si="241"/>
        <v>0</v>
      </c>
      <c r="DJ133" s="165">
        <f t="shared" si="241"/>
        <v>0</v>
      </c>
      <c r="DK133" s="165">
        <f t="shared" si="241"/>
        <v>0</v>
      </c>
      <c r="DL133" s="165">
        <f t="shared" si="241"/>
        <v>0</v>
      </c>
      <c r="DM133" s="165">
        <f t="shared" si="241"/>
        <v>0</v>
      </c>
      <c r="DN133" s="165">
        <f t="shared" si="241"/>
        <v>0</v>
      </c>
      <c r="DO133" s="165">
        <f t="shared" si="241"/>
        <v>0</v>
      </c>
      <c r="DP133" s="165">
        <f t="shared" si="241"/>
        <v>0</v>
      </c>
      <c r="DQ133" s="165">
        <f t="shared" si="241"/>
        <v>0</v>
      </c>
      <c r="DR133" s="165">
        <f t="shared" si="241"/>
        <v>0</v>
      </c>
      <c r="DS133" s="165">
        <f t="shared" si="241"/>
        <v>0</v>
      </c>
    </row>
    <row r="135" spans="1:123" ht="15" customHeight="1" x14ac:dyDescent="0.35">
      <c r="A135" s="289" t="s">
        <v>510</v>
      </c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289"/>
      <c r="W135" s="289"/>
      <c r="X135" s="289"/>
      <c r="Y135" s="289"/>
      <c r="Z135" s="289"/>
      <c r="AA135" s="289"/>
    </row>
    <row r="136" spans="1:123" ht="12.75" customHeight="1" x14ac:dyDescent="0.35">
      <c r="A136" s="166" t="s">
        <v>486</v>
      </c>
      <c r="B136" s="167">
        <f>SUM(D136:BQ136)</f>
        <v>168336</v>
      </c>
      <c r="C136" s="139">
        <f>B136/60</f>
        <v>2805.6</v>
      </c>
      <c r="D136" s="167">
        <v>1362</v>
      </c>
      <c r="E136" s="167">
        <v>1317</v>
      </c>
      <c r="F136" s="167">
        <v>1448</v>
      </c>
      <c r="G136" s="167">
        <v>2469</v>
      </c>
      <c r="H136" s="167">
        <v>2593</v>
      </c>
      <c r="I136" s="167">
        <v>2090</v>
      </c>
      <c r="J136" s="167">
        <v>3227</v>
      </c>
      <c r="K136" s="167">
        <v>3454</v>
      </c>
      <c r="L136" s="167">
        <v>3479</v>
      </c>
      <c r="M136" s="167">
        <v>3363</v>
      </c>
      <c r="N136" s="167">
        <v>2574</v>
      </c>
      <c r="O136" s="167">
        <v>2294</v>
      </c>
      <c r="P136" s="167">
        <v>1396</v>
      </c>
      <c r="Q136" s="167">
        <v>1350</v>
      </c>
      <c r="R136" s="167">
        <v>1484</v>
      </c>
      <c r="S136" s="167">
        <v>2531</v>
      </c>
      <c r="T136" s="167">
        <v>2658</v>
      </c>
      <c r="U136" s="167">
        <v>2142</v>
      </c>
      <c r="V136" s="167">
        <v>3308</v>
      </c>
      <c r="W136" s="167">
        <v>3454</v>
      </c>
      <c r="X136" s="167">
        <v>3479</v>
      </c>
      <c r="Y136" s="167">
        <v>3363</v>
      </c>
      <c r="Z136" s="167">
        <v>2574</v>
      </c>
      <c r="AA136" s="167">
        <v>2294</v>
      </c>
      <c r="AB136" s="167">
        <v>1431</v>
      </c>
      <c r="AC136" s="167">
        <v>1384</v>
      </c>
      <c r="AD136" s="167">
        <v>1521</v>
      </c>
      <c r="AE136" s="167">
        <v>2594</v>
      </c>
      <c r="AF136" s="167">
        <v>2724</v>
      </c>
      <c r="AG136" s="167">
        <v>2196</v>
      </c>
      <c r="AH136" s="167">
        <v>3390</v>
      </c>
      <c r="AI136" s="167">
        <v>3629</v>
      </c>
      <c r="AJ136" s="167">
        <v>3655</v>
      </c>
      <c r="AK136" s="167">
        <v>3533</v>
      </c>
      <c r="AL136" s="167">
        <v>2704</v>
      </c>
      <c r="AM136" s="167">
        <v>2410</v>
      </c>
      <c r="AN136" s="167">
        <v>1467</v>
      </c>
      <c r="AO136" s="167">
        <v>1418</v>
      </c>
      <c r="AP136" s="167">
        <v>1559</v>
      </c>
      <c r="AQ136" s="167">
        <v>2659</v>
      </c>
      <c r="AR136" s="167">
        <v>2792</v>
      </c>
      <c r="AS136" s="167">
        <v>2251</v>
      </c>
      <c r="AT136" s="167">
        <v>3475</v>
      </c>
      <c r="AU136" s="167">
        <v>3720</v>
      </c>
      <c r="AV136" s="167">
        <v>3747</v>
      </c>
      <c r="AW136" s="167">
        <v>3622</v>
      </c>
      <c r="AX136" s="167">
        <v>2772</v>
      </c>
      <c r="AY136" s="167">
        <v>2470</v>
      </c>
      <c r="AZ136" s="167">
        <v>1503</v>
      </c>
      <c r="BA136" s="167">
        <v>1454</v>
      </c>
      <c r="BB136" s="167">
        <v>1598</v>
      </c>
      <c r="BC136" s="167">
        <v>2725</v>
      </c>
      <c r="BD136" s="167">
        <v>2862</v>
      </c>
      <c r="BE136" s="167">
        <v>2307</v>
      </c>
      <c r="BF136" s="167">
        <v>3562</v>
      </c>
      <c r="BG136" s="167">
        <v>3813</v>
      </c>
      <c r="BH136" s="167">
        <v>3840</v>
      </c>
      <c r="BI136" s="167">
        <v>3712</v>
      </c>
      <c r="BJ136" s="167">
        <v>2841</v>
      </c>
      <c r="BK136" s="167">
        <v>2532</v>
      </c>
      <c r="BL136" s="167">
        <v>1541</v>
      </c>
      <c r="BM136" s="167">
        <v>1490</v>
      </c>
      <c r="BN136" s="167">
        <v>1638</v>
      </c>
      <c r="BO136" s="167">
        <v>2793</v>
      </c>
      <c r="BP136" s="167">
        <v>2934</v>
      </c>
      <c r="BQ136" s="167">
        <v>2365</v>
      </c>
      <c r="BR136" s="167">
        <v>3651</v>
      </c>
      <c r="BS136" s="167">
        <v>3908</v>
      </c>
      <c r="BT136" s="167">
        <v>3936</v>
      </c>
      <c r="BU136" s="167">
        <v>3805</v>
      </c>
      <c r="BV136" s="167">
        <v>2912</v>
      </c>
      <c r="BW136" s="167">
        <v>2595</v>
      </c>
      <c r="BX136" s="167">
        <v>1580</v>
      </c>
      <c r="BY136" s="167">
        <v>1527</v>
      </c>
      <c r="BZ136" s="167">
        <v>1679</v>
      </c>
      <c r="CA136" s="167">
        <v>2863</v>
      </c>
      <c r="CB136" s="167">
        <v>3007</v>
      </c>
      <c r="CC136" s="167">
        <v>2424</v>
      </c>
      <c r="CD136" s="167">
        <v>3742</v>
      </c>
      <c r="CE136" s="167">
        <v>4006</v>
      </c>
      <c r="CF136" s="167">
        <v>4035</v>
      </c>
      <c r="CG136" s="167">
        <v>3900</v>
      </c>
      <c r="CH136" s="167">
        <v>2985</v>
      </c>
      <c r="CI136" s="167">
        <v>2660</v>
      </c>
      <c r="CJ136" s="167">
        <v>1619</v>
      </c>
      <c r="CK136" s="167">
        <v>1565</v>
      </c>
      <c r="CL136" s="167">
        <v>1721</v>
      </c>
      <c r="CM136" s="167">
        <v>2935</v>
      </c>
      <c r="CN136" s="167">
        <v>3082</v>
      </c>
      <c r="CO136" s="167">
        <v>2484</v>
      </c>
      <c r="CP136" s="167">
        <v>3836</v>
      </c>
      <c r="CQ136" s="167">
        <v>4106</v>
      </c>
      <c r="CR136" s="167">
        <v>4135</v>
      </c>
      <c r="CS136" s="167">
        <v>3998</v>
      </c>
      <c r="CT136" s="167">
        <v>3060</v>
      </c>
      <c r="CU136" s="167">
        <v>2727</v>
      </c>
      <c r="CV136" s="167">
        <v>1659</v>
      </c>
      <c r="CW136" s="167">
        <v>1605</v>
      </c>
      <c r="CX136" s="167">
        <v>1764</v>
      </c>
      <c r="CY136" s="167">
        <v>3008</v>
      </c>
      <c r="CZ136" s="167">
        <v>3159</v>
      </c>
      <c r="DA136" s="167">
        <v>2546</v>
      </c>
      <c r="DB136" s="167">
        <v>3932</v>
      </c>
      <c r="DC136" s="167">
        <v>4208</v>
      </c>
      <c r="DD136" s="167">
        <v>4239</v>
      </c>
      <c r="DE136" s="167">
        <v>4097</v>
      </c>
      <c r="DF136" s="167">
        <v>3136</v>
      </c>
      <c r="DG136" s="167">
        <v>2795</v>
      </c>
      <c r="DH136" s="167">
        <v>1701</v>
      </c>
      <c r="DI136" s="167">
        <v>1645</v>
      </c>
      <c r="DJ136" s="167">
        <v>1808</v>
      </c>
      <c r="DK136" s="167">
        <v>3083</v>
      </c>
      <c r="DL136" s="167">
        <v>3238</v>
      </c>
      <c r="DM136" s="167">
        <v>2610</v>
      </c>
      <c r="DN136" s="167">
        <v>4030</v>
      </c>
      <c r="DO136" s="167">
        <v>4314</v>
      </c>
      <c r="DP136" s="167">
        <v>4345</v>
      </c>
      <c r="DQ136" s="167">
        <v>4200</v>
      </c>
      <c r="DR136" s="167">
        <v>3215</v>
      </c>
      <c r="DS136" s="167">
        <v>2865</v>
      </c>
    </row>
    <row r="137" spans="1:123" ht="12.75" customHeight="1" x14ac:dyDescent="0.35">
      <c r="A137" s="142" t="str">
        <f>"  "&amp;INDEX(PVSYST_Helexia!$A$5:$A$7,MATCH(Premissas!$B$13,PVSYST_Helexia!$B$5:$B$7,0))&amp;" créditos recebidos (kWh)"</f>
        <v xml:space="preserve">  HCS03 créditos recebidos (kWh)</v>
      </c>
      <c r="B137" s="155">
        <f>SUM(D137:BQ137)</f>
        <v>169823.63637008306</v>
      </c>
      <c r="C137" s="139">
        <f>B137/60</f>
        <v>2830.3939395013845</v>
      </c>
      <c r="D137" s="156">
        <f>D6*Premissas!$B$42</f>
        <v>1500.279</v>
      </c>
      <c r="E137" s="156">
        <f>E6*Premissas!$B$42</f>
        <v>1579.1709999999998</v>
      </c>
      <c r="F137" s="156">
        <f>F6*Premissas!$B$42</f>
        <v>1895.7069999999999</v>
      </c>
      <c r="G137" s="156">
        <f>G6*Premissas!$B$42</f>
        <v>1778.8209999999999</v>
      </c>
      <c r="H137" s="156">
        <f>H6*Premissas!$C$42</f>
        <v>4471.9679999999998</v>
      </c>
      <c r="I137" s="156">
        <f>I6*Premissas!$C$42</f>
        <v>4323.9679999999998</v>
      </c>
      <c r="J137" s="156">
        <f>J6*Premissas!$C$42</f>
        <v>4105.8159999999998</v>
      </c>
      <c r="K137" s="156">
        <f>K6*Premissas!$C$42</f>
        <v>4215.7592800000002</v>
      </c>
      <c r="L137" s="156">
        <f>L6*Premissas!$C$42</f>
        <v>3756.6026000000002</v>
      </c>
      <c r="M137" s="156">
        <f>M6*Premissas!$C$42</f>
        <v>4308.8276000000005</v>
      </c>
      <c r="N137" s="156">
        <f>N6*Premissas!$D$42</f>
        <v>2309.4765900000002</v>
      </c>
      <c r="O137" s="156">
        <f>O6*Premissas!$D$42</f>
        <v>2161.39671</v>
      </c>
      <c r="P137" s="156">
        <f>P6*Premissas!$D$42</f>
        <v>1961.5837950000002</v>
      </c>
      <c r="Q137" s="156">
        <f>Q6*Premissas!$D$42</f>
        <v>2064.733455</v>
      </c>
      <c r="R137" s="156">
        <f>R6*Premissas!$D$42</f>
        <v>2478.5977349999998</v>
      </c>
      <c r="S137" s="156">
        <f>S6*Premissas!$D$42</f>
        <v>2325.7717050000001</v>
      </c>
      <c r="T137" s="156">
        <f>T6*Premissas!$E$42</f>
        <v>4299.2835599999999</v>
      </c>
      <c r="U137" s="156">
        <f>U6*Premissas!$E$42</f>
        <v>4156.99856</v>
      </c>
      <c r="V137" s="156">
        <f>V6*Premissas!$E$42</f>
        <v>3947.2704700000004</v>
      </c>
      <c r="W137" s="156">
        <f>W6*Premissas!$E$42</f>
        <v>4073.3349799999996</v>
      </c>
      <c r="X137" s="156">
        <f>X6*Premissas!$E$42</f>
        <v>3629.6903499999999</v>
      </c>
      <c r="Y137" s="156">
        <f>Y6*Premissas!$E$42</f>
        <v>4163.2591000000002</v>
      </c>
      <c r="Z137" s="156">
        <f>Z6*Premissas!$E$42</f>
        <v>4154.1528600000001</v>
      </c>
      <c r="AA137" s="156">
        <f>AA6*Premissas!$E$42</f>
        <v>3887.7953399999997</v>
      </c>
      <c r="AB137" s="156">
        <f>AB6*Premissas!$F$42</f>
        <v>1497.58903695</v>
      </c>
      <c r="AC137" s="156">
        <f>AC6*Premissas!$F$42</f>
        <v>1576.33958555</v>
      </c>
      <c r="AD137" s="156">
        <f>AD6*Premissas!$F$42</f>
        <v>1892.3080443500003</v>
      </c>
      <c r="AE137" s="156">
        <f>AE6*Premissas!$F$42</f>
        <v>1775.63161805</v>
      </c>
      <c r="AF137" s="156">
        <f>AF6*Premissas!$F$42</f>
        <v>1824.7903194000003</v>
      </c>
      <c r="AG137" s="156">
        <f>AG6*Premissas!$F$42</f>
        <v>1764.3987944000003</v>
      </c>
      <c r="AH137" s="156">
        <f>AH6*Premissas!$G$42</f>
        <v>1826.4406910749999</v>
      </c>
      <c r="AI137" s="156">
        <f>AI6*Premissas!$G$42</f>
        <v>1884.7719740499999</v>
      </c>
      <c r="AJ137" s="156">
        <f>AJ6*Premissas!$G$42</f>
        <v>1679.4932603749999</v>
      </c>
      <c r="AK137" s="156">
        <f>AK6*Premissas!$G$42</f>
        <v>1926.3807447499998</v>
      </c>
      <c r="AL137" s="156">
        <f>AL6*Premissas!$G$42</f>
        <v>1922.16719835</v>
      </c>
      <c r="AM137" s="156">
        <f>AM6*Premissas!$G$42</f>
        <v>1798.9209661500001</v>
      </c>
      <c r="AN137" s="156">
        <f>AN6*Premissas!$H$42</f>
        <v>1526.7429218906252</v>
      </c>
      <c r="AO137" s="156">
        <f>AO6*Premissas!$H$42</f>
        <v>1607.0265242031248</v>
      </c>
      <c r="AP137" s="156">
        <f>AP6*Premissas!$H$42</f>
        <v>1929.1460083281252</v>
      </c>
      <c r="AQ137" s="156">
        <f>AQ6*Premissas!$H$42</f>
        <v>1810.1982171718753</v>
      </c>
      <c r="AR137" s="156">
        <f>AR6*Premissas!$H$42</f>
        <v>1860.3139014375001</v>
      </c>
      <c r="AS137" s="156">
        <f>AS6*Premissas!$H$42</f>
        <v>1798.7467217500002</v>
      </c>
      <c r="AT137" s="156">
        <f>AT6*Premissas!$I$42</f>
        <v>1858.3004083929998</v>
      </c>
      <c r="AU137" s="156">
        <f>AU6*Premissas!$I$42</f>
        <v>1917.6491994619998</v>
      </c>
      <c r="AV137" s="156">
        <f>AV6*Premissas!$I$42</f>
        <v>1708.7896841649999</v>
      </c>
      <c r="AW137" s="156">
        <f>AW6*Premissas!$I$42</f>
        <v>1959.98377729</v>
      </c>
      <c r="AX137" s="156">
        <f>AX6*Premissas!$I$42</f>
        <v>1955.696731434</v>
      </c>
      <c r="AY137" s="156">
        <f>AY6*Premissas!$I$42</f>
        <v>1830.3006401459998</v>
      </c>
      <c r="AZ137" s="156">
        <f>AZ6*Premissas!$J$42</f>
        <v>1664.9436911801645</v>
      </c>
      <c r="BA137" s="156">
        <f>BA6*Premissas!$J$42</f>
        <v>1752.4945651739918</v>
      </c>
      <c r="BB137" s="156">
        <f>BB6*Premissas!$J$42</f>
        <v>2103.7723050019872</v>
      </c>
      <c r="BC137" s="156">
        <f>BC6*Premissas!$J$42</f>
        <v>1974.0573597902735</v>
      </c>
      <c r="BD137" s="156">
        <f>BD6*Premissas!$J$42</f>
        <v>2028.7095157956226</v>
      </c>
      <c r="BE137" s="156">
        <f>BE6*Premissas!$J$42</f>
        <v>1961.5692750028102</v>
      </c>
      <c r="BF137" s="156">
        <f>BF6*Premissas!$K$42</f>
        <v>2406.4307090009797</v>
      </c>
      <c r="BG137" s="156">
        <f>BG6*Premissas!$K$42</f>
        <v>2483.2852114944862</v>
      </c>
      <c r="BH137" s="156">
        <f>BH6*Premissas!$K$42</f>
        <v>2212.8198178435223</v>
      </c>
      <c r="BI137" s="156">
        <f>BI6*Premissas!$K$42</f>
        <v>2538.1069333634441</v>
      </c>
      <c r="BJ137" s="156">
        <f>BJ6*Premissas!$K$42</f>
        <v>2532.5553665919042</v>
      </c>
      <c r="BK137" s="156">
        <f>BK6*Premissas!$K$42</f>
        <v>2370.1720385243589</v>
      </c>
      <c r="BL137" s="156">
        <f>BL6*Premissas!$L$42</f>
        <v>3350.3607209686984</v>
      </c>
      <c r="BM137" s="156">
        <f>BM6*Premissas!$L$42</f>
        <v>3526.5390571306139</v>
      </c>
      <c r="BN137" s="156">
        <f>BN6*Premissas!$L$42</f>
        <v>4233.4140991544964</v>
      </c>
      <c r="BO137" s="156">
        <f>BO6*Premissas!$L$42</f>
        <v>3972.3891409759531</v>
      </c>
      <c r="BP137" s="156">
        <f>BP6*Premissas!$L$42</f>
        <v>4082.3654949911361</v>
      </c>
      <c r="BQ137" s="156">
        <f>BQ6*Premissas!$L$42</f>
        <v>3947.2594089773975</v>
      </c>
      <c r="BR137" s="156">
        <f>BR6*Premissas!$M$42</f>
        <v>3780.0275301255288</v>
      </c>
      <c r="BS137" s="156">
        <f>BS6*Premissas!$M$42</f>
        <v>3900.7507797719577</v>
      </c>
      <c r="BT137" s="156">
        <f>BT6*Premissas!$M$42</f>
        <v>3475.9030456889282</v>
      </c>
      <c r="BU137" s="156">
        <f>BU6*Premissas!$M$42</f>
        <v>3986.8648810998839</v>
      </c>
      <c r="BV137" s="156">
        <f>BV6*Premissas!$M$42</f>
        <v>3978.1444657755374</v>
      </c>
      <c r="BW137" s="156">
        <f>BW6*Premissas!$M$42</f>
        <v>3723.0723175383878</v>
      </c>
      <c r="BX137" s="156">
        <f>BX6*Premissas!$N$42</f>
        <v>3340.7328565848866</v>
      </c>
      <c r="BY137" s="156">
        <f>BY6*Premissas!$N$42</f>
        <v>3516.4049125969309</v>
      </c>
      <c r="BZ137" s="156">
        <f>BZ6*Premissas!$N$42</f>
        <v>4221.2486219949524</v>
      </c>
      <c r="CA137" s="156">
        <f>CA6*Premissas!$N$42</f>
        <v>3960.9737660016463</v>
      </c>
      <c r="CB137" s="156">
        <f>CB6*Premissas!$N$42</f>
        <v>4070.6340831748103</v>
      </c>
      <c r="CC137" s="156">
        <f>CC6*Premissas!$N$42</f>
        <v>3935.9162488097445</v>
      </c>
      <c r="CD137" s="156">
        <f>CD6*Premissas!$O$42</f>
        <v>3768.9369059871397</v>
      </c>
      <c r="CE137" s="156">
        <f>CE6*Premissas!$O$42</f>
        <v>3889.3059528728941</v>
      </c>
      <c r="CF137" s="156">
        <f>CF6*Premissas!$O$42</f>
        <v>3465.7047246677212</v>
      </c>
      <c r="CG137" s="156">
        <f>CG6*Premissas!$O$42</f>
        <v>3975.1673948952384</v>
      </c>
      <c r="CH137" s="156">
        <f>CH6*Premissas!$O$42</f>
        <v>3966.4725653233554</v>
      </c>
      <c r="CI137" s="156">
        <f>CI6*Premissas!$O$42</f>
        <v>3712.1488003457794</v>
      </c>
      <c r="CJ137" s="156">
        <f>CJ6*Premissas!$P$42</f>
        <v>3331.0827945044389</v>
      </c>
      <c r="CK137" s="156">
        <f>CK6*Premissas!$P$42</f>
        <v>3506.2474031032684</v>
      </c>
      <c r="CL137" s="156">
        <f>CL6*Premissas!$P$42</f>
        <v>4209.0550964998019</v>
      </c>
      <c r="CM137" s="156">
        <f>CM6*Premissas!$P$42</f>
        <v>3949.5320721033754</v>
      </c>
      <c r="CN137" s="156">
        <f>CN6*Premissas!$P$42</f>
        <v>4058.8756237900693</v>
      </c>
      <c r="CO137" s="156">
        <f>CO6*Premissas!$P$42</f>
        <v>3924.5469362142785</v>
      </c>
      <c r="CP137" s="156">
        <f>CP6*Premissas!$Q$42</f>
        <v>3757.8265270122729</v>
      </c>
      <c r="CQ137" s="156">
        <f>CQ6*Premissas!$Q$42</f>
        <v>3877.8407402244738</v>
      </c>
      <c r="CR137" s="156">
        <f>CR6*Premissas!$Q$42</f>
        <v>3455.48823819779</v>
      </c>
      <c r="CS137" s="156">
        <f>CS6*Premissas!$Q$42</f>
        <v>3963.4490728995424</v>
      </c>
      <c r="CT137" s="156">
        <f>CT6*Premissas!$Q$42</f>
        <v>3954.7798746539661</v>
      </c>
      <c r="CU137" s="156">
        <f>CU6*Premissas!$Q$42</f>
        <v>3701.2058259708506</v>
      </c>
      <c r="CV137" s="156">
        <f>CV6*Premissas!$R$42</f>
        <v>3321.4099798242391</v>
      </c>
      <c r="CW137" s="156">
        <f>CW6*Premissas!$R$42</f>
        <v>3496.0659445669921</v>
      </c>
      <c r="CX137" s="156">
        <f>CX6*Premissas!$R$42</f>
        <v>4196.832821510312</v>
      </c>
      <c r="CY137" s="156">
        <f>CY6*Premissas!$R$42</f>
        <v>3938.0634013546369</v>
      </c>
      <c r="CZ137" s="156">
        <f>CZ6*Premissas!$R$42</f>
        <v>4047.0894406955886</v>
      </c>
      <c r="DA137" s="156">
        <f>DA6*Premissas!$R$42</f>
        <v>3913.150817426606</v>
      </c>
      <c r="DB137" s="156">
        <f>DB6*Premissas!$S$42</f>
        <v>0</v>
      </c>
      <c r="DC137" s="156">
        <f>DC6*Premissas!$S$42</f>
        <v>0</v>
      </c>
      <c r="DD137" s="156">
        <f>DD6*Premissas!$S$42</f>
        <v>0</v>
      </c>
      <c r="DE137" s="156">
        <f>DE6*Premissas!$S$42</f>
        <v>0</v>
      </c>
      <c r="DF137" s="156">
        <f>DF6*Premissas!$S$42</f>
        <v>0</v>
      </c>
      <c r="DG137" s="156">
        <f>DG6*Premissas!$S$42</f>
        <v>0</v>
      </c>
      <c r="DH137" s="156">
        <f>DH6*Premissas!$T$42</f>
        <v>0</v>
      </c>
      <c r="DI137" s="156">
        <f>DI6*Premissas!$T$42</f>
        <v>0</v>
      </c>
      <c r="DJ137" s="156">
        <f>DJ6*Premissas!$T$42</f>
        <v>0</v>
      </c>
      <c r="DK137" s="156">
        <f>DK6*Premissas!$T$42</f>
        <v>0</v>
      </c>
      <c r="DL137" s="156">
        <f>DL6*Premissas!$T$42</f>
        <v>0</v>
      </c>
      <c r="DM137" s="156">
        <f>DM6*Premissas!$T$42</f>
        <v>0</v>
      </c>
      <c r="DN137" s="156">
        <f>DN6*Premissas!$U$42</f>
        <v>0</v>
      </c>
      <c r="DO137" s="156">
        <f>DO6*Premissas!$U$42</f>
        <v>0</v>
      </c>
      <c r="DP137" s="156">
        <f>DP6*Premissas!$U$42</f>
        <v>0</v>
      </c>
      <c r="DQ137" s="156">
        <f>DQ6*Premissas!$U$42</f>
        <v>0</v>
      </c>
      <c r="DR137" s="156">
        <f>DR6*Premissas!$U$42</f>
        <v>0</v>
      </c>
      <c r="DS137" s="156">
        <f>DS6*Premissas!$U$42</f>
        <v>0</v>
      </c>
    </row>
    <row r="138" spans="1:123" ht="12.75" customHeight="1" x14ac:dyDescent="0.35">
      <c r="A138" s="146" t="s">
        <v>492</v>
      </c>
      <c r="B138" s="139">
        <f>AA138</f>
        <v>16253.469349999998</v>
      </c>
      <c r="C138" s="139" t="s">
        <v>169</v>
      </c>
      <c r="D138" s="139">
        <f>0</f>
        <v>0</v>
      </c>
      <c r="E138" s="139">
        <f t="shared" ref="E138:AJ138" si="242">D140</f>
        <v>138.279</v>
      </c>
      <c r="F138" s="139">
        <f t="shared" si="242"/>
        <v>400.44999999999982</v>
      </c>
      <c r="G138" s="139">
        <f t="shared" si="242"/>
        <v>848.1569999999997</v>
      </c>
      <c r="H138" s="139">
        <f t="shared" si="242"/>
        <v>157.97799999999961</v>
      </c>
      <c r="I138" s="139">
        <f t="shared" si="242"/>
        <v>2036.9459999999995</v>
      </c>
      <c r="J138" s="139">
        <f t="shared" si="242"/>
        <v>4270.9139999999989</v>
      </c>
      <c r="K138" s="139">
        <f t="shared" si="242"/>
        <v>5149.7299999999987</v>
      </c>
      <c r="L138" s="139">
        <f t="shared" si="242"/>
        <v>5911.4892799999989</v>
      </c>
      <c r="M138" s="139">
        <f t="shared" si="242"/>
        <v>6189.091879999999</v>
      </c>
      <c r="N138" s="139">
        <f t="shared" si="242"/>
        <v>7134.9194799999996</v>
      </c>
      <c r="O138" s="139">
        <f t="shared" si="242"/>
        <v>6870.3960699999998</v>
      </c>
      <c r="P138" s="139">
        <f t="shared" si="242"/>
        <v>6737.7927799999998</v>
      </c>
      <c r="Q138" s="139">
        <f t="shared" si="242"/>
        <v>7303.3765750000002</v>
      </c>
      <c r="R138" s="139">
        <f t="shared" si="242"/>
        <v>8018.1100299999998</v>
      </c>
      <c r="S138" s="139">
        <f t="shared" si="242"/>
        <v>9012.7077649999992</v>
      </c>
      <c r="T138" s="139">
        <f t="shared" si="242"/>
        <v>8807.4794699999984</v>
      </c>
      <c r="U138" s="139">
        <f t="shared" si="242"/>
        <v>10448.763029999998</v>
      </c>
      <c r="V138" s="139">
        <f t="shared" si="242"/>
        <v>12463.761589999998</v>
      </c>
      <c r="W138" s="139">
        <f t="shared" si="242"/>
        <v>13103.032059999998</v>
      </c>
      <c r="X138" s="139">
        <f t="shared" si="242"/>
        <v>13722.367039999997</v>
      </c>
      <c r="Y138" s="139">
        <f t="shared" si="242"/>
        <v>13873.057389999998</v>
      </c>
      <c r="Z138" s="139">
        <f t="shared" si="242"/>
        <v>14673.316489999997</v>
      </c>
      <c r="AA138" s="139">
        <f t="shared" si="242"/>
        <v>16253.469349999998</v>
      </c>
      <c r="AB138" s="139">
        <f t="shared" si="242"/>
        <v>17847.264689999996</v>
      </c>
      <c r="AC138" s="139">
        <f t="shared" si="242"/>
        <v>17913.853726949998</v>
      </c>
      <c r="AD138" s="139">
        <f t="shared" si="242"/>
        <v>18106.193312499996</v>
      </c>
      <c r="AE138" s="139">
        <f t="shared" si="242"/>
        <v>18477.501356849996</v>
      </c>
      <c r="AF138" s="139">
        <f t="shared" si="242"/>
        <v>17659.132974899996</v>
      </c>
      <c r="AG138" s="139">
        <f t="shared" si="242"/>
        <v>16759.923294299995</v>
      </c>
      <c r="AH138" s="139">
        <f t="shared" si="242"/>
        <v>16328.322088699995</v>
      </c>
      <c r="AI138" s="139">
        <f t="shared" si="242"/>
        <v>14764.762779774996</v>
      </c>
      <c r="AJ138" s="139">
        <f t="shared" si="242"/>
        <v>13020.534753824995</v>
      </c>
      <c r="AK138" s="139">
        <f t="shared" ref="AK138:BP138" si="243">AJ140</f>
        <v>11045.028014199996</v>
      </c>
      <c r="AL138" s="139">
        <f t="shared" si="243"/>
        <v>9438.4087589499959</v>
      </c>
      <c r="AM138" s="139">
        <f t="shared" si="243"/>
        <v>8656.5759572999959</v>
      </c>
      <c r="AN138" s="139">
        <f t="shared" si="243"/>
        <v>8045.4969234499958</v>
      </c>
      <c r="AO138" s="139">
        <f t="shared" si="243"/>
        <v>8105.2398453406213</v>
      </c>
      <c r="AP138" s="139">
        <f t="shared" si="243"/>
        <v>8294.2663695437459</v>
      </c>
      <c r="AQ138" s="139">
        <f t="shared" si="243"/>
        <v>8664.4123778718713</v>
      </c>
      <c r="AR138" s="139">
        <f t="shared" si="243"/>
        <v>7815.6105950437468</v>
      </c>
      <c r="AS138" s="139">
        <f t="shared" si="243"/>
        <v>6883.9244964812469</v>
      </c>
      <c r="AT138" s="139">
        <f t="shared" si="243"/>
        <v>6431.6712182312476</v>
      </c>
      <c r="AU138" s="139">
        <f t="shared" si="243"/>
        <v>4814.9716266242476</v>
      </c>
      <c r="AV138" s="139">
        <f t="shared" si="243"/>
        <v>3012.6208260862477</v>
      </c>
      <c r="AW138" s="139">
        <f t="shared" si="243"/>
        <v>974.41051025124762</v>
      </c>
      <c r="AX138" s="139">
        <f t="shared" si="243"/>
        <v>0</v>
      </c>
      <c r="AY138" s="139">
        <f t="shared" si="243"/>
        <v>0</v>
      </c>
      <c r="AZ138" s="139">
        <f t="shared" si="243"/>
        <v>0</v>
      </c>
      <c r="BA138" s="139">
        <f t="shared" si="243"/>
        <v>161.94369118016448</v>
      </c>
      <c r="BB138" s="139">
        <f t="shared" si="243"/>
        <v>460.43825635415624</v>
      </c>
      <c r="BC138" s="139">
        <f t="shared" si="243"/>
        <v>966.21056135614344</v>
      </c>
      <c r="BD138" s="139">
        <f t="shared" si="243"/>
        <v>215.26792114641694</v>
      </c>
      <c r="BE138" s="139">
        <f t="shared" si="243"/>
        <v>0</v>
      </c>
      <c r="BF138" s="139">
        <f t="shared" si="243"/>
        <v>0</v>
      </c>
      <c r="BG138" s="139">
        <f t="shared" si="243"/>
        <v>0</v>
      </c>
      <c r="BH138" s="139">
        <f t="shared" si="243"/>
        <v>0</v>
      </c>
      <c r="BI138" s="139">
        <f t="shared" si="243"/>
        <v>0</v>
      </c>
      <c r="BJ138" s="139">
        <f t="shared" si="243"/>
        <v>0</v>
      </c>
      <c r="BK138" s="139">
        <f t="shared" si="243"/>
        <v>0</v>
      </c>
      <c r="BL138" s="139">
        <f t="shared" si="243"/>
        <v>0</v>
      </c>
      <c r="BM138" s="139">
        <f t="shared" si="243"/>
        <v>1809.3607209686984</v>
      </c>
      <c r="BN138" s="139">
        <f t="shared" si="243"/>
        <v>3845.8997780993122</v>
      </c>
      <c r="BO138" s="139">
        <f t="shared" si="243"/>
        <v>6441.3138772538086</v>
      </c>
      <c r="BP138" s="139">
        <f t="shared" si="243"/>
        <v>7620.7030182297622</v>
      </c>
      <c r="BQ138" s="139">
        <f t="shared" ref="BQ138:CV138" si="244">BP140</f>
        <v>8769.0685132208982</v>
      </c>
      <c r="BR138" s="139">
        <f t="shared" si="244"/>
        <v>10351.327922198296</v>
      </c>
      <c r="BS138" s="139">
        <f t="shared" si="244"/>
        <v>10480.355452323824</v>
      </c>
      <c r="BT138" s="139">
        <f t="shared" si="244"/>
        <v>10473.106232095781</v>
      </c>
      <c r="BU138" s="139">
        <f t="shared" si="244"/>
        <v>10013.009277784709</v>
      </c>
      <c r="BV138" s="139">
        <f t="shared" si="244"/>
        <v>10194.874158884593</v>
      </c>
      <c r="BW138" s="139">
        <f t="shared" si="244"/>
        <v>11261.01862466013</v>
      </c>
      <c r="BX138" s="139">
        <f t="shared" si="244"/>
        <v>12389.090942198518</v>
      </c>
      <c r="BY138" s="139">
        <f t="shared" si="244"/>
        <v>14149.823798783404</v>
      </c>
      <c r="BZ138" s="139">
        <f t="shared" si="244"/>
        <v>16139.228711380334</v>
      </c>
      <c r="CA138" s="139">
        <f t="shared" si="244"/>
        <v>18681.477333375286</v>
      </c>
      <c r="CB138" s="139">
        <f t="shared" si="244"/>
        <v>19779.451099376933</v>
      </c>
      <c r="CC138" s="139">
        <f t="shared" si="244"/>
        <v>20843.085182551742</v>
      </c>
      <c r="CD138" s="139">
        <f t="shared" si="244"/>
        <v>22355.001431361488</v>
      </c>
      <c r="CE138" s="139">
        <f t="shared" si="244"/>
        <v>22381.938337348627</v>
      </c>
      <c r="CF138" s="139">
        <f t="shared" si="244"/>
        <v>22265.244290221523</v>
      </c>
      <c r="CG138" s="139">
        <f t="shared" si="244"/>
        <v>21695.949014889244</v>
      </c>
      <c r="CH138" s="139">
        <f t="shared" si="244"/>
        <v>21771.116409784481</v>
      </c>
      <c r="CI138" s="139">
        <f t="shared" si="244"/>
        <v>22752.588975107836</v>
      </c>
      <c r="CJ138" s="139">
        <f t="shared" si="244"/>
        <v>23804.737775453614</v>
      </c>
      <c r="CK138" s="139">
        <f t="shared" si="244"/>
        <v>25516.820569958054</v>
      </c>
      <c r="CL138" s="139">
        <f t="shared" si="244"/>
        <v>27458.067973061323</v>
      </c>
      <c r="CM138" s="139">
        <f t="shared" si="244"/>
        <v>29946.123069561123</v>
      </c>
      <c r="CN138" s="139">
        <f t="shared" si="244"/>
        <v>30960.655141664498</v>
      </c>
      <c r="CO138" s="139">
        <f t="shared" si="244"/>
        <v>31937.530765454569</v>
      </c>
      <c r="CP138" s="139">
        <f t="shared" si="244"/>
        <v>33378.077701668844</v>
      </c>
      <c r="CQ138" s="139">
        <f t="shared" si="244"/>
        <v>33299.904228681116</v>
      </c>
      <c r="CR138" s="139">
        <f t="shared" si="244"/>
        <v>33071.744968905594</v>
      </c>
      <c r="CS138" s="139">
        <f t="shared" si="244"/>
        <v>32392.233207103385</v>
      </c>
      <c r="CT138" s="139">
        <f t="shared" si="244"/>
        <v>32357.682280002926</v>
      </c>
      <c r="CU138" s="139">
        <f t="shared" si="244"/>
        <v>33252.462154656889</v>
      </c>
      <c r="CV138" s="139">
        <f t="shared" si="244"/>
        <v>34226.667980627739</v>
      </c>
      <c r="CW138" s="139">
        <f t="shared" ref="CW138:DS138" si="245">CV140</f>
        <v>35889.077960451978</v>
      </c>
      <c r="CX138" s="139">
        <f t="shared" si="245"/>
        <v>37780.143905018973</v>
      </c>
      <c r="CY138" s="139">
        <f t="shared" si="245"/>
        <v>40212.976726529283</v>
      </c>
      <c r="CZ138" s="139">
        <f t="shared" si="245"/>
        <v>41143.04012788392</v>
      </c>
      <c r="DA138" s="139">
        <f t="shared" si="245"/>
        <v>42031.129568579505</v>
      </c>
      <c r="DB138" s="139">
        <f t="shared" si="245"/>
        <v>43398.28038600611</v>
      </c>
      <c r="DC138" s="139">
        <f t="shared" si="245"/>
        <v>39466.28038600611</v>
      </c>
      <c r="DD138" s="139">
        <f t="shared" si="245"/>
        <v>35258.28038600611</v>
      </c>
      <c r="DE138" s="139">
        <f t="shared" si="245"/>
        <v>31019.28038600611</v>
      </c>
      <c r="DF138" s="139">
        <f t="shared" si="245"/>
        <v>26922.28038600611</v>
      </c>
      <c r="DG138" s="139">
        <f t="shared" si="245"/>
        <v>23786.28038600611</v>
      </c>
      <c r="DH138" s="139">
        <f t="shared" si="245"/>
        <v>20991.28038600611</v>
      </c>
      <c r="DI138" s="139">
        <f t="shared" si="245"/>
        <v>19290.28038600611</v>
      </c>
      <c r="DJ138" s="139">
        <f t="shared" si="245"/>
        <v>17645.28038600611</v>
      </c>
      <c r="DK138" s="139">
        <f t="shared" si="245"/>
        <v>15837.28038600611</v>
      </c>
      <c r="DL138" s="139">
        <f t="shared" si="245"/>
        <v>12754.28038600611</v>
      </c>
      <c r="DM138" s="139">
        <f t="shared" si="245"/>
        <v>9516.2803860061103</v>
      </c>
      <c r="DN138" s="139">
        <f t="shared" si="245"/>
        <v>6906.2803860061103</v>
      </c>
      <c r="DO138" s="139">
        <f t="shared" si="245"/>
        <v>2876.2803860061103</v>
      </c>
      <c r="DP138" s="139">
        <f t="shared" si="245"/>
        <v>0</v>
      </c>
      <c r="DQ138" s="139">
        <f t="shared" si="245"/>
        <v>0</v>
      </c>
      <c r="DR138" s="139">
        <f t="shared" si="245"/>
        <v>0</v>
      </c>
      <c r="DS138" s="139">
        <f t="shared" si="245"/>
        <v>0</v>
      </c>
    </row>
    <row r="139" spans="1:123" ht="12.75" customHeight="1" x14ac:dyDescent="0.35">
      <c r="A139" s="146" t="s">
        <v>493</v>
      </c>
      <c r="B139" s="139">
        <f>SUM(D139:BQ139)</f>
        <v>21355.161367628018</v>
      </c>
      <c r="C139" s="139">
        <f>B139/60</f>
        <v>355.91935612713365</v>
      </c>
      <c r="D139" s="139">
        <f t="shared" ref="D139:AI139" si="246">MIN(D138,MAX(D136-D137,0))</f>
        <v>0</v>
      </c>
      <c r="E139" s="139">
        <f t="shared" si="246"/>
        <v>0</v>
      </c>
      <c r="F139" s="139">
        <f t="shared" si="246"/>
        <v>0</v>
      </c>
      <c r="G139" s="139">
        <f t="shared" si="246"/>
        <v>690.17900000000009</v>
      </c>
      <c r="H139" s="139">
        <f t="shared" si="246"/>
        <v>0</v>
      </c>
      <c r="I139" s="139">
        <f t="shared" si="246"/>
        <v>0</v>
      </c>
      <c r="J139" s="139">
        <f t="shared" si="246"/>
        <v>0</v>
      </c>
      <c r="K139" s="139">
        <f t="shared" si="246"/>
        <v>0</v>
      </c>
      <c r="L139" s="139">
        <f t="shared" si="246"/>
        <v>0</v>
      </c>
      <c r="M139" s="139">
        <f t="shared" si="246"/>
        <v>0</v>
      </c>
      <c r="N139" s="139">
        <f t="shared" si="246"/>
        <v>264.52340999999979</v>
      </c>
      <c r="O139" s="139">
        <f t="shared" si="246"/>
        <v>132.60329000000002</v>
      </c>
      <c r="P139" s="139">
        <f t="shared" si="246"/>
        <v>0</v>
      </c>
      <c r="Q139" s="139">
        <f t="shared" si="246"/>
        <v>0</v>
      </c>
      <c r="R139" s="139">
        <f t="shared" si="246"/>
        <v>0</v>
      </c>
      <c r="S139" s="139">
        <f t="shared" si="246"/>
        <v>205.22829499999989</v>
      </c>
      <c r="T139" s="139">
        <f t="shared" si="246"/>
        <v>0</v>
      </c>
      <c r="U139" s="139">
        <f t="shared" si="246"/>
        <v>0</v>
      </c>
      <c r="V139" s="139">
        <f t="shared" si="246"/>
        <v>0</v>
      </c>
      <c r="W139" s="139">
        <f t="shared" si="246"/>
        <v>0</v>
      </c>
      <c r="X139" s="139">
        <f t="shared" si="246"/>
        <v>0</v>
      </c>
      <c r="Y139" s="139">
        <f t="shared" si="246"/>
        <v>0</v>
      </c>
      <c r="Z139" s="139">
        <f t="shared" si="246"/>
        <v>0</v>
      </c>
      <c r="AA139" s="139">
        <f t="shared" si="246"/>
        <v>0</v>
      </c>
      <c r="AB139" s="139">
        <f t="shared" si="246"/>
        <v>0</v>
      </c>
      <c r="AC139" s="139">
        <f t="shared" si="246"/>
        <v>0</v>
      </c>
      <c r="AD139" s="139">
        <f t="shared" si="246"/>
        <v>0</v>
      </c>
      <c r="AE139" s="139">
        <f t="shared" si="246"/>
        <v>818.36838194999996</v>
      </c>
      <c r="AF139" s="139">
        <f t="shared" si="246"/>
        <v>899.20968059999973</v>
      </c>
      <c r="AG139" s="139">
        <f t="shared" si="246"/>
        <v>431.60120559999973</v>
      </c>
      <c r="AH139" s="139">
        <f t="shared" si="246"/>
        <v>1563.5593089250001</v>
      </c>
      <c r="AI139" s="139">
        <f t="shared" si="246"/>
        <v>1744.2280259500001</v>
      </c>
      <c r="AJ139" s="139">
        <f t="shared" ref="AJ139:BO139" si="247">MIN(AJ138,MAX(AJ136-AJ137,0))</f>
        <v>1975.5067396250001</v>
      </c>
      <c r="AK139" s="139">
        <f t="shared" si="247"/>
        <v>1606.6192552500002</v>
      </c>
      <c r="AL139" s="139">
        <f t="shared" si="247"/>
        <v>781.83280164999996</v>
      </c>
      <c r="AM139" s="139">
        <f t="shared" si="247"/>
        <v>611.07903384999986</v>
      </c>
      <c r="AN139" s="139">
        <f t="shared" si="247"/>
        <v>0</v>
      </c>
      <c r="AO139" s="139">
        <f t="shared" si="247"/>
        <v>0</v>
      </c>
      <c r="AP139" s="139">
        <f t="shared" si="247"/>
        <v>0</v>
      </c>
      <c r="AQ139" s="139">
        <f t="shared" si="247"/>
        <v>848.80178282812471</v>
      </c>
      <c r="AR139" s="139">
        <f t="shared" si="247"/>
        <v>931.68609856249986</v>
      </c>
      <c r="AS139" s="139">
        <f t="shared" si="247"/>
        <v>452.25327824999977</v>
      </c>
      <c r="AT139" s="139">
        <f t="shared" si="247"/>
        <v>1616.6995916070002</v>
      </c>
      <c r="AU139" s="139">
        <f t="shared" si="247"/>
        <v>1802.3508005380002</v>
      </c>
      <c r="AV139" s="139">
        <f t="shared" si="247"/>
        <v>2038.2103158350001</v>
      </c>
      <c r="AW139" s="139">
        <f t="shared" si="247"/>
        <v>974.41051025124762</v>
      </c>
      <c r="AX139" s="139">
        <f t="shared" si="247"/>
        <v>0</v>
      </c>
      <c r="AY139" s="139">
        <f t="shared" si="247"/>
        <v>0</v>
      </c>
      <c r="AZ139" s="139">
        <f t="shared" si="247"/>
        <v>0</v>
      </c>
      <c r="BA139" s="139">
        <f t="shared" si="247"/>
        <v>0</v>
      </c>
      <c r="BB139" s="139">
        <f t="shared" si="247"/>
        <v>0</v>
      </c>
      <c r="BC139" s="139">
        <f t="shared" si="247"/>
        <v>750.94264020972651</v>
      </c>
      <c r="BD139" s="139">
        <f t="shared" si="247"/>
        <v>215.26792114641694</v>
      </c>
      <c r="BE139" s="139">
        <f t="shared" si="247"/>
        <v>0</v>
      </c>
      <c r="BF139" s="139">
        <f t="shared" si="247"/>
        <v>0</v>
      </c>
      <c r="BG139" s="139">
        <f t="shared" si="247"/>
        <v>0</v>
      </c>
      <c r="BH139" s="139">
        <f t="shared" si="247"/>
        <v>0</v>
      </c>
      <c r="BI139" s="139">
        <f t="shared" si="247"/>
        <v>0</v>
      </c>
      <c r="BJ139" s="139">
        <f t="shared" si="247"/>
        <v>0</v>
      </c>
      <c r="BK139" s="139">
        <f t="shared" si="247"/>
        <v>0</v>
      </c>
      <c r="BL139" s="139">
        <f t="shared" si="247"/>
        <v>0</v>
      </c>
      <c r="BM139" s="139">
        <f t="shared" si="247"/>
        <v>0</v>
      </c>
      <c r="BN139" s="139">
        <f t="shared" si="247"/>
        <v>0</v>
      </c>
      <c r="BO139" s="139">
        <f t="shared" si="247"/>
        <v>0</v>
      </c>
      <c r="BP139" s="139">
        <f t="shared" ref="BP139:CU139" si="248">MIN(BP138,MAX(BP136-BP137,0))</f>
        <v>0</v>
      </c>
      <c r="BQ139" s="139">
        <f t="shared" si="248"/>
        <v>0</v>
      </c>
      <c r="BR139" s="139">
        <f t="shared" si="248"/>
        <v>0</v>
      </c>
      <c r="BS139" s="139">
        <f t="shared" si="248"/>
        <v>7.2492202280423044</v>
      </c>
      <c r="BT139" s="139">
        <f t="shared" si="248"/>
        <v>460.09695431107184</v>
      </c>
      <c r="BU139" s="139">
        <f t="shared" si="248"/>
        <v>0</v>
      </c>
      <c r="BV139" s="139">
        <f t="shared" si="248"/>
        <v>0</v>
      </c>
      <c r="BW139" s="139">
        <f t="shared" si="248"/>
        <v>0</v>
      </c>
      <c r="BX139" s="139">
        <f t="shared" si="248"/>
        <v>0</v>
      </c>
      <c r="BY139" s="139">
        <f t="shared" si="248"/>
        <v>0</v>
      </c>
      <c r="BZ139" s="139">
        <f t="shared" si="248"/>
        <v>0</v>
      </c>
      <c r="CA139" s="139">
        <f t="shared" si="248"/>
        <v>0</v>
      </c>
      <c r="CB139" s="139">
        <f t="shared" si="248"/>
        <v>0</v>
      </c>
      <c r="CC139" s="139">
        <f t="shared" si="248"/>
        <v>0</v>
      </c>
      <c r="CD139" s="139">
        <f t="shared" si="248"/>
        <v>0</v>
      </c>
      <c r="CE139" s="139">
        <f t="shared" si="248"/>
        <v>116.69404712710593</v>
      </c>
      <c r="CF139" s="139">
        <f t="shared" si="248"/>
        <v>569.29527533227883</v>
      </c>
      <c r="CG139" s="139">
        <f t="shared" si="248"/>
        <v>0</v>
      </c>
      <c r="CH139" s="139">
        <f t="shared" si="248"/>
        <v>0</v>
      </c>
      <c r="CI139" s="139">
        <f t="shared" si="248"/>
        <v>0</v>
      </c>
      <c r="CJ139" s="139">
        <f t="shared" si="248"/>
        <v>0</v>
      </c>
      <c r="CK139" s="139">
        <f t="shared" si="248"/>
        <v>0</v>
      </c>
      <c r="CL139" s="139">
        <f t="shared" si="248"/>
        <v>0</v>
      </c>
      <c r="CM139" s="139">
        <f t="shared" si="248"/>
        <v>0</v>
      </c>
      <c r="CN139" s="139">
        <f t="shared" si="248"/>
        <v>0</v>
      </c>
      <c r="CO139" s="139">
        <f t="shared" si="248"/>
        <v>0</v>
      </c>
      <c r="CP139" s="139">
        <f t="shared" si="248"/>
        <v>78.173472987727109</v>
      </c>
      <c r="CQ139" s="139">
        <f t="shared" si="248"/>
        <v>228.15925977552615</v>
      </c>
      <c r="CR139" s="139">
        <f t="shared" si="248"/>
        <v>679.51176180221</v>
      </c>
      <c r="CS139" s="139">
        <f t="shared" si="248"/>
        <v>34.550927100457557</v>
      </c>
      <c r="CT139" s="139">
        <f t="shared" si="248"/>
        <v>0</v>
      </c>
      <c r="CU139" s="139">
        <f t="shared" si="248"/>
        <v>0</v>
      </c>
      <c r="CV139" s="139">
        <f t="shared" ref="CV139:DS139" si="249">MIN(CV138,MAX(CV136-CV137,0))</f>
        <v>0</v>
      </c>
      <c r="CW139" s="139">
        <f t="shared" si="249"/>
        <v>0</v>
      </c>
      <c r="CX139" s="139">
        <f t="shared" si="249"/>
        <v>0</v>
      </c>
      <c r="CY139" s="139">
        <f t="shared" si="249"/>
        <v>0</v>
      </c>
      <c r="CZ139" s="139">
        <f t="shared" si="249"/>
        <v>0</v>
      </c>
      <c r="DA139" s="139">
        <f t="shared" si="249"/>
        <v>0</v>
      </c>
      <c r="DB139" s="139">
        <f t="shared" si="249"/>
        <v>3932</v>
      </c>
      <c r="DC139" s="139">
        <f t="shared" si="249"/>
        <v>4208</v>
      </c>
      <c r="DD139" s="139">
        <f t="shared" si="249"/>
        <v>4239</v>
      </c>
      <c r="DE139" s="139">
        <f t="shared" si="249"/>
        <v>4097</v>
      </c>
      <c r="DF139" s="139">
        <f t="shared" si="249"/>
        <v>3136</v>
      </c>
      <c r="DG139" s="139">
        <f t="shared" si="249"/>
        <v>2795</v>
      </c>
      <c r="DH139" s="139">
        <f t="shared" si="249"/>
        <v>1701</v>
      </c>
      <c r="DI139" s="139">
        <f t="shared" si="249"/>
        <v>1645</v>
      </c>
      <c r="DJ139" s="139">
        <f t="shared" si="249"/>
        <v>1808</v>
      </c>
      <c r="DK139" s="139">
        <f t="shared" si="249"/>
        <v>3083</v>
      </c>
      <c r="DL139" s="139">
        <f t="shared" si="249"/>
        <v>3238</v>
      </c>
      <c r="DM139" s="139">
        <f t="shared" si="249"/>
        <v>2610</v>
      </c>
      <c r="DN139" s="139">
        <f t="shared" si="249"/>
        <v>4030</v>
      </c>
      <c r="DO139" s="139">
        <f t="shared" si="249"/>
        <v>2876.2803860061103</v>
      </c>
      <c r="DP139" s="139">
        <f t="shared" si="249"/>
        <v>0</v>
      </c>
      <c r="DQ139" s="139">
        <f t="shared" si="249"/>
        <v>0</v>
      </c>
      <c r="DR139" s="139">
        <f t="shared" si="249"/>
        <v>0</v>
      </c>
      <c r="DS139" s="139">
        <f t="shared" si="249"/>
        <v>0</v>
      </c>
    </row>
    <row r="140" spans="1:123" ht="13.5" customHeight="1" x14ac:dyDescent="0.35">
      <c r="A140" s="39" t="s">
        <v>494</v>
      </c>
      <c r="B140" s="41">
        <f>AA140</f>
        <v>17847.264689999996</v>
      </c>
      <c r="C140" s="139" t="s">
        <v>169</v>
      </c>
      <c r="D140" s="157">
        <f t="shared" ref="D140:AI140" si="250">MAX(D138-D139,0)+MAX(D137-D136,0)</f>
        <v>138.279</v>
      </c>
      <c r="E140" s="157">
        <f t="shared" si="250"/>
        <v>400.44999999999982</v>
      </c>
      <c r="F140" s="157">
        <f t="shared" si="250"/>
        <v>848.1569999999997</v>
      </c>
      <c r="G140" s="157">
        <f t="shared" si="250"/>
        <v>157.97799999999961</v>
      </c>
      <c r="H140" s="157">
        <f t="shared" si="250"/>
        <v>2036.9459999999995</v>
      </c>
      <c r="I140" s="157">
        <f t="shared" si="250"/>
        <v>4270.9139999999989</v>
      </c>
      <c r="J140" s="157">
        <f t="shared" si="250"/>
        <v>5149.7299999999987</v>
      </c>
      <c r="K140" s="157">
        <f t="shared" si="250"/>
        <v>5911.4892799999989</v>
      </c>
      <c r="L140" s="157">
        <f t="shared" si="250"/>
        <v>6189.091879999999</v>
      </c>
      <c r="M140" s="157">
        <f t="shared" si="250"/>
        <v>7134.9194799999996</v>
      </c>
      <c r="N140" s="157">
        <f t="shared" si="250"/>
        <v>6870.3960699999998</v>
      </c>
      <c r="O140" s="157">
        <f t="shared" si="250"/>
        <v>6737.7927799999998</v>
      </c>
      <c r="P140" s="157">
        <f t="shared" si="250"/>
        <v>7303.3765750000002</v>
      </c>
      <c r="Q140" s="157">
        <f t="shared" si="250"/>
        <v>8018.1100299999998</v>
      </c>
      <c r="R140" s="157">
        <f t="shared" si="250"/>
        <v>9012.7077649999992</v>
      </c>
      <c r="S140" s="157">
        <f t="shared" si="250"/>
        <v>8807.4794699999984</v>
      </c>
      <c r="T140" s="157">
        <f t="shared" si="250"/>
        <v>10448.763029999998</v>
      </c>
      <c r="U140" s="157">
        <f t="shared" si="250"/>
        <v>12463.761589999998</v>
      </c>
      <c r="V140" s="157">
        <f t="shared" si="250"/>
        <v>13103.032059999998</v>
      </c>
      <c r="W140" s="157">
        <f t="shared" si="250"/>
        <v>13722.367039999997</v>
      </c>
      <c r="X140" s="157">
        <f t="shared" si="250"/>
        <v>13873.057389999998</v>
      </c>
      <c r="Y140" s="157">
        <f t="shared" si="250"/>
        <v>14673.316489999997</v>
      </c>
      <c r="Z140" s="157">
        <f t="shared" si="250"/>
        <v>16253.469349999998</v>
      </c>
      <c r="AA140" s="157">
        <f t="shared" si="250"/>
        <v>17847.264689999996</v>
      </c>
      <c r="AB140" s="157">
        <f t="shared" si="250"/>
        <v>17913.853726949998</v>
      </c>
      <c r="AC140" s="157">
        <f t="shared" si="250"/>
        <v>18106.193312499996</v>
      </c>
      <c r="AD140" s="157">
        <f t="shared" si="250"/>
        <v>18477.501356849996</v>
      </c>
      <c r="AE140" s="157">
        <f t="shared" si="250"/>
        <v>17659.132974899996</v>
      </c>
      <c r="AF140" s="157">
        <f t="shared" si="250"/>
        <v>16759.923294299995</v>
      </c>
      <c r="AG140" s="157">
        <f t="shared" si="250"/>
        <v>16328.322088699995</v>
      </c>
      <c r="AH140" s="157">
        <f t="shared" si="250"/>
        <v>14764.762779774996</v>
      </c>
      <c r="AI140" s="157">
        <f t="shared" si="250"/>
        <v>13020.534753824995</v>
      </c>
      <c r="AJ140" s="157">
        <f t="shared" ref="AJ140:BO140" si="251">MAX(AJ138-AJ139,0)+MAX(AJ137-AJ136,0)</f>
        <v>11045.028014199996</v>
      </c>
      <c r="AK140" s="157">
        <f t="shared" si="251"/>
        <v>9438.4087589499959</v>
      </c>
      <c r="AL140" s="157">
        <f t="shared" si="251"/>
        <v>8656.5759572999959</v>
      </c>
      <c r="AM140" s="157">
        <f t="shared" si="251"/>
        <v>8045.4969234499958</v>
      </c>
      <c r="AN140" s="157">
        <f t="shared" si="251"/>
        <v>8105.2398453406213</v>
      </c>
      <c r="AO140" s="157">
        <f t="shared" si="251"/>
        <v>8294.2663695437459</v>
      </c>
      <c r="AP140" s="157">
        <f t="shared" si="251"/>
        <v>8664.4123778718713</v>
      </c>
      <c r="AQ140" s="157">
        <f t="shared" si="251"/>
        <v>7815.6105950437468</v>
      </c>
      <c r="AR140" s="157">
        <f t="shared" si="251"/>
        <v>6883.9244964812469</v>
      </c>
      <c r="AS140" s="157">
        <f t="shared" si="251"/>
        <v>6431.6712182312476</v>
      </c>
      <c r="AT140" s="157">
        <f t="shared" si="251"/>
        <v>4814.9716266242476</v>
      </c>
      <c r="AU140" s="157">
        <f t="shared" si="251"/>
        <v>3012.6208260862477</v>
      </c>
      <c r="AV140" s="157">
        <f t="shared" si="251"/>
        <v>974.41051025124762</v>
      </c>
      <c r="AW140" s="157">
        <f t="shared" si="251"/>
        <v>0</v>
      </c>
      <c r="AX140" s="157">
        <f t="shared" si="251"/>
        <v>0</v>
      </c>
      <c r="AY140" s="157">
        <f t="shared" si="251"/>
        <v>0</v>
      </c>
      <c r="AZ140" s="157">
        <f t="shared" si="251"/>
        <v>161.94369118016448</v>
      </c>
      <c r="BA140" s="157">
        <f t="shared" si="251"/>
        <v>460.43825635415624</v>
      </c>
      <c r="BB140" s="157">
        <f t="shared" si="251"/>
        <v>966.21056135614344</v>
      </c>
      <c r="BC140" s="157">
        <f t="shared" si="251"/>
        <v>215.26792114641694</v>
      </c>
      <c r="BD140" s="157">
        <f t="shared" si="251"/>
        <v>0</v>
      </c>
      <c r="BE140" s="157">
        <f t="shared" si="251"/>
        <v>0</v>
      </c>
      <c r="BF140" s="157">
        <f t="shared" si="251"/>
        <v>0</v>
      </c>
      <c r="BG140" s="157">
        <f t="shared" si="251"/>
        <v>0</v>
      </c>
      <c r="BH140" s="157">
        <f t="shared" si="251"/>
        <v>0</v>
      </c>
      <c r="BI140" s="157">
        <f t="shared" si="251"/>
        <v>0</v>
      </c>
      <c r="BJ140" s="157">
        <f t="shared" si="251"/>
        <v>0</v>
      </c>
      <c r="BK140" s="157">
        <f t="shared" si="251"/>
        <v>0</v>
      </c>
      <c r="BL140" s="157">
        <f t="shared" si="251"/>
        <v>1809.3607209686984</v>
      </c>
      <c r="BM140" s="157">
        <f t="shared" si="251"/>
        <v>3845.8997780993122</v>
      </c>
      <c r="BN140" s="157">
        <f t="shared" si="251"/>
        <v>6441.3138772538086</v>
      </c>
      <c r="BO140" s="157">
        <f t="shared" si="251"/>
        <v>7620.7030182297622</v>
      </c>
      <c r="BP140" s="157">
        <f t="shared" ref="BP140:CU140" si="252">MAX(BP138-BP139,0)+MAX(BP137-BP136,0)</f>
        <v>8769.0685132208982</v>
      </c>
      <c r="BQ140" s="157">
        <f t="shared" si="252"/>
        <v>10351.327922198296</v>
      </c>
      <c r="BR140" s="157">
        <f t="shared" si="252"/>
        <v>10480.355452323824</v>
      </c>
      <c r="BS140" s="157">
        <f t="shared" si="252"/>
        <v>10473.106232095781</v>
      </c>
      <c r="BT140" s="157">
        <f t="shared" si="252"/>
        <v>10013.009277784709</v>
      </c>
      <c r="BU140" s="157">
        <f t="shared" si="252"/>
        <v>10194.874158884593</v>
      </c>
      <c r="BV140" s="157">
        <f t="shared" si="252"/>
        <v>11261.01862466013</v>
      </c>
      <c r="BW140" s="157">
        <f t="shared" si="252"/>
        <v>12389.090942198518</v>
      </c>
      <c r="BX140" s="157">
        <f t="shared" si="252"/>
        <v>14149.823798783404</v>
      </c>
      <c r="BY140" s="157">
        <f t="shared" si="252"/>
        <v>16139.228711380334</v>
      </c>
      <c r="BZ140" s="157">
        <f t="shared" si="252"/>
        <v>18681.477333375286</v>
      </c>
      <c r="CA140" s="157">
        <f t="shared" si="252"/>
        <v>19779.451099376933</v>
      </c>
      <c r="CB140" s="157">
        <f t="shared" si="252"/>
        <v>20843.085182551742</v>
      </c>
      <c r="CC140" s="157">
        <f t="shared" si="252"/>
        <v>22355.001431361488</v>
      </c>
      <c r="CD140" s="157">
        <f t="shared" si="252"/>
        <v>22381.938337348627</v>
      </c>
      <c r="CE140" s="157">
        <f t="shared" si="252"/>
        <v>22265.244290221523</v>
      </c>
      <c r="CF140" s="157">
        <f t="shared" si="252"/>
        <v>21695.949014889244</v>
      </c>
      <c r="CG140" s="157">
        <f t="shared" si="252"/>
        <v>21771.116409784481</v>
      </c>
      <c r="CH140" s="157">
        <f t="shared" si="252"/>
        <v>22752.588975107836</v>
      </c>
      <c r="CI140" s="157">
        <f t="shared" si="252"/>
        <v>23804.737775453614</v>
      </c>
      <c r="CJ140" s="157">
        <f t="shared" si="252"/>
        <v>25516.820569958054</v>
      </c>
      <c r="CK140" s="157">
        <f t="shared" si="252"/>
        <v>27458.067973061323</v>
      </c>
      <c r="CL140" s="157">
        <f t="shared" si="252"/>
        <v>29946.123069561123</v>
      </c>
      <c r="CM140" s="157">
        <f t="shared" si="252"/>
        <v>30960.655141664498</v>
      </c>
      <c r="CN140" s="157">
        <f t="shared" si="252"/>
        <v>31937.530765454569</v>
      </c>
      <c r="CO140" s="157">
        <f t="shared" si="252"/>
        <v>33378.077701668844</v>
      </c>
      <c r="CP140" s="157">
        <f t="shared" si="252"/>
        <v>33299.904228681116</v>
      </c>
      <c r="CQ140" s="157">
        <f t="shared" si="252"/>
        <v>33071.744968905594</v>
      </c>
      <c r="CR140" s="157">
        <f t="shared" si="252"/>
        <v>32392.233207103385</v>
      </c>
      <c r="CS140" s="157">
        <f t="shared" si="252"/>
        <v>32357.682280002926</v>
      </c>
      <c r="CT140" s="157">
        <f t="shared" si="252"/>
        <v>33252.462154656889</v>
      </c>
      <c r="CU140" s="157">
        <f t="shared" si="252"/>
        <v>34226.667980627739</v>
      </c>
      <c r="CV140" s="157">
        <f t="shared" ref="CV140:DS140" si="253">MAX(CV138-CV139,0)+MAX(CV137-CV136,0)</f>
        <v>35889.077960451978</v>
      </c>
      <c r="CW140" s="157">
        <f t="shared" si="253"/>
        <v>37780.143905018973</v>
      </c>
      <c r="CX140" s="157">
        <f t="shared" si="253"/>
        <v>40212.976726529283</v>
      </c>
      <c r="CY140" s="157">
        <f t="shared" si="253"/>
        <v>41143.04012788392</v>
      </c>
      <c r="CZ140" s="157">
        <f t="shared" si="253"/>
        <v>42031.129568579505</v>
      </c>
      <c r="DA140" s="157">
        <f t="shared" si="253"/>
        <v>43398.28038600611</v>
      </c>
      <c r="DB140" s="157">
        <f t="shared" si="253"/>
        <v>39466.28038600611</v>
      </c>
      <c r="DC140" s="157">
        <f t="shared" si="253"/>
        <v>35258.28038600611</v>
      </c>
      <c r="DD140" s="157">
        <f t="shared" si="253"/>
        <v>31019.28038600611</v>
      </c>
      <c r="DE140" s="157">
        <f t="shared" si="253"/>
        <v>26922.28038600611</v>
      </c>
      <c r="DF140" s="157">
        <f t="shared" si="253"/>
        <v>23786.28038600611</v>
      </c>
      <c r="DG140" s="157">
        <f t="shared" si="253"/>
        <v>20991.28038600611</v>
      </c>
      <c r="DH140" s="157">
        <f t="shared" si="253"/>
        <v>19290.28038600611</v>
      </c>
      <c r="DI140" s="157">
        <f t="shared" si="253"/>
        <v>17645.28038600611</v>
      </c>
      <c r="DJ140" s="157">
        <f t="shared" si="253"/>
        <v>15837.28038600611</v>
      </c>
      <c r="DK140" s="157">
        <f t="shared" si="253"/>
        <v>12754.28038600611</v>
      </c>
      <c r="DL140" s="157">
        <f t="shared" si="253"/>
        <v>9516.2803860061103</v>
      </c>
      <c r="DM140" s="157">
        <f t="shared" si="253"/>
        <v>6906.2803860061103</v>
      </c>
      <c r="DN140" s="157">
        <f t="shared" si="253"/>
        <v>2876.2803860061103</v>
      </c>
      <c r="DO140" s="157">
        <f t="shared" si="253"/>
        <v>0</v>
      </c>
      <c r="DP140" s="157">
        <f t="shared" si="253"/>
        <v>0</v>
      </c>
      <c r="DQ140" s="157">
        <f t="shared" si="253"/>
        <v>0</v>
      </c>
      <c r="DR140" s="157">
        <f t="shared" si="253"/>
        <v>0</v>
      </c>
      <c r="DS140" s="157">
        <f t="shared" si="253"/>
        <v>0</v>
      </c>
    </row>
    <row r="141" spans="1:123" ht="12.75" customHeight="1" x14ac:dyDescent="0.35">
      <c r="A141" s="147" t="s">
        <v>495</v>
      </c>
      <c r="B141" s="148">
        <f>AA141</f>
        <v>0</v>
      </c>
      <c r="C141" s="139" t="s">
        <v>169</v>
      </c>
      <c r="D141" s="148">
        <f>0</f>
        <v>0</v>
      </c>
      <c r="E141" s="148">
        <f t="shared" ref="E141:AJ141" si="254">D143</f>
        <v>0</v>
      </c>
      <c r="F141" s="148">
        <f t="shared" si="254"/>
        <v>0</v>
      </c>
      <c r="G141" s="148">
        <f t="shared" si="254"/>
        <v>0</v>
      </c>
      <c r="H141" s="148">
        <f t="shared" si="254"/>
        <v>0</v>
      </c>
      <c r="I141" s="148">
        <f t="shared" si="254"/>
        <v>0</v>
      </c>
      <c r="J141" s="148">
        <f t="shared" si="254"/>
        <v>0</v>
      </c>
      <c r="K141" s="148">
        <f t="shared" si="254"/>
        <v>0</v>
      </c>
      <c r="L141" s="148">
        <f t="shared" si="254"/>
        <v>0</v>
      </c>
      <c r="M141" s="148">
        <f t="shared" si="254"/>
        <v>0</v>
      </c>
      <c r="N141" s="148">
        <f t="shared" si="254"/>
        <v>0</v>
      </c>
      <c r="O141" s="148">
        <f t="shared" si="254"/>
        <v>0</v>
      </c>
      <c r="P141" s="148">
        <f t="shared" si="254"/>
        <v>0</v>
      </c>
      <c r="Q141" s="148">
        <f t="shared" si="254"/>
        <v>0</v>
      </c>
      <c r="R141" s="148">
        <f t="shared" si="254"/>
        <v>0</v>
      </c>
      <c r="S141" s="148">
        <f t="shared" si="254"/>
        <v>0</v>
      </c>
      <c r="T141" s="148">
        <f t="shared" si="254"/>
        <v>0</v>
      </c>
      <c r="U141" s="148">
        <f t="shared" si="254"/>
        <v>0</v>
      </c>
      <c r="V141" s="148">
        <f t="shared" si="254"/>
        <v>0</v>
      </c>
      <c r="W141" s="148">
        <f t="shared" si="254"/>
        <v>0</v>
      </c>
      <c r="X141" s="148">
        <f t="shared" si="254"/>
        <v>0</v>
      </c>
      <c r="Y141" s="148">
        <f t="shared" si="254"/>
        <v>0</v>
      </c>
      <c r="Z141" s="148">
        <f t="shared" si="254"/>
        <v>0</v>
      </c>
      <c r="AA141" s="148">
        <f t="shared" si="254"/>
        <v>0</v>
      </c>
      <c r="AB141" s="148">
        <f t="shared" si="254"/>
        <v>0</v>
      </c>
      <c r="AC141" s="148">
        <f t="shared" si="254"/>
        <v>0</v>
      </c>
      <c r="AD141" s="148">
        <f t="shared" si="254"/>
        <v>0</v>
      </c>
      <c r="AE141" s="148">
        <f t="shared" si="254"/>
        <v>0</v>
      </c>
      <c r="AF141" s="148">
        <f t="shared" si="254"/>
        <v>0</v>
      </c>
      <c r="AG141" s="148">
        <f t="shared" si="254"/>
        <v>0</v>
      </c>
      <c r="AH141" s="148">
        <f t="shared" si="254"/>
        <v>0</v>
      </c>
      <c r="AI141" s="148">
        <f t="shared" si="254"/>
        <v>0</v>
      </c>
      <c r="AJ141" s="148">
        <f t="shared" si="254"/>
        <v>0</v>
      </c>
      <c r="AK141" s="148">
        <f t="shared" ref="AK141:BP141" si="255">AJ143</f>
        <v>0</v>
      </c>
      <c r="AL141" s="148">
        <f t="shared" si="255"/>
        <v>0</v>
      </c>
      <c r="AM141" s="148">
        <f t="shared" si="255"/>
        <v>0</v>
      </c>
      <c r="AN141" s="148">
        <f t="shared" si="255"/>
        <v>0</v>
      </c>
      <c r="AO141" s="148">
        <f t="shared" si="255"/>
        <v>0</v>
      </c>
      <c r="AP141" s="148">
        <f t="shared" si="255"/>
        <v>0</v>
      </c>
      <c r="AQ141" s="148">
        <f t="shared" si="255"/>
        <v>0</v>
      </c>
      <c r="AR141" s="148">
        <f t="shared" si="255"/>
        <v>0</v>
      </c>
      <c r="AS141" s="148">
        <f t="shared" si="255"/>
        <v>0</v>
      </c>
      <c r="AT141" s="148">
        <f t="shared" si="255"/>
        <v>0</v>
      </c>
      <c r="AU141" s="148">
        <f t="shared" si="255"/>
        <v>0</v>
      </c>
      <c r="AV141" s="148">
        <f t="shared" si="255"/>
        <v>0</v>
      </c>
      <c r="AW141" s="148">
        <f t="shared" si="255"/>
        <v>0</v>
      </c>
      <c r="AX141" s="148">
        <f t="shared" si="255"/>
        <v>0</v>
      </c>
      <c r="AY141" s="148">
        <f t="shared" si="255"/>
        <v>0</v>
      </c>
      <c r="AZ141" s="148">
        <f t="shared" si="255"/>
        <v>0</v>
      </c>
      <c r="BA141" s="148">
        <f t="shared" si="255"/>
        <v>0</v>
      </c>
      <c r="BB141" s="148">
        <f t="shared" si="255"/>
        <v>0</v>
      </c>
      <c r="BC141" s="148">
        <f t="shared" si="255"/>
        <v>0</v>
      </c>
      <c r="BD141" s="148">
        <f t="shared" si="255"/>
        <v>0</v>
      </c>
      <c r="BE141" s="148">
        <f t="shared" si="255"/>
        <v>0</v>
      </c>
      <c r="BF141" s="148">
        <f t="shared" si="255"/>
        <v>0</v>
      </c>
      <c r="BG141" s="148">
        <f t="shared" si="255"/>
        <v>0</v>
      </c>
      <c r="BH141" s="148">
        <f t="shared" si="255"/>
        <v>0</v>
      </c>
      <c r="BI141" s="148">
        <f t="shared" si="255"/>
        <v>0</v>
      </c>
      <c r="BJ141" s="148">
        <f t="shared" si="255"/>
        <v>0</v>
      </c>
      <c r="BK141" s="148">
        <f t="shared" si="255"/>
        <v>0</v>
      </c>
      <c r="BL141" s="148">
        <f t="shared" si="255"/>
        <v>0</v>
      </c>
      <c r="BM141" s="148">
        <f t="shared" si="255"/>
        <v>0</v>
      </c>
      <c r="BN141" s="148">
        <f t="shared" si="255"/>
        <v>0</v>
      </c>
      <c r="BO141" s="148">
        <f t="shared" si="255"/>
        <v>0</v>
      </c>
      <c r="BP141" s="148">
        <f t="shared" si="255"/>
        <v>0</v>
      </c>
      <c r="BQ141" s="148">
        <f t="shared" ref="BQ141:CV141" si="256">BP143</f>
        <v>0</v>
      </c>
      <c r="BR141" s="148">
        <f t="shared" si="256"/>
        <v>0</v>
      </c>
      <c r="BS141" s="148">
        <f t="shared" si="256"/>
        <v>0</v>
      </c>
      <c r="BT141" s="148">
        <f t="shared" si="256"/>
        <v>0</v>
      </c>
      <c r="BU141" s="148">
        <f t="shared" si="256"/>
        <v>0</v>
      </c>
      <c r="BV141" s="148">
        <f t="shared" si="256"/>
        <v>0</v>
      </c>
      <c r="BW141" s="148">
        <f t="shared" si="256"/>
        <v>0</v>
      </c>
      <c r="BX141" s="148">
        <f t="shared" si="256"/>
        <v>0</v>
      </c>
      <c r="BY141" s="148">
        <f t="shared" si="256"/>
        <v>0</v>
      </c>
      <c r="BZ141" s="148">
        <f t="shared" si="256"/>
        <v>0</v>
      </c>
      <c r="CA141" s="148">
        <f t="shared" si="256"/>
        <v>0</v>
      </c>
      <c r="CB141" s="148">
        <f t="shared" si="256"/>
        <v>0</v>
      </c>
      <c r="CC141" s="148">
        <f t="shared" si="256"/>
        <v>0</v>
      </c>
      <c r="CD141" s="148">
        <f t="shared" si="256"/>
        <v>0</v>
      </c>
      <c r="CE141" s="148">
        <f t="shared" si="256"/>
        <v>0</v>
      </c>
      <c r="CF141" s="148">
        <f t="shared" si="256"/>
        <v>0</v>
      </c>
      <c r="CG141" s="148">
        <f t="shared" si="256"/>
        <v>0</v>
      </c>
      <c r="CH141" s="148">
        <f t="shared" si="256"/>
        <v>0</v>
      </c>
      <c r="CI141" s="148">
        <f t="shared" si="256"/>
        <v>0</v>
      </c>
      <c r="CJ141" s="148">
        <f t="shared" si="256"/>
        <v>0</v>
      </c>
      <c r="CK141" s="148">
        <f t="shared" si="256"/>
        <v>0</v>
      </c>
      <c r="CL141" s="148">
        <f t="shared" si="256"/>
        <v>0</v>
      </c>
      <c r="CM141" s="148">
        <f t="shared" si="256"/>
        <v>0</v>
      </c>
      <c r="CN141" s="148">
        <f t="shared" si="256"/>
        <v>0</v>
      </c>
      <c r="CO141" s="148">
        <f t="shared" si="256"/>
        <v>0</v>
      </c>
      <c r="CP141" s="148">
        <f t="shared" si="256"/>
        <v>0</v>
      </c>
      <c r="CQ141" s="148">
        <f t="shared" si="256"/>
        <v>0</v>
      </c>
      <c r="CR141" s="148">
        <f t="shared" si="256"/>
        <v>0</v>
      </c>
      <c r="CS141" s="148">
        <f t="shared" si="256"/>
        <v>0</v>
      </c>
      <c r="CT141" s="148">
        <f t="shared" si="256"/>
        <v>0</v>
      </c>
      <c r="CU141" s="148">
        <f t="shared" si="256"/>
        <v>0</v>
      </c>
      <c r="CV141" s="148">
        <f t="shared" si="256"/>
        <v>0</v>
      </c>
      <c r="CW141" s="148">
        <f t="shared" ref="CW141:DS141" si="257">CV143</f>
        <v>0</v>
      </c>
      <c r="CX141" s="148">
        <f t="shared" si="257"/>
        <v>0</v>
      </c>
      <c r="CY141" s="148">
        <f t="shared" si="257"/>
        <v>0</v>
      </c>
      <c r="CZ141" s="148">
        <f t="shared" si="257"/>
        <v>0</v>
      </c>
      <c r="DA141" s="148">
        <f t="shared" si="257"/>
        <v>0</v>
      </c>
      <c r="DB141" s="148">
        <f t="shared" si="257"/>
        <v>0</v>
      </c>
      <c r="DC141" s="148">
        <f t="shared" si="257"/>
        <v>0</v>
      </c>
      <c r="DD141" s="148">
        <f t="shared" si="257"/>
        <v>0</v>
      </c>
      <c r="DE141" s="148">
        <f t="shared" si="257"/>
        <v>0</v>
      </c>
      <c r="DF141" s="148">
        <f t="shared" si="257"/>
        <v>0</v>
      </c>
      <c r="DG141" s="148">
        <f t="shared" si="257"/>
        <v>0</v>
      </c>
      <c r="DH141" s="148">
        <f t="shared" si="257"/>
        <v>0</v>
      </c>
      <c r="DI141" s="148">
        <f t="shared" si="257"/>
        <v>0</v>
      </c>
      <c r="DJ141" s="148">
        <f t="shared" si="257"/>
        <v>0</v>
      </c>
      <c r="DK141" s="148">
        <f t="shared" si="257"/>
        <v>0</v>
      </c>
      <c r="DL141" s="148">
        <f t="shared" si="257"/>
        <v>0</v>
      </c>
      <c r="DM141" s="148">
        <f t="shared" si="257"/>
        <v>0</v>
      </c>
      <c r="DN141" s="148">
        <f t="shared" si="257"/>
        <v>0</v>
      </c>
      <c r="DO141" s="148">
        <f t="shared" si="257"/>
        <v>0</v>
      </c>
      <c r="DP141" s="148">
        <f t="shared" si="257"/>
        <v>0</v>
      </c>
      <c r="DQ141" s="148">
        <f t="shared" si="257"/>
        <v>0</v>
      </c>
      <c r="DR141" s="148">
        <f t="shared" si="257"/>
        <v>0</v>
      </c>
      <c r="DS141" s="148">
        <f t="shared" si="257"/>
        <v>0</v>
      </c>
    </row>
    <row r="142" spans="1:123" ht="12.75" customHeight="1" x14ac:dyDescent="0.35">
      <c r="A142" s="147" t="s">
        <v>503</v>
      </c>
      <c r="B142" s="148">
        <f>SUM(D142:BQ142)</f>
        <v>0</v>
      </c>
      <c r="C142" s="139">
        <f>B142/60</f>
        <v>0</v>
      </c>
      <c r="D142" s="148">
        <f t="shared" ref="D142:AI142" si="258">MIN(D141,D136)</f>
        <v>0</v>
      </c>
      <c r="E142" s="148">
        <f t="shared" si="258"/>
        <v>0</v>
      </c>
      <c r="F142" s="148">
        <f t="shared" si="258"/>
        <v>0</v>
      </c>
      <c r="G142" s="148">
        <f t="shared" si="258"/>
        <v>0</v>
      </c>
      <c r="H142" s="148">
        <f t="shared" si="258"/>
        <v>0</v>
      </c>
      <c r="I142" s="148">
        <f t="shared" si="258"/>
        <v>0</v>
      </c>
      <c r="J142" s="148">
        <f t="shared" si="258"/>
        <v>0</v>
      </c>
      <c r="K142" s="148">
        <f t="shared" si="258"/>
        <v>0</v>
      </c>
      <c r="L142" s="148">
        <f t="shared" si="258"/>
        <v>0</v>
      </c>
      <c r="M142" s="148">
        <f t="shared" si="258"/>
        <v>0</v>
      </c>
      <c r="N142" s="148">
        <f t="shared" si="258"/>
        <v>0</v>
      </c>
      <c r="O142" s="148">
        <f t="shared" si="258"/>
        <v>0</v>
      </c>
      <c r="P142" s="148">
        <f t="shared" si="258"/>
        <v>0</v>
      </c>
      <c r="Q142" s="148">
        <f t="shared" si="258"/>
        <v>0</v>
      </c>
      <c r="R142" s="148">
        <f t="shared" si="258"/>
        <v>0</v>
      </c>
      <c r="S142" s="148">
        <f t="shared" si="258"/>
        <v>0</v>
      </c>
      <c r="T142" s="148">
        <f t="shared" si="258"/>
        <v>0</v>
      </c>
      <c r="U142" s="148">
        <f t="shared" si="258"/>
        <v>0</v>
      </c>
      <c r="V142" s="148">
        <f t="shared" si="258"/>
        <v>0</v>
      </c>
      <c r="W142" s="148">
        <f t="shared" si="258"/>
        <v>0</v>
      </c>
      <c r="X142" s="148">
        <f t="shared" si="258"/>
        <v>0</v>
      </c>
      <c r="Y142" s="148">
        <f t="shared" si="258"/>
        <v>0</v>
      </c>
      <c r="Z142" s="148">
        <f t="shared" si="258"/>
        <v>0</v>
      </c>
      <c r="AA142" s="148">
        <f t="shared" si="258"/>
        <v>0</v>
      </c>
      <c r="AB142" s="148">
        <f t="shared" si="258"/>
        <v>0</v>
      </c>
      <c r="AC142" s="148">
        <f t="shared" si="258"/>
        <v>0</v>
      </c>
      <c r="AD142" s="148">
        <f t="shared" si="258"/>
        <v>0</v>
      </c>
      <c r="AE142" s="148">
        <f t="shared" si="258"/>
        <v>0</v>
      </c>
      <c r="AF142" s="148">
        <f t="shared" si="258"/>
        <v>0</v>
      </c>
      <c r="AG142" s="148">
        <f t="shared" si="258"/>
        <v>0</v>
      </c>
      <c r="AH142" s="148">
        <f t="shared" si="258"/>
        <v>0</v>
      </c>
      <c r="AI142" s="148">
        <f t="shared" si="258"/>
        <v>0</v>
      </c>
      <c r="AJ142" s="148">
        <f t="shared" ref="AJ142:BO142" si="259">MIN(AJ141,AJ136)</f>
        <v>0</v>
      </c>
      <c r="AK142" s="148">
        <f t="shared" si="259"/>
        <v>0</v>
      </c>
      <c r="AL142" s="148">
        <f t="shared" si="259"/>
        <v>0</v>
      </c>
      <c r="AM142" s="148">
        <f t="shared" si="259"/>
        <v>0</v>
      </c>
      <c r="AN142" s="148">
        <f t="shared" si="259"/>
        <v>0</v>
      </c>
      <c r="AO142" s="148">
        <f t="shared" si="259"/>
        <v>0</v>
      </c>
      <c r="AP142" s="148">
        <f t="shared" si="259"/>
        <v>0</v>
      </c>
      <c r="AQ142" s="148">
        <f t="shared" si="259"/>
        <v>0</v>
      </c>
      <c r="AR142" s="148">
        <f t="shared" si="259"/>
        <v>0</v>
      </c>
      <c r="AS142" s="148">
        <f t="shared" si="259"/>
        <v>0</v>
      </c>
      <c r="AT142" s="148">
        <f t="shared" si="259"/>
        <v>0</v>
      </c>
      <c r="AU142" s="148">
        <f t="shared" si="259"/>
        <v>0</v>
      </c>
      <c r="AV142" s="148">
        <f t="shared" si="259"/>
        <v>0</v>
      </c>
      <c r="AW142" s="148">
        <f t="shared" si="259"/>
        <v>0</v>
      </c>
      <c r="AX142" s="148">
        <f t="shared" si="259"/>
        <v>0</v>
      </c>
      <c r="AY142" s="148">
        <f t="shared" si="259"/>
        <v>0</v>
      </c>
      <c r="AZ142" s="148">
        <f t="shared" si="259"/>
        <v>0</v>
      </c>
      <c r="BA142" s="148">
        <f t="shared" si="259"/>
        <v>0</v>
      </c>
      <c r="BB142" s="148">
        <f t="shared" si="259"/>
        <v>0</v>
      </c>
      <c r="BC142" s="148">
        <f t="shared" si="259"/>
        <v>0</v>
      </c>
      <c r="BD142" s="148">
        <f t="shared" si="259"/>
        <v>0</v>
      </c>
      <c r="BE142" s="148">
        <f t="shared" si="259"/>
        <v>0</v>
      </c>
      <c r="BF142" s="148">
        <f t="shared" si="259"/>
        <v>0</v>
      </c>
      <c r="BG142" s="148">
        <f t="shared" si="259"/>
        <v>0</v>
      </c>
      <c r="BH142" s="148">
        <f t="shared" si="259"/>
        <v>0</v>
      </c>
      <c r="BI142" s="148">
        <f t="shared" si="259"/>
        <v>0</v>
      </c>
      <c r="BJ142" s="148">
        <f t="shared" si="259"/>
        <v>0</v>
      </c>
      <c r="BK142" s="148">
        <f t="shared" si="259"/>
        <v>0</v>
      </c>
      <c r="BL142" s="148">
        <f t="shared" si="259"/>
        <v>0</v>
      </c>
      <c r="BM142" s="148">
        <f t="shared" si="259"/>
        <v>0</v>
      </c>
      <c r="BN142" s="148">
        <f t="shared" si="259"/>
        <v>0</v>
      </c>
      <c r="BO142" s="148">
        <f t="shared" si="259"/>
        <v>0</v>
      </c>
      <c r="BP142" s="148">
        <f t="shared" ref="BP142:CU142" si="260">MIN(BP141,BP136)</f>
        <v>0</v>
      </c>
      <c r="BQ142" s="148">
        <f t="shared" si="260"/>
        <v>0</v>
      </c>
      <c r="BR142" s="148">
        <f t="shared" si="260"/>
        <v>0</v>
      </c>
      <c r="BS142" s="148">
        <f t="shared" si="260"/>
        <v>0</v>
      </c>
      <c r="BT142" s="148">
        <f t="shared" si="260"/>
        <v>0</v>
      </c>
      <c r="BU142" s="148">
        <f t="shared" si="260"/>
        <v>0</v>
      </c>
      <c r="BV142" s="148">
        <f t="shared" si="260"/>
        <v>0</v>
      </c>
      <c r="BW142" s="148">
        <f t="shared" si="260"/>
        <v>0</v>
      </c>
      <c r="BX142" s="148">
        <f t="shared" si="260"/>
        <v>0</v>
      </c>
      <c r="BY142" s="148">
        <f t="shared" si="260"/>
        <v>0</v>
      </c>
      <c r="BZ142" s="148">
        <f t="shared" si="260"/>
        <v>0</v>
      </c>
      <c r="CA142" s="148">
        <f t="shared" si="260"/>
        <v>0</v>
      </c>
      <c r="CB142" s="148">
        <f t="shared" si="260"/>
        <v>0</v>
      </c>
      <c r="CC142" s="148">
        <f t="shared" si="260"/>
        <v>0</v>
      </c>
      <c r="CD142" s="148">
        <f t="shared" si="260"/>
        <v>0</v>
      </c>
      <c r="CE142" s="148">
        <f t="shared" si="260"/>
        <v>0</v>
      </c>
      <c r="CF142" s="148">
        <f t="shared" si="260"/>
        <v>0</v>
      </c>
      <c r="CG142" s="148">
        <f t="shared" si="260"/>
        <v>0</v>
      </c>
      <c r="CH142" s="148">
        <f t="shared" si="260"/>
        <v>0</v>
      </c>
      <c r="CI142" s="148">
        <f t="shared" si="260"/>
        <v>0</v>
      </c>
      <c r="CJ142" s="148">
        <f t="shared" si="260"/>
        <v>0</v>
      </c>
      <c r="CK142" s="148">
        <f t="shared" si="260"/>
        <v>0</v>
      </c>
      <c r="CL142" s="148">
        <f t="shared" si="260"/>
        <v>0</v>
      </c>
      <c r="CM142" s="148">
        <f t="shared" si="260"/>
        <v>0</v>
      </c>
      <c r="CN142" s="148">
        <f t="shared" si="260"/>
        <v>0</v>
      </c>
      <c r="CO142" s="148">
        <f t="shared" si="260"/>
        <v>0</v>
      </c>
      <c r="CP142" s="148">
        <f t="shared" si="260"/>
        <v>0</v>
      </c>
      <c r="CQ142" s="148">
        <f t="shared" si="260"/>
        <v>0</v>
      </c>
      <c r="CR142" s="148">
        <f t="shared" si="260"/>
        <v>0</v>
      </c>
      <c r="CS142" s="148">
        <f t="shared" si="260"/>
        <v>0</v>
      </c>
      <c r="CT142" s="148">
        <f t="shared" si="260"/>
        <v>0</v>
      </c>
      <c r="CU142" s="148">
        <f t="shared" si="260"/>
        <v>0</v>
      </c>
      <c r="CV142" s="148">
        <f t="shared" ref="CV142:DS142" si="261">MIN(CV141,CV136)</f>
        <v>0</v>
      </c>
      <c r="CW142" s="148">
        <f t="shared" si="261"/>
        <v>0</v>
      </c>
      <c r="CX142" s="148">
        <f t="shared" si="261"/>
        <v>0</v>
      </c>
      <c r="CY142" s="148">
        <f t="shared" si="261"/>
        <v>0</v>
      </c>
      <c r="CZ142" s="148">
        <f t="shared" si="261"/>
        <v>0</v>
      </c>
      <c r="DA142" s="148">
        <f t="shared" si="261"/>
        <v>0</v>
      </c>
      <c r="DB142" s="148">
        <f t="shared" si="261"/>
        <v>0</v>
      </c>
      <c r="DC142" s="148">
        <f t="shared" si="261"/>
        <v>0</v>
      </c>
      <c r="DD142" s="148">
        <f t="shared" si="261"/>
        <v>0</v>
      </c>
      <c r="DE142" s="148">
        <f t="shared" si="261"/>
        <v>0</v>
      </c>
      <c r="DF142" s="148">
        <f t="shared" si="261"/>
        <v>0</v>
      </c>
      <c r="DG142" s="148">
        <f t="shared" si="261"/>
        <v>0</v>
      </c>
      <c r="DH142" s="148">
        <f t="shared" si="261"/>
        <v>0</v>
      </c>
      <c r="DI142" s="148">
        <f t="shared" si="261"/>
        <v>0</v>
      </c>
      <c r="DJ142" s="148">
        <f t="shared" si="261"/>
        <v>0</v>
      </c>
      <c r="DK142" s="148">
        <f t="shared" si="261"/>
        <v>0</v>
      </c>
      <c r="DL142" s="148">
        <f t="shared" si="261"/>
        <v>0</v>
      </c>
      <c r="DM142" s="148">
        <f t="shared" si="261"/>
        <v>0</v>
      </c>
      <c r="DN142" s="148">
        <f t="shared" si="261"/>
        <v>0</v>
      </c>
      <c r="DO142" s="148">
        <f t="shared" si="261"/>
        <v>0</v>
      </c>
      <c r="DP142" s="148">
        <f t="shared" si="261"/>
        <v>0</v>
      </c>
      <c r="DQ142" s="148">
        <f t="shared" si="261"/>
        <v>0</v>
      </c>
      <c r="DR142" s="148">
        <f t="shared" si="261"/>
        <v>0</v>
      </c>
      <c r="DS142" s="148">
        <f t="shared" si="261"/>
        <v>0</v>
      </c>
    </row>
    <row r="143" spans="1:123" ht="12.75" customHeight="1" x14ac:dyDescent="0.35">
      <c r="A143" s="147" t="s">
        <v>504</v>
      </c>
      <c r="B143" s="148">
        <f>AA143</f>
        <v>0</v>
      </c>
      <c r="C143" s="139" t="s">
        <v>169</v>
      </c>
      <c r="D143" s="168">
        <f t="shared" ref="D143:AI143" si="262">MAX(D141-D142,0)</f>
        <v>0</v>
      </c>
      <c r="E143" s="168">
        <f t="shared" si="262"/>
        <v>0</v>
      </c>
      <c r="F143" s="168">
        <f t="shared" si="262"/>
        <v>0</v>
      </c>
      <c r="G143" s="168">
        <f t="shared" si="262"/>
        <v>0</v>
      </c>
      <c r="H143" s="168">
        <f t="shared" si="262"/>
        <v>0</v>
      </c>
      <c r="I143" s="168">
        <f t="shared" si="262"/>
        <v>0</v>
      </c>
      <c r="J143" s="168">
        <f t="shared" si="262"/>
        <v>0</v>
      </c>
      <c r="K143" s="168">
        <f t="shared" si="262"/>
        <v>0</v>
      </c>
      <c r="L143" s="168">
        <f t="shared" si="262"/>
        <v>0</v>
      </c>
      <c r="M143" s="168">
        <f t="shared" si="262"/>
        <v>0</v>
      </c>
      <c r="N143" s="168">
        <f t="shared" si="262"/>
        <v>0</v>
      </c>
      <c r="O143" s="168">
        <f t="shared" si="262"/>
        <v>0</v>
      </c>
      <c r="P143" s="168">
        <f t="shared" si="262"/>
        <v>0</v>
      </c>
      <c r="Q143" s="168">
        <f t="shared" si="262"/>
        <v>0</v>
      </c>
      <c r="R143" s="168">
        <f t="shared" si="262"/>
        <v>0</v>
      </c>
      <c r="S143" s="168">
        <f t="shared" si="262"/>
        <v>0</v>
      </c>
      <c r="T143" s="168">
        <f t="shared" si="262"/>
        <v>0</v>
      </c>
      <c r="U143" s="168">
        <f t="shared" si="262"/>
        <v>0</v>
      </c>
      <c r="V143" s="168">
        <f t="shared" si="262"/>
        <v>0</v>
      </c>
      <c r="W143" s="168">
        <f t="shared" si="262"/>
        <v>0</v>
      </c>
      <c r="X143" s="168">
        <f t="shared" si="262"/>
        <v>0</v>
      </c>
      <c r="Y143" s="168">
        <f t="shared" si="262"/>
        <v>0</v>
      </c>
      <c r="Z143" s="168">
        <f t="shared" si="262"/>
        <v>0</v>
      </c>
      <c r="AA143" s="168">
        <f t="shared" si="262"/>
        <v>0</v>
      </c>
      <c r="AB143" s="168">
        <f t="shared" si="262"/>
        <v>0</v>
      </c>
      <c r="AC143" s="168">
        <f t="shared" si="262"/>
        <v>0</v>
      </c>
      <c r="AD143" s="168">
        <f t="shared" si="262"/>
        <v>0</v>
      </c>
      <c r="AE143" s="168">
        <f t="shared" si="262"/>
        <v>0</v>
      </c>
      <c r="AF143" s="168">
        <f t="shared" si="262"/>
        <v>0</v>
      </c>
      <c r="AG143" s="168">
        <f t="shared" si="262"/>
        <v>0</v>
      </c>
      <c r="AH143" s="168">
        <f t="shared" si="262"/>
        <v>0</v>
      </c>
      <c r="AI143" s="168">
        <f t="shared" si="262"/>
        <v>0</v>
      </c>
      <c r="AJ143" s="168">
        <f t="shared" ref="AJ143:BO143" si="263">MAX(AJ141-AJ142,0)</f>
        <v>0</v>
      </c>
      <c r="AK143" s="168">
        <f t="shared" si="263"/>
        <v>0</v>
      </c>
      <c r="AL143" s="168">
        <f t="shared" si="263"/>
        <v>0</v>
      </c>
      <c r="AM143" s="168">
        <f t="shared" si="263"/>
        <v>0</v>
      </c>
      <c r="AN143" s="168">
        <f t="shared" si="263"/>
        <v>0</v>
      </c>
      <c r="AO143" s="168">
        <f t="shared" si="263"/>
        <v>0</v>
      </c>
      <c r="AP143" s="168">
        <f t="shared" si="263"/>
        <v>0</v>
      </c>
      <c r="AQ143" s="168">
        <f t="shared" si="263"/>
        <v>0</v>
      </c>
      <c r="AR143" s="168">
        <f t="shared" si="263"/>
        <v>0</v>
      </c>
      <c r="AS143" s="168">
        <f t="shared" si="263"/>
        <v>0</v>
      </c>
      <c r="AT143" s="168">
        <f t="shared" si="263"/>
        <v>0</v>
      </c>
      <c r="AU143" s="168">
        <f t="shared" si="263"/>
        <v>0</v>
      </c>
      <c r="AV143" s="168">
        <f t="shared" si="263"/>
        <v>0</v>
      </c>
      <c r="AW143" s="168">
        <f t="shared" si="263"/>
        <v>0</v>
      </c>
      <c r="AX143" s="168">
        <f t="shared" si="263"/>
        <v>0</v>
      </c>
      <c r="AY143" s="168">
        <f t="shared" si="263"/>
        <v>0</v>
      </c>
      <c r="AZ143" s="168">
        <f t="shared" si="263"/>
        <v>0</v>
      </c>
      <c r="BA143" s="168">
        <f t="shared" si="263"/>
        <v>0</v>
      </c>
      <c r="BB143" s="168">
        <f t="shared" si="263"/>
        <v>0</v>
      </c>
      <c r="BC143" s="168">
        <f t="shared" si="263"/>
        <v>0</v>
      </c>
      <c r="BD143" s="168">
        <f t="shared" si="263"/>
        <v>0</v>
      </c>
      <c r="BE143" s="168">
        <f t="shared" si="263"/>
        <v>0</v>
      </c>
      <c r="BF143" s="168">
        <f t="shared" si="263"/>
        <v>0</v>
      </c>
      <c r="BG143" s="168">
        <f t="shared" si="263"/>
        <v>0</v>
      </c>
      <c r="BH143" s="168">
        <f t="shared" si="263"/>
        <v>0</v>
      </c>
      <c r="BI143" s="168">
        <f t="shared" si="263"/>
        <v>0</v>
      </c>
      <c r="BJ143" s="168">
        <f t="shared" si="263"/>
        <v>0</v>
      </c>
      <c r="BK143" s="168">
        <f t="shared" si="263"/>
        <v>0</v>
      </c>
      <c r="BL143" s="168">
        <f t="shared" si="263"/>
        <v>0</v>
      </c>
      <c r="BM143" s="168">
        <f t="shared" si="263"/>
        <v>0</v>
      </c>
      <c r="BN143" s="168">
        <f t="shared" si="263"/>
        <v>0</v>
      </c>
      <c r="BO143" s="168">
        <f t="shared" si="263"/>
        <v>0</v>
      </c>
      <c r="BP143" s="168">
        <f t="shared" ref="BP143:CU143" si="264">MAX(BP141-BP142,0)</f>
        <v>0</v>
      </c>
      <c r="BQ143" s="168">
        <f t="shared" si="264"/>
        <v>0</v>
      </c>
      <c r="BR143" s="168">
        <f t="shared" si="264"/>
        <v>0</v>
      </c>
      <c r="BS143" s="168">
        <f t="shared" si="264"/>
        <v>0</v>
      </c>
      <c r="BT143" s="168">
        <f t="shared" si="264"/>
        <v>0</v>
      </c>
      <c r="BU143" s="168">
        <f t="shared" si="264"/>
        <v>0</v>
      </c>
      <c r="BV143" s="168">
        <f t="shared" si="264"/>
        <v>0</v>
      </c>
      <c r="BW143" s="168">
        <f t="shared" si="264"/>
        <v>0</v>
      </c>
      <c r="BX143" s="168">
        <f t="shared" si="264"/>
        <v>0</v>
      </c>
      <c r="BY143" s="168">
        <f t="shared" si="264"/>
        <v>0</v>
      </c>
      <c r="BZ143" s="168">
        <f t="shared" si="264"/>
        <v>0</v>
      </c>
      <c r="CA143" s="168">
        <f t="shared" si="264"/>
        <v>0</v>
      </c>
      <c r="CB143" s="168">
        <f t="shared" si="264"/>
        <v>0</v>
      </c>
      <c r="CC143" s="168">
        <f t="shared" si="264"/>
        <v>0</v>
      </c>
      <c r="CD143" s="168">
        <f t="shared" si="264"/>
        <v>0</v>
      </c>
      <c r="CE143" s="168">
        <f t="shared" si="264"/>
        <v>0</v>
      </c>
      <c r="CF143" s="168">
        <f t="shared" si="264"/>
        <v>0</v>
      </c>
      <c r="CG143" s="168">
        <f t="shared" si="264"/>
        <v>0</v>
      </c>
      <c r="CH143" s="168">
        <f t="shared" si="264"/>
        <v>0</v>
      </c>
      <c r="CI143" s="168">
        <f t="shared" si="264"/>
        <v>0</v>
      </c>
      <c r="CJ143" s="168">
        <f t="shared" si="264"/>
        <v>0</v>
      </c>
      <c r="CK143" s="168">
        <f t="shared" si="264"/>
        <v>0</v>
      </c>
      <c r="CL143" s="168">
        <f t="shared" si="264"/>
        <v>0</v>
      </c>
      <c r="CM143" s="168">
        <f t="shared" si="264"/>
        <v>0</v>
      </c>
      <c r="CN143" s="168">
        <f t="shared" si="264"/>
        <v>0</v>
      </c>
      <c r="CO143" s="168">
        <f t="shared" si="264"/>
        <v>0</v>
      </c>
      <c r="CP143" s="168">
        <f t="shared" si="264"/>
        <v>0</v>
      </c>
      <c r="CQ143" s="168">
        <f t="shared" si="264"/>
        <v>0</v>
      </c>
      <c r="CR143" s="168">
        <f t="shared" si="264"/>
        <v>0</v>
      </c>
      <c r="CS143" s="168">
        <f t="shared" si="264"/>
        <v>0</v>
      </c>
      <c r="CT143" s="168">
        <f t="shared" si="264"/>
        <v>0</v>
      </c>
      <c r="CU143" s="168">
        <f t="shared" si="264"/>
        <v>0</v>
      </c>
      <c r="CV143" s="168">
        <f t="shared" ref="CV143:DS143" si="265">MAX(CV141-CV142,0)</f>
        <v>0</v>
      </c>
      <c r="CW143" s="168">
        <f t="shared" si="265"/>
        <v>0</v>
      </c>
      <c r="CX143" s="168">
        <f t="shared" si="265"/>
        <v>0</v>
      </c>
      <c r="CY143" s="168">
        <f t="shared" si="265"/>
        <v>0</v>
      </c>
      <c r="CZ143" s="168">
        <f t="shared" si="265"/>
        <v>0</v>
      </c>
      <c r="DA143" s="168">
        <f t="shared" si="265"/>
        <v>0</v>
      </c>
      <c r="DB143" s="168">
        <f t="shared" si="265"/>
        <v>0</v>
      </c>
      <c r="DC143" s="168">
        <f t="shared" si="265"/>
        <v>0</v>
      </c>
      <c r="DD143" s="168">
        <f t="shared" si="265"/>
        <v>0</v>
      </c>
      <c r="DE143" s="168">
        <f t="shared" si="265"/>
        <v>0</v>
      </c>
      <c r="DF143" s="168">
        <f t="shared" si="265"/>
        <v>0</v>
      </c>
      <c r="DG143" s="168">
        <f t="shared" si="265"/>
        <v>0</v>
      </c>
      <c r="DH143" s="168">
        <f t="shared" si="265"/>
        <v>0</v>
      </c>
      <c r="DI143" s="168">
        <f t="shared" si="265"/>
        <v>0</v>
      </c>
      <c r="DJ143" s="168">
        <f t="shared" si="265"/>
        <v>0</v>
      </c>
      <c r="DK143" s="168">
        <f t="shared" si="265"/>
        <v>0</v>
      </c>
      <c r="DL143" s="168">
        <f t="shared" si="265"/>
        <v>0</v>
      </c>
      <c r="DM143" s="168">
        <f t="shared" si="265"/>
        <v>0</v>
      </c>
      <c r="DN143" s="168">
        <f t="shared" si="265"/>
        <v>0</v>
      </c>
      <c r="DO143" s="168">
        <f t="shared" si="265"/>
        <v>0</v>
      </c>
      <c r="DP143" s="168">
        <f t="shared" si="265"/>
        <v>0</v>
      </c>
      <c r="DQ143" s="168">
        <f t="shared" si="265"/>
        <v>0</v>
      </c>
      <c r="DR143" s="168">
        <f t="shared" si="265"/>
        <v>0</v>
      </c>
      <c r="DS143" s="168">
        <f t="shared" si="265"/>
        <v>0</v>
      </c>
    </row>
    <row r="144" spans="1:123" ht="12.75" customHeight="1" x14ac:dyDescent="0.35">
      <c r="A144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44" s="162">
        <f>SUM(D144:BQ144)</f>
        <v>155793.43940661551</v>
      </c>
      <c r="C144" s="144">
        <f>B144/60</f>
        <v>2596.5573234435919</v>
      </c>
      <c r="D144" s="162">
        <f>D136*Premissas!$F$19</f>
        <v>1260.5186322106401</v>
      </c>
      <c r="E144" s="162">
        <f>E136*Premissas!$F$19</f>
        <v>1218.8715408380419</v>
      </c>
      <c r="F144" s="162">
        <f>F136*Premissas!$F$19</f>
        <v>1340.1108512782723</v>
      </c>
      <c r="G144" s="162">
        <f>G136*Premissas!$F$19</f>
        <v>2285.0370799765569</v>
      </c>
      <c r="H144" s="162">
        <f>H136*Premissas!$F$19</f>
        <v>2399.7979539810499</v>
      </c>
      <c r="I144" s="162">
        <f>I136*Premissas!$F$19</f>
        <v>1934.2760215273406</v>
      </c>
      <c r="J144" s="162">
        <f>J136*Premissas!$F$19</f>
        <v>2986.5591968749895</v>
      </c>
      <c r="K144" s="162">
        <f>K136*Premissas!$F$19</f>
        <v>3196.6456355767632</v>
      </c>
      <c r="L144" s="162">
        <f>L136*Premissas!$F$19</f>
        <v>3219.7829085615399</v>
      </c>
      <c r="M144" s="162">
        <f>M136*Premissas!$F$19</f>
        <v>3112.4259619121754</v>
      </c>
      <c r="N144" s="162">
        <f>N136*Premissas!$F$19</f>
        <v>2382.2136265126196</v>
      </c>
      <c r="O144" s="162">
        <f>O136*Premissas!$F$19</f>
        <v>2123.0761690831196</v>
      </c>
      <c r="P144" s="162">
        <f>P136*Premissas!$F$19</f>
        <v>1291.9853234699367</v>
      </c>
      <c r="Q144" s="162">
        <f>Q136*Premissas!$F$19</f>
        <v>1249.4127411779473</v>
      </c>
      <c r="R144" s="162">
        <f>R136*Premissas!$F$19</f>
        <v>1373.4285243763509</v>
      </c>
      <c r="S144" s="162">
        <f>S136*Premissas!$F$19</f>
        <v>2342.4175169788036</v>
      </c>
      <c r="T144" s="162">
        <f>T136*Premissas!$F$19</f>
        <v>2459.9548637414696</v>
      </c>
      <c r="U144" s="162">
        <f>U136*Premissas!$F$19</f>
        <v>1982.4015493356765</v>
      </c>
      <c r="V144" s="162">
        <f>V136*Premissas!$F$19</f>
        <v>3061.5239613456665</v>
      </c>
      <c r="W144" s="162">
        <f>W136*Premissas!$F$19</f>
        <v>3196.6456355767632</v>
      </c>
      <c r="X144" s="162">
        <f>X136*Premissas!$F$19</f>
        <v>3219.7829085615399</v>
      </c>
      <c r="Y144" s="162">
        <f>Y136*Premissas!$F$19</f>
        <v>3112.4259619121754</v>
      </c>
      <c r="Z144" s="162">
        <f>Z136*Premissas!$F$19</f>
        <v>2382.2136265126196</v>
      </c>
      <c r="AA144" s="162">
        <f>AA136*Premissas!$F$19</f>
        <v>2123.0761690831196</v>
      </c>
      <c r="AB144" s="162">
        <f>AB136*Premissas!$F$19</f>
        <v>1324.3775056486243</v>
      </c>
      <c r="AC144" s="162">
        <f>AC136*Premissas!$F$19</f>
        <v>1280.8794324372438</v>
      </c>
      <c r="AD144" s="162">
        <f>AD136*Premissas!$F$19</f>
        <v>1407.6716883938207</v>
      </c>
      <c r="AE144" s="162">
        <f>AE136*Premissas!$F$19</f>
        <v>2400.7234449004409</v>
      </c>
      <c r="AF144" s="162">
        <f>AF136*Premissas!$F$19</f>
        <v>2521.0372644212803</v>
      </c>
      <c r="AG144" s="162">
        <f>AG136*Premissas!$F$19</f>
        <v>2032.3780589827943</v>
      </c>
      <c r="AH144" s="162">
        <f>AH136*Premissas!$F$19</f>
        <v>3137.4142167357345</v>
      </c>
      <c r="AI144" s="162">
        <f>AI136*Premissas!$F$19</f>
        <v>3358.6065464702006</v>
      </c>
      <c r="AJ144" s="162">
        <f>AJ136*Premissas!$F$19</f>
        <v>3382.6693103743683</v>
      </c>
      <c r="AK144" s="162">
        <f>AK136*Premissas!$F$19</f>
        <v>3269.7594182086577</v>
      </c>
      <c r="AL144" s="162">
        <f>AL136*Premissas!$F$19</f>
        <v>2502.527446033459</v>
      </c>
      <c r="AM144" s="162">
        <f>AM136*Premissas!$F$19</f>
        <v>2230.4331157324837</v>
      </c>
      <c r="AN144" s="162">
        <f>AN136*Premissas!$F$19</f>
        <v>1357.6951787467028</v>
      </c>
      <c r="AO144" s="162">
        <f>AO136*Premissas!$F$19</f>
        <v>1312.3461236965402</v>
      </c>
      <c r="AP144" s="162">
        <f>AP136*Premissas!$F$19</f>
        <v>1442.8403433306814</v>
      </c>
      <c r="AQ144" s="162">
        <f>AQ136*Premissas!$F$19</f>
        <v>2460.8803546608606</v>
      </c>
      <c r="AR144" s="162">
        <f>AR136*Premissas!$F$19</f>
        <v>2583.9706469398734</v>
      </c>
      <c r="AS144" s="162">
        <f>AS136*Premissas!$F$19</f>
        <v>2083.2800595493031</v>
      </c>
      <c r="AT144" s="162">
        <f>AT136*Premissas!$F$19</f>
        <v>3216.0809448839755</v>
      </c>
      <c r="AU144" s="162">
        <f>AU136*Premissas!$F$19</f>
        <v>3442.8262201347879</v>
      </c>
      <c r="AV144" s="162">
        <f>AV136*Premissas!$F$19</f>
        <v>3467.8144749583471</v>
      </c>
      <c r="AW144" s="162">
        <f>AW136*Premissas!$F$19</f>
        <v>3352.1281100344631</v>
      </c>
      <c r="AX144" s="162">
        <f>AX136*Premissas!$F$19</f>
        <v>2565.4608285520517</v>
      </c>
      <c r="AY144" s="162">
        <f>AY136*Premissas!$F$19</f>
        <v>2285.9625708959479</v>
      </c>
      <c r="AZ144" s="162">
        <f>AZ136*Premissas!$F$19</f>
        <v>1391.0128518447814</v>
      </c>
      <c r="BA144" s="162">
        <f>BA136*Premissas!$F$19</f>
        <v>1345.6637967946187</v>
      </c>
      <c r="BB144" s="162">
        <f>BB136*Premissas!$F$19</f>
        <v>1478.9344891869332</v>
      </c>
      <c r="BC144" s="162">
        <f>BC136*Premissas!$F$19</f>
        <v>2521.9627553406713</v>
      </c>
      <c r="BD144" s="162">
        <f>BD136*Premissas!$F$19</f>
        <v>2648.7550112972485</v>
      </c>
      <c r="BE144" s="162">
        <f>BE136*Premissas!$F$19</f>
        <v>2135.1075510352034</v>
      </c>
      <c r="BF144" s="162">
        <f>BF136*Premissas!$F$19</f>
        <v>3296.5986548709989</v>
      </c>
      <c r="BG144" s="162">
        <f>BG136*Premissas!$F$19</f>
        <v>3528.8968756381578</v>
      </c>
      <c r="BH144" s="162">
        <f>BH136*Premissas!$F$19</f>
        <v>3553.8851304617169</v>
      </c>
      <c r="BI144" s="162">
        <f>BI136*Premissas!$F$19</f>
        <v>3435.4222927796595</v>
      </c>
      <c r="BJ144" s="162">
        <f>BJ136*Premissas!$F$19</f>
        <v>2629.3197019900358</v>
      </c>
      <c r="BK144" s="162">
        <f>BK136*Premissas!$F$19</f>
        <v>2343.3430078981946</v>
      </c>
      <c r="BL144" s="162">
        <f>BL136*Premissas!$F$19</f>
        <v>1426.1815067816422</v>
      </c>
      <c r="BM144" s="162">
        <f>BM136*Premissas!$F$19</f>
        <v>1378.9814698926973</v>
      </c>
      <c r="BN144" s="162">
        <f>BN136*Premissas!$F$19</f>
        <v>1515.954125962576</v>
      </c>
      <c r="BO144" s="162">
        <f>BO136*Premissas!$F$19</f>
        <v>2584.8961378592644</v>
      </c>
      <c r="BP144" s="162">
        <f>BP136*Premissas!$F$19</f>
        <v>2715.3903574934056</v>
      </c>
      <c r="BQ144" s="162">
        <f>BQ136*Premissas!$F$19</f>
        <v>2188.7860243598857</v>
      </c>
      <c r="BR144" s="162">
        <f>BR136*Premissas!$F$19</f>
        <v>3378.9673466968043</v>
      </c>
      <c r="BS144" s="162">
        <f>BS136*Premissas!$F$19</f>
        <v>3616.8185129803096</v>
      </c>
      <c r="BT144" s="162">
        <f>BT136*Premissas!$F$19</f>
        <v>3642.7322587232597</v>
      </c>
      <c r="BU144" s="162">
        <f>BU136*Premissas!$F$19</f>
        <v>3521.4929482830294</v>
      </c>
      <c r="BV144" s="162">
        <f>BV136*Premissas!$F$19</f>
        <v>2695.0295572668019</v>
      </c>
      <c r="BW144" s="162">
        <f>BW136*Premissas!$F$19</f>
        <v>2401.6489358198319</v>
      </c>
      <c r="BX144" s="162">
        <f>BX136*Premissas!$F$19</f>
        <v>1462.2756526378939</v>
      </c>
      <c r="BY144" s="162">
        <f>BY136*Premissas!$F$19</f>
        <v>1413.2246339101671</v>
      </c>
      <c r="BZ144" s="162">
        <f>BZ136*Premissas!$F$19</f>
        <v>1553.89925365761</v>
      </c>
      <c r="CA144" s="162">
        <f>CA136*Premissas!$F$19</f>
        <v>2649.6805022166395</v>
      </c>
      <c r="CB144" s="162">
        <f>CB136*Premissas!$F$19</f>
        <v>2782.9511946089538</v>
      </c>
      <c r="CC144" s="162">
        <f>CC136*Premissas!$F$19</f>
        <v>2243.389988603959</v>
      </c>
      <c r="CD144" s="162">
        <f>CD136*Premissas!$F$19</f>
        <v>3463.1870203613917</v>
      </c>
      <c r="CE144" s="162">
        <f>CE136*Premissas!$F$19</f>
        <v>3707.5166230806349</v>
      </c>
      <c r="CF144" s="162">
        <f>CF136*Premissas!$F$19</f>
        <v>3734.355859742976</v>
      </c>
      <c r="CG144" s="162">
        <f>CG136*Premissas!$F$19</f>
        <v>3609.4145856251812</v>
      </c>
      <c r="CH144" s="162">
        <f>CH136*Premissas!$F$19</f>
        <v>2762.59039438235</v>
      </c>
      <c r="CI144" s="162">
        <f>CI136*Premissas!$F$19</f>
        <v>2461.8058455802516</v>
      </c>
      <c r="CJ144" s="162">
        <f>CJ136*Premissas!$F$19</f>
        <v>1498.3697984941457</v>
      </c>
      <c r="CK144" s="162">
        <f>CK136*Premissas!$F$19</f>
        <v>1448.3932888470279</v>
      </c>
      <c r="CL144" s="162">
        <f>CL136*Premissas!$F$19</f>
        <v>1592.7698722720352</v>
      </c>
      <c r="CM144" s="162">
        <f>CM136*Premissas!$F$19</f>
        <v>2716.3158484127966</v>
      </c>
      <c r="CN144" s="162">
        <f>CN136*Premissas!$F$19</f>
        <v>2852.3630135632843</v>
      </c>
      <c r="CO144" s="162">
        <f>CO136*Premissas!$F$19</f>
        <v>2298.9194437674232</v>
      </c>
      <c r="CP144" s="162">
        <f>CP136*Premissas!$F$19</f>
        <v>3550.1831667841525</v>
      </c>
      <c r="CQ144" s="162">
        <f>CQ136*Premissas!$F$19</f>
        <v>3800.0657150197421</v>
      </c>
      <c r="CR144" s="162">
        <f>CR136*Premissas!$F$19</f>
        <v>3826.9049516820833</v>
      </c>
      <c r="CS144" s="162">
        <f>CS136*Premissas!$F$19</f>
        <v>3700.112695725506</v>
      </c>
      <c r="CT144" s="162">
        <f>CT136*Premissas!$F$19</f>
        <v>2832.0022133366806</v>
      </c>
      <c r="CU144" s="162">
        <f>CU136*Premissas!$F$19</f>
        <v>2523.8137371794537</v>
      </c>
      <c r="CV144" s="162">
        <f>CV136*Premissas!$F$19</f>
        <v>1535.3894352697887</v>
      </c>
      <c r="CW144" s="162">
        <f>CW136*Premissas!$F$19</f>
        <v>1485.4129256226706</v>
      </c>
      <c r="CX144" s="162">
        <f>CX136*Premissas!$F$19</f>
        <v>1632.5659818058512</v>
      </c>
      <c r="CY144" s="162">
        <f>CY136*Premissas!$F$19</f>
        <v>2783.8766855283448</v>
      </c>
      <c r="CZ144" s="162">
        <f>CZ136*Premissas!$F$19</f>
        <v>2923.6258143563969</v>
      </c>
      <c r="DA144" s="162">
        <f>DA136*Premissas!$F$19</f>
        <v>2356.2998807696695</v>
      </c>
      <c r="DB144" s="162">
        <f>DB136*Premissas!$F$19</f>
        <v>3639.0302950456953</v>
      </c>
      <c r="DC144" s="162">
        <f>DC136*Premissas!$F$19</f>
        <v>3894.4657887976314</v>
      </c>
      <c r="DD144" s="162">
        <f>DD136*Premissas!$F$19</f>
        <v>3923.1560072987545</v>
      </c>
      <c r="DE144" s="162">
        <f>DE136*Premissas!$F$19</f>
        <v>3791.7362967452223</v>
      </c>
      <c r="DF144" s="162">
        <f>DF136*Premissas!$F$19</f>
        <v>2902.3395232104021</v>
      </c>
      <c r="DG144" s="162">
        <f>DG136*Premissas!$F$19</f>
        <v>2586.7471196980464</v>
      </c>
      <c r="DH144" s="162">
        <f>DH136*Premissas!$F$19</f>
        <v>1574.2600538842137</v>
      </c>
      <c r="DI144" s="162">
        <f>DI136*Premissas!$F$19</f>
        <v>1522.4325623983136</v>
      </c>
      <c r="DJ144" s="162">
        <f>DJ136*Premissas!$F$19</f>
        <v>1673.2875822590584</v>
      </c>
      <c r="DK144" s="162">
        <f>DK136*Premissas!$F$19</f>
        <v>2853.2885044826753</v>
      </c>
      <c r="DL144" s="162">
        <f>DL136*Premissas!$F$19</f>
        <v>2996.7395969882914</v>
      </c>
      <c r="DM144" s="162">
        <f>DM136*Premissas!$F$19</f>
        <v>2415.5312996106982</v>
      </c>
      <c r="DN144" s="162">
        <f>DN136*Premissas!$F$19</f>
        <v>3729.7284051460206</v>
      </c>
      <c r="DO144" s="162">
        <f>DO136*Premissas!$F$19</f>
        <v>3992.5678262530851</v>
      </c>
      <c r="DP144" s="162">
        <f>DP136*Premissas!$F$19</f>
        <v>4021.2580447542082</v>
      </c>
      <c r="DQ144" s="162">
        <f>DQ136*Premissas!$F$19</f>
        <v>3887.061861442503</v>
      </c>
      <c r="DR144" s="162">
        <f>DR136*Premissas!$F$19</f>
        <v>2975.4533058422967</v>
      </c>
      <c r="DS144" s="162">
        <f>DS136*Premissas!$F$19</f>
        <v>2651.5314840554215</v>
      </c>
    </row>
    <row r="145" spans="1:123" ht="12.75" customHeight="1" x14ac:dyDescent="0.35">
      <c r="A145" s="163" t="s">
        <v>498</v>
      </c>
      <c r="B145" s="164">
        <f>SUM(D145:BQ145)</f>
        <v>10254.082554707476</v>
      </c>
      <c r="C145" s="144">
        <f>B145/60</f>
        <v>170.90137591179126</v>
      </c>
      <c r="D145" s="164">
        <f>IF(D140&gt;0,0,MAX(D136-D137-D138,0)*Premissas!$B$7)</f>
        <v>0</v>
      </c>
      <c r="E145" s="164">
        <f>IF(E140&gt;0,0,MAX(E136-E137-E138,0)*Premissas!$B$7)</f>
        <v>0</v>
      </c>
      <c r="F145" s="164">
        <f>IF(F140&gt;0,0,MAX(F136-F137-F138,0)*Premissas!$B$7)</f>
        <v>0</v>
      </c>
      <c r="G145" s="164">
        <f>IF(G140&gt;0,0,MAX(G136-G137-G138,0)*Premissas!$B$7)</f>
        <v>0</v>
      </c>
      <c r="H145" s="164">
        <f>IF(H140&gt;0,0,MAX(H136-H137-H138,0)*Premissas!$B$7)</f>
        <v>0</v>
      </c>
      <c r="I145" s="164">
        <f>IF(I140&gt;0,0,MAX(I136-I137-I138,0)*Premissas!$B$7)</f>
        <v>0</v>
      </c>
      <c r="J145" s="164">
        <f>IF(J140&gt;0,0,MAX(J136-J137-J138,0)*Premissas!$B$7)</f>
        <v>0</v>
      </c>
      <c r="K145" s="164">
        <f>IF(K140&gt;0,0,MAX(K136-K137-K138,0)*Premissas!$B$7)</f>
        <v>0</v>
      </c>
      <c r="L145" s="164">
        <f>IF(L140&gt;0,0,MAX(L136-L137-L138,0)*Premissas!$B$7)</f>
        <v>0</v>
      </c>
      <c r="M145" s="164">
        <f>IF(M140&gt;0,0,MAX(M136-M137-M138,0)*Premissas!$B$7)</f>
        <v>0</v>
      </c>
      <c r="N145" s="164">
        <f>IF(N140&gt;0,0,MAX(N136-N137-N138,0)*Premissas!$B$7)</f>
        <v>0</v>
      </c>
      <c r="O145" s="164">
        <f>IF(O140&gt;0,0,MAX(O136-O137-O138,0)*Premissas!$B$7)</f>
        <v>0</v>
      </c>
      <c r="P145" s="164">
        <f>IF(P140&gt;0,0,MAX(P136-P137-P138,0)*Premissas!$B$7)</f>
        <v>0</v>
      </c>
      <c r="Q145" s="164">
        <f>IF(Q140&gt;0,0,MAX(Q136-Q137-Q138,0)*Premissas!$B$7)</f>
        <v>0</v>
      </c>
      <c r="R145" s="164">
        <f>IF(R140&gt;0,0,MAX(R136-R137-R138,0)*Premissas!$B$7)</f>
        <v>0</v>
      </c>
      <c r="S145" s="164">
        <f>IF(S140&gt;0,0,MAX(S136-S137-S138,0)*Premissas!$B$7)</f>
        <v>0</v>
      </c>
      <c r="T145" s="164">
        <f>IF(T140&gt;0,0,MAX(T136-T137-T138,0)*Premissas!$B$7)</f>
        <v>0</v>
      </c>
      <c r="U145" s="164">
        <f>IF(U140&gt;0,0,MAX(U136-U137-U138,0)*Premissas!$B$7)</f>
        <v>0</v>
      </c>
      <c r="V145" s="164">
        <f>IF(V140&gt;0,0,MAX(V136-V137-V138,0)*Premissas!$B$7)</f>
        <v>0</v>
      </c>
      <c r="W145" s="164">
        <f>IF(W140&gt;0,0,MAX(W136-W137-W138,0)*Premissas!$B$7)</f>
        <v>0</v>
      </c>
      <c r="X145" s="164">
        <f>IF(X140&gt;0,0,MAX(X136-X137-X138,0)*Premissas!$B$7)</f>
        <v>0</v>
      </c>
      <c r="Y145" s="164">
        <f>IF(Y140&gt;0,0,MAX(Y136-Y137-Y138,0)*Premissas!$B$7)</f>
        <v>0</v>
      </c>
      <c r="Z145" s="164">
        <f>IF(Z140&gt;0,0,MAX(Z136-Z137-Z138,0)*Premissas!$B$7)</f>
        <v>0</v>
      </c>
      <c r="AA145" s="164">
        <f>IF(AA140&gt;0,0,MAX(AA136-AA137-AA138,0)*Premissas!$B$7)</f>
        <v>0</v>
      </c>
      <c r="AB145" s="164">
        <f>IF(AB140&gt;0,0,MAX(AB136-AB137-AB138,0)*Premissas!$B$7)</f>
        <v>0</v>
      </c>
      <c r="AC145" s="164">
        <f>IF(AC140&gt;0,0,MAX(AC136-AC137-AC138,0)*Premissas!$B$7)</f>
        <v>0</v>
      </c>
      <c r="AD145" s="164">
        <f>IF(AD140&gt;0,0,MAX(AD136-AD137-AD138,0)*Premissas!$B$7)</f>
        <v>0</v>
      </c>
      <c r="AE145" s="164">
        <f>IF(AE140&gt;0,0,MAX(AE136-AE137-AE138,0)*Premissas!$B$7)</f>
        <v>0</v>
      </c>
      <c r="AF145" s="164">
        <f>IF(AF140&gt;0,0,MAX(AF136-AF137-AF138,0)*Premissas!$B$7)</f>
        <v>0</v>
      </c>
      <c r="AG145" s="164">
        <f>IF(AG140&gt;0,0,MAX(AG136-AG137-AG138,0)*Premissas!$B$7)</f>
        <v>0</v>
      </c>
      <c r="AH145" s="164">
        <f>IF(AH140&gt;0,0,MAX(AH136-AH137-AH138,0)*Premissas!$B$7)</f>
        <v>0</v>
      </c>
      <c r="AI145" s="164">
        <f>IF(AI140&gt;0,0,MAX(AI136-AI137-AI138,0)*Premissas!$B$7)</f>
        <v>0</v>
      </c>
      <c r="AJ145" s="164">
        <f>IF(AJ140&gt;0,0,MAX(AJ136-AJ137-AJ138,0)*Premissas!$B$7)</f>
        <v>0</v>
      </c>
      <c r="AK145" s="164">
        <f>IF(AK140&gt;0,0,MAX(AK136-AK137-AK138,0)*Premissas!$B$7)</f>
        <v>0</v>
      </c>
      <c r="AL145" s="164">
        <f>IF(AL140&gt;0,0,MAX(AL136-AL137-AL138,0)*Premissas!$B$7)</f>
        <v>0</v>
      </c>
      <c r="AM145" s="164">
        <f>IF(AM140&gt;0,0,MAX(AM136-AM137-AM138,0)*Premissas!$B$7)</f>
        <v>0</v>
      </c>
      <c r="AN145" s="164">
        <f>IF(AN140&gt;0,0,MAX(AN136-AN137-AN138,0)*Premissas!$B$7)</f>
        <v>0</v>
      </c>
      <c r="AO145" s="164">
        <f>IF(AO140&gt;0,0,MAX(AO136-AO137-AO138,0)*Premissas!$B$7)</f>
        <v>0</v>
      </c>
      <c r="AP145" s="164">
        <f>IF(AP140&gt;0,0,MAX(AP136-AP137-AP138,0)*Premissas!$B$7)</f>
        <v>0</v>
      </c>
      <c r="AQ145" s="164">
        <f>IF(AQ140&gt;0,0,MAX(AQ136-AQ137-AQ138,0)*Premissas!$B$7)</f>
        <v>0</v>
      </c>
      <c r="AR145" s="164">
        <f>IF(AR140&gt;0,0,MAX(AR136-AR137-AR138,0)*Premissas!$B$7)</f>
        <v>0</v>
      </c>
      <c r="AS145" s="164">
        <f>IF(AS140&gt;0,0,MAX(AS136-AS137-AS138,0)*Premissas!$B$7)</f>
        <v>0</v>
      </c>
      <c r="AT145" s="164">
        <f>IF(AT140&gt;0,0,MAX(AT136-AT137-AT138,0)*Premissas!$B$7)</f>
        <v>0</v>
      </c>
      <c r="AU145" s="164">
        <f>IF(AU140&gt;0,0,MAX(AU136-AU137-AU138,0)*Premissas!$B$7)</f>
        <v>0</v>
      </c>
      <c r="AV145" s="164">
        <f>IF(AV140&gt;0,0,MAX(AV136-AV137-AV138,0)*Premissas!$B$7)</f>
        <v>0</v>
      </c>
      <c r="AW145" s="164">
        <f>IF(AW140&gt;0,0,MAX(AW136-AW137-AW138,0)*Premissas!$B$7)</f>
        <v>795.46605375250476</v>
      </c>
      <c r="AX145" s="164">
        <f>IF(AX140&gt;0,0,MAX(AX136-AX137-AX138,0)*Premissas!$B$7)</f>
        <v>944.35157815885566</v>
      </c>
      <c r="AY145" s="164">
        <f>IF(AY140&gt;0,0,MAX(AY136-AY137-AY138,0)*Premissas!$B$7)</f>
        <v>740.04493585644866</v>
      </c>
      <c r="AZ145" s="164">
        <f>IF(AZ140&gt;0,0,MAX(AZ136-AZ137-AZ138,0)*Premissas!$B$7)</f>
        <v>0</v>
      </c>
      <c r="BA145" s="164">
        <f>IF(BA140&gt;0,0,MAX(BA136-BA137-BA138,0)*Premissas!$B$7)</f>
        <v>0</v>
      </c>
      <c r="BB145" s="164">
        <f>IF(BB140&gt;0,0,MAX(BB136-BB137-BB138,0)*Premissas!$B$7)</f>
        <v>0</v>
      </c>
      <c r="BC145" s="164">
        <f>IF(BC140&gt;0,0,MAX(BC136-BC137-BC138,0)*Premissas!$B$7)</f>
        <v>0</v>
      </c>
      <c r="BD145" s="164">
        <f>IF(BD140&gt;0,0,MAX(BD136-BD137-BD138,0)*Premissas!$B$7)</f>
        <v>714.96783761117331</v>
      </c>
      <c r="BE145" s="164">
        <f>IF(BE140&gt;0,0,MAX(BE136-BE137-BE138,0)*Premissas!$B$7)</f>
        <v>399.6162490794672</v>
      </c>
      <c r="BF145" s="164">
        <f>IF(BF140&gt;0,0,MAX(BF136-BF137-BF138,0)*Premissas!$B$7)</f>
        <v>1336.8361069334655</v>
      </c>
      <c r="BG145" s="164">
        <f>IF(BG140&gt;0,0,MAX(BG136-BG137-BG138,0)*Premissas!$B$7)</f>
        <v>1538.298702677341</v>
      </c>
      <c r="BH145" s="164">
        <f>IF(BH140&gt;0,0,MAX(BH136-BH137-BH138,0)*Premissas!$B$7)</f>
        <v>1882.4256034986631</v>
      </c>
      <c r="BI145" s="164">
        <f>IF(BI140&gt;0,0,MAX(BI136-BI137-BI138,0)*Premissas!$B$7)</f>
        <v>1358.0342168853388</v>
      </c>
      <c r="BJ145" s="164">
        <f>IF(BJ140&gt;0,0,MAX(BJ136-BJ137-BJ138,0)*Premissas!$B$7)</f>
        <v>356.82838419262595</v>
      </c>
      <c r="BK145" s="164">
        <f>IF(BK140&gt;0,0,MAX(BK136-BK137-BK138,0)*Premissas!$B$7)</f>
        <v>187.21288606159263</v>
      </c>
      <c r="BL145" s="164">
        <f>IF(BL140&gt;0,0,MAX(BL136-BL137-BL138,0)*Premissas!$B$7)</f>
        <v>0</v>
      </c>
      <c r="BM145" s="164">
        <f>IF(BM140&gt;0,0,MAX(BM136-BM137-BM138,0)*Premissas!$B$7)</f>
        <v>0</v>
      </c>
      <c r="BN145" s="164">
        <f>IF(BN140&gt;0,0,MAX(BN136-BN137-BN138,0)*Premissas!$B$7)</f>
        <v>0</v>
      </c>
      <c r="BO145" s="164">
        <f>IF(BO140&gt;0,0,MAX(BO136-BO137-BO138,0)*Premissas!$B$7)</f>
        <v>0</v>
      </c>
      <c r="BP145" s="164">
        <f>IF(BP140&gt;0,0,MAX(BP136-BP137-BP138,0)*Premissas!$B$7)</f>
        <v>0</v>
      </c>
      <c r="BQ145" s="164">
        <f>IF(BQ140&gt;0,0,MAX(BQ136-BQ137-BQ138,0)*Premissas!$B$7)</f>
        <v>0</v>
      </c>
      <c r="BR145" s="164">
        <f>IF(BR140&gt;0,0,MAX(BR136-BR137-BR138,0)*Premissas!$B$7)</f>
        <v>0</v>
      </c>
      <c r="BS145" s="164">
        <f>IF(BS140&gt;0,0,MAX(BS136-BS137-BS138,0)*Premissas!$B$7)</f>
        <v>0</v>
      </c>
      <c r="BT145" s="164">
        <f>IF(BT140&gt;0,0,MAX(BT136-BT137-BT138,0)*Premissas!$B$7)</f>
        <v>0</v>
      </c>
      <c r="BU145" s="164">
        <f>IF(BU140&gt;0,0,MAX(BU136-BU137-BU138,0)*Premissas!$B$7)</f>
        <v>0</v>
      </c>
      <c r="BV145" s="164">
        <f>IF(BV140&gt;0,0,MAX(BV136-BV137-BV138,0)*Premissas!$B$7)</f>
        <v>0</v>
      </c>
      <c r="BW145" s="164">
        <f>IF(BW140&gt;0,0,MAX(BW136-BW137-BW138,0)*Premissas!$B$7)</f>
        <v>0</v>
      </c>
      <c r="BX145" s="164">
        <f>IF(BX140&gt;0,0,MAX(BX136-BX137-BX138,0)*Premissas!$B$7)</f>
        <v>0</v>
      </c>
      <c r="BY145" s="164">
        <f>IF(BY140&gt;0,0,MAX(BY136-BY137-BY138,0)*Premissas!$B$7)</f>
        <v>0</v>
      </c>
      <c r="BZ145" s="164">
        <f>IF(BZ140&gt;0,0,MAX(BZ136-BZ137-BZ138,0)*Premissas!$B$7)</f>
        <v>0</v>
      </c>
      <c r="CA145" s="164">
        <f>IF(CA140&gt;0,0,MAX(CA136-CA137-CA138,0)*Premissas!$B$7)</f>
        <v>0</v>
      </c>
      <c r="CB145" s="164">
        <f>IF(CB140&gt;0,0,MAX(CB136-CB137-CB138,0)*Premissas!$B$7)</f>
        <v>0</v>
      </c>
      <c r="CC145" s="164">
        <f>IF(CC140&gt;0,0,MAX(CC136-CC137-CC138,0)*Premissas!$B$7)</f>
        <v>0</v>
      </c>
      <c r="CD145" s="164">
        <f>IF(CD140&gt;0,0,MAX(CD136-CD137-CD138,0)*Premissas!$B$7)</f>
        <v>0</v>
      </c>
      <c r="CE145" s="164">
        <f>IF(CE140&gt;0,0,MAX(CE136-CE137-CE138,0)*Premissas!$B$7)</f>
        <v>0</v>
      </c>
      <c r="CF145" s="164">
        <f>IF(CF140&gt;0,0,MAX(CF136-CF137-CF138,0)*Premissas!$B$7)</f>
        <v>0</v>
      </c>
      <c r="CG145" s="164">
        <f>IF(CG140&gt;0,0,MAX(CG136-CG137-CG138,0)*Premissas!$B$7)</f>
        <v>0</v>
      </c>
      <c r="CH145" s="164">
        <f>IF(CH140&gt;0,0,MAX(CH136-CH137-CH138,0)*Premissas!$B$7)</f>
        <v>0</v>
      </c>
      <c r="CI145" s="164">
        <f>IF(CI140&gt;0,0,MAX(CI136-CI137-CI138,0)*Premissas!$B$7)</f>
        <v>0</v>
      </c>
      <c r="CJ145" s="164">
        <f>IF(CJ140&gt;0,0,MAX(CJ136-CJ137-CJ138,0)*Premissas!$B$7)</f>
        <v>0</v>
      </c>
      <c r="CK145" s="164">
        <f>IF(CK140&gt;0,0,MAX(CK136-CK137-CK138,0)*Premissas!$B$7)</f>
        <v>0</v>
      </c>
      <c r="CL145" s="164">
        <f>IF(CL140&gt;0,0,MAX(CL136-CL137-CL138,0)*Premissas!$B$7)</f>
        <v>0</v>
      </c>
      <c r="CM145" s="164">
        <f>IF(CM140&gt;0,0,MAX(CM136-CM137-CM138,0)*Premissas!$B$7)</f>
        <v>0</v>
      </c>
      <c r="CN145" s="164">
        <f>IF(CN140&gt;0,0,MAX(CN136-CN137-CN138,0)*Premissas!$B$7)</f>
        <v>0</v>
      </c>
      <c r="CO145" s="164">
        <f>IF(CO140&gt;0,0,MAX(CO136-CO137-CO138,0)*Premissas!$B$7)</f>
        <v>0</v>
      </c>
      <c r="CP145" s="164">
        <f>IF(CP140&gt;0,0,MAX(CP136-CP137-CP138,0)*Premissas!$B$7)</f>
        <v>0</v>
      </c>
      <c r="CQ145" s="164">
        <f>IF(CQ140&gt;0,0,MAX(CQ136-CQ137-CQ138,0)*Premissas!$B$7)</f>
        <v>0</v>
      </c>
      <c r="CR145" s="164">
        <f>IF(CR140&gt;0,0,MAX(CR136-CR137-CR138,0)*Premissas!$B$7)</f>
        <v>0</v>
      </c>
      <c r="CS145" s="164">
        <f>IF(CS140&gt;0,0,MAX(CS136-CS137-CS138,0)*Premissas!$B$7)</f>
        <v>0</v>
      </c>
      <c r="CT145" s="164">
        <f>IF(CT140&gt;0,0,MAX(CT136-CT137-CT138,0)*Premissas!$B$7)</f>
        <v>0</v>
      </c>
      <c r="CU145" s="164">
        <f>IF(CU140&gt;0,0,MAX(CU136-CU137-CU138,0)*Premissas!$B$7)</f>
        <v>0</v>
      </c>
      <c r="CV145" s="164">
        <f>IF(CV140&gt;0,0,MAX(CV136-CV137-CV138,0)*Premissas!$B$7)</f>
        <v>0</v>
      </c>
      <c r="CW145" s="164">
        <f>IF(CW140&gt;0,0,MAX(CW136-CW137-CW138,0)*Premissas!$B$7)</f>
        <v>0</v>
      </c>
      <c r="CX145" s="164">
        <f>IF(CX140&gt;0,0,MAX(CX136-CX137-CX138,0)*Premissas!$B$7)</f>
        <v>0</v>
      </c>
      <c r="CY145" s="164">
        <f>IF(CY140&gt;0,0,MAX(CY136-CY137-CY138,0)*Premissas!$B$7)</f>
        <v>0</v>
      </c>
      <c r="CZ145" s="164">
        <f>IF(CZ140&gt;0,0,MAX(CZ136-CZ137-CZ138,0)*Premissas!$B$7)</f>
        <v>0</v>
      </c>
      <c r="DA145" s="164">
        <f>IF(DA140&gt;0,0,MAX(DA136-DA137-DA138,0)*Premissas!$B$7)</f>
        <v>0</v>
      </c>
      <c r="DB145" s="164">
        <f>IF(DB140&gt;0,0,MAX(DB136-DB137-DB138,0)*Premissas!$B$7)</f>
        <v>0</v>
      </c>
      <c r="DC145" s="164">
        <f>IF(DC140&gt;0,0,MAX(DC136-DC137-DC138,0)*Premissas!$B$7)</f>
        <v>0</v>
      </c>
      <c r="DD145" s="164">
        <f>IF(DD140&gt;0,0,MAX(DD136-DD137-DD138,0)*Premissas!$B$7)</f>
        <v>0</v>
      </c>
      <c r="DE145" s="164">
        <f>IF(DE140&gt;0,0,MAX(DE136-DE137-DE138,0)*Premissas!$B$7)</f>
        <v>0</v>
      </c>
      <c r="DF145" s="164">
        <f>IF(DF140&gt;0,0,MAX(DF136-DF137-DF138,0)*Premissas!$B$7)</f>
        <v>0</v>
      </c>
      <c r="DG145" s="164">
        <f>IF(DG140&gt;0,0,MAX(DG136-DG137-DG138,0)*Premissas!$B$7)</f>
        <v>0</v>
      </c>
      <c r="DH145" s="164">
        <f>IF(DH140&gt;0,0,MAX(DH136-DH137-DH138,0)*Premissas!$B$7)</f>
        <v>0</v>
      </c>
      <c r="DI145" s="164">
        <f>IF(DI140&gt;0,0,MAX(DI136-DI137-DI138,0)*Premissas!$B$7)</f>
        <v>0</v>
      </c>
      <c r="DJ145" s="164">
        <f>IF(DJ140&gt;0,0,MAX(DJ136-DJ137-DJ138,0)*Premissas!$B$7)</f>
        <v>0</v>
      </c>
      <c r="DK145" s="164">
        <f>IF(DK140&gt;0,0,MAX(DK136-DK137-DK138,0)*Premissas!$B$7)</f>
        <v>0</v>
      </c>
      <c r="DL145" s="164">
        <f>IF(DL140&gt;0,0,MAX(DL136-DL137-DL138,0)*Premissas!$B$7)</f>
        <v>0</v>
      </c>
      <c r="DM145" s="164">
        <f>IF(DM140&gt;0,0,MAX(DM136-DM137-DM138,0)*Premissas!$B$7)</f>
        <v>0</v>
      </c>
      <c r="DN145" s="164">
        <f>IF(DN140&gt;0,0,MAX(DN136-DN137-DN138,0)*Premissas!$B$7)</f>
        <v>0</v>
      </c>
      <c r="DO145" s="164">
        <f>IF(DO140&gt;0,0,MAX(DO136-DO137-DO138,0)*Premissas!$B$7)</f>
        <v>1663.2455592272277</v>
      </c>
      <c r="DP145" s="164">
        <f>IF(DP140&gt;0,0,MAX(DP136-DP137-DP138,0)*Premissas!$B$7)</f>
        <v>5026.5725559427601</v>
      </c>
      <c r="DQ145" s="164">
        <f>IF(DQ140&gt;0,0,MAX(DQ136-DQ137-DQ138,0)*Premissas!$B$7)</f>
        <v>4858.827326803128</v>
      </c>
      <c r="DR145" s="164">
        <f>IF(DR140&gt;0,0,MAX(DR136-DR137-DR138,0)*Premissas!$B$7)</f>
        <v>3719.3166323028704</v>
      </c>
      <c r="DS145" s="164">
        <f>IF(DS140&gt;0,0,MAX(DS136-DS137-DS138,0)*Premissas!$B$7)</f>
        <v>3314.4143550692766</v>
      </c>
    </row>
    <row r="146" spans="1:123" ht="13.5" customHeight="1" x14ac:dyDescent="0.35">
      <c r="A146" s="39" t="s">
        <v>499</v>
      </c>
      <c r="B146" s="42">
        <f>SUM(D146:BQ146)</f>
        <v>145539.35685190803</v>
      </c>
      <c r="C146" s="144">
        <f>B146/60</f>
        <v>2425.6559475318004</v>
      </c>
      <c r="D146" s="165">
        <f t="shared" ref="D146:AI146" si="266">MAX(D144-D145,0)</f>
        <v>1260.5186322106401</v>
      </c>
      <c r="E146" s="165">
        <f t="shared" si="266"/>
        <v>1218.8715408380419</v>
      </c>
      <c r="F146" s="165">
        <f t="shared" si="266"/>
        <v>1340.1108512782723</v>
      </c>
      <c r="G146" s="165">
        <f t="shared" si="266"/>
        <v>2285.0370799765569</v>
      </c>
      <c r="H146" s="165">
        <f t="shared" si="266"/>
        <v>2399.7979539810499</v>
      </c>
      <c r="I146" s="165">
        <f t="shared" si="266"/>
        <v>1934.2760215273406</v>
      </c>
      <c r="J146" s="165">
        <f t="shared" si="266"/>
        <v>2986.5591968749895</v>
      </c>
      <c r="K146" s="165">
        <f t="shared" si="266"/>
        <v>3196.6456355767632</v>
      </c>
      <c r="L146" s="165">
        <f t="shared" si="266"/>
        <v>3219.7829085615399</v>
      </c>
      <c r="M146" s="165">
        <f t="shared" si="266"/>
        <v>3112.4259619121754</v>
      </c>
      <c r="N146" s="165">
        <f t="shared" si="266"/>
        <v>2382.2136265126196</v>
      </c>
      <c r="O146" s="165">
        <f t="shared" si="266"/>
        <v>2123.0761690831196</v>
      </c>
      <c r="P146" s="165">
        <f t="shared" si="266"/>
        <v>1291.9853234699367</v>
      </c>
      <c r="Q146" s="165">
        <f t="shared" si="266"/>
        <v>1249.4127411779473</v>
      </c>
      <c r="R146" s="165">
        <f t="shared" si="266"/>
        <v>1373.4285243763509</v>
      </c>
      <c r="S146" s="165">
        <f t="shared" si="266"/>
        <v>2342.4175169788036</v>
      </c>
      <c r="T146" s="165">
        <f t="shared" si="266"/>
        <v>2459.9548637414696</v>
      </c>
      <c r="U146" s="165">
        <f t="shared" si="266"/>
        <v>1982.4015493356765</v>
      </c>
      <c r="V146" s="165">
        <f t="shared" si="266"/>
        <v>3061.5239613456665</v>
      </c>
      <c r="W146" s="165">
        <f t="shared" si="266"/>
        <v>3196.6456355767632</v>
      </c>
      <c r="X146" s="165">
        <f t="shared" si="266"/>
        <v>3219.7829085615399</v>
      </c>
      <c r="Y146" s="165">
        <f t="shared" si="266"/>
        <v>3112.4259619121754</v>
      </c>
      <c r="Z146" s="165">
        <f t="shared" si="266"/>
        <v>2382.2136265126196</v>
      </c>
      <c r="AA146" s="165">
        <f t="shared" si="266"/>
        <v>2123.0761690831196</v>
      </c>
      <c r="AB146" s="165">
        <f t="shared" si="266"/>
        <v>1324.3775056486243</v>
      </c>
      <c r="AC146" s="165">
        <f t="shared" si="266"/>
        <v>1280.8794324372438</v>
      </c>
      <c r="AD146" s="165">
        <f t="shared" si="266"/>
        <v>1407.6716883938207</v>
      </c>
      <c r="AE146" s="165">
        <f t="shared" si="266"/>
        <v>2400.7234449004409</v>
      </c>
      <c r="AF146" s="165">
        <f t="shared" si="266"/>
        <v>2521.0372644212803</v>
      </c>
      <c r="AG146" s="165">
        <f t="shared" si="266"/>
        <v>2032.3780589827943</v>
      </c>
      <c r="AH146" s="165">
        <f t="shared" si="266"/>
        <v>3137.4142167357345</v>
      </c>
      <c r="AI146" s="165">
        <f t="shared" si="266"/>
        <v>3358.6065464702006</v>
      </c>
      <c r="AJ146" s="165">
        <f t="shared" ref="AJ146:BO146" si="267">MAX(AJ144-AJ145,0)</f>
        <v>3382.6693103743683</v>
      </c>
      <c r="AK146" s="165">
        <f t="shared" si="267"/>
        <v>3269.7594182086577</v>
      </c>
      <c r="AL146" s="165">
        <f t="shared" si="267"/>
        <v>2502.527446033459</v>
      </c>
      <c r="AM146" s="165">
        <f t="shared" si="267"/>
        <v>2230.4331157324837</v>
      </c>
      <c r="AN146" s="165">
        <f t="shared" si="267"/>
        <v>1357.6951787467028</v>
      </c>
      <c r="AO146" s="165">
        <f t="shared" si="267"/>
        <v>1312.3461236965402</v>
      </c>
      <c r="AP146" s="165">
        <f t="shared" si="267"/>
        <v>1442.8403433306814</v>
      </c>
      <c r="AQ146" s="165">
        <f t="shared" si="267"/>
        <v>2460.8803546608606</v>
      </c>
      <c r="AR146" s="165">
        <f t="shared" si="267"/>
        <v>2583.9706469398734</v>
      </c>
      <c r="AS146" s="165">
        <f t="shared" si="267"/>
        <v>2083.2800595493031</v>
      </c>
      <c r="AT146" s="165">
        <f t="shared" si="267"/>
        <v>3216.0809448839755</v>
      </c>
      <c r="AU146" s="165">
        <f t="shared" si="267"/>
        <v>3442.8262201347879</v>
      </c>
      <c r="AV146" s="165">
        <f t="shared" si="267"/>
        <v>3467.8144749583471</v>
      </c>
      <c r="AW146" s="165">
        <f t="shared" si="267"/>
        <v>2556.6620562819585</v>
      </c>
      <c r="AX146" s="165">
        <f t="shared" si="267"/>
        <v>1621.1092503931959</v>
      </c>
      <c r="AY146" s="165">
        <f t="shared" si="267"/>
        <v>1545.9176350394991</v>
      </c>
      <c r="AZ146" s="165">
        <f t="shared" si="267"/>
        <v>1391.0128518447814</v>
      </c>
      <c r="BA146" s="165">
        <f t="shared" si="267"/>
        <v>1345.6637967946187</v>
      </c>
      <c r="BB146" s="165">
        <f t="shared" si="267"/>
        <v>1478.9344891869332</v>
      </c>
      <c r="BC146" s="165">
        <f t="shared" si="267"/>
        <v>2521.9627553406713</v>
      </c>
      <c r="BD146" s="165">
        <f t="shared" si="267"/>
        <v>1933.7871736860752</v>
      </c>
      <c r="BE146" s="165">
        <f t="shared" si="267"/>
        <v>1735.4913019557362</v>
      </c>
      <c r="BF146" s="165">
        <f t="shared" si="267"/>
        <v>1959.7625479375333</v>
      </c>
      <c r="BG146" s="165">
        <f t="shared" si="267"/>
        <v>1990.5981729608168</v>
      </c>
      <c r="BH146" s="165">
        <f t="shared" si="267"/>
        <v>1671.4595269630538</v>
      </c>
      <c r="BI146" s="165">
        <f t="shared" si="267"/>
        <v>2077.3880758943205</v>
      </c>
      <c r="BJ146" s="165">
        <f t="shared" si="267"/>
        <v>2272.4913177974099</v>
      </c>
      <c r="BK146" s="165">
        <f t="shared" si="267"/>
        <v>2156.130121836602</v>
      </c>
      <c r="BL146" s="165">
        <f t="shared" si="267"/>
        <v>1426.1815067816422</v>
      </c>
      <c r="BM146" s="165">
        <f t="shared" si="267"/>
        <v>1378.9814698926973</v>
      </c>
      <c r="BN146" s="165">
        <f t="shared" si="267"/>
        <v>1515.954125962576</v>
      </c>
      <c r="BO146" s="165">
        <f t="shared" si="267"/>
        <v>2584.8961378592644</v>
      </c>
      <c r="BP146" s="165">
        <f t="shared" ref="BP146:CU146" si="268">MAX(BP144-BP145,0)</f>
        <v>2715.3903574934056</v>
      </c>
      <c r="BQ146" s="165">
        <f t="shared" si="268"/>
        <v>2188.7860243598857</v>
      </c>
      <c r="BR146" s="165">
        <f t="shared" si="268"/>
        <v>3378.9673466968043</v>
      </c>
      <c r="BS146" s="165">
        <f t="shared" si="268"/>
        <v>3616.8185129803096</v>
      </c>
      <c r="BT146" s="165">
        <f t="shared" si="268"/>
        <v>3642.7322587232597</v>
      </c>
      <c r="BU146" s="165">
        <f t="shared" si="268"/>
        <v>3521.4929482830294</v>
      </c>
      <c r="BV146" s="165">
        <f t="shared" si="268"/>
        <v>2695.0295572668019</v>
      </c>
      <c r="BW146" s="165">
        <f t="shared" si="268"/>
        <v>2401.6489358198319</v>
      </c>
      <c r="BX146" s="165">
        <f t="shared" si="268"/>
        <v>1462.2756526378939</v>
      </c>
      <c r="BY146" s="165">
        <f t="shared" si="268"/>
        <v>1413.2246339101671</v>
      </c>
      <c r="BZ146" s="165">
        <f t="shared" si="268"/>
        <v>1553.89925365761</v>
      </c>
      <c r="CA146" s="165">
        <f t="shared" si="268"/>
        <v>2649.6805022166395</v>
      </c>
      <c r="CB146" s="165">
        <f t="shared" si="268"/>
        <v>2782.9511946089538</v>
      </c>
      <c r="CC146" s="165">
        <f t="shared" si="268"/>
        <v>2243.389988603959</v>
      </c>
      <c r="CD146" s="165">
        <f t="shared" si="268"/>
        <v>3463.1870203613917</v>
      </c>
      <c r="CE146" s="165">
        <f t="shared" si="268"/>
        <v>3707.5166230806349</v>
      </c>
      <c r="CF146" s="165">
        <f t="shared" si="268"/>
        <v>3734.355859742976</v>
      </c>
      <c r="CG146" s="165">
        <f t="shared" si="268"/>
        <v>3609.4145856251812</v>
      </c>
      <c r="CH146" s="165">
        <f t="shared" si="268"/>
        <v>2762.59039438235</v>
      </c>
      <c r="CI146" s="165">
        <f t="shared" si="268"/>
        <v>2461.8058455802516</v>
      </c>
      <c r="CJ146" s="165">
        <f t="shared" si="268"/>
        <v>1498.3697984941457</v>
      </c>
      <c r="CK146" s="165">
        <f t="shared" si="268"/>
        <v>1448.3932888470279</v>
      </c>
      <c r="CL146" s="165">
        <f t="shared" si="268"/>
        <v>1592.7698722720352</v>
      </c>
      <c r="CM146" s="165">
        <f t="shared" si="268"/>
        <v>2716.3158484127966</v>
      </c>
      <c r="CN146" s="165">
        <f t="shared" si="268"/>
        <v>2852.3630135632843</v>
      </c>
      <c r="CO146" s="165">
        <f t="shared" si="268"/>
        <v>2298.9194437674232</v>
      </c>
      <c r="CP146" s="165">
        <f t="shared" si="268"/>
        <v>3550.1831667841525</v>
      </c>
      <c r="CQ146" s="165">
        <f t="shared" si="268"/>
        <v>3800.0657150197421</v>
      </c>
      <c r="CR146" s="165">
        <f t="shared" si="268"/>
        <v>3826.9049516820833</v>
      </c>
      <c r="CS146" s="165">
        <f t="shared" si="268"/>
        <v>3700.112695725506</v>
      </c>
      <c r="CT146" s="165">
        <f t="shared" si="268"/>
        <v>2832.0022133366806</v>
      </c>
      <c r="CU146" s="165">
        <f t="shared" si="268"/>
        <v>2523.8137371794537</v>
      </c>
      <c r="CV146" s="165">
        <f t="shared" ref="CV146:DS146" si="269">MAX(CV144-CV145,0)</f>
        <v>1535.3894352697887</v>
      </c>
      <c r="CW146" s="165">
        <f t="shared" si="269"/>
        <v>1485.4129256226706</v>
      </c>
      <c r="CX146" s="165">
        <f t="shared" si="269"/>
        <v>1632.5659818058512</v>
      </c>
      <c r="CY146" s="165">
        <f t="shared" si="269"/>
        <v>2783.8766855283448</v>
      </c>
      <c r="CZ146" s="165">
        <f t="shared" si="269"/>
        <v>2923.6258143563969</v>
      </c>
      <c r="DA146" s="165">
        <f t="shared" si="269"/>
        <v>2356.2998807696695</v>
      </c>
      <c r="DB146" s="165">
        <f t="shared" si="269"/>
        <v>3639.0302950456953</v>
      </c>
      <c r="DC146" s="165">
        <f t="shared" si="269"/>
        <v>3894.4657887976314</v>
      </c>
      <c r="DD146" s="165">
        <f t="shared" si="269"/>
        <v>3923.1560072987545</v>
      </c>
      <c r="DE146" s="165">
        <f t="shared" si="269"/>
        <v>3791.7362967452223</v>
      </c>
      <c r="DF146" s="165">
        <f t="shared" si="269"/>
        <v>2902.3395232104021</v>
      </c>
      <c r="DG146" s="165">
        <f t="shared" si="269"/>
        <v>2586.7471196980464</v>
      </c>
      <c r="DH146" s="165">
        <f t="shared" si="269"/>
        <v>1574.2600538842137</v>
      </c>
      <c r="DI146" s="165">
        <f t="shared" si="269"/>
        <v>1522.4325623983136</v>
      </c>
      <c r="DJ146" s="165">
        <f t="shared" si="269"/>
        <v>1673.2875822590584</v>
      </c>
      <c r="DK146" s="165">
        <f t="shared" si="269"/>
        <v>2853.2885044826753</v>
      </c>
      <c r="DL146" s="165">
        <f t="shared" si="269"/>
        <v>2996.7395969882914</v>
      </c>
      <c r="DM146" s="165">
        <f t="shared" si="269"/>
        <v>2415.5312996106982</v>
      </c>
      <c r="DN146" s="165">
        <f t="shared" si="269"/>
        <v>3729.7284051460206</v>
      </c>
      <c r="DO146" s="165">
        <f t="shared" si="269"/>
        <v>2329.3222670258574</v>
      </c>
      <c r="DP146" s="165">
        <f t="shared" si="269"/>
        <v>0</v>
      </c>
      <c r="DQ146" s="165">
        <f t="shared" si="269"/>
        <v>0</v>
      </c>
      <c r="DR146" s="165">
        <f t="shared" si="269"/>
        <v>0</v>
      </c>
      <c r="DS146" s="165">
        <f t="shared" si="269"/>
        <v>0</v>
      </c>
    </row>
    <row r="148" spans="1:123" ht="15" customHeight="1" x14ac:dyDescent="0.35">
      <c r="A148" s="289" t="s">
        <v>511</v>
      </c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89"/>
    </row>
    <row r="149" spans="1:123" ht="12.75" customHeight="1" x14ac:dyDescent="0.35">
      <c r="A149" s="166" t="s">
        <v>486</v>
      </c>
      <c r="B149" s="167">
        <f>SUM(D149:BQ149)</f>
        <v>73823</v>
      </c>
      <c r="C149" s="139">
        <f>B149/60</f>
        <v>1230.3833333333334</v>
      </c>
      <c r="D149" s="167">
        <v>500</v>
      </c>
      <c r="E149" s="167">
        <v>392</v>
      </c>
      <c r="F149" s="167">
        <v>608</v>
      </c>
      <c r="G149" s="167">
        <v>989</v>
      </c>
      <c r="H149" s="167">
        <v>934</v>
      </c>
      <c r="I149" s="167">
        <v>1294</v>
      </c>
      <c r="J149" s="167">
        <v>1255</v>
      </c>
      <c r="K149" s="167">
        <v>1981</v>
      </c>
      <c r="L149" s="167">
        <v>1718</v>
      </c>
      <c r="M149" s="167">
        <v>1549</v>
      </c>
      <c r="N149" s="167">
        <v>1055</v>
      </c>
      <c r="O149" s="167">
        <v>788</v>
      </c>
      <c r="P149" s="167">
        <v>513</v>
      </c>
      <c r="Q149" s="167">
        <v>402</v>
      </c>
      <c r="R149" s="167">
        <v>623</v>
      </c>
      <c r="S149" s="167">
        <v>1014</v>
      </c>
      <c r="T149" s="167">
        <v>957</v>
      </c>
      <c r="U149" s="167">
        <v>1326</v>
      </c>
      <c r="V149" s="167">
        <v>1286</v>
      </c>
      <c r="W149" s="167">
        <v>1981</v>
      </c>
      <c r="X149" s="167">
        <v>1718</v>
      </c>
      <c r="Y149" s="167">
        <v>1549</v>
      </c>
      <c r="Z149" s="167">
        <v>1055</v>
      </c>
      <c r="AA149" s="167">
        <v>788</v>
      </c>
      <c r="AB149" s="167">
        <v>525</v>
      </c>
      <c r="AC149" s="167">
        <v>412</v>
      </c>
      <c r="AD149" s="167">
        <v>639</v>
      </c>
      <c r="AE149" s="167">
        <v>1039</v>
      </c>
      <c r="AF149" s="167">
        <v>981</v>
      </c>
      <c r="AG149" s="167">
        <v>1360</v>
      </c>
      <c r="AH149" s="167">
        <v>1319</v>
      </c>
      <c r="AI149" s="167">
        <v>2081</v>
      </c>
      <c r="AJ149" s="167">
        <v>1805</v>
      </c>
      <c r="AK149" s="167">
        <v>1627</v>
      </c>
      <c r="AL149" s="167">
        <v>1108</v>
      </c>
      <c r="AM149" s="167">
        <v>828</v>
      </c>
      <c r="AN149" s="167">
        <v>538</v>
      </c>
      <c r="AO149" s="167">
        <v>422</v>
      </c>
      <c r="AP149" s="167">
        <v>655</v>
      </c>
      <c r="AQ149" s="167">
        <v>1065</v>
      </c>
      <c r="AR149" s="167">
        <v>1006</v>
      </c>
      <c r="AS149" s="167">
        <v>1393</v>
      </c>
      <c r="AT149" s="167">
        <v>1351</v>
      </c>
      <c r="AU149" s="167">
        <v>2133</v>
      </c>
      <c r="AV149" s="167">
        <v>1850</v>
      </c>
      <c r="AW149" s="167">
        <v>1668</v>
      </c>
      <c r="AX149" s="167">
        <v>1136</v>
      </c>
      <c r="AY149" s="167">
        <v>849</v>
      </c>
      <c r="AZ149" s="167">
        <v>552</v>
      </c>
      <c r="BA149" s="167">
        <v>433</v>
      </c>
      <c r="BB149" s="167">
        <v>671</v>
      </c>
      <c r="BC149" s="167">
        <v>1092</v>
      </c>
      <c r="BD149" s="167">
        <v>1031</v>
      </c>
      <c r="BE149" s="167">
        <v>1428</v>
      </c>
      <c r="BF149" s="167">
        <v>1385</v>
      </c>
      <c r="BG149" s="167">
        <v>2187</v>
      </c>
      <c r="BH149" s="167">
        <v>1896</v>
      </c>
      <c r="BI149" s="167">
        <v>1710</v>
      </c>
      <c r="BJ149" s="167">
        <v>1165</v>
      </c>
      <c r="BK149" s="167">
        <v>870</v>
      </c>
      <c r="BL149" s="167">
        <v>566</v>
      </c>
      <c r="BM149" s="167">
        <v>444</v>
      </c>
      <c r="BN149" s="167">
        <v>688</v>
      </c>
      <c r="BO149" s="167">
        <v>1119</v>
      </c>
      <c r="BP149" s="167">
        <v>1057</v>
      </c>
      <c r="BQ149" s="167">
        <v>1464</v>
      </c>
      <c r="BR149" s="167">
        <v>1420</v>
      </c>
      <c r="BS149" s="167">
        <v>2241</v>
      </c>
      <c r="BT149" s="167">
        <v>1944</v>
      </c>
      <c r="BU149" s="167">
        <v>1753</v>
      </c>
      <c r="BV149" s="167">
        <v>1194</v>
      </c>
      <c r="BW149" s="167">
        <v>892</v>
      </c>
      <c r="BX149" s="167">
        <v>580</v>
      </c>
      <c r="BY149" s="167">
        <v>455</v>
      </c>
      <c r="BZ149" s="167">
        <v>705</v>
      </c>
      <c r="CA149" s="167">
        <v>1147</v>
      </c>
      <c r="CB149" s="167">
        <v>1083</v>
      </c>
      <c r="CC149" s="167">
        <v>1501</v>
      </c>
      <c r="CD149" s="167">
        <v>1455</v>
      </c>
      <c r="CE149" s="167">
        <v>2297</v>
      </c>
      <c r="CF149" s="167">
        <v>1992</v>
      </c>
      <c r="CG149" s="167">
        <v>1796</v>
      </c>
      <c r="CH149" s="167">
        <v>1223</v>
      </c>
      <c r="CI149" s="167">
        <v>914</v>
      </c>
      <c r="CJ149" s="167">
        <v>594</v>
      </c>
      <c r="CK149" s="167">
        <v>466</v>
      </c>
      <c r="CL149" s="167">
        <v>723</v>
      </c>
      <c r="CM149" s="167">
        <v>1176</v>
      </c>
      <c r="CN149" s="167">
        <v>1110</v>
      </c>
      <c r="CO149" s="167">
        <v>1538</v>
      </c>
      <c r="CP149" s="167">
        <v>1492</v>
      </c>
      <c r="CQ149" s="167">
        <v>2355</v>
      </c>
      <c r="CR149" s="167">
        <v>2042</v>
      </c>
      <c r="CS149" s="167">
        <v>1841</v>
      </c>
      <c r="CT149" s="167">
        <v>1254</v>
      </c>
      <c r="CU149" s="167">
        <v>937</v>
      </c>
      <c r="CV149" s="167">
        <v>609</v>
      </c>
      <c r="CW149" s="167">
        <v>478</v>
      </c>
      <c r="CX149" s="167">
        <v>741</v>
      </c>
      <c r="CY149" s="167">
        <v>1205</v>
      </c>
      <c r="CZ149" s="167">
        <v>1138</v>
      </c>
      <c r="DA149" s="167">
        <v>1577</v>
      </c>
      <c r="DB149" s="167">
        <v>1529</v>
      </c>
      <c r="DC149" s="167">
        <v>2414</v>
      </c>
      <c r="DD149" s="167">
        <v>2093</v>
      </c>
      <c r="DE149" s="167">
        <v>1887</v>
      </c>
      <c r="DF149" s="167">
        <v>1285</v>
      </c>
      <c r="DG149" s="167">
        <v>960</v>
      </c>
      <c r="DH149" s="167">
        <v>624</v>
      </c>
      <c r="DI149" s="167">
        <v>490</v>
      </c>
      <c r="DJ149" s="167">
        <v>759</v>
      </c>
      <c r="DK149" s="167">
        <v>1235</v>
      </c>
      <c r="DL149" s="167">
        <v>1166</v>
      </c>
      <c r="DM149" s="167">
        <v>1616</v>
      </c>
      <c r="DN149" s="167">
        <v>1567</v>
      </c>
      <c r="DO149" s="167">
        <v>2474</v>
      </c>
      <c r="DP149" s="167">
        <v>2146</v>
      </c>
      <c r="DQ149" s="167">
        <v>1934</v>
      </c>
      <c r="DR149" s="167">
        <v>1318</v>
      </c>
      <c r="DS149" s="167">
        <v>984</v>
      </c>
    </row>
    <row r="150" spans="1:123" ht="12.75" customHeight="1" x14ac:dyDescent="0.35">
      <c r="A150" s="142" t="str">
        <f>"  "&amp;INDEX(PVSYST_Helexia!$A$5:$A$7,MATCH(Premissas!$B$13,PVSYST_Helexia!$B$5:$B$7,0))&amp;" créditos recebidos (kWh)"</f>
        <v xml:space="preserve">  HCS03 créditos recebidos (kWh)</v>
      </c>
      <c r="B150" s="155">
        <f>SUM(D150:BQ150)</f>
        <v>78327.431646862693</v>
      </c>
      <c r="C150" s="139">
        <f>B150/60</f>
        <v>1305.4571941143781</v>
      </c>
      <c r="D150" s="156">
        <f>D6*Premissas!$B$43</f>
        <v>570.35400000000004</v>
      </c>
      <c r="E150" s="156">
        <f>E6*Premissas!$B$43</f>
        <v>600.34599999999989</v>
      </c>
      <c r="F150" s="156">
        <f>F6*Premissas!$B$43</f>
        <v>720.68200000000002</v>
      </c>
      <c r="G150" s="156">
        <f>G6*Premissas!$B$43</f>
        <v>676.24599999999998</v>
      </c>
      <c r="H150" s="156">
        <f>H6*Premissas!$C$43</f>
        <v>2371.9559999999997</v>
      </c>
      <c r="I150" s="156">
        <f>I6*Premissas!$C$43</f>
        <v>2293.4559999999997</v>
      </c>
      <c r="J150" s="156">
        <f>J6*Premissas!$C$43</f>
        <v>2177.7469999999998</v>
      </c>
      <c r="K150" s="156">
        <f>K6*Premissas!$C$43</f>
        <v>2236.0615099999995</v>
      </c>
      <c r="L150" s="156">
        <f>L6*Premissas!$C$43</f>
        <v>1992.5223249999999</v>
      </c>
      <c r="M150" s="156">
        <f>M6*Premissas!$C$43</f>
        <v>2285.4254499999997</v>
      </c>
      <c r="N150" s="156">
        <f>N6*Premissas!$D$43</f>
        <v>871.50060000000008</v>
      </c>
      <c r="O150" s="156">
        <f>O6*Premissas!$D$43</f>
        <v>815.62139999999999</v>
      </c>
      <c r="P150" s="156">
        <f>P6*Premissas!$D$43</f>
        <v>740.22030000000007</v>
      </c>
      <c r="Q150" s="156">
        <f>Q6*Premissas!$D$43</f>
        <v>779.14469999999994</v>
      </c>
      <c r="R150" s="156">
        <f>R6*Premissas!$D$43</f>
        <v>935.31989999999996</v>
      </c>
      <c r="S150" s="156">
        <f>S6*Premissas!$D$43</f>
        <v>877.64970000000005</v>
      </c>
      <c r="T150" s="156">
        <f>T6*Premissas!$E$43</f>
        <v>2209.77162</v>
      </c>
      <c r="U150" s="156">
        <f>U6*Premissas!$E$43</f>
        <v>2136.6391199999998</v>
      </c>
      <c r="V150" s="156">
        <f>V6*Premissas!$E$43</f>
        <v>2028.841815</v>
      </c>
      <c r="W150" s="156">
        <f>W6*Premissas!$E$43</f>
        <v>2093.6372099999999</v>
      </c>
      <c r="X150" s="156">
        <f>X6*Premissas!$E$43</f>
        <v>1865.6100750000001</v>
      </c>
      <c r="Y150" s="156">
        <f>Y6*Premissas!$E$43</f>
        <v>2139.8569499999999</v>
      </c>
      <c r="Z150" s="156">
        <f>Z6*Premissas!$E$43</f>
        <v>2135.1764699999999</v>
      </c>
      <c r="AA150" s="156">
        <f>AA6*Premissas!$E$43</f>
        <v>1998.2724299999998</v>
      </c>
      <c r="AB150" s="156">
        <f>AB6*Premissas!$F$43</f>
        <v>380.53491922500001</v>
      </c>
      <c r="AC150" s="156">
        <f>AC6*Premissas!$F$43</f>
        <v>400.54530452499995</v>
      </c>
      <c r="AD150" s="156">
        <f>AD6*Premissas!$F$43</f>
        <v>480.83237192500007</v>
      </c>
      <c r="AE150" s="156">
        <f>AE6*Premissas!$F$43</f>
        <v>451.18508327499995</v>
      </c>
      <c r="AF150" s="156">
        <f>AF6*Premissas!$F$43</f>
        <v>463.67622870000002</v>
      </c>
      <c r="AG150" s="156">
        <f>AG6*Premissas!$F$43</f>
        <v>448.33084120000001</v>
      </c>
      <c r="AH150" s="156">
        <f>AH6*Premissas!$G$43</f>
        <v>453.17701357499999</v>
      </c>
      <c r="AI150" s="156">
        <f>AI6*Premissas!$G$43</f>
        <v>467.65018905000005</v>
      </c>
      <c r="AJ150" s="156">
        <f>AJ6*Premissas!$G$43</f>
        <v>416.71637287499999</v>
      </c>
      <c r="AK150" s="156">
        <f>AK6*Premissas!$G$43</f>
        <v>477.97416974999999</v>
      </c>
      <c r="AL150" s="156">
        <f>AL6*Premissas!$G$43</f>
        <v>476.92870335000003</v>
      </c>
      <c r="AM150" s="156">
        <f>AM6*Premissas!$G$43</f>
        <v>446.34881115000007</v>
      </c>
      <c r="AN150" s="156">
        <f>AN6*Premissas!$H$43</f>
        <v>378.63224462887501</v>
      </c>
      <c r="AO150" s="156">
        <f>AO6*Premissas!$H$43</f>
        <v>398.54257800237491</v>
      </c>
      <c r="AP150" s="156">
        <f>AP6*Premissas!$H$43</f>
        <v>478.42821006537497</v>
      </c>
      <c r="AQ150" s="156">
        <f>AQ6*Premissas!$H$43</f>
        <v>448.92915785862505</v>
      </c>
      <c r="AR150" s="156">
        <f>AR6*Premissas!$H$43</f>
        <v>461.35784755649996</v>
      </c>
      <c r="AS150" s="156">
        <f>AS6*Premissas!$H$43</f>
        <v>446.08918699400004</v>
      </c>
      <c r="AT150" s="156">
        <f>AT6*Premissas!$I$43</f>
        <v>450.911128507125</v>
      </c>
      <c r="AU150" s="156">
        <f>AU6*Premissas!$I$43</f>
        <v>465.31193810474997</v>
      </c>
      <c r="AV150" s="156">
        <f>AV6*Premissas!$I$43</f>
        <v>414.632791010625</v>
      </c>
      <c r="AW150" s="156">
        <f>AW6*Premissas!$I$43</f>
        <v>475.58429890125007</v>
      </c>
      <c r="AX150" s="156">
        <f>AX6*Premissas!$I$43</f>
        <v>474.54405983325006</v>
      </c>
      <c r="AY150" s="156">
        <f>AY6*Premissas!$I$43</f>
        <v>444.11706709424999</v>
      </c>
      <c r="AZ150" s="156">
        <f>AZ6*Premissas!$J$43</f>
        <v>437.50345169697749</v>
      </c>
      <c r="BA150" s="156">
        <f>BA6*Premissas!$J$43</f>
        <v>460.50952077564745</v>
      </c>
      <c r="BB150" s="156">
        <f>BB6*Premissas!$J$43</f>
        <v>552.81608014650749</v>
      </c>
      <c r="BC150" s="156">
        <f>BC6*Premissas!$J$43</f>
        <v>518.7304011127726</v>
      </c>
      <c r="BD150" s="156">
        <f>BD6*Premissas!$J$43</f>
        <v>533.09155159593001</v>
      </c>
      <c r="BE150" s="156">
        <f>BE6*Premissas!$J$43</f>
        <v>515.44886058468001</v>
      </c>
      <c r="BF150" s="156">
        <f>BF6*Premissas!$K$43</f>
        <v>652.59137871212999</v>
      </c>
      <c r="BG150" s="156">
        <f>BG6*Premissas!$K$43</f>
        <v>673.43327769341988</v>
      </c>
      <c r="BH150" s="156">
        <f>BH6*Premissas!$K$43</f>
        <v>600.08673026265001</v>
      </c>
      <c r="BI150" s="156">
        <f>BI6*Premissas!$K$43</f>
        <v>688.30018531889993</v>
      </c>
      <c r="BJ150" s="156">
        <f>BJ6*Premissas!$K$43</f>
        <v>686.79467568593998</v>
      </c>
      <c r="BK150" s="156">
        <f>BK6*Premissas!$K$43</f>
        <v>642.75851892186006</v>
      </c>
      <c r="BL150" s="156">
        <f>BL6*Premissas!$L$43</f>
        <v>3350.3607209686984</v>
      </c>
      <c r="BM150" s="156">
        <f>BM6*Premissas!$L$43</f>
        <v>3526.5390571306139</v>
      </c>
      <c r="BN150" s="156">
        <f>BN6*Premissas!$L$43</f>
        <v>4233.4140991544964</v>
      </c>
      <c r="BO150" s="156">
        <f>BO6*Premissas!$L$43</f>
        <v>3972.3891409759531</v>
      </c>
      <c r="BP150" s="156">
        <f>BP6*Premissas!$L$43</f>
        <v>4082.3654949911361</v>
      </c>
      <c r="BQ150" s="156">
        <f>BQ6*Premissas!$L$43</f>
        <v>3947.2594089773975</v>
      </c>
      <c r="BR150" s="156">
        <f>BR6*Premissas!$M$43</f>
        <v>3780.0275301255288</v>
      </c>
      <c r="BS150" s="156">
        <f>BS6*Premissas!$M$43</f>
        <v>3900.7507797719577</v>
      </c>
      <c r="BT150" s="156">
        <f>BT6*Premissas!$M$43</f>
        <v>3475.9030456889282</v>
      </c>
      <c r="BU150" s="156">
        <f>BU6*Premissas!$M$43</f>
        <v>3986.8648810998839</v>
      </c>
      <c r="BV150" s="156">
        <f>BV6*Premissas!$M$43</f>
        <v>3978.1444657755374</v>
      </c>
      <c r="BW150" s="156">
        <f>BW6*Premissas!$M$43</f>
        <v>3723.0723175383878</v>
      </c>
      <c r="BX150" s="156">
        <f>BX6*Premissas!$N$43</f>
        <v>3340.7328565848866</v>
      </c>
      <c r="BY150" s="156">
        <f>BY6*Premissas!$N$43</f>
        <v>3516.4049125969309</v>
      </c>
      <c r="BZ150" s="156">
        <f>BZ6*Premissas!$N$43</f>
        <v>4221.2486219949524</v>
      </c>
      <c r="CA150" s="156">
        <f>CA6*Premissas!$N$43</f>
        <v>3960.9737660016463</v>
      </c>
      <c r="CB150" s="156">
        <f>CB6*Premissas!$N$43</f>
        <v>4070.6340831748103</v>
      </c>
      <c r="CC150" s="156">
        <f>CC6*Premissas!$N$43</f>
        <v>3935.9162488097445</v>
      </c>
      <c r="CD150" s="156">
        <f>CD6*Premissas!$O$43</f>
        <v>3768.9369059871397</v>
      </c>
      <c r="CE150" s="156">
        <f>CE6*Premissas!$O$43</f>
        <v>3889.3059528728941</v>
      </c>
      <c r="CF150" s="156">
        <f>CF6*Premissas!$O$43</f>
        <v>3465.7047246677212</v>
      </c>
      <c r="CG150" s="156">
        <f>CG6*Premissas!$O$43</f>
        <v>3975.1673948952384</v>
      </c>
      <c r="CH150" s="156">
        <f>CH6*Premissas!$O$43</f>
        <v>3966.4725653233554</v>
      </c>
      <c r="CI150" s="156">
        <f>CI6*Premissas!$O$43</f>
        <v>3712.1488003457794</v>
      </c>
      <c r="CJ150" s="156">
        <f>CJ6*Premissas!$P$43</f>
        <v>3331.0827945044389</v>
      </c>
      <c r="CK150" s="156">
        <f>CK6*Premissas!$P$43</f>
        <v>3506.2474031032684</v>
      </c>
      <c r="CL150" s="156">
        <f>CL6*Premissas!$P$43</f>
        <v>4209.0550964998019</v>
      </c>
      <c r="CM150" s="156">
        <f>CM6*Premissas!$P$43</f>
        <v>3949.5320721033754</v>
      </c>
      <c r="CN150" s="156">
        <f>CN6*Premissas!$P$43</f>
        <v>4058.8756237900693</v>
      </c>
      <c r="CO150" s="156">
        <f>CO6*Premissas!$P$43</f>
        <v>3924.5469362142785</v>
      </c>
      <c r="CP150" s="156">
        <f>CP6*Premissas!$Q$43</f>
        <v>3757.8265270122729</v>
      </c>
      <c r="CQ150" s="156">
        <f>CQ6*Premissas!$Q$43</f>
        <v>3877.8407402244738</v>
      </c>
      <c r="CR150" s="156">
        <f>CR6*Premissas!$Q$43</f>
        <v>3455.48823819779</v>
      </c>
      <c r="CS150" s="156">
        <f>CS6*Premissas!$Q$43</f>
        <v>3963.4490728995424</v>
      </c>
      <c r="CT150" s="156">
        <f>CT6*Premissas!$Q$43</f>
        <v>3954.7798746539661</v>
      </c>
      <c r="CU150" s="156">
        <f>CU6*Premissas!$Q$43</f>
        <v>3701.2058259708506</v>
      </c>
      <c r="CV150" s="156">
        <f>CV6*Premissas!$R$43</f>
        <v>3321.4099798242391</v>
      </c>
      <c r="CW150" s="156">
        <f>CW6*Premissas!$R$43</f>
        <v>3496.0659445669921</v>
      </c>
      <c r="CX150" s="156">
        <f>CX6*Premissas!$R$43</f>
        <v>4196.832821510312</v>
      </c>
      <c r="CY150" s="156">
        <f>CY6*Premissas!$R$43</f>
        <v>3938.0634013546369</v>
      </c>
      <c r="CZ150" s="156">
        <f>CZ6*Premissas!$R$43</f>
        <v>4047.0894406955886</v>
      </c>
      <c r="DA150" s="156">
        <f>DA6*Premissas!$R$43</f>
        <v>3913.150817426606</v>
      </c>
      <c r="DB150" s="156">
        <f>DB6*Premissas!$S$43</f>
        <v>0</v>
      </c>
      <c r="DC150" s="156">
        <f>DC6*Premissas!$S$43</f>
        <v>0</v>
      </c>
      <c r="DD150" s="156">
        <f>DD6*Premissas!$S$43</f>
        <v>0</v>
      </c>
      <c r="DE150" s="156">
        <f>DE6*Premissas!$S$43</f>
        <v>0</v>
      </c>
      <c r="DF150" s="156">
        <f>DF6*Premissas!$S$43</f>
        <v>0</v>
      </c>
      <c r="DG150" s="156">
        <f>DG6*Premissas!$S$43</f>
        <v>0</v>
      </c>
      <c r="DH150" s="156">
        <f>DH6*Premissas!$T$43</f>
        <v>0</v>
      </c>
      <c r="DI150" s="156">
        <f>DI6*Premissas!$T$43</f>
        <v>0</v>
      </c>
      <c r="DJ150" s="156">
        <f>DJ6*Premissas!$T$43</f>
        <v>0</v>
      </c>
      <c r="DK150" s="156">
        <f>DK6*Premissas!$T$43</f>
        <v>0</v>
      </c>
      <c r="DL150" s="156">
        <f>DL6*Premissas!$T$43</f>
        <v>0</v>
      </c>
      <c r="DM150" s="156">
        <f>DM6*Premissas!$T$43</f>
        <v>0</v>
      </c>
      <c r="DN150" s="156">
        <f>DN6*Premissas!$U$43</f>
        <v>0</v>
      </c>
      <c r="DO150" s="156">
        <f>DO6*Premissas!$U$43</f>
        <v>0</v>
      </c>
      <c r="DP150" s="156">
        <f>DP6*Premissas!$U$43</f>
        <v>0</v>
      </c>
      <c r="DQ150" s="156">
        <f>DQ6*Premissas!$U$43</f>
        <v>0</v>
      </c>
      <c r="DR150" s="156">
        <f>DR6*Premissas!$U$43</f>
        <v>0</v>
      </c>
      <c r="DS150" s="156">
        <f>DS6*Premissas!$U$43</f>
        <v>0</v>
      </c>
    </row>
    <row r="151" spans="1:123" ht="12.75" customHeight="1" x14ac:dyDescent="0.35">
      <c r="A151" s="146" t="s">
        <v>492</v>
      </c>
      <c r="B151" s="139">
        <f>AA151</f>
        <v>10066.786144999998</v>
      </c>
      <c r="C151" s="139" t="s">
        <v>169</v>
      </c>
      <c r="D151" s="139">
        <f>0</f>
        <v>0</v>
      </c>
      <c r="E151" s="139">
        <f t="shared" ref="E151:AJ151" si="270">D153</f>
        <v>70.354000000000042</v>
      </c>
      <c r="F151" s="139">
        <f t="shared" si="270"/>
        <v>278.69999999999993</v>
      </c>
      <c r="G151" s="139">
        <f t="shared" si="270"/>
        <v>391.38199999999995</v>
      </c>
      <c r="H151" s="139">
        <f t="shared" si="270"/>
        <v>78.627999999999929</v>
      </c>
      <c r="I151" s="139">
        <f t="shared" si="270"/>
        <v>1516.5839999999996</v>
      </c>
      <c r="J151" s="139">
        <f t="shared" si="270"/>
        <v>2516.0399999999991</v>
      </c>
      <c r="K151" s="139">
        <f t="shared" si="270"/>
        <v>3438.7869999999989</v>
      </c>
      <c r="L151" s="139">
        <f t="shared" si="270"/>
        <v>3693.8485099999984</v>
      </c>
      <c r="M151" s="139">
        <f t="shared" si="270"/>
        <v>3968.3708349999984</v>
      </c>
      <c r="N151" s="139">
        <f t="shared" si="270"/>
        <v>4704.7962849999985</v>
      </c>
      <c r="O151" s="139">
        <f t="shared" si="270"/>
        <v>4521.2968849999988</v>
      </c>
      <c r="P151" s="139">
        <f t="shared" si="270"/>
        <v>4548.9182849999988</v>
      </c>
      <c r="Q151" s="139">
        <f t="shared" si="270"/>
        <v>4776.1385849999988</v>
      </c>
      <c r="R151" s="139">
        <f t="shared" si="270"/>
        <v>5153.2832849999986</v>
      </c>
      <c r="S151" s="139">
        <f t="shared" si="270"/>
        <v>5465.6031849999981</v>
      </c>
      <c r="T151" s="139">
        <f t="shared" si="270"/>
        <v>5329.2528849999981</v>
      </c>
      <c r="U151" s="139">
        <f t="shared" si="270"/>
        <v>6582.0245049999976</v>
      </c>
      <c r="V151" s="139">
        <f t="shared" si="270"/>
        <v>7392.6636249999974</v>
      </c>
      <c r="W151" s="139">
        <f t="shared" si="270"/>
        <v>8135.5054399999972</v>
      </c>
      <c r="X151" s="139">
        <f t="shared" si="270"/>
        <v>8248.142649999998</v>
      </c>
      <c r="Y151" s="139">
        <f t="shared" si="270"/>
        <v>8395.7527249999985</v>
      </c>
      <c r="Z151" s="139">
        <f t="shared" si="270"/>
        <v>8986.6096749999979</v>
      </c>
      <c r="AA151" s="139">
        <f t="shared" si="270"/>
        <v>10066.786144999998</v>
      </c>
      <c r="AB151" s="139">
        <f t="shared" si="270"/>
        <v>11277.058574999997</v>
      </c>
      <c r="AC151" s="139">
        <f t="shared" si="270"/>
        <v>11132.593494224997</v>
      </c>
      <c r="AD151" s="139">
        <f t="shared" si="270"/>
        <v>11121.138798749997</v>
      </c>
      <c r="AE151" s="139">
        <f t="shared" si="270"/>
        <v>10962.971170674997</v>
      </c>
      <c r="AF151" s="139">
        <f t="shared" si="270"/>
        <v>10375.156253949997</v>
      </c>
      <c r="AG151" s="139">
        <f t="shared" si="270"/>
        <v>9857.8324826499975</v>
      </c>
      <c r="AH151" s="139">
        <f t="shared" si="270"/>
        <v>8946.1633238499981</v>
      </c>
      <c r="AI151" s="139">
        <f t="shared" si="270"/>
        <v>8080.3403374249983</v>
      </c>
      <c r="AJ151" s="139">
        <f t="shared" si="270"/>
        <v>6466.9905264749987</v>
      </c>
      <c r="AK151" s="139">
        <f t="shared" ref="AK151:BP151" si="271">AJ153</f>
        <v>5078.7068993499988</v>
      </c>
      <c r="AL151" s="139">
        <f t="shared" si="271"/>
        <v>3929.6810690999987</v>
      </c>
      <c r="AM151" s="139">
        <f t="shared" si="271"/>
        <v>3298.6097724499987</v>
      </c>
      <c r="AN151" s="139">
        <f t="shared" si="271"/>
        <v>2916.9585835999987</v>
      </c>
      <c r="AO151" s="139">
        <f t="shared" si="271"/>
        <v>2757.5908282288738</v>
      </c>
      <c r="AP151" s="139">
        <f t="shared" si="271"/>
        <v>2734.1334062312485</v>
      </c>
      <c r="AQ151" s="139">
        <f t="shared" si="271"/>
        <v>2557.5616162966235</v>
      </c>
      <c r="AR151" s="139">
        <f t="shared" si="271"/>
        <v>1941.4907741552486</v>
      </c>
      <c r="AS151" s="139">
        <f t="shared" si="271"/>
        <v>1396.8486217117486</v>
      </c>
      <c r="AT151" s="139">
        <f t="shared" si="271"/>
        <v>449.93780870574869</v>
      </c>
      <c r="AU151" s="139">
        <f t="shared" si="271"/>
        <v>0</v>
      </c>
      <c r="AV151" s="139">
        <f t="shared" si="271"/>
        <v>0</v>
      </c>
      <c r="AW151" s="139">
        <f t="shared" si="271"/>
        <v>0</v>
      </c>
      <c r="AX151" s="139">
        <f t="shared" si="271"/>
        <v>0</v>
      </c>
      <c r="AY151" s="139">
        <f t="shared" si="271"/>
        <v>0</v>
      </c>
      <c r="AZ151" s="139">
        <f t="shared" si="271"/>
        <v>0</v>
      </c>
      <c r="BA151" s="139">
        <f t="shared" si="271"/>
        <v>0</v>
      </c>
      <c r="BB151" s="139">
        <f t="shared" si="271"/>
        <v>27.509520775647445</v>
      </c>
      <c r="BC151" s="139">
        <f t="shared" si="271"/>
        <v>0</v>
      </c>
      <c r="BD151" s="139">
        <f t="shared" si="271"/>
        <v>0</v>
      </c>
      <c r="BE151" s="139">
        <f t="shared" si="271"/>
        <v>0</v>
      </c>
      <c r="BF151" s="139">
        <f t="shared" si="271"/>
        <v>0</v>
      </c>
      <c r="BG151" s="139">
        <f t="shared" si="271"/>
        <v>0</v>
      </c>
      <c r="BH151" s="139">
        <f t="shared" si="271"/>
        <v>0</v>
      </c>
      <c r="BI151" s="139">
        <f t="shared" si="271"/>
        <v>0</v>
      </c>
      <c r="BJ151" s="139">
        <f t="shared" si="271"/>
        <v>0</v>
      </c>
      <c r="BK151" s="139">
        <f t="shared" si="271"/>
        <v>0</v>
      </c>
      <c r="BL151" s="139">
        <f t="shared" si="271"/>
        <v>0</v>
      </c>
      <c r="BM151" s="139">
        <f t="shared" si="271"/>
        <v>2784.3607209686984</v>
      </c>
      <c r="BN151" s="139">
        <f t="shared" si="271"/>
        <v>5866.8997780993122</v>
      </c>
      <c r="BO151" s="139">
        <f t="shared" si="271"/>
        <v>9412.3138772538077</v>
      </c>
      <c r="BP151" s="139">
        <f t="shared" si="271"/>
        <v>12265.70301822976</v>
      </c>
      <c r="BQ151" s="139">
        <f t="shared" ref="BQ151:CV151" si="272">BP153</f>
        <v>15291.068513220896</v>
      </c>
      <c r="BR151" s="139">
        <f t="shared" si="272"/>
        <v>17774.327922198296</v>
      </c>
      <c r="BS151" s="139">
        <f t="shared" si="272"/>
        <v>20134.355452323824</v>
      </c>
      <c r="BT151" s="139">
        <f t="shared" si="272"/>
        <v>21794.106232095783</v>
      </c>
      <c r="BU151" s="139">
        <f t="shared" si="272"/>
        <v>23326.009277784709</v>
      </c>
      <c r="BV151" s="139">
        <f t="shared" si="272"/>
        <v>25559.874158884595</v>
      </c>
      <c r="BW151" s="139">
        <f t="shared" si="272"/>
        <v>28344.018624660133</v>
      </c>
      <c r="BX151" s="139">
        <f t="shared" si="272"/>
        <v>31175.09094219852</v>
      </c>
      <c r="BY151" s="139">
        <f t="shared" si="272"/>
        <v>33935.823798783407</v>
      </c>
      <c r="BZ151" s="139">
        <f t="shared" si="272"/>
        <v>36997.22871138034</v>
      </c>
      <c r="CA151" s="139">
        <f t="shared" si="272"/>
        <v>40513.477333375289</v>
      </c>
      <c r="CB151" s="139">
        <f t="shared" si="272"/>
        <v>43327.451099376936</v>
      </c>
      <c r="CC151" s="139">
        <f t="shared" si="272"/>
        <v>46315.085182551746</v>
      </c>
      <c r="CD151" s="139">
        <f t="shared" si="272"/>
        <v>48750.001431361488</v>
      </c>
      <c r="CE151" s="139">
        <f t="shared" si="272"/>
        <v>51063.938337348627</v>
      </c>
      <c r="CF151" s="139">
        <f t="shared" si="272"/>
        <v>52656.244290221519</v>
      </c>
      <c r="CG151" s="139">
        <f t="shared" si="272"/>
        <v>54129.949014889236</v>
      </c>
      <c r="CH151" s="139">
        <f t="shared" si="272"/>
        <v>56309.116409784474</v>
      </c>
      <c r="CI151" s="139">
        <f t="shared" si="272"/>
        <v>59052.588975107828</v>
      </c>
      <c r="CJ151" s="139">
        <f t="shared" si="272"/>
        <v>61850.737775453606</v>
      </c>
      <c r="CK151" s="139">
        <f t="shared" si="272"/>
        <v>64587.820569958043</v>
      </c>
      <c r="CL151" s="139">
        <f t="shared" si="272"/>
        <v>67628.067973061305</v>
      </c>
      <c r="CM151" s="139">
        <f t="shared" si="272"/>
        <v>71114.123069561101</v>
      </c>
      <c r="CN151" s="139">
        <f t="shared" si="272"/>
        <v>73887.65514166448</v>
      </c>
      <c r="CO151" s="139">
        <f t="shared" si="272"/>
        <v>76836.530765454547</v>
      </c>
      <c r="CP151" s="139">
        <f t="shared" si="272"/>
        <v>79223.077701668823</v>
      </c>
      <c r="CQ151" s="139">
        <f t="shared" si="272"/>
        <v>81488.904228681102</v>
      </c>
      <c r="CR151" s="139">
        <f t="shared" si="272"/>
        <v>83011.744968905579</v>
      </c>
      <c r="CS151" s="139">
        <f t="shared" si="272"/>
        <v>84425.233207103374</v>
      </c>
      <c r="CT151" s="139">
        <f t="shared" si="272"/>
        <v>86547.682280002919</v>
      </c>
      <c r="CU151" s="139">
        <f t="shared" si="272"/>
        <v>89248.462154656881</v>
      </c>
      <c r="CV151" s="139">
        <f t="shared" si="272"/>
        <v>92012.667980627739</v>
      </c>
      <c r="CW151" s="139">
        <f t="shared" ref="CW151:DS151" si="273">CV153</f>
        <v>94725.077960451978</v>
      </c>
      <c r="CX151" s="139">
        <f t="shared" si="273"/>
        <v>97743.143905018966</v>
      </c>
      <c r="CY151" s="139">
        <f t="shared" si="273"/>
        <v>101198.97672652928</v>
      </c>
      <c r="CZ151" s="139">
        <f t="shared" si="273"/>
        <v>103932.04012788391</v>
      </c>
      <c r="DA151" s="139">
        <f t="shared" si="273"/>
        <v>106841.1295685795</v>
      </c>
      <c r="DB151" s="139">
        <f t="shared" si="273"/>
        <v>109177.28038600611</v>
      </c>
      <c r="DC151" s="139">
        <f t="shared" si="273"/>
        <v>107648.28038600611</v>
      </c>
      <c r="DD151" s="139">
        <f t="shared" si="273"/>
        <v>105234.28038600611</v>
      </c>
      <c r="DE151" s="139">
        <f t="shared" si="273"/>
        <v>103141.28038600611</v>
      </c>
      <c r="DF151" s="139">
        <f t="shared" si="273"/>
        <v>101254.28038600611</v>
      </c>
      <c r="DG151" s="139">
        <f t="shared" si="273"/>
        <v>99969.28038600611</v>
      </c>
      <c r="DH151" s="139">
        <f t="shared" si="273"/>
        <v>99009.28038600611</v>
      </c>
      <c r="DI151" s="139">
        <f t="shared" si="273"/>
        <v>98385.28038600611</v>
      </c>
      <c r="DJ151" s="139">
        <f t="shared" si="273"/>
        <v>97895.28038600611</v>
      </c>
      <c r="DK151" s="139">
        <f t="shared" si="273"/>
        <v>97136.28038600611</v>
      </c>
      <c r="DL151" s="139">
        <f t="shared" si="273"/>
        <v>95901.28038600611</v>
      </c>
      <c r="DM151" s="139">
        <f t="shared" si="273"/>
        <v>94735.28038600611</v>
      </c>
      <c r="DN151" s="139">
        <f t="shared" si="273"/>
        <v>93119.28038600611</v>
      </c>
      <c r="DO151" s="139">
        <f t="shared" si="273"/>
        <v>91552.28038600611</v>
      </c>
      <c r="DP151" s="139">
        <f t="shared" si="273"/>
        <v>89078.28038600611</v>
      </c>
      <c r="DQ151" s="139">
        <f t="shared" si="273"/>
        <v>86932.28038600611</v>
      </c>
      <c r="DR151" s="139">
        <f t="shared" si="273"/>
        <v>84998.28038600611</v>
      </c>
      <c r="DS151" s="139">
        <f t="shared" si="273"/>
        <v>83680.28038600611</v>
      </c>
    </row>
    <row r="152" spans="1:123" ht="12.75" customHeight="1" x14ac:dyDescent="0.35">
      <c r="A152" s="146" t="s">
        <v>493</v>
      </c>
      <c r="B152" s="139">
        <f>SUM(D152:BQ152)</f>
        <v>11937.171795775645</v>
      </c>
      <c r="C152" s="139">
        <f>B152/60</f>
        <v>198.95286326292742</v>
      </c>
      <c r="D152" s="139">
        <f t="shared" ref="D152:AI152" si="274">MIN(D151,MAX(D149-D150,0))</f>
        <v>0</v>
      </c>
      <c r="E152" s="139">
        <f t="shared" si="274"/>
        <v>0</v>
      </c>
      <c r="F152" s="139">
        <f t="shared" si="274"/>
        <v>0</v>
      </c>
      <c r="G152" s="139">
        <f t="shared" si="274"/>
        <v>312.75400000000002</v>
      </c>
      <c r="H152" s="139">
        <f t="shared" si="274"/>
        <v>0</v>
      </c>
      <c r="I152" s="139">
        <f t="shared" si="274"/>
        <v>0</v>
      </c>
      <c r="J152" s="139">
        <f t="shared" si="274"/>
        <v>0</v>
      </c>
      <c r="K152" s="139">
        <f t="shared" si="274"/>
        <v>0</v>
      </c>
      <c r="L152" s="139">
        <f t="shared" si="274"/>
        <v>0</v>
      </c>
      <c r="M152" s="139">
        <f t="shared" si="274"/>
        <v>0</v>
      </c>
      <c r="N152" s="139">
        <f t="shared" si="274"/>
        <v>183.49939999999992</v>
      </c>
      <c r="O152" s="139">
        <f t="shared" si="274"/>
        <v>0</v>
      </c>
      <c r="P152" s="139">
        <f t="shared" si="274"/>
        <v>0</v>
      </c>
      <c r="Q152" s="139">
        <f t="shared" si="274"/>
        <v>0</v>
      </c>
      <c r="R152" s="139">
        <f t="shared" si="274"/>
        <v>0</v>
      </c>
      <c r="S152" s="139">
        <f t="shared" si="274"/>
        <v>136.35029999999995</v>
      </c>
      <c r="T152" s="139">
        <f t="shared" si="274"/>
        <v>0</v>
      </c>
      <c r="U152" s="139">
        <f t="shared" si="274"/>
        <v>0</v>
      </c>
      <c r="V152" s="139">
        <f t="shared" si="274"/>
        <v>0</v>
      </c>
      <c r="W152" s="139">
        <f t="shared" si="274"/>
        <v>0</v>
      </c>
      <c r="X152" s="139">
        <f t="shared" si="274"/>
        <v>0</v>
      </c>
      <c r="Y152" s="139">
        <f t="shared" si="274"/>
        <v>0</v>
      </c>
      <c r="Z152" s="139">
        <f t="shared" si="274"/>
        <v>0</v>
      </c>
      <c r="AA152" s="139">
        <f t="shared" si="274"/>
        <v>0</v>
      </c>
      <c r="AB152" s="139">
        <f t="shared" si="274"/>
        <v>144.46508077499999</v>
      </c>
      <c r="AC152" s="139">
        <f t="shared" si="274"/>
        <v>11.454695475000051</v>
      </c>
      <c r="AD152" s="139">
        <f t="shared" si="274"/>
        <v>158.16762807499993</v>
      </c>
      <c r="AE152" s="139">
        <f t="shared" si="274"/>
        <v>587.8149167250001</v>
      </c>
      <c r="AF152" s="139">
        <f t="shared" si="274"/>
        <v>517.32377129999998</v>
      </c>
      <c r="AG152" s="139">
        <f t="shared" si="274"/>
        <v>911.66915879999999</v>
      </c>
      <c r="AH152" s="139">
        <f t="shared" si="274"/>
        <v>865.82298642499995</v>
      </c>
      <c r="AI152" s="139">
        <f t="shared" si="274"/>
        <v>1613.3498109499999</v>
      </c>
      <c r="AJ152" s="139">
        <f t="shared" ref="AJ152:BO152" si="275">MIN(AJ151,MAX(AJ149-AJ150,0))</f>
        <v>1388.2836271250001</v>
      </c>
      <c r="AK152" s="139">
        <f t="shared" si="275"/>
        <v>1149.0258302500001</v>
      </c>
      <c r="AL152" s="139">
        <f t="shared" si="275"/>
        <v>631.07129665000002</v>
      </c>
      <c r="AM152" s="139">
        <f t="shared" si="275"/>
        <v>381.65118884999993</v>
      </c>
      <c r="AN152" s="139">
        <f t="shared" si="275"/>
        <v>159.36775537112499</v>
      </c>
      <c r="AO152" s="139">
        <f t="shared" si="275"/>
        <v>23.45742199762509</v>
      </c>
      <c r="AP152" s="139">
        <f t="shared" si="275"/>
        <v>176.57178993462503</v>
      </c>
      <c r="AQ152" s="139">
        <f t="shared" si="275"/>
        <v>616.0708421413749</v>
      </c>
      <c r="AR152" s="139">
        <f t="shared" si="275"/>
        <v>544.64215244349998</v>
      </c>
      <c r="AS152" s="139">
        <f t="shared" si="275"/>
        <v>946.9108130059999</v>
      </c>
      <c r="AT152" s="139">
        <f t="shared" si="275"/>
        <v>449.93780870574869</v>
      </c>
      <c r="AU152" s="139">
        <f t="shared" si="275"/>
        <v>0</v>
      </c>
      <c r="AV152" s="139">
        <f t="shared" si="275"/>
        <v>0</v>
      </c>
      <c r="AW152" s="139">
        <f t="shared" si="275"/>
        <v>0</v>
      </c>
      <c r="AX152" s="139">
        <f t="shared" si="275"/>
        <v>0</v>
      </c>
      <c r="AY152" s="139">
        <f t="shared" si="275"/>
        <v>0</v>
      </c>
      <c r="AZ152" s="139">
        <f t="shared" si="275"/>
        <v>0</v>
      </c>
      <c r="BA152" s="139">
        <f t="shared" si="275"/>
        <v>0</v>
      </c>
      <c r="BB152" s="139">
        <f t="shared" si="275"/>
        <v>27.509520775647445</v>
      </c>
      <c r="BC152" s="139">
        <f t="shared" si="275"/>
        <v>0</v>
      </c>
      <c r="BD152" s="139">
        <f t="shared" si="275"/>
        <v>0</v>
      </c>
      <c r="BE152" s="139">
        <f t="shared" si="275"/>
        <v>0</v>
      </c>
      <c r="BF152" s="139">
        <f t="shared" si="275"/>
        <v>0</v>
      </c>
      <c r="BG152" s="139">
        <f t="shared" si="275"/>
        <v>0</v>
      </c>
      <c r="BH152" s="139">
        <f t="shared" si="275"/>
        <v>0</v>
      </c>
      <c r="BI152" s="139">
        <f t="shared" si="275"/>
        <v>0</v>
      </c>
      <c r="BJ152" s="139">
        <f t="shared" si="275"/>
        <v>0</v>
      </c>
      <c r="BK152" s="139">
        <f t="shared" si="275"/>
        <v>0</v>
      </c>
      <c r="BL152" s="139">
        <f t="shared" si="275"/>
        <v>0</v>
      </c>
      <c r="BM152" s="139">
        <f t="shared" si="275"/>
        <v>0</v>
      </c>
      <c r="BN152" s="139">
        <f t="shared" si="275"/>
        <v>0</v>
      </c>
      <c r="BO152" s="139">
        <f t="shared" si="275"/>
        <v>0</v>
      </c>
      <c r="BP152" s="139">
        <f t="shared" ref="BP152:CU152" si="276">MIN(BP151,MAX(BP149-BP150,0))</f>
        <v>0</v>
      </c>
      <c r="BQ152" s="139">
        <f t="shared" si="276"/>
        <v>0</v>
      </c>
      <c r="BR152" s="139">
        <f t="shared" si="276"/>
        <v>0</v>
      </c>
      <c r="BS152" s="139">
        <f t="shared" si="276"/>
        <v>0</v>
      </c>
      <c r="BT152" s="139">
        <f t="shared" si="276"/>
        <v>0</v>
      </c>
      <c r="BU152" s="139">
        <f t="shared" si="276"/>
        <v>0</v>
      </c>
      <c r="BV152" s="139">
        <f t="shared" si="276"/>
        <v>0</v>
      </c>
      <c r="BW152" s="139">
        <f t="shared" si="276"/>
        <v>0</v>
      </c>
      <c r="BX152" s="139">
        <f t="shared" si="276"/>
        <v>0</v>
      </c>
      <c r="BY152" s="139">
        <f t="shared" si="276"/>
        <v>0</v>
      </c>
      <c r="BZ152" s="139">
        <f t="shared" si="276"/>
        <v>0</v>
      </c>
      <c r="CA152" s="139">
        <f t="shared" si="276"/>
        <v>0</v>
      </c>
      <c r="CB152" s="139">
        <f t="shared" si="276"/>
        <v>0</v>
      </c>
      <c r="CC152" s="139">
        <f t="shared" si="276"/>
        <v>0</v>
      </c>
      <c r="CD152" s="139">
        <f t="shared" si="276"/>
        <v>0</v>
      </c>
      <c r="CE152" s="139">
        <f t="shared" si="276"/>
        <v>0</v>
      </c>
      <c r="CF152" s="139">
        <f t="shared" si="276"/>
        <v>0</v>
      </c>
      <c r="CG152" s="139">
        <f t="shared" si="276"/>
        <v>0</v>
      </c>
      <c r="CH152" s="139">
        <f t="shared" si="276"/>
        <v>0</v>
      </c>
      <c r="CI152" s="139">
        <f t="shared" si="276"/>
        <v>0</v>
      </c>
      <c r="CJ152" s="139">
        <f t="shared" si="276"/>
        <v>0</v>
      </c>
      <c r="CK152" s="139">
        <f t="shared" si="276"/>
        <v>0</v>
      </c>
      <c r="CL152" s="139">
        <f t="shared" si="276"/>
        <v>0</v>
      </c>
      <c r="CM152" s="139">
        <f t="shared" si="276"/>
        <v>0</v>
      </c>
      <c r="CN152" s="139">
        <f t="shared" si="276"/>
        <v>0</v>
      </c>
      <c r="CO152" s="139">
        <f t="shared" si="276"/>
        <v>0</v>
      </c>
      <c r="CP152" s="139">
        <f t="shared" si="276"/>
        <v>0</v>
      </c>
      <c r="CQ152" s="139">
        <f t="shared" si="276"/>
        <v>0</v>
      </c>
      <c r="CR152" s="139">
        <f t="shared" si="276"/>
        <v>0</v>
      </c>
      <c r="CS152" s="139">
        <f t="shared" si="276"/>
        <v>0</v>
      </c>
      <c r="CT152" s="139">
        <f t="shared" si="276"/>
        <v>0</v>
      </c>
      <c r="CU152" s="139">
        <f t="shared" si="276"/>
        <v>0</v>
      </c>
      <c r="CV152" s="139">
        <f t="shared" ref="CV152:DS152" si="277">MIN(CV151,MAX(CV149-CV150,0))</f>
        <v>0</v>
      </c>
      <c r="CW152" s="139">
        <f t="shared" si="277"/>
        <v>0</v>
      </c>
      <c r="CX152" s="139">
        <f t="shared" si="277"/>
        <v>0</v>
      </c>
      <c r="CY152" s="139">
        <f t="shared" si="277"/>
        <v>0</v>
      </c>
      <c r="CZ152" s="139">
        <f t="shared" si="277"/>
        <v>0</v>
      </c>
      <c r="DA152" s="139">
        <f t="shared" si="277"/>
        <v>0</v>
      </c>
      <c r="DB152" s="139">
        <f t="shared" si="277"/>
        <v>1529</v>
      </c>
      <c r="DC152" s="139">
        <f t="shared" si="277"/>
        <v>2414</v>
      </c>
      <c r="DD152" s="139">
        <f t="shared" si="277"/>
        <v>2093</v>
      </c>
      <c r="DE152" s="139">
        <f t="shared" si="277"/>
        <v>1887</v>
      </c>
      <c r="DF152" s="139">
        <f t="shared" si="277"/>
        <v>1285</v>
      </c>
      <c r="DG152" s="139">
        <f t="shared" si="277"/>
        <v>960</v>
      </c>
      <c r="DH152" s="139">
        <f t="shared" si="277"/>
        <v>624</v>
      </c>
      <c r="DI152" s="139">
        <f t="shared" si="277"/>
        <v>490</v>
      </c>
      <c r="DJ152" s="139">
        <f t="shared" si="277"/>
        <v>759</v>
      </c>
      <c r="DK152" s="139">
        <f t="shared" si="277"/>
        <v>1235</v>
      </c>
      <c r="DL152" s="139">
        <f t="shared" si="277"/>
        <v>1166</v>
      </c>
      <c r="DM152" s="139">
        <f t="shared" si="277"/>
        <v>1616</v>
      </c>
      <c r="DN152" s="139">
        <f t="shared" si="277"/>
        <v>1567</v>
      </c>
      <c r="DO152" s="139">
        <f t="shared" si="277"/>
        <v>2474</v>
      </c>
      <c r="DP152" s="139">
        <f t="shared" si="277"/>
        <v>2146</v>
      </c>
      <c r="DQ152" s="139">
        <f t="shared" si="277"/>
        <v>1934</v>
      </c>
      <c r="DR152" s="139">
        <f t="shared" si="277"/>
        <v>1318</v>
      </c>
      <c r="DS152" s="139">
        <f t="shared" si="277"/>
        <v>984</v>
      </c>
    </row>
    <row r="153" spans="1:123" ht="13.5" customHeight="1" x14ac:dyDescent="0.35">
      <c r="A153" s="39" t="s">
        <v>494</v>
      </c>
      <c r="B153" s="41">
        <f>AA153</f>
        <v>11277.058574999997</v>
      </c>
      <c r="C153" s="139" t="s">
        <v>169</v>
      </c>
      <c r="D153" s="157">
        <f t="shared" ref="D153:AI153" si="278">MAX(D151-D152,0)+MAX(D150-D149,0)</f>
        <v>70.354000000000042</v>
      </c>
      <c r="E153" s="157">
        <f t="shared" si="278"/>
        <v>278.69999999999993</v>
      </c>
      <c r="F153" s="157">
        <f t="shared" si="278"/>
        <v>391.38199999999995</v>
      </c>
      <c r="G153" s="157">
        <f t="shared" si="278"/>
        <v>78.627999999999929</v>
      </c>
      <c r="H153" s="157">
        <f t="shared" si="278"/>
        <v>1516.5839999999996</v>
      </c>
      <c r="I153" s="157">
        <f t="shared" si="278"/>
        <v>2516.0399999999991</v>
      </c>
      <c r="J153" s="157">
        <f t="shared" si="278"/>
        <v>3438.7869999999989</v>
      </c>
      <c r="K153" s="157">
        <f t="shared" si="278"/>
        <v>3693.8485099999984</v>
      </c>
      <c r="L153" s="157">
        <f t="shared" si="278"/>
        <v>3968.3708349999984</v>
      </c>
      <c r="M153" s="157">
        <f t="shared" si="278"/>
        <v>4704.7962849999985</v>
      </c>
      <c r="N153" s="157">
        <f t="shared" si="278"/>
        <v>4521.2968849999988</v>
      </c>
      <c r="O153" s="157">
        <f t="shared" si="278"/>
        <v>4548.9182849999988</v>
      </c>
      <c r="P153" s="157">
        <f t="shared" si="278"/>
        <v>4776.1385849999988</v>
      </c>
      <c r="Q153" s="157">
        <f t="shared" si="278"/>
        <v>5153.2832849999986</v>
      </c>
      <c r="R153" s="157">
        <f t="shared" si="278"/>
        <v>5465.6031849999981</v>
      </c>
      <c r="S153" s="157">
        <f t="shared" si="278"/>
        <v>5329.2528849999981</v>
      </c>
      <c r="T153" s="157">
        <f t="shared" si="278"/>
        <v>6582.0245049999976</v>
      </c>
      <c r="U153" s="157">
        <f t="shared" si="278"/>
        <v>7392.6636249999974</v>
      </c>
      <c r="V153" s="157">
        <f t="shared" si="278"/>
        <v>8135.5054399999972</v>
      </c>
      <c r="W153" s="157">
        <f t="shared" si="278"/>
        <v>8248.142649999998</v>
      </c>
      <c r="X153" s="157">
        <f t="shared" si="278"/>
        <v>8395.7527249999985</v>
      </c>
      <c r="Y153" s="157">
        <f t="shared" si="278"/>
        <v>8986.6096749999979</v>
      </c>
      <c r="Z153" s="157">
        <f t="shared" si="278"/>
        <v>10066.786144999998</v>
      </c>
      <c r="AA153" s="157">
        <f t="shared" si="278"/>
        <v>11277.058574999997</v>
      </c>
      <c r="AB153" s="157">
        <f t="shared" si="278"/>
        <v>11132.593494224997</v>
      </c>
      <c r="AC153" s="157">
        <f t="shared" si="278"/>
        <v>11121.138798749997</v>
      </c>
      <c r="AD153" s="157">
        <f t="shared" si="278"/>
        <v>10962.971170674997</v>
      </c>
      <c r="AE153" s="157">
        <f t="shared" si="278"/>
        <v>10375.156253949997</v>
      </c>
      <c r="AF153" s="157">
        <f t="shared" si="278"/>
        <v>9857.8324826499975</v>
      </c>
      <c r="AG153" s="157">
        <f t="shared" si="278"/>
        <v>8946.1633238499981</v>
      </c>
      <c r="AH153" s="157">
        <f t="shared" si="278"/>
        <v>8080.3403374249983</v>
      </c>
      <c r="AI153" s="157">
        <f t="shared" si="278"/>
        <v>6466.9905264749987</v>
      </c>
      <c r="AJ153" s="157">
        <f t="shared" ref="AJ153:BO153" si="279">MAX(AJ151-AJ152,0)+MAX(AJ150-AJ149,0)</f>
        <v>5078.7068993499988</v>
      </c>
      <c r="AK153" s="157">
        <f t="shared" si="279"/>
        <v>3929.6810690999987</v>
      </c>
      <c r="AL153" s="157">
        <f t="shared" si="279"/>
        <v>3298.6097724499987</v>
      </c>
      <c r="AM153" s="157">
        <f t="shared" si="279"/>
        <v>2916.9585835999987</v>
      </c>
      <c r="AN153" s="157">
        <f t="shared" si="279"/>
        <v>2757.5908282288738</v>
      </c>
      <c r="AO153" s="157">
        <f t="shared" si="279"/>
        <v>2734.1334062312485</v>
      </c>
      <c r="AP153" s="157">
        <f t="shared" si="279"/>
        <v>2557.5616162966235</v>
      </c>
      <c r="AQ153" s="157">
        <f t="shared" si="279"/>
        <v>1941.4907741552486</v>
      </c>
      <c r="AR153" s="157">
        <f t="shared" si="279"/>
        <v>1396.8486217117486</v>
      </c>
      <c r="AS153" s="157">
        <f t="shared" si="279"/>
        <v>449.93780870574869</v>
      </c>
      <c r="AT153" s="157">
        <f t="shared" si="279"/>
        <v>0</v>
      </c>
      <c r="AU153" s="157">
        <f t="shared" si="279"/>
        <v>0</v>
      </c>
      <c r="AV153" s="157">
        <f t="shared" si="279"/>
        <v>0</v>
      </c>
      <c r="AW153" s="157">
        <f t="shared" si="279"/>
        <v>0</v>
      </c>
      <c r="AX153" s="157">
        <f t="shared" si="279"/>
        <v>0</v>
      </c>
      <c r="AY153" s="157">
        <f t="shared" si="279"/>
        <v>0</v>
      </c>
      <c r="AZ153" s="157">
        <f t="shared" si="279"/>
        <v>0</v>
      </c>
      <c r="BA153" s="157">
        <f t="shared" si="279"/>
        <v>27.509520775647445</v>
      </c>
      <c r="BB153" s="157">
        <f t="shared" si="279"/>
        <v>0</v>
      </c>
      <c r="BC153" s="157">
        <f t="shared" si="279"/>
        <v>0</v>
      </c>
      <c r="BD153" s="157">
        <f t="shared" si="279"/>
        <v>0</v>
      </c>
      <c r="BE153" s="157">
        <f t="shared" si="279"/>
        <v>0</v>
      </c>
      <c r="BF153" s="157">
        <f t="shared" si="279"/>
        <v>0</v>
      </c>
      <c r="BG153" s="157">
        <f t="shared" si="279"/>
        <v>0</v>
      </c>
      <c r="BH153" s="157">
        <f t="shared" si="279"/>
        <v>0</v>
      </c>
      <c r="BI153" s="157">
        <f t="shared" si="279"/>
        <v>0</v>
      </c>
      <c r="BJ153" s="157">
        <f t="shared" si="279"/>
        <v>0</v>
      </c>
      <c r="BK153" s="157">
        <f t="shared" si="279"/>
        <v>0</v>
      </c>
      <c r="BL153" s="157">
        <f t="shared" si="279"/>
        <v>2784.3607209686984</v>
      </c>
      <c r="BM153" s="157">
        <f t="shared" si="279"/>
        <v>5866.8997780993122</v>
      </c>
      <c r="BN153" s="157">
        <f t="shared" si="279"/>
        <v>9412.3138772538077</v>
      </c>
      <c r="BO153" s="157">
        <f t="shared" si="279"/>
        <v>12265.70301822976</v>
      </c>
      <c r="BP153" s="157">
        <f t="shared" ref="BP153:CU153" si="280">MAX(BP151-BP152,0)+MAX(BP150-BP149,0)</f>
        <v>15291.068513220896</v>
      </c>
      <c r="BQ153" s="157">
        <f t="shared" si="280"/>
        <v>17774.327922198296</v>
      </c>
      <c r="BR153" s="157">
        <f t="shared" si="280"/>
        <v>20134.355452323824</v>
      </c>
      <c r="BS153" s="157">
        <f t="shared" si="280"/>
        <v>21794.106232095783</v>
      </c>
      <c r="BT153" s="157">
        <f t="shared" si="280"/>
        <v>23326.009277784709</v>
      </c>
      <c r="BU153" s="157">
        <f t="shared" si="280"/>
        <v>25559.874158884595</v>
      </c>
      <c r="BV153" s="157">
        <f t="shared" si="280"/>
        <v>28344.018624660133</v>
      </c>
      <c r="BW153" s="157">
        <f t="shared" si="280"/>
        <v>31175.09094219852</v>
      </c>
      <c r="BX153" s="157">
        <f t="shared" si="280"/>
        <v>33935.823798783407</v>
      </c>
      <c r="BY153" s="157">
        <f t="shared" si="280"/>
        <v>36997.22871138034</v>
      </c>
      <c r="BZ153" s="157">
        <f t="shared" si="280"/>
        <v>40513.477333375289</v>
      </c>
      <c r="CA153" s="157">
        <f t="shared" si="280"/>
        <v>43327.451099376936</v>
      </c>
      <c r="CB153" s="157">
        <f t="shared" si="280"/>
        <v>46315.085182551746</v>
      </c>
      <c r="CC153" s="157">
        <f t="shared" si="280"/>
        <v>48750.001431361488</v>
      </c>
      <c r="CD153" s="157">
        <f t="shared" si="280"/>
        <v>51063.938337348627</v>
      </c>
      <c r="CE153" s="157">
        <f t="shared" si="280"/>
        <v>52656.244290221519</v>
      </c>
      <c r="CF153" s="157">
        <f t="shared" si="280"/>
        <v>54129.949014889236</v>
      </c>
      <c r="CG153" s="157">
        <f t="shared" si="280"/>
        <v>56309.116409784474</v>
      </c>
      <c r="CH153" s="157">
        <f t="shared" si="280"/>
        <v>59052.588975107828</v>
      </c>
      <c r="CI153" s="157">
        <f t="shared" si="280"/>
        <v>61850.737775453606</v>
      </c>
      <c r="CJ153" s="157">
        <f t="shared" si="280"/>
        <v>64587.820569958043</v>
      </c>
      <c r="CK153" s="157">
        <f t="shared" si="280"/>
        <v>67628.067973061305</v>
      </c>
      <c r="CL153" s="157">
        <f t="shared" si="280"/>
        <v>71114.123069561101</v>
      </c>
      <c r="CM153" s="157">
        <f t="shared" si="280"/>
        <v>73887.65514166448</v>
      </c>
      <c r="CN153" s="157">
        <f t="shared" si="280"/>
        <v>76836.530765454547</v>
      </c>
      <c r="CO153" s="157">
        <f t="shared" si="280"/>
        <v>79223.077701668823</v>
      </c>
      <c r="CP153" s="157">
        <f t="shared" si="280"/>
        <v>81488.904228681102</v>
      </c>
      <c r="CQ153" s="157">
        <f t="shared" si="280"/>
        <v>83011.744968905579</v>
      </c>
      <c r="CR153" s="157">
        <f t="shared" si="280"/>
        <v>84425.233207103374</v>
      </c>
      <c r="CS153" s="157">
        <f t="shared" si="280"/>
        <v>86547.682280002919</v>
      </c>
      <c r="CT153" s="157">
        <f t="shared" si="280"/>
        <v>89248.462154656881</v>
      </c>
      <c r="CU153" s="157">
        <f t="shared" si="280"/>
        <v>92012.667980627739</v>
      </c>
      <c r="CV153" s="157">
        <f t="shared" ref="CV153:DS153" si="281">MAX(CV151-CV152,0)+MAX(CV150-CV149,0)</f>
        <v>94725.077960451978</v>
      </c>
      <c r="CW153" s="157">
        <f t="shared" si="281"/>
        <v>97743.143905018966</v>
      </c>
      <c r="CX153" s="157">
        <f t="shared" si="281"/>
        <v>101198.97672652928</v>
      </c>
      <c r="CY153" s="157">
        <f t="shared" si="281"/>
        <v>103932.04012788391</v>
      </c>
      <c r="CZ153" s="157">
        <f t="shared" si="281"/>
        <v>106841.1295685795</v>
      </c>
      <c r="DA153" s="157">
        <f t="shared" si="281"/>
        <v>109177.28038600611</v>
      </c>
      <c r="DB153" s="157">
        <f t="shared" si="281"/>
        <v>107648.28038600611</v>
      </c>
      <c r="DC153" s="157">
        <f t="shared" si="281"/>
        <v>105234.28038600611</v>
      </c>
      <c r="DD153" s="157">
        <f t="shared" si="281"/>
        <v>103141.28038600611</v>
      </c>
      <c r="DE153" s="157">
        <f t="shared" si="281"/>
        <v>101254.28038600611</v>
      </c>
      <c r="DF153" s="157">
        <f t="shared" si="281"/>
        <v>99969.28038600611</v>
      </c>
      <c r="DG153" s="157">
        <f t="shared" si="281"/>
        <v>99009.28038600611</v>
      </c>
      <c r="DH153" s="157">
        <f t="shared" si="281"/>
        <v>98385.28038600611</v>
      </c>
      <c r="DI153" s="157">
        <f t="shared" si="281"/>
        <v>97895.28038600611</v>
      </c>
      <c r="DJ153" s="157">
        <f t="shared" si="281"/>
        <v>97136.28038600611</v>
      </c>
      <c r="DK153" s="157">
        <f t="shared" si="281"/>
        <v>95901.28038600611</v>
      </c>
      <c r="DL153" s="157">
        <f t="shared" si="281"/>
        <v>94735.28038600611</v>
      </c>
      <c r="DM153" s="157">
        <f t="shared" si="281"/>
        <v>93119.28038600611</v>
      </c>
      <c r="DN153" s="157">
        <f t="shared" si="281"/>
        <v>91552.28038600611</v>
      </c>
      <c r="DO153" s="157">
        <f t="shared" si="281"/>
        <v>89078.28038600611</v>
      </c>
      <c r="DP153" s="157">
        <f t="shared" si="281"/>
        <v>86932.28038600611</v>
      </c>
      <c r="DQ153" s="157">
        <f t="shared" si="281"/>
        <v>84998.28038600611</v>
      </c>
      <c r="DR153" s="157">
        <f t="shared" si="281"/>
        <v>83680.28038600611</v>
      </c>
      <c r="DS153" s="157">
        <f t="shared" si="281"/>
        <v>82696.28038600611</v>
      </c>
    </row>
    <row r="154" spans="1:123" ht="12.75" customHeight="1" x14ac:dyDescent="0.35">
      <c r="A154" s="147" t="s">
        <v>495</v>
      </c>
      <c r="B154" s="148">
        <f>AA154</f>
        <v>0</v>
      </c>
      <c r="C154" s="139" t="s">
        <v>169</v>
      </c>
      <c r="D154" s="148">
        <f>0</f>
        <v>0</v>
      </c>
      <c r="E154" s="148">
        <f t="shared" ref="E154:AJ154" si="282">D156</f>
        <v>0</v>
      </c>
      <c r="F154" s="148">
        <f t="shared" si="282"/>
        <v>0</v>
      </c>
      <c r="G154" s="148">
        <f t="shared" si="282"/>
        <v>0</v>
      </c>
      <c r="H154" s="148">
        <f t="shared" si="282"/>
        <v>0</v>
      </c>
      <c r="I154" s="148">
        <f t="shared" si="282"/>
        <v>0</v>
      </c>
      <c r="J154" s="148">
        <f t="shared" si="282"/>
        <v>0</v>
      </c>
      <c r="K154" s="148">
        <f t="shared" si="282"/>
        <v>0</v>
      </c>
      <c r="L154" s="148">
        <f t="shared" si="282"/>
        <v>0</v>
      </c>
      <c r="M154" s="148">
        <f t="shared" si="282"/>
        <v>0</v>
      </c>
      <c r="N154" s="148">
        <f t="shared" si="282"/>
        <v>0</v>
      </c>
      <c r="O154" s="148">
        <f t="shared" si="282"/>
        <v>0</v>
      </c>
      <c r="P154" s="148">
        <f t="shared" si="282"/>
        <v>0</v>
      </c>
      <c r="Q154" s="148">
        <f t="shared" si="282"/>
        <v>0</v>
      </c>
      <c r="R154" s="148">
        <f t="shared" si="282"/>
        <v>0</v>
      </c>
      <c r="S154" s="148">
        <f t="shared" si="282"/>
        <v>0</v>
      </c>
      <c r="T154" s="148">
        <f t="shared" si="282"/>
        <v>0</v>
      </c>
      <c r="U154" s="148">
        <f t="shared" si="282"/>
        <v>0</v>
      </c>
      <c r="V154" s="148">
        <f t="shared" si="282"/>
        <v>0</v>
      </c>
      <c r="W154" s="148">
        <f t="shared" si="282"/>
        <v>0</v>
      </c>
      <c r="X154" s="148">
        <f t="shared" si="282"/>
        <v>0</v>
      </c>
      <c r="Y154" s="148">
        <f t="shared" si="282"/>
        <v>0</v>
      </c>
      <c r="Z154" s="148">
        <f t="shared" si="282"/>
        <v>0</v>
      </c>
      <c r="AA154" s="148">
        <f t="shared" si="282"/>
        <v>0</v>
      </c>
      <c r="AB154" s="148">
        <f t="shared" si="282"/>
        <v>0</v>
      </c>
      <c r="AC154" s="148">
        <f t="shared" si="282"/>
        <v>0</v>
      </c>
      <c r="AD154" s="148">
        <f t="shared" si="282"/>
        <v>0</v>
      </c>
      <c r="AE154" s="148">
        <f t="shared" si="282"/>
        <v>0</v>
      </c>
      <c r="AF154" s="148">
        <f t="shared" si="282"/>
        <v>0</v>
      </c>
      <c r="AG154" s="148">
        <f t="shared" si="282"/>
        <v>0</v>
      </c>
      <c r="AH154" s="148">
        <f t="shared" si="282"/>
        <v>0</v>
      </c>
      <c r="AI154" s="148">
        <f t="shared" si="282"/>
        <v>0</v>
      </c>
      <c r="AJ154" s="148">
        <f t="shared" si="282"/>
        <v>0</v>
      </c>
      <c r="AK154" s="148">
        <f t="shared" ref="AK154:BP154" si="283">AJ156</f>
        <v>0</v>
      </c>
      <c r="AL154" s="148">
        <f t="shared" si="283"/>
        <v>0</v>
      </c>
      <c r="AM154" s="148">
        <f t="shared" si="283"/>
        <v>0</v>
      </c>
      <c r="AN154" s="148">
        <f t="shared" si="283"/>
        <v>0</v>
      </c>
      <c r="AO154" s="148">
        <f t="shared" si="283"/>
        <v>0</v>
      </c>
      <c r="AP154" s="148">
        <f t="shared" si="283"/>
        <v>0</v>
      </c>
      <c r="AQ154" s="148">
        <f t="shared" si="283"/>
        <v>0</v>
      </c>
      <c r="AR154" s="148">
        <f t="shared" si="283"/>
        <v>0</v>
      </c>
      <c r="AS154" s="148">
        <f t="shared" si="283"/>
        <v>0</v>
      </c>
      <c r="AT154" s="148">
        <f t="shared" si="283"/>
        <v>0</v>
      </c>
      <c r="AU154" s="148">
        <f t="shared" si="283"/>
        <v>0</v>
      </c>
      <c r="AV154" s="148">
        <f t="shared" si="283"/>
        <v>0</v>
      </c>
      <c r="AW154" s="148">
        <f t="shared" si="283"/>
        <v>0</v>
      </c>
      <c r="AX154" s="148">
        <f t="shared" si="283"/>
        <v>0</v>
      </c>
      <c r="AY154" s="148">
        <f t="shared" si="283"/>
        <v>0</v>
      </c>
      <c r="AZ154" s="148">
        <f t="shared" si="283"/>
        <v>0</v>
      </c>
      <c r="BA154" s="148">
        <f t="shared" si="283"/>
        <v>0</v>
      </c>
      <c r="BB154" s="148">
        <f t="shared" si="283"/>
        <v>0</v>
      </c>
      <c r="BC154" s="148">
        <f t="shared" si="283"/>
        <v>0</v>
      </c>
      <c r="BD154" s="148">
        <f t="shared" si="283"/>
        <v>0</v>
      </c>
      <c r="BE154" s="148">
        <f t="shared" si="283"/>
        <v>0</v>
      </c>
      <c r="BF154" s="148">
        <f t="shared" si="283"/>
        <v>0</v>
      </c>
      <c r="BG154" s="148">
        <f t="shared" si="283"/>
        <v>0</v>
      </c>
      <c r="BH154" s="148">
        <f t="shared" si="283"/>
        <v>0</v>
      </c>
      <c r="BI154" s="148">
        <f t="shared" si="283"/>
        <v>0</v>
      </c>
      <c r="BJ154" s="148">
        <f t="shared" si="283"/>
        <v>0</v>
      </c>
      <c r="BK154" s="148">
        <f t="shared" si="283"/>
        <v>0</v>
      </c>
      <c r="BL154" s="148">
        <f t="shared" si="283"/>
        <v>0</v>
      </c>
      <c r="BM154" s="148">
        <f t="shared" si="283"/>
        <v>0</v>
      </c>
      <c r="BN154" s="148">
        <f t="shared" si="283"/>
        <v>0</v>
      </c>
      <c r="BO154" s="148">
        <f t="shared" si="283"/>
        <v>0</v>
      </c>
      <c r="BP154" s="148">
        <f t="shared" si="283"/>
        <v>0</v>
      </c>
      <c r="BQ154" s="148">
        <f t="shared" ref="BQ154:CV154" si="284">BP156</f>
        <v>0</v>
      </c>
      <c r="BR154" s="148">
        <f t="shared" si="284"/>
        <v>0</v>
      </c>
      <c r="BS154" s="148">
        <f t="shared" si="284"/>
        <v>0</v>
      </c>
      <c r="BT154" s="148">
        <f t="shared" si="284"/>
        <v>0</v>
      </c>
      <c r="BU154" s="148">
        <f t="shared" si="284"/>
        <v>0</v>
      </c>
      <c r="BV154" s="148">
        <f t="shared" si="284"/>
        <v>0</v>
      </c>
      <c r="BW154" s="148">
        <f t="shared" si="284"/>
        <v>0</v>
      </c>
      <c r="BX154" s="148">
        <f t="shared" si="284"/>
        <v>0</v>
      </c>
      <c r="BY154" s="148">
        <f t="shared" si="284"/>
        <v>0</v>
      </c>
      <c r="BZ154" s="148">
        <f t="shared" si="284"/>
        <v>0</v>
      </c>
      <c r="CA154" s="148">
        <f t="shared" si="284"/>
        <v>0</v>
      </c>
      <c r="CB154" s="148">
        <f t="shared" si="284"/>
        <v>0</v>
      </c>
      <c r="CC154" s="148">
        <f t="shared" si="284"/>
        <v>0</v>
      </c>
      <c r="CD154" s="148">
        <f t="shared" si="284"/>
        <v>0</v>
      </c>
      <c r="CE154" s="148">
        <f t="shared" si="284"/>
        <v>0</v>
      </c>
      <c r="CF154" s="148">
        <f t="shared" si="284"/>
        <v>0</v>
      </c>
      <c r="CG154" s="148">
        <f t="shared" si="284"/>
        <v>0</v>
      </c>
      <c r="CH154" s="148">
        <f t="shared" si="284"/>
        <v>0</v>
      </c>
      <c r="CI154" s="148">
        <f t="shared" si="284"/>
        <v>0</v>
      </c>
      <c r="CJ154" s="148">
        <f t="shared" si="284"/>
        <v>0</v>
      </c>
      <c r="CK154" s="148">
        <f t="shared" si="284"/>
        <v>0</v>
      </c>
      <c r="CL154" s="148">
        <f t="shared" si="284"/>
        <v>0</v>
      </c>
      <c r="CM154" s="148">
        <f t="shared" si="284"/>
        <v>0</v>
      </c>
      <c r="CN154" s="148">
        <f t="shared" si="284"/>
        <v>0</v>
      </c>
      <c r="CO154" s="148">
        <f t="shared" si="284"/>
        <v>0</v>
      </c>
      <c r="CP154" s="148">
        <f t="shared" si="284"/>
        <v>0</v>
      </c>
      <c r="CQ154" s="148">
        <f t="shared" si="284"/>
        <v>0</v>
      </c>
      <c r="CR154" s="148">
        <f t="shared" si="284"/>
        <v>0</v>
      </c>
      <c r="CS154" s="148">
        <f t="shared" si="284"/>
        <v>0</v>
      </c>
      <c r="CT154" s="148">
        <f t="shared" si="284"/>
        <v>0</v>
      </c>
      <c r="CU154" s="148">
        <f t="shared" si="284"/>
        <v>0</v>
      </c>
      <c r="CV154" s="148">
        <f t="shared" si="284"/>
        <v>0</v>
      </c>
      <c r="CW154" s="148">
        <f t="shared" ref="CW154:DS154" si="285">CV156</f>
        <v>0</v>
      </c>
      <c r="CX154" s="148">
        <f t="shared" si="285"/>
        <v>0</v>
      </c>
      <c r="CY154" s="148">
        <f t="shared" si="285"/>
        <v>0</v>
      </c>
      <c r="CZ154" s="148">
        <f t="shared" si="285"/>
        <v>0</v>
      </c>
      <c r="DA154" s="148">
        <f t="shared" si="285"/>
        <v>0</v>
      </c>
      <c r="DB154" s="148">
        <f t="shared" si="285"/>
        <v>0</v>
      </c>
      <c r="DC154" s="148">
        <f t="shared" si="285"/>
        <v>0</v>
      </c>
      <c r="DD154" s="148">
        <f t="shared" si="285"/>
        <v>0</v>
      </c>
      <c r="DE154" s="148">
        <f t="shared" si="285"/>
        <v>0</v>
      </c>
      <c r="DF154" s="148">
        <f t="shared" si="285"/>
        <v>0</v>
      </c>
      <c r="DG154" s="148">
        <f t="shared" si="285"/>
        <v>0</v>
      </c>
      <c r="DH154" s="148">
        <f t="shared" si="285"/>
        <v>0</v>
      </c>
      <c r="DI154" s="148">
        <f t="shared" si="285"/>
        <v>0</v>
      </c>
      <c r="DJ154" s="148">
        <f t="shared" si="285"/>
        <v>0</v>
      </c>
      <c r="DK154" s="148">
        <f t="shared" si="285"/>
        <v>0</v>
      </c>
      <c r="DL154" s="148">
        <f t="shared" si="285"/>
        <v>0</v>
      </c>
      <c r="DM154" s="148">
        <f t="shared" si="285"/>
        <v>0</v>
      </c>
      <c r="DN154" s="148">
        <f t="shared" si="285"/>
        <v>0</v>
      </c>
      <c r="DO154" s="148">
        <f t="shared" si="285"/>
        <v>0</v>
      </c>
      <c r="DP154" s="148">
        <f t="shared" si="285"/>
        <v>0</v>
      </c>
      <c r="DQ154" s="148">
        <f t="shared" si="285"/>
        <v>0</v>
      </c>
      <c r="DR154" s="148">
        <f t="shared" si="285"/>
        <v>0</v>
      </c>
      <c r="DS154" s="148">
        <f t="shared" si="285"/>
        <v>0</v>
      </c>
    </row>
    <row r="155" spans="1:123" ht="12.75" customHeight="1" x14ac:dyDescent="0.35">
      <c r="A155" s="147" t="s">
        <v>503</v>
      </c>
      <c r="B155" s="148">
        <f>SUM(D155:BQ155)</f>
        <v>0</v>
      </c>
      <c r="C155" s="139">
        <f>B155/60</f>
        <v>0</v>
      </c>
      <c r="D155" s="148">
        <f t="shared" ref="D155:AI155" si="286">MIN(D154,D149)</f>
        <v>0</v>
      </c>
      <c r="E155" s="148">
        <f t="shared" si="286"/>
        <v>0</v>
      </c>
      <c r="F155" s="148">
        <f t="shared" si="286"/>
        <v>0</v>
      </c>
      <c r="G155" s="148">
        <f t="shared" si="286"/>
        <v>0</v>
      </c>
      <c r="H155" s="148">
        <f t="shared" si="286"/>
        <v>0</v>
      </c>
      <c r="I155" s="148">
        <f t="shared" si="286"/>
        <v>0</v>
      </c>
      <c r="J155" s="148">
        <f t="shared" si="286"/>
        <v>0</v>
      </c>
      <c r="K155" s="148">
        <f t="shared" si="286"/>
        <v>0</v>
      </c>
      <c r="L155" s="148">
        <f t="shared" si="286"/>
        <v>0</v>
      </c>
      <c r="M155" s="148">
        <f t="shared" si="286"/>
        <v>0</v>
      </c>
      <c r="N155" s="148">
        <f t="shared" si="286"/>
        <v>0</v>
      </c>
      <c r="O155" s="148">
        <f t="shared" si="286"/>
        <v>0</v>
      </c>
      <c r="P155" s="148">
        <f t="shared" si="286"/>
        <v>0</v>
      </c>
      <c r="Q155" s="148">
        <f t="shared" si="286"/>
        <v>0</v>
      </c>
      <c r="R155" s="148">
        <f t="shared" si="286"/>
        <v>0</v>
      </c>
      <c r="S155" s="148">
        <f t="shared" si="286"/>
        <v>0</v>
      </c>
      <c r="T155" s="148">
        <f t="shared" si="286"/>
        <v>0</v>
      </c>
      <c r="U155" s="148">
        <f t="shared" si="286"/>
        <v>0</v>
      </c>
      <c r="V155" s="148">
        <f t="shared" si="286"/>
        <v>0</v>
      </c>
      <c r="W155" s="148">
        <f t="shared" si="286"/>
        <v>0</v>
      </c>
      <c r="X155" s="148">
        <f t="shared" si="286"/>
        <v>0</v>
      </c>
      <c r="Y155" s="148">
        <f t="shared" si="286"/>
        <v>0</v>
      </c>
      <c r="Z155" s="148">
        <f t="shared" si="286"/>
        <v>0</v>
      </c>
      <c r="AA155" s="148">
        <f t="shared" si="286"/>
        <v>0</v>
      </c>
      <c r="AB155" s="148">
        <f t="shared" si="286"/>
        <v>0</v>
      </c>
      <c r="AC155" s="148">
        <f t="shared" si="286"/>
        <v>0</v>
      </c>
      <c r="AD155" s="148">
        <f t="shared" si="286"/>
        <v>0</v>
      </c>
      <c r="AE155" s="148">
        <f t="shared" si="286"/>
        <v>0</v>
      </c>
      <c r="AF155" s="148">
        <f t="shared" si="286"/>
        <v>0</v>
      </c>
      <c r="AG155" s="148">
        <f t="shared" si="286"/>
        <v>0</v>
      </c>
      <c r="AH155" s="148">
        <f t="shared" si="286"/>
        <v>0</v>
      </c>
      <c r="AI155" s="148">
        <f t="shared" si="286"/>
        <v>0</v>
      </c>
      <c r="AJ155" s="148">
        <f t="shared" ref="AJ155:BO155" si="287">MIN(AJ154,AJ149)</f>
        <v>0</v>
      </c>
      <c r="AK155" s="148">
        <f t="shared" si="287"/>
        <v>0</v>
      </c>
      <c r="AL155" s="148">
        <f t="shared" si="287"/>
        <v>0</v>
      </c>
      <c r="AM155" s="148">
        <f t="shared" si="287"/>
        <v>0</v>
      </c>
      <c r="AN155" s="148">
        <f t="shared" si="287"/>
        <v>0</v>
      </c>
      <c r="AO155" s="148">
        <f t="shared" si="287"/>
        <v>0</v>
      </c>
      <c r="AP155" s="148">
        <f t="shared" si="287"/>
        <v>0</v>
      </c>
      <c r="AQ155" s="148">
        <f t="shared" si="287"/>
        <v>0</v>
      </c>
      <c r="AR155" s="148">
        <f t="shared" si="287"/>
        <v>0</v>
      </c>
      <c r="AS155" s="148">
        <f t="shared" si="287"/>
        <v>0</v>
      </c>
      <c r="AT155" s="148">
        <f t="shared" si="287"/>
        <v>0</v>
      </c>
      <c r="AU155" s="148">
        <f t="shared" si="287"/>
        <v>0</v>
      </c>
      <c r="AV155" s="148">
        <f t="shared" si="287"/>
        <v>0</v>
      </c>
      <c r="AW155" s="148">
        <f t="shared" si="287"/>
        <v>0</v>
      </c>
      <c r="AX155" s="148">
        <f t="shared" si="287"/>
        <v>0</v>
      </c>
      <c r="AY155" s="148">
        <f t="shared" si="287"/>
        <v>0</v>
      </c>
      <c r="AZ155" s="148">
        <f t="shared" si="287"/>
        <v>0</v>
      </c>
      <c r="BA155" s="148">
        <f t="shared" si="287"/>
        <v>0</v>
      </c>
      <c r="BB155" s="148">
        <f t="shared" si="287"/>
        <v>0</v>
      </c>
      <c r="BC155" s="148">
        <f t="shared" si="287"/>
        <v>0</v>
      </c>
      <c r="BD155" s="148">
        <f t="shared" si="287"/>
        <v>0</v>
      </c>
      <c r="BE155" s="148">
        <f t="shared" si="287"/>
        <v>0</v>
      </c>
      <c r="BF155" s="148">
        <f t="shared" si="287"/>
        <v>0</v>
      </c>
      <c r="BG155" s="148">
        <f t="shared" si="287"/>
        <v>0</v>
      </c>
      <c r="BH155" s="148">
        <f t="shared" si="287"/>
        <v>0</v>
      </c>
      <c r="BI155" s="148">
        <f t="shared" si="287"/>
        <v>0</v>
      </c>
      <c r="BJ155" s="148">
        <f t="shared" si="287"/>
        <v>0</v>
      </c>
      <c r="BK155" s="148">
        <f t="shared" si="287"/>
        <v>0</v>
      </c>
      <c r="BL155" s="148">
        <f t="shared" si="287"/>
        <v>0</v>
      </c>
      <c r="BM155" s="148">
        <f t="shared" si="287"/>
        <v>0</v>
      </c>
      <c r="BN155" s="148">
        <f t="shared" si="287"/>
        <v>0</v>
      </c>
      <c r="BO155" s="148">
        <f t="shared" si="287"/>
        <v>0</v>
      </c>
      <c r="BP155" s="148">
        <f t="shared" ref="BP155:CU155" si="288">MIN(BP154,BP149)</f>
        <v>0</v>
      </c>
      <c r="BQ155" s="148">
        <f t="shared" si="288"/>
        <v>0</v>
      </c>
      <c r="BR155" s="148">
        <f t="shared" si="288"/>
        <v>0</v>
      </c>
      <c r="BS155" s="148">
        <f t="shared" si="288"/>
        <v>0</v>
      </c>
      <c r="BT155" s="148">
        <f t="shared" si="288"/>
        <v>0</v>
      </c>
      <c r="BU155" s="148">
        <f t="shared" si="288"/>
        <v>0</v>
      </c>
      <c r="BV155" s="148">
        <f t="shared" si="288"/>
        <v>0</v>
      </c>
      <c r="BW155" s="148">
        <f t="shared" si="288"/>
        <v>0</v>
      </c>
      <c r="BX155" s="148">
        <f t="shared" si="288"/>
        <v>0</v>
      </c>
      <c r="BY155" s="148">
        <f t="shared" si="288"/>
        <v>0</v>
      </c>
      <c r="BZ155" s="148">
        <f t="shared" si="288"/>
        <v>0</v>
      </c>
      <c r="CA155" s="148">
        <f t="shared" si="288"/>
        <v>0</v>
      </c>
      <c r="CB155" s="148">
        <f t="shared" si="288"/>
        <v>0</v>
      </c>
      <c r="CC155" s="148">
        <f t="shared" si="288"/>
        <v>0</v>
      </c>
      <c r="CD155" s="148">
        <f t="shared" si="288"/>
        <v>0</v>
      </c>
      <c r="CE155" s="148">
        <f t="shared" si="288"/>
        <v>0</v>
      </c>
      <c r="CF155" s="148">
        <f t="shared" si="288"/>
        <v>0</v>
      </c>
      <c r="CG155" s="148">
        <f t="shared" si="288"/>
        <v>0</v>
      </c>
      <c r="CH155" s="148">
        <f t="shared" si="288"/>
        <v>0</v>
      </c>
      <c r="CI155" s="148">
        <f t="shared" si="288"/>
        <v>0</v>
      </c>
      <c r="CJ155" s="148">
        <f t="shared" si="288"/>
        <v>0</v>
      </c>
      <c r="CK155" s="148">
        <f t="shared" si="288"/>
        <v>0</v>
      </c>
      <c r="CL155" s="148">
        <f t="shared" si="288"/>
        <v>0</v>
      </c>
      <c r="CM155" s="148">
        <f t="shared" si="288"/>
        <v>0</v>
      </c>
      <c r="CN155" s="148">
        <f t="shared" si="288"/>
        <v>0</v>
      </c>
      <c r="CO155" s="148">
        <f t="shared" si="288"/>
        <v>0</v>
      </c>
      <c r="CP155" s="148">
        <f t="shared" si="288"/>
        <v>0</v>
      </c>
      <c r="CQ155" s="148">
        <f t="shared" si="288"/>
        <v>0</v>
      </c>
      <c r="CR155" s="148">
        <f t="shared" si="288"/>
        <v>0</v>
      </c>
      <c r="CS155" s="148">
        <f t="shared" si="288"/>
        <v>0</v>
      </c>
      <c r="CT155" s="148">
        <f t="shared" si="288"/>
        <v>0</v>
      </c>
      <c r="CU155" s="148">
        <f t="shared" si="288"/>
        <v>0</v>
      </c>
      <c r="CV155" s="148">
        <f t="shared" ref="CV155:DS155" si="289">MIN(CV154,CV149)</f>
        <v>0</v>
      </c>
      <c r="CW155" s="148">
        <f t="shared" si="289"/>
        <v>0</v>
      </c>
      <c r="CX155" s="148">
        <f t="shared" si="289"/>
        <v>0</v>
      </c>
      <c r="CY155" s="148">
        <f t="shared" si="289"/>
        <v>0</v>
      </c>
      <c r="CZ155" s="148">
        <f t="shared" si="289"/>
        <v>0</v>
      </c>
      <c r="DA155" s="148">
        <f t="shared" si="289"/>
        <v>0</v>
      </c>
      <c r="DB155" s="148">
        <f t="shared" si="289"/>
        <v>0</v>
      </c>
      <c r="DC155" s="148">
        <f t="shared" si="289"/>
        <v>0</v>
      </c>
      <c r="DD155" s="148">
        <f t="shared" si="289"/>
        <v>0</v>
      </c>
      <c r="DE155" s="148">
        <f t="shared" si="289"/>
        <v>0</v>
      </c>
      <c r="DF155" s="148">
        <f t="shared" si="289"/>
        <v>0</v>
      </c>
      <c r="DG155" s="148">
        <f t="shared" si="289"/>
        <v>0</v>
      </c>
      <c r="DH155" s="148">
        <f t="shared" si="289"/>
        <v>0</v>
      </c>
      <c r="DI155" s="148">
        <f t="shared" si="289"/>
        <v>0</v>
      </c>
      <c r="DJ155" s="148">
        <f t="shared" si="289"/>
        <v>0</v>
      </c>
      <c r="DK155" s="148">
        <f t="shared" si="289"/>
        <v>0</v>
      </c>
      <c r="DL155" s="148">
        <f t="shared" si="289"/>
        <v>0</v>
      </c>
      <c r="DM155" s="148">
        <f t="shared" si="289"/>
        <v>0</v>
      </c>
      <c r="DN155" s="148">
        <f t="shared" si="289"/>
        <v>0</v>
      </c>
      <c r="DO155" s="148">
        <f t="shared" si="289"/>
        <v>0</v>
      </c>
      <c r="DP155" s="148">
        <f t="shared" si="289"/>
        <v>0</v>
      </c>
      <c r="DQ155" s="148">
        <f t="shared" si="289"/>
        <v>0</v>
      </c>
      <c r="DR155" s="148">
        <f t="shared" si="289"/>
        <v>0</v>
      </c>
      <c r="DS155" s="148">
        <f t="shared" si="289"/>
        <v>0</v>
      </c>
    </row>
    <row r="156" spans="1:123" ht="12.75" customHeight="1" x14ac:dyDescent="0.35">
      <c r="A156" s="147" t="s">
        <v>504</v>
      </c>
      <c r="B156" s="148">
        <f>AA156</f>
        <v>0</v>
      </c>
      <c r="C156" s="139" t="s">
        <v>169</v>
      </c>
      <c r="D156" s="168">
        <f t="shared" ref="D156:AI156" si="290">MAX(D154-D155,0)</f>
        <v>0</v>
      </c>
      <c r="E156" s="168">
        <f t="shared" si="290"/>
        <v>0</v>
      </c>
      <c r="F156" s="168">
        <f t="shared" si="290"/>
        <v>0</v>
      </c>
      <c r="G156" s="168">
        <f t="shared" si="290"/>
        <v>0</v>
      </c>
      <c r="H156" s="168">
        <f t="shared" si="290"/>
        <v>0</v>
      </c>
      <c r="I156" s="168">
        <f t="shared" si="290"/>
        <v>0</v>
      </c>
      <c r="J156" s="168">
        <f t="shared" si="290"/>
        <v>0</v>
      </c>
      <c r="K156" s="168">
        <f t="shared" si="290"/>
        <v>0</v>
      </c>
      <c r="L156" s="168">
        <f t="shared" si="290"/>
        <v>0</v>
      </c>
      <c r="M156" s="168">
        <f t="shared" si="290"/>
        <v>0</v>
      </c>
      <c r="N156" s="168">
        <f t="shared" si="290"/>
        <v>0</v>
      </c>
      <c r="O156" s="168">
        <f t="shared" si="290"/>
        <v>0</v>
      </c>
      <c r="P156" s="168">
        <f t="shared" si="290"/>
        <v>0</v>
      </c>
      <c r="Q156" s="168">
        <f t="shared" si="290"/>
        <v>0</v>
      </c>
      <c r="R156" s="168">
        <f t="shared" si="290"/>
        <v>0</v>
      </c>
      <c r="S156" s="168">
        <f t="shared" si="290"/>
        <v>0</v>
      </c>
      <c r="T156" s="168">
        <f t="shared" si="290"/>
        <v>0</v>
      </c>
      <c r="U156" s="168">
        <f t="shared" si="290"/>
        <v>0</v>
      </c>
      <c r="V156" s="168">
        <f t="shared" si="290"/>
        <v>0</v>
      </c>
      <c r="W156" s="168">
        <f t="shared" si="290"/>
        <v>0</v>
      </c>
      <c r="X156" s="168">
        <f t="shared" si="290"/>
        <v>0</v>
      </c>
      <c r="Y156" s="168">
        <f t="shared" si="290"/>
        <v>0</v>
      </c>
      <c r="Z156" s="168">
        <f t="shared" si="290"/>
        <v>0</v>
      </c>
      <c r="AA156" s="168">
        <f t="shared" si="290"/>
        <v>0</v>
      </c>
      <c r="AB156" s="168">
        <f t="shared" si="290"/>
        <v>0</v>
      </c>
      <c r="AC156" s="168">
        <f t="shared" si="290"/>
        <v>0</v>
      </c>
      <c r="AD156" s="168">
        <f t="shared" si="290"/>
        <v>0</v>
      </c>
      <c r="AE156" s="168">
        <f t="shared" si="290"/>
        <v>0</v>
      </c>
      <c r="AF156" s="168">
        <f t="shared" si="290"/>
        <v>0</v>
      </c>
      <c r="AG156" s="168">
        <f t="shared" si="290"/>
        <v>0</v>
      </c>
      <c r="AH156" s="168">
        <f t="shared" si="290"/>
        <v>0</v>
      </c>
      <c r="AI156" s="168">
        <f t="shared" si="290"/>
        <v>0</v>
      </c>
      <c r="AJ156" s="168">
        <f t="shared" ref="AJ156:BO156" si="291">MAX(AJ154-AJ155,0)</f>
        <v>0</v>
      </c>
      <c r="AK156" s="168">
        <f t="shared" si="291"/>
        <v>0</v>
      </c>
      <c r="AL156" s="168">
        <f t="shared" si="291"/>
        <v>0</v>
      </c>
      <c r="AM156" s="168">
        <f t="shared" si="291"/>
        <v>0</v>
      </c>
      <c r="AN156" s="168">
        <f t="shared" si="291"/>
        <v>0</v>
      </c>
      <c r="AO156" s="168">
        <f t="shared" si="291"/>
        <v>0</v>
      </c>
      <c r="AP156" s="168">
        <f t="shared" si="291"/>
        <v>0</v>
      </c>
      <c r="AQ156" s="168">
        <f t="shared" si="291"/>
        <v>0</v>
      </c>
      <c r="AR156" s="168">
        <f t="shared" si="291"/>
        <v>0</v>
      </c>
      <c r="AS156" s="168">
        <f t="shared" si="291"/>
        <v>0</v>
      </c>
      <c r="AT156" s="168">
        <f t="shared" si="291"/>
        <v>0</v>
      </c>
      <c r="AU156" s="168">
        <f t="shared" si="291"/>
        <v>0</v>
      </c>
      <c r="AV156" s="168">
        <f t="shared" si="291"/>
        <v>0</v>
      </c>
      <c r="AW156" s="168">
        <f t="shared" si="291"/>
        <v>0</v>
      </c>
      <c r="AX156" s="168">
        <f t="shared" si="291"/>
        <v>0</v>
      </c>
      <c r="AY156" s="168">
        <f t="shared" si="291"/>
        <v>0</v>
      </c>
      <c r="AZ156" s="168">
        <f t="shared" si="291"/>
        <v>0</v>
      </c>
      <c r="BA156" s="168">
        <f t="shared" si="291"/>
        <v>0</v>
      </c>
      <c r="BB156" s="168">
        <f t="shared" si="291"/>
        <v>0</v>
      </c>
      <c r="BC156" s="168">
        <f t="shared" si="291"/>
        <v>0</v>
      </c>
      <c r="BD156" s="168">
        <f t="shared" si="291"/>
        <v>0</v>
      </c>
      <c r="BE156" s="168">
        <f t="shared" si="291"/>
        <v>0</v>
      </c>
      <c r="BF156" s="168">
        <f t="shared" si="291"/>
        <v>0</v>
      </c>
      <c r="BG156" s="168">
        <f t="shared" si="291"/>
        <v>0</v>
      </c>
      <c r="BH156" s="168">
        <f t="shared" si="291"/>
        <v>0</v>
      </c>
      <c r="BI156" s="168">
        <f t="shared" si="291"/>
        <v>0</v>
      </c>
      <c r="BJ156" s="168">
        <f t="shared" si="291"/>
        <v>0</v>
      </c>
      <c r="BK156" s="168">
        <f t="shared" si="291"/>
        <v>0</v>
      </c>
      <c r="BL156" s="168">
        <f t="shared" si="291"/>
        <v>0</v>
      </c>
      <c r="BM156" s="168">
        <f t="shared" si="291"/>
        <v>0</v>
      </c>
      <c r="BN156" s="168">
        <f t="shared" si="291"/>
        <v>0</v>
      </c>
      <c r="BO156" s="168">
        <f t="shared" si="291"/>
        <v>0</v>
      </c>
      <c r="BP156" s="168">
        <f t="shared" ref="BP156:CU156" si="292">MAX(BP154-BP155,0)</f>
        <v>0</v>
      </c>
      <c r="BQ156" s="168">
        <f t="shared" si="292"/>
        <v>0</v>
      </c>
      <c r="BR156" s="168">
        <f t="shared" si="292"/>
        <v>0</v>
      </c>
      <c r="BS156" s="168">
        <f t="shared" si="292"/>
        <v>0</v>
      </c>
      <c r="BT156" s="168">
        <f t="shared" si="292"/>
        <v>0</v>
      </c>
      <c r="BU156" s="168">
        <f t="shared" si="292"/>
        <v>0</v>
      </c>
      <c r="BV156" s="168">
        <f t="shared" si="292"/>
        <v>0</v>
      </c>
      <c r="BW156" s="168">
        <f t="shared" si="292"/>
        <v>0</v>
      </c>
      <c r="BX156" s="168">
        <f t="shared" si="292"/>
        <v>0</v>
      </c>
      <c r="BY156" s="168">
        <f t="shared" si="292"/>
        <v>0</v>
      </c>
      <c r="BZ156" s="168">
        <f t="shared" si="292"/>
        <v>0</v>
      </c>
      <c r="CA156" s="168">
        <f t="shared" si="292"/>
        <v>0</v>
      </c>
      <c r="CB156" s="168">
        <f t="shared" si="292"/>
        <v>0</v>
      </c>
      <c r="CC156" s="168">
        <f t="shared" si="292"/>
        <v>0</v>
      </c>
      <c r="CD156" s="168">
        <f t="shared" si="292"/>
        <v>0</v>
      </c>
      <c r="CE156" s="168">
        <f t="shared" si="292"/>
        <v>0</v>
      </c>
      <c r="CF156" s="168">
        <f t="shared" si="292"/>
        <v>0</v>
      </c>
      <c r="CG156" s="168">
        <f t="shared" si="292"/>
        <v>0</v>
      </c>
      <c r="CH156" s="168">
        <f t="shared" si="292"/>
        <v>0</v>
      </c>
      <c r="CI156" s="168">
        <f t="shared" si="292"/>
        <v>0</v>
      </c>
      <c r="CJ156" s="168">
        <f t="shared" si="292"/>
        <v>0</v>
      </c>
      <c r="CK156" s="168">
        <f t="shared" si="292"/>
        <v>0</v>
      </c>
      <c r="CL156" s="168">
        <f t="shared" si="292"/>
        <v>0</v>
      </c>
      <c r="CM156" s="168">
        <f t="shared" si="292"/>
        <v>0</v>
      </c>
      <c r="CN156" s="168">
        <f t="shared" si="292"/>
        <v>0</v>
      </c>
      <c r="CO156" s="168">
        <f t="shared" si="292"/>
        <v>0</v>
      </c>
      <c r="CP156" s="168">
        <f t="shared" si="292"/>
        <v>0</v>
      </c>
      <c r="CQ156" s="168">
        <f t="shared" si="292"/>
        <v>0</v>
      </c>
      <c r="CR156" s="168">
        <f t="shared" si="292"/>
        <v>0</v>
      </c>
      <c r="CS156" s="168">
        <f t="shared" si="292"/>
        <v>0</v>
      </c>
      <c r="CT156" s="168">
        <f t="shared" si="292"/>
        <v>0</v>
      </c>
      <c r="CU156" s="168">
        <f t="shared" si="292"/>
        <v>0</v>
      </c>
      <c r="CV156" s="168">
        <f t="shared" ref="CV156:DS156" si="293">MAX(CV154-CV155,0)</f>
        <v>0</v>
      </c>
      <c r="CW156" s="168">
        <f t="shared" si="293"/>
        <v>0</v>
      </c>
      <c r="CX156" s="168">
        <f t="shared" si="293"/>
        <v>0</v>
      </c>
      <c r="CY156" s="168">
        <f t="shared" si="293"/>
        <v>0</v>
      </c>
      <c r="CZ156" s="168">
        <f t="shared" si="293"/>
        <v>0</v>
      </c>
      <c r="DA156" s="168">
        <f t="shared" si="293"/>
        <v>0</v>
      </c>
      <c r="DB156" s="168">
        <f t="shared" si="293"/>
        <v>0</v>
      </c>
      <c r="DC156" s="168">
        <f t="shared" si="293"/>
        <v>0</v>
      </c>
      <c r="DD156" s="168">
        <f t="shared" si="293"/>
        <v>0</v>
      </c>
      <c r="DE156" s="168">
        <f t="shared" si="293"/>
        <v>0</v>
      </c>
      <c r="DF156" s="168">
        <f t="shared" si="293"/>
        <v>0</v>
      </c>
      <c r="DG156" s="168">
        <f t="shared" si="293"/>
        <v>0</v>
      </c>
      <c r="DH156" s="168">
        <f t="shared" si="293"/>
        <v>0</v>
      </c>
      <c r="DI156" s="168">
        <f t="shared" si="293"/>
        <v>0</v>
      </c>
      <c r="DJ156" s="168">
        <f t="shared" si="293"/>
        <v>0</v>
      </c>
      <c r="DK156" s="168">
        <f t="shared" si="293"/>
        <v>0</v>
      </c>
      <c r="DL156" s="168">
        <f t="shared" si="293"/>
        <v>0</v>
      </c>
      <c r="DM156" s="168">
        <f t="shared" si="293"/>
        <v>0</v>
      </c>
      <c r="DN156" s="168">
        <f t="shared" si="293"/>
        <v>0</v>
      </c>
      <c r="DO156" s="168">
        <f t="shared" si="293"/>
        <v>0</v>
      </c>
      <c r="DP156" s="168">
        <f t="shared" si="293"/>
        <v>0</v>
      </c>
      <c r="DQ156" s="168">
        <f t="shared" si="293"/>
        <v>0</v>
      </c>
      <c r="DR156" s="168">
        <f t="shared" si="293"/>
        <v>0</v>
      </c>
      <c r="DS156" s="168">
        <f t="shared" si="293"/>
        <v>0</v>
      </c>
    </row>
    <row r="157" spans="1:123" ht="12.75" customHeight="1" x14ac:dyDescent="0.35">
      <c r="A157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57" s="162">
        <f>SUM(D157:BQ157)</f>
        <v>68322.516142207111</v>
      </c>
      <c r="C157" s="144">
        <f>B157/60</f>
        <v>1138.7086023701186</v>
      </c>
      <c r="D157" s="162">
        <f>D149*Premissas!$F$19</f>
        <v>462.74545969553606</v>
      </c>
      <c r="E157" s="162">
        <f>E149*Premissas!$F$19</f>
        <v>362.79244040130027</v>
      </c>
      <c r="F157" s="162">
        <f>F149*Premissas!$F$19</f>
        <v>562.69847898977184</v>
      </c>
      <c r="G157" s="162">
        <f>G149*Premissas!$F$19</f>
        <v>915.31051927777025</v>
      </c>
      <c r="H157" s="162">
        <f>H149*Premissas!$F$19</f>
        <v>864.40851871126131</v>
      </c>
      <c r="I157" s="162">
        <f>I149*Premissas!$F$19</f>
        <v>1197.5852496920472</v>
      </c>
      <c r="J157" s="162">
        <f>J149*Premissas!$F$19</f>
        <v>1161.4911038357955</v>
      </c>
      <c r="K157" s="162">
        <f>K149*Premissas!$F$19</f>
        <v>1833.3975113137137</v>
      </c>
      <c r="L157" s="162">
        <f>L149*Premissas!$F$19</f>
        <v>1589.9933995138617</v>
      </c>
      <c r="M157" s="162">
        <f>M149*Premissas!$F$19</f>
        <v>1433.5854341367706</v>
      </c>
      <c r="N157" s="162">
        <f>N149*Premissas!$F$19</f>
        <v>976.39291995758106</v>
      </c>
      <c r="O157" s="162">
        <f>O149*Premissas!$F$19</f>
        <v>729.28684448016486</v>
      </c>
      <c r="P157" s="162">
        <f>P149*Premissas!$F$19</f>
        <v>474.77684164761996</v>
      </c>
      <c r="Q157" s="162">
        <f>Q149*Premissas!$F$19</f>
        <v>372.04734959521096</v>
      </c>
      <c r="R157" s="162">
        <f>R149*Premissas!$F$19</f>
        <v>576.58084278063791</v>
      </c>
      <c r="S157" s="162">
        <f>S149*Premissas!$F$19</f>
        <v>938.44779226254707</v>
      </c>
      <c r="T157" s="162">
        <f>T149*Premissas!$F$19</f>
        <v>885.69480985725602</v>
      </c>
      <c r="U157" s="162">
        <f>U149*Premissas!$F$19</f>
        <v>1227.2009591125616</v>
      </c>
      <c r="V157" s="162">
        <f>V149*Premissas!$F$19</f>
        <v>1190.1813223369188</v>
      </c>
      <c r="W157" s="162">
        <f>W149*Premissas!$F$19</f>
        <v>1833.3975113137137</v>
      </c>
      <c r="X157" s="162">
        <f>X149*Premissas!$F$19</f>
        <v>1589.9933995138617</v>
      </c>
      <c r="Y157" s="162">
        <f>Y149*Premissas!$F$19</f>
        <v>1433.5854341367706</v>
      </c>
      <c r="Z157" s="162">
        <f>Z149*Premissas!$F$19</f>
        <v>976.39291995758106</v>
      </c>
      <c r="AA157" s="162">
        <f>AA149*Premissas!$F$19</f>
        <v>729.28684448016486</v>
      </c>
      <c r="AB157" s="162">
        <f>AB149*Premissas!$F$19</f>
        <v>485.88273268031287</v>
      </c>
      <c r="AC157" s="162">
        <f>AC149*Premissas!$F$19</f>
        <v>381.30225878912171</v>
      </c>
      <c r="AD157" s="162">
        <f>AD149*Premissas!$F$19</f>
        <v>591.38869749089508</v>
      </c>
      <c r="AE157" s="162">
        <f>AE149*Premissas!$F$19</f>
        <v>961.58506524732388</v>
      </c>
      <c r="AF157" s="162">
        <f>AF149*Premissas!$F$19</f>
        <v>907.90659192264172</v>
      </c>
      <c r="AG157" s="162">
        <f>AG149*Premissas!$F$19</f>
        <v>1258.6676503718581</v>
      </c>
      <c r="AH157" s="162">
        <f>AH149*Premissas!$F$19</f>
        <v>1220.7225226768242</v>
      </c>
      <c r="AI157" s="162">
        <f>AI149*Premissas!$F$19</f>
        <v>1925.946603252821</v>
      </c>
      <c r="AJ157" s="162">
        <f>AJ149*Premissas!$F$19</f>
        <v>1670.5111095008851</v>
      </c>
      <c r="AK157" s="162">
        <f>AK149*Premissas!$F$19</f>
        <v>1505.7737258492743</v>
      </c>
      <c r="AL157" s="162">
        <f>AL149*Premissas!$F$19</f>
        <v>1025.4439386853078</v>
      </c>
      <c r="AM157" s="162">
        <f>AM149*Premissas!$F$19</f>
        <v>766.30648125580774</v>
      </c>
      <c r="AN157" s="162">
        <f>AN149*Premissas!$F$19</f>
        <v>497.91411463239677</v>
      </c>
      <c r="AO157" s="162">
        <f>AO149*Premissas!$F$19</f>
        <v>390.5571679830324</v>
      </c>
      <c r="AP157" s="162">
        <f>AP149*Premissas!$F$19</f>
        <v>606.19655220115226</v>
      </c>
      <c r="AQ157" s="162">
        <f>AQ149*Premissas!$F$19</f>
        <v>985.64782915149181</v>
      </c>
      <c r="AR157" s="162">
        <f>AR149*Premissas!$F$19</f>
        <v>931.04386490741854</v>
      </c>
      <c r="AS157" s="162">
        <f>AS149*Premissas!$F$19</f>
        <v>1289.2088507117635</v>
      </c>
      <c r="AT157" s="162">
        <f>AT149*Premissas!$F$19</f>
        <v>1250.3382320973383</v>
      </c>
      <c r="AU157" s="162">
        <f>AU149*Premissas!$F$19</f>
        <v>1974.0721310611568</v>
      </c>
      <c r="AV157" s="162">
        <f>AV149*Premissas!$F$19</f>
        <v>1712.1582008734833</v>
      </c>
      <c r="AW157" s="162">
        <f>AW149*Premissas!$F$19</f>
        <v>1543.7188535443083</v>
      </c>
      <c r="AX157" s="162">
        <f>AX149*Premissas!$F$19</f>
        <v>1051.3576844282579</v>
      </c>
      <c r="AY157" s="162">
        <f>AY149*Premissas!$F$19</f>
        <v>785.74179056302023</v>
      </c>
      <c r="AZ157" s="162">
        <f>AZ149*Premissas!$F$19</f>
        <v>510.87098750387179</v>
      </c>
      <c r="BA157" s="162">
        <f>BA149*Premissas!$F$19</f>
        <v>400.7375680963342</v>
      </c>
      <c r="BB157" s="162">
        <f>BB149*Premissas!$F$19</f>
        <v>621.00440691140932</v>
      </c>
      <c r="BC157" s="162">
        <f>BC149*Premissas!$F$19</f>
        <v>1010.6360839750507</v>
      </c>
      <c r="BD157" s="162">
        <f>BD149*Premissas!$F$19</f>
        <v>954.18113789219535</v>
      </c>
      <c r="BE157" s="162">
        <f>BE149*Premissas!$F$19</f>
        <v>1321.6010328904511</v>
      </c>
      <c r="BF157" s="162">
        <f>BF149*Premissas!$F$19</f>
        <v>1281.8049233566348</v>
      </c>
      <c r="BG157" s="162">
        <f>BG149*Premissas!$F$19</f>
        <v>2024.0486407082747</v>
      </c>
      <c r="BH157" s="162">
        <f>BH149*Premissas!$F$19</f>
        <v>1754.7307831654728</v>
      </c>
      <c r="BI157" s="162">
        <f>BI149*Premissas!$F$19</f>
        <v>1582.5894721587333</v>
      </c>
      <c r="BJ157" s="162">
        <f>BJ149*Premissas!$F$19</f>
        <v>1078.1969210905991</v>
      </c>
      <c r="BK157" s="162">
        <f>BK149*Premissas!$F$19</f>
        <v>805.17709987023272</v>
      </c>
      <c r="BL157" s="162">
        <f>BL149*Premissas!$F$19</f>
        <v>523.82786037534675</v>
      </c>
      <c r="BM157" s="162">
        <f>BM149*Premissas!$F$19</f>
        <v>410.917968209636</v>
      </c>
      <c r="BN157" s="162">
        <f>BN149*Premissas!$F$19</f>
        <v>636.7377525410576</v>
      </c>
      <c r="BO157" s="162">
        <f>BO149*Premissas!$F$19</f>
        <v>1035.6243387986096</v>
      </c>
      <c r="BP157" s="162">
        <f>BP149*Premissas!$F$19</f>
        <v>978.24390179636316</v>
      </c>
      <c r="BQ157" s="162">
        <f>BQ149*Premissas!$F$19</f>
        <v>1354.9187059885296</v>
      </c>
      <c r="BR157" s="162">
        <f>BR149*Premissas!$F$19</f>
        <v>1314.1971055353224</v>
      </c>
      <c r="BS157" s="162">
        <f>BS149*Premissas!$F$19</f>
        <v>2074.0251503553927</v>
      </c>
      <c r="BT157" s="162">
        <f>BT149*Premissas!$F$19</f>
        <v>1799.1543472962442</v>
      </c>
      <c r="BU157" s="162">
        <f>BU149*Premissas!$F$19</f>
        <v>1622.3855816925493</v>
      </c>
      <c r="BV157" s="162">
        <f>BV149*Premissas!$F$19</f>
        <v>1105.03615775294</v>
      </c>
      <c r="BW157" s="162">
        <f>BW149*Premissas!$F$19</f>
        <v>825.53790009683632</v>
      </c>
      <c r="BX157" s="162">
        <f>BX149*Premissas!$F$19</f>
        <v>536.78473324682182</v>
      </c>
      <c r="BY157" s="162">
        <f>BY149*Premissas!$F$19</f>
        <v>421.0983683229378</v>
      </c>
      <c r="BZ157" s="162">
        <f>BZ149*Premissas!$F$19</f>
        <v>652.47109817070577</v>
      </c>
      <c r="CA157" s="162">
        <f>CA149*Premissas!$F$19</f>
        <v>1061.5380845415598</v>
      </c>
      <c r="CB157" s="162">
        <f>CB149*Premissas!$F$19</f>
        <v>1002.3066657005311</v>
      </c>
      <c r="CC157" s="162">
        <f>CC149*Premissas!$F$19</f>
        <v>1389.1618700059992</v>
      </c>
      <c r="CD157" s="162">
        <f>CD149*Premissas!$F$19</f>
        <v>1346.58928771401</v>
      </c>
      <c r="CE157" s="162">
        <f>CE149*Premissas!$F$19</f>
        <v>2125.8526418412926</v>
      </c>
      <c r="CF157" s="162">
        <f>CF149*Premissas!$F$19</f>
        <v>1843.5779114270156</v>
      </c>
      <c r="CG157" s="162">
        <f>CG149*Premissas!$F$19</f>
        <v>1662.1816912263655</v>
      </c>
      <c r="CH157" s="162">
        <f>CH149*Premissas!$F$19</f>
        <v>1131.8753944152811</v>
      </c>
      <c r="CI157" s="162">
        <f>CI149*Premissas!$F$19</f>
        <v>845.89870032343993</v>
      </c>
      <c r="CJ157" s="162">
        <f>CJ149*Premissas!$F$19</f>
        <v>549.74160611829677</v>
      </c>
      <c r="CK157" s="162">
        <f>CK149*Premissas!$F$19</f>
        <v>431.2787684362396</v>
      </c>
      <c r="CL157" s="162">
        <f>CL149*Premissas!$F$19</f>
        <v>669.12993471974517</v>
      </c>
      <c r="CM157" s="162">
        <f>CM149*Premissas!$F$19</f>
        <v>1088.3773212039007</v>
      </c>
      <c r="CN157" s="162">
        <f>CN149*Premissas!$F$19</f>
        <v>1027.29492052409</v>
      </c>
      <c r="CO157" s="162">
        <f>CO149*Premissas!$F$19</f>
        <v>1423.4050340234689</v>
      </c>
      <c r="CP157" s="162">
        <f>CP149*Premissas!$F$19</f>
        <v>1380.8324517314795</v>
      </c>
      <c r="CQ157" s="162">
        <f>CQ149*Premissas!$F$19</f>
        <v>2179.5311151659748</v>
      </c>
      <c r="CR157" s="162">
        <f>CR149*Premissas!$F$19</f>
        <v>1889.8524573965692</v>
      </c>
      <c r="CS157" s="162">
        <f>CS149*Premissas!$F$19</f>
        <v>1703.8287825989637</v>
      </c>
      <c r="CT157" s="162">
        <f>CT149*Premissas!$F$19</f>
        <v>1160.5656129164045</v>
      </c>
      <c r="CU157" s="162">
        <f>CU149*Premissas!$F$19</f>
        <v>867.18499146943452</v>
      </c>
      <c r="CV157" s="162">
        <f>CV149*Premissas!$F$19</f>
        <v>563.62396990916295</v>
      </c>
      <c r="CW157" s="162">
        <f>CW149*Premissas!$F$19</f>
        <v>442.38465946893245</v>
      </c>
      <c r="CX157" s="162">
        <f>CX149*Premissas!$F$19</f>
        <v>685.78877126878444</v>
      </c>
      <c r="CY157" s="162">
        <f>CY149*Premissas!$F$19</f>
        <v>1115.2165578662418</v>
      </c>
      <c r="CZ157" s="162">
        <f>CZ149*Premissas!$F$19</f>
        <v>1053.2086662670401</v>
      </c>
      <c r="DA157" s="162">
        <f>DA149*Premissas!$F$19</f>
        <v>1459.4991798797207</v>
      </c>
      <c r="DB157" s="162">
        <f>DB149*Premissas!$F$19</f>
        <v>1415.0756157489493</v>
      </c>
      <c r="DC157" s="162">
        <f>DC149*Premissas!$F$19</f>
        <v>2234.1350794100481</v>
      </c>
      <c r="DD157" s="162">
        <f>DD149*Premissas!$F$19</f>
        <v>1937.0524942855138</v>
      </c>
      <c r="DE157" s="162">
        <f>DE149*Premissas!$F$19</f>
        <v>1746.4013648909531</v>
      </c>
      <c r="DF157" s="162">
        <f>DF149*Premissas!$F$19</f>
        <v>1189.2558314175276</v>
      </c>
      <c r="DG157" s="162">
        <f>DG149*Premissas!$F$19</f>
        <v>888.47128261542923</v>
      </c>
      <c r="DH157" s="162">
        <f>DH149*Premissas!$F$19</f>
        <v>577.50633370002902</v>
      </c>
      <c r="DI157" s="162">
        <f>DI149*Premissas!$F$19</f>
        <v>453.49055050162531</v>
      </c>
      <c r="DJ157" s="162">
        <f>DJ149*Premissas!$F$19</f>
        <v>702.44760781782372</v>
      </c>
      <c r="DK157" s="162">
        <f>DK149*Premissas!$F$19</f>
        <v>1142.981285447974</v>
      </c>
      <c r="DL157" s="162">
        <f>DL149*Premissas!$F$19</f>
        <v>1079.1224120099901</v>
      </c>
      <c r="DM157" s="162">
        <f>DM149*Premissas!$F$19</f>
        <v>1495.5933257359725</v>
      </c>
      <c r="DN157" s="162">
        <f>DN149*Premissas!$F$19</f>
        <v>1450.2442706858099</v>
      </c>
      <c r="DO157" s="162">
        <f>DO149*Premissas!$F$19</f>
        <v>2289.6645345735124</v>
      </c>
      <c r="DP157" s="162">
        <f>DP149*Premissas!$F$19</f>
        <v>1986.1035130132407</v>
      </c>
      <c r="DQ157" s="162">
        <f>DQ149*Premissas!$F$19</f>
        <v>1789.8994381023333</v>
      </c>
      <c r="DR157" s="162">
        <f>DR149*Premissas!$F$19</f>
        <v>1219.7970317574329</v>
      </c>
      <c r="DS157" s="162">
        <f>DS149*Premissas!$F$19</f>
        <v>910.68306468081494</v>
      </c>
    </row>
    <row r="158" spans="1:123" ht="12.75" customHeight="1" x14ac:dyDescent="0.35">
      <c r="A158" s="163" t="s">
        <v>498</v>
      </c>
      <c r="B158" s="164">
        <f>SUM(D158:BQ158)</f>
        <v>15351.460630105616</v>
      </c>
      <c r="C158" s="144">
        <f>B158/60</f>
        <v>255.85767716842693</v>
      </c>
      <c r="D158" s="164">
        <f>IF(D153&gt;0,0,MAX(D149-D150-D151,0)*Premissas!$B$7)</f>
        <v>0</v>
      </c>
      <c r="E158" s="164">
        <f>IF(E153&gt;0,0,MAX(E149-E150-E151,0)*Premissas!$B$7)</f>
        <v>0</v>
      </c>
      <c r="F158" s="164">
        <f>IF(F153&gt;0,0,MAX(F149-F150-F151,0)*Premissas!$B$7)</f>
        <v>0</v>
      </c>
      <c r="G158" s="164">
        <f>IF(G153&gt;0,0,MAX(G149-G150-G151,0)*Premissas!$B$7)</f>
        <v>0</v>
      </c>
      <c r="H158" s="164">
        <f>IF(H153&gt;0,0,MAX(H149-H150-H151,0)*Premissas!$B$7)</f>
        <v>0</v>
      </c>
      <c r="I158" s="164">
        <f>IF(I153&gt;0,0,MAX(I149-I150-I151,0)*Premissas!$B$7)</f>
        <v>0</v>
      </c>
      <c r="J158" s="164">
        <f>IF(J153&gt;0,0,MAX(J149-J150-J151,0)*Premissas!$B$7)</f>
        <v>0</v>
      </c>
      <c r="K158" s="164">
        <f>IF(K153&gt;0,0,MAX(K149-K150-K151,0)*Premissas!$B$7)</f>
        <v>0</v>
      </c>
      <c r="L158" s="164">
        <f>IF(L153&gt;0,0,MAX(L149-L150-L151,0)*Premissas!$B$7)</f>
        <v>0</v>
      </c>
      <c r="M158" s="164">
        <f>IF(M153&gt;0,0,MAX(M149-M150-M151,0)*Premissas!$B$7)</f>
        <v>0</v>
      </c>
      <c r="N158" s="164">
        <f>IF(N153&gt;0,0,MAX(N149-N150-N151,0)*Premissas!$B$7)</f>
        <v>0</v>
      </c>
      <c r="O158" s="164">
        <f>IF(O153&gt;0,0,MAX(O149-O150-O151,0)*Premissas!$B$7)</f>
        <v>0</v>
      </c>
      <c r="P158" s="164">
        <f>IF(P153&gt;0,0,MAX(P149-P150-P151,0)*Premissas!$B$7)</f>
        <v>0</v>
      </c>
      <c r="Q158" s="164">
        <f>IF(Q153&gt;0,0,MAX(Q149-Q150-Q151,0)*Premissas!$B$7)</f>
        <v>0</v>
      </c>
      <c r="R158" s="164">
        <f>IF(R153&gt;0,0,MAX(R149-R150-R151,0)*Premissas!$B$7)</f>
        <v>0</v>
      </c>
      <c r="S158" s="164">
        <f>IF(S153&gt;0,0,MAX(S149-S150-S151,0)*Premissas!$B$7)</f>
        <v>0</v>
      </c>
      <c r="T158" s="164">
        <f>IF(T153&gt;0,0,MAX(T149-T150-T151,0)*Premissas!$B$7)</f>
        <v>0</v>
      </c>
      <c r="U158" s="164">
        <f>IF(U153&gt;0,0,MAX(U149-U150-U151,0)*Premissas!$B$7)</f>
        <v>0</v>
      </c>
      <c r="V158" s="164">
        <f>IF(V153&gt;0,0,MAX(V149-V150-V151,0)*Premissas!$B$7)</f>
        <v>0</v>
      </c>
      <c r="W158" s="164">
        <f>IF(W153&gt;0,0,MAX(W149-W150-W151,0)*Premissas!$B$7)</f>
        <v>0</v>
      </c>
      <c r="X158" s="164">
        <f>IF(X153&gt;0,0,MAX(X149-X150-X151,0)*Premissas!$B$7)</f>
        <v>0</v>
      </c>
      <c r="Y158" s="164">
        <f>IF(Y153&gt;0,0,MAX(Y149-Y150-Y151,0)*Premissas!$B$7)</f>
        <v>0</v>
      </c>
      <c r="Z158" s="164">
        <f>IF(Z153&gt;0,0,MAX(Z149-Z150-Z151,0)*Premissas!$B$7)</f>
        <v>0</v>
      </c>
      <c r="AA158" s="164">
        <f>IF(AA153&gt;0,0,MAX(AA149-AA150-AA151,0)*Premissas!$B$7)</f>
        <v>0</v>
      </c>
      <c r="AB158" s="164">
        <f>IF(AB153&gt;0,0,MAX(AB149-AB150-AB151,0)*Premissas!$B$7)</f>
        <v>0</v>
      </c>
      <c r="AC158" s="164">
        <f>IF(AC153&gt;0,0,MAX(AC149-AC150-AC151,0)*Premissas!$B$7)</f>
        <v>0</v>
      </c>
      <c r="AD158" s="164">
        <f>IF(AD153&gt;0,0,MAX(AD149-AD150-AD151,0)*Premissas!$B$7)</f>
        <v>0</v>
      </c>
      <c r="AE158" s="164">
        <f>IF(AE153&gt;0,0,MAX(AE149-AE150-AE151,0)*Premissas!$B$7)</f>
        <v>0</v>
      </c>
      <c r="AF158" s="164">
        <f>IF(AF153&gt;0,0,MAX(AF149-AF150-AF151,0)*Premissas!$B$7)</f>
        <v>0</v>
      </c>
      <c r="AG158" s="164">
        <f>IF(AG153&gt;0,0,MAX(AG149-AG150-AG151,0)*Premissas!$B$7)</f>
        <v>0</v>
      </c>
      <c r="AH158" s="164">
        <f>IF(AH153&gt;0,0,MAX(AH149-AH150-AH151,0)*Premissas!$B$7)</f>
        <v>0</v>
      </c>
      <c r="AI158" s="164">
        <f>IF(AI153&gt;0,0,MAX(AI149-AI150-AI151,0)*Premissas!$B$7)</f>
        <v>0</v>
      </c>
      <c r="AJ158" s="164">
        <f>IF(AJ153&gt;0,0,MAX(AJ149-AJ150-AJ151,0)*Premissas!$B$7)</f>
        <v>0</v>
      </c>
      <c r="AK158" s="164">
        <f>IF(AK153&gt;0,0,MAX(AK149-AK150-AK151,0)*Premissas!$B$7)</f>
        <v>0</v>
      </c>
      <c r="AL158" s="164">
        <f>IF(AL153&gt;0,0,MAX(AL149-AL150-AL151,0)*Premissas!$B$7)</f>
        <v>0</v>
      </c>
      <c r="AM158" s="164">
        <f>IF(AM153&gt;0,0,MAX(AM149-AM150-AM151,0)*Premissas!$B$7)</f>
        <v>0</v>
      </c>
      <c r="AN158" s="164">
        <f>IF(AN153&gt;0,0,MAX(AN149-AN150-AN151,0)*Premissas!$B$7)</f>
        <v>0</v>
      </c>
      <c r="AO158" s="164">
        <f>IF(AO153&gt;0,0,MAX(AO149-AO150-AO151,0)*Premissas!$B$7)</f>
        <v>0</v>
      </c>
      <c r="AP158" s="164">
        <f>IF(AP153&gt;0,0,MAX(AP149-AP150-AP151,0)*Premissas!$B$7)</f>
        <v>0</v>
      </c>
      <c r="AQ158" s="164">
        <f>IF(AQ153&gt;0,0,MAX(AQ149-AQ150-AQ151,0)*Premissas!$B$7)</f>
        <v>0</v>
      </c>
      <c r="AR158" s="164">
        <f>IF(AR153&gt;0,0,MAX(AR149-AR150-AR151,0)*Premissas!$B$7)</f>
        <v>0</v>
      </c>
      <c r="AS158" s="164">
        <f>IF(AS153&gt;0,0,MAX(AS149-AS150-AS151,0)*Premissas!$B$7)</f>
        <v>0</v>
      </c>
      <c r="AT158" s="164">
        <f>IF(AT153&gt;0,0,MAX(AT149-AT150-AT151,0)*Premissas!$B$7)</f>
        <v>520.76340120465716</v>
      </c>
      <c r="AU158" s="164">
        <f>IF(AU153&gt;0,0,MAX(AU149-AU150-AU151,0)*Premissas!$B$7)</f>
        <v>1929.2876970761874</v>
      </c>
      <c r="AV158" s="164">
        <f>IF(AV153&gt;0,0,MAX(AV149-AV150-AV151,0)*Premissas!$B$7)</f>
        <v>1660.5241473892172</v>
      </c>
      <c r="AW158" s="164">
        <f>IF(AW153&gt;0,0,MAX(AW149-AW150-AW151,0)*Premissas!$B$7)</f>
        <v>1379.4623793827895</v>
      </c>
      <c r="AX158" s="164">
        <f>IF(AX153&gt;0,0,MAX(AX149-AX150-AX151,0)*Premissas!$B$7)</f>
        <v>765.21433275201423</v>
      </c>
      <c r="AY158" s="164">
        <f>IF(AY153&gt;0,0,MAX(AY149-AY150-AY151,0)*Premissas!$B$7)</f>
        <v>468.39434727587036</v>
      </c>
      <c r="AZ158" s="164">
        <f>IF(AZ153&gt;0,0,MAX(AZ149-AZ150-AZ151,0)*Premissas!$B$7)</f>
        <v>132.45689469508574</v>
      </c>
      <c r="BA158" s="164">
        <f>IF(BA153&gt;0,0,MAX(BA149-BA150-BA151,0)*Premissas!$B$7)</f>
        <v>0</v>
      </c>
      <c r="BB158" s="164">
        <f>IF(BB153&gt;0,0,MAX(BB149-BB150-BB151,0)*Premissas!$B$7)</f>
        <v>104.89791620973475</v>
      </c>
      <c r="BC158" s="164">
        <f>IF(BC153&gt;0,0,MAX(BC149-BC150-BC151,0)*Premissas!$B$7)</f>
        <v>663.19476016636395</v>
      </c>
      <c r="BD158" s="164">
        <f>IF(BD153&gt;0,0,MAX(BD149-BD150-BD151,0)*Premissas!$B$7)</f>
        <v>576.01218460758105</v>
      </c>
      <c r="BE158" s="164">
        <f>IF(BE153&gt;0,0,MAX(BE149-BE150-BE151,0)*Premissas!$B$7)</f>
        <v>1055.6972412610685</v>
      </c>
      <c r="BF158" s="164">
        <f>IF(BF153&gt;0,0,MAX(BF149-BF150-BF151,0)*Premissas!$B$7)</f>
        <v>847.29691035707287</v>
      </c>
      <c r="BG158" s="164">
        <f>IF(BG153&gt;0,0,MAX(BG149-BG150-BG151,0)*Premissas!$B$7)</f>
        <v>1750.9903217340604</v>
      </c>
      <c r="BH158" s="164">
        <f>IF(BH153&gt;0,0,MAX(BH149-BH150-BH151,0)*Premissas!$B$7)</f>
        <v>1499.1949543253879</v>
      </c>
      <c r="BI158" s="164">
        <f>IF(BI153&gt;0,0,MAX(BI149-BI150-BI151,0)*Premissas!$B$7)</f>
        <v>1181.967376038624</v>
      </c>
      <c r="BJ158" s="164">
        <f>IF(BJ153&gt;0,0,MAX(BJ149-BJ150-BJ151,0)*Premissas!$B$7)</f>
        <v>553.2183565714065</v>
      </c>
      <c r="BK158" s="164">
        <f>IF(BK153&gt;0,0,MAX(BK149-BK150-BK151,0)*Premissas!$B$7)</f>
        <v>262.88740905849579</v>
      </c>
      <c r="BL158" s="164">
        <f>IF(BL153&gt;0,0,MAX(BL149-BL150-BL151,0)*Premissas!$B$7)</f>
        <v>0</v>
      </c>
      <c r="BM158" s="164">
        <f>IF(BM153&gt;0,0,MAX(BM149-BM150-BM151,0)*Premissas!$B$7)</f>
        <v>0</v>
      </c>
      <c r="BN158" s="164">
        <f>IF(BN153&gt;0,0,MAX(BN149-BN150-BN151,0)*Premissas!$B$7)</f>
        <v>0</v>
      </c>
      <c r="BO158" s="164">
        <f>IF(BO153&gt;0,0,MAX(BO149-BO150-BO151,0)*Premissas!$B$7)</f>
        <v>0</v>
      </c>
      <c r="BP158" s="164">
        <f>IF(BP153&gt;0,0,MAX(BP149-BP150-BP151,0)*Premissas!$B$7)</f>
        <v>0</v>
      </c>
      <c r="BQ158" s="164">
        <f>IF(BQ153&gt;0,0,MAX(BQ149-BQ150-BQ151,0)*Premissas!$B$7)</f>
        <v>0</v>
      </c>
      <c r="BR158" s="164">
        <f>IF(BR153&gt;0,0,MAX(BR149-BR150-BR151,0)*Premissas!$B$7)</f>
        <v>0</v>
      </c>
      <c r="BS158" s="164">
        <f>IF(BS153&gt;0,0,MAX(BS149-BS150-BS151,0)*Premissas!$B$7)</f>
        <v>0</v>
      </c>
      <c r="BT158" s="164">
        <f>IF(BT153&gt;0,0,MAX(BT149-BT150-BT151,0)*Premissas!$B$7)</f>
        <v>0</v>
      </c>
      <c r="BU158" s="164">
        <f>IF(BU153&gt;0,0,MAX(BU149-BU150-BU151,0)*Premissas!$B$7)</f>
        <v>0</v>
      </c>
      <c r="BV158" s="164">
        <f>IF(BV153&gt;0,0,MAX(BV149-BV150-BV151,0)*Premissas!$B$7)</f>
        <v>0</v>
      </c>
      <c r="BW158" s="164">
        <f>IF(BW153&gt;0,0,MAX(BW149-BW150-BW151,0)*Premissas!$B$7)</f>
        <v>0</v>
      </c>
      <c r="BX158" s="164">
        <f>IF(BX153&gt;0,0,MAX(BX149-BX150-BX151,0)*Premissas!$B$7)</f>
        <v>0</v>
      </c>
      <c r="BY158" s="164">
        <f>IF(BY153&gt;0,0,MAX(BY149-BY150-BY151,0)*Premissas!$B$7)</f>
        <v>0</v>
      </c>
      <c r="BZ158" s="164">
        <f>IF(BZ153&gt;0,0,MAX(BZ149-BZ150-BZ151,0)*Premissas!$B$7)</f>
        <v>0</v>
      </c>
      <c r="CA158" s="164">
        <f>IF(CA153&gt;0,0,MAX(CA149-CA150-CA151,0)*Premissas!$B$7)</f>
        <v>0</v>
      </c>
      <c r="CB158" s="164">
        <f>IF(CB153&gt;0,0,MAX(CB149-CB150-CB151,0)*Premissas!$B$7)</f>
        <v>0</v>
      </c>
      <c r="CC158" s="164">
        <f>IF(CC153&gt;0,0,MAX(CC149-CC150-CC151,0)*Premissas!$B$7)</f>
        <v>0</v>
      </c>
      <c r="CD158" s="164">
        <f>IF(CD153&gt;0,0,MAX(CD149-CD150-CD151,0)*Premissas!$B$7)</f>
        <v>0</v>
      </c>
      <c r="CE158" s="164">
        <f>IF(CE153&gt;0,0,MAX(CE149-CE150-CE151,0)*Premissas!$B$7)</f>
        <v>0</v>
      </c>
      <c r="CF158" s="164">
        <f>IF(CF153&gt;0,0,MAX(CF149-CF150-CF151,0)*Premissas!$B$7)</f>
        <v>0</v>
      </c>
      <c r="CG158" s="164">
        <f>IF(CG153&gt;0,0,MAX(CG149-CG150-CG151,0)*Premissas!$B$7)</f>
        <v>0</v>
      </c>
      <c r="CH158" s="164">
        <f>IF(CH153&gt;0,0,MAX(CH149-CH150-CH151,0)*Premissas!$B$7)</f>
        <v>0</v>
      </c>
      <c r="CI158" s="164">
        <f>IF(CI153&gt;0,0,MAX(CI149-CI150-CI151,0)*Premissas!$B$7)</f>
        <v>0</v>
      </c>
      <c r="CJ158" s="164">
        <f>IF(CJ153&gt;0,0,MAX(CJ149-CJ150-CJ151,0)*Premissas!$B$7)</f>
        <v>0</v>
      </c>
      <c r="CK158" s="164">
        <f>IF(CK153&gt;0,0,MAX(CK149-CK150-CK151,0)*Premissas!$B$7)</f>
        <v>0</v>
      </c>
      <c r="CL158" s="164">
        <f>IF(CL153&gt;0,0,MAX(CL149-CL150-CL151,0)*Premissas!$B$7)</f>
        <v>0</v>
      </c>
      <c r="CM158" s="164">
        <f>IF(CM153&gt;0,0,MAX(CM149-CM150-CM151,0)*Premissas!$B$7)</f>
        <v>0</v>
      </c>
      <c r="CN158" s="164">
        <f>IF(CN153&gt;0,0,MAX(CN149-CN150-CN151,0)*Premissas!$B$7)</f>
        <v>0</v>
      </c>
      <c r="CO158" s="164">
        <f>IF(CO153&gt;0,0,MAX(CO149-CO150-CO151,0)*Premissas!$B$7)</f>
        <v>0</v>
      </c>
      <c r="CP158" s="164">
        <f>IF(CP153&gt;0,0,MAX(CP149-CP150-CP151,0)*Premissas!$B$7)</f>
        <v>0</v>
      </c>
      <c r="CQ158" s="164">
        <f>IF(CQ153&gt;0,0,MAX(CQ149-CQ150-CQ151,0)*Premissas!$B$7)</f>
        <v>0</v>
      </c>
      <c r="CR158" s="164">
        <f>IF(CR153&gt;0,0,MAX(CR149-CR150-CR151,0)*Premissas!$B$7)</f>
        <v>0</v>
      </c>
      <c r="CS158" s="164">
        <f>IF(CS153&gt;0,0,MAX(CS149-CS150-CS151,0)*Premissas!$B$7)</f>
        <v>0</v>
      </c>
      <c r="CT158" s="164">
        <f>IF(CT153&gt;0,0,MAX(CT149-CT150-CT151,0)*Premissas!$B$7)</f>
        <v>0</v>
      </c>
      <c r="CU158" s="164">
        <f>IF(CU153&gt;0,0,MAX(CU149-CU150-CU151,0)*Premissas!$B$7)</f>
        <v>0</v>
      </c>
      <c r="CV158" s="164">
        <f>IF(CV153&gt;0,0,MAX(CV149-CV150-CV151,0)*Premissas!$B$7)</f>
        <v>0</v>
      </c>
      <c r="CW158" s="164">
        <f>IF(CW153&gt;0,0,MAX(CW149-CW150-CW151,0)*Premissas!$B$7)</f>
        <v>0</v>
      </c>
      <c r="CX158" s="164">
        <f>IF(CX153&gt;0,0,MAX(CX149-CX150-CX151,0)*Premissas!$B$7)</f>
        <v>0</v>
      </c>
      <c r="CY158" s="164">
        <f>IF(CY153&gt;0,0,MAX(CY149-CY150-CY151,0)*Premissas!$B$7)</f>
        <v>0</v>
      </c>
      <c r="CZ158" s="164">
        <f>IF(CZ153&gt;0,0,MAX(CZ149-CZ150-CZ151,0)*Premissas!$B$7)</f>
        <v>0</v>
      </c>
      <c r="DA158" s="164">
        <f>IF(DA153&gt;0,0,MAX(DA149-DA150-DA151,0)*Premissas!$B$7)</f>
        <v>0</v>
      </c>
      <c r="DB158" s="164">
        <f>IF(DB153&gt;0,0,MAX(DB149-DB150-DB151,0)*Premissas!$B$7)</f>
        <v>0</v>
      </c>
      <c r="DC158" s="164">
        <f>IF(DC153&gt;0,0,MAX(DC149-DC150-DC151,0)*Premissas!$B$7)</f>
        <v>0</v>
      </c>
      <c r="DD158" s="164">
        <f>IF(DD153&gt;0,0,MAX(DD149-DD150-DD151,0)*Premissas!$B$7)</f>
        <v>0</v>
      </c>
      <c r="DE158" s="164">
        <f>IF(DE153&gt;0,0,MAX(DE149-DE150-DE151,0)*Premissas!$B$7)</f>
        <v>0</v>
      </c>
      <c r="DF158" s="164">
        <f>IF(DF153&gt;0,0,MAX(DF149-DF150-DF151,0)*Premissas!$B$7)</f>
        <v>0</v>
      </c>
      <c r="DG158" s="164">
        <f>IF(DG153&gt;0,0,MAX(DG149-DG150-DG151,0)*Premissas!$B$7)</f>
        <v>0</v>
      </c>
      <c r="DH158" s="164">
        <f>IF(DH153&gt;0,0,MAX(DH149-DH150-DH151,0)*Premissas!$B$7)</f>
        <v>0</v>
      </c>
      <c r="DI158" s="164">
        <f>IF(DI153&gt;0,0,MAX(DI149-DI150-DI151,0)*Premissas!$B$7)</f>
        <v>0</v>
      </c>
      <c r="DJ158" s="164">
        <f>IF(DJ153&gt;0,0,MAX(DJ149-DJ150-DJ151,0)*Premissas!$B$7)</f>
        <v>0</v>
      </c>
      <c r="DK158" s="164">
        <f>IF(DK153&gt;0,0,MAX(DK149-DK150-DK151,0)*Premissas!$B$7)</f>
        <v>0</v>
      </c>
      <c r="DL158" s="164">
        <f>IF(DL153&gt;0,0,MAX(DL149-DL150-DL151,0)*Premissas!$B$7)</f>
        <v>0</v>
      </c>
      <c r="DM158" s="164">
        <f>IF(DM153&gt;0,0,MAX(DM149-DM150-DM151,0)*Premissas!$B$7)</f>
        <v>0</v>
      </c>
      <c r="DN158" s="164">
        <f>IF(DN153&gt;0,0,MAX(DN149-DN150-DN151,0)*Premissas!$B$7)</f>
        <v>0</v>
      </c>
      <c r="DO158" s="164">
        <f>IF(DO153&gt;0,0,MAX(DO149-DO150-DO151,0)*Premissas!$B$7)</f>
        <v>0</v>
      </c>
      <c r="DP158" s="164">
        <f>IF(DP153&gt;0,0,MAX(DP149-DP150-DP151,0)*Premissas!$B$7)</f>
        <v>0</v>
      </c>
      <c r="DQ158" s="164">
        <f>IF(DQ153&gt;0,0,MAX(DQ149-DQ150-DQ151,0)*Premissas!$B$7)</f>
        <v>0</v>
      </c>
      <c r="DR158" s="164">
        <f>IF(DR153&gt;0,0,MAX(DR149-DR150-DR151,0)*Premissas!$B$7)</f>
        <v>0</v>
      </c>
      <c r="DS158" s="164">
        <f>IF(DS153&gt;0,0,MAX(DS149-DS150-DS151,0)*Premissas!$B$7)</f>
        <v>0</v>
      </c>
    </row>
    <row r="159" spans="1:123" ht="13.5" customHeight="1" x14ac:dyDescent="0.35">
      <c r="A159" s="39" t="s">
        <v>499</v>
      </c>
      <c r="B159" s="42">
        <f>SUM(D159:BQ159)</f>
        <v>52971.055512101513</v>
      </c>
      <c r="C159" s="144">
        <f>B159/60</f>
        <v>882.85092520169189</v>
      </c>
      <c r="D159" s="165">
        <f t="shared" ref="D159:AI159" si="294">MAX(D157-D158,0)</f>
        <v>462.74545969553606</v>
      </c>
      <c r="E159" s="165">
        <f t="shared" si="294"/>
        <v>362.79244040130027</v>
      </c>
      <c r="F159" s="165">
        <f t="shared" si="294"/>
        <v>562.69847898977184</v>
      </c>
      <c r="G159" s="165">
        <f t="shared" si="294"/>
        <v>915.31051927777025</v>
      </c>
      <c r="H159" s="165">
        <f t="shared" si="294"/>
        <v>864.40851871126131</v>
      </c>
      <c r="I159" s="165">
        <f t="shared" si="294"/>
        <v>1197.5852496920472</v>
      </c>
      <c r="J159" s="165">
        <f t="shared" si="294"/>
        <v>1161.4911038357955</v>
      </c>
      <c r="K159" s="165">
        <f t="shared" si="294"/>
        <v>1833.3975113137137</v>
      </c>
      <c r="L159" s="165">
        <f t="shared" si="294"/>
        <v>1589.9933995138617</v>
      </c>
      <c r="M159" s="165">
        <f t="shared" si="294"/>
        <v>1433.5854341367706</v>
      </c>
      <c r="N159" s="165">
        <f t="shared" si="294"/>
        <v>976.39291995758106</v>
      </c>
      <c r="O159" s="165">
        <f t="shared" si="294"/>
        <v>729.28684448016486</v>
      </c>
      <c r="P159" s="165">
        <f t="shared" si="294"/>
        <v>474.77684164761996</v>
      </c>
      <c r="Q159" s="165">
        <f t="shared" si="294"/>
        <v>372.04734959521096</v>
      </c>
      <c r="R159" s="165">
        <f t="shared" si="294"/>
        <v>576.58084278063791</v>
      </c>
      <c r="S159" s="165">
        <f t="shared" si="294"/>
        <v>938.44779226254707</v>
      </c>
      <c r="T159" s="165">
        <f t="shared" si="294"/>
        <v>885.69480985725602</v>
      </c>
      <c r="U159" s="165">
        <f t="shared" si="294"/>
        <v>1227.2009591125616</v>
      </c>
      <c r="V159" s="165">
        <f t="shared" si="294"/>
        <v>1190.1813223369188</v>
      </c>
      <c r="W159" s="165">
        <f t="shared" si="294"/>
        <v>1833.3975113137137</v>
      </c>
      <c r="X159" s="165">
        <f t="shared" si="294"/>
        <v>1589.9933995138617</v>
      </c>
      <c r="Y159" s="165">
        <f t="shared" si="294"/>
        <v>1433.5854341367706</v>
      </c>
      <c r="Z159" s="165">
        <f t="shared" si="294"/>
        <v>976.39291995758106</v>
      </c>
      <c r="AA159" s="165">
        <f t="shared" si="294"/>
        <v>729.28684448016486</v>
      </c>
      <c r="AB159" s="165">
        <f t="shared" si="294"/>
        <v>485.88273268031287</v>
      </c>
      <c r="AC159" s="165">
        <f t="shared" si="294"/>
        <v>381.30225878912171</v>
      </c>
      <c r="AD159" s="165">
        <f t="shared" si="294"/>
        <v>591.38869749089508</v>
      </c>
      <c r="AE159" s="165">
        <f t="shared" si="294"/>
        <v>961.58506524732388</v>
      </c>
      <c r="AF159" s="165">
        <f t="shared" si="294"/>
        <v>907.90659192264172</v>
      </c>
      <c r="AG159" s="165">
        <f t="shared" si="294"/>
        <v>1258.6676503718581</v>
      </c>
      <c r="AH159" s="165">
        <f t="shared" si="294"/>
        <v>1220.7225226768242</v>
      </c>
      <c r="AI159" s="165">
        <f t="shared" si="294"/>
        <v>1925.946603252821</v>
      </c>
      <c r="AJ159" s="165">
        <f t="shared" ref="AJ159:BO159" si="295">MAX(AJ157-AJ158,0)</f>
        <v>1670.5111095008851</v>
      </c>
      <c r="AK159" s="165">
        <f t="shared" si="295"/>
        <v>1505.7737258492743</v>
      </c>
      <c r="AL159" s="165">
        <f t="shared" si="295"/>
        <v>1025.4439386853078</v>
      </c>
      <c r="AM159" s="165">
        <f t="shared" si="295"/>
        <v>766.30648125580774</v>
      </c>
      <c r="AN159" s="165">
        <f t="shared" si="295"/>
        <v>497.91411463239677</v>
      </c>
      <c r="AO159" s="165">
        <f t="shared" si="295"/>
        <v>390.5571679830324</v>
      </c>
      <c r="AP159" s="165">
        <f t="shared" si="295"/>
        <v>606.19655220115226</v>
      </c>
      <c r="AQ159" s="165">
        <f t="shared" si="295"/>
        <v>985.64782915149181</v>
      </c>
      <c r="AR159" s="165">
        <f t="shared" si="295"/>
        <v>931.04386490741854</v>
      </c>
      <c r="AS159" s="165">
        <f t="shared" si="295"/>
        <v>1289.2088507117635</v>
      </c>
      <c r="AT159" s="165">
        <f t="shared" si="295"/>
        <v>729.57483089268112</v>
      </c>
      <c r="AU159" s="165">
        <f t="shared" si="295"/>
        <v>44.784433984969382</v>
      </c>
      <c r="AV159" s="165">
        <f t="shared" si="295"/>
        <v>51.634053484266133</v>
      </c>
      <c r="AW159" s="165">
        <f t="shared" si="295"/>
        <v>164.25647416151878</v>
      </c>
      <c r="AX159" s="165">
        <f t="shared" si="295"/>
        <v>286.1433516762437</v>
      </c>
      <c r="AY159" s="165">
        <f t="shared" si="295"/>
        <v>317.34744328714987</v>
      </c>
      <c r="AZ159" s="165">
        <f t="shared" si="295"/>
        <v>378.41409280878605</v>
      </c>
      <c r="BA159" s="165">
        <f t="shared" si="295"/>
        <v>400.7375680963342</v>
      </c>
      <c r="BB159" s="165">
        <f t="shared" si="295"/>
        <v>516.1064907016746</v>
      </c>
      <c r="BC159" s="165">
        <f t="shared" si="295"/>
        <v>347.44132380868678</v>
      </c>
      <c r="BD159" s="165">
        <f t="shared" si="295"/>
        <v>378.1689532846143</v>
      </c>
      <c r="BE159" s="165">
        <f t="shared" si="295"/>
        <v>265.90379162938257</v>
      </c>
      <c r="BF159" s="165">
        <f t="shared" si="295"/>
        <v>434.50801299956197</v>
      </c>
      <c r="BG159" s="165">
        <f t="shared" si="295"/>
        <v>273.05831897421422</v>
      </c>
      <c r="BH159" s="165">
        <f t="shared" si="295"/>
        <v>255.53582884008483</v>
      </c>
      <c r="BI159" s="165">
        <f t="shared" si="295"/>
        <v>400.62209612010929</v>
      </c>
      <c r="BJ159" s="165">
        <f t="shared" si="295"/>
        <v>524.97856451919256</v>
      </c>
      <c r="BK159" s="165">
        <f t="shared" si="295"/>
        <v>542.28969081173693</v>
      </c>
      <c r="BL159" s="165">
        <f t="shared" si="295"/>
        <v>523.82786037534675</v>
      </c>
      <c r="BM159" s="165">
        <f t="shared" si="295"/>
        <v>410.917968209636</v>
      </c>
      <c r="BN159" s="165">
        <f t="shared" si="295"/>
        <v>636.7377525410576</v>
      </c>
      <c r="BO159" s="165">
        <f t="shared" si="295"/>
        <v>1035.6243387986096</v>
      </c>
      <c r="BP159" s="165">
        <f t="shared" ref="BP159:CU159" si="296">MAX(BP157-BP158,0)</f>
        <v>978.24390179636316</v>
      </c>
      <c r="BQ159" s="165">
        <f t="shared" si="296"/>
        <v>1354.9187059885296</v>
      </c>
      <c r="BR159" s="165">
        <f t="shared" si="296"/>
        <v>1314.1971055353224</v>
      </c>
      <c r="BS159" s="165">
        <f t="shared" si="296"/>
        <v>2074.0251503553927</v>
      </c>
      <c r="BT159" s="165">
        <f t="shared" si="296"/>
        <v>1799.1543472962442</v>
      </c>
      <c r="BU159" s="165">
        <f t="shared" si="296"/>
        <v>1622.3855816925493</v>
      </c>
      <c r="BV159" s="165">
        <f t="shared" si="296"/>
        <v>1105.03615775294</v>
      </c>
      <c r="BW159" s="165">
        <f t="shared" si="296"/>
        <v>825.53790009683632</v>
      </c>
      <c r="BX159" s="165">
        <f t="shared" si="296"/>
        <v>536.78473324682182</v>
      </c>
      <c r="BY159" s="165">
        <f t="shared" si="296"/>
        <v>421.0983683229378</v>
      </c>
      <c r="BZ159" s="165">
        <f t="shared" si="296"/>
        <v>652.47109817070577</v>
      </c>
      <c r="CA159" s="165">
        <f t="shared" si="296"/>
        <v>1061.5380845415598</v>
      </c>
      <c r="CB159" s="165">
        <f t="shared" si="296"/>
        <v>1002.3066657005311</v>
      </c>
      <c r="CC159" s="165">
        <f t="shared" si="296"/>
        <v>1389.1618700059992</v>
      </c>
      <c r="CD159" s="165">
        <f t="shared" si="296"/>
        <v>1346.58928771401</v>
      </c>
      <c r="CE159" s="165">
        <f t="shared" si="296"/>
        <v>2125.8526418412926</v>
      </c>
      <c r="CF159" s="165">
        <f t="shared" si="296"/>
        <v>1843.5779114270156</v>
      </c>
      <c r="CG159" s="165">
        <f t="shared" si="296"/>
        <v>1662.1816912263655</v>
      </c>
      <c r="CH159" s="165">
        <f t="shared" si="296"/>
        <v>1131.8753944152811</v>
      </c>
      <c r="CI159" s="165">
        <f t="shared" si="296"/>
        <v>845.89870032343993</v>
      </c>
      <c r="CJ159" s="165">
        <f t="shared" si="296"/>
        <v>549.74160611829677</v>
      </c>
      <c r="CK159" s="165">
        <f t="shared" si="296"/>
        <v>431.2787684362396</v>
      </c>
      <c r="CL159" s="165">
        <f t="shared" si="296"/>
        <v>669.12993471974517</v>
      </c>
      <c r="CM159" s="165">
        <f t="shared" si="296"/>
        <v>1088.3773212039007</v>
      </c>
      <c r="CN159" s="165">
        <f t="shared" si="296"/>
        <v>1027.29492052409</v>
      </c>
      <c r="CO159" s="165">
        <f t="shared" si="296"/>
        <v>1423.4050340234689</v>
      </c>
      <c r="CP159" s="165">
        <f t="shared" si="296"/>
        <v>1380.8324517314795</v>
      </c>
      <c r="CQ159" s="165">
        <f t="shared" si="296"/>
        <v>2179.5311151659748</v>
      </c>
      <c r="CR159" s="165">
        <f t="shared" si="296"/>
        <v>1889.8524573965692</v>
      </c>
      <c r="CS159" s="165">
        <f t="shared" si="296"/>
        <v>1703.8287825989637</v>
      </c>
      <c r="CT159" s="165">
        <f t="shared" si="296"/>
        <v>1160.5656129164045</v>
      </c>
      <c r="CU159" s="165">
        <f t="shared" si="296"/>
        <v>867.18499146943452</v>
      </c>
      <c r="CV159" s="165">
        <f t="shared" ref="CV159:DS159" si="297">MAX(CV157-CV158,0)</f>
        <v>563.62396990916295</v>
      </c>
      <c r="CW159" s="165">
        <f t="shared" si="297"/>
        <v>442.38465946893245</v>
      </c>
      <c r="CX159" s="165">
        <f t="shared" si="297"/>
        <v>685.78877126878444</v>
      </c>
      <c r="CY159" s="165">
        <f t="shared" si="297"/>
        <v>1115.2165578662418</v>
      </c>
      <c r="CZ159" s="165">
        <f t="shared" si="297"/>
        <v>1053.2086662670401</v>
      </c>
      <c r="DA159" s="165">
        <f t="shared" si="297"/>
        <v>1459.4991798797207</v>
      </c>
      <c r="DB159" s="165">
        <f t="shared" si="297"/>
        <v>1415.0756157489493</v>
      </c>
      <c r="DC159" s="165">
        <f t="shared" si="297"/>
        <v>2234.1350794100481</v>
      </c>
      <c r="DD159" s="165">
        <f t="shared" si="297"/>
        <v>1937.0524942855138</v>
      </c>
      <c r="DE159" s="165">
        <f t="shared" si="297"/>
        <v>1746.4013648909531</v>
      </c>
      <c r="DF159" s="165">
        <f t="shared" si="297"/>
        <v>1189.2558314175276</v>
      </c>
      <c r="DG159" s="165">
        <f t="shared" si="297"/>
        <v>888.47128261542923</v>
      </c>
      <c r="DH159" s="165">
        <f t="shared" si="297"/>
        <v>577.50633370002902</v>
      </c>
      <c r="DI159" s="165">
        <f t="shared" si="297"/>
        <v>453.49055050162531</v>
      </c>
      <c r="DJ159" s="165">
        <f t="shared" si="297"/>
        <v>702.44760781782372</v>
      </c>
      <c r="DK159" s="165">
        <f t="shared" si="297"/>
        <v>1142.981285447974</v>
      </c>
      <c r="DL159" s="165">
        <f t="shared" si="297"/>
        <v>1079.1224120099901</v>
      </c>
      <c r="DM159" s="165">
        <f t="shared" si="297"/>
        <v>1495.5933257359725</v>
      </c>
      <c r="DN159" s="165">
        <f t="shared" si="297"/>
        <v>1450.2442706858099</v>
      </c>
      <c r="DO159" s="165">
        <f t="shared" si="297"/>
        <v>2289.6645345735124</v>
      </c>
      <c r="DP159" s="165">
        <f t="shared" si="297"/>
        <v>1986.1035130132407</v>
      </c>
      <c r="DQ159" s="165">
        <f t="shared" si="297"/>
        <v>1789.8994381023333</v>
      </c>
      <c r="DR159" s="165">
        <f t="shared" si="297"/>
        <v>1219.7970317574329</v>
      </c>
      <c r="DS159" s="165">
        <f t="shared" si="297"/>
        <v>910.68306468081494</v>
      </c>
    </row>
    <row r="161" spans="1:123" ht="15" customHeight="1" x14ac:dyDescent="0.35">
      <c r="A161" s="289" t="s">
        <v>512</v>
      </c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89"/>
    </row>
    <row r="162" spans="1:123" ht="12.75" customHeight="1" x14ac:dyDescent="0.35">
      <c r="A162" s="166" t="s">
        <v>486</v>
      </c>
      <c r="B162" s="167">
        <f>SUM(D162:BQ162)</f>
        <v>37144</v>
      </c>
      <c r="C162" s="139">
        <f>B162/60</f>
        <v>619.06666666666672</v>
      </c>
      <c r="D162" s="167">
        <v>275</v>
      </c>
      <c r="E162" s="167">
        <v>1194</v>
      </c>
      <c r="F162" s="167">
        <v>1194</v>
      </c>
      <c r="G162" s="167">
        <v>523</v>
      </c>
      <c r="H162" s="167">
        <v>596</v>
      </c>
      <c r="I162" s="167">
        <v>467</v>
      </c>
      <c r="J162" s="167">
        <v>518</v>
      </c>
      <c r="K162" s="167">
        <v>271</v>
      </c>
      <c r="L162" s="167">
        <v>313</v>
      </c>
      <c r="M162" s="167">
        <v>264</v>
      </c>
      <c r="N162" s="167">
        <v>265</v>
      </c>
      <c r="O162" s="167">
        <v>279</v>
      </c>
      <c r="P162" s="167">
        <v>282</v>
      </c>
      <c r="Q162" s="167">
        <v>1224</v>
      </c>
      <c r="R162" s="167">
        <v>1224</v>
      </c>
      <c r="S162" s="167">
        <v>536</v>
      </c>
      <c r="T162" s="167">
        <v>611</v>
      </c>
      <c r="U162" s="167">
        <v>479</v>
      </c>
      <c r="V162" s="167">
        <v>531</v>
      </c>
      <c r="W162" s="167">
        <v>271</v>
      </c>
      <c r="X162" s="167">
        <v>313</v>
      </c>
      <c r="Y162" s="167">
        <v>264</v>
      </c>
      <c r="Z162" s="167">
        <v>265</v>
      </c>
      <c r="AA162" s="167">
        <v>279</v>
      </c>
      <c r="AB162" s="167">
        <v>289</v>
      </c>
      <c r="AC162" s="167">
        <v>1254</v>
      </c>
      <c r="AD162" s="167">
        <v>1254</v>
      </c>
      <c r="AE162" s="167">
        <v>549</v>
      </c>
      <c r="AF162" s="167">
        <v>626</v>
      </c>
      <c r="AG162" s="167">
        <v>491</v>
      </c>
      <c r="AH162" s="167">
        <v>544</v>
      </c>
      <c r="AI162" s="167">
        <v>285</v>
      </c>
      <c r="AJ162" s="167">
        <v>329</v>
      </c>
      <c r="AK162" s="167">
        <v>277</v>
      </c>
      <c r="AL162" s="167">
        <v>278</v>
      </c>
      <c r="AM162" s="167">
        <v>293</v>
      </c>
      <c r="AN162" s="167">
        <v>296</v>
      </c>
      <c r="AO162" s="167">
        <v>1286</v>
      </c>
      <c r="AP162" s="167">
        <v>1286</v>
      </c>
      <c r="AQ162" s="167">
        <v>563</v>
      </c>
      <c r="AR162" s="167">
        <v>642</v>
      </c>
      <c r="AS162" s="167">
        <v>503</v>
      </c>
      <c r="AT162" s="167">
        <v>558</v>
      </c>
      <c r="AU162" s="167">
        <v>292</v>
      </c>
      <c r="AV162" s="167">
        <v>337</v>
      </c>
      <c r="AW162" s="167">
        <v>284</v>
      </c>
      <c r="AX162" s="167">
        <v>285</v>
      </c>
      <c r="AY162" s="167">
        <v>300</v>
      </c>
      <c r="AZ162" s="167">
        <v>304</v>
      </c>
      <c r="BA162" s="167">
        <v>1318</v>
      </c>
      <c r="BB162" s="167">
        <v>1318</v>
      </c>
      <c r="BC162" s="167">
        <v>577</v>
      </c>
      <c r="BD162" s="167">
        <v>658</v>
      </c>
      <c r="BE162" s="167">
        <v>515</v>
      </c>
      <c r="BF162" s="167">
        <v>572</v>
      </c>
      <c r="BG162" s="167">
        <v>299</v>
      </c>
      <c r="BH162" s="167">
        <v>345</v>
      </c>
      <c r="BI162" s="167">
        <v>291</v>
      </c>
      <c r="BJ162" s="167">
        <v>293</v>
      </c>
      <c r="BK162" s="167">
        <v>308</v>
      </c>
      <c r="BL162" s="167">
        <v>311</v>
      </c>
      <c r="BM162" s="167">
        <v>1351</v>
      </c>
      <c r="BN162" s="167">
        <v>1351</v>
      </c>
      <c r="BO162" s="167">
        <v>592</v>
      </c>
      <c r="BP162" s="167">
        <v>674</v>
      </c>
      <c r="BQ162" s="167">
        <v>528</v>
      </c>
      <c r="BR162" s="167">
        <v>586</v>
      </c>
      <c r="BS162" s="167">
        <v>307</v>
      </c>
      <c r="BT162" s="167">
        <v>354</v>
      </c>
      <c r="BU162" s="167">
        <v>299</v>
      </c>
      <c r="BV162" s="167">
        <v>300</v>
      </c>
      <c r="BW162" s="167">
        <v>316</v>
      </c>
      <c r="BX162" s="167">
        <v>319</v>
      </c>
      <c r="BY162" s="167">
        <v>1385</v>
      </c>
      <c r="BZ162" s="167">
        <v>1385</v>
      </c>
      <c r="CA162" s="167">
        <v>607</v>
      </c>
      <c r="CB162" s="167">
        <v>691</v>
      </c>
      <c r="CC162" s="167">
        <v>542</v>
      </c>
      <c r="CD162" s="167">
        <v>601</v>
      </c>
      <c r="CE162" s="167">
        <v>314</v>
      </c>
      <c r="CF162" s="167">
        <v>363</v>
      </c>
      <c r="CG162" s="167">
        <v>306</v>
      </c>
      <c r="CH162" s="167">
        <v>307</v>
      </c>
      <c r="CI162" s="167">
        <v>324</v>
      </c>
      <c r="CJ162" s="167">
        <v>327</v>
      </c>
      <c r="CK162" s="167">
        <v>1419</v>
      </c>
      <c r="CL162" s="167">
        <v>1419</v>
      </c>
      <c r="CM162" s="167">
        <v>622</v>
      </c>
      <c r="CN162" s="167">
        <v>708</v>
      </c>
      <c r="CO162" s="167">
        <v>555</v>
      </c>
      <c r="CP162" s="167">
        <v>616</v>
      </c>
      <c r="CQ162" s="167">
        <v>322</v>
      </c>
      <c r="CR162" s="167">
        <v>372</v>
      </c>
      <c r="CS162" s="167">
        <v>314</v>
      </c>
      <c r="CT162" s="167">
        <v>315</v>
      </c>
      <c r="CU162" s="167">
        <v>332</v>
      </c>
      <c r="CV162" s="167">
        <v>335</v>
      </c>
      <c r="CW162" s="167">
        <v>1455</v>
      </c>
      <c r="CX162" s="167">
        <v>1455</v>
      </c>
      <c r="CY162" s="167">
        <v>637</v>
      </c>
      <c r="CZ162" s="167">
        <v>726</v>
      </c>
      <c r="DA162" s="167">
        <v>569</v>
      </c>
      <c r="DB162" s="167">
        <v>631</v>
      </c>
      <c r="DC162" s="167">
        <v>330</v>
      </c>
      <c r="DD162" s="167">
        <v>381</v>
      </c>
      <c r="DE162" s="167">
        <v>322</v>
      </c>
      <c r="DF162" s="167">
        <v>323</v>
      </c>
      <c r="DG162" s="167">
        <v>340</v>
      </c>
      <c r="DH162" s="167">
        <v>343</v>
      </c>
      <c r="DI162" s="167">
        <v>1491</v>
      </c>
      <c r="DJ162" s="167">
        <v>1491</v>
      </c>
      <c r="DK162" s="167">
        <v>653</v>
      </c>
      <c r="DL162" s="167">
        <v>744</v>
      </c>
      <c r="DM162" s="167">
        <v>583</v>
      </c>
      <c r="DN162" s="167">
        <v>647</v>
      </c>
      <c r="DO162" s="167">
        <v>338</v>
      </c>
      <c r="DP162" s="167">
        <v>391</v>
      </c>
      <c r="DQ162" s="167">
        <v>330</v>
      </c>
      <c r="DR162" s="167">
        <v>331</v>
      </c>
      <c r="DS162" s="167">
        <v>348</v>
      </c>
    </row>
    <row r="163" spans="1:123" ht="12.75" customHeight="1" x14ac:dyDescent="0.35">
      <c r="A163" s="142" t="str">
        <f>"  "&amp;INDEX(PVSYST_Helexia!$A$5:$A$7,MATCH(Premissas!$B$13,PVSYST_Helexia!$B$5:$B$7,0))&amp;" créditos recebidos (kWh)"</f>
        <v xml:space="preserve">  HCS03 créditos recebidos (kWh)</v>
      </c>
      <c r="B163" s="155">
        <f>SUM(D163:BQ163)</f>
        <v>53443.759743696668</v>
      </c>
      <c r="C163" s="139">
        <f>B163/60</f>
        <v>890.72932906161111</v>
      </c>
      <c r="D163" s="156">
        <f>D6*Premissas!$B$44</f>
        <v>731.54099999999994</v>
      </c>
      <c r="E163" s="156">
        <f>E6*Premissas!$B$44</f>
        <v>770.0089999999999</v>
      </c>
      <c r="F163" s="156">
        <f>F6*Premissas!$B$44</f>
        <v>924.35299999999995</v>
      </c>
      <c r="G163" s="156">
        <f>G6*Premissas!$B$44</f>
        <v>867.35899999999992</v>
      </c>
      <c r="H163" s="156">
        <f>H6*Premissas!$C$44</f>
        <v>649.64400000000001</v>
      </c>
      <c r="I163" s="156">
        <f>I6*Premissas!$C$44</f>
        <v>628.14400000000001</v>
      </c>
      <c r="J163" s="156">
        <f>J6*Premissas!$C$44</f>
        <v>596.45299999999997</v>
      </c>
      <c r="K163" s="156">
        <f>K6*Premissas!$C$44</f>
        <v>612.42448999999999</v>
      </c>
      <c r="L163" s="156">
        <f>L6*Premissas!$C$44</f>
        <v>545.72267499999998</v>
      </c>
      <c r="M163" s="156">
        <f>M6*Premissas!$C$44</f>
        <v>625.94455000000005</v>
      </c>
      <c r="N163" s="156">
        <f>N6*Premissas!$D$44</f>
        <v>856.97559000000001</v>
      </c>
      <c r="O163" s="156">
        <f>O6*Premissas!$D$44</f>
        <v>802.02770999999996</v>
      </c>
      <c r="P163" s="156">
        <f>P6*Premissas!$D$44</f>
        <v>727.88329499999998</v>
      </c>
      <c r="Q163" s="156">
        <f>Q6*Premissas!$D$44</f>
        <v>766.15895499999988</v>
      </c>
      <c r="R163" s="156">
        <f>R6*Premissas!$D$44</f>
        <v>919.73123499999997</v>
      </c>
      <c r="S163" s="156">
        <f>S6*Premissas!$D$44</f>
        <v>863.0222050000001</v>
      </c>
      <c r="T163" s="156">
        <f>T6*Premissas!$E$44</f>
        <v>646.39578000000006</v>
      </c>
      <c r="U163" s="156">
        <f>U6*Premissas!$E$44</f>
        <v>625.00328000000002</v>
      </c>
      <c r="V163" s="156">
        <f>V6*Premissas!$E$44</f>
        <v>593.4707350000001</v>
      </c>
      <c r="W163" s="156">
        <f>W6*Premissas!$E$44</f>
        <v>612.42448999999999</v>
      </c>
      <c r="X163" s="156">
        <f>X6*Premissas!$E$44</f>
        <v>545.72267499999998</v>
      </c>
      <c r="Y163" s="156">
        <f>Y6*Premissas!$E$44</f>
        <v>625.94455000000005</v>
      </c>
      <c r="Z163" s="156">
        <f>Z6*Premissas!$E$44</f>
        <v>624.57542999999998</v>
      </c>
      <c r="AA163" s="156">
        <f>AA6*Premissas!$E$44</f>
        <v>584.52866999999992</v>
      </c>
      <c r="AB163" s="156">
        <f>AB6*Premissas!$F$44</f>
        <v>306.882999375</v>
      </c>
      <c r="AC163" s="156">
        <f>AC6*Premissas!$F$44</f>
        <v>323.02040687499999</v>
      </c>
      <c r="AD163" s="156">
        <f>AD6*Premissas!$F$44</f>
        <v>387.76804187500005</v>
      </c>
      <c r="AE163" s="156">
        <f>AE6*Premissas!$F$44</f>
        <v>363.85893812500001</v>
      </c>
      <c r="AF163" s="156">
        <f>AF6*Premissas!$F$44</f>
        <v>373.93244250000004</v>
      </c>
      <c r="AG163" s="156">
        <f>AG6*Premissas!$F$44</f>
        <v>361.55713000000003</v>
      </c>
      <c r="AH163" s="156">
        <f>AH6*Premissas!$G$44</f>
        <v>357.04855615000002</v>
      </c>
      <c r="AI163" s="156">
        <f>AI6*Premissas!$G$44</f>
        <v>368.45166410000002</v>
      </c>
      <c r="AJ163" s="156">
        <f>AJ6*Premissas!$G$44</f>
        <v>328.32199075</v>
      </c>
      <c r="AK163" s="156">
        <f>AK6*Premissas!$G$44</f>
        <v>376.58570950000001</v>
      </c>
      <c r="AL163" s="156">
        <f>AL6*Premissas!$G$44</f>
        <v>375.76200870000002</v>
      </c>
      <c r="AM163" s="156">
        <f>AM6*Premissas!$G$44</f>
        <v>351.66876030000003</v>
      </c>
      <c r="AN163" s="156">
        <f>AN6*Premissas!$H$44</f>
        <v>305.348584378125</v>
      </c>
      <c r="AO163" s="156">
        <f>AO6*Premissas!$H$44</f>
        <v>321.40530484062498</v>
      </c>
      <c r="AP163" s="156">
        <f>AP6*Premissas!$H$44</f>
        <v>385.82920166562502</v>
      </c>
      <c r="AQ163" s="156">
        <f>AQ6*Premissas!$H$44</f>
        <v>362.03964343437502</v>
      </c>
      <c r="AR163" s="156">
        <f>AR6*Premissas!$H$44</f>
        <v>372.0627802875</v>
      </c>
      <c r="AS163" s="156">
        <f>AS6*Premissas!$H$44</f>
        <v>359.74934435000006</v>
      </c>
      <c r="AT163" s="156">
        <f>AT6*Premissas!$I$44</f>
        <v>368.927286960375</v>
      </c>
      <c r="AU163" s="156">
        <f>AU6*Premissas!$I$44</f>
        <v>380.70976754025003</v>
      </c>
      <c r="AV163" s="156">
        <f>AV6*Premissas!$I$44</f>
        <v>339.24501082687505</v>
      </c>
      <c r="AW163" s="156">
        <f>AW6*Premissas!$I$44</f>
        <v>389.11442637375006</v>
      </c>
      <c r="AX163" s="156">
        <f>AX6*Premissas!$I$44</f>
        <v>388.26332168175003</v>
      </c>
      <c r="AY163" s="156">
        <f>AY6*Premissas!$I$44</f>
        <v>363.36850944075002</v>
      </c>
      <c r="AZ163" s="156">
        <f>AZ6*Premissas!$J$44</f>
        <v>328.12758877273319</v>
      </c>
      <c r="BA163" s="156">
        <f>BA6*Premissas!$J$44</f>
        <v>345.3821405817356</v>
      </c>
      <c r="BB163" s="156">
        <f>BB6*Premissas!$J$44</f>
        <v>414.6120601098807</v>
      </c>
      <c r="BC163" s="156">
        <f>BC6*Premissas!$J$44</f>
        <v>389.04780083457945</v>
      </c>
      <c r="BD163" s="156">
        <f>BD6*Premissas!$J$44</f>
        <v>399.81866369694751</v>
      </c>
      <c r="BE163" s="156">
        <f>BE6*Premissas!$J$44</f>
        <v>386.58664543851006</v>
      </c>
      <c r="BF163" s="156">
        <f>BF6*Premissas!$K$44</f>
        <v>448.65657286458946</v>
      </c>
      <c r="BG163" s="156">
        <f>BG6*Premissas!$K$44</f>
        <v>462.98537841422626</v>
      </c>
      <c r="BH163" s="156">
        <f>BH6*Premissas!$K$44</f>
        <v>412.55962705557192</v>
      </c>
      <c r="BI163" s="156">
        <f>BI6*Premissas!$K$44</f>
        <v>473.2063774067438</v>
      </c>
      <c r="BJ163" s="156">
        <f>BJ6*Premissas!$K$44</f>
        <v>472.17133953408381</v>
      </c>
      <c r="BK163" s="156">
        <f>BK6*Premissas!$K$44</f>
        <v>441.8964817587788</v>
      </c>
      <c r="BL163" s="156">
        <f>BL6*Premissas!$L$44</f>
        <v>3350.3607209686984</v>
      </c>
      <c r="BM163" s="156">
        <f>BM6*Premissas!$L$44</f>
        <v>3526.5390571306139</v>
      </c>
      <c r="BN163" s="156">
        <f>BN6*Premissas!$L$44</f>
        <v>4233.4140991544964</v>
      </c>
      <c r="BO163" s="156">
        <f>BO6*Premissas!$L$44</f>
        <v>3972.3891409759531</v>
      </c>
      <c r="BP163" s="156">
        <f>BP6*Premissas!$L$44</f>
        <v>4082.3654949911361</v>
      </c>
      <c r="BQ163" s="156">
        <f>BQ6*Premissas!$L$44</f>
        <v>3947.2594089773975</v>
      </c>
      <c r="BR163" s="156">
        <f>BR6*Premissas!$M$44</f>
        <v>3780.0275301255288</v>
      </c>
      <c r="BS163" s="156">
        <f>BS6*Premissas!$M$44</f>
        <v>3900.7507797719577</v>
      </c>
      <c r="BT163" s="156">
        <f>BT6*Premissas!$M$44</f>
        <v>3475.9030456889282</v>
      </c>
      <c r="BU163" s="156">
        <f>BU6*Premissas!$M$44</f>
        <v>3986.8648810998839</v>
      </c>
      <c r="BV163" s="156">
        <f>BV6*Premissas!$M$44</f>
        <v>3978.1444657755374</v>
      </c>
      <c r="BW163" s="156">
        <f>BW6*Premissas!$M$44</f>
        <v>3723.0723175383878</v>
      </c>
      <c r="BX163" s="156">
        <f>BX6*Premissas!$N$44</f>
        <v>3340.7328565848866</v>
      </c>
      <c r="BY163" s="156">
        <f>BY6*Premissas!$N$44</f>
        <v>3516.4049125969309</v>
      </c>
      <c r="BZ163" s="156">
        <f>BZ6*Premissas!$N$44</f>
        <v>4221.2486219949524</v>
      </c>
      <c r="CA163" s="156">
        <f>CA6*Premissas!$N$44</f>
        <v>3960.9737660016463</v>
      </c>
      <c r="CB163" s="156">
        <f>CB6*Premissas!$N$44</f>
        <v>4070.6340831748103</v>
      </c>
      <c r="CC163" s="156">
        <f>CC6*Premissas!$N$44</f>
        <v>3935.9162488097445</v>
      </c>
      <c r="CD163" s="156">
        <f>CD6*Premissas!$O$44</f>
        <v>3768.9369059871397</v>
      </c>
      <c r="CE163" s="156">
        <f>CE6*Premissas!$O$44</f>
        <v>3889.3059528728941</v>
      </c>
      <c r="CF163" s="156">
        <f>CF6*Premissas!$O$44</f>
        <v>3465.7047246677212</v>
      </c>
      <c r="CG163" s="156">
        <f>CG6*Premissas!$O$44</f>
        <v>3975.1673948952384</v>
      </c>
      <c r="CH163" s="156">
        <f>CH6*Premissas!$O$44</f>
        <v>3966.4725653233554</v>
      </c>
      <c r="CI163" s="156">
        <f>CI6*Premissas!$O$44</f>
        <v>3712.1488003457794</v>
      </c>
      <c r="CJ163" s="156">
        <f>CJ6*Premissas!$P$44</f>
        <v>3331.0827945044389</v>
      </c>
      <c r="CK163" s="156">
        <f>CK6*Premissas!$P$44</f>
        <v>3506.2474031032684</v>
      </c>
      <c r="CL163" s="156">
        <f>CL6*Premissas!$P$44</f>
        <v>4209.0550964998019</v>
      </c>
      <c r="CM163" s="156">
        <f>CM6*Premissas!$P$44</f>
        <v>3949.5320721033754</v>
      </c>
      <c r="CN163" s="156">
        <f>CN6*Premissas!$P$44</f>
        <v>4058.8756237900693</v>
      </c>
      <c r="CO163" s="156">
        <f>CO6*Premissas!$P$44</f>
        <v>3924.5469362142785</v>
      </c>
      <c r="CP163" s="156">
        <f>CP6*Premissas!$Q$44</f>
        <v>3757.8265270122729</v>
      </c>
      <c r="CQ163" s="156">
        <f>CQ6*Premissas!$Q$44</f>
        <v>3877.8407402244738</v>
      </c>
      <c r="CR163" s="156">
        <f>CR6*Premissas!$Q$44</f>
        <v>3455.48823819779</v>
      </c>
      <c r="CS163" s="156">
        <f>CS6*Premissas!$Q$44</f>
        <v>3963.4490728995424</v>
      </c>
      <c r="CT163" s="156">
        <f>CT6*Premissas!$Q$44</f>
        <v>3954.7798746539661</v>
      </c>
      <c r="CU163" s="156">
        <f>CU6*Premissas!$Q$44</f>
        <v>3701.2058259708506</v>
      </c>
      <c r="CV163" s="156">
        <f>CV6*Premissas!$R$44</f>
        <v>3321.4099798242391</v>
      </c>
      <c r="CW163" s="156">
        <f>CW6*Premissas!$R$44</f>
        <v>3496.0659445669921</v>
      </c>
      <c r="CX163" s="156">
        <f>CX6*Premissas!$R$44</f>
        <v>4196.832821510312</v>
      </c>
      <c r="CY163" s="156">
        <f>CY6*Premissas!$R$44</f>
        <v>3938.0634013546369</v>
      </c>
      <c r="CZ163" s="156">
        <f>CZ6*Premissas!$R$44</f>
        <v>4047.0894406955886</v>
      </c>
      <c r="DA163" s="156">
        <f>DA6*Premissas!$R$44</f>
        <v>3913.150817426606</v>
      </c>
      <c r="DB163" s="156">
        <f>DB6*Premissas!$S$44</f>
        <v>0</v>
      </c>
      <c r="DC163" s="156">
        <f>DC6*Premissas!$S$44</f>
        <v>0</v>
      </c>
      <c r="DD163" s="156">
        <f>DD6*Premissas!$S$44</f>
        <v>0</v>
      </c>
      <c r="DE163" s="156">
        <f>DE6*Premissas!$S$44</f>
        <v>0</v>
      </c>
      <c r="DF163" s="156">
        <f>DF6*Premissas!$S$44</f>
        <v>0</v>
      </c>
      <c r="DG163" s="156">
        <f>DG6*Premissas!$S$44</f>
        <v>0</v>
      </c>
      <c r="DH163" s="156">
        <f>DH6*Premissas!$T$44</f>
        <v>0</v>
      </c>
      <c r="DI163" s="156">
        <f>DI6*Premissas!$T$44</f>
        <v>0</v>
      </c>
      <c r="DJ163" s="156">
        <f>DJ6*Premissas!$T$44</f>
        <v>0</v>
      </c>
      <c r="DK163" s="156">
        <f>DK6*Premissas!$T$44</f>
        <v>0</v>
      </c>
      <c r="DL163" s="156">
        <f>DL6*Premissas!$T$44</f>
        <v>0</v>
      </c>
      <c r="DM163" s="156">
        <f>DM6*Premissas!$T$44</f>
        <v>0</v>
      </c>
      <c r="DN163" s="156">
        <f>DN6*Premissas!$U$44</f>
        <v>0</v>
      </c>
      <c r="DO163" s="156">
        <f>DO6*Premissas!$U$44</f>
        <v>0</v>
      </c>
      <c r="DP163" s="156">
        <f>DP6*Premissas!$U$44</f>
        <v>0</v>
      </c>
      <c r="DQ163" s="156">
        <f>DQ6*Premissas!$U$44</f>
        <v>0</v>
      </c>
      <c r="DR163" s="156">
        <f>DR6*Premissas!$U$44</f>
        <v>0</v>
      </c>
      <c r="DS163" s="156">
        <f>DS6*Premissas!$U$44</f>
        <v>0</v>
      </c>
    </row>
    <row r="164" spans="1:123" ht="12.75" customHeight="1" x14ac:dyDescent="0.35">
      <c r="A164" s="146" t="s">
        <v>492</v>
      </c>
      <c r="B164" s="139">
        <f>AA164</f>
        <v>4239.0276450000001</v>
      </c>
      <c r="C164" s="139" t="s">
        <v>169</v>
      </c>
      <c r="D164" s="139">
        <f>0</f>
        <v>0</v>
      </c>
      <c r="E164" s="139">
        <f t="shared" ref="E164:AJ164" si="298">D166</f>
        <v>456.54099999999994</v>
      </c>
      <c r="F164" s="139">
        <f t="shared" si="298"/>
        <v>32.549999999999841</v>
      </c>
      <c r="G164" s="139">
        <f t="shared" si="298"/>
        <v>0</v>
      </c>
      <c r="H164" s="139">
        <f t="shared" si="298"/>
        <v>344.35899999999992</v>
      </c>
      <c r="I164" s="139">
        <f t="shared" si="298"/>
        <v>398.00299999999993</v>
      </c>
      <c r="J164" s="139">
        <f t="shared" si="298"/>
        <v>559.14699999999993</v>
      </c>
      <c r="K164" s="139">
        <f t="shared" si="298"/>
        <v>637.59999999999991</v>
      </c>
      <c r="L164" s="139">
        <f t="shared" si="298"/>
        <v>979.0244899999999</v>
      </c>
      <c r="M164" s="139">
        <f t="shared" si="298"/>
        <v>1211.7471649999998</v>
      </c>
      <c r="N164" s="139">
        <f t="shared" si="298"/>
        <v>1573.6917149999999</v>
      </c>
      <c r="O164" s="139">
        <f t="shared" si="298"/>
        <v>2165.6673049999999</v>
      </c>
      <c r="P164" s="139">
        <f t="shared" si="298"/>
        <v>2688.6950149999998</v>
      </c>
      <c r="Q164" s="139">
        <f t="shared" si="298"/>
        <v>3134.5783099999999</v>
      </c>
      <c r="R164" s="139">
        <f t="shared" si="298"/>
        <v>2676.7372649999998</v>
      </c>
      <c r="S164" s="139">
        <f t="shared" si="298"/>
        <v>2372.4684999999999</v>
      </c>
      <c r="T164" s="139">
        <f t="shared" si="298"/>
        <v>2699.4907050000002</v>
      </c>
      <c r="U164" s="139">
        <f t="shared" si="298"/>
        <v>2734.886485</v>
      </c>
      <c r="V164" s="139">
        <f t="shared" si="298"/>
        <v>2880.8897649999999</v>
      </c>
      <c r="W164" s="139">
        <f t="shared" si="298"/>
        <v>2943.3604999999998</v>
      </c>
      <c r="X164" s="139">
        <f t="shared" si="298"/>
        <v>3284.7849899999997</v>
      </c>
      <c r="Y164" s="139">
        <f t="shared" si="298"/>
        <v>3517.5076649999996</v>
      </c>
      <c r="Z164" s="139">
        <f t="shared" si="298"/>
        <v>3879.4522149999998</v>
      </c>
      <c r="AA164" s="139">
        <f t="shared" si="298"/>
        <v>4239.0276450000001</v>
      </c>
      <c r="AB164" s="139">
        <f t="shared" si="298"/>
        <v>4544.5563149999998</v>
      </c>
      <c r="AC164" s="139">
        <f t="shared" si="298"/>
        <v>4562.4393143749994</v>
      </c>
      <c r="AD164" s="139">
        <f t="shared" si="298"/>
        <v>3631.4597212499993</v>
      </c>
      <c r="AE164" s="139">
        <f t="shared" si="298"/>
        <v>2765.2277631249995</v>
      </c>
      <c r="AF164" s="139">
        <f t="shared" si="298"/>
        <v>2580.0867012499994</v>
      </c>
      <c r="AG164" s="139">
        <f t="shared" si="298"/>
        <v>2328.0191437499993</v>
      </c>
      <c r="AH164" s="139">
        <f t="shared" si="298"/>
        <v>2198.5762737499995</v>
      </c>
      <c r="AI164" s="139">
        <f t="shared" si="298"/>
        <v>2011.6248298999994</v>
      </c>
      <c r="AJ164" s="139">
        <f t="shared" si="298"/>
        <v>2095.0764939999995</v>
      </c>
      <c r="AK164" s="139">
        <f t="shared" ref="AK164:BP164" si="299">AJ166</f>
        <v>2094.3984847499996</v>
      </c>
      <c r="AL164" s="139">
        <f t="shared" si="299"/>
        <v>2193.9841942499997</v>
      </c>
      <c r="AM164" s="139">
        <f t="shared" si="299"/>
        <v>2291.7462029499998</v>
      </c>
      <c r="AN164" s="139">
        <f t="shared" si="299"/>
        <v>2350.4149632499998</v>
      </c>
      <c r="AO164" s="139">
        <f t="shared" si="299"/>
        <v>2359.7635476281248</v>
      </c>
      <c r="AP164" s="139">
        <f t="shared" si="299"/>
        <v>1395.1688524687497</v>
      </c>
      <c r="AQ164" s="139">
        <f t="shared" si="299"/>
        <v>494.9980541343748</v>
      </c>
      <c r="AR164" s="139">
        <f t="shared" si="299"/>
        <v>294.03769756874982</v>
      </c>
      <c r="AS164" s="139">
        <f t="shared" si="299"/>
        <v>24.100477856249825</v>
      </c>
      <c r="AT164" s="139">
        <f t="shared" si="299"/>
        <v>0</v>
      </c>
      <c r="AU164" s="139">
        <f t="shared" si="299"/>
        <v>0</v>
      </c>
      <c r="AV164" s="139">
        <f t="shared" si="299"/>
        <v>88.709767540250027</v>
      </c>
      <c r="AW164" s="139">
        <f t="shared" si="299"/>
        <v>90.954778367125073</v>
      </c>
      <c r="AX164" s="139">
        <f t="shared" si="299"/>
        <v>196.06920474087514</v>
      </c>
      <c r="AY164" s="139">
        <f t="shared" si="299"/>
        <v>299.33252642262516</v>
      </c>
      <c r="AZ164" s="139">
        <f t="shared" si="299"/>
        <v>362.70103586337518</v>
      </c>
      <c r="BA164" s="139">
        <f t="shared" si="299"/>
        <v>386.82862463610837</v>
      </c>
      <c r="BB164" s="139">
        <f t="shared" si="299"/>
        <v>0</v>
      </c>
      <c r="BC164" s="139">
        <f t="shared" si="299"/>
        <v>0</v>
      </c>
      <c r="BD164" s="139">
        <f t="shared" si="299"/>
        <v>0</v>
      </c>
      <c r="BE164" s="139">
        <f t="shared" si="299"/>
        <v>0</v>
      </c>
      <c r="BF164" s="139">
        <f t="shared" si="299"/>
        <v>0</v>
      </c>
      <c r="BG164" s="139">
        <f t="shared" si="299"/>
        <v>0</v>
      </c>
      <c r="BH164" s="139">
        <f t="shared" si="299"/>
        <v>163.98537841422626</v>
      </c>
      <c r="BI164" s="139">
        <f t="shared" si="299"/>
        <v>231.54500546979818</v>
      </c>
      <c r="BJ164" s="139">
        <f t="shared" si="299"/>
        <v>413.75138287654198</v>
      </c>
      <c r="BK164" s="139">
        <f t="shared" si="299"/>
        <v>592.92272241062574</v>
      </c>
      <c r="BL164" s="139">
        <f t="shared" si="299"/>
        <v>726.81920416940454</v>
      </c>
      <c r="BM164" s="139">
        <f t="shared" si="299"/>
        <v>3766.179925138103</v>
      </c>
      <c r="BN164" s="139">
        <f t="shared" si="299"/>
        <v>5941.7189822687169</v>
      </c>
      <c r="BO164" s="139">
        <f t="shared" si="299"/>
        <v>8824.1330814232133</v>
      </c>
      <c r="BP164" s="139">
        <f t="shared" si="299"/>
        <v>12204.522222399166</v>
      </c>
      <c r="BQ164" s="139">
        <f t="shared" ref="BQ164:CV164" si="300">BP166</f>
        <v>15612.887717390302</v>
      </c>
      <c r="BR164" s="139">
        <f t="shared" si="300"/>
        <v>19032.147126367701</v>
      </c>
      <c r="BS164" s="139">
        <f t="shared" si="300"/>
        <v>22226.174656493229</v>
      </c>
      <c r="BT164" s="139">
        <f t="shared" si="300"/>
        <v>25819.925436265188</v>
      </c>
      <c r="BU164" s="139">
        <f t="shared" si="300"/>
        <v>28941.828481954115</v>
      </c>
      <c r="BV164" s="139">
        <f t="shared" si="300"/>
        <v>32629.693363054001</v>
      </c>
      <c r="BW164" s="139">
        <f t="shared" si="300"/>
        <v>36307.837828829535</v>
      </c>
      <c r="BX164" s="139">
        <f t="shared" si="300"/>
        <v>39714.910146367925</v>
      </c>
      <c r="BY164" s="139">
        <f t="shared" si="300"/>
        <v>42736.643002952813</v>
      </c>
      <c r="BZ164" s="139">
        <f t="shared" si="300"/>
        <v>44868.047915549745</v>
      </c>
      <c r="CA164" s="139">
        <f t="shared" si="300"/>
        <v>47704.296537544695</v>
      </c>
      <c r="CB164" s="139">
        <f t="shared" si="300"/>
        <v>51058.270303546342</v>
      </c>
      <c r="CC164" s="139">
        <f t="shared" si="300"/>
        <v>54437.904386721151</v>
      </c>
      <c r="CD164" s="139">
        <f t="shared" si="300"/>
        <v>57831.820635530894</v>
      </c>
      <c r="CE164" s="139">
        <f t="shared" si="300"/>
        <v>60999.757541518033</v>
      </c>
      <c r="CF164" s="139">
        <f t="shared" si="300"/>
        <v>64575.063494390924</v>
      </c>
      <c r="CG164" s="139">
        <f t="shared" si="300"/>
        <v>67677.768219058649</v>
      </c>
      <c r="CH164" s="139">
        <f t="shared" si="300"/>
        <v>71346.935613953887</v>
      </c>
      <c r="CI164" s="139">
        <f t="shared" si="300"/>
        <v>75006.408179277249</v>
      </c>
      <c r="CJ164" s="139">
        <f t="shared" si="300"/>
        <v>78394.556979623027</v>
      </c>
      <c r="CK164" s="139">
        <f t="shared" si="300"/>
        <v>81398.63977412747</v>
      </c>
      <c r="CL164" s="139">
        <f t="shared" si="300"/>
        <v>83485.887177230732</v>
      </c>
      <c r="CM164" s="139">
        <f t="shared" si="300"/>
        <v>86275.942273730529</v>
      </c>
      <c r="CN164" s="139">
        <f t="shared" si="300"/>
        <v>89603.474345833907</v>
      </c>
      <c r="CO164" s="139">
        <f t="shared" si="300"/>
        <v>92954.349969623974</v>
      </c>
      <c r="CP164" s="139">
        <f t="shared" si="300"/>
        <v>96323.89690583825</v>
      </c>
      <c r="CQ164" s="139">
        <f t="shared" si="300"/>
        <v>99465.723432850529</v>
      </c>
      <c r="CR164" s="139">
        <f t="shared" si="300"/>
        <v>103021.56417307501</v>
      </c>
      <c r="CS164" s="139">
        <f t="shared" si="300"/>
        <v>106105.0524112728</v>
      </c>
      <c r="CT164" s="139">
        <f t="shared" si="300"/>
        <v>109754.50148417235</v>
      </c>
      <c r="CU164" s="139">
        <f t="shared" si="300"/>
        <v>113394.28135882631</v>
      </c>
      <c r="CV164" s="139">
        <f t="shared" si="300"/>
        <v>116763.48718479717</v>
      </c>
      <c r="CW164" s="139">
        <f t="shared" ref="CW164:DS164" si="301">CV166</f>
        <v>119749.8971646214</v>
      </c>
      <c r="CX164" s="139">
        <f t="shared" si="301"/>
        <v>121790.96310918839</v>
      </c>
      <c r="CY164" s="139">
        <f t="shared" si="301"/>
        <v>124532.7959306987</v>
      </c>
      <c r="CZ164" s="139">
        <f t="shared" si="301"/>
        <v>127833.85933205334</v>
      </c>
      <c r="DA164" s="139">
        <f t="shared" si="301"/>
        <v>131154.94877274893</v>
      </c>
      <c r="DB164" s="139">
        <f t="shared" si="301"/>
        <v>134499.09959017555</v>
      </c>
      <c r="DC164" s="139">
        <f t="shared" si="301"/>
        <v>133868.09959017555</v>
      </c>
      <c r="DD164" s="139">
        <f t="shared" si="301"/>
        <v>133538.09959017555</v>
      </c>
      <c r="DE164" s="139">
        <f t="shared" si="301"/>
        <v>133157.09959017555</v>
      </c>
      <c r="DF164" s="139">
        <f t="shared" si="301"/>
        <v>132835.09959017555</v>
      </c>
      <c r="DG164" s="139">
        <f t="shared" si="301"/>
        <v>132512.09959017555</v>
      </c>
      <c r="DH164" s="139">
        <f t="shared" si="301"/>
        <v>132172.09959017555</v>
      </c>
      <c r="DI164" s="139">
        <f t="shared" si="301"/>
        <v>131829.09959017555</v>
      </c>
      <c r="DJ164" s="139">
        <f t="shared" si="301"/>
        <v>130338.09959017555</v>
      </c>
      <c r="DK164" s="139">
        <f t="shared" si="301"/>
        <v>128847.09959017555</v>
      </c>
      <c r="DL164" s="139">
        <f t="shared" si="301"/>
        <v>128194.09959017555</v>
      </c>
      <c r="DM164" s="139">
        <f t="shared" si="301"/>
        <v>127450.09959017555</v>
      </c>
      <c r="DN164" s="139">
        <f t="shared" si="301"/>
        <v>126867.09959017555</v>
      </c>
      <c r="DO164" s="139">
        <f t="shared" si="301"/>
        <v>126220.09959017555</v>
      </c>
      <c r="DP164" s="139">
        <f t="shared" si="301"/>
        <v>125882.09959017555</v>
      </c>
      <c r="DQ164" s="139">
        <f t="shared" si="301"/>
        <v>125491.09959017555</v>
      </c>
      <c r="DR164" s="139">
        <f t="shared" si="301"/>
        <v>125161.09959017555</v>
      </c>
      <c r="DS164" s="139">
        <f t="shared" si="301"/>
        <v>124830.09959017555</v>
      </c>
    </row>
    <row r="165" spans="1:123" ht="12.75" customHeight="1" x14ac:dyDescent="0.35">
      <c r="A165" s="146" t="s">
        <v>493</v>
      </c>
      <c r="B165" s="139">
        <f>SUM(D165:BQ165)</f>
        <v>6516.7354759892341</v>
      </c>
      <c r="C165" s="139">
        <f>B165/60</f>
        <v>108.6122579331539</v>
      </c>
      <c r="D165" s="139">
        <f t="shared" ref="D165:AI165" si="302">MIN(D164,MAX(D162-D163,0))</f>
        <v>0</v>
      </c>
      <c r="E165" s="139">
        <f t="shared" si="302"/>
        <v>423.9910000000001</v>
      </c>
      <c r="F165" s="139">
        <f t="shared" si="302"/>
        <v>32.549999999999841</v>
      </c>
      <c r="G165" s="139">
        <f t="shared" si="302"/>
        <v>0</v>
      </c>
      <c r="H165" s="139">
        <f t="shared" si="302"/>
        <v>0</v>
      </c>
      <c r="I165" s="139">
        <f t="shared" si="302"/>
        <v>0</v>
      </c>
      <c r="J165" s="139">
        <f t="shared" si="302"/>
        <v>0</v>
      </c>
      <c r="K165" s="139">
        <f t="shared" si="302"/>
        <v>0</v>
      </c>
      <c r="L165" s="139">
        <f t="shared" si="302"/>
        <v>0</v>
      </c>
      <c r="M165" s="139">
        <f t="shared" si="302"/>
        <v>0</v>
      </c>
      <c r="N165" s="139">
        <f t="shared" si="302"/>
        <v>0</v>
      </c>
      <c r="O165" s="139">
        <f t="shared" si="302"/>
        <v>0</v>
      </c>
      <c r="P165" s="139">
        <f t="shared" si="302"/>
        <v>0</v>
      </c>
      <c r="Q165" s="139">
        <f t="shared" si="302"/>
        <v>457.84104500000012</v>
      </c>
      <c r="R165" s="139">
        <f t="shared" si="302"/>
        <v>304.26876500000003</v>
      </c>
      <c r="S165" s="139">
        <f t="shared" si="302"/>
        <v>0</v>
      </c>
      <c r="T165" s="139">
        <f t="shared" si="302"/>
        <v>0</v>
      </c>
      <c r="U165" s="139">
        <f t="shared" si="302"/>
        <v>0</v>
      </c>
      <c r="V165" s="139">
        <f t="shared" si="302"/>
        <v>0</v>
      </c>
      <c r="W165" s="139">
        <f t="shared" si="302"/>
        <v>0</v>
      </c>
      <c r="X165" s="139">
        <f t="shared" si="302"/>
        <v>0</v>
      </c>
      <c r="Y165" s="139">
        <f t="shared" si="302"/>
        <v>0</v>
      </c>
      <c r="Z165" s="139">
        <f t="shared" si="302"/>
        <v>0</v>
      </c>
      <c r="AA165" s="139">
        <f t="shared" si="302"/>
        <v>0</v>
      </c>
      <c r="AB165" s="139">
        <f t="shared" si="302"/>
        <v>0</v>
      </c>
      <c r="AC165" s="139">
        <f t="shared" si="302"/>
        <v>930.97959312500006</v>
      </c>
      <c r="AD165" s="139">
        <f t="shared" si="302"/>
        <v>866.23195812499989</v>
      </c>
      <c r="AE165" s="139">
        <f t="shared" si="302"/>
        <v>185.14106187499999</v>
      </c>
      <c r="AF165" s="139">
        <f t="shared" si="302"/>
        <v>252.06755749999996</v>
      </c>
      <c r="AG165" s="139">
        <f t="shared" si="302"/>
        <v>129.44286999999997</v>
      </c>
      <c r="AH165" s="139">
        <f t="shared" si="302"/>
        <v>186.95144384999998</v>
      </c>
      <c r="AI165" s="139">
        <f t="shared" si="302"/>
        <v>0</v>
      </c>
      <c r="AJ165" s="139">
        <f t="shared" ref="AJ165:BO165" si="303">MIN(AJ164,MAX(AJ162-AJ163,0))</f>
        <v>0.67800925000000234</v>
      </c>
      <c r="AK165" s="139">
        <f t="shared" si="303"/>
        <v>0</v>
      </c>
      <c r="AL165" s="139">
        <f t="shared" si="303"/>
        <v>0</v>
      </c>
      <c r="AM165" s="139">
        <f t="shared" si="303"/>
        <v>0</v>
      </c>
      <c r="AN165" s="139">
        <f t="shared" si="303"/>
        <v>0</v>
      </c>
      <c r="AO165" s="139">
        <f t="shared" si="303"/>
        <v>964.59469515937508</v>
      </c>
      <c r="AP165" s="139">
        <f t="shared" si="303"/>
        <v>900.17079833437492</v>
      </c>
      <c r="AQ165" s="139">
        <f t="shared" si="303"/>
        <v>200.96035656562498</v>
      </c>
      <c r="AR165" s="139">
        <f t="shared" si="303"/>
        <v>269.9372197125</v>
      </c>
      <c r="AS165" s="139">
        <f t="shared" si="303"/>
        <v>24.100477856249825</v>
      </c>
      <c r="AT165" s="139">
        <f t="shared" si="303"/>
        <v>0</v>
      </c>
      <c r="AU165" s="139">
        <f t="shared" si="303"/>
        <v>0</v>
      </c>
      <c r="AV165" s="139">
        <f t="shared" si="303"/>
        <v>0</v>
      </c>
      <c r="AW165" s="139">
        <f t="shared" si="303"/>
        <v>0</v>
      </c>
      <c r="AX165" s="139">
        <f t="shared" si="303"/>
        <v>0</v>
      </c>
      <c r="AY165" s="139">
        <f t="shared" si="303"/>
        <v>0</v>
      </c>
      <c r="AZ165" s="139">
        <f t="shared" si="303"/>
        <v>0</v>
      </c>
      <c r="BA165" s="139">
        <f t="shared" si="303"/>
        <v>386.82862463610837</v>
      </c>
      <c r="BB165" s="139">
        <f t="shared" si="303"/>
        <v>0</v>
      </c>
      <c r="BC165" s="139">
        <f t="shared" si="303"/>
        <v>0</v>
      </c>
      <c r="BD165" s="139">
        <f t="shared" si="303"/>
        <v>0</v>
      </c>
      <c r="BE165" s="139">
        <f t="shared" si="303"/>
        <v>0</v>
      </c>
      <c r="BF165" s="139">
        <f t="shared" si="303"/>
        <v>0</v>
      </c>
      <c r="BG165" s="139">
        <f t="shared" si="303"/>
        <v>0</v>
      </c>
      <c r="BH165" s="139">
        <f t="shared" si="303"/>
        <v>0</v>
      </c>
      <c r="BI165" s="139">
        <f t="shared" si="303"/>
        <v>0</v>
      </c>
      <c r="BJ165" s="139">
        <f t="shared" si="303"/>
        <v>0</v>
      </c>
      <c r="BK165" s="139">
        <f t="shared" si="303"/>
        <v>0</v>
      </c>
      <c r="BL165" s="139">
        <f t="shared" si="303"/>
        <v>0</v>
      </c>
      <c r="BM165" s="139">
        <f t="shared" si="303"/>
        <v>0</v>
      </c>
      <c r="BN165" s="139">
        <f t="shared" si="303"/>
        <v>0</v>
      </c>
      <c r="BO165" s="139">
        <f t="shared" si="303"/>
        <v>0</v>
      </c>
      <c r="BP165" s="139">
        <f t="shared" ref="BP165:CU165" si="304">MIN(BP164,MAX(BP162-BP163,0))</f>
        <v>0</v>
      </c>
      <c r="BQ165" s="139">
        <f t="shared" si="304"/>
        <v>0</v>
      </c>
      <c r="BR165" s="139">
        <f t="shared" si="304"/>
        <v>0</v>
      </c>
      <c r="BS165" s="139">
        <f t="shared" si="304"/>
        <v>0</v>
      </c>
      <c r="BT165" s="139">
        <f t="shared" si="304"/>
        <v>0</v>
      </c>
      <c r="BU165" s="139">
        <f t="shared" si="304"/>
        <v>0</v>
      </c>
      <c r="BV165" s="139">
        <f t="shared" si="304"/>
        <v>0</v>
      </c>
      <c r="BW165" s="139">
        <f t="shared" si="304"/>
        <v>0</v>
      </c>
      <c r="BX165" s="139">
        <f t="shared" si="304"/>
        <v>0</v>
      </c>
      <c r="BY165" s="139">
        <f t="shared" si="304"/>
        <v>0</v>
      </c>
      <c r="BZ165" s="139">
        <f t="shared" si="304"/>
        <v>0</v>
      </c>
      <c r="CA165" s="139">
        <f t="shared" si="304"/>
        <v>0</v>
      </c>
      <c r="CB165" s="139">
        <f t="shared" si="304"/>
        <v>0</v>
      </c>
      <c r="CC165" s="139">
        <f t="shared" si="304"/>
        <v>0</v>
      </c>
      <c r="CD165" s="139">
        <f t="shared" si="304"/>
        <v>0</v>
      </c>
      <c r="CE165" s="139">
        <f t="shared" si="304"/>
        <v>0</v>
      </c>
      <c r="CF165" s="139">
        <f t="shared" si="304"/>
        <v>0</v>
      </c>
      <c r="CG165" s="139">
        <f t="shared" si="304"/>
        <v>0</v>
      </c>
      <c r="CH165" s="139">
        <f t="shared" si="304"/>
        <v>0</v>
      </c>
      <c r="CI165" s="139">
        <f t="shared" si="304"/>
        <v>0</v>
      </c>
      <c r="CJ165" s="139">
        <f t="shared" si="304"/>
        <v>0</v>
      </c>
      <c r="CK165" s="139">
        <f t="shared" si="304"/>
        <v>0</v>
      </c>
      <c r="CL165" s="139">
        <f t="shared" si="304"/>
        <v>0</v>
      </c>
      <c r="CM165" s="139">
        <f t="shared" si="304"/>
        <v>0</v>
      </c>
      <c r="CN165" s="139">
        <f t="shared" si="304"/>
        <v>0</v>
      </c>
      <c r="CO165" s="139">
        <f t="shared" si="304"/>
        <v>0</v>
      </c>
      <c r="CP165" s="139">
        <f t="shared" si="304"/>
        <v>0</v>
      </c>
      <c r="CQ165" s="139">
        <f t="shared" si="304"/>
        <v>0</v>
      </c>
      <c r="CR165" s="139">
        <f t="shared" si="304"/>
        <v>0</v>
      </c>
      <c r="CS165" s="139">
        <f t="shared" si="304"/>
        <v>0</v>
      </c>
      <c r="CT165" s="139">
        <f t="shared" si="304"/>
        <v>0</v>
      </c>
      <c r="CU165" s="139">
        <f t="shared" si="304"/>
        <v>0</v>
      </c>
      <c r="CV165" s="139">
        <f t="shared" ref="CV165:DS165" si="305">MIN(CV164,MAX(CV162-CV163,0))</f>
        <v>0</v>
      </c>
      <c r="CW165" s="139">
        <f t="shared" si="305"/>
        <v>0</v>
      </c>
      <c r="CX165" s="139">
        <f t="shared" si="305"/>
        <v>0</v>
      </c>
      <c r="CY165" s="139">
        <f t="shared" si="305"/>
        <v>0</v>
      </c>
      <c r="CZ165" s="139">
        <f t="shared" si="305"/>
        <v>0</v>
      </c>
      <c r="DA165" s="139">
        <f t="shared" si="305"/>
        <v>0</v>
      </c>
      <c r="DB165" s="139">
        <f t="shared" si="305"/>
        <v>631</v>
      </c>
      <c r="DC165" s="139">
        <f t="shared" si="305"/>
        <v>330</v>
      </c>
      <c r="DD165" s="139">
        <f t="shared" si="305"/>
        <v>381</v>
      </c>
      <c r="DE165" s="139">
        <f t="shared" si="305"/>
        <v>322</v>
      </c>
      <c r="DF165" s="139">
        <f t="shared" si="305"/>
        <v>323</v>
      </c>
      <c r="DG165" s="139">
        <f t="shared" si="305"/>
        <v>340</v>
      </c>
      <c r="DH165" s="139">
        <f t="shared" si="305"/>
        <v>343</v>
      </c>
      <c r="DI165" s="139">
        <f t="shared" si="305"/>
        <v>1491</v>
      </c>
      <c r="DJ165" s="139">
        <f t="shared" si="305"/>
        <v>1491</v>
      </c>
      <c r="DK165" s="139">
        <f t="shared" si="305"/>
        <v>653</v>
      </c>
      <c r="DL165" s="139">
        <f t="shared" si="305"/>
        <v>744</v>
      </c>
      <c r="DM165" s="139">
        <f t="shared" si="305"/>
        <v>583</v>
      </c>
      <c r="DN165" s="139">
        <f t="shared" si="305"/>
        <v>647</v>
      </c>
      <c r="DO165" s="139">
        <f t="shared" si="305"/>
        <v>338</v>
      </c>
      <c r="DP165" s="139">
        <f t="shared" si="305"/>
        <v>391</v>
      </c>
      <c r="DQ165" s="139">
        <f t="shared" si="305"/>
        <v>330</v>
      </c>
      <c r="DR165" s="139">
        <f t="shared" si="305"/>
        <v>331</v>
      </c>
      <c r="DS165" s="139">
        <f t="shared" si="305"/>
        <v>348</v>
      </c>
    </row>
    <row r="166" spans="1:123" ht="13.5" customHeight="1" x14ac:dyDescent="0.35">
      <c r="A166" s="39" t="s">
        <v>494</v>
      </c>
      <c r="B166" s="41">
        <f>AA166</f>
        <v>4544.5563149999998</v>
      </c>
      <c r="C166" s="139" t="s">
        <v>169</v>
      </c>
      <c r="D166" s="157">
        <f t="shared" ref="D166:AI166" si="306">MAX(D164-D165,0)+MAX(D163-D162,0)</f>
        <v>456.54099999999994</v>
      </c>
      <c r="E166" s="157">
        <f t="shared" si="306"/>
        <v>32.549999999999841</v>
      </c>
      <c r="F166" s="157">
        <f t="shared" si="306"/>
        <v>0</v>
      </c>
      <c r="G166" s="157">
        <f t="shared" si="306"/>
        <v>344.35899999999992</v>
      </c>
      <c r="H166" s="157">
        <f t="shared" si="306"/>
        <v>398.00299999999993</v>
      </c>
      <c r="I166" s="157">
        <f t="shared" si="306"/>
        <v>559.14699999999993</v>
      </c>
      <c r="J166" s="157">
        <f t="shared" si="306"/>
        <v>637.59999999999991</v>
      </c>
      <c r="K166" s="157">
        <f t="shared" si="306"/>
        <v>979.0244899999999</v>
      </c>
      <c r="L166" s="157">
        <f t="shared" si="306"/>
        <v>1211.7471649999998</v>
      </c>
      <c r="M166" s="157">
        <f t="shared" si="306"/>
        <v>1573.6917149999999</v>
      </c>
      <c r="N166" s="157">
        <f t="shared" si="306"/>
        <v>2165.6673049999999</v>
      </c>
      <c r="O166" s="157">
        <f t="shared" si="306"/>
        <v>2688.6950149999998</v>
      </c>
      <c r="P166" s="157">
        <f t="shared" si="306"/>
        <v>3134.5783099999999</v>
      </c>
      <c r="Q166" s="157">
        <f t="shared" si="306"/>
        <v>2676.7372649999998</v>
      </c>
      <c r="R166" s="157">
        <f t="shared" si="306"/>
        <v>2372.4684999999999</v>
      </c>
      <c r="S166" s="157">
        <f t="shared" si="306"/>
        <v>2699.4907050000002</v>
      </c>
      <c r="T166" s="157">
        <f t="shared" si="306"/>
        <v>2734.886485</v>
      </c>
      <c r="U166" s="157">
        <f t="shared" si="306"/>
        <v>2880.8897649999999</v>
      </c>
      <c r="V166" s="157">
        <f t="shared" si="306"/>
        <v>2943.3604999999998</v>
      </c>
      <c r="W166" s="157">
        <f t="shared" si="306"/>
        <v>3284.7849899999997</v>
      </c>
      <c r="X166" s="157">
        <f t="shared" si="306"/>
        <v>3517.5076649999996</v>
      </c>
      <c r="Y166" s="157">
        <f t="shared" si="306"/>
        <v>3879.4522149999998</v>
      </c>
      <c r="Z166" s="157">
        <f t="shared" si="306"/>
        <v>4239.0276450000001</v>
      </c>
      <c r="AA166" s="157">
        <f t="shared" si="306"/>
        <v>4544.5563149999998</v>
      </c>
      <c r="AB166" s="157">
        <f t="shared" si="306"/>
        <v>4562.4393143749994</v>
      </c>
      <c r="AC166" s="157">
        <f t="shared" si="306"/>
        <v>3631.4597212499993</v>
      </c>
      <c r="AD166" s="157">
        <f t="shared" si="306"/>
        <v>2765.2277631249995</v>
      </c>
      <c r="AE166" s="157">
        <f t="shared" si="306"/>
        <v>2580.0867012499994</v>
      </c>
      <c r="AF166" s="157">
        <f t="shared" si="306"/>
        <v>2328.0191437499993</v>
      </c>
      <c r="AG166" s="157">
        <f t="shared" si="306"/>
        <v>2198.5762737499995</v>
      </c>
      <c r="AH166" s="157">
        <f t="shared" si="306"/>
        <v>2011.6248298999994</v>
      </c>
      <c r="AI166" s="157">
        <f t="shared" si="306"/>
        <v>2095.0764939999995</v>
      </c>
      <c r="AJ166" s="157">
        <f t="shared" ref="AJ166:BO166" si="307">MAX(AJ164-AJ165,0)+MAX(AJ163-AJ162,0)</f>
        <v>2094.3984847499996</v>
      </c>
      <c r="AK166" s="157">
        <f t="shared" si="307"/>
        <v>2193.9841942499997</v>
      </c>
      <c r="AL166" s="157">
        <f t="shared" si="307"/>
        <v>2291.7462029499998</v>
      </c>
      <c r="AM166" s="157">
        <f t="shared" si="307"/>
        <v>2350.4149632499998</v>
      </c>
      <c r="AN166" s="157">
        <f t="shared" si="307"/>
        <v>2359.7635476281248</v>
      </c>
      <c r="AO166" s="157">
        <f t="shared" si="307"/>
        <v>1395.1688524687497</v>
      </c>
      <c r="AP166" s="157">
        <f t="shared" si="307"/>
        <v>494.9980541343748</v>
      </c>
      <c r="AQ166" s="157">
        <f t="shared" si="307"/>
        <v>294.03769756874982</v>
      </c>
      <c r="AR166" s="157">
        <f t="shared" si="307"/>
        <v>24.100477856249825</v>
      </c>
      <c r="AS166" s="157">
        <f t="shared" si="307"/>
        <v>0</v>
      </c>
      <c r="AT166" s="157">
        <f t="shared" si="307"/>
        <v>0</v>
      </c>
      <c r="AU166" s="157">
        <f t="shared" si="307"/>
        <v>88.709767540250027</v>
      </c>
      <c r="AV166" s="157">
        <f t="shared" si="307"/>
        <v>90.954778367125073</v>
      </c>
      <c r="AW166" s="157">
        <f t="shared" si="307"/>
        <v>196.06920474087514</v>
      </c>
      <c r="AX166" s="157">
        <f t="shared" si="307"/>
        <v>299.33252642262516</v>
      </c>
      <c r="AY166" s="157">
        <f t="shared" si="307"/>
        <v>362.70103586337518</v>
      </c>
      <c r="AZ166" s="157">
        <f t="shared" si="307"/>
        <v>386.82862463610837</v>
      </c>
      <c r="BA166" s="157">
        <f t="shared" si="307"/>
        <v>0</v>
      </c>
      <c r="BB166" s="157">
        <f t="shared" si="307"/>
        <v>0</v>
      </c>
      <c r="BC166" s="157">
        <f t="shared" si="307"/>
        <v>0</v>
      </c>
      <c r="BD166" s="157">
        <f t="shared" si="307"/>
        <v>0</v>
      </c>
      <c r="BE166" s="157">
        <f t="shared" si="307"/>
        <v>0</v>
      </c>
      <c r="BF166" s="157">
        <f t="shared" si="307"/>
        <v>0</v>
      </c>
      <c r="BG166" s="157">
        <f t="shared" si="307"/>
        <v>163.98537841422626</v>
      </c>
      <c r="BH166" s="157">
        <f t="shared" si="307"/>
        <v>231.54500546979818</v>
      </c>
      <c r="BI166" s="157">
        <f t="shared" si="307"/>
        <v>413.75138287654198</v>
      </c>
      <c r="BJ166" s="157">
        <f t="shared" si="307"/>
        <v>592.92272241062574</v>
      </c>
      <c r="BK166" s="157">
        <f t="shared" si="307"/>
        <v>726.81920416940454</v>
      </c>
      <c r="BL166" s="157">
        <f t="shared" si="307"/>
        <v>3766.179925138103</v>
      </c>
      <c r="BM166" s="157">
        <f t="shared" si="307"/>
        <v>5941.7189822687169</v>
      </c>
      <c r="BN166" s="157">
        <f t="shared" si="307"/>
        <v>8824.1330814232133</v>
      </c>
      <c r="BO166" s="157">
        <f t="shared" si="307"/>
        <v>12204.522222399166</v>
      </c>
      <c r="BP166" s="157">
        <f t="shared" ref="BP166:CU166" si="308">MAX(BP164-BP165,0)+MAX(BP163-BP162,0)</f>
        <v>15612.887717390302</v>
      </c>
      <c r="BQ166" s="157">
        <f t="shared" si="308"/>
        <v>19032.147126367701</v>
      </c>
      <c r="BR166" s="157">
        <f t="shared" si="308"/>
        <v>22226.174656493229</v>
      </c>
      <c r="BS166" s="157">
        <f t="shared" si="308"/>
        <v>25819.925436265188</v>
      </c>
      <c r="BT166" s="157">
        <f t="shared" si="308"/>
        <v>28941.828481954115</v>
      </c>
      <c r="BU166" s="157">
        <f t="shared" si="308"/>
        <v>32629.693363054001</v>
      </c>
      <c r="BV166" s="157">
        <f t="shared" si="308"/>
        <v>36307.837828829535</v>
      </c>
      <c r="BW166" s="157">
        <f t="shared" si="308"/>
        <v>39714.910146367925</v>
      </c>
      <c r="BX166" s="157">
        <f t="shared" si="308"/>
        <v>42736.643002952813</v>
      </c>
      <c r="BY166" s="157">
        <f t="shared" si="308"/>
        <v>44868.047915549745</v>
      </c>
      <c r="BZ166" s="157">
        <f t="shared" si="308"/>
        <v>47704.296537544695</v>
      </c>
      <c r="CA166" s="157">
        <f t="shared" si="308"/>
        <v>51058.270303546342</v>
      </c>
      <c r="CB166" s="157">
        <f t="shared" si="308"/>
        <v>54437.904386721151</v>
      </c>
      <c r="CC166" s="157">
        <f t="shared" si="308"/>
        <v>57831.820635530894</v>
      </c>
      <c r="CD166" s="157">
        <f t="shared" si="308"/>
        <v>60999.757541518033</v>
      </c>
      <c r="CE166" s="157">
        <f t="shared" si="308"/>
        <v>64575.063494390924</v>
      </c>
      <c r="CF166" s="157">
        <f t="shared" si="308"/>
        <v>67677.768219058649</v>
      </c>
      <c r="CG166" s="157">
        <f t="shared" si="308"/>
        <v>71346.935613953887</v>
      </c>
      <c r="CH166" s="157">
        <f t="shared" si="308"/>
        <v>75006.408179277249</v>
      </c>
      <c r="CI166" s="157">
        <f t="shared" si="308"/>
        <v>78394.556979623027</v>
      </c>
      <c r="CJ166" s="157">
        <f t="shared" si="308"/>
        <v>81398.63977412747</v>
      </c>
      <c r="CK166" s="157">
        <f t="shared" si="308"/>
        <v>83485.887177230732</v>
      </c>
      <c r="CL166" s="157">
        <f t="shared" si="308"/>
        <v>86275.942273730529</v>
      </c>
      <c r="CM166" s="157">
        <f t="shared" si="308"/>
        <v>89603.474345833907</v>
      </c>
      <c r="CN166" s="157">
        <f t="shared" si="308"/>
        <v>92954.349969623974</v>
      </c>
      <c r="CO166" s="157">
        <f t="shared" si="308"/>
        <v>96323.89690583825</v>
      </c>
      <c r="CP166" s="157">
        <f t="shared" si="308"/>
        <v>99465.723432850529</v>
      </c>
      <c r="CQ166" s="157">
        <f t="shared" si="308"/>
        <v>103021.56417307501</v>
      </c>
      <c r="CR166" s="157">
        <f t="shared" si="308"/>
        <v>106105.0524112728</v>
      </c>
      <c r="CS166" s="157">
        <f t="shared" si="308"/>
        <v>109754.50148417235</v>
      </c>
      <c r="CT166" s="157">
        <f t="shared" si="308"/>
        <v>113394.28135882631</v>
      </c>
      <c r="CU166" s="157">
        <f t="shared" si="308"/>
        <v>116763.48718479717</v>
      </c>
      <c r="CV166" s="157">
        <f t="shared" ref="CV166:DS166" si="309">MAX(CV164-CV165,0)+MAX(CV163-CV162,0)</f>
        <v>119749.8971646214</v>
      </c>
      <c r="CW166" s="157">
        <f t="shared" si="309"/>
        <v>121790.96310918839</v>
      </c>
      <c r="CX166" s="157">
        <f t="shared" si="309"/>
        <v>124532.7959306987</v>
      </c>
      <c r="CY166" s="157">
        <f t="shared" si="309"/>
        <v>127833.85933205334</v>
      </c>
      <c r="CZ166" s="157">
        <f t="shared" si="309"/>
        <v>131154.94877274893</v>
      </c>
      <c r="DA166" s="157">
        <f t="shared" si="309"/>
        <v>134499.09959017555</v>
      </c>
      <c r="DB166" s="157">
        <f t="shared" si="309"/>
        <v>133868.09959017555</v>
      </c>
      <c r="DC166" s="157">
        <f t="shared" si="309"/>
        <v>133538.09959017555</v>
      </c>
      <c r="DD166" s="157">
        <f t="shared" si="309"/>
        <v>133157.09959017555</v>
      </c>
      <c r="DE166" s="157">
        <f t="shared" si="309"/>
        <v>132835.09959017555</v>
      </c>
      <c r="DF166" s="157">
        <f t="shared" si="309"/>
        <v>132512.09959017555</v>
      </c>
      <c r="DG166" s="157">
        <f t="shared" si="309"/>
        <v>132172.09959017555</v>
      </c>
      <c r="DH166" s="157">
        <f t="shared" si="309"/>
        <v>131829.09959017555</v>
      </c>
      <c r="DI166" s="157">
        <f t="shared" si="309"/>
        <v>130338.09959017555</v>
      </c>
      <c r="DJ166" s="157">
        <f t="shared" si="309"/>
        <v>128847.09959017555</v>
      </c>
      <c r="DK166" s="157">
        <f t="shared" si="309"/>
        <v>128194.09959017555</v>
      </c>
      <c r="DL166" s="157">
        <f t="shared" si="309"/>
        <v>127450.09959017555</v>
      </c>
      <c r="DM166" s="157">
        <f t="shared" si="309"/>
        <v>126867.09959017555</v>
      </c>
      <c r="DN166" s="157">
        <f t="shared" si="309"/>
        <v>126220.09959017555</v>
      </c>
      <c r="DO166" s="157">
        <f t="shared" si="309"/>
        <v>125882.09959017555</v>
      </c>
      <c r="DP166" s="157">
        <f t="shared" si="309"/>
        <v>125491.09959017555</v>
      </c>
      <c r="DQ166" s="157">
        <f t="shared" si="309"/>
        <v>125161.09959017555</v>
      </c>
      <c r="DR166" s="157">
        <f t="shared" si="309"/>
        <v>124830.09959017555</v>
      </c>
      <c r="DS166" s="157">
        <f t="shared" si="309"/>
        <v>124482.09959017555</v>
      </c>
    </row>
    <row r="167" spans="1:123" ht="12.75" customHeight="1" x14ac:dyDescent="0.35">
      <c r="A167" s="147" t="s">
        <v>495</v>
      </c>
      <c r="B167" s="148">
        <f>AA167</f>
        <v>0</v>
      </c>
      <c r="C167" s="139" t="s">
        <v>169</v>
      </c>
      <c r="D167" s="148">
        <f>0</f>
        <v>0</v>
      </c>
      <c r="E167" s="148">
        <f t="shared" ref="E167:AJ167" si="310">D169</f>
        <v>0</v>
      </c>
      <c r="F167" s="148">
        <f t="shared" si="310"/>
        <v>0</v>
      </c>
      <c r="G167" s="148">
        <f t="shared" si="310"/>
        <v>0</v>
      </c>
      <c r="H167" s="148">
        <f t="shared" si="310"/>
        <v>0</v>
      </c>
      <c r="I167" s="148">
        <f t="shared" si="310"/>
        <v>0</v>
      </c>
      <c r="J167" s="148">
        <f t="shared" si="310"/>
        <v>0</v>
      </c>
      <c r="K167" s="148">
        <f t="shared" si="310"/>
        <v>0</v>
      </c>
      <c r="L167" s="148">
        <f t="shared" si="310"/>
        <v>0</v>
      </c>
      <c r="M167" s="148">
        <f t="shared" si="310"/>
        <v>0</v>
      </c>
      <c r="N167" s="148">
        <f t="shared" si="310"/>
        <v>0</v>
      </c>
      <c r="O167" s="148">
        <f t="shared" si="310"/>
        <v>0</v>
      </c>
      <c r="P167" s="148">
        <f t="shared" si="310"/>
        <v>0</v>
      </c>
      <c r="Q167" s="148">
        <f t="shared" si="310"/>
        <v>0</v>
      </c>
      <c r="R167" s="148">
        <f t="shared" si="310"/>
        <v>0</v>
      </c>
      <c r="S167" s="148">
        <f t="shared" si="310"/>
        <v>0</v>
      </c>
      <c r="T167" s="148">
        <f t="shared" si="310"/>
        <v>0</v>
      </c>
      <c r="U167" s="148">
        <f t="shared" si="310"/>
        <v>0</v>
      </c>
      <c r="V167" s="148">
        <f t="shared" si="310"/>
        <v>0</v>
      </c>
      <c r="W167" s="148">
        <f t="shared" si="310"/>
        <v>0</v>
      </c>
      <c r="X167" s="148">
        <f t="shared" si="310"/>
        <v>0</v>
      </c>
      <c r="Y167" s="148">
        <f t="shared" si="310"/>
        <v>0</v>
      </c>
      <c r="Z167" s="148">
        <f t="shared" si="310"/>
        <v>0</v>
      </c>
      <c r="AA167" s="148">
        <f t="shared" si="310"/>
        <v>0</v>
      </c>
      <c r="AB167" s="148">
        <f t="shared" si="310"/>
        <v>0</v>
      </c>
      <c r="AC167" s="148">
        <f t="shared" si="310"/>
        <v>0</v>
      </c>
      <c r="AD167" s="148">
        <f t="shared" si="310"/>
        <v>0</v>
      </c>
      <c r="AE167" s="148">
        <f t="shared" si="310"/>
        <v>0</v>
      </c>
      <c r="AF167" s="148">
        <f t="shared" si="310"/>
        <v>0</v>
      </c>
      <c r="AG167" s="148">
        <f t="shared" si="310"/>
        <v>0</v>
      </c>
      <c r="AH167" s="148">
        <f t="shared" si="310"/>
        <v>0</v>
      </c>
      <c r="AI167" s="148">
        <f t="shared" si="310"/>
        <v>0</v>
      </c>
      <c r="AJ167" s="148">
        <f t="shared" si="310"/>
        <v>0</v>
      </c>
      <c r="AK167" s="148">
        <f t="shared" ref="AK167:BP167" si="311">AJ169</f>
        <v>0</v>
      </c>
      <c r="AL167" s="148">
        <f t="shared" si="311"/>
        <v>0</v>
      </c>
      <c r="AM167" s="148">
        <f t="shared" si="311"/>
        <v>0</v>
      </c>
      <c r="AN167" s="148">
        <f t="shared" si="311"/>
        <v>0</v>
      </c>
      <c r="AO167" s="148">
        <f t="shared" si="311"/>
        <v>0</v>
      </c>
      <c r="AP167" s="148">
        <f t="shared" si="311"/>
        <v>0</v>
      </c>
      <c r="AQ167" s="148">
        <f t="shared" si="311"/>
        <v>0</v>
      </c>
      <c r="AR167" s="148">
        <f t="shared" si="311"/>
        <v>0</v>
      </c>
      <c r="AS167" s="148">
        <f t="shared" si="311"/>
        <v>0</v>
      </c>
      <c r="AT167" s="148">
        <f t="shared" si="311"/>
        <v>0</v>
      </c>
      <c r="AU167" s="148">
        <f t="shared" si="311"/>
        <v>0</v>
      </c>
      <c r="AV167" s="148">
        <f t="shared" si="311"/>
        <v>0</v>
      </c>
      <c r="AW167" s="148">
        <f t="shared" si="311"/>
        <v>0</v>
      </c>
      <c r="AX167" s="148">
        <f t="shared" si="311"/>
        <v>0</v>
      </c>
      <c r="AY167" s="148">
        <f t="shared" si="311"/>
        <v>0</v>
      </c>
      <c r="AZ167" s="148">
        <f t="shared" si="311"/>
        <v>0</v>
      </c>
      <c r="BA167" s="148">
        <f t="shared" si="311"/>
        <v>0</v>
      </c>
      <c r="BB167" s="148">
        <f t="shared" si="311"/>
        <v>0</v>
      </c>
      <c r="BC167" s="148">
        <f t="shared" si="311"/>
        <v>0</v>
      </c>
      <c r="BD167" s="148">
        <f t="shared" si="311"/>
        <v>0</v>
      </c>
      <c r="BE167" s="148">
        <f t="shared" si="311"/>
        <v>0</v>
      </c>
      <c r="BF167" s="148">
        <f t="shared" si="311"/>
        <v>0</v>
      </c>
      <c r="BG167" s="148">
        <f t="shared" si="311"/>
        <v>0</v>
      </c>
      <c r="BH167" s="148">
        <f t="shared" si="311"/>
        <v>0</v>
      </c>
      <c r="BI167" s="148">
        <f t="shared" si="311"/>
        <v>0</v>
      </c>
      <c r="BJ167" s="148">
        <f t="shared" si="311"/>
        <v>0</v>
      </c>
      <c r="BK167" s="148">
        <f t="shared" si="311"/>
        <v>0</v>
      </c>
      <c r="BL167" s="148">
        <f t="shared" si="311"/>
        <v>0</v>
      </c>
      <c r="BM167" s="148">
        <f t="shared" si="311"/>
        <v>0</v>
      </c>
      <c r="BN167" s="148">
        <f t="shared" si="311"/>
        <v>0</v>
      </c>
      <c r="BO167" s="148">
        <f t="shared" si="311"/>
        <v>0</v>
      </c>
      <c r="BP167" s="148">
        <f t="shared" si="311"/>
        <v>0</v>
      </c>
      <c r="BQ167" s="148">
        <f t="shared" ref="BQ167:CV167" si="312">BP169</f>
        <v>0</v>
      </c>
      <c r="BR167" s="148">
        <f t="shared" si="312"/>
        <v>0</v>
      </c>
      <c r="BS167" s="148">
        <f t="shared" si="312"/>
        <v>0</v>
      </c>
      <c r="BT167" s="148">
        <f t="shared" si="312"/>
        <v>0</v>
      </c>
      <c r="BU167" s="148">
        <f t="shared" si="312"/>
        <v>0</v>
      </c>
      <c r="BV167" s="148">
        <f t="shared" si="312"/>
        <v>0</v>
      </c>
      <c r="BW167" s="148">
        <f t="shared" si="312"/>
        <v>0</v>
      </c>
      <c r="BX167" s="148">
        <f t="shared" si="312"/>
        <v>0</v>
      </c>
      <c r="BY167" s="148">
        <f t="shared" si="312"/>
        <v>0</v>
      </c>
      <c r="BZ167" s="148">
        <f t="shared" si="312"/>
        <v>0</v>
      </c>
      <c r="CA167" s="148">
        <f t="shared" si="312"/>
        <v>0</v>
      </c>
      <c r="CB167" s="148">
        <f t="shared" si="312"/>
        <v>0</v>
      </c>
      <c r="CC167" s="148">
        <f t="shared" si="312"/>
        <v>0</v>
      </c>
      <c r="CD167" s="148">
        <f t="shared" si="312"/>
        <v>0</v>
      </c>
      <c r="CE167" s="148">
        <f t="shared" si="312"/>
        <v>0</v>
      </c>
      <c r="CF167" s="148">
        <f t="shared" si="312"/>
        <v>0</v>
      </c>
      <c r="CG167" s="148">
        <f t="shared" si="312"/>
        <v>0</v>
      </c>
      <c r="CH167" s="148">
        <f t="shared" si="312"/>
        <v>0</v>
      </c>
      <c r="CI167" s="148">
        <f t="shared" si="312"/>
        <v>0</v>
      </c>
      <c r="CJ167" s="148">
        <f t="shared" si="312"/>
        <v>0</v>
      </c>
      <c r="CK167" s="148">
        <f t="shared" si="312"/>
        <v>0</v>
      </c>
      <c r="CL167" s="148">
        <f t="shared" si="312"/>
        <v>0</v>
      </c>
      <c r="CM167" s="148">
        <f t="shared" si="312"/>
        <v>0</v>
      </c>
      <c r="CN167" s="148">
        <f t="shared" si="312"/>
        <v>0</v>
      </c>
      <c r="CO167" s="148">
        <f t="shared" si="312"/>
        <v>0</v>
      </c>
      <c r="CP167" s="148">
        <f t="shared" si="312"/>
        <v>0</v>
      </c>
      <c r="CQ167" s="148">
        <f t="shared" si="312"/>
        <v>0</v>
      </c>
      <c r="CR167" s="148">
        <f t="shared" si="312"/>
        <v>0</v>
      </c>
      <c r="CS167" s="148">
        <f t="shared" si="312"/>
        <v>0</v>
      </c>
      <c r="CT167" s="148">
        <f t="shared" si="312"/>
        <v>0</v>
      </c>
      <c r="CU167" s="148">
        <f t="shared" si="312"/>
        <v>0</v>
      </c>
      <c r="CV167" s="148">
        <f t="shared" si="312"/>
        <v>0</v>
      </c>
      <c r="CW167" s="148">
        <f t="shared" ref="CW167:DS167" si="313">CV169</f>
        <v>0</v>
      </c>
      <c r="CX167" s="148">
        <f t="shared" si="313"/>
        <v>0</v>
      </c>
      <c r="CY167" s="148">
        <f t="shared" si="313"/>
        <v>0</v>
      </c>
      <c r="CZ167" s="148">
        <f t="shared" si="313"/>
        <v>0</v>
      </c>
      <c r="DA167" s="148">
        <f t="shared" si="313"/>
        <v>0</v>
      </c>
      <c r="DB167" s="148">
        <f t="shared" si="313"/>
        <v>0</v>
      </c>
      <c r="DC167" s="148">
        <f t="shared" si="313"/>
        <v>0</v>
      </c>
      <c r="DD167" s="148">
        <f t="shared" si="313"/>
        <v>0</v>
      </c>
      <c r="DE167" s="148">
        <f t="shared" si="313"/>
        <v>0</v>
      </c>
      <c r="DF167" s="148">
        <f t="shared" si="313"/>
        <v>0</v>
      </c>
      <c r="DG167" s="148">
        <f t="shared" si="313"/>
        <v>0</v>
      </c>
      <c r="DH167" s="148">
        <f t="shared" si="313"/>
        <v>0</v>
      </c>
      <c r="DI167" s="148">
        <f t="shared" si="313"/>
        <v>0</v>
      </c>
      <c r="DJ167" s="148">
        <f t="shared" si="313"/>
        <v>0</v>
      </c>
      <c r="DK167" s="148">
        <f t="shared" si="313"/>
        <v>0</v>
      </c>
      <c r="DL167" s="148">
        <f t="shared" si="313"/>
        <v>0</v>
      </c>
      <c r="DM167" s="148">
        <f t="shared" si="313"/>
        <v>0</v>
      </c>
      <c r="DN167" s="148">
        <f t="shared" si="313"/>
        <v>0</v>
      </c>
      <c r="DO167" s="148">
        <f t="shared" si="313"/>
        <v>0</v>
      </c>
      <c r="DP167" s="148">
        <f t="shared" si="313"/>
        <v>0</v>
      </c>
      <c r="DQ167" s="148">
        <f t="shared" si="313"/>
        <v>0</v>
      </c>
      <c r="DR167" s="148">
        <f t="shared" si="313"/>
        <v>0</v>
      </c>
      <c r="DS167" s="148">
        <f t="shared" si="313"/>
        <v>0</v>
      </c>
    </row>
    <row r="168" spans="1:123" ht="12.75" customHeight="1" x14ac:dyDescent="0.35">
      <c r="A168" s="147" t="s">
        <v>503</v>
      </c>
      <c r="B168" s="148">
        <f>SUM(D168:BQ168)</f>
        <v>0</v>
      </c>
      <c r="C168" s="139">
        <f>B168/60</f>
        <v>0</v>
      </c>
      <c r="D168" s="148">
        <f t="shared" ref="D168:AI168" si="314">MIN(D167,D162)</f>
        <v>0</v>
      </c>
      <c r="E168" s="148">
        <f t="shared" si="314"/>
        <v>0</v>
      </c>
      <c r="F168" s="148">
        <f t="shared" si="314"/>
        <v>0</v>
      </c>
      <c r="G168" s="148">
        <f t="shared" si="314"/>
        <v>0</v>
      </c>
      <c r="H168" s="148">
        <f t="shared" si="314"/>
        <v>0</v>
      </c>
      <c r="I168" s="148">
        <f t="shared" si="314"/>
        <v>0</v>
      </c>
      <c r="J168" s="148">
        <f t="shared" si="314"/>
        <v>0</v>
      </c>
      <c r="K168" s="148">
        <f t="shared" si="314"/>
        <v>0</v>
      </c>
      <c r="L168" s="148">
        <f t="shared" si="314"/>
        <v>0</v>
      </c>
      <c r="M168" s="148">
        <f t="shared" si="314"/>
        <v>0</v>
      </c>
      <c r="N168" s="148">
        <f t="shared" si="314"/>
        <v>0</v>
      </c>
      <c r="O168" s="148">
        <f t="shared" si="314"/>
        <v>0</v>
      </c>
      <c r="P168" s="148">
        <f t="shared" si="314"/>
        <v>0</v>
      </c>
      <c r="Q168" s="148">
        <f t="shared" si="314"/>
        <v>0</v>
      </c>
      <c r="R168" s="148">
        <f t="shared" si="314"/>
        <v>0</v>
      </c>
      <c r="S168" s="148">
        <f t="shared" si="314"/>
        <v>0</v>
      </c>
      <c r="T168" s="148">
        <f t="shared" si="314"/>
        <v>0</v>
      </c>
      <c r="U168" s="148">
        <f t="shared" si="314"/>
        <v>0</v>
      </c>
      <c r="V168" s="148">
        <f t="shared" si="314"/>
        <v>0</v>
      </c>
      <c r="W168" s="148">
        <f t="shared" si="314"/>
        <v>0</v>
      </c>
      <c r="X168" s="148">
        <f t="shared" si="314"/>
        <v>0</v>
      </c>
      <c r="Y168" s="148">
        <f t="shared" si="314"/>
        <v>0</v>
      </c>
      <c r="Z168" s="148">
        <f t="shared" si="314"/>
        <v>0</v>
      </c>
      <c r="AA168" s="148">
        <f t="shared" si="314"/>
        <v>0</v>
      </c>
      <c r="AB168" s="148">
        <f t="shared" si="314"/>
        <v>0</v>
      </c>
      <c r="AC168" s="148">
        <f t="shared" si="314"/>
        <v>0</v>
      </c>
      <c r="AD168" s="148">
        <f t="shared" si="314"/>
        <v>0</v>
      </c>
      <c r="AE168" s="148">
        <f t="shared" si="314"/>
        <v>0</v>
      </c>
      <c r="AF168" s="148">
        <f t="shared" si="314"/>
        <v>0</v>
      </c>
      <c r="AG168" s="148">
        <f t="shared" si="314"/>
        <v>0</v>
      </c>
      <c r="AH168" s="148">
        <f t="shared" si="314"/>
        <v>0</v>
      </c>
      <c r="AI168" s="148">
        <f t="shared" si="314"/>
        <v>0</v>
      </c>
      <c r="AJ168" s="148">
        <f t="shared" ref="AJ168:BO168" si="315">MIN(AJ167,AJ162)</f>
        <v>0</v>
      </c>
      <c r="AK168" s="148">
        <f t="shared" si="315"/>
        <v>0</v>
      </c>
      <c r="AL168" s="148">
        <f t="shared" si="315"/>
        <v>0</v>
      </c>
      <c r="AM168" s="148">
        <f t="shared" si="315"/>
        <v>0</v>
      </c>
      <c r="AN168" s="148">
        <f t="shared" si="315"/>
        <v>0</v>
      </c>
      <c r="AO168" s="148">
        <f t="shared" si="315"/>
        <v>0</v>
      </c>
      <c r="AP168" s="148">
        <f t="shared" si="315"/>
        <v>0</v>
      </c>
      <c r="AQ168" s="148">
        <f t="shared" si="315"/>
        <v>0</v>
      </c>
      <c r="AR168" s="148">
        <f t="shared" si="315"/>
        <v>0</v>
      </c>
      <c r="AS168" s="148">
        <f t="shared" si="315"/>
        <v>0</v>
      </c>
      <c r="AT168" s="148">
        <f t="shared" si="315"/>
        <v>0</v>
      </c>
      <c r="AU168" s="148">
        <f t="shared" si="315"/>
        <v>0</v>
      </c>
      <c r="AV168" s="148">
        <f t="shared" si="315"/>
        <v>0</v>
      </c>
      <c r="AW168" s="148">
        <f t="shared" si="315"/>
        <v>0</v>
      </c>
      <c r="AX168" s="148">
        <f t="shared" si="315"/>
        <v>0</v>
      </c>
      <c r="AY168" s="148">
        <f t="shared" si="315"/>
        <v>0</v>
      </c>
      <c r="AZ168" s="148">
        <f t="shared" si="315"/>
        <v>0</v>
      </c>
      <c r="BA168" s="148">
        <f t="shared" si="315"/>
        <v>0</v>
      </c>
      <c r="BB168" s="148">
        <f t="shared" si="315"/>
        <v>0</v>
      </c>
      <c r="BC168" s="148">
        <f t="shared" si="315"/>
        <v>0</v>
      </c>
      <c r="BD168" s="148">
        <f t="shared" si="315"/>
        <v>0</v>
      </c>
      <c r="BE168" s="148">
        <f t="shared" si="315"/>
        <v>0</v>
      </c>
      <c r="BF168" s="148">
        <f t="shared" si="315"/>
        <v>0</v>
      </c>
      <c r="BG168" s="148">
        <f t="shared" si="315"/>
        <v>0</v>
      </c>
      <c r="BH168" s="148">
        <f t="shared" si="315"/>
        <v>0</v>
      </c>
      <c r="BI168" s="148">
        <f t="shared" si="315"/>
        <v>0</v>
      </c>
      <c r="BJ168" s="148">
        <f t="shared" si="315"/>
        <v>0</v>
      </c>
      <c r="BK168" s="148">
        <f t="shared" si="315"/>
        <v>0</v>
      </c>
      <c r="BL168" s="148">
        <f t="shared" si="315"/>
        <v>0</v>
      </c>
      <c r="BM168" s="148">
        <f t="shared" si="315"/>
        <v>0</v>
      </c>
      <c r="BN168" s="148">
        <f t="shared" si="315"/>
        <v>0</v>
      </c>
      <c r="BO168" s="148">
        <f t="shared" si="315"/>
        <v>0</v>
      </c>
      <c r="BP168" s="148">
        <f t="shared" ref="BP168:CU168" si="316">MIN(BP167,BP162)</f>
        <v>0</v>
      </c>
      <c r="BQ168" s="148">
        <f t="shared" si="316"/>
        <v>0</v>
      </c>
      <c r="BR168" s="148">
        <f t="shared" si="316"/>
        <v>0</v>
      </c>
      <c r="BS168" s="148">
        <f t="shared" si="316"/>
        <v>0</v>
      </c>
      <c r="BT168" s="148">
        <f t="shared" si="316"/>
        <v>0</v>
      </c>
      <c r="BU168" s="148">
        <f t="shared" si="316"/>
        <v>0</v>
      </c>
      <c r="BV168" s="148">
        <f t="shared" si="316"/>
        <v>0</v>
      </c>
      <c r="BW168" s="148">
        <f t="shared" si="316"/>
        <v>0</v>
      </c>
      <c r="BX168" s="148">
        <f t="shared" si="316"/>
        <v>0</v>
      </c>
      <c r="BY168" s="148">
        <f t="shared" si="316"/>
        <v>0</v>
      </c>
      <c r="BZ168" s="148">
        <f t="shared" si="316"/>
        <v>0</v>
      </c>
      <c r="CA168" s="148">
        <f t="shared" si="316"/>
        <v>0</v>
      </c>
      <c r="CB168" s="148">
        <f t="shared" si="316"/>
        <v>0</v>
      </c>
      <c r="CC168" s="148">
        <f t="shared" si="316"/>
        <v>0</v>
      </c>
      <c r="CD168" s="148">
        <f t="shared" si="316"/>
        <v>0</v>
      </c>
      <c r="CE168" s="148">
        <f t="shared" si="316"/>
        <v>0</v>
      </c>
      <c r="CF168" s="148">
        <f t="shared" si="316"/>
        <v>0</v>
      </c>
      <c r="CG168" s="148">
        <f t="shared" si="316"/>
        <v>0</v>
      </c>
      <c r="CH168" s="148">
        <f t="shared" si="316"/>
        <v>0</v>
      </c>
      <c r="CI168" s="148">
        <f t="shared" si="316"/>
        <v>0</v>
      </c>
      <c r="CJ168" s="148">
        <f t="shared" si="316"/>
        <v>0</v>
      </c>
      <c r="CK168" s="148">
        <f t="shared" si="316"/>
        <v>0</v>
      </c>
      <c r="CL168" s="148">
        <f t="shared" si="316"/>
        <v>0</v>
      </c>
      <c r="CM168" s="148">
        <f t="shared" si="316"/>
        <v>0</v>
      </c>
      <c r="CN168" s="148">
        <f t="shared" si="316"/>
        <v>0</v>
      </c>
      <c r="CO168" s="148">
        <f t="shared" si="316"/>
        <v>0</v>
      </c>
      <c r="CP168" s="148">
        <f t="shared" si="316"/>
        <v>0</v>
      </c>
      <c r="CQ168" s="148">
        <f t="shared" si="316"/>
        <v>0</v>
      </c>
      <c r="CR168" s="148">
        <f t="shared" si="316"/>
        <v>0</v>
      </c>
      <c r="CS168" s="148">
        <f t="shared" si="316"/>
        <v>0</v>
      </c>
      <c r="CT168" s="148">
        <f t="shared" si="316"/>
        <v>0</v>
      </c>
      <c r="CU168" s="148">
        <f t="shared" si="316"/>
        <v>0</v>
      </c>
      <c r="CV168" s="148">
        <f t="shared" ref="CV168:DS168" si="317">MIN(CV167,CV162)</f>
        <v>0</v>
      </c>
      <c r="CW168" s="148">
        <f t="shared" si="317"/>
        <v>0</v>
      </c>
      <c r="CX168" s="148">
        <f t="shared" si="317"/>
        <v>0</v>
      </c>
      <c r="CY168" s="148">
        <f t="shared" si="317"/>
        <v>0</v>
      </c>
      <c r="CZ168" s="148">
        <f t="shared" si="317"/>
        <v>0</v>
      </c>
      <c r="DA168" s="148">
        <f t="shared" si="317"/>
        <v>0</v>
      </c>
      <c r="DB168" s="148">
        <f t="shared" si="317"/>
        <v>0</v>
      </c>
      <c r="DC168" s="148">
        <f t="shared" si="317"/>
        <v>0</v>
      </c>
      <c r="DD168" s="148">
        <f t="shared" si="317"/>
        <v>0</v>
      </c>
      <c r="DE168" s="148">
        <f t="shared" si="317"/>
        <v>0</v>
      </c>
      <c r="DF168" s="148">
        <f t="shared" si="317"/>
        <v>0</v>
      </c>
      <c r="DG168" s="148">
        <f t="shared" si="317"/>
        <v>0</v>
      </c>
      <c r="DH168" s="148">
        <f t="shared" si="317"/>
        <v>0</v>
      </c>
      <c r="DI168" s="148">
        <f t="shared" si="317"/>
        <v>0</v>
      </c>
      <c r="DJ168" s="148">
        <f t="shared" si="317"/>
        <v>0</v>
      </c>
      <c r="DK168" s="148">
        <f t="shared" si="317"/>
        <v>0</v>
      </c>
      <c r="DL168" s="148">
        <f t="shared" si="317"/>
        <v>0</v>
      </c>
      <c r="DM168" s="148">
        <f t="shared" si="317"/>
        <v>0</v>
      </c>
      <c r="DN168" s="148">
        <f t="shared" si="317"/>
        <v>0</v>
      </c>
      <c r="DO168" s="148">
        <f t="shared" si="317"/>
        <v>0</v>
      </c>
      <c r="DP168" s="148">
        <f t="shared" si="317"/>
        <v>0</v>
      </c>
      <c r="DQ168" s="148">
        <f t="shared" si="317"/>
        <v>0</v>
      </c>
      <c r="DR168" s="148">
        <f t="shared" si="317"/>
        <v>0</v>
      </c>
      <c r="DS168" s="148">
        <f t="shared" si="317"/>
        <v>0</v>
      </c>
    </row>
    <row r="169" spans="1:123" ht="12.75" customHeight="1" x14ac:dyDescent="0.35">
      <c r="A169" s="147" t="s">
        <v>504</v>
      </c>
      <c r="B169" s="148">
        <f>AA169</f>
        <v>0</v>
      </c>
      <c r="C169" s="139" t="s">
        <v>169</v>
      </c>
      <c r="D169" s="168">
        <f t="shared" ref="D169:AI169" si="318">MAX(D167-D168,0)</f>
        <v>0</v>
      </c>
      <c r="E169" s="168">
        <f t="shared" si="318"/>
        <v>0</v>
      </c>
      <c r="F169" s="168">
        <f t="shared" si="318"/>
        <v>0</v>
      </c>
      <c r="G169" s="168">
        <f t="shared" si="318"/>
        <v>0</v>
      </c>
      <c r="H169" s="168">
        <f t="shared" si="318"/>
        <v>0</v>
      </c>
      <c r="I169" s="168">
        <f t="shared" si="318"/>
        <v>0</v>
      </c>
      <c r="J169" s="168">
        <f t="shared" si="318"/>
        <v>0</v>
      </c>
      <c r="K169" s="168">
        <f t="shared" si="318"/>
        <v>0</v>
      </c>
      <c r="L169" s="168">
        <f t="shared" si="318"/>
        <v>0</v>
      </c>
      <c r="M169" s="168">
        <f t="shared" si="318"/>
        <v>0</v>
      </c>
      <c r="N169" s="168">
        <f t="shared" si="318"/>
        <v>0</v>
      </c>
      <c r="O169" s="168">
        <f t="shared" si="318"/>
        <v>0</v>
      </c>
      <c r="P169" s="168">
        <f t="shared" si="318"/>
        <v>0</v>
      </c>
      <c r="Q169" s="168">
        <f t="shared" si="318"/>
        <v>0</v>
      </c>
      <c r="R169" s="168">
        <f t="shared" si="318"/>
        <v>0</v>
      </c>
      <c r="S169" s="168">
        <f t="shared" si="318"/>
        <v>0</v>
      </c>
      <c r="T169" s="168">
        <f t="shared" si="318"/>
        <v>0</v>
      </c>
      <c r="U169" s="168">
        <f t="shared" si="318"/>
        <v>0</v>
      </c>
      <c r="V169" s="168">
        <f t="shared" si="318"/>
        <v>0</v>
      </c>
      <c r="W169" s="168">
        <f t="shared" si="318"/>
        <v>0</v>
      </c>
      <c r="X169" s="168">
        <f t="shared" si="318"/>
        <v>0</v>
      </c>
      <c r="Y169" s="168">
        <f t="shared" si="318"/>
        <v>0</v>
      </c>
      <c r="Z169" s="168">
        <f t="shared" si="318"/>
        <v>0</v>
      </c>
      <c r="AA169" s="168">
        <f t="shared" si="318"/>
        <v>0</v>
      </c>
      <c r="AB169" s="168">
        <f t="shared" si="318"/>
        <v>0</v>
      </c>
      <c r="AC169" s="168">
        <f t="shared" si="318"/>
        <v>0</v>
      </c>
      <c r="AD169" s="168">
        <f t="shared" si="318"/>
        <v>0</v>
      </c>
      <c r="AE169" s="168">
        <f t="shared" si="318"/>
        <v>0</v>
      </c>
      <c r="AF169" s="168">
        <f t="shared" si="318"/>
        <v>0</v>
      </c>
      <c r="AG169" s="168">
        <f t="shared" si="318"/>
        <v>0</v>
      </c>
      <c r="AH169" s="168">
        <f t="shared" si="318"/>
        <v>0</v>
      </c>
      <c r="AI169" s="168">
        <f t="shared" si="318"/>
        <v>0</v>
      </c>
      <c r="AJ169" s="168">
        <f t="shared" ref="AJ169:BO169" si="319">MAX(AJ167-AJ168,0)</f>
        <v>0</v>
      </c>
      <c r="AK169" s="168">
        <f t="shared" si="319"/>
        <v>0</v>
      </c>
      <c r="AL169" s="168">
        <f t="shared" si="319"/>
        <v>0</v>
      </c>
      <c r="AM169" s="168">
        <f t="shared" si="319"/>
        <v>0</v>
      </c>
      <c r="AN169" s="168">
        <f t="shared" si="319"/>
        <v>0</v>
      </c>
      <c r="AO169" s="168">
        <f t="shared" si="319"/>
        <v>0</v>
      </c>
      <c r="AP169" s="168">
        <f t="shared" si="319"/>
        <v>0</v>
      </c>
      <c r="AQ169" s="168">
        <f t="shared" si="319"/>
        <v>0</v>
      </c>
      <c r="AR169" s="168">
        <f t="shared" si="319"/>
        <v>0</v>
      </c>
      <c r="AS169" s="168">
        <f t="shared" si="319"/>
        <v>0</v>
      </c>
      <c r="AT169" s="168">
        <f t="shared" si="319"/>
        <v>0</v>
      </c>
      <c r="AU169" s="168">
        <f t="shared" si="319"/>
        <v>0</v>
      </c>
      <c r="AV169" s="168">
        <f t="shared" si="319"/>
        <v>0</v>
      </c>
      <c r="AW169" s="168">
        <f t="shared" si="319"/>
        <v>0</v>
      </c>
      <c r="AX169" s="168">
        <f t="shared" si="319"/>
        <v>0</v>
      </c>
      <c r="AY169" s="168">
        <f t="shared" si="319"/>
        <v>0</v>
      </c>
      <c r="AZ169" s="168">
        <f t="shared" si="319"/>
        <v>0</v>
      </c>
      <c r="BA169" s="168">
        <f t="shared" si="319"/>
        <v>0</v>
      </c>
      <c r="BB169" s="168">
        <f t="shared" si="319"/>
        <v>0</v>
      </c>
      <c r="BC169" s="168">
        <f t="shared" si="319"/>
        <v>0</v>
      </c>
      <c r="BD169" s="168">
        <f t="shared" si="319"/>
        <v>0</v>
      </c>
      <c r="BE169" s="168">
        <f t="shared" si="319"/>
        <v>0</v>
      </c>
      <c r="BF169" s="168">
        <f t="shared" si="319"/>
        <v>0</v>
      </c>
      <c r="BG169" s="168">
        <f t="shared" si="319"/>
        <v>0</v>
      </c>
      <c r="BH169" s="168">
        <f t="shared" si="319"/>
        <v>0</v>
      </c>
      <c r="BI169" s="168">
        <f t="shared" si="319"/>
        <v>0</v>
      </c>
      <c r="BJ169" s="168">
        <f t="shared" si="319"/>
        <v>0</v>
      </c>
      <c r="BK169" s="168">
        <f t="shared" si="319"/>
        <v>0</v>
      </c>
      <c r="BL169" s="168">
        <f t="shared" si="319"/>
        <v>0</v>
      </c>
      <c r="BM169" s="168">
        <f t="shared" si="319"/>
        <v>0</v>
      </c>
      <c r="BN169" s="168">
        <f t="shared" si="319"/>
        <v>0</v>
      </c>
      <c r="BO169" s="168">
        <f t="shared" si="319"/>
        <v>0</v>
      </c>
      <c r="BP169" s="168">
        <f t="shared" ref="BP169:CU169" si="320">MAX(BP167-BP168,0)</f>
        <v>0</v>
      </c>
      <c r="BQ169" s="168">
        <f t="shared" si="320"/>
        <v>0</v>
      </c>
      <c r="BR169" s="168">
        <f t="shared" si="320"/>
        <v>0</v>
      </c>
      <c r="BS169" s="168">
        <f t="shared" si="320"/>
        <v>0</v>
      </c>
      <c r="BT169" s="168">
        <f t="shared" si="320"/>
        <v>0</v>
      </c>
      <c r="BU169" s="168">
        <f t="shared" si="320"/>
        <v>0</v>
      </c>
      <c r="BV169" s="168">
        <f t="shared" si="320"/>
        <v>0</v>
      </c>
      <c r="BW169" s="168">
        <f t="shared" si="320"/>
        <v>0</v>
      </c>
      <c r="BX169" s="168">
        <f t="shared" si="320"/>
        <v>0</v>
      </c>
      <c r="BY169" s="168">
        <f t="shared" si="320"/>
        <v>0</v>
      </c>
      <c r="BZ169" s="168">
        <f t="shared" si="320"/>
        <v>0</v>
      </c>
      <c r="CA169" s="168">
        <f t="shared" si="320"/>
        <v>0</v>
      </c>
      <c r="CB169" s="168">
        <f t="shared" si="320"/>
        <v>0</v>
      </c>
      <c r="CC169" s="168">
        <f t="shared" si="320"/>
        <v>0</v>
      </c>
      <c r="CD169" s="168">
        <f t="shared" si="320"/>
        <v>0</v>
      </c>
      <c r="CE169" s="168">
        <f t="shared" si="320"/>
        <v>0</v>
      </c>
      <c r="CF169" s="168">
        <f t="shared" si="320"/>
        <v>0</v>
      </c>
      <c r="CG169" s="168">
        <f t="shared" si="320"/>
        <v>0</v>
      </c>
      <c r="CH169" s="168">
        <f t="shared" si="320"/>
        <v>0</v>
      </c>
      <c r="CI169" s="168">
        <f t="shared" si="320"/>
        <v>0</v>
      </c>
      <c r="CJ169" s="168">
        <f t="shared" si="320"/>
        <v>0</v>
      </c>
      <c r="CK169" s="168">
        <f t="shared" si="320"/>
        <v>0</v>
      </c>
      <c r="CL169" s="168">
        <f t="shared" si="320"/>
        <v>0</v>
      </c>
      <c r="CM169" s="168">
        <f t="shared" si="320"/>
        <v>0</v>
      </c>
      <c r="CN169" s="168">
        <f t="shared" si="320"/>
        <v>0</v>
      </c>
      <c r="CO169" s="168">
        <f t="shared" si="320"/>
        <v>0</v>
      </c>
      <c r="CP169" s="168">
        <f t="shared" si="320"/>
        <v>0</v>
      </c>
      <c r="CQ169" s="168">
        <f t="shared" si="320"/>
        <v>0</v>
      </c>
      <c r="CR169" s="168">
        <f t="shared" si="320"/>
        <v>0</v>
      </c>
      <c r="CS169" s="168">
        <f t="shared" si="320"/>
        <v>0</v>
      </c>
      <c r="CT169" s="168">
        <f t="shared" si="320"/>
        <v>0</v>
      </c>
      <c r="CU169" s="168">
        <f t="shared" si="320"/>
        <v>0</v>
      </c>
      <c r="CV169" s="168">
        <f t="shared" ref="CV169:DS169" si="321">MAX(CV167-CV168,0)</f>
        <v>0</v>
      </c>
      <c r="CW169" s="168">
        <f t="shared" si="321"/>
        <v>0</v>
      </c>
      <c r="CX169" s="168">
        <f t="shared" si="321"/>
        <v>0</v>
      </c>
      <c r="CY169" s="168">
        <f t="shared" si="321"/>
        <v>0</v>
      </c>
      <c r="CZ169" s="168">
        <f t="shared" si="321"/>
        <v>0</v>
      </c>
      <c r="DA169" s="168">
        <f t="shared" si="321"/>
        <v>0</v>
      </c>
      <c r="DB169" s="168">
        <f t="shared" si="321"/>
        <v>0</v>
      </c>
      <c r="DC169" s="168">
        <f t="shared" si="321"/>
        <v>0</v>
      </c>
      <c r="DD169" s="168">
        <f t="shared" si="321"/>
        <v>0</v>
      </c>
      <c r="DE169" s="168">
        <f t="shared" si="321"/>
        <v>0</v>
      </c>
      <c r="DF169" s="168">
        <f t="shared" si="321"/>
        <v>0</v>
      </c>
      <c r="DG169" s="168">
        <f t="shared" si="321"/>
        <v>0</v>
      </c>
      <c r="DH169" s="168">
        <f t="shared" si="321"/>
        <v>0</v>
      </c>
      <c r="DI169" s="168">
        <f t="shared" si="321"/>
        <v>0</v>
      </c>
      <c r="DJ169" s="168">
        <f t="shared" si="321"/>
        <v>0</v>
      </c>
      <c r="DK169" s="168">
        <f t="shared" si="321"/>
        <v>0</v>
      </c>
      <c r="DL169" s="168">
        <f t="shared" si="321"/>
        <v>0</v>
      </c>
      <c r="DM169" s="168">
        <f t="shared" si="321"/>
        <v>0</v>
      </c>
      <c r="DN169" s="168">
        <f t="shared" si="321"/>
        <v>0</v>
      </c>
      <c r="DO169" s="168">
        <f t="shared" si="321"/>
        <v>0</v>
      </c>
      <c r="DP169" s="168">
        <f t="shared" si="321"/>
        <v>0</v>
      </c>
      <c r="DQ169" s="168">
        <f t="shared" si="321"/>
        <v>0</v>
      </c>
      <c r="DR169" s="168">
        <f t="shared" si="321"/>
        <v>0</v>
      </c>
      <c r="DS169" s="168">
        <f t="shared" si="321"/>
        <v>0</v>
      </c>
    </row>
    <row r="170" spans="1:123" ht="12.75" customHeight="1" x14ac:dyDescent="0.35">
      <c r="A170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70" s="162">
        <f>SUM(D170:BQ170)</f>
        <v>34376.434709861991</v>
      </c>
      <c r="C170" s="144">
        <f>B170/60</f>
        <v>572.9405784976999</v>
      </c>
      <c r="D170" s="162">
        <f>D162*Premissas!$F$19</f>
        <v>254.51000283254481</v>
      </c>
      <c r="E170" s="162">
        <f>E162*Premissas!$F$19</f>
        <v>1105.03615775294</v>
      </c>
      <c r="F170" s="162">
        <f>F162*Premissas!$F$19</f>
        <v>1105.03615775294</v>
      </c>
      <c r="G170" s="162">
        <f>G162*Premissas!$F$19</f>
        <v>484.03175084153071</v>
      </c>
      <c r="H170" s="162">
        <f>H162*Premissas!$F$19</f>
        <v>551.59258795707899</v>
      </c>
      <c r="I170" s="162">
        <f>I162*Premissas!$F$19</f>
        <v>432.20425935563065</v>
      </c>
      <c r="J170" s="162">
        <f>J162*Premissas!$F$19</f>
        <v>479.40429624457533</v>
      </c>
      <c r="K170" s="162">
        <f>K162*Premissas!$F$19</f>
        <v>250.80803915498055</v>
      </c>
      <c r="L170" s="162">
        <f>L162*Premissas!$F$19</f>
        <v>289.67865776940556</v>
      </c>
      <c r="M170" s="162">
        <f>M162*Premissas!$F$19</f>
        <v>244.32960271924304</v>
      </c>
      <c r="N170" s="162">
        <f>N162*Premissas!$F$19</f>
        <v>245.25509363863409</v>
      </c>
      <c r="O170" s="162">
        <f>O162*Premissas!$F$19</f>
        <v>258.21196651010911</v>
      </c>
      <c r="P170" s="162">
        <f>P162*Premissas!$F$19</f>
        <v>260.98843926828232</v>
      </c>
      <c r="Q170" s="162">
        <f>Q162*Premissas!$F$19</f>
        <v>1132.8008853346723</v>
      </c>
      <c r="R170" s="162">
        <f>R162*Premissas!$F$19</f>
        <v>1132.8008853346723</v>
      </c>
      <c r="S170" s="162">
        <f>S162*Premissas!$F$19</f>
        <v>496.06313279361461</v>
      </c>
      <c r="T170" s="162">
        <f>T162*Premissas!$F$19</f>
        <v>565.47495174794506</v>
      </c>
      <c r="U170" s="162">
        <f>U162*Premissas!$F$19</f>
        <v>443.31015038832351</v>
      </c>
      <c r="V170" s="162">
        <f>V162*Premissas!$F$19</f>
        <v>491.4356781966593</v>
      </c>
      <c r="W170" s="162">
        <f>W162*Premissas!$F$19</f>
        <v>250.80803915498055</v>
      </c>
      <c r="X170" s="162">
        <f>X162*Premissas!$F$19</f>
        <v>289.67865776940556</v>
      </c>
      <c r="Y170" s="162">
        <f>Y162*Premissas!$F$19</f>
        <v>244.32960271924304</v>
      </c>
      <c r="Z170" s="162">
        <f>Z162*Premissas!$F$19</f>
        <v>245.25509363863409</v>
      </c>
      <c r="AA170" s="162">
        <f>AA162*Premissas!$F$19</f>
        <v>258.21196651010911</v>
      </c>
      <c r="AB170" s="162">
        <f>AB162*Premissas!$F$19</f>
        <v>267.46687570401986</v>
      </c>
      <c r="AC170" s="162">
        <f>AC162*Premissas!$F$19</f>
        <v>1160.5656129164045</v>
      </c>
      <c r="AD170" s="162">
        <f>AD162*Premissas!$F$19</f>
        <v>1160.5656129164045</v>
      </c>
      <c r="AE170" s="162">
        <f>AE162*Premissas!$F$19</f>
        <v>508.09451474569858</v>
      </c>
      <c r="AF170" s="162">
        <f>AF162*Premissas!$F$19</f>
        <v>579.35731553881112</v>
      </c>
      <c r="AG170" s="162">
        <f>AG162*Premissas!$F$19</f>
        <v>454.41604142101642</v>
      </c>
      <c r="AH170" s="162">
        <f>AH162*Premissas!$F$19</f>
        <v>503.4670601487432</v>
      </c>
      <c r="AI170" s="162">
        <f>AI162*Premissas!$F$19</f>
        <v>263.76491202645553</v>
      </c>
      <c r="AJ170" s="162">
        <f>AJ162*Premissas!$F$19</f>
        <v>304.48651247966274</v>
      </c>
      <c r="AK170" s="162">
        <f>AK162*Premissas!$F$19</f>
        <v>256.36098467132695</v>
      </c>
      <c r="AL170" s="162">
        <f>AL162*Premissas!$F$19</f>
        <v>257.28647559071806</v>
      </c>
      <c r="AM170" s="162">
        <f>AM162*Premissas!$F$19</f>
        <v>271.16883938158412</v>
      </c>
      <c r="AN170" s="162">
        <f>AN162*Premissas!$F$19</f>
        <v>273.94531213975733</v>
      </c>
      <c r="AO170" s="162">
        <f>AO162*Premissas!$F$19</f>
        <v>1190.1813223369188</v>
      </c>
      <c r="AP170" s="162">
        <f>AP162*Premissas!$F$19</f>
        <v>1190.1813223369188</v>
      </c>
      <c r="AQ170" s="162">
        <f>AQ162*Premissas!$F$19</f>
        <v>521.05138761717353</v>
      </c>
      <c r="AR170" s="162">
        <f>AR162*Premissas!$F$19</f>
        <v>594.1651702490683</v>
      </c>
      <c r="AS170" s="162">
        <f>AS162*Premissas!$F$19</f>
        <v>465.52193245370927</v>
      </c>
      <c r="AT170" s="162">
        <f>AT162*Premissas!$F$19</f>
        <v>516.42393302021821</v>
      </c>
      <c r="AU170" s="162">
        <f>AU162*Premissas!$F$19</f>
        <v>270.24334846219307</v>
      </c>
      <c r="AV170" s="162">
        <f>AV162*Premissas!$F$19</f>
        <v>311.89043983479127</v>
      </c>
      <c r="AW170" s="162">
        <f>AW162*Premissas!$F$19</f>
        <v>262.83942110706448</v>
      </c>
      <c r="AX170" s="162">
        <f>AX162*Premissas!$F$19</f>
        <v>263.76491202645553</v>
      </c>
      <c r="AY170" s="162">
        <f>AY162*Premissas!$F$19</f>
        <v>277.6472758173216</v>
      </c>
      <c r="AZ170" s="162">
        <f>AZ162*Premissas!$F$19</f>
        <v>281.34923949488592</v>
      </c>
      <c r="BA170" s="162">
        <f>BA162*Premissas!$F$19</f>
        <v>1219.7970317574329</v>
      </c>
      <c r="BB170" s="162">
        <f>BB162*Premissas!$F$19</f>
        <v>1219.7970317574329</v>
      </c>
      <c r="BC170" s="162">
        <f>BC162*Premissas!$F$19</f>
        <v>534.0082604886486</v>
      </c>
      <c r="BD170" s="162">
        <f>BD162*Premissas!$F$19</f>
        <v>608.97302495932547</v>
      </c>
      <c r="BE170" s="162">
        <f>BE162*Premissas!$F$19</f>
        <v>476.62782348640212</v>
      </c>
      <c r="BF170" s="162">
        <f>BF162*Premissas!$F$19</f>
        <v>529.38080589169329</v>
      </c>
      <c r="BG170" s="162">
        <f>BG162*Premissas!$F$19</f>
        <v>276.72178489793055</v>
      </c>
      <c r="BH170" s="162">
        <f>BH162*Premissas!$F$19</f>
        <v>319.29436718991985</v>
      </c>
      <c r="BI170" s="162">
        <f>BI162*Premissas!$F$19</f>
        <v>269.31785754280196</v>
      </c>
      <c r="BJ170" s="162">
        <f>BJ162*Premissas!$F$19</f>
        <v>271.16883938158412</v>
      </c>
      <c r="BK170" s="162">
        <f>BK162*Premissas!$F$19</f>
        <v>285.05120317245019</v>
      </c>
      <c r="BL170" s="162">
        <f>BL162*Premissas!$F$19</f>
        <v>287.8276759306234</v>
      </c>
      <c r="BM170" s="162">
        <f>BM162*Premissas!$F$19</f>
        <v>1250.3382320973383</v>
      </c>
      <c r="BN170" s="162">
        <f>BN162*Premissas!$F$19</f>
        <v>1250.3382320973383</v>
      </c>
      <c r="BO170" s="162">
        <f>BO162*Premissas!$F$19</f>
        <v>547.89062427951467</v>
      </c>
      <c r="BP170" s="162">
        <f>BP162*Premissas!$F$19</f>
        <v>623.78087966958253</v>
      </c>
      <c r="BQ170" s="162">
        <f>BQ162*Premissas!$F$19</f>
        <v>488.65920543848608</v>
      </c>
      <c r="BR170" s="162">
        <f>BR162*Premissas!$F$19</f>
        <v>542.33767876316824</v>
      </c>
      <c r="BS170" s="162">
        <f>BS162*Premissas!$F$19</f>
        <v>284.12571225305913</v>
      </c>
      <c r="BT170" s="162">
        <f>BT162*Premissas!$F$19</f>
        <v>327.62378546443949</v>
      </c>
      <c r="BU170" s="162">
        <f>BU162*Premissas!$F$19</f>
        <v>276.72178489793055</v>
      </c>
      <c r="BV170" s="162">
        <f>BV162*Premissas!$F$19</f>
        <v>277.6472758173216</v>
      </c>
      <c r="BW170" s="162">
        <f>BW162*Premissas!$F$19</f>
        <v>292.45513052757877</v>
      </c>
      <c r="BX170" s="162">
        <f>BX162*Premissas!$F$19</f>
        <v>295.23160328575199</v>
      </c>
      <c r="BY170" s="162">
        <f>BY162*Premissas!$F$19</f>
        <v>1281.8049233566348</v>
      </c>
      <c r="BZ170" s="162">
        <f>BZ162*Premissas!$F$19</f>
        <v>1281.8049233566348</v>
      </c>
      <c r="CA170" s="162">
        <f>CA162*Premissas!$F$19</f>
        <v>561.77298807038073</v>
      </c>
      <c r="CB170" s="162">
        <f>CB162*Premissas!$F$19</f>
        <v>639.51422529923082</v>
      </c>
      <c r="CC170" s="162">
        <f>CC162*Premissas!$F$19</f>
        <v>501.6160783099611</v>
      </c>
      <c r="CD170" s="162">
        <f>CD162*Premissas!$F$19</f>
        <v>556.22004255403431</v>
      </c>
      <c r="CE170" s="162">
        <f>CE162*Premissas!$F$19</f>
        <v>290.60414868879661</v>
      </c>
      <c r="CF170" s="162">
        <f>CF162*Premissas!$F$19</f>
        <v>335.95320373895919</v>
      </c>
      <c r="CG170" s="162">
        <f>CG162*Premissas!$F$19</f>
        <v>283.20022133366808</v>
      </c>
      <c r="CH170" s="162">
        <f>CH162*Premissas!$F$19</f>
        <v>284.12571225305913</v>
      </c>
      <c r="CI170" s="162">
        <f>CI162*Premissas!$F$19</f>
        <v>299.85905788270736</v>
      </c>
      <c r="CJ170" s="162">
        <f>CJ162*Premissas!$F$19</f>
        <v>302.63553064088057</v>
      </c>
      <c r="CK170" s="162">
        <f>CK162*Premissas!$F$19</f>
        <v>1313.2716146159312</v>
      </c>
      <c r="CL170" s="162">
        <f>CL162*Premissas!$F$19</f>
        <v>1313.2716146159312</v>
      </c>
      <c r="CM170" s="162">
        <f>CM162*Premissas!$F$19</f>
        <v>575.6553518612468</v>
      </c>
      <c r="CN170" s="162">
        <f>CN162*Premissas!$F$19</f>
        <v>655.24757092887899</v>
      </c>
      <c r="CO170" s="162">
        <f>CO162*Premissas!$F$19</f>
        <v>513.647460262045</v>
      </c>
      <c r="CP170" s="162">
        <f>CP162*Premissas!$F$19</f>
        <v>570.10240634490037</v>
      </c>
      <c r="CQ170" s="162">
        <f>CQ162*Premissas!$F$19</f>
        <v>298.0080760439252</v>
      </c>
      <c r="CR170" s="162">
        <f>CR162*Premissas!$F$19</f>
        <v>344.28262201347883</v>
      </c>
      <c r="CS170" s="162">
        <f>CS162*Premissas!$F$19</f>
        <v>290.60414868879661</v>
      </c>
      <c r="CT170" s="162">
        <f>CT162*Premissas!$F$19</f>
        <v>291.52963960818772</v>
      </c>
      <c r="CU170" s="162">
        <f>CU162*Premissas!$F$19</f>
        <v>307.26298523783595</v>
      </c>
      <c r="CV170" s="162">
        <f>CV162*Premissas!$F$19</f>
        <v>310.03945799600916</v>
      </c>
      <c r="CW170" s="162">
        <f>CW162*Premissas!$F$19</f>
        <v>1346.58928771401</v>
      </c>
      <c r="CX170" s="162">
        <f>CX162*Premissas!$F$19</f>
        <v>1346.58928771401</v>
      </c>
      <c r="CY170" s="162">
        <f>CY162*Premissas!$F$19</f>
        <v>589.53771565211287</v>
      </c>
      <c r="CZ170" s="162">
        <f>CZ162*Premissas!$F$19</f>
        <v>671.90640747791838</v>
      </c>
      <c r="DA170" s="162">
        <f>DA162*Premissas!$F$19</f>
        <v>526.60433313352007</v>
      </c>
      <c r="DB170" s="162">
        <f>DB162*Premissas!$F$19</f>
        <v>583.98477013576644</v>
      </c>
      <c r="DC170" s="162">
        <f>DC162*Premissas!$F$19</f>
        <v>305.41200339905379</v>
      </c>
      <c r="DD170" s="162">
        <f>DD162*Premissas!$F$19</f>
        <v>352.61204028799847</v>
      </c>
      <c r="DE170" s="162">
        <f>DE162*Premissas!$F$19</f>
        <v>298.0080760439252</v>
      </c>
      <c r="DF170" s="162">
        <f>DF162*Premissas!$F$19</f>
        <v>298.93356696331631</v>
      </c>
      <c r="DG170" s="162">
        <f>DG162*Premissas!$F$19</f>
        <v>314.66691259296454</v>
      </c>
      <c r="DH170" s="162">
        <f>DH162*Premissas!$F$19</f>
        <v>317.44338535113775</v>
      </c>
      <c r="DI170" s="162">
        <f>DI162*Premissas!$F$19</f>
        <v>1379.9069608120885</v>
      </c>
      <c r="DJ170" s="162">
        <f>DJ162*Premissas!$F$19</f>
        <v>1379.9069608120885</v>
      </c>
      <c r="DK170" s="162">
        <f>DK162*Premissas!$F$19</f>
        <v>604.34557036237004</v>
      </c>
      <c r="DL170" s="162">
        <f>DL162*Premissas!$F$19</f>
        <v>688.56524402695766</v>
      </c>
      <c r="DM170" s="162">
        <f>DM162*Premissas!$F$19</f>
        <v>539.56120600499503</v>
      </c>
      <c r="DN170" s="162">
        <f>DN162*Premissas!$F$19</f>
        <v>598.79262484602361</v>
      </c>
      <c r="DO170" s="162">
        <f>DO162*Premissas!$F$19</f>
        <v>312.81593075418238</v>
      </c>
      <c r="DP170" s="162">
        <f>DP162*Premissas!$F$19</f>
        <v>361.86694948190916</v>
      </c>
      <c r="DQ170" s="162">
        <f>DQ162*Premissas!$F$19</f>
        <v>305.41200339905379</v>
      </c>
      <c r="DR170" s="162">
        <f>DR162*Premissas!$F$19</f>
        <v>306.33749431844484</v>
      </c>
      <c r="DS170" s="162">
        <f>DS162*Premissas!$F$19</f>
        <v>322.07083994809307</v>
      </c>
    </row>
    <row r="171" spans="1:123" ht="12.75" customHeight="1" x14ac:dyDescent="0.35">
      <c r="A171" s="163" t="s">
        <v>498</v>
      </c>
      <c r="B171" s="164">
        <f>SUM(D171:BQ171)</f>
        <v>3160.9996386509642</v>
      </c>
      <c r="C171" s="144">
        <f>B171/60</f>
        <v>52.683327310849407</v>
      </c>
      <c r="D171" s="164">
        <f>IF(D166&gt;0,0,MAX(D162-D163-D164,0)*Premissas!$B$7)</f>
        <v>0</v>
      </c>
      <c r="E171" s="164">
        <f>IF(E166&gt;0,0,MAX(E162-E163-E164,0)*Premissas!$B$7)</f>
        <v>0</v>
      </c>
      <c r="F171" s="164">
        <f>IF(F166&gt;0,0,MAX(F162-F163-F164,0)*Premissas!$B$7)</f>
        <v>274.28890064358148</v>
      </c>
      <c r="G171" s="164">
        <f>IF(G166&gt;0,0,MAX(G162-G163-G164,0)*Premissas!$B$7)</f>
        <v>0</v>
      </c>
      <c r="H171" s="164">
        <f>IF(H166&gt;0,0,MAX(H162-H163-H164,0)*Premissas!$B$7)</f>
        <v>0</v>
      </c>
      <c r="I171" s="164">
        <f>IF(I166&gt;0,0,MAX(I162-I163-I164,0)*Premissas!$B$7)</f>
        <v>0</v>
      </c>
      <c r="J171" s="164">
        <f>IF(J166&gt;0,0,MAX(J162-J163-J164,0)*Premissas!$B$7)</f>
        <v>0</v>
      </c>
      <c r="K171" s="164">
        <f>IF(K166&gt;0,0,MAX(K162-K163-K164,0)*Premissas!$B$7)</f>
        <v>0</v>
      </c>
      <c r="L171" s="164">
        <f>IF(L166&gt;0,0,MAX(L162-L163-L164,0)*Premissas!$B$7)</f>
        <v>0</v>
      </c>
      <c r="M171" s="164">
        <f>IF(M166&gt;0,0,MAX(M162-M163-M164,0)*Premissas!$B$7)</f>
        <v>0</v>
      </c>
      <c r="N171" s="164">
        <f>IF(N166&gt;0,0,MAX(N162-N163-N164,0)*Premissas!$B$7)</f>
        <v>0</v>
      </c>
      <c r="O171" s="164">
        <f>IF(O166&gt;0,0,MAX(O162-O163-O164,0)*Premissas!$B$7)</f>
        <v>0</v>
      </c>
      <c r="P171" s="164">
        <f>IF(P166&gt;0,0,MAX(P162-P163-P164,0)*Premissas!$B$7)</f>
        <v>0</v>
      </c>
      <c r="Q171" s="164">
        <f>IF(Q166&gt;0,0,MAX(Q162-Q163-Q164,0)*Premissas!$B$7)</f>
        <v>0</v>
      </c>
      <c r="R171" s="164">
        <f>IF(R166&gt;0,0,MAX(R162-R163-R164,0)*Premissas!$B$7)</f>
        <v>0</v>
      </c>
      <c r="S171" s="164">
        <f>IF(S166&gt;0,0,MAX(S162-S163-S164,0)*Premissas!$B$7)</f>
        <v>0</v>
      </c>
      <c r="T171" s="164">
        <f>IF(T166&gt;0,0,MAX(T162-T163-T164,0)*Premissas!$B$7)</f>
        <v>0</v>
      </c>
      <c r="U171" s="164">
        <f>IF(U166&gt;0,0,MAX(U162-U163-U164,0)*Premissas!$B$7)</f>
        <v>0</v>
      </c>
      <c r="V171" s="164">
        <f>IF(V166&gt;0,0,MAX(V162-V163-V164,0)*Premissas!$B$7)</f>
        <v>0</v>
      </c>
      <c r="W171" s="164">
        <f>IF(W166&gt;0,0,MAX(W162-W163-W164,0)*Premissas!$B$7)</f>
        <v>0</v>
      </c>
      <c r="X171" s="164">
        <f>IF(X166&gt;0,0,MAX(X162-X163-X164,0)*Premissas!$B$7)</f>
        <v>0</v>
      </c>
      <c r="Y171" s="164">
        <f>IF(Y166&gt;0,0,MAX(Y162-Y163-Y164,0)*Premissas!$B$7)</f>
        <v>0</v>
      </c>
      <c r="Z171" s="164">
        <f>IF(Z166&gt;0,0,MAX(Z162-Z163-Z164,0)*Premissas!$B$7)</f>
        <v>0</v>
      </c>
      <c r="AA171" s="164">
        <f>IF(AA166&gt;0,0,MAX(AA162-AA163-AA164,0)*Premissas!$B$7)</f>
        <v>0</v>
      </c>
      <c r="AB171" s="164">
        <f>IF(AB166&gt;0,0,MAX(AB162-AB163-AB164,0)*Premissas!$B$7)</f>
        <v>0</v>
      </c>
      <c r="AC171" s="164">
        <f>IF(AC166&gt;0,0,MAX(AC162-AC163-AC164,0)*Premissas!$B$7)</f>
        <v>0</v>
      </c>
      <c r="AD171" s="164">
        <f>IF(AD166&gt;0,0,MAX(AD162-AD163-AD164,0)*Premissas!$B$7)</f>
        <v>0</v>
      </c>
      <c r="AE171" s="164">
        <f>IF(AE166&gt;0,0,MAX(AE162-AE163-AE164,0)*Premissas!$B$7)</f>
        <v>0</v>
      </c>
      <c r="AF171" s="164">
        <f>IF(AF166&gt;0,0,MAX(AF162-AF163-AF164,0)*Premissas!$B$7)</f>
        <v>0</v>
      </c>
      <c r="AG171" s="164">
        <f>IF(AG166&gt;0,0,MAX(AG162-AG163-AG164,0)*Premissas!$B$7)</f>
        <v>0</v>
      </c>
      <c r="AH171" s="164">
        <f>IF(AH166&gt;0,0,MAX(AH162-AH163-AH164,0)*Premissas!$B$7)</f>
        <v>0</v>
      </c>
      <c r="AI171" s="164">
        <f>IF(AI166&gt;0,0,MAX(AI162-AI163-AI164,0)*Premissas!$B$7)</f>
        <v>0</v>
      </c>
      <c r="AJ171" s="164">
        <f>IF(AJ166&gt;0,0,MAX(AJ162-AJ163-AJ164,0)*Premissas!$B$7)</f>
        <v>0</v>
      </c>
      <c r="AK171" s="164">
        <f>IF(AK166&gt;0,0,MAX(AK162-AK163-AK164,0)*Premissas!$B$7)</f>
        <v>0</v>
      </c>
      <c r="AL171" s="164">
        <f>IF(AL166&gt;0,0,MAX(AL162-AL163-AL164,0)*Premissas!$B$7)</f>
        <v>0</v>
      </c>
      <c r="AM171" s="164">
        <f>IF(AM166&gt;0,0,MAX(AM162-AM163-AM164,0)*Premissas!$B$7)</f>
        <v>0</v>
      </c>
      <c r="AN171" s="164">
        <f>IF(AN166&gt;0,0,MAX(AN162-AN163-AN164,0)*Premissas!$B$7)</f>
        <v>0</v>
      </c>
      <c r="AO171" s="164">
        <f>IF(AO166&gt;0,0,MAX(AO162-AO163-AO164,0)*Premissas!$B$7)</f>
        <v>0</v>
      </c>
      <c r="AP171" s="164">
        <f>IF(AP166&gt;0,0,MAX(AP162-AP163-AP164,0)*Premissas!$B$7)</f>
        <v>0</v>
      </c>
      <c r="AQ171" s="164">
        <f>IF(AQ166&gt;0,0,MAX(AQ162-AQ163-AQ164,0)*Premissas!$B$7)</f>
        <v>0</v>
      </c>
      <c r="AR171" s="164">
        <f>IF(AR166&gt;0,0,MAX(AR162-AR163-AR164,0)*Premissas!$B$7)</f>
        <v>0</v>
      </c>
      <c r="AS171" s="164">
        <f>IF(AS166&gt;0,0,MAX(AS162-AS163-AS164,0)*Premissas!$B$7)</f>
        <v>137.84050948993436</v>
      </c>
      <c r="AT171" s="164">
        <f>IF(AT166&gt;0,0,MAX(AT162-AT163-AT164,0)*Premissas!$B$7)</f>
        <v>218.73134877850859</v>
      </c>
      <c r="AU171" s="164">
        <f>IF(AU166&gt;0,0,MAX(AU162-AU163-AU164,0)*Premissas!$B$7)</f>
        <v>0</v>
      </c>
      <c r="AV171" s="164">
        <f>IF(AV166&gt;0,0,MAX(AV162-AV163-AV164,0)*Premissas!$B$7)</f>
        <v>0</v>
      </c>
      <c r="AW171" s="164">
        <f>IF(AW166&gt;0,0,MAX(AW162-AW163-AW164,0)*Premissas!$B$7)</f>
        <v>0</v>
      </c>
      <c r="AX171" s="164">
        <f>IF(AX166&gt;0,0,MAX(AX162-AX163-AX164,0)*Premissas!$B$7)</f>
        <v>0</v>
      </c>
      <c r="AY171" s="164">
        <f>IF(AY166&gt;0,0,MAX(AY162-AY163-AY164,0)*Premissas!$B$7)</f>
        <v>0</v>
      </c>
      <c r="AZ171" s="164">
        <f>IF(AZ166&gt;0,0,MAX(AZ162-AZ163-AZ164,0)*Premissas!$B$7)</f>
        <v>0</v>
      </c>
      <c r="BA171" s="164">
        <f>IF(BA166&gt;0,0,MAX(BA162-BA163-BA164,0)*Premissas!$B$7)</f>
        <v>677.67827183491261</v>
      </c>
      <c r="BB171" s="164">
        <f>IF(BB166&gt;0,0,MAX(BB162-BB163-BB164,0)*Premissas!$B$7)</f>
        <v>1045.0966688196411</v>
      </c>
      <c r="BC171" s="164">
        <f>IF(BC166&gt;0,0,MAX(BC162-BC163-BC164,0)*Premissas!$B$7)</f>
        <v>217.43506700897368</v>
      </c>
      <c r="BD171" s="164">
        <f>IF(BD166&gt;0,0,MAX(BD162-BD163-BD164,0)*Premissas!$B$7)</f>
        <v>298.68060288090948</v>
      </c>
      <c r="BE171" s="164">
        <f>IF(BE166&gt;0,0,MAX(BE162-BE163-BE164,0)*Premissas!$B$7)</f>
        <v>148.55674196900628</v>
      </c>
      <c r="BF171" s="164">
        <f>IF(BF166&gt;0,0,MAX(BF162-BF163-BF164,0)*Premissas!$B$7)</f>
        <v>142.691527225496</v>
      </c>
      <c r="BG171" s="164">
        <f>IF(BG166&gt;0,0,MAX(BG162-BG163-BG164,0)*Premissas!$B$7)</f>
        <v>0</v>
      </c>
      <c r="BH171" s="164">
        <f>IF(BH166&gt;0,0,MAX(BH162-BH163-BH164,0)*Premissas!$B$7)</f>
        <v>0</v>
      </c>
      <c r="BI171" s="164">
        <f>IF(BI166&gt;0,0,MAX(BI162-BI163-BI164,0)*Premissas!$B$7)</f>
        <v>0</v>
      </c>
      <c r="BJ171" s="164">
        <f>IF(BJ166&gt;0,0,MAX(BJ162-BJ163-BJ164,0)*Premissas!$B$7)</f>
        <v>0</v>
      </c>
      <c r="BK171" s="164">
        <f>IF(BK166&gt;0,0,MAX(BK162-BK163-BK164,0)*Premissas!$B$7)</f>
        <v>0</v>
      </c>
      <c r="BL171" s="164">
        <f>IF(BL166&gt;0,0,MAX(BL162-BL163-BL164,0)*Premissas!$B$7)</f>
        <v>0</v>
      </c>
      <c r="BM171" s="164">
        <f>IF(BM166&gt;0,0,MAX(BM162-BM163-BM164,0)*Premissas!$B$7)</f>
        <v>0</v>
      </c>
      <c r="BN171" s="164">
        <f>IF(BN166&gt;0,0,MAX(BN162-BN163-BN164,0)*Premissas!$B$7)</f>
        <v>0</v>
      </c>
      <c r="BO171" s="164">
        <f>IF(BO166&gt;0,0,MAX(BO162-BO163-BO164,0)*Premissas!$B$7)</f>
        <v>0</v>
      </c>
      <c r="BP171" s="164">
        <f>IF(BP166&gt;0,0,MAX(BP162-BP163-BP164,0)*Premissas!$B$7)</f>
        <v>0</v>
      </c>
      <c r="BQ171" s="164">
        <f>IF(BQ166&gt;0,0,MAX(BQ162-BQ163-BQ164,0)*Premissas!$B$7)</f>
        <v>0</v>
      </c>
      <c r="BR171" s="164">
        <f>IF(BR166&gt;0,0,MAX(BR162-BR163-BR164,0)*Premissas!$B$7)</f>
        <v>0</v>
      </c>
      <c r="BS171" s="164">
        <f>IF(BS166&gt;0,0,MAX(BS162-BS163-BS164,0)*Premissas!$B$7)</f>
        <v>0</v>
      </c>
      <c r="BT171" s="164">
        <f>IF(BT166&gt;0,0,MAX(BT162-BT163-BT164,0)*Premissas!$B$7)</f>
        <v>0</v>
      </c>
      <c r="BU171" s="164">
        <f>IF(BU166&gt;0,0,MAX(BU162-BU163-BU164,0)*Premissas!$B$7)</f>
        <v>0</v>
      </c>
      <c r="BV171" s="164">
        <f>IF(BV166&gt;0,0,MAX(BV162-BV163-BV164,0)*Premissas!$B$7)</f>
        <v>0</v>
      </c>
      <c r="BW171" s="164">
        <f>IF(BW166&gt;0,0,MAX(BW162-BW163-BW164,0)*Premissas!$B$7)</f>
        <v>0</v>
      </c>
      <c r="BX171" s="164">
        <f>IF(BX166&gt;0,0,MAX(BX162-BX163-BX164,0)*Premissas!$B$7)</f>
        <v>0</v>
      </c>
      <c r="BY171" s="164">
        <f>IF(BY166&gt;0,0,MAX(BY162-BY163-BY164,0)*Premissas!$B$7)</f>
        <v>0</v>
      </c>
      <c r="BZ171" s="164">
        <f>IF(BZ166&gt;0,0,MAX(BZ162-BZ163-BZ164,0)*Premissas!$B$7)</f>
        <v>0</v>
      </c>
      <c r="CA171" s="164">
        <f>IF(CA166&gt;0,0,MAX(CA162-CA163-CA164,0)*Premissas!$B$7)</f>
        <v>0</v>
      </c>
      <c r="CB171" s="164">
        <f>IF(CB166&gt;0,0,MAX(CB162-CB163-CB164,0)*Premissas!$B$7)</f>
        <v>0</v>
      </c>
      <c r="CC171" s="164">
        <f>IF(CC166&gt;0,0,MAX(CC162-CC163-CC164,0)*Premissas!$B$7)</f>
        <v>0</v>
      </c>
      <c r="CD171" s="164">
        <f>IF(CD166&gt;0,0,MAX(CD162-CD163-CD164,0)*Premissas!$B$7)</f>
        <v>0</v>
      </c>
      <c r="CE171" s="164">
        <f>IF(CE166&gt;0,0,MAX(CE162-CE163-CE164,0)*Premissas!$B$7)</f>
        <v>0</v>
      </c>
      <c r="CF171" s="164">
        <f>IF(CF166&gt;0,0,MAX(CF162-CF163-CF164,0)*Premissas!$B$7)</f>
        <v>0</v>
      </c>
      <c r="CG171" s="164">
        <f>IF(CG166&gt;0,0,MAX(CG162-CG163-CG164,0)*Premissas!$B$7)</f>
        <v>0</v>
      </c>
      <c r="CH171" s="164">
        <f>IF(CH166&gt;0,0,MAX(CH162-CH163-CH164,0)*Premissas!$B$7)</f>
        <v>0</v>
      </c>
      <c r="CI171" s="164">
        <f>IF(CI166&gt;0,0,MAX(CI162-CI163-CI164,0)*Premissas!$B$7)</f>
        <v>0</v>
      </c>
      <c r="CJ171" s="164">
        <f>IF(CJ166&gt;0,0,MAX(CJ162-CJ163-CJ164,0)*Premissas!$B$7)</f>
        <v>0</v>
      </c>
      <c r="CK171" s="164">
        <f>IF(CK166&gt;0,0,MAX(CK162-CK163-CK164,0)*Premissas!$B$7)</f>
        <v>0</v>
      </c>
      <c r="CL171" s="164">
        <f>IF(CL166&gt;0,0,MAX(CL162-CL163-CL164,0)*Premissas!$B$7)</f>
        <v>0</v>
      </c>
      <c r="CM171" s="164">
        <f>IF(CM166&gt;0,0,MAX(CM162-CM163-CM164,0)*Premissas!$B$7)</f>
        <v>0</v>
      </c>
      <c r="CN171" s="164">
        <f>IF(CN166&gt;0,0,MAX(CN162-CN163-CN164,0)*Premissas!$B$7)</f>
        <v>0</v>
      </c>
      <c r="CO171" s="164">
        <f>IF(CO166&gt;0,0,MAX(CO162-CO163-CO164,0)*Premissas!$B$7)</f>
        <v>0</v>
      </c>
      <c r="CP171" s="164">
        <f>IF(CP166&gt;0,0,MAX(CP162-CP163-CP164,0)*Premissas!$B$7)</f>
        <v>0</v>
      </c>
      <c r="CQ171" s="164">
        <f>IF(CQ166&gt;0,0,MAX(CQ162-CQ163-CQ164,0)*Premissas!$B$7)</f>
        <v>0</v>
      </c>
      <c r="CR171" s="164">
        <f>IF(CR166&gt;0,0,MAX(CR162-CR163-CR164,0)*Premissas!$B$7)</f>
        <v>0</v>
      </c>
      <c r="CS171" s="164">
        <f>IF(CS166&gt;0,0,MAX(CS162-CS163-CS164,0)*Premissas!$B$7)</f>
        <v>0</v>
      </c>
      <c r="CT171" s="164">
        <f>IF(CT166&gt;0,0,MAX(CT162-CT163-CT164,0)*Premissas!$B$7)</f>
        <v>0</v>
      </c>
      <c r="CU171" s="164">
        <f>IF(CU166&gt;0,0,MAX(CU162-CU163-CU164,0)*Premissas!$B$7)</f>
        <v>0</v>
      </c>
      <c r="CV171" s="164">
        <f>IF(CV166&gt;0,0,MAX(CV162-CV163-CV164,0)*Premissas!$B$7)</f>
        <v>0</v>
      </c>
      <c r="CW171" s="164">
        <f>IF(CW166&gt;0,0,MAX(CW162-CW163-CW164,0)*Premissas!$B$7)</f>
        <v>0</v>
      </c>
      <c r="CX171" s="164">
        <f>IF(CX166&gt;0,0,MAX(CX162-CX163-CX164,0)*Premissas!$B$7)</f>
        <v>0</v>
      </c>
      <c r="CY171" s="164">
        <f>IF(CY166&gt;0,0,MAX(CY162-CY163-CY164,0)*Premissas!$B$7)</f>
        <v>0</v>
      </c>
      <c r="CZ171" s="164">
        <f>IF(CZ166&gt;0,0,MAX(CZ162-CZ163-CZ164,0)*Premissas!$B$7)</f>
        <v>0</v>
      </c>
      <c r="DA171" s="164">
        <f>IF(DA166&gt;0,0,MAX(DA162-DA163-DA164,0)*Premissas!$B$7)</f>
        <v>0</v>
      </c>
      <c r="DB171" s="164">
        <f>IF(DB166&gt;0,0,MAX(DB162-DB163-DB164,0)*Premissas!$B$7)</f>
        <v>0</v>
      </c>
      <c r="DC171" s="164">
        <f>IF(DC166&gt;0,0,MAX(DC162-DC163-DC164,0)*Premissas!$B$7)</f>
        <v>0</v>
      </c>
      <c r="DD171" s="164">
        <f>IF(DD166&gt;0,0,MAX(DD162-DD163-DD164,0)*Premissas!$B$7)</f>
        <v>0</v>
      </c>
      <c r="DE171" s="164">
        <f>IF(DE166&gt;0,0,MAX(DE162-DE163-DE164,0)*Premissas!$B$7)</f>
        <v>0</v>
      </c>
      <c r="DF171" s="164">
        <f>IF(DF166&gt;0,0,MAX(DF162-DF163-DF164,0)*Premissas!$B$7)</f>
        <v>0</v>
      </c>
      <c r="DG171" s="164">
        <f>IF(DG166&gt;0,0,MAX(DG162-DG163-DG164,0)*Premissas!$B$7)</f>
        <v>0</v>
      </c>
      <c r="DH171" s="164">
        <f>IF(DH166&gt;0,0,MAX(DH162-DH163-DH164,0)*Premissas!$B$7)</f>
        <v>0</v>
      </c>
      <c r="DI171" s="164">
        <f>IF(DI166&gt;0,0,MAX(DI162-DI163-DI164,0)*Premissas!$B$7)</f>
        <v>0</v>
      </c>
      <c r="DJ171" s="164">
        <f>IF(DJ166&gt;0,0,MAX(DJ162-DJ163-DJ164,0)*Premissas!$B$7)</f>
        <v>0</v>
      </c>
      <c r="DK171" s="164">
        <f>IF(DK166&gt;0,0,MAX(DK162-DK163-DK164,0)*Premissas!$B$7)</f>
        <v>0</v>
      </c>
      <c r="DL171" s="164">
        <f>IF(DL166&gt;0,0,MAX(DL162-DL163-DL164,0)*Premissas!$B$7)</f>
        <v>0</v>
      </c>
      <c r="DM171" s="164">
        <f>IF(DM166&gt;0,0,MAX(DM162-DM163-DM164,0)*Premissas!$B$7)</f>
        <v>0</v>
      </c>
      <c r="DN171" s="164">
        <f>IF(DN166&gt;0,0,MAX(DN162-DN163-DN164,0)*Premissas!$B$7)</f>
        <v>0</v>
      </c>
      <c r="DO171" s="164">
        <f>IF(DO166&gt;0,0,MAX(DO162-DO163-DO164,0)*Premissas!$B$7)</f>
        <v>0</v>
      </c>
      <c r="DP171" s="164">
        <f>IF(DP166&gt;0,0,MAX(DP162-DP163-DP164,0)*Premissas!$B$7)</f>
        <v>0</v>
      </c>
      <c r="DQ171" s="164">
        <f>IF(DQ166&gt;0,0,MAX(DQ162-DQ163-DQ164,0)*Premissas!$B$7)</f>
        <v>0</v>
      </c>
      <c r="DR171" s="164">
        <f>IF(DR166&gt;0,0,MAX(DR162-DR163-DR164,0)*Premissas!$B$7)</f>
        <v>0</v>
      </c>
      <c r="DS171" s="164">
        <f>IF(DS166&gt;0,0,MAX(DS162-DS163-DS164,0)*Premissas!$B$7)</f>
        <v>0</v>
      </c>
    </row>
    <row r="172" spans="1:123" ht="13.5" customHeight="1" x14ac:dyDescent="0.35">
      <c r="A172" s="39" t="s">
        <v>499</v>
      </c>
      <c r="B172" s="42">
        <f>SUM(D172:BQ172)</f>
        <v>31215.435071211014</v>
      </c>
      <c r="C172" s="144">
        <f>B172/60</f>
        <v>520.25725118685023</v>
      </c>
      <c r="D172" s="165">
        <f t="shared" ref="D172:AI172" si="322">MAX(D170-D171,0)</f>
        <v>254.51000283254481</v>
      </c>
      <c r="E172" s="165">
        <f t="shared" si="322"/>
        <v>1105.03615775294</v>
      </c>
      <c r="F172" s="165">
        <f t="shared" si="322"/>
        <v>830.74725710935854</v>
      </c>
      <c r="G172" s="165">
        <f t="shared" si="322"/>
        <v>484.03175084153071</v>
      </c>
      <c r="H172" s="165">
        <f t="shared" si="322"/>
        <v>551.59258795707899</v>
      </c>
      <c r="I172" s="165">
        <f t="shared" si="322"/>
        <v>432.20425935563065</v>
      </c>
      <c r="J172" s="165">
        <f t="shared" si="322"/>
        <v>479.40429624457533</v>
      </c>
      <c r="K172" s="165">
        <f t="shared" si="322"/>
        <v>250.80803915498055</v>
      </c>
      <c r="L172" s="165">
        <f t="shared" si="322"/>
        <v>289.67865776940556</v>
      </c>
      <c r="M172" s="165">
        <f t="shared" si="322"/>
        <v>244.32960271924304</v>
      </c>
      <c r="N172" s="165">
        <f t="shared" si="322"/>
        <v>245.25509363863409</v>
      </c>
      <c r="O172" s="165">
        <f t="shared" si="322"/>
        <v>258.21196651010911</v>
      </c>
      <c r="P172" s="165">
        <f t="shared" si="322"/>
        <v>260.98843926828232</v>
      </c>
      <c r="Q172" s="165">
        <f t="shared" si="322"/>
        <v>1132.8008853346723</v>
      </c>
      <c r="R172" s="165">
        <f t="shared" si="322"/>
        <v>1132.8008853346723</v>
      </c>
      <c r="S172" s="165">
        <f t="shared" si="322"/>
        <v>496.06313279361461</v>
      </c>
      <c r="T172" s="165">
        <f t="shared" si="322"/>
        <v>565.47495174794506</v>
      </c>
      <c r="U172" s="165">
        <f t="shared" si="322"/>
        <v>443.31015038832351</v>
      </c>
      <c r="V172" s="165">
        <f t="shared" si="322"/>
        <v>491.4356781966593</v>
      </c>
      <c r="W172" s="165">
        <f t="shared" si="322"/>
        <v>250.80803915498055</v>
      </c>
      <c r="X172" s="165">
        <f t="shared" si="322"/>
        <v>289.67865776940556</v>
      </c>
      <c r="Y172" s="165">
        <f t="shared" si="322"/>
        <v>244.32960271924304</v>
      </c>
      <c r="Z172" s="165">
        <f t="shared" si="322"/>
        <v>245.25509363863409</v>
      </c>
      <c r="AA172" s="165">
        <f t="shared" si="322"/>
        <v>258.21196651010911</v>
      </c>
      <c r="AB172" s="165">
        <f t="shared" si="322"/>
        <v>267.46687570401986</v>
      </c>
      <c r="AC172" s="165">
        <f t="shared" si="322"/>
        <v>1160.5656129164045</v>
      </c>
      <c r="AD172" s="165">
        <f t="shared" si="322"/>
        <v>1160.5656129164045</v>
      </c>
      <c r="AE172" s="165">
        <f t="shared" si="322"/>
        <v>508.09451474569858</v>
      </c>
      <c r="AF172" s="165">
        <f t="shared" si="322"/>
        <v>579.35731553881112</v>
      </c>
      <c r="AG172" s="165">
        <f t="shared" si="322"/>
        <v>454.41604142101642</v>
      </c>
      <c r="AH172" s="165">
        <f t="shared" si="322"/>
        <v>503.4670601487432</v>
      </c>
      <c r="AI172" s="165">
        <f t="shared" si="322"/>
        <v>263.76491202645553</v>
      </c>
      <c r="AJ172" s="165">
        <f t="shared" ref="AJ172:BO172" si="323">MAX(AJ170-AJ171,0)</f>
        <v>304.48651247966274</v>
      </c>
      <c r="AK172" s="165">
        <f t="shared" si="323"/>
        <v>256.36098467132695</v>
      </c>
      <c r="AL172" s="165">
        <f t="shared" si="323"/>
        <v>257.28647559071806</v>
      </c>
      <c r="AM172" s="165">
        <f t="shared" si="323"/>
        <v>271.16883938158412</v>
      </c>
      <c r="AN172" s="165">
        <f t="shared" si="323"/>
        <v>273.94531213975733</v>
      </c>
      <c r="AO172" s="165">
        <f t="shared" si="323"/>
        <v>1190.1813223369188</v>
      </c>
      <c r="AP172" s="165">
        <f t="shared" si="323"/>
        <v>1190.1813223369188</v>
      </c>
      <c r="AQ172" s="165">
        <f t="shared" si="323"/>
        <v>521.05138761717353</v>
      </c>
      <c r="AR172" s="165">
        <f t="shared" si="323"/>
        <v>594.1651702490683</v>
      </c>
      <c r="AS172" s="165">
        <f t="shared" si="323"/>
        <v>327.68142296377493</v>
      </c>
      <c r="AT172" s="165">
        <f t="shared" si="323"/>
        <v>297.6925842417096</v>
      </c>
      <c r="AU172" s="165">
        <f t="shared" si="323"/>
        <v>270.24334846219307</v>
      </c>
      <c r="AV172" s="165">
        <f t="shared" si="323"/>
        <v>311.89043983479127</v>
      </c>
      <c r="AW172" s="165">
        <f t="shared" si="323"/>
        <v>262.83942110706448</v>
      </c>
      <c r="AX172" s="165">
        <f t="shared" si="323"/>
        <v>263.76491202645553</v>
      </c>
      <c r="AY172" s="165">
        <f t="shared" si="323"/>
        <v>277.6472758173216</v>
      </c>
      <c r="AZ172" s="165">
        <f t="shared" si="323"/>
        <v>281.34923949488592</v>
      </c>
      <c r="BA172" s="165">
        <f t="shared" si="323"/>
        <v>542.11875992252033</v>
      </c>
      <c r="BB172" s="165">
        <f t="shared" si="323"/>
        <v>174.70036293779185</v>
      </c>
      <c r="BC172" s="165">
        <f t="shared" si="323"/>
        <v>316.57319347967496</v>
      </c>
      <c r="BD172" s="165">
        <f t="shared" si="323"/>
        <v>310.292422078416</v>
      </c>
      <c r="BE172" s="165">
        <f t="shared" si="323"/>
        <v>328.07108151739584</v>
      </c>
      <c r="BF172" s="165">
        <f t="shared" si="323"/>
        <v>386.68927866619731</v>
      </c>
      <c r="BG172" s="165">
        <f t="shared" si="323"/>
        <v>276.72178489793055</v>
      </c>
      <c r="BH172" s="165">
        <f t="shared" si="323"/>
        <v>319.29436718991985</v>
      </c>
      <c r="BI172" s="165">
        <f t="shared" si="323"/>
        <v>269.31785754280196</v>
      </c>
      <c r="BJ172" s="165">
        <f t="shared" si="323"/>
        <v>271.16883938158412</v>
      </c>
      <c r="BK172" s="165">
        <f t="shared" si="323"/>
        <v>285.05120317245019</v>
      </c>
      <c r="BL172" s="165">
        <f t="shared" si="323"/>
        <v>287.8276759306234</v>
      </c>
      <c r="BM172" s="165">
        <f t="shared" si="323"/>
        <v>1250.3382320973383</v>
      </c>
      <c r="BN172" s="165">
        <f t="shared" si="323"/>
        <v>1250.3382320973383</v>
      </c>
      <c r="BO172" s="165">
        <f t="shared" si="323"/>
        <v>547.89062427951467</v>
      </c>
      <c r="BP172" s="165">
        <f t="shared" ref="BP172:CU172" si="324">MAX(BP170-BP171,0)</f>
        <v>623.78087966958253</v>
      </c>
      <c r="BQ172" s="165">
        <f t="shared" si="324"/>
        <v>488.65920543848608</v>
      </c>
      <c r="BR172" s="165">
        <f t="shared" si="324"/>
        <v>542.33767876316824</v>
      </c>
      <c r="BS172" s="165">
        <f t="shared" si="324"/>
        <v>284.12571225305913</v>
      </c>
      <c r="BT172" s="165">
        <f t="shared" si="324"/>
        <v>327.62378546443949</v>
      </c>
      <c r="BU172" s="165">
        <f t="shared" si="324"/>
        <v>276.72178489793055</v>
      </c>
      <c r="BV172" s="165">
        <f t="shared" si="324"/>
        <v>277.6472758173216</v>
      </c>
      <c r="BW172" s="165">
        <f t="shared" si="324"/>
        <v>292.45513052757877</v>
      </c>
      <c r="BX172" s="165">
        <f t="shared" si="324"/>
        <v>295.23160328575199</v>
      </c>
      <c r="BY172" s="165">
        <f t="shared" si="324"/>
        <v>1281.8049233566348</v>
      </c>
      <c r="BZ172" s="165">
        <f t="shared" si="324"/>
        <v>1281.8049233566348</v>
      </c>
      <c r="CA172" s="165">
        <f t="shared" si="324"/>
        <v>561.77298807038073</v>
      </c>
      <c r="CB172" s="165">
        <f t="shared" si="324"/>
        <v>639.51422529923082</v>
      </c>
      <c r="CC172" s="165">
        <f t="shared" si="324"/>
        <v>501.6160783099611</v>
      </c>
      <c r="CD172" s="165">
        <f t="shared" si="324"/>
        <v>556.22004255403431</v>
      </c>
      <c r="CE172" s="165">
        <f t="shared" si="324"/>
        <v>290.60414868879661</v>
      </c>
      <c r="CF172" s="165">
        <f t="shared" si="324"/>
        <v>335.95320373895919</v>
      </c>
      <c r="CG172" s="165">
        <f t="shared" si="324"/>
        <v>283.20022133366808</v>
      </c>
      <c r="CH172" s="165">
        <f t="shared" si="324"/>
        <v>284.12571225305913</v>
      </c>
      <c r="CI172" s="165">
        <f t="shared" si="324"/>
        <v>299.85905788270736</v>
      </c>
      <c r="CJ172" s="165">
        <f t="shared" si="324"/>
        <v>302.63553064088057</v>
      </c>
      <c r="CK172" s="165">
        <f t="shared" si="324"/>
        <v>1313.2716146159312</v>
      </c>
      <c r="CL172" s="165">
        <f t="shared" si="324"/>
        <v>1313.2716146159312</v>
      </c>
      <c r="CM172" s="165">
        <f t="shared" si="324"/>
        <v>575.6553518612468</v>
      </c>
      <c r="CN172" s="165">
        <f t="shared" si="324"/>
        <v>655.24757092887899</v>
      </c>
      <c r="CO172" s="165">
        <f t="shared" si="324"/>
        <v>513.647460262045</v>
      </c>
      <c r="CP172" s="165">
        <f t="shared" si="324"/>
        <v>570.10240634490037</v>
      </c>
      <c r="CQ172" s="165">
        <f t="shared" si="324"/>
        <v>298.0080760439252</v>
      </c>
      <c r="CR172" s="165">
        <f t="shared" si="324"/>
        <v>344.28262201347883</v>
      </c>
      <c r="CS172" s="165">
        <f t="shared" si="324"/>
        <v>290.60414868879661</v>
      </c>
      <c r="CT172" s="165">
        <f t="shared" si="324"/>
        <v>291.52963960818772</v>
      </c>
      <c r="CU172" s="165">
        <f t="shared" si="324"/>
        <v>307.26298523783595</v>
      </c>
      <c r="CV172" s="165">
        <f t="shared" ref="CV172:DS172" si="325">MAX(CV170-CV171,0)</f>
        <v>310.03945799600916</v>
      </c>
      <c r="CW172" s="165">
        <f t="shared" si="325"/>
        <v>1346.58928771401</v>
      </c>
      <c r="CX172" s="165">
        <f t="shared" si="325"/>
        <v>1346.58928771401</v>
      </c>
      <c r="CY172" s="165">
        <f t="shared" si="325"/>
        <v>589.53771565211287</v>
      </c>
      <c r="CZ172" s="165">
        <f t="shared" si="325"/>
        <v>671.90640747791838</v>
      </c>
      <c r="DA172" s="165">
        <f t="shared" si="325"/>
        <v>526.60433313352007</v>
      </c>
      <c r="DB172" s="165">
        <f t="shared" si="325"/>
        <v>583.98477013576644</v>
      </c>
      <c r="DC172" s="165">
        <f t="shared" si="325"/>
        <v>305.41200339905379</v>
      </c>
      <c r="DD172" s="165">
        <f t="shared" si="325"/>
        <v>352.61204028799847</v>
      </c>
      <c r="DE172" s="165">
        <f t="shared" si="325"/>
        <v>298.0080760439252</v>
      </c>
      <c r="DF172" s="165">
        <f t="shared" si="325"/>
        <v>298.93356696331631</v>
      </c>
      <c r="DG172" s="165">
        <f t="shared" si="325"/>
        <v>314.66691259296454</v>
      </c>
      <c r="DH172" s="165">
        <f t="shared" si="325"/>
        <v>317.44338535113775</v>
      </c>
      <c r="DI172" s="165">
        <f t="shared" si="325"/>
        <v>1379.9069608120885</v>
      </c>
      <c r="DJ172" s="165">
        <f t="shared" si="325"/>
        <v>1379.9069608120885</v>
      </c>
      <c r="DK172" s="165">
        <f t="shared" si="325"/>
        <v>604.34557036237004</v>
      </c>
      <c r="DL172" s="165">
        <f t="shared" si="325"/>
        <v>688.56524402695766</v>
      </c>
      <c r="DM172" s="165">
        <f t="shared" si="325"/>
        <v>539.56120600499503</v>
      </c>
      <c r="DN172" s="165">
        <f t="shared" si="325"/>
        <v>598.79262484602361</v>
      </c>
      <c r="DO172" s="165">
        <f t="shared" si="325"/>
        <v>312.81593075418238</v>
      </c>
      <c r="DP172" s="165">
        <f t="shared" si="325"/>
        <v>361.86694948190916</v>
      </c>
      <c r="DQ172" s="165">
        <f t="shared" si="325"/>
        <v>305.41200339905379</v>
      </c>
      <c r="DR172" s="165">
        <f t="shared" si="325"/>
        <v>306.33749431844484</v>
      </c>
      <c r="DS172" s="165">
        <f t="shared" si="325"/>
        <v>322.07083994809307</v>
      </c>
    </row>
    <row r="174" spans="1:123" ht="15" customHeight="1" x14ac:dyDescent="0.35">
      <c r="A174" s="289" t="s">
        <v>513</v>
      </c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289"/>
      <c r="W174" s="289"/>
      <c r="X174" s="289"/>
      <c r="Y174" s="289"/>
      <c r="Z174" s="289"/>
      <c r="AA174" s="289"/>
    </row>
    <row r="175" spans="1:123" ht="12.75" customHeight="1" x14ac:dyDescent="0.35">
      <c r="A175" s="166" t="s">
        <v>486</v>
      </c>
      <c r="B175" s="167">
        <f>SUM(D175:BQ175)</f>
        <v>60270</v>
      </c>
      <c r="C175" s="139">
        <f>B175/60</f>
        <v>1004.5</v>
      </c>
      <c r="D175" s="167">
        <v>554</v>
      </c>
      <c r="E175" s="167">
        <v>475</v>
      </c>
      <c r="F175" s="167">
        <v>525</v>
      </c>
      <c r="G175" s="167">
        <v>750</v>
      </c>
      <c r="H175" s="167">
        <v>939</v>
      </c>
      <c r="I175" s="167">
        <v>900</v>
      </c>
      <c r="J175" s="167">
        <v>1260</v>
      </c>
      <c r="K175" s="167">
        <v>1169</v>
      </c>
      <c r="L175" s="167">
        <v>1128</v>
      </c>
      <c r="M175" s="167">
        <v>1210</v>
      </c>
      <c r="N175" s="167">
        <v>938</v>
      </c>
      <c r="O175" s="167">
        <v>751</v>
      </c>
      <c r="P175" s="167">
        <v>568</v>
      </c>
      <c r="Q175" s="167">
        <v>487</v>
      </c>
      <c r="R175" s="167">
        <v>538</v>
      </c>
      <c r="S175" s="167">
        <v>769</v>
      </c>
      <c r="T175" s="167">
        <v>962</v>
      </c>
      <c r="U175" s="167">
        <v>922</v>
      </c>
      <c r="V175" s="167">
        <v>1292</v>
      </c>
      <c r="W175" s="167">
        <v>1169</v>
      </c>
      <c r="X175" s="167">
        <v>1128</v>
      </c>
      <c r="Y175" s="167">
        <v>1210</v>
      </c>
      <c r="Z175" s="167">
        <v>938</v>
      </c>
      <c r="AA175" s="167">
        <v>751</v>
      </c>
      <c r="AB175" s="167">
        <v>582</v>
      </c>
      <c r="AC175" s="167">
        <v>499</v>
      </c>
      <c r="AD175" s="167">
        <v>552</v>
      </c>
      <c r="AE175" s="167">
        <v>788</v>
      </c>
      <c r="AF175" s="167">
        <v>987</v>
      </c>
      <c r="AG175" s="167">
        <v>946</v>
      </c>
      <c r="AH175" s="167">
        <v>1324</v>
      </c>
      <c r="AI175" s="167">
        <v>1228</v>
      </c>
      <c r="AJ175" s="167">
        <v>1185</v>
      </c>
      <c r="AK175" s="167">
        <v>1271</v>
      </c>
      <c r="AL175" s="167">
        <v>985</v>
      </c>
      <c r="AM175" s="167">
        <v>789</v>
      </c>
      <c r="AN175" s="167">
        <v>597</v>
      </c>
      <c r="AO175" s="167">
        <v>512</v>
      </c>
      <c r="AP175" s="167">
        <v>565</v>
      </c>
      <c r="AQ175" s="167">
        <v>808</v>
      </c>
      <c r="AR175" s="167">
        <v>1011</v>
      </c>
      <c r="AS175" s="167">
        <v>969</v>
      </c>
      <c r="AT175" s="167">
        <v>1357</v>
      </c>
      <c r="AU175" s="167">
        <v>1259</v>
      </c>
      <c r="AV175" s="167">
        <v>1215</v>
      </c>
      <c r="AW175" s="167">
        <v>1303</v>
      </c>
      <c r="AX175" s="167">
        <v>1010</v>
      </c>
      <c r="AY175" s="167">
        <v>809</v>
      </c>
      <c r="AZ175" s="167">
        <v>612</v>
      </c>
      <c r="BA175" s="167">
        <v>524</v>
      </c>
      <c r="BB175" s="167">
        <v>580</v>
      </c>
      <c r="BC175" s="167">
        <v>828</v>
      </c>
      <c r="BD175" s="167">
        <v>1036</v>
      </c>
      <c r="BE175" s="167">
        <v>993</v>
      </c>
      <c r="BF175" s="167">
        <v>1391</v>
      </c>
      <c r="BG175" s="167">
        <v>1290</v>
      </c>
      <c r="BH175" s="167">
        <v>1245</v>
      </c>
      <c r="BI175" s="167">
        <v>1336</v>
      </c>
      <c r="BJ175" s="167">
        <v>1035</v>
      </c>
      <c r="BK175" s="167">
        <v>829</v>
      </c>
      <c r="BL175" s="167">
        <v>627</v>
      </c>
      <c r="BM175" s="167">
        <v>537</v>
      </c>
      <c r="BN175" s="167">
        <v>594</v>
      </c>
      <c r="BO175" s="167">
        <v>849</v>
      </c>
      <c r="BP175" s="167">
        <v>1062</v>
      </c>
      <c r="BQ175" s="167">
        <v>1018</v>
      </c>
      <c r="BR175" s="167">
        <v>1426</v>
      </c>
      <c r="BS175" s="167">
        <v>1323</v>
      </c>
      <c r="BT175" s="167">
        <v>1276</v>
      </c>
      <c r="BU175" s="167">
        <v>1369</v>
      </c>
      <c r="BV175" s="167">
        <v>1061</v>
      </c>
      <c r="BW175" s="167">
        <v>850</v>
      </c>
      <c r="BX175" s="167">
        <v>642</v>
      </c>
      <c r="BY175" s="167">
        <v>551</v>
      </c>
      <c r="BZ175" s="167">
        <v>609</v>
      </c>
      <c r="CA175" s="167">
        <v>870</v>
      </c>
      <c r="CB175" s="167">
        <v>1089</v>
      </c>
      <c r="CC175" s="167">
        <v>1044</v>
      </c>
      <c r="CD175" s="167">
        <v>1461</v>
      </c>
      <c r="CE175" s="167">
        <v>1356</v>
      </c>
      <c r="CF175" s="167">
        <v>1308</v>
      </c>
      <c r="CG175" s="167">
        <v>1403</v>
      </c>
      <c r="CH175" s="167">
        <v>1088</v>
      </c>
      <c r="CI175" s="167">
        <v>871</v>
      </c>
      <c r="CJ175" s="167">
        <v>659</v>
      </c>
      <c r="CK175" s="167">
        <v>565</v>
      </c>
      <c r="CL175" s="167">
        <v>624</v>
      </c>
      <c r="CM175" s="167">
        <v>892</v>
      </c>
      <c r="CN175" s="167">
        <v>1116</v>
      </c>
      <c r="CO175" s="167">
        <v>1070</v>
      </c>
      <c r="CP175" s="167">
        <v>1498</v>
      </c>
      <c r="CQ175" s="167">
        <v>1390</v>
      </c>
      <c r="CR175" s="167">
        <v>1341</v>
      </c>
      <c r="CS175" s="167">
        <v>1438</v>
      </c>
      <c r="CT175" s="167">
        <v>1115</v>
      </c>
      <c r="CU175" s="167">
        <v>893</v>
      </c>
      <c r="CV175" s="167">
        <v>675</v>
      </c>
      <c r="CW175" s="167">
        <v>579</v>
      </c>
      <c r="CX175" s="167">
        <v>640</v>
      </c>
      <c r="CY175" s="167">
        <v>914</v>
      </c>
      <c r="CZ175" s="167">
        <v>1144</v>
      </c>
      <c r="DA175" s="167">
        <v>1097</v>
      </c>
      <c r="DB175" s="167">
        <v>1535</v>
      </c>
      <c r="DC175" s="167">
        <v>1424</v>
      </c>
      <c r="DD175" s="167">
        <v>1374</v>
      </c>
      <c r="DE175" s="167">
        <v>1474</v>
      </c>
      <c r="DF175" s="167">
        <v>1143</v>
      </c>
      <c r="DG175" s="167">
        <v>915</v>
      </c>
      <c r="DH175" s="167">
        <v>692</v>
      </c>
      <c r="DI175" s="167">
        <v>593</v>
      </c>
      <c r="DJ175" s="167">
        <v>656</v>
      </c>
      <c r="DK175" s="167">
        <v>937</v>
      </c>
      <c r="DL175" s="167">
        <v>1173</v>
      </c>
      <c r="DM175" s="167">
        <v>1124</v>
      </c>
      <c r="DN175" s="167">
        <v>1574</v>
      </c>
      <c r="DO175" s="167">
        <v>1460</v>
      </c>
      <c r="DP175" s="167">
        <v>1409</v>
      </c>
      <c r="DQ175" s="167">
        <v>1511</v>
      </c>
      <c r="DR175" s="167">
        <v>1171</v>
      </c>
      <c r="DS175" s="167">
        <v>938</v>
      </c>
    </row>
    <row r="176" spans="1:123" ht="12.75" customHeight="1" x14ac:dyDescent="0.35">
      <c r="A176" s="142" t="str">
        <f>"  "&amp;INDEX(PVSYST_Helexia!$A$5:$A$7,MATCH(Premissas!$B$13,PVSYST_Helexia!$B$5:$B$7,0))&amp;" créditos recebidos (kWh)"</f>
        <v xml:space="preserve">  HCS03 créditos recebidos (kWh)</v>
      </c>
      <c r="B176" s="155">
        <f>SUM(D176:BQ176)</f>
        <v>72715.732628536425</v>
      </c>
      <c r="C176" s="139">
        <f>B176/60</f>
        <v>1211.9288771422737</v>
      </c>
      <c r="D176" s="156">
        <f>D6*Premissas!$B$45</f>
        <v>520.75799999999992</v>
      </c>
      <c r="E176" s="156">
        <f>E6*Premissas!$B$45</f>
        <v>548.14199999999994</v>
      </c>
      <c r="F176" s="156">
        <f>F6*Premissas!$B$45</f>
        <v>658.01400000000001</v>
      </c>
      <c r="G176" s="156">
        <f>G6*Premissas!$B$45</f>
        <v>617.44200000000001</v>
      </c>
      <c r="H176" s="156">
        <f>H6*Premissas!$C$45</f>
        <v>1722.3120000000001</v>
      </c>
      <c r="I176" s="156">
        <f>I6*Premissas!$C$45</f>
        <v>1665.3120000000001</v>
      </c>
      <c r="J176" s="156">
        <f>J6*Premissas!$C$45</f>
        <v>1581.2940000000001</v>
      </c>
      <c r="K176" s="156">
        <f>K6*Premissas!$C$45</f>
        <v>1623.6370199999999</v>
      </c>
      <c r="L176" s="156">
        <f>L6*Premissas!$C$45</f>
        <v>1446.7996500000002</v>
      </c>
      <c r="M176" s="156">
        <f>M6*Premissas!$C$45</f>
        <v>1659.4809</v>
      </c>
      <c r="N176" s="156">
        <f>N6*Premissas!$D$45</f>
        <v>798.87554999999998</v>
      </c>
      <c r="O176" s="156">
        <f>O6*Premissas!$D$45</f>
        <v>747.65294999999992</v>
      </c>
      <c r="P176" s="156">
        <f>P6*Premissas!$D$45</f>
        <v>678.53527499999996</v>
      </c>
      <c r="Q176" s="156">
        <f>Q6*Premissas!$D$45</f>
        <v>714.21597499999984</v>
      </c>
      <c r="R176" s="156">
        <f>R6*Premissas!$D$45</f>
        <v>857.37657499999989</v>
      </c>
      <c r="S176" s="156">
        <f>S6*Premissas!$D$45</f>
        <v>804.51222500000006</v>
      </c>
      <c r="T176" s="156">
        <f>T6*Premissas!$E$45</f>
        <v>1533.3109200000001</v>
      </c>
      <c r="U176" s="156">
        <f>U6*Premissas!$E$45</f>
        <v>1482.5659200000002</v>
      </c>
      <c r="V176" s="156">
        <f>V6*Premissas!$E$45</f>
        <v>1407.7677900000003</v>
      </c>
      <c r="W176" s="156">
        <f>W6*Premissas!$E$45</f>
        <v>1452.72786</v>
      </c>
      <c r="X176" s="156">
        <f>X6*Premissas!$E$45</f>
        <v>1294.50495</v>
      </c>
      <c r="Y176" s="156">
        <f>Y6*Premissas!$E$45</f>
        <v>1484.7987000000001</v>
      </c>
      <c r="Z176" s="156">
        <f>Z6*Premissas!$E$45</f>
        <v>1481.5510200000001</v>
      </c>
      <c r="AA176" s="156">
        <f>AA6*Premissas!$E$45</f>
        <v>1386.55638</v>
      </c>
      <c r="AB176" s="156">
        <f>AB6*Premissas!$F$45</f>
        <v>491.01279900000003</v>
      </c>
      <c r="AC176" s="156">
        <f>AC6*Premissas!$F$45</f>
        <v>516.83265099999994</v>
      </c>
      <c r="AD176" s="156">
        <f>AD6*Premissas!$F$45</f>
        <v>620.42886700000008</v>
      </c>
      <c r="AE176" s="156">
        <f>AE6*Premissas!$F$45</f>
        <v>582.17430100000001</v>
      </c>
      <c r="AF176" s="156">
        <f>AF6*Premissas!$F$45</f>
        <v>598.29190800000003</v>
      </c>
      <c r="AG176" s="156">
        <f>AG6*Premissas!$F$45</f>
        <v>578.49140800000009</v>
      </c>
      <c r="AH176" s="156">
        <f>AH6*Premissas!$G$45</f>
        <v>576.77074455000002</v>
      </c>
      <c r="AI176" s="156">
        <f>AI6*Premissas!$G$45</f>
        <v>595.19114969999998</v>
      </c>
      <c r="AJ176" s="156">
        <f>AJ6*Premissas!$G$45</f>
        <v>530.36629274999996</v>
      </c>
      <c r="AK176" s="156">
        <f>AK6*Premissas!$G$45</f>
        <v>608.33076149999999</v>
      </c>
      <c r="AL176" s="156">
        <f>AL6*Premissas!$G$45</f>
        <v>607.00016790000006</v>
      </c>
      <c r="AM176" s="156">
        <f>AM6*Premissas!$G$45</f>
        <v>568.08030510000003</v>
      </c>
      <c r="AN176" s="156">
        <f>AN6*Premissas!$H$45</f>
        <v>488.55773500500004</v>
      </c>
      <c r="AO176" s="156">
        <f>AO6*Premissas!$H$45</f>
        <v>514.24848774499992</v>
      </c>
      <c r="AP176" s="156">
        <f>AP6*Premissas!$H$45</f>
        <v>617.32672266500003</v>
      </c>
      <c r="AQ176" s="156">
        <f>AQ6*Premissas!$H$45</f>
        <v>579.26342949500008</v>
      </c>
      <c r="AR176" s="156">
        <f>AR6*Premissas!$H$45</f>
        <v>595.30044845999998</v>
      </c>
      <c r="AS176" s="156">
        <f>AS6*Premissas!$H$45</f>
        <v>575.59895096000002</v>
      </c>
      <c r="AT176" s="156">
        <f>AT6*Premissas!$I$45</f>
        <v>587.550864418375</v>
      </c>
      <c r="AU176" s="156">
        <f>AU6*Premissas!$I$45</f>
        <v>606.31555571224999</v>
      </c>
      <c r="AV176" s="156">
        <f>AV6*Premissas!$I$45</f>
        <v>540.279091316875</v>
      </c>
      <c r="AW176" s="156">
        <f>AW6*Premissas!$I$45</f>
        <v>619.70075311375001</v>
      </c>
      <c r="AX176" s="156">
        <f>AX6*Premissas!$I$45</f>
        <v>618.34529008575009</v>
      </c>
      <c r="AY176" s="156">
        <f>AY6*Premissas!$I$45</f>
        <v>578.69799651674998</v>
      </c>
      <c r="AZ176" s="156">
        <f>AZ6*Premissas!$J$45</f>
        <v>595.49080925421936</v>
      </c>
      <c r="BA176" s="156">
        <f>BA6*Premissas!$J$45</f>
        <v>626.80462550018683</v>
      </c>
      <c r="BB176" s="156">
        <f>BB6*Premissas!$J$45</f>
        <v>752.44410908830196</v>
      </c>
      <c r="BC176" s="156">
        <f>BC6*Premissas!$J$45</f>
        <v>706.04971262571814</v>
      </c>
      <c r="BD176" s="156">
        <f>BD6*Premissas!$J$45</f>
        <v>725.59683411668254</v>
      </c>
      <c r="BE176" s="156">
        <f>BE6*Premissas!$J$45</f>
        <v>701.58317135137008</v>
      </c>
      <c r="BF176" s="156">
        <f>BF6*Premissas!$K$45</f>
        <v>584.61311009628321</v>
      </c>
      <c r="BG176" s="156">
        <f>BG6*Premissas!$K$45</f>
        <v>603.28397793368879</v>
      </c>
      <c r="BH176" s="156">
        <f>BH6*Premissas!$K$45</f>
        <v>537.57769586029065</v>
      </c>
      <c r="BI176" s="156">
        <f>BI6*Premissas!$K$45</f>
        <v>616.60224934818132</v>
      </c>
      <c r="BJ176" s="156">
        <f>BJ6*Premissas!$K$45</f>
        <v>615.25356363532137</v>
      </c>
      <c r="BK176" s="156">
        <f>BK6*Premissas!$K$45</f>
        <v>575.80450653416631</v>
      </c>
      <c r="BL176" s="156">
        <f>BL6*Premissas!$L$45</f>
        <v>3350.3607209686984</v>
      </c>
      <c r="BM176" s="156">
        <f>BM6*Premissas!$L$45</f>
        <v>3526.5390571306139</v>
      </c>
      <c r="BN176" s="156">
        <f>BN6*Premissas!$L$45</f>
        <v>4233.4140991544964</v>
      </c>
      <c r="BO176" s="156">
        <f>BO6*Premissas!$L$45</f>
        <v>3972.3891409759531</v>
      </c>
      <c r="BP176" s="156">
        <f>BP6*Premissas!$L$45</f>
        <v>4082.3654949911361</v>
      </c>
      <c r="BQ176" s="156">
        <f>BQ6*Premissas!$L$45</f>
        <v>3947.2594089773975</v>
      </c>
      <c r="BR176" s="156">
        <f>BR6*Premissas!$M$45</f>
        <v>3780.0275301255288</v>
      </c>
      <c r="BS176" s="156">
        <f>BS6*Premissas!$M$45</f>
        <v>3900.7507797719577</v>
      </c>
      <c r="BT176" s="156">
        <f>BT6*Premissas!$M$45</f>
        <v>3475.9030456889282</v>
      </c>
      <c r="BU176" s="156">
        <f>BU6*Premissas!$M$45</f>
        <v>3986.8648810998839</v>
      </c>
      <c r="BV176" s="156">
        <f>BV6*Premissas!$M$45</f>
        <v>3978.1444657755374</v>
      </c>
      <c r="BW176" s="156">
        <f>BW6*Premissas!$M$45</f>
        <v>3723.0723175383878</v>
      </c>
      <c r="BX176" s="156">
        <f>BX6*Premissas!$N$45</f>
        <v>3340.7328565848866</v>
      </c>
      <c r="BY176" s="156">
        <f>BY6*Premissas!$N$45</f>
        <v>3516.4049125969309</v>
      </c>
      <c r="BZ176" s="156">
        <f>BZ6*Premissas!$N$45</f>
        <v>4221.2486219949524</v>
      </c>
      <c r="CA176" s="156">
        <f>CA6*Premissas!$N$45</f>
        <v>3960.9737660016463</v>
      </c>
      <c r="CB176" s="156">
        <f>CB6*Premissas!$N$45</f>
        <v>4070.6340831748103</v>
      </c>
      <c r="CC176" s="156">
        <f>CC6*Premissas!$N$45</f>
        <v>3935.9162488097445</v>
      </c>
      <c r="CD176" s="156">
        <f>CD6*Premissas!$O$45</f>
        <v>3768.9382519908477</v>
      </c>
      <c r="CE176" s="156">
        <f>CE6*Premissas!$O$45</f>
        <v>3889.3073418641043</v>
      </c>
      <c r="CF176" s="156">
        <f>CF6*Premissas!$O$45</f>
        <v>3465.7059623778573</v>
      </c>
      <c r="CG176" s="156">
        <f>CG6*Premissas!$O$45</f>
        <v>3975.1688145502198</v>
      </c>
      <c r="CH176" s="156">
        <f>CH6*Premissas!$O$45</f>
        <v>3966.4739818731446</v>
      </c>
      <c r="CI176" s="156">
        <f>CI6*Premissas!$O$45</f>
        <v>3712.1501260687019</v>
      </c>
      <c r="CJ176" s="156">
        <f>CJ6*Premissas!$P$45</f>
        <v>3331.0827945044389</v>
      </c>
      <c r="CK176" s="156">
        <f>CK6*Premissas!$P$45</f>
        <v>3506.2474031032684</v>
      </c>
      <c r="CL176" s="156">
        <f>CL6*Premissas!$P$45</f>
        <v>4209.0550964998019</v>
      </c>
      <c r="CM176" s="156">
        <f>CM6*Premissas!$P$45</f>
        <v>3949.5320721033754</v>
      </c>
      <c r="CN176" s="156">
        <f>CN6*Premissas!$P$45</f>
        <v>4058.8756237900693</v>
      </c>
      <c r="CO176" s="156">
        <f>CO6*Premissas!$P$45</f>
        <v>3924.5469362142785</v>
      </c>
      <c r="CP176" s="156">
        <f>CP6*Premissas!$Q$45</f>
        <v>3757.8265270122729</v>
      </c>
      <c r="CQ176" s="156">
        <f>CQ6*Premissas!$Q$45</f>
        <v>3877.8407402244738</v>
      </c>
      <c r="CR176" s="156">
        <f>CR6*Premissas!$Q$45</f>
        <v>3455.48823819779</v>
      </c>
      <c r="CS176" s="156">
        <f>CS6*Premissas!$Q$45</f>
        <v>3963.4490728995424</v>
      </c>
      <c r="CT176" s="156">
        <f>CT6*Premissas!$Q$45</f>
        <v>3954.7798746539661</v>
      </c>
      <c r="CU176" s="156">
        <f>CU6*Premissas!$Q$45</f>
        <v>3701.2058259708506</v>
      </c>
      <c r="CV176" s="156">
        <f>CV6*Premissas!$R$45</f>
        <v>3321.4099798242391</v>
      </c>
      <c r="CW176" s="156">
        <f>CW6*Premissas!$R$45</f>
        <v>3496.0659445669921</v>
      </c>
      <c r="CX176" s="156">
        <f>CX6*Premissas!$R$45</f>
        <v>4196.832821510312</v>
      </c>
      <c r="CY176" s="156">
        <f>CY6*Premissas!$R$45</f>
        <v>3938.0634013546369</v>
      </c>
      <c r="CZ176" s="156">
        <f>CZ6*Premissas!$R$45</f>
        <v>4047.0894406955886</v>
      </c>
      <c r="DA176" s="156">
        <f>DA6*Premissas!$R$45</f>
        <v>3913.150817426606</v>
      </c>
      <c r="DB176" s="156">
        <f>DB6*Premissas!$S$45</f>
        <v>0</v>
      </c>
      <c r="DC176" s="156">
        <f>DC6*Premissas!$S$45</f>
        <v>0</v>
      </c>
      <c r="DD176" s="156">
        <f>DD6*Premissas!$S$45</f>
        <v>0</v>
      </c>
      <c r="DE176" s="156">
        <f>DE6*Premissas!$S$45</f>
        <v>0</v>
      </c>
      <c r="DF176" s="156">
        <f>DF6*Premissas!$S$45</f>
        <v>0</v>
      </c>
      <c r="DG176" s="156">
        <f>DG6*Premissas!$S$45</f>
        <v>0</v>
      </c>
      <c r="DH176" s="156">
        <f>DH6*Premissas!$T$45</f>
        <v>0</v>
      </c>
      <c r="DI176" s="156">
        <f>DI6*Premissas!$T$45</f>
        <v>0</v>
      </c>
      <c r="DJ176" s="156">
        <f>DJ6*Premissas!$T$45</f>
        <v>0</v>
      </c>
      <c r="DK176" s="156">
        <f>DK6*Premissas!$T$45</f>
        <v>0</v>
      </c>
      <c r="DL176" s="156">
        <f>DL6*Premissas!$T$45</f>
        <v>0</v>
      </c>
      <c r="DM176" s="156">
        <f>DM6*Premissas!$T$45</f>
        <v>0</v>
      </c>
      <c r="DN176" s="156">
        <f>DN6*Premissas!$U$45</f>
        <v>0</v>
      </c>
      <c r="DO176" s="156">
        <f>DO6*Premissas!$U$45</f>
        <v>0</v>
      </c>
      <c r="DP176" s="156">
        <f>DP6*Premissas!$U$45</f>
        <v>0</v>
      </c>
      <c r="DQ176" s="156">
        <f>DQ6*Premissas!$U$45</f>
        <v>0</v>
      </c>
      <c r="DR176" s="156">
        <f>DR6*Premissas!$U$45</f>
        <v>0</v>
      </c>
      <c r="DS176" s="156">
        <f>DS6*Premissas!$U$45</f>
        <v>0</v>
      </c>
    </row>
    <row r="177" spans="1:123" ht="12.75" customHeight="1" x14ac:dyDescent="0.35">
      <c r="A177" s="146" t="s">
        <v>492</v>
      </c>
      <c r="B177" s="139">
        <f>AA177</f>
        <v>6232.8292799999999</v>
      </c>
      <c r="C177" s="139" t="s">
        <v>169</v>
      </c>
      <c r="D177" s="139">
        <f>0</f>
        <v>0</v>
      </c>
      <c r="E177" s="139">
        <f t="shared" ref="E177:AJ177" si="326">D179</f>
        <v>0</v>
      </c>
      <c r="F177" s="139">
        <f t="shared" si="326"/>
        <v>73.141999999999939</v>
      </c>
      <c r="G177" s="139">
        <f t="shared" si="326"/>
        <v>206.15599999999995</v>
      </c>
      <c r="H177" s="139">
        <f t="shared" si="326"/>
        <v>73.597999999999956</v>
      </c>
      <c r="I177" s="139">
        <f t="shared" si="326"/>
        <v>856.91000000000008</v>
      </c>
      <c r="J177" s="139">
        <f t="shared" si="326"/>
        <v>1622.2220000000002</v>
      </c>
      <c r="K177" s="139">
        <f t="shared" si="326"/>
        <v>1943.5160000000003</v>
      </c>
      <c r="L177" s="139">
        <f t="shared" si="326"/>
        <v>2398.1530200000002</v>
      </c>
      <c r="M177" s="139">
        <f t="shared" si="326"/>
        <v>2716.9526700000006</v>
      </c>
      <c r="N177" s="139">
        <f t="shared" si="326"/>
        <v>3166.4335700000006</v>
      </c>
      <c r="O177" s="139">
        <f t="shared" si="326"/>
        <v>3027.3091200000008</v>
      </c>
      <c r="P177" s="139">
        <f t="shared" si="326"/>
        <v>3023.9620700000005</v>
      </c>
      <c r="Q177" s="139">
        <f t="shared" si="326"/>
        <v>3134.4973450000007</v>
      </c>
      <c r="R177" s="139">
        <f t="shared" si="326"/>
        <v>3361.7133200000007</v>
      </c>
      <c r="S177" s="139">
        <f t="shared" si="326"/>
        <v>3681.0898950000005</v>
      </c>
      <c r="T177" s="139">
        <f t="shared" si="326"/>
        <v>3716.6021200000005</v>
      </c>
      <c r="U177" s="139">
        <f t="shared" si="326"/>
        <v>4287.9130400000004</v>
      </c>
      <c r="V177" s="139">
        <f t="shared" si="326"/>
        <v>4848.4789600000004</v>
      </c>
      <c r="W177" s="139">
        <f t="shared" si="326"/>
        <v>4964.2467500000002</v>
      </c>
      <c r="X177" s="139">
        <f t="shared" si="326"/>
        <v>5247.9746100000002</v>
      </c>
      <c r="Y177" s="139">
        <f t="shared" si="326"/>
        <v>5414.4795599999998</v>
      </c>
      <c r="Z177" s="139">
        <f t="shared" si="326"/>
        <v>5689.27826</v>
      </c>
      <c r="AA177" s="139">
        <f t="shared" si="326"/>
        <v>6232.8292799999999</v>
      </c>
      <c r="AB177" s="139">
        <f t="shared" si="326"/>
        <v>6868.3856599999999</v>
      </c>
      <c r="AC177" s="139">
        <f t="shared" si="326"/>
        <v>6777.398459</v>
      </c>
      <c r="AD177" s="139">
        <f t="shared" si="326"/>
        <v>6795.2311099999997</v>
      </c>
      <c r="AE177" s="139">
        <f t="shared" si="326"/>
        <v>6863.6599769999993</v>
      </c>
      <c r="AF177" s="139">
        <f t="shared" si="326"/>
        <v>6657.8342779999994</v>
      </c>
      <c r="AG177" s="139">
        <f t="shared" si="326"/>
        <v>6269.1261859999995</v>
      </c>
      <c r="AH177" s="139">
        <f t="shared" si="326"/>
        <v>5901.6175939999994</v>
      </c>
      <c r="AI177" s="139">
        <f t="shared" si="326"/>
        <v>5154.3883385499994</v>
      </c>
      <c r="AJ177" s="139">
        <f t="shared" si="326"/>
        <v>4521.5794882499995</v>
      </c>
      <c r="AK177" s="139">
        <f t="shared" ref="AK177:BP177" si="327">AJ179</f>
        <v>3866.9457809999994</v>
      </c>
      <c r="AL177" s="139">
        <f t="shared" si="327"/>
        <v>3204.2765424999993</v>
      </c>
      <c r="AM177" s="139">
        <f t="shared" si="327"/>
        <v>2826.2767103999995</v>
      </c>
      <c r="AN177" s="139">
        <f t="shared" si="327"/>
        <v>2605.3570154999998</v>
      </c>
      <c r="AO177" s="139">
        <f t="shared" si="327"/>
        <v>2496.9147505049996</v>
      </c>
      <c r="AP177" s="139">
        <f t="shared" si="327"/>
        <v>2499.1632382499993</v>
      </c>
      <c r="AQ177" s="139">
        <f t="shared" si="327"/>
        <v>2551.4899609149993</v>
      </c>
      <c r="AR177" s="139">
        <f t="shared" si="327"/>
        <v>2322.7533904099992</v>
      </c>
      <c r="AS177" s="139">
        <f t="shared" si="327"/>
        <v>1907.0538388699993</v>
      </c>
      <c r="AT177" s="139">
        <f t="shared" si="327"/>
        <v>1513.6527898299992</v>
      </c>
      <c r="AU177" s="139">
        <f t="shared" si="327"/>
        <v>744.20365424837416</v>
      </c>
      <c r="AV177" s="139">
        <f t="shared" si="327"/>
        <v>91.519209960624153</v>
      </c>
      <c r="AW177" s="139">
        <f t="shared" si="327"/>
        <v>0</v>
      </c>
      <c r="AX177" s="139">
        <f t="shared" si="327"/>
        <v>0</v>
      </c>
      <c r="AY177" s="139">
        <f t="shared" si="327"/>
        <v>0</v>
      </c>
      <c r="AZ177" s="139">
        <f t="shared" si="327"/>
        <v>0</v>
      </c>
      <c r="BA177" s="139">
        <f t="shared" si="327"/>
        <v>0</v>
      </c>
      <c r="BB177" s="139">
        <f t="shared" si="327"/>
        <v>102.80462550018683</v>
      </c>
      <c r="BC177" s="139">
        <f t="shared" si="327"/>
        <v>275.24873458848879</v>
      </c>
      <c r="BD177" s="139">
        <f t="shared" si="327"/>
        <v>153.29844721420693</v>
      </c>
      <c r="BE177" s="139">
        <f t="shared" si="327"/>
        <v>0</v>
      </c>
      <c r="BF177" s="139">
        <f t="shared" si="327"/>
        <v>0</v>
      </c>
      <c r="BG177" s="139">
        <f t="shared" si="327"/>
        <v>0</v>
      </c>
      <c r="BH177" s="139">
        <f t="shared" si="327"/>
        <v>0</v>
      </c>
      <c r="BI177" s="139">
        <f t="shared" si="327"/>
        <v>0</v>
      </c>
      <c r="BJ177" s="139">
        <f t="shared" si="327"/>
        <v>0</v>
      </c>
      <c r="BK177" s="139">
        <f t="shared" si="327"/>
        <v>0</v>
      </c>
      <c r="BL177" s="139">
        <f t="shared" si="327"/>
        <v>0</v>
      </c>
      <c r="BM177" s="139">
        <f t="shared" si="327"/>
        <v>2723.3607209686984</v>
      </c>
      <c r="BN177" s="139">
        <f t="shared" si="327"/>
        <v>5712.8997780993122</v>
      </c>
      <c r="BO177" s="139">
        <f t="shared" si="327"/>
        <v>9352.3138772538077</v>
      </c>
      <c r="BP177" s="139">
        <f t="shared" si="327"/>
        <v>12475.70301822976</v>
      </c>
      <c r="BQ177" s="139">
        <f t="shared" ref="BQ177:CV177" si="328">BP179</f>
        <v>15496.068513220896</v>
      </c>
      <c r="BR177" s="139">
        <f t="shared" si="328"/>
        <v>18425.327922198296</v>
      </c>
      <c r="BS177" s="139">
        <f t="shared" si="328"/>
        <v>20779.355452323824</v>
      </c>
      <c r="BT177" s="139">
        <f t="shared" si="328"/>
        <v>23357.106232095783</v>
      </c>
      <c r="BU177" s="139">
        <f t="shared" si="328"/>
        <v>25557.009277784709</v>
      </c>
      <c r="BV177" s="139">
        <f t="shared" si="328"/>
        <v>28174.874158884595</v>
      </c>
      <c r="BW177" s="139">
        <f t="shared" si="328"/>
        <v>31092.018624660133</v>
      </c>
      <c r="BX177" s="139">
        <f t="shared" si="328"/>
        <v>33965.09094219852</v>
      </c>
      <c r="BY177" s="139">
        <f t="shared" si="328"/>
        <v>36663.823798783407</v>
      </c>
      <c r="BZ177" s="139">
        <f t="shared" si="328"/>
        <v>39629.22871138034</v>
      </c>
      <c r="CA177" s="139">
        <f t="shared" si="328"/>
        <v>43241.477333375289</v>
      </c>
      <c r="CB177" s="139">
        <f t="shared" si="328"/>
        <v>46332.451099376936</v>
      </c>
      <c r="CC177" s="139">
        <f t="shared" si="328"/>
        <v>49314.085182551746</v>
      </c>
      <c r="CD177" s="139">
        <f t="shared" si="328"/>
        <v>52206.001431361488</v>
      </c>
      <c r="CE177" s="139">
        <f t="shared" si="328"/>
        <v>54513.939683352335</v>
      </c>
      <c r="CF177" s="139">
        <f t="shared" si="328"/>
        <v>57047.247025216442</v>
      </c>
      <c r="CG177" s="139">
        <f t="shared" si="328"/>
        <v>59204.952987594297</v>
      </c>
      <c r="CH177" s="139">
        <f t="shared" si="328"/>
        <v>61777.121802144517</v>
      </c>
      <c r="CI177" s="139">
        <f t="shared" si="328"/>
        <v>64655.595784017663</v>
      </c>
      <c r="CJ177" s="139">
        <f t="shared" si="328"/>
        <v>67496.745910086363</v>
      </c>
      <c r="CK177" s="139">
        <f t="shared" si="328"/>
        <v>70168.828704590807</v>
      </c>
      <c r="CL177" s="139">
        <f t="shared" si="328"/>
        <v>73110.076107694069</v>
      </c>
      <c r="CM177" s="139">
        <f t="shared" si="328"/>
        <v>76695.131204193865</v>
      </c>
      <c r="CN177" s="139">
        <f t="shared" si="328"/>
        <v>79752.663276297244</v>
      </c>
      <c r="CO177" s="139">
        <f t="shared" si="328"/>
        <v>82695.538900087311</v>
      </c>
      <c r="CP177" s="139">
        <f t="shared" si="328"/>
        <v>85550.085836301587</v>
      </c>
      <c r="CQ177" s="139">
        <f t="shared" si="328"/>
        <v>87809.912363313866</v>
      </c>
      <c r="CR177" s="139">
        <f t="shared" si="328"/>
        <v>90297.753103538344</v>
      </c>
      <c r="CS177" s="139">
        <f t="shared" si="328"/>
        <v>92412.241341736139</v>
      </c>
      <c r="CT177" s="139">
        <f t="shared" si="328"/>
        <v>94937.690414635683</v>
      </c>
      <c r="CU177" s="139">
        <f t="shared" si="328"/>
        <v>97777.470289289646</v>
      </c>
      <c r="CV177" s="139">
        <f t="shared" si="328"/>
        <v>100585.6761152605</v>
      </c>
      <c r="CW177" s="139">
        <f t="shared" ref="CW177:DS177" si="329">CV179</f>
        <v>103232.08609508474</v>
      </c>
      <c r="CX177" s="139">
        <f t="shared" si="329"/>
        <v>106149.15203965173</v>
      </c>
      <c r="CY177" s="139">
        <f t="shared" si="329"/>
        <v>109705.98486116204</v>
      </c>
      <c r="CZ177" s="139">
        <f t="shared" si="329"/>
        <v>112730.04826251668</v>
      </c>
      <c r="DA177" s="139">
        <f t="shared" si="329"/>
        <v>115633.13770321227</v>
      </c>
      <c r="DB177" s="139">
        <f t="shared" si="329"/>
        <v>118449.28852063887</v>
      </c>
      <c r="DC177" s="139">
        <f t="shared" si="329"/>
        <v>116914.28852063887</v>
      </c>
      <c r="DD177" s="139">
        <f t="shared" si="329"/>
        <v>115490.28852063887</v>
      </c>
      <c r="DE177" s="139">
        <f t="shared" si="329"/>
        <v>114116.28852063887</v>
      </c>
      <c r="DF177" s="139">
        <f t="shared" si="329"/>
        <v>112642.28852063887</v>
      </c>
      <c r="DG177" s="139">
        <f t="shared" si="329"/>
        <v>111499.28852063887</v>
      </c>
      <c r="DH177" s="139">
        <f t="shared" si="329"/>
        <v>110584.28852063887</v>
      </c>
      <c r="DI177" s="139">
        <f t="shared" si="329"/>
        <v>109892.28852063887</v>
      </c>
      <c r="DJ177" s="139">
        <f t="shared" si="329"/>
        <v>109299.28852063887</v>
      </c>
      <c r="DK177" s="139">
        <f t="shared" si="329"/>
        <v>108643.28852063887</v>
      </c>
      <c r="DL177" s="139">
        <f t="shared" si="329"/>
        <v>107706.28852063887</v>
      </c>
      <c r="DM177" s="139">
        <f t="shared" si="329"/>
        <v>106533.28852063887</v>
      </c>
      <c r="DN177" s="139">
        <f t="shared" si="329"/>
        <v>105409.28852063887</v>
      </c>
      <c r="DO177" s="139">
        <f t="shared" si="329"/>
        <v>103835.28852063887</v>
      </c>
      <c r="DP177" s="139">
        <f t="shared" si="329"/>
        <v>102375.28852063887</v>
      </c>
      <c r="DQ177" s="139">
        <f t="shared" si="329"/>
        <v>100966.28852063887</v>
      </c>
      <c r="DR177" s="139">
        <f t="shared" si="329"/>
        <v>99455.288520638875</v>
      </c>
      <c r="DS177" s="139">
        <f t="shared" si="329"/>
        <v>98284.288520638875</v>
      </c>
    </row>
    <row r="178" spans="1:123" ht="12.75" customHeight="1" x14ac:dyDescent="0.35">
      <c r="A178" s="146" t="s">
        <v>493</v>
      </c>
      <c r="B178" s="139">
        <f>SUM(D178:BQ178)</f>
        <v>7559.5006229984883</v>
      </c>
      <c r="C178" s="139">
        <f>B178/60</f>
        <v>125.99167704997481</v>
      </c>
      <c r="D178" s="139">
        <f t="shared" ref="D178:AI178" si="330">MIN(D177,MAX(D175-D176,0))</f>
        <v>0</v>
      </c>
      <c r="E178" s="139">
        <f t="shared" si="330"/>
        <v>0</v>
      </c>
      <c r="F178" s="139">
        <f t="shared" si="330"/>
        <v>0</v>
      </c>
      <c r="G178" s="139">
        <f t="shared" si="330"/>
        <v>132.55799999999999</v>
      </c>
      <c r="H178" s="139">
        <f t="shared" si="330"/>
        <v>0</v>
      </c>
      <c r="I178" s="139">
        <f t="shared" si="330"/>
        <v>0</v>
      </c>
      <c r="J178" s="139">
        <f t="shared" si="330"/>
        <v>0</v>
      </c>
      <c r="K178" s="139">
        <f t="shared" si="330"/>
        <v>0</v>
      </c>
      <c r="L178" s="139">
        <f t="shared" si="330"/>
        <v>0</v>
      </c>
      <c r="M178" s="139">
        <f t="shared" si="330"/>
        <v>0</v>
      </c>
      <c r="N178" s="139">
        <f t="shared" si="330"/>
        <v>139.12445000000002</v>
      </c>
      <c r="O178" s="139">
        <f t="shared" si="330"/>
        <v>3.3470500000000811</v>
      </c>
      <c r="P178" s="139">
        <f t="shared" si="330"/>
        <v>0</v>
      </c>
      <c r="Q178" s="139">
        <f t="shared" si="330"/>
        <v>0</v>
      </c>
      <c r="R178" s="139">
        <f t="shared" si="330"/>
        <v>0</v>
      </c>
      <c r="S178" s="139">
        <f t="shared" si="330"/>
        <v>0</v>
      </c>
      <c r="T178" s="139">
        <f t="shared" si="330"/>
        <v>0</v>
      </c>
      <c r="U178" s="139">
        <f t="shared" si="330"/>
        <v>0</v>
      </c>
      <c r="V178" s="139">
        <f t="shared" si="330"/>
        <v>0</v>
      </c>
      <c r="W178" s="139">
        <f t="shared" si="330"/>
        <v>0</v>
      </c>
      <c r="X178" s="139">
        <f t="shared" si="330"/>
        <v>0</v>
      </c>
      <c r="Y178" s="139">
        <f t="shared" si="330"/>
        <v>0</v>
      </c>
      <c r="Z178" s="139">
        <f t="shared" si="330"/>
        <v>0</v>
      </c>
      <c r="AA178" s="139">
        <f t="shared" si="330"/>
        <v>0</v>
      </c>
      <c r="AB178" s="139">
        <f t="shared" si="330"/>
        <v>90.98720099999997</v>
      </c>
      <c r="AC178" s="139">
        <f t="shared" si="330"/>
        <v>0</v>
      </c>
      <c r="AD178" s="139">
        <f t="shared" si="330"/>
        <v>0</v>
      </c>
      <c r="AE178" s="139">
        <f t="shared" si="330"/>
        <v>205.82569899999999</v>
      </c>
      <c r="AF178" s="139">
        <f t="shared" si="330"/>
        <v>388.70809199999997</v>
      </c>
      <c r="AG178" s="139">
        <f t="shared" si="330"/>
        <v>367.50859199999991</v>
      </c>
      <c r="AH178" s="139">
        <f t="shared" si="330"/>
        <v>747.22925544999998</v>
      </c>
      <c r="AI178" s="139">
        <f t="shared" si="330"/>
        <v>632.80885030000002</v>
      </c>
      <c r="AJ178" s="139">
        <f t="shared" ref="AJ178:BO178" si="331">MIN(AJ177,MAX(AJ175-AJ176,0))</f>
        <v>654.63370725000004</v>
      </c>
      <c r="AK178" s="139">
        <f t="shared" si="331"/>
        <v>662.66923850000001</v>
      </c>
      <c r="AL178" s="139">
        <f t="shared" si="331"/>
        <v>377.99983209999994</v>
      </c>
      <c r="AM178" s="139">
        <f t="shared" si="331"/>
        <v>220.91969489999997</v>
      </c>
      <c r="AN178" s="139">
        <f t="shared" si="331"/>
        <v>108.44226499499996</v>
      </c>
      <c r="AO178" s="139">
        <f t="shared" si="331"/>
        <v>0</v>
      </c>
      <c r="AP178" s="139">
        <f t="shared" si="331"/>
        <v>0</v>
      </c>
      <c r="AQ178" s="139">
        <f t="shared" si="331"/>
        <v>228.73657050499992</v>
      </c>
      <c r="AR178" s="139">
        <f t="shared" si="331"/>
        <v>415.69955154000002</v>
      </c>
      <c r="AS178" s="139">
        <f t="shared" si="331"/>
        <v>393.40104903999998</v>
      </c>
      <c r="AT178" s="139">
        <f t="shared" si="331"/>
        <v>769.449135581625</v>
      </c>
      <c r="AU178" s="139">
        <f t="shared" si="331"/>
        <v>652.68444428775001</v>
      </c>
      <c r="AV178" s="139">
        <f t="shared" si="331"/>
        <v>91.519209960624153</v>
      </c>
      <c r="AW178" s="139">
        <f t="shared" si="331"/>
        <v>0</v>
      </c>
      <c r="AX178" s="139">
        <f t="shared" si="331"/>
        <v>0</v>
      </c>
      <c r="AY178" s="139">
        <f t="shared" si="331"/>
        <v>0</v>
      </c>
      <c r="AZ178" s="139">
        <f t="shared" si="331"/>
        <v>0</v>
      </c>
      <c r="BA178" s="139">
        <f t="shared" si="331"/>
        <v>0</v>
      </c>
      <c r="BB178" s="139">
        <f t="shared" si="331"/>
        <v>0</v>
      </c>
      <c r="BC178" s="139">
        <f t="shared" si="331"/>
        <v>121.95028737428186</v>
      </c>
      <c r="BD178" s="139">
        <f t="shared" si="331"/>
        <v>153.29844721420693</v>
      </c>
      <c r="BE178" s="139">
        <f t="shared" si="331"/>
        <v>0</v>
      </c>
      <c r="BF178" s="139">
        <f t="shared" si="331"/>
        <v>0</v>
      </c>
      <c r="BG178" s="139">
        <f t="shared" si="331"/>
        <v>0</v>
      </c>
      <c r="BH178" s="139">
        <f t="shared" si="331"/>
        <v>0</v>
      </c>
      <c r="BI178" s="139">
        <f t="shared" si="331"/>
        <v>0</v>
      </c>
      <c r="BJ178" s="139">
        <f t="shared" si="331"/>
        <v>0</v>
      </c>
      <c r="BK178" s="139">
        <f t="shared" si="331"/>
        <v>0</v>
      </c>
      <c r="BL178" s="139">
        <f t="shared" si="331"/>
        <v>0</v>
      </c>
      <c r="BM178" s="139">
        <f t="shared" si="331"/>
        <v>0</v>
      </c>
      <c r="BN178" s="139">
        <f t="shared" si="331"/>
        <v>0</v>
      </c>
      <c r="BO178" s="139">
        <f t="shared" si="331"/>
        <v>0</v>
      </c>
      <c r="BP178" s="139">
        <f t="shared" ref="BP178:CU178" si="332">MIN(BP177,MAX(BP175-BP176,0))</f>
        <v>0</v>
      </c>
      <c r="BQ178" s="139">
        <f t="shared" si="332"/>
        <v>0</v>
      </c>
      <c r="BR178" s="139">
        <f t="shared" si="332"/>
        <v>0</v>
      </c>
      <c r="BS178" s="139">
        <f t="shared" si="332"/>
        <v>0</v>
      </c>
      <c r="BT178" s="139">
        <f t="shared" si="332"/>
        <v>0</v>
      </c>
      <c r="BU178" s="139">
        <f t="shared" si="332"/>
        <v>0</v>
      </c>
      <c r="BV178" s="139">
        <f t="shared" si="332"/>
        <v>0</v>
      </c>
      <c r="BW178" s="139">
        <f t="shared" si="332"/>
        <v>0</v>
      </c>
      <c r="BX178" s="139">
        <f t="shared" si="332"/>
        <v>0</v>
      </c>
      <c r="BY178" s="139">
        <f t="shared" si="332"/>
        <v>0</v>
      </c>
      <c r="BZ178" s="139">
        <f t="shared" si="332"/>
        <v>0</v>
      </c>
      <c r="CA178" s="139">
        <f t="shared" si="332"/>
        <v>0</v>
      </c>
      <c r="CB178" s="139">
        <f t="shared" si="332"/>
        <v>0</v>
      </c>
      <c r="CC178" s="139">
        <f t="shared" si="332"/>
        <v>0</v>
      </c>
      <c r="CD178" s="139">
        <f t="shared" si="332"/>
        <v>0</v>
      </c>
      <c r="CE178" s="139">
        <f t="shared" si="332"/>
        <v>0</v>
      </c>
      <c r="CF178" s="139">
        <f t="shared" si="332"/>
        <v>0</v>
      </c>
      <c r="CG178" s="139">
        <f t="shared" si="332"/>
        <v>0</v>
      </c>
      <c r="CH178" s="139">
        <f t="shared" si="332"/>
        <v>0</v>
      </c>
      <c r="CI178" s="139">
        <f t="shared" si="332"/>
        <v>0</v>
      </c>
      <c r="CJ178" s="139">
        <f t="shared" si="332"/>
        <v>0</v>
      </c>
      <c r="CK178" s="139">
        <f t="shared" si="332"/>
        <v>0</v>
      </c>
      <c r="CL178" s="139">
        <f t="shared" si="332"/>
        <v>0</v>
      </c>
      <c r="CM178" s="139">
        <f t="shared" si="332"/>
        <v>0</v>
      </c>
      <c r="CN178" s="139">
        <f t="shared" si="332"/>
        <v>0</v>
      </c>
      <c r="CO178" s="139">
        <f t="shared" si="332"/>
        <v>0</v>
      </c>
      <c r="CP178" s="139">
        <f t="shared" si="332"/>
        <v>0</v>
      </c>
      <c r="CQ178" s="139">
        <f t="shared" si="332"/>
        <v>0</v>
      </c>
      <c r="CR178" s="139">
        <f t="shared" si="332"/>
        <v>0</v>
      </c>
      <c r="CS178" s="139">
        <f t="shared" si="332"/>
        <v>0</v>
      </c>
      <c r="CT178" s="139">
        <f t="shared" si="332"/>
        <v>0</v>
      </c>
      <c r="CU178" s="139">
        <f t="shared" si="332"/>
        <v>0</v>
      </c>
      <c r="CV178" s="139">
        <f t="shared" ref="CV178:DS178" si="333">MIN(CV177,MAX(CV175-CV176,0))</f>
        <v>0</v>
      </c>
      <c r="CW178" s="139">
        <f t="shared" si="333"/>
        <v>0</v>
      </c>
      <c r="CX178" s="139">
        <f t="shared" si="333"/>
        <v>0</v>
      </c>
      <c r="CY178" s="139">
        <f t="shared" si="333"/>
        <v>0</v>
      </c>
      <c r="CZ178" s="139">
        <f t="shared" si="333"/>
        <v>0</v>
      </c>
      <c r="DA178" s="139">
        <f t="shared" si="333"/>
        <v>0</v>
      </c>
      <c r="DB178" s="139">
        <f t="shared" si="333"/>
        <v>1535</v>
      </c>
      <c r="DC178" s="139">
        <f t="shared" si="333"/>
        <v>1424</v>
      </c>
      <c r="DD178" s="139">
        <f t="shared" si="333"/>
        <v>1374</v>
      </c>
      <c r="DE178" s="139">
        <f t="shared" si="333"/>
        <v>1474</v>
      </c>
      <c r="DF178" s="139">
        <f t="shared" si="333"/>
        <v>1143</v>
      </c>
      <c r="DG178" s="139">
        <f t="shared" si="333"/>
        <v>915</v>
      </c>
      <c r="DH178" s="139">
        <f t="shared" si="333"/>
        <v>692</v>
      </c>
      <c r="DI178" s="139">
        <f t="shared" si="333"/>
        <v>593</v>
      </c>
      <c r="DJ178" s="139">
        <f t="shared" si="333"/>
        <v>656</v>
      </c>
      <c r="DK178" s="139">
        <f t="shared" si="333"/>
        <v>937</v>
      </c>
      <c r="DL178" s="139">
        <f t="shared" si="333"/>
        <v>1173</v>
      </c>
      <c r="DM178" s="139">
        <f t="shared" si="333"/>
        <v>1124</v>
      </c>
      <c r="DN178" s="139">
        <f t="shared" si="333"/>
        <v>1574</v>
      </c>
      <c r="DO178" s="139">
        <f t="shared" si="333"/>
        <v>1460</v>
      </c>
      <c r="DP178" s="139">
        <f t="shared" si="333"/>
        <v>1409</v>
      </c>
      <c r="DQ178" s="139">
        <f t="shared" si="333"/>
        <v>1511</v>
      </c>
      <c r="DR178" s="139">
        <f t="shared" si="333"/>
        <v>1171</v>
      </c>
      <c r="DS178" s="139">
        <f t="shared" si="333"/>
        <v>938</v>
      </c>
    </row>
    <row r="179" spans="1:123" ht="13.5" customHeight="1" x14ac:dyDescent="0.35">
      <c r="A179" s="39" t="s">
        <v>494</v>
      </c>
      <c r="B179" s="41">
        <f>AA179</f>
        <v>6868.3856599999999</v>
      </c>
      <c r="C179" s="139" t="s">
        <v>169</v>
      </c>
      <c r="D179" s="157">
        <f t="shared" ref="D179:AI179" si="334">MAX(D177-D178,0)+MAX(D176-D175,0)</f>
        <v>0</v>
      </c>
      <c r="E179" s="157">
        <f t="shared" si="334"/>
        <v>73.141999999999939</v>
      </c>
      <c r="F179" s="157">
        <f t="shared" si="334"/>
        <v>206.15599999999995</v>
      </c>
      <c r="G179" s="157">
        <f t="shared" si="334"/>
        <v>73.597999999999956</v>
      </c>
      <c r="H179" s="157">
        <f t="shared" si="334"/>
        <v>856.91000000000008</v>
      </c>
      <c r="I179" s="157">
        <f t="shared" si="334"/>
        <v>1622.2220000000002</v>
      </c>
      <c r="J179" s="157">
        <f t="shared" si="334"/>
        <v>1943.5160000000003</v>
      </c>
      <c r="K179" s="157">
        <f t="shared" si="334"/>
        <v>2398.1530200000002</v>
      </c>
      <c r="L179" s="157">
        <f t="shared" si="334"/>
        <v>2716.9526700000006</v>
      </c>
      <c r="M179" s="157">
        <f t="shared" si="334"/>
        <v>3166.4335700000006</v>
      </c>
      <c r="N179" s="157">
        <f t="shared" si="334"/>
        <v>3027.3091200000008</v>
      </c>
      <c r="O179" s="157">
        <f t="shared" si="334"/>
        <v>3023.9620700000005</v>
      </c>
      <c r="P179" s="157">
        <f t="shared" si="334"/>
        <v>3134.4973450000007</v>
      </c>
      <c r="Q179" s="157">
        <f t="shared" si="334"/>
        <v>3361.7133200000007</v>
      </c>
      <c r="R179" s="157">
        <f t="shared" si="334"/>
        <v>3681.0898950000005</v>
      </c>
      <c r="S179" s="157">
        <f t="shared" si="334"/>
        <v>3716.6021200000005</v>
      </c>
      <c r="T179" s="157">
        <f t="shared" si="334"/>
        <v>4287.9130400000004</v>
      </c>
      <c r="U179" s="157">
        <f t="shared" si="334"/>
        <v>4848.4789600000004</v>
      </c>
      <c r="V179" s="157">
        <f t="shared" si="334"/>
        <v>4964.2467500000002</v>
      </c>
      <c r="W179" s="157">
        <f t="shared" si="334"/>
        <v>5247.9746100000002</v>
      </c>
      <c r="X179" s="157">
        <f t="shared" si="334"/>
        <v>5414.4795599999998</v>
      </c>
      <c r="Y179" s="157">
        <f t="shared" si="334"/>
        <v>5689.27826</v>
      </c>
      <c r="Z179" s="157">
        <f t="shared" si="334"/>
        <v>6232.8292799999999</v>
      </c>
      <c r="AA179" s="157">
        <f t="shared" si="334"/>
        <v>6868.3856599999999</v>
      </c>
      <c r="AB179" s="157">
        <f t="shared" si="334"/>
        <v>6777.398459</v>
      </c>
      <c r="AC179" s="157">
        <f t="shared" si="334"/>
        <v>6795.2311099999997</v>
      </c>
      <c r="AD179" s="157">
        <f t="shared" si="334"/>
        <v>6863.6599769999993</v>
      </c>
      <c r="AE179" s="157">
        <f t="shared" si="334"/>
        <v>6657.8342779999994</v>
      </c>
      <c r="AF179" s="157">
        <f t="shared" si="334"/>
        <v>6269.1261859999995</v>
      </c>
      <c r="AG179" s="157">
        <f t="shared" si="334"/>
        <v>5901.6175939999994</v>
      </c>
      <c r="AH179" s="157">
        <f t="shared" si="334"/>
        <v>5154.3883385499994</v>
      </c>
      <c r="AI179" s="157">
        <f t="shared" si="334"/>
        <v>4521.5794882499995</v>
      </c>
      <c r="AJ179" s="157">
        <f t="shared" ref="AJ179:BO179" si="335">MAX(AJ177-AJ178,0)+MAX(AJ176-AJ175,0)</f>
        <v>3866.9457809999994</v>
      </c>
      <c r="AK179" s="157">
        <f t="shared" si="335"/>
        <v>3204.2765424999993</v>
      </c>
      <c r="AL179" s="157">
        <f t="shared" si="335"/>
        <v>2826.2767103999995</v>
      </c>
      <c r="AM179" s="157">
        <f t="shared" si="335"/>
        <v>2605.3570154999998</v>
      </c>
      <c r="AN179" s="157">
        <f t="shared" si="335"/>
        <v>2496.9147505049996</v>
      </c>
      <c r="AO179" s="157">
        <f t="shared" si="335"/>
        <v>2499.1632382499993</v>
      </c>
      <c r="AP179" s="157">
        <f t="shared" si="335"/>
        <v>2551.4899609149993</v>
      </c>
      <c r="AQ179" s="157">
        <f t="shared" si="335"/>
        <v>2322.7533904099992</v>
      </c>
      <c r="AR179" s="157">
        <f t="shared" si="335"/>
        <v>1907.0538388699993</v>
      </c>
      <c r="AS179" s="157">
        <f t="shared" si="335"/>
        <v>1513.6527898299992</v>
      </c>
      <c r="AT179" s="157">
        <f t="shared" si="335"/>
        <v>744.20365424837416</v>
      </c>
      <c r="AU179" s="157">
        <f t="shared" si="335"/>
        <v>91.519209960624153</v>
      </c>
      <c r="AV179" s="157">
        <f t="shared" si="335"/>
        <v>0</v>
      </c>
      <c r="AW179" s="157">
        <f t="shared" si="335"/>
        <v>0</v>
      </c>
      <c r="AX179" s="157">
        <f t="shared" si="335"/>
        <v>0</v>
      </c>
      <c r="AY179" s="157">
        <f t="shared" si="335"/>
        <v>0</v>
      </c>
      <c r="AZ179" s="157">
        <f t="shared" si="335"/>
        <v>0</v>
      </c>
      <c r="BA179" s="157">
        <f t="shared" si="335"/>
        <v>102.80462550018683</v>
      </c>
      <c r="BB179" s="157">
        <f t="shared" si="335"/>
        <v>275.24873458848879</v>
      </c>
      <c r="BC179" s="157">
        <f t="shared" si="335"/>
        <v>153.29844721420693</v>
      </c>
      <c r="BD179" s="157">
        <f t="shared" si="335"/>
        <v>0</v>
      </c>
      <c r="BE179" s="157">
        <f t="shared" si="335"/>
        <v>0</v>
      </c>
      <c r="BF179" s="157">
        <f t="shared" si="335"/>
        <v>0</v>
      </c>
      <c r="BG179" s="157">
        <f t="shared" si="335"/>
        <v>0</v>
      </c>
      <c r="BH179" s="157">
        <f t="shared" si="335"/>
        <v>0</v>
      </c>
      <c r="BI179" s="157">
        <f t="shared" si="335"/>
        <v>0</v>
      </c>
      <c r="BJ179" s="157">
        <f t="shared" si="335"/>
        <v>0</v>
      </c>
      <c r="BK179" s="157">
        <f t="shared" si="335"/>
        <v>0</v>
      </c>
      <c r="BL179" s="157">
        <f t="shared" si="335"/>
        <v>2723.3607209686984</v>
      </c>
      <c r="BM179" s="157">
        <f t="shared" si="335"/>
        <v>5712.8997780993122</v>
      </c>
      <c r="BN179" s="157">
        <f t="shared" si="335"/>
        <v>9352.3138772538077</v>
      </c>
      <c r="BO179" s="157">
        <f t="shared" si="335"/>
        <v>12475.70301822976</v>
      </c>
      <c r="BP179" s="157">
        <f t="shared" ref="BP179:CU179" si="336">MAX(BP177-BP178,0)+MAX(BP176-BP175,0)</f>
        <v>15496.068513220896</v>
      </c>
      <c r="BQ179" s="157">
        <f t="shared" si="336"/>
        <v>18425.327922198296</v>
      </c>
      <c r="BR179" s="157">
        <f t="shared" si="336"/>
        <v>20779.355452323824</v>
      </c>
      <c r="BS179" s="157">
        <f t="shared" si="336"/>
        <v>23357.106232095783</v>
      </c>
      <c r="BT179" s="157">
        <f t="shared" si="336"/>
        <v>25557.009277784709</v>
      </c>
      <c r="BU179" s="157">
        <f t="shared" si="336"/>
        <v>28174.874158884595</v>
      </c>
      <c r="BV179" s="157">
        <f t="shared" si="336"/>
        <v>31092.018624660133</v>
      </c>
      <c r="BW179" s="157">
        <f t="shared" si="336"/>
        <v>33965.09094219852</v>
      </c>
      <c r="BX179" s="157">
        <f t="shared" si="336"/>
        <v>36663.823798783407</v>
      </c>
      <c r="BY179" s="157">
        <f t="shared" si="336"/>
        <v>39629.22871138034</v>
      </c>
      <c r="BZ179" s="157">
        <f t="shared" si="336"/>
        <v>43241.477333375289</v>
      </c>
      <c r="CA179" s="157">
        <f t="shared" si="336"/>
        <v>46332.451099376936</v>
      </c>
      <c r="CB179" s="157">
        <f t="shared" si="336"/>
        <v>49314.085182551746</v>
      </c>
      <c r="CC179" s="157">
        <f t="shared" si="336"/>
        <v>52206.001431361488</v>
      </c>
      <c r="CD179" s="157">
        <f t="shared" si="336"/>
        <v>54513.939683352335</v>
      </c>
      <c r="CE179" s="157">
        <f t="shared" si="336"/>
        <v>57047.247025216442</v>
      </c>
      <c r="CF179" s="157">
        <f t="shared" si="336"/>
        <v>59204.952987594297</v>
      </c>
      <c r="CG179" s="157">
        <f t="shared" si="336"/>
        <v>61777.121802144517</v>
      </c>
      <c r="CH179" s="157">
        <f t="shared" si="336"/>
        <v>64655.595784017663</v>
      </c>
      <c r="CI179" s="157">
        <f t="shared" si="336"/>
        <v>67496.745910086363</v>
      </c>
      <c r="CJ179" s="157">
        <f t="shared" si="336"/>
        <v>70168.828704590807</v>
      </c>
      <c r="CK179" s="157">
        <f t="shared" si="336"/>
        <v>73110.076107694069</v>
      </c>
      <c r="CL179" s="157">
        <f t="shared" si="336"/>
        <v>76695.131204193865</v>
      </c>
      <c r="CM179" s="157">
        <f t="shared" si="336"/>
        <v>79752.663276297244</v>
      </c>
      <c r="CN179" s="157">
        <f t="shared" si="336"/>
        <v>82695.538900087311</v>
      </c>
      <c r="CO179" s="157">
        <f t="shared" si="336"/>
        <v>85550.085836301587</v>
      </c>
      <c r="CP179" s="157">
        <f t="shared" si="336"/>
        <v>87809.912363313866</v>
      </c>
      <c r="CQ179" s="157">
        <f t="shared" si="336"/>
        <v>90297.753103538344</v>
      </c>
      <c r="CR179" s="157">
        <f t="shared" si="336"/>
        <v>92412.241341736139</v>
      </c>
      <c r="CS179" s="157">
        <f t="shared" si="336"/>
        <v>94937.690414635683</v>
      </c>
      <c r="CT179" s="157">
        <f t="shared" si="336"/>
        <v>97777.470289289646</v>
      </c>
      <c r="CU179" s="157">
        <f t="shared" si="336"/>
        <v>100585.6761152605</v>
      </c>
      <c r="CV179" s="157">
        <f t="shared" ref="CV179:DS179" si="337">MAX(CV177-CV178,0)+MAX(CV176-CV175,0)</f>
        <v>103232.08609508474</v>
      </c>
      <c r="CW179" s="157">
        <f t="shared" si="337"/>
        <v>106149.15203965173</v>
      </c>
      <c r="CX179" s="157">
        <f t="shared" si="337"/>
        <v>109705.98486116204</v>
      </c>
      <c r="CY179" s="157">
        <f t="shared" si="337"/>
        <v>112730.04826251668</v>
      </c>
      <c r="CZ179" s="157">
        <f t="shared" si="337"/>
        <v>115633.13770321227</v>
      </c>
      <c r="DA179" s="157">
        <f t="shared" si="337"/>
        <v>118449.28852063887</v>
      </c>
      <c r="DB179" s="157">
        <f t="shared" si="337"/>
        <v>116914.28852063887</v>
      </c>
      <c r="DC179" s="157">
        <f t="shared" si="337"/>
        <v>115490.28852063887</v>
      </c>
      <c r="DD179" s="157">
        <f t="shared" si="337"/>
        <v>114116.28852063887</v>
      </c>
      <c r="DE179" s="157">
        <f t="shared" si="337"/>
        <v>112642.28852063887</v>
      </c>
      <c r="DF179" s="157">
        <f t="shared" si="337"/>
        <v>111499.28852063887</v>
      </c>
      <c r="DG179" s="157">
        <f t="shared" si="337"/>
        <v>110584.28852063887</v>
      </c>
      <c r="DH179" s="157">
        <f t="shared" si="337"/>
        <v>109892.28852063887</v>
      </c>
      <c r="DI179" s="157">
        <f t="shared" si="337"/>
        <v>109299.28852063887</v>
      </c>
      <c r="DJ179" s="157">
        <f t="shared" si="337"/>
        <v>108643.28852063887</v>
      </c>
      <c r="DK179" s="157">
        <f t="shared" si="337"/>
        <v>107706.28852063887</v>
      </c>
      <c r="DL179" s="157">
        <f t="shared" si="337"/>
        <v>106533.28852063887</v>
      </c>
      <c r="DM179" s="157">
        <f t="shared" si="337"/>
        <v>105409.28852063887</v>
      </c>
      <c r="DN179" s="157">
        <f t="shared" si="337"/>
        <v>103835.28852063887</v>
      </c>
      <c r="DO179" s="157">
        <f t="shared" si="337"/>
        <v>102375.28852063887</v>
      </c>
      <c r="DP179" s="157">
        <f t="shared" si="337"/>
        <v>100966.28852063887</v>
      </c>
      <c r="DQ179" s="157">
        <f t="shared" si="337"/>
        <v>99455.288520638875</v>
      </c>
      <c r="DR179" s="157">
        <f t="shared" si="337"/>
        <v>98284.288520638875</v>
      </c>
      <c r="DS179" s="157">
        <f t="shared" si="337"/>
        <v>97346.288520638875</v>
      </c>
    </row>
    <row r="180" spans="1:123" ht="12.75" customHeight="1" x14ac:dyDescent="0.35">
      <c r="A180" s="147" t="s">
        <v>495</v>
      </c>
      <c r="B180" s="148">
        <f>AA180</f>
        <v>0</v>
      </c>
      <c r="C180" s="139" t="s">
        <v>169</v>
      </c>
      <c r="D180" s="148">
        <f>0</f>
        <v>0</v>
      </c>
      <c r="E180" s="148">
        <f t="shared" ref="E180:AJ180" si="338">D182</f>
        <v>0</v>
      </c>
      <c r="F180" s="148">
        <f t="shared" si="338"/>
        <v>0</v>
      </c>
      <c r="G180" s="148">
        <f t="shared" si="338"/>
        <v>0</v>
      </c>
      <c r="H180" s="148">
        <f t="shared" si="338"/>
        <v>0</v>
      </c>
      <c r="I180" s="148">
        <f t="shared" si="338"/>
        <v>0</v>
      </c>
      <c r="J180" s="148">
        <f t="shared" si="338"/>
        <v>0</v>
      </c>
      <c r="K180" s="148">
        <f t="shared" si="338"/>
        <v>0</v>
      </c>
      <c r="L180" s="148">
        <f t="shared" si="338"/>
        <v>0</v>
      </c>
      <c r="M180" s="148">
        <f t="shared" si="338"/>
        <v>0</v>
      </c>
      <c r="N180" s="148">
        <f t="shared" si="338"/>
        <v>0</v>
      </c>
      <c r="O180" s="148">
        <f t="shared" si="338"/>
        <v>0</v>
      </c>
      <c r="P180" s="148">
        <f t="shared" si="338"/>
        <v>0</v>
      </c>
      <c r="Q180" s="148">
        <f t="shared" si="338"/>
        <v>0</v>
      </c>
      <c r="R180" s="148">
        <f t="shared" si="338"/>
        <v>0</v>
      </c>
      <c r="S180" s="148">
        <f t="shared" si="338"/>
        <v>0</v>
      </c>
      <c r="T180" s="148">
        <f t="shared" si="338"/>
        <v>0</v>
      </c>
      <c r="U180" s="148">
        <f t="shared" si="338"/>
        <v>0</v>
      </c>
      <c r="V180" s="148">
        <f t="shared" si="338"/>
        <v>0</v>
      </c>
      <c r="W180" s="148">
        <f t="shared" si="338"/>
        <v>0</v>
      </c>
      <c r="X180" s="148">
        <f t="shared" si="338"/>
        <v>0</v>
      </c>
      <c r="Y180" s="148">
        <f t="shared" si="338"/>
        <v>0</v>
      </c>
      <c r="Z180" s="148">
        <f t="shared" si="338"/>
        <v>0</v>
      </c>
      <c r="AA180" s="148">
        <f t="shared" si="338"/>
        <v>0</v>
      </c>
      <c r="AB180" s="148">
        <f t="shared" si="338"/>
        <v>0</v>
      </c>
      <c r="AC180" s="148">
        <f t="shared" si="338"/>
        <v>0</v>
      </c>
      <c r="AD180" s="148">
        <f t="shared" si="338"/>
        <v>0</v>
      </c>
      <c r="AE180" s="148">
        <f t="shared" si="338"/>
        <v>0</v>
      </c>
      <c r="AF180" s="148">
        <f t="shared" si="338"/>
        <v>0</v>
      </c>
      <c r="AG180" s="148">
        <f t="shared" si="338"/>
        <v>0</v>
      </c>
      <c r="AH180" s="148">
        <f t="shared" si="338"/>
        <v>0</v>
      </c>
      <c r="AI180" s="148">
        <f t="shared" si="338"/>
        <v>0</v>
      </c>
      <c r="AJ180" s="148">
        <f t="shared" si="338"/>
        <v>0</v>
      </c>
      <c r="AK180" s="148">
        <f t="shared" ref="AK180:BP180" si="339">AJ182</f>
        <v>0</v>
      </c>
      <c r="AL180" s="148">
        <f t="shared" si="339"/>
        <v>0</v>
      </c>
      <c r="AM180" s="148">
        <f t="shared" si="339"/>
        <v>0</v>
      </c>
      <c r="AN180" s="148">
        <f t="shared" si="339"/>
        <v>0</v>
      </c>
      <c r="AO180" s="148">
        <f t="shared" si="339"/>
        <v>0</v>
      </c>
      <c r="AP180" s="148">
        <f t="shared" si="339"/>
        <v>0</v>
      </c>
      <c r="AQ180" s="148">
        <f t="shared" si="339"/>
        <v>0</v>
      </c>
      <c r="AR180" s="148">
        <f t="shared" si="339"/>
        <v>0</v>
      </c>
      <c r="AS180" s="148">
        <f t="shared" si="339"/>
        <v>0</v>
      </c>
      <c r="AT180" s="148">
        <f t="shared" si="339"/>
        <v>0</v>
      </c>
      <c r="AU180" s="148">
        <f t="shared" si="339"/>
        <v>0</v>
      </c>
      <c r="AV180" s="148">
        <f t="shared" si="339"/>
        <v>0</v>
      </c>
      <c r="AW180" s="148">
        <f t="shared" si="339"/>
        <v>0</v>
      </c>
      <c r="AX180" s="148">
        <f t="shared" si="339"/>
        <v>0</v>
      </c>
      <c r="AY180" s="148">
        <f t="shared" si="339"/>
        <v>0</v>
      </c>
      <c r="AZ180" s="148">
        <f t="shared" si="339"/>
        <v>0</v>
      </c>
      <c r="BA180" s="148">
        <f t="shared" si="339"/>
        <v>0</v>
      </c>
      <c r="BB180" s="148">
        <f t="shared" si="339"/>
        <v>0</v>
      </c>
      <c r="BC180" s="148">
        <f t="shared" si="339"/>
        <v>0</v>
      </c>
      <c r="BD180" s="148">
        <f t="shared" si="339"/>
        <v>0</v>
      </c>
      <c r="BE180" s="148">
        <f t="shared" si="339"/>
        <v>0</v>
      </c>
      <c r="BF180" s="148">
        <f t="shared" si="339"/>
        <v>0</v>
      </c>
      <c r="BG180" s="148">
        <f t="shared" si="339"/>
        <v>0</v>
      </c>
      <c r="BH180" s="148">
        <f t="shared" si="339"/>
        <v>0</v>
      </c>
      <c r="BI180" s="148">
        <f t="shared" si="339"/>
        <v>0</v>
      </c>
      <c r="BJ180" s="148">
        <f t="shared" si="339"/>
        <v>0</v>
      </c>
      <c r="BK180" s="148">
        <f t="shared" si="339"/>
        <v>0</v>
      </c>
      <c r="BL180" s="148">
        <f t="shared" si="339"/>
        <v>0</v>
      </c>
      <c r="BM180" s="148">
        <f t="shared" si="339"/>
        <v>0</v>
      </c>
      <c r="BN180" s="148">
        <f t="shared" si="339"/>
        <v>0</v>
      </c>
      <c r="BO180" s="148">
        <f t="shared" si="339"/>
        <v>0</v>
      </c>
      <c r="BP180" s="148">
        <f t="shared" si="339"/>
        <v>0</v>
      </c>
      <c r="BQ180" s="148">
        <f t="shared" ref="BQ180:CV180" si="340">BP182</f>
        <v>0</v>
      </c>
      <c r="BR180" s="148">
        <f t="shared" si="340"/>
        <v>0</v>
      </c>
      <c r="BS180" s="148">
        <f t="shared" si="340"/>
        <v>0</v>
      </c>
      <c r="BT180" s="148">
        <f t="shared" si="340"/>
        <v>0</v>
      </c>
      <c r="BU180" s="148">
        <f t="shared" si="340"/>
        <v>0</v>
      </c>
      <c r="BV180" s="148">
        <f t="shared" si="340"/>
        <v>0</v>
      </c>
      <c r="BW180" s="148">
        <f t="shared" si="340"/>
        <v>0</v>
      </c>
      <c r="BX180" s="148">
        <f t="shared" si="340"/>
        <v>0</v>
      </c>
      <c r="BY180" s="148">
        <f t="shared" si="340"/>
        <v>0</v>
      </c>
      <c r="BZ180" s="148">
        <f t="shared" si="340"/>
        <v>0</v>
      </c>
      <c r="CA180" s="148">
        <f t="shared" si="340"/>
        <v>0</v>
      </c>
      <c r="CB180" s="148">
        <f t="shared" si="340"/>
        <v>0</v>
      </c>
      <c r="CC180" s="148">
        <f t="shared" si="340"/>
        <v>0</v>
      </c>
      <c r="CD180" s="148">
        <f t="shared" si="340"/>
        <v>0</v>
      </c>
      <c r="CE180" s="148">
        <f t="shared" si="340"/>
        <v>0</v>
      </c>
      <c r="CF180" s="148">
        <f t="shared" si="340"/>
        <v>0</v>
      </c>
      <c r="CG180" s="148">
        <f t="shared" si="340"/>
        <v>0</v>
      </c>
      <c r="CH180" s="148">
        <f t="shared" si="340"/>
        <v>0</v>
      </c>
      <c r="CI180" s="148">
        <f t="shared" si="340"/>
        <v>0</v>
      </c>
      <c r="CJ180" s="148">
        <f t="shared" si="340"/>
        <v>0</v>
      </c>
      <c r="CK180" s="148">
        <f t="shared" si="340"/>
        <v>0</v>
      </c>
      <c r="CL180" s="148">
        <f t="shared" si="340"/>
        <v>0</v>
      </c>
      <c r="CM180" s="148">
        <f t="shared" si="340"/>
        <v>0</v>
      </c>
      <c r="CN180" s="148">
        <f t="shared" si="340"/>
        <v>0</v>
      </c>
      <c r="CO180" s="148">
        <f t="shared" si="340"/>
        <v>0</v>
      </c>
      <c r="CP180" s="148">
        <f t="shared" si="340"/>
        <v>0</v>
      </c>
      <c r="CQ180" s="148">
        <f t="shared" si="340"/>
        <v>0</v>
      </c>
      <c r="CR180" s="148">
        <f t="shared" si="340"/>
        <v>0</v>
      </c>
      <c r="CS180" s="148">
        <f t="shared" si="340"/>
        <v>0</v>
      </c>
      <c r="CT180" s="148">
        <f t="shared" si="340"/>
        <v>0</v>
      </c>
      <c r="CU180" s="148">
        <f t="shared" si="340"/>
        <v>0</v>
      </c>
      <c r="CV180" s="148">
        <f t="shared" si="340"/>
        <v>0</v>
      </c>
      <c r="CW180" s="148">
        <f t="shared" ref="CW180:DS180" si="341">CV182</f>
        <v>0</v>
      </c>
      <c r="CX180" s="148">
        <f t="shared" si="341"/>
        <v>0</v>
      </c>
      <c r="CY180" s="148">
        <f t="shared" si="341"/>
        <v>0</v>
      </c>
      <c r="CZ180" s="148">
        <f t="shared" si="341"/>
        <v>0</v>
      </c>
      <c r="DA180" s="148">
        <f t="shared" si="341"/>
        <v>0</v>
      </c>
      <c r="DB180" s="148">
        <f t="shared" si="341"/>
        <v>0</v>
      </c>
      <c r="DC180" s="148">
        <f t="shared" si="341"/>
        <v>0</v>
      </c>
      <c r="DD180" s="148">
        <f t="shared" si="341"/>
        <v>0</v>
      </c>
      <c r="DE180" s="148">
        <f t="shared" si="341"/>
        <v>0</v>
      </c>
      <c r="DF180" s="148">
        <f t="shared" si="341"/>
        <v>0</v>
      </c>
      <c r="DG180" s="148">
        <f t="shared" si="341"/>
        <v>0</v>
      </c>
      <c r="DH180" s="148">
        <f t="shared" si="341"/>
        <v>0</v>
      </c>
      <c r="DI180" s="148">
        <f t="shared" si="341"/>
        <v>0</v>
      </c>
      <c r="DJ180" s="148">
        <f t="shared" si="341"/>
        <v>0</v>
      </c>
      <c r="DK180" s="148">
        <f t="shared" si="341"/>
        <v>0</v>
      </c>
      <c r="DL180" s="148">
        <f t="shared" si="341"/>
        <v>0</v>
      </c>
      <c r="DM180" s="148">
        <f t="shared" si="341"/>
        <v>0</v>
      </c>
      <c r="DN180" s="148">
        <f t="shared" si="341"/>
        <v>0</v>
      </c>
      <c r="DO180" s="148">
        <f t="shared" si="341"/>
        <v>0</v>
      </c>
      <c r="DP180" s="148">
        <f t="shared" si="341"/>
        <v>0</v>
      </c>
      <c r="DQ180" s="148">
        <f t="shared" si="341"/>
        <v>0</v>
      </c>
      <c r="DR180" s="148">
        <f t="shared" si="341"/>
        <v>0</v>
      </c>
      <c r="DS180" s="148">
        <f t="shared" si="341"/>
        <v>0</v>
      </c>
    </row>
    <row r="181" spans="1:123" ht="12.75" customHeight="1" x14ac:dyDescent="0.35">
      <c r="A181" s="147" t="s">
        <v>503</v>
      </c>
      <c r="B181" s="148">
        <f>SUM(D181:BQ181)</f>
        <v>0</v>
      </c>
      <c r="C181" s="139">
        <f>B181/60</f>
        <v>0</v>
      </c>
      <c r="D181" s="148">
        <f t="shared" ref="D181:AI181" si="342">MIN(D180,D175)</f>
        <v>0</v>
      </c>
      <c r="E181" s="148">
        <f t="shared" si="342"/>
        <v>0</v>
      </c>
      <c r="F181" s="148">
        <f t="shared" si="342"/>
        <v>0</v>
      </c>
      <c r="G181" s="148">
        <f t="shared" si="342"/>
        <v>0</v>
      </c>
      <c r="H181" s="148">
        <f t="shared" si="342"/>
        <v>0</v>
      </c>
      <c r="I181" s="148">
        <f t="shared" si="342"/>
        <v>0</v>
      </c>
      <c r="J181" s="148">
        <f t="shared" si="342"/>
        <v>0</v>
      </c>
      <c r="K181" s="148">
        <f t="shared" si="342"/>
        <v>0</v>
      </c>
      <c r="L181" s="148">
        <f t="shared" si="342"/>
        <v>0</v>
      </c>
      <c r="M181" s="148">
        <f t="shared" si="342"/>
        <v>0</v>
      </c>
      <c r="N181" s="148">
        <f t="shared" si="342"/>
        <v>0</v>
      </c>
      <c r="O181" s="148">
        <f t="shared" si="342"/>
        <v>0</v>
      </c>
      <c r="P181" s="148">
        <f t="shared" si="342"/>
        <v>0</v>
      </c>
      <c r="Q181" s="148">
        <f t="shared" si="342"/>
        <v>0</v>
      </c>
      <c r="R181" s="148">
        <f t="shared" si="342"/>
        <v>0</v>
      </c>
      <c r="S181" s="148">
        <f t="shared" si="342"/>
        <v>0</v>
      </c>
      <c r="T181" s="148">
        <f t="shared" si="342"/>
        <v>0</v>
      </c>
      <c r="U181" s="148">
        <f t="shared" si="342"/>
        <v>0</v>
      </c>
      <c r="V181" s="148">
        <f t="shared" si="342"/>
        <v>0</v>
      </c>
      <c r="W181" s="148">
        <f t="shared" si="342"/>
        <v>0</v>
      </c>
      <c r="X181" s="148">
        <f t="shared" si="342"/>
        <v>0</v>
      </c>
      <c r="Y181" s="148">
        <f t="shared" si="342"/>
        <v>0</v>
      </c>
      <c r="Z181" s="148">
        <f t="shared" si="342"/>
        <v>0</v>
      </c>
      <c r="AA181" s="148">
        <f t="shared" si="342"/>
        <v>0</v>
      </c>
      <c r="AB181" s="148">
        <f t="shared" si="342"/>
        <v>0</v>
      </c>
      <c r="AC181" s="148">
        <f t="shared" si="342"/>
        <v>0</v>
      </c>
      <c r="AD181" s="148">
        <f t="shared" si="342"/>
        <v>0</v>
      </c>
      <c r="AE181" s="148">
        <f t="shared" si="342"/>
        <v>0</v>
      </c>
      <c r="AF181" s="148">
        <f t="shared" si="342"/>
        <v>0</v>
      </c>
      <c r="AG181" s="148">
        <f t="shared" si="342"/>
        <v>0</v>
      </c>
      <c r="AH181" s="148">
        <f t="shared" si="342"/>
        <v>0</v>
      </c>
      <c r="AI181" s="148">
        <f t="shared" si="342"/>
        <v>0</v>
      </c>
      <c r="AJ181" s="148">
        <f t="shared" ref="AJ181:BO181" si="343">MIN(AJ180,AJ175)</f>
        <v>0</v>
      </c>
      <c r="AK181" s="148">
        <f t="shared" si="343"/>
        <v>0</v>
      </c>
      <c r="AL181" s="148">
        <f t="shared" si="343"/>
        <v>0</v>
      </c>
      <c r="AM181" s="148">
        <f t="shared" si="343"/>
        <v>0</v>
      </c>
      <c r="AN181" s="148">
        <f t="shared" si="343"/>
        <v>0</v>
      </c>
      <c r="AO181" s="148">
        <f t="shared" si="343"/>
        <v>0</v>
      </c>
      <c r="AP181" s="148">
        <f t="shared" si="343"/>
        <v>0</v>
      </c>
      <c r="AQ181" s="148">
        <f t="shared" si="343"/>
        <v>0</v>
      </c>
      <c r="AR181" s="148">
        <f t="shared" si="343"/>
        <v>0</v>
      </c>
      <c r="AS181" s="148">
        <f t="shared" si="343"/>
        <v>0</v>
      </c>
      <c r="AT181" s="148">
        <f t="shared" si="343"/>
        <v>0</v>
      </c>
      <c r="AU181" s="148">
        <f t="shared" si="343"/>
        <v>0</v>
      </c>
      <c r="AV181" s="148">
        <f t="shared" si="343"/>
        <v>0</v>
      </c>
      <c r="AW181" s="148">
        <f t="shared" si="343"/>
        <v>0</v>
      </c>
      <c r="AX181" s="148">
        <f t="shared" si="343"/>
        <v>0</v>
      </c>
      <c r="AY181" s="148">
        <f t="shared" si="343"/>
        <v>0</v>
      </c>
      <c r="AZ181" s="148">
        <f t="shared" si="343"/>
        <v>0</v>
      </c>
      <c r="BA181" s="148">
        <f t="shared" si="343"/>
        <v>0</v>
      </c>
      <c r="BB181" s="148">
        <f t="shared" si="343"/>
        <v>0</v>
      </c>
      <c r="BC181" s="148">
        <f t="shared" si="343"/>
        <v>0</v>
      </c>
      <c r="BD181" s="148">
        <f t="shared" si="343"/>
        <v>0</v>
      </c>
      <c r="BE181" s="148">
        <f t="shared" si="343"/>
        <v>0</v>
      </c>
      <c r="BF181" s="148">
        <f t="shared" si="343"/>
        <v>0</v>
      </c>
      <c r="BG181" s="148">
        <f t="shared" si="343"/>
        <v>0</v>
      </c>
      <c r="BH181" s="148">
        <f t="shared" si="343"/>
        <v>0</v>
      </c>
      <c r="BI181" s="148">
        <f t="shared" si="343"/>
        <v>0</v>
      </c>
      <c r="BJ181" s="148">
        <f t="shared" si="343"/>
        <v>0</v>
      </c>
      <c r="BK181" s="148">
        <f t="shared" si="343"/>
        <v>0</v>
      </c>
      <c r="BL181" s="148">
        <f t="shared" si="343"/>
        <v>0</v>
      </c>
      <c r="BM181" s="148">
        <f t="shared" si="343"/>
        <v>0</v>
      </c>
      <c r="BN181" s="148">
        <f t="shared" si="343"/>
        <v>0</v>
      </c>
      <c r="BO181" s="148">
        <f t="shared" si="343"/>
        <v>0</v>
      </c>
      <c r="BP181" s="148">
        <f t="shared" ref="BP181:CU181" si="344">MIN(BP180,BP175)</f>
        <v>0</v>
      </c>
      <c r="BQ181" s="148">
        <f t="shared" si="344"/>
        <v>0</v>
      </c>
      <c r="BR181" s="148">
        <f t="shared" si="344"/>
        <v>0</v>
      </c>
      <c r="BS181" s="148">
        <f t="shared" si="344"/>
        <v>0</v>
      </c>
      <c r="BT181" s="148">
        <f t="shared" si="344"/>
        <v>0</v>
      </c>
      <c r="BU181" s="148">
        <f t="shared" si="344"/>
        <v>0</v>
      </c>
      <c r="BV181" s="148">
        <f t="shared" si="344"/>
        <v>0</v>
      </c>
      <c r="BW181" s="148">
        <f t="shared" si="344"/>
        <v>0</v>
      </c>
      <c r="BX181" s="148">
        <f t="shared" si="344"/>
        <v>0</v>
      </c>
      <c r="BY181" s="148">
        <f t="shared" si="344"/>
        <v>0</v>
      </c>
      <c r="BZ181" s="148">
        <f t="shared" si="344"/>
        <v>0</v>
      </c>
      <c r="CA181" s="148">
        <f t="shared" si="344"/>
        <v>0</v>
      </c>
      <c r="CB181" s="148">
        <f t="shared" si="344"/>
        <v>0</v>
      </c>
      <c r="CC181" s="148">
        <f t="shared" si="344"/>
        <v>0</v>
      </c>
      <c r="CD181" s="148">
        <f t="shared" si="344"/>
        <v>0</v>
      </c>
      <c r="CE181" s="148">
        <f t="shared" si="344"/>
        <v>0</v>
      </c>
      <c r="CF181" s="148">
        <f t="shared" si="344"/>
        <v>0</v>
      </c>
      <c r="CG181" s="148">
        <f t="shared" si="344"/>
        <v>0</v>
      </c>
      <c r="CH181" s="148">
        <f t="shared" si="344"/>
        <v>0</v>
      </c>
      <c r="CI181" s="148">
        <f t="shared" si="344"/>
        <v>0</v>
      </c>
      <c r="CJ181" s="148">
        <f t="shared" si="344"/>
        <v>0</v>
      </c>
      <c r="CK181" s="148">
        <f t="shared" si="344"/>
        <v>0</v>
      </c>
      <c r="CL181" s="148">
        <f t="shared" si="344"/>
        <v>0</v>
      </c>
      <c r="CM181" s="148">
        <f t="shared" si="344"/>
        <v>0</v>
      </c>
      <c r="CN181" s="148">
        <f t="shared" si="344"/>
        <v>0</v>
      </c>
      <c r="CO181" s="148">
        <f t="shared" si="344"/>
        <v>0</v>
      </c>
      <c r="CP181" s="148">
        <f t="shared" si="344"/>
        <v>0</v>
      </c>
      <c r="CQ181" s="148">
        <f t="shared" si="344"/>
        <v>0</v>
      </c>
      <c r="CR181" s="148">
        <f t="shared" si="344"/>
        <v>0</v>
      </c>
      <c r="CS181" s="148">
        <f t="shared" si="344"/>
        <v>0</v>
      </c>
      <c r="CT181" s="148">
        <f t="shared" si="344"/>
        <v>0</v>
      </c>
      <c r="CU181" s="148">
        <f t="shared" si="344"/>
        <v>0</v>
      </c>
      <c r="CV181" s="148">
        <f t="shared" ref="CV181:DS181" si="345">MIN(CV180,CV175)</f>
        <v>0</v>
      </c>
      <c r="CW181" s="148">
        <f t="shared" si="345"/>
        <v>0</v>
      </c>
      <c r="CX181" s="148">
        <f t="shared" si="345"/>
        <v>0</v>
      </c>
      <c r="CY181" s="148">
        <f t="shared" si="345"/>
        <v>0</v>
      </c>
      <c r="CZ181" s="148">
        <f t="shared" si="345"/>
        <v>0</v>
      </c>
      <c r="DA181" s="148">
        <f t="shared" si="345"/>
        <v>0</v>
      </c>
      <c r="DB181" s="148">
        <f t="shared" si="345"/>
        <v>0</v>
      </c>
      <c r="DC181" s="148">
        <f t="shared" si="345"/>
        <v>0</v>
      </c>
      <c r="DD181" s="148">
        <f t="shared" si="345"/>
        <v>0</v>
      </c>
      <c r="DE181" s="148">
        <f t="shared" si="345"/>
        <v>0</v>
      </c>
      <c r="DF181" s="148">
        <f t="shared" si="345"/>
        <v>0</v>
      </c>
      <c r="DG181" s="148">
        <f t="shared" si="345"/>
        <v>0</v>
      </c>
      <c r="DH181" s="148">
        <f t="shared" si="345"/>
        <v>0</v>
      </c>
      <c r="DI181" s="148">
        <f t="shared" si="345"/>
        <v>0</v>
      </c>
      <c r="DJ181" s="148">
        <f t="shared" si="345"/>
        <v>0</v>
      </c>
      <c r="DK181" s="148">
        <f t="shared" si="345"/>
        <v>0</v>
      </c>
      <c r="DL181" s="148">
        <f t="shared" si="345"/>
        <v>0</v>
      </c>
      <c r="DM181" s="148">
        <f t="shared" si="345"/>
        <v>0</v>
      </c>
      <c r="DN181" s="148">
        <f t="shared" si="345"/>
        <v>0</v>
      </c>
      <c r="DO181" s="148">
        <f t="shared" si="345"/>
        <v>0</v>
      </c>
      <c r="DP181" s="148">
        <f t="shared" si="345"/>
        <v>0</v>
      </c>
      <c r="DQ181" s="148">
        <f t="shared" si="345"/>
        <v>0</v>
      </c>
      <c r="DR181" s="148">
        <f t="shared" si="345"/>
        <v>0</v>
      </c>
      <c r="DS181" s="148">
        <f t="shared" si="345"/>
        <v>0</v>
      </c>
    </row>
    <row r="182" spans="1:123" ht="12.75" customHeight="1" x14ac:dyDescent="0.35">
      <c r="A182" s="147" t="s">
        <v>504</v>
      </c>
      <c r="B182" s="148">
        <f>AA182</f>
        <v>0</v>
      </c>
      <c r="C182" s="139" t="s">
        <v>169</v>
      </c>
      <c r="D182" s="168">
        <f t="shared" ref="D182:AI182" si="346">MAX(D180-D181,0)</f>
        <v>0</v>
      </c>
      <c r="E182" s="168">
        <f t="shared" si="346"/>
        <v>0</v>
      </c>
      <c r="F182" s="168">
        <f t="shared" si="346"/>
        <v>0</v>
      </c>
      <c r="G182" s="168">
        <f t="shared" si="346"/>
        <v>0</v>
      </c>
      <c r="H182" s="168">
        <f t="shared" si="346"/>
        <v>0</v>
      </c>
      <c r="I182" s="168">
        <f t="shared" si="346"/>
        <v>0</v>
      </c>
      <c r="J182" s="168">
        <f t="shared" si="346"/>
        <v>0</v>
      </c>
      <c r="K182" s="168">
        <f t="shared" si="346"/>
        <v>0</v>
      </c>
      <c r="L182" s="168">
        <f t="shared" si="346"/>
        <v>0</v>
      </c>
      <c r="M182" s="168">
        <f t="shared" si="346"/>
        <v>0</v>
      </c>
      <c r="N182" s="168">
        <f t="shared" si="346"/>
        <v>0</v>
      </c>
      <c r="O182" s="168">
        <f t="shared" si="346"/>
        <v>0</v>
      </c>
      <c r="P182" s="168">
        <f t="shared" si="346"/>
        <v>0</v>
      </c>
      <c r="Q182" s="168">
        <f t="shared" si="346"/>
        <v>0</v>
      </c>
      <c r="R182" s="168">
        <f t="shared" si="346"/>
        <v>0</v>
      </c>
      <c r="S182" s="168">
        <f t="shared" si="346"/>
        <v>0</v>
      </c>
      <c r="T182" s="168">
        <f t="shared" si="346"/>
        <v>0</v>
      </c>
      <c r="U182" s="168">
        <f t="shared" si="346"/>
        <v>0</v>
      </c>
      <c r="V182" s="168">
        <f t="shared" si="346"/>
        <v>0</v>
      </c>
      <c r="W182" s="168">
        <f t="shared" si="346"/>
        <v>0</v>
      </c>
      <c r="X182" s="168">
        <f t="shared" si="346"/>
        <v>0</v>
      </c>
      <c r="Y182" s="168">
        <f t="shared" si="346"/>
        <v>0</v>
      </c>
      <c r="Z182" s="168">
        <f t="shared" si="346"/>
        <v>0</v>
      </c>
      <c r="AA182" s="168">
        <f t="shared" si="346"/>
        <v>0</v>
      </c>
      <c r="AB182" s="168">
        <f t="shared" si="346"/>
        <v>0</v>
      </c>
      <c r="AC182" s="168">
        <f t="shared" si="346"/>
        <v>0</v>
      </c>
      <c r="AD182" s="168">
        <f t="shared" si="346"/>
        <v>0</v>
      </c>
      <c r="AE182" s="168">
        <f t="shared" si="346"/>
        <v>0</v>
      </c>
      <c r="AF182" s="168">
        <f t="shared" si="346"/>
        <v>0</v>
      </c>
      <c r="AG182" s="168">
        <f t="shared" si="346"/>
        <v>0</v>
      </c>
      <c r="AH182" s="168">
        <f t="shared" si="346"/>
        <v>0</v>
      </c>
      <c r="AI182" s="168">
        <f t="shared" si="346"/>
        <v>0</v>
      </c>
      <c r="AJ182" s="168">
        <f t="shared" ref="AJ182:BO182" si="347">MAX(AJ180-AJ181,0)</f>
        <v>0</v>
      </c>
      <c r="AK182" s="168">
        <f t="shared" si="347"/>
        <v>0</v>
      </c>
      <c r="AL182" s="168">
        <f t="shared" si="347"/>
        <v>0</v>
      </c>
      <c r="AM182" s="168">
        <f t="shared" si="347"/>
        <v>0</v>
      </c>
      <c r="AN182" s="168">
        <f t="shared" si="347"/>
        <v>0</v>
      </c>
      <c r="AO182" s="168">
        <f t="shared" si="347"/>
        <v>0</v>
      </c>
      <c r="AP182" s="168">
        <f t="shared" si="347"/>
        <v>0</v>
      </c>
      <c r="AQ182" s="168">
        <f t="shared" si="347"/>
        <v>0</v>
      </c>
      <c r="AR182" s="168">
        <f t="shared" si="347"/>
        <v>0</v>
      </c>
      <c r="AS182" s="168">
        <f t="shared" si="347"/>
        <v>0</v>
      </c>
      <c r="AT182" s="168">
        <f t="shared" si="347"/>
        <v>0</v>
      </c>
      <c r="AU182" s="168">
        <f t="shared" si="347"/>
        <v>0</v>
      </c>
      <c r="AV182" s="168">
        <f t="shared" si="347"/>
        <v>0</v>
      </c>
      <c r="AW182" s="168">
        <f t="shared" si="347"/>
        <v>0</v>
      </c>
      <c r="AX182" s="168">
        <f t="shared" si="347"/>
        <v>0</v>
      </c>
      <c r="AY182" s="168">
        <f t="shared" si="347"/>
        <v>0</v>
      </c>
      <c r="AZ182" s="168">
        <f t="shared" si="347"/>
        <v>0</v>
      </c>
      <c r="BA182" s="168">
        <f t="shared" si="347"/>
        <v>0</v>
      </c>
      <c r="BB182" s="168">
        <f t="shared" si="347"/>
        <v>0</v>
      </c>
      <c r="BC182" s="168">
        <f t="shared" si="347"/>
        <v>0</v>
      </c>
      <c r="BD182" s="168">
        <f t="shared" si="347"/>
        <v>0</v>
      </c>
      <c r="BE182" s="168">
        <f t="shared" si="347"/>
        <v>0</v>
      </c>
      <c r="BF182" s="168">
        <f t="shared" si="347"/>
        <v>0</v>
      </c>
      <c r="BG182" s="168">
        <f t="shared" si="347"/>
        <v>0</v>
      </c>
      <c r="BH182" s="168">
        <f t="shared" si="347"/>
        <v>0</v>
      </c>
      <c r="BI182" s="168">
        <f t="shared" si="347"/>
        <v>0</v>
      </c>
      <c r="BJ182" s="168">
        <f t="shared" si="347"/>
        <v>0</v>
      </c>
      <c r="BK182" s="168">
        <f t="shared" si="347"/>
        <v>0</v>
      </c>
      <c r="BL182" s="168">
        <f t="shared" si="347"/>
        <v>0</v>
      </c>
      <c r="BM182" s="168">
        <f t="shared" si="347"/>
        <v>0</v>
      </c>
      <c r="BN182" s="168">
        <f t="shared" si="347"/>
        <v>0</v>
      </c>
      <c r="BO182" s="168">
        <f t="shared" si="347"/>
        <v>0</v>
      </c>
      <c r="BP182" s="168">
        <f t="shared" ref="BP182:CU182" si="348">MAX(BP180-BP181,0)</f>
        <v>0</v>
      </c>
      <c r="BQ182" s="168">
        <f t="shared" si="348"/>
        <v>0</v>
      </c>
      <c r="BR182" s="168">
        <f t="shared" si="348"/>
        <v>0</v>
      </c>
      <c r="BS182" s="168">
        <f t="shared" si="348"/>
        <v>0</v>
      </c>
      <c r="BT182" s="168">
        <f t="shared" si="348"/>
        <v>0</v>
      </c>
      <c r="BU182" s="168">
        <f t="shared" si="348"/>
        <v>0</v>
      </c>
      <c r="BV182" s="168">
        <f t="shared" si="348"/>
        <v>0</v>
      </c>
      <c r="BW182" s="168">
        <f t="shared" si="348"/>
        <v>0</v>
      </c>
      <c r="BX182" s="168">
        <f t="shared" si="348"/>
        <v>0</v>
      </c>
      <c r="BY182" s="168">
        <f t="shared" si="348"/>
        <v>0</v>
      </c>
      <c r="BZ182" s="168">
        <f t="shared" si="348"/>
        <v>0</v>
      </c>
      <c r="CA182" s="168">
        <f t="shared" si="348"/>
        <v>0</v>
      </c>
      <c r="CB182" s="168">
        <f t="shared" si="348"/>
        <v>0</v>
      </c>
      <c r="CC182" s="168">
        <f t="shared" si="348"/>
        <v>0</v>
      </c>
      <c r="CD182" s="168">
        <f t="shared" si="348"/>
        <v>0</v>
      </c>
      <c r="CE182" s="168">
        <f t="shared" si="348"/>
        <v>0</v>
      </c>
      <c r="CF182" s="168">
        <f t="shared" si="348"/>
        <v>0</v>
      </c>
      <c r="CG182" s="168">
        <f t="shared" si="348"/>
        <v>0</v>
      </c>
      <c r="CH182" s="168">
        <f t="shared" si="348"/>
        <v>0</v>
      </c>
      <c r="CI182" s="168">
        <f t="shared" si="348"/>
        <v>0</v>
      </c>
      <c r="CJ182" s="168">
        <f t="shared" si="348"/>
        <v>0</v>
      </c>
      <c r="CK182" s="168">
        <f t="shared" si="348"/>
        <v>0</v>
      </c>
      <c r="CL182" s="168">
        <f t="shared" si="348"/>
        <v>0</v>
      </c>
      <c r="CM182" s="168">
        <f t="shared" si="348"/>
        <v>0</v>
      </c>
      <c r="CN182" s="168">
        <f t="shared" si="348"/>
        <v>0</v>
      </c>
      <c r="CO182" s="168">
        <f t="shared" si="348"/>
        <v>0</v>
      </c>
      <c r="CP182" s="168">
        <f t="shared" si="348"/>
        <v>0</v>
      </c>
      <c r="CQ182" s="168">
        <f t="shared" si="348"/>
        <v>0</v>
      </c>
      <c r="CR182" s="168">
        <f t="shared" si="348"/>
        <v>0</v>
      </c>
      <c r="CS182" s="168">
        <f t="shared" si="348"/>
        <v>0</v>
      </c>
      <c r="CT182" s="168">
        <f t="shared" si="348"/>
        <v>0</v>
      </c>
      <c r="CU182" s="168">
        <f t="shared" si="348"/>
        <v>0</v>
      </c>
      <c r="CV182" s="168">
        <f t="shared" ref="CV182:DS182" si="349">MAX(CV180-CV181,0)</f>
        <v>0</v>
      </c>
      <c r="CW182" s="168">
        <f t="shared" si="349"/>
        <v>0</v>
      </c>
      <c r="CX182" s="168">
        <f t="shared" si="349"/>
        <v>0</v>
      </c>
      <c r="CY182" s="168">
        <f t="shared" si="349"/>
        <v>0</v>
      </c>
      <c r="CZ182" s="168">
        <f t="shared" si="349"/>
        <v>0</v>
      </c>
      <c r="DA182" s="168">
        <f t="shared" si="349"/>
        <v>0</v>
      </c>
      <c r="DB182" s="168">
        <f t="shared" si="349"/>
        <v>0</v>
      </c>
      <c r="DC182" s="168">
        <f t="shared" si="349"/>
        <v>0</v>
      </c>
      <c r="DD182" s="168">
        <f t="shared" si="349"/>
        <v>0</v>
      </c>
      <c r="DE182" s="168">
        <f t="shared" si="349"/>
        <v>0</v>
      </c>
      <c r="DF182" s="168">
        <f t="shared" si="349"/>
        <v>0</v>
      </c>
      <c r="DG182" s="168">
        <f t="shared" si="349"/>
        <v>0</v>
      </c>
      <c r="DH182" s="168">
        <f t="shared" si="349"/>
        <v>0</v>
      </c>
      <c r="DI182" s="168">
        <f t="shared" si="349"/>
        <v>0</v>
      </c>
      <c r="DJ182" s="168">
        <f t="shared" si="349"/>
        <v>0</v>
      </c>
      <c r="DK182" s="168">
        <f t="shared" si="349"/>
        <v>0</v>
      </c>
      <c r="DL182" s="168">
        <f t="shared" si="349"/>
        <v>0</v>
      </c>
      <c r="DM182" s="168">
        <f t="shared" si="349"/>
        <v>0</v>
      </c>
      <c r="DN182" s="168">
        <f t="shared" si="349"/>
        <v>0</v>
      </c>
      <c r="DO182" s="168">
        <f t="shared" si="349"/>
        <v>0</v>
      </c>
      <c r="DP182" s="168">
        <f t="shared" si="349"/>
        <v>0</v>
      </c>
      <c r="DQ182" s="168">
        <f t="shared" si="349"/>
        <v>0</v>
      </c>
      <c r="DR182" s="168">
        <f t="shared" si="349"/>
        <v>0</v>
      </c>
      <c r="DS182" s="168">
        <f t="shared" si="349"/>
        <v>0</v>
      </c>
    </row>
    <row r="183" spans="1:123" ht="12.75" customHeight="1" x14ac:dyDescent="0.35">
      <c r="A183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83" s="162">
        <f>SUM(D183:BQ183)</f>
        <v>55779.337711699918</v>
      </c>
      <c r="C183" s="144">
        <f>B183/60</f>
        <v>929.65562852833193</v>
      </c>
      <c r="D183" s="162">
        <f>D175*Premissas!$F$19</f>
        <v>512.72196934265389</v>
      </c>
      <c r="E183" s="162">
        <f>E175*Premissas!$F$19</f>
        <v>439.60818671075924</v>
      </c>
      <c r="F183" s="162">
        <f>F175*Premissas!$F$19</f>
        <v>485.88273268031287</v>
      </c>
      <c r="G183" s="162">
        <f>G175*Premissas!$F$19</f>
        <v>694.11818954330408</v>
      </c>
      <c r="H183" s="162">
        <f>H175*Premissas!$F$19</f>
        <v>869.03597330821674</v>
      </c>
      <c r="I183" s="162">
        <f>I175*Premissas!$F$19</f>
        <v>832.94182745196485</v>
      </c>
      <c r="J183" s="162">
        <f>J175*Premissas!$F$19</f>
        <v>1166.1185584327509</v>
      </c>
      <c r="K183" s="162">
        <f>K175*Premissas!$F$19</f>
        <v>1081.8988847681633</v>
      </c>
      <c r="L183" s="162">
        <f>L175*Premissas!$F$19</f>
        <v>1043.9537570731293</v>
      </c>
      <c r="M183" s="162">
        <f>M175*Premissas!$F$19</f>
        <v>1119.8440124631973</v>
      </c>
      <c r="N183" s="162">
        <f>N175*Premissas!$F$19</f>
        <v>868.11048238882563</v>
      </c>
      <c r="O183" s="162">
        <f>O175*Premissas!$F$19</f>
        <v>695.04368046269519</v>
      </c>
      <c r="P183" s="162">
        <f>P175*Premissas!$F$19</f>
        <v>525.67884221412896</v>
      </c>
      <c r="Q183" s="162">
        <f>Q175*Premissas!$F$19</f>
        <v>450.71407774345209</v>
      </c>
      <c r="R183" s="162">
        <f>R175*Premissas!$F$19</f>
        <v>497.91411463239677</v>
      </c>
      <c r="S183" s="162">
        <f>S175*Premissas!$F$19</f>
        <v>711.70251701173447</v>
      </c>
      <c r="T183" s="162">
        <f>T175*Premissas!$F$19</f>
        <v>890.32226445421134</v>
      </c>
      <c r="U183" s="162">
        <f>U175*Premissas!$F$19</f>
        <v>853.30262767856846</v>
      </c>
      <c r="V183" s="162">
        <f>V175*Premissas!$F$19</f>
        <v>1195.7342678532652</v>
      </c>
      <c r="W183" s="162">
        <f>W175*Premissas!$F$19</f>
        <v>1081.8988847681633</v>
      </c>
      <c r="X183" s="162">
        <f>X175*Premissas!$F$19</f>
        <v>1043.9537570731293</v>
      </c>
      <c r="Y183" s="162">
        <f>Y175*Premissas!$F$19</f>
        <v>1119.8440124631973</v>
      </c>
      <c r="Z183" s="162">
        <f>Z175*Premissas!$F$19</f>
        <v>868.11048238882563</v>
      </c>
      <c r="AA183" s="162">
        <f>AA175*Premissas!$F$19</f>
        <v>695.04368046269519</v>
      </c>
      <c r="AB183" s="162">
        <f>AB175*Premissas!$F$19</f>
        <v>538.63571508560392</v>
      </c>
      <c r="AC183" s="162">
        <f>AC175*Premissas!$F$19</f>
        <v>461.81996877614495</v>
      </c>
      <c r="AD183" s="162">
        <f>AD175*Premissas!$F$19</f>
        <v>510.87098750387179</v>
      </c>
      <c r="AE183" s="162">
        <f>AE175*Premissas!$F$19</f>
        <v>729.28684448016486</v>
      </c>
      <c r="AF183" s="162">
        <f>AF175*Premissas!$F$19</f>
        <v>913.45953743898815</v>
      </c>
      <c r="AG183" s="162">
        <f>AG175*Premissas!$F$19</f>
        <v>875.51440974395416</v>
      </c>
      <c r="AH183" s="162">
        <f>AH175*Premissas!$F$19</f>
        <v>1225.3499772737794</v>
      </c>
      <c r="AI183" s="162">
        <f>AI175*Premissas!$F$19</f>
        <v>1136.5028490122365</v>
      </c>
      <c r="AJ183" s="162">
        <f>AJ175*Premissas!$F$19</f>
        <v>1096.7067394784203</v>
      </c>
      <c r="AK183" s="162">
        <f>AK175*Premissas!$F$19</f>
        <v>1176.2989585460525</v>
      </c>
      <c r="AL183" s="162">
        <f>AL175*Premissas!$F$19</f>
        <v>911.60855560020605</v>
      </c>
      <c r="AM183" s="162">
        <f>AM175*Premissas!$F$19</f>
        <v>730.21233539955585</v>
      </c>
      <c r="AN183" s="162">
        <f>AN175*Premissas!$F$19</f>
        <v>552.51807887646999</v>
      </c>
      <c r="AO183" s="162">
        <f>AO175*Premissas!$F$19</f>
        <v>473.85135072822891</v>
      </c>
      <c r="AP183" s="162">
        <f>AP175*Premissas!$F$19</f>
        <v>522.90236945595575</v>
      </c>
      <c r="AQ183" s="162">
        <f>AQ175*Premissas!$F$19</f>
        <v>747.79666286798624</v>
      </c>
      <c r="AR183" s="162">
        <f>AR175*Premissas!$F$19</f>
        <v>935.67131950437386</v>
      </c>
      <c r="AS183" s="162">
        <f>AS175*Premissas!$F$19</f>
        <v>896.80070088994887</v>
      </c>
      <c r="AT183" s="162">
        <f>AT175*Premissas!$F$19</f>
        <v>1255.8911776136849</v>
      </c>
      <c r="AU183" s="162">
        <f>AU175*Premissas!$F$19</f>
        <v>1165.1930675133597</v>
      </c>
      <c r="AV183" s="162">
        <f>AV175*Premissas!$F$19</f>
        <v>1124.4714670601527</v>
      </c>
      <c r="AW183" s="162">
        <f>AW175*Premissas!$F$19</f>
        <v>1205.9146679665669</v>
      </c>
      <c r="AX183" s="162">
        <f>AX175*Premissas!$F$19</f>
        <v>934.74582858498286</v>
      </c>
      <c r="AY183" s="162">
        <f>AY175*Premissas!$F$19</f>
        <v>748.72215378737735</v>
      </c>
      <c r="AZ183" s="162">
        <f>AZ175*Premissas!$F$19</f>
        <v>566.40044266733616</v>
      </c>
      <c r="BA183" s="162">
        <f>BA175*Premissas!$F$19</f>
        <v>484.95724176092176</v>
      </c>
      <c r="BB183" s="162">
        <f>BB175*Premissas!$F$19</f>
        <v>536.78473324682182</v>
      </c>
      <c r="BC183" s="162">
        <f>BC175*Premissas!$F$19</f>
        <v>766.30648125580774</v>
      </c>
      <c r="BD183" s="162">
        <f>BD175*Premissas!$F$19</f>
        <v>958.80859248915067</v>
      </c>
      <c r="BE183" s="162">
        <f>BE175*Premissas!$F$19</f>
        <v>919.01248295533458</v>
      </c>
      <c r="BF183" s="162">
        <f>BF175*Premissas!$F$19</f>
        <v>1287.3578688729813</v>
      </c>
      <c r="BG183" s="162">
        <f>BG175*Premissas!$F$19</f>
        <v>1193.883286014483</v>
      </c>
      <c r="BH183" s="162">
        <f>BH175*Premissas!$F$19</f>
        <v>1152.2361946418848</v>
      </c>
      <c r="BI183" s="162">
        <f>BI175*Premissas!$F$19</f>
        <v>1236.4558683064722</v>
      </c>
      <c r="BJ183" s="162">
        <f>BJ175*Premissas!$F$19</f>
        <v>957.88310156975956</v>
      </c>
      <c r="BK183" s="162">
        <f>BK175*Premissas!$F$19</f>
        <v>767.23197217519873</v>
      </c>
      <c r="BL183" s="162">
        <f>BL175*Premissas!$F$19</f>
        <v>580.28280645820223</v>
      </c>
      <c r="BM183" s="162">
        <f>BM175*Premissas!$F$19</f>
        <v>496.98862371300572</v>
      </c>
      <c r="BN183" s="162">
        <f>BN175*Premissas!$F$19</f>
        <v>549.74160611829677</v>
      </c>
      <c r="BO183" s="162">
        <f>BO175*Premissas!$F$19</f>
        <v>785.74179056302023</v>
      </c>
      <c r="BP183" s="162">
        <f>BP175*Premissas!$F$19</f>
        <v>982.87135639331859</v>
      </c>
      <c r="BQ183" s="162">
        <f>BQ175*Premissas!$F$19</f>
        <v>942.14975594011139</v>
      </c>
      <c r="BR183" s="162">
        <f>BR175*Premissas!$F$19</f>
        <v>1319.7500510516688</v>
      </c>
      <c r="BS183" s="162">
        <f>BS175*Premissas!$F$19</f>
        <v>1224.4244863543884</v>
      </c>
      <c r="BT183" s="162">
        <f>BT175*Premissas!$F$19</f>
        <v>1180.9264131430079</v>
      </c>
      <c r="BU183" s="162">
        <f>BU175*Premissas!$F$19</f>
        <v>1266.9970686463778</v>
      </c>
      <c r="BV183" s="162">
        <f>BV175*Premissas!$F$19</f>
        <v>981.94586547392748</v>
      </c>
      <c r="BW183" s="162">
        <f>BW175*Premissas!$F$19</f>
        <v>786.66728148241123</v>
      </c>
      <c r="BX183" s="162">
        <f>BX175*Premissas!$F$19</f>
        <v>594.1651702490683</v>
      </c>
      <c r="BY183" s="162">
        <f>BY175*Premissas!$F$19</f>
        <v>509.94549658448074</v>
      </c>
      <c r="BZ183" s="162">
        <f>BZ175*Premissas!$F$19</f>
        <v>563.62396990916295</v>
      </c>
      <c r="CA183" s="162">
        <f>CA175*Premissas!$F$19</f>
        <v>805.17709987023272</v>
      </c>
      <c r="CB183" s="162">
        <f>CB175*Premissas!$F$19</f>
        <v>1007.8596112168775</v>
      </c>
      <c r="CC183" s="162">
        <f>CC175*Premissas!$F$19</f>
        <v>966.21251984427931</v>
      </c>
      <c r="CD183" s="162">
        <f>CD175*Premissas!$F$19</f>
        <v>1352.1422332303564</v>
      </c>
      <c r="CE183" s="162">
        <f>CE175*Premissas!$F$19</f>
        <v>1254.9656866942937</v>
      </c>
      <c r="CF183" s="162">
        <f>CF175*Premissas!$F$19</f>
        <v>1210.5421225635223</v>
      </c>
      <c r="CG183" s="162">
        <f>CG175*Premissas!$F$19</f>
        <v>1298.4637599056741</v>
      </c>
      <c r="CH183" s="162">
        <f>CH175*Premissas!$F$19</f>
        <v>1006.9341202974864</v>
      </c>
      <c r="CI183" s="162">
        <f>CI175*Premissas!$F$19</f>
        <v>806.10259078962383</v>
      </c>
      <c r="CJ183" s="162">
        <f>CJ175*Premissas!$F$19</f>
        <v>609.89851587871647</v>
      </c>
      <c r="CK183" s="162">
        <f>CK175*Premissas!$F$19</f>
        <v>522.90236945595575</v>
      </c>
      <c r="CL183" s="162">
        <f>CL175*Premissas!$F$19</f>
        <v>577.50633370002902</v>
      </c>
      <c r="CM183" s="162">
        <f>CM175*Premissas!$F$19</f>
        <v>825.53790009683632</v>
      </c>
      <c r="CN183" s="162">
        <f>CN175*Premissas!$F$19</f>
        <v>1032.8478660404364</v>
      </c>
      <c r="CO183" s="162">
        <f>CO175*Premissas!$F$19</f>
        <v>990.27528374844712</v>
      </c>
      <c r="CP183" s="162">
        <f>CP175*Premissas!$F$19</f>
        <v>1386.3853972478259</v>
      </c>
      <c r="CQ183" s="162">
        <f>CQ175*Premissas!$F$19</f>
        <v>1286.4323779535903</v>
      </c>
      <c r="CR183" s="162">
        <f>CR175*Premissas!$F$19</f>
        <v>1241.0833229034276</v>
      </c>
      <c r="CS183" s="162">
        <f>CS175*Premissas!$F$19</f>
        <v>1330.8559420843617</v>
      </c>
      <c r="CT183" s="162">
        <f>CT175*Premissas!$F$19</f>
        <v>1031.9223751210454</v>
      </c>
      <c r="CU183" s="162">
        <f>CU175*Premissas!$F$19</f>
        <v>826.46339101622732</v>
      </c>
      <c r="CV183" s="162">
        <f>CV175*Premissas!$F$19</f>
        <v>624.70637058897364</v>
      </c>
      <c r="CW183" s="162">
        <f>CW175*Premissas!$F$19</f>
        <v>535.85924232743071</v>
      </c>
      <c r="CX183" s="162">
        <f>CX175*Premissas!$F$19</f>
        <v>592.31418841028608</v>
      </c>
      <c r="CY183" s="162">
        <f>CY175*Premissas!$F$19</f>
        <v>845.89870032343993</v>
      </c>
      <c r="CZ183" s="162">
        <f>CZ175*Premissas!$F$19</f>
        <v>1058.7616117833866</v>
      </c>
      <c r="DA183" s="162">
        <f>DA175*Premissas!$F$19</f>
        <v>1015.263538572006</v>
      </c>
      <c r="DB183" s="162">
        <f>DB175*Premissas!$F$19</f>
        <v>1420.6285612652957</v>
      </c>
      <c r="DC183" s="162">
        <f>DC175*Premissas!$F$19</f>
        <v>1317.8990692128866</v>
      </c>
      <c r="DD183" s="162">
        <f>DD175*Premissas!$F$19</f>
        <v>1271.624523243333</v>
      </c>
      <c r="DE183" s="162">
        <f>DE175*Premissas!$F$19</f>
        <v>1364.1736151824402</v>
      </c>
      <c r="DF183" s="162">
        <f>DF175*Premissas!$F$19</f>
        <v>1057.8361208639953</v>
      </c>
      <c r="DG183" s="162">
        <f>DG175*Premissas!$F$19</f>
        <v>846.82419124283092</v>
      </c>
      <c r="DH183" s="162">
        <f>DH175*Premissas!$F$19</f>
        <v>640.43971621862192</v>
      </c>
      <c r="DI183" s="162">
        <f>DI175*Premissas!$F$19</f>
        <v>548.81611519890578</v>
      </c>
      <c r="DJ183" s="162">
        <f>DJ175*Premissas!$F$19</f>
        <v>607.12204312054325</v>
      </c>
      <c r="DK183" s="162">
        <f>DK175*Premissas!$F$19</f>
        <v>867.18499146943452</v>
      </c>
      <c r="DL183" s="162">
        <f>DL175*Premissas!$F$19</f>
        <v>1085.6008484457275</v>
      </c>
      <c r="DM183" s="162">
        <f>DM175*Premissas!$F$19</f>
        <v>1040.2517933955651</v>
      </c>
      <c r="DN183" s="162">
        <f>DN175*Premissas!$F$19</f>
        <v>1456.7227071215475</v>
      </c>
      <c r="DO183" s="162">
        <f>DO175*Premissas!$F$19</f>
        <v>1351.2167423109652</v>
      </c>
      <c r="DP183" s="162">
        <f>DP175*Premissas!$F$19</f>
        <v>1304.0167054220206</v>
      </c>
      <c r="DQ183" s="162">
        <f>DQ175*Premissas!$F$19</f>
        <v>1398.41677919991</v>
      </c>
      <c r="DR183" s="162">
        <f>DR175*Premissas!$F$19</f>
        <v>1083.7498666069455</v>
      </c>
      <c r="DS183" s="162">
        <f>DS175*Premissas!$F$19</f>
        <v>868.11048238882563</v>
      </c>
    </row>
    <row r="184" spans="1:123" ht="12.75" customHeight="1" x14ac:dyDescent="0.35">
      <c r="A184" s="163" t="s">
        <v>498</v>
      </c>
      <c r="B184" s="164">
        <f>SUM(D184:BQ184)</f>
        <v>6917.5764323970297</v>
      </c>
      <c r="C184" s="144">
        <f>B184/60</f>
        <v>115.29294053995049</v>
      </c>
      <c r="D184" s="164">
        <f>IF(D179&gt;0,0,MAX(D175-D176-D177,0)*Premissas!$B$7)</f>
        <v>38.45646142799761</v>
      </c>
      <c r="E184" s="164">
        <f>IF(E179&gt;0,0,MAX(E175-E176-E177,0)*Premissas!$B$7)</f>
        <v>0</v>
      </c>
      <c r="F184" s="164">
        <f>IF(F179&gt;0,0,MAX(F175-F176-F177,0)*Premissas!$B$7)</f>
        <v>0</v>
      </c>
      <c r="G184" s="164">
        <f>IF(G179&gt;0,0,MAX(G175-G176-G177,0)*Premissas!$B$7)</f>
        <v>0</v>
      </c>
      <c r="H184" s="164">
        <f>IF(H179&gt;0,0,MAX(H175-H176-H177,0)*Premissas!$B$7)</f>
        <v>0</v>
      </c>
      <c r="I184" s="164">
        <f>IF(I179&gt;0,0,MAX(I175-I176-I177,0)*Premissas!$B$7)</f>
        <v>0</v>
      </c>
      <c r="J184" s="164">
        <f>IF(J179&gt;0,0,MAX(J175-J176-J177,0)*Premissas!$B$7)</f>
        <v>0</v>
      </c>
      <c r="K184" s="164">
        <f>IF(K179&gt;0,0,MAX(K175-K176-K177,0)*Premissas!$B$7)</f>
        <v>0</v>
      </c>
      <c r="L184" s="164">
        <f>IF(L179&gt;0,0,MAX(L175-L176-L177,0)*Premissas!$B$7)</f>
        <v>0</v>
      </c>
      <c r="M184" s="164">
        <f>IF(M179&gt;0,0,MAX(M175-M176-M177,0)*Premissas!$B$7)</f>
        <v>0</v>
      </c>
      <c r="N184" s="164">
        <f>IF(N179&gt;0,0,MAX(N175-N176-N177,0)*Premissas!$B$7)</f>
        <v>0</v>
      </c>
      <c r="O184" s="164">
        <f>IF(O179&gt;0,0,MAX(O175-O176-O177,0)*Premissas!$B$7)</f>
        <v>0</v>
      </c>
      <c r="P184" s="164">
        <f>IF(P179&gt;0,0,MAX(P175-P176-P177,0)*Premissas!$B$7)</f>
        <v>0</v>
      </c>
      <c r="Q184" s="164">
        <f>IF(Q179&gt;0,0,MAX(Q175-Q176-Q177,0)*Premissas!$B$7)</f>
        <v>0</v>
      </c>
      <c r="R184" s="164">
        <f>IF(R179&gt;0,0,MAX(R175-R176-R177,0)*Premissas!$B$7)</f>
        <v>0</v>
      </c>
      <c r="S184" s="164">
        <f>IF(S179&gt;0,0,MAX(S175-S176-S177,0)*Premissas!$B$7)</f>
        <v>0</v>
      </c>
      <c r="T184" s="164">
        <f>IF(T179&gt;0,0,MAX(T175-T176-T177,0)*Premissas!$B$7)</f>
        <v>0</v>
      </c>
      <c r="U184" s="164">
        <f>IF(U179&gt;0,0,MAX(U175-U176-U177,0)*Premissas!$B$7)</f>
        <v>0</v>
      </c>
      <c r="V184" s="164">
        <f>IF(V179&gt;0,0,MAX(V175-V176-V177,0)*Premissas!$B$7)</f>
        <v>0</v>
      </c>
      <c r="W184" s="164">
        <f>IF(W179&gt;0,0,MAX(W175-W176-W177,0)*Premissas!$B$7)</f>
        <v>0</v>
      </c>
      <c r="X184" s="164">
        <f>IF(X179&gt;0,0,MAX(X175-X176-X177,0)*Premissas!$B$7)</f>
        <v>0</v>
      </c>
      <c r="Y184" s="164">
        <f>IF(Y179&gt;0,0,MAX(Y175-Y176-Y177,0)*Premissas!$B$7)</f>
        <v>0</v>
      </c>
      <c r="Z184" s="164">
        <f>IF(Z179&gt;0,0,MAX(Z175-Z176-Z177,0)*Premissas!$B$7)</f>
        <v>0</v>
      </c>
      <c r="AA184" s="164">
        <f>IF(AA179&gt;0,0,MAX(AA175-AA176-AA177,0)*Premissas!$B$7)</f>
        <v>0</v>
      </c>
      <c r="AB184" s="164">
        <f>IF(AB179&gt;0,0,MAX(AB175-AB176-AB177,0)*Premissas!$B$7)</f>
        <v>0</v>
      </c>
      <c r="AC184" s="164">
        <f>IF(AC179&gt;0,0,MAX(AC175-AC176-AC177,0)*Premissas!$B$7)</f>
        <v>0</v>
      </c>
      <c r="AD184" s="164">
        <f>IF(AD179&gt;0,0,MAX(AD175-AD176-AD177,0)*Premissas!$B$7)</f>
        <v>0</v>
      </c>
      <c r="AE184" s="164">
        <f>IF(AE179&gt;0,0,MAX(AE175-AE176-AE177,0)*Premissas!$B$7)</f>
        <v>0</v>
      </c>
      <c r="AF184" s="164">
        <f>IF(AF179&gt;0,0,MAX(AF175-AF176-AF177,0)*Premissas!$B$7)</f>
        <v>0</v>
      </c>
      <c r="AG184" s="164">
        <f>IF(AG179&gt;0,0,MAX(AG175-AG176-AG177,0)*Premissas!$B$7)</f>
        <v>0</v>
      </c>
      <c r="AH184" s="164">
        <f>IF(AH179&gt;0,0,MAX(AH175-AH176-AH177,0)*Premissas!$B$7)</f>
        <v>0</v>
      </c>
      <c r="AI184" s="164">
        <f>IF(AI179&gt;0,0,MAX(AI175-AI176-AI177,0)*Premissas!$B$7)</f>
        <v>0</v>
      </c>
      <c r="AJ184" s="164">
        <f>IF(AJ179&gt;0,0,MAX(AJ175-AJ176-AJ177,0)*Premissas!$B$7)</f>
        <v>0</v>
      </c>
      <c r="AK184" s="164">
        <f>IF(AK179&gt;0,0,MAX(AK175-AK176-AK177,0)*Premissas!$B$7)</f>
        <v>0</v>
      </c>
      <c r="AL184" s="164">
        <f>IF(AL179&gt;0,0,MAX(AL175-AL176-AL177,0)*Premissas!$B$7)</f>
        <v>0</v>
      </c>
      <c r="AM184" s="164">
        <f>IF(AM179&gt;0,0,MAX(AM175-AM176-AM177,0)*Premissas!$B$7)</f>
        <v>0</v>
      </c>
      <c r="AN184" s="164">
        <f>IF(AN179&gt;0,0,MAX(AN175-AN176-AN177,0)*Premissas!$B$7)</f>
        <v>0</v>
      </c>
      <c r="AO184" s="164">
        <f>IF(AO179&gt;0,0,MAX(AO175-AO176-AO177,0)*Premissas!$B$7)</f>
        <v>0</v>
      </c>
      <c r="AP184" s="164">
        <f>IF(AP179&gt;0,0,MAX(AP175-AP176-AP177,0)*Premissas!$B$7)</f>
        <v>0</v>
      </c>
      <c r="AQ184" s="164">
        <f>IF(AQ179&gt;0,0,MAX(AQ175-AQ176-AQ177,0)*Premissas!$B$7)</f>
        <v>0</v>
      </c>
      <c r="AR184" s="164">
        <f>IF(AR179&gt;0,0,MAX(AR175-AR176-AR177,0)*Premissas!$B$7)</f>
        <v>0</v>
      </c>
      <c r="AS184" s="164">
        <f>IF(AS179&gt;0,0,MAX(AS175-AS176-AS177,0)*Premissas!$B$7)</f>
        <v>0</v>
      </c>
      <c r="AT184" s="164">
        <f>IF(AT179&gt;0,0,MAX(AT175-AT176-AT177,0)*Premissas!$B$7)</f>
        <v>0</v>
      </c>
      <c r="AU184" s="164">
        <f>IF(AU179&gt;0,0,MAX(AU175-AU176-AU177,0)*Premissas!$B$7)</f>
        <v>0</v>
      </c>
      <c r="AV184" s="164">
        <f>IF(AV179&gt;0,0,MAX(AV175-AV176-AV177,0)*Premissas!$B$7)</f>
        <v>674.68484542640283</v>
      </c>
      <c r="AW184" s="164">
        <f>IF(AW179&gt;0,0,MAX(AW175-AW176-AW177,0)*Premissas!$B$7)</f>
        <v>790.48406027497822</v>
      </c>
      <c r="AX184" s="164">
        <f>IF(AX179&gt;0,0,MAX(AX175-AX176-AX177,0)*Premissas!$B$7)</f>
        <v>453.09109695297843</v>
      </c>
      <c r="AY184" s="164">
        <f>IF(AY179&gt;0,0,MAX(AY175-AY176-AY177,0)*Premissas!$B$7)</f>
        <v>266.42801617664867</v>
      </c>
      <c r="AZ184" s="164">
        <f>IF(AZ179&gt;0,0,MAX(AZ175-AZ176-AZ177,0)*Premissas!$B$7)</f>
        <v>19.098882652143882</v>
      </c>
      <c r="BA184" s="164">
        <f>IF(BA179&gt;0,0,MAX(BA175-BA176-BA177,0)*Premissas!$B$7)</f>
        <v>0</v>
      </c>
      <c r="BB184" s="164">
        <f>IF(BB179&gt;0,0,MAX(BB175-BB176-BB177,0)*Premissas!$B$7)</f>
        <v>0</v>
      </c>
      <c r="BC184" s="164">
        <f>IF(BC179&gt;0,0,MAX(BC175-BC176-BC177,0)*Premissas!$B$7)</f>
        <v>0</v>
      </c>
      <c r="BD184" s="164">
        <f>IF(BD179&gt;0,0,MAX(BD175-BD176-BD177,0)*Premissas!$B$7)</f>
        <v>181.74873815218851</v>
      </c>
      <c r="BE184" s="164">
        <f>IF(BE179&gt;0,0,MAX(BE175-BE176-BE177,0)*Premissas!$B$7)</f>
        <v>337.12953584006374</v>
      </c>
      <c r="BF184" s="164">
        <f>IF(BF179&gt;0,0,MAX(BF175-BF176-BF177,0)*Premissas!$B$7)</f>
        <v>932.87968015237254</v>
      </c>
      <c r="BG184" s="164">
        <f>IF(BG179&gt;0,0,MAX(BG175-BG176-BG177,0)*Premissas!$B$7)</f>
        <v>794.43680327841253</v>
      </c>
      <c r="BH184" s="164">
        <f>IF(BH179&gt;0,0,MAX(BH175-BH176-BH177,0)*Premissas!$B$7)</f>
        <v>818.39114832001269</v>
      </c>
      <c r="BI184" s="164">
        <f>IF(BI179&gt;0,0,MAX(BI175-BI176-BI177,0)*Premissas!$B$7)</f>
        <v>832.24510707327602</v>
      </c>
      <c r="BJ184" s="164">
        <f>IF(BJ179&gt;0,0,MAX(BJ175-BJ176-BJ177,0)*Premissas!$B$7)</f>
        <v>485.58939412784065</v>
      </c>
      <c r="BK184" s="164">
        <f>IF(BK179&gt;0,0,MAX(BK175-BK176-BK177,0)*Premissas!$B$7)</f>
        <v>292.91266254171325</v>
      </c>
      <c r="BL184" s="164">
        <f>IF(BL179&gt;0,0,MAX(BL175-BL176-BL177,0)*Premissas!$B$7)</f>
        <v>0</v>
      </c>
      <c r="BM184" s="164">
        <f>IF(BM179&gt;0,0,MAX(BM175-BM176-BM177,0)*Premissas!$B$7)</f>
        <v>0</v>
      </c>
      <c r="BN184" s="164">
        <f>IF(BN179&gt;0,0,MAX(BN175-BN176-BN177,0)*Premissas!$B$7)</f>
        <v>0</v>
      </c>
      <c r="BO184" s="164">
        <f>IF(BO179&gt;0,0,MAX(BO175-BO176-BO177,0)*Premissas!$B$7)</f>
        <v>0</v>
      </c>
      <c r="BP184" s="164">
        <f>IF(BP179&gt;0,0,MAX(BP175-BP176-BP177,0)*Premissas!$B$7)</f>
        <v>0</v>
      </c>
      <c r="BQ184" s="164">
        <f>IF(BQ179&gt;0,0,MAX(BQ175-BQ176-BQ177,0)*Premissas!$B$7)</f>
        <v>0</v>
      </c>
      <c r="BR184" s="164">
        <f>IF(BR179&gt;0,0,MAX(BR175-BR176-BR177,0)*Premissas!$B$7)</f>
        <v>0</v>
      </c>
      <c r="BS184" s="164">
        <f>IF(BS179&gt;0,0,MAX(BS175-BS176-BS177,0)*Premissas!$B$7)</f>
        <v>0</v>
      </c>
      <c r="BT184" s="164">
        <f>IF(BT179&gt;0,0,MAX(BT175-BT176-BT177,0)*Premissas!$B$7)</f>
        <v>0</v>
      </c>
      <c r="BU184" s="164">
        <f>IF(BU179&gt;0,0,MAX(BU175-BU176-BU177,0)*Premissas!$B$7)</f>
        <v>0</v>
      </c>
      <c r="BV184" s="164">
        <f>IF(BV179&gt;0,0,MAX(BV175-BV176-BV177,0)*Premissas!$B$7)</f>
        <v>0</v>
      </c>
      <c r="BW184" s="164">
        <f>IF(BW179&gt;0,0,MAX(BW175-BW176-BW177,0)*Premissas!$B$7)</f>
        <v>0</v>
      </c>
      <c r="BX184" s="164">
        <f>IF(BX179&gt;0,0,MAX(BX175-BX176-BX177,0)*Premissas!$B$7)</f>
        <v>0</v>
      </c>
      <c r="BY184" s="164">
        <f>IF(BY179&gt;0,0,MAX(BY175-BY176-BY177,0)*Premissas!$B$7)</f>
        <v>0</v>
      </c>
      <c r="BZ184" s="164">
        <f>IF(BZ179&gt;0,0,MAX(BZ175-BZ176-BZ177,0)*Premissas!$B$7)</f>
        <v>0</v>
      </c>
      <c r="CA184" s="164">
        <f>IF(CA179&gt;0,0,MAX(CA175-CA176-CA177,0)*Premissas!$B$7)</f>
        <v>0</v>
      </c>
      <c r="CB184" s="164">
        <f>IF(CB179&gt;0,0,MAX(CB175-CB176-CB177,0)*Premissas!$B$7)</f>
        <v>0</v>
      </c>
      <c r="CC184" s="164">
        <f>IF(CC179&gt;0,0,MAX(CC175-CC176-CC177,0)*Premissas!$B$7)</f>
        <v>0</v>
      </c>
      <c r="CD184" s="164">
        <f>IF(CD179&gt;0,0,MAX(CD175-CD176-CD177,0)*Premissas!$B$7)</f>
        <v>0</v>
      </c>
      <c r="CE184" s="164">
        <f>IF(CE179&gt;0,0,MAX(CE175-CE176-CE177,0)*Premissas!$B$7)</f>
        <v>0</v>
      </c>
      <c r="CF184" s="164">
        <f>IF(CF179&gt;0,0,MAX(CF175-CF176-CF177,0)*Premissas!$B$7)</f>
        <v>0</v>
      </c>
      <c r="CG184" s="164">
        <f>IF(CG179&gt;0,0,MAX(CG175-CG176-CG177,0)*Premissas!$B$7)</f>
        <v>0</v>
      </c>
      <c r="CH184" s="164">
        <f>IF(CH179&gt;0,0,MAX(CH175-CH176-CH177,0)*Premissas!$B$7)</f>
        <v>0</v>
      </c>
      <c r="CI184" s="164">
        <f>IF(CI179&gt;0,0,MAX(CI175-CI176-CI177,0)*Premissas!$B$7)</f>
        <v>0</v>
      </c>
      <c r="CJ184" s="164">
        <f>IF(CJ179&gt;0,0,MAX(CJ175-CJ176-CJ177,0)*Premissas!$B$7)</f>
        <v>0</v>
      </c>
      <c r="CK184" s="164">
        <f>IF(CK179&gt;0,0,MAX(CK175-CK176-CK177,0)*Premissas!$B$7)</f>
        <v>0</v>
      </c>
      <c r="CL184" s="164">
        <f>IF(CL179&gt;0,0,MAX(CL175-CL176-CL177,0)*Premissas!$B$7)</f>
        <v>0</v>
      </c>
      <c r="CM184" s="164">
        <f>IF(CM179&gt;0,0,MAX(CM175-CM176-CM177,0)*Premissas!$B$7)</f>
        <v>0</v>
      </c>
      <c r="CN184" s="164">
        <f>IF(CN179&gt;0,0,MAX(CN175-CN176-CN177,0)*Premissas!$B$7)</f>
        <v>0</v>
      </c>
      <c r="CO184" s="164">
        <f>IF(CO179&gt;0,0,MAX(CO175-CO176-CO177,0)*Premissas!$B$7)</f>
        <v>0</v>
      </c>
      <c r="CP184" s="164">
        <f>IF(CP179&gt;0,0,MAX(CP175-CP176-CP177,0)*Premissas!$B$7)</f>
        <v>0</v>
      </c>
      <c r="CQ184" s="164">
        <f>IF(CQ179&gt;0,0,MAX(CQ175-CQ176-CQ177,0)*Premissas!$B$7)</f>
        <v>0</v>
      </c>
      <c r="CR184" s="164">
        <f>IF(CR179&gt;0,0,MAX(CR175-CR176-CR177,0)*Premissas!$B$7)</f>
        <v>0</v>
      </c>
      <c r="CS184" s="164">
        <f>IF(CS179&gt;0,0,MAX(CS175-CS176-CS177,0)*Premissas!$B$7)</f>
        <v>0</v>
      </c>
      <c r="CT184" s="164">
        <f>IF(CT179&gt;0,0,MAX(CT175-CT176-CT177,0)*Premissas!$B$7)</f>
        <v>0</v>
      </c>
      <c r="CU184" s="164">
        <f>IF(CU179&gt;0,0,MAX(CU175-CU176-CU177,0)*Premissas!$B$7)</f>
        <v>0</v>
      </c>
      <c r="CV184" s="164">
        <f>IF(CV179&gt;0,0,MAX(CV175-CV176-CV177,0)*Premissas!$B$7)</f>
        <v>0</v>
      </c>
      <c r="CW184" s="164">
        <f>IF(CW179&gt;0,0,MAX(CW175-CW176-CW177,0)*Premissas!$B$7)</f>
        <v>0</v>
      </c>
      <c r="CX184" s="164">
        <f>IF(CX179&gt;0,0,MAX(CX175-CX176-CX177,0)*Premissas!$B$7)</f>
        <v>0</v>
      </c>
      <c r="CY184" s="164">
        <f>IF(CY179&gt;0,0,MAX(CY175-CY176-CY177,0)*Premissas!$B$7)</f>
        <v>0</v>
      </c>
      <c r="CZ184" s="164">
        <f>IF(CZ179&gt;0,0,MAX(CZ175-CZ176-CZ177,0)*Premissas!$B$7)</f>
        <v>0</v>
      </c>
      <c r="DA184" s="164">
        <f>IF(DA179&gt;0,0,MAX(DA175-DA176-DA177,0)*Premissas!$B$7)</f>
        <v>0</v>
      </c>
      <c r="DB184" s="164">
        <f>IF(DB179&gt;0,0,MAX(DB175-DB176-DB177,0)*Premissas!$B$7)</f>
        <v>0</v>
      </c>
      <c r="DC184" s="164">
        <f>IF(DC179&gt;0,0,MAX(DC175-DC176-DC177,0)*Premissas!$B$7)</f>
        <v>0</v>
      </c>
      <c r="DD184" s="164">
        <f>IF(DD179&gt;0,0,MAX(DD175-DD176-DD177,0)*Premissas!$B$7)</f>
        <v>0</v>
      </c>
      <c r="DE184" s="164">
        <f>IF(DE179&gt;0,0,MAX(DE175-DE176-DE177,0)*Premissas!$B$7)</f>
        <v>0</v>
      </c>
      <c r="DF184" s="164">
        <f>IF(DF179&gt;0,0,MAX(DF175-DF176-DF177,0)*Premissas!$B$7)</f>
        <v>0</v>
      </c>
      <c r="DG184" s="164">
        <f>IF(DG179&gt;0,0,MAX(DG175-DG176-DG177,0)*Premissas!$B$7)</f>
        <v>0</v>
      </c>
      <c r="DH184" s="164">
        <f>IF(DH179&gt;0,0,MAX(DH175-DH176-DH177,0)*Premissas!$B$7)</f>
        <v>0</v>
      </c>
      <c r="DI184" s="164">
        <f>IF(DI179&gt;0,0,MAX(DI175-DI176-DI177,0)*Premissas!$B$7)</f>
        <v>0</v>
      </c>
      <c r="DJ184" s="164">
        <f>IF(DJ179&gt;0,0,MAX(DJ175-DJ176-DJ177,0)*Premissas!$B$7)</f>
        <v>0</v>
      </c>
      <c r="DK184" s="164">
        <f>IF(DK179&gt;0,0,MAX(DK175-DK176-DK177,0)*Premissas!$B$7)</f>
        <v>0</v>
      </c>
      <c r="DL184" s="164">
        <f>IF(DL179&gt;0,0,MAX(DL175-DL176-DL177,0)*Premissas!$B$7)</f>
        <v>0</v>
      </c>
      <c r="DM184" s="164">
        <f>IF(DM179&gt;0,0,MAX(DM175-DM176-DM177,0)*Premissas!$B$7)</f>
        <v>0</v>
      </c>
      <c r="DN184" s="164">
        <f>IF(DN179&gt;0,0,MAX(DN175-DN176-DN177,0)*Premissas!$B$7)</f>
        <v>0</v>
      </c>
      <c r="DO184" s="164">
        <f>IF(DO179&gt;0,0,MAX(DO175-DO176-DO177,0)*Premissas!$B$7)</f>
        <v>0</v>
      </c>
      <c r="DP184" s="164">
        <f>IF(DP179&gt;0,0,MAX(DP175-DP176-DP177,0)*Premissas!$B$7)</f>
        <v>0</v>
      </c>
      <c r="DQ184" s="164">
        <f>IF(DQ179&gt;0,0,MAX(DQ175-DQ176-DQ177,0)*Premissas!$B$7)</f>
        <v>0</v>
      </c>
      <c r="DR184" s="164">
        <f>IF(DR179&gt;0,0,MAX(DR175-DR176-DR177,0)*Premissas!$B$7)</f>
        <v>0</v>
      </c>
      <c r="DS184" s="164">
        <f>IF(DS179&gt;0,0,MAX(DS175-DS176-DS177,0)*Premissas!$B$7)</f>
        <v>0</v>
      </c>
    </row>
    <row r="185" spans="1:123" ht="13.5" customHeight="1" x14ac:dyDescent="0.35">
      <c r="A185" s="39" t="s">
        <v>499</v>
      </c>
      <c r="B185" s="42">
        <f>SUM(D185:BQ185)</f>
        <v>48861.761279302889</v>
      </c>
      <c r="C185" s="144">
        <f>B185/60</f>
        <v>814.36268798838148</v>
      </c>
      <c r="D185" s="165">
        <f t="shared" ref="D185:AI185" si="350">MAX(D183-D184,0)</f>
        <v>474.26550791465627</v>
      </c>
      <c r="E185" s="165">
        <f t="shared" si="350"/>
        <v>439.60818671075924</v>
      </c>
      <c r="F185" s="165">
        <f t="shared" si="350"/>
        <v>485.88273268031287</v>
      </c>
      <c r="G185" s="165">
        <f t="shared" si="350"/>
        <v>694.11818954330408</v>
      </c>
      <c r="H185" s="165">
        <f t="shared" si="350"/>
        <v>869.03597330821674</v>
      </c>
      <c r="I185" s="165">
        <f t="shared" si="350"/>
        <v>832.94182745196485</v>
      </c>
      <c r="J185" s="165">
        <f t="shared" si="350"/>
        <v>1166.1185584327509</v>
      </c>
      <c r="K185" s="165">
        <f t="shared" si="350"/>
        <v>1081.8988847681633</v>
      </c>
      <c r="L185" s="165">
        <f t="shared" si="350"/>
        <v>1043.9537570731293</v>
      </c>
      <c r="M185" s="165">
        <f t="shared" si="350"/>
        <v>1119.8440124631973</v>
      </c>
      <c r="N185" s="165">
        <f t="shared" si="350"/>
        <v>868.11048238882563</v>
      </c>
      <c r="O185" s="165">
        <f t="shared" si="350"/>
        <v>695.04368046269519</v>
      </c>
      <c r="P185" s="165">
        <f t="shared" si="350"/>
        <v>525.67884221412896</v>
      </c>
      <c r="Q185" s="165">
        <f t="shared" si="350"/>
        <v>450.71407774345209</v>
      </c>
      <c r="R185" s="165">
        <f t="shared" si="350"/>
        <v>497.91411463239677</v>
      </c>
      <c r="S185" s="165">
        <f t="shared" si="350"/>
        <v>711.70251701173447</v>
      </c>
      <c r="T185" s="165">
        <f t="shared" si="350"/>
        <v>890.32226445421134</v>
      </c>
      <c r="U185" s="165">
        <f t="shared" si="350"/>
        <v>853.30262767856846</v>
      </c>
      <c r="V185" s="165">
        <f t="shared" si="350"/>
        <v>1195.7342678532652</v>
      </c>
      <c r="W185" s="165">
        <f t="shared" si="350"/>
        <v>1081.8988847681633</v>
      </c>
      <c r="X185" s="165">
        <f t="shared" si="350"/>
        <v>1043.9537570731293</v>
      </c>
      <c r="Y185" s="165">
        <f t="shared" si="350"/>
        <v>1119.8440124631973</v>
      </c>
      <c r="Z185" s="165">
        <f t="shared" si="350"/>
        <v>868.11048238882563</v>
      </c>
      <c r="AA185" s="165">
        <f t="shared" si="350"/>
        <v>695.04368046269519</v>
      </c>
      <c r="AB185" s="165">
        <f t="shared" si="350"/>
        <v>538.63571508560392</v>
      </c>
      <c r="AC185" s="165">
        <f t="shared" si="350"/>
        <v>461.81996877614495</v>
      </c>
      <c r="AD185" s="165">
        <f t="shared" si="350"/>
        <v>510.87098750387179</v>
      </c>
      <c r="AE185" s="165">
        <f t="shared" si="350"/>
        <v>729.28684448016486</v>
      </c>
      <c r="AF185" s="165">
        <f t="shared" si="350"/>
        <v>913.45953743898815</v>
      </c>
      <c r="AG185" s="165">
        <f t="shared" si="350"/>
        <v>875.51440974395416</v>
      </c>
      <c r="AH185" s="165">
        <f t="shared" si="350"/>
        <v>1225.3499772737794</v>
      </c>
      <c r="AI185" s="165">
        <f t="shared" si="350"/>
        <v>1136.5028490122365</v>
      </c>
      <c r="AJ185" s="165">
        <f t="shared" ref="AJ185:BO185" si="351">MAX(AJ183-AJ184,0)</f>
        <v>1096.7067394784203</v>
      </c>
      <c r="AK185" s="165">
        <f t="shared" si="351"/>
        <v>1176.2989585460525</v>
      </c>
      <c r="AL185" s="165">
        <f t="shared" si="351"/>
        <v>911.60855560020605</v>
      </c>
      <c r="AM185" s="165">
        <f t="shared" si="351"/>
        <v>730.21233539955585</v>
      </c>
      <c r="AN185" s="165">
        <f t="shared" si="351"/>
        <v>552.51807887646999</v>
      </c>
      <c r="AO185" s="165">
        <f t="shared" si="351"/>
        <v>473.85135072822891</v>
      </c>
      <c r="AP185" s="165">
        <f t="shared" si="351"/>
        <v>522.90236945595575</v>
      </c>
      <c r="AQ185" s="165">
        <f t="shared" si="351"/>
        <v>747.79666286798624</v>
      </c>
      <c r="AR185" s="165">
        <f t="shared" si="351"/>
        <v>935.67131950437386</v>
      </c>
      <c r="AS185" s="165">
        <f t="shared" si="351"/>
        <v>896.80070088994887</v>
      </c>
      <c r="AT185" s="165">
        <f t="shared" si="351"/>
        <v>1255.8911776136849</v>
      </c>
      <c r="AU185" s="165">
        <f t="shared" si="351"/>
        <v>1165.1930675133597</v>
      </c>
      <c r="AV185" s="165">
        <f t="shared" si="351"/>
        <v>449.78662163374986</v>
      </c>
      <c r="AW185" s="165">
        <f t="shared" si="351"/>
        <v>415.43060769158865</v>
      </c>
      <c r="AX185" s="165">
        <f t="shared" si="351"/>
        <v>481.65473163200443</v>
      </c>
      <c r="AY185" s="165">
        <f t="shared" si="351"/>
        <v>482.29413761072868</v>
      </c>
      <c r="AZ185" s="165">
        <f t="shared" si="351"/>
        <v>547.30156001519231</v>
      </c>
      <c r="BA185" s="165">
        <f t="shared" si="351"/>
        <v>484.95724176092176</v>
      </c>
      <c r="BB185" s="165">
        <f t="shared" si="351"/>
        <v>536.78473324682182</v>
      </c>
      <c r="BC185" s="165">
        <f t="shared" si="351"/>
        <v>766.30648125580774</v>
      </c>
      <c r="BD185" s="165">
        <f t="shared" si="351"/>
        <v>777.05985433696219</v>
      </c>
      <c r="BE185" s="165">
        <f t="shared" si="351"/>
        <v>581.88294711527078</v>
      </c>
      <c r="BF185" s="165">
        <f t="shared" si="351"/>
        <v>354.47818872060873</v>
      </c>
      <c r="BG185" s="165">
        <f t="shared" si="351"/>
        <v>399.44648273607049</v>
      </c>
      <c r="BH185" s="165">
        <f t="shared" si="351"/>
        <v>333.84504632187213</v>
      </c>
      <c r="BI185" s="165">
        <f t="shared" si="351"/>
        <v>404.21076123319619</v>
      </c>
      <c r="BJ185" s="165">
        <f t="shared" si="351"/>
        <v>472.29370744191891</v>
      </c>
      <c r="BK185" s="165">
        <f t="shared" si="351"/>
        <v>474.31930963348549</v>
      </c>
      <c r="BL185" s="165">
        <f t="shared" si="351"/>
        <v>580.28280645820223</v>
      </c>
      <c r="BM185" s="165">
        <f t="shared" si="351"/>
        <v>496.98862371300572</v>
      </c>
      <c r="BN185" s="165">
        <f t="shared" si="351"/>
        <v>549.74160611829677</v>
      </c>
      <c r="BO185" s="165">
        <f t="shared" si="351"/>
        <v>785.74179056302023</v>
      </c>
      <c r="BP185" s="165">
        <f t="shared" ref="BP185:CU185" si="352">MAX(BP183-BP184,0)</f>
        <v>982.87135639331859</v>
      </c>
      <c r="BQ185" s="165">
        <f t="shared" si="352"/>
        <v>942.14975594011139</v>
      </c>
      <c r="BR185" s="165">
        <f t="shared" si="352"/>
        <v>1319.7500510516688</v>
      </c>
      <c r="BS185" s="165">
        <f t="shared" si="352"/>
        <v>1224.4244863543884</v>
      </c>
      <c r="BT185" s="165">
        <f t="shared" si="352"/>
        <v>1180.9264131430079</v>
      </c>
      <c r="BU185" s="165">
        <f t="shared" si="352"/>
        <v>1266.9970686463778</v>
      </c>
      <c r="BV185" s="165">
        <f t="shared" si="352"/>
        <v>981.94586547392748</v>
      </c>
      <c r="BW185" s="165">
        <f t="shared" si="352"/>
        <v>786.66728148241123</v>
      </c>
      <c r="BX185" s="165">
        <f t="shared" si="352"/>
        <v>594.1651702490683</v>
      </c>
      <c r="BY185" s="165">
        <f t="shared" si="352"/>
        <v>509.94549658448074</v>
      </c>
      <c r="BZ185" s="165">
        <f t="shared" si="352"/>
        <v>563.62396990916295</v>
      </c>
      <c r="CA185" s="165">
        <f t="shared" si="352"/>
        <v>805.17709987023272</v>
      </c>
      <c r="CB185" s="165">
        <f t="shared" si="352"/>
        <v>1007.8596112168775</v>
      </c>
      <c r="CC185" s="165">
        <f t="shared" si="352"/>
        <v>966.21251984427931</v>
      </c>
      <c r="CD185" s="165">
        <f t="shared" si="352"/>
        <v>1352.1422332303564</v>
      </c>
      <c r="CE185" s="165">
        <f t="shared" si="352"/>
        <v>1254.9656866942937</v>
      </c>
      <c r="CF185" s="165">
        <f t="shared" si="352"/>
        <v>1210.5421225635223</v>
      </c>
      <c r="CG185" s="165">
        <f t="shared" si="352"/>
        <v>1298.4637599056741</v>
      </c>
      <c r="CH185" s="165">
        <f t="shared" si="352"/>
        <v>1006.9341202974864</v>
      </c>
      <c r="CI185" s="165">
        <f t="shared" si="352"/>
        <v>806.10259078962383</v>
      </c>
      <c r="CJ185" s="165">
        <f t="shared" si="352"/>
        <v>609.89851587871647</v>
      </c>
      <c r="CK185" s="165">
        <f t="shared" si="352"/>
        <v>522.90236945595575</v>
      </c>
      <c r="CL185" s="165">
        <f t="shared" si="352"/>
        <v>577.50633370002902</v>
      </c>
      <c r="CM185" s="165">
        <f t="shared" si="352"/>
        <v>825.53790009683632</v>
      </c>
      <c r="CN185" s="165">
        <f t="shared" si="352"/>
        <v>1032.8478660404364</v>
      </c>
      <c r="CO185" s="165">
        <f t="shared" si="352"/>
        <v>990.27528374844712</v>
      </c>
      <c r="CP185" s="165">
        <f t="shared" si="352"/>
        <v>1386.3853972478259</v>
      </c>
      <c r="CQ185" s="165">
        <f t="shared" si="352"/>
        <v>1286.4323779535903</v>
      </c>
      <c r="CR185" s="165">
        <f t="shared" si="352"/>
        <v>1241.0833229034276</v>
      </c>
      <c r="CS185" s="165">
        <f t="shared" si="352"/>
        <v>1330.8559420843617</v>
      </c>
      <c r="CT185" s="165">
        <f t="shared" si="352"/>
        <v>1031.9223751210454</v>
      </c>
      <c r="CU185" s="165">
        <f t="shared" si="352"/>
        <v>826.46339101622732</v>
      </c>
      <c r="CV185" s="165">
        <f t="shared" ref="CV185:DS185" si="353">MAX(CV183-CV184,0)</f>
        <v>624.70637058897364</v>
      </c>
      <c r="CW185" s="165">
        <f t="shared" si="353"/>
        <v>535.85924232743071</v>
      </c>
      <c r="CX185" s="165">
        <f t="shared" si="353"/>
        <v>592.31418841028608</v>
      </c>
      <c r="CY185" s="165">
        <f t="shared" si="353"/>
        <v>845.89870032343993</v>
      </c>
      <c r="CZ185" s="165">
        <f t="shared" si="353"/>
        <v>1058.7616117833866</v>
      </c>
      <c r="DA185" s="165">
        <f t="shared" si="353"/>
        <v>1015.263538572006</v>
      </c>
      <c r="DB185" s="165">
        <f t="shared" si="353"/>
        <v>1420.6285612652957</v>
      </c>
      <c r="DC185" s="165">
        <f t="shared" si="353"/>
        <v>1317.8990692128866</v>
      </c>
      <c r="DD185" s="165">
        <f t="shared" si="353"/>
        <v>1271.624523243333</v>
      </c>
      <c r="DE185" s="165">
        <f t="shared" si="353"/>
        <v>1364.1736151824402</v>
      </c>
      <c r="DF185" s="165">
        <f t="shared" si="353"/>
        <v>1057.8361208639953</v>
      </c>
      <c r="DG185" s="165">
        <f t="shared" si="353"/>
        <v>846.82419124283092</v>
      </c>
      <c r="DH185" s="165">
        <f t="shared" si="353"/>
        <v>640.43971621862192</v>
      </c>
      <c r="DI185" s="165">
        <f t="shared" si="353"/>
        <v>548.81611519890578</v>
      </c>
      <c r="DJ185" s="165">
        <f t="shared" si="353"/>
        <v>607.12204312054325</v>
      </c>
      <c r="DK185" s="165">
        <f t="shared" si="353"/>
        <v>867.18499146943452</v>
      </c>
      <c r="DL185" s="165">
        <f t="shared" si="353"/>
        <v>1085.6008484457275</v>
      </c>
      <c r="DM185" s="165">
        <f t="shared" si="353"/>
        <v>1040.2517933955651</v>
      </c>
      <c r="DN185" s="165">
        <f t="shared" si="353"/>
        <v>1456.7227071215475</v>
      </c>
      <c r="DO185" s="165">
        <f t="shared" si="353"/>
        <v>1351.2167423109652</v>
      </c>
      <c r="DP185" s="165">
        <f t="shared" si="353"/>
        <v>1304.0167054220206</v>
      </c>
      <c r="DQ185" s="165">
        <f t="shared" si="353"/>
        <v>1398.41677919991</v>
      </c>
      <c r="DR185" s="165">
        <f t="shared" si="353"/>
        <v>1083.7498666069455</v>
      </c>
      <c r="DS185" s="165">
        <f t="shared" si="353"/>
        <v>868.11048238882563</v>
      </c>
    </row>
    <row r="187" spans="1:123" ht="15" customHeight="1" x14ac:dyDescent="0.35">
      <c r="A187" s="289" t="s">
        <v>514</v>
      </c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289"/>
      <c r="W187" s="289"/>
      <c r="X187" s="289"/>
      <c r="Y187" s="289"/>
      <c r="Z187" s="289"/>
      <c r="AA187" s="289"/>
    </row>
    <row r="188" spans="1:123" ht="12.75" customHeight="1" x14ac:dyDescent="0.35">
      <c r="A188" s="166" t="s">
        <v>486</v>
      </c>
      <c r="B188" s="167">
        <f>SUM(D188:BQ188)</f>
        <v>189820</v>
      </c>
      <c r="C188" s="139">
        <f>B188/60</f>
        <v>3163.6666666666665</v>
      </c>
      <c r="D188" s="167">
        <v>1737</v>
      </c>
      <c r="E188" s="167">
        <v>1294</v>
      </c>
      <c r="F188" s="167">
        <v>2459</v>
      </c>
      <c r="G188" s="167">
        <v>7235</v>
      </c>
      <c r="H188" s="167">
        <v>5439</v>
      </c>
      <c r="I188" s="167">
        <v>4046</v>
      </c>
      <c r="J188" s="167">
        <v>4877</v>
      </c>
      <c r="K188" s="167">
        <v>0</v>
      </c>
      <c r="L188" s="167">
        <v>897</v>
      </c>
      <c r="M188" s="167">
        <v>1381</v>
      </c>
      <c r="N188" s="167">
        <v>1135</v>
      </c>
      <c r="O188" s="167">
        <v>853</v>
      </c>
      <c r="P188" s="167">
        <v>1780</v>
      </c>
      <c r="Q188" s="167">
        <v>1326</v>
      </c>
      <c r="R188" s="167">
        <v>2520</v>
      </c>
      <c r="S188" s="167">
        <v>7416</v>
      </c>
      <c r="T188" s="167">
        <v>5575</v>
      </c>
      <c r="U188" s="167">
        <v>4147</v>
      </c>
      <c r="V188" s="167">
        <v>4999</v>
      </c>
      <c r="W188" s="167">
        <v>0</v>
      </c>
      <c r="X188" s="167">
        <v>897</v>
      </c>
      <c r="Y188" s="167">
        <v>1381</v>
      </c>
      <c r="Z188" s="167">
        <v>1135</v>
      </c>
      <c r="AA188" s="167">
        <v>853</v>
      </c>
      <c r="AB188" s="167">
        <v>1825</v>
      </c>
      <c r="AC188" s="167">
        <v>1360</v>
      </c>
      <c r="AD188" s="167">
        <v>2583</v>
      </c>
      <c r="AE188" s="167">
        <v>7601</v>
      </c>
      <c r="AF188" s="167">
        <v>5714</v>
      </c>
      <c r="AG188" s="167">
        <v>4251</v>
      </c>
      <c r="AH188" s="167">
        <v>5124</v>
      </c>
      <c r="AI188" s="167">
        <v>0</v>
      </c>
      <c r="AJ188" s="167">
        <v>942</v>
      </c>
      <c r="AK188" s="167">
        <v>1451</v>
      </c>
      <c r="AL188" s="167">
        <v>1192</v>
      </c>
      <c r="AM188" s="167">
        <v>896</v>
      </c>
      <c r="AN188" s="167">
        <v>1871</v>
      </c>
      <c r="AO188" s="167">
        <v>1393</v>
      </c>
      <c r="AP188" s="167">
        <v>2648</v>
      </c>
      <c r="AQ188" s="167">
        <v>7791</v>
      </c>
      <c r="AR188" s="167">
        <v>5857</v>
      </c>
      <c r="AS188" s="167">
        <v>4357</v>
      </c>
      <c r="AT188" s="167">
        <v>5252</v>
      </c>
      <c r="AU188" s="167">
        <v>0</v>
      </c>
      <c r="AV188" s="167">
        <v>966</v>
      </c>
      <c r="AW188" s="167">
        <v>1487</v>
      </c>
      <c r="AX188" s="167">
        <v>1222</v>
      </c>
      <c r="AY188" s="167">
        <v>919</v>
      </c>
      <c r="AZ188" s="167">
        <v>1917</v>
      </c>
      <c r="BA188" s="167">
        <v>1428</v>
      </c>
      <c r="BB188" s="167">
        <v>2714</v>
      </c>
      <c r="BC188" s="167">
        <v>7986</v>
      </c>
      <c r="BD188" s="167">
        <v>6004</v>
      </c>
      <c r="BE188" s="167">
        <v>4466</v>
      </c>
      <c r="BF188" s="167">
        <v>5383</v>
      </c>
      <c r="BG188" s="167">
        <v>0</v>
      </c>
      <c r="BH188" s="167">
        <v>990</v>
      </c>
      <c r="BI188" s="167">
        <v>1524</v>
      </c>
      <c r="BJ188" s="167">
        <v>1253</v>
      </c>
      <c r="BK188" s="167">
        <v>942</v>
      </c>
      <c r="BL188" s="167">
        <v>1965</v>
      </c>
      <c r="BM188" s="167">
        <v>1464</v>
      </c>
      <c r="BN188" s="167">
        <v>2782</v>
      </c>
      <c r="BO188" s="167">
        <v>8186</v>
      </c>
      <c r="BP188" s="167">
        <v>6154</v>
      </c>
      <c r="BQ188" s="167">
        <v>4578</v>
      </c>
      <c r="BR188" s="167">
        <v>5518</v>
      </c>
      <c r="BS188" s="167">
        <v>0</v>
      </c>
      <c r="BT188" s="167">
        <v>1015</v>
      </c>
      <c r="BU188" s="167">
        <v>1562</v>
      </c>
      <c r="BV188" s="167">
        <v>1284</v>
      </c>
      <c r="BW188" s="167">
        <v>965</v>
      </c>
      <c r="BX188" s="167">
        <v>2014</v>
      </c>
      <c r="BY188" s="167">
        <v>1501</v>
      </c>
      <c r="BZ188" s="167">
        <v>2852</v>
      </c>
      <c r="CA188" s="167">
        <v>8390</v>
      </c>
      <c r="CB188" s="167">
        <v>6308</v>
      </c>
      <c r="CC188" s="167">
        <v>4692</v>
      </c>
      <c r="CD188" s="167">
        <v>5656</v>
      </c>
      <c r="CE188" s="167">
        <v>0</v>
      </c>
      <c r="CF188" s="167">
        <v>1040</v>
      </c>
      <c r="CG188" s="167">
        <v>1602</v>
      </c>
      <c r="CH188" s="167">
        <v>1316</v>
      </c>
      <c r="CI188" s="167">
        <v>989</v>
      </c>
      <c r="CJ188" s="167">
        <v>2065</v>
      </c>
      <c r="CK188" s="167">
        <v>1538</v>
      </c>
      <c r="CL188" s="167">
        <v>2923</v>
      </c>
      <c r="CM188" s="167">
        <v>8600</v>
      </c>
      <c r="CN188" s="167">
        <v>6465</v>
      </c>
      <c r="CO188" s="167">
        <v>4809</v>
      </c>
      <c r="CP188" s="167">
        <v>5797</v>
      </c>
      <c r="CQ188" s="167">
        <v>0</v>
      </c>
      <c r="CR188" s="167">
        <v>1066</v>
      </c>
      <c r="CS188" s="167">
        <v>1642</v>
      </c>
      <c r="CT188" s="167">
        <v>1349</v>
      </c>
      <c r="CU188" s="167">
        <v>1014</v>
      </c>
      <c r="CV188" s="167">
        <v>2116</v>
      </c>
      <c r="CW188" s="167">
        <v>1577</v>
      </c>
      <c r="CX188" s="167">
        <v>2996</v>
      </c>
      <c r="CY188" s="167">
        <v>8815</v>
      </c>
      <c r="CZ188" s="167">
        <v>6627</v>
      </c>
      <c r="DA188" s="167">
        <v>4930</v>
      </c>
      <c r="DB188" s="167">
        <v>5942</v>
      </c>
      <c r="DC188" s="167">
        <v>0</v>
      </c>
      <c r="DD188" s="167">
        <v>1093</v>
      </c>
      <c r="DE188" s="167">
        <v>1683</v>
      </c>
      <c r="DF188" s="167">
        <v>1383</v>
      </c>
      <c r="DG188" s="167">
        <v>1039</v>
      </c>
      <c r="DH188" s="167">
        <v>2169</v>
      </c>
      <c r="DI188" s="167">
        <v>1616</v>
      </c>
      <c r="DJ188" s="167">
        <v>3071</v>
      </c>
      <c r="DK188" s="167">
        <v>9036</v>
      </c>
      <c r="DL188" s="167">
        <v>6793</v>
      </c>
      <c r="DM188" s="167">
        <v>5053</v>
      </c>
      <c r="DN188" s="167">
        <v>6091</v>
      </c>
      <c r="DO188" s="167">
        <v>0</v>
      </c>
      <c r="DP188" s="167">
        <v>1120</v>
      </c>
      <c r="DQ188" s="167">
        <v>1725</v>
      </c>
      <c r="DR188" s="167">
        <v>1417</v>
      </c>
      <c r="DS188" s="167">
        <v>1065</v>
      </c>
    </row>
    <row r="189" spans="1:123" ht="12.75" customHeight="1" x14ac:dyDescent="0.35">
      <c r="A189" s="142" t="str">
        <f>"  "&amp;INDEX(PVSYST_Helexia!$A$5:$A$7,MATCH(Premissas!$B$13,PVSYST_Helexia!$B$5:$B$7,0))&amp;" créditos recebidos (kWh)"</f>
        <v xml:space="preserve">  HCS03 créditos recebidos (kWh)</v>
      </c>
      <c r="B189" s="155">
        <f>SUM(D189:BQ189)</f>
        <v>133315.01410369668</v>
      </c>
      <c r="C189" s="139">
        <f>B189/60</f>
        <v>2221.9169017282779</v>
      </c>
      <c r="D189" s="156">
        <f>D6*Premissas!$B$46</f>
        <v>2901.366</v>
      </c>
      <c r="E189" s="156">
        <f>E6*Premissas!$B$46</f>
        <v>3053.9339999999997</v>
      </c>
      <c r="F189" s="156">
        <f>F6*Premissas!$B$46</f>
        <v>3666.078</v>
      </c>
      <c r="G189" s="156">
        <f>G6*Premissas!$B$46</f>
        <v>3440.0340000000001</v>
      </c>
      <c r="H189" s="156">
        <f>H6*Premissas!$C$46</f>
        <v>7297.1640000000007</v>
      </c>
      <c r="I189" s="156">
        <f>I6*Premissas!$C$46</f>
        <v>7055.6640000000007</v>
      </c>
      <c r="J189" s="156">
        <f>J6*Premissas!$C$46</f>
        <v>6699.6930000000002</v>
      </c>
      <c r="K189" s="156">
        <f>K6*Premissas!$C$46</f>
        <v>6879.0936899999997</v>
      </c>
      <c r="L189" s="156">
        <f>L6*Premissas!$C$46</f>
        <v>6129.8616750000001</v>
      </c>
      <c r="M189" s="156">
        <f>M6*Premissas!$C$46</f>
        <v>7030.9585500000003</v>
      </c>
      <c r="N189" s="156">
        <f>N6*Premissas!$D$46</f>
        <v>2135.1764699999999</v>
      </c>
      <c r="O189" s="156">
        <f>O6*Premissas!$D$46</f>
        <v>1998.2724299999998</v>
      </c>
      <c r="P189" s="156">
        <f>P6*Premissas!$D$46</f>
        <v>1813.5397350000001</v>
      </c>
      <c r="Q189" s="156">
        <f>Q6*Premissas!$D$46</f>
        <v>1908.9045149999997</v>
      </c>
      <c r="R189" s="156">
        <f>R6*Premissas!$D$46</f>
        <v>2291.5337549999999</v>
      </c>
      <c r="S189" s="156">
        <f>S6*Premissas!$D$46</f>
        <v>2150.2417650000002</v>
      </c>
      <c r="T189" s="156">
        <f>T6*Premissas!$E$46</f>
        <v>4013.6668200000004</v>
      </c>
      <c r="U189" s="156">
        <f>U6*Premissas!$E$46</f>
        <v>3880.8343200000004</v>
      </c>
      <c r="V189" s="156">
        <f>V6*Premissas!$E$46</f>
        <v>3685.0392150000007</v>
      </c>
      <c r="W189" s="156">
        <f>W6*Premissas!$E$46</f>
        <v>3802.7288100000001</v>
      </c>
      <c r="X189" s="156">
        <f>X6*Premissas!$E$46</f>
        <v>3388.5570750000002</v>
      </c>
      <c r="Y189" s="156">
        <f>Y6*Premissas!$E$46</f>
        <v>3886.6789500000004</v>
      </c>
      <c r="Z189" s="156">
        <f>Z6*Premissas!$E$46</f>
        <v>3878.1776700000005</v>
      </c>
      <c r="AA189" s="156">
        <f>AA6*Premissas!$E$46</f>
        <v>3629.51523</v>
      </c>
      <c r="AB189" s="156">
        <f>AB6*Premissas!$F$46</f>
        <v>306.882999375</v>
      </c>
      <c r="AC189" s="156">
        <f>AC6*Premissas!$F$46</f>
        <v>323.02040687499999</v>
      </c>
      <c r="AD189" s="156">
        <f>AD6*Premissas!$F$46</f>
        <v>387.76804187500005</v>
      </c>
      <c r="AE189" s="156">
        <f>AE6*Premissas!$F$46</f>
        <v>363.85893812500001</v>
      </c>
      <c r="AF189" s="156">
        <f>AF6*Premissas!$F$46</f>
        <v>373.93244250000004</v>
      </c>
      <c r="AG189" s="156">
        <f>AG6*Premissas!$F$46</f>
        <v>361.55713000000003</v>
      </c>
      <c r="AH189" s="156">
        <f>AH6*Premissas!$G$46</f>
        <v>357.04855615000002</v>
      </c>
      <c r="AI189" s="156">
        <f>AI6*Premissas!$G$46</f>
        <v>368.45166410000002</v>
      </c>
      <c r="AJ189" s="156">
        <f>AJ6*Premissas!$G$46</f>
        <v>328.32199075</v>
      </c>
      <c r="AK189" s="156">
        <f>AK6*Premissas!$G$46</f>
        <v>376.58570950000001</v>
      </c>
      <c r="AL189" s="156">
        <f>AL6*Premissas!$G$46</f>
        <v>375.76200870000002</v>
      </c>
      <c r="AM189" s="156">
        <f>AM6*Premissas!$G$46</f>
        <v>351.66876030000003</v>
      </c>
      <c r="AN189" s="156">
        <f>AN6*Premissas!$H$46</f>
        <v>305.348584378125</v>
      </c>
      <c r="AO189" s="156">
        <f>AO6*Premissas!$H$46</f>
        <v>321.40530484062498</v>
      </c>
      <c r="AP189" s="156">
        <f>AP6*Premissas!$H$46</f>
        <v>385.82920166562502</v>
      </c>
      <c r="AQ189" s="156">
        <f>AQ6*Premissas!$H$46</f>
        <v>362.03964343437502</v>
      </c>
      <c r="AR189" s="156">
        <f>AR6*Premissas!$H$46</f>
        <v>372.0627802875</v>
      </c>
      <c r="AS189" s="156">
        <f>AS6*Premissas!$H$46</f>
        <v>359.74934435000006</v>
      </c>
      <c r="AT189" s="156">
        <f>AT6*Premissas!$I$46</f>
        <v>368.927286960375</v>
      </c>
      <c r="AU189" s="156">
        <f>AU6*Premissas!$I$46</f>
        <v>380.70976754025003</v>
      </c>
      <c r="AV189" s="156">
        <f>AV6*Premissas!$I$46</f>
        <v>339.24501082687505</v>
      </c>
      <c r="AW189" s="156">
        <f>AW6*Premissas!$I$46</f>
        <v>389.11442637375006</v>
      </c>
      <c r="AX189" s="156">
        <f>AX6*Premissas!$I$46</f>
        <v>388.26332168175003</v>
      </c>
      <c r="AY189" s="156">
        <f>AY6*Premissas!$I$46</f>
        <v>363.36850944075002</v>
      </c>
      <c r="AZ189" s="156">
        <f>AZ6*Premissas!$J$46</f>
        <v>328.12758877273319</v>
      </c>
      <c r="BA189" s="156">
        <f>BA6*Premissas!$J$46</f>
        <v>345.3821405817356</v>
      </c>
      <c r="BB189" s="156">
        <f>BB6*Premissas!$J$46</f>
        <v>414.6120601098807</v>
      </c>
      <c r="BC189" s="156">
        <f>BC6*Premissas!$J$46</f>
        <v>389.04780083457945</v>
      </c>
      <c r="BD189" s="156">
        <f>BD6*Premissas!$J$46</f>
        <v>399.81866369694751</v>
      </c>
      <c r="BE189" s="156">
        <f>BE6*Premissas!$J$46</f>
        <v>386.58664543851006</v>
      </c>
      <c r="BF189" s="156">
        <f>BF6*Premissas!$K$46</f>
        <v>448.65657286458946</v>
      </c>
      <c r="BG189" s="156">
        <f>BG6*Premissas!$K$46</f>
        <v>462.98537841422626</v>
      </c>
      <c r="BH189" s="156">
        <f>BH6*Premissas!$K$46</f>
        <v>412.55962705557192</v>
      </c>
      <c r="BI189" s="156">
        <f>BI6*Premissas!$K$46</f>
        <v>473.2063774067438</v>
      </c>
      <c r="BJ189" s="156">
        <f>BJ6*Premissas!$K$46</f>
        <v>472.17133953408381</v>
      </c>
      <c r="BK189" s="156">
        <f>BK6*Premissas!$K$46</f>
        <v>441.8964817587788</v>
      </c>
      <c r="BL189" s="156">
        <f>BL6*Premissas!$L$46</f>
        <v>3350.3607209686984</v>
      </c>
      <c r="BM189" s="156">
        <f>BM6*Premissas!$L$46</f>
        <v>3526.5390571306139</v>
      </c>
      <c r="BN189" s="156">
        <f>BN6*Premissas!$L$46</f>
        <v>4233.4140991544964</v>
      </c>
      <c r="BO189" s="156">
        <f>BO6*Premissas!$L$46</f>
        <v>3972.3891409759531</v>
      </c>
      <c r="BP189" s="156">
        <f>BP6*Premissas!$L$46</f>
        <v>4082.3654949911361</v>
      </c>
      <c r="BQ189" s="156">
        <f>BQ6*Premissas!$L$46</f>
        <v>3947.2594089773975</v>
      </c>
      <c r="BR189" s="156">
        <f>BR6*Premissas!$M$46</f>
        <v>3780.0275301255288</v>
      </c>
      <c r="BS189" s="156">
        <f>BS6*Premissas!$M$46</f>
        <v>3900.7507797719577</v>
      </c>
      <c r="BT189" s="156">
        <f>BT6*Premissas!$M$46</f>
        <v>3475.9030456889282</v>
      </c>
      <c r="BU189" s="156">
        <f>BU6*Premissas!$M$46</f>
        <v>3986.8648810998839</v>
      </c>
      <c r="BV189" s="156">
        <f>BV6*Premissas!$M$46</f>
        <v>3978.1444657755374</v>
      </c>
      <c r="BW189" s="156">
        <f>BW6*Premissas!$M$46</f>
        <v>3723.0723175383878</v>
      </c>
      <c r="BX189" s="156">
        <f>BX6*Premissas!$N$46</f>
        <v>3340.7328565848866</v>
      </c>
      <c r="BY189" s="156">
        <f>BY6*Premissas!$N$46</f>
        <v>3516.4049125969309</v>
      </c>
      <c r="BZ189" s="156">
        <f>BZ6*Premissas!$N$46</f>
        <v>4221.2486219949524</v>
      </c>
      <c r="CA189" s="156">
        <f>CA6*Premissas!$N$46</f>
        <v>3960.9737660016463</v>
      </c>
      <c r="CB189" s="156">
        <f>CB6*Premissas!$N$46</f>
        <v>4070.6340831748103</v>
      </c>
      <c r="CC189" s="156">
        <f>CC6*Premissas!$N$46</f>
        <v>3935.9162488097445</v>
      </c>
      <c r="CD189" s="156">
        <f>CD6*Premissas!$O$46</f>
        <v>3768.9382519908477</v>
      </c>
      <c r="CE189" s="156">
        <f>CE6*Premissas!$O$46</f>
        <v>3889.3073418641043</v>
      </c>
      <c r="CF189" s="156">
        <f>CF6*Premissas!$O$46</f>
        <v>3465.7059623778573</v>
      </c>
      <c r="CG189" s="156">
        <f>CG6*Premissas!$O$46</f>
        <v>3975.1688145502198</v>
      </c>
      <c r="CH189" s="156">
        <f>CH6*Premissas!$O$46</f>
        <v>3966.4739818731446</v>
      </c>
      <c r="CI189" s="156">
        <f>CI6*Premissas!$O$46</f>
        <v>3712.1501260687019</v>
      </c>
      <c r="CJ189" s="156">
        <f>CJ6*Premissas!$P$46</f>
        <v>3331.0827945044389</v>
      </c>
      <c r="CK189" s="156">
        <f>CK6*Premissas!$P$46</f>
        <v>3506.2474031032684</v>
      </c>
      <c r="CL189" s="156">
        <f>CL6*Premissas!$P$46</f>
        <v>4209.0550964998019</v>
      </c>
      <c r="CM189" s="156">
        <f>CM6*Premissas!$P$46</f>
        <v>3949.5320721033754</v>
      </c>
      <c r="CN189" s="156">
        <f>CN6*Premissas!$P$46</f>
        <v>4058.8756237900693</v>
      </c>
      <c r="CO189" s="156">
        <f>CO6*Premissas!$P$46</f>
        <v>3924.5469362142785</v>
      </c>
      <c r="CP189" s="156">
        <f>CP6*Premissas!$Q$46</f>
        <v>3757.8265270122729</v>
      </c>
      <c r="CQ189" s="156">
        <f>CQ6*Premissas!$Q$46</f>
        <v>3877.8407402244738</v>
      </c>
      <c r="CR189" s="156">
        <f>CR6*Premissas!$Q$46</f>
        <v>3455.48823819779</v>
      </c>
      <c r="CS189" s="156">
        <f>CS6*Premissas!$Q$46</f>
        <v>3963.4490728995424</v>
      </c>
      <c r="CT189" s="156">
        <f>CT6*Premissas!$Q$46</f>
        <v>3954.7798746539661</v>
      </c>
      <c r="CU189" s="156">
        <f>CU6*Premissas!$Q$46</f>
        <v>3701.2058259708506</v>
      </c>
      <c r="CV189" s="156">
        <f>CV6*Premissas!$R$46</f>
        <v>3321.4099798242391</v>
      </c>
      <c r="CW189" s="156">
        <f>CW6*Premissas!$R$46</f>
        <v>3496.0659445669921</v>
      </c>
      <c r="CX189" s="156">
        <f>CX6*Premissas!$R$46</f>
        <v>4196.832821510312</v>
      </c>
      <c r="CY189" s="156">
        <f>CY6*Premissas!$R$46</f>
        <v>3938.0634013546369</v>
      </c>
      <c r="CZ189" s="156">
        <f>CZ6*Premissas!$R$46</f>
        <v>4047.0894406955886</v>
      </c>
      <c r="DA189" s="156">
        <f>DA6*Premissas!$R$46</f>
        <v>3913.150817426606</v>
      </c>
      <c r="DB189" s="156">
        <f>DB6*Premissas!$S$46</f>
        <v>0</v>
      </c>
      <c r="DC189" s="156">
        <f>DC6*Premissas!$S$46</f>
        <v>0</v>
      </c>
      <c r="DD189" s="156">
        <f>DD6*Premissas!$S$46</f>
        <v>0</v>
      </c>
      <c r="DE189" s="156">
        <f>DE6*Premissas!$S$46</f>
        <v>0</v>
      </c>
      <c r="DF189" s="156">
        <f>DF6*Premissas!$S$46</f>
        <v>0</v>
      </c>
      <c r="DG189" s="156">
        <f>DG6*Premissas!$S$46</f>
        <v>0</v>
      </c>
      <c r="DH189" s="156">
        <f>DH6*Premissas!$T$46</f>
        <v>0</v>
      </c>
      <c r="DI189" s="156">
        <f>DI6*Premissas!$T$46</f>
        <v>0</v>
      </c>
      <c r="DJ189" s="156">
        <f>DJ6*Premissas!$T$46</f>
        <v>0</v>
      </c>
      <c r="DK189" s="156">
        <f>DK6*Premissas!$T$46</f>
        <v>0</v>
      </c>
      <c r="DL189" s="156">
        <f>DL6*Premissas!$T$46</f>
        <v>0</v>
      </c>
      <c r="DM189" s="156">
        <f>DM6*Premissas!$T$46</f>
        <v>0</v>
      </c>
      <c r="DN189" s="156">
        <f>DN6*Premissas!$U$46</f>
        <v>0</v>
      </c>
      <c r="DO189" s="156">
        <f>DO6*Premissas!$U$46</f>
        <v>0</v>
      </c>
      <c r="DP189" s="156">
        <f>DP6*Premissas!$U$46</f>
        <v>0</v>
      </c>
      <c r="DQ189" s="156">
        <f>DQ6*Premissas!$U$46</f>
        <v>0</v>
      </c>
      <c r="DR189" s="156">
        <f>DR6*Premissas!$U$46</f>
        <v>0</v>
      </c>
      <c r="DS189" s="156">
        <f>DS6*Premissas!$U$46</f>
        <v>0</v>
      </c>
    </row>
    <row r="190" spans="1:123" ht="12.75" customHeight="1" x14ac:dyDescent="0.35">
      <c r="A190" s="146" t="s">
        <v>492</v>
      </c>
      <c r="B190" s="139">
        <f>AA190</f>
        <v>30458.198445000005</v>
      </c>
      <c r="C190" s="139" t="s">
        <v>169</v>
      </c>
      <c r="D190" s="139">
        <f>0</f>
        <v>0</v>
      </c>
      <c r="E190" s="139">
        <f t="shared" ref="E190:AJ190" si="354">D192</f>
        <v>1164.366</v>
      </c>
      <c r="F190" s="139">
        <f t="shared" si="354"/>
        <v>2924.2999999999997</v>
      </c>
      <c r="G190" s="139">
        <f t="shared" si="354"/>
        <v>4131.3779999999997</v>
      </c>
      <c r="H190" s="139">
        <f t="shared" si="354"/>
        <v>336.41199999999981</v>
      </c>
      <c r="I190" s="139">
        <f t="shared" si="354"/>
        <v>2194.5760000000005</v>
      </c>
      <c r="J190" s="139">
        <f t="shared" si="354"/>
        <v>5204.2400000000016</v>
      </c>
      <c r="K190" s="139">
        <f t="shared" si="354"/>
        <v>7026.9330000000018</v>
      </c>
      <c r="L190" s="139">
        <f t="shared" si="354"/>
        <v>13906.026690000002</v>
      </c>
      <c r="M190" s="139">
        <f t="shared" si="354"/>
        <v>19138.888365000003</v>
      </c>
      <c r="N190" s="139">
        <f t="shared" si="354"/>
        <v>24788.846915000002</v>
      </c>
      <c r="O190" s="139">
        <f t="shared" si="354"/>
        <v>25789.023385</v>
      </c>
      <c r="P190" s="139">
        <f t="shared" si="354"/>
        <v>26934.295815000001</v>
      </c>
      <c r="Q190" s="139">
        <f t="shared" si="354"/>
        <v>26967.83555</v>
      </c>
      <c r="R190" s="139">
        <f t="shared" si="354"/>
        <v>27550.740064999998</v>
      </c>
      <c r="S190" s="139">
        <f t="shared" si="354"/>
        <v>27322.273819999999</v>
      </c>
      <c r="T190" s="139">
        <f t="shared" si="354"/>
        <v>22056.515585000001</v>
      </c>
      <c r="U190" s="139">
        <f t="shared" si="354"/>
        <v>20495.182405</v>
      </c>
      <c r="V190" s="139">
        <f t="shared" si="354"/>
        <v>20229.016725000001</v>
      </c>
      <c r="W190" s="139">
        <f t="shared" si="354"/>
        <v>18915.055940000002</v>
      </c>
      <c r="X190" s="139">
        <f t="shared" si="354"/>
        <v>22717.784750000003</v>
      </c>
      <c r="Y190" s="139">
        <f t="shared" si="354"/>
        <v>25209.341825000003</v>
      </c>
      <c r="Z190" s="139">
        <f t="shared" si="354"/>
        <v>27715.020775000005</v>
      </c>
      <c r="AA190" s="139">
        <f t="shared" si="354"/>
        <v>30458.198445000005</v>
      </c>
      <c r="AB190" s="139">
        <f t="shared" si="354"/>
        <v>33234.713675000006</v>
      </c>
      <c r="AC190" s="139">
        <f t="shared" si="354"/>
        <v>31716.596674375007</v>
      </c>
      <c r="AD190" s="139">
        <f t="shared" si="354"/>
        <v>30679.617081250006</v>
      </c>
      <c r="AE190" s="139">
        <f t="shared" si="354"/>
        <v>28484.385123125005</v>
      </c>
      <c r="AF190" s="139">
        <f t="shared" si="354"/>
        <v>21247.244061250007</v>
      </c>
      <c r="AG190" s="139">
        <f t="shared" si="354"/>
        <v>15907.176503750008</v>
      </c>
      <c r="AH190" s="139">
        <f t="shared" si="354"/>
        <v>12017.733633750009</v>
      </c>
      <c r="AI190" s="139">
        <f t="shared" si="354"/>
        <v>7250.7821899000091</v>
      </c>
      <c r="AJ190" s="139">
        <f t="shared" si="354"/>
        <v>7619.2338540000092</v>
      </c>
      <c r="AK190" s="139">
        <f t="shared" ref="AK190:BP190" si="355">AJ192</f>
        <v>7005.5558447500089</v>
      </c>
      <c r="AL190" s="139">
        <f t="shared" si="355"/>
        <v>5931.141554250009</v>
      </c>
      <c r="AM190" s="139">
        <f t="shared" si="355"/>
        <v>5114.9035629500086</v>
      </c>
      <c r="AN190" s="139">
        <f t="shared" si="355"/>
        <v>4570.5723232500086</v>
      </c>
      <c r="AO190" s="139">
        <f t="shared" si="355"/>
        <v>3004.9209076281336</v>
      </c>
      <c r="AP190" s="139">
        <f t="shared" si="355"/>
        <v>1933.3262124687585</v>
      </c>
      <c r="AQ190" s="139">
        <f t="shared" si="355"/>
        <v>0</v>
      </c>
      <c r="AR190" s="139">
        <f t="shared" si="355"/>
        <v>0</v>
      </c>
      <c r="AS190" s="139">
        <f t="shared" si="355"/>
        <v>0</v>
      </c>
      <c r="AT190" s="139">
        <f t="shared" si="355"/>
        <v>0</v>
      </c>
      <c r="AU190" s="139">
        <f t="shared" si="355"/>
        <v>0</v>
      </c>
      <c r="AV190" s="139">
        <f t="shared" si="355"/>
        <v>380.70976754025003</v>
      </c>
      <c r="AW190" s="139">
        <f t="shared" si="355"/>
        <v>0</v>
      </c>
      <c r="AX190" s="139">
        <f t="shared" si="355"/>
        <v>0</v>
      </c>
      <c r="AY190" s="139">
        <f t="shared" si="355"/>
        <v>0</v>
      </c>
      <c r="AZ190" s="139">
        <f t="shared" si="355"/>
        <v>0</v>
      </c>
      <c r="BA190" s="139">
        <f t="shared" si="355"/>
        <v>0</v>
      </c>
      <c r="BB190" s="139">
        <f t="shared" si="355"/>
        <v>0</v>
      </c>
      <c r="BC190" s="139">
        <f t="shared" si="355"/>
        <v>0</v>
      </c>
      <c r="BD190" s="139">
        <f t="shared" si="355"/>
        <v>0</v>
      </c>
      <c r="BE190" s="139">
        <f t="shared" si="355"/>
        <v>0</v>
      </c>
      <c r="BF190" s="139">
        <f t="shared" si="355"/>
        <v>0</v>
      </c>
      <c r="BG190" s="139">
        <f t="shared" si="355"/>
        <v>0</v>
      </c>
      <c r="BH190" s="139">
        <f t="shared" si="355"/>
        <v>462.98537841422626</v>
      </c>
      <c r="BI190" s="139">
        <f t="shared" si="355"/>
        <v>0</v>
      </c>
      <c r="BJ190" s="139">
        <f t="shared" si="355"/>
        <v>0</v>
      </c>
      <c r="BK190" s="139">
        <f t="shared" si="355"/>
        <v>0</v>
      </c>
      <c r="BL190" s="139">
        <f t="shared" si="355"/>
        <v>0</v>
      </c>
      <c r="BM190" s="139">
        <f t="shared" si="355"/>
        <v>1385.3607209686984</v>
      </c>
      <c r="BN190" s="139">
        <f t="shared" si="355"/>
        <v>3447.8997780993122</v>
      </c>
      <c r="BO190" s="139">
        <f t="shared" si="355"/>
        <v>4899.3138772538086</v>
      </c>
      <c r="BP190" s="139">
        <f t="shared" si="355"/>
        <v>685.70301822976126</v>
      </c>
      <c r="BQ190" s="139">
        <f t="shared" ref="BQ190:CV190" si="356">BP192</f>
        <v>0</v>
      </c>
      <c r="BR190" s="139">
        <f t="shared" si="356"/>
        <v>0</v>
      </c>
      <c r="BS190" s="139">
        <f t="shared" si="356"/>
        <v>0</v>
      </c>
      <c r="BT190" s="139">
        <f t="shared" si="356"/>
        <v>3900.7507797719577</v>
      </c>
      <c r="BU190" s="139">
        <f t="shared" si="356"/>
        <v>6361.6538254608859</v>
      </c>
      <c r="BV190" s="139">
        <f t="shared" si="356"/>
        <v>8786.5187065607697</v>
      </c>
      <c r="BW190" s="139">
        <f t="shared" si="356"/>
        <v>11480.663172336306</v>
      </c>
      <c r="BX190" s="139">
        <f t="shared" si="356"/>
        <v>14238.735489874694</v>
      </c>
      <c r="BY190" s="139">
        <f t="shared" si="356"/>
        <v>15565.46834645958</v>
      </c>
      <c r="BZ190" s="139">
        <f t="shared" si="356"/>
        <v>17580.873259056512</v>
      </c>
      <c r="CA190" s="139">
        <f t="shared" si="356"/>
        <v>18950.121881051466</v>
      </c>
      <c r="CB190" s="139">
        <f t="shared" si="356"/>
        <v>14521.095647053113</v>
      </c>
      <c r="CC190" s="139">
        <f t="shared" si="356"/>
        <v>12283.729730227922</v>
      </c>
      <c r="CD190" s="139">
        <f t="shared" si="356"/>
        <v>11527.645979037667</v>
      </c>
      <c r="CE190" s="139">
        <f t="shared" si="356"/>
        <v>9640.5842310285152</v>
      </c>
      <c r="CF190" s="139">
        <f t="shared" si="356"/>
        <v>13529.891572892619</v>
      </c>
      <c r="CG190" s="139">
        <f t="shared" si="356"/>
        <v>15955.597535270475</v>
      </c>
      <c r="CH190" s="139">
        <f t="shared" si="356"/>
        <v>18328.766349820697</v>
      </c>
      <c r="CI190" s="139">
        <f t="shared" si="356"/>
        <v>20979.24033169384</v>
      </c>
      <c r="CJ190" s="139">
        <f t="shared" si="356"/>
        <v>23702.390457762544</v>
      </c>
      <c r="CK190" s="139">
        <f t="shared" si="356"/>
        <v>24968.473252266984</v>
      </c>
      <c r="CL190" s="139">
        <f t="shared" si="356"/>
        <v>26936.720655370253</v>
      </c>
      <c r="CM190" s="139">
        <f t="shared" si="356"/>
        <v>28222.775751870053</v>
      </c>
      <c r="CN190" s="139">
        <f t="shared" si="356"/>
        <v>23572.307823973428</v>
      </c>
      <c r="CO190" s="139">
        <f t="shared" si="356"/>
        <v>21166.183447763498</v>
      </c>
      <c r="CP190" s="139">
        <f t="shared" si="356"/>
        <v>20281.730383977778</v>
      </c>
      <c r="CQ190" s="139">
        <f t="shared" si="356"/>
        <v>18242.55691099005</v>
      </c>
      <c r="CR190" s="139">
        <f t="shared" si="356"/>
        <v>22120.397651214524</v>
      </c>
      <c r="CS190" s="139">
        <f t="shared" si="356"/>
        <v>24509.885889412315</v>
      </c>
      <c r="CT190" s="139">
        <f t="shared" si="356"/>
        <v>26831.334962311856</v>
      </c>
      <c r="CU190" s="139">
        <f t="shared" si="356"/>
        <v>29437.114836965822</v>
      </c>
      <c r="CV190" s="139">
        <f t="shared" si="356"/>
        <v>32124.320662936672</v>
      </c>
      <c r="CW190" s="139">
        <f t="shared" ref="CW190:DS190" si="357">CV192</f>
        <v>33329.730642760915</v>
      </c>
      <c r="CX190" s="139">
        <f t="shared" si="357"/>
        <v>35248.79658732791</v>
      </c>
      <c r="CY190" s="139">
        <f t="shared" si="357"/>
        <v>36449.62940883822</v>
      </c>
      <c r="CZ190" s="139">
        <f t="shared" si="357"/>
        <v>31572.692810192857</v>
      </c>
      <c r="DA190" s="139">
        <f t="shared" si="357"/>
        <v>28992.782250888446</v>
      </c>
      <c r="DB190" s="139">
        <f t="shared" si="357"/>
        <v>27975.933068315051</v>
      </c>
      <c r="DC190" s="139">
        <f t="shared" si="357"/>
        <v>22033.933068315051</v>
      </c>
      <c r="DD190" s="139">
        <f t="shared" si="357"/>
        <v>22033.933068315051</v>
      </c>
      <c r="DE190" s="139">
        <f t="shared" si="357"/>
        <v>20940.933068315051</v>
      </c>
      <c r="DF190" s="139">
        <f t="shared" si="357"/>
        <v>19257.933068315051</v>
      </c>
      <c r="DG190" s="139">
        <f t="shared" si="357"/>
        <v>17874.933068315051</v>
      </c>
      <c r="DH190" s="139">
        <f t="shared" si="357"/>
        <v>16835.933068315051</v>
      </c>
      <c r="DI190" s="139">
        <f t="shared" si="357"/>
        <v>14666.933068315051</v>
      </c>
      <c r="DJ190" s="139">
        <f t="shared" si="357"/>
        <v>13050.933068315051</v>
      </c>
      <c r="DK190" s="139">
        <f t="shared" si="357"/>
        <v>9979.9330683150511</v>
      </c>
      <c r="DL190" s="139">
        <f t="shared" si="357"/>
        <v>943.93306831505106</v>
      </c>
      <c r="DM190" s="139">
        <f t="shared" si="357"/>
        <v>0</v>
      </c>
      <c r="DN190" s="139">
        <f t="shared" si="357"/>
        <v>0</v>
      </c>
      <c r="DO190" s="139">
        <f t="shared" si="357"/>
        <v>0</v>
      </c>
      <c r="DP190" s="139">
        <f t="shared" si="357"/>
        <v>0</v>
      </c>
      <c r="DQ190" s="139">
        <f t="shared" si="357"/>
        <v>0</v>
      </c>
      <c r="DR190" s="139">
        <f t="shared" si="357"/>
        <v>0</v>
      </c>
      <c r="DS190" s="139">
        <f t="shared" si="357"/>
        <v>0</v>
      </c>
    </row>
    <row r="191" spans="1:123" ht="12.75" customHeight="1" x14ac:dyDescent="0.35">
      <c r="A191" s="146" t="s">
        <v>493</v>
      </c>
      <c r="B191" s="139">
        <f>SUM(D191:BQ191)</f>
        <v>51776.824487308273</v>
      </c>
      <c r="C191" s="139">
        <f>B191/60</f>
        <v>862.94707478847124</v>
      </c>
      <c r="D191" s="139">
        <f t="shared" ref="D191:AI191" si="358">MIN(D190,MAX(D188-D189,0))</f>
        <v>0</v>
      </c>
      <c r="E191" s="139">
        <f t="shared" si="358"/>
        <v>0</v>
      </c>
      <c r="F191" s="139">
        <f t="shared" si="358"/>
        <v>0</v>
      </c>
      <c r="G191" s="139">
        <f t="shared" si="358"/>
        <v>3794.9659999999999</v>
      </c>
      <c r="H191" s="139">
        <f t="shared" si="358"/>
        <v>0</v>
      </c>
      <c r="I191" s="139">
        <f t="shared" si="358"/>
        <v>0</v>
      </c>
      <c r="J191" s="139">
        <f t="shared" si="358"/>
        <v>0</v>
      </c>
      <c r="K191" s="139">
        <f t="shared" si="358"/>
        <v>0</v>
      </c>
      <c r="L191" s="139">
        <f t="shared" si="358"/>
        <v>0</v>
      </c>
      <c r="M191" s="139">
        <f t="shared" si="358"/>
        <v>0</v>
      </c>
      <c r="N191" s="139">
        <f t="shared" si="358"/>
        <v>0</v>
      </c>
      <c r="O191" s="139">
        <f t="shared" si="358"/>
        <v>0</v>
      </c>
      <c r="P191" s="139">
        <f t="shared" si="358"/>
        <v>0</v>
      </c>
      <c r="Q191" s="139">
        <f t="shared" si="358"/>
        <v>0</v>
      </c>
      <c r="R191" s="139">
        <f t="shared" si="358"/>
        <v>228.46624500000007</v>
      </c>
      <c r="S191" s="139">
        <f t="shared" si="358"/>
        <v>5265.7582349999993</v>
      </c>
      <c r="T191" s="139">
        <f t="shared" si="358"/>
        <v>1561.3331799999996</v>
      </c>
      <c r="U191" s="139">
        <f t="shared" si="358"/>
        <v>266.16567999999961</v>
      </c>
      <c r="V191" s="139">
        <f t="shared" si="358"/>
        <v>1313.9607849999993</v>
      </c>
      <c r="W191" s="139">
        <f t="shared" si="358"/>
        <v>0</v>
      </c>
      <c r="X191" s="139">
        <f t="shared" si="358"/>
        <v>0</v>
      </c>
      <c r="Y191" s="139">
        <f t="shared" si="358"/>
        <v>0</v>
      </c>
      <c r="Z191" s="139">
        <f t="shared" si="358"/>
        <v>0</v>
      </c>
      <c r="AA191" s="139">
        <f t="shared" si="358"/>
        <v>0</v>
      </c>
      <c r="AB191" s="139">
        <f t="shared" si="358"/>
        <v>1518.1170006249999</v>
      </c>
      <c r="AC191" s="139">
        <f t="shared" si="358"/>
        <v>1036.9795931250001</v>
      </c>
      <c r="AD191" s="139">
        <f t="shared" si="358"/>
        <v>2195.2319581249999</v>
      </c>
      <c r="AE191" s="139">
        <f t="shared" si="358"/>
        <v>7237.1410618749997</v>
      </c>
      <c r="AF191" s="139">
        <f t="shared" si="358"/>
        <v>5340.0675574999996</v>
      </c>
      <c r="AG191" s="139">
        <f t="shared" si="358"/>
        <v>3889.4428699999999</v>
      </c>
      <c r="AH191" s="139">
        <f t="shared" si="358"/>
        <v>4766.95144385</v>
      </c>
      <c r="AI191" s="139">
        <f t="shared" si="358"/>
        <v>0</v>
      </c>
      <c r="AJ191" s="139">
        <f t="shared" ref="AJ191:BO191" si="359">MIN(AJ190,MAX(AJ188-AJ189,0))</f>
        <v>613.67800925000006</v>
      </c>
      <c r="AK191" s="139">
        <f t="shared" si="359"/>
        <v>1074.4142904999999</v>
      </c>
      <c r="AL191" s="139">
        <f t="shared" si="359"/>
        <v>816.23799129999998</v>
      </c>
      <c r="AM191" s="139">
        <f t="shared" si="359"/>
        <v>544.33123969999997</v>
      </c>
      <c r="AN191" s="139">
        <f t="shared" si="359"/>
        <v>1565.651415621875</v>
      </c>
      <c r="AO191" s="139">
        <f t="shared" si="359"/>
        <v>1071.5946951593751</v>
      </c>
      <c r="AP191" s="139">
        <f t="shared" si="359"/>
        <v>1933.3262124687585</v>
      </c>
      <c r="AQ191" s="139">
        <f t="shared" si="359"/>
        <v>0</v>
      </c>
      <c r="AR191" s="139">
        <f t="shared" si="359"/>
        <v>0</v>
      </c>
      <c r="AS191" s="139">
        <f t="shared" si="359"/>
        <v>0</v>
      </c>
      <c r="AT191" s="139">
        <f t="shared" si="359"/>
        <v>0</v>
      </c>
      <c r="AU191" s="139">
        <f t="shared" si="359"/>
        <v>0</v>
      </c>
      <c r="AV191" s="139">
        <f t="shared" si="359"/>
        <v>380.70976754025003</v>
      </c>
      <c r="AW191" s="139">
        <f t="shared" si="359"/>
        <v>0</v>
      </c>
      <c r="AX191" s="139">
        <f t="shared" si="359"/>
        <v>0</v>
      </c>
      <c r="AY191" s="139">
        <f t="shared" si="359"/>
        <v>0</v>
      </c>
      <c r="AZ191" s="139">
        <f t="shared" si="359"/>
        <v>0</v>
      </c>
      <c r="BA191" s="139">
        <f t="shared" si="359"/>
        <v>0</v>
      </c>
      <c r="BB191" s="139">
        <f t="shared" si="359"/>
        <v>0</v>
      </c>
      <c r="BC191" s="139">
        <f t="shared" si="359"/>
        <v>0</v>
      </c>
      <c r="BD191" s="139">
        <f t="shared" si="359"/>
        <v>0</v>
      </c>
      <c r="BE191" s="139">
        <f t="shared" si="359"/>
        <v>0</v>
      </c>
      <c r="BF191" s="139">
        <f t="shared" si="359"/>
        <v>0</v>
      </c>
      <c r="BG191" s="139">
        <f t="shared" si="359"/>
        <v>0</v>
      </c>
      <c r="BH191" s="139">
        <f t="shared" si="359"/>
        <v>462.98537841422626</v>
      </c>
      <c r="BI191" s="139">
        <f t="shared" si="359"/>
        <v>0</v>
      </c>
      <c r="BJ191" s="139">
        <f t="shared" si="359"/>
        <v>0</v>
      </c>
      <c r="BK191" s="139">
        <f t="shared" si="359"/>
        <v>0</v>
      </c>
      <c r="BL191" s="139">
        <f t="shared" si="359"/>
        <v>0</v>
      </c>
      <c r="BM191" s="139">
        <f t="shared" si="359"/>
        <v>0</v>
      </c>
      <c r="BN191" s="139">
        <f t="shared" si="359"/>
        <v>0</v>
      </c>
      <c r="BO191" s="139">
        <f t="shared" si="359"/>
        <v>4213.6108590240474</v>
      </c>
      <c r="BP191" s="139">
        <f t="shared" ref="BP191:CU191" si="360">MIN(BP190,MAX(BP188-BP189,0))</f>
        <v>685.70301822976126</v>
      </c>
      <c r="BQ191" s="139">
        <f t="shared" si="360"/>
        <v>0</v>
      </c>
      <c r="BR191" s="139">
        <f t="shared" si="360"/>
        <v>0</v>
      </c>
      <c r="BS191" s="139">
        <f t="shared" si="360"/>
        <v>0</v>
      </c>
      <c r="BT191" s="139">
        <f t="shared" si="360"/>
        <v>0</v>
      </c>
      <c r="BU191" s="139">
        <f t="shared" si="360"/>
        <v>0</v>
      </c>
      <c r="BV191" s="139">
        <f t="shared" si="360"/>
        <v>0</v>
      </c>
      <c r="BW191" s="139">
        <f t="shared" si="360"/>
        <v>0</v>
      </c>
      <c r="BX191" s="139">
        <f t="shared" si="360"/>
        <v>0</v>
      </c>
      <c r="BY191" s="139">
        <f t="shared" si="360"/>
        <v>0</v>
      </c>
      <c r="BZ191" s="139">
        <f t="shared" si="360"/>
        <v>0</v>
      </c>
      <c r="CA191" s="139">
        <f t="shared" si="360"/>
        <v>4429.0262339983537</v>
      </c>
      <c r="CB191" s="139">
        <f t="shared" si="360"/>
        <v>2237.3659168251897</v>
      </c>
      <c r="CC191" s="139">
        <f t="shared" si="360"/>
        <v>756.0837511902555</v>
      </c>
      <c r="CD191" s="139">
        <f t="shared" si="360"/>
        <v>1887.0617480091523</v>
      </c>
      <c r="CE191" s="139">
        <f t="shared" si="360"/>
        <v>0</v>
      </c>
      <c r="CF191" s="139">
        <f t="shared" si="360"/>
        <v>0</v>
      </c>
      <c r="CG191" s="139">
        <f t="shared" si="360"/>
        <v>0</v>
      </c>
      <c r="CH191" s="139">
        <f t="shared" si="360"/>
        <v>0</v>
      </c>
      <c r="CI191" s="139">
        <f t="shared" si="360"/>
        <v>0</v>
      </c>
      <c r="CJ191" s="139">
        <f t="shared" si="360"/>
        <v>0</v>
      </c>
      <c r="CK191" s="139">
        <f t="shared" si="360"/>
        <v>0</v>
      </c>
      <c r="CL191" s="139">
        <f t="shared" si="360"/>
        <v>0</v>
      </c>
      <c r="CM191" s="139">
        <f t="shared" si="360"/>
        <v>4650.467927896625</v>
      </c>
      <c r="CN191" s="139">
        <f t="shared" si="360"/>
        <v>2406.1243762099307</v>
      </c>
      <c r="CO191" s="139">
        <f t="shared" si="360"/>
        <v>884.4530637857215</v>
      </c>
      <c r="CP191" s="139">
        <f t="shared" si="360"/>
        <v>2039.1734729877271</v>
      </c>
      <c r="CQ191" s="139">
        <f t="shared" si="360"/>
        <v>0</v>
      </c>
      <c r="CR191" s="139">
        <f t="shared" si="360"/>
        <v>0</v>
      </c>
      <c r="CS191" s="139">
        <f t="shared" si="360"/>
        <v>0</v>
      </c>
      <c r="CT191" s="139">
        <f t="shared" si="360"/>
        <v>0</v>
      </c>
      <c r="CU191" s="139">
        <f t="shared" si="360"/>
        <v>0</v>
      </c>
      <c r="CV191" s="139">
        <f t="shared" ref="CV191:DS191" si="361">MIN(CV190,MAX(CV188-CV189,0))</f>
        <v>0</v>
      </c>
      <c r="CW191" s="139">
        <f t="shared" si="361"/>
        <v>0</v>
      </c>
      <c r="CX191" s="139">
        <f t="shared" si="361"/>
        <v>0</v>
      </c>
      <c r="CY191" s="139">
        <f t="shared" si="361"/>
        <v>4876.9365986453631</v>
      </c>
      <c r="CZ191" s="139">
        <f t="shared" si="361"/>
        <v>2579.9105593044114</v>
      </c>
      <c r="DA191" s="139">
        <f t="shared" si="361"/>
        <v>1016.849182573394</v>
      </c>
      <c r="DB191" s="139">
        <f t="shared" si="361"/>
        <v>5942</v>
      </c>
      <c r="DC191" s="139">
        <f t="shared" si="361"/>
        <v>0</v>
      </c>
      <c r="DD191" s="139">
        <f t="shared" si="361"/>
        <v>1093</v>
      </c>
      <c r="DE191" s="139">
        <f t="shared" si="361"/>
        <v>1683</v>
      </c>
      <c r="DF191" s="139">
        <f t="shared" si="361"/>
        <v>1383</v>
      </c>
      <c r="DG191" s="139">
        <f t="shared" si="361"/>
        <v>1039</v>
      </c>
      <c r="DH191" s="139">
        <f t="shared" si="361"/>
        <v>2169</v>
      </c>
      <c r="DI191" s="139">
        <f t="shared" si="361"/>
        <v>1616</v>
      </c>
      <c r="DJ191" s="139">
        <f t="shared" si="361"/>
        <v>3071</v>
      </c>
      <c r="DK191" s="139">
        <f t="shared" si="361"/>
        <v>9036</v>
      </c>
      <c r="DL191" s="139">
        <f t="shared" si="361"/>
        <v>943.93306831505106</v>
      </c>
      <c r="DM191" s="139">
        <f t="shared" si="361"/>
        <v>0</v>
      </c>
      <c r="DN191" s="139">
        <f t="shared" si="361"/>
        <v>0</v>
      </c>
      <c r="DO191" s="139">
        <f t="shared" si="361"/>
        <v>0</v>
      </c>
      <c r="DP191" s="139">
        <f t="shared" si="361"/>
        <v>0</v>
      </c>
      <c r="DQ191" s="139">
        <f t="shared" si="361"/>
        <v>0</v>
      </c>
      <c r="DR191" s="139">
        <f t="shared" si="361"/>
        <v>0</v>
      </c>
      <c r="DS191" s="139">
        <f t="shared" si="361"/>
        <v>0</v>
      </c>
    </row>
    <row r="192" spans="1:123" ht="13.5" customHeight="1" x14ac:dyDescent="0.35">
      <c r="A192" s="39" t="s">
        <v>494</v>
      </c>
      <c r="B192" s="41">
        <f>AA192</f>
        <v>33234.713675000006</v>
      </c>
      <c r="C192" s="139" t="s">
        <v>169</v>
      </c>
      <c r="D192" s="157">
        <f t="shared" ref="D192:AI192" si="362">MAX(D190-D191,0)+MAX(D189-D188,0)</f>
        <v>1164.366</v>
      </c>
      <c r="E192" s="157">
        <f t="shared" si="362"/>
        <v>2924.2999999999997</v>
      </c>
      <c r="F192" s="157">
        <f t="shared" si="362"/>
        <v>4131.3779999999997</v>
      </c>
      <c r="G192" s="157">
        <f t="shared" si="362"/>
        <v>336.41199999999981</v>
      </c>
      <c r="H192" s="157">
        <f t="shared" si="362"/>
        <v>2194.5760000000005</v>
      </c>
      <c r="I192" s="157">
        <f t="shared" si="362"/>
        <v>5204.2400000000016</v>
      </c>
      <c r="J192" s="157">
        <f t="shared" si="362"/>
        <v>7026.9330000000018</v>
      </c>
      <c r="K192" s="157">
        <f t="shared" si="362"/>
        <v>13906.026690000002</v>
      </c>
      <c r="L192" s="157">
        <f t="shared" si="362"/>
        <v>19138.888365000003</v>
      </c>
      <c r="M192" s="157">
        <f t="shared" si="362"/>
        <v>24788.846915000002</v>
      </c>
      <c r="N192" s="157">
        <f t="shared" si="362"/>
        <v>25789.023385</v>
      </c>
      <c r="O192" s="157">
        <f t="shared" si="362"/>
        <v>26934.295815000001</v>
      </c>
      <c r="P192" s="157">
        <f t="shared" si="362"/>
        <v>26967.83555</v>
      </c>
      <c r="Q192" s="157">
        <f t="shared" si="362"/>
        <v>27550.740064999998</v>
      </c>
      <c r="R192" s="157">
        <f t="shared" si="362"/>
        <v>27322.273819999999</v>
      </c>
      <c r="S192" s="157">
        <f t="shared" si="362"/>
        <v>22056.515585000001</v>
      </c>
      <c r="T192" s="157">
        <f t="shared" si="362"/>
        <v>20495.182405</v>
      </c>
      <c r="U192" s="157">
        <f t="shared" si="362"/>
        <v>20229.016725000001</v>
      </c>
      <c r="V192" s="157">
        <f t="shared" si="362"/>
        <v>18915.055940000002</v>
      </c>
      <c r="W192" s="157">
        <f t="shared" si="362"/>
        <v>22717.784750000003</v>
      </c>
      <c r="X192" s="157">
        <f t="shared" si="362"/>
        <v>25209.341825000003</v>
      </c>
      <c r="Y192" s="157">
        <f t="shared" si="362"/>
        <v>27715.020775000005</v>
      </c>
      <c r="Z192" s="157">
        <f t="shared" si="362"/>
        <v>30458.198445000005</v>
      </c>
      <c r="AA192" s="157">
        <f t="shared" si="362"/>
        <v>33234.713675000006</v>
      </c>
      <c r="AB192" s="157">
        <f t="shared" si="362"/>
        <v>31716.596674375007</v>
      </c>
      <c r="AC192" s="157">
        <f t="shared" si="362"/>
        <v>30679.617081250006</v>
      </c>
      <c r="AD192" s="157">
        <f t="shared" si="362"/>
        <v>28484.385123125005</v>
      </c>
      <c r="AE192" s="157">
        <f t="shared" si="362"/>
        <v>21247.244061250007</v>
      </c>
      <c r="AF192" s="157">
        <f t="shared" si="362"/>
        <v>15907.176503750008</v>
      </c>
      <c r="AG192" s="157">
        <f t="shared" si="362"/>
        <v>12017.733633750009</v>
      </c>
      <c r="AH192" s="157">
        <f t="shared" si="362"/>
        <v>7250.7821899000091</v>
      </c>
      <c r="AI192" s="157">
        <f t="shared" si="362"/>
        <v>7619.2338540000092</v>
      </c>
      <c r="AJ192" s="157">
        <f t="shared" ref="AJ192:BO192" si="363">MAX(AJ190-AJ191,0)+MAX(AJ189-AJ188,0)</f>
        <v>7005.5558447500089</v>
      </c>
      <c r="AK192" s="157">
        <f t="shared" si="363"/>
        <v>5931.141554250009</v>
      </c>
      <c r="AL192" s="157">
        <f t="shared" si="363"/>
        <v>5114.9035629500086</v>
      </c>
      <c r="AM192" s="157">
        <f t="shared" si="363"/>
        <v>4570.5723232500086</v>
      </c>
      <c r="AN192" s="157">
        <f t="shared" si="363"/>
        <v>3004.9209076281336</v>
      </c>
      <c r="AO192" s="157">
        <f t="shared" si="363"/>
        <v>1933.3262124687585</v>
      </c>
      <c r="AP192" s="157">
        <f t="shared" si="363"/>
        <v>0</v>
      </c>
      <c r="AQ192" s="157">
        <f t="shared" si="363"/>
        <v>0</v>
      </c>
      <c r="AR192" s="157">
        <f t="shared" si="363"/>
        <v>0</v>
      </c>
      <c r="AS192" s="157">
        <f t="shared" si="363"/>
        <v>0</v>
      </c>
      <c r="AT192" s="157">
        <f t="shared" si="363"/>
        <v>0</v>
      </c>
      <c r="AU192" s="157">
        <f t="shared" si="363"/>
        <v>380.70976754025003</v>
      </c>
      <c r="AV192" s="157">
        <f t="shared" si="363"/>
        <v>0</v>
      </c>
      <c r="AW192" s="157">
        <f t="shared" si="363"/>
        <v>0</v>
      </c>
      <c r="AX192" s="157">
        <f t="shared" si="363"/>
        <v>0</v>
      </c>
      <c r="AY192" s="157">
        <f t="shared" si="363"/>
        <v>0</v>
      </c>
      <c r="AZ192" s="157">
        <f t="shared" si="363"/>
        <v>0</v>
      </c>
      <c r="BA192" s="157">
        <f t="shared" si="363"/>
        <v>0</v>
      </c>
      <c r="BB192" s="157">
        <f t="shared" si="363"/>
        <v>0</v>
      </c>
      <c r="BC192" s="157">
        <f t="shared" si="363"/>
        <v>0</v>
      </c>
      <c r="BD192" s="157">
        <f t="shared" si="363"/>
        <v>0</v>
      </c>
      <c r="BE192" s="157">
        <f t="shared" si="363"/>
        <v>0</v>
      </c>
      <c r="BF192" s="157">
        <f t="shared" si="363"/>
        <v>0</v>
      </c>
      <c r="BG192" s="157">
        <f t="shared" si="363"/>
        <v>462.98537841422626</v>
      </c>
      <c r="BH192" s="157">
        <f t="shared" si="363"/>
        <v>0</v>
      </c>
      <c r="BI192" s="157">
        <f t="shared" si="363"/>
        <v>0</v>
      </c>
      <c r="BJ192" s="157">
        <f t="shared" si="363"/>
        <v>0</v>
      </c>
      <c r="BK192" s="157">
        <f t="shared" si="363"/>
        <v>0</v>
      </c>
      <c r="BL192" s="157">
        <f t="shared" si="363"/>
        <v>1385.3607209686984</v>
      </c>
      <c r="BM192" s="157">
        <f t="shared" si="363"/>
        <v>3447.8997780993122</v>
      </c>
      <c r="BN192" s="157">
        <f t="shared" si="363"/>
        <v>4899.3138772538086</v>
      </c>
      <c r="BO192" s="157">
        <f t="shared" si="363"/>
        <v>685.70301822976126</v>
      </c>
      <c r="BP192" s="157">
        <f t="shared" ref="BP192:CU192" si="364">MAX(BP190-BP191,0)+MAX(BP189-BP188,0)</f>
        <v>0</v>
      </c>
      <c r="BQ192" s="157">
        <f t="shared" si="364"/>
        <v>0</v>
      </c>
      <c r="BR192" s="157">
        <f t="shared" si="364"/>
        <v>0</v>
      </c>
      <c r="BS192" s="157">
        <f t="shared" si="364"/>
        <v>3900.7507797719577</v>
      </c>
      <c r="BT192" s="157">
        <f t="shared" si="364"/>
        <v>6361.6538254608859</v>
      </c>
      <c r="BU192" s="157">
        <f t="shared" si="364"/>
        <v>8786.5187065607697</v>
      </c>
      <c r="BV192" s="157">
        <f t="shared" si="364"/>
        <v>11480.663172336306</v>
      </c>
      <c r="BW192" s="157">
        <f t="shared" si="364"/>
        <v>14238.735489874694</v>
      </c>
      <c r="BX192" s="157">
        <f t="shared" si="364"/>
        <v>15565.46834645958</v>
      </c>
      <c r="BY192" s="157">
        <f t="shared" si="364"/>
        <v>17580.873259056512</v>
      </c>
      <c r="BZ192" s="157">
        <f t="shared" si="364"/>
        <v>18950.121881051466</v>
      </c>
      <c r="CA192" s="157">
        <f t="shared" si="364"/>
        <v>14521.095647053113</v>
      </c>
      <c r="CB192" s="157">
        <f t="shared" si="364"/>
        <v>12283.729730227922</v>
      </c>
      <c r="CC192" s="157">
        <f t="shared" si="364"/>
        <v>11527.645979037667</v>
      </c>
      <c r="CD192" s="157">
        <f t="shared" si="364"/>
        <v>9640.5842310285152</v>
      </c>
      <c r="CE192" s="157">
        <f t="shared" si="364"/>
        <v>13529.891572892619</v>
      </c>
      <c r="CF192" s="157">
        <f t="shared" si="364"/>
        <v>15955.597535270475</v>
      </c>
      <c r="CG192" s="157">
        <f t="shared" si="364"/>
        <v>18328.766349820697</v>
      </c>
      <c r="CH192" s="157">
        <f t="shared" si="364"/>
        <v>20979.24033169384</v>
      </c>
      <c r="CI192" s="157">
        <f t="shared" si="364"/>
        <v>23702.390457762544</v>
      </c>
      <c r="CJ192" s="157">
        <f t="shared" si="364"/>
        <v>24968.473252266984</v>
      </c>
      <c r="CK192" s="157">
        <f t="shared" si="364"/>
        <v>26936.720655370253</v>
      </c>
      <c r="CL192" s="157">
        <f t="shared" si="364"/>
        <v>28222.775751870053</v>
      </c>
      <c r="CM192" s="157">
        <f t="shared" si="364"/>
        <v>23572.307823973428</v>
      </c>
      <c r="CN192" s="157">
        <f t="shared" si="364"/>
        <v>21166.183447763498</v>
      </c>
      <c r="CO192" s="157">
        <f t="shared" si="364"/>
        <v>20281.730383977778</v>
      </c>
      <c r="CP192" s="157">
        <f t="shared" si="364"/>
        <v>18242.55691099005</v>
      </c>
      <c r="CQ192" s="157">
        <f t="shared" si="364"/>
        <v>22120.397651214524</v>
      </c>
      <c r="CR192" s="157">
        <f t="shared" si="364"/>
        <v>24509.885889412315</v>
      </c>
      <c r="CS192" s="157">
        <f t="shared" si="364"/>
        <v>26831.334962311856</v>
      </c>
      <c r="CT192" s="157">
        <f t="shared" si="364"/>
        <v>29437.114836965822</v>
      </c>
      <c r="CU192" s="157">
        <f t="shared" si="364"/>
        <v>32124.320662936672</v>
      </c>
      <c r="CV192" s="157">
        <f t="shared" ref="CV192:DS192" si="365">MAX(CV190-CV191,0)+MAX(CV189-CV188,0)</f>
        <v>33329.730642760915</v>
      </c>
      <c r="CW192" s="157">
        <f t="shared" si="365"/>
        <v>35248.79658732791</v>
      </c>
      <c r="CX192" s="157">
        <f t="shared" si="365"/>
        <v>36449.62940883822</v>
      </c>
      <c r="CY192" s="157">
        <f t="shared" si="365"/>
        <v>31572.692810192857</v>
      </c>
      <c r="CZ192" s="157">
        <f t="shared" si="365"/>
        <v>28992.782250888446</v>
      </c>
      <c r="DA192" s="157">
        <f t="shared" si="365"/>
        <v>27975.933068315051</v>
      </c>
      <c r="DB192" s="157">
        <f t="shared" si="365"/>
        <v>22033.933068315051</v>
      </c>
      <c r="DC192" s="157">
        <f t="shared" si="365"/>
        <v>22033.933068315051</v>
      </c>
      <c r="DD192" s="157">
        <f t="shared" si="365"/>
        <v>20940.933068315051</v>
      </c>
      <c r="DE192" s="157">
        <f t="shared" si="365"/>
        <v>19257.933068315051</v>
      </c>
      <c r="DF192" s="157">
        <f t="shared" si="365"/>
        <v>17874.933068315051</v>
      </c>
      <c r="DG192" s="157">
        <f t="shared" si="365"/>
        <v>16835.933068315051</v>
      </c>
      <c r="DH192" s="157">
        <f t="shared" si="365"/>
        <v>14666.933068315051</v>
      </c>
      <c r="DI192" s="157">
        <f t="shared" si="365"/>
        <v>13050.933068315051</v>
      </c>
      <c r="DJ192" s="157">
        <f t="shared" si="365"/>
        <v>9979.9330683150511</v>
      </c>
      <c r="DK192" s="157">
        <f t="shared" si="365"/>
        <v>943.93306831505106</v>
      </c>
      <c r="DL192" s="157">
        <f t="shared" si="365"/>
        <v>0</v>
      </c>
      <c r="DM192" s="157">
        <f t="shared" si="365"/>
        <v>0</v>
      </c>
      <c r="DN192" s="157">
        <f t="shared" si="365"/>
        <v>0</v>
      </c>
      <c r="DO192" s="157">
        <f t="shared" si="365"/>
        <v>0</v>
      </c>
      <c r="DP192" s="157">
        <f t="shared" si="365"/>
        <v>0</v>
      </c>
      <c r="DQ192" s="157">
        <f t="shared" si="365"/>
        <v>0</v>
      </c>
      <c r="DR192" s="157">
        <f t="shared" si="365"/>
        <v>0</v>
      </c>
      <c r="DS192" s="157">
        <f t="shared" si="365"/>
        <v>0</v>
      </c>
    </row>
    <row r="193" spans="1:123" ht="12.75" customHeight="1" x14ac:dyDescent="0.35">
      <c r="A193" s="147" t="s">
        <v>495</v>
      </c>
      <c r="B193" s="148">
        <f>AA193</f>
        <v>0</v>
      </c>
      <c r="C193" s="139" t="s">
        <v>169</v>
      </c>
      <c r="D193" s="148">
        <f>0</f>
        <v>0</v>
      </c>
      <c r="E193" s="148">
        <f t="shared" ref="E193:AJ193" si="366">D195</f>
        <v>0</v>
      </c>
      <c r="F193" s="148">
        <f t="shared" si="366"/>
        <v>0</v>
      </c>
      <c r="G193" s="148">
        <f t="shared" si="366"/>
        <v>0</v>
      </c>
      <c r="H193" s="148">
        <f t="shared" si="366"/>
        <v>0</v>
      </c>
      <c r="I193" s="148">
        <f t="shared" si="366"/>
        <v>0</v>
      </c>
      <c r="J193" s="148">
        <f t="shared" si="366"/>
        <v>0</v>
      </c>
      <c r="K193" s="148">
        <f t="shared" si="366"/>
        <v>0</v>
      </c>
      <c r="L193" s="148">
        <f t="shared" si="366"/>
        <v>0</v>
      </c>
      <c r="M193" s="148">
        <f t="shared" si="366"/>
        <v>0</v>
      </c>
      <c r="N193" s="148">
        <f t="shared" si="366"/>
        <v>0</v>
      </c>
      <c r="O193" s="148">
        <f t="shared" si="366"/>
        <v>0</v>
      </c>
      <c r="P193" s="148">
        <f t="shared" si="366"/>
        <v>0</v>
      </c>
      <c r="Q193" s="148">
        <f t="shared" si="366"/>
        <v>0</v>
      </c>
      <c r="R193" s="148">
        <f t="shared" si="366"/>
        <v>0</v>
      </c>
      <c r="S193" s="148">
        <f t="shared" si="366"/>
        <v>0</v>
      </c>
      <c r="T193" s="148">
        <f t="shared" si="366"/>
        <v>0</v>
      </c>
      <c r="U193" s="148">
        <f t="shared" si="366"/>
        <v>0</v>
      </c>
      <c r="V193" s="148">
        <f t="shared" si="366"/>
        <v>0</v>
      </c>
      <c r="W193" s="148">
        <f t="shared" si="366"/>
        <v>0</v>
      </c>
      <c r="X193" s="148">
        <f t="shared" si="366"/>
        <v>0</v>
      </c>
      <c r="Y193" s="148">
        <f t="shared" si="366"/>
        <v>0</v>
      </c>
      <c r="Z193" s="148">
        <f t="shared" si="366"/>
        <v>0</v>
      </c>
      <c r="AA193" s="148">
        <f t="shared" si="366"/>
        <v>0</v>
      </c>
      <c r="AB193" s="148">
        <f t="shared" si="366"/>
        <v>0</v>
      </c>
      <c r="AC193" s="148">
        <f t="shared" si="366"/>
        <v>0</v>
      </c>
      <c r="AD193" s="148">
        <f t="shared" si="366"/>
        <v>0</v>
      </c>
      <c r="AE193" s="148">
        <f t="shared" si="366"/>
        <v>0</v>
      </c>
      <c r="AF193" s="148">
        <f t="shared" si="366"/>
        <v>0</v>
      </c>
      <c r="AG193" s="148">
        <f t="shared" si="366"/>
        <v>0</v>
      </c>
      <c r="AH193" s="148">
        <f t="shared" si="366"/>
        <v>0</v>
      </c>
      <c r="AI193" s="148">
        <f t="shared" si="366"/>
        <v>0</v>
      </c>
      <c r="AJ193" s="148">
        <f t="shared" si="366"/>
        <v>0</v>
      </c>
      <c r="AK193" s="148">
        <f t="shared" ref="AK193:BP193" si="367">AJ195</f>
        <v>0</v>
      </c>
      <c r="AL193" s="148">
        <f t="shared" si="367"/>
        <v>0</v>
      </c>
      <c r="AM193" s="148">
        <f t="shared" si="367"/>
        <v>0</v>
      </c>
      <c r="AN193" s="148">
        <f t="shared" si="367"/>
        <v>0</v>
      </c>
      <c r="AO193" s="148">
        <f t="shared" si="367"/>
        <v>0</v>
      </c>
      <c r="AP193" s="148">
        <f t="shared" si="367"/>
        <v>0</v>
      </c>
      <c r="AQ193" s="148">
        <f t="shared" si="367"/>
        <v>0</v>
      </c>
      <c r="AR193" s="148">
        <f t="shared" si="367"/>
        <v>0</v>
      </c>
      <c r="AS193" s="148">
        <f t="shared" si="367"/>
        <v>0</v>
      </c>
      <c r="AT193" s="148">
        <f t="shared" si="367"/>
        <v>0</v>
      </c>
      <c r="AU193" s="148">
        <f t="shared" si="367"/>
        <v>0</v>
      </c>
      <c r="AV193" s="148">
        <f t="shared" si="367"/>
        <v>0</v>
      </c>
      <c r="AW193" s="148">
        <f t="shared" si="367"/>
        <v>0</v>
      </c>
      <c r="AX193" s="148">
        <f t="shared" si="367"/>
        <v>0</v>
      </c>
      <c r="AY193" s="148">
        <f t="shared" si="367"/>
        <v>0</v>
      </c>
      <c r="AZ193" s="148">
        <f t="shared" si="367"/>
        <v>0</v>
      </c>
      <c r="BA193" s="148">
        <f t="shared" si="367"/>
        <v>0</v>
      </c>
      <c r="BB193" s="148">
        <f t="shared" si="367"/>
        <v>0</v>
      </c>
      <c r="BC193" s="148">
        <f t="shared" si="367"/>
        <v>0</v>
      </c>
      <c r="BD193" s="148">
        <f t="shared" si="367"/>
        <v>0</v>
      </c>
      <c r="BE193" s="148">
        <f t="shared" si="367"/>
        <v>0</v>
      </c>
      <c r="BF193" s="148">
        <f t="shared" si="367"/>
        <v>0</v>
      </c>
      <c r="BG193" s="148">
        <f t="shared" si="367"/>
        <v>0</v>
      </c>
      <c r="BH193" s="148">
        <f t="shared" si="367"/>
        <v>0</v>
      </c>
      <c r="BI193" s="148">
        <f t="shared" si="367"/>
        <v>0</v>
      </c>
      <c r="BJ193" s="148">
        <f t="shared" si="367"/>
        <v>0</v>
      </c>
      <c r="BK193" s="148">
        <f t="shared" si="367"/>
        <v>0</v>
      </c>
      <c r="BL193" s="148">
        <f t="shared" si="367"/>
        <v>0</v>
      </c>
      <c r="BM193" s="148">
        <f t="shared" si="367"/>
        <v>0</v>
      </c>
      <c r="BN193" s="148">
        <f t="shared" si="367"/>
        <v>0</v>
      </c>
      <c r="BO193" s="148">
        <f t="shared" si="367"/>
        <v>0</v>
      </c>
      <c r="BP193" s="148">
        <f t="shared" si="367"/>
        <v>0</v>
      </c>
      <c r="BQ193" s="148">
        <f t="shared" ref="BQ193:CV193" si="368">BP195</f>
        <v>0</v>
      </c>
      <c r="BR193" s="148">
        <f t="shared" si="368"/>
        <v>0</v>
      </c>
      <c r="BS193" s="148">
        <f t="shared" si="368"/>
        <v>0</v>
      </c>
      <c r="BT193" s="148">
        <f t="shared" si="368"/>
        <v>0</v>
      </c>
      <c r="BU193" s="148">
        <f t="shared" si="368"/>
        <v>0</v>
      </c>
      <c r="BV193" s="148">
        <f t="shared" si="368"/>
        <v>0</v>
      </c>
      <c r="BW193" s="148">
        <f t="shared" si="368"/>
        <v>0</v>
      </c>
      <c r="BX193" s="148">
        <f t="shared" si="368"/>
        <v>0</v>
      </c>
      <c r="BY193" s="148">
        <f t="shared" si="368"/>
        <v>0</v>
      </c>
      <c r="BZ193" s="148">
        <f t="shared" si="368"/>
        <v>0</v>
      </c>
      <c r="CA193" s="148">
        <f t="shared" si="368"/>
        <v>0</v>
      </c>
      <c r="CB193" s="148">
        <f t="shared" si="368"/>
        <v>0</v>
      </c>
      <c r="CC193" s="148">
        <f t="shared" si="368"/>
        <v>0</v>
      </c>
      <c r="CD193" s="148">
        <f t="shared" si="368"/>
        <v>0</v>
      </c>
      <c r="CE193" s="148">
        <f t="shared" si="368"/>
        <v>0</v>
      </c>
      <c r="CF193" s="148">
        <f t="shared" si="368"/>
        <v>0</v>
      </c>
      <c r="CG193" s="148">
        <f t="shared" si="368"/>
        <v>0</v>
      </c>
      <c r="CH193" s="148">
        <f t="shared" si="368"/>
        <v>0</v>
      </c>
      <c r="CI193" s="148">
        <f t="shared" si="368"/>
        <v>0</v>
      </c>
      <c r="CJ193" s="148">
        <f t="shared" si="368"/>
        <v>0</v>
      </c>
      <c r="CK193" s="148">
        <f t="shared" si="368"/>
        <v>0</v>
      </c>
      <c r="CL193" s="148">
        <f t="shared" si="368"/>
        <v>0</v>
      </c>
      <c r="CM193" s="148">
        <f t="shared" si="368"/>
        <v>0</v>
      </c>
      <c r="CN193" s="148">
        <f t="shared" si="368"/>
        <v>0</v>
      </c>
      <c r="CO193" s="148">
        <f t="shared" si="368"/>
        <v>0</v>
      </c>
      <c r="CP193" s="148">
        <f t="shared" si="368"/>
        <v>0</v>
      </c>
      <c r="CQ193" s="148">
        <f t="shared" si="368"/>
        <v>0</v>
      </c>
      <c r="CR193" s="148">
        <f t="shared" si="368"/>
        <v>0</v>
      </c>
      <c r="CS193" s="148">
        <f t="shared" si="368"/>
        <v>0</v>
      </c>
      <c r="CT193" s="148">
        <f t="shared" si="368"/>
        <v>0</v>
      </c>
      <c r="CU193" s="148">
        <f t="shared" si="368"/>
        <v>0</v>
      </c>
      <c r="CV193" s="148">
        <f t="shared" si="368"/>
        <v>0</v>
      </c>
      <c r="CW193" s="148">
        <f t="shared" ref="CW193:DS193" si="369">CV195</f>
        <v>0</v>
      </c>
      <c r="CX193" s="148">
        <f t="shared" si="369"/>
        <v>0</v>
      </c>
      <c r="CY193" s="148">
        <f t="shared" si="369"/>
        <v>0</v>
      </c>
      <c r="CZ193" s="148">
        <f t="shared" si="369"/>
        <v>0</v>
      </c>
      <c r="DA193" s="148">
        <f t="shared" si="369"/>
        <v>0</v>
      </c>
      <c r="DB193" s="148">
        <f t="shared" si="369"/>
        <v>0</v>
      </c>
      <c r="DC193" s="148">
        <f t="shared" si="369"/>
        <v>0</v>
      </c>
      <c r="DD193" s="148">
        <f t="shared" si="369"/>
        <v>0</v>
      </c>
      <c r="DE193" s="148">
        <f t="shared" si="369"/>
        <v>0</v>
      </c>
      <c r="DF193" s="148">
        <f t="shared" si="369"/>
        <v>0</v>
      </c>
      <c r="DG193" s="148">
        <f t="shared" si="369"/>
        <v>0</v>
      </c>
      <c r="DH193" s="148">
        <f t="shared" si="369"/>
        <v>0</v>
      </c>
      <c r="DI193" s="148">
        <f t="shared" si="369"/>
        <v>0</v>
      </c>
      <c r="DJ193" s="148">
        <f t="shared" si="369"/>
        <v>0</v>
      </c>
      <c r="DK193" s="148">
        <f t="shared" si="369"/>
        <v>0</v>
      </c>
      <c r="DL193" s="148">
        <f t="shared" si="369"/>
        <v>0</v>
      </c>
      <c r="DM193" s="148">
        <f t="shared" si="369"/>
        <v>0</v>
      </c>
      <c r="DN193" s="148">
        <f t="shared" si="369"/>
        <v>0</v>
      </c>
      <c r="DO193" s="148">
        <f t="shared" si="369"/>
        <v>0</v>
      </c>
      <c r="DP193" s="148">
        <f t="shared" si="369"/>
        <v>0</v>
      </c>
      <c r="DQ193" s="148">
        <f t="shared" si="369"/>
        <v>0</v>
      </c>
      <c r="DR193" s="148">
        <f t="shared" si="369"/>
        <v>0</v>
      </c>
      <c r="DS193" s="148">
        <f t="shared" si="369"/>
        <v>0</v>
      </c>
    </row>
    <row r="194" spans="1:123" ht="12.75" customHeight="1" x14ac:dyDescent="0.35">
      <c r="A194" s="147" t="s">
        <v>503</v>
      </c>
      <c r="B194" s="148">
        <f>SUM(D194:BQ194)</f>
        <v>0</v>
      </c>
      <c r="C194" s="139">
        <f>B194/60</f>
        <v>0</v>
      </c>
      <c r="D194" s="148">
        <f t="shared" ref="D194:AI194" si="370">MIN(D193,D188)</f>
        <v>0</v>
      </c>
      <c r="E194" s="148">
        <f t="shared" si="370"/>
        <v>0</v>
      </c>
      <c r="F194" s="148">
        <f t="shared" si="370"/>
        <v>0</v>
      </c>
      <c r="G194" s="148">
        <f t="shared" si="370"/>
        <v>0</v>
      </c>
      <c r="H194" s="148">
        <f t="shared" si="370"/>
        <v>0</v>
      </c>
      <c r="I194" s="148">
        <f t="shared" si="370"/>
        <v>0</v>
      </c>
      <c r="J194" s="148">
        <f t="shared" si="370"/>
        <v>0</v>
      </c>
      <c r="K194" s="148">
        <f t="shared" si="370"/>
        <v>0</v>
      </c>
      <c r="L194" s="148">
        <f t="shared" si="370"/>
        <v>0</v>
      </c>
      <c r="M194" s="148">
        <f t="shared" si="370"/>
        <v>0</v>
      </c>
      <c r="N194" s="148">
        <f t="shared" si="370"/>
        <v>0</v>
      </c>
      <c r="O194" s="148">
        <f t="shared" si="370"/>
        <v>0</v>
      </c>
      <c r="P194" s="148">
        <f t="shared" si="370"/>
        <v>0</v>
      </c>
      <c r="Q194" s="148">
        <f t="shared" si="370"/>
        <v>0</v>
      </c>
      <c r="R194" s="148">
        <f t="shared" si="370"/>
        <v>0</v>
      </c>
      <c r="S194" s="148">
        <f t="shared" si="370"/>
        <v>0</v>
      </c>
      <c r="T194" s="148">
        <f t="shared" si="370"/>
        <v>0</v>
      </c>
      <c r="U194" s="148">
        <f t="shared" si="370"/>
        <v>0</v>
      </c>
      <c r="V194" s="148">
        <f t="shared" si="370"/>
        <v>0</v>
      </c>
      <c r="W194" s="148">
        <f t="shared" si="370"/>
        <v>0</v>
      </c>
      <c r="X194" s="148">
        <f t="shared" si="370"/>
        <v>0</v>
      </c>
      <c r="Y194" s="148">
        <f t="shared" si="370"/>
        <v>0</v>
      </c>
      <c r="Z194" s="148">
        <f t="shared" si="370"/>
        <v>0</v>
      </c>
      <c r="AA194" s="148">
        <f t="shared" si="370"/>
        <v>0</v>
      </c>
      <c r="AB194" s="148">
        <f t="shared" si="370"/>
        <v>0</v>
      </c>
      <c r="AC194" s="148">
        <f t="shared" si="370"/>
        <v>0</v>
      </c>
      <c r="AD194" s="148">
        <f t="shared" si="370"/>
        <v>0</v>
      </c>
      <c r="AE194" s="148">
        <f t="shared" si="370"/>
        <v>0</v>
      </c>
      <c r="AF194" s="148">
        <f t="shared" si="370"/>
        <v>0</v>
      </c>
      <c r="AG194" s="148">
        <f t="shared" si="370"/>
        <v>0</v>
      </c>
      <c r="AH194" s="148">
        <f t="shared" si="370"/>
        <v>0</v>
      </c>
      <c r="AI194" s="148">
        <f t="shared" si="370"/>
        <v>0</v>
      </c>
      <c r="AJ194" s="148">
        <f t="shared" ref="AJ194:BO194" si="371">MIN(AJ193,AJ188)</f>
        <v>0</v>
      </c>
      <c r="AK194" s="148">
        <f t="shared" si="371"/>
        <v>0</v>
      </c>
      <c r="AL194" s="148">
        <f t="shared" si="371"/>
        <v>0</v>
      </c>
      <c r="AM194" s="148">
        <f t="shared" si="371"/>
        <v>0</v>
      </c>
      <c r="AN194" s="148">
        <f t="shared" si="371"/>
        <v>0</v>
      </c>
      <c r="AO194" s="148">
        <f t="shared" si="371"/>
        <v>0</v>
      </c>
      <c r="AP194" s="148">
        <f t="shared" si="371"/>
        <v>0</v>
      </c>
      <c r="AQ194" s="148">
        <f t="shared" si="371"/>
        <v>0</v>
      </c>
      <c r="AR194" s="148">
        <f t="shared" si="371"/>
        <v>0</v>
      </c>
      <c r="AS194" s="148">
        <f t="shared" si="371"/>
        <v>0</v>
      </c>
      <c r="AT194" s="148">
        <f t="shared" si="371"/>
        <v>0</v>
      </c>
      <c r="AU194" s="148">
        <f t="shared" si="371"/>
        <v>0</v>
      </c>
      <c r="AV194" s="148">
        <f t="shared" si="371"/>
        <v>0</v>
      </c>
      <c r="AW194" s="148">
        <f t="shared" si="371"/>
        <v>0</v>
      </c>
      <c r="AX194" s="148">
        <f t="shared" si="371"/>
        <v>0</v>
      </c>
      <c r="AY194" s="148">
        <f t="shared" si="371"/>
        <v>0</v>
      </c>
      <c r="AZ194" s="148">
        <f t="shared" si="371"/>
        <v>0</v>
      </c>
      <c r="BA194" s="148">
        <f t="shared" si="371"/>
        <v>0</v>
      </c>
      <c r="BB194" s="148">
        <f t="shared" si="371"/>
        <v>0</v>
      </c>
      <c r="BC194" s="148">
        <f t="shared" si="371"/>
        <v>0</v>
      </c>
      <c r="BD194" s="148">
        <f t="shared" si="371"/>
        <v>0</v>
      </c>
      <c r="BE194" s="148">
        <f t="shared" si="371"/>
        <v>0</v>
      </c>
      <c r="BF194" s="148">
        <f t="shared" si="371"/>
        <v>0</v>
      </c>
      <c r="BG194" s="148">
        <f t="shared" si="371"/>
        <v>0</v>
      </c>
      <c r="BH194" s="148">
        <f t="shared" si="371"/>
        <v>0</v>
      </c>
      <c r="BI194" s="148">
        <f t="shared" si="371"/>
        <v>0</v>
      </c>
      <c r="BJ194" s="148">
        <f t="shared" si="371"/>
        <v>0</v>
      </c>
      <c r="BK194" s="148">
        <f t="shared" si="371"/>
        <v>0</v>
      </c>
      <c r="BL194" s="148">
        <f t="shared" si="371"/>
        <v>0</v>
      </c>
      <c r="BM194" s="148">
        <f t="shared" si="371"/>
        <v>0</v>
      </c>
      <c r="BN194" s="148">
        <f t="shared" si="371"/>
        <v>0</v>
      </c>
      <c r="BO194" s="148">
        <f t="shared" si="371"/>
        <v>0</v>
      </c>
      <c r="BP194" s="148">
        <f t="shared" ref="BP194:CU194" si="372">MIN(BP193,BP188)</f>
        <v>0</v>
      </c>
      <c r="BQ194" s="148">
        <f t="shared" si="372"/>
        <v>0</v>
      </c>
      <c r="BR194" s="148">
        <f t="shared" si="372"/>
        <v>0</v>
      </c>
      <c r="BS194" s="148">
        <f t="shared" si="372"/>
        <v>0</v>
      </c>
      <c r="BT194" s="148">
        <f t="shared" si="372"/>
        <v>0</v>
      </c>
      <c r="BU194" s="148">
        <f t="shared" si="372"/>
        <v>0</v>
      </c>
      <c r="BV194" s="148">
        <f t="shared" si="372"/>
        <v>0</v>
      </c>
      <c r="BW194" s="148">
        <f t="shared" si="372"/>
        <v>0</v>
      </c>
      <c r="BX194" s="148">
        <f t="shared" si="372"/>
        <v>0</v>
      </c>
      <c r="BY194" s="148">
        <f t="shared" si="372"/>
        <v>0</v>
      </c>
      <c r="BZ194" s="148">
        <f t="shared" si="372"/>
        <v>0</v>
      </c>
      <c r="CA194" s="148">
        <f t="shared" si="372"/>
        <v>0</v>
      </c>
      <c r="CB194" s="148">
        <f t="shared" si="372"/>
        <v>0</v>
      </c>
      <c r="CC194" s="148">
        <f t="shared" si="372"/>
        <v>0</v>
      </c>
      <c r="CD194" s="148">
        <f t="shared" si="372"/>
        <v>0</v>
      </c>
      <c r="CE194" s="148">
        <f t="shared" si="372"/>
        <v>0</v>
      </c>
      <c r="CF194" s="148">
        <f t="shared" si="372"/>
        <v>0</v>
      </c>
      <c r="CG194" s="148">
        <f t="shared" si="372"/>
        <v>0</v>
      </c>
      <c r="CH194" s="148">
        <f t="shared" si="372"/>
        <v>0</v>
      </c>
      <c r="CI194" s="148">
        <f t="shared" si="372"/>
        <v>0</v>
      </c>
      <c r="CJ194" s="148">
        <f t="shared" si="372"/>
        <v>0</v>
      </c>
      <c r="CK194" s="148">
        <f t="shared" si="372"/>
        <v>0</v>
      </c>
      <c r="CL194" s="148">
        <f t="shared" si="372"/>
        <v>0</v>
      </c>
      <c r="CM194" s="148">
        <f t="shared" si="372"/>
        <v>0</v>
      </c>
      <c r="CN194" s="148">
        <f t="shared" si="372"/>
        <v>0</v>
      </c>
      <c r="CO194" s="148">
        <f t="shared" si="372"/>
        <v>0</v>
      </c>
      <c r="CP194" s="148">
        <f t="shared" si="372"/>
        <v>0</v>
      </c>
      <c r="CQ194" s="148">
        <f t="shared" si="372"/>
        <v>0</v>
      </c>
      <c r="CR194" s="148">
        <f t="shared" si="372"/>
        <v>0</v>
      </c>
      <c r="CS194" s="148">
        <f t="shared" si="372"/>
        <v>0</v>
      </c>
      <c r="CT194" s="148">
        <f t="shared" si="372"/>
        <v>0</v>
      </c>
      <c r="CU194" s="148">
        <f t="shared" si="372"/>
        <v>0</v>
      </c>
      <c r="CV194" s="148">
        <f t="shared" ref="CV194:DS194" si="373">MIN(CV193,CV188)</f>
        <v>0</v>
      </c>
      <c r="CW194" s="148">
        <f t="shared" si="373"/>
        <v>0</v>
      </c>
      <c r="CX194" s="148">
        <f t="shared" si="373"/>
        <v>0</v>
      </c>
      <c r="CY194" s="148">
        <f t="shared" si="373"/>
        <v>0</v>
      </c>
      <c r="CZ194" s="148">
        <f t="shared" si="373"/>
        <v>0</v>
      </c>
      <c r="DA194" s="148">
        <f t="shared" si="373"/>
        <v>0</v>
      </c>
      <c r="DB194" s="148">
        <f t="shared" si="373"/>
        <v>0</v>
      </c>
      <c r="DC194" s="148">
        <f t="shared" si="373"/>
        <v>0</v>
      </c>
      <c r="DD194" s="148">
        <f t="shared" si="373"/>
        <v>0</v>
      </c>
      <c r="DE194" s="148">
        <f t="shared" si="373"/>
        <v>0</v>
      </c>
      <c r="DF194" s="148">
        <f t="shared" si="373"/>
        <v>0</v>
      </c>
      <c r="DG194" s="148">
        <f t="shared" si="373"/>
        <v>0</v>
      </c>
      <c r="DH194" s="148">
        <f t="shared" si="373"/>
        <v>0</v>
      </c>
      <c r="DI194" s="148">
        <f t="shared" si="373"/>
        <v>0</v>
      </c>
      <c r="DJ194" s="148">
        <f t="shared" si="373"/>
        <v>0</v>
      </c>
      <c r="DK194" s="148">
        <f t="shared" si="373"/>
        <v>0</v>
      </c>
      <c r="DL194" s="148">
        <f t="shared" si="373"/>
        <v>0</v>
      </c>
      <c r="DM194" s="148">
        <f t="shared" si="373"/>
        <v>0</v>
      </c>
      <c r="DN194" s="148">
        <f t="shared" si="373"/>
        <v>0</v>
      </c>
      <c r="DO194" s="148">
        <f t="shared" si="373"/>
        <v>0</v>
      </c>
      <c r="DP194" s="148">
        <f t="shared" si="373"/>
        <v>0</v>
      </c>
      <c r="DQ194" s="148">
        <f t="shared" si="373"/>
        <v>0</v>
      </c>
      <c r="DR194" s="148">
        <f t="shared" si="373"/>
        <v>0</v>
      </c>
      <c r="DS194" s="148">
        <f t="shared" si="373"/>
        <v>0</v>
      </c>
    </row>
    <row r="195" spans="1:123" ht="12.75" customHeight="1" x14ac:dyDescent="0.35">
      <c r="A195" s="147" t="s">
        <v>504</v>
      </c>
      <c r="B195" s="148">
        <f>AA195</f>
        <v>0</v>
      </c>
      <c r="C195" s="139" t="s">
        <v>169</v>
      </c>
      <c r="D195" s="168">
        <f t="shared" ref="D195:AI195" si="374">MAX(D193-D194,0)</f>
        <v>0</v>
      </c>
      <c r="E195" s="168">
        <f t="shared" si="374"/>
        <v>0</v>
      </c>
      <c r="F195" s="168">
        <f t="shared" si="374"/>
        <v>0</v>
      </c>
      <c r="G195" s="168">
        <f t="shared" si="374"/>
        <v>0</v>
      </c>
      <c r="H195" s="168">
        <f t="shared" si="374"/>
        <v>0</v>
      </c>
      <c r="I195" s="168">
        <f t="shared" si="374"/>
        <v>0</v>
      </c>
      <c r="J195" s="168">
        <f t="shared" si="374"/>
        <v>0</v>
      </c>
      <c r="K195" s="168">
        <f t="shared" si="374"/>
        <v>0</v>
      </c>
      <c r="L195" s="168">
        <f t="shared" si="374"/>
        <v>0</v>
      </c>
      <c r="M195" s="168">
        <f t="shared" si="374"/>
        <v>0</v>
      </c>
      <c r="N195" s="168">
        <f t="shared" si="374"/>
        <v>0</v>
      </c>
      <c r="O195" s="168">
        <f t="shared" si="374"/>
        <v>0</v>
      </c>
      <c r="P195" s="168">
        <f t="shared" si="374"/>
        <v>0</v>
      </c>
      <c r="Q195" s="168">
        <f t="shared" si="374"/>
        <v>0</v>
      </c>
      <c r="R195" s="168">
        <f t="shared" si="374"/>
        <v>0</v>
      </c>
      <c r="S195" s="168">
        <f t="shared" si="374"/>
        <v>0</v>
      </c>
      <c r="T195" s="168">
        <f t="shared" si="374"/>
        <v>0</v>
      </c>
      <c r="U195" s="168">
        <f t="shared" si="374"/>
        <v>0</v>
      </c>
      <c r="V195" s="168">
        <f t="shared" si="374"/>
        <v>0</v>
      </c>
      <c r="W195" s="168">
        <f t="shared" si="374"/>
        <v>0</v>
      </c>
      <c r="X195" s="168">
        <f t="shared" si="374"/>
        <v>0</v>
      </c>
      <c r="Y195" s="168">
        <f t="shared" si="374"/>
        <v>0</v>
      </c>
      <c r="Z195" s="168">
        <f t="shared" si="374"/>
        <v>0</v>
      </c>
      <c r="AA195" s="168">
        <f t="shared" si="374"/>
        <v>0</v>
      </c>
      <c r="AB195" s="168">
        <f t="shared" si="374"/>
        <v>0</v>
      </c>
      <c r="AC195" s="168">
        <f t="shared" si="374"/>
        <v>0</v>
      </c>
      <c r="AD195" s="168">
        <f t="shared" si="374"/>
        <v>0</v>
      </c>
      <c r="AE195" s="168">
        <f t="shared" si="374"/>
        <v>0</v>
      </c>
      <c r="AF195" s="168">
        <f t="shared" si="374"/>
        <v>0</v>
      </c>
      <c r="AG195" s="168">
        <f t="shared" si="374"/>
        <v>0</v>
      </c>
      <c r="AH195" s="168">
        <f t="shared" si="374"/>
        <v>0</v>
      </c>
      <c r="AI195" s="168">
        <f t="shared" si="374"/>
        <v>0</v>
      </c>
      <c r="AJ195" s="168">
        <f t="shared" ref="AJ195:BO195" si="375">MAX(AJ193-AJ194,0)</f>
        <v>0</v>
      </c>
      <c r="AK195" s="168">
        <f t="shared" si="375"/>
        <v>0</v>
      </c>
      <c r="AL195" s="168">
        <f t="shared" si="375"/>
        <v>0</v>
      </c>
      <c r="AM195" s="168">
        <f t="shared" si="375"/>
        <v>0</v>
      </c>
      <c r="AN195" s="168">
        <f t="shared" si="375"/>
        <v>0</v>
      </c>
      <c r="AO195" s="168">
        <f t="shared" si="375"/>
        <v>0</v>
      </c>
      <c r="AP195" s="168">
        <f t="shared" si="375"/>
        <v>0</v>
      </c>
      <c r="AQ195" s="168">
        <f t="shared" si="375"/>
        <v>0</v>
      </c>
      <c r="AR195" s="168">
        <f t="shared" si="375"/>
        <v>0</v>
      </c>
      <c r="AS195" s="168">
        <f t="shared" si="375"/>
        <v>0</v>
      </c>
      <c r="AT195" s="168">
        <f t="shared" si="375"/>
        <v>0</v>
      </c>
      <c r="AU195" s="168">
        <f t="shared" si="375"/>
        <v>0</v>
      </c>
      <c r="AV195" s="168">
        <f t="shared" si="375"/>
        <v>0</v>
      </c>
      <c r="AW195" s="168">
        <f t="shared" si="375"/>
        <v>0</v>
      </c>
      <c r="AX195" s="168">
        <f t="shared" si="375"/>
        <v>0</v>
      </c>
      <c r="AY195" s="168">
        <f t="shared" si="375"/>
        <v>0</v>
      </c>
      <c r="AZ195" s="168">
        <f t="shared" si="375"/>
        <v>0</v>
      </c>
      <c r="BA195" s="168">
        <f t="shared" si="375"/>
        <v>0</v>
      </c>
      <c r="BB195" s="168">
        <f t="shared" si="375"/>
        <v>0</v>
      </c>
      <c r="BC195" s="168">
        <f t="shared" si="375"/>
        <v>0</v>
      </c>
      <c r="BD195" s="168">
        <f t="shared" si="375"/>
        <v>0</v>
      </c>
      <c r="BE195" s="168">
        <f t="shared" si="375"/>
        <v>0</v>
      </c>
      <c r="BF195" s="168">
        <f t="shared" si="375"/>
        <v>0</v>
      </c>
      <c r="BG195" s="168">
        <f t="shared" si="375"/>
        <v>0</v>
      </c>
      <c r="BH195" s="168">
        <f t="shared" si="375"/>
        <v>0</v>
      </c>
      <c r="BI195" s="168">
        <f t="shared" si="375"/>
        <v>0</v>
      </c>
      <c r="BJ195" s="168">
        <f t="shared" si="375"/>
        <v>0</v>
      </c>
      <c r="BK195" s="168">
        <f t="shared" si="375"/>
        <v>0</v>
      </c>
      <c r="BL195" s="168">
        <f t="shared" si="375"/>
        <v>0</v>
      </c>
      <c r="BM195" s="168">
        <f t="shared" si="375"/>
        <v>0</v>
      </c>
      <c r="BN195" s="168">
        <f t="shared" si="375"/>
        <v>0</v>
      </c>
      <c r="BO195" s="168">
        <f t="shared" si="375"/>
        <v>0</v>
      </c>
      <c r="BP195" s="168">
        <f t="shared" ref="BP195:CU195" si="376">MAX(BP193-BP194,0)</f>
        <v>0</v>
      </c>
      <c r="BQ195" s="168">
        <f t="shared" si="376"/>
        <v>0</v>
      </c>
      <c r="BR195" s="168">
        <f t="shared" si="376"/>
        <v>0</v>
      </c>
      <c r="BS195" s="168">
        <f t="shared" si="376"/>
        <v>0</v>
      </c>
      <c r="BT195" s="168">
        <f t="shared" si="376"/>
        <v>0</v>
      </c>
      <c r="BU195" s="168">
        <f t="shared" si="376"/>
        <v>0</v>
      </c>
      <c r="BV195" s="168">
        <f t="shared" si="376"/>
        <v>0</v>
      </c>
      <c r="BW195" s="168">
        <f t="shared" si="376"/>
        <v>0</v>
      </c>
      <c r="BX195" s="168">
        <f t="shared" si="376"/>
        <v>0</v>
      </c>
      <c r="BY195" s="168">
        <f t="shared" si="376"/>
        <v>0</v>
      </c>
      <c r="BZ195" s="168">
        <f t="shared" si="376"/>
        <v>0</v>
      </c>
      <c r="CA195" s="168">
        <f t="shared" si="376"/>
        <v>0</v>
      </c>
      <c r="CB195" s="168">
        <f t="shared" si="376"/>
        <v>0</v>
      </c>
      <c r="CC195" s="168">
        <f t="shared" si="376"/>
        <v>0</v>
      </c>
      <c r="CD195" s="168">
        <f t="shared" si="376"/>
        <v>0</v>
      </c>
      <c r="CE195" s="168">
        <f t="shared" si="376"/>
        <v>0</v>
      </c>
      <c r="CF195" s="168">
        <f t="shared" si="376"/>
        <v>0</v>
      </c>
      <c r="CG195" s="168">
        <f t="shared" si="376"/>
        <v>0</v>
      </c>
      <c r="CH195" s="168">
        <f t="shared" si="376"/>
        <v>0</v>
      </c>
      <c r="CI195" s="168">
        <f t="shared" si="376"/>
        <v>0</v>
      </c>
      <c r="CJ195" s="168">
        <f t="shared" si="376"/>
        <v>0</v>
      </c>
      <c r="CK195" s="168">
        <f t="shared" si="376"/>
        <v>0</v>
      </c>
      <c r="CL195" s="168">
        <f t="shared" si="376"/>
        <v>0</v>
      </c>
      <c r="CM195" s="168">
        <f t="shared" si="376"/>
        <v>0</v>
      </c>
      <c r="CN195" s="168">
        <f t="shared" si="376"/>
        <v>0</v>
      </c>
      <c r="CO195" s="168">
        <f t="shared" si="376"/>
        <v>0</v>
      </c>
      <c r="CP195" s="168">
        <f t="shared" si="376"/>
        <v>0</v>
      </c>
      <c r="CQ195" s="168">
        <f t="shared" si="376"/>
        <v>0</v>
      </c>
      <c r="CR195" s="168">
        <f t="shared" si="376"/>
        <v>0</v>
      </c>
      <c r="CS195" s="168">
        <f t="shared" si="376"/>
        <v>0</v>
      </c>
      <c r="CT195" s="168">
        <f t="shared" si="376"/>
        <v>0</v>
      </c>
      <c r="CU195" s="168">
        <f t="shared" si="376"/>
        <v>0</v>
      </c>
      <c r="CV195" s="168">
        <f t="shared" ref="CV195:DS195" si="377">MAX(CV193-CV194,0)</f>
        <v>0</v>
      </c>
      <c r="CW195" s="168">
        <f t="shared" si="377"/>
        <v>0</v>
      </c>
      <c r="CX195" s="168">
        <f t="shared" si="377"/>
        <v>0</v>
      </c>
      <c r="CY195" s="168">
        <f t="shared" si="377"/>
        <v>0</v>
      </c>
      <c r="CZ195" s="168">
        <f t="shared" si="377"/>
        <v>0</v>
      </c>
      <c r="DA195" s="168">
        <f t="shared" si="377"/>
        <v>0</v>
      </c>
      <c r="DB195" s="168">
        <f t="shared" si="377"/>
        <v>0</v>
      </c>
      <c r="DC195" s="168">
        <f t="shared" si="377"/>
        <v>0</v>
      </c>
      <c r="DD195" s="168">
        <f t="shared" si="377"/>
        <v>0</v>
      </c>
      <c r="DE195" s="168">
        <f t="shared" si="377"/>
        <v>0</v>
      </c>
      <c r="DF195" s="168">
        <f t="shared" si="377"/>
        <v>0</v>
      </c>
      <c r="DG195" s="168">
        <f t="shared" si="377"/>
        <v>0</v>
      </c>
      <c r="DH195" s="168">
        <f t="shared" si="377"/>
        <v>0</v>
      </c>
      <c r="DI195" s="168">
        <f t="shared" si="377"/>
        <v>0</v>
      </c>
      <c r="DJ195" s="168">
        <f t="shared" si="377"/>
        <v>0</v>
      </c>
      <c r="DK195" s="168">
        <f t="shared" si="377"/>
        <v>0</v>
      </c>
      <c r="DL195" s="168">
        <f t="shared" si="377"/>
        <v>0</v>
      </c>
      <c r="DM195" s="168">
        <f t="shared" si="377"/>
        <v>0</v>
      </c>
      <c r="DN195" s="168">
        <f t="shared" si="377"/>
        <v>0</v>
      </c>
      <c r="DO195" s="168">
        <f t="shared" si="377"/>
        <v>0</v>
      </c>
      <c r="DP195" s="168">
        <f t="shared" si="377"/>
        <v>0</v>
      </c>
      <c r="DQ195" s="168">
        <f t="shared" si="377"/>
        <v>0</v>
      </c>
      <c r="DR195" s="168">
        <f t="shared" si="377"/>
        <v>0</v>
      </c>
      <c r="DS195" s="168">
        <f t="shared" si="377"/>
        <v>0</v>
      </c>
    </row>
    <row r="196" spans="1:123" ht="12.75" customHeight="1" x14ac:dyDescent="0.35">
      <c r="A196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96" s="162">
        <f>SUM(D196:BQ196)</f>
        <v>175676.6863188133</v>
      </c>
      <c r="C196" s="144">
        <f>B196/60</f>
        <v>2927.9447719802215</v>
      </c>
      <c r="D196" s="162">
        <f>D188*Premissas!$F$19</f>
        <v>1607.5777269822922</v>
      </c>
      <c r="E196" s="162">
        <f>E188*Premissas!$F$19</f>
        <v>1197.5852496920472</v>
      </c>
      <c r="F196" s="162">
        <f>F188*Premissas!$F$19</f>
        <v>2275.7821707826461</v>
      </c>
      <c r="G196" s="162">
        <f>G188*Premissas!$F$19</f>
        <v>6695.9268017944069</v>
      </c>
      <c r="H196" s="162">
        <f>H188*Premissas!$F$19</f>
        <v>5033.7451105680411</v>
      </c>
      <c r="I196" s="162">
        <f>I188*Premissas!$F$19</f>
        <v>3744.5362598562779</v>
      </c>
      <c r="J196" s="162">
        <f>J188*Premissas!$F$19</f>
        <v>4513.6192138702581</v>
      </c>
      <c r="K196" s="162">
        <f>K188*Premissas!$F$19</f>
        <v>0</v>
      </c>
      <c r="L196" s="162">
        <f>L188*Premissas!$F$19</f>
        <v>830.16535469379164</v>
      </c>
      <c r="M196" s="162">
        <f>M188*Premissas!$F$19</f>
        <v>1278.1029596790706</v>
      </c>
      <c r="N196" s="162">
        <f>N188*Premissas!$F$19</f>
        <v>1050.4321935088669</v>
      </c>
      <c r="O196" s="162">
        <f>O188*Premissas!$F$19</f>
        <v>789.44375424058444</v>
      </c>
      <c r="P196" s="162">
        <f>P188*Premissas!$F$19</f>
        <v>1647.3738365161082</v>
      </c>
      <c r="Q196" s="162">
        <f>Q188*Premissas!$F$19</f>
        <v>1227.2009591125616</v>
      </c>
      <c r="R196" s="162">
        <f>R188*Premissas!$F$19</f>
        <v>2332.2371168655018</v>
      </c>
      <c r="S196" s="162">
        <f>S188*Premissas!$F$19</f>
        <v>6863.4406582041902</v>
      </c>
      <c r="T196" s="162">
        <f>T188*Premissas!$F$19</f>
        <v>5159.6118756052265</v>
      </c>
      <c r="U196" s="162">
        <f>U188*Premissas!$F$19</f>
        <v>3838.0108427147761</v>
      </c>
      <c r="V196" s="162">
        <f>V188*Premissas!$F$19</f>
        <v>4626.5291060359696</v>
      </c>
      <c r="W196" s="162">
        <f>W188*Premissas!$F$19</f>
        <v>0</v>
      </c>
      <c r="X196" s="162">
        <f>X188*Premissas!$F$19</f>
        <v>830.16535469379164</v>
      </c>
      <c r="Y196" s="162">
        <f>Y188*Premissas!$F$19</f>
        <v>1278.1029596790706</v>
      </c>
      <c r="Z196" s="162">
        <f>Z188*Premissas!$F$19</f>
        <v>1050.4321935088669</v>
      </c>
      <c r="AA196" s="162">
        <f>AA188*Premissas!$F$19</f>
        <v>789.44375424058444</v>
      </c>
      <c r="AB196" s="162">
        <f>AB188*Premissas!$F$19</f>
        <v>1689.0209278887066</v>
      </c>
      <c r="AC196" s="162">
        <f>AC188*Premissas!$F$19</f>
        <v>1258.6676503718581</v>
      </c>
      <c r="AD196" s="162">
        <f>AD188*Premissas!$F$19</f>
        <v>2390.543044787139</v>
      </c>
      <c r="AE196" s="162">
        <f>AE188*Premissas!$F$19</f>
        <v>7034.6564782915393</v>
      </c>
      <c r="AF196" s="162">
        <f>AF188*Premissas!$F$19</f>
        <v>5288.2551134005862</v>
      </c>
      <c r="AG196" s="162">
        <f>AG188*Premissas!$F$19</f>
        <v>3934.2618983314474</v>
      </c>
      <c r="AH196" s="162">
        <f>AH188*Premissas!$F$19</f>
        <v>4742.2154709598535</v>
      </c>
      <c r="AI196" s="162">
        <f>AI188*Premissas!$F$19</f>
        <v>0</v>
      </c>
      <c r="AJ196" s="162">
        <f>AJ188*Premissas!$F$19</f>
        <v>871.81244606638995</v>
      </c>
      <c r="AK196" s="162">
        <f>AK188*Premissas!$F$19</f>
        <v>1342.8873240364455</v>
      </c>
      <c r="AL196" s="162">
        <f>AL188*Premissas!$F$19</f>
        <v>1103.185175914158</v>
      </c>
      <c r="AM196" s="162">
        <f>AM188*Premissas!$F$19</f>
        <v>829.23986377440065</v>
      </c>
      <c r="AN196" s="162">
        <f>AN188*Premissas!$F$19</f>
        <v>1731.5935101806958</v>
      </c>
      <c r="AO196" s="162">
        <f>AO188*Premissas!$F$19</f>
        <v>1289.2088507117635</v>
      </c>
      <c r="AP196" s="162">
        <f>AP188*Premissas!$F$19</f>
        <v>2450.6999545475587</v>
      </c>
      <c r="AQ196" s="162">
        <f>AQ188*Premissas!$F$19</f>
        <v>7210.499752975843</v>
      </c>
      <c r="AR196" s="162">
        <f>AR188*Premissas!$F$19</f>
        <v>5420.600314873509</v>
      </c>
      <c r="AS196" s="162">
        <f>AS188*Premissas!$F$19</f>
        <v>4032.363935786901</v>
      </c>
      <c r="AT196" s="162">
        <f>AT188*Premissas!$F$19</f>
        <v>4860.6783086419109</v>
      </c>
      <c r="AU196" s="162">
        <f>AU188*Premissas!$F$19</f>
        <v>0</v>
      </c>
      <c r="AV196" s="162">
        <f>AV188*Premissas!$F$19</f>
        <v>894.02422813177566</v>
      </c>
      <c r="AW196" s="162">
        <f>AW188*Premissas!$F$19</f>
        <v>1376.2049971345241</v>
      </c>
      <c r="AX196" s="162">
        <f>AX188*Premissas!$F$19</f>
        <v>1130.9499034958901</v>
      </c>
      <c r="AY196" s="162">
        <f>AY188*Premissas!$F$19</f>
        <v>850.52615492039524</v>
      </c>
      <c r="AZ196" s="162">
        <f>AZ188*Premissas!$F$19</f>
        <v>1774.1660924726852</v>
      </c>
      <c r="BA196" s="162">
        <f>BA188*Premissas!$F$19</f>
        <v>1321.6010328904511</v>
      </c>
      <c r="BB196" s="162">
        <f>BB188*Premissas!$F$19</f>
        <v>2511.7823552273699</v>
      </c>
      <c r="BC196" s="162">
        <f>BC188*Premissas!$F$19</f>
        <v>7390.970482257102</v>
      </c>
      <c r="BD196" s="162">
        <f>BD188*Premissas!$F$19</f>
        <v>5556.6474800239966</v>
      </c>
      <c r="BE196" s="162">
        <f>BE188*Premissas!$F$19</f>
        <v>4133.2424460005277</v>
      </c>
      <c r="BF196" s="162">
        <f>BF188*Premissas!$F$19</f>
        <v>4981.9176190821408</v>
      </c>
      <c r="BG196" s="162">
        <f>BG188*Premissas!$F$19</f>
        <v>0</v>
      </c>
      <c r="BH196" s="162">
        <f>BH188*Premissas!$F$19</f>
        <v>916.23601019716136</v>
      </c>
      <c r="BI196" s="162">
        <f>BI188*Premissas!$F$19</f>
        <v>1410.4481611519939</v>
      </c>
      <c r="BJ196" s="162">
        <f>BJ188*Premissas!$F$19</f>
        <v>1159.6401219970132</v>
      </c>
      <c r="BK196" s="162">
        <f>BK188*Premissas!$F$19</f>
        <v>871.81244606638995</v>
      </c>
      <c r="BL196" s="162">
        <f>BL188*Premissas!$F$19</f>
        <v>1818.5896566034567</v>
      </c>
      <c r="BM196" s="162">
        <f>BM188*Premissas!$F$19</f>
        <v>1354.9187059885296</v>
      </c>
      <c r="BN196" s="162">
        <f>BN188*Premissas!$F$19</f>
        <v>2574.7157377459625</v>
      </c>
      <c r="BO196" s="162">
        <f>BO188*Premissas!$F$19</f>
        <v>7576.0686661353157</v>
      </c>
      <c r="BP196" s="162">
        <f>BP188*Premissas!$F$19</f>
        <v>5695.4711179326578</v>
      </c>
      <c r="BQ196" s="162">
        <f>BQ188*Premissas!$F$19</f>
        <v>4236.8974289723283</v>
      </c>
      <c r="BR196" s="162">
        <f>BR188*Premissas!$F$19</f>
        <v>5106.8588931999357</v>
      </c>
      <c r="BS196" s="162">
        <f>BS188*Premissas!$F$19</f>
        <v>0</v>
      </c>
      <c r="BT196" s="162">
        <f>BT188*Premissas!$F$19</f>
        <v>939.37328318193818</v>
      </c>
      <c r="BU196" s="162">
        <f>BU188*Premissas!$F$19</f>
        <v>1445.6168160888546</v>
      </c>
      <c r="BV196" s="162">
        <f>BV188*Premissas!$F$19</f>
        <v>1188.3303404981366</v>
      </c>
      <c r="BW196" s="162">
        <f>BW188*Premissas!$F$19</f>
        <v>893.09873721238455</v>
      </c>
      <c r="BX196" s="162">
        <f>BX188*Premissas!$F$19</f>
        <v>1863.9387116536193</v>
      </c>
      <c r="BY196" s="162">
        <f>BY188*Premissas!$F$19</f>
        <v>1389.1618700059992</v>
      </c>
      <c r="BZ196" s="162">
        <f>BZ188*Premissas!$F$19</f>
        <v>2639.5001021033377</v>
      </c>
      <c r="CA196" s="162">
        <f>CA188*Premissas!$F$19</f>
        <v>7764.8688136910951</v>
      </c>
      <c r="CB196" s="162">
        <f>CB188*Premissas!$F$19</f>
        <v>5837.9967195188829</v>
      </c>
      <c r="CC196" s="162">
        <f>CC188*Premissas!$F$19</f>
        <v>4342.4033937829099</v>
      </c>
      <c r="CD196" s="162">
        <f>CD188*Premissas!$F$19</f>
        <v>5234.5766400759039</v>
      </c>
      <c r="CE196" s="162">
        <f>CE188*Premissas!$F$19</f>
        <v>0</v>
      </c>
      <c r="CF196" s="162">
        <f>CF188*Premissas!$F$19</f>
        <v>962.51055616671499</v>
      </c>
      <c r="CG196" s="162">
        <f>CG188*Premissas!$F$19</f>
        <v>1482.6364528644974</v>
      </c>
      <c r="CH196" s="162">
        <f>CH188*Premissas!$F$19</f>
        <v>1217.9460499186509</v>
      </c>
      <c r="CI196" s="162">
        <f>CI188*Premissas!$F$19</f>
        <v>915.31051927777025</v>
      </c>
      <c r="CJ196" s="162">
        <f>CJ188*Premissas!$F$19</f>
        <v>1911.1387485425639</v>
      </c>
      <c r="CK196" s="162">
        <f>CK188*Premissas!$F$19</f>
        <v>1423.4050340234689</v>
      </c>
      <c r="CL196" s="162">
        <f>CL188*Premissas!$F$19</f>
        <v>2705.2099573801038</v>
      </c>
      <c r="CM196" s="162">
        <f>CM188*Premissas!$F$19</f>
        <v>7959.2219067632195</v>
      </c>
      <c r="CN196" s="162">
        <f>CN188*Premissas!$F$19</f>
        <v>5983.2987938632814</v>
      </c>
      <c r="CO196" s="162">
        <f>CO188*Premissas!$F$19</f>
        <v>4450.6858313516659</v>
      </c>
      <c r="CP196" s="162">
        <f>CP188*Premissas!$F$19</f>
        <v>5365.0708597100447</v>
      </c>
      <c r="CQ196" s="162">
        <f>CQ188*Premissas!$F$19</f>
        <v>0</v>
      </c>
      <c r="CR196" s="162">
        <f>CR188*Premissas!$F$19</f>
        <v>986.5733200708828</v>
      </c>
      <c r="CS196" s="162">
        <f>CS188*Premissas!$F$19</f>
        <v>1519.6560896401404</v>
      </c>
      <c r="CT196" s="162">
        <f>CT188*Premissas!$F$19</f>
        <v>1248.4872502585563</v>
      </c>
      <c r="CU196" s="162">
        <f>CU188*Premissas!$F$19</f>
        <v>938.44779226254707</v>
      </c>
      <c r="CV196" s="162">
        <f>CV188*Premissas!$F$19</f>
        <v>1958.3387854315085</v>
      </c>
      <c r="CW196" s="162">
        <f>CW188*Premissas!$F$19</f>
        <v>1459.4991798797207</v>
      </c>
      <c r="CX196" s="162">
        <f>CX188*Premissas!$F$19</f>
        <v>2772.7707944956519</v>
      </c>
      <c r="CY196" s="162">
        <f>CY188*Premissas!$F$19</f>
        <v>8158.2024544323003</v>
      </c>
      <c r="CZ196" s="162">
        <f>CZ188*Premissas!$F$19</f>
        <v>6133.2283228046344</v>
      </c>
      <c r="DA196" s="162">
        <f>DA188*Premissas!$F$19</f>
        <v>4562.670232597985</v>
      </c>
      <c r="DB196" s="162">
        <f>DB188*Premissas!$F$19</f>
        <v>5499.2670430217504</v>
      </c>
      <c r="DC196" s="162">
        <f>DC188*Premissas!$F$19</f>
        <v>0</v>
      </c>
      <c r="DD196" s="162">
        <f>DD188*Premissas!$F$19</f>
        <v>1011.5615748944418</v>
      </c>
      <c r="DE196" s="162">
        <f>DE188*Premissas!$F$19</f>
        <v>1557.6012173351744</v>
      </c>
      <c r="DF196" s="162">
        <f>DF188*Premissas!$F$19</f>
        <v>1279.9539415178526</v>
      </c>
      <c r="DG196" s="162">
        <f>DG188*Premissas!$F$19</f>
        <v>961.58506524732388</v>
      </c>
      <c r="DH196" s="162">
        <f>DH188*Premissas!$F$19</f>
        <v>2007.3898041592354</v>
      </c>
      <c r="DI196" s="162">
        <f>DI188*Premissas!$F$19</f>
        <v>1495.5933257359725</v>
      </c>
      <c r="DJ196" s="162">
        <f>DJ188*Premissas!$F$19</f>
        <v>2842.1826134499825</v>
      </c>
      <c r="DK196" s="162">
        <f>DK188*Premissas!$F$19</f>
        <v>8362.735947617728</v>
      </c>
      <c r="DL196" s="162">
        <f>DL188*Premissas!$F$19</f>
        <v>6286.8598154235524</v>
      </c>
      <c r="DM196" s="162">
        <f>DM188*Premissas!$F$19</f>
        <v>4676.5056156830869</v>
      </c>
      <c r="DN196" s="162">
        <f>DN188*Premissas!$F$19</f>
        <v>5637.1651900110201</v>
      </c>
      <c r="DO196" s="162">
        <f>DO188*Premissas!$F$19</f>
        <v>0</v>
      </c>
      <c r="DP196" s="162">
        <f>DP188*Premissas!$F$19</f>
        <v>1036.5498297180006</v>
      </c>
      <c r="DQ196" s="162">
        <f>DQ188*Premissas!$F$19</f>
        <v>1596.4718359495994</v>
      </c>
      <c r="DR196" s="162">
        <f>DR188*Premissas!$F$19</f>
        <v>1311.4206327771492</v>
      </c>
      <c r="DS196" s="162">
        <f>DS188*Premissas!$F$19</f>
        <v>985.64782915149181</v>
      </c>
    </row>
    <row r="197" spans="1:123" ht="12.75" customHeight="1" x14ac:dyDescent="0.35">
      <c r="A197" s="163" t="s">
        <v>498</v>
      </c>
      <c r="B197" s="164">
        <f>SUM(D197:BQ197)</f>
        <v>65368.564184186645</v>
      </c>
      <c r="C197" s="144">
        <f>B197/60</f>
        <v>1089.4760697364441</v>
      </c>
      <c r="D197" s="164">
        <f>IF(D192&gt;0,0,MAX(D188-D189-D190,0)*Premissas!$B$7)</f>
        <v>0</v>
      </c>
      <c r="E197" s="164">
        <f>IF(E192&gt;0,0,MAX(E188-E189-E190,0)*Premissas!$B$7)</f>
        <v>0</v>
      </c>
      <c r="F197" s="164">
        <f>IF(F192&gt;0,0,MAX(F188-F189-F190,0)*Premissas!$B$7)</f>
        <v>0</v>
      </c>
      <c r="G197" s="164">
        <f>IF(G192&gt;0,0,MAX(G188-G189-G190,0)*Premissas!$B$7)</f>
        <v>0</v>
      </c>
      <c r="H197" s="164">
        <f>IF(H192&gt;0,0,MAX(H188-H189-H190,0)*Premissas!$B$7)</f>
        <v>0</v>
      </c>
      <c r="I197" s="164">
        <f>IF(I192&gt;0,0,MAX(I188-I189-I190,0)*Premissas!$B$7)</f>
        <v>0</v>
      </c>
      <c r="J197" s="164">
        <f>IF(J192&gt;0,0,MAX(J188-J189-J190,0)*Premissas!$B$7)</f>
        <v>0</v>
      </c>
      <c r="K197" s="164">
        <f>IF(K192&gt;0,0,MAX(K188-K189-K190,0)*Premissas!$B$7)</f>
        <v>0</v>
      </c>
      <c r="L197" s="164">
        <f>IF(L192&gt;0,0,MAX(L188-L189-L190,0)*Premissas!$B$7)</f>
        <v>0</v>
      </c>
      <c r="M197" s="164">
        <f>IF(M192&gt;0,0,MAX(M188-M189-M190,0)*Premissas!$B$7)</f>
        <v>0</v>
      </c>
      <c r="N197" s="164">
        <f>IF(N192&gt;0,0,MAX(N188-N189-N190,0)*Premissas!$B$7)</f>
        <v>0</v>
      </c>
      <c r="O197" s="164">
        <f>IF(O192&gt;0,0,MAX(O188-O189-O190,0)*Premissas!$B$7)</f>
        <v>0</v>
      </c>
      <c r="P197" s="164">
        <f>IF(P192&gt;0,0,MAX(P188-P189-P190,0)*Premissas!$B$7)</f>
        <v>0</v>
      </c>
      <c r="Q197" s="164">
        <f>IF(Q192&gt;0,0,MAX(Q188-Q189-Q190,0)*Premissas!$B$7)</f>
        <v>0</v>
      </c>
      <c r="R197" s="164">
        <f>IF(R192&gt;0,0,MAX(R188-R189-R190,0)*Premissas!$B$7)</f>
        <v>0</v>
      </c>
      <c r="S197" s="164">
        <f>IF(S192&gt;0,0,MAX(S188-S189-S190,0)*Premissas!$B$7)</f>
        <v>0</v>
      </c>
      <c r="T197" s="164">
        <f>IF(T192&gt;0,0,MAX(T188-T189-T190,0)*Premissas!$B$7)</f>
        <v>0</v>
      </c>
      <c r="U197" s="164">
        <f>IF(U192&gt;0,0,MAX(U188-U189-U190,0)*Premissas!$B$7)</f>
        <v>0</v>
      </c>
      <c r="V197" s="164">
        <f>IF(V192&gt;0,0,MAX(V188-V189-V190,0)*Premissas!$B$7)</f>
        <v>0</v>
      </c>
      <c r="W197" s="164">
        <f>IF(W192&gt;0,0,MAX(W188-W189-W190,0)*Premissas!$B$7)</f>
        <v>0</v>
      </c>
      <c r="X197" s="164">
        <f>IF(X192&gt;0,0,MAX(X188-X189-X190,0)*Premissas!$B$7)</f>
        <v>0</v>
      </c>
      <c r="Y197" s="164">
        <f>IF(Y192&gt;0,0,MAX(Y188-Y189-Y190,0)*Premissas!$B$7)</f>
        <v>0</v>
      </c>
      <c r="Z197" s="164">
        <f>IF(Z192&gt;0,0,MAX(Z188-Z189-Z190,0)*Premissas!$B$7)</f>
        <v>0</v>
      </c>
      <c r="AA197" s="164">
        <f>IF(AA192&gt;0,0,MAX(AA188-AA189-AA190,0)*Premissas!$B$7)</f>
        <v>0</v>
      </c>
      <c r="AB197" s="164">
        <f>IF(AB192&gt;0,0,MAX(AB188-AB189-AB190,0)*Premissas!$B$7)</f>
        <v>0</v>
      </c>
      <c r="AC197" s="164">
        <f>IF(AC192&gt;0,0,MAX(AC188-AC189-AC190,0)*Premissas!$B$7)</f>
        <v>0</v>
      </c>
      <c r="AD197" s="164">
        <f>IF(AD192&gt;0,0,MAX(AD188-AD189-AD190,0)*Premissas!$B$7)</f>
        <v>0</v>
      </c>
      <c r="AE197" s="164">
        <f>IF(AE192&gt;0,0,MAX(AE188-AE189-AE190,0)*Premissas!$B$7)</f>
        <v>0</v>
      </c>
      <c r="AF197" s="164">
        <f>IF(AF192&gt;0,0,MAX(AF188-AF189-AF190,0)*Premissas!$B$7)</f>
        <v>0</v>
      </c>
      <c r="AG197" s="164">
        <f>IF(AG192&gt;0,0,MAX(AG188-AG189-AG190,0)*Premissas!$B$7)</f>
        <v>0</v>
      </c>
      <c r="AH197" s="164">
        <f>IF(AH192&gt;0,0,MAX(AH188-AH189-AH190,0)*Premissas!$B$7)</f>
        <v>0</v>
      </c>
      <c r="AI197" s="164">
        <f>IF(AI192&gt;0,0,MAX(AI188-AI189-AI190,0)*Premissas!$B$7)</f>
        <v>0</v>
      </c>
      <c r="AJ197" s="164">
        <f>IF(AJ192&gt;0,0,MAX(AJ188-AJ189-AJ190,0)*Premissas!$B$7)</f>
        <v>0</v>
      </c>
      <c r="AK197" s="164">
        <f>IF(AK192&gt;0,0,MAX(AK188-AK189-AK190,0)*Premissas!$B$7)</f>
        <v>0</v>
      </c>
      <c r="AL197" s="164">
        <f>IF(AL192&gt;0,0,MAX(AL188-AL189-AL190,0)*Premissas!$B$7)</f>
        <v>0</v>
      </c>
      <c r="AM197" s="164">
        <f>IF(AM192&gt;0,0,MAX(AM188-AM189-AM190,0)*Premissas!$B$7)</f>
        <v>0</v>
      </c>
      <c r="AN197" s="164">
        <f>IF(AN192&gt;0,0,MAX(AN188-AN189-AN190,0)*Premissas!$B$7)</f>
        <v>0</v>
      </c>
      <c r="AO197" s="164">
        <f>IF(AO192&gt;0,0,MAX(AO188-AO189-AO190,0)*Premissas!$B$7)</f>
        <v>0</v>
      </c>
      <c r="AP197" s="164">
        <f>IF(AP192&gt;0,0,MAX(AP188-AP189-AP190,0)*Premissas!$B$7)</f>
        <v>380.42834763693207</v>
      </c>
      <c r="AQ197" s="164">
        <f>IF(AQ192&gt;0,0,MAX(AQ188-AQ189-AQ190,0)*Premissas!$B$7)</f>
        <v>8594.2941881471834</v>
      </c>
      <c r="AR197" s="164">
        <f>IF(AR192&gt;0,0,MAX(AR188-AR189-AR190,0)*Premissas!$B$7)</f>
        <v>6345.3244878425403</v>
      </c>
      <c r="AS197" s="164">
        <f>IF(AS192&gt;0,0,MAX(AS188-AS189-AS190,0)*Premissas!$B$7)</f>
        <v>4624.2739804176044</v>
      </c>
      <c r="AT197" s="164">
        <f>IF(AT192&gt;0,0,MAX(AT188-AT189-AT190,0)*Premissas!$B$7)</f>
        <v>5649.0493183056242</v>
      </c>
      <c r="AU197" s="164">
        <f>IF(AU192&gt;0,0,MAX(AU188-AU189-AU190,0)*Premissas!$B$7)</f>
        <v>0</v>
      </c>
      <c r="AV197" s="164">
        <f>IF(AV192&gt;0,0,MAX(AV188-AV189-AV190,0)*Premissas!$B$7)</f>
        <v>284.64077297598686</v>
      </c>
      <c r="AW197" s="164">
        <f>IF(AW192&gt;0,0,MAX(AW188-AW189-AW190,0)*Premissas!$B$7)</f>
        <v>1270.1039111519406</v>
      </c>
      <c r="AX197" s="164">
        <f>IF(AX192&gt;0,0,MAX(AX188-AX189-AX190,0)*Premissas!$B$7)</f>
        <v>964.51965618351949</v>
      </c>
      <c r="AY197" s="164">
        <f>IF(AY192&gt;0,0,MAX(AY188-AY189-AY190,0)*Premissas!$B$7)</f>
        <v>642.78987380038996</v>
      </c>
      <c r="AZ197" s="164">
        <f>IF(AZ192&gt;0,0,MAX(AZ188-AZ189-AZ190,0)*Premissas!$B$7)</f>
        <v>1838.1087358272907</v>
      </c>
      <c r="BA197" s="164">
        <f>IF(BA192&gt;0,0,MAX(BA188-BA189-BA190,0)*Premissas!$B$7)</f>
        <v>1252.4412475777547</v>
      </c>
      <c r="BB197" s="164">
        <f>IF(BB192&gt;0,0,MAX(BB188-BB189-BB190,0)*Premissas!$B$7)</f>
        <v>2660.0783231570622</v>
      </c>
      <c r="BC197" s="164">
        <f>IF(BC192&gt;0,0,MAX(BC188-BC189-BC190,0)*Premissas!$B$7)</f>
        <v>8788.6378442195382</v>
      </c>
      <c r="BD197" s="164">
        <f>IF(BD192&gt;0,0,MAX(BD188-BD189-BD190,0)*Premissas!$B$7)</f>
        <v>6483.2736717117477</v>
      </c>
      <c r="BE197" s="164">
        <f>IF(BE192&gt;0,0,MAX(BE188-BE189-BE190,0)*Premissas!$B$7)</f>
        <v>4719.3250201116634</v>
      </c>
      <c r="BF197" s="164">
        <f>IF(BF192&gt;0,0,MAX(BF188-BF189-BF190,0)*Premissas!$B$7)</f>
        <v>5708.3625437135552</v>
      </c>
      <c r="BG197" s="164">
        <f>IF(BG192&gt;0,0,MAX(BG188-BG189-BG190,0)*Premissas!$B$7)</f>
        <v>0</v>
      </c>
      <c r="BH197" s="164">
        <f>IF(BH192&gt;0,0,MAX(BH188-BH189-BH190,0)*Premissas!$B$7)</f>
        <v>132.40882264582075</v>
      </c>
      <c r="BI197" s="164">
        <f>IF(BI192&gt;0,0,MAX(BI188-BI189-BI190,0)*Premissas!$B$7)</f>
        <v>1215.6249448301348</v>
      </c>
      <c r="BJ197" s="164">
        <f>IF(BJ192&gt;0,0,MAX(BJ188-BJ189-BJ190,0)*Premissas!$B$7)</f>
        <v>903.31229357687494</v>
      </c>
      <c r="BK197" s="164">
        <f>IF(BK192&gt;0,0,MAX(BK188-BK189-BK190,0)*Premissas!$B$7)</f>
        <v>578.55158110972195</v>
      </c>
      <c r="BL197" s="164">
        <f>IF(BL192&gt;0,0,MAX(BL188-BL189-BL190,0)*Premissas!$B$7)</f>
        <v>0</v>
      </c>
      <c r="BM197" s="164">
        <f>IF(BM192&gt;0,0,MAX(BM188-BM189-BM190,0)*Premissas!$B$7)</f>
        <v>0</v>
      </c>
      <c r="BN197" s="164">
        <f>IF(BN192&gt;0,0,MAX(BN188-BN189-BN190,0)*Premissas!$B$7)</f>
        <v>0</v>
      </c>
      <c r="BO197" s="164">
        <f>IF(BO192&gt;0,0,MAX(BO188-BO189-BO190,0)*Premissas!$B$7)</f>
        <v>0</v>
      </c>
      <c r="BP197" s="164">
        <f>IF(BP192&gt;0,0,MAX(BP188-BP189-BP190,0)*Premissas!$B$7)</f>
        <v>1603.3337573902838</v>
      </c>
      <c r="BQ197" s="164">
        <f>IF(BQ192&gt;0,0,MAX(BQ188-BQ189-BQ190,0)*Premissas!$B$7)</f>
        <v>729.68086185347067</v>
      </c>
      <c r="BR197" s="164">
        <f>IF(BR192&gt;0,0,MAX(BR188-BR189-BR190,0)*Premissas!$B$7)</f>
        <v>2010.5971737756206</v>
      </c>
      <c r="BS197" s="164">
        <f>IF(BS192&gt;0,0,MAX(BS188-BS189-BS190,0)*Premissas!$B$7)</f>
        <v>0</v>
      </c>
      <c r="BT197" s="164">
        <f>IF(BT192&gt;0,0,MAX(BT188-BT189-BT190,0)*Premissas!$B$7)</f>
        <v>0</v>
      </c>
      <c r="BU197" s="164">
        <f>IF(BU192&gt;0,0,MAX(BU188-BU189-BU190,0)*Premissas!$B$7)</f>
        <v>0</v>
      </c>
      <c r="BV197" s="164">
        <f>IF(BV192&gt;0,0,MAX(BV188-BV189-BV190,0)*Premissas!$B$7)</f>
        <v>0</v>
      </c>
      <c r="BW197" s="164">
        <f>IF(BW192&gt;0,0,MAX(BW188-BW189-BW190,0)*Premissas!$B$7)</f>
        <v>0</v>
      </c>
      <c r="BX197" s="164">
        <f>IF(BX192&gt;0,0,MAX(BX188-BX189-BX190,0)*Premissas!$B$7)</f>
        <v>0</v>
      </c>
      <c r="BY197" s="164">
        <f>IF(BY192&gt;0,0,MAX(BY188-BY189-BY190,0)*Premissas!$B$7)</f>
        <v>0</v>
      </c>
      <c r="BZ197" s="164">
        <f>IF(BZ192&gt;0,0,MAX(BZ188-BZ189-BZ190,0)*Premissas!$B$7)</f>
        <v>0</v>
      </c>
      <c r="CA197" s="164">
        <f>IF(CA192&gt;0,0,MAX(CA188-CA189-CA190,0)*Premissas!$B$7)</f>
        <v>0</v>
      </c>
      <c r="CB197" s="164">
        <f>IF(CB192&gt;0,0,MAX(CB188-CB189-CB190,0)*Premissas!$B$7)</f>
        <v>0</v>
      </c>
      <c r="CC197" s="164">
        <f>IF(CC192&gt;0,0,MAX(CC188-CC189-CC190,0)*Premissas!$B$7)</f>
        <v>0</v>
      </c>
      <c r="CD197" s="164">
        <f>IF(CD192&gt;0,0,MAX(CD188-CD189-CD190,0)*Premissas!$B$7)</f>
        <v>0</v>
      </c>
      <c r="CE197" s="164">
        <f>IF(CE192&gt;0,0,MAX(CE188-CE189-CE190,0)*Premissas!$B$7)</f>
        <v>0</v>
      </c>
      <c r="CF197" s="164">
        <f>IF(CF192&gt;0,0,MAX(CF188-CF189-CF190,0)*Premissas!$B$7)</f>
        <v>0</v>
      </c>
      <c r="CG197" s="164">
        <f>IF(CG192&gt;0,0,MAX(CG188-CG189-CG190,0)*Premissas!$B$7)</f>
        <v>0</v>
      </c>
      <c r="CH197" s="164">
        <f>IF(CH192&gt;0,0,MAX(CH188-CH189-CH190,0)*Premissas!$B$7)</f>
        <v>0</v>
      </c>
      <c r="CI197" s="164">
        <f>IF(CI192&gt;0,0,MAX(CI188-CI189-CI190,0)*Premissas!$B$7)</f>
        <v>0</v>
      </c>
      <c r="CJ197" s="164">
        <f>IF(CJ192&gt;0,0,MAX(CJ188-CJ189-CJ190,0)*Premissas!$B$7)</f>
        <v>0</v>
      </c>
      <c r="CK197" s="164">
        <f>IF(CK192&gt;0,0,MAX(CK188-CK189-CK190,0)*Premissas!$B$7)</f>
        <v>0</v>
      </c>
      <c r="CL197" s="164">
        <f>IF(CL192&gt;0,0,MAX(CL188-CL189-CL190,0)*Premissas!$B$7)</f>
        <v>0</v>
      </c>
      <c r="CM197" s="164">
        <f>IF(CM192&gt;0,0,MAX(CM188-CM189-CM190,0)*Premissas!$B$7)</f>
        <v>0</v>
      </c>
      <c r="CN197" s="164">
        <f>IF(CN192&gt;0,0,MAX(CN188-CN189-CN190,0)*Premissas!$B$7)</f>
        <v>0</v>
      </c>
      <c r="CO197" s="164">
        <f>IF(CO192&gt;0,0,MAX(CO188-CO189-CO190,0)*Premissas!$B$7)</f>
        <v>0</v>
      </c>
      <c r="CP197" s="164">
        <f>IF(CP192&gt;0,0,MAX(CP188-CP189-CP190,0)*Premissas!$B$7)</f>
        <v>0</v>
      </c>
      <c r="CQ197" s="164">
        <f>IF(CQ192&gt;0,0,MAX(CQ188-CQ189-CQ190,0)*Premissas!$B$7)</f>
        <v>0</v>
      </c>
      <c r="CR197" s="164">
        <f>IF(CR192&gt;0,0,MAX(CR188-CR189-CR190,0)*Premissas!$B$7)</f>
        <v>0</v>
      </c>
      <c r="CS197" s="164">
        <f>IF(CS192&gt;0,0,MAX(CS188-CS189-CS190,0)*Premissas!$B$7)</f>
        <v>0</v>
      </c>
      <c r="CT197" s="164">
        <f>IF(CT192&gt;0,0,MAX(CT188-CT189-CT190,0)*Premissas!$B$7)</f>
        <v>0</v>
      </c>
      <c r="CU197" s="164">
        <f>IF(CU192&gt;0,0,MAX(CU188-CU189-CU190,0)*Premissas!$B$7)</f>
        <v>0</v>
      </c>
      <c r="CV197" s="164">
        <f>IF(CV192&gt;0,0,MAX(CV188-CV189-CV190,0)*Premissas!$B$7)</f>
        <v>0</v>
      </c>
      <c r="CW197" s="164">
        <f>IF(CW192&gt;0,0,MAX(CW188-CW189-CW190,0)*Premissas!$B$7)</f>
        <v>0</v>
      </c>
      <c r="CX197" s="164">
        <f>IF(CX192&gt;0,0,MAX(CX188-CX189-CX190,0)*Premissas!$B$7)</f>
        <v>0</v>
      </c>
      <c r="CY197" s="164">
        <f>IF(CY192&gt;0,0,MAX(CY188-CY189-CY190,0)*Premissas!$B$7)</f>
        <v>0</v>
      </c>
      <c r="CZ197" s="164">
        <f>IF(CZ192&gt;0,0,MAX(CZ188-CZ189-CZ190,0)*Premissas!$B$7)</f>
        <v>0</v>
      </c>
      <c r="DA197" s="164">
        <f>IF(DA192&gt;0,0,MAX(DA188-DA189-DA190,0)*Premissas!$B$7)</f>
        <v>0</v>
      </c>
      <c r="DB197" s="164">
        <f>IF(DB192&gt;0,0,MAX(DB188-DB189-DB190,0)*Premissas!$B$7)</f>
        <v>0</v>
      </c>
      <c r="DC197" s="164">
        <f>IF(DC192&gt;0,0,MAX(DC188-DC189-DC190,0)*Premissas!$B$7)</f>
        <v>0</v>
      </c>
      <c r="DD197" s="164">
        <f>IF(DD192&gt;0,0,MAX(DD188-DD189-DD190,0)*Premissas!$B$7)</f>
        <v>0</v>
      </c>
      <c r="DE197" s="164">
        <f>IF(DE192&gt;0,0,MAX(DE188-DE189-DE190,0)*Premissas!$B$7)</f>
        <v>0</v>
      </c>
      <c r="DF197" s="164">
        <f>IF(DF192&gt;0,0,MAX(DF188-DF189-DF190,0)*Premissas!$B$7)</f>
        <v>0</v>
      </c>
      <c r="DG197" s="164">
        <f>IF(DG192&gt;0,0,MAX(DG188-DG189-DG190,0)*Premissas!$B$7)</f>
        <v>0</v>
      </c>
      <c r="DH197" s="164">
        <f>IF(DH192&gt;0,0,MAX(DH188-DH189-DH190,0)*Premissas!$B$7)</f>
        <v>0</v>
      </c>
      <c r="DI197" s="164">
        <f>IF(DI192&gt;0,0,MAX(DI188-DI189-DI190,0)*Premissas!$B$7)</f>
        <v>0</v>
      </c>
      <c r="DJ197" s="164">
        <f>IF(DJ192&gt;0,0,MAX(DJ188-DJ189-DJ190,0)*Premissas!$B$7)</f>
        <v>0</v>
      </c>
      <c r="DK197" s="164">
        <f>IF(DK192&gt;0,0,MAX(DK188-DK189-DK190,0)*Premissas!$B$7)</f>
        <v>0</v>
      </c>
      <c r="DL197" s="164">
        <f>IF(DL192&gt;0,0,MAX(DL188-DL189-DL190,0)*Premissas!$B$7)</f>
        <v>6766.5729152312751</v>
      </c>
      <c r="DM197" s="164">
        <f>IF(DM192&gt;0,0,MAX(DM188-DM189-DM190,0)*Premissas!$B$7)</f>
        <v>5845.6320196038587</v>
      </c>
      <c r="DN197" s="164">
        <f>IF(DN192&gt;0,0,MAX(DN188-DN189-DN190,0)*Premissas!$B$7)</f>
        <v>7046.4564875137748</v>
      </c>
      <c r="DO197" s="164">
        <f>IF(DO192&gt;0,0,MAX(DO188-DO189-DO190,0)*Premissas!$B$7)</f>
        <v>0</v>
      </c>
      <c r="DP197" s="164">
        <f>IF(DP192&gt;0,0,MAX(DP188-DP189-DP190,0)*Premissas!$B$7)</f>
        <v>1295.6872871475007</v>
      </c>
      <c r="DQ197" s="164">
        <f>IF(DQ192&gt;0,0,MAX(DQ188-DQ189-DQ190,0)*Premissas!$B$7)</f>
        <v>1995.5897949369989</v>
      </c>
      <c r="DR197" s="164">
        <f>IF(DR192&gt;0,0,MAX(DR188-DR189-DR190,0)*Premissas!$B$7)</f>
        <v>1639.2757909714362</v>
      </c>
      <c r="DS197" s="164">
        <f>IF(DS192&gt;0,0,MAX(DS188-DS189-DS190,0)*Premissas!$B$7)</f>
        <v>1232.0597864393646</v>
      </c>
    </row>
    <row r="198" spans="1:123" ht="13.5" customHeight="1" x14ac:dyDescent="0.35">
      <c r="A198" s="39" t="s">
        <v>499</v>
      </c>
      <c r="B198" s="42">
        <f>SUM(D198:BQ198)</f>
        <v>117845.98146073849</v>
      </c>
      <c r="C198" s="144">
        <f>B198/60</f>
        <v>1964.0996910123081</v>
      </c>
      <c r="D198" s="165">
        <f t="shared" ref="D198:AI198" si="378">MAX(D196-D197,0)</f>
        <v>1607.5777269822922</v>
      </c>
      <c r="E198" s="165">
        <f t="shared" si="378"/>
        <v>1197.5852496920472</v>
      </c>
      <c r="F198" s="165">
        <f t="shared" si="378"/>
        <v>2275.7821707826461</v>
      </c>
      <c r="G198" s="165">
        <f t="shared" si="378"/>
        <v>6695.9268017944069</v>
      </c>
      <c r="H198" s="165">
        <f t="shared" si="378"/>
        <v>5033.7451105680411</v>
      </c>
      <c r="I198" s="165">
        <f t="shared" si="378"/>
        <v>3744.5362598562779</v>
      </c>
      <c r="J198" s="165">
        <f t="shared" si="378"/>
        <v>4513.6192138702581</v>
      </c>
      <c r="K198" s="165">
        <f t="shared" si="378"/>
        <v>0</v>
      </c>
      <c r="L198" s="165">
        <f t="shared" si="378"/>
        <v>830.16535469379164</v>
      </c>
      <c r="M198" s="165">
        <f t="shared" si="378"/>
        <v>1278.1029596790706</v>
      </c>
      <c r="N198" s="165">
        <f t="shared" si="378"/>
        <v>1050.4321935088669</v>
      </c>
      <c r="O198" s="165">
        <f t="shared" si="378"/>
        <v>789.44375424058444</v>
      </c>
      <c r="P198" s="165">
        <f t="shared" si="378"/>
        <v>1647.3738365161082</v>
      </c>
      <c r="Q198" s="165">
        <f t="shared" si="378"/>
        <v>1227.2009591125616</v>
      </c>
      <c r="R198" s="165">
        <f t="shared" si="378"/>
        <v>2332.2371168655018</v>
      </c>
      <c r="S198" s="165">
        <f t="shared" si="378"/>
        <v>6863.4406582041902</v>
      </c>
      <c r="T198" s="165">
        <f t="shared" si="378"/>
        <v>5159.6118756052265</v>
      </c>
      <c r="U198" s="165">
        <f t="shared" si="378"/>
        <v>3838.0108427147761</v>
      </c>
      <c r="V198" s="165">
        <f t="shared" si="378"/>
        <v>4626.5291060359696</v>
      </c>
      <c r="W198" s="165">
        <f t="shared" si="378"/>
        <v>0</v>
      </c>
      <c r="X198" s="165">
        <f t="shared" si="378"/>
        <v>830.16535469379164</v>
      </c>
      <c r="Y198" s="165">
        <f t="shared" si="378"/>
        <v>1278.1029596790706</v>
      </c>
      <c r="Z198" s="165">
        <f t="shared" si="378"/>
        <v>1050.4321935088669</v>
      </c>
      <c r="AA198" s="165">
        <f t="shared" si="378"/>
        <v>789.44375424058444</v>
      </c>
      <c r="AB198" s="165">
        <f t="shared" si="378"/>
        <v>1689.0209278887066</v>
      </c>
      <c r="AC198" s="165">
        <f t="shared" si="378"/>
        <v>1258.6676503718581</v>
      </c>
      <c r="AD198" s="165">
        <f t="shared" si="378"/>
        <v>2390.543044787139</v>
      </c>
      <c r="AE198" s="165">
        <f t="shared" si="378"/>
        <v>7034.6564782915393</v>
      </c>
      <c r="AF198" s="165">
        <f t="shared" si="378"/>
        <v>5288.2551134005862</v>
      </c>
      <c r="AG198" s="165">
        <f t="shared" si="378"/>
        <v>3934.2618983314474</v>
      </c>
      <c r="AH198" s="165">
        <f t="shared" si="378"/>
        <v>4742.2154709598535</v>
      </c>
      <c r="AI198" s="165">
        <f t="shared" si="378"/>
        <v>0</v>
      </c>
      <c r="AJ198" s="165">
        <f t="shared" ref="AJ198:BO198" si="379">MAX(AJ196-AJ197,0)</f>
        <v>871.81244606638995</v>
      </c>
      <c r="AK198" s="165">
        <f t="shared" si="379"/>
        <v>1342.8873240364455</v>
      </c>
      <c r="AL198" s="165">
        <f t="shared" si="379"/>
        <v>1103.185175914158</v>
      </c>
      <c r="AM198" s="165">
        <f t="shared" si="379"/>
        <v>829.23986377440065</v>
      </c>
      <c r="AN198" s="165">
        <f t="shared" si="379"/>
        <v>1731.5935101806958</v>
      </c>
      <c r="AO198" s="165">
        <f t="shared" si="379"/>
        <v>1289.2088507117635</v>
      </c>
      <c r="AP198" s="165">
        <f t="shared" si="379"/>
        <v>2070.2716069106268</v>
      </c>
      <c r="AQ198" s="165">
        <f t="shared" si="379"/>
        <v>0</v>
      </c>
      <c r="AR198" s="165">
        <f t="shared" si="379"/>
        <v>0</v>
      </c>
      <c r="AS198" s="165">
        <f t="shared" si="379"/>
        <v>0</v>
      </c>
      <c r="AT198" s="165">
        <f t="shared" si="379"/>
        <v>0</v>
      </c>
      <c r="AU198" s="165">
        <f t="shared" si="379"/>
        <v>0</v>
      </c>
      <c r="AV198" s="165">
        <f t="shared" si="379"/>
        <v>609.38345515578885</v>
      </c>
      <c r="AW198" s="165">
        <f t="shared" si="379"/>
        <v>106.10108598258353</v>
      </c>
      <c r="AX198" s="165">
        <f t="shared" si="379"/>
        <v>166.43024731237062</v>
      </c>
      <c r="AY198" s="165">
        <f t="shared" si="379"/>
        <v>207.73628112000529</v>
      </c>
      <c r="AZ198" s="165">
        <f t="shared" si="379"/>
        <v>0</v>
      </c>
      <c r="BA198" s="165">
        <f t="shared" si="379"/>
        <v>69.159785312696386</v>
      </c>
      <c r="BB198" s="165">
        <f t="shared" si="379"/>
        <v>0</v>
      </c>
      <c r="BC198" s="165">
        <f t="shared" si="379"/>
        <v>0</v>
      </c>
      <c r="BD198" s="165">
        <f t="shared" si="379"/>
        <v>0</v>
      </c>
      <c r="BE198" s="165">
        <f t="shared" si="379"/>
        <v>0</v>
      </c>
      <c r="BF198" s="165">
        <f t="shared" si="379"/>
        <v>0</v>
      </c>
      <c r="BG198" s="165">
        <f t="shared" si="379"/>
        <v>0</v>
      </c>
      <c r="BH198" s="165">
        <f t="shared" si="379"/>
        <v>783.82718755134056</v>
      </c>
      <c r="BI198" s="165">
        <f t="shared" si="379"/>
        <v>194.82321632185904</v>
      </c>
      <c r="BJ198" s="165">
        <f t="shared" si="379"/>
        <v>256.3278284201383</v>
      </c>
      <c r="BK198" s="165">
        <f t="shared" si="379"/>
        <v>293.260864956668</v>
      </c>
      <c r="BL198" s="165">
        <f t="shared" si="379"/>
        <v>1818.5896566034567</v>
      </c>
      <c r="BM198" s="165">
        <f t="shared" si="379"/>
        <v>1354.9187059885296</v>
      </c>
      <c r="BN198" s="165">
        <f t="shared" si="379"/>
        <v>2574.7157377459625</v>
      </c>
      <c r="BO198" s="165">
        <f t="shared" si="379"/>
        <v>7576.0686661353157</v>
      </c>
      <c r="BP198" s="165">
        <f t="shared" ref="BP198:CU198" si="380">MAX(BP196-BP197,0)</f>
        <v>4092.1373605423742</v>
      </c>
      <c r="BQ198" s="165">
        <f t="shared" si="380"/>
        <v>3507.2165671188577</v>
      </c>
      <c r="BR198" s="165">
        <f t="shared" si="380"/>
        <v>3096.2617194243148</v>
      </c>
      <c r="BS198" s="165">
        <f t="shared" si="380"/>
        <v>0</v>
      </c>
      <c r="BT198" s="165">
        <f t="shared" si="380"/>
        <v>939.37328318193818</v>
      </c>
      <c r="BU198" s="165">
        <f t="shared" si="380"/>
        <v>1445.6168160888546</v>
      </c>
      <c r="BV198" s="165">
        <f t="shared" si="380"/>
        <v>1188.3303404981366</v>
      </c>
      <c r="BW198" s="165">
        <f t="shared" si="380"/>
        <v>893.09873721238455</v>
      </c>
      <c r="BX198" s="165">
        <f t="shared" si="380"/>
        <v>1863.9387116536193</v>
      </c>
      <c r="BY198" s="165">
        <f t="shared" si="380"/>
        <v>1389.1618700059992</v>
      </c>
      <c r="BZ198" s="165">
        <f t="shared" si="380"/>
        <v>2639.5001021033377</v>
      </c>
      <c r="CA198" s="165">
        <f t="shared" si="380"/>
        <v>7764.8688136910951</v>
      </c>
      <c r="CB198" s="165">
        <f t="shared" si="380"/>
        <v>5837.9967195188829</v>
      </c>
      <c r="CC198" s="165">
        <f t="shared" si="380"/>
        <v>4342.4033937829099</v>
      </c>
      <c r="CD198" s="165">
        <f t="shared" si="380"/>
        <v>5234.5766400759039</v>
      </c>
      <c r="CE198" s="165">
        <f t="shared" si="380"/>
        <v>0</v>
      </c>
      <c r="CF198" s="165">
        <f t="shared" si="380"/>
        <v>962.51055616671499</v>
      </c>
      <c r="CG198" s="165">
        <f t="shared" si="380"/>
        <v>1482.6364528644974</v>
      </c>
      <c r="CH198" s="165">
        <f t="shared" si="380"/>
        <v>1217.9460499186509</v>
      </c>
      <c r="CI198" s="165">
        <f t="shared" si="380"/>
        <v>915.31051927777025</v>
      </c>
      <c r="CJ198" s="165">
        <f t="shared" si="380"/>
        <v>1911.1387485425639</v>
      </c>
      <c r="CK198" s="165">
        <f t="shared" si="380"/>
        <v>1423.4050340234689</v>
      </c>
      <c r="CL198" s="165">
        <f t="shared" si="380"/>
        <v>2705.2099573801038</v>
      </c>
      <c r="CM198" s="165">
        <f t="shared" si="380"/>
        <v>7959.2219067632195</v>
      </c>
      <c r="CN198" s="165">
        <f t="shared" si="380"/>
        <v>5983.2987938632814</v>
      </c>
      <c r="CO198" s="165">
        <f t="shared" si="380"/>
        <v>4450.6858313516659</v>
      </c>
      <c r="CP198" s="165">
        <f t="shared" si="380"/>
        <v>5365.0708597100447</v>
      </c>
      <c r="CQ198" s="165">
        <f t="shared" si="380"/>
        <v>0</v>
      </c>
      <c r="CR198" s="165">
        <f t="shared" si="380"/>
        <v>986.5733200708828</v>
      </c>
      <c r="CS198" s="165">
        <f t="shared" si="380"/>
        <v>1519.6560896401404</v>
      </c>
      <c r="CT198" s="165">
        <f t="shared" si="380"/>
        <v>1248.4872502585563</v>
      </c>
      <c r="CU198" s="165">
        <f t="shared" si="380"/>
        <v>938.44779226254707</v>
      </c>
      <c r="CV198" s="165">
        <f t="shared" ref="CV198:DS198" si="381">MAX(CV196-CV197,0)</f>
        <v>1958.3387854315085</v>
      </c>
      <c r="CW198" s="165">
        <f t="shared" si="381"/>
        <v>1459.4991798797207</v>
      </c>
      <c r="CX198" s="165">
        <f t="shared" si="381"/>
        <v>2772.7707944956519</v>
      </c>
      <c r="CY198" s="165">
        <f t="shared" si="381"/>
        <v>8158.2024544323003</v>
      </c>
      <c r="CZ198" s="165">
        <f t="shared" si="381"/>
        <v>6133.2283228046344</v>
      </c>
      <c r="DA198" s="165">
        <f t="shared" si="381"/>
        <v>4562.670232597985</v>
      </c>
      <c r="DB198" s="165">
        <f t="shared" si="381"/>
        <v>5499.2670430217504</v>
      </c>
      <c r="DC198" s="165">
        <f t="shared" si="381"/>
        <v>0</v>
      </c>
      <c r="DD198" s="165">
        <f t="shared" si="381"/>
        <v>1011.5615748944418</v>
      </c>
      <c r="DE198" s="165">
        <f t="shared" si="381"/>
        <v>1557.6012173351744</v>
      </c>
      <c r="DF198" s="165">
        <f t="shared" si="381"/>
        <v>1279.9539415178526</v>
      </c>
      <c r="DG198" s="165">
        <f t="shared" si="381"/>
        <v>961.58506524732388</v>
      </c>
      <c r="DH198" s="165">
        <f t="shared" si="381"/>
        <v>2007.3898041592354</v>
      </c>
      <c r="DI198" s="165">
        <f t="shared" si="381"/>
        <v>1495.5933257359725</v>
      </c>
      <c r="DJ198" s="165">
        <f t="shared" si="381"/>
        <v>2842.1826134499825</v>
      </c>
      <c r="DK198" s="165">
        <f t="shared" si="381"/>
        <v>8362.735947617728</v>
      </c>
      <c r="DL198" s="165">
        <f t="shared" si="381"/>
        <v>0</v>
      </c>
      <c r="DM198" s="165">
        <f t="shared" si="381"/>
        <v>0</v>
      </c>
      <c r="DN198" s="165">
        <f t="shared" si="381"/>
        <v>0</v>
      </c>
      <c r="DO198" s="165">
        <f t="shared" si="381"/>
        <v>0</v>
      </c>
      <c r="DP198" s="165">
        <f t="shared" si="381"/>
        <v>0</v>
      </c>
      <c r="DQ198" s="165">
        <f t="shared" si="381"/>
        <v>0</v>
      </c>
      <c r="DR198" s="165">
        <f t="shared" si="381"/>
        <v>0</v>
      </c>
      <c r="DS198" s="165">
        <f t="shared" si="381"/>
        <v>0</v>
      </c>
    </row>
    <row r="200" spans="1:123" ht="15" customHeight="1" x14ac:dyDescent="0.35">
      <c r="A200" s="289" t="s">
        <v>515</v>
      </c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289"/>
      <c r="W200" s="289"/>
      <c r="X200" s="289"/>
      <c r="Y200" s="289"/>
      <c r="Z200" s="289"/>
      <c r="AA200" s="289"/>
    </row>
    <row r="201" spans="1:123" ht="12.75" customHeight="1" x14ac:dyDescent="0.35">
      <c r="A201" s="166" t="s">
        <v>486</v>
      </c>
      <c r="B201" s="167">
        <f>SUM(D201:BQ201)</f>
        <v>655383</v>
      </c>
      <c r="C201" s="139">
        <f>B201/60</f>
        <v>10923.05</v>
      </c>
      <c r="D201" s="167">
        <v>8000</v>
      </c>
      <c r="E201" s="167">
        <v>7600</v>
      </c>
      <c r="F201" s="167">
        <v>8880</v>
      </c>
      <c r="G201" s="167">
        <v>8800</v>
      </c>
      <c r="H201" s="167">
        <v>9480</v>
      </c>
      <c r="I201" s="167">
        <v>8920</v>
      </c>
      <c r="J201" s="167">
        <v>9160</v>
      </c>
      <c r="K201" s="167">
        <v>12054</v>
      </c>
      <c r="L201" s="167">
        <v>11931</v>
      </c>
      <c r="M201" s="167">
        <v>10250</v>
      </c>
      <c r="N201" s="167">
        <v>9635</v>
      </c>
      <c r="O201" s="167">
        <v>9102</v>
      </c>
      <c r="P201" s="167">
        <v>8200</v>
      </c>
      <c r="Q201" s="167">
        <v>7790</v>
      </c>
      <c r="R201" s="167">
        <v>9102</v>
      </c>
      <c r="S201" s="167">
        <v>9020</v>
      </c>
      <c r="T201" s="167">
        <v>9717</v>
      </c>
      <c r="U201" s="167">
        <v>9143</v>
      </c>
      <c r="V201" s="167">
        <v>9389</v>
      </c>
      <c r="W201" s="167">
        <v>12054</v>
      </c>
      <c r="X201" s="167">
        <v>11931</v>
      </c>
      <c r="Y201" s="167">
        <v>10250</v>
      </c>
      <c r="Z201" s="167">
        <v>9635</v>
      </c>
      <c r="AA201" s="167">
        <v>9102</v>
      </c>
      <c r="AB201" s="167">
        <v>8405</v>
      </c>
      <c r="AC201" s="167">
        <v>7985</v>
      </c>
      <c r="AD201" s="167">
        <v>9330</v>
      </c>
      <c r="AE201" s="167">
        <v>9246</v>
      </c>
      <c r="AF201" s="167">
        <v>9960</v>
      </c>
      <c r="AG201" s="167">
        <v>9372</v>
      </c>
      <c r="AH201" s="167">
        <v>9624</v>
      </c>
      <c r="AI201" s="167">
        <v>12664</v>
      </c>
      <c r="AJ201" s="167">
        <v>12535</v>
      </c>
      <c r="AK201" s="167">
        <v>10769</v>
      </c>
      <c r="AL201" s="167">
        <v>10123</v>
      </c>
      <c r="AM201" s="167">
        <v>9563</v>
      </c>
      <c r="AN201" s="167">
        <v>8615</v>
      </c>
      <c r="AO201" s="167">
        <v>8184</v>
      </c>
      <c r="AP201" s="167">
        <v>9563</v>
      </c>
      <c r="AQ201" s="167">
        <v>9477</v>
      </c>
      <c r="AR201" s="167">
        <v>10209</v>
      </c>
      <c r="AS201" s="167">
        <v>9606</v>
      </c>
      <c r="AT201" s="167">
        <v>9864</v>
      </c>
      <c r="AU201" s="167">
        <v>12981</v>
      </c>
      <c r="AV201" s="167">
        <v>12848</v>
      </c>
      <c r="AW201" s="167">
        <v>11038</v>
      </c>
      <c r="AX201" s="167">
        <v>10376</v>
      </c>
      <c r="AY201" s="167">
        <v>9802</v>
      </c>
      <c r="AZ201" s="167">
        <v>8831</v>
      </c>
      <c r="BA201" s="167">
        <v>8389</v>
      </c>
      <c r="BB201" s="167">
        <v>9802</v>
      </c>
      <c r="BC201" s="167">
        <v>9714</v>
      </c>
      <c r="BD201" s="167">
        <v>10464</v>
      </c>
      <c r="BE201" s="167">
        <v>9846</v>
      </c>
      <c r="BF201" s="167">
        <v>10111</v>
      </c>
      <c r="BG201" s="167">
        <v>13305</v>
      </c>
      <c r="BH201" s="167">
        <v>13170</v>
      </c>
      <c r="BI201" s="167">
        <v>11314</v>
      </c>
      <c r="BJ201" s="167">
        <v>10635</v>
      </c>
      <c r="BK201" s="167">
        <v>10047</v>
      </c>
      <c r="BL201" s="167">
        <v>9051</v>
      </c>
      <c r="BM201" s="167">
        <v>8599</v>
      </c>
      <c r="BN201" s="167">
        <v>10047</v>
      </c>
      <c r="BO201" s="167">
        <v>9956</v>
      </c>
      <c r="BP201" s="167">
        <v>10726</v>
      </c>
      <c r="BQ201" s="167">
        <v>10092</v>
      </c>
      <c r="BR201" s="167">
        <v>10364</v>
      </c>
      <c r="BS201" s="167">
        <v>13638</v>
      </c>
      <c r="BT201" s="167">
        <v>13499</v>
      </c>
      <c r="BU201" s="167">
        <v>11597</v>
      </c>
      <c r="BV201" s="167">
        <v>10901</v>
      </c>
      <c r="BW201" s="167">
        <v>10298</v>
      </c>
      <c r="BX201" s="167">
        <v>9278</v>
      </c>
      <c r="BY201" s="167">
        <v>8814</v>
      </c>
      <c r="BZ201" s="167">
        <v>10298</v>
      </c>
      <c r="CA201" s="167">
        <v>10205</v>
      </c>
      <c r="CB201" s="167">
        <v>10994</v>
      </c>
      <c r="CC201" s="167">
        <v>10344</v>
      </c>
      <c r="CD201" s="167">
        <v>10623</v>
      </c>
      <c r="CE201" s="167">
        <v>13979</v>
      </c>
      <c r="CF201" s="167">
        <v>13836</v>
      </c>
      <c r="CG201" s="167">
        <v>11887</v>
      </c>
      <c r="CH201" s="167">
        <v>11174</v>
      </c>
      <c r="CI201" s="167">
        <v>10556</v>
      </c>
      <c r="CJ201" s="167">
        <v>9509</v>
      </c>
      <c r="CK201" s="167">
        <v>9034</v>
      </c>
      <c r="CL201" s="167">
        <v>10556</v>
      </c>
      <c r="CM201" s="167">
        <v>10460</v>
      </c>
      <c r="CN201" s="167">
        <v>11269</v>
      </c>
      <c r="CO201" s="167">
        <v>10603</v>
      </c>
      <c r="CP201" s="167">
        <v>10888</v>
      </c>
      <c r="CQ201" s="167">
        <v>14328</v>
      </c>
      <c r="CR201" s="167">
        <v>14182</v>
      </c>
      <c r="CS201" s="167">
        <v>12184</v>
      </c>
      <c r="CT201" s="167">
        <v>11453</v>
      </c>
      <c r="CU201" s="167">
        <v>10819</v>
      </c>
      <c r="CV201" s="167">
        <v>9747</v>
      </c>
      <c r="CW201" s="167">
        <v>9260</v>
      </c>
      <c r="CX201" s="167">
        <v>10819</v>
      </c>
      <c r="CY201" s="167">
        <v>10722</v>
      </c>
      <c r="CZ201" s="167">
        <v>11550</v>
      </c>
      <c r="DA201" s="167">
        <v>10868</v>
      </c>
      <c r="DB201" s="167">
        <v>11161</v>
      </c>
      <c r="DC201" s="167">
        <v>14687</v>
      </c>
      <c r="DD201" s="167">
        <v>14537</v>
      </c>
      <c r="DE201" s="167">
        <v>12489</v>
      </c>
      <c r="DF201" s="167">
        <v>11739</v>
      </c>
      <c r="DG201" s="167">
        <v>11090</v>
      </c>
      <c r="DH201" s="167">
        <v>9991</v>
      </c>
      <c r="DI201" s="167">
        <v>9491</v>
      </c>
      <c r="DJ201" s="167">
        <v>11090</v>
      </c>
      <c r="DK201" s="167">
        <v>10990</v>
      </c>
      <c r="DL201" s="167">
        <v>11839</v>
      </c>
      <c r="DM201" s="167">
        <v>11140</v>
      </c>
      <c r="DN201" s="167">
        <v>11440</v>
      </c>
      <c r="DO201" s="167">
        <v>15054</v>
      </c>
      <c r="DP201" s="167">
        <v>14900</v>
      </c>
      <c r="DQ201" s="167">
        <v>12801</v>
      </c>
      <c r="DR201" s="167">
        <v>12033</v>
      </c>
      <c r="DS201" s="167">
        <v>11367</v>
      </c>
    </row>
    <row r="202" spans="1:123" ht="12.75" customHeight="1" x14ac:dyDescent="0.35">
      <c r="A202" s="142" t="str">
        <f>"  "&amp;INDEX(PVSYST_Helexia!$A$5:$A$7,MATCH(Premissas!$B$13,PVSYST_Helexia!$B$5:$B$7,0))&amp;" créditos recebidos (kWh)"</f>
        <v xml:space="preserve">  HCS03 créditos recebidos (kWh)</v>
      </c>
      <c r="B202" s="155">
        <f>SUM(D202:BQ202)</f>
        <v>650654.56601933157</v>
      </c>
      <c r="C202" s="139">
        <f>B202/60</f>
        <v>10844.24276698886</v>
      </c>
      <c r="D202" s="156">
        <f>D6*Premissas!$B$47</f>
        <v>6943.4400000000005</v>
      </c>
      <c r="E202" s="156">
        <f>E6*Premissas!$B$47</f>
        <v>7308.5599999999995</v>
      </c>
      <c r="F202" s="156">
        <f>F6*Premissas!$B$47</f>
        <v>8773.52</v>
      </c>
      <c r="G202" s="156">
        <f>G6*Premissas!$B$47</f>
        <v>8232.56</v>
      </c>
      <c r="H202" s="156">
        <f>H6*Premissas!$C$47</f>
        <v>15002.244000000001</v>
      </c>
      <c r="I202" s="156">
        <f>I6*Premissas!$C$47</f>
        <v>14505.744000000001</v>
      </c>
      <c r="J202" s="156">
        <f>J6*Premissas!$C$47</f>
        <v>13773.903</v>
      </c>
      <c r="K202" s="156">
        <f>K6*Premissas!$C$47</f>
        <v>14142.732989999999</v>
      </c>
      <c r="L202" s="156">
        <f>L6*Premissas!$C$47</f>
        <v>12602.386425000001</v>
      </c>
      <c r="M202" s="156">
        <f>M6*Premissas!$C$47</f>
        <v>14454.95205</v>
      </c>
      <c r="N202" s="156">
        <f>N6*Premissas!$D$47</f>
        <v>11968.608240000001</v>
      </c>
      <c r="O202" s="156">
        <f>O6*Premissas!$D$47</f>
        <v>11201.200559999999</v>
      </c>
      <c r="P202" s="156">
        <f>P6*Premissas!$D$47</f>
        <v>10165.69212</v>
      </c>
      <c r="Q202" s="156">
        <f>Q6*Premissas!$D$47</f>
        <v>10700.253879999998</v>
      </c>
      <c r="R202" s="156">
        <f>R6*Premissas!$D$47</f>
        <v>12845.059960000001</v>
      </c>
      <c r="S202" s="156">
        <f>S6*Premissas!$D$47</f>
        <v>12053.055880000002</v>
      </c>
      <c r="T202" s="156">
        <f>T6*Premissas!$E$47</f>
        <v>15378.20658</v>
      </c>
      <c r="U202" s="156">
        <f>U6*Premissas!$E$47</f>
        <v>14869.264080000001</v>
      </c>
      <c r="V202" s="156">
        <f>V6*Premissas!$E$47</f>
        <v>14119.082835000001</v>
      </c>
      <c r="W202" s="156">
        <f>W6*Premissas!$E$47</f>
        <v>14570.005889999999</v>
      </c>
      <c r="X202" s="156">
        <f>X6*Premissas!$E$47</f>
        <v>12983.123175000001</v>
      </c>
      <c r="Y202" s="156">
        <f>Y6*Premissas!$E$47</f>
        <v>14891.65755</v>
      </c>
      <c r="Z202" s="156">
        <f>Z6*Premissas!$E$47</f>
        <v>14859.085230000001</v>
      </c>
      <c r="AA202" s="156">
        <f>AA6*Premissas!$E$47</f>
        <v>13906.344869999999</v>
      </c>
      <c r="AB202" s="156">
        <f>AB6*Premissas!$F$47</f>
        <v>6334.0651071000002</v>
      </c>
      <c r="AC202" s="156">
        <f>AC6*Premissas!$F$47</f>
        <v>6667.1411978999995</v>
      </c>
      <c r="AD202" s="156">
        <f>AD6*Premissas!$F$47</f>
        <v>8003.5323843000015</v>
      </c>
      <c r="AE202" s="156">
        <f>AE6*Premissas!$F$47</f>
        <v>7510.0484828999997</v>
      </c>
      <c r="AF202" s="156">
        <f>AF6*Premissas!$F$47</f>
        <v>7717.9656132000009</v>
      </c>
      <c r="AG202" s="156">
        <f>AG6*Premissas!$F$47</f>
        <v>7462.539163200001</v>
      </c>
      <c r="AH202" s="156">
        <f>AH6*Premissas!$G$47</f>
        <v>7292.0301275250004</v>
      </c>
      <c r="AI202" s="156">
        <f>AI6*Premissas!$G$47</f>
        <v>7524.9166783500004</v>
      </c>
      <c r="AJ202" s="156">
        <f>AJ6*Premissas!$G$47</f>
        <v>6705.3452726249998</v>
      </c>
      <c r="AK202" s="156">
        <f>AK6*Premissas!$G$47</f>
        <v>7691.0389132500004</v>
      </c>
      <c r="AL202" s="156">
        <f>AL6*Premissas!$G$47</f>
        <v>7674.2164084500009</v>
      </c>
      <c r="AM202" s="156">
        <f>AM6*Premissas!$G$47</f>
        <v>7182.1581430500009</v>
      </c>
      <c r="AN202" s="156">
        <f>AN6*Premissas!$H$47</f>
        <v>6351.2505550650003</v>
      </c>
      <c r="AO202" s="156">
        <f>AO6*Premissas!$H$47</f>
        <v>6685.2303406849987</v>
      </c>
      <c r="AP202" s="156">
        <f>AP6*Premissas!$H$47</f>
        <v>8025.247394645</v>
      </c>
      <c r="AQ202" s="156">
        <f>AQ6*Premissas!$H$47</f>
        <v>7530.4245834350004</v>
      </c>
      <c r="AR202" s="156">
        <f>AR6*Premissas!$H$47</f>
        <v>7738.905829979999</v>
      </c>
      <c r="AS202" s="156">
        <f>AS6*Premissas!$H$47</f>
        <v>7482.7863624800002</v>
      </c>
      <c r="AT202" s="156">
        <f>AT6*Premissas!$I$47</f>
        <v>7310.2258712518751</v>
      </c>
      <c r="AU202" s="156">
        <f>AU6*Premissas!$I$47</f>
        <v>7543.6935420012496</v>
      </c>
      <c r="AV202" s="156">
        <f>AV6*Premissas!$I$47</f>
        <v>6722.077066384375</v>
      </c>
      <c r="AW202" s="156">
        <f>AW6*Premissas!$I$47</f>
        <v>7710.2303003687502</v>
      </c>
      <c r="AX202" s="156">
        <f>AX6*Premissas!$I$47</f>
        <v>7693.3658185087506</v>
      </c>
      <c r="AY202" s="156">
        <f>AY6*Premissas!$I$47</f>
        <v>7200.079724103749</v>
      </c>
      <c r="AZ202" s="156">
        <f>AZ6*Premissas!$J$47</f>
        <v>5493.0988935287178</v>
      </c>
      <c r="BA202" s="156">
        <f>BA6*Premissas!$J$47</f>
        <v>5781.952871960907</v>
      </c>
      <c r="BB202" s="156">
        <f>BB6*Premissas!$J$47</f>
        <v>6940.9130062839276</v>
      </c>
      <c r="BC202" s="156">
        <f>BC6*Premissas!$J$47</f>
        <v>6512.9483695270328</v>
      </c>
      <c r="BD202" s="156">
        <f>BD6*Premissas!$J$47</f>
        <v>6693.2605922600096</v>
      </c>
      <c r="BE202" s="156">
        <f>BE6*Premissas!$J$47</f>
        <v>6471.7468051187598</v>
      </c>
      <c r="BF202" s="156">
        <f>BF6*Premissas!$K$47</f>
        <v>9503.3619524953956</v>
      </c>
      <c r="BG202" s="156">
        <f>BG6*Premissas!$K$47</f>
        <v>9806.8721064104284</v>
      </c>
      <c r="BH202" s="156">
        <f>BH6*Premissas!$K$47</f>
        <v>8738.7630094498418</v>
      </c>
      <c r="BI202" s="156">
        <f>BI6*Premissas!$K$47</f>
        <v>10023.371448706483</v>
      </c>
      <c r="BJ202" s="156">
        <f>BJ6*Premissas!$K$47</f>
        <v>10001.447464676503</v>
      </c>
      <c r="BK202" s="156">
        <f>BK6*Premissas!$K$47</f>
        <v>9360.1709317995883</v>
      </c>
      <c r="BL202" s="156">
        <f>BL6*Premissas!$L$47</f>
        <v>11497.851043379638</v>
      </c>
      <c r="BM202" s="156">
        <f>BM6*Premissas!$L$47</f>
        <v>12102.464228336774</v>
      </c>
      <c r="BN202" s="156">
        <f>BN6*Premissas!$L$47</f>
        <v>14528.335534851907</v>
      </c>
      <c r="BO202" s="156">
        <f>BO6*Premissas!$L$47</f>
        <v>13632.54360744609</v>
      </c>
      <c r="BP202" s="156">
        <f>BP6*Premissas!$L$47</f>
        <v>14009.963187626387</v>
      </c>
      <c r="BQ202" s="156">
        <f>BQ6*Premissas!$L$47</f>
        <v>13546.302769714473</v>
      </c>
      <c r="BR202" s="156">
        <f>BR6*Premissas!$M$47</f>
        <v>12659.577465283919</v>
      </c>
      <c r="BS202" s="156">
        <f>BS6*Premissas!$M$47</f>
        <v>13063.888100214406</v>
      </c>
      <c r="BT202" s="156">
        <f>BT6*Premissas!$M$47</f>
        <v>11641.043224691544</v>
      </c>
      <c r="BU202" s="156">
        <f>BU6*Premissas!$M$47</f>
        <v>13352.290268697552</v>
      </c>
      <c r="BV202" s="156">
        <f>BV6*Premissas!$M$47</f>
        <v>13323.084985813184</v>
      </c>
      <c r="BW202" s="156">
        <f>BW6*Premissas!$M$47</f>
        <v>12468.830461445383</v>
      </c>
      <c r="BX202" s="156">
        <f>BX6*Premissas!$N$47</f>
        <v>11394.846060966049</v>
      </c>
      <c r="BY202" s="156">
        <f>BY6*Premissas!$N$47</f>
        <v>11994.042740678111</v>
      </c>
      <c r="BZ202" s="156">
        <f>BZ6*Premissas!$N$47</f>
        <v>14398.181566025896</v>
      </c>
      <c r="CA202" s="156">
        <f>CA6*Premissas!$N$47</f>
        <v>13510.414706207104</v>
      </c>
      <c r="CB202" s="156">
        <f>CB6*Premissas!$N$47</f>
        <v>13884.453124370924</v>
      </c>
      <c r="CC202" s="156">
        <f>CC6*Premissas!$N$47</f>
        <v>13424.946468150016</v>
      </c>
      <c r="CD202" s="156">
        <f>CD6*Premissas!$O$47</f>
        <v>12546.791059635463</v>
      </c>
      <c r="CE202" s="156">
        <f>CE6*Premissas!$O$47</f>
        <v>12947.499619899214</v>
      </c>
      <c r="CF202" s="156">
        <f>CF6*Premissas!$O$47</f>
        <v>11537.331120009394</v>
      </c>
      <c r="CG202" s="156">
        <f>CG6*Premissas!$O$47</f>
        <v>13233.332362660718</v>
      </c>
      <c r="CH202" s="156">
        <f>CH6*Premissas!$O$47</f>
        <v>13204.387274786135</v>
      </c>
      <c r="CI202" s="156">
        <f>CI6*Premissas!$O$47</f>
        <v>12357.743454454596</v>
      </c>
      <c r="CJ202" s="156">
        <f>CJ6*Premissas!$P$47</f>
        <v>11292.892546555406</v>
      </c>
      <c r="CK202" s="156">
        <f>CK6*Premissas!$P$47</f>
        <v>11886.728012347332</v>
      </c>
      <c r="CL202" s="156">
        <f>CL6*Premissas!$P$47</f>
        <v>14269.356200248691</v>
      </c>
      <c r="CM202" s="156">
        <f>CM6*Premissas!$P$47</f>
        <v>13389.532488661263</v>
      </c>
      <c r="CN202" s="156">
        <f>CN6*Premissas!$P$47</f>
        <v>13760.224259485367</v>
      </c>
      <c r="CO202" s="156">
        <f>CO6*Premissas!$P$47</f>
        <v>13304.828963632659</v>
      </c>
      <c r="CP202" s="156">
        <f>CP6*Premissas!$Q$47</f>
        <v>12435.160221944978</v>
      </c>
      <c r="CQ202" s="156">
        <f>CQ6*Premissas!$Q$47</f>
        <v>12832.303613071907</v>
      </c>
      <c r="CR202" s="156">
        <f>CR6*Premissas!$Q$47</f>
        <v>11434.681611340799</v>
      </c>
      <c r="CS202" s="156">
        <f>CS6*Premissas!$Q$47</f>
        <v>13115.593255501048</v>
      </c>
      <c r="CT202" s="156">
        <f>CT6*Premissas!$Q$47</f>
        <v>13086.905696774047</v>
      </c>
      <c r="CU202" s="156">
        <f>CU6*Premissas!$Q$47</f>
        <v>12247.794604009248</v>
      </c>
      <c r="CV202" s="156">
        <f>CV6*Premissas!$R$47</f>
        <v>11191.991736739707</v>
      </c>
      <c r="CW202" s="156">
        <f>CW6*Premissas!$R$47</f>
        <v>11780.521344962488</v>
      </c>
      <c r="CX202" s="156">
        <f>CX6*Premissas!$R$47</f>
        <v>14141.861000040404</v>
      </c>
      <c r="CY202" s="156">
        <f>CY6*Premissas!$R$47</f>
        <v>13269.898420986405</v>
      </c>
      <c r="CZ202" s="156">
        <f>CZ6*Premissas!$R$47</f>
        <v>13637.278099738969</v>
      </c>
      <c r="DA202" s="156">
        <f>DA6*Premissas!$R$47</f>
        <v>13185.951713065057</v>
      </c>
      <c r="DB202" s="156">
        <f>DB6*Premissas!$S$47</f>
        <v>0</v>
      </c>
      <c r="DC202" s="156">
        <f>DC6*Premissas!$S$47</f>
        <v>0</v>
      </c>
      <c r="DD202" s="156">
        <f>DD6*Premissas!$S$47</f>
        <v>0</v>
      </c>
      <c r="DE202" s="156">
        <f>DE6*Premissas!$S$47</f>
        <v>0</v>
      </c>
      <c r="DF202" s="156">
        <f>DF6*Premissas!$S$47</f>
        <v>0</v>
      </c>
      <c r="DG202" s="156">
        <f>DG6*Premissas!$S$47</f>
        <v>0</v>
      </c>
      <c r="DH202" s="156">
        <f>DH6*Premissas!$T$47</f>
        <v>0</v>
      </c>
      <c r="DI202" s="156">
        <f>DI6*Premissas!$T$47</f>
        <v>0</v>
      </c>
      <c r="DJ202" s="156">
        <f>DJ6*Premissas!$T$47</f>
        <v>0</v>
      </c>
      <c r="DK202" s="156">
        <f>DK6*Premissas!$T$47</f>
        <v>0</v>
      </c>
      <c r="DL202" s="156">
        <f>DL6*Premissas!$T$47</f>
        <v>0</v>
      </c>
      <c r="DM202" s="156">
        <f>DM6*Premissas!$T$47</f>
        <v>0</v>
      </c>
      <c r="DN202" s="156">
        <f>DN6*Premissas!$U$47</f>
        <v>0</v>
      </c>
      <c r="DO202" s="156">
        <f>DO6*Premissas!$U$47</f>
        <v>0</v>
      </c>
      <c r="DP202" s="156">
        <f>DP6*Premissas!$U$47</f>
        <v>0</v>
      </c>
      <c r="DQ202" s="156">
        <f>DQ6*Premissas!$U$47</f>
        <v>0</v>
      </c>
      <c r="DR202" s="156">
        <f>DR6*Premissas!$U$47</f>
        <v>0</v>
      </c>
      <c r="DS202" s="156">
        <f>DS6*Premissas!$U$47</f>
        <v>0</v>
      </c>
    </row>
    <row r="203" spans="1:123" ht="12.75" customHeight="1" x14ac:dyDescent="0.35">
      <c r="A203" s="146" t="s">
        <v>492</v>
      </c>
      <c r="B203" s="139">
        <f>AA203</f>
        <v>68323.258444999999</v>
      </c>
      <c r="C203" s="139" t="s">
        <v>169</v>
      </c>
      <c r="D203" s="139">
        <f>0</f>
        <v>0</v>
      </c>
      <c r="E203" s="139">
        <f t="shared" ref="E203:AJ203" si="382">D205</f>
        <v>0</v>
      </c>
      <c r="F203" s="139">
        <f t="shared" si="382"/>
        <v>0</v>
      </c>
      <c r="G203" s="139">
        <f t="shared" si="382"/>
        <v>0</v>
      </c>
      <c r="H203" s="139">
        <f t="shared" si="382"/>
        <v>0</v>
      </c>
      <c r="I203" s="139">
        <f t="shared" si="382"/>
        <v>5522.2440000000006</v>
      </c>
      <c r="J203" s="139">
        <f t="shared" si="382"/>
        <v>11107.988000000001</v>
      </c>
      <c r="K203" s="139">
        <f t="shared" si="382"/>
        <v>15721.891000000001</v>
      </c>
      <c r="L203" s="139">
        <f t="shared" si="382"/>
        <v>17810.62399</v>
      </c>
      <c r="M203" s="139">
        <f t="shared" si="382"/>
        <v>18482.010415000001</v>
      </c>
      <c r="N203" s="139">
        <f t="shared" si="382"/>
        <v>22686.962465000001</v>
      </c>
      <c r="O203" s="139">
        <f t="shared" si="382"/>
        <v>25020.570705000002</v>
      </c>
      <c r="P203" s="139">
        <f t="shared" si="382"/>
        <v>27119.771265000003</v>
      </c>
      <c r="Q203" s="139">
        <f t="shared" si="382"/>
        <v>29085.463385000003</v>
      </c>
      <c r="R203" s="139">
        <f t="shared" si="382"/>
        <v>31995.717264999999</v>
      </c>
      <c r="S203" s="139">
        <f t="shared" si="382"/>
        <v>35738.777224999998</v>
      </c>
      <c r="T203" s="139">
        <f t="shared" si="382"/>
        <v>38771.833104999998</v>
      </c>
      <c r="U203" s="139">
        <f t="shared" si="382"/>
        <v>44433.039684999996</v>
      </c>
      <c r="V203" s="139">
        <f t="shared" si="382"/>
        <v>50159.303764999997</v>
      </c>
      <c r="W203" s="139">
        <f t="shared" si="382"/>
        <v>54889.386599999998</v>
      </c>
      <c r="X203" s="139">
        <f t="shared" si="382"/>
        <v>57405.392489999998</v>
      </c>
      <c r="Y203" s="139">
        <f t="shared" si="382"/>
        <v>58457.515664999999</v>
      </c>
      <c r="Z203" s="139">
        <f t="shared" si="382"/>
        <v>63099.173215000003</v>
      </c>
      <c r="AA203" s="139">
        <f t="shared" si="382"/>
        <v>68323.258444999999</v>
      </c>
      <c r="AB203" s="139">
        <f t="shared" si="382"/>
        <v>73127.603315</v>
      </c>
      <c r="AC203" s="139">
        <f t="shared" si="382"/>
        <v>71056.668422100003</v>
      </c>
      <c r="AD203" s="139">
        <f t="shared" si="382"/>
        <v>69738.80962</v>
      </c>
      <c r="AE203" s="139">
        <f t="shared" si="382"/>
        <v>68412.342004300008</v>
      </c>
      <c r="AF203" s="139">
        <f t="shared" si="382"/>
        <v>66676.390487200013</v>
      </c>
      <c r="AG203" s="139">
        <f t="shared" si="382"/>
        <v>64434.356100400015</v>
      </c>
      <c r="AH203" s="139">
        <f t="shared" si="382"/>
        <v>62524.895263600018</v>
      </c>
      <c r="AI203" s="139">
        <f t="shared" si="382"/>
        <v>60192.92539112502</v>
      </c>
      <c r="AJ203" s="139">
        <f t="shared" si="382"/>
        <v>55053.842069475024</v>
      </c>
      <c r="AK203" s="139">
        <f t="shared" ref="AK203:BP203" si="383">AJ205</f>
        <v>49224.18734210002</v>
      </c>
      <c r="AL203" s="139">
        <f t="shared" si="383"/>
        <v>46146.226255350019</v>
      </c>
      <c r="AM203" s="139">
        <f t="shared" si="383"/>
        <v>43697.442663800022</v>
      </c>
      <c r="AN203" s="139">
        <f t="shared" si="383"/>
        <v>41316.600806850023</v>
      </c>
      <c r="AO203" s="139">
        <f t="shared" si="383"/>
        <v>39052.851361915025</v>
      </c>
      <c r="AP203" s="139">
        <f t="shared" si="383"/>
        <v>37554.081702600022</v>
      </c>
      <c r="AQ203" s="139">
        <f t="shared" si="383"/>
        <v>36016.32909724502</v>
      </c>
      <c r="AR203" s="139">
        <f t="shared" si="383"/>
        <v>34069.75368068002</v>
      </c>
      <c r="AS203" s="139">
        <f t="shared" si="383"/>
        <v>31599.659510660018</v>
      </c>
      <c r="AT203" s="139">
        <f t="shared" si="383"/>
        <v>29476.445873140019</v>
      </c>
      <c r="AU203" s="139">
        <f t="shared" si="383"/>
        <v>26922.671744391893</v>
      </c>
      <c r="AV203" s="139">
        <f t="shared" si="383"/>
        <v>21485.365286393142</v>
      </c>
      <c r="AW203" s="139">
        <f t="shared" si="383"/>
        <v>15359.442352777518</v>
      </c>
      <c r="AX203" s="139">
        <f t="shared" si="383"/>
        <v>12031.672653146268</v>
      </c>
      <c r="AY203" s="139">
        <f t="shared" si="383"/>
        <v>9349.0384716550179</v>
      </c>
      <c r="AZ203" s="139">
        <f t="shared" si="383"/>
        <v>6747.1181957587669</v>
      </c>
      <c r="BA203" s="139">
        <f t="shared" si="383"/>
        <v>3409.2170892874847</v>
      </c>
      <c r="BB203" s="139">
        <f t="shared" si="383"/>
        <v>802.1699612483917</v>
      </c>
      <c r="BC203" s="139">
        <f t="shared" si="383"/>
        <v>0</v>
      </c>
      <c r="BD203" s="139">
        <f t="shared" si="383"/>
        <v>0</v>
      </c>
      <c r="BE203" s="139">
        <f t="shared" si="383"/>
        <v>0</v>
      </c>
      <c r="BF203" s="139">
        <f t="shared" si="383"/>
        <v>0</v>
      </c>
      <c r="BG203" s="139">
        <f t="shared" si="383"/>
        <v>0</v>
      </c>
      <c r="BH203" s="139">
        <f t="shared" si="383"/>
        <v>0</v>
      </c>
      <c r="BI203" s="139">
        <f t="shared" si="383"/>
        <v>0</v>
      </c>
      <c r="BJ203" s="139">
        <f t="shared" si="383"/>
        <v>0</v>
      </c>
      <c r="BK203" s="139">
        <f t="shared" si="383"/>
        <v>0</v>
      </c>
      <c r="BL203" s="139">
        <f t="shared" si="383"/>
        <v>0</v>
      </c>
      <c r="BM203" s="139">
        <f t="shared" si="383"/>
        <v>2446.8510433796382</v>
      </c>
      <c r="BN203" s="139">
        <f t="shared" si="383"/>
        <v>5950.3152717164121</v>
      </c>
      <c r="BO203" s="139">
        <f t="shared" si="383"/>
        <v>10431.650806568319</v>
      </c>
      <c r="BP203" s="139">
        <f t="shared" si="383"/>
        <v>14108.19441401441</v>
      </c>
      <c r="BQ203" s="139">
        <f t="shared" ref="BQ203:CV203" si="384">BP205</f>
        <v>17392.157601640796</v>
      </c>
      <c r="BR203" s="139">
        <f t="shared" si="384"/>
        <v>20846.460371355271</v>
      </c>
      <c r="BS203" s="139">
        <f t="shared" si="384"/>
        <v>23142.037836639189</v>
      </c>
      <c r="BT203" s="139">
        <f t="shared" si="384"/>
        <v>22567.925936853593</v>
      </c>
      <c r="BU203" s="139">
        <f t="shared" si="384"/>
        <v>20709.969161545137</v>
      </c>
      <c r="BV203" s="139">
        <f t="shared" si="384"/>
        <v>22465.259430242688</v>
      </c>
      <c r="BW203" s="139">
        <f t="shared" si="384"/>
        <v>24887.344416055872</v>
      </c>
      <c r="BX203" s="139">
        <f t="shared" si="384"/>
        <v>27058.174877501253</v>
      </c>
      <c r="BY203" s="139">
        <f t="shared" si="384"/>
        <v>29175.0209384673</v>
      </c>
      <c r="BZ203" s="139">
        <f t="shared" si="384"/>
        <v>32355.063679145409</v>
      </c>
      <c r="CA203" s="139">
        <f t="shared" si="384"/>
        <v>36455.245245171303</v>
      </c>
      <c r="CB203" s="139">
        <f t="shared" si="384"/>
        <v>39760.659951378409</v>
      </c>
      <c r="CC203" s="139">
        <f t="shared" si="384"/>
        <v>42651.113075749337</v>
      </c>
      <c r="CD203" s="139">
        <f t="shared" si="384"/>
        <v>45732.059543899355</v>
      </c>
      <c r="CE203" s="139">
        <f t="shared" si="384"/>
        <v>47655.850603534818</v>
      </c>
      <c r="CF203" s="139">
        <f t="shared" si="384"/>
        <v>46624.350223434034</v>
      </c>
      <c r="CG203" s="139">
        <f t="shared" si="384"/>
        <v>44325.68134344343</v>
      </c>
      <c r="CH203" s="139">
        <f t="shared" si="384"/>
        <v>45672.013706104146</v>
      </c>
      <c r="CI203" s="139">
        <f t="shared" si="384"/>
        <v>47702.400980890277</v>
      </c>
      <c r="CJ203" s="139">
        <f t="shared" si="384"/>
        <v>49504.144435344875</v>
      </c>
      <c r="CK203" s="139">
        <f t="shared" si="384"/>
        <v>51288.036981900281</v>
      </c>
      <c r="CL203" s="139">
        <f t="shared" si="384"/>
        <v>54140.764994247613</v>
      </c>
      <c r="CM203" s="139">
        <f t="shared" si="384"/>
        <v>57854.1211944963</v>
      </c>
      <c r="CN203" s="139">
        <f t="shared" si="384"/>
        <v>60783.653683157565</v>
      </c>
      <c r="CO203" s="139">
        <f t="shared" si="384"/>
        <v>63274.877942642932</v>
      </c>
      <c r="CP203" s="139">
        <f t="shared" si="384"/>
        <v>65976.706906275591</v>
      </c>
      <c r="CQ203" s="139">
        <f t="shared" si="384"/>
        <v>67523.867128220561</v>
      </c>
      <c r="CR203" s="139">
        <f t="shared" si="384"/>
        <v>66028.170741292473</v>
      </c>
      <c r="CS203" s="139">
        <f t="shared" si="384"/>
        <v>63280.852352633272</v>
      </c>
      <c r="CT203" s="139">
        <f t="shared" si="384"/>
        <v>64212.445608134323</v>
      </c>
      <c r="CU203" s="139">
        <f t="shared" si="384"/>
        <v>65846.35130490837</v>
      </c>
      <c r="CV203" s="139">
        <f t="shared" si="384"/>
        <v>67275.145908917621</v>
      </c>
      <c r="CW203" s="139">
        <f t="shared" ref="CW203:DS203" si="385">CV205</f>
        <v>68720.13764565732</v>
      </c>
      <c r="CX203" s="139">
        <f t="shared" si="385"/>
        <v>71240.658990619806</v>
      </c>
      <c r="CY203" s="139">
        <f t="shared" si="385"/>
        <v>74563.519990660207</v>
      </c>
      <c r="CZ203" s="139">
        <f t="shared" si="385"/>
        <v>77111.418411646606</v>
      </c>
      <c r="DA203" s="139">
        <f t="shared" si="385"/>
        <v>79198.696511385569</v>
      </c>
      <c r="DB203" s="139">
        <f t="shared" si="385"/>
        <v>81516.648224450619</v>
      </c>
      <c r="DC203" s="139">
        <f t="shared" si="385"/>
        <v>70355.648224450619</v>
      </c>
      <c r="DD203" s="139">
        <f t="shared" si="385"/>
        <v>55668.648224450619</v>
      </c>
      <c r="DE203" s="139">
        <f t="shared" si="385"/>
        <v>41131.648224450619</v>
      </c>
      <c r="DF203" s="139">
        <f t="shared" si="385"/>
        <v>28642.648224450619</v>
      </c>
      <c r="DG203" s="139">
        <f t="shared" si="385"/>
        <v>16903.648224450619</v>
      </c>
      <c r="DH203" s="139">
        <f t="shared" si="385"/>
        <v>5813.6482244506187</v>
      </c>
      <c r="DI203" s="139">
        <f t="shared" si="385"/>
        <v>0</v>
      </c>
      <c r="DJ203" s="139">
        <f t="shared" si="385"/>
        <v>0</v>
      </c>
      <c r="DK203" s="139">
        <f t="shared" si="385"/>
        <v>0</v>
      </c>
      <c r="DL203" s="139">
        <f t="shared" si="385"/>
        <v>0</v>
      </c>
      <c r="DM203" s="139">
        <f t="shared" si="385"/>
        <v>0</v>
      </c>
      <c r="DN203" s="139">
        <f t="shared" si="385"/>
        <v>0</v>
      </c>
      <c r="DO203" s="139">
        <f t="shared" si="385"/>
        <v>0</v>
      </c>
      <c r="DP203" s="139">
        <f t="shared" si="385"/>
        <v>0</v>
      </c>
      <c r="DQ203" s="139">
        <f t="shared" si="385"/>
        <v>0</v>
      </c>
      <c r="DR203" s="139">
        <f t="shared" si="385"/>
        <v>0</v>
      </c>
      <c r="DS203" s="139">
        <f t="shared" si="385"/>
        <v>0</v>
      </c>
    </row>
    <row r="204" spans="1:123" ht="12.75" customHeight="1" x14ac:dyDescent="0.35">
      <c r="A204" s="146" t="s">
        <v>493</v>
      </c>
      <c r="B204" s="139">
        <f>SUM(D204:BQ204)</f>
        <v>73127.603315000029</v>
      </c>
      <c r="C204" s="139">
        <f>B204/60</f>
        <v>1218.7933885833338</v>
      </c>
      <c r="D204" s="139">
        <f t="shared" ref="D204:AI204" si="386">MIN(D203,MAX(D201-D202,0))</f>
        <v>0</v>
      </c>
      <c r="E204" s="139">
        <f t="shared" si="386"/>
        <v>0</v>
      </c>
      <c r="F204" s="139">
        <f t="shared" si="386"/>
        <v>0</v>
      </c>
      <c r="G204" s="139">
        <f t="shared" si="386"/>
        <v>0</v>
      </c>
      <c r="H204" s="139">
        <f t="shared" si="386"/>
        <v>0</v>
      </c>
      <c r="I204" s="139">
        <f t="shared" si="386"/>
        <v>0</v>
      </c>
      <c r="J204" s="139">
        <f t="shared" si="386"/>
        <v>0</v>
      </c>
      <c r="K204" s="139">
        <f t="shared" si="386"/>
        <v>0</v>
      </c>
      <c r="L204" s="139">
        <f t="shared" si="386"/>
        <v>0</v>
      </c>
      <c r="M204" s="139">
        <f t="shared" si="386"/>
        <v>0</v>
      </c>
      <c r="N204" s="139">
        <f t="shared" si="386"/>
        <v>0</v>
      </c>
      <c r="O204" s="139">
        <f t="shared" si="386"/>
        <v>0</v>
      </c>
      <c r="P204" s="139">
        <f t="shared" si="386"/>
        <v>0</v>
      </c>
      <c r="Q204" s="139">
        <f t="shared" si="386"/>
        <v>0</v>
      </c>
      <c r="R204" s="139">
        <f t="shared" si="386"/>
        <v>0</v>
      </c>
      <c r="S204" s="139">
        <f t="shared" si="386"/>
        <v>0</v>
      </c>
      <c r="T204" s="139">
        <f t="shared" si="386"/>
        <v>0</v>
      </c>
      <c r="U204" s="139">
        <f t="shared" si="386"/>
        <v>0</v>
      </c>
      <c r="V204" s="139">
        <f t="shared" si="386"/>
        <v>0</v>
      </c>
      <c r="W204" s="139">
        <f t="shared" si="386"/>
        <v>0</v>
      </c>
      <c r="X204" s="139">
        <f t="shared" si="386"/>
        <v>0</v>
      </c>
      <c r="Y204" s="139">
        <f t="shared" si="386"/>
        <v>0</v>
      </c>
      <c r="Z204" s="139">
        <f t="shared" si="386"/>
        <v>0</v>
      </c>
      <c r="AA204" s="139">
        <f t="shared" si="386"/>
        <v>0</v>
      </c>
      <c r="AB204" s="139">
        <f t="shared" si="386"/>
        <v>2070.9348928999998</v>
      </c>
      <c r="AC204" s="139">
        <f t="shared" si="386"/>
        <v>1317.8588021000005</v>
      </c>
      <c r="AD204" s="139">
        <f t="shared" si="386"/>
        <v>1326.4676156999985</v>
      </c>
      <c r="AE204" s="139">
        <f t="shared" si="386"/>
        <v>1735.9515171000003</v>
      </c>
      <c r="AF204" s="139">
        <f t="shared" si="386"/>
        <v>2242.0343867999991</v>
      </c>
      <c r="AG204" s="139">
        <f t="shared" si="386"/>
        <v>1909.460836799999</v>
      </c>
      <c r="AH204" s="139">
        <f t="shared" si="386"/>
        <v>2331.9698724749996</v>
      </c>
      <c r="AI204" s="139">
        <f t="shared" si="386"/>
        <v>5139.0833216499996</v>
      </c>
      <c r="AJ204" s="139">
        <f t="shared" ref="AJ204:BO204" si="387">MIN(AJ203,MAX(AJ201-AJ202,0))</f>
        <v>5829.6547273750002</v>
      </c>
      <c r="AK204" s="139">
        <f t="shared" si="387"/>
        <v>3077.9610867499996</v>
      </c>
      <c r="AL204" s="139">
        <f t="shared" si="387"/>
        <v>2448.7835915499991</v>
      </c>
      <c r="AM204" s="139">
        <f t="shared" si="387"/>
        <v>2380.8418569499991</v>
      </c>
      <c r="AN204" s="139">
        <f t="shared" si="387"/>
        <v>2263.7494449349997</v>
      </c>
      <c r="AO204" s="139">
        <f t="shared" si="387"/>
        <v>1498.7696593150013</v>
      </c>
      <c r="AP204" s="139">
        <f t="shared" si="387"/>
        <v>1537.752605355</v>
      </c>
      <c r="AQ204" s="139">
        <f t="shared" si="387"/>
        <v>1946.5754165649996</v>
      </c>
      <c r="AR204" s="139">
        <f t="shared" si="387"/>
        <v>2470.094170020001</v>
      </c>
      <c r="AS204" s="139">
        <f t="shared" si="387"/>
        <v>2123.2136375199998</v>
      </c>
      <c r="AT204" s="139">
        <f t="shared" si="387"/>
        <v>2553.7741287481249</v>
      </c>
      <c r="AU204" s="139">
        <f t="shared" si="387"/>
        <v>5437.3064579987504</v>
      </c>
      <c r="AV204" s="139">
        <f t="shared" si="387"/>
        <v>6125.922933615625</v>
      </c>
      <c r="AW204" s="139">
        <f t="shared" si="387"/>
        <v>3327.7696996312498</v>
      </c>
      <c r="AX204" s="139">
        <f t="shared" si="387"/>
        <v>2682.6341814912494</v>
      </c>
      <c r="AY204" s="139">
        <f t="shared" si="387"/>
        <v>2601.920275896251</v>
      </c>
      <c r="AZ204" s="139">
        <f t="shared" si="387"/>
        <v>3337.9011064712822</v>
      </c>
      <c r="BA204" s="139">
        <f t="shared" si="387"/>
        <v>2607.047128039093</v>
      </c>
      <c r="BB204" s="139">
        <f t="shared" si="387"/>
        <v>802.1699612483917</v>
      </c>
      <c r="BC204" s="139">
        <f t="shared" si="387"/>
        <v>0</v>
      </c>
      <c r="BD204" s="139">
        <f t="shared" si="387"/>
        <v>0</v>
      </c>
      <c r="BE204" s="139">
        <f t="shared" si="387"/>
        <v>0</v>
      </c>
      <c r="BF204" s="139">
        <f t="shared" si="387"/>
        <v>0</v>
      </c>
      <c r="BG204" s="139">
        <f t="shared" si="387"/>
        <v>0</v>
      </c>
      <c r="BH204" s="139">
        <f t="shared" si="387"/>
        <v>0</v>
      </c>
      <c r="BI204" s="139">
        <f t="shared" si="387"/>
        <v>0</v>
      </c>
      <c r="BJ204" s="139">
        <f t="shared" si="387"/>
        <v>0</v>
      </c>
      <c r="BK204" s="139">
        <f t="shared" si="387"/>
        <v>0</v>
      </c>
      <c r="BL204" s="139">
        <f t="shared" si="387"/>
        <v>0</v>
      </c>
      <c r="BM204" s="139">
        <f t="shared" si="387"/>
        <v>0</v>
      </c>
      <c r="BN204" s="139">
        <f t="shared" si="387"/>
        <v>0</v>
      </c>
      <c r="BO204" s="139">
        <f t="shared" si="387"/>
        <v>0</v>
      </c>
      <c r="BP204" s="139">
        <f t="shared" ref="BP204:CU204" si="388">MIN(BP203,MAX(BP201-BP202,0))</f>
        <v>0</v>
      </c>
      <c r="BQ204" s="139">
        <f t="shared" si="388"/>
        <v>0</v>
      </c>
      <c r="BR204" s="139">
        <f t="shared" si="388"/>
        <v>0</v>
      </c>
      <c r="BS204" s="139">
        <f t="shared" si="388"/>
        <v>574.11189978559378</v>
      </c>
      <c r="BT204" s="139">
        <f t="shared" si="388"/>
        <v>1857.9567753084557</v>
      </c>
      <c r="BU204" s="139">
        <f t="shared" si="388"/>
        <v>0</v>
      </c>
      <c r="BV204" s="139">
        <f t="shared" si="388"/>
        <v>0</v>
      </c>
      <c r="BW204" s="139">
        <f t="shared" si="388"/>
        <v>0</v>
      </c>
      <c r="BX204" s="139">
        <f t="shared" si="388"/>
        <v>0</v>
      </c>
      <c r="BY204" s="139">
        <f t="shared" si="388"/>
        <v>0</v>
      </c>
      <c r="BZ204" s="139">
        <f t="shared" si="388"/>
        <v>0</v>
      </c>
      <c r="CA204" s="139">
        <f t="shared" si="388"/>
        <v>0</v>
      </c>
      <c r="CB204" s="139">
        <f t="shared" si="388"/>
        <v>0</v>
      </c>
      <c r="CC204" s="139">
        <f t="shared" si="388"/>
        <v>0</v>
      </c>
      <c r="CD204" s="139">
        <f t="shared" si="388"/>
        <v>0</v>
      </c>
      <c r="CE204" s="139">
        <f t="shared" si="388"/>
        <v>1031.5003801007861</v>
      </c>
      <c r="CF204" s="139">
        <f t="shared" si="388"/>
        <v>2298.668879990606</v>
      </c>
      <c r="CG204" s="139">
        <f t="shared" si="388"/>
        <v>0</v>
      </c>
      <c r="CH204" s="139">
        <f t="shared" si="388"/>
        <v>0</v>
      </c>
      <c r="CI204" s="139">
        <f t="shared" si="388"/>
        <v>0</v>
      </c>
      <c r="CJ204" s="139">
        <f t="shared" si="388"/>
        <v>0</v>
      </c>
      <c r="CK204" s="139">
        <f t="shared" si="388"/>
        <v>0</v>
      </c>
      <c r="CL204" s="139">
        <f t="shared" si="388"/>
        <v>0</v>
      </c>
      <c r="CM204" s="139">
        <f t="shared" si="388"/>
        <v>0</v>
      </c>
      <c r="CN204" s="139">
        <f t="shared" si="388"/>
        <v>0</v>
      </c>
      <c r="CO204" s="139">
        <f t="shared" si="388"/>
        <v>0</v>
      </c>
      <c r="CP204" s="139">
        <f t="shared" si="388"/>
        <v>0</v>
      </c>
      <c r="CQ204" s="139">
        <f t="shared" si="388"/>
        <v>1495.6963869280935</v>
      </c>
      <c r="CR204" s="139">
        <f t="shared" si="388"/>
        <v>2747.3183886592014</v>
      </c>
      <c r="CS204" s="139">
        <f t="shared" si="388"/>
        <v>0</v>
      </c>
      <c r="CT204" s="139">
        <f t="shared" si="388"/>
        <v>0</v>
      </c>
      <c r="CU204" s="139">
        <f t="shared" si="388"/>
        <v>0</v>
      </c>
      <c r="CV204" s="139">
        <f t="shared" ref="CV204:DS204" si="389">MIN(CV203,MAX(CV201-CV202,0))</f>
        <v>0</v>
      </c>
      <c r="CW204" s="139">
        <f t="shared" si="389"/>
        <v>0</v>
      </c>
      <c r="CX204" s="139">
        <f t="shared" si="389"/>
        <v>0</v>
      </c>
      <c r="CY204" s="139">
        <f t="shared" si="389"/>
        <v>0</v>
      </c>
      <c r="CZ204" s="139">
        <f t="shared" si="389"/>
        <v>0</v>
      </c>
      <c r="DA204" s="139">
        <f t="shared" si="389"/>
        <v>0</v>
      </c>
      <c r="DB204" s="139">
        <f t="shared" si="389"/>
        <v>11161</v>
      </c>
      <c r="DC204" s="139">
        <f t="shared" si="389"/>
        <v>14687</v>
      </c>
      <c r="DD204" s="139">
        <f t="shared" si="389"/>
        <v>14537</v>
      </c>
      <c r="DE204" s="139">
        <f t="shared" si="389"/>
        <v>12489</v>
      </c>
      <c r="DF204" s="139">
        <f t="shared" si="389"/>
        <v>11739</v>
      </c>
      <c r="DG204" s="139">
        <f t="shared" si="389"/>
        <v>11090</v>
      </c>
      <c r="DH204" s="139">
        <f t="shared" si="389"/>
        <v>5813.6482244506187</v>
      </c>
      <c r="DI204" s="139">
        <f t="shared" si="389"/>
        <v>0</v>
      </c>
      <c r="DJ204" s="139">
        <f t="shared" si="389"/>
        <v>0</v>
      </c>
      <c r="DK204" s="139">
        <f t="shared" si="389"/>
        <v>0</v>
      </c>
      <c r="DL204" s="139">
        <f t="shared" si="389"/>
        <v>0</v>
      </c>
      <c r="DM204" s="139">
        <f t="shared" si="389"/>
        <v>0</v>
      </c>
      <c r="DN204" s="139">
        <f t="shared" si="389"/>
        <v>0</v>
      </c>
      <c r="DO204" s="139">
        <f t="shared" si="389"/>
        <v>0</v>
      </c>
      <c r="DP204" s="139">
        <f t="shared" si="389"/>
        <v>0</v>
      </c>
      <c r="DQ204" s="139">
        <f t="shared" si="389"/>
        <v>0</v>
      </c>
      <c r="DR204" s="139">
        <f t="shared" si="389"/>
        <v>0</v>
      </c>
      <c r="DS204" s="139">
        <f t="shared" si="389"/>
        <v>0</v>
      </c>
    </row>
    <row r="205" spans="1:123" ht="13.5" customHeight="1" x14ac:dyDescent="0.35">
      <c r="A205" s="39" t="s">
        <v>494</v>
      </c>
      <c r="B205" s="41">
        <f>AA205</f>
        <v>73127.603315</v>
      </c>
      <c r="C205" s="139" t="s">
        <v>169</v>
      </c>
      <c r="D205" s="157">
        <f t="shared" ref="D205:AI205" si="390">MAX(D203-D204,0)+MAX(D202-D201,0)</f>
        <v>0</v>
      </c>
      <c r="E205" s="157">
        <f t="shared" si="390"/>
        <v>0</v>
      </c>
      <c r="F205" s="157">
        <f t="shared" si="390"/>
        <v>0</v>
      </c>
      <c r="G205" s="157">
        <f t="shared" si="390"/>
        <v>0</v>
      </c>
      <c r="H205" s="157">
        <f t="shared" si="390"/>
        <v>5522.2440000000006</v>
      </c>
      <c r="I205" s="157">
        <f t="shared" si="390"/>
        <v>11107.988000000001</v>
      </c>
      <c r="J205" s="157">
        <f t="shared" si="390"/>
        <v>15721.891000000001</v>
      </c>
      <c r="K205" s="157">
        <f t="shared" si="390"/>
        <v>17810.62399</v>
      </c>
      <c r="L205" s="157">
        <f t="shared" si="390"/>
        <v>18482.010415000001</v>
      </c>
      <c r="M205" s="157">
        <f t="shared" si="390"/>
        <v>22686.962465000001</v>
      </c>
      <c r="N205" s="157">
        <f t="shared" si="390"/>
        <v>25020.570705000002</v>
      </c>
      <c r="O205" s="157">
        <f t="shared" si="390"/>
        <v>27119.771265000003</v>
      </c>
      <c r="P205" s="157">
        <f t="shared" si="390"/>
        <v>29085.463385000003</v>
      </c>
      <c r="Q205" s="157">
        <f t="shared" si="390"/>
        <v>31995.717264999999</v>
      </c>
      <c r="R205" s="157">
        <f t="shared" si="390"/>
        <v>35738.777224999998</v>
      </c>
      <c r="S205" s="157">
        <f t="shared" si="390"/>
        <v>38771.833104999998</v>
      </c>
      <c r="T205" s="157">
        <f t="shared" si="390"/>
        <v>44433.039684999996</v>
      </c>
      <c r="U205" s="157">
        <f t="shared" si="390"/>
        <v>50159.303764999997</v>
      </c>
      <c r="V205" s="157">
        <f t="shared" si="390"/>
        <v>54889.386599999998</v>
      </c>
      <c r="W205" s="157">
        <f t="shared" si="390"/>
        <v>57405.392489999998</v>
      </c>
      <c r="X205" s="157">
        <f t="shared" si="390"/>
        <v>58457.515664999999</v>
      </c>
      <c r="Y205" s="157">
        <f t="shared" si="390"/>
        <v>63099.173215000003</v>
      </c>
      <c r="Z205" s="157">
        <f t="shared" si="390"/>
        <v>68323.258444999999</v>
      </c>
      <c r="AA205" s="157">
        <f t="shared" si="390"/>
        <v>73127.603315</v>
      </c>
      <c r="AB205" s="157">
        <f t="shared" si="390"/>
        <v>71056.668422100003</v>
      </c>
      <c r="AC205" s="157">
        <f t="shared" si="390"/>
        <v>69738.80962</v>
      </c>
      <c r="AD205" s="157">
        <f t="shared" si="390"/>
        <v>68412.342004300008</v>
      </c>
      <c r="AE205" s="157">
        <f t="shared" si="390"/>
        <v>66676.390487200013</v>
      </c>
      <c r="AF205" s="157">
        <f t="shared" si="390"/>
        <v>64434.356100400015</v>
      </c>
      <c r="AG205" s="157">
        <f t="shared" si="390"/>
        <v>62524.895263600018</v>
      </c>
      <c r="AH205" s="157">
        <f t="shared" si="390"/>
        <v>60192.92539112502</v>
      </c>
      <c r="AI205" s="157">
        <f t="shared" si="390"/>
        <v>55053.842069475024</v>
      </c>
      <c r="AJ205" s="157">
        <f t="shared" ref="AJ205:BO205" si="391">MAX(AJ203-AJ204,0)+MAX(AJ202-AJ201,0)</f>
        <v>49224.18734210002</v>
      </c>
      <c r="AK205" s="157">
        <f t="shared" si="391"/>
        <v>46146.226255350019</v>
      </c>
      <c r="AL205" s="157">
        <f t="shared" si="391"/>
        <v>43697.442663800022</v>
      </c>
      <c r="AM205" s="157">
        <f t="shared" si="391"/>
        <v>41316.600806850023</v>
      </c>
      <c r="AN205" s="157">
        <f t="shared" si="391"/>
        <v>39052.851361915025</v>
      </c>
      <c r="AO205" s="157">
        <f t="shared" si="391"/>
        <v>37554.081702600022</v>
      </c>
      <c r="AP205" s="157">
        <f t="shared" si="391"/>
        <v>36016.32909724502</v>
      </c>
      <c r="AQ205" s="157">
        <f t="shared" si="391"/>
        <v>34069.75368068002</v>
      </c>
      <c r="AR205" s="157">
        <f t="shared" si="391"/>
        <v>31599.659510660018</v>
      </c>
      <c r="AS205" s="157">
        <f t="shared" si="391"/>
        <v>29476.445873140019</v>
      </c>
      <c r="AT205" s="157">
        <f t="shared" si="391"/>
        <v>26922.671744391893</v>
      </c>
      <c r="AU205" s="157">
        <f t="shared" si="391"/>
        <v>21485.365286393142</v>
      </c>
      <c r="AV205" s="157">
        <f t="shared" si="391"/>
        <v>15359.442352777518</v>
      </c>
      <c r="AW205" s="157">
        <f t="shared" si="391"/>
        <v>12031.672653146268</v>
      </c>
      <c r="AX205" s="157">
        <f t="shared" si="391"/>
        <v>9349.0384716550179</v>
      </c>
      <c r="AY205" s="157">
        <f t="shared" si="391"/>
        <v>6747.1181957587669</v>
      </c>
      <c r="AZ205" s="157">
        <f t="shared" si="391"/>
        <v>3409.2170892874847</v>
      </c>
      <c r="BA205" s="157">
        <f t="shared" si="391"/>
        <v>802.1699612483917</v>
      </c>
      <c r="BB205" s="157">
        <f t="shared" si="391"/>
        <v>0</v>
      </c>
      <c r="BC205" s="157">
        <f t="shared" si="391"/>
        <v>0</v>
      </c>
      <c r="BD205" s="157">
        <f t="shared" si="391"/>
        <v>0</v>
      </c>
      <c r="BE205" s="157">
        <f t="shared" si="391"/>
        <v>0</v>
      </c>
      <c r="BF205" s="157">
        <f t="shared" si="391"/>
        <v>0</v>
      </c>
      <c r="BG205" s="157">
        <f t="shared" si="391"/>
        <v>0</v>
      </c>
      <c r="BH205" s="157">
        <f t="shared" si="391"/>
        <v>0</v>
      </c>
      <c r="BI205" s="157">
        <f t="shared" si="391"/>
        <v>0</v>
      </c>
      <c r="BJ205" s="157">
        <f t="shared" si="391"/>
        <v>0</v>
      </c>
      <c r="BK205" s="157">
        <f t="shared" si="391"/>
        <v>0</v>
      </c>
      <c r="BL205" s="157">
        <f t="shared" si="391"/>
        <v>2446.8510433796382</v>
      </c>
      <c r="BM205" s="157">
        <f t="shared" si="391"/>
        <v>5950.3152717164121</v>
      </c>
      <c r="BN205" s="157">
        <f t="shared" si="391"/>
        <v>10431.650806568319</v>
      </c>
      <c r="BO205" s="157">
        <f t="shared" si="391"/>
        <v>14108.19441401441</v>
      </c>
      <c r="BP205" s="157">
        <f t="shared" ref="BP205:CU205" si="392">MAX(BP203-BP204,0)+MAX(BP202-BP201,0)</f>
        <v>17392.157601640796</v>
      </c>
      <c r="BQ205" s="157">
        <f t="shared" si="392"/>
        <v>20846.460371355271</v>
      </c>
      <c r="BR205" s="157">
        <f t="shared" si="392"/>
        <v>23142.037836639189</v>
      </c>
      <c r="BS205" s="157">
        <f t="shared" si="392"/>
        <v>22567.925936853593</v>
      </c>
      <c r="BT205" s="157">
        <f t="shared" si="392"/>
        <v>20709.969161545137</v>
      </c>
      <c r="BU205" s="157">
        <f t="shared" si="392"/>
        <v>22465.259430242688</v>
      </c>
      <c r="BV205" s="157">
        <f t="shared" si="392"/>
        <v>24887.344416055872</v>
      </c>
      <c r="BW205" s="157">
        <f t="shared" si="392"/>
        <v>27058.174877501253</v>
      </c>
      <c r="BX205" s="157">
        <f t="shared" si="392"/>
        <v>29175.0209384673</v>
      </c>
      <c r="BY205" s="157">
        <f t="shared" si="392"/>
        <v>32355.063679145409</v>
      </c>
      <c r="BZ205" s="157">
        <f t="shared" si="392"/>
        <v>36455.245245171303</v>
      </c>
      <c r="CA205" s="157">
        <f t="shared" si="392"/>
        <v>39760.659951378409</v>
      </c>
      <c r="CB205" s="157">
        <f t="shared" si="392"/>
        <v>42651.113075749337</v>
      </c>
      <c r="CC205" s="157">
        <f t="shared" si="392"/>
        <v>45732.059543899355</v>
      </c>
      <c r="CD205" s="157">
        <f t="shared" si="392"/>
        <v>47655.850603534818</v>
      </c>
      <c r="CE205" s="157">
        <f t="shared" si="392"/>
        <v>46624.350223434034</v>
      </c>
      <c r="CF205" s="157">
        <f t="shared" si="392"/>
        <v>44325.68134344343</v>
      </c>
      <c r="CG205" s="157">
        <f t="shared" si="392"/>
        <v>45672.013706104146</v>
      </c>
      <c r="CH205" s="157">
        <f t="shared" si="392"/>
        <v>47702.400980890277</v>
      </c>
      <c r="CI205" s="157">
        <f t="shared" si="392"/>
        <v>49504.144435344875</v>
      </c>
      <c r="CJ205" s="157">
        <f t="shared" si="392"/>
        <v>51288.036981900281</v>
      </c>
      <c r="CK205" s="157">
        <f t="shared" si="392"/>
        <v>54140.764994247613</v>
      </c>
      <c r="CL205" s="157">
        <f t="shared" si="392"/>
        <v>57854.1211944963</v>
      </c>
      <c r="CM205" s="157">
        <f t="shared" si="392"/>
        <v>60783.653683157565</v>
      </c>
      <c r="CN205" s="157">
        <f t="shared" si="392"/>
        <v>63274.877942642932</v>
      </c>
      <c r="CO205" s="157">
        <f t="shared" si="392"/>
        <v>65976.706906275591</v>
      </c>
      <c r="CP205" s="157">
        <f t="shared" si="392"/>
        <v>67523.867128220561</v>
      </c>
      <c r="CQ205" s="157">
        <f t="shared" si="392"/>
        <v>66028.170741292473</v>
      </c>
      <c r="CR205" s="157">
        <f t="shared" si="392"/>
        <v>63280.852352633272</v>
      </c>
      <c r="CS205" s="157">
        <f t="shared" si="392"/>
        <v>64212.445608134323</v>
      </c>
      <c r="CT205" s="157">
        <f t="shared" si="392"/>
        <v>65846.35130490837</v>
      </c>
      <c r="CU205" s="157">
        <f t="shared" si="392"/>
        <v>67275.145908917621</v>
      </c>
      <c r="CV205" s="157">
        <f t="shared" ref="CV205:DS205" si="393">MAX(CV203-CV204,0)+MAX(CV202-CV201,0)</f>
        <v>68720.13764565732</v>
      </c>
      <c r="CW205" s="157">
        <f t="shared" si="393"/>
        <v>71240.658990619806</v>
      </c>
      <c r="CX205" s="157">
        <f t="shared" si="393"/>
        <v>74563.519990660207</v>
      </c>
      <c r="CY205" s="157">
        <f t="shared" si="393"/>
        <v>77111.418411646606</v>
      </c>
      <c r="CZ205" s="157">
        <f t="shared" si="393"/>
        <v>79198.696511385569</v>
      </c>
      <c r="DA205" s="157">
        <f t="shared" si="393"/>
        <v>81516.648224450619</v>
      </c>
      <c r="DB205" s="157">
        <f t="shared" si="393"/>
        <v>70355.648224450619</v>
      </c>
      <c r="DC205" s="157">
        <f t="shared" si="393"/>
        <v>55668.648224450619</v>
      </c>
      <c r="DD205" s="157">
        <f t="shared" si="393"/>
        <v>41131.648224450619</v>
      </c>
      <c r="DE205" s="157">
        <f t="shared" si="393"/>
        <v>28642.648224450619</v>
      </c>
      <c r="DF205" s="157">
        <f t="shared" si="393"/>
        <v>16903.648224450619</v>
      </c>
      <c r="DG205" s="157">
        <f t="shared" si="393"/>
        <v>5813.6482244506187</v>
      </c>
      <c r="DH205" s="157">
        <f t="shared" si="393"/>
        <v>0</v>
      </c>
      <c r="DI205" s="157">
        <f t="shared" si="393"/>
        <v>0</v>
      </c>
      <c r="DJ205" s="157">
        <f t="shared" si="393"/>
        <v>0</v>
      </c>
      <c r="DK205" s="157">
        <f t="shared" si="393"/>
        <v>0</v>
      </c>
      <c r="DL205" s="157">
        <f t="shared" si="393"/>
        <v>0</v>
      </c>
      <c r="DM205" s="157">
        <f t="shared" si="393"/>
        <v>0</v>
      </c>
      <c r="DN205" s="157">
        <f t="shared" si="393"/>
        <v>0</v>
      </c>
      <c r="DO205" s="157">
        <f t="shared" si="393"/>
        <v>0</v>
      </c>
      <c r="DP205" s="157">
        <f t="shared" si="393"/>
        <v>0</v>
      </c>
      <c r="DQ205" s="157">
        <f t="shared" si="393"/>
        <v>0</v>
      </c>
      <c r="DR205" s="157">
        <f t="shared" si="393"/>
        <v>0</v>
      </c>
      <c r="DS205" s="157">
        <f t="shared" si="393"/>
        <v>0</v>
      </c>
    </row>
    <row r="206" spans="1:123" ht="12.75" customHeight="1" x14ac:dyDescent="0.35">
      <c r="A206" s="147" t="s">
        <v>495</v>
      </c>
      <c r="B206" s="148">
        <f>AA206</f>
        <v>0</v>
      </c>
      <c r="C206" s="139" t="s">
        <v>169</v>
      </c>
      <c r="D206" s="148">
        <f>0</f>
        <v>0</v>
      </c>
      <c r="E206" s="148">
        <f t="shared" ref="E206:AJ206" si="394">D208</f>
        <v>0</v>
      </c>
      <c r="F206" s="148">
        <f t="shared" si="394"/>
        <v>0</v>
      </c>
      <c r="G206" s="148">
        <f t="shared" si="394"/>
        <v>0</v>
      </c>
      <c r="H206" s="148">
        <f t="shared" si="394"/>
        <v>0</v>
      </c>
      <c r="I206" s="148">
        <f t="shared" si="394"/>
        <v>0</v>
      </c>
      <c r="J206" s="148">
        <f t="shared" si="394"/>
        <v>0</v>
      </c>
      <c r="K206" s="148">
        <f t="shared" si="394"/>
        <v>0</v>
      </c>
      <c r="L206" s="148">
        <f t="shared" si="394"/>
        <v>0</v>
      </c>
      <c r="M206" s="148">
        <f t="shared" si="394"/>
        <v>0</v>
      </c>
      <c r="N206" s="148">
        <f t="shared" si="394"/>
        <v>0</v>
      </c>
      <c r="O206" s="148">
        <f t="shared" si="394"/>
        <v>0</v>
      </c>
      <c r="P206" s="148">
        <f t="shared" si="394"/>
        <v>0</v>
      </c>
      <c r="Q206" s="148">
        <f t="shared" si="394"/>
        <v>0</v>
      </c>
      <c r="R206" s="148">
        <f t="shared" si="394"/>
        <v>0</v>
      </c>
      <c r="S206" s="148">
        <f t="shared" si="394"/>
        <v>0</v>
      </c>
      <c r="T206" s="148">
        <f t="shared" si="394"/>
        <v>0</v>
      </c>
      <c r="U206" s="148">
        <f t="shared" si="394"/>
        <v>0</v>
      </c>
      <c r="V206" s="148">
        <f t="shared" si="394"/>
        <v>0</v>
      </c>
      <c r="W206" s="148">
        <f t="shared" si="394"/>
        <v>0</v>
      </c>
      <c r="X206" s="148">
        <f t="shared" si="394"/>
        <v>0</v>
      </c>
      <c r="Y206" s="148">
        <f t="shared" si="394"/>
        <v>0</v>
      </c>
      <c r="Z206" s="148">
        <f t="shared" si="394"/>
        <v>0</v>
      </c>
      <c r="AA206" s="148">
        <f t="shared" si="394"/>
        <v>0</v>
      </c>
      <c r="AB206" s="148">
        <f t="shared" si="394"/>
        <v>0</v>
      </c>
      <c r="AC206" s="148">
        <f t="shared" si="394"/>
        <v>0</v>
      </c>
      <c r="AD206" s="148">
        <f t="shared" si="394"/>
        <v>0</v>
      </c>
      <c r="AE206" s="148">
        <f t="shared" si="394"/>
        <v>0</v>
      </c>
      <c r="AF206" s="148">
        <f t="shared" si="394"/>
        <v>0</v>
      </c>
      <c r="AG206" s="148">
        <f t="shared" si="394"/>
        <v>0</v>
      </c>
      <c r="AH206" s="148">
        <f t="shared" si="394"/>
        <v>0</v>
      </c>
      <c r="AI206" s="148">
        <f t="shared" si="394"/>
        <v>0</v>
      </c>
      <c r="AJ206" s="148">
        <f t="shared" si="394"/>
        <v>0</v>
      </c>
      <c r="AK206" s="148">
        <f t="shared" ref="AK206:BP206" si="395">AJ208</f>
        <v>0</v>
      </c>
      <c r="AL206" s="148">
        <f t="shared" si="395"/>
        <v>0</v>
      </c>
      <c r="AM206" s="148">
        <f t="shared" si="395"/>
        <v>0</v>
      </c>
      <c r="AN206" s="148">
        <f t="shared" si="395"/>
        <v>0</v>
      </c>
      <c r="AO206" s="148">
        <f t="shared" si="395"/>
        <v>0</v>
      </c>
      <c r="AP206" s="148">
        <f t="shared" si="395"/>
        <v>0</v>
      </c>
      <c r="AQ206" s="148">
        <f t="shared" si="395"/>
        <v>0</v>
      </c>
      <c r="AR206" s="148">
        <f t="shared" si="395"/>
        <v>0</v>
      </c>
      <c r="AS206" s="148">
        <f t="shared" si="395"/>
        <v>0</v>
      </c>
      <c r="AT206" s="148">
        <f t="shared" si="395"/>
        <v>0</v>
      </c>
      <c r="AU206" s="148">
        <f t="shared" si="395"/>
        <v>0</v>
      </c>
      <c r="AV206" s="148">
        <f t="shared" si="395"/>
        <v>0</v>
      </c>
      <c r="AW206" s="148">
        <f t="shared" si="395"/>
        <v>0</v>
      </c>
      <c r="AX206" s="148">
        <f t="shared" si="395"/>
        <v>0</v>
      </c>
      <c r="AY206" s="148">
        <f t="shared" si="395"/>
        <v>0</v>
      </c>
      <c r="AZ206" s="148">
        <f t="shared" si="395"/>
        <v>0</v>
      </c>
      <c r="BA206" s="148">
        <f t="shared" si="395"/>
        <v>0</v>
      </c>
      <c r="BB206" s="148">
        <f t="shared" si="395"/>
        <v>0</v>
      </c>
      <c r="BC206" s="148">
        <f t="shared" si="395"/>
        <v>0</v>
      </c>
      <c r="BD206" s="148">
        <f t="shared" si="395"/>
        <v>0</v>
      </c>
      <c r="BE206" s="148">
        <f t="shared" si="395"/>
        <v>0</v>
      </c>
      <c r="BF206" s="148">
        <f t="shared" si="395"/>
        <v>0</v>
      </c>
      <c r="BG206" s="148">
        <f t="shared" si="395"/>
        <v>0</v>
      </c>
      <c r="BH206" s="148">
        <f t="shared" si="395"/>
        <v>0</v>
      </c>
      <c r="BI206" s="148">
        <f t="shared" si="395"/>
        <v>0</v>
      </c>
      <c r="BJ206" s="148">
        <f t="shared" si="395"/>
        <v>0</v>
      </c>
      <c r="BK206" s="148">
        <f t="shared" si="395"/>
        <v>0</v>
      </c>
      <c r="BL206" s="148">
        <f t="shared" si="395"/>
        <v>0</v>
      </c>
      <c r="BM206" s="148">
        <f t="shared" si="395"/>
        <v>0</v>
      </c>
      <c r="BN206" s="148">
        <f t="shared" si="395"/>
        <v>0</v>
      </c>
      <c r="BO206" s="148">
        <f t="shared" si="395"/>
        <v>0</v>
      </c>
      <c r="BP206" s="148">
        <f t="shared" si="395"/>
        <v>0</v>
      </c>
      <c r="BQ206" s="148">
        <f t="shared" ref="BQ206:CV206" si="396">BP208</f>
        <v>0</v>
      </c>
      <c r="BR206" s="148">
        <f t="shared" si="396"/>
        <v>0</v>
      </c>
      <c r="BS206" s="148">
        <f t="shared" si="396"/>
        <v>0</v>
      </c>
      <c r="BT206" s="148">
        <f t="shared" si="396"/>
        <v>0</v>
      </c>
      <c r="BU206" s="148">
        <f t="shared" si="396"/>
        <v>0</v>
      </c>
      <c r="BV206" s="148">
        <f t="shared" si="396"/>
        <v>0</v>
      </c>
      <c r="BW206" s="148">
        <f t="shared" si="396"/>
        <v>0</v>
      </c>
      <c r="BX206" s="148">
        <f t="shared" si="396"/>
        <v>0</v>
      </c>
      <c r="BY206" s="148">
        <f t="shared" si="396"/>
        <v>0</v>
      </c>
      <c r="BZ206" s="148">
        <f t="shared" si="396"/>
        <v>0</v>
      </c>
      <c r="CA206" s="148">
        <f t="shared" si="396"/>
        <v>0</v>
      </c>
      <c r="CB206" s="148">
        <f t="shared" si="396"/>
        <v>0</v>
      </c>
      <c r="CC206" s="148">
        <f t="shared" si="396"/>
        <v>0</v>
      </c>
      <c r="CD206" s="148">
        <f t="shared" si="396"/>
        <v>0</v>
      </c>
      <c r="CE206" s="148">
        <f t="shared" si="396"/>
        <v>0</v>
      </c>
      <c r="CF206" s="148">
        <f t="shared" si="396"/>
        <v>0</v>
      </c>
      <c r="CG206" s="148">
        <f t="shared" si="396"/>
        <v>0</v>
      </c>
      <c r="CH206" s="148">
        <f t="shared" si="396"/>
        <v>0</v>
      </c>
      <c r="CI206" s="148">
        <f t="shared" si="396"/>
        <v>0</v>
      </c>
      <c r="CJ206" s="148">
        <f t="shared" si="396"/>
        <v>0</v>
      </c>
      <c r="CK206" s="148">
        <f t="shared" si="396"/>
        <v>0</v>
      </c>
      <c r="CL206" s="148">
        <f t="shared" si="396"/>
        <v>0</v>
      </c>
      <c r="CM206" s="148">
        <f t="shared" si="396"/>
        <v>0</v>
      </c>
      <c r="CN206" s="148">
        <f t="shared" si="396"/>
        <v>0</v>
      </c>
      <c r="CO206" s="148">
        <f t="shared" si="396"/>
        <v>0</v>
      </c>
      <c r="CP206" s="148">
        <f t="shared" si="396"/>
        <v>0</v>
      </c>
      <c r="CQ206" s="148">
        <f t="shared" si="396"/>
        <v>0</v>
      </c>
      <c r="CR206" s="148">
        <f t="shared" si="396"/>
        <v>0</v>
      </c>
      <c r="CS206" s="148">
        <f t="shared" si="396"/>
        <v>0</v>
      </c>
      <c r="CT206" s="148">
        <f t="shared" si="396"/>
        <v>0</v>
      </c>
      <c r="CU206" s="148">
        <f t="shared" si="396"/>
        <v>0</v>
      </c>
      <c r="CV206" s="148">
        <f t="shared" si="396"/>
        <v>0</v>
      </c>
      <c r="CW206" s="148">
        <f t="shared" ref="CW206:DS206" si="397">CV208</f>
        <v>0</v>
      </c>
      <c r="CX206" s="148">
        <f t="shared" si="397"/>
        <v>0</v>
      </c>
      <c r="CY206" s="148">
        <f t="shared" si="397"/>
        <v>0</v>
      </c>
      <c r="CZ206" s="148">
        <f t="shared" si="397"/>
        <v>0</v>
      </c>
      <c r="DA206" s="148">
        <f t="shared" si="397"/>
        <v>0</v>
      </c>
      <c r="DB206" s="148">
        <f t="shared" si="397"/>
        <v>0</v>
      </c>
      <c r="DC206" s="148">
        <f t="shared" si="397"/>
        <v>0</v>
      </c>
      <c r="DD206" s="148">
        <f t="shared" si="397"/>
        <v>0</v>
      </c>
      <c r="DE206" s="148">
        <f t="shared" si="397"/>
        <v>0</v>
      </c>
      <c r="DF206" s="148">
        <f t="shared" si="397"/>
        <v>0</v>
      </c>
      <c r="DG206" s="148">
        <f t="shared" si="397"/>
        <v>0</v>
      </c>
      <c r="DH206" s="148">
        <f t="shared" si="397"/>
        <v>0</v>
      </c>
      <c r="DI206" s="148">
        <f t="shared" si="397"/>
        <v>0</v>
      </c>
      <c r="DJ206" s="148">
        <f t="shared" si="397"/>
        <v>0</v>
      </c>
      <c r="DK206" s="148">
        <f t="shared" si="397"/>
        <v>0</v>
      </c>
      <c r="DL206" s="148">
        <f t="shared" si="397"/>
        <v>0</v>
      </c>
      <c r="DM206" s="148">
        <f t="shared" si="397"/>
        <v>0</v>
      </c>
      <c r="DN206" s="148">
        <f t="shared" si="397"/>
        <v>0</v>
      </c>
      <c r="DO206" s="148">
        <f t="shared" si="397"/>
        <v>0</v>
      </c>
      <c r="DP206" s="148">
        <f t="shared" si="397"/>
        <v>0</v>
      </c>
      <c r="DQ206" s="148">
        <f t="shared" si="397"/>
        <v>0</v>
      </c>
      <c r="DR206" s="148">
        <f t="shared" si="397"/>
        <v>0</v>
      </c>
      <c r="DS206" s="148">
        <f t="shared" si="397"/>
        <v>0</v>
      </c>
    </row>
    <row r="207" spans="1:123" ht="12.75" customHeight="1" x14ac:dyDescent="0.35">
      <c r="A207" s="147" t="s">
        <v>503</v>
      </c>
      <c r="B207" s="148">
        <f>SUM(D207:BQ207)</f>
        <v>0</v>
      </c>
      <c r="C207" s="139">
        <f>B207/60</f>
        <v>0</v>
      </c>
      <c r="D207" s="148">
        <f t="shared" ref="D207:AI207" si="398">MIN(D206,D201)</f>
        <v>0</v>
      </c>
      <c r="E207" s="148">
        <f t="shared" si="398"/>
        <v>0</v>
      </c>
      <c r="F207" s="148">
        <f t="shared" si="398"/>
        <v>0</v>
      </c>
      <c r="G207" s="148">
        <f t="shared" si="398"/>
        <v>0</v>
      </c>
      <c r="H207" s="148">
        <f t="shared" si="398"/>
        <v>0</v>
      </c>
      <c r="I207" s="148">
        <f t="shared" si="398"/>
        <v>0</v>
      </c>
      <c r="J207" s="148">
        <f t="shared" si="398"/>
        <v>0</v>
      </c>
      <c r="K207" s="148">
        <f t="shared" si="398"/>
        <v>0</v>
      </c>
      <c r="L207" s="148">
        <f t="shared" si="398"/>
        <v>0</v>
      </c>
      <c r="M207" s="148">
        <f t="shared" si="398"/>
        <v>0</v>
      </c>
      <c r="N207" s="148">
        <f t="shared" si="398"/>
        <v>0</v>
      </c>
      <c r="O207" s="148">
        <f t="shared" si="398"/>
        <v>0</v>
      </c>
      <c r="P207" s="148">
        <f t="shared" si="398"/>
        <v>0</v>
      </c>
      <c r="Q207" s="148">
        <f t="shared" si="398"/>
        <v>0</v>
      </c>
      <c r="R207" s="148">
        <f t="shared" si="398"/>
        <v>0</v>
      </c>
      <c r="S207" s="148">
        <f t="shared" si="398"/>
        <v>0</v>
      </c>
      <c r="T207" s="148">
        <f t="shared" si="398"/>
        <v>0</v>
      </c>
      <c r="U207" s="148">
        <f t="shared" si="398"/>
        <v>0</v>
      </c>
      <c r="V207" s="148">
        <f t="shared" si="398"/>
        <v>0</v>
      </c>
      <c r="W207" s="148">
        <f t="shared" si="398"/>
        <v>0</v>
      </c>
      <c r="X207" s="148">
        <f t="shared" si="398"/>
        <v>0</v>
      </c>
      <c r="Y207" s="148">
        <f t="shared" si="398"/>
        <v>0</v>
      </c>
      <c r="Z207" s="148">
        <f t="shared" si="398"/>
        <v>0</v>
      </c>
      <c r="AA207" s="148">
        <f t="shared" si="398"/>
        <v>0</v>
      </c>
      <c r="AB207" s="148">
        <f t="shared" si="398"/>
        <v>0</v>
      </c>
      <c r="AC207" s="148">
        <f t="shared" si="398"/>
        <v>0</v>
      </c>
      <c r="AD207" s="148">
        <f t="shared" si="398"/>
        <v>0</v>
      </c>
      <c r="AE207" s="148">
        <f t="shared" si="398"/>
        <v>0</v>
      </c>
      <c r="AF207" s="148">
        <f t="shared" si="398"/>
        <v>0</v>
      </c>
      <c r="AG207" s="148">
        <f t="shared" si="398"/>
        <v>0</v>
      </c>
      <c r="AH207" s="148">
        <f t="shared" si="398"/>
        <v>0</v>
      </c>
      <c r="AI207" s="148">
        <f t="shared" si="398"/>
        <v>0</v>
      </c>
      <c r="AJ207" s="148">
        <f t="shared" ref="AJ207:BO207" si="399">MIN(AJ206,AJ201)</f>
        <v>0</v>
      </c>
      <c r="AK207" s="148">
        <f t="shared" si="399"/>
        <v>0</v>
      </c>
      <c r="AL207" s="148">
        <f t="shared" si="399"/>
        <v>0</v>
      </c>
      <c r="AM207" s="148">
        <f t="shared" si="399"/>
        <v>0</v>
      </c>
      <c r="AN207" s="148">
        <f t="shared" si="399"/>
        <v>0</v>
      </c>
      <c r="AO207" s="148">
        <f t="shared" si="399"/>
        <v>0</v>
      </c>
      <c r="AP207" s="148">
        <f t="shared" si="399"/>
        <v>0</v>
      </c>
      <c r="AQ207" s="148">
        <f t="shared" si="399"/>
        <v>0</v>
      </c>
      <c r="AR207" s="148">
        <f t="shared" si="399"/>
        <v>0</v>
      </c>
      <c r="AS207" s="148">
        <f t="shared" si="399"/>
        <v>0</v>
      </c>
      <c r="AT207" s="148">
        <f t="shared" si="399"/>
        <v>0</v>
      </c>
      <c r="AU207" s="148">
        <f t="shared" si="399"/>
        <v>0</v>
      </c>
      <c r="AV207" s="148">
        <f t="shared" si="399"/>
        <v>0</v>
      </c>
      <c r="AW207" s="148">
        <f t="shared" si="399"/>
        <v>0</v>
      </c>
      <c r="AX207" s="148">
        <f t="shared" si="399"/>
        <v>0</v>
      </c>
      <c r="AY207" s="148">
        <f t="shared" si="399"/>
        <v>0</v>
      </c>
      <c r="AZ207" s="148">
        <f t="shared" si="399"/>
        <v>0</v>
      </c>
      <c r="BA207" s="148">
        <f t="shared" si="399"/>
        <v>0</v>
      </c>
      <c r="BB207" s="148">
        <f t="shared" si="399"/>
        <v>0</v>
      </c>
      <c r="BC207" s="148">
        <f t="shared" si="399"/>
        <v>0</v>
      </c>
      <c r="BD207" s="148">
        <f t="shared" si="399"/>
        <v>0</v>
      </c>
      <c r="BE207" s="148">
        <f t="shared" si="399"/>
        <v>0</v>
      </c>
      <c r="BF207" s="148">
        <f t="shared" si="399"/>
        <v>0</v>
      </c>
      <c r="BG207" s="148">
        <f t="shared" si="399"/>
        <v>0</v>
      </c>
      <c r="BH207" s="148">
        <f t="shared" si="399"/>
        <v>0</v>
      </c>
      <c r="BI207" s="148">
        <f t="shared" si="399"/>
        <v>0</v>
      </c>
      <c r="BJ207" s="148">
        <f t="shared" si="399"/>
        <v>0</v>
      </c>
      <c r="BK207" s="148">
        <f t="shared" si="399"/>
        <v>0</v>
      </c>
      <c r="BL207" s="148">
        <f t="shared" si="399"/>
        <v>0</v>
      </c>
      <c r="BM207" s="148">
        <f t="shared" si="399"/>
        <v>0</v>
      </c>
      <c r="BN207" s="148">
        <f t="shared" si="399"/>
        <v>0</v>
      </c>
      <c r="BO207" s="148">
        <f t="shared" si="399"/>
        <v>0</v>
      </c>
      <c r="BP207" s="148">
        <f t="shared" ref="BP207:CU207" si="400">MIN(BP206,BP201)</f>
        <v>0</v>
      </c>
      <c r="BQ207" s="148">
        <f t="shared" si="400"/>
        <v>0</v>
      </c>
      <c r="BR207" s="148">
        <f t="shared" si="400"/>
        <v>0</v>
      </c>
      <c r="BS207" s="148">
        <f t="shared" si="400"/>
        <v>0</v>
      </c>
      <c r="BT207" s="148">
        <f t="shared" si="400"/>
        <v>0</v>
      </c>
      <c r="BU207" s="148">
        <f t="shared" si="400"/>
        <v>0</v>
      </c>
      <c r="BV207" s="148">
        <f t="shared" si="400"/>
        <v>0</v>
      </c>
      <c r="BW207" s="148">
        <f t="shared" si="400"/>
        <v>0</v>
      </c>
      <c r="BX207" s="148">
        <f t="shared" si="400"/>
        <v>0</v>
      </c>
      <c r="BY207" s="148">
        <f t="shared" si="400"/>
        <v>0</v>
      </c>
      <c r="BZ207" s="148">
        <f t="shared" si="400"/>
        <v>0</v>
      </c>
      <c r="CA207" s="148">
        <f t="shared" si="400"/>
        <v>0</v>
      </c>
      <c r="CB207" s="148">
        <f t="shared" si="400"/>
        <v>0</v>
      </c>
      <c r="CC207" s="148">
        <f t="shared" si="400"/>
        <v>0</v>
      </c>
      <c r="CD207" s="148">
        <f t="shared" si="400"/>
        <v>0</v>
      </c>
      <c r="CE207" s="148">
        <f t="shared" si="400"/>
        <v>0</v>
      </c>
      <c r="CF207" s="148">
        <f t="shared" si="400"/>
        <v>0</v>
      </c>
      <c r="CG207" s="148">
        <f t="shared" si="400"/>
        <v>0</v>
      </c>
      <c r="CH207" s="148">
        <f t="shared" si="400"/>
        <v>0</v>
      </c>
      <c r="CI207" s="148">
        <f t="shared" si="400"/>
        <v>0</v>
      </c>
      <c r="CJ207" s="148">
        <f t="shared" si="400"/>
        <v>0</v>
      </c>
      <c r="CK207" s="148">
        <f t="shared" si="400"/>
        <v>0</v>
      </c>
      <c r="CL207" s="148">
        <f t="shared" si="400"/>
        <v>0</v>
      </c>
      <c r="CM207" s="148">
        <f t="shared" si="400"/>
        <v>0</v>
      </c>
      <c r="CN207" s="148">
        <f t="shared" si="400"/>
        <v>0</v>
      </c>
      <c r="CO207" s="148">
        <f t="shared" si="400"/>
        <v>0</v>
      </c>
      <c r="CP207" s="148">
        <f t="shared" si="400"/>
        <v>0</v>
      </c>
      <c r="CQ207" s="148">
        <f t="shared" si="400"/>
        <v>0</v>
      </c>
      <c r="CR207" s="148">
        <f t="shared" si="400"/>
        <v>0</v>
      </c>
      <c r="CS207" s="148">
        <f t="shared" si="400"/>
        <v>0</v>
      </c>
      <c r="CT207" s="148">
        <f t="shared" si="400"/>
        <v>0</v>
      </c>
      <c r="CU207" s="148">
        <f t="shared" si="400"/>
        <v>0</v>
      </c>
      <c r="CV207" s="148">
        <f t="shared" ref="CV207:DS207" si="401">MIN(CV206,CV201)</f>
        <v>0</v>
      </c>
      <c r="CW207" s="148">
        <f t="shared" si="401"/>
        <v>0</v>
      </c>
      <c r="CX207" s="148">
        <f t="shared" si="401"/>
        <v>0</v>
      </c>
      <c r="CY207" s="148">
        <f t="shared" si="401"/>
        <v>0</v>
      </c>
      <c r="CZ207" s="148">
        <f t="shared" si="401"/>
        <v>0</v>
      </c>
      <c r="DA207" s="148">
        <f t="shared" si="401"/>
        <v>0</v>
      </c>
      <c r="DB207" s="148">
        <f t="shared" si="401"/>
        <v>0</v>
      </c>
      <c r="DC207" s="148">
        <f t="shared" si="401"/>
        <v>0</v>
      </c>
      <c r="DD207" s="148">
        <f t="shared" si="401"/>
        <v>0</v>
      </c>
      <c r="DE207" s="148">
        <f t="shared" si="401"/>
        <v>0</v>
      </c>
      <c r="DF207" s="148">
        <f t="shared" si="401"/>
        <v>0</v>
      </c>
      <c r="DG207" s="148">
        <f t="shared" si="401"/>
        <v>0</v>
      </c>
      <c r="DH207" s="148">
        <f t="shared" si="401"/>
        <v>0</v>
      </c>
      <c r="DI207" s="148">
        <f t="shared" si="401"/>
        <v>0</v>
      </c>
      <c r="DJ207" s="148">
        <f t="shared" si="401"/>
        <v>0</v>
      </c>
      <c r="DK207" s="148">
        <f t="shared" si="401"/>
        <v>0</v>
      </c>
      <c r="DL207" s="148">
        <f t="shared" si="401"/>
        <v>0</v>
      </c>
      <c r="DM207" s="148">
        <f t="shared" si="401"/>
        <v>0</v>
      </c>
      <c r="DN207" s="148">
        <f t="shared" si="401"/>
        <v>0</v>
      </c>
      <c r="DO207" s="148">
        <f t="shared" si="401"/>
        <v>0</v>
      </c>
      <c r="DP207" s="148">
        <f t="shared" si="401"/>
        <v>0</v>
      </c>
      <c r="DQ207" s="148">
        <f t="shared" si="401"/>
        <v>0</v>
      </c>
      <c r="DR207" s="148">
        <f t="shared" si="401"/>
        <v>0</v>
      </c>
      <c r="DS207" s="148">
        <f t="shared" si="401"/>
        <v>0</v>
      </c>
    </row>
    <row r="208" spans="1:123" ht="12.75" customHeight="1" x14ac:dyDescent="0.35">
      <c r="A208" s="147" t="s">
        <v>504</v>
      </c>
      <c r="B208" s="148">
        <f>AA208</f>
        <v>0</v>
      </c>
      <c r="C208" s="139" t="s">
        <v>169</v>
      </c>
      <c r="D208" s="168">
        <f t="shared" ref="D208:AI208" si="402">MAX(D206-D207,0)</f>
        <v>0</v>
      </c>
      <c r="E208" s="168">
        <f t="shared" si="402"/>
        <v>0</v>
      </c>
      <c r="F208" s="168">
        <f t="shared" si="402"/>
        <v>0</v>
      </c>
      <c r="G208" s="168">
        <f t="shared" si="402"/>
        <v>0</v>
      </c>
      <c r="H208" s="168">
        <f t="shared" si="402"/>
        <v>0</v>
      </c>
      <c r="I208" s="168">
        <f t="shared" si="402"/>
        <v>0</v>
      </c>
      <c r="J208" s="168">
        <f t="shared" si="402"/>
        <v>0</v>
      </c>
      <c r="K208" s="168">
        <f t="shared" si="402"/>
        <v>0</v>
      </c>
      <c r="L208" s="168">
        <f t="shared" si="402"/>
        <v>0</v>
      </c>
      <c r="M208" s="168">
        <f t="shared" si="402"/>
        <v>0</v>
      </c>
      <c r="N208" s="168">
        <f t="shared" si="402"/>
        <v>0</v>
      </c>
      <c r="O208" s="168">
        <f t="shared" si="402"/>
        <v>0</v>
      </c>
      <c r="P208" s="168">
        <f t="shared" si="402"/>
        <v>0</v>
      </c>
      <c r="Q208" s="168">
        <f t="shared" si="402"/>
        <v>0</v>
      </c>
      <c r="R208" s="168">
        <f t="shared" si="402"/>
        <v>0</v>
      </c>
      <c r="S208" s="168">
        <f t="shared" si="402"/>
        <v>0</v>
      </c>
      <c r="T208" s="168">
        <f t="shared" si="402"/>
        <v>0</v>
      </c>
      <c r="U208" s="168">
        <f t="shared" si="402"/>
        <v>0</v>
      </c>
      <c r="V208" s="168">
        <f t="shared" si="402"/>
        <v>0</v>
      </c>
      <c r="W208" s="168">
        <f t="shared" si="402"/>
        <v>0</v>
      </c>
      <c r="X208" s="168">
        <f t="shared" si="402"/>
        <v>0</v>
      </c>
      <c r="Y208" s="168">
        <f t="shared" si="402"/>
        <v>0</v>
      </c>
      <c r="Z208" s="168">
        <f t="shared" si="402"/>
        <v>0</v>
      </c>
      <c r="AA208" s="168">
        <f t="shared" si="402"/>
        <v>0</v>
      </c>
      <c r="AB208" s="168">
        <f t="shared" si="402"/>
        <v>0</v>
      </c>
      <c r="AC208" s="168">
        <f t="shared" si="402"/>
        <v>0</v>
      </c>
      <c r="AD208" s="168">
        <f t="shared" si="402"/>
        <v>0</v>
      </c>
      <c r="AE208" s="168">
        <f t="shared" si="402"/>
        <v>0</v>
      </c>
      <c r="AF208" s="168">
        <f t="shared" si="402"/>
        <v>0</v>
      </c>
      <c r="AG208" s="168">
        <f t="shared" si="402"/>
        <v>0</v>
      </c>
      <c r="AH208" s="168">
        <f t="shared" si="402"/>
        <v>0</v>
      </c>
      <c r="AI208" s="168">
        <f t="shared" si="402"/>
        <v>0</v>
      </c>
      <c r="AJ208" s="168">
        <f t="shared" ref="AJ208:BO208" si="403">MAX(AJ206-AJ207,0)</f>
        <v>0</v>
      </c>
      <c r="AK208" s="168">
        <f t="shared" si="403"/>
        <v>0</v>
      </c>
      <c r="AL208" s="168">
        <f t="shared" si="403"/>
        <v>0</v>
      </c>
      <c r="AM208" s="168">
        <f t="shared" si="403"/>
        <v>0</v>
      </c>
      <c r="AN208" s="168">
        <f t="shared" si="403"/>
        <v>0</v>
      </c>
      <c r="AO208" s="168">
        <f t="shared" si="403"/>
        <v>0</v>
      </c>
      <c r="AP208" s="168">
        <f t="shared" si="403"/>
        <v>0</v>
      </c>
      <c r="AQ208" s="168">
        <f t="shared" si="403"/>
        <v>0</v>
      </c>
      <c r="AR208" s="168">
        <f t="shared" si="403"/>
        <v>0</v>
      </c>
      <c r="AS208" s="168">
        <f t="shared" si="403"/>
        <v>0</v>
      </c>
      <c r="AT208" s="168">
        <f t="shared" si="403"/>
        <v>0</v>
      </c>
      <c r="AU208" s="168">
        <f t="shared" si="403"/>
        <v>0</v>
      </c>
      <c r="AV208" s="168">
        <f t="shared" si="403"/>
        <v>0</v>
      </c>
      <c r="AW208" s="168">
        <f t="shared" si="403"/>
        <v>0</v>
      </c>
      <c r="AX208" s="168">
        <f t="shared" si="403"/>
        <v>0</v>
      </c>
      <c r="AY208" s="168">
        <f t="shared" si="403"/>
        <v>0</v>
      </c>
      <c r="AZ208" s="168">
        <f t="shared" si="403"/>
        <v>0</v>
      </c>
      <c r="BA208" s="168">
        <f t="shared" si="403"/>
        <v>0</v>
      </c>
      <c r="BB208" s="168">
        <f t="shared" si="403"/>
        <v>0</v>
      </c>
      <c r="BC208" s="168">
        <f t="shared" si="403"/>
        <v>0</v>
      </c>
      <c r="BD208" s="168">
        <f t="shared" si="403"/>
        <v>0</v>
      </c>
      <c r="BE208" s="168">
        <f t="shared" si="403"/>
        <v>0</v>
      </c>
      <c r="BF208" s="168">
        <f t="shared" si="403"/>
        <v>0</v>
      </c>
      <c r="BG208" s="168">
        <f t="shared" si="403"/>
        <v>0</v>
      </c>
      <c r="BH208" s="168">
        <f t="shared" si="403"/>
        <v>0</v>
      </c>
      <c r="BI208" s="168">
        <f t="shared" si="403"/>
        <v>0</v>
      </c>
      <c r="BJ208" s="168">
        <f t="shared" si="403"/>
        <v>0</v>
      </c>
      <c r="BK208" s="168">
        <f t="shared" si="403"/>
        <v>0</v>
      </c>
      <c r="BL208" s="168">
        <f t="shared" si="403"/>
        <v>0</v>
      </c>
      <c r="BM208" s="168">
        <f t="shared" si="403"/>
        <v>0</v>
      </c>
      <c r="BN208" s="168">
        <f t="shared" si="403"/>
        <v>0</v>
      </c>
      <c r="BO208" s="168">
        <f t="shared" si="403"/>
        <v>0</v>
      </c>
      <c r="BP208" s="168">
        <f t="shared" ref="BP208:CU208" si="404">MAX(BP206-BP207,0)</f>
        <v>0</v>
      </c>
      <c r="BQ208" s="168">
        <f t="shared" si="404"/>
        <v>0</v>
      </c>
      <c r="BR208" s="168">
        <f t="shared" si="404"/>
        <v>0</v>
      </c>
      <c r="BS208" s="168">
        <f t="shared" si="404"/>
        <v>0</v>
      </c>
      <c r="BT208" s="168">
        <f t="shared" si="404"/>
        <v>0</v>
      </c>
      <c r="BU208" s="168">
        <f t="shared" si="404"/>
        <v>0</v>
      </c>
      <c r="BV208" s="168">
        <f t="shared" si="404"/>
        <v>0</v>
      </c>
      <c r="BW208" s="168">
        <f t="shared" si="404"/>
        <v>0</v>
      </c>
      <c r="BX208" s="168">
        <f t="shared" si="404"/>
        <v>0</v>
      </c>
      <c r="BY208" s="168">
        <f t="shared" si="404"/>
        <v>0</v>
      </c>
      <c r="BZ208" s="168">
        <f t="shared" si="404"/>
        <v>0</v>
      </c>
      <c r="CA208" s="168">
        <f t="shared" si="404"/>
        <v>0</v>
      </c>
      <c r="CB208" s="168">
        <f t="shared" si="404"/>
        <v>0</v>
      </c>
      <c r="CC208" s="168">
        <f t="shared" si="404"/>
        <v>0</v>
      </c>
      <c r="CD208" s="168">
        <f t="shared" si="404"/>
        <v>0</v>
      </c>
      <c r="CE208" s="168">
        <f t="shared" si="404"/>
        <v>0</v>
      </c>
      <c r="CF208" s="168">
        <f t="shared" si="404"/>
        <v>0</v>
      </c>
      <c r="CG208" s="168">
        <f t="shared" si="404"/>
        <v>0</v>
      </c>
      <c r="CH208" s="168">
        <f t="shared" si="404"/>
        <v>0</v>
      </c>
      <c r="CI208" s="168">
        <f t="shared" si="404"/>
        <v>0</v>
      </c>
      <c r="CJ208" s="168">
        <f t="shared" si="404"/>
        <v>0</v>
      </c>
      <c r="CK208" s="168">
        <f t="shared" si="404"/>
        <v>0</v>
      </c>
      <c r="CL208" s="168">
        <f t="shared" si="404"/>
        <v>0</v>
      </c>
      <c r="CM208" s="168">
        <f t="shared" si="404"/>
        <v>0</v>
      </c>
      <c r="CN208" s="168">
        <f t="shared" si="404"/>
        <v>0</v>
      </c>
      <c r="CO208" s="168">
        <f t="shared" si="404"/>
        <v>0</v>
      </c>
      <c r="CP208" s="168">
        <f t="shared" si="404"/>
        <v>0</v>
      </c>
      <c r="CQ208" s="168">
        <f t="shared" si="404"/>
        <v>0</v>
      </c>
      <c r="CR208" s="168">
        <f t="shared" si="404"/>
        <v>0</v>
      </c>
      <c r="CS208" s="168">
        <f t="shared" si="404"/>
        <v>0</v>
      </c>
      <c r="CT208" s="168">
        <f t="shared" si="404"/>
        <v>0</v>
      </c>
      <c r="CU208" s="168">
        <f t="shared" si="404"/>
        <v>0</v>
      </c>
      <c r="CV208" s="168">
        <f t="shared" ref="CV208:DS208" si="405">MAX(CV206-CV207,0)</f>
        <v>0</v>
      </c>
      <c r="CW208" s="168">
        <f t="shared" si="405"/>
        <v>0</v>
      </c>
      <c r="CX208" s="168">
        <f t="shared" si="405"/>
        <v>0</v>
      </c>
      <c r="CY208" s="168">
        <f t="shared" si="405"/>
        <v>0</v>
      </c>
      <c r="CZ208" s="168">
        <f t="shared" si="405"/>
        <v>0</v>
      </c>
      <c r="DA208" s="168">
        <f t="shared" si="405"/>
        <v>0</v>
      </c>
      <c r="DB208" s="168">
        <f t="shared" si="405"/>
        <v>0</v>
      </c>
      <c r="DC208" s="168">
        <f t="shared" si="405"/>
        <v>0</v>
      </c>
      <c r="DD208" s="168">
        <f t="shared" si="405"/>
        <v>0</v>
      </c>
      <c r="DE208" s="168">
        <f t="shared" si="405"/>
        <v>0</v>
      </c>
      <c r="DF208" s="168">
        <f t="shared" si="405"/>
        <v>0</v>
      </c>
      <c r="DG208" s="168">
        <f t="shared" si="405"/>
        <v>0</v>
      </c>
      <c r="DH208" s="168">
        <f t="shared" si="405"/>
        <v>0</v>
      </c>
      <c r="DI208" s="168">
        <f t="shared" si="405"/>
        <v>0</v>
      </c>
      <c r="DJ208" s="168">
        <f t="shared" si="405"/>
        <v>0</v>
      </c>
      <c r="DK208" s="168">
        <f t="shared" si="405"/>
        <v>0</v>
      </c>
      <c r="DL208" s="168">
        <f t="shared" si="405"/>
        <v>0</v>
      </c>
      <c r="DM208" s="168">
        <f t="shared" si="405"/>
        <v>0</v>
      </c>
      <c r="DN208" s="168">
        <f t="shared" si="405"/>
        <v>0</v>
      </c>
      <c r="DO208" s="168">
        <f t="shared" si="405"/>
        <v>0</v>
      </c>
      <c r="DP208" s="168">
        <f t="shared" si="405"/>
        <v>0</v>
      </c>
      <c r="DQ208" s="168">
        <f t="shared" si="405"/>
        <v>0</v>
      </c>
      <c r="DR208" s="168">
        <f t="shared" si="405"/>
        <v>0</v>
      </c>
      <c r="DS208" s="168">
        <f t="shared" si="405"/>
        <v>0</v>
      </c>
    </row>
    <row r="209" spans="1:123" ht="12.75" customHeight="1" x14ac:dyDescent="0.35">
      <c r="A209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09" s="162">
        <f>SUM(D209:BQ209)</f>
        <v>606551.01522327901</v>
      </c>
      <c r="C209" s="144">
        <f>B209/60</f>
        <v>10109.183587054651</v>
      </c>
      <c r="D209" s="162">
        <f>D201*Premissas!$F$19</f>
        <v>7403.9273551285769</v>
      </c>
      <c r="E209" s="162">
        <f>E201*Premissas!$F$19</f>
        <v>7033.7309873721479</v>
      </c>
      <c r="F209" s="162">
        <f>F201*Premissas!$F$19</f>
        <v>8218.35936419272</v>
      </c>
      <c r="G209" s="162">
        <f>G201*Premissas!$F$19</f>
        <v>8144.320090641434</v>
      </c>
      <c r="H209" s="162">
        <f>H201*Premissas!$F$19</f>
        <v>8773.6539158273627</v>
      </c>
      <c r="I209" s="162">
        <f>I201*Premissas!$F$19</f>
        <v>8255.3790009683635</v>
      </c>
      <c r="J209" s="162">
        <f>J201*Premissas!$F$19</f>
        <v>8477.4968216222205</v>
      </c>
      <c r="K209" s="162">
        <f>K201*Premissas!$F$19</f>
        <v>11155.867542339984</v>
      </c>
      <c r="L209" s="162">
        <f>L201*Premissas!$F$19</f>
        <v>11042.032159254881</v>
      </c>
      <c r="M209" s="162">
        <f>M201*Premissas!$F$19</f>
        <v>9486.2819237584881</v>
      </c>
      <c r="N209" s="162">
        <f>N201*Premissas!$F$19</f>
        <v>8917.1050083329792</v>
      </c>
      <c r="O209" s="162">
        <f>O201*Premissas!$F$19</f>
        <v>8423.8183482975383</v>
      </c>
      <c r="P209" s="162">
        <f>P201*Premissas!$F$19</f>
        <v>7589.0255390067914</v>
      </c>
      <c r="Q209" s="162">
        <f>Q201*Premissas!$F$19</f>
        <v>7209.5742620564515</v>
      </c>
      <c r="R209" s="162">
        <f>R201*Premissas!$F$19</f>
        <v>8423.8183482975383</v>
      </c>
      <c r="S209" s="162">
        <f>S201*Premissas!$F$19</f>
        <v>8347.9280929074703</v>
      </c>
      <c r="T209" s="162">
        <f>T201*Premissas!$F$19</f>
        <v>8992.9952637230472</v>
      </c>
      <c r="U209" s="162">
        <f>U201*Premissas!$F$19</f>
        <v>8461.7634759925713</v>
      </c>
      <c r="V209" s="162">
        <f>V201*Premissas!$F$19</f>
        <v>8689.4342421627753</v>
      </c>
      <c r="W209" s="162">
        <f>W201*Premissas!$F$19</f>
        <v>11155.867542339984</v>
      </c>
      <c r="X209" s="162">
        <f>X201*Premissas!$F$19</f>
        <v>11042.032159254881</v>
      </c>
      <c r="Y209" s="162">
        <f>Y201*Premissas!$F$19</f>
        <v>9486.2819237584881</v>
      </c>
      <c r="Z209" s="162">
        <f>Z201*Premissas!$F$19</f>
        <v>8917.1050083329792</v>
      </c>
      <c r="AA209" s="162">
        <f>AA201*Premissas!$F$19</f>
        <v>8423.8183482975383</v>
      </c>
      <c r="AB209" s="162">
        <f>AB201*Premissas!$F$19</f>
        <v>7778.7511774819604</v>
      </c>
      <c r="AC209" s="162">
        <f>AC201*Premissas!$F$19</f>
        <v>7390.0449913377106</v>
      </c>
      <c r="AD209" s="162">
        <f>AD201*Premissas!$F$19</f>
        <v>8634.8302779187034</v>
      </c>
      <c r="AE209" s="162">
        <f>AE201*Premissas!$F$19</f>
        <v>8557.0890406898525</v>
      </c>
      <c r="AF209" s="162">
        <f>AF201*Premissas!$F$19</f>
        <v>9217.8895571350786</v>
      </c>
      <c r="AG209" s="162">
        <f>AG201*Premissas!$F$19</f>
        <v>8673.7008965331279</v>
      </c>
      <c r="AH209" s="162">
        <f>AH201*Premissas!$F$19</f>
        <v>8906.9246082196769</v>
      </c>
      <c r="AI209" s="162">
        <f>AI201*Premissas!$F$19</f>
        <v>11720.417003168537</v>
      </c>
      <c r="AJ209" s="162">
        <f>AJ201*Premissas!$F$19</f>
        <v>11601.028674567089</v>
      </c>
      <c r="AK209" s="162">
        <f>AK201*Premissas!$F$19</f>
        <v>9966.611710922456</v>
      </c>
      <c r="AL209" s="162">
        <f>AL201*Premissas!$F$19</f>
        <v>9368.7445769958231</v>
      </c>
      <c r="AM209" s="162">
        <f>AM201*Premissas!$F$19</f>
        <v>8850.4696621368221</v>
      </c>
      <c r="AN209" s="162">
        <f>AN201*Premissas!$F$19</f>
        <v>7973.1042705540858</v>
      </c>
      <c r="AO209" s="162">
        <f>AO201*Premissas!$F$19</f>
        <v>7574.2176842965337</v>
      </c>
      <c r="AP209" s="162">
        <f>AP201*Premissas!$F$19</f>
        <v>8850.4696621368221</v>
      </c>
      <c r="AQ209" s="162">
        <f>AQ201*Premissas!$F$19</f>
        <v>8770.8774430691901</v>
      </c>
      <c r="AR209" s="162">
        <f>AR201*Premissas!$F$19</f>
        <v>9448.336796063455</v>
      </c>
      <c r="AS209" s="162">
        <f>AS201*Premissas!$F$19</f>
        <v>8890.2657716706381</v>
      </c>
      <c r="AT209" s="162">
        <f>AT201*Premissas!$F$19</f>
        <v>9129.0424288735358</v>
      </c>
      <c r="AU209" s="162">
        <f>AU201*Premissas!$F$19</f>
        <v>12013.797624615507</v>
      </c>
      <c r="AV209" s="162">
        <f>AV201*Premissas!$F$19</f>
        <v>11890.707332336495</v>
      </c>
      <c r="AW209" s="162">
        <f>AW201*Premissas!$F$19</f>
        <v>10215.568768238654</v>
      </c>
      <c r="AX209" s="162">
        <f>AX201*Premissas!$F$19</f>
        <v>9602.8937796017635</v>
      </c>
      <c r="AY209" s="162">
        <f>AY201*Premissas!$F$19</f>
        <v>9071.6619918712895</v>
      </c>
      <c r="AZ209" s="162">
        <f>AZ201*Premissas!$F$19</f>
        <v>8173.0103091425572</v>
      </c>
      <c r="BA209" s="162">
        <f>BA201*Premissas!$F$19</f>
        <v>7763.9433227717036</v>
      </c>
      <c r="BB209" s="162">
        <f>BB201*Premissas!$F$19</f>
        <v>9071.6619918712895</v>
      </c>
      <c r="BC209" s="162">
        <f>BC201*Premissas!$F$19</f>
        <v>8990.2187909648746</v>
      </c>
      <c r="BD209" s="162">
        <f>BD201*Premissas!$F$19</f>
        <v>9684.3369805081784</v>
      </c>
      <c r="BE209" s="162">
        <f>BE201*Premissas!$F$19</f>
        <v>9112.3835923244951</v>
      </c>
      <c r="BF209" s="162">
        <f>BF201*Premissas!$F$19</f>
        <v>9357.6386859631293</v>
      </c>
      <c r="BG209" s="162">
        <f>BG201*Premissas!$F$19</f>
        <v>12313.656682498215</v>
      </c>
      <c r="BH209" s="162">
        <f>BH201*Premissas!$F$19</f>
        <v>12188.71540838042</v>
      </c>
      <c r="BI209" s="162">
        <f>BI201*Premissas!$F$19</f>
        <v>10471.004261990589</v>
      </c>
      <c r="BJ209" s="162">
        <f>BJ201*Premissas!$F$19</f>
        <v>9842.5959277240509</v>
      </c>
      <c r="BK209" s="162">
        <f>BK201*Premissas!$F$19</f>
        <v>9298.407267122102</v>
      </c>
      <c r="BL209" s="162">
        <f>BL201*Premissas!$F$19</f>
        <v>8376.6183114085943</v>
      </c>
      <c r="BM209" s="162">
        <f>BM201*Premissas!$F$19</f>
        <v>7958.296415843829</v>
      </c>
      <c r="BN209" s="162">
        <f>BN201*Premissas!$F$19</f>
        <v>9298.407267122102</v>
      </c>
      <c r="BO209" s="162">
        <f>BO201*Premissas!$F$19</f>
        <v>9214.1875934575146</v>
      </c>
      <c r="BP209" s="162">
        <f>BP201*Premissas!$F$19</f>
        <v>9926.8156013886401</v>
      </c>
      <c r="BQ209" s="162">
        <f>BQ201*Premissas!$F$19</f>
        <v>9340.054358494699</v>
      </c>
      <c r="BR209" s="162">
        <f>BR201*Premissas!$F$19</f>
        <v>9591.7878885690716</v>
      </c>
      <c r="BS209" s="162">
        <f>BS201*Premissas!$F$19</f>
        <v>12621.845158655442</v>
      </c>
      <c r="BT209" s="162">
        <f>BT201*Premissas!$F$19</f>
        <v>12493.201920860081</v>
      </c>
      <c r="BU209" s="162">
        <f>BU201*Premissas!$F$19</f>
        <v>10732.918192178264</v>
      </c>
      <c r="BV209" s="162">
        <f>BV201*Premissas!$F$19</f>
        <v>10088.776512282077</v>
      </c>
      <c r="BW209" s="162">
        <f>BW201*Premissas!$F$19</f>
        <v>9530.7054878892595</v>
      </c>
      <c r="BX209" s="162">
        <f>BX201*Premissas!$F$19</f>
        <v>8586.7047501103661</v>
      </c>
      <c r="BY209" s="162">
        <f>BY201*Premissas!$F$19</f>
        <v>8157.2769635129098</v>
      </c>
      <c r="BZ209" s="162">
        <f>BZ201*Premissas!$F$19</f>
        <v>9530.7054878892595</v>
      </c>
      <c r="CA209" s="162">
        <f>CA201*Premissas!$F$19</f>
        <v>9444.6348323858911</v>
      </c>
      <c r="CB209" s="162">
        <f>CB201*Premissas!$F$19</f>
        <v>10174.847167785447</v>
      </c>
      <c r="CC209" s="162">
        <f>CC201*Premissas!$F$19</f>
        <v>9573.2780701812499</v>
      </c>
      <c r="CD209" s="162">
        <f>CD201*Premissas!$F$19</f>
        <v>9831.4900366913589</v>
      </c>
      <c r="CE209" s="162">
        <f>CE201*Premissas!$F$19</f>
        <v>12937.437562167797</v>
      </c>
      <c r="CF209" s="162">
        <f>CF201*Premissas!$F$19</f>
        <v>12805.092360694873</v>
      </c>
      <c r="CG209" s="162">
        <f>CG201*Premissas!$F$19</f>
        <v>11001.310558801673</v>
      </c>
      <c r="CH209" s="162">
        <f>CH201*Premissas!$F$19</f>
        <v>10341.435533275839</v>
      </c>
      <c r="CI209" s="162">
        <f>CI201*Premissas!$F$19</f>
        <v>9769.4821450921572</v>
      </c>
      <c r="CJ209" s="162">
        <f>CJ201*Premissas!$F$19</f>
        <v>8800.4931524897038</v>
      </c>
      <c r="CK209" s="162">
        <f>CK201*Premissas!$F$19</f>
        <v>8360.8849657789451</v>
      </c>
      <c r="CL209" s="162">
        <f>CL201*Premissas!$F$19</f>
        <v>9769.4821450921572</v>
      </c>
      <c r="CM209" s="162">
        <f>CM201*Premissas!$F$19</f>
        <v>9680.6350168306144</v>
      </c>
      <c r="CN209" s="162">
        <f>CN201*Premissas!$F$19</f>
        <v>10429.357170617992</v>
      </c>
      <c r="CO209" s="162">
        <f>CO201*Premissas!$F$19</f>
        <v>9812.9802183035372</v>
      </c>
      <c r="CP209" s="162">
        <f>CP201*Premissas!$F$19</f>
        <v>10076.745130329993</v>
      </c>
      <c r="CQ209" s="162">
        <f>CQ201*Premissas!$F$19</f>
        <v>13260.433893035281</v>
      </c>
      <c r="CR209" s="162">
        <f>CR201*Premissas!$F$19</f>
        <v>13125.312218804183</v>
      </c>
      <c r="CS209" s="162">
        <f>CS201*Premissas!$F$19</f>
        <v>11276.181361860823</v>
      </c>
      <c r="CT209" s="162">
        <f>CT201*Premissas!$F$19</f>
        <v>10599.647499785948</v>
      </c>
      <c r="CU209" s="162">
        <f>CU201*Premissas!$F$19</f>
        <v>10012.886256892009</v>
      </c>
      <c r="CV209" s="162">
        <f>CV201*Premissas!$F$19</f>
        <v>9020.7599913047798</v>
      </c>
      <c r="CW209" s="162">
        <f>CW201*Premissas!$F$19</f>
        <v>8570.0459135613273</v>
      </c>
      <c r="CX209" s="162">
        <f>CX201*Premissas!$F$19</f>
        <v>10012.886256892009</v>
      </c>
      <c r="CY209" s="162">
        <f>CY201*Premissas!$F$19</f>
        <v>9923.1136377110743</v>
      </c>
      <c r="CZ209" s="162">
        <f>CZ201*Premissas!$F$19</f>
        <v>10689.420118966882</v>
      </c>
      <c r="DA209" s="162">
        <f>DA201*Premissas!$F$19</f>
        <v>10058.235311942171</v>
      </c>
      <c r="DB209" s="162">
        <f>DB201*Premissas!$F$19</f>
        <v>10329.404151323755</v>
      </c>
      <c r="DC209" s="162">
        <f>DC201*Premissas!$F$19</f>
        <v>13592.685133096677</v>
      </c>
      <c r="DD209" s="162">
        <f>DD201*Premissas!$F$19</f>
        <v>13453.861495188015</v>
      </c>
      <c r="DE209" s="162">
        <f>DE201*Premissas!$F$19</f>
        <v>11558.456092275099</v>
      </c>
      <c r="DF209" s="162">
        <f>DF201*Premissas!$F$19</f>
        <v>10864.337902731795</v>
      </c>
      <c r="DG209" s="162">
        <f>DG201*Premissas!$F$19</f>
        <v>10263.69429604699</v>
      </c>
      <c r="DH209" s="162">
        <f>DH201*Premissas!$F$19</f>
        <v>9246.5797756362008</v>
      </c>
      <c r="DI209" s="162">
        <f>DI201*Premissas!$F$19</f>
        <v>8783.834315940665</v>
      </c>
      <c r="DJ209" s="162">
        <f>DJ201*Premissas!$F$19</f>
        <v>10263.69429604699</v>
      </c>
      <c r="DK209" s="162">
        <f>DK201*Premissas!$F$19</f>
        <v>10171.145204107883</v>
      </c>
      <c r="DL209" s="162">
        <f>DL201*Premissas!$F$19</f>
        <v>10956.886994670902</v>
      </c>
      <c r="DM209" s="162">
        <f>DM201*Premissas!$F$19</f>
        <v>10309.968842016544</v>
      </c>
      <c r="DN209" s="162">
        <f>DN201*Premissas!$F$19</f>
        <v>10587.616117833864</v>
      </c>
      <c r="DO209" s="162">
        <f>DO201*Premissas!$F$19</f>
        <v>13932.340300513199</v>
      </c>
      <c r="DP209" s="162">
        <f>DP201*Premissas!$F$19</f>
        <v>13789.814698926974</v>
      </c>
      <c r="DQ209" s="162">
        <f>DQ201*Premissas!$F$19</f>
        <v>11847.209259125113</v>
      </c>
      <c r="DR209" s="162">
        <f>DR201*Premissas!$F$19</f>
        <v>11136.43223303277</v>
      </c>
      <c r="DS209" s="162">
        <f>DS201*Premissas!$F$19</f>
        <v>10520.055280718316</v>
      </c>
    </row>
    <row r="210" spans="1:123" ht="12.75" customHeight="1" x14ac:dyDescent="0.35">
      <c r="A210" s="163" t="s">
        <v>498</v>
      </c>
      <c r="B210" s="164">
        <f>SUM(D210:BQ210)</f>
        <v>29586.665608979863</v>
      </c>
      <c r="C210" s="144">
        <f>B210/60</f>
        <v>493.11109348299772</v>
      </c>
      <c r="D210" s="164">
        <f>IF(D205&gt;0,0,MAX(D201-D202-D203,0)*Premissas!$B$7)</f>
        <v>1222.2958572397881</v>
      </c>
      <c r="E210" s="164">
        <f>IF(E205&gt;0,0,MAX(E201-E202-E203,0)*Premissas!$B$7)</f>
        <v>337.1563419341681</v>
      </c>
      <c r="F210" s="164">
        <f>IF(F205&gt;0,0,MAX(F201-F202-F203,0)*Premissas!$B$7)</f>
        <v>123.18284137095118</v>
      </c>
      <c r="G210" s="164">
        <f>IF(G205&gt;0,0,MAX(G201-G202-G203,0)*Premissas!$B$7)</f>
        <v>656.45070912408801</v>
      </c>
      <c r="H210" s="164">
        <f>IF(H205&gt;0,0,MAX(H201-H202-H203,0)*Premissas!$B$7)</f>
        <v>0</v>
      </c>
      <c r="I210" s="164">
        <f>IF(I205&gt;0,0,MAX(I201-I202-I203,0)*Premissas!$B$7)</f>
        <v>0</v>
      </c>
      <c r="J210" s="164">
        <f>IF(J205&gt;0,0,MAX(J201-J202-J203,0)*Premissas!$B$7)</f>
        <v>0</v>
      </c>
      <c r="K210" s="164">
        <f>IF(K205&gt;0,0,MAX(K201-K202-K203,0)*Premissas!$B$7)</f>
        <v>0</v>
      </c>
      <c r="L210" s="164">
        <f>IF(L205&gt;0,0,MAX(L201-L202-L203,0)*Premissas!$B$7)</f>
        <v>0</v>
      </c>
      <c r="M210" s="164">
        <f>IF(M205&gt;0,0,MAX(M201-M202-M203,0)*Premissas!$B$7)</f>
        <v>0</v>
      </c>
      <c r="N210" s="164">
        <f>IF(N205&gt;0,0,MAX(N201-N202-N203,0)*Premissas!$B$7)</f>
        <v>0</v>
      </c>
      <c r="O210" s="164">
        <f>IF(O205&gt;0,0,MAX(O201-O202-O203,0)*Premissas!$B$7)</f>
        <v>0</v>
      </c>
      <c r="P210" s="164">
        <f>IF(P205&gt;0,0,MAX(P201-P202-P203,0)*Premissas!$B$7)</f>
        <v>0</v>
      </c>
      <c r="Q210" s="164">
        <f>IF(Q205&gt;0,0,MAX(Q201-Q202-Q203,0)*Premissas!$B$7)</f>
        <v>0</v>
      </c>
      <c r="R210" s="164">
        <f>IF(R205&gt;0,0,MAX(R201-R202-R203,0)*Premissas!$B$7)</f>
        <v>0</v>
      </c>
      <c r="S210" s="164">
        <f>IF(S205&gt;0,0,MAX(S201-S202-S203,0)*Premissas!$B$7)</f>
        <v>0</v>
      </c>
      <c r="T210" s="164">
        <f>IF(T205&gt;0,0,MAX(T201-T202-T203,0)*Premissas!$B$7)</f>
        <v>0</v>
      </c>
      <c r="U210" s="164">
        <f>IF(U205&gt;0,0,MAX(U201-U202-U203,0)*Premissas!$B$7)</f>
        <v>0</v>
      </c>
      <c r="V210" s="164">
        <f>IF(V205&gt;0,0,MAX(V201-V202-V203,0)*Premissas!$B$7)</f>
        <v>0</v>
      </c>
      <c r="W210" s="164">
        <f>IF(W205&gt;0,0,MAX(W201-W202-W203,0)*Premissas!$B$7)</f>
        <v>0</v>
      </c>
      <c r="X210" s="164">
        <f>IF(X205&gt;0,0,MAX(X201-X202-X203,0)*Premissas!$B$7)</f>
        <v>0</v>
      </c>
      <c r="Y210" s="164">
        <f>IF(Y205&gt;0,0,MAX(Y201-Y202-Y203,0)*Premissas!$B$7)</f>
        <v>0</v>
      </c>
      <c r="Z210" s="164">
        <f>IF(Z205&gt;0,0,MAX(Z201-Z202-Z203,0)*Premissas!$B$7)</f>
        <v>0</v>
      </c>
      <c r="AA210" s="164">
        <f>IF(AA205&gt;0,0,MAX(AA201-AA202-AA203,0)*Premissas!$B$7)</f>
        <v>0</v>
      </c>
      <c r="AB210" s="164">
        <f>IF(AB205&gt;0,0,MAX(AB201-AB202-AB203,0)*Premissas!$B$7)</f>
        <v>0</v>
      </c>
      <c r="AC210" s="164">
        <f>IF(AC205&gt;0,0,MAX(AC201-AC202-AC203,0)*Premissas!$B$7)</f>
        <v>0</v>
      </c>
      <c r="AD210" s="164">
        <f>IF(AD205&gt;0,0,MAX(AD201-AD202-AD203,0)*Premissas!$B$7)</f>
        <v>0</v>
      </c>
      <c r="AE210" s="164">
        <f>IF(AE205&gt;0,0,MAX(AE201-AE202-AE203,0)*Premissas!$B$7)</f>
        <v>0</v>
      </c>
      <c r="AF210" s="164">
        <f>IF(AF205&gt;0,0,MAX(AF201-AF202-AF203,0)*Premissas!$B$7)</f>
        <v>0</v>
      </c>
      <c r="AG210" s="164">
        <f>IF(AG205&gt;0,0,MAX(AG201-AG202-AG203,0)*Premissas!$B$7)</f>
        <v>0</v>
      </c>
      <c r="AH210" s="164">
        <f>IF(AH205&gt;0,0,MAX(AH201-AH202-AH203,0)*Premissas!$B$7)</f>
        <v>0</v>
      </c>
      <c r="AI210" s="164">
        <f>IF(AI205&gt;0,0,MAX(AI201-AI202-AI203,0)*Premissas!$B$7)</f>
        <v>0</v>
      </c>
      <c r="AJ210" s="164">
        <f>IF(AJ205&gt;0,0,MAX(AJ201-AJ202-AJ203,0)*Premissas!$B$7)</f>
        <v>0</v>
      </c>
      <c r="AK210" s="164">
        <f>IF(AK205&gt;0,0,MAX(AK201-AK202-AK203,0)*Premissas!$B$7)</f>
        <v>0</v>
      </c>
      <c r="AL210" s="164">
        <f>IF(AL205&gt;0,0,MAX(AL201-AL202-AL203,0)*Premissas!$B$7)</f>
        <v>0</v>
      </c>
      <c r="AM210" s="164">
        <f>IF(AM205&gt;0,0,MAX(AM201-AM202-AM203,0)*Premissas!$B$7)</f>
        <v>0</v>
      </c>
      <c r="AN210" s="164">
        <f>IF(AN205&gt;0,0,MAX(AN201-AN202-AN203,0)*Premissas!$B$7)</f>
        <v>0</v>
      </c>
      <c r="AO210" s="164">
        <f>IF(AO205&gt;0,0,MAX(AO201-AO202-AO203,0)*Premissas!$B$7)</f>
        <v>0</v>
      </c>
      <c r="AP210" s="164">
        <f>IF(AP205&gt;0,0,MAX(AP201-AP202-AP203,0)*Premissas!$B$7)</f>
        <v>0</v>
      </c>
      <c r="AQ210" s="164">
        <f>IF(AQ205&gt;0,0,MAX(AQ201-AQ202-AQ203,0)*Premissas!$B$7)</f>
        <v>0</v>
      </c>
      <c r="AR210" s="164">
        <f>IF(AR205&gt;0,0,MAX(AR201-AR202-AR203,0)*Premissas!$B$7)</f>
        <v>0</v>
      </c>
      <c r="AS210" s="164">
        <f>IF(AS205&gt;0,0,MAX(AS201-AS202-AS203,0)*Premissas!$B$7)</f>
        <v>0</v>
      </c>
      <c r="AT210" s="164">
        <f>IF(AT205&gt;0,0,MAX(AT201-AT202-AT203,0)*Premissas!$B$7)</f>
        <v>0</v>
      </c>
      <c r="AU210" s="164">
        <f>IF(AU205&gt;0,0,MAX(AU201-AU202-AU203,0)*Premissas!$B$7)</f>
        <v>0</v>
      </c>
      <c r="AV210" s="164">
        <f>IF(AV205&gt;0,0,MAX(AV201-AV202-AV203,0)*Premissas!$B$7)</f>
        <v>0</v>
      </c>
      <c r="AW210" s="164">
        <f>IF(AW205&gt;0,0,MAX(AW201-AW202-AW203,0)*Premissas!$B$7)</f>
        <v>0</v>
      </c>
      <c r="AX210" s="164">
        <f>IF(AX205&gt;0,0,MAX(AX201-AX202-AX203,0)*Premissas!$B$7)</f>
        <v>0</v>
      </c>
      <c r="AY210" s="164">
        <f>IF(AY205&gt;0,0,MAX(AY201-AY202-AY203,0)*Premissas!$B$7)</f>
        <v>0</v>
      </c>
      <c r="AZ210" s="164">
        <f>IF(AZ205&gt;0,0,MAX(AZ201-AZ202-AZ203,0)*Premissas!$B$7)</f>
        <v>0</v>
      </c>
      <c r="BA210" s="164">
        <f>IF(BA205&gt;0,0,MAX(BA201-BA202-BA203,0)*Premissas!$B$7)</f>
        <v>0</v>
      </c>
      <c r="BB210" s="164">
        <f>IF(BB205&gt;0,0,MAX(BB201-BB202-BB203,0)*Premissas!$B$7)</f>
        <v>2381.886271660564</v>
      </c>
      <c r="BC210" s="164">
        <f>IF(BC205&gt;0,0,MAX(BC201-BC202-BC203,0)*Premissas!$B$7)</f>
        <v>3703.1802706308954</v>
      </c>
      <c r="BD210" s="164">
        <f>IF(BD205&gt;0,0,MAX(BD201-BD202-BD203,0)*Premissas!$B$7)</f>
        <v>4362.2313515667875</v>
      </c>
      <c r="BE210" s="164">
        <f>IF(BE205&gt;0,0,MAX(BE201-BE202-BE203,0)*Premissas!$B$7)</f>
        <v>3903.5508644861261</v>
      </c>
      <c r="BF210" s="164">
        <f>IF(BF205&gt;0,0,MAX(BF201-BF202-BF203,0)*Premissas!$B$7)</f>
        <v>702.9543690525403</v>
      </c>
      <c r="BG210" s="164">
        <f>IF(BG205&gt;0,0,MAX(BG201-BG202-BG203,0)*Premissas!$B$7)</f>
        <v>4046.8570004822086</v>
      </c>
      <c r="BH210" s="164">
        <f>IF(BH205&gt;0,0,MAX(BH201-BH202-BH203,0)*Premissas!$B$7)</f>
        <v>5126.3369955299913</v>
      </c>
      <c r="BI210" s="164">
        <f>IF(BI205&gt;0,0,MAX(BI201-BI202-BI203,0)*Premissas!$B$7)</f>
        <v>1493.0812556612559</v>
      </c>
      <c r="BJ210" s="164">
        <f>IF(BJ205&gt;0,0,MAX(BJ201-BJ202-BJ203,0)*Premissas!$B$7)</f>
        <v>732.93389799885995</v>
      </c>
      <c r="BK210" s="164">
        <f>IF(BK205&gt;0,0,MAX(BK201-BK202-BK203,0)*Premissas!$B$7)</f>
        <v>794.56758224164037</v>
      </c>
      <c r="BL210" s="164">
        <f>IF(BL205&gt;0,0,MAX(BL201-BL202-BL203,0)*Premissas!$B$7)</f>
        <v>0</v>
      </c>
      <c r="BM210" s="164">
        <f>IF(BM205&gt;0,0,MAX(BM201-BM202-BM203,0)*Premissas!$B$7)</f>
        <v>0</v>
      </c>
      <c r="BN210" s="164">
        <f>IF(BN205&gt;0,0,MAX(BN201-BN202-BN203,0)*Premissas!$B$7)</f>
        <v>0</v>
      </c>
      <c r="BO210" s="164">
        <f>IF(BO205&gt;0,0,MAX(BO201-BO202-BO203,0)*Premissas!$B$7)</f>
        <v>0</v>
      </c>
      <c r="BP210" s="164">
        <f>IF(BP205&gt;0,0,MAX(BP201-BP202-BP203,0)*Premissas!$B$7)</f>
        <v>0</v>
      </c>
      <c r="BQ210" s="164">
        <f>IF(BQ205&gt;0,0,MAX(BQ201-BQ202-BQ203,0)*Premissas!$B$7)</f>
        <v>0</v>
      </c>
      <c r="BR210" s="164">
        <f>IF(BR205&gt;0,0,MAX(BR201-BR202-BR203,0)*Premissas!$B$7)</f>
        <v>0</v>
      </c>
      <c r="BS210" s="164">
        <f>IF(BS205&gt;0,0,MAX(BS201-BS202-BS203,0)*Premissas!$B$7)</f>
        <v>0</v>
      </c>
      <c r="BT210" s="164">
        <f>IF(BT205&gt;0,0,MAX(BT201-BT202-BT203,0)*Premissas!$B$7)</f>
        <v>0</v>
      </c>
      <c r="BU210" s="164">
        <f>IF(BU205&gt;0,0,MAX(BU201-BU202-BU203,0)*Premissas!$B$7)</f>
        <v>0</v>
      </c>
      <c r="BV210" s="164">
        <f>IF(BV205&gt;0,0,MAX(BV201-BV202-BV203,0)*Premissas!$B$7)</f>
        <v>0</v>
      </c>
      <c r="BW210" s="164">
        <f>IF(BW205&gt;0,0,MAX(BW201-BW202-BW203,0)*Premissas!$B$7)</f>
        <v>0</v>
      </c>
      <c r="BX210" s="164">
        <f>IF(BX205&gt;0,0,MAX(BX201-BX202-BX203,0)*Premissas!$B$7)</f>
        <v>0</v>
      </c>
      <c r="BY210" s="164">
        <f>IF(BY205&gt;0,0,MAX(BY201-BY202-BY203,0)*Premissas!$B$7)</f>
        <v>0</v>
      </c>
      <c r="BZ210" s="164">
        <f>IF(BZ205&gt;0,0,MAX(BZ201-BZ202-BZ203,0)*Premissas!$B$7)</f>
        <v>0</v>
      </c>
      <c r="CA210" s="164">
        <f>IF(CA205&gt;0,0,MAX(CA201-CA202-CA203,0)*Premissas!$B$7)</f>
        <v>0</v>
      </c>
      <c r="CB210" s="164">
        <f>IF(CB205&gt;0,0,MAX(CB201-CB202-CB203,0)*Premissas!$B$7)</f>
        <v>0</v>
      </c>
      <c r="CC210" s="164">
        <f>IF(CC205&gt;0,0,MAX(CC201-CC202-CC203,0)*Premissas!$B$7)</f>
        <v>0</v>
      </c>
      <c r="CD210" s="164">
        <f>IF(CD205&gt;0,0,MAX(CD201-CD202-CD203,0)*Premissas!$B$7)</f>
        <v>0</v>
      </c>
      <c r="CE210" s="164">
        <f>IF(CE205&gt;0,0,MAX(CE201-CE202-CE203,0)*Premissas!$B$7)</f>
        <v>0</v>
      </c>
      <c r="CF210" s="164">
        <f>IF(CF205&gt;0,0,MAX(CF201-CF202-CF203,0)*Premissas!$B$7)</f>
        <v>0</v>
      </c>
      <c r="CG210" s="164">
        <f>IF(CG205&gt;0,0,MAX(CG201-CG202-CG203,0)*Premissas!$B$7)</f>
        <v>0</v>
      </c>
      <c r="CH210" s="164">
        <f>IF(CH205&gt;0,0,MAX(CH201-CH202-CH203,0)*Premissas!$B$7)</f>
        <v>0</v>
      </c>
      <c r="CI210" s="164">
        <f>IF(CI205&gt;0,0,MAX(CI201-CI202-CI203,0)*Premissas!$B$7)</f>
        <v>0</v>
      </c>
      <c r="CJ210" s="164">
        <f>IF(CJ205&gt;0,0,MAX(CJ201-CJ202-CJ203,0)*Premissas!$B$7)</f>
        <v>0</v>
      </c>
      <c r="CK210" s="164">
        <f>IF(CK205&gt;0,0,MAX(CK201-CK202-CK203,0)*Premissas!$B$7)</f>
        <v>0</v>
      </c>
      <c r="CL210" s="164">
        <f>IF(CL205&gt;0,0,MAX(CL201-CL202-CL203,0)*Premissas!$B$7)</f>
        <v>0</v>
      </c>
      <c r="CM210" s="164">
        <f>IF(CM205&gt;0,0,MAX(CM201-CM202-CM203,0)*Premissas!$B$7)</f>
        <v>0</v>
      </c>
      <c r="CN210" s="164">
        <f>IF(CN205&gt;0,0,MAX(CN201-CN202-CN203,0)*Premissas!$B$7)</f>
        <v>0</v>
      </c>
      <c r="CO210" s="164">
        <f>IF(CO205&gt;0,0,MAX(CO201-CO202-CO203,0)*Premissas!$B$7)</f>
        <v>0</v>
      </c>
      <c r="CP210" s="164">
        <f>IF(CP205&gt;0,0,MAX(CP201-CP202-CP203,0)*Premissas!$B$7)</f>
        <v>0</v>
      </c>
      <c r="CQ210" s="164">
        <f>IF(CQ205&gt;0,0,MAX(CQ201-CQ202-CQ203,0)*Premissas!$B$7)</f>
        <v>0</v>
      </c>
      <c r="CR210" s="164">
        <f>IF(CR205&gt;0,0,MAX(CR201-CR202-CR203,0)*Premissas!$B$7)</f>
        <v>0</v>
      </c>
      <c r="CS210" s="164">
        <f>IF(CS205&gt;0,0,MAX(CS201-CS202-CS203,0)*Premissas!$B$7)</f>
        <v>0</v>
      </c>
      <c r="CT210" s="164">
        <f>IF(CT205&gt;0,0,MAX(CT201-CT202-CT203,0)*Premissas!$B$7)</f>
        <v>0</v>
      </c>
      <c r="CU210" s="164">
        <f>IF(CU205&gt;0,0,MAX(CU201-CU202-CU203,0)*Premissas!$B$7)</f>
        <v>0</v>
      </c>
      <c r="CV210" s="164">
        <f>IF(CV205&gt;0,0,MAX(CV201-CV202-CV203,0)*Premissas!$B$7)</f>
        <v>0</v>
      </c>
      <c r="CW210" s="164">
        <f>IF(CW205&gt;0,0,MAX(CW201-CW202-CW203,0)*Premissas!$B$7)</f>
        <v>0</v>
      </c>
      <c r="CX210" s="164">
        <f>IF(CX205&gt;0,0,MAX(CX201-CX202-CX203,0)*Premissas!$B$7)</f>
        <v>0</v>
      </c>
      <c r="CY210" s="164">
        <f>IF(CY205&gt;0,0,MAX(CY201-CY202-CY203,0)*Premissas!$B$7)</f>
        <v>0</v>
      </c>
      <c r="CZ210" s="164">
        <f>IF(CZ205&gt;0,0,MAX(CZ201-CZ202-CZ203,0)*Premissas!$B$7)</f>
        <v>0</v>
      </c>
      <c r="DA210" s="164">
        <f>IF(DA205&gt;0,0,MAX(DA201-DA202-DA203,0)*Premissas!$B$7)</f>
        <v>0</v>
      </c>
      <c r="DB210" s="164">
        <f>IF(DB205&gt;0,0,MAX(DB201-DB202-DB203,0)*Premissas!$B$7)</f>
        <v>0</v>
      </c>
      <c r="DC210" s="164">
        <f>IF(DC205&gt;0,0,MAX(DC201-DC202-DC203,0)*Premissas!$B$7)</f>
        <v>0</v>
      </c>
      <c r="DD210" s="164">
        <f>IF(DD205&gt;0,0,MAX(DD201-DD202-DD203,0)*Premissas!$B$7)</f>
        <v>0</v>
      </c>
      <c r="DE210" s="164">
        <f>IF(DE205&gt;0,0,MAX(DE201-DE202-DE203,0)*Premissas!$B$7)</f>
        <v>0</v>
      </c>
      <c r="DF210" s="164">
        <f>IF(DF205&gt;0,0,MAX(DF201-DF202-DF203,0)*Premissas!$B$7)</f>
        <v>0</v>
      </c>
      <c r="DG210" s="164">
        <f>IF(DG205&gt;0,0,MAX(DG201-DG202-DG203,0)*Premissas!$B$7)</f>
        <v>0</v>
      </c>
      <c r="DH210" s="164">
        <f>IF(DH205&gt;0,0,MAX(DH201-DH202-DH203,0)*Premissas!$B$7)</f>
        <v>4832.6264192164053</v>
      </c>
      <c r="DI210" s="164">
        <f>IF(DI205&gt;0,0,MAX(DI201-DI202-DI203,0)*Premissas!$B$7)</f>
        <v>10979.792894925831</v>
      </c>
      <c r="DJ210" s="164">
        <f>IF(DJ205&gt;0,0,MAX(DJ201-DJ202-DJ203,0)*Premissas!$B$7)</f>
        <v>12829.617870058735</v>
      </c>
      <c r="DK210" s="164">
        <f>IF(DK205&gt;0,0,MAX(DK201-DK202-DK203,0)*Premissas!$B$7)</f>
        <v>12713.931505134851</v>
      </c>
      <c r="DL210" s="164">
        <f>IF(DL205&gt;0,0,MAX(DL201-DL202-DL203,0)*Premissas!$B$7)</f>
        <v>13696.108743338627</v>
      </c>
      <c r="DM210" s="164">
        <f>IF(DM205&gt;0,0,MAX(DM201-DM202-DM203,0)*Premissas!$B$7)</f>
        <v>12887.461052520677</v>
      </c>
      <c r="DN210" s="164">
        <f>IF(DN205&gt;0,0,MAX(DN201-DN202-DN203,0)*Premissas!$B$7)</f>
        <v>13234.520147292329</v>
      </c>
      <c r="DO210" s="164">
        <f>IF(DO205&gt;0,0,MAX(DO201-DO202-DO203,0)*Premissas!$B$7)</f>
        <v>17415.425375641498</v>
      </c>
      <c r="DP210" s="164">
        <f>IF(DP205&gt;0,0,MAX(DP201-DP202-DP203,0)*Premissas!$B$7)</f>
        <v>17237.268373658717</v>
      </c>
      <c r="DQ210" s="164">
        <f>IF(DQ205&gt;0,0,MAX(DQ201-DQ202-DQ203,0)*Premissas!$B$7)</f>
        <v>14809.011573906391</v>
      </c>
      <c r="DR210" s="164">
        <f>IF(DR205&gt;0,0,MAX(DR201-DR202-DR203,0)*Premissas!$B$7)</f>
        <v>13920.540291290961</v>
      </c>
      <c r="DS210" s="164">
        <f>IF(DS205&gt;0,0,MAX(DS201-DS202-DS203,0)*Premissas!$B$7)</f>
        <v>13150.069100897894</v>
      </c>
    </row>
    <row r="211" spans="1:123" ht="13.5" customHeight="1" x14ac:dyDescent="0.35">
      <c r="A211" s="39" t="s">
        <v>499</v>
      </c>
      <c r="B211" s="42">
        <f>SUM(D211:BQ211)</f>
        <v>576964.34961429925</v>
      </c>
      <c r="C211" s="144">
        <f>B211/60</f>
        <v>9616.0724935716535</v>
      </c>
      <c r="D211" s="165">
        <f t="shared" ref="D211:AI211" si="406">MAX(D209-D210,0)</f>
        <v>6181.6314978887885</v>
      </c>
      <c r="E211" s="165">
        <f t="shared" si="406"/>
        <v>6696.5746454379796</v>
      </c>
      <c r="F211" s="165">
        <f t="shared" si="406"/>
        <v>8095.1765228217691</v>
      </c>
      <c r="G211" s="165">
        <f t="shared" si="406"/>
        <v>7487.8693815173465</v>
      </c>
      <c r="H211" s="165">
        <f t="shared" si="406"/>
        <v>8773.6539158273627</v>
      </c>
      <c r="I211" s="165">
        <f t="shared" si="406"/>
        <v>8255.3790009683635</v>
      </c>
      <c r="J211" s="165">
        <f t="shared" si="406"/>
        <v>8477.4968216222205</v>
      </c>
      <c r="K211" s="165">
        <f t="shared" si="406"/>
        <v>11155.867542339984</v>
      </c>
      <c r="L211" s="165">
        <f t="shared" si="406"/>
        <v>11042.032159254881</v>
      </c>
      <c r="M211" s="165">
        <f t="shared" si="406"/>
        <v>9486.2819237584881</v>
      </c>
      <c r="N211" s="165">
        <f t="shared" si="406"/>
        <v>8917.1050083329792</v>
      </c>
      <c r="O211" s="165">
        <f t="shared" si="406"/>
        <v>8423.8183482975383</v>
      </c>
      <c r="P211" s="165">
        <f t="shared" si="406"/>
        <v>7589.0255390067914</v>
      </c>
      <c r="Q211" s="165">
        <f t="shared" si="406"/>
        <v>7209.5742620564515</v>
      </c>
      <c r="R211" s="165">
        <f t="shared" si="406"/>
        <v>8423.8183482975383</v>
      </c>
      <c r="S211" s="165">
        <f t="shared" si="406"/>
        <v>8347.9280929074703</v>
      </c>
      <c r="T211" s="165">
        <f t="shared" si="406"/>
        <v>8992.9952637230472</v>
      </c>
      <c r="U211" s="165">
        <f t="shared" si="406"/>
        <v>8461.7634759925713</v>
      </c>
      <c r="V211" s="165">
        <f t="shared" si="406"/>
        <v>8689.4342421627753</v>
      </c>
      <c r="W211" s="165">
        <f t="shared" si="406"/>
        <v>11155.867542339984</v>
      </c>
      <c r="X211" s="165">
        <f t="shared" si="406"/>
        <v>11042.032159254881</v>
      </c>
      <c r="Y211" s="165">
        <f t="shared" si="406"/>
        <v>9486.2819237584881</v>
      </c>
      <c r="Z211" s="165">
        <f t="shared" si="406"/>
        <v>8917.1050083329792</v>
      </c>
      <c r="AA211" s="165">
        <f t="shared" si="406"/>
        <v>8423.8183482975383</v>
      </c>
      <c r="AB211" s="165">
        <f t="shared" si="406"/>
        <v>7778.7511774819604</v>
      </c>
      <c r="AC211" s="165">
        <f t="shared" si="406"/>
        <v>7390.0449913377106</v>
      </c>
      <c r="AD211" s="165">
        <f t="shared" si="406"/>
        <v>8634.8302779187034</v>
      </c>
      <c r="AE211" s="165">
        <f t="shared" si="406"/>
        <v>8557.0890406898525</v>
      </c>
      <c r="AF211" s="165">
        <f t="shared" si="406"/>
        <v>9217.8895571350786</v>
      </c>
      <c r="AG211" s="165">
        <f t="shared" si="406"/>
        <v>8673.7008965331279</v>
      </c>
      <c r="AH211" s="165">
        <f t="shared" si="406"/>
        <v>8906.9246082196769</v>
      </c>
      <c r="AI211" s="165">
        <f t="shared" si="406"/>
        <v>11720.417003168537</v>
      </c>
      <c r="AJ211" s="165">
        <f t="shared" ref="AJ211:BO211" si="407">MAX(AJ209-AJ210,0)</f>
        <v>11601.028674567089</v>
      </c>
      <c r="AK211" s="165">
        <f t="shared" si="407"/>
        <v>9966.611710922456</v>
      </c>
      <c r="AL211" s="165">
        <f t="shared" si="407"/>
        <v>9368.7445769958231</v>
      </c>
      <c r="AM211" s="165">
        <f t="shared" si="407"/>
        <v>8850.4696621368221</v>
      </c>
      <c r="AN211" s="165">
        <f t="shared" si="407"/>
        <v>7973.1042705540858</v>
      </c>
      <c r="AO211" s="165">
        <f t="shared" si="407"/>
        <v>7574.2176842965337</v>
      </c>
      <c r="AP211" s="165">
        <f t="shared" si="407"/>
        <v>8850.4696621368221</v>
      </c>
      <c r="AQ211" s="165">
        <f t="shared" si="407"/>
        <v>8770.8774430691901</v>
      </c>
      <c r="AR211" s="165">
        <f t="shared" si="407"/>
        <v>9448.336796063455</v>
      </c>
      <c r="AS211" s="165">
        <f t="shared" si="407"/>
        <v>8890.2657716706381</v>
      </c>
      <c r="AT211" s="165">
        <f t="shared" si="407"/>
        <v>9129.0424288735358</v>
      </c>
      <c r="AU211" s="165">
        <f t="shared" si="407"/>
        <v>12013.797624615507</v>
      </c>
      <c r="AV211" s="165">
        <f t="shared" si="407"/>
        <v>11890.707332336495</v>
      </c>
      <c r="AW211" s="165">
        <f t="shared" si="407"/>
        <v>10215.568768238654</v>
      </c>
      <c r="AX211" s="165">
        <f t="shared" si="407"/>
        <v>9602.8937796017635</v>
      </c>
      <c r="AY211" s="165">
        <f t="shared" si="407"/>
        <v>9071.6619918712895</v>
      </c>
      <c r="AZ211" s="165">
        <f t="shared" si="407"/>
        <v>8173.0103091425572</v>
      </c>
      <c r="BA211" s="165">
        <f t="shared" si="407"/>
        <v>7763.9433227717036</v>
      </c>
      <c r="BB211" s="165">
        <f t="shared" si="407"/>
        <v>6689.7757202107259</v>
      </c>
      <c r="BC211" s="165">
        <f t="shared" si="407"/>
        <v>5287.0385203339792</v>
      </c>
      <c r="BD211" s="165">
        <f t="shared" si="407"/>
        <v>5322.1056289413909</v>
      </c>
      <c r="BE211" s="165">
        <f t="shared" si="407"/>
        <v>5208.8327278383695</v>
      </c>
      <c r="BF211" s="165">
        <f t="shared" si="407"/>
        <v>8654.6843169105887</v>
      </c>
      <c r="BG211" s="165">
        <f t="shared" si="407"/>
        <v>8266.799682016006</v>
      </c>
      <c r="BH211" s="165">
        <f t="shared" si="407"/>
        <v>7062.3784128504285</v>
      </c>
      <c r="BI211" s="165">
        <f t="shared" si="407"/>
        <v>8977.9230063293326</v>
      </c>
      <c r="BJ211" s="165">
        <f t="shared" si="407"/>
        <v>9109.6620297251902</v>
      </c>
      <c r="BK211" s="165">
        <f t="shared" si="407"/>
        <v>8503.8396848804623</v>
      </c>
      <c r="BL211" s="165">
        <f t="shared" si="407"/>
        <v>8376.6183114085943</v>
      </c>
      <c r="BM211" s="165">
        <f t="shared" si="407"/>
        <v>7958.296415843829</v>
      </c>
      <c r="BN211" s="165">
        <f t="shared" si="407"/>
        <v>9298.407267122102</v>
      </c>
      <c r="BO211" s="165">
        <f t="shared" si="407"/>
        <v>9214.1875934575146</v>
      </c>
      <c r="BP211" s="165">
        <f t="shared" ref="BP211:CU211" si="408">MAX(BP209-BP210,0)</f>
        <v>9926.8156013886401</v>
      </c>
      <c r="BQ211" s="165">
        <f t="shared" si="408"/>
        <v>9340.054358494699</v>
      </c>
      <c r="BR211" s="165">
        <f t="shared" si="408"/>
        <v>9591.7878885690716</v>
      </c>
      <c r="BS211" s="165">
        <f t="shared" si="408"/>
        <v>12621.845158655442</v>
      </c>
      <c r="BT211" s="165">
        <f t="shared" si="408"/>
        <v>12493.201920860081</v>
      </c>
      <c r="BU211" s="165">
        <f t="shared" si="408"/>
        <v>10732.918192178264</v>
      </c>
      <c r="BV211" s="165">
        <f t="shared" si="408"/>
        <v>10088.776512282077</v>
      </c>
      <c r="BW211" s="165">
        <f t="shared" si="408"/>
        <v>9530.7054878892595</v>
      </c>
      <c r="BX211" s="165">
        <f t="shared" si="408"/>
        <v>8586.7047501103661</v>
      </c>
      <c r="BY211" s="165">
        <f t="shared" si="408"/>
        <v>8157.2769635129098</v>
      </c>
      <c r="BZ211" s="165">
        <f t="shared" si="408"/>
        <v>9530.7054878892595</v>
      </c>
      <c r="CA211" s="165">
        <f t="shared" si="408"/>
        <v>9444.6348323858911</v>
      </c>
      <c r="CB211" s="165">
        <f t="shared" si="408"/>
        <v>10174.847167785447</v>
      </c>
      <c r="CC211" s="165">
        <f t="shared" si="408"/>
        <v>9573.2780701812499</v>
      </c>
      <c r="CD211" s="165">
        <f t="shared" si="408"/>
        <v>9831.4900366913589</v>
      </c>
      <c r="CE211" s="165">
        <f t="shared" si="408"/>
        <v>12937.437562167797</v>
      </c>
      <c r="CF211" s="165">
        <f t="shared" si="408"/>
        <v>12805.092360694873</v>
      </c>
      <c r="CG211" s="165">
        <f t="shared" si="408"/>
        <v>11001.310558801673</v>
      </c>
      <c r="CH211" s="165">
        <f t="shared" si="408"/>
        <v>10341.435533275839</v>
      </c>
      <c r="CI211" s="165">
        <f t="shared" si="408"/>
        <v>9769.4821450921572</v>
      </c>
      <c r="CJ211" s="165">
        <f t="shared" si="408"/>
        <v>8800.4931524897038</v>
      </c>
      <c r="CK211" s="165">
        <f t="shared" si="408"/>
        <v>8360.8849657789451</v>
      </c>
      <c r="CL211" s="165">
        <f t="shared" si="408"/>
        <v>9769.4821450921572</v>
      </c>
      <c r="CM211" s="165">
        <f t="shared" si="408"/>
        <v>9680.6350168306144</v>
      </c>
      <c r="CN211" s="165">
        <f t="shared" si="408"/>
        <v>10429.357170617992</v>
      </c>
      <c r="CO211" s="165">
        <f t="shared" si="408"/>
        <v>9812.9802183035372</v>
      </c>
      <c r="CP211" s="165">
        <f t="shared" si="408"/>
        <v>10076.745130329993</v>
      </c>
      <c r="CQ211" s="165">
        <f t="shared" si="408"/>
        <v>13260.433893035281</v>
      </c>
      <c r="CR211" s="165">
        <f t="shared" si="408"/>
        <v>13125.312218804183</v>
      </c>
      <c r="CS211" s="165">
        <f t="shared" si="408"/>
        <v>11276.181361860823</v>
      </c>
      <c r="CT211" s="165">
        <f t="shared" si="408"/>
        <v>10599.647499785948</v>
      </c>
      <c r="CU211" s="165">
        <f t="shared" si="408"/>
        <v>10012.886256892009</v>
      </c>
      <c r="CV211" s="165">
        <f t="shared" ref="CV211:DS211" si="409">MAX(CV209-CV210,0)</f>
        <v>9020.7599913047798</v>
      </c>
      <c r="CW211" s="165">
        <f t="shared" si="409"/>
        <v>8570.0459135613273</v>
      </c>
      <c r="CX211" s="165">
        <f t="shared" si="409"/>
        <v>10012.886256892009</v>
      </c>
      <c r="CY211" s="165">
        <f t="shared" si="409"/>
        <v>9923.1136377110743</v>
      </c>
      <c r="CZ211" s="165">
        <f t="shared" si="409"/>
        <v>10689.420118966882</v>
      </c>
      <c r="DA211" s="165">
        <f t="shared" si="409"/>
        <v>10058.235311942171</v>
      </c>
      <c r="DB211" s="165">
        <f t="shared" si="409"/>
        <v>10329.404151323755</v>
      </c>
      <c r="DC211" s="165">
        <f t="shared" si="409"/>
        <v>13592.685133096677</v>
      </c>
      <c r="DD211" s="165">
        <f t="shared" si="409"/>
        <v>13453.861495188015</v>
      </c>
      <c r="DE211" s="165">
        <f t="shared" si="409"/>
        <v>11558.456092275099</v>
      </c>
      <c r="DF211" s="165">
        <f t="shared" si="409"/>
        <v>10864.337902731795</v>
      </c>
      <c r="DG211" s="165">
        <f t="shared" si="409"/>
        <v>10263.69429604699</v>
      </c>
      <c r="DH211" s="165">
        <f t="shared" si="409"/>
        <v>4413.9533564197955</v>
      </c>
      <c r="DI211" s="165">
        <f t="shared" si="409"/>
        <v>0</v>
      </c>
      <c r="DJ211" s="165">
        <f t="shared" si="409"/>
        <v>0</v>
      </c>
      <c r="DK211" s="165">
        <f t="shared" si="409"/>
        <v>0</v>
      </c>
      <c r="DL211" s="165">
        <f t="shared" si="409"/>
        <v>0</v>
      </c>
      <c r="DM211" s="165">
        <f t="shared" si="409"/>
        <v>0</v>
      </c>
      <c r="DN211" s="165">
        <f t="shared" si="409"/>
        <v>0</v>
      </c>
      <c r="DO211" s="165">
        <f t="shared" si="409"/>
        <v>0</v>
      </c>
      <c r="DP211" s="165">
        <f t="shared" si="409"/>
        <v>0</v>
      </c>
      <c r="DQ211" s="165">
        <f t="shared" si="409"/>
        <v>0</v>
      </c>
      <c r="DR211" s="165">
        <f t="shared" si="409"/>
        <v>0</v>
      </c>
      <c r="DS211" s="165">
        <f t="shared" si="409"/>
        <v>0</v>
      </c>
    </row>
    <row r="213" spans="1:123" ht="15" customHeight="1" x14ac:dyDescent="0.35">
      <c r="A213" s="289" t="s">
        <v>516</v>
      </c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289"/>
      <c r="W213" s="289"/>
      <c r="X213" s="289"/>
      <c r="Y213" s="289"/>
      <c r="Z213" s="289"/>
      <c r="AA213" s="289"/>
    </row>
    <row r="214" spans="1:123" ht="12.75" customHeight="1" x14ac:dyDescent="0.35">
      <c r="A214" s="86" t="s">
        <v>486</v>
      </c>
      <c r="B214" s="107">
        <f>SUM(D214:BQ214)</f>
        <v>10991</v>
      </c>
      <c r="C214" s="169">
        <f>B214/60</f>
        <v>183.18333333333334</v>
      </c>
      <c r="D214" s="107">
        <v>158</v>
      </c>
      <c r="E214" s="107">
        <v>156</v>
      </c>
      <c r="F214" s="107">
        <v>155</v>
      </c>
      <c r="G214" s="107">
        <v>153</v>
      </c>
      <c r="H214" s="107">
        <v>151</v>
      </c>
      <c r="I214" s="107">
        <v>150</v>
      </c>
      <c r="J214" s="107">
        <v>148</v>
      </c>
      <c r="K214" s="107">
        <v>167</v>
      </c>
      <c r="L214" s="107">
        <v>166</v>
      </c>
      <c r="M214" s="107">
        <v>165</v>
      </c>
      <c r="N214" s="107">
        <v>164</v>
      </c>
      <c r="O214" s="107">
        <v>163</v>
      </c>
      <c r="P214" s="107">
        <v>162</v>
      </c>
      <c r="Q214" s="107">
        <v>160</v>
      </c>
      <c r="R214" s="107">
        <v>159</v>
      </c>
      <c r="S214" s="107">
        <v>157</v>
      </c>
      <c r="T214" s="107">
        <v>155</v>
      </c>
      <c r="U214" s="107">
        <v>154</v>
      </c>
      <c r="V214" s="107">
        <v>152</v>
      </c>
      <c r="W214" s="107">
        <v>167</v>
      </c>
      <c r="X214" s="107">
        <v>166</v>
      </c>
      <c r="Y214" s="107">
        <v>165</v>
      </c>
      <c r="Z214" s="107">
        <v>164</v>
      </c>
      <c r="AA214" s="107">
        <v>163</v>
      </c>
      <c r="AB214" s="107">
        <v>166</v>
      </c>
      <c r="AC214" s="107">
        <v>164</v>
      </c>
      <c r="AD214" s="107">
        <v>163</v>
      </c>
      <c r="AE214" s="107">
        <v>161</v>
      </c>
      <c r="AF214" s="107">
        <v>159</v>
      </c>
      <c r="AG214" s="107">
        <v>158</v>
      </c>
      <c r="AH214" s="107">
        <v>155</v>
      </c>
      <c r="AI214" s="107">
        <v>175</v>
      </c>
      <c r="AJ214" s="107">
        <v>174</v>
      </c>
      <c r="AK214" s="107">
        <v>173</v>
      </c>
      <c r="AL214" s="107">
        <v>172</v>
      </c>
      <c r="AM214" s="107">
        <v>171</v>
      </c>
      <c r="AN214" s="107">
        <v>170</v>
      </c>
      <c r="AO214" s="107">
        <v>168</v>
      </c>
      <c r="AP214" s="107">
        <v>167</v>
      </c>
      <c r="AQ214" s="107">
        <v>165</v>
      </c>
      <c r="AR214" s="107">
        <v>163</v>
      </c>
      <c r="AS214" s="107">
        <v>162</v>
      </c>
      <c r="AT214" s="107">
        <v>159</v>
      </c>
      <c r="AU214" s="107">
        <v>180</v>
      </c>
      <c r="AV214" s="107">
        <v>179</v>
      </c>
      <c r="AW214" s="107">
        <v>178</v>
      </c>
      <c r="AX214" s="107">
        <v>177</v>
      </c>
      <c r="AY214" s="107">
        <v>176</v>
      </c>
      <c r="AZ214" s="107">
        <v>174</v>
      </c>
      <c r="BA214" s="107">
        <v>172</v>
      </c>
      <c r="BB214" s="107">
        <v>171</v>
      </c>
      <c r="BC214" s="107">
        <v>169</v>
      </c>
      <c r="BD214" s="107">
        <v>167</v>
      </c>
      <c r="BE214" s="107">
        <v>166</v>
      </c>
      <c r="BF214" s="107">
        <v>163</v>
      </c>
      <c r="BG214" s="107">
        <v>184</v>
      </c>
      <c r="BH214" s="107">
        <v>183</v>
      </c>
      <c r="BI214" s="107">
        <v>182</v>
      </c>
      <c r="BJ214" s="107">
        <v>181</v>
      </c>
      <c r="BK214" s="107">
        <v>180</v>
      </c>
      <c r="BL214" s="107">
        <v>179</v>
      </c>
      <c r="BM214" s="107">
        <v>176</v>
      </c>
      <c r="BN214" s="107">
        <v>175</v>
      </c>
      <c r="BO214" s="107">
        <v>173</v>
      </c>
      <c r="BP214" s="107">
        <v>171</v>
      </c>
      <c r="BQ214" s="107">
        <v>170</v>
      </c>
      <c r="BR214" s="107">
        <v>167</v>
      </c>
      <c r="BS214" s="107">
        <v>189</v>
      </c>
      <c r="BT214" s="107">
        <v>188</v>
      </c>
      <c r="BU214" s="107">
        <v>187</v>
      </c>
      <c r="BV214" s="107">
        <v>186</v>
      </c>
      <c r="BW214" s="107">
        <v>184</v>
      </c>
      <c r="BX214" s="107">
        <v>183</v>
      </c>
      <c r="BY214" s="107">
        <v>181</v>
      </c>
      <c r="BZ214" s="107">
        <v>180</v>
      </c>
      <c r="CA214" s="107">
        <v>177</v>
      </c>
      <c r="CB214" s="107">
        <v>175</v>
      </c>
      <c r="CC214" s="107">
        <v>174</v>
      </c>
      <c r="CD214" s="107">
        <v>172</v>
      </c>
      <c r="CE214" s="107">
        <v>194</v>
      </c>
      <c r="CF214" s="107">
        <v>193</v>
      </c>
      <c r="CG214" s="107">
        <v>191</v>
      </c>
      <c r="CH214" s="107">
        <v>190</v>
      </c>
      <c r="CI214" s="107">
        <v>189</v>
      </c>
      <c r="CJ214" s="107">
        <v>188</v>
      </c>
      <c r="CK214" s="107">
        <v>185</v>
      </c>
      <c r="CL214" s="107">
        <v>184</v>
      </c>
      <c r="CM214" s="107">
        <v>182</v>
      </c>
      <c r="CN214" s="107">
        <v>179</v>
      </c>
      <c r="CO214" s="107">
        <v>178</v>
      </c>
      <c r="CP214" s="107">
        <v>176</v>
      </c>
      <c r="CQ214" s="107">
        <v>199</v>
      </c>
      <c r="CR214" s="107">
        <v>197</v>
      </c>
      <c r="CS214" s="107">
        <v>196</v>
      </c>
      <c r="CT214" s="107">
        <v>195</v>
      </c>
      <c r="CU214" s="107">
        <v>194</v>
      </c>
      <c r="CV214" s="107">
        <v>193</v>
      </c>
      <c r="CW214" s="107">
        <v>190</v>
      </c>
      <c r="CX214" s="107">
        <v>189</v>
      </c>
      <c r="CY214" s="107">
        <v>186</v>
      </c>
      <c r="CZ214" s="107">
        <v>184</v>
      </c>
      <c r="DA214" s="107">
        <v>183</v>
      </c>
      <c r="DB214" s="107">
        <v>180</v>
      </c>
      <c r="DC214" s="107">
        <v>203</v>
      </c>
      <c r="DD214" s="107">
        <v>202</v>
      </c>
      <c r="DE214" s="107">
        <v>201</v>
      </c>
      <c r="DF214" s="107">
        <v>200</v>
      </c>
      <c r="DG214" s="107">
        <v>199</v>
      </c>
      <c r="DH214" s="107">
        <v>197</v>
      </c>
      <c r="DI214" s="107">
        <v>195</v>
      </c>
      <c r="DJ214" s="107">
        <v>194</v>
      </c>
      <c r="DK214" s="107">
        <v>191</v>
      </c>
      <c r="DL214" s="107">
        <v>189</v>
      </c>
      <c r="DM214" s="107">
        <v>187</v>
      </c>
      <c r="DN214" s="107">
        <v>185</v>
      </c>
      <c r="DO214" s="107">
        <v>209</v>
      </c>
      <c r="DP214" s="107">
        <v>207</v>
      </c>
      <c r="DQ214" s="107">
        <v>206</v>
      </c>
      <c r="DR214" s="107">
        <v>205</v>
      </c>
      <c r="DS214" s="107">
        <v>204</v>
      </c>
    </row>
    <row r="215" spans="1:123" ht="12.75" customHeight="1" x14ac:dyDescent="0.35">
      <c r="A215" s="170" t="str">
        <f>"  "&amp;INDEX(PVSYST_Helexia!$A$5:$A$7,MATCH(Premissas!$B$13,PVSYST_Helexia!$B$5:$B$7,0))&amp;" créditos recebidos (kWh)"</f>
        <v xml:space="preserve">  HCS03 créditos recebidos (kWh)</v>
      </c>
      <c r="B215" s="171">
        <f>SUM(D215:BQ215)</f>
        <v>41822.552378696681</v>
      </c>
      <c r="C215" s="169">
        <f>B215/60</f>
        <v>697.04253964494467</v>
      </c>
      <c r="D215" s="172">
        <f>D6*Premissas!$B$48</f>
        <v>136.38900000000001</v>
      </c>
      <c r="E215" s="172">
        <f>E6*Premissas!$B$48</f>
        <v>143.56099999999998</v>
      </c>
      <c r="F215" s="172">
        <f>F6*Premissas!$B$48</f>
        <v>172.33700000000002</v>
      </c>
      <c r="G215" s="172">
        <f>G6*Premissas!$B$48</f>
        <v>161.71100000000001</v>
      </c>
      <c r="H215" s="172">
        <f>H6*Premissas!$C$48</f>
        <v>271.94400000000002</v>
      </c>
      <c r="I215" s="172">
        <f>I6*Premissas!$C$48</f>
        <v>262.94400000000002</v>
      </c>
      <c r="J215" s="172">
        <f>J6*Premissas!$C$48</f>
        <v>249.678</v>
      </c>
      <c r="K215" s="172">
        <f>K6*Premissas!$C$48</f>
        <v>256.36373999999995</v>
      </c>
      <c r="L215" s="172">
        <f>L6*Premissas!$C$48</f>
        <v>228.44204999999999</v>
      </c>
      <c r="M215" s="172">
        <f>M6*Premissas!$C$48</f>
        <v>262.02330000000001</v>
      </c>
      <c r="N215" s="172">
        <f>N6*Premissas!$D$48</f>
        <v>203.35014000000001</v>
      </c>
      <c r="O215" s="172">
        <f>O6*Premissas!$D$48</f>
        <v>190.31165999999999</v>
      </c>
      <c r="P215" s="172">
        <f>P6*Premissas!$D$48</f>
        <v>172.71807000000001</v>
      </c>
      <c r="Q215" s="172">
        <f>Q6*Premissas!$D$48</f>
        <v>181.80042999999998</v>
      </c>
      <c r="R215" s="172">
        <f>R6*Premissas!$D$48</f>
        <v>218.24131</v>
      </c>
      <c r="S215" s="172">
        <f>S6*Premissas!$D$48</f>
        <v>204.78493</v>
      </c>
      <c r="T215" s="172">
        <f>T6*Premissas!$E$48</f>
        <v>240.51936000000003</v>
      </c>
      <c r="U215" s="172">
        <f>U6*Premissas!$E$48</f>
        <v>232.55936000000003</v>
      </c>
      <c r="V215" s="172">
        <f>V6*Premissas!$E$48</f>
        <v>220.82632000000004</v>
      </c>
      <c r="W215" s="172">
        <f>W6*Premissas!$E$48</f>
        <v>227.87887999999998</v>
      </c>
      <c r="X215" s="172">
        <f>X6*Premissas!$E$48</f>
        <v>203.05960000000002</v>
      </c>
      <c r="Y215" s="172">
        <f>Y6*Premissas!$E$48</f>
        <v>232.90960000000001</v>
      </c>
      <c r="Z215" s="172">
        <f>Z6*Premissas!$E$48</f>
        <v>232.40016000000003</v>
      </c>
      <c r="AA215" s="172">
        <f>AA6*Premissas!$E$48</f>
        <v>217.49904000000001</v>
      </c>
      <c r="AB215" s="172">
        <f>AB6*Premissas!$F$48</f>
        <v>306.882999375</v>
      </c>
      <c r="AC215" s="172">
        <f>AC6*Premissas!$F$48</f>
        <v>323.02040687499999</v>
      </c>
      <c r="AD215" s="172">
        <f>AD6*Premissas!$F$48</f>
        <v>387.76804187500005</v>
      </c>
      <c r="AE215" s="172">
        <f>AE6*Premissas!$F$48</f>
        <v>363.85893812500001</v>
      </c>
      <c r="AF215" s="172">
        <f>AF6*Premissas!$F$48</f>
        <v>373.93244250000004</v>
      </c>
      <c r="AG215" s="172">
        <f>AG6*Premissas!$F$48</f>
        <v>361.55713000000003</v>
      </c>
      <c r="AH215" s="172">
        <f>AH6*Premissas!$G$48</f>
        <v>357.04855615000002</v>
      </c>
      <c r="AI215" s="172">
        <f>AI6*Premissas!$G$48</f>
        <v>368.45166410000002</v>
      </c>
      <c r="AJ215" s="172">
        <f>AJ6*Premissas!$G$48</f>
        <v>328.32199075</v>
      </c>
      <c r="AK215" s="172">
        <f>AK6*Premissas!$G$48</f>
        <v>376.58570950000001</v>
      </c>
      <c r="AL215" s="172">
        <f>AL6*Premissas!$G$48</f>
        <v>375.76200870000002</v>
      </c>
      <c r="AM215" s="172">
        <f>AM6*Premissas!$G$48</f>
        <v>351.66876030000003</v>
      </c>
      <c r="AN215" s="172">
        <f>AN6*Premissas!$H$48</f>
        <v>305.348584378125</v>
      </c>
      <c r="AO215" s="172">
        <f>AO6*Premissas!$H$48</f>
        <v>321.40530484062498</v>
      </c>
      <c r="AP215" s="172">
        <f>AP6*Premissas!$H$48</f>
        <v>385.82920166562502</v>
      </c>
      <c r="AQ215" s="172">
        <f>AQ6*Premissas!$H$48</f>
        <v>362.03964343437502</v>
      </c>
      <c r="AR215" s="172">
        <f>AR6*Premissas!$H$48</f>
        <v>372.0627802875</v>
      </c>
      <c r="AS215" s="172">
        <f>AS6*Premissas!$H$48</f>
        <v>359.74934435000006</v>
      </c>
      <c r="AT215" s="172">
        <f>AT6*Premissas!$I$48</f>
        <v>368.927286960375</v>
      </c>
      <c r="AU215" s="172">
        <f>AU6*Premissas!$I$48</f>
        <v>380.70976754025003</v>
      </c>
      <c r="AV215" s="172">
        <f>AV6*Premissas!$I$48</f>
        <v>339.24501082687505</v>
      </c>
      <c r="AW215" s="172">
        <f>AW6*Premissas!$I$48</f>
        <v>389.11442637375006</v>
      </c>
      <c r="AX215" s="172">
        <f>AX6*Premissas!$I$48</f>
        <v>388.26332168175003</v>
      </c>
      <c r="AY215" s="172">
        <f>AY6*Premissas!$I$48</f>
        <v>363.36850944075002</v>
      </c>
      <c r="AZ215" s="172">
        <f>AZ6*Premissas!$J$48</f>
        <v>328.12758877273319</v>
      </c>
      <c r="BA215" s="172">
        <f>BA6*Premissas!$J$48</f>
        <v>345.3821405817356</v>
      </c>
      <c r="BB215" s="172">
        <f>BB6*Premissas!$J$48</f>
        <v>414.6120601098807</v>
      </c>
      <c r="BC215" s="172">
        <f>BC6*Premissas!$J$48</f>
        <v>389.04780083457945</v>
      </c>
      <c r="BD215" s="172">
        <f>BD6*Premissas!$J$48</f>
        <v>399.81866369694751</v>
      </c>
      <c r="BE215" s="172">
        <f>BE6*Premissas!$J$48</f>
        <v>386.58664543851006</v>
      </c>
      <c r="BF215" s="172">
        <f>BF6*Premissas!$K$48</f>
        <v>448.65657286458946</v>
      </c>
      <c r="BG215" s="172">
        <f>BG6*Premissas!$K$48</f>
        <v>462.98537841422626</v>
      </c>
      <c r="BH215" s="172">
        <f>BH6*Premissas!$K$48</f>
        <v>412.55962705557192</v>
      </c>
      <c r="BI215" s="172">
        <f>BI6*Premissas!$K$48</f>
        <v>473.2063774067438</v>
      </c>
      <c r="BJ215" s="172">
        <f>BJ6*Premissas!$K$48</f>
        <v>472.17133953408381</v>
      </c>
      <c r="BK215" s="172">
        <f>BK6*Premissas!$K$48</f>
        <v>441.8964817587788</v>
      </c>
      <c r="BL215" s="172">
        <f>BL6*Premissas!$L$48</f>
        <v>3350.3607209686984</v>
      </c>
      <c r="BM215" s="172">
        <f>BM6*Premissas!$L$48</f>
        <v>3526.5390571306139</v>
      </c>
      <c r="BN215" s="172">
        <f>BN6*Premissas!$L$48</f>
        <v>4233.4140991544964</v>
      </c>
      <c r="BO215" s="172">
        <f>BO6*Premissas!$L$48</f>
        <v>3972.3891409759531</v>
      </c>
      <c r="BP215" s="172">
        <f>BP6*Premissas!$L$48</f>
        <v>4082.3654949911361</v>
      </c>
      <c r="BQ215" s="172">
        <f>BQ6*Premissas!$L$48</f>
        <v>3947.2594089773975</v>
      </c>
      <c r="BR215" s="172">
        <f>BR6*Premissas!$M$48</f>
        <v>3780.0275301255288</v>
      </c>
      <c r="BS215" s="172">
        <f>BS6*Premissas!$M$48</f>
        <v>3900.7507797719577</v>
      </c>
      <c r="BT215" s="172">
        <f>BT6*Premissas!$M$48</f>
        <v>3475.9030456889282</v>
      </c>
      <c r="BU215" s="172">
        <f>BU6*Premissas!$M$48</f>
        <v>3986.8648810998839</v>
      </c>
      <c r="BV215" s="172">
        <f>BV6*Premissas!$M$48</f>
        <v>3978.1444657755374</v>
      </c>
      <c r="BW215" s="172">
        <f>BW6*Premissas!$M$48</f>
        <v>3723.0723175383878</v>
      </c>
      <c r="BX215" s="172">
        <f>BX6*Premissas!$N$48</f>
        <v>3340.7328565848866</v>
      </c>
      <c r="BY215" s="172">
        <f>BY6*Premissas!$N$48</f>
        <v>3516.4049125969309</v>
      </c>
      <c r="BZ215" s="172">
        <f>BZ6*Premissas!$N$48</f>
        <v>4221.2486219949524</v>
      </c>
      <c r="CA215" s="172">
        <f>CA6*Premissas!$N$48</f>
        <v>3960.9737660016463</v>
      </c>
      <c r="CB215" s="172">
        <f>CB6*Premissas!$N$48</f>
        <v>4070.6340831748103</v>
      </c>
      <c r="CC215" s="172">
        <f>CC6*Premissas!$N$48</f>
        <v>3935.9162488097445</v>
      </c>
      <c r="CD215" s="172">
        <f>CD6*Premissas!$O$48</f>
        <v>3768.9382519908477</v>
      </c>
      <c r="CE215" s="172">
        <f>CE6*Premissas!$O$48</f>
        <v>3889.3073418641043</v>
      </c>
      <c r="CF215" s="172">
        <f>CF6*Premissas!$O$48</f>
        <v>3465.7059623778573</v>
      </c>
      <c r="CG215" s="172">
        <f>CG6*Premissas!$O$48</f>
        <v>3975.1688145502198</v>
      </c>
      <c r="CH215" s="172">
        <f>CH6*Premissas!$O$48</f>
        <v>3966.4739818731446</v>
      </c>
      <c r="CI215" s="172">
        <f>CI6*Premissas!$O$48</f>
        <v>3712.1501260687019</v>
      </c>
      <c r="CJ215" s="172">
        <f>CJ6*Premissas!$P$48</f>
        <v>3331.0827945044389</v>
      </c>
      <c r="CK215" s="172">
        <f>CK6*Premissas!$P$48</f>
        <v>3506.2474031032684</v>
      </c>
      <c r="CL215" s="172">
        <f>CL6*Premissas!$P$48</f>
        <v>4209.0550964998019</v>
      </c>
      <c r="CM215" s="172">
        <f>CM6*Premissas!$P$48</f>
        <v>3949.5320721033754</v>
      </c>
      <c r="CN215" s="172">
        <f>CN6*Premissas!$P$48</f>
        <v>4058.8756237900693</v>
      </c>
      <c r="CO215" s="172">
        <f>CO6*Premissas!$P$48</f>
        <v>3924.5469362142785</v>
      </c>
      <c r="CP215" s="172">
        <f>CP6*Premissas!$Q$48</f>
        <v>3757.8265270122729</v>
      </c>
      <c r="CQ215" s="172">
        <f>CQ6*Premissas!$Q$48</f>
        <v>3877.8407402244738</v>
      </c>
      <c r="CR215" s="172">
        <f>CR6*Premissas!$Q$48</f>
        <v>3455.48823819779</v>
      </c>
      <c r="CS215" s="172">
        <f>CS6*Premissas!$Q$48</f>
        <v>3963.4490728995424</v>
      </c>
      <c r="CT215" s="172">
        <f>CT6*Premissas!$Q$48</f>
        <v>3954.7798746539661</v>
      </c>
      <c r="CU215" s="172">
        <f>CU6*Premissas!$Q$48</f>
        <v>3701.2058259708506</v>
      </c>
      <c r="CV215" s="172">
        <f>CV6*Premissas!$R$48</f>
        <v>3321.4099798242391</v>
      </c>
      <c r="CW215" s="172">
        <f>CW6*Premissas!$R$48</f>
        <v>3496.0659445669921</v>
      </c>
      <c r="CX215" s="172">
        <f>CX6*Premissas!$R$48</f>
        <v>4196.832821510312</v>
      </c>
      <c r="CY215" s="172">
        <f>CY6*Premissas!$R$48</f>
        <v>3938.0634013546369</v>
      </c>
      <c r="CZ215" s="172">
        <f>CZ6*Premissas!$R$48</f>
        <v>4047.0894406955886</v>
      </c>
      <c r="DA215" s="172">
        <f>DA6*Premissas!$R$48</f>
        <v>3913.150817426606</v>
      </c>
      <c r="DB215" s="172">
        <f>DB6*Premissas!$S$48</f>
        <v>0</v>
      </c>
      <c r="DC215" s="172">
        <f>DC6*Premissas!$S$48</f>
        <v>0</v>
      </c>
      <c r="DD215" s="172">
        <f>DD6*Premissas!$S$48</f>
        <v>0</v>
      </c>
      <c r="DE215" s="172">
        <f>DE6*Premissas!$S$48</f>
        <v>0</v>
      </c>
      <c r="DF215" s="172">
        <f>DF6*Premissas!$S$48</f>
        <v>0</v>
      </c>
      <c r="DG215" s="172">
        <f>DG6*Premissas!$S$48</f>
        <v>0</v>
      </c>
      <c r="DH215" s="172">
        <f>DH6*Premissas!$T$48</f>
        <v>0</v>
      </c>
      <c r="DI215" s="172">
        <f>DI6*Premissas!$T$48</f>
        <v>0</v>
      </c>
      <c r="DJ215" s="172">
        <f>DJ6*Premissas!$T$48</f>
        <v>0</v>
      </c>
      <c r="DK215" s="172">
        <f>DK6*Premissas!$T$48</f>
        <v>0</v>
      </c>
      <c r="DL215" s="172">
        <f>DL6*Premissas!$T$48</f>
        <v>0</v>
      </c>
      <c r="DM215" s="172">
        <f>DM6*Premissas!$T$48</f>
        <v>0</v>
      </c>
      <c r="DN215" s="172">
        <f>DN6*Premissas!$U$48</f>
        <v>0</v>
      </c>
      <c r="DO215" s="172">
        <f>DO6*Premissas!$U$48</f>
        <v>0</v>
      </c>
      <c r="DP215" s="172">
        <f>DP6*Premissas!$U$48</f>
        <v>0</v>
      </c>
      <c r="DQ215" s="172">
        <f>DQ6*Premissas!$U$48</f>
        <v>0</v>
      </c>
      <c r="DR215" s="172">
        <f>DR6*Premissas!$U$48</f>
        <v>0</v>
      </c>
      <c r="DS215" s="172">
        <f>DS6*Premissas!$U$48</f>
        <v>0</v>
      </c>
    </row>
    <row r="216" spans="1:123" ht="12.75" customHeight="1" x14ac:dyDescent="0.35">
      <c r="A216" s="146" t="s">
        <v>517</v>
      </c>
      <c r="B216" s="169">
        <f>AA216</f>
        <v>1283.8029100000003</v>
      </c>
      <c r="C216" s="169" t="s">
        <v>169</v>
      </c>
      <c r="D216" s="139">
        <f>0</f>
        <v>0</v>
      </c>
      <c r="E216" s="139">
        <f t="shared" ref="E216:AJ216" si="410">D218</f>
        <v>0</v>
      </c>
      <c r="F216" s="139">
        <f t="shared" si="410"/>
        <v>0</v>
      </c>
      <c r="G216" s="139">
        <f t="shared" si="410"/>
        <v>17.337000000000018</v>
      </c>
      <c r="H216" s="139">
        <f t="shared" si="410"/>
        <v>26.04800000000003</v>
      </c>
      <c r="I216" s="139">
        <f t="shared" si="410"/>
        <v>146.99200000000005</v>
      </c>
      <c r="J216" s="139">
        <f t="shared" si="410"/>
        <v>259.93600000000004</v>
      </c>
      <c r="K216" s="139">
        <f t="shared" si="410"/>
        <v>361.61400000000003</v>
      </c>
      <c r="L216" s="139">
        <f t="shared" si="410"/>
        <v>450.97773999999998</v>
      </c>
      <c r="M216" s="139">
        <f t="shared" si="410"/>
        <v>513.41978999999992</v>
      </c>
      <c r="N216" s="139">
        <f t="shared" si="410"/>
        <v>610.44308999999998</v>
      </c>
      <c r="O216" s="139">
        <f t="shared" si="410"/>
        <v>649.79322999999999</v>
      </c>
      <c r="P216" s="139">
        <f t="shared" si="410"/>
        <v>677.10488999999995</v>
      </c>
      <c r="Q216" s="139">
        <f t="shared" si="410"/>
        <v>687.82295999999997</v>
      </c>
      <c r="R216" s="139">
        <f t="shared" si="410"/>
        <v>709.62338999999997</v>
      </c>
      <c r="S216" s="139">
        <f t="shared" si="410"/>
        <v>768.86469999999997</v>
      </c>
      <c r="T216" s="139">
        <f t="shared" si="410"/>
        <v>816.64963</v>
      </c>
      <c r="U216" s="139">
        <f t="shared" si="410"/>
        <v>902.16899000000001</v>
      </c>
      <c r="V216" s="139">
        <f t="shared" si="410"/>
        <v>980.72835000000009</v>
      </c>
      <c r="W216" s="139">
        <f t="shared" si="410"/>
        <v>1049.5546700000002</v>
      </c>
      <c r="X216" s="139">
        <f t="shared" si="410"/>
        <v>1110.4335500000002</v>
      </c>
      <c r="Y216" s="139">
        <f t="shared" si="410"/>
        <v>1147.4931500000002</v>
      </c>
      <c r="Z216" s="139">
        <f t="shared" si="410"/>
        <v>1215.4027500000002</v>
      </c>
      <c r="AA216" s="139">
        <f t="shared" si="410"/>
        <v>1283.8029100000003</v>
      </c>
      <c r="AB216" s="139">
        <f t="shared" si="410"/>
        <v>1338.3019500000003</v>
      </c>
      <c r="AC216" s="139">
        <f t="shared" si="410"/>
        <v>1479.1849493750003</v>
      </c>
      <c r="AD216" s="139">
        <f t="shared" si="410"/>
        <v>1638.2053562500002</v>
      </c>
      <c r="AE216" s="139">
        <f t="shared" si="410"/>
        <v>1862.9733981250004</v>
      </c>
      <c r="AF216" s="139">
        <f t="shared" si="410"/>
        <v>2065.8323362500005</v>
      </c>
      <c r="AG216" s="139">
        <f t="shared" si="410"/>
        <v>2280.7647787500005</v>
      </c>
      <c r="AH216" s="139">
        <f t="shared" si="410"/>
        <v>2484.3219087500006</v>
      </c>
      <c r="AI216" s="139">
        <f t="shared" si="410"/>
        <v>2686.3704649000006</v>
      </c>
      <c r="AJ216" s="139">
        <f t="shared" si="410"/>
        <v>2879.8221290000006</v>
      </c>
      <c r="AK216" s="139">
        <f t="shared" ref="AK216:BP216" si="411">AJ218</f>
        <v>3034.1441197500008</v>
      </c>
      <c r="AL216" s="139">
        <f t="shared" si="411"/>
        <v>3237.7298292500009</v>
      </c>
      <c r="AM216" s="139">
        <f t="shared" si="411"/>
        <v>3441.4918379500009</v>
      </c>
      <c r="AN216" s="139">
        <f t="shared" si="411"/>
        <v>3622.1605982500009</v>
      </c>
      <c r="AO216" s="139">
        <f t="shared" si="411"/>
        <v>3757.5091826281259</v>
      </c>
      <c r="AP216" s="139">
        <f t="shared" si="411"/>
        <v>3910.9144874687508</v>
      </c>
      <c r="AQ216" s="139">
        <f t="shared" si="411"/>
        <v>4129.7436891343759</v>
      </c>
      <c r="AR216" s="139">
        <f t="shared" si="411"/>
        <v>4326.7833325687507</v>
      </c>
      <c r="AS216" s="139">
        <f t="shared" si="411"/>
        <v>4535.8461128562503</v>
      </c>
      <c r="AT216" s="139">
        <f t="shared" si="411"/>
        <v>4733.5954572062501</v>
      </c>
      <c r="AU216" s="139">
        <f t="shared" si="411"/>
        <v>4943.5227441666248</v>
      </c>
      <c r="AV216" s="139">
        <f t="shared" si="411"/>
        <v>5144.2325117068749</v>
      </c>
      <c r="AW216" s="139">
        <f t="shared" si="411"/>
        <v>5304.4775225337498</v>
      </c>
      <c r="AX216" s="139">
        <f t="shared" si="411"/>
        <v>5515.5919489074995</v>
      </c>
      <c r="AY216" s="139">
        <f t="shared" si="411"/>
        <v>5726.8552705892498</v>
      </c>
      <c r="AZ216" s="139">
        <f t="shared" si="411"/>
        <v>5914.2237800299999</v>
      </c>
      <c r="BA216" s="139">
        <f t="shared" si="411"/>
        <v>6068.3513688027333</v>
      </c>
      <c r="BB216" s="139">
        <f t="shared" si="411"/>
        <v>6241.7335093844686</v>
      </c>
      <c r="BC216" s="139">
        <f t="shared" si="411"/>
        <v>6485.3455694943495</v>
      </c>
      <c r="BD216" s="139">
        <f t="shared" si="411"/>
        <v>6705.3933703289294</v>
      </c>
      <c r="BE216" s="139">
        <f t="shared" si="411"/>
        <v>6938.2120340258771</v>
      </c>
      <c r="BF216" s="139">
        <f t="shared" si="411"/>
        <v>7158.7986794643875</v>
      </c>
      <c r="BG216" s="139">
        <f t="shared" si="411"/>
        <v>7444.4552523289767</v>
      </c>
      <c r="BH216" s="139">
        <f t="shared" si="411"/>
        <v>7723.4406307432027</v>
      </c>
      <c r="BI216" s="139">
        <f t="shared" si="411"/>
        <v>7953.0002577987743</v>
      </c>
      <c r="BJ216" s="139">
        <f t="shared" si="411"/>
        <v>8244.206635205519</v>
      </c>
      <c r="BK216" s="139">
        <f t="shared" si="411"/>
        <v>8535.377974739602</v>
      </c>
      <c r="BL216" s="139">
        <f t="shared" si="411"/>
        <v>8797.2744564983805</v>
      </c>
      <c r="BM216" s="139">
        <f t="shared" si="411"/>
        <v>11968.635177467078</v>
      </c>
      <c r="BN216" s="139">
        <f t="shared" si="411"/>
        <v>15319.174234597693</v>
      </c>
      <c r="BO216" s="139">
        <f t="shared" si="411"/>
        <v>19377.588333752188</v>
      </c>
      <c r="BP216" s="139">
        <f t="shared" si="411"/>
        <v>23176.977474728141</v>
      </c>
      <c r="BQ216" s="139">
        <f t="shared" ref="BQ216:CV216" si="412">BP218</f>
        <v>27088.342969719277</v>
      </c>
      <c r="BR216" s="139">
        <f t="shared" si="412"/>
        <v>30865.602378696676</v>
      </c>
      <c r="BS216" s="139">
        <f t="shared" si="412"/>
        <v>34478.629908822208</v>
      </c>
      <c r="BT216" s="139">
        <f t="shared" si="412"/>
        <v>38190.380688594167</v>
      </c>
      <c r="BU216" s="139">
        <f t="shared" si="412"/>
        <v>41478.283734283097</v>
      </c>
      <c r="BV216" s="139">
        <f t="shared" si="412"/>
        <v>45278.148615382983</v>
      </c>
      <c r="BW216" s="139">
        <f t="shared" si="412"/>
        <v>49070.293081158517</v>
      </c>
      <c r="BX216" s="139">
        <f t="shared" si="412"/>
        <v>52609.365398696908</v>
      </c>
      <c r="BY216" s="139">
        <f t="shared" si="412"/>
        <v>55767.098255281795</v>
      </c>
      <c r="BZ216" s="139">
        <f t="shared" si="412"/>
        <v>59102.503167878727</v>
      </c>
      <c r="CA216" s="139">
        <f t="shared" si="412"/>
        <v>63143.751789873677</v>
      </c>
      <c r="CB216" s="139">
        <f t="shared" si="412"/>
        <v>66927.725555875324</v>
      </c>
      <c r="CC216" s="139">
        <f t="shared" si="412"/>
        <v>70823.359639050133</v>
      </c>
      <c r="CD216" s="139">
        <f t="shared" si="412"/>
        <v>74585.275887859883</v>
      </c>
      <c r="CE216" s="139">
        <f t="shared" si="412"/>
        <v>78182.214139850737</v>
      </c>
      <c r="CF216" s="139">
        <f t="shared" si="412"/>
        <v>81877.521481714837</v>
      </c>
      <c r="CG216" s="139">
        <f t="shared" si="412"/>
        <v>85150.227444092699</v>
      </c>
      <c r="CH216" s="139">
        <f t="shared" si="412"/>
        <v>88934.396258642926</v>
      </c>
      <c r="CI216" s="139">
        <f t="shared" si="412"/>
        <v>92710.870240516073</v>
      </c>
      <c r="CJ216" s="139">
        <f t="shared" si="412"/>
        <v>96234.02036658478</v>
      </c>
      <c r="CK216" s="139">
        <f t="shared" si="412"/>
        <v>99377.103161089224</v>
      </c>
      <c r="CL216" s="139">
        <f t="shared" si="412"/>
        <v>102698.35056419249</v>
      </c>
      <c r="CM216" s="139">
        <f t="shared" si="412"/>
        <v>106723.40566069228</v>
      </c>
      <c r="CN216" s="139">
        <f t="shared" si="412"/>
        <v>110490.93773279566</v>
      </c>
      <c r="CO216" s="139">
        <f t="shared" si="412"/>
        <v>114370.81335658573</v>
      </c>
      <c r="CP216" s="139">
        <f t="shared" si="412"/>
        <v>118117.3602928</v>
      </c>
      <c r="CQ216" s="139">
        <f t="shared" si="412"/>
        <v>121699.18681981228</v>
      </c>
      <c r="CR216" s="139">
        <f t="shared" si="412"/>
        <v>125378.02756003676</v>
      </c>
      <c r="CS216" s="139">
        <f t="shared" si="412"/>
        <v>128636.51579823456</v>
      </c>
      <c r="CT216" s="139">
        <f t="shared" si="412"/>
        <v>132403.96487113409</v>
      </c>
      <c r="CU216" s="139">
        <f t="shared" si="412"/>
        <v>136163.74474578805</v>
      </c>
      <c r="CV216" s="139">
        <f t="shared" si="412"/>
        <v>139670.95057175891</v>
      </c>
      <c r="CW216" s="139">
        <f t="shared" ref="CW216:DS216" si="413">CV218</f>
        <v>142799.36055158314</v>
      </c>
      <c r="CX216" s="139">
        <f t="shared" si="413"/>
        <v>146105.42649615015</v>
      </c>
      <c r="CY216" s="139">
        <f t="shared" si="413"/>
        <v>150113.25931766047</v>
      </c>
      <c r="CZ216" s="139">
        <f t="shared" si="413"/>
        <v>153865.32271901512</v>
      </c>
      <c r="DA216" s="139">
        <f t="shared" si="413"/>
        <v>157728.41215971072</v>
      </c>
      <c r="DB216" s="139">
        <f t="shared" si="413"/>
        <v>161458.56297713734</v>
      </c>
      <c r="DC216" s="139">
        <f t="shared" si="413"/>
        <v>161278.56297713734</v>
      </c>
      <c r="DD216" s="139">
        <f t="shared" si="413"/>
        <v>161075.56297713734</v>
      </c>
      <c r="DE216" s="139">
        <f t="shared" si="413"/>
        <v>160873.56297713734</v>
      </c>
      <c r="DF216" s="139">
        <f t="shared" si="413"/>
        <v>160672.56297713734</v>
      </c>
      <c r="DG216" s="139">
        <f t="shared" si="413"/>
        <v>160472.56297713734</v>
      </c>
      <c r="DH216" s="139">
        <f t="shared" si="413"/>
        <v>160273.56297713734</v>
      </c>
      <c r="DI216" s="139">
        <f t="shared" si="413"/>
        <v>160076.56297713734</v>
      </c>
      <c r="DJ216" s="139">
        <f t="shared" si="413"/>
        <v>159881.56297713734</v>
      </c>
      <c r="DK216" s="139">
        <f t="shared" si="413"/>
        <v>159687.56297713734</v>
      </c>
      <c r="DL216" s="139">
        <f t="shared" si="413"/>
        <v>159496.56297713734</v>
      </c>
      <c r="DM216" s="139">
        <f t="shared" si="413"/>
        <v>159307.56297713734</v>
      </c>
      <c r="DN216" s="139">
        <f t="shared" si="413"/>
        <v>159120.56297713734</v>
      </c>
      <c r="DO216" s="139">
        <f t="shared" si="413"/>
        <v>158935.56297713734</v>
      </c>
      <c r="DP216" s="139">
        <f t="shared" si="413"/>
        <v>158726.56297713734</v>
      </c>
      <c r="DQ216" s="139">
        <f t="shared" si="413"/>
        <v>158519.56297713734</v>
      </c>
      <c r="DR216" s="139">
        <f t="shared" si="413"/>
        <v>158313.56297713734</v>
      </c>
      <c r="DS216" s="139">
        <f t="shared" si="413"/>
        <v>158108.56297713734</v>
      </c>
    </row>
    <row r="217" spans="1:123" ht="12.75" customHeight="1" x14ac:dyDescent="0.35">
      <c r="A217" s="146" t="s">
        <v>518</v>
      </c>
      <c r="B217" s="169">
        <f>SUM(D217:BQ217)</f>
        <v>0</v>
      </c>
      <c r="C217" s="169">
        <f>B217/60</f>
        <v>0</v>
      </c>
      <c r="D217" s="139">
        <f t="shared" ref="D217:AI217" si="414">MIN(D216,MAX(D214-D215,0))</f>
        <v>0</v>
      </c>
      <c r="E217" s="139">
        <f t="shared" si="414"/>
        <v>0</v>
      </c>
      <c r="F217" s="139">
        <f t="shared" si="414"/>
        <v>0</v>
      </c>
      <c r="G217" s="139">
        <f t="shared" si="414"/>
        <v>0</v>
      </c>
      <c r="H217" s="139">
        <f t="shared" si="414"/>
        <v>0</v>
      </c>
      <c r="I217" s="139">
        <f t="shared" si="414"/>
        <v>0</v>
      </c>
      <c r="J217" s="139">
        <f t="shared" si="414"/>
        <v>0</v>
      </c>
      <c r="K217" s="139">
        <f t="shared" si="414"/>
        <v>0</v>
      </c>
      <c r="L217" s="139">
        <f t="shared" si="414"/>
        <v>0</v>
      </c>
      <c r="M217" s="139">
        <f t="shared" si="414"/>
        <v>0</v>
      </c>
      <c r="N217" s="139">
        <f t="shared" si="414"/>
        <v>0</v>
      </c>
      <c r="O217" s="139">
        <f t="shared" si="414"/>
        <v>0</v>
      </c>
      <c r="P217" s="139">
        <f t="shared" si="414"/>
        <v>0</v>
      </c>
      <c r="Q217" s="139">
        <f t="shared" si="414"/>
        <v>0</v>
      </c>
      <c r="R217" s="139">
        <f t="shared" si="414"/>
        <v>0</v>
      </c>
      <c r="S217" s="139">
        <f t="shared" si="414"/>
        <v>0</v>
      </c>
      <c r="T217" s="139">
        <f t="shared" si="414"/>
        <v>0</v>
      </c>
      <c r="U217" s="139">
        <f t="shared" si="414"/>
        <v>0</v>
      </c>
      <c r="V217" s="139">
        <f t="shared" si="414"/>
        <v>0</v>
      </c>
      <c r="W217" s="139">
        <f t="shared" si="414"/>
        <v>0</v>
      </c>
      <c r="X217" s="139">
        <f t="shared" si="414"/>
        <v>0</v>
      </c>
      <c r="Y217" s="139">
        <f t="shared" si="414"/>
        <v>0</v>
      </c>
      <c r="Z217" s="139">
        <f t="shared" si="414"/>
        <v>0</v>
      </c>
      <c r="AA217" s="139">
        <f t="shared" si="414"/>
        <v>0</v>
      </c>
      <c r="AB217" s="139">
        <f t="shared" si="414"/>
        <v>0</v>
      </c>
      <c r="AC217" s="139">
        <f t="shared" si="414"/>
        <v>0</v>
      </c>
      <c r="AD217" s="139">
        <f t="shared" si="414"/>
        <v>0</v>
      </c>
      <c r="AE217" s="139">
        <f t="shared" si="414"/>
        <v>0</v>
      </c>
      <c r="AF217" s="139">
        <f t="shared" si="414"/>
        <v>0</v>
      </c>
      <c r="AG217" s="139">
        <f t="shared" si="414"/>
        <v>0</v>
      </c>
      <c r="AH217" s="139">
        <f t="shared" si="414"/>
        <v>0</v>
      </c>
      <c r="AI217" s="139">
        <f t="shared" si="414"/>
        <v>0</v>
      </c>
      <c r="AJ217" s="139">
        <f t="shared" ref="AJ217:BO217" si="415">MIN(AJ216,MAX(AJ214-AJ215,0))</f>
        <v>0</v>
      </c>
      <c r="AK217" s="139">
        <f t="shared" si="415"/>
        <v>0</v>
      </c>
      <c r="AL217" s="139">
        <f t="shared" si="415"/>
        <v>0</v>
      </c>
      <c r="AM217" s="139">
        <f t="shared" si="415"/>
        <v>0</v>
      </c>
      <c r="AN217" s="139">
        <f t="shared" si="415"/>
        <v>0</v>
      </c>
      <c r="AO217" s="139">
        <f t="shared" si="415"/>
        <v>0</v>
      </c>
      <c r="AP217" s="139">
        <f t="shared" si="415"/>
        <v>0</v>
      </c>
      <c r="AQ217" s="139">
        <f t="shared" si="415"/>
        <v>0</v>
      </c>
      <c r="AR217" s="139">
        <f t="shared" si="415"/>
        <v>0</v>
      </c>
      <c r="AS217" s="139">
        <f t="shared" si="415"/>
        <v>0</v>
      </c>
      <c r="AT217" s="139">
        <f t="shared" si="415"/>
        <v>0</v>
      </c>
      <c r="AU217" s="139">
        <f t="shared" si="415"/>
        <v>0</v>
      </c>
      <c r="AV217" s="139">
        <f t="shared" si="415"/>
        <v>0</v>
      </c>
      <c r="AW217" s="139">
        <f t="shared" si="415"/>
        <v>0</v>
      </c>
      <c r="AX217" s="139">
        <f t="shared" si="415"/>
        <v>0</v>
      </c>
      <c r="AY217" s="139">
        <f t="shared" si="415"/>
        <v>0</v>
      </c>
      <c r="AZ217" s="139">
        <f t="shared" si="415"/>
        <v>0</v>
      </c>
      <c r="BA217" s="139">
        <f t="shared" si="415"/>
        <v>0</v>
      </c>
      <c r="BB217" s="139">
        <f t="shared" si="415"/>
        <v>0</v>
      </c>
      <c r="BC217" s="139">
        <f t="shared" si="415"/>
        <v>0</v>
      </c>
      <c r="BD217" s="139">
        <f t="shared" si="415"/>
        <v>0</v>
      </c>
      <c r="BE217" s="139">
        <f t="shared" si="415"/>
        <v>0</v>
      </c>
      <c r="BF217" s="139">
        <f t="shared" si="415"/>
        <v>0</v>
      </c>
      <c r="BG217" s="139">
        <f t="shared" si="415"/>
        <v>0</v>
      </c>
      <c r="BH217" s="139">
        <f t="shared" si="415"/>
        <v>0</v>
      </c>
      <c r="BI217" s="139">
        <f t="shared" si="415"/>
        <v>0</v>
      </c>
      <c r="BJ217" s="139">
        <f t="shared" si="415"/>
        <v>0</v>
      </c>
      <c r="BK217" s="139">
        <f t="shared" si="415"/>
        <v>0</v>
      </c>
      <c r="BL217" s="139">
        <f t="shared" si="415"/>
        <v>0</v>
      </c>
      <c r="BM217" s="139">
        <f t="shared" si="415"/>
        <v>0</v>
      </c>
      <c r="BN217" s="139">
        <f t="shared" si="415"/>
        <v>0</v>
      </c>
      <c r="BO217" s="139">
        <f t="shared" si="415"/>
        <v>0</v>
      </c>
      <c r="BP217" s="139">
        <f t="shared" ref="BP217:CU217" si="416">MIN(BP216,MAX(BP214-BP215,0))</f>
        <v>0</v>
      </c>
      <c r="BQ217" s="139">
        <f t="shared" si="416"/>
        <v>0</v>
      </c>
      <c r="BR217" s="139">
        <f t="shared" si="416"/>
        <v>0</v>
      </c>
      <c r="BS217" s="139">
        <f t="shared" si="416"/>
        <v>0</v>
      </c>
      <c r="BT217" s="139">
        <f t="shared" si="416"/>
        <v>0</v>
      </c>
      <c r="BU217" s="139">
        <f t="shared" si="416"/>
        <v>0</v>
      </c>
      <c r="BV217" s="139">
        <f t="shared" si="416"/>
        <v>0</v>
      </c>
      <c r="BW217" s="139">
        <f t="shared" si="416"/>
        <v>0</v>
      </c>
      <c r="BX217" s="139">
        <f t="shared" si="416"/>
        <v>0</v>
      </c>
      <c r="BY217" s="139">
        <f t="shared" si="416"/>
        <v>0</v>
      </c>
      <c r="BZ217" s="139">
        <f t="shared" si="416"/>
        <v>0</v>
      </c>
      <c r="CA217" s="139">
        <f t="shared" si="416"/>
        <v>0</v>
      </c>
      <c r="CB217" s="139">
        <f t="shared" si="416"/>
        <v>0</v>
      </c>
      <c r="CC217" s="139">
        <f t="shared" si="416"/>
        <v>0</v>
      </c>
      <c r="CD217" s="139">
        <f t="shared" si="416"/>
        <v>0</v>
      </c>
      <c r="CE217" s="139">
        <f t="shared" si="416"/>
        <v>0</v>
      </c>
      <c r="CF217" s="139">
        <f t="shared" si="416"/>
        <v>0</v>
      </c>
      <c r="CG217" s="139">
        <f t="shared" si="416"/>
        <v>0</v>
      </c>
      <c r="CH217" s="139">
        <f t="shared" si="416"/>
        <v>0</v>
      </c>
      <c r="CI217" s="139">
        <f t="shared" si="416"/>
        <v>0</v>
      </c>
      <c r="CJ217" s="139">
        <f t="shared" si="416"/>
        <v>0</v>
      </c>
      <c r="CK217" s="139">
        <f t="shared" si="416"/>
        <v>0</v>
      </c>
      <c r="CL217" s="139">
        <f t="shared" si="416"/>
        <v>0</v>
      </c>
      <c r="CM217" s="139">
        <f t="shared" si="416"/>
        <v>0</v>
      </c>
      <c r="CN217" s="139">
        <f t="shared" si="416"/>
        <v>0</v>
      </c>
      <c r="CO217" s="139">
        <f t="shared" si="416"/>
        <v>0</v>
      </c>
      <c r="CP217" s="139">
        <f t="shared" si="416"/>
        <v>0</v>
      </c>
      <c r="CQ217" s="139">
        <f t="shared" si="416"/>
        <v>0</v>
      </c>
      <c r="CR217" s="139">
        <f t="shared" si="416"/>
        <v>0</v>
      </c>
      <c r="CS217" s="139">
        <f t="shared" si="416"/>
        <v>0</v>
      </c>
      <c r="CT217" s="139">
        <f t="shared" si="416"/>
        <v>0</v>
      </c>
      <c r="CU217" s="139">
        <f t="shared" si="416"/>
        <v>0</v>
      </c>
      <c r="CV217" s="139">
        <f t="shared" ref="CV217:DS217" si="417">MIN(CV216,MAX(CV214-CV215,0))</f>
        <v>0</v>
      </c>
      <c r="CW217" s="139">
        <f t="shared" si="417"/>
        <v>0</v>
      </c>
      <c r="CX217" s="139">
        <f t="shared" si="417"/>
        <v>0</v>
      </c>
      <c r="CY217" s="139">
        <f t="shared" si="417"/>
        <v>0</v>
      </c>
      <c r="CZ217" s="139">
        <f t="shared" si="417"/>
        <v>0</v>
      </c>
      <c r="DA217" s="139">
        <f t="shared" si="417"/>
        <v>0</v>
      </c>
      <c r="DB217" s="139">
        <f t="shared" si="417"/>
        <v>180</v>
      </c>
      <c r="DC217" s="139">
        <f t="shared" si="417"/>
        <v>203</v>
      </c>
      <c r="DD217" s="139">
        <f t="shared" si="417"/>
        <v>202</v>
      </c>
      <c r="DE217" s="139">
        <f t="shared" si="417"/>
        <v>201</v>
      </c>
      <c r="DF217" s="139">
        <f t="shared" si="417"/>
        <v>200</v>
      </c>
      <c r="DG217" s="139">
        <f t="shared" si="417"/>
        <v>199</v>
      </c>
      <c r="DH217" s="139">
        <f t="shared" si="417"/>
        <v>197</v>
      </c>
      <c r="DI217" s="139">
        <f t="shared" si="417"/>
        <v>195</v>
      </c>
      <c r="DJ217" s="139">
        <f t="shared" si="417"/>
        <v>194</v>
      </c>
      <c r="DK217" s="139">
        <f t="shared" si="417"/>
        <v>191</v>
      </c>
      <c r="DL217" s="139">
        <f t="shared" si="417"/>
        <v>189</v>
      </c>
      <c r="DM217" s="139">
        <f t="shared" si="417"/>
        <v>187</v>
      </c>
      <c r="DN217" s="139">
        <f t="shared" si="417"/>
        <v>185</v>
      </c>
      <c r="DO217" s="139">
        <f t="shared" si="417"/>
        <v>209</v>
      </c>
      <c r="DP217" s="139">
        <f t="shared" si="417"/>
        <v>207</v>
      </c>
      <c r="DQ217" s="139">
        <f t="shared" si="417"/>
        <v>206</v>
      </c>
      <c r="DR217" s="139">
        <f t="shared" si="417"/>
        <v>205</v>
      </c>
      <c r="DS217" s="139">
        <f t="shared" si="417"/>
        <v>204</v>
      </c>
    </row>
    <row r="218" spans="1:123" ht="12.75" customHeight="1" x14ac:dyDescent="0.35">
      <c r="A218" s="173" t="s">
        <v>519</v>
      </c>
      <c r="B218" s="157">
        <f>AA218</f>
        <v>1338.3019500000003</v>
      </c>
      <c r="C218" s="169" t="s">
        <v>169</v>
      </c>
      <c r="D218" s="157">
        <f t="shared" ref="D218:AI218" si="418">MAX(D216-D217,0)+MAX(D215-D214,0)</f>
        <v>0</v>
      </c>
      <c r="E218" s="157">
        <f t="shared" si="418"/>
        <v>0</v>
      </c>
      <c r="F218" s="157">
        <f t="shared" si="418"/>
        <v>17.337000000000018</v>
      </c>
      <c r="G218" s="157">
        <f t="shared" si="418"/>
        <v>26.04800000000003</v>
      </c>
      <c r="H218" s="157">
        <f t="shared" si="418"/>
        <v>146.99200000000005</v>
      </c>
      <c r="I218" s="157">
        <f t="shared" si="418"/>
        <v>259.93600000000004</v>
      </c>
      <c r="J218" s="157">
        <f t="shared" si="418"/>
        <v>361.61400000000003</v>
      </c>
      <c r="K218" s="157">
        <f t="shared" si="418"/>
        <v>450.97773999999998</v>
      </c>
      <c r="L218" s="157">
        <f t="shared" si="418"/>
        <v>513.41978999999992</v>
      </c>
      <c r="M218" s="157">
        <f t="shared" si="418"/>
        <v>610.44308999999998</v>
      </c>
      <c r="N218" s="157">
        <f t="shared" si="418"/>
        <v>649.79322999999999</v>
      </c>
      <c r="O218" s="157">
        <f t="shared" si="418"/>
        <v>677.10488999999995</v>
      </c>
      <c r="P218" s="157">
        <f t="shared" si="418"/>
        <v>687.82295999999997</v>
      </c>
      <c r="Q218" s="157">
        <f t="shared" si="418"/>
        <v>709.62338999999997</v>
      </c>
      <c r="R218" s="157">
        <f t="shared" si="418"/>
        <v>768.86469999999997</v>
      </c>
      <c r="S218" s="157">
        <f t="shared" si="418"/>
        <v>816.64963</v>
      </c>
      <c r="T218" s="157">
        <f t="shared" si="418"/>
        <v>902.16899000000001</v>
      </c>
      <c r="U218" s="157">
        <f t="shared" si="418"/>
        <v>980.72835000000009</v>
      </c>
      <c r="V218" s="157">
        <f t="shared" si="418"/>
        <v>1049.5546700000002</v>
      </c>
      <c r="W218" s="157">
        <f t="shared" si="418"/>
        <v>1110.4335500000002</v>
      </c>
      <c r="X218" s="157">
        <f t="shared" si="418"/>
        <v>1147.4931500000002</v>
      </c>
      <c r="Y218" s="157">
        <f t="shared" si="418"/>
        <v>1215.4027500000002</v>
      </c>
      <c r="Z218" s="157">
        <f t="shared" si="418"/>
        <v>1283.8029100000003</v>
      </c>
      <c r="AA218" s="157">
        <f t="shared" si="418"/>
        <v>1338.3019500000003</v>
      </c>
      <c r="AB218" s="157">
        <f t="shared" si="418"/>
        <v>1479.1849493750003</v>
      </c>
      <c r="AC218" s="157">
        <f t="shared" si="418"/>
        <v>1638.2053562500002</v>
      </c>
      <c r="AD218" s="157">
        <f t="shared" si="418"/>
        <v>1862.9733981250004</v>
      </c>
      <c r="AE218" s="157">
        <f t="shared" si="418"/>
        <v>2065.8323362500005</v>
      </c>
      <c r="AF218" s="157">
        <f t="shared" si="418"/>
        <v>2280.7647787500005</v>
      </c>
      <c r="AG218" s="157">
        <f t="shared" si="418"/>
        <v>2484.3219087500006</v>
      </c>
      <c r="AH218" s="157">
        <f t="shared" si="418"/>
        <v>2686.3704649000006</v>
      </c>
      <c r="AI218" s="157">
        <f t="shared" si="418"/>
        <v>2879.8221290000006</v>
      </c>
      <c r="AJ218" s="157">
        <f t="shared" ref="AJ218:BO218" si="419">MAX(AJ216-AJ217,0)+MAX(AJ215-AJ214,0)</f>
        <v>3034.1441197500008</v>
      </c>
      <c r="AK218" s="157">
        <f t="shared" si="419"/>
        <v>3237.7298292500009</v>
      </c>
      <c r="AL218" s="157">
        <f t="shared" si="419"/>
        <v>3441.4918379500009</v>
      </c>
      <c r="AM218" s="157">
        <f t="shared" si="419"/>
        <v>3622.1605982500009</v>
      </c>
      <c r="AN218" s="157">
        <f t="shared" si="419"/>
        <v>3757.5091826281259</v>
      </c>
      <c r="AO218" s="157">
        <f t="shared" si="419"/>
        <v>3910.9144874687508</v>
      </c>
      <c r="AP218" s="157">
        <f t="shared" si="419"/>
        <v>4129.7436891343759</v>
      </c>
      <c r="AQ218" s="157">
        <f t="shared" si="419"/>
        <v>4326.7833325687507</v>
      </c>
      <c r="AR218" s="157">
        <f t="shared" si="419"/>
        <v>4535.8461128562503</v>
      </c>
      <c r="AS218" s="157">
        <f t="shared" si="419"/>
        <v>4733.5954572062501</v>
      </c>
      <c r="AT218" s="157">
        <f t="shared" si="419"/>
        <v>4943.5227441666248</v>
      </c>
      <c r="AU218" s="157">
        <f t="shared" si="419"/>
        <v>5144.2325117068749</v>
      </c>
      <c r="AV218" s="157">
        <f t="shared" si="419"/>
        <v>5304.4775225337498</v>
      </c>
      <c r="AW218" s="157">
        <f t="shared" si="419"/>
        <v>5515.5919489074995</v>
      </c>
      <c r="AX218" s="157">
        <f t="shared" si="419"/>
        <v>5726.8552705892498</v>
      </c>
      <c r="AY218" s="157">
        <f t="shared" si="419"/>
        <v>5914.2237800299999</v>
      </c>
      <c r="AZ218" s="157">
        <f t="shared" si="419"/>
        <v>6068.3513688027333</v>
      </c>
      <c r="BA218" s="157">
        <f t="shared" si="419"/>
        <v>6241.7335093844686</v>
      </c>
      <c r="BB218" s="157">
        <f t="shared" si="419"/>
        <v>6485.3455694943495</v>
      </c>
      <c r="BC218" s="157">
        <f t="shared" si="419"/>
        <v>6705.3933703289294</v>
      </c>
      <c r="BD218" s="157">
        <f t="shared" si="419"/>
        <v>6938.2120340258771</v>
      </c>
      <c r="BE218" s="157">
        <f t="shared" si="419"/>
        <v>7158.7986794643875</v>
      </c>
      <c r="BF218" s="157">
        <f t="shared" si="419"/>
        <v>7444.4552523289767</v>
      </c>
      <c r="BG218" s="157">
        <f t="shared" si="419"/>
        <v>7723.4406307432027</v>
      </c>
      <c r="BH218" s="157">
        <f t="shared" si="419"/>
        <v>7953.0002577987743</v>
      </c>
      <c r="BI218" s="157">
        <f t="shared" si="419"/>
        <v>8244.206635205519</v>
      </c>
      <c r="BJ218" s="157">
        <f t="shared" si="419"/>
        <v>8535.377974739602</v>
      </c>
      <c r="BK218" s="157">
        <f t="shared" si="419"/>
        <v>8797.2744564983805</v>
      </c>
      <c r="BL218" s="157">
        <f t="shared" si="419"/>
        <v>11968.635177467078</v>
      </c>
      <c r="BM218" s="157">
        <f t="shared" si="419"/>
        <v>15319.174234597693</v>
      </c>
      <c r="BN218" s="157">
        <f t="shared" si="419"/>
        <v>19377.588333752188</v>
      </c>
      <c r="BO218" s="157">
        <f t="shared" si="419"/>
        <v>23176.977474728141</v>
      </c>
      <c r="BP218" s="157">
        <f t="shared" ref="BP218:CU218" si="420">MAX(BP216-BP217,0)+MAX(BP215-BP214,0)</f>
        <v>27088.342969719277</v>
      </c>
      <c r="BQ218" s="157">
        <f t="shared" si="420"/>
        <v>30865.602378696676</v>
      </c>
      <c r="BR218" s="157">
        <f t="shared" si="420"/>
        <v>34478.629908822208</v>
      </c>
      <c r="BS218" s="157">
        <f t="shared" si="420"/>
        <v>38190.380688594167</v>
      </c>
      <c r="BT218" s="157">
        <f t="shared" si="420"/>
        <v>41478.283734283097</v>
      </c>
      <c r="BU218" s="157">
        <f t="shared" si="420"/>
        <v>45278.148615382983</v>
      </c>
      <c r="BV218" s="157">
        <f t="shared" si="420"/>
        <v>49070.293081158517</v>
      </c>
      <c r="BW218" s="157">
        <f t="shared" si="420"/>
        <v>52609.365398696908</v>
      </c>
      <c r="BX218" s="157">
        <f t="shared" si="420"/>
        <v>55767.098255281795</v>
      </c>
      <c r="BY218" s="157">
        <f t="shared" si="420"/>
        <v>59102.503167878727</v>
      </c>
      <c r="BZ218" s="157">
        <f t="shared" si="420"/>
        <v>63143.751789873677</v>
      </c>
      <c r="CA218" s="157">
        <f t="shared" si="420"/>
        <v>66927.725555875324</v>
      </c>
      <c r="CB218" s="157">
        <f t="shared" si="420"/>
        <v>70823.359639050133</v>
      </c>
      <c r="CC218" s="157">
        <f t="shared" si="420"/>
        <v>74585.275887859883</v>
      </c>
      <c r="CD218" s="157">
        <f t="shared" si="420"/>
        <v>78182.214139850737</v>
      </c>
      <c r="CE218" s="157">
        <f t="shared" si="420"/>
        <v>81877.521481714837</v>
      </c>
      <c r="CF218" s="157">
        <f t="shared" si="420"/>
        <v>85150.227444092699</v>
      </c>
      <c r="CG218" s="157">
        <f t="shared" si="420"/>
        <v>88934.396258642926</v>
      </c>
      <c r="CH218" s="157">
        <f t="shared" si="420"/>
        <v>92710.870240516073</v>
      </c>
      <c r="CI218" s="157">
        <f t="shared" si="420"/>
        <v>96234.02036658478</v>
      </c>
      <c r="CJ218" s="157">
        <f t="shared" si="420"/>
        <v>99377.103161089224</v>
      </c>
      <c r="CK218" s="157">
        <f t="shared" si="420"/>
        <v>102698.35056419249</v>
      </c>
      <c r="CL218" s="157">
        <f t="shared" si="420"/>
        <v>106723.40566069228</v>
      </c>
      <c r="CM218" s="157">
        <f t="shared" si="420"/>
        <v>110490.93773279566</v>
      </c>
      <c r="CN218" s="157">
        <f t="shared" si="420"/>
        <v>114370.81335658573</v>
      </c>
      <c r="CO218" s="157">
        <f t="shared" si="420"/>
        <v>118117.3602928</v>
      </c>
      <c r="CP218" s="157">
        <f t="shared" si="420"/>
        <v>121699.18681981228</v>
      </c>
      <c r="CQ218" s="157">
        <f t="shared" si="420"/>
        <v>125378.02756003676</v>
      </c>
      <c r="CR218" s="157">
        <f t="shared" si="420"/>
        <v>128636.51579823456</v>
      </c>
      <c r="CS218" s="157">
        <f t="shared" si="420"/>
        <v>132403.96487113409</v>
      </c>
      <c r="CT218" s="157">
        <f t="shared" si="420"/>
        <v>136163.74474578805</v>
      </c>
      <c r="CU218" s="157">
        <f t="shared" si="420"/>
        <v>139670.95057175891</v>
      </c>
      <c r="CV218" s="157">
        <f t="shared" ref="CV218:DS218" si="421">MAX(CV216-CV217,0)+MAX(CV215-CV214,0)</f>
        <v>142799.36055158314</v>
      </c>
      <c r="CW218" s="157">
        <f t="shared" si="421"/>
        <v>146105.42649615015</v>
      </c>
      <c r="CX218" s="157">
        <f t="shared" si="421"/>
        <v>150113.25931766047</v>
      </c>
      <c r="CY218" s="157">
        <f t="shared" si="421"/>
        <v>153865.32271901512</v>
      </c>
      <c r="CZ218" s="157">
        <f t="shared" si="421"/>
        <v>157728.41215971072</v>
      </c>
      <c r="DA218" s="157">
        <f t="shared" si="421"/>
        <v>161458.56297713734</v>
      </c>
      <c r="DB218" s="157">
        <f t="shared" si="421"/>
        <v>161278.56297713734</v>
      </c>
      <c r="DC218" s="157">
        <f t="shared" si="421"/>
        <v>161075.56297713734</v>
      </c>
      <c r="DD218" s="157">
        <f t="shared" si="421"/>
        <v>160873.56297713734</v>
      </c>
      <c r="DE218" s="157">
        <f t="shared" si="421"/>
        <v>160672.56297713734</v>
      </c>
      <c r="DF218" s="157">
        <f t="shared" si="421"/>
        <v>160472.56297713734</v>
      </c>
      <c r="DG218" s="157">
        <f t="shared" si="421"/>
        <v>160273.56297713734</v>
      </c>
      <c r="DH218" s="157">
        <f t="shared" si="421"/>
        <v>160076.56297713734</v>
      </c>
      <c r="DI218" s="157">
        <f t="shared" si="421"/>
        <v>159881.56297713734</v>
      </c>
      <c r="DJ218" s="157">
        <f t="shared" si="421"/>
        <v>159687.56297713734</v>
      </c>
      <c r="DK218" s="157">
        <f t="shared" si="421"/>
        <v>159496.56297713734</v>
      </c>
      <c r="DL218" s="157">
        <f t="shared" si="421"/>
        <v>159307.56297713734</v>
      </c>
      <c r="DM218" s="157">
        <f t="shared" si="421"/>
        <v>159120.56297713734</v>
      </c>
      <c r="DN218" s="157">
        <f t="shared" si="421"/>
        <v>158935.56297713734</v>
      </c>
      <c r="DO218" s="157">
        <f t="shared" si="421"/>
        <v>158726.56297713734</v>
      </c>
      <c r="DP218" s="157">
        <f t="shared" si="421"/>
        <v>158519.56297713734</v>
      </c>
      <c r="DQ218" s="157">
        <f t="shared" si="421"/>
        <v>158313.56297713734</v>
      </c>
      <c r="DR218" s="157">
        <f t="shared" si="421"/>
        <v>158108.56297713734</v>
      </c>
      <c r="DS218" s="157">
        <f t="shared" si="421"/>
        <v>157904.56297713734</v>
      </c>
    </row>
    <row r="219" spans="1:123" ht="12.75" customHeight="1" x14ac:dyDescent="0.35">
      <c r="A219" s="146" t="s">
        <v>520</v>
      </c>
      <c r="B219" s="169">
        <f>AA219</f>
        <v>0</v>
      </c>
      <c r="C219" s="169" t="s">
        <v>169</v>
      </c>
      <c r="D219" s="139">
        <f>0</f>
        <v>0</v>
      </c>
      <c r="E219" s="139">
        <f>0</f>
        <v>0</v>
      </c>
      <c r="F219" s="139">
        <f>0</f>
        <v>0</v>
      </c>
      <c r="G219" s="139">
        <f>0</f>
        <v>0</v>
      </c>
      <c r="H219" s="139">
        <f>0</f>
        <v>0</v>
      </c>
      <c r="I219" s="139">
        <f>0</f>
        <v>0</v>
      </c>
      <c r="J219" s="139">
        <f>0</f>
        <v>0</v>
      </c>
      <c r="K219" s="139">
        <f>0</f>
        <v>0</v>
      </c>
      <c r="L219" s="139">
        <f>0</f>
        <v>0</v>
      </c>
      <c r="M219" s="139">
        <f>0</f>
        <v>0</v>
      </c>
      <c r="N219" s="139">
        <f>0</f>
        <v>0</v>
      </c>
      <c r="O219" s="139">
        <f>0</f>
        <v>0</v>
      </c>
      <c r="P219" s="139">
        <f>0</f>
        <v>0</v>
      </c>
      <c r="Q219" s="139">
        <f>0</f>
        <v>0</v>
      </c>
      <c r="R219" s="139">
        <f>0</f>
        <v>0</v>
      </c>
      <c r="S219" s="139">
        <f>0</f>
        <v>0</v>
      </c>
      <c r="T219" s="139">
        <f>0</f>
        <v>0</v>
      </c>
      <c r="U219" s="139">
        <f>0</f>
        <v>0</v>
      </c>
      <c r="V219" s="139">
        <f>0</f>
        <v>0</v>
      </c>
      <c r="W219" s="139">
        <f>0</f>
        <v>0</v>
      </c>
      <c r="X219" s="139">
        <f>0</f>
        <v>0</v>
      </c>
      <c r="Y219" s="139">
        <f>0</f>
        <v>0</v>
      </c>
      <c r="Z219" s="139">
        <f>0</f>
        <v>0</v>
      </c>
      <c r="AA219" s="139">
        <f>0</f>
        <v>0</v>
      </c>
      <c r="AB219" s="139">
        <f>0</f>
        <v>0</v>
      </c>
      <c r="AC219" s="139">
        <f>0</f>
        <v>0</v>
      </c>
      <c r="AD219" s="139">
        <f>0</f>
        <v>0</v>
      </c>
      <c r="AE219" s="139">
        <f>0</f>
        <v>0</v>
      </c>
      <c r="AF219" s="139">
        <f>0</f>
        <v>0</v>
      </c>
      <c r="AG219" s="139">
        <f>0</f>
        <v>0</v>
      </c>
      <c r="AH219" s="139">
        <f>0</f>
        <v>0</v>
      </c>
      <c r="AI219" s="139">
        <f>0</f>
        <v>0</v>
      </c>
      <c r="AJ219" s="139">
        <f>0</f>
        <v>0</v>
      </c>
      <c r="AK219" s="139">
        <f>0</f>
        <v>0</v>
      </c>
      <c r="AL219" s="139">
        <f>0</f>
        <v>0</v>
      </c>
      <c r="AM219" s="139">
        <f>0</f>
        <v>0</v>
      </c>
      <c r="AN219" s="139">
        <f>0</f>
        <v>0</v>
      </c>
      <c r="AO219" s="139">
        <f>0</f>
        <v>0</v>
      </c>
      <c r="AP219" s="139">
        <f>0</f>
        <v>0</v>
      </c>
      <c r="AQ219" s="139">
        <f>0</f>
        <v>0</v>
      </c>
      <c r="AR219" s="139">
        <f>0</f>
        <v>0</v>
      </c>
      <c r="AS219" s="139">
        <f>0</f>
        <v>0</v>
      </c>
      <c r="AT219" s="139">
        <f>0</f>
        <v>0</v>
      </c>
      <c r="AU219" s="139">
        <f>0</f>
        <v>0</v>
      </c>
      <c r="AV219" s="139">
        <f>0</f>
        <v>0</v>
      </c>
      <c r="AW219" s="139">
        <f>0</f>
        <v>0</v>
      </c>
      <c r="AX219" s="139">
        <f>0</f>
        <v>0</v>
      </c>
      <c r="AY219" s="139">
        <f>0</f>
        <v>0</v>
      </c>
      <c r="AZ219" s="139">
        <f>0</f>
        <v>0</v>
      </c>
      <c r="BA219" s="139">
        <f>0</f>
        <v>0</v>
      </c>
      <c r="BB219" s="139">
        <f>0</f>
        <v>0</v>
      </c>
      <c r="BC219" s="139">
        <f>0</f>
        <v>0</v>
      </c>
      <c r="BD219" s="139">
        <f>0</f>
        <v>0</v>
      </c>
      <c r="BE219" s="139">
        <f>0</f>
        <v>0</v>
      </c>
      <c r="BF219" s="139">
        <f>0</f>
        <v>0</v>
      </c>
      <c r="BG219" s="139">
        <f>0</f>
        <v>0</v>
      </c>
      <c r="BH219" s="139">
        <f>0</f>
        <v>0</v>
      </c>
      <c r="BI219" s="139">
        <f>0</f>
        <v>0</v>
      </c>
      <c r="BJ219" s="139">
        <f>0</f>
        <v>0</v>
      </c>
      <c r="BK219" s="139">
        <f>0</f>
        <v>0</v>
      </c>
      <c r="BL219" s="139">
        <f>0</f>
        <v>0</v>
      </c>
      <c r="BM219" s="139">
        <f>0</f>
        <v>0</v>
      </c>
      <c r="BN219" s="139">
        <f>0</f>
        <v>0</v>
      </c>
      <c r="BO219" s="139">
        <f>0</f>
        <v>0</v>
      </c>
      <c r="BP219" s="139">
        <f>0</f>
        <v>0</v>
      </c>
      <c r="BQ219" s="139">
        <f>0</f>
        <v>0</v>
      </c>
      <c r="BR219" s="139">
        <f>0</f>
        <v>0</v>
      </c>
      <c r="BS219" s="139">
        <f>0</f>
        <v>0</v>
      </c>
      <c r="BT219" s="139">
        <f>0</f>
        <v>0</v>
      </c>
      <c r="BU219" s="139">
        <f>0</f>
        <v>0</v>
      </c>
      <c r="BV219" s="139">
        <f>0</f>
        <v>0</v>
      </c>
      <c r="BW219" s="139">
        <f>0</f>
        <v>0</v>
      </c>
      <c r="BX219" s="139">
        <f>0</f>
        <v>0</v>
      </c>
      <c r="BY219" s="139">
        <f>0</f>
        <v>0</v>
      </c>
      <c r="BZ219" s="139">
        <f>0</f>
        <v>0</v>
      </c>
      <c r="CA219" s="139">
        <f>0</f>
        <v>0</v>
      </c>
      <c r="CB219" s="139">
        <f>0</f>
        <v>0</v>
      </c>
      <c r="CC219" s="139">
        <f>0</f>
        <v>0</v>
      </c>
      <c r="CD219" s="139">
        <f>0</f>
        <v>0</v>
      </c>
      <c r="CE219" s="139">
        <f>0</f>
        <v>0</v>
      </c>
      <c r="CF219" s="139">
        <f>0</f>
        <v>0</v>
      </c>
      <c r="CG219" s="139">
        <f>0</f>
        <v>0</v>
      </c>
      <c r="CH219" s="139">
        <f>0</f>
        <v>0</v>
      </c>
      <c r="CI219" s="139">
        <f>0</f>
        <v>0</v>
      </c>
      <c r="CJ219" s="139">
        <f>0</f>
        <v>0</v>
      </c>
      <c r="CK219" s="139">
        <f>0</f>
        <v>0</v>
      </c>
      <c r="CL219" s="139">
        <f>0</f>
        <v>0</v>
      </c>
      <c r="CM219" s="139">
        <f>0</f>
        <v>0</v>
      </c>
      <c r="CN219" s="139">
        <f>0</f>
        <v>0</v>
      </c>
      <c r="CO219" s="139">
        <f>0</f>
        <v>0</v>
      </c>
      <c r="CP219" s="139">
        <f>0</f>
        <v>0</v>
      </c>
      <c r="CQ219" s="139">
        <f>0</f>
        <v>0</v>
      </c>
      <c r="CR219" s="139">
        <f>0</f>
        <v>0</v>
      </c>
      <c r="CS219" s="139">
        <f>0</f>
        <v>0</v>
      </c>
      <c r="CT219" s="139">
        <f>0</f>
        <v>0</v>
      </c>
      <c r="CU219" s="139">
        <f>0</f>
        <v>0</v>
      </c>
      <c r="CV219" s="139">
        <f>0</f>
        <v>0</v>
      </c>
      <c r="CW219" s="139">
        <f>0</f>
        <v>0</v>
      </c>
      <c r="CX219" s="139">
        <f>0</f>
        <v>0</v>
      </c>
      <c r="CY219" s="139">
        <f>0</f>
        <v>0</v>
      </c>
      <c r="CZ219" s="139">
        <f>0</f>
        <v>0</v>
      </c>
      <c r="DA219" s="139">
        <f>0</f>
        <v>0</v>
      </c>
      <c r="DB219" s="139">
        <f>0</f>
        <v>0</v>
      </c>
      <c r="DC219" s="139">
        <f>0</f>
        <v>0</v>
      </c>
      <c r="DD219" s="139">
        <f>0</f>
        <v>0</v>
      </c>
      <c r="DE219" s="139">
        <f>0</f>
        <v>0</v>
      </c>
      <c r="DF219" s="139">
        <f>0</f>
        <v>0</v>
      </c>
      <c r="DG219" s="139">
        <f>0</f>
        <v>0</v>
      </c>
      <c r="DH219" s="139">
        <f>0</f>
        <v>0</v>
      </c>
      <c r="DI219" s="139">
        <f>0</f>
        <v>0</v>
      </c>
      <c r="DJ219" s="139">
        <f>0</f>
        <v>0</v>
      </c>
      <c r="DK219" s="139">
        <f>0</f>
        <v>0</v>
      </c>
      <c r="DL219" s="139">
        <f>0</f>
        <v>0</v>
      </c>
      <c r="DM219" s="139">
        <f>0</f>
        <v>0</v>
      </c>
      <c r="DN219" s="139">
        <f>0</f>
        <v>0</v>
      </c>
      <c r="DO219" s="139">
        <f>0</f>
        <v>0</v>
      </c>
      <c r="DP219" s="139">
        <f>0</f>
        <v>0</v>
      </c>
      <c r="DQ219" s="139">
        <f>0</f>
        <v>0</v>
      </c>
      <c r="DR219" s="139">
        <f>0</f>
        <v>0</v>
      </c>
      <c r="DS219" s="139">
        <f>0</f>
        <v>0</v>
      </c>
    </row>
    <row r="220" spans="1:123" ht="12.75" customHeight="1" x14ac:dyDescent="0.35">
      <c r="A220" s="146" t="s">
        <v>521</v>
      </c>
      <c r="B220" s="169">
        <f>SUM(D220:BQ220)</f>
        <v>0</v>
      </c>
      <c r="C220" s="169">
        <f>B220/60</f>
        <v>0</v>
      </c>
      <c r="D220" s="139">
        <f>0</f>
        <v>0</v>
      </c>
      <c r="E220" s="139">
        <f>0</f>
        <v>0</v>
      </c>
      <c r="F220" s="139">
        <f>0</f>
        <v>0</v>
      </c>
      <c r="G220" s="139">
        <f>0</f>
        <v>0</v>
      </c>
      <c r="H220" s="139">
        <f>0</f>
        <v>0</v>
      </c>
      <c r="I220" s="139">
        <f>0</f>
        <v>0</v>
      </c>
      <c r="J220" s="139">
        <f>0</f>
        <v>0</v>
      </c>
      <c r="K220" s="139">
        <f>0</f>
        <v>0</v>
      </c>
      <c r="L220" s="139">
        <f>0</f>
        <v>0</v>
      </c>
      <c r="M220" s="139">
        <f>0</f>
        <v>0</v>
      </c>
      <c r="N220" s="139">
        <f>0</f>
        <v>0</v>
      </c>
      <c r="O220" s="139">
        <f>0</f>
        <v>0</v>
      </c>
      <c r="P220" s="139">
        <f>0</f>
        <v>0</v>
      </c>
      <c r="Q220" s="139">
        <f>0</f>
        <v>0</v>
      </c>
      <c r="R220" s="139">
        <f>0</f>
        <v>0</v>
      </c>
      <c r="S220" s="139">
        <f>0</f>
        <v>0</v>
      </c>
      <c r="T220" s="139">
        <f>0</f>
        <v>0</v>
      </c>
      <c r="U220" s="139">
        <f>0</f>
        <v>0</v>
      </c>
      <c r="V220" s="139">
        <f>0</f>
        <v>0</v>
      </c>
      <c r="W220" s="139">
        <f>0</f>
        <v>0</v>
      </c>
      <c r="X220" s="139">
        <f>0</f>
        <v>0</v>
      </c>
      <c r="Y220" s="139">
        <f>0</f>
        <v>0</v>
      </c>
      <c r="Z220" s="139">
        <f>0</f>
        <v>0</v>
      </c>
      <c r="AA220" s="139">
        <f>0</f>
        <v>0</v>
      </c>
      <c r="AB220" s="139">
        <f>0</f>
        <v>0</v>
      </c>
      <c r="AC220" s="139">
        <f>0</f>
        <v>0</v>
      </c>
      <c r="AD220" s="139">
        <f>0</f>
        <v>0</v>
      </c>
      <c r="AE220" s="139">
        <f>0</f>
        <v>0</v>
      </c>
      <c r="AF220" s="139">
        <f>0</f>
        <v>0</v>
      </c>
      <c r="AG220" s="139">
        <f>0</f>
        <v>0</v>
      </c>
      <c r="AH220" s="139">
        <f>0</f>
        <v>0</v>
      </c>
      <c r="AI220" s="139">
        <f>0</f>
        <v>0</v>
      </c>
      <c r="AJ220" s="139">
        <f>0</f>
        <v>0</v>
      </c>
      <c r="AK220" s="139">
        <f>0</f>
        <v>0</v>
      </c>
      <c r="AL220" s="139">
        <f>0</f>
        <v>0</v>
      </c>
      <c r="AM220" s="139">
        <f>0</f>
        <v>0</v>
      </c>
      <c r="AN220" s="139">
        <f>0</f>
        <v>0</v>
      </c>
      <c r="AO220" s="139">
        <f>0</f>
        <v>0</v>
      </c>
      <c r="AP220" s="139">
        <f>0</f>
        <v>0</v>
      </c>
      <c r="AQ220" s="139">
        <f>0</f>
        <v>0</v>
      </c>
      <c r="AR220" s="139">
        <f>0</f>
        <v>0</v>
      </c>
      <c r="AS220" s="139">
        <f>0</f>
        <v>0</v>
      </c>
      <c r="AT220" s="139">
        <f>0</f>
        <v>0</v>
      </c>
      <c r="AU220" s="139">
        <f>0</f>
        <v>0</v>
      </c>
      <c r="AV220" s="139">
        <f>0</f>
        <v>0</v>
      </c>
      <c r="AW220" s="139">
        <f>0</f>
        <v>0</v>
      </c>
      <c r="AX220" s="139">
        <f>0</f>
        <v>0</v>
      </c>
      <c r="AY220" s="139">
        <f>0</f>
        <v>0</v>
      </c>
      <c r="AZ220" s="139">
        <f>0</f>
        <v>0</v>
      </c>
      <c r="BA220" s="139">
        <f>0</f>
        <v>0</v>
      </c>
      <c r="BB220" s="139">
        <f>0</f>
        <v>0</v>
      </c>
      <c r="BC220" s="139">
        <f>0</f>
        <v>0</v>
      </c>
      <c r="BD220" s="139">
        <f>0</f>
        <v>0</v>
      </c>
      <c r="BE220" s="139">
        <f>0</f>
        <v>0</v>
      </c>
      <c r="BF220" s="139">
        <f>0</f>
        <v>0</v>
      </c>
      <c r="BG220" s="139">
        <f>0</f>
        <v>0</v>
      </c>
      <c r="BH220" s="139">
        <f>0</f>
        <v>0</v>
      </c>
      <c r="BI220" s="139">
        <f>0</f>
        <v>0</v>
      </c>
      <c r="BJ220" s="139">
        <f>0</f>
        <v>0</v>
      </c>
      <c r="BK220" s="139">
        <f>0</f>
        <v>0</v>
      </c>
      <c r="BL220" s="139">
        <f>0</f>
        <v>0</v>
      </c>
      <c r="BM220" s="139">
        <f>0</f>
        <v>0</v>
      </c>
      <c r="BN220" s="139">
        <f>0</f>
        <v>0</v>
      </c>
      <c r="BO220" s="139">
        <f>0</f>
        <v>0</v>
      </c>
      <c r="BP220" s="139">
        <f>0</f>
        <v>0</v>
      </c>
      <c r="BQ220" s="139">
        <f>0</f>
        <v>0</v>
      </c>
      <c r="BR220" s="139">
        <f>0</f>
        <v>0</v>
      </c>
      <c r="BS220" s="139">
        <f>0</f>
        <v>0</v>
      </c>
      <c r="BT220" s="139">
        <f>0</f>
        <v>0</v>
      </c>
      <c r="BU220" s="139">
        <f>0</f>
        <v>0</v>
      </c>
      <c r="BV220" s="139">
        <f>0</f>
        <v>0</v>
      </c>
      <c r="BW220" s="139">
        <f>0</f>
        <v>0</v>
      </c>
      <c r="BX220" s="139">
        <f>0</f>
        <v>0</v>
      </c>
      <c r="BY220" s="139">
        <f>0</f>
        <v>0</v>
      </c>
      <c r="BZ220" s="139">
        <f>0</f>
        <v>0</v>
      </c>
      <c r="CA220" s="139">
        <f>0</f>
        <v>0</v>
      </c>
      <c r="CB220" s="139">
        <f>0</f>
        <v>0</v>
      </c>
      <c r="CC220" s="139">
        <f>0</f>
        <v>0</v>
      </c>
      <c r="CD220" s="139">
        <f>0</f>
        <v>0</v>
      </c>
      <c r="CE220" s="139">
        <f>0</f>
        <v>0</v>
      </c>
      <c r="CF220" s="139">
        <f>0</f>
        <v>0</v>
      </c>
      <c r="CG220" s="139">
        <f>0</f>
        <v>0</v>
      </c>
      <c r="CH220" s="139">
        <f>0</f>
        <v>0</v>
      </c>
      <c r="CI220" s="139">
        <f>0</f>
        <v>0</v>
      </c>
      <c r="CJ220" s="139">
        <f>0</f>
        <v>0</v>
      </c>
      <c r="CK220" s="139">
        <f>0</f>
        <v>0</v>
      </c>
      <c r="CL220" s="139">
        <f>0</f>
        <v>0</v>
      </c>
      <c r="CM220" s="139">
        <f>0</f>
        <v>0</v>
      </c>
      <c r="CN220" s="139">
        <f>0</f>
        <v>0</v>
      </c>
      <c r="CO220" s="139">
        <f>0</f>
        <v>0</v>
      </c>
      <c r="CP220" s="139">
        <f>0</f>
        <v>0</v>
      </c>
      <c r="CQ220" s="139">
        <f>0</f>
        <v>0</v>
      </c>
      <c r="CR220" s="139">
        <f>0</f>
        <v>0</v>
      </c>
      <c r="CS220" s="139">
        <f>0</f>
        <v>0</v>
      </c>
      <c r="CT220" s="139">
        <f>0</f>
        <v>0</v>
      </c>
      <c r="CU220" s="139">
        <f>0</f>
        <v>0</v>
      </c>
      <c r="CV220" s="139">
        <f>0</f>
        <v>0</v>
      </c>
      <c r="CW220" s="139">
        <f>0</f>
        <v>0</v>
      </c>
      <c r="CX220" s="139">
        <f>0</f>
        <v>0</v>
      </c>
      <c r="CY220" s="139">
        <f>0</f>
        <v>0</v>
      </c>
      <c r="CZ220" s="139">
        <f>0</f>
        <v>0</v>
      </c>
      <c r="DA220" s="139">
        <f>0</f>
        <v>0</v>
      </c>
      <c r="DB220" s="139">
        <f>0</f>
        <v>0</v>
      </c>
      <c r="DC220" s="139">
        <f>0</f>
        <v>0</v>
      </c>
      <c r="DD220" s="139">
        <f>0</f>
        <v>0</v>
      </c>
      <c r="DE220" s="139">
        <f>0</f>
        <v>0</v>
      </c>
      <c r="DF220" s="139">
        <f>0</f>
        <v>0</v>
      </c>
      <c r="DG220" s="139">
        <f>0</f>
        <v>0</v>
      </c>
      <c r="DH220" s="139">
        <f>0</f>
        <v>0</v>
      </c>
      <c r="DI220" s="139">
        <f>0</f>
        <v>0</v>
      </c>
      <c r="DJ220" s="139">
        <f>0</f>
        <v>0</v>
      </c>
      <c r="DK220" s="139">
        <f>0</f>
        <v>0</v>
      </c>
      <c r="DL220" s="139">
        <f>0</f>
        <v>0</v>
      </c>
      <c r="DM220" s="139">
        <f>0</f>
        <v>0</v>
      </c>
      <c r="DN220" s="139">
        <f>0</f>
        <v>0</v>
      </c>
      <c r="DO220" s="139">
        <f>0</f>
        <v>0</v>
      </c>
      <c r="DP220" s="139">
        <f>0</f>
        <v>0</v>
      </c>
      <c r="DQ220" s="139">
        <f>0</f>
        <v>0</v>
      </c>
      <c r="DR220" s="139">
        <f>0</f>
        <v>0</v>
      </c>
      <c r="DS220" s="139">
        <f>0</f>
        <v>0</v>
      </c>
    </row>
    <row r="221" spans="1:123" ht="12.75" customHeight="1" x14ac:dyDescent="0.35">
      <c r="A221" s="174" t="s">
        <v>522</v>
      </c>
      <c r="B221" s="171">
        <f>AA221</f>
        <v>0</v>
      </c>
      <c r="C221" s="169" t="s">
        <v>169</v>
      </c>
      <c r="D221" s="175">
        <f>0</f>
        <v>0</v>
      </c>
      <c r="E221" s="175">
        <f>0</f>
        <v>0</v>
      </c>
      <c r="F221" s="175">
        <f>0</f>
        <v>0</v>
      </c>
      <c r="G221" s="175">
        <f>0</f>
        <v>0</v>
      </c>
      <c r="H221" s="175">
        <f>0</f>
        <v>0</v>
      </c>
      <c r="I221" s="175">
        <f>0</f>
        <v>0</v>
      </c>
      <c r="J221" s="175">
        <f>0</f>
        <v>0</v>
      </c>
      <c r="K221" s="175">
        <f>0</f>
        <v>0</v>
      </c>
      <c r="L221" s="175">
        <f>0</f>
        <v>0</v>
      </c>
      <c r="M221" s="175">
        <f>0</f>
        <v>0</v>
      </c>
      <c r="N221" s="175">
        <f>0</f>
        <v>0</v>
      </c>
      <c r="O221" s="175">
        <f>0</f>
        <v>0</v>
      </c>
      <c r="P221" s="175">
        <f>0</f>
        <v>0</v>
      </c>
      <c r="Q221" s="175">
        <f>0</f>
        <v>0</v>
      </c>
      <c r="R221" s="175">
        <f>0</f>
        <v>0</v>
      </c>
      <c r="S221" s="175">
        <f>0</f>
        <v>0</v>
      </c>
      <c r="T221" s="175">
        <f>0</f>
        <v>0</v>
      </c>
      <c r="U221" s="175">
        <f>0</f>
        <v>0</v>
      </c>
      <c r="V221" s="175">
        <f>0</f>
        <v>0</v>
      </c>
      <c r="W221" s="175">
        <f>0</f>
        <v>0</v>
      </c>
      <c r="X221" s="175">
        <f>0</f>
        <v>0</v>
      </c>
      <c r="Y221" s="175">
        <f>0</f>
        <v>0</v>
      </c>
      <c r="Z221" s="175">
        <f>0</f>
        <v>0</v>
      </c>
      <c r="AA221" s="175">
        <f>0</f>
        <v>0</v>
      </c>
      <c r="AB221" s="175">
        <f>0</f>
        <v>0</v>
      </c>
      <c r="AC221" s="175">
        <f>0</f>
        <v>0</v>
      </c>
      <c r="AD221" s="175">
        <f>0</f>
        <v>0</v>
      </c>
      <c r="AE221" s="175">
        <f>0</f>
        <v>0</v>
      </c>
      <c r="AF221" s="175">
        <f>0</f>
        <v>0</v>
      </c>
      <c r="AG221" s="175">
        <f>0</f>
        <v>0</v>
      </c>
      <c r="AH221" s="175">
        <f>0</f>
        <v>0</v>
      </c>
      <c r="AI221" s="175">
        <f>0</f>
        <v>0</v>
      </c>
      <c r="AJ221" s="175">
        <f>0</f>
        <v>0</v>
      </c>
      <c r="AK221" s="175">
        <f>0</f>
        <v>0</v>
      </c>
      <c r="AL221" s="175">
        <f>0</f>
        <v>0</v>
      </c>
      <c r="AM221" s="175">
        <f>0</f>
        <v>0</v>
      </c>
      <c r="AN221" s="175">
        <f>0</f>
        <v>0</v>
      </c>
      <c r="AO221" s="175">
        <f>0</f>
        <v>0</v>
      </c>
      <c r="AP221" s="175">
        <f>0</f>
        <v>0</v>
      </c>
      <c r="AQ221" s="175">
        <f>0</f>
        <v>0</v>
      </c>
      <c r="AR221" s="175">
        <f>0</f>
        <v>0</v>
      </c>
      <c r="AS221" s="175">
        <f>0</f>
        <v>0</v>
      </c>
      <c r="AT221" s="175">
        <f>0</f>
        <v>0</v>
      </c>
      <c r="AU221" s="175">
        <f>0</f>
        <v>0</v>
      </c>
      <c r="AV221" s="175">
        <f>0</f>
        <v>0</v>
      </c>
      <c r="AW221" s="175">
        <f>0</f>
        <v>0</v>
      </c>
      <c r="AX221" s="175">
        <f>0</f>
        <v>0</v>
      </c>
      <c r="AY221" s="175">
        <f>0</f>
        <v>0</v>
      </c>
      <c r="AZ221" s="175">
        <f>0</f>
        <v>0</v>
      </c>
      <c r="BA221" s="175">
        <f>0</f>
        <v>0</v>
      </c>
      <c r="BB221" s="175">
        <f>0</f>
        <v>0</v>
      </c>
      <c r="BC221" s="175">
        <f>0</f>
        <v>0</v>
      </c>
      <c r="BD221" s="175">
        <f>0</f>
        <v>0</v>
      </c>
      <c r="BE221" s="175">
        <f>0</f>
        <v>0</v>
      </c>
      <c r="BF221" s="175">
        <f>0</f>
        <v>0</v>
      </c>
      <c r="BG221" s="175">
        <f>0</f>
        <v>0</v>
      </c>
      <c r="BH221" s="175">
        <f>0</f>
        <v>0</v>
      </c>
      <c r="BI221" s="175">
        <f>0</f>
        <v>0</v>
      </c>
      <c r="BJ221" s="175">
        <f>0</f>
        <v>0</v>
      </c>
      <c r="BK221" s="175">
        <f>0</f>
        <v>0</v>
      </c>
      <c r="BL221" s="175">
        <f>0</f>
        <v>0</v>
      </c>
      <c r="BM221" s="175">
        <f>0</f>
        <v>0</v>
      </c>
      <c r="BN221" s="175">
        <f>0</f>
        <v>0</v>
      </c>
      <c r="BO221" s="175">
        <f>0</f>
        <v>0</v>
      </c>
      <c r="BP221" s="175">
        <f>0</f>
        <v>0</v>
      </c>
      <c r="BQ221" s="175">
        <f>0</f>
        <v>0</v>
      </c>
      <c r="BR221" s="175">
        <f>0</f>
        <v>0</v>
      </c>
      <c r="BS221" s="175">
        <f>0</f>
        <v>0</v>
      </c>
      <c r="BT221" s="175">
        <f>0</f>
        <v>0</v>
      </c>
      <c r="BU221" s="175">
        <f>0</f>
        <v>0</v>
      </c>
      <c r="BV221" s="175">
        <f>0</f>
        <v>0</v>
      </c>
      <c r="BW221" s="175">
        <f>0</f>
        <v>0</v>
      </c>
      <c r="BX221" s="175">
        <f>0</f>
        <v>0</v>
      </c>
      <c r="BY221" s="175">
        <f>0</f>
        <v>0</v>
      </c>
      <c r="BZ221" s="175">
        <f>0</f>
        <v>0</v>
      </c>
      <c r="CA221" s="175">
        <f>0</f>
        <v>0</v>
      </c>
      <c r="CB221" s="175">
        <f>0</f>
        <v>0</v>
      </c>
      <c r="CC221" s="175">
        <f>0</f>
        <v>0</v>
      </c>
      <c r="CD221" s="175">
        <f>0</f>
        <v>0</v>
      </c>
      <c r="CE221" s="175">
        <f>0</f>
        <v>0</v>
      </c>
      <c r="CF221" s="175">
        <f>0</f>
        <v>0</v>
      </c>
      <c r="CG221" s="175">
        <f>0</f>
        <v>0</v>
      </c>
      <c r="CH221" s="175">
        <f>0</f>
        <v>0</v>
      </c>
      <c r="CI221" s="175">
        <f>0</f>
        <v>0</v>
      </c>
      <c r="CJ221" s="175">
        <f>0</f>
        <v>0</v>
      </c>
      <c r="CK221" s="175">
        <f>0</f>
        <v>0</v>
      </c>
      <c r="CL221" s="175">
        <f>0</f>
        <v>0</v>
      </c>
      <c r="CM221" s="175">
        <f>0</f>
        <v>0</v>
      </c>
      <c r="CN221" s="175">
        <f>0</f>
        <v>0</v>
      </c>
      <c r="CO221" s="175">
        <f>0</f>
        <v>0</v>
      </c>
      <c r="CP221" s="175">
        <f>0</f>
        <v>0</v>
      </c>
      <c r="CQ221" s="175">
        <f>0</f>
        <v>0</v>
      </c>
      <c r="CR221" s="175">
        <f>0</f>
        <v>0</v>
      </c>
      <c r="CS221" s="175">
        <f>0</f>
        <v>0</v>
      </c>
      <c r="CT221" s="175">
        <f>0</f>
        <v>0</v>
      </c>
      <c r="CU221" s="175">
        <f>0</f>
        <v>0</v>
      </c>
      <c r="CV221" s="175">
        <f>0</f>
        <v>0</v>
      </c>
      <c r="CW221" s="175">
        <f>0</f>
        <v>0</v>
      </c>
      <c r="CX221" s="175">
        <f>0</f>
        <v>0</v>
      </c>
      <c r="CY221" s="175">
        <f>0</f>
        <v>0</v>
      </c>
      <c r="CZ221" s="175">
        <f>0</f>
        <v>0</v>
      </c>
      <c r="DA221" s="175">
        <f>0</f>
        <v>0</v>
      </c>
      <c r="DB221" s="175">
        <f>0</f>
        <v>0</v>
      </c>
      <c r="DC221" s="175">
        <f>0</f>
        <v>0</v>
      </c>
      <c r="DD221" s="175">
        <f>0</f>
        <v>0</v>
      </c>
      <c r="DE221" s="175">
        <f>0</f>
        <v>0</v>
      </c>
      <c r="DF221" s="175">
        <f>0</f>
        <v>0</v>
      </c>
      <c r="DG221" s="175">
        <f>0</f>
        <v>0</v>
      </c>
      <c r="DH221" s="175">
        <f>0</f>
        <v>0</v>
      </c>
      <c r="DI221" s="175">
        <f>0</f>
        <v>0</v>
      </c>
      <c r="DJ221" s="175">
        <f>0</f>
        <v>0</v>
      </c>
      <c r="DK221" s="175">
        <f>0</f>
        <v>0</v>
      </c>
      <c r="DL221" s="175">
        <f>0</f>
        <v>0</v>
      </c>
      <c r="DM221" s="175">
        <f>0</f>
        <v>0</v>
      </c>
      <c r="DN221" s="175">
        <f>0</f>
        <v>0</v>
      </c>
      <c r="DO221" s="175">
        <f>0</f>
        <v>0</v>
      </c>
      <c r="DP221" s="175">
        <f>0</f>
        <v>0</v>
      </c>
      <c r="DQ221" s="175">
        <f>0</f>
        <v>0</v>
      </c>
      <c r="DR221" s="175">
        <f>0</f>
        <v>0</v>
      </c>
      <c r="DS221" s="175">
        <f>0</f>
        <v>0</v>
      </c>
    </row>
    <row r="222" spans="1:123" ht="12.75" customHeight="1" x14ac:dyDescent="0.35">
      <c r="A222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22" s="162">
        <f>SUM(D222:BQ222)</f>
        <v>10172.070695027276</v>
      </c>
      <c r="C222" s="176">
        <f>B222/60</f>
        <v>169.53451158378795</v>
      </c>
      <c r="D222" s="162">
        <f>D214*Premissas!$F$19</f>
        <v>146.22756526378939</v>
      </c>
      <c r="E222" s="162">
        <f>E214*Premissas!$F$19</f>
        <v>144.37658342500725</v>
      </c>
      <c r="F222" s="162">
        <f>F214*Premissas!$F$19</f>
        <v>143.45109250561617</v>
      </c>
      <c r="G222" s="162">
        <f>G214*Premissas!$F$19</f>
        <v>141.60011066683404</v>
      </c>
      <c r="H222" s="162">
        <f>H214*Premissas!$F$19</f>
        <v>139.74912882805188</v>
      </c>
      <c r="I222" s="162">
        <f>I214*Premissas!$F$19</f>
        <v>138.8236379086608</v>
      </c>
      <c r="J222" s="162">
        <f>J214*Premissas!$F$19</f>
        <v>136.97265606987867</v>
      </c>
      <c r="K222" s="162">
        <f>K214*Premissas!$F$19</f>
        <v>154.55698353830903</v>
      </c>
      <c r="L222" s="162">
        <f>L214*Premissas!$F$19</f>
        <v>153.63149261891797</v>
      </c>
      <c r="M222" s="162">
        <f>M214*Premissas!$F$19</f>
        <v>152.70600169952689</v>
      </c>
      <c r="N222" s="162">
        <f>N214*Premissas!$F$19</f>
        <v>151.78051078013581</v>
      </c>
      <c r="O222" s="162">
        <f>O214*Premissas!$F$19</f>
        <v>150.85501986074476</v>
      </c>
      <c r="P222" s="162">
        <f>P214*Premissas!$F$19</f>
        <v>149.92952894135368</v>
      </c>
      <c r="Q222" s="162">
        <f>Q214*Premissas!$F$19</f>
        <v>148.07854710257152</v>
      </c>
      <c r="R222" s="162">
        <f>R214*Premissas!$F$19</f>
        <v>147.15305618318047</v>
      </c>
      <c r="S222" s="162">
        <f>S214*Premissas!$F$19</f>
        <v>145.30207434439831</v>
      </c>
      <c r="T222" s="162">
        <f>T214*Premissas!$F$19</f>
        <v>143.45109250561617</v>
      </c>
      <c r="U222" s="162">
        <f>U214*Premissas!$F$19</f>
        <v>142.52560158622509</v>
      </c>
      <c r="V222" s="162">
        <f>V214*Premissas!$F$19</f>
        <v>140.67461974744296</v>
      </c>
      <c r="W222" s="162">
        <f>W214*Premissas!$F$19</f>
        <v>154.55698353830903</v>
      </c>
      <c r="X222" s="162">
        <f>X214*Premissas!$F$19</f>
        <v>153.63149261891797</v>
      </c>
      <c r="Y222" s="162">
        <f>Y214*Premissas!$F$19</f>
        <v>152.70600169952689</v>
      </c>
      <c r="Z222" s="162">
        <f>Z214*Premissas!$F$19</f>
        <v>151.78051078013581</v>
      </c>
      <c r="AA222" s="162">
        <f>AA214*Premissas!$F$19</f>
        <v>150.85501986074476</v>
      </c>
      <c r="AB222" s="162">
        <f>AB214*Premissas!$F$19</f>
        <v>153.63149261891797</v>
      </c>
      <c r="AC222" s="162">
        <f>AC214*Premissas!$F$19</f>
        <v>151.78051078013581</v>
      </c>
      <c r="AD222" s="162">
        <f>AD214*Premissas!$F$19</f>
        <v>150.85501986074476</v>
      </c>
      <c r="AE222" s="162">
        <f>AE214*Premissas!$F$19</f>
        <v>149.0040380219626</v>
      </c>
      <c r="AF222" s="162">
        <f>AF214*Premissas!$F$19</f>
        <v>147.15305618318047</v>
      </c>
      <c r="AG222" s="162">
        <f>AG214*Premissas!$F$19</f>
        <v>146.22756526378939</v>
      </c>
      <c r="AH222" s="162">
        <f>AH214*Premissas!$F$19</f>
        <v>143.45109250561617</v>
      </c>
      <c r="AI222" s="162">
        <f>AI214*Premissas!$F$19</f>
        <v>161.96091089343761</v>
      </c>
      <c r="AJ222" s="162">
        <f>AJ214*Premissas!$F$19</f>
        <v>161.03541997404653</v>
      </c>
      <c r="AK222" s="162">
        <f>AK214*Premissas!$F$19</f>
        <v>160.10992905465548</v>
      </c>
      <c r="AL222" s="162">
        <f>AL214*Premissas!$F$19</f>
        <v>159.1844381352644</v>
      </c>
      <c r="AM222" s="162">
        <f>AM214*Premissas!$F$19</f>
        <v>158.25894721587332</v>
      </c>
      <c r="AN222" s="162">
        <f>AN214*Premissas!$F$19</f>
        <v>157.33345629648227</v>
      </c>
      <c r="AO222" s="162">
        <f>AO214*Premissas!$F$19</f>
        <v>155.48247445770011</v>
      </c>
      <c r="AP222" s="162">
        <f>AP214*Premissas!$F$19</f>
        <v>154.55698353830903</v>
      </c>
      <c r="AQ222" s="162">
        <f>AQ214*Premissas!$F$19</f>
        <v>152.70600169952689</v>
      </c>
      <c r="AR222" s="162">
        <f>AR214*Premissas!$F$19</f>
        <v>150.85501986074476</v>
      </c>
      <c r="AS222" s="162">
        <f>AS214*Premissas!$F$19</f>
        <v>149.92952894135368</v>
      </c>
      <c r="AT222" s="162">
        <f>AT214*Premissas!$F$19</f>
        <v>147.15305618318047</v>
      </c>
      <c r="AU222" s="162">
        <f>AU214*Premissas!$F$19</f>
        <v>166.58836549039299</v>
      </c>
      <c r="AV222" s="162">
        <f>AV214*Premissas!$F$19</f>
        <v>165.66287457100191</v>
      </c>
      <c r="AW222" s="162">
        <f>AW214*Premissas!$F$19</f>
        <v>164.73738365161083</v>
      </c>
      <c r="AX222" s="162">
        <f>AX214*Premissas!$F$19</f>
        <v>163.81189273221975</v>
      </c>
      <c r="AY222" s="162">
        <f>AY214*Premissas!$F$19</f>
        <v>162.88640181282869</v>
      </c>
      <c r="AZ222" s="162">
        <f>AZ214*Premissas!$F$19</f>
        <v>161.03541997404653</v>
      </c>
      <c r="BA222" s="162">
        <f>BA214*Premissas!$F$19</f>
        <v>159.1844381352644</v>
      </c>
      <c r="BB222" s="162">
        <f>BB214*Premissas!$F$19</f>
        <v>158.25894721587332</v>
      </c>
      <c r="BC222" s="162">
        <f>BC214*Premissas!$F$19</f>
        <v>156.40796537709119</v>
      </c>
      <c r="BD222" s="162">
        <f>BD214*Premissas!$F$19</f>
        <v>154.55698353830903</v>
      </c>
      <c r="BE222" s="162">
        <f>BE214*Premissas!$F$19</f>
        <v>153.63149261891797</v>
      </c>
      <c r="BF222" s="162">
        <f>BF214*Premissas!$F$19</f>
        <v>150.85501986074476</v>
      </c>
      <c r="BG222" s="162">
        <f>BG214*Premissas!$F$19</f>
        <v>170.29032916795725</v>
      </c>
      <c r="BH222" s="162">
        <f>BH214*Premissas!$F$19</f>
        <v>169.3648382485662</v>
      </c>
      <c r="BI222" s="162">
        <f>BI214*Premissas!$F$19</f>
        <v>168.43934732917512</v>
      </c>
      <c r="BJ222" s="162">
        <f>BJ214*Premissas!$F$19</f>
        <v>167.51385640978404</v>
      </c>
      <c r="BK222" s="162">
        <f>BK214*Premissas!$F$19</f>
        <v>166.58836549039299</v>
      </c>
      <c r="BL222" s="162">
        <f>BL214*Premissas!$F$19</f>
        <v>165.66287457100191</v>
      </c>
      <c r="BM222" s="162">
        <f>BM214*Premissas!$F$19</f>
        <v>162.88640181282869</v>
      </c>
      <c r="BN222" s="162">
        <f>BN214*Premissas!$F$19</f>
        <v>161.96091089343761</v>
      </c>
      <c r="BO222" s="162">
        <f>BO214*Premissas!$F$19</f>
        <v>160.10992905465548</v>
      </c>
      <c r="BP222" s="162">
        <f>BP214*Premissas!$F$19</f>
        <v>158.25894721587332</v>
      </c>
      <c r="BQ222" s="162">
        <f>BQ214*Premissas!$F$19</f>
        <v>157.33345629648227</v>
      </c>
      <c r="BR222" s="162">
        <f>BR214*Premissas!$F$19</f>
        <v>154.55698353830903</v>
      </c>
      <c r="BS222" s="162">
        <f>BS214*Premissas!$F$19</f>
        <v>174.91778376491263</v>
      </c>
      <c r="BT222" s="162">
        <f>BT214*Premissas!$F$19</f>
        <v>173.99229284552155</v>
      </c>
      <c r="BU222" s="162">
        <f>BU214*Premissas!$F$19</f>
        <v>173.06680192613047</v>
      </c>
      <c r="BV222" s="162">
        <f>BV214*Premissas!$F$19</f>
        <v>172.14131100673941</v>
      </c>
      <c r="BW222" s="162">
        <f>BW214*Premissas!$F$19</f>
        <v>170.29032916795725</v>
      </c>
      <c r="BX222" s="162">
        <f>BX214*Premissas!$F$19</f>
        <v>169.3648382485662</v>
      </c>
      <c r="BY222" s="162">
        <f>BY214*Premissas!$F$19</f>
        <v>167.51385640978404</v>
      </c>
      <c r="BZ222" s="162">
        <f>BZ214*Premissas!$F$19</f>
        <v>166.58836549039299</v>
      </c>
      <c r="CA222" s="162">
        <f>CA214*Premissas!$F$19</f>
        <v>163.81189273221975</v>
      </c>
      <c r="CB222" s="162">
        <f>CB214*Premissas!$F$19</f>
        <v>161.96091089343761</v>
      </c>
      <c r="CC222" s="162">
        <f>CC214*Premissas!$F$19</f>
        <v>161.03541997404653</v>
      </c>
      <c r="CD222" s="162">
        <f>CD214*Premissas!$F$19</f>
        <v>159.1844381352644</v>
      </c>
      <c r="CE222" s="162">
        <f>CE214*Premissas!$F$19</f>
        <v>179.54523836186797</v>
      </c>
      <c r="CF222" s="162">
        <f>CF214*Premissas!$F$19</f>
        <v>178.61974744247692</v>
      </c>
      <c r="CG222" s="162">
        <f>CG214*Premissas!$F$19</f>
        <v>176.76876560369476</v>
      </c>
      <c r="CH222" s="162">
        <f>CH214*Premissas!$F$19</f>
        <v>175.84327468430371</v>
      </c>
      <c r="CI222" s="162">
        <f>CI214*Premissas!$F$19</f>
        <v>174.91778376491263</v>
      </c>
      <c r="CJ222" s="162">
        <f>CJ214*Premissas!$F$19</f>
        <v>173.99229284552155</v>
      </c>
      <c r="CK222" s="162">
        <f>CK214*Premissas!$F$19</f>
        <v>171.21582008734833</v>
      </c>
      <c r="CL222" s="162">
        <f>CL214*Premissas!$F$19</f>
        <v>170.29032916795725</v>
      </c>
      <c r="CM222" s="162">
        <f>CM214*Premissas!$F$19</f>
        <v>168.43934732917512</v>
      </c>
      <c r="CN222" s="162">
        <f>CN214*Premissas!$F$19</f>
        <v>165.66287457100191</v>
      </c>
      <c r="CO222" s="162">
        <f>CO214*Premissas!$F$19</f>
        <v>164.73738365161083</v>
      </c>
      <c r="CP222" s="162">
        <f>CP214*Premissas!$F$19</f>
        <v>162.88640181282869</v>
      </c>
      <c r="CQ222" s="162">
        <f>CQ214*Premissas!$F$19</f>
        <v>184.17269295882335</v>
      </c>
      <c r="CR222" s="162">
        <f>CR214*Premissas!$F$19</f>
        <v>182.32171112004121</v>
      </c>
      <c r="CS222" s="162">
        <f>CS214*Premissas!$F$19</f>
        <v>181.39622020065013</v>
      </c>
      <c r="CT222" s="162">
        <f>CT214*Premissas!$F$19</f>
        <v>180.47072928125905</v>
      </c>
      <c r="CU222" s="162">
        <f>CU214*Premissas!$F$19</f>
        <v>179.54523836186797</v>
      </c>
      <c r="CV222" s="162">
        <f>CV214*Premissas!$F$19</f>
        <v>178.61974744247692</v>
      </c>
      <c r="CW222" s="162">
        <f>CW214*Premissas!$F$19</f>
        <v>175.84327468430371</v>
      </c>
      <c r="CX222" s="162">
        <f>CX214*Premissas!$F$19</f>
        <v>174.91778376491263</v>
      </c>
      <c r="CY222" s="162">
        <f>CY214*Premissas!$F$19</f>
        <v>172.14131100673941</v>
      </c>
      <c r="CZ222" s="162">
        <f>CZ214*Premissas!$F$19</f>
        <v>170.29032916795725</v>
      </c>
      <c r="DA222" s="162">
        <f>DA214*Premissas!$F$19</f>
        <v>169.3648382485662</v>
      </c>
      <c r="DB222" s="162">
        <f>DB214*Premissas!$F$19</f>
        <v>166.58836549039299</v>
      </c>
      <c r="DC222" s="162">
        <f>DC214*Premissas!$F$19</f>
        <v>187.87465663638764</v>
      </c>
      <c r="DD222" s="162">
        <f>DD214*Premissas!$F$19</f>
        <v>186.94916571699656</v>
      </c>
      <c r="DE222" s="162">
        <f>DE214*Premissas!$F$19</f>
        <v>186.02367479760548</v>
      </c>
      <c r="DF222" s="162">
        <f>DF214*Premissas!$F$19</f>
        <v>185.09818387821443</v>
      </c>
      <c r="DG222" s="162">
        <f>DG214*Premissas!$F$19</f>
        <v>184.17269295882335</v>
      </c>
      <c r="DH222" s="162">
        <f>DH214*Premissas!$F$19</f>
        <v>182.32171112004121</v>
      </c>
      <c r="DI222" s="162">
        <f>DI214*Premissas!$F$19</f>
        <v>180.47072928125905</v>
      </c>
      <c r="DJ222" s="162">
        <f>DJ214*Premissas!$F$19</f>
        <v>179.54523836186797</v>
      </c>
      <c r="DK222" s="162">
        <f>DK214*Premissas!$F$19</f>
        <v>176.76876560369476</v>
      </c>
      <c r="DL222" s="162">
        <f>DL214*Premissas!$F$19</f>
        <v>174.91778376491263</v>
      </c>
      <c r="DM222" s="162">
        <f>DM214*Premissas!$F$19</f>
        <v>173.06680192613047</v>
      </c>
      <c r="DN222" s="162">
        <f>DN214*Premissas!$F$19</f>
        <v>171.21582008734833</v>
      </c>
      <c r="DO222" s="162">
        <f>DO214*Premissas!$F$19</f>
        <v>193.42760215273407</v>
      </c>
      <c r="DP222" s="162">
        <f>DP214*Premissas!$F$19</f>
        <v>191.57662031395193</v>
      </c>
      <c r="DQ222" s="162">
        <f>DQ214*Premissas!$F$19</f>
        <v>190.65112939456085</v>
      </c>
      <c r="DR222" s="162">
        <f>DR214*Premissas!$F$19</f>
        <v>189.72563847516977</v>
      </c>
      <c r="DS222" s="162">
        <f>DS214*Premissas!$F$19</f>
        <v>188.80014755577869</v>
      </c>
    </row>
    <row r="223" spans="1:123" ht="12.75" customHeight="1" x14ac:dyDescent="0.35">
      <c r="A223" s="177" t="s">
        <v>498</v>
      </c>
      <c r="B223" s="164">
        <f>SUM(D223:BQ223)</f>
        <v>39.391207256582518</v>
      </c>
      <c r="C223" s="176">
        <f>B223/60</f>
        <v>0.65652012094304202</v>
      </c>
      <c r="D223" s="164">
        <f>IF(D218&gt;0,0,MAX(D214-D215-D216,0)*Premissas!$B$7)</f>
        <v>25.00098032370056</v>
      </c>
      <c r="E223" s="164">
        <f>IF(E218&gt;0,0,MAX(E214-E215-E216,0)*Premissas!$B$7)</f>
        <v>14.390226932881955</v>
      </c>
      <c r="F223" s="164">
        <f>IF(F218&gt;0,0,MAX(F214-F215-F216,0)*Premissas!$B$7)</f>
        <v>0</v>
      </c>
      <c r="G223" s="164">
        <f>IF(G218&gt;0,0,MAX(G214-G215-G216,0)*Premissas!$B$7)</f>
        <v>0</v>
      </c>
      <c r="H223" s="164">
        <f>IF(H218&gt;0,0,MAX(H214-H215-H216,0)*Premissas!$B$7)</f>
        <v>0</v>
      </c>
      <c r="I223" s="164">
        <f>IF(I218&gt;0,0,MAX(I214-I215-I216,0)*Premissas!$B$7)</f>
        <v>0</v>
      </c>
      <c r="J223" s="164">
        <f>IF(J218&gt;0,0,MAX(J214-J215-J216,0)*Premissas!$B$7)</f>
        <v>0</v>
      </c>
      <c r="K223" s="164">
        <f>IF(K218&gt;0,0,MAX(K214-K215-K216,0)*Premissas!$B$7)</f>
        <v>0</v>
      </c>
      <c r="L223" s="164">
        <f>IF(L218&gt;0,0,MAX(L214-L215-L216,0)*Premissas!$B$7)</f>
        <v>0</v>
      </c>
      <c r="M223" s="164">
        <f>IF(M218&gt;0,0,MAX(M214-M215-M216,0)*Premissas!$B$7)</f>
        <v>0</v>
      </c>
      <c r="N223" s="164">
        <f>IF(N218&gt;0,0,MAX(N214-N215-N216,0)*Premissas!$B$7)</f>
        <v>0</v>
      </c>
      <c r="O223" s="164">
        <f>IF(O218&gt;0,0,MAX(O214-O215-O216,0)*Premissas!$B$7)</f>
        <v>0</v>
      </c>
      <c r="P223" s="164">
        <f>IF(P218&gt;0,0,MAX(P214-P215-P216,0)*Premissas!$B$7)</f>
        <v>0</v>
      </c>
      <c r="Q223" s="164">
        <f>IF(Q218&gt;0,0,MAX(Q214-Q215-Q216,0)*Premissas!$B$7)</f>
        <v>0</v>
      </c>
      <c r="R223" s="164">
        <f>IF(R218&gt;0,0,MAX(R214-R215-R216,0)*Premissas!$B$7)</f>
        <v>0</v>
      </c>
      <c r="S223" s="164">
        <f>IF(S218&gt;0,0,MAX(S214-S215-S216,0)*Premissas!$B$7)</f>
        <v>0</v>
      </c>
      <c r="T223" s="164">
        <f>IF(T218&gt;0,0,MAX(T214-T215-T216,0)*Premissas!$B$7)</f>
        <v>0</v>
      </c>
      <c r="U223" s="164">
        <f>IF(U218&gt;0,0,MAX(U214-U215-U216,0)*Premissas!$B$7)</f>
        <v>0</v>
      </c>
      <c r="V223" s="164">
        <f>IF(V218&gt;0,0,MAX(V214-V215-V216,0)*Premissas!$B$7)</f>
        <v>0</v>
      </c>
      <c r="W223" s="164">
        <f>IF(W218&gt;0,0,MAX(W214-W215-W216,0)*Premissas!$B$7)</f>
        <v>0</v>
      </c>
      <c r="X223" s="164">
        <f>IF(X218&gt;0,0,MAX(X214-X215-X216,0)*Premissas!$B$7)</f>
        <v>0</v>
      </c>
      <c r="Y223" s="164">
        <f>IF(Y218&gt;0,0,MAX(Y214-Y215-Y216,0)*Premissas!$B$7)</f>
        <v>0</v>
      </c>
      <c r="Z223" s="164">
        <f>IF(Z218&gt;0,0,MAX(Z214-Z215-Z216,0)*Premissas!$B$7)</f>
        <v>0</v>
      </c>
      <c r="AA223" s="164">
        <f>IF(AA218&gt;0,0,MAX(AA214-AA215-AA216,0)*Premissas!$B$7)</f>
        <v>0</v>
      </c>
      <c r="AB223" s="164">
        <f>IF(AB218&gt;0,0,MAX(AB214-AB215-AB216,0)*Premissas!$B$7)</f>
        <v>0</v>
      </c>
      <c r="AC223" s="164">
        <f>IF(AC218&gt;0,0,MAX(AC214-AC215-AC216,0)*Premissas!$B$7)</f>
        <v>0</v>
      </c>
      <c r="AD223" s="164">
        <f>IF(AD218&gt;0,0,MAX(AD214-AD215-AD216,0)*Premissas!$B$7)</f>
        <v>0</v>
      </c>
      <c r="AE223" s="164">
        <f>IF(AE218&gt;0,0,MAX(AE214-AE215-AE216,0)*Premissas!$B$7)</f>
        <v>0</v>
      </c>
      <c r="AF223" s="164">
        <f>IF(AF218&gt;0,0,MAX(AF214-AF215-AF216,0)*Premissas!$B$7)</f>
        <v>0</v>
      </c>
      <c r="AG223" s="164">
        <f>IF(AG218&gt;0,0,MAX(AG214-AG215-AG216,0)*Premissas!$B$7)</f>
        <v>0</v>
      </c>
      <c r="AH223" s="164">
        <f>IF(AH218&gt;0,0,MAX(AH214-AH215-AH216,0)*Premissas!$B$7)</f>
        <v>0</v>
      </c>
      <c r="AI223" s="164">
        <f>IF(AI218&gt;0,0,MAX(AI214-AI215-AI216,0)*Premissas!$B$7)</f>
        <v>0</v>
      </c>
      <c r="AJ223" s="164">
        <f>IF(AJ218&gt;0,0,MAX(AJ214-AJ215-AJ216,0)*Premissas!$B$7)</f>
        <v>0</v>
      </c>
      <c r="AK223" s="164">
        <f>IF(AK218&gt;0,0,MAX(AK214-AK215-AK216,0)*Premissas!$B$7)</f>
        <v>0</v>
      </c>
      <c r="AL223" s="164">
        <f>IF(AL218&gt;0,0,MAX(AL214-AL215-AL216,0)*Premissas!$B$7)</f>
        <v>0</v>
      </c>
      <c r="AM223" s="164">
        <f>IF(AM218&gt;0,0,MAX(AM214-AM215-AM216,0)*Premissas!$B$7)</f>
        <v>0</v>
      </c>
      <c r="AN223" s="164">
        <f>IF(AN218&gt;0,0,MAX(AN214-AN215-AN216,0)*Premissas!$B$7)</f>
        <v>0</v>
      </c>
      <c r="AO223" s="164">
        <f>IF(AO218&gt;0,0,MAX(AO214-AO215-AO216,0)*Premissas!$B$7)</f>
        <v>0</v>
      </c>
      <c r="AP223" s="164">
        <f>IF(AP218&gt;0,0,MAX(AP214-AP215-AP216,0)*Premissas!$B$7)</f>
        <v>0</v>
      </c>
      <c r="AQ223" s="164">
        <f>IF(AQ218&gt;0,0,MAX(AQ214-AQ215-AQ216,0)*Premissas!$B$7)</f>
        <v>0</v>
      </c>
      <c r="AR223" s="164">
        <f>IF(AR218&gt;0,0,MAX(AR214-AR215-AR216,0)*Premissas!$B$7)</f>
        <v>0</v>
      </c>
      <c r="AS223" s="164">
        <f>IF(AS218&gt;0,0,MAX(AS214-AS215-AS216,0)*Premissas!$B$7)</f>
        <v>0</v>
      </c>
      <c r="AT223" s="164">
        <f>IF(AT218&gt;0,0,MAX(AT214-AT215-AT216,0)*Premissas!$B$7)</f>
        <v>0</v>
      </c>
      <c r="AU223" s="164">
        <f>IF(AU218&gt;0,0,MAX(AU214-AU215-AU216,0)*Premissas!$B$7)</f>
        <v>0</v>
      </c>
      <c r="AV223" s="164">
        <f>IF(AV218&gt;0,0,MAX(AV214-AV215-AV216,0)*Premissas!$B$7)</f>
        <v>0</v>
      </c>
      <c r="AW223" s="164">
        <f>IF(AW218&gt;0,0,MAX(AW214-AW215-AW216,0)*Premissas!$B$7)</f>
        <v>0</v>
      </c>
      <c r="AX223" s="164">
        <f>IF(AX218&gt;0,0,MAX(AX214-AX215-AX216,0)*Premissas!$B$7)</f>
        <v>0</v>
      </c>
      <c r="AY223" s="164">
        <f>IF(AY218&gt;0,0,MAX(AY214-AY215-AY216,0)*Premissas!$B$7)</f>
        <v>0</v>
      </c>
      <c r="AZ223" s="164">
        <f>IF(AZ218&gt;0,0,MAX(AZ214-AZ215-AZ216,0)*Premissas!$B$7)</f>
        <v>0</v>
      </c>
      <c r="BA223" s="164">
        <f>IF(BA218&gt;0,0,MAX(BA214-BA215-BA216,0)*Premissas!$B$7)</f>
        <v>0</v>
      </c>
      <c r="BB223" s="164">
        <f>IF(BB218&gt;0,0,MAX(BB214-BB215-BB216,0)*Premissas!$B$7)</f>
        <v>0</v>
      </c>
      <c r="BC223" s="164">
        <f>IF(BC218&gt;0,0,MAX(BC214-BC215-BC216,0)*Premissas!$B$7)</f>
        <v>0</v>
      </c>
      <c r="BD223" s="164">
        <f>IF(BD218&gt;0,0,MAX(BD214-BD215-BD216,0)*Premissas!$B$7)</f>
        <v>0</v>
      </c>
      <c r="BE223" s="164">
        <f>IF(BE218&gt;0,0,MAX(BE214-BE215-BE216,0)*Premissas!$B$7)</f>
        <v>0</v>
      </c>
      <c r="BF223" s="164">
        <f>IF(BF218&gt;0,0,MAX(BF214-BF215-BF216,0)*Premissas!$B$7)</f>
        <v>0</v>
      </c>
      <c r="BG223" s="164">
        <f>IF(BG218&gt;0,0,MAX(BG214-BG215-BG216,0)*Premissas!$B$7)</f>
        <v>0</v>
      </c>
      <c r="BH223" s="164">
        <f>IF(BH218&gt;0,0,MAX(BH214-BH215-BH216,0)*Premissas!$B$7)</f>
        <v>0</v>
      </c>
      <c r="BI223" s="164">
        <f>IF(BI218&gt;0,0,MAX(BI214-BI215-BI216,0)*Premissas!$B$7)</f>
        <v>0</v>
      </c>
      <c r="BJ223" s="164">
        <f>IF(BJ218&gt;0,0,MAX(BJ214-BJ215-BJ216,0)*Premissas!$B$7)</f>
        <v>0</v>
      </c>
      <c r="BK223" s="164">
        <f>IF(BK218&gt;0,0,MAX(BK214-BK215-BK216,0)*Premissas!$B$7)</f>
        <v>0</v>
      </c>
      <c r="BL223" s="164">
        <f>IF(BL218&gt;0,0,MAX(BL214-BL215-BL216,0)*Premissas!$B$7)</f>
        <v>0</v>
      </c>
      <c r="BM223" s="164">
        <f>IF(BM218&gt;0,0,MAX(BM214-BM215-BM216,0)*Premissas!$B$7)</f>
        <v>0</v>
      </c>
      <c r="BN223" s="164">
        <f>IF(BN218&gt;0,0,MAX(BN214-BN215-BN216,0)*Premissas!$B$7)</f>
        <v>0</v>
      </c>
      <c r="BO223" s="164">
        <f>IF(BO218&gt;0,0,MAX(BO214-BO215-BO216,0)*Premissas!$B$7)</f>
        <v>0</v>
      </c>
      <c r="BP223" s="164">
        <f>IF(BP218&gt;0,0,MAX(BP214-BP215-BP216,0)*Premissas!$B$7)</f>
        <v>0</v>
      </c>
      <c r="BQ223" s="164">
        <f>IF(BQ218&gt;0,0,MAX(BQ214-BQ215-BQ216,0)*Premissas!$B$7)</f>
        <v>0</v>
      </c>
      <c r="BR223" s="164">
        <f>IF(BR218&gt;0,0,MAX(BR214-BR215-BR216,0)*Premissas!$B$7)</f>
        <v>0</v>
      </c>
      <c r="BS223" s="164">
        <f>IF(BS218&gt;0,0,MAX(BS214-BS215-BS216,0)*Premissas!$B$7)</f>
        <v>0</v>
      </c>
      <c r="BT223" s="164">
        <f>IF(BT218&gt;0,0,MAX(BT214-BT215-BT216,0)*Premissas!$B$7)</f>
        <v>0</v>
      </c>
      <c r="BU223" s="164">
        <f>IF(BU218&gt;0,0,MAX(BU214-BU215-BU216,0)*Premissas!$B$7)</f>
        <v>0</v>
      </c>
      <c r="BV223" s="164">
        <f>IF(BV218&gt;0,0,MAX(BV214-BV215-BV216,0)*Premissas!$B$7)</f>
        <v>0</v>
      </c>
      <c r="BW223" s="164">
        <f>IF(BW218&gt;0,0,MAX(BW214-BW215-BW216,0)*Premissas!$B$7)</f>
        <v>0</v>
      </c>
      <c r="BX223" s="164">
        <f>IF(BX218&gt;0,0,MAX(BX214-BX215-BX216,0)*Premissas!$B$7)</f>
        <v>0</v>
      </c>
      <c r="BY223" s="164">
        <f>IF(BY218&gt;0,0,MAX(BY214-BY215-BY216,0)*Premissas!$B$7)</f>
        <v>0</v>
      </c>
      <c r="BZ223" s="164">
        <f>IF(BZ218&gt;0,0,MAX(BZ214-BZ215-BZ216,0)*Premissas!$B$7)</f>
        <v>0</v>
      </c>
      <c r="CA223" s="164">
        <f>IF(CA218&gt;0,0,MAX(CA214-CA215-CA216,0)*Premissas!$B$7)</f>
        <v>0</v>
      </c>
      <c r="CB223" s="164">
        <f>IF(CB218&gt;0,0,MAX(CB214-CB215-CB216,0)*Premissas!$B$7)</f>
        <v>0</v>
      </c>
      <c r="CC223" s="164">
        <f>IF(CC218&gt;0,0,MAX(CC214-CC215-CC216,0)*Premissas!$B$7)</f>
        <v>0</v>
      </c>
      <c r="CD223" s="164">
        <f>IF(CD218&gt;0,0,MAX(CD214-CD215-CD216,0)*Premissas!$B$7)</f>
        <v>0</v>
      </c>
      <c r="CE223" s="164">
        <f>IF(CE218&gt;0,0,MAX(CE214-CE215-CE216,0)*Premissas!$B$7)</f>
        <v>0</v>
      </c>
      <c r="CF223" s="164">
        <f>IF(CF218&gt;0,0,MAX(CF214-CF215-CF216,0)*Premissas!$B$7)</f>
        <v>0</v>
      </c>
      <c r="CG223" s="164">
        <f>IF(CG218&gt;0,0,MAX(CG214-CG215-CG216,0)*Premissas!$B$7)</f>
        <v>0</v>
      </c>
      <c r="CH223" s="164">
        <f>IF(CH218&gt;0,0,MAX(CH214-CH215-CH216,0)*Premissas!$B$7)</f>
        <v>0</v>
      </c>
      <c r="CI223" s="164">
        <f>IF(CI218&gt;0,0,MAX(CI214-CI215-CI216,0)*Premissas!$B$7)</f>
        <v>0</v>
      </c>
      <c r="CJ223" s="164">
        <f>IF(CJ218&gt;0,0,MAX(CJ214-CJ215-CJ216,0)*Premissas!$B$7)</f>
        <v>0</v>
      </c>
      <c r="CK223" s="164">
        <f>IF(CK218&gt;0,0,MAX(CK214-CK215-CK216,0)*Premissas!$B$7)</f>
        <v>0</v>
      </c>
      <c r="CL223" s="164">
        <f>IF(CL218&gt;0,0,MAX(CL214-CL215-CL216,0)*Premissas!$B$7)</f>
        <v>0</v>
      </c>
      <c r="CM223" s="164">
        <f>IF(CM218&gt;0,0,MAX(CM214-CM215-CM216,0)*Premissas!$B$7)</f>
        <v>0</v>
      </c>
      <c r="CN223" s="164">
        <f>IF(CN218&gt;0,0,MAX(CN214-CN215-CN216,0)*Premissas!$B$7)</f>
        <v>0</v>
      </c>
      <c r="CO223" s="164">
        <f>IF(CO218&gt;0,0,MAX(CO214-CO215-CO216,0)*Premissas!$B$7)</f>
        <v>0</v>
      </c>
      <c r="CP223" s="164">
        <f>IF(CP218&gt;0,0,MAX(CP214-CP215-CP216,0)*Premissas!$B$7)</f>
        <v>0</v>
      </c>
      <c r="CQ223" s="164">
        <f>IF(CQ218&gt;0,0,MAX(CQ214-CQ215-CQ216,0)*Premissas!$B$7)</f>
        <v>0</v>
      </c>
      <c r="CR223" s="164">
        <f>IF(CR218&gt;0,0,MAX(CR214-CR215-CR216,0)*Premissas!$B$7)</f>
        <v>0</v>
      </c>
      <c r="CS223" s="164">
        <f>IF(CS218&gt;0,0,MAX(CS214-CS215-CS216,0)*Premissas!$B$7)</f>
        <v>0</v>
      </c>
      <c r="CT223" s="164">
        <f>IF(CT218&gt;0,0,MAX(CT214-CT215-CT216,0)*Premissas!$B$7)</f>
        <v>0</v>
      </c>
      <c r="CU223" s="164">
        <f>IF(CU218&gt;0,0,MAX(CU214-CU215-CU216,0)*Premissas!$B$7)</f>
        <v>0</v>
      </c>
      <c r="CV223" s="164">
        <f>IF(CV218&gt;0,0,MAX(CV214-CV215-CV216,0)*Premissas!$B$7)</f>
        <v>0</v>
      </c>
      <c r="CW223" s="164">
        <f>IF(CW218&gt;0,0,MAX(CW214-CW215-CW216,0)*Premissas!$B$7)</f>
        <v>0</v>
      </c>
      <c r="CX223" s="164">
        <f>IF(CX218&gt;0,0,MAX(CX214-CX215-CX216,0)*Premissas!$B$7)</f>
        <v>0</v>
      </c>
      <c r="CY223" s="164">
        <f>IF(CY218&gt;0,0,MAX(CY214-CY215-CY216,0)*Premissas!$B$7)</f>
        <v>0</v>
      </c>
      <c r="CZ223" s="164">
        <f>IF(CZ218&gt;0,0,MAX(CZ214-CZ215-CZ216,0)*Premissas!$B$7)</f>
        <v>0</v>
      </c>
      <c r="DA223" s="164">
        <f>IF(DA218&gt;0,0,MAX(DA214-DA215-DA216,0)*Premissas!$B$7)</f>
        <v>0</v>
      </c>
      <c r="DB223" s="164">
        <f>IF(DB218&gt;0,0,MAX(DB214-DB215-DB216,0)*Premissas!$B$7)</f>
        <v>0</v>
      </c>
      <c r="DC223" s="164">
        <f>IF(DC218&gt;0,0,MAX(DC214-DC215-DC216,0)*Premissas!$B$7)</f>
        <v>0</v>
      </c>
      <c r="DD223" s="164">
        <f>IF(DD218&gt;0,0,MAX(DD214-DD215-DD216,0)*Premissas!$B$7)</f>
        <v>0</v>
      </c>
      <c r="DE223" s="164">
        <f>IF(DE218&gt;0,0,MAX(DE214-DE215-DE216,0)*Premissas!$B$7)</f>
        <v>0</v>
      </c>
      <c r="DF223" s="164">
        <f>IF(DF218&gt;0,0,MAX(DF214-DF215-DF216,0)*Premissas!$B$7)</f>
        <v>0</v>
      </c>
      <c r="DG223" s="164">
        <f>IF(DG218&gt;0,0,MAX(DG214-DG215-DG216,0)*Premissas!$B$7)</f>
        <v>0</v>
      </c>
      <c r="DH223" s="164">
        <f>IF(DH218&gt;0,0,MAX(DH214-DH215-DH216,0)*Premissas!$B$7)</f>
        <v>0</v>
      </c>
      <c r="DI223" s="164">
        <f>IF(DI218&gt;0,0,MAX(DI214-DI215-DI216,0)*Premissas!$B$7)</f>
        <v>0</v>
      </c>
      <c r="DJ223" s="164">
        <f>IF(DJ218&gt;0,0,MAX(DJ214-DJ215-DJ216,0)*Premissas!$B$7)</f>
        <v>0</v>
      </c>
      <c r="DK223" s="164">
        <f>IF(DK218&gt;0,0,MAX(DK214-DK215-DK216,0)*Premissas!$B$7)</f>
        <v>0</v>
      </c>
      <c r="DL223" s="164">
        <f>IF(DL218&gt;0,0,MAX(DL214-DL215-DL216,0)*Premissas!$B$7)</f>
        <v>0</v>
      </c>
      <c r="DM223" s="164">
        <f>IF(DM218&gt;0,0,MAX(DM214-DM215-DM216,0)*Premissas!$B$7)</f>
        <v>0</v>
      </c>
      <c r="DN223" s="164">
        <f>IF(DN218&gt;0,0,MAX(DN214-DN215-DN216,0)*Premissas!$B$7)</f>
        <v>0</v>
      </c>
      <c r="DO223" s="164">
        <f>IF(DO218&gt;0,0,MAX(DO214-DO215-DO216,0)*Premissas!$B$7)</f>
        <v>0</v>
      </c>
      <c r="DP223" s="164">
        <f>IF(DP218&gt;0,0,MAX(DP214-DP215-DP216,0)*Premissas!$B$7)</f>
        <v>0</v>
      </c>
      <c r="DQ223" s="164">
        <f>IF(DQ218&gt;0,0,MAX(DQ214-DQ215-DQ216,0)*Premissas!$B$7)</f>
        <v>0</v>
      </c>
      <c r="DR223" s="164">
        <f>IF(DR218&gt;0,0,MAX(DR214-DR215-DR216,0)*Premissas!$B$7)</f>
        <v>0</v>
      </c>
      <c r="DS223" s="164">
        <f>IF(DS218&gt;0,0,MAX(DS214-DS215-DS216,0)*Premissas!$B$7)</f>
        <v>0</v>
      </c>
    </row>
    <row r="224" spans="1:123" ht="13.5" customHeight="1" x14ac:dyDescent="0.35">
      <c r="A224" s="173" t="s">
        <v>499</v>
      </c>
      <c r="B224" s="165">
        <f>SUM(D224:BQ224)</f>
        <v>10132.679487770693</v>
      </c>
      <c r="C224" s="176">
        <f>B224/60</f>
        <v>168.87799146284488</v>
      </c>
      <c r="D224" s="165">
        <f t="shared" ref="D224:AI224" si="422">MAX(D222-D223,0)</f>
        <v>121.22658494008883</v>
      </c>
      <c r="E224" s="165">
        <f t="shared" si="422"/>
        <v>129.98635649212531</v>
      </c>
      <c r="F224" s="165">
        <f t="shared" si="422"/>
        <v>143.45109250561617</v>
      </c>
      <c r="G224" s="165">
        <f t="shared" si="422"/>
        <v>141.60011066683404</v>
      </c>
      <c r="H224" s="165">
        <f t="shared" si="422"/>
        <v>139.74912882805188</v>
      </c>
      <c r="I224" s="165">
        <f t="shared" si="422"/>
        <v>138.8236379086608</v>
      </c>
      <c r="J224" s="165">
        <f t="shared" si="422"/>
        <v>136.97265606987867</v>
      </c>
      <c r="K224" s="165">
        <f t="shared" si="422"/>
        <v>154.55698353830903</v>
      </c>
      <c r="L224" s="165">
        <f t="shared" si="422"/>
        <v>153.63149261891797</v>
      </c>
      <c r="M224" s="165">
        <f t="shared" si="422"/>
        <v>152.70600169952689</v>
      </c>
      <c r="N224" s="165">
        <f t="shared" si="422"/>
        <v>151.78051078013581</v>
      </c>
      <c r="O224" s="165">
        <f t="shared" si="422"/>
        <v>150.85501986074476</v>
      </c>
      <c r="P224" s="165">
        <f t="shared" si="422"/>
        <v>149.92952894135368</v>
      </c>
      <c r="Q224" s="165">
        <f t="shared" si="422"/>
        <v>148.07854710257152</v>
      </c>
      <c r="R224" s="165">
        <f t="shared" si="422"/>
        <v>147.15305618318047</v>
      </c>
      <c r="S224" s="165">
        <f t="shared" si="422"/>
        <v>145.30207434439831</v>
      </c>
      <c r="T224" s="165">
        <f t="shared" si="422"/>
        <v>143.45109250561617</v>
      </c>
      <c r="U224" s="165">
        <f t="shared" si="422"/>
        <v>142.52560158622509</v>
      </c>
      <c r="V224" s="165">
        <f t="shared" si="422"/>
        <v>140.67461974744296</v>
      </c>
      <c r="W224" s="165">
        <f t="shared" si="422"/>
        <v>154.55698353830903</v>
      </c>
      <c r="X224" s="165">
        <f t="shared" si="422"/>
        <v>153.63149261891797</v>
      </c>
      <c r="Y224" s="165">
        <f t="shared" si="422"/>
        <v>152.70600169952689</v>
      </c>
      <c r="Z224" s="165">
        <f t="shared" si="422"/>
        <v>151.78051078013581</v>
      </c>
      <c r="AA224" s="165">
        <f t="shared" si="422"/>
        <v>150.85501986074476</v>
      </c>
      <c r="AB224" s="165">
        <f t="shared" si="422"/>
        <v>153.63149261891797</v>
      </c>
      <c r="AC224" s="165">
        <f t="shared" si="422"/>
        <v>151.78051078013581</v>
      </c>
      <c r="AD224" s="165">
        <f t="shared" si="422"/>
        <v>150.85501986074476</v>
      </c>
      <c r="AE224" s="165">
        <f t="shared" si="422"/>
        <v>149.0040380219626</v>
      </c>
      <c r="AF224" s="165">
        <f t="shared" si="422"/>
        <v>147.15305618318047</v>
      </c>
      <c r="AG224" s="165">
        <f t="shared" si="422"/>
        <v>146.22756526378939</v>
      </c>
      <c r="AH224" s="165">
        <f t="shared" si="422"/>
        <v>143.45109250561617</v>
      </c>
      <c r="AI224" s="165">
        <f t="shared" si="422"/>
        <v>161.96091089343761</v>
      </c>
      <c r="AJ224" s="165">
        <f t="shared" ref="AJ224:BO224" si="423">MAX(AJ222-AJ223,0)</f>
        <v>161.03541997404653</v>
      </c>
      <c r="AK224" s="165">
        <f t="shared" si="423"/>
        <v>160.10992905465548</v>
      </c>
      <c r="AL224" s="165">
        <f t="shared" si="423"/>
        <v>159.1844381352644</v>
      </c>
      <c r="AM224" s="165">
        <f t="shared" si="423"/>
        <v>158.25894721587332</v>
      </c>
      <c r="AN224" s="165">
        <f t="shared" si="423"/>
        <v>157.33345629648227</v>
      </c>
      <c r="AO224" s="165">
        <f t="shared" si="423"/>
        <v>155.48247445770011</v>
      </c>
      <c r="AP224" s="165">
        <f t="shared" si="423"/>
        <v>154.55698353830903</v>
      </c>
      <c r="AQ224" s="165">
        <f t="shared" si="423"/>
        <v>152.70600169952689</v>
      </c>
      <c r="AR224" s="165">
        <f t="shared" si="423"/>
        <v>150.85501986074476</v>
      </c>
      <c r="AS224" s="165">
        <f t="shared" si="423"/>
        <v>149.92952894135368</v>
      </c>
      <c r="AT224" s="165">
        <f t="shared" si="423"/>
        <v>147.15305618318047</v>
      </c>
      <c r="AU224" s="165">
        <f t="shared" si="423"/>
        <v>166.58836549039299</v>
      </c>
      <c r="AV224" s="165">
        <f t="shared" si="423"/>
        <v>165.66287457100191</v>
      </c>
      <c r="AW224" s="165">
        <f t="shared" si="423"/>
        <v>164.73738365161083</v>
      </c>
      <c r="AX224" s="165">
        <f t="shared" si="423"/>
        <v>163.81189273221975</v>
      </c>
      <c r="AY224" s="165">
        <f t="shared" si="423"/>
        <v>162.88640181282869</v>
      </c>
      <c r="AZ224" s="165">
        <f t="shared" si="423"/>
        <v>161.03541997404653</v>
      </c>
      <c r="BA224" s="165">
        <f t="shared" si="423"/>
        <v>159.1844381352644</v>
      </c>
      <c r="BB224" s="165">
        <f t="shared" si="423"/>
        <v>158.25894721587332</v>
      </c>
      <c r="BC224" s="165">
        <f t="shared" si="423"/>
        <v>156.40796537709119</v>
      </c>
      <c r="BD224" s="165">
        <f t="shared" si="423"/>
        <v>154.55698353830903</v>
      </c>
      <c r="BE224" s="165">
        <f t="shared" si="423"/>
        <v>153.63149261891797</v>
      </c>
      <c r="BF224" s="165">
        <f t="shared" si="423"/>
        <v>150.85501986074476</v>
      </c>
      <c r="BG224" s="165">
        <f t="shared" si="423"/>
        <v>170.29032916795725</v>
      </c>
      <c r="BH224" s="165">
        <f t="shared" si="423"/>
        <v>169.3648382485662</v>
      </c>
      <c r="BI224" s="165">
        <f t="shared" si="423"/>
        <v>168.43934732917512</v>
      </c>
      <c r="BJ224" s="165">
        <f t="shared" si="423"/>
        <v>167.51385640978404</v>
      </c>
      <c r="BK224" s="165">
        <f t="shared" si="423"/>
        <v>166.58836549039299</v>
      </c>
      <c r="BL224" s="165">
        <f t="shared" si="423"/>
        <v>165.66287457100191</v>
      </c>
      <c r="BM224" s="165">
        <f t="shared" si="423"/>
        <v>162.88640181282869</v>
      </c>
      <c r="BN224" s="165">
        <f t="shared" si="423"/>
        <v>161.96091089343761</v>
      </c>
      <c r="BO224" s="165">
        <f t="shared" si="423"/>
        <v>160.10992905465548</v>
      </c>
      <c r="BP224" s="165">
        <f t="shared" ref="BP224:CU224" si="424">MAX(BP222-BP223,0)</f>
        <v>158.25894721587332</v>
      </c>
      <c r="BQ224" s="165">
        <f t="shared" si="424"/>
        <v>157.33345629648227</v>
      </c>
      <c r="BR224" s="165">
        <f t="shared" si="424"/>
        <v>154.55698353830903</v>
      </c>
      <c r="BS224" s="165">
        <f t="shared" si="424"/>
        <v>174.91778376491263</v>
      </c>
      <c r="BT224" s="165">
        <f t="shared" si="424"/>
        <v>173.99229284552155</v>
      </c>
      <c r="BU224" s="165">
        <f t="shared" si="424"/>
        <v>173.06680192613047</v>
      </c>
      <c r="BV224" s="165">
        <f t="shared" si="424"/>
        <v>172.14131100673941</v>
      </c>
      <c r="BW224" s="165">
        <f t="shared" si="424"/>
        <v>170.29032916795725</v>
      </c>
      <c r="BX224" s="165">
        <f t="shared" si="424"/>
        <v>169.3648382485662</v>
      </c>
      <c r="BY224" s="165">
        <f t="shared" si="424"/>
        <v>167.51385640978404</v>
      </c>
      <c r="BZ224" s="165">
        <f t="shared" si="424"/>
        <v>166.58836549039299</v>
      </c>
      <c r="CA224" s="165">
        <f t="shared" si="424"/>
        <v>163.81189273221975</v>
      </c>
      <c r="CB224" s="165">
        <f t="shared" si="424"/>
        <v>161.96091089343761</v>
      </c>
      <c r="CC224" s="165">
        <f t="shared" si="424"/>
        <v>161.03541997404653</v>
      </c>
      <c r="CD224" s="165">
        <f t="shared" si="424"/>
        <v>159.1844381352644</v>
      </c>
      <c r="CE224" s="165">
        <f t="shared" si="424"/>
        <v>179.54523836186797</v>
      </c>
      <c r="CF224" s="165">
        <f t="shared" si="424"/>
        <v>178.61974744247692</v>
      </c>
      <c r="CG224" s="165">
        <f t="shared" si="424"/>
        <v>176.76876560369476</v>
      </c>
      <c r="CH224" s="165">
        <f t="shared" si="424"/>
        <v>175.84327468430371</v>
      </c>
      <c r="CI224" s="165">
        <f t="shared" si="424"/>
        <v>174.91778376491263</v>
      </c>
      <c r="CJ224" s="165">
        <f t="shared" si="424"/>
        <v>173.99229284552155</v>
      </c>
      <c r="CK224" s="165">
        <f t="shared" si="424"/>
        <v>171.21582008734833</v>
      </c>
      <c r="CL224" s="165">
        <f t="shared" si="424"/>
        <v>170.29032916795725</v>
      </c>
      <c r="CM224" s="165">
        <f t="shared" si="424"/>
        <v>168.43934732917512</v>
      </c>
      <c r="CN224" s="165">
        <f t="shared" si="424"/>
        <v>165.66287457100191</v>
      </c>
      <c r="CO224" s="165">
        <f t="shared" si="424"/>
        <v>164.73738365161083</v>
      </c>
      <c r="CP224" s="165">
        <f t="shared" si="424"/>
        <v>162.88640181282869</v>
      </c>
      <c r="CQ224" s="165">
        <f t="shared" si="424"/>
        <v>184.17269295882335</v>
      </c>
      <c r="CR224" s="165">
        <f t="shared" si="424"/>
        <v>182.32171112004121</v>
      </c>
      <c r="CS224" s="165">
        <f t="shared" si="424"/>
        <v>181.39622020065013</v>
      </c>
      <c r="CT224" s="165">
        <f t="shared" si="424"/>
        <v>180.47072928125905</v>
      </c>
      <c r="CU224" s="165">
        <f t="shared" si="424"/>
        <v>179.54523836186797</v>
      </c>
      <c r="CV224" s="165">
        <f t="shared" ref="CV224:DS224" si="425">MAX(CV222-CV223,0)</f>
        <v>178.61974744247692</v>
      </c>
      <c r="CW224" s="165">
        <f t="shared" si="425"/>
        <v>175.84327468430371</v>
      </c>
      <c r="CX224" s="165">
        <f t="shared" si="425"/>
        <v>174.91778376491263</v>
      </c>
      <c r="CY224" s="165">
        <f t="shared" si="425"/>
        <v>172.14131100673941</v>
      </c>
      <c r="CZ224" s="165">
        <f t="shared" si="425"/>
        <v>170.29032916795725</v>
      </c>
      <c r="DA224" s="165">
        <f t="shared" si="425"/>
        <v>169.3648382485662</v>
      </c>
      <c r="DB224" s="165">
        <f t="shared" si="425"/>
        <v>166.58836549039299</v>
      </c>
      <c r="DC224" s="165">
        <f t="shared" si="425"/>
        <v>187.87465663638764</v>
      </c>
      <c r="DD224" s="165">
        <f t="shared" si="425"/>
        <v>186.94916571699656</v>
      </c>
      <c r="DE224" s="165">
        <f t="shared" si="425"/>
        <v>186.02367479760548</v>
      </c>
      <c r="DF224" s="165">
        <f t="shared" si="425"/>
        <v>185.09818387821443</v>
      </c>
      <c r="DG224" s="165">
        <f t="shared" si="425"/>
        <v>184.17269295882335</v>
      </c>
      <c r="DH224" s="165">
        <f t="shared" si="425"/>
        <v>182.32171112004121</v>
      </c>
      <c r="DI224" s="165">
        <f t="shared" si="425"/>
        <v>180.47072928125905</v>
      </c>
      <c r="DJ224" s="165">
        <f t="shared" si="425"/>
        <v>179.54523836186797</v>
      </c>
      <c r="DK224" s="165">
        <f t="shared" si="425"/>
        <v>176.76876560369476</v>
      </c>
      <c r="DL224" s="165">
        <f t="shared" si="425"/>
        <v>174.91778376491263</v>
      </c>
      <c r="DM224" s="165">
        <f t="shared" si="425"/>
        <v>173.06680192613047</v>
      </c>
      <c r="DN224" s="165">
        <f t="shared" si="425"/>
        <v>171.21582008734833</v>
      </c>
      <c r="DO224" s="165">
        <f t="shared" si="425"/>
        <v>193.42760215273407</v>
      </c>
      <c r="DP224" s="165">
        <f t="shared" si="425"/>
        <v>191.57662031395193</v>
      </c>
      <c r="DQ224" s="165">
        <f t="shared" si="425"/>
        <v>190.65112939456085</v>
      </c>
      <c r="DR224" s="165">
        <f t="shared" si="425"/>
        <v>189.72563847516977</v>
      </c>
      <c r="DS224" s="165">
        <f t="shared" si="425"/>
        <v>188.80014755577869</v>
      </c>
    </row>
    <row r="225" spans="1:123" ht="15" customHeight="1" x14ac:dyDescent="0.35">
      <c r="A225" s="289" t="s">
        <v>523</v>
      </c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289"/>
      <c r="W225" s="289"/>
      <c r="X225" s="289"/>
      <c r="Y225" s="289"/>
      <c r="Z225" s="289"/>
      <c r="AA225" s="289"/>
    </row>
    <row r="226" spans="1:123" ht="12.75" customHeight="1" x14ac:dyDescent="0.35">
      <c r="A226" s="86" t="s">
        <v>486</v>
      </c>
      <c r="B226" s="167">
        <f>SUM(D226:BQ226)</f>
        <v>88565</v>
      </c>
      <c r="C226" s="169">
        <f>B226/60</f>
        <v>1476.0833333333333</v>
      </c>
      <c r="D226" s="167">
        <v>1131</v>
      </c>
      <c r="E226" s="167">
        <v>1337</v>
      </c>
      <c r="F226" s="167">
        <v>1063</v>
      </c>
      <c r="G226" s="167">
        <v>1101</v>
      </c>
      <c r="H226" s="167">
        <v>1129</v>
      </c>
      <c r="I226" s="167">
        <v>870</v>
      </c>
      <c r="J226" s="167">
        <v>1422</v>
      </c>
      <c r="K226" s="167">
        <v>1593</v>
      </c>
      <c r="L226" s="167">
        <v>1592</v>
      </c>
      <c r="M226" s="167">
        <v>1560</v>
      </c>
      <c r="N226" s="167">
        <v>1241</v>
      </c>
      <c r="O226" s="167">
        <v>1418</v>
      </c>
      <c r="P226" s="167">
        <v>1159</v>
      </c>
      <c r="Q226" s="167">
        <v>1370</v>
      </c>
      <c r="R226" s="167">
        <v>1090</v>
      </c>
      <c r="S226" s="167">
        <v>1129</v>
      </c>
      <c r="T226" s="167">
        <v>1157</v>
      </c>
      <c r="U226" s="167">
        <v>892</v>
      </c>
      <c r="V226" s="167">
        <v>1458</v>
      </c>
      <c r="W226" s="167">
        <v>1593</v>
      </c>
      <c r="X226" s="167">
        <v>1592</v>
      </c>
      <c r="Y226" s="167">
        <v>1560</v>
      </c>
      <c r="Z226" s="167">
        <v>1241</v>
      </c>
      <c r="AA226" s="167">
        <v>1418</v>
      </c>
      <c r="AB226" s="167">
        <v>1188</v>
      </c>
      <c r="AC226" s="167">
        <v>1405</v>
      </c>
      <c r="AD226" s="167">
        <v>1117</v>
      </c>
      <c r="AE226" s="167">
        <v>1157</v>
      </c>
      <c r="AF226" s="167">
        <v>1186</v>
      </c>
      <c r="AG226" s="167">
        <v>914</v>
      </c>
      <c r="AH226" s="167">
        <v>1494</v>
      </c>
      <c r="AI226" s="167">
        <v>1674</v>
      </c>
      <c r="AJ226" s="167">
        <v>1673</v>
      </c>
      <c r="AK226" s="167">
        <v>1639</v>
      </c>
      <c r="AL226" s="167">
        <v>1304</v>
      </c>
      <c r="AM226" s="167">
        <v>1490</v>
      </c>
      <c r="AN226" s="167">
        <v>1218</v>
      </c>
      <c r="AO226" s="167">
        <v>1440</v>
      </c>
      <c r="AP226" s="167">
        <v>1145</v>
      </c>
      <c r="AQ226" s="167">
        <v>1186</v>
      </c>
      <c r="AR226" s="167">
        <v>1216</v>
      </c>
      <c r="AS226" s="167">
        <v>937</v>
      </c>
      <c r="AT226" s="167">
        <v>1531</v>
      </c>
      <c r="AU226" s="167">
        <v>1715</v>
      </c>
      <c r="AV226" s="167">
        <v>1714</v>
      </c>
      <c r="AW226" s="167">
        <v>1680</v>
      </c>
      <c r="AX226" s="167">
        <v>1336</v>
      </c>
      <c r="AY226" s="167">
        <v>1527</v>
      </c>
      <c r="AZ226" s="167">
        <v>1248</v>
      </c>
      <c r="BA226" s="167">
        <v>1476</v>
      </c>
      <c r="BB226" s="167">
        <v>1173</v>
      </c>
      <c r="BC226" s="167">
        <v>1215</v>
      </c>
      <c r="BD226" s="167">
        <v>1246</v>
      </c>
      <c r="BE226" s="167">
        <v>960</v>
      </c>
      <c r="BF226" s="167">
        <v>1570</v>
      </c>
      <c r="BG226" s="167">
        <v>1758</v>
      </c>
      <c r="BH226" s="167">
        <v>1757</v>
      </c>
      <c r="BI226" s="167">
        <v>1722</v>
      </c>
      <c r="BJ226" s="167">
        <v>1370</v>
      </c>
      <c r="BK226" s="167">
        <v>1565</v>
      </c>
      <c r="BL226" s="167">
        <v>1280</v>
      </c>
      <c r="BM226" s="167">
        <v>1513</v>
      </c>
      <c r="BN226" s="167">
        <v>1203</v>
      </c>
      <c r="BO226" s="167">
        <v>1246</v>
      </c>
      <c r="BP226" s="167">
        <v>1277</v>
      </c>
      <c r="BQ226" s="167">
        <v>984</v>
      </c>
      <c r="BR226" s="167">
        <v>1609</v>
      </c>
      <c r="BS226" s="167">
        <v>1802</v>
      </c>
      <c r="BT226" s="167">
        <v>1801</v>
      </c>
      <c r="BU226" s="167">
        <v>1765</v>
      </c>
      <c r="BV226" s="167">
        <v>1404</v>
      </c>
      <c r="BW226" s="167">
        <v>1604</v>
      </c>
      <c r="BX226" s="167">
        <v>1312</v>
      </c>
      <c r="BY226" s="167">
        <v>1551</v>
      </c>
      <c r="BZ226" s="167">
        <v>1233</v>
      </c>
      <c r="CA226" s="167">
        <v>1277</v>
      </c>
      <c r="CB226" s="167">
        <v>1309</v>
      </c>
      <c r="CC226" s="167">
        <v>1009</v>
      </c>
      <c r="CD226" s="167">
        <v>1649</v>
      </c>
      <c r="CE226" s="167">
        <v>1847</v>
      </c>
      <c r="CF226" s="167">
        <v>1846</v>
      </c>
      <c r="CG226" s="167">
        <v>1809</v>
      </c>
      <c r="CH226" s="167">
        <v>1439</v>
      </c>
      <c r="CI226" s="167">
        <v>1644</v>
      </c>
      <c r="CJ226" s="167">
        <v>1344</v>
      </c>
      <c r="CK226" s="167">
        <v>1589</v>
      </c>
      <c r="CL226" s="167">
        <v>1264</v>
      </c>
      <c r="CM226" s="167">
        <v>1309</v>
      </c>
      <c r="CN226" s="167">
        <v>1342</v>
      </c>
      <c r="CO226" s="167">
        <v>1034</v>
      </c>
      <c r="CP226" s="167">
        <v>1690</v>
      </c>
      <c r="CQ226" s="167">
        <v>1894</v>
      </c>
      <c r="CR226" s="167">
        <v>1892</v>
      </c>
      <c r="CS226" s="167">
        <v>1854</v>
      </c>
      <c r="CT226" s="167">
        <v>1475</v>
      </c>
      <c r="CU226" s="167">
        <v>1686</v>
      </c>
      <c r="CV226" s="167">
        <v>1378</v>
      </c>
      <c r="CW226" s="167">
        <v>1629</v>
      </c>
      <c r="CX226" s="167">
        <v>1295</v>
      </c>
      <c r="CY226" s="167">
        <v>1341</v>
      </c>
      <c r="CZ226" s="167">
        <v>1376</v>
      </c>
      <c r="DA226" s="167">
        <v>1060</v>
      </c>
      <c r="DB226" s="167">
        <v>1733</v>
      </c>
      <c r="DC226" s="167">
        <v>1941</v>
      </c>
      <c r="DD226" s="167">
        <v>1940</v>
      </c>
      <c r="DE226" s="167">
        <v>1901</v>
      </c>
      <c r="DF226" s="167">
        <v>1512</v>
      </c>
      <c r="DG226" s="167">
        <v>1728</v>
      </c>
      <c r="DH226" s="167">
        <v>1412</v>
      </c>
      <c r="DI226" s="167">
        <v>1670</v>
      </c>
      <c r="DJ226" s="167">
        <v>1328</v>
      </c>
      <c r="DK226" s="167">
        <v>1375</v>
      </c>
      <c r="DL226" s="167">
        <v>1410</v>
      </c>
      <c r="DM226" s="167">
        <v>1087</v>
      </c>
      <c r="DN226" s="167">
        <v>1776</v>
      </c>
      <c r="DO226" s="167">
        <v>1989</v>
      </c>
      <c r="DP226" s="167">
        <v>1988</v>
      </c>
      <c r="DQ226" s="167">
        <v>1948</v>
      </c>
      <c r="DR226" s="167">
        <v>1550</v>
      </c>
      <c r="DS226" s="167">
        <v>1771</v>
      </c>
    </row>
    <row r="227" spans="1:123" ht="12.75" customHeight="1" x14ac:dyDescent="0.35">
      <c r="A227" s="142" t="str">
        <f>"  "&amp;INDEX(PVSYST_Helexia!$A$5:$A$7,MATCH(Premissas!$B$13,PVSYST_Helexia!$B$5:$B$7,0))&amp;" créditos recebidos (kWh)"</f>
        <v xml:space="preserve">  HCS03 créditos recebidos (kWh)</v>
      </c>
      <c r="B227" s="127">
        <f>SUM(D227:BQ227)</f>
        <v>108263.9721887835</v>
      </c>
      <c r="C227" s="169">
        <f>B227/60</f>
        <v>1804.3995364797252</v>
      </c>
      <c r="D227" s="178">
        <f>D6*Premissas!$B$49</f>
        <v>1053.915</v>
      </c>
      <c r="E227" s="178">
        <f>E6*Premissas!$B$49</f>
        <v>1109.335</v>
      </c>
      <c r="F227" s="178">
        <f>F6*Premissas!$B$49</f>
        <v>1331.6950000000002</v>
      </c>
      <c r="G227" s="178">
        <f>G6*Premissas!$B$49</f>
        <v>1249.585</v>
      </c>
      <c r="H227" s="178">
        <f>H6*Premissas!$C$49</f>
        <v>2311.5239999999999</v>
      </c>
      <c r="I227" s="178">
        <f>I6*Premissas!$C$49</f>
        <v>2235.0239999999999</v>
      </c>
      <c r="J227" s="178">
        <f>J6*Premissas!$C$49</f>
        <v>2122.2629999999999</v>
      </c>
      <c r="K227" s="178">
        <f>K6*Premissas!$C$49</f>
        <v>2179.0917899999999</v>
      </c>
      <c r="L227" s="178">
        <f>L6*Premissas!$C$49</f>
        <v>1941.757425</v>
      </c>
      <c r="M227" s="178">
        <f>M6*Premissas!$C$49</f>
        <v>2227.19805</v>
      </c>
      <c r="N227" s="178">
        <f>N6*Premissas!$D$49</f>
        <v>1510.60104</v>
      </c>
      <c r="O227" s="178">
        <f>O6*Premissas!$D$49</f>
        <v>1413.7437599999998</v>
      </c>
      <c r="P227" s="178">
        <f>P6*Premissas!$D$49</f>
        <v>1283.0485200000001</v>
      </c>
      <c r="Q227" s="178">
        <f>Q6*Premissas!$D$49</f>
        <v>1350.5174799999998</v>
      </c>
      <c r="R227" s="178">
        <f>R6*Premissas!$D$49</f>
        <v>1621.2211599999998</v>
      </c>
      <c r="S227" s="178">
        <f>S6*Premissas!$D$49</f>
        <v>1521.2594799999999</v>
      </c>
      <c r="T227" s="178">
        <f>T6*Premissas!$E$49</f>
        <v>1999.31718</v>
      </c>
      <c r="U227" s="178">
        <f>U6*Premissas!$E$49</f>
        <v>1933.14968</v>
      </c>
      <c r="V227" s="178">
        <f>V6*Premissas!$E$49</f>
        <v>1835.6187850000001</v>
      </c>
      <c r="W227" s="178">
        <f>W6*Premissas!$E$49</f>
        <v>1894.2431899999997</v>
      </c>
      <c r="X227" s="178">
        <f>X6*Premissas!$E$49</f>
        <v>1687.9329249999998</v>
      </c>
      <c r="Y227" s="178">
        <f>Y6*Premissas!$E$49</f>
        <v>1936.0610499999998</v>
      </c>
      <c r="Z227" s="178">
        <f>Z6*Premissas!$E$49</f>
        <v>1931.8263299999999</v>
      </c>
      <c r="AA227" s="178">
        <f>AA6*Premissas!$E$49</f>
        <v>1807.9607699999999</v>
      </c>
      <c r="AB227" s="178">
        <f>AB6*Premissas!$F$49</f>
        <v>896.09835817500004</v>
      </c>
      <c r="AC227" s="178">
        <f>AC6*Premissas!$F$49</f>
        <v>943.21958807499993</v>
      </c>
      <c r="AD227" s="178">
        <f>AD6*Premissas!$F$49</f>
        <v>1132.2826822750001</v>
      </c>
      <c r="AE227" s="178">
        <f>AE6*Premissas!$F$49</f>
        <v>1062.4680993249999</v>
      </c>
      <c r="AF227" s="178">
        <f>AF6*Premissas!$F$49</f>
        <v>1091.8827321000001</v>
      </c>
      <c r="AG227" s="178">
        <f>AG6*Premissas!$F$49</f>
        <v>1055.7468196000002</v>
      </c>
      <c r="AH227" s="178">
        <f>AH6*Premissas!$G$49</f>
        <v>1098.610942</v>
      </c>
      <c r="AI227" s="178">
        <f>AI6*Premissas!$G$49</f>
        <v>1133.6974280000002</v>
      </c>
      <c r="AJ227" s="178">
        <f>AJ6*Premissas!$G$49</f>
        <v>1010.2215100000001</v>
      </c>
      <c r="AK227" s="178">
        <f>AK6*Premissas!$G$49</f>
        <v>1158.7252599999999</v>
      </c>
      <c r="AL227" s="178">
        <f>AL6*Premissas!$G$49</f>
        <v>1156.1907960000001</v>
      </c>
      <c r="AM227" s="178">
        <f>AM6*Premissas!$G$49</f>
        <v>1082.0577240000002</v>
      </c>
      <c r="AN227" s="178">
        <f>AN6*Premissas!$H$49</f>
        <v>916.04575313437499</v>
      </c>
      <c r="AO227" s="178">
        <f>AO6*Premissas!$H$49</f>
        <v>964.21591452187488</v>
      </c>
      <c r="AP227" s="178">
        <f>AP6*Premissas!$H$49</f>
        <v>1157.487604996875</v>
      </c>
      <c r="AQ227" s="178">
        <f>AQ6*Premissas!$H$49</f>
        <v>1086.1189303031251</v>
      </c>
      <c r="AR227" s="178">
        <f>AR6*Premissas!$H$49</f>
        <v>1116.1883408624999</v>
      </c>
      <c r="AS227" s="178">
        <f>AS6*Premissas!$H$49</f>
        <v>1079.24803305</v>
      </c>
      <c r="AT227" s="178">
        <f>AT6*Premissas!$I$49</f>
        <v>1106.7818608811249</v>
      </c>
      <c r="AU227" s="178">
        <f>AU6*Premissas!$I$49</f>
        <v>1142.12930262075</v>
      </c>
      <c r="AV227" s="178">
        <f>AV6*Premissas!$I$49</f>
        <v>1017.735032480625</v>
      </c>
      <c r="AW227" s="178">
        <f>AW6*Premissas!$I$49</f>
        <v>1167.3432791212501</v>
      </c>
      <c r="AX227" s="178">
        <f>AX6*Premissas!$I$49</f>
        <v>1164.78996504525</v>
      </c>
      <c r="AY227" s="178">
        <f>AY6*Premissas!$I$49</f>
        <v>1090.1055283222499</v>
      </c>
      <c r="AZ227" s="178">
        <f>AZ6*Premissas!$J$49</f>
        <v>1227.4402394831868</v>
      </c>
      <c r="BA227" s="178">
        <f>BA6*Premissas!$J$49</f>
        <v>1291.9850443983441</v>
      </c>
      <c r="BB227" s="178">
        <f>BB6*Premissas!$J$49</f>
        <v>1550.9562248554794</v>
      </c>
      <c r="BC227" s="178">
        <f>BC6*Premissas!$J$49</f>
        <v>1455.3269586775007</v>
      </c>
      <c r="BD227" s="178">
        <f>BD6*Premissas!$J$49</f>
        <v>1495.6179641996926</v>
      </c>
      <c r="BE227" s="178">
        <f>BE6*Premissas!$J$49</f>
        <v>1446.1204144181302</v>
      </c>
      <c r="BF227" s="178">
        <f>BF6*Premissas!$K$49</f>
        <v>1549.9045244413091</v>
      </c>
      <c r="BG227" s="178">
        <f>BG6*Premissas!$K$49</f>
        <v>1599.4040345218725</v>
      </c>
      <c r="BH227" s="178">
        <f>BH6*Premissas!$K$49</f>
        <v>1425.2059843737939</v>
      </c>
      <c r="BI227" s="178">
        <f>BI6*Premissas!$K$49</f>
        <v>1634.7129401323878</v>
      </c>
      <c r="BJ227" s="178">
        <f>BJ6*Premissas!$K$49</f>
        <v>1631.1373547541077</v>
      </c>
      <c r="BK227" s="178">
        <f>BK6*Premissas!$K$49</f>
        <v>1526.5514824394177</v>
      </c>
      <c r="BL227" s="178">
        <f>BL6*Premissas!$L$49</f>
        <v>3350.3607209686984</v>
      </c>
      <c r="BM227" s="178">
        <f>BM6*Premissas!$L$49</f>
        <v>3526.5390571306139</v>
      </c>
      <c r="BN227" s="178">
        <f>BN6*Premissas!$L$49</f>
        <v>4233.4140991544964</v>
      </c>
      <c r="BO227" s="178">
        <f>BO6*Premissas!$L$49</f>
        <v>3972.3891409759531</v>
      </c>
      <c r="BP227" s="178">
        <f>BP6*Premissas!$L$49</f>
        <v>4082.3654949911361</v>
      </c>
      <c r="BQ227" s="178">
        <f>BQ6*Premissas!$L$49</f>
        <v>3947.2594089773975</v>
      </c>
      <c r="BR227" s="178">
        <f>BR6*Premissas!$M$49</f>
        <v>3780.0275301255288</v>
      </c>
      <c r="BS227" s="178">
        <f>BS6*Premissas!$M$49</f>
        <v>3900.7507797719577</v>
      </c>
      <c r="BT227" s="178">
        <f>BT6*Premissas!$M$49</f>
        <v>3475.9030456889282</v>
      </c>
      <c r="BU227" s="178">
        <f>BU6*Premissas!$M$49</f>
        <v>3986.8648810998839</v>
      </c>
      <c r="BV227" s="178">
        <f>BV6*Premissas!$M$49</f>
        <v>3978.1444657755374</v>
      </c>
      <c r="BW227" s="178">
        <f>BW6*Premissas!$M$49</f>
        <v>3723.0723175383878</v>
      </c>
      <c r="BX227" s="178">
        <f>BX6*Premissas!$N$49</f>
        <v>3340.7328565848866</v>
      </c>
      <c r="BY227" s="178">
        <f>BY6*Premissas!$N$49</f>
        <v>3516.4049125969309</v>
      </c>
      <c r="BZ227" s="178">
        <f>BZ6*Premissas!$N$49</f>
        <v>4221.2486219949524</v>
      </c>
      <c r="CA227" s="178">
        <f>CA6*Premissas!$N$49</f>
        <v>3960.9737660016463</v>
      </c>
      <c r="CB227" s="178">
        <f>CB6*Premissas!$N$49</f>
        <v>4070.6340831748103</v>
      </c>
      <c r="CC227" s="178">
        <f>CC6*Premissas!$N$49</f>
        <v>3935.9162488097445</v>
      </c>
      <c r="CD227" s="178">
        <f>CD6*Premissas!$O$49</f>
        <v>3768.9382519908477</v>
      </c>
      <c r="CE227" s="178">
        <f>CE6*Premissas!$O$49</f>
        <v>3889.3073418641043</v>
      </c>
      <c r="CF227" s="178">
        <f>CF6*Premissas!$O$49</f>
        <v>3465.7059623778573</v>
      </c>
      <c r="CG227" s="178">
        <f>CG6*Premissas!$O$49</f>
        <v>3975.1688145502198</v>
      </c>
      <c r="CH227" s="178">
        <f>CH6*Premissas!$O$49</f>
        <v>3966.4739818731446</v>
      </c>
      <c r="CI227" s="178">
        <f>CI6*Premissas!$O$49</f>
        <v>3712.1501260687019</v>
      </c>
      <c r="CJ227" s="178">
        <f>CJ6*Premissas!$P$49</f>
        <v>3331.0827945044389</v>
      </c>
      <c r="CK227" s="178">
        <f>CK6*Premissas!$P$49</f>
        <v>3506.2474031032684</v>
      </c>
      <c r="CL227" s="178">
        <f>CL6*Premissas!$P$49</f>
        <v>4209.0550964998019</v>
      </c>
      <c r="CM227" s="178">
        <f>CM6*Premissas!$P$49</f>
        <v>3949.5320721033754</v>
      </c>
      <c r="CN227" s="178">
        <f>CN6*Premissas!$P$49</f>
        <v>4058.8756237900693</v>
      </c>
      <c r="CO227" s="178">
        <f>CO6*Premissas!$P$49</f>
        <v>3924.5469362142785</v>
      </c>
      <c r="CP227" s="178">
        <f>CP6*Premissas!$Q$49</f>
        <v>3757.8265270122729</v>
      </c>
      <c r="CQ227" s="178">
        <f>CQ6*Premissas!$Q$49</f>
        <v>3877.8407402244738</v>
      </c>
      <c r="CR227" s="178">
        <f>CR6*Premissas!$Q$49</f>
        <v>3455.48823819779</v>
      </c>
      <c r="CS227" s="178">
        <f>CS6*Premissas!$Q$49</f>
        <v>3963.4490728995424</v>
      </c>
      <c r="CT227" s="178">
        <f>CT6*Premissas!$Q$49</f>
        <v>3954.7798746539661</v>
      </c>
      <c r="CU227" s="178">
        <f>CU6*Premissas!$Q$49</f>
        <v>3701.2058259708506</v>
      </c>
      <c r="CV227" s="178">
        <f>CV6*Premissas!$R$49</f>
        <v>3321.4099798242391</v>
      </c>
      <c r="CW227" s="178">
        <f>CW6*Premissas!$R$49</f>
        <v>3496.0659445669921</v>
      </c>
      <c r="CX227" s="178">
        <f>CX6*Premissas!$R$49</f>
        <v>4196.832821510312</v>
      </c>
      <c r="CY227" s="178">
        <f>CY6*Premissas!$R$49</f>
        <v>3938.0634013546369</v>
      </c>
      <c r="CZ227" s="178">
        <f>CZ6*Premissas!$R$49</f>
        <v>4047.0894406955886</v>
      </c>
      <c r="DA227" s="178">
        <f>DA6*Premissas!$R$49</f>
        <v>3913.150817426606</v>
      </c>
      <c r="DB227" s="178">
        <f>DB6*Premissas!$S$49</f>
        <v>0</v>
      </c>
      <c r="DC227" s="178">
        <f>DC6*Premissas!$S$49</f>
        <v>0</v>
      </c>
      <c r="DD227" s="178">
        <f>DD6*Premissas!$S$49</f>
        <v>0</v>
      </c>
      <c r="DE227" s="178">
        <f>DE6*Premissas!$S$49</f>
        <v>0</v>
      </c>
      <c r="DF227" s="178">
        <f>DF6*Premissas!$S$49</f>
        <v>0</v>
      </c>
      <c r="DG227" s="178">
        <f>DG6*Premissas!$S$49</f>
        <v>0</v>
      </c>
      <c r="DH227" s="178">
        <f>DH6*Premissas!$T$49</f>
        <v>0</v>
      </c>
      <c r="DI227" s="178">
        <f>DI6*Premissas!$T$49</f>
        <v>0</v>
      </c>
      <c r="DJ227" s="178">
        <f>DJ6*Premissas!$T$49</f>
        <v>0</v>
      </c>
      <c r="DK227" s="178">
        <f>DK6*Premissas!$T$49</f>
        <v>0</v>
      </c>
      <c r="DL227" s="178">
        <f>DL6*Premissas!$T$49</f>
        <v>0</v>
      </c>
      <c r="DM227" s="178">
        <f>DM6*Premissas!$T$49</f>
        <v>0</v>
      </c>
      <c r="DN227" s="178">
        <f>DN6*Premissas!$U$49</f>
        <v>0</v>
      </c>
      <c r="DO227" s="178">
        <f>DO6*Premissas!$U$49</f>
        <v>0</v>
      </c>
      <c r="DP227" s="178">
        <f>DP6*Premissas!$U$49</f>
        <v>0</v>
      </c>
      <c r="DQ227" s="178">
        <f>DQ6*Premissas!$U$49</f>
        <v>0</v>
      </c>
      <c r="DR227" s="178">
        <f>DR6*Premissas!$U$49</f>
        <v>0</v>
      </c>
      <c r="DS227" s="178">
        <f>DS6*Premissas!$U$49</f>
        <v>0</v>
      </c>
    </row>
    <row r="228" spans="1:123" ht="12.75" customHeight="1" x14ac:dyDescent="0.35">
      <c r="A228" s="146" t="s">
        <v>517</v>
      </c>
      <c r="B228" s="169">
        <f>AA228</f>
        <v>10286.678844999997</v>
      </c>
      <c r="C228" s="169" t="s">
        <v>169</v>
      </c>
      <c r="D228" s="169">
        <f>0</f>
        <v>0</v>
      </c>
      <c r="E228" s="169">
        <f t="shared" ref="E228:AJ228" si="426">D230</f>
        <v>0</v>
      </c>
      <c r="F228" s="169">
        <f t="shared" si="426"/>
        <v>0</v>
      </c>
      <c r="G228" s="169">
        <f t="shared" si="426"/>
        <v>268.69500000000016</v>
      </c>
      <c r="H228" s="169">
        <f t="shared" si="426"/>
        <v>417.2800000000002</v>
      </c>
      <c r="I228" s="169">
        <f t="shared" si="426"/>
        <v>1599.8040000000001</v>
      </c>
      <c r="J228" s="169">
        <f t="shared" si="426"/>
        <v>2964.828</v>
      </c>
      <c r="K228" s="169">
        <f t="shared" si="426"/>
        <v>3665.0909999999999</v>
      </c>
      <c r="L228" s="169">
        <f t="shared" si="426"/>
        <v>4251.1827899999998</v>
      </c>
      <c r="M228" s="169">
        <f t="shared" si="426"/>
        <v>4600.9402149999996</v>
      </c>
      <c r="N228" s="169">
        <f t="shared" si="426"/>
        <v>5268.1382649999996</v>
      </c>
      <c r="O228" s="169">
        <f t="shared" si="426"/>
        <v>5537.7393049999991</v>
      </c>
      <c r="P228" s="169">
        <f t="shared" si="426"/>
        <v>5533.4830649999985</v>
      </c>
      <c r="Q228" s="169">
        <f t="shared" si="426"/>
        <v>5657.5315849999988</v>
      </c>
      <c r="R228" s="169">
        <f t="shared" si="426"/>
        <v>5638.0490649999983</v>
      </c>
      <c r="S228" s="169">
        <f t="shared" si="426"/>
        <v>6169.2702249999984</v>
      </c>
      <c r="T228" s="169">
        <f t="shared" si="426"/>
        <v>6561.5297049999981</v>
      </c>
      <c r="U228" s="169">
        <f t="shared" si="426"/>
        <v>7403.8468849999981</v>
      </c>
      <c r="V228" s="169">
        <f t="shared" si="426"/>
        <v>8444.9965649999976</v>
      </c>
      <c r="W228" s="169">
        <f t="shared" si="426"/>
        <v>8822.6153499999982</v>
      </c>
      <c r="X228" s="169">
        <f t="shared" si="426"/>
        <v>9123.8585399999974</v>
      </c>
      <c r="Y228" s="169">
        <f t="shared" si="426"/>
        <v>9219.7914649999966</v>
      </c>
      <c r="Z228" s="169">
        <f t="shared" si="426"/>
        <v>9595.8525149999969</v>
      </c>
      <c r="AA228" s="169">
        <f t="shared" si="426"/>
        <v>10286.678844999997</v>
      </c>
      <c r="AB228" s="169">
        <f t="shared" si="426"/>
        <v>10676.639614999996</v>
      </c>
      <c r="AC228" s="169">
        <f t="shared" si="426"/>
        <v>10384.737973174997</v>
      </c>
      <c r="AD228" s="169">
        <f t="shared" si="426"/>
        <v>9922.9575612499975</v>
      </c>
      <c r="AE228" s="169">
        <f t="shared" si="426"/>
        <v>9938.2402435249969</v>
      </c>
      <c r="AF228" s="169">
        <f t="shared" si="426"/>
        <v>9843.7083428499973</v>
      </c>
      <c r="AG228" s="169">
        <f t="shared" si="426"/>
        <v>9749.5910749499981</v>
      </c>
      <c r="AH228" s="169">
        <f t="shared" si="426"/>
        <v>9891.337894549999</v>
      </c>
      <c r="AI228" s="169">
        <f t="shared" si="426"/>
        <v>9495.9488365499983</v>
      </c>
      <c r="AJ228" s="169">
        <f t="shared" si="426"/>
        <v>8955.6462645499978</v>
      </c>
      <c r="AK228" s="169">
        <f t="shared" ref="AK228:BP228" si="427">AJ230</f>
        <v>8292.8677745499972</v>
      </c>
      <c r="AL228" s="169">
        <f t="shared" si="427"/>
        <v>7812.5930345499974</v>
      </c>
      <c r="AM228" s="169">
        <f t="shared" si="427"/>
        <v>7664.7838305499972</v>
      </c>
      <c r="AN228" s="169">
        <f t="shared" si="427"/>
        <v>7256.8415545499975</v>
      </c>
      <c r="AO228" s="169">
        <f t="shared" si="427"/>
        <v>6954.887307684372</v>
      </c>
      <c r="AP228" s="169">
        <f t="shared" si="427"/>
        <v>6479.1032222062468</v>
      </c>
      <c r="AQ228" s="169">
        <f t="shared" si="427"/>
        <v>6491.590827203122</v>
      </c>
      <c r="AR228" s="169">
        <f t="shared" si="427"/>
        <v>6391.7097575062471</v>
      </c>
      <c r="AS228" s="169">
        <f t="shared" si="427"/>
        <v>6291.898098368747</v>
      </c>
      <c r="AT228" s="169">
        <f t="shared" si="427"/>
        <v>6434.1461314187472</v>
      </c>
      <c r="AU228" s="169">
        <f t="shared" si="427"/>
        <v>6009.9279922998721</v>
      </c>
      <c r="AV228" s="169">
        <f t="shared" si="427"/>
        <v>5437.0572949206216</v>
      </c>
      <c r="AW228" s="169">
        <f t="shared" si="427"/>
        <v>4740.7923274012464</v>
      </c>
      <c r="AX228" s="169">
        <f t="shared" si="427"/>
        <v>4228.1356065224963</v>
      </c>
      <c r="AY228" s="169">
        <f t="shared" si="427"/>
        <v>4056.9255715677464</v>
      </c>
      <c r="AZ228" s="169">
        <f t="shared" si="427"/>
        <v>3620.0310998899963</v>
      </c>
      <c r="BA228" s="169">
        <f t="shared" si="427"/>
        <v>3599.4713393731831</v>
      </c>
      <c r="BB228" s="169">
        <f t="shared" si="427"/>
        <v>3415.4563837715273</v>
      </c>
      <c r="BC228" s="169">
        <f t="shared" si="427"/>
        <v>3793.4126086270066</v>
      </c>
      <c r="BD228" s="169">
        <f t="shared" si="427"/>
        <v>4033.7395673045075</v>
      </c>
      <c r="BE228" s="169">
        <f t="shared" si="427"/>
        <v>4283.3575315041999</v>
      </c>
      <c r="BF228" s="169">
        <f t="shared" si="427"/>
        <v>4769.47794592233</v>
      </c>
      <c r="BG228" s="169">
        <f t="shared" si="427"/>
        <v>4749.3824703636392</v>
      </c>
      <c r="BH228" s="169">
        <f t="shared" si="427"/>
        <v>4590.7865048855119</v>
      </c>
      <c r="BI228" s="169">
        <f t="shared" si="427"/>
        <v>4258.9924892593062</v>
      </c>
      <c r="BJ228" s="169">
        <f t="shared" si="427"/>
        <v>4171.7054293916935</v>
      </c>
      <c r="BK228" s="169">
        <f t="shared" si="427"/>
        <v>4432.8427841458015</v>
      </c>
      <c r="BL228" s="169">
        <f t="shared" si="427"/>
        <v>4394.3942665852192</v>
      </c>
      <c r="BM228" s="169">
        <f t="shared" si="427"/>
        <v>6464.7549875539171</v>
      </c>
      <c r="BN228" s="169">
        <f t="shared" si="427"/>
        <v>8478.2940446845314</v>
      </c>
      <c r="BO228" s="169">
        <f t="shared" si="427"/>
        <v>11508.708143839027</v>
      </c>
      <c r="BP228" s="169">
        <f t="shared" si="427"/>
        <v>14235.09728481498</v>
      </c>
      <c r="BQ228" s="169">
        <f t="shared" ref="BQ228:CV228" si="428">BP230</f>
        <v>17040.462779806116</v>
      </c>
      <c r="BR228" s="169">
        <f t="shared" si="428"/>
        <v>20003.722188783511</v>
      </c>
      <c r="BS228" s="169">
        <f t="shared" si="428"/>
        <v>22174.749718909039</v>
      </c>
      <c r="BT228" s="169">
        <f t="shared" si="428"/>
        <v>24273.500498680998</v>
      </c>
      <c r="BU228" s="169">
        <f t="shared" si="428"/>
        <v>25948.403544369925</v>
      </c>
      <c r="BV228" s="169">
        <f t="shared" si="428"/>
        <v>28170.268425469811</v>
      </c>
      <c r="BW228" s="169">
        <f t="shared" si="428"/>
        <v>30744.412891245349</v>
      </c>
      <c r="BX228" s="169">
        <f t="shared" si="428"/>
        <v>32863.485208783735</v>
      </c>
      <c r="BY228" s="169">
        <f t="shared" si="428"/>
        <v>34892.218065368623</v>
      </c>
      <c r="BZ228" s="169">
        <f t="shared" si="428"/>
        <v>36857.622977965555</v>
      </c>
      <c r="CA228" s="169">
        <f t="shared" si="428"/>
        <v>39845.871599960505</v>
      </c>
      <c r="CB228" s="169">
        <f t="shared" si="428"/>
        <v>42529.845365962152</v>
      </c>
      <c r="CC228" s="169">
        <f t="shared" si="428"/>
        <v>45291.479449136961</v>
      </c>
      <c r="CD228" s="169">
        <f t="shared" si="428"/>
        <v>48218.395697946704</v>
      </c>
      <c r="CE228" s="169">
        <f t="shared" si="428"/>
        <v>50338.333949937551</v>
      </c>
      <c r="CF228" s="169">
        <f t="shared" si="428"/>
        <v>52380.641291801658</v>
      </c>
      <c r="CG228" s="169">
        <f t="shared" si="428"/>
        <v>54000.347254179513</v>
      </c>
      <c r="CH228" s="169">
        <f t="shared" si="428"/>
        <v>56166.516068729732</v>
      </c>
      <c r="CI228" s="169">
        <f t="shared" si="428"/>
        <v>58693.990050602879</v>
      </c>
      <c r="CJ228" s="169">
        <f t="shared" si="428"/>
        <v>60762.140176671579</v>
      </c>
      <c r="CK228" s="169">
        <f t="shared" si="428"/>
        <v>62749.222971176016</v>
      </c>
      <c r="CL228" s="169">
        <f t="shared" si="428"/>
        <v>64666.470374279284</v>
      </c>
      <c r="CM228" s="169">
        <f t="shared" si="428"/>
        <v>67611.525470779088</v>
      </c>
      <c r="CN228" s="169">
        <f t="shared" si="428"/>
        <v>70252.057542882467</v>
      </c>
      <c r="CO228" s="169">
        <f t="shared" si="428"/>
        <v>72968.933166672534</v>
      </c>
      <c r="CP228" s="169">
        <f t="shared" si="428"/>
        <v>75859.48010288681</v>
      </c>
      <c r="CQ228" s="169">
        <f t="shared" si="428"/>
        <v>77927.306629899089</v>
      </c>
      <c r="CR228" s="169">
        <f t="shared" si="428"/>
        <v>79911.147370123566</v>
      </c>
      <c r="CS228" s="169">
        <f t="shared" si="428"/>
        <v>81474.635608321361</v>
      </c>
      <c r="CT228" s="169">
        <f t="shared" si="428"/>
        <v>83584.084681220906</v>
      </c>
      <c r="CU228" s="169">
        <f t="shared" si="428"/>
        <v>86063.864555874869</v>
      </c>
      <c r="CV228" s="169">
        <f t="shared" si="428"/>
        <v>88079.070381845726</v>
      </c>
      <c r="CW228" s="169">
        <f t="shared" ref="CW228:DS228" si="429">CV230</f>
        <v>90022.480361669965</v>
      </c>
      <c r="CX228" s="169">
        <f t="shared" si="429"/>
        <v>91889.546306236953</v>
      </c>
      <c r="CY228" s="169">
        <f t="shared" si="429"/>
        <v>94791.379127747263</v>
      </c>
      <c r="CZ228" s="169">
        <f t="shared" si="429"/>
        <v>97388.4425291019</v>
      </c>
      <c r="DA228" s="169">
        <f t="shared" si="429"/>
        <v>100059.53196979749</v>
      </c>
      <c r="DB228" s="169">
        <f t="shared" si="429"/>
        <v>102912.6827872241</v>
      </c>
      <c r="DC228" s="169">
        <f t="shared" si="429"/>
        <v>101179.6827872241</v>
      </c>
      <c r="DD228" s="169">
        <f t="shared" si="429"/>
        <v>99238.682787224097</v>
      </c>
      <c r="DE228" s="169">
        <f t="shared" si="429"/>
        <v>97298.682787224097</v>
      </c>
      <c r="DF228" s="169">
        <f t="shared" si="429"/>
        <v>95397.682787224097</v>
      </c>
      <c r="DG228" s="169">
        <f t="shared" si="429"/>
        <v>93885.682787224097</v>
      </c>
      <c r="DH228" s="169">
        <f t="shared" si="429"/>
        <v>92157.682787224097</v>
      </c>
      <c r="DI228" s="169">
        <f t="shared" si="429"/>
        <v>90745.682787224097</v>
      </c>
      <c r="DJ228" s="169">
        <f t="shared" si="429"/>
        <v>89075.682787224097</v>
      </c>
      <c r="DK228" s="169">
        <f t="shared" si="429"/>
        <v>87747.682787224097</v>
      </c>
      <c r="DL228" s="169">
        <f t="shared" si="429"/>
        <v>86372.682787224097</v>
      </c>
      <c r="DM228" s="169">
        <f t="shared" si="429"/>
        <v>84962.682787224097</v>
      </c>
      <c r="DN228" s="169">
        <f t="shared" si="429"/>
        <v>83875.682787224097</v>
      </c>
      <c r="DO228" s="169">
        <f t="shared" si="429"/>
        <v>82099.682787224097</v>
      </c>
      <c r="DP228" s="169">
        <f t="shared" si="429"/>
        <v>80110.682787224097</v>
      </c>
      <c r="DQ228" s="169">
        <f t="shared" si="429"/>
        <v>78122.682787224097</v>
      </c>
      <c r="DR228" s="169">
        <f t="shared" si="429"/>
        <v>76174.682787224097</v>
      </c>
      <c r="DS228" s="169">
        <f t="shared" si="429"/>
        <v>74624.682787224097</v>
      </c>
    </row>
    <row r="229" spans="1:123" ht="12.75" customHeight="1" x14ac:dyDescent="0.35">
      <c r="A229" s="146" t="s">
        <v>518</v>
      </c>
      <c r="B229" s="169">
        <f>SUM(D229:BQ229)</f>
        <v>8232.9081652415643</v>
      </c>
      <c r="C229" s="169">
        <f>B229/60</f>
        <v>137.21513608735941</v>
      </c>
      <c r="D229" s="139">
        <f t="shared" ref="D229:AI229" si="430">MIN(D228,MAX(D226-D227,0))</f>
        <v>0</v>
      </c>
      <c r="E229" s="139">
        <f t="shared" si="430"/>
        <v>0</v>
      </c>
      <c r="F229" s="139">
        <f t="shared" si="430"/>
        <v>0</v>
      </c>
      <c r="G229" s="139">
        <f t="shared" si="430"/>
        <v>0</v>
      </c>
      <c r="H229" s="139">
        <f t="shared" si="430"/>
        <v>0</v>
      </c>
      <c r="I229" s="139">
        <f t="shared" si="430"/>
        <v>0</v>
      </c>
      <c r="J229" s="139">
        <f t="shared" si="430"/>
        <v>0</v>
      </c>
      <c r="K229" s="139">
        <f t="shared" si="430"/>
        <v>0</v>
      </c>
      <c r="L229" s="139">
        <f t="shared" si="430"/>
        <v>0</v>
      </c>
      <c r="M229" s="139">
        <f t="shared" si="430"/>
        <v>0</v>
      </c>
      <c r="N229" s="139">
        <f t="shared" si="430"/>
        <v>0</v>
      </c>
      <c r="O229" s="139">
        <f t="shared" si="430"/>
        <v>4.2562400000001617</v>
      </c>
      <c r="P229" s="139">
        <f t="shared" si="430"/>
        <v>0</v>
      </c>
      <c r="Q229" s="139">
        <f t="shared" si="430"/>
        <v>19.48252000000025</v>
      </c>
      <c r="R229" s="139">
        <f t="shared" si="430"/>
        <v>0</v>
      </c>
      <c r="S229" s="139">
        <f t="shared" si="430"/>
        <v>0</v>
      </c>
      <c r="T229" s="139">
        <f t="shared" si="430"/>
        <v>0</v>
      </c>
      <c r="U229" s="139">
        <f t="shared" si="430"/>
        <v>0</v>
      </c>
      <c r="V229" s="139">
        <f t="shared" si="430"/>
        <v>0</v>
      </c>
      <c r="W229" s="139">
        <f t="shared" si="430"/>
        <v>0</v>
      </c>
      <c r="X229" s="139">
        <f t="shared" si="430"/>
        <v>0</v>
      </c>
      <c r="Y229" s="139">
        <f t="shared" si="430"/>
        <v>0</v>
      </c>
      <c r="Z229" s="139">
        <f t="shared" si="430"/>
        <v>0</v>
      </c>
      <c r="AA229" s="139">
        <f t="shared" si="430"/>
        <v>0</v>
      </c>
      <c r="AB229" s="139">
        <f t="shared" si="430"/>
        <v>291.90164182499996</v>
      </c>
      <c r="AC229" s="139">
        <f t="shared" si="430"/>
        <v>461.78041192500007</v>
      </c>
      <c r="AD229" s="139">
        <f t="shared" si="430"/>
        <v>0</v>
      </c>
      <c r="AE229" s="139">
        <f t="shared" si="430"/>
        <v>94.531900675000088</v>
      </c>
      <c r="AF229" s="139">
        <f t="shared" si="430"/>
        <v>94.117267899999888</v>
      </c>
      <c r="AG229" s="139">
        <f t="shared" si="430"/>
        <v>0</v>
      </c>
      <c r="AH229" s="139">
        <f t="shared" si="430"/>
        <v>395.38905799999998</v>
      </c>
      <c r="AI229" s="139">
        <f t="shared" si="430"/>
        <v>540.30257199999983</v>
      </c>
      <c r="AJ229" s="139">
        <f t="shared" ref="AJ229:BO229" si="431">MIN(AJ228,MAX(AJ226-AJ227,0))</f>
        <v>662.77848999999992</v>
      </c>
      <c r="AK229" s="139">
        <f t="shared" si="431"/>
        <v>480.27474000000007</v>
      </c>
      <c r="AL229" s="139">
        <f t="shared" si="431"/>
        <v>147.80920399999991</v>
      </c>
      <c r="AM229" s="139">
        <f t="shared" si="431"/>
        <v>407.94227599999977</v>
      </c>
      <c r="AN229" s="139">
        <f t="shared" si="431"/>
        <v>301.95424686562501</v>
      </c>
      <c r="AO229" s="139">
        <f t="shared" si="431"/>
        <v>475.78408547812512</v>
      </c>
      <c r="AP229" s="139">
        <f t="shared" si="431"/>
        <v>0</v>
      </c>
      <c r="AQ229" s="139">
        <f t="shared" si="431"/>
        <v>99.881069696874874</v>
      </c>
      <c r="AR229" s="139">
        <f t="shared" si="431"/>
        <v>99.811659137500101</v>
      </c>
      <c r="AS229" s="139">
        <f t="shared" si="431"/>
        <v>0</v>
      </c>
      <c r="AT229" s="139">
        <f t="shared" si="431"/>
        <v>424.21813911887511</v>
      </c>
      <c r="AU229" s="139">
        <f t="shared" si="431"/>
        <v>572.87069737925003</v>
      </c>
      <c r="AV229" s="139">
        <f t="shared" si="431"/>
        <v>696.26496751937498</v>
      </c>
      <c r="AW229" s="139">
        <f t="shared" si="431"/>
        <v>512.65672087874987</v>
      </c>
      <c r="AX229" s="139">
        <f t="shared" si="431"/>
        <v>171.21003495474997</v>
      </c>
      <c r="AY229" s="139">
        <f t="shared" si="431"/>
        <v>436.89447167775006</v>
      </c>
      <c r="AZ229" s="139">
        <f t="shared" si="431"/>
        <v>20.559760516813185</v>
      </c>
      <c r="BA229" s="139">
        <f t="shared" si="431"/>
        <v>184.01495560165586</v>
      </c>
      <c r="BB229" s="139">
        <f t="shared" si="431"/>
        <v>0</v>
      </c>
      <c r="BC229" s="139">
        <f t="shared" si="431"/>
        <v>0</v>
      </c>
      <c r="BD229" s="139">
        <f t="shared" si="431"/>
        <v>0</v>
      </c>
      <c r="BE229" s="139">
        <f t="shared" si="431"/>
        <v>0</v>
      </c>
      <c r="BF229" s="139">
        <f t="shared" si="431"/>
        <v>20.09547555869085</v>
      </c>
      <c r="BG229" s="139">
        <f t="shared" si="431"/>
        <v>158.59596547812748</v>
      </c>
      <c r="BH229" s="139">
        <f t="shared" si="431"/>
        <v>331.79401562620615</v>
      </c>
      <c r="BI229" s="139">
        <f t="shared" si="431"/>
        <v>87.287059867612243</v>
      </c>
      <c r="BJ229" s="139">
        <f t="shared" si="431"/>
        <v>0</v>
      </c>
      <c r="BK229" s="139">
        <f t="shared" si="431"/>
        <v>38.448517560582331</v>
      </c>
      <c r="BL229" s="139">
        <f t="shared" si="431"/>
        <v>0</v>
      </c>
      <c r="BM229" s="139">
        <f t="shared" si="431"/>
        <v>0</v>
      </c>
      <c r="BN229" s="139">
        <f t="shared" si="431"/>
        <v>0</v>
      </c>
      <c r="BO229" s="139">
        <f t="shared" si="431"/>
        <v>0</v>
      </c>
      <c r="BP229" s="139">
        <f t="shared" ref="BP229:CU229" si="432">MIN(BP228,MAX(BP226-BP227,0))</f>
        <v>0</v>
      </c>
      <c r="BQ229" s="139">
        <f t="shared" si="432"/>
        <v>0</v>
      </c>
      <c r="BR229" s="139">
        <f t="shared" si="432"/>
        <v>0</v>
      </c>
      <c r="BS229" s="139">
        <f t="shared" si="432"/>
        <v>0</v>
      </c>
      <c r="BT229" s="139">
        <f t="shared" si="432"/>
        <v>0</v>
      </c>
      <c r="BU229" s="139">
        <f t="shared" si="432"/>
        <v>0</v>
      </c>
      <c r="BV229" s="139">
        <f t="shared" si="432"/>
        <v>0</v>
      </c>
      <c r="BW229" s="139">
        <f t="shared" si="432"/>
        <v>0</v>
      </c>
      <c r="BX229" s="139">
        <f t="shared" si="432"/>
        <v>0</v>
      </c>
      <c r="BY229" s="139">
        <f t="shared" si="432"/>
        <v>0</v>
      </c>
      <c r="BZ229" s="139">
        <f t="shared" si="432"/>
        <v>0</v>
      </c>
      <c r="CA229" s="139">
        <f t="shared" si="432"/>
        <v>0</v>
      </c>
      <c r="CB229" s="139">
        <f t="shared" si="432"/>
        <v>0</v>
      </c>
      <c r="CC229" s="139">
        <f t="shared" si="432"/>
        <v>0</v>
      </c>
      <c r="CD229" s="139">
        <f t="shared" si="432"/>
        <v>0</v>
      </c>
      <c r="CE229" s="139">
        <f t="shared" si="432"/>
        <v>0</v>
      </c>
      <c r="CF229" s="139">
        <f t="shared" si="432"/>
        <v>0</v>
      </c>
      <c r="CG229" s="139">
        <f t="shared" si="432"/>
        <v>0</v>
      </c>
      <c r="CH229" s="139">
        <f t="shared" si="432"/>
        <v>0</v>
      </c>
      <c r="CI229" s="139">
        <f t="shared" si="432"/>
        <v>0</v>
      </c>
      <c r="CJ229" s="139">
        <f t="shared" si="432"/>
        <v>0</v>
      </c>
      <c r="CK229" s="139">
        <f t="shared" si="432"/>
        <v>0</v>
      </c>
      <c r="CL229" s="139">
        <f t="shared" si="432"/>
        <v>0</v>
      </c>
      <c r="CM229" s="139">
        <f t="shared" si="432"/>
        <v>0</v>
      </c>
      <c r="CN229" s="139">
        <f t="shared" si="432"/>
        <v>0</v>
      </c>
      <c r="CO229" s="139">
        <f t="shared" si="432"/>
        <v>0</v>
      </c>
      <c r="CP229" s="139">
        <f t="shared" si="432"/>
        <v>0</v>
      </c>
      <c r="CQ229" s="139">
        <f t="shared" si="432"/>
        <v>0</v>
      </c>
      <c r="CR229" s="139">
        <f t="shared" si="432"/>
        <v>0</v>
      </c>
      <c r="CS229" s="139">
        <f t="shared" si="432"/>
        <v>0</v>
      </c>
      <c r="CT229" s="139">
        <f t="shared" si="432"/>
        <v>0</v>
      </c>
      <c r="CU229" s="139">
        <f t="shared" si="432"/>
        <v>0</v>
      </c>
      <c r="CV229" s="139">
        <f t="shared" ref="CV229:DS229" si="433">MIN(CV228,MAX(CV226-CV227,0))</f>
        <v>0</v>
      </c>
      <c r="CW229" s="139">
        <f t="shared" si="433"/>
        <v>0</v>
      </c>
      <c r="CX229" s="139">
        <f t="shared" si="433"/>
        <v>0</v>
      </c>
      <c r="CY229" s="139">
        <f t="shared" si="433"/>
        <v>0</v>
      </c>
      <c r="CZ229" s="139">
        <f t="shared" si="433"/>
        <v>0</v>
      </c>
      <c r="DA229" s="139">
        <f t="shared" si="433"/>
        <v>0</v>
      </c>
      <c r="DB229" s="139">
        <f t="shared" si="433"/>
        <v>1733</v>
      </c>
      <c r="DC229" s="139">
        <f t="shared" si="433"/>
        <v>1941</v>
      </c>
      <c r="DD229" s="139">
        <f t="shared" si="433"/>
        <v>1940</v>
      </c>
      <c r="DE229" s="139">
        <f t="shared" si="433"/>
        <v>1901</v>
      </c>
      <c r="DF229" s="139">
        <f t="shared" si="433"/>
        <v>1512</v>
      </c>
      <c r="DG229" s="139">
        <f t="shared" si="433"/>
        <v>1728</v>
      </c>
      <c r="DH229" s="139">
        <f t="shared" si="433"/>
        <v>1412</v>
      </c>
      <c r="DI229" s="139">
        <f t="shared" si="433"/>
        <v>1670</v>
      </c>
      <c r="DJ229" s="139">
        <f t="shared" si="433"/>
        <v>1328</v>
      </c>
      <c r="DK229" s="139">
        <f t="shared" si="433"/>
        <v>1375</v>
      </c>
      <c r="DL229" s="139">
        <f t="shared" si="433"/>
        <v>1410</v>
      </c>
      <c r="DM229" s="139">
        <f t="shared" si="433"/>
        <v>1087</v>
      </c>
      <c r="DN229" s="139">
        <f t="shared" si="433"/>
        <v>1776</v>
      </c>
      <c r="DO229" s="139">
        <f t="shared" si="433"/>
        <v>1989</v>
      </c>
      <c r="DP229" s="139">
        <f t="shared" si="433"/>
        <v>1988</v>
      </c>
      <c r="DQ229" s="139">
        <f t="shared" si="433"/>
        <v>1948</v>
      </c>
      <c r="DR229" s="139">
        <f t="shared" si="433"/>
        <v>1550</v>
      </c>
      <c r="DS229" s="139">
        <f t="shared" si="433"/>
        <v>1771</v>
      </c>
    </row>
    <row r="230" spans="1:123" ht="12.75" customHeight="1" x14ac:dyDescent="0.35">
      <c r="A230" s="173" t="s">
        <v>519</v>
      </c>
      <c r="B230" s="157">
        <f>AA230</f>
        <v>10676.639614999996</v>
      </c>
      <c r="C230" s="169" t="s">
        <v>169</v>
      </c>
      <c r="D230" s="157">
        <f t="shared" ref="D230:AI230" si="434">MAX(D228-D229,0)+MAX(D227-D226,0)</f>
        <v>0</v>
      </c>
      <c r="E230" s="157">
        <f t="shared" si="434"/>
        <v>0</v>
      </c>
      <c r="F230" s="157">
        <f t="shared" si="434"/>
        <v>268.69500000000016</v>
      </c>
      <c r="G230" s="157">
        <f t="shared" si="434"/>
        <v>417.2800000000002</v>
      </c>
      <c r="H230" s="157">
        <f t="shared" si="434"/>
        <v>1599.8040000000001</v>
      </c>
      <c r="I230" s="157">
        <f t="shared" si="434"/>
        <v>2964.828</v>
      </c>
      <c r="J230" s="157">
        <f t="shared" si="434"/>
        <v>3665.0909999999999</v>
      </c>
      <c r="K230" s="157">
        <f t="shared" si="434"/>
        <v>4251.1827899999998</v>
      </c>
      <c r="L230" s="157">
        <f t="shared" si="434"/>
        <v>4600.9402149999996</v>
      </c>
      <c r="M230" s="157">
        <f t="shared" si="434"/>
        <v>5268.1382649999996</v>
      </c>
      <c r="N230" s="157">
        <f t="shared" si="434"/>
        <v>5537.7393049999991</v>
      </c>
      <c r="O230" s="157">
        <f t="shared" si="434"/>
        <v>5533.4830649999985</v>
      </c>
      <c r="P230" s="157">
        <f t="shared" si="434"/>
        <v>5657.5315849999988</v>
      </c>
      <c r="Q230" s="157">
        <f t="shared" si="434"/>
        <v>5638.0490649999983</v>
      </c>
      <c r="R230" s="157">
        <f t="shared" si="434"/>
        <v>6169.2702249999984</v>
      </c>
      <c r="S230" s="157">
        <f t="shared" si="434"/>
        <v>6561.5297049999981</v>
      </c>
      <c r="T230" s="157">
        <f t="shared" si="434"/>
        <v>7403.8468849999981</v>
      </c>
      <c r="U230" s="157">
        <f t="shared" si="434"/>
        <v>8444.9965649999976</v>
      </c>
      <c r="V230" s="157">
        <f t="shared" si="434"/>
        <v>8822.6153499999982</v>
      </c>
      <c r="W230" s="157">
        <f t="shared" si="434"/>
        <v>9123.8585399999974</v>
      </c>
      <c r="X230" s="157">
        <f t="shared" si="434"/>
        <v>9219.7914649999966</v>
      </c>
      <c r="Y230" s="157">
        <f t="shared" si="434"/>
        <v>9595.8525149999969</v>
      </c>
      <c r="Z230" s="157">
        <f t="shared" si="434"/>
        <v>10286.678844999997</v>
      </c>
      <c r="AA230" s="157">
        <f t="shared" si="434"/>
        <v>10676.639614999996</v>
      </c>
      <c r="AB230" s="157">
        <f t="shared" si="434"/>
        <v>10384.737973174997</v>
      </c>
      <c r="AC230" s="157">
        <f t="shared" si="434"/>
        <v>9922.9575612499975</v>
      </c>
      <c r="AD230" s="157">
        <f t="shared" si="434"/>
        <v>9938.2402435249969</v>
      </c>
      <c r="AE230" s="157">
        <f t="shared" si="434"/>
        <v>9843.7083428499973</v>
      </c>
      <c r="AF230" s="157">
        <f t="shared" si="434"/>
        <v>9749.5910749499981</v>
      </c>
      <c r="AG230" s="157">
        <f t="shared" si="434"/>
        <v>9891.337894549999</v>
      </c>
      <c r="AH230" s="157">
        <f t="shared" si="434"/>
        <v>9495.9488365499983</v>
      </c>
      <c r="AI230" s="157">
        <f t="shared" si="434"/>
        <v>8955.6462645499978</v>
      </c>
      <c r="AJ230" s="157">
        <f t="shared" ref="AJ230:BO230" si="435">MAX(AJ228-AJ229,0)+MAX(AJ227-AJ226,0)</f>
        <v>8292.8677745499972</v>
      </c>
      <c r="AK230" s="157">
        <f t="shared" si="435"/>
        <v>7812.5930345499974</v>
      </c>
      <c r="AL230" s="157">
        <f t="shared" si="435"/>
        <v>7664.7838305499972</v>
      </c>
      <c r="AM230" s="157">
        <f t="shared" si="435"/>
        <v>7256.8415545499975</v>
      </c>
      <c r="AN230" s="157">
        <f t="shared" si="435"/>
        <v>6954.887307684372</v>
      </c>
      <c r="AO230" s="157">
        <f t="shared" si="435"/>
        <v>6479.1032222062468</v>
      </c>
      <c r="AP230" s="157">
        <f t="shared" si="435"/>
        <v>6491.590827203122</v>
      </c>
      <c r="AQ230" s="157">
        <f t="shared" si="435"/>
        <v>6391.7097575062471</v>
      </c>
      <c r="AR230" s="157">
        <f t="shared" si="435"/>
        <v>6291.898098368747</v>
      </c>
      <c r="AS230" s="157">
        <f t="shared" si="435"/>
        <v>6434.1461314187472</v>
      </c>
      <c r="AT230" s="157">
        <f t="shared" si="435"/>
        <v>6009.9279922998721</v>
      </c>
      <c r="AU230" s="157">
        <f t="shared" si="435"/>
        <v>5437.0572949206216</v>
      </c>
      <c r="AV230" s="157">
        <f t="shared" si="435"/>
        <v>4740.7923274012464</v>
      </c>
      <c r="AW230" s="157">
        <f t="shared" si="435"/>
        <v>4228.1356065224963</v>
      </c>
      <c r="AX230" s="157">
        <f t="shared" si="435"/>
        <v>4056.9255715677464</v>
      </c>
      <c r="AY230" s="157">
        <f t="shared" si="435"/>
        <v>3620.0310998899963</v>
      </c>
      <c r="AZ230" s="157">
        <f t="shared" si="435"/>
        <v>3599.4713393731831</v>
      </c>
      <c r="BA230" s="157">
        <f t="shared" si="435"/>
        <v>3415.4563837715273</v>
      </c>
      <c r="BB230" s="157">
        <f t="shared" si="435"/>
        <v>3793.4126086270066</v>
      </c>
      <c r="BC230" s="157">
        <f t="shared" si="435"/>
        <v>4033.7395673045075</v>
      </c>
      <c r="BD230" s="157">
        <f t="shared" si="435"/>
        <v>4283.3575315041999</v>
      </c>
      <c r="BE230" s="157">
        <f t="shared" si="435"/>
        <v>4769.47794592233</v>
      </c>
      <c r="BF230" s="157">
        <f t="shared" si="435"/>
        <v>4749.3824703636392</v>
      </c>
      <c r="BG230" s="157">
        <f t="shared" si="435"/>
        <v>4590.7865048855119</v>
      </c>
      <c r="BH230" s="157">
        <f t="shared" si="435"/>
        <v>4258.9924892593062</v>
      </c>
      <c r="BI230" s="157">
        <f t="shared" si="435"/>
        <v>4171.7054293916935</v>
      </c>
      <c r="BJ230" s="157">
        <f t="shared" si="435"/>
        <v>4432.8427841458015</v>
      </c>
      <c r="BK230" s="157">
        <f t="shared" si="435"/>
        <v>4394.3942665852192</v>
      </c>
      <c r="BL230" s="157">
        <f t="shared" si="435"/>
        <v>6464.7549875539171</v>
      </c>
      <c r="BM230" s="157">
        <f t="shared" si="435"/>
        <v>8478.2940446845314</v>
      </c>
      <c r="BN230" s="157">
        <f t="shared" si="435"/>
        <v>11508.708143839027</v>
      </c>
      <c r="BO230" s="157">
        <f t="shared" si="435"/>
        <v>14235.09728481498</v>
      </c>
      <c r="BP230" s="157">
        <f t="shared" ref="BP230:CU230" si="436">MAX(BP228-BP229,0)+MAX(BP227-BP226,0)</f>
        <v>17040.462779806116</v>
      </c>
      <c r="BQ230" s="157">
        <f t="shared" si="436"/>
        <v>20003.722188783511</v>
      </c>
      <c r="BR230" s="157">
        <f t="shared" si="436"/>
        <v>22174.749718909039</v>
      </c>
      <c r="BS230" s="157">
        <f t="shared" si="436"/>
        <v>24273.500498680998</v>
      </c>
      <c r="BT230" s="157">
        <f t="shared" si="436"/>
        <v>25948.403544369925</v>
      </c>
      <c r="BU230" s="157">
        <f t="shared" si="436"/>
        <v>28170.268425469811</v>
      </c>
      <c r="BV230" s="157">
        <f t="shared" si="436"/>
        <v>30744.412891245349</v>
      </c>
      <c r="BW230" s="157">
        <f t="shared" si="436"/>
        <v>32863.485208783735</v>
      </c>
      <c r="BX230" s="157">
        <f t="shared" si="436"/>
        <v>34892.218065368623</v>
      </c>
      <c r="BY230" s="157">
        <f t="shared" si="436"/>
        <v>36857.622977965555</v>
      </c>
      <c r="BZ230" s="157">
        <f t="shared" si="436"/>
        <v>39845.871599960505</v>
      </c>
      <c r="CA230" s="157">
        <f t="shared" si="436"/>
        <v>42529.845365962152</v>
      </c>
      <c r="CB230" s="157">
        <f t="shared" si="436"/>
        <v>45291.479449136961</v>
      </c>
      <c r="CC230" s="157">
        <f t="shared" si="436"/>
        <v>48218.395697946704</v>
      </c>
      <c r="CD230" s="157">
        <f t="shared" si="436"/>
        <v>50338.333949937551</v>
      </c>
      <c r="CE230" s="157">
        <f t="shared" si="436"/>
        <v>52380.641291801658</v>
      </c>
      <c r="CF230" s="157">
        <f t="shared" si="436"/>
        <v>54000.347254179513</v>
      </c>
      <c r="CG230" s="157">
        <f t="shared" si="436"/>
        <v>56166.516068729732</v>
      </c>
      <c r="CH230" s="157">
        <f t="shared" si="436"/>
        <v>58693.990050602879</v>
      </c>
      <c r="CI230" s="157">
        <f t="shared" si="436"/>
        <v>60762.140176671579</v>
      </c>
      <c r="CJ230" s="157">
        <f t="shared" si="436"/>
        <v>62749.222971176016</v>
      </c>
      <c r="CK230" s="157">
        <f t="shared" si="436"/>
        <v>64666.470374279284</v>
      </c>
      <c r="CL230" s="157">
        <f t="shared" si="436"/>
        <v>67611.525470779088</v>
      </c>
      <c r="CM230" s="157">
        <f t="shared" si="436"/>
        <v>70252.057542882467</v>
      </c>
      <c r="CN230" s="157">
        <f t="shared" si="436"/>
        <v>72968.933166672534</v>
      </c>
      <c r="CO230" s="157">
        <f t="shared" si="436"/>
        <v>75859.48010288681</v>
      </c>
      <c r="CP230" s="157">
        <f t="shared" si="436"/>
        <v>77927.306629899089</v>
      </c>
      <c r="CQ230" s="157">
        <f t="shared" si="436"/>
        <v>79911.147370123566</v>
      </c>
      <c r="CR230" s="157">
        <f t="shared" si="436"/>
        <v>81474.635608321361</v>
      </c>
      <c r="CS230" s="157">
        <f t="shared" si="436"/>
        <v>83584.084681220906</v>
      </c>
      <c r="CT230" s="157">
        <f t="shared" si="436"/>
        <v>86063.864555874869</v>
      </c>
      <c r="CU230" s="157">
        <f t="shared" si="436"/>
        <v>88079.070381845726</v>
      </c>
      <c r="CV230" s="157">
        <f t="shared" ref="CV230:DS230" si="437">MAX(CV228-CV229,0)+MAX(CV227-CV226,0)</f>
        <v>90022.480361669965</v>
      </c>
      <c r="CW230" s="157">
        <f t="shared" si="437"/>
        <v>91889.546306236953</v>
      </c>
      <c r="CX230" s="157">
        <f t="shared" si="437"/>
        <v>94791.379127747263</v>
      </c>
      <c r="CY230" s="157">
        <f t="shared" si="437"/>
        <v>97388.4425291019</v>
      </c>
      <c r="CZ230" s="157">
        <f t="shared" si="437"/>
        <v>100059.53196979749</v>
      </c>
      <c r="DA230" s="157">
        <f t="shared" si="437"/>
        <v>102912.6827872241</v>
      </c>
      <c r="DB230" s="157">
        <f t="shared" si="437"/>
        <v>101179.6827872241</v>
      </c>
      <c r="DC230" s="157">
        <f t="shared" si="437"/>
        <v>99238.682787224097</v>
      </c>
      <c r="DD230" s="157">
        <f t="shared" si="437"/>
        <v>97298.682787224097</v>
      </c>
      <c r="DE230" s="157">
        <f t="shared" si="437"/>
        <v>95397.682787224097</v>
      </c>
      <c r="DF230" s="157">
        <f t="shared" si="437"/>
        <v>93885.682787224097</v>
      </c>
      <c r="DG230" s="157">
        <f t="shared" si="437"/>
        <v>92157.682787224097</v>
      </c>
      <c r="DH230" s="157">
        <f t="shared" si="437"/>
        <v>90745.682787224097</v>
      </c>
      <c r="DI230" s="157">
        <f t="shared" si="437"/>
        <v>89075.682787224097</v>
      </c>
      <c r="DJ230" s="157">
        <f t="shared" si="437"/>
        <v>87747.682787224097</v>
      </c>
      <c r="DK230" s="157">
        <f t="shared" si="437"/>
        <v>86372.682787224097</v>
      </c>
      <c r="DL230" s="157">
        <f t="shared" si="437"/>
        <v>84962.682787224097</v>
      </c>
      <c r="DM230" s="157">
        <f t="shared" si="437"/>
        <v>83875.682787224097</v>
      </c>
      <c r="DN230" s="157">
        <f t="shared" si="437"/>
        <v>82099.682787224097</v>
      </c>
      <c r="DO230" s="157">
        <f t="shared" si="437"/>
        <v>80110.682787224097</v>
      </c>
      <c r="DP230" s="157">
        <f t="shared" si="437"/>
        <v>78122.682787224097</v>
      </c>
      <c r="DQ230" s="157">
        <f t="shared" si="437"/>
        <v>76174.682787224097</v>
      </c>
      <c r="DR230" s="157">
        <f t="shared" si="437"/>
        <v>74624.682787224097</v>
      </c>
      <c r="DS230" s="157">
        <f t="shared" si="437"/>
        <v>72853.682787224097</v>
      </c>
    </row>
    <row r="231" spans="1:123" ht="12.75" customHeight="1" x14ac:dyDescent="0.35">
      <c r="A231" s="146" t="s">
        <v>520</v>
      </c>
      <c r="B231" s="169">
        <f>AA231</f>
        <v>0</v>
      </c>
      <c r="C231" s="169" t="s">
        <v>169</v>
      </c>
      <c r="D231" s="139">
        <f>0</f>
        <v>0</v>
      </c>
      <c r="E231" s="139">
        <f>0</f>
        <v>0</v>
      </c>
      <c r="F231" s="139">
        <f>0</f>
        <v>0</v>
      </c>
      <c r="G231" s="139">
        <f>0</f>
        <v>0</v>
      </c>
      <c r="H231" s="139">
        <f>0</f>
        <v>0</v>
      </c>
      <c r="I231" s="139">
        <f>0</f>
        <v>0</v>
      </c>
      <c r="J231" s="139">
        <f>0</f>
        <v>0</v>
      </c>
      <c r="K231" s="139">
        <f>0</f>
        <v>0</v>
      </c>
      <c r="L231" s="139">
        <f>0</f>
        <v>0</v>
      </c>
      <c r="M231" s="139">
        <f>0</f>
        <v>0</v>
      </c>
      <c r="N231" s="139">
        <f>0</f>
        <v>0</v>
      </c>
      <c r="O231" s="139">
        <f>0</f>
        <v>0</v>
      </c>
      <c r="P231" s="139">
        <f>0</f>
        <v>0</v>
      </c>
      <c r="Q231" s="139">
        <f>0</f>
        <v>0</v>
      </c>
      <c r="R231" s="139">
        <f>0</f>
        <v>0</v>
      </c>
      <c r="S231" s="139">
        <f>0</f>
        <v>0</v>
      </c>
      <c r="T231" s="139">
        <f>0</f>
        <v>0</v>
      </c>
      <c r="U231" s="139">
        <f>0</f>
        <v>0</v>
      </c>
      <c r="V231" s="139">
        <f>0</f>
        <v>0</v>
      </c>
      <c r="W231" s="139">
        <f>0</f>
        <v>0</v>
      </c>
      <c r="X231" s="139">
        <f>0</f>
        <v>0</v>
      </c>
      <c r="Y231" s="139">
        <f>0</f>
        <v>0</v>
      </c>
      <c r="Z231" s="139">
        <f>0</f>
        <v>0</v>
      </c>
      <c r="AA231" s="139">
        <f>0</f>
        <v>0</v>
      </c>
      <c r="AB231" s="139">
        <f>0</f>
        <v>0</v>
      </c>
      <c r="AC231" s="139">
        <f>0</f>
        <v>0</v>
      </c>
      <c r="AD231" s="139">
        <f>0</f>
        <v>0</v>
      </c>
      <c r="AE231" s="139">
        <f>0</f>
        <v>0</v>
      </c>
      <c r="AF231" s="139">
        <f>0</f>
        <v>0</v>
      </c>
      <c r="AG231" s="139">
        <f>0</f>
        <v>0</v>
      </c>
      <c r="AH231" s="139">
        <f>0</f>
        <v>0</v>
      </c>
      <c r="AI231" s="139">
        <f>0</f>
        <v>0</v>
      </c>
      <c r="AJ231" s="139">
        <f>0</f>
        <v>0</v>
      </c>
      <c r="AK231" s="139">
        <f>0</f>
        <v>0</v>
      </c>
      <c r="AL231" s="139">
        <f>0</f>
        <v>0</v>
      </c>
      <c r="AM231" s="139">
        <f>0</f>
        <v>0</v>
      </c>
      <c r="AN231" s="139">
        <f>0</f>
        <v>0</v>
      </c>
      <c r="AO231" s="139">
        <f>0</f>
        <v>0</v>
      </c>
      <c r="AP231" s="139">
        <f>0</f>
        <v>0</v>
      </c>
      <c r="AQ231" s="139">
        <f>0</f>
        <v>0</v>
      </c>
      <c r="AR231" s="139">
        <f>0</f>
        <v>0</v>
      </c>
      <c r="AS231" s="139">
        <f>0</f>
        <v>0</v>
      </c>
      <c r="AT231" s="139">
        <f>0</f>
        <v>0</v>
      </c>
      <c r="AU231" s="139">
        <f>0</f>
        <v>0</v>
      </c>
      <c r="AV231" s="139">
        <f>0</f>
        <v>0</v>
      </c>
      <c r="AW231" s="139">
        <f>0</f>
        <v>0</v>
      </c>
      <c r="AX231" s="139">
        <f>0</f>
        <v>0</v>
      </c>
      <c r="AY231" s="139">
        <f>0</f>
        <v>0</v>
      </c>
      <c r="AZ231" s="139">
        <f>0</f>
        <v>0</v>
      </c>
      <c r="BA231" s="139">
        <f>0</f>
        <v>0</v>
      </c>
      <c r="BB231" s="139">
        <f>0</f>
        <v>0</v>
      </c>
      <c r="BC231" s="139">
        <f>0</f>
        <v>0</v>
      </c>
      <c r="BD231" s="139">
        <f>0</f>
        <v>0</v>
      </c>
      <c r="BE231" s="139">
        <f>0</f>
        <v>0</v>
      </c>
      <c r="BF231" s="139">
        <f>0</f>
        <v>0</v>
      </c>
      <c r="BG231" s="139">
        <f>0</f>
        <v>0</v>
      </c>
      <c r="BH231" s="139">
        <f>0</f>
        <v>0</v>
      </c>
      <c r="BI231" s="139">
        <f>0</f>
        <v>0</v>
      </c>
      <c r="BJ231" s="139">
        <f>0</f>
        <v>0</v>
      </c>
      <c r="BK231" s="139">
        <f>0</f>
        <v>0</v>
      </c>
      <c r="BL231" s="139">
        <f>0</f>
        <v>0</v>
      </c>
      <c r="BM231" s="139">
        <f>0</f>
        <v>0</v>
      </c>
      <c r="BN231" s="139">
        <f>0</f>
        <v>0</v>
      </c>
      <c r="BO231" s="139">
        <f>0</f>
        <v>0</v>
      </c>
      <c r="BP231" s="139">
        <f>0</f>
        <v>0</v>
      </c>
      <c r="BQ231" s="139">
        <f>0</f>
        <v>0</v>
      </c>
      <c r="BR231" s="139">
        <f>0</f>
        <v>0</v>
      </c>
      <c r="BS231" s="139">
        <f>0</f>
        <v>0</v>
      </c>
      <c r="BT231" s="139">
        <f>0</f>
        <v>0</v>
      </c>
      <c r="BU231" s="139">
        <f>0</f>
        <v>0</v>
      </c>
      <c r="BV231" s="139">
        <f>0</f>
        <v>0</v>
      </c>
      <c r="BW231" s="139">
        <f>0</f>
        <v>0</v>
      </c>
      <c r="BX231" s="139">
        <f>0</f>
        <v>0</v>
      </c>
      <c r="BY231" s="139">
        <f>0</f>
        <v>0</v>
      </c>
      <c r="BZ231" s="139">
        <f>0</f>
        <v>0</v>
      </c>
      <c r="CA231" s="139">
        <f>0</f>
        <v>0</v>
      </c>
      <c r="CB231" s="139">
        <f>0</f>
        <v>0</v>
      </c>
      <c r="CC231" s="139">
        <f>0</f>
        <v>0</v>
      </c>
      <c r="CD231" s="139">
        <f>0</f>
        <v>0</v>
      </c>
      <c r="CE231" s="139">
        <f>0</f>
        <v>0</v>
      </c>
      <c r="CF231" s="139">
        <f>0</f>
        <v>0</v>
      </c>
      <c r="CG231" s="139">
        <f>0</f>
        <v>0</v>
      </c>
      <c r="CH231" s="139">
        <f>0</f>
        <v>0</v>
      </c>
      <c r="CI231" s="139">
        <f>0</f>
        <v>0</v>
      </c>
      <c r="CJ231" s="139">
        <f>0</f>
        <v>0</v>
      </c>
      <c r="CK231" s="139">
        <f>0</f>
        <v>0</v>
      </c>
      <c r="CL231" s="139">
        <f>0</f>
        <v>0</v>
      </c>
      <c r="CM231" s="139">
        <f>0</f>
        <v>0</v>
      </c>
      <c r="CN231" s="139">
        <f>0</f>
        <v>0</v>
      </c>
      <c r="CO231" s="139">
        <f>0</f>
        <v>0</v>
      </c>
      <c r="CP231" s="139">
        <f>0</f>
        <v>0</v>
      </c>
      <c r="CQ231" s="139">
        <f>0</f>
        <v>0</v>
      </c>
      <c r="CR231" s="139">
        <f>0</f>
        <v>0</v>
      </c>
      <c r="CS231" s="139">
        <f>0</f>
        <v>0</v>
      </c>
      <c r="CT231" s="139">
        <f>0</f>
        <v>0</v>
      </c>
      <c r="CU231" s="139">
        <f>0</f>
        <v>0</v>
      </c>
      <c r="CV231" s="139">
        <f>0</f>
        <v>0</v>
      </c>
      <c r="CW231" s="139">
        <f>0</f>
        <v>0</v>
      </c>
      <c r="CX231" s="139">
        <f>0</f>
        <v>0</v>
      </c>
      <c r="CY231" s="139">
        <f>0</f>
        <v>0</v>
      </c>
      <c r="CZ231" s="139">
        <f>0</f>
        <v>0</v>
      </c>
      <c r="DA231" s="139">
        <f>0</f>
        <v>0</v>
      </c>
      <c r="DB231" s="139">
        <f>0</f>
        <v>0</v>
      </c>
      <c r="DC231" s="139">
        <f>0</f>
        <v>0</v>
      </c>
      <c r="DD231" s="139">
        <f>0</f>
        <v>0</v>
      </c>
      <c r="DE231" s="139">
        <f>0</f>
        <v>0</v>
      </c>
      <c r="DF231" s="139">
        <f>0</f>
        <v>0</v>
      </c>
      <c r="DG231" s="139">
        <f>0</f>
        <v>0</v>
      </c>
      <c r="DH231" s="139">
        <f>0</f>
        <v>0</v>
      </c>
      <c r="DI231" s="139">
        <f>0</f>
        <v>0</v>
      </c>
      <c r="DJ231" s="139">
        <f>0</f>
        <v>0</v>
      </c>
      <c r="DK231" s="139">
        <f>0</f>
        <v>0</v>
      </c>
      <c r="DL231" s="139">
        <f>0</f>
        <v>0</v>
      </c>
      <c r="DM231" s="139">
        <f>0</f>
        <v>0</v>
      </c>
      <c r="DN231" s="139">
        <f>0</f>
        <v>0</v>
      </c>
      <c r="DO231" s="139">
        <f>0</f>
        <v>0</v>
      </c>
      <c r="DP231" s="139">
        <f>0</f>
        <v>0</v>
      </c>
      <c r="DQ231" s="139">
        <f>0</f>
        <v>0</v>
      </c>
      <c r="DR231" s="139">
        <f>0</f>
        <v>0</v>
      </c>
      <c r="DS231" s="139">
        <f>0</f>
        <v>0</v>
      </c>
    </row>
    <row r="232" spans="1:123" ht="12.75" customHeight="1" x14ac:dyDescent="0.35">
      <c r="A232" s="146" t="s">
        <v>521</v>
      </c>
      <c r="B232" s="169">
        <f>SUM(D232:BQ232)</f>
        <v>0</v>
      </c>
      <c r="C232" s="169">
        <f>B232/60</f>
        <v>0</v>
      </c>
      <c r="D232" s="139">
        <f>0</f>
        <v>0</v>
      </c>
      <c r="E232" s="139">
        <f>0</f>
        <v>0</v>
      </c>
      <c r="F232" s="139">
        <f>0</f>
        <v>0</v>
      </c>
      <c r="G232" s="139">
        <f>0</f>
        <v>0</v>
      </c>
      <c r="H232" s="139">
        <f>0</f>
        <v>0</v>
      </c>
      <c r="I232" s="139">
        <f>0</f>
        <v>0</v>
      </c>
      <c r="J232" s="139">
        <f>0</f>
        <v>0</v>
      </c>
      <c r="K232" s="139">
        <f>0</f>
        <v>0</v>
      </c>
      <c r="L232" s="139">
        <f>0</f>
        <v>0</v>
      </c>
      <c r="M232" s="139">
        <f>0</f>
        <v>0</v>
      </c>
      <c r="N232" s="139">
        <f>0</f>
        <v>0</v>
      </c>
      <c r="O232" s="139">
        <f>0</f>
        <v>0</v>
      </c>
      <c r="P232" s="139">
        <f>0</f>
        <v>0</v>
      </c>
      <c r="Q232" s="139">
        <f>0</f>
        <v>0</v>
      </c>
      <c r="R232" s="139">
        <f>0</f>
        <v>0</v>
      </c>
      <c r="S232" s="139">
        <f>0</f>
        <v>0</v>
      </c>
      <c r="T232" s="139">
        <f>0</f>
        <v>0</v>
      </c>
      <c r="U232" s="139">
        <f>0</f>
        <v>0</v>
      </c>
      <c r="V232" s="139">
        <f>0</f>
        <v>0</v>
      </c>
      <c r="W232" s="139">
        <f>0</f>
        <v>0</v>
      </c>
      <c r="X232" s="139">
        <f>0</f>
        <v>0</v>
      </c>
      <c r="Y232" s="139">
        <f>0</f>
        <v>0</v>
      </c>
      <c r="Z232" s="139">
        <f>0</f>
        <v>0</v>
      </c>
      <c r="AA232" s="139">
        <f>0</f>
        <v>0</v>
      </c>
      <c r="AB232" s="139">
        <f>0</f>
        <v>0</v>
      </c>
      <c r="AC232" s="139">
        <f>0</f>
        <v>0</v>
      </c>
      <c r="AD232" s="139">
        <f>0</f>
        <v>0</v>
      </c>
      <c r="AE232" s="139">
        <f>0</f>
        <v>0</v>
      </c>
      <c r="AF232" s="139">
        <f>0</f>
        <v>0</v>
      </c>
      <c r="AG232" s="139">
        <f>0</f>
        <v>0</v>
      </c>
      <c r="AH232" s="139">
        <f>0</f>
        <v>0</v>
      </c>
      <c r="AI232" s="139">
        <f>0</f>
        <v>0</v>
      </c>
      <c r="AJ232" s="139">
        <f>0</f>
        <v>0</v>
      </c>
      <c r="AK232" s="139">
        <f>0</f>
        <v>0</v>
      </c>
      <c r="AL232" s="139">
        <f>0</f>
        <v>0</v>
      </c>
      <c r="AM232" s="139">
        <f>0</f>
        <v>0</v>
      </c>
      <c r="AN232" s="139">
        <f>0</f>
        <v>0</v>
      </c>
      <c r="AO232" s="139">
        <f>0</f>
        <v>0</v>
      </c>
      <c r="AP232" s="139">
        <f>0</f>
        <v>0</v>
      </c>
      <c r="AQ232" s="139">
        <f>0</f>
        <v>0</v>
      </c>
      <c r="AR232" s="139">
        <f>0</f>
        <v>0</v>
      </c>
      <c r="AS232" s="139">
        <f>0</f>
        <v>0</v>
      </c>
      <c r="AT232" s="139">
        <f>0</f>
        <v>0</v>
      </c>
      <c r="AU232" s="139">
        <f>0</f>
        <v>0</v>
      </c>
      <c r="AV232" s="139">
        <f>0</f>
        <v>0</v>
      </c>
      <c r="AW232" s="139">
        <f>0</f>
        <v>0</v>
      </c>
      <c r="AX232" s="139">
        <f>0</f>
        <v>0</v>
      </c>
      <c r="AY232" s="139">
        <f>0</f>
        <v>0</v>
      </c>
      <c r="AZ232" s="139">
        <f>0</f>
        <v>0</v>
      </c>
      <c r="BA232" s="139">
        <f>0</f>
        <v>0</v>
      </c>
      <c r="BB232" s="139">
        <f>0</f>
        <v>0</v>
      </c>
      <c r="BC232" s="139">
        <f>0</f>
        <v>0</v>
      </c>
      <c r="BD232" s="139">
        <f>0</f>
        <v>0</v>
      </c>
      <c r="BE232" s="139">
        <f>0</f>
        <v>0</v>
      </c>
      <c r="BF232" s="139">
        <f>0</f>
        <v>0</v>
      </c>
      <c r="BG232" s="139">
        <f>0</f>
        <v>0</v>
      </c>
      <c r="BH232" s="139">
        <f>0</f>
        <v>0</v>
      </c>
      <c r="BI232" s="139">
        <f>0</f>
        <v>0</v>
      </c>
      <c r="BJ232" s="139">
        <f>0</f>
        <v>0</v>
      </c>
      <c r="BK232" s="139">
        <f>0</f>
        <v>0</v>
      </c>
      <c r="BL232" s="139">
        <f>0</f>
        <v>0</v>
      </c>
      <c r="BM232" s="139">
        <f>0</f>
        <v>0</v>
      </c>
      <c r="BN232" s="139">
        <f>0</f>
        <v>0</v>
      </c>
      <c r="BO232" s="139">
        <f>0</f>
        <v>0</v>
      </c>
      <c r="BP232" s="139">
        <f>0</f>
        <v>0</v>
      </c>
      <c r="BQ232" s="139">
        <f>0</f>
        <v>0</v>
      </c>
      <c r="BR232" s="139">
        <f>0</f>
        <v>0</v>
      </c>
      <c r="BS232" s="139">
        <f>0</f>
        <v>0</v>
      </c>
      <c r="BT232" s="139">
        <f>0</f>
        <v>0</v>
      </c>
      <c r="BU232" s="139">
        <f>0</f>
        <v>0</v>
      </c>
      <c r="BV232" s="139">
        <f>0</f>
        <v>0</v>
      </c>
      <c r="BW232" s="139">
        <f>0</f>
        <v>0</v>
      </c>
      <c r="BX232" s="139">
        <f>0</f>
        <v>0</v>
      </c>
      <c r="BY232" s="139">
        <f>0</f>
        <v>0</v>
      </c>
      <c r="BZ232" s="139">
        <f>0</f>
        <v>0</v>
      </c>
      <c r="CA232" s="139">
        <f>0</f>
        <v>0</v>
      </c>
      <c r="CB232" s="139">
        <f>0</f>
        <v>0</v>
      </c>
      <c r="CC232" s="139">
        <f>0</f>
        <v>0</v>
      </c>
      <c r="CD232" s="139">
        <f>0</f>
        <v>0</v>
      </c>
      <c r="CE232" s="139">
        <f>0</f>
        <v>0</v>
      </c>
      <c r="CF232" s="139">
        <f>0</f>
        <v>0</v>
      </c>
      <c r="CG232" s="139">
        <f>0</f>
        <v>0</v>
      </c>
      <c r="CH232" s="139">
        <f>0</f>
        <v>0</v>
      </c>
      <c r="CI232" s="139">
        <f>0</f>
        <v>0</v>
      </c>
      <c r="CJ232" s="139">
        <f>0</f>
        <v>0</v>
      </c>
      <c r="CK232" s="139">
        <f>0</f>
        <v>0</v>
      </c>
      <c r="CL232" s="139">
        <f>0</f>
        <v>0</v>
      </c>
      <c r="CM232" s="139">
        <f>0</f>
        <v>0</v>
      </c>
      <c r="CN232" s="139">
        <f>0</f>
        <v>0</v>
      </c>
      <c r="CO232" s="139">
        <f>0</f>
        <v>0</v>
      </c>
      <c r="CP232" s="139">
        <f>0</f>
        <v>0</v>
      </c>
      <c r="CQ232" s="139">
        <f>0</f>
        <v>0</v>
      </c>
      <c r="CR232" s="139">
        <f>0</f>
        <v>0</v>
      </c>
      <c r="CS232" s="139">
        <f>0</f>
        <v>0</v>
      </c>
      <c r="CT232" s="139">
        <f>0</f>
        <v>0</v>
      </c>
      <c r="CU232" s="139">
        <f>0</f>
        <v>0</v>
      </c>
      <c r="CV232" s="139">
        <f>0</f>
        <v>0</v>
      </c>
      <c r="CW232" s="139">
        <f>0</f>
        <v>0</v>
      </c>
      <c r="CX232" s="139">
        <f>0</f>
        <v>0</v>
      </c>
      <c r="CY232" s="139">
        <f>0</f>
        <v>0</v>
      </c>
      <c r="CZ232" s="139">
        <f>0</f>
        <v>0</v>
      </c>
      <c r="DA232" s="139">
        <f>0</f>
        <v>0</v>
      </c>
      <c r="DB232" s="139">
        <f>0</f>
        <v>0</v>
      </c>
      <c r="DC232" s="139">
        <f>0</f>
        <v>0</v>
      </c>
      <c r="DD232" s="139">
        <f>0</f>
        <v>0</v>
      </c>
      <c r="DE232" s="139">
        <f>0</f>
        <v>0</v>
      </c>
      <c r="DF232" s="139">
        <f>0</f>
        <v>0</v>
      </c>
      <c r="DG232" s="139">
        <f>0</f>
        <v>0</v>
      </c>
      <c r="DH232" s="139">
        <f>0</f>
        <v>0</v>
      </c>
      <c r="DI232" s="139">
        <f>0</f>
        <v>0</v>
      </c>
      <c r="DJ232" s="139">
        <f>0</f>
        <v>0</v>
      </c>
      <c r="DK232" s="139">
        <f>0</f>
        <v>0</v>
      </c>
      <c r="DL232" s="139">
        <f>0</f>
        <v>0</v>
      </c>
      <c r="DM232" s="139">
        <f>0</f>
        <v>0</v>
      </c>
      <c r="DN232" s="139">
        <f>0</f>
        <v>0</v>
      </c>
      <c r="DO232" s="139">
        <f>0</f>
        <v>0</v>
      </c>
      <c r="DP232" s="139">
        <f>0</f>
        <v>0</v>
      </c>
      <c r="DQ232" s="139">
        <f>0</f>
        <v>0</v>
      </c>
      <c r="DR232" s="139">
        <f>0</f>
        <v>0</v>
      </c>
      <c r="DS232" s="139">
        <f>0</f>
        <v>0</v>
      </c>
    </row>
    <row r="233" spans="1:123" ht="12.75" customHeight="1" x14ac:dyDescent="0.35">
      <c r="A233" s="146" t="s">
        <v>522</v>
      </c>
      <c r="B233" s="169">
        <f>AA233</f>
        <v>0</v>
      </c>
      <c r="C233" s="169" t="s">
        <v>169</v>
      </c>
      <c r="D233" s="139">
        <f>0</f>
        <v>0</v>
      </c>
      <c r="E233" s="139">
        <f>0</f>
        <v>0</v>
      </c>
      <c r="F233" s="139">
        <f>0</f>
        <v>0</v>
      </c>
      <c r="G233" s="139">
        <f>0</f>
        <v>0</v>
      </c>
      <c r="H233" s="139">
        <f>0</f>
        <v>0</v>
      </c>
      <c r="I233" s="139">
        <f>0</f>
        <v>0</v>
      </c>
      <c r="J233" s="139">
        <f>0</f>
        <v>0</v>
      </c>
      <c r="K233" s="139">
        <f>0</f>
        <v>0</v>
      </c>
      <c r="L233" s="139">
        <f>0</f>
        <v>0</v>
      </c>
      <c r="M233" s="139">
        <f>0</f>
        <v>0</v>
      </c>
      <c r="N233" s="139">
        <f>0</f>
        <v>0</v>
      </c>
      <c r="O233" s="139">
        <f>0</f>
        <v>0</v>
      </c>
      <c r="P233" s="139">
        <f>0</f>
        <v>0</v>
      </c>
      <c r="Q233" s="139">
        <f>0</f>
        <v>0</v>
      </c>
      <c r="R233" s="139">
        <f>0</f>
        <v>0</v>
      </c>
      <c r="S233" s="139">
        <f>0</f>
        <v>0</v>
      </c>
      <c r="T233" s="139">
        <f>0</f>
        <v>0</v>
      </c>
      <c r="U233" s="139">
        <f>0</f>
        <v>0</v>
      </c>
      <c r="V233" s="139">
        <f>0</f>
        <v>0</v>
      </c>
      <c r="W233" s="139">
        <f>0</f>
        <v>0</v>
      </c>
      <c r="X233" s="139">
        <f>0</f>
        <v>0</v>
      </c>
      <c r="Y233" s="139">
        <f>0</f>
        <v>0</v>
      </c>
      <c r="Z233" s="139">
        <f>0</f>
        <v>0</v>
      </c>
      <c r="AA233" s="139">
        <f>0</f>
        <v>0</v>
      </c>
      <c r="AB233" s="139">
        <f>0</f>
        <v>0</v>
      </c>
      <c r="AC233" s="139">
        <f>0</f>
        <v>0</v>
      </c>
      <c r="AD233" s="139">
        <f>0</f>
        <v>0</v>
      </c>
      <c r="AE233" s="139">
        <f>0</f>
        <v>0</v>
      </c>
      <c r="AF233" s="139">
        <f>0</f>
        <v>0</v>
      </c>
      <c r="AG233" s="139">
        <f>0</f>
        <v>0</v>
      </c>
      <c r="AH233" s="139">
        <f>0</f>
        <v>0</v>
      </c>
      <c r="AI233" s="139">
        <f>0</f>
        <v>0</v>
      </c>
      <c r="AJ233" s="139">
        <f>0</f>
        <v>0</v>
      </c>
      <c r="AK233" s="139">
        <f>0</f>
        <v>0</v>
      </c>
      <c r="AL233" s="139">
        <f>0</f>
        <v>0</v>
      </c>
      <c r="AM233" s="139">
        <f>0</f>
        <v>0</v>
      </c>
      <c r="AN233" s="139">
        <f>0</f>
        <v>0</v>
      </c>
      <c r="AO233" s="139">
        <f>0</f>
        <v>0</v>
      </c>
      <c r="AP233" s="139">
        <f>0</f>
        <v>0</v>
      </c>
      <c r="AQ233" s="139">
        <f>0</f>
        <v>0</v>
      </c>
      <c r="AR233" s="139">
        <f>0</f>
        <v>0</v>
      </c>
      <c r="AS233" s="139">
        <f>0</f>
        <v>0</v>
      </c>
      <c r="AT233" s="139">
        <f>0</f>
        <v>0</v>
      </c>
      <c r="AU233" s="139">
        <f>0</f>
        <v>0</v>
      </c>
      <c r="AV233" s="139">
        <f>0</f>
        <v>0</v>
      </c>
      <c r="AW233" s="139">
        <f>0</f>
        <v>0</v>
      </c>
      <c r="AX233" s="139">
        <f>0</f>
        <v>0</v>
      </c>
      <c r="AY233" s="139">
        <f>0</f>
        <v>0</v>
      </c>
      <c r="AZ233" s="139">
        <f>0</f>
        <v>0</v>
      </c>
      <c r="BA233" s="139">
        <f>0</f>
        <v>0</v>
      </c>
      <c r="BB233" s="139">
        <f>0</f>
        <v>0</v>
      </c>
      <c r="BC233" s="139">
        <f>0</f>
        <v>0</v>
      </c>
      <c r="BD233" s="139">
        <f>0</f>
        <v>0</v>
      </c>
      <c r="BE233" s="139">
        <f>0</f>
        <v>0</v>
      </c>
      <c r="BF233" s="139">
        <f>0</f>
        <v>0</v>
      </c>
      <c r="BG233" s="139">
        <f>0</f>
        <v>0</v>
      </c>
      <c r="BH233" s="139">
        <f>0</f>
        <v>0</v>
      </c>
      <c r="BI233" s="139">
        <f>0</f>
        <v>0</v>
      </c>
      <c r="BJ233" s="139">
        <f>0</f>
        <v>0</v>
      </c>
      <c r="BK233" s="139">
        <f>0</f>
        <v>0</v>
      </c>
      <c r="BL233" s="139">
        <f>0</f>
        <v>0</v>
      </c>
      <c r="BM233" s="139">
        <f>0</f>
        <v>0</v>
      </c>
      <c r="BN233" s="139">
        <f>0</f>
        <v>0</v>
      </c>
      <c r="BO233" s="139">
        <f>0</f>
        <v>0</v>
      </c>
      <c r="BP233" s="139">
        <f>0</f>
        <v>0</v>
      </c>
      <c r="BQ233" s="139">
        <f>0</f>
        <v>0</v>
      </c>
      <c r="BR233" s="139">
        <f>0</f>
        <v>0</v>
      </c>
      <c r="BS233" s="139">
        <f>0</f>
        <v>0</v>
      </c>
      <c r="BT233" s="139">
        <f>0</f>
        <v>0</v>
      </c>
      <c r="BU233" s="139">
        <f>0</f>
        <v>0</v>
      </c>
      <c r="BV233" s="139">
        <f>0</f>
        <v>0</v>
      </c>
      <c r="BW233" s="139">
        <f>0</f>
        <v>0</v>
      </c>
      <c r="BX233" s="139">
        <f>0</f>
        <v>0</v>
      </c>
      <c r="BY233" s="139">
        <f>0</f>
        <v>0</v>
      </c>
      <c r="BZ233" s="139">
        <f>0</f>
        <v>0</v>
      </c>
      <c r="CA233" s="139">
        <f>0</f>
        <v>0</v>
      </c>
      <c r="CB233" s="139">
        <f>0</f>
        <v>0</v>
      </c>
      <c r="CC233" s="139">
        <f>0</f>
        <v>0</v>
      </c>
      <c r="CD233" s="139">
        <f>0</f>
        <v>0</v>
      </c>
      <c r="CE233" s="139">
        <f>0</f>
        <v>0</v>
      </c>
      <c r="CF233" s="139">
        <f>0</f>
        <v>0</v>
      </c>
      <c r="CG233" s="139">
        <f>0</f>
        <v>0</v>
      </c>
      <c r="CH233" s="139">
        <f>0</f>
        <v>0</v>
      </c>
      <c r="CI233" s="139">
        <f>0</f>
        <v>0</v>
      </c>
      <c r="CJ233" s="139">
        <f>0</f>
        <v>0</v>
      </c>
      <c r="CK233" s="139">
        <f>0</f>
        <v>0</v>
      </c>
      <c r="CL233" s="139">
        <f>0</f>
        <v>0</v>
      </c>
      <c r="CM233" s="139">
        <f>0</f>
        <v>0</v>
      </c>
      <c r="CN233" s="139">
        <f>0</f>
        <v>0</v>
      </c>
      <c r="CO233" s="139">
        <f>0</f>
        <v>0</v>
      </c>
      <c r="CP233" s="139">
        <f>0</f>
        <v>0</v>
      </c>
      <c r="CQ233" s="139">
        <f>0</f>
        <v>0</v>
      </c>
      <c r="CR233" s="139">
        <f>0</f>
        <v>0</v>
      </c>
      <c r="CS233" s="139">
        <f>0</f>
        <v>0</v>
      </c>
      <c r="CT233" s="139">
        <f>0</f>
        <v>0</v>
      </c>
      <c r="CU233" s="139">
        <f>0</f>
        <v>0</v>
      </c>
      <c r="CV233" s="139">
        <f>0</f>
        <v>0</v>
      </c>
      <c r="CW233" s="139">
        <f>0</f>
        <v>0</v>
      </c>
      <c r="CX233" s="139">
        <f>0</f>
        <v>0</v>
      </c>
      <c r="CY233" s="139">
        <f>0</f>
        <v>0</v>
      </c>
      <c r="CZ233" s="139">
        <f>0</f>
        <v>0</v>
      </c>
      <c r="DA233" s="139">
        <f>0</f>
        <v>0</v>
      </c>
      <c r="DB233" s="139">
        <f>0</f>
        <v>0</v>
      </c>
      <c r="DC233" s="139">
        <f>0</f>
        <v>0</v>
      </c>
      <c r="DD233" s="139">
        <f>0</f>
        <v>0</v>
      </c>
      <c r="DE233" s="139">
        <f>0</f>
        <v>0</v>
      </c>
      <c r="DF233" s="139">
        <f>0</f>
        <v>0</v>
      </c>
      <c r="DG233" s="139">
        <f>0</f>
        <v>0</v>
      </c>
      <c r="DH233" s="139">
        <f>0</f>
        <v>0</v>
      </c>
      <c r="DI233" s="139">
        <f>0</f>
        <v>0</v>
      </c>
      <c r="DJ233" s="139">
        <f>0</f>
        <v>0</v>
      </c>
      <c r="DK233" s="139">
        <f>0</f>
        <v>0</v>
      </c>
      <c r="DL233" s="139">
        <f>0</f>
        <v>0</v>
      </c>
      <c r="DM233" s="139">
        <f>0</f>
        <v>0</v>
      </c>
      <c r="DN233" s="139">
        <f>0</f>
        <v>0</v>
      </c>
      <c r="DO233" s="139">
        <f>0</f>
        <v>0</v>
      </c>
      <c r="DP233" s="139">
        <f>0</f>
        <v>0</v>
      </c>
      <c r="DQ233" s="139">
        <f>0</f>
        <v>0</v>
      </c>
      <c r="DR233" s="139">
        <f>0</f>
        <v>0</v>
      </c>
      <c r="DS233" s="139">
        <f>0</f>
        <v>0</v>
      </c>
    </row>
    <row r="234" spans="1:123" ht="12.75" customHeight="1" x14ac:dyDescent="0.35">
      <c r="A234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34" s="162">
        <f>SUM(D234:BQ234)</f>
        <v>81966.103275870279</v>
      </c>
      <c r="C234" s="176">
        <f>B234/60</f>
        <v>1366.1017212645047</v>
      </c>
      <c r="D234" s="162">
        <f>D226*Premissas!$F$19</f>
        <v>1046.7302298313025</v>
      </c>
      <c r="E234" s="162">
        <f>E226*Premissas!$F$19</f>
        <v>1237.3813592258634</v>
      </c>
      <c r="F234" s="162">
        <f>F226*Premissas!$F$19</f>
        <v>983.79684731270959</v>
      </c>
      <c r="G234" s="162">
        <f>G226*Premissas!$F$19</f>
        <v>1018.9655022495704</v>
      </c>
      <c r="H234" s="162">
        <f>H226*Premissas!$F$19</f>
        <v>1044.8792479925203</v>
      </c>
      <c r="I234" s="162">
        <f>I226*Premissas!$F$19</f>
        <v>805.17709987023272</v>
      </c>
      <c r="J234" s="162">
        <f>J226*Premissas!$F$19</f>
        <v>1316.0480873741044</v>
      </c>
      <c r="K234" s="162">
        <f>K226*Premissas!$F$19</f>
        <v>1474.3070345899778</v>
      </c>
      <c r="L234" s="162">
        <f>L226*Premissas!$F$19</f>
        <v>1473.3815436705868</v>
      </c>
      <c r="M234" s="162">
        <f>M226*Premissas!$F$19</f>
        <v>1443.7658342500724</v>
      </c>
      <c r="N234" s="162">
        <f>N226*Premissas!$F$19</f>
        <v>1148.5342309643204</v>
      </c>
      <c r="O234" s="162">
        <f>O226*Premissas!$F$19</f>
        <v>1312.3461236965402</v>
      </c>
      <c r="P234" s="162">
        <f>P226*Premissas!$F$19</f>
        <v>1072.6439755742526</v>
      </c>
      <c r="Q234" s="162">
        <f>Q226*Premissas!$F$19</f>
        <v>1267.9225595657688</v>
      </c>
      <c r="R234" s="162">
        <f>R226*Premissas!$F$19</f>
        <v>1008.7851021362686</v>
      </c>
      <c r="S234" s="162">
        <f>S226*Premissas!$F$19</f>
        <v>1044.8792479925203</v>
      </c>
      <c r="T234" s="162">
        <f>T226*Premissas!$F$19</f>
        <v>1070.7929937354704</v>
      </c>
      <c r="U234" s="162">
        <f>U226*Premissas!$F$19</f>
        <v>825.53790009683632</v>
      </c>
      <c r="V234" s="162">
        <f>V226*Premissas!$F$19</f>
        <v>1349.3657604721832</v>
      </c>
      <c r="W234" s="162">
        <f>W226*Premissas!$F$19</f>
        <v>1474.3070345899778</v>
      </c>
      <c r="X234" s="162">
        <f>X226*Premissas!$F$19</f>
        <v>1473.3815436705868</v>
      </c>
      <c r="Y234" s="162">
        <f>Y226*Premissas!$F$19</f>
        <v>1443.7658342500724</v>
      </c>
      <c r="Z234" s="162">
        <f>Z226*Premissas!$F$19</f>
        <v>1148.5342309643204</v>
      </c>
      <c r="AA234" s="162">
        <f>AA226*Premissas!$F$19</f>
        <v>1312.3461236965402</v>
      </c>
      <c r="AB234" s="162">
        <f>AB226*Premissas!$F$19</f>
        <v>1099.4832122365935</v>
      </c>
      <c r="AC234" s="162">
        <f>AC226*Premissas!$F$19</f>
        <v>1300.3147417444563</v>
      </c>
      <c r="AD234" s="162">
        <f>AD226*Premissas!$F$19</f>
        <v>1033.7733569598274</v>
      </c>
      <c r="AE234" s="162">
        <f>AE226*Premissas!$F$19</f>
        <v>1070.7929937354704</v>
      </c>
      <c r="AF234" s="162">
        <f>AF226*Premissas!$F$19</f>
        <v>1097.6322303978116</v>
      </c>
      <c r="AG234" s="162">
        <f>AG226*Premissas!$F$19</f>
        <v>845.89870032343993</v>
      </c>
      <c r="AH234" s="162">
        <f>AH226*Premissas!$F$19</f>
        <v>1382.6834335702617</v>
      </c>
      <c r="AI234" s="162">
        <f>AI226*Premissas!$F$19</f>
        <v>1549.2717990606548</v>
      </c>
      <c r="AJ234" s="162">
        <f>AJ226*Premissas!$F$19</f>
        <v>1548.3463081412635</v>
      </c>
      <c r="AK234" s="162">
        <f>AK226*Premissas!$F$19</f>
        <v>1516.8796168819672</v>
      </c>
      <c r="AL234" s="162">
        <f>AL226*Premissas!$F$19</f>
        <v>1206.8401588859581</v>
      </c>
      <c r="AM234" s="162">
        <f>AM226*Premissas!$F$19</f>
        <v>1378.9814698926973</v>
      </c>
      <c r="AN234" s="162">
        <f>AN226*Premissas!$F$19</f>
        <v>1127.2479398183259</v>
      </c>
      <c r="AO234" s="162">
        <f>AO226*Premissas!$F$19</f>
        <v>1332.7069239231439</v>
      </c>
      <c r="AP234" s="162">
        <f>AP226*Premissas!$F$19</f>
        <v>1059.6871027027776</v>
      </c>
      <c r="AQ234" s="162">
        <f>AQ226*Premissas!$F$19</f>
        <v>1097.6322303978116</v>
      </c>
      <c r="AR234" s="162">
        <f>AR226*Premissas!$F$19</f>
        <v>1125.3969579795437</v>
      </c>
      <c r="AS234" s="162">
        <f>AS226*Premissas!$F$19</f>
        <v>867.18499146943452</v>
      </c>
      <c r="AT234" s="162">
        <f>AT226*Premissas!$F$19</f>
        <v>1416.9265975877313</v>
      </c>
      <c r="AU234" s="162">
        <f>AU226*Premissas!$F$19</f>
        <v>1587.2169267556885</v>
      </c>
      <c r="AV234" s="162">
        <f>AV226*Premissas!$F$19</f>
        <v>1586.2914358362975</v>
      </c>
      <c r="AW234" s="162">
        <f>AW226*Premissas!$F$19</f>
        <v>1554.8247445770012</v>
      </c>
      <c r="AX234" s="162">
        <f>AX226*Premissas!$F$19</f>
        <v>1236.4558683064722</v>
      </c>
      <c r="AY234" s="162">
        <f>AY226*Premissas!$F$19</f>
        <v>1413.2246339101671</v>
      </c>
      <c r="AZ234" s="162">
        <f>AZ226*Premissas!$F$19</f>
        <v>1155.012667400058</v>
      </c>
      <c r="BA234" s="162">
        <f>BA226*Premissas!$F$19</f>
        <v>1366.0245970212225</v>
      </c>
      <c r="BB234" s="162">
        <f>BB226*Premissas!$F$19</f>
        <v>1085.6008484457275</v>
      </c>
      <c r="BC234" s="162">
        <f>BC226*Premissas!$F$19</f>
        <v>1124.4714670601527</v>
      </c>
      <c r="BD234" s="162">
        <f>BD226*Premissas!$F$19</f>
        <v>1153.1616855612758</v>
      </c>
      <c r="BE234" s="162">
        <f>BE226*Premissas!$F$19</f>
        <v>888.47128261542923</v>
      </c>
      <c r="BF234" s="162">
        <f>BF226*Premissas!$F$19</f>
        <v>1453.0207434439831</v>
      </c>
      <c r="BG234" s="162">
        <f>BG226*Premissas!$F$19</f>
        <v>1627.0130362895047</v>
      </c>
      <c r="BH234" s="162">
        <f>BH226*Premissas!$F$19</f>
        <v>1626.0875453701137</v>
      </c>
      <c r="BI234" s="162">
        <f>BI226*Premissas!$F$19</f>
        <v>1593.6953631914262</v>
      </c>
      <c r="BJ234" s="162">
        <f>BJ226*Premissas!$F$19</f>
        <v>1267.9225595657688</v>
      </c>
      <c r="BK234" s="162">
        <f>BK226*Premissas!$F$19</f>
        <v>1448.3932888470279</v>
      </c>
      <c r="BL234" s="162">
        <f>BL226*Premissas!$F$19</f>
        <v>1184.6283768205722</v>
      </c>
      <c r="BM234" s="162">
        <f>BM226*Premissas!$F$19</f>
        <v>1400.267761038692</v>
      </c>
      <c r="BN234" s="162">
        <f>BN226*Premissas!$F$19</f>
        <v>1113.3655760274596</v>
      </c>
      <c r="BO234" s="162">
        <f>BO226*Premissas!$F$19</f>
        <v>1153.1616855612758</v>
      </c>
      <c r="BP234" s="162">
        <f>BP226*Premissas!$F$19</f>
        <v>1181.8519040623989</v>
      </c>
      <c r="BQ234" s="162">
        <f>BQ226*Premissas!$F$19</f>
        <v>910.68306468081494</v>
      </c>
      <c r="BR234" s="162">
        <f>BR226*Premissas!$F$19</f>
        <v>1489.1148893002351</v>
      </c>
      <c r="BS234" s="162">
        <f>BS226*Premissas!$F$19</f>
        <v>1667.7346367427119</v>
      </c>
      <c r="BT234" s="162">
        <f>BT226*Premissas!$F$19</f>
        <v>1666.8091458233209</v>
      </c>
      <c r="BU234" s="162">
        <f>BU226*Premissas!$F$19</f>
        <v>1633.4914727252421</v>
      </c>
      <c r="BV234" s="162">
        <f>BV226*Premissas!$F$19</f>
        <v>1299.3892508250651</v>
      </c>
      <c r="BW234" s="162">
        <f>BW226*Premissas!$F$19</f>
        <v>1484.4874347032796</v>
      </c>
      <c r="BX234" s="162">
        <f>BX226*Premissas!$F$19</f>
        <v>1214.2440862410865</v>
      </c>
      <c r="BY234" s="162">
        <f>BY226*Premissas!$F$19</f>
        <v>1435.4364159755528</v>
      </c>
      <c r="BZ234" s="162">
        <f>BZ226*Premissas!$F$19</f>
        <v>1141.130303609192</v>
      </c>
      <c r="CA234" s="162">
        <f>CA226*Premissas!$F$19</f>
        <v>1181.8519040623989</v>
      </c>
      <c r="CB234" s="162">
        <f>CB226*Premissas!$F$19</f>
        <v>1211.4676134829133</v>
      </c>
      <c r="CC234" s="162">
        <f>CC226*Premissas!$F$19</f>
        <v>933.82033766559175</v>
      </c>
      <c r="CD234" s="162">
        <f>CD226*Premissas!$F$19</f>
        <v>1526.1345260758778</v>
      </c>
      <c r="CE234" s="162">
        <f>CE226*Premissas!$F$19</f>
        <v>1709.3817281153101</v>
      </c>
      <c r="CF234" s="162">
        <f>CF226*Premissas!$F$19</f>
        <v>1708.4562371959191</v>
      </c>
      <c r="CG234" s="162">
        <f>CG226*Premissas!$F$19</f>
        <v>1674.2130731784493</v>
      </c>
      <c r="CH234" s="162">
        <f>CH226*Premissas!$F$19</f>
        <v>1331.7814330037527</v>
      </c>
      <c r="CI234" s="162">
        <f>CI226*Premissas!$F$19</f>
        <v>1521.5070714789224</v>
      </c>
      <c r="CJ234" s="162">
        <f>CJ226*Premissas!$F$19</f>
        <v>1243.8597956616009</v>
      </c>
      <c r="CK234" s="162">
        <f>CK226*Premissas!$F$19</f>
        <v>1470.6050709124136</v>
      </c>
      <c r="CL234" s="162">
        <f>CL226*Premissas!$F$19</f>
        <v>1169.8205221103151</v>
      </c>
      <c r="CM234" s="162">
        <f>CM226*Premissas!$F$19</f>
        <v>1211.4676134829133</v>
      </c>
      <c r="CN234" s="162">
        <f>CN226*Premissas!$F$19</f>
        <v>1242.0088138228186</v>
      </c>
      <c r="CO234" s="162">
        <f>CO226*Premissas!$F$19</f>
        <v>956.95761065036857</v>
      </c>
      <c r="CP234" s="162">
        <f>CP226*Premissas!$F$19</f>
        <v>1564.0796537709118</v>
      </c>
      <c r="CQ234" s="162">
        <f>CQ226*Premissas!$F$19</f>
        <v>1752.8798013266905</v>
      </c>
      <c r="CR234" s="162">
        <f>CR226*Premissas!$F$19</f>
        <v>1751.0288194879083</v>
      </c>
      <c r="CS234" s="162">
        <f>CS226*Premissas!$F$19</f>
        <v>1715.8601645510475</v>
      </c>
      <c r="CT234" s="162">
        <f>CT226*Premissas!$F$19</f>
        <v>1365.0991061018312</v>
      </c>
      <c r="CU234" s="162">
        <f>CU226*Premissas!$F$19</f>
        <v>1560.3776900933476</v>
      </c>
      <c r="CV234" s="162">
        <f>CV226*Premissas!$F$19</f>
        <v>1275.3264869208974</v>
      </c>
      <c r="CW234" s="162">
        <f>CW226*Premissas!$F$19</f>
        <v>1507.6247076880563</v>
      </c>
      <c r="CX234" s="162">
        <f>CX226*Premissas!$F$19</f>
        <v>1198.5107406114385</v>
      </c>
      <c r="CY234" s="162">
        <f>CY226*Premissas!$F$19</f>
        <v>1241.0833229034276</v>
      </c>
      <c r="CZ234" s="162">
        <f>CZ226*Premissas!$F$19</f>
        <v>1273.4755050821152</v>
      </c>
      <c r="DA234" s="162">
        <f>DA226*Premissas!$F$19</f>
        <v>981.02037455453637</v>
      </c>
      <c r="DB234" s="162">
        <f>DB226*Premissas!$F$19</f>
        <v>1603.875763304728</v>
      </c>
      <c r="DC234" s="162">
        <f>DC226*Premissas!$F$19</f>
        <v>1796.377874538071</v>
      </c>
      <c r="DD234" s="162">
        <f>DD226*Premissas!$F$19</f>
        <v>1795.45238361868</v>
      </c>
      <c r="DE234" s="162">
        <f>DE226*Premissas!$F$19</f>
        <v>1759.358237762428</v>
      </c>
      <c r="DF234" s="162">
        <f>DF226*Premissas!$F$19</f>
        <v>1399.342270119301</v>
      </c>
      <c r="DG234" s="162">
        <f>DG226*Premissas!$F$19</f>
        <v>1599.2483087077726</v>
      </c>
      <c r="DH234" s="162">
        <f>DH226*Premissas!$F$19</f>
        <v>1306.7931781801938</v>
      </c>
      <c r="DI234" s="162">
        <f>DI226*Premissas!$F$19</f>
        <v>1545.5698353830903</v>
      </c>
      <c r="DJ234" s="162">
        <f>DJ226*Premissas!$F$19</f>
        <v>1229.0519409513438</v>
      </c>
      <c r="DK234" s="162">
        <f>DK226*Premissas!$F$19</f>
        <v>1272.5500141627242</v>
      </c>
      <c r="DL234" s="162">
        <f>DL226*Premissas!$F$19</f>
        <v>1304.9421963414115</v>
      </c>
      <c r="DM234" s="162">
        <f>DM226*Premissas!$F$19</f>
        <v>1006.0086293780954</v>
      </c>
      <c r="DN234" s="162">
        <f>DN226*Premissas!$F$19</f>
        <v>1643.671872838544</v>
      </c>
      <c r="DO234" s="162">
        <f>DO226*Premissas!$F$19</f>
        <v>1840.8014386688424</v>
      </c>
      <c r="DP234" s="162">
        <f>DP226*Premissas!$F$19</f>
        <v>1839.8759477494514</v>
      </c>
      <c r="DQ234" s="162">
        <f>DQ226*Premissas!$F$19</f>
        <v>1802.8563109738084</v>
      </c>
      <c r="DR234" s="162">
        <f>DR226*Premissas!$F$19</f>
        <v>1434.5109250561618</v>
      </c>
      <c r="DS234" s="162">
        <f>DS226*Premissas!$F$19</f>
        <v>1639.0444182415886</v>
      </c>
    </row>
    <row r="235" spans="1:123" ht="12.75" customHeight="1" x14ac:dyDescent="0.35">
      <c r="A235" s="163" t="s">
        <v>498</v>
      </c>
      <c r="B235" s="164">
        <f>SUM(D235:BQ235)</f>
        <v>352.55419710553645</v>
      </c>
      <c r="C235" s="176">
        <f>B235/60</f>
        <v>5.8759032850922743</v>
      </c>
      <c r="D235" s="164">
        <f>IF(D230&gt;0,0,MAX(D226-D227-D228,0)*Premissas!$B$7)</f>
        <v>89.176834401576016</v>
      </c>
      <c r="E235" s="164">
        <f>IF(E230&gt;0,0,MAX(E226-E227-E228,0)*Premissas!$B$7)</f>
        <v>263.37736270396044</v>
      </c>
      <c r="F235" s="164">
        <f>IF(F230&gt;0,0,MAX(F226-F227-F228,0)*Premissas!$B$7)</f>
        <v>0</v>
      </c>
      <c r="G235" s="164">
        <f>IF(G230&gt;0,0,MAX(G226-G227-G228,0)*Premissas!$B$7)</f>
        <v>0</v>
      </c>
      <c r="H235" s="164">
        <f>IF(H230&gt;0,0,MAX(H226-H227-H228,0)*Premissas!$B$7)</f>
        <v>0</v>
      </c>
      <c r="I235" s="164">
        <f>IF(I230&gt;0,0,MAX(I226-I227-I228,0)*Premissas!$B$7)</f>
        <v>0</v>
      </c>
      <c r="J235" s="164">
        <f>IF(J230&gt;0,0,MAX(J226-J227-J228,0)*Premissas!$B$7)</f>
        <v>0</v>
      </c>
      <c r="K235" s="164">
        <f>IF(K230&gt;0,0,MAX(K226-K227-K228,0)*Premissas!$B$7)</f>
        <v>0</v>
      </c>
      <c r="L235" s="164">
        <f>IF(L230&gt;0,0,MAX(L226-L227-L228,0)*Premissas!$B$7)</f>
        <v>0</v>
      </c>
      <c r="M235" s="164">
        <f>IF(M230&gt;0,0,MAX(M226-M227-M228,0)*Premissas!$B$7)</f>
        <v>0</v>
      </c>
      <c r="N235" s="164">
        <f>IF(N230&gt;0,0,MAX(N226-N227-N228,0)*Premissas!$B$7)</f>
        <v>0</v>
      </c>
      <c r="O235" s="164">
        <f>IF(O230&gt;0,0,MAX(O226-O227-O228,0)*Premissas!$B$7)</f>
        <v>0</v>
      </c>
      <c r="P235" s="164">
        <f>IF(P230&gt;0,0,MAX(P226-P227-P228,0)*Premissas!$B$7)</f>
        <v>0</v>
      </c>
      <c r="Q235" s="164">
        <f>IF(Q230&gt;0,0,MAX(Q226-Q227-Q228,0)*Premissas!$B$7)</f>
        <v>0</v>
      </c>
      <c r="R235" s="164">
        <f>IF(R230&gt;0,0,MAX(R226-R227-R228,0)*Premissas!$B$7)</f>
        <v>0</v>
      </c>
      <c r="S235" s="164">
        <f>IF(S230&gt;0,0,MAX(S226-S227-S228,0)*Premissas!$B$7)</f>
        <v>0</v>
      </c>
      <c r="T235" s="164">
        <f>IF(T230&gt;0,0,MAX(T226-T227-T228,0)*Premissas!$B$7)</f>
        <v>0</v>
      </c>
      <c r="U235" s="164">
        <f>IF(U230&gt;0,0,MAX(U226-U227-U228,0)*Premissas!$B$7)</f>
        <v>0</v>
      </c>
      <c r="V235" s="164">
        <f>IF(V230&gt;0,0,MAX(V226-V227-V228,0)*Premissas!$B$7)</f>
        <v>0</v>
      </c>
      <c r="W235" s="164">
        <f>IF(W230&gt;0,0,MAX(W226-W227-W228,0)*Premissas!$B$7)</f>
        <v>0</v>
      </c>
      <c r="X235" s="164">
        <f>IF(X230&gt;0,0,MAX(X226-X227-X228,0)*Premissas!$B$7)</f>
        <v>0</v>
      </c>
      <c r="Y235" s="164">
        <f>IF(Y230&gt;0,0,MAX(Y226-Y227-Y228,0)*Premissas!$B$7)</f>
        <v>0</v>
      </c>
      <c r="Z235" s="164">
        <f>IF(Z230&gt;0,0,MAX(Z226-Z227-Z228,0)*Premissas!$B$7)</f>
        <v>0</v>
      </c>
      <c r="AA235" s="164">
        <f>IF(AA230&gt;0,0,MAX(AA226-AA227-AA228,0)*Premissas!$B$7)</f>
        <v>0</v>
      </c>
      <c r="AB235" s="164">
        <f>IF(AB230&gt;0,0,MAX(AB226-AB227-AB228,0)*Premissas!$B$7)</f>
        <v>0</v>
      </c>
      <c r="AC235" s="164">
        <f>IF(AC230&gt;0,0,MAX(AC226-AC227-AC228,0)*Premissas!$B$7)</f>
        <v>0</v>
      </c>
      <c r="AD235" s="164">
        <f>IF(AD230&gt;0,0,MAX(AD226-AD227-AD228,0)*Premissas!$B$7)</f>
        <v>0</v>
      </c>
      <c r="AE235" s="164">
        <f>IF(AE230&gt;0,0,MAX(AE226-AE227-AE228,0)*Premissas!$B$7)</f>
        <v>0</v>
      </c>
      <c r="AF235" s="164">
        <f>IF(AF230&gt;0,0,MAX(AF226-AF227-AF228,0)*Premissas!$B$7)</f>
        <v>0</v>
      </c>
      <c r="AG235" s="164">
        <f>IF(AG230&gt;0,0,MAX(AG226-AG227-AG228,0)*Premissas!$B$7)</f>
        <v>0</v>
      </c>
      <c r="AH235" s="164">
        <f>IF(AH230&gt;0,0,MAX(AH226-AH227-AH228,0)*Premissas!$B$7)</f>
        <v>0</v>
      </c>
      <c r="AI235" s="164">
        <f>IF(AI230&gt;0,0,MAX(AI226-AI227-AI228,0)*Premissas!$B$7)</f>
        <v>0</v>
      </c>
      <c r="AJ235" s="164">
        <f>IF(AJ230&gt;0,0,MAX(AJ226-AJ227-AJ228,0)*Premissas!$B$7)</f>
        <v>0</v>
      </c>
      <c r="AK235" s="164">
        <f>IF(AK230&gt;0,0,MAX(AK226-AK227-AK228,0)*Premissas!$B$7)</f>
        <v>0</v>
      </c>
      <c r="AL235" s="164">
        <f>IF(AL230&gt;0,0,MAX(AL226-AL227-AL228,0)*Premissas!$B$7)</f>
        <v>0</v>
      </c>
      <c r="AM235" s="164">
        <f>IF(AM230&gt;0,0,MAX(AM226-AM227-AM228,0)*Premissas!$B$7)</f>
        <v>0</v>
      </c>
      <c r="AN235" s="164">
        <f>IF(AN230&gt;0,0,MAX(AN226-AN227-AN228,0)*Premissas!$B$7)</f>
        <v>0</v>
      </c>
      <c r="AO235" s="164">
        <f>IF(AO230&gt;0,0,MAX(AO226-AO227-AO228,0)*Premissas!$B$7)</f>
        <v>0</v>
      </c>
      <c r="AP235" s="164">
        <f>IF(AP230&gt;0,0,MAX(AP226-AP227-AP228,0)*Premissas!$B$7)</f>
        <v>0</v>
      </c>
      <c r="AQ235" s="164">
        <f>IF(AQ230&gt;0,0,MAX(AQ226-AQ227-AQ228,0)*Premissas!$B$7)</f>
        <v>0</v>
      </c>
      <c r="AR235" s="164">
        <f>IF(AR230&gt;0,0,MAX(AR226-AR227-AR228,0)*Premissas!$B$7)</f>
        <v>0</v>
      </c>
      <c r="AS235" s="164">
        <f>IF(AS230&gt;0,0,MAX(AS226-AS227-AS228,0)*Premissas!$B$7)</f>
        <v>0</v>
      </c>
      <c r="AT235" s="164">
        <f>IF(AT230&gt;0,0,MAX(AT226-AT227-AT228,0)*Premissas!$B$7)</f>
        <v>0</v>
      </c>
      <c r="AU235" s="164">
        <f>IF(AU230&gt;0,0,MAX(AU226-AU227-AU228,0)*Premissas!$B$7)</f>
        <v>0</v>
      </c>
      <c r="AV235" s="164">
        <f>IF(AV230&gt;0,0,MAX(AV226-AV227-AV228,0)*Premissas!$B$7)</f>
        <v>0</v>
      </c>
      <c r="AW235" s="164">
        <f>IF(AW230&gt;0,0,MAX(AW226-AW227-AW228,0)*Premissas!$B$7)</f>
        <v>0</v>
      </c>
      <c r="AX235" s="164">
        <f>IF(AX230&gt;0,0,MAX(AX226-AX227-AX228,0)*Premissas!$B$7)</f>
        <v>0</v>
      </c>
      <c r="AY235" s="164">
        <f>IF(AY230&gt;0,0,MAX(AY226-AY227-AY228,0)*Premissas!$B$7)</f>
        <v>0</v>
      </c>
      <c r="AZ235" s="164">
        <f>IF(AZ230&gt;0,0,MAX(AZ226-AZ227-AZ228,0)*Premissas!$B$7)</f>
        <v>0</v>
      </c>
      <c r="BA235" s="164">
        <f>IF(BA230&gt;0,0,MAX(BA226-BA227-BA228,0)*Premissas!$B$7)</f>
        <v>0</v>
      </c>
      <c r="BB235" s="164">
        <f>IF(BB230&gt;0,0,MAX(BB226-BB227-BB228,0)*Premissas!$B$7)</f>
        <v>0</v>
      </c>
      <c r="BC235" s="164">
        <f>IF(BC230&gt;0,0,MAX(BC226-BC227-BC228,0)*Premissas!$B$7)</f>
        <v>0</v>
      </c>
      <c r="BD235" s="164">
        <f>IF(BD230&gt;0,0,MAX(BD226-BD227-BD228,0)*Premissas!$B$7)</f>
        <v>0</v>
      </c>
      <c r="BE235" s="164">
        <f>IF(BE230&gt;0,0,MAX(BE226-BE227-BE228,0)*Premissas!$B$7)</f>
        <v>0</v>
      </c>
      <c r="BF235" s="164">
        <f>IF(BF230&gt;0,0,MAX(BF226-BF227-BF228,0)*Premissas!$B$7)</f>
        <v>0</v>
      </c>
      <c r="BG235" s="164">
        <f>IF(BG230&gt;0,0,MAX(BG226-BG227-BG228,0)*Premissas!$B$7)</f>
        <v>0</v>
      </c>
      <c r="BH235" s="164">
        <f>IF(BH230&gt;0,0,MAX(BH226-BH227-BH228,0)*Premissas!$B$7)</f>
        <v>0</v>
      </c>
      <c r="BI235" s="164">
        <f>IF(BI230&gt;0,0,MAX(BI226-BI227-BI228,0)*Premissas!$B$7)</f>
        <v>0</v>
      </c>
      <c r="BJ235" s="164">
        <f>IF(BJ230&gt;0,0,MAX(BJ226-BJ227-BJ228,0)*Premissas!$B$7)</f>
        <v>0</v>
      </c>
      <c r="BK235" s="164">
        <f>IF(BK230&gt;0,0,MAX(BK226-BK227-BK228,0)*Premissas!$B$7)</f>
        <v>0</v>
      </c>
      <c r="BL235" s="164">
        <f>IF(BL230&gt;0,0,MAX(BL226-BL227-BL228,0)*Premissas!$B$7)</f>
        <v>0</v>
      </c>
      <c r="BM235" s="164">
        <f>IF(BM230&gt;0,0,MAX(BM226-BM227-BM228,0)*Premissas!$B$7)</f>
        <v>0</v>
      </c>
      <c r="BN235" s="164">
        <f>IF(BN230&gt;0,0,MAX(BN226-BN227-BN228,0)*Premissas!$B$7)</f>
        <v>0</v>
      </c>
      <c r="BO235" s="164">
        <f>IF(BO230&gt;0,0,MAX(BO226-BO227-BO228,0)*Premissas!$B$7)</f>
        <v>0</v>
      </c>
      <c r="BP235" s="164">
        <f>IF(BP230&gt;0,0,MAX(BP226-BP227-BP228,0)*Premissas!$B$7)</f>
        <v>0</v>
      </c>
      <c r="BQ235" s="164">
        <f>IF(BQ230&gt;0,0,MAX(BQ226-BQ227-BQ228,0)*Premissas!$B$7)</f>
        <v>0</v>
      </c>
      <c r="BR235" s="164">
        <f>IF(BR230&gt;0,0,MAX(BR226-BR227-BR228,0)*Premissas!$B$7)</f>
        <v>0</v>
      </c>
      <c r="BS235" s="164">
        <f>IF(BS230&gt;0,0,MAX(BS226-BS227-BS228,0)*Premissas!$B$7)</f>
        <v>0</v>
      </c>
      <c r="BT235" s="164">
        <f>IF(BT230&gt;0,0,MAX(BT226-BT227-BT228,0)*Premissas!$B$7)</f>
        <v>0</v>
      </c>
      <c r="BU235" s="164">
        <f>IF(BU230&gt;0,0,MAX(BU226-BU227-BU228,0)*Premissas!$B$7)</f>
        <v>0</v>
      </c>
      <c r="BV235" s="164">
        <f>IF(BV230&gt;0,0,MAX(BV226-BV227-BV228,0)*Premissas!$B$7)</f>
        <v>0</v>
      </c>
      <c r="BW235" s="164">
        <f>IF(BW230&gt;0,0,MAX(BW226-BW227-BW228,0)*Premissas!$B$7)</f>
        <v>0</v>
      </c>
      <c r="BX235" s="164">
        <f>IF(BX230&gt;0,0,MAX(BX226-BX227-BX228,0)*Premissas!$B$7)</f>
        <v>0</v>
      </c>
      <c r="BY235" s="164">
        <f>IF(BY230&gt;0,0,MAX(BY226-BY227-BY228,0)*Premissas!$B$7)</f>
        <v>0</v>
      </c>
      <c r="BZ235" s="164">
        <f>IF(BZ230&gt;0,0,MAX(BZ226-BZ227-BZ228,0)*Premissas!$B$7)</f>
        <v>0</v>
      </c>
      <c r="CA235" s="164">
        <f>IF(CA230&gt;0,0,MAX(CA226-CA227-CA228,0)*Premissas!$B$7)</f>
        <v>0</v>
      </c>
      <c r="CB235" s="164">
        <f>IF(CB230&gt;0,0,MAX(CB226-CB227-CB228,0)*Premissas!$B$7)</f>
        <v>0</v>
      </c>
      <c r="CC235" s="164">
        <f>IF(CC230&gt;0,0,MAX(CC226-CC227-CC228,0)*Premissas!$B$7)</f>
        <v>0</v>
      </c>
      <c r="CD235" s="164">
        <f>IF(CD230&gt;0,0,MAX(CD226-CD227-CD228,0)*Premissas!$B$7)</f>
        <v>0</v>
      </c>
      <c r="CE235" s="164">
        <f>IF(CE230&gt;0,0,MAX(CE226-CE227-CE228,0)*Premissas!$B$7)</f>
        <v>0</v>
      </c>
      <c r="CF235" s="164">
        <f>IF(CF230&gt;0,0,MAX(CF226-CF227-CF228,0)*Premissas!$B$7)</f>
        <v>0</v>
      </c>
      <c r="CG235" s="164">
        <f>IF(CG230&gt;0,0,MAX(CG226-CG227-CG228,0)*Premissas!$B$7)</f>
        <v>0</v>
      </c>
      <c r="CH235" s="164">
        <f>IF(CH230&gt;0,0,MAX(CH226-CH227-CH228,0)*Premissas!$B$7)</f>
        <v>0</v>
      </c>
      <c r="CI235" s="164">
        <f>IF(CI230&gt;0,0,MAX(CI226-CI227-CI228,0)*Premissas!$B$7)</f>
        <v>0</v>
      </c>
      <c r="CJ235" s="164">
        <f>IF(CJ230&gt;0,0,MAX(CJ226-CJ227-CJ228,0)*Premissas!$B$7)</f>
        <v>0</v>
      </c>
      <c r="CK235" s="164">
        <f>IF(CK230&gt;0,0,MAX(CK226-CK227-CK228,0)*Premissas!$B$7)</f>
        <v>0</v>
      </c>
      <c r="CL235" s="164">
        <f>IF(CL230&gt;0,0,MAX(CL226-CL227-CL228,0)*Premissas!$B$7)</f>
        <v>0</v>
      </c>
      <c r="CM235" s="164">
        <f>IF(CM230&gt;0,0,MAX(CM226-CM227-CM228,0)*Premissas!$B$7)</f>
        <v>0</v>
      </c>
      <c r="CN235" s="164">
        <f>IF(CN230&gt;0,0,MAX(CN226-CN227-CN228,0)*Premissas!$B$7)</f>
        <v>0</v>
      </c>
      <c r="CO235" s="164">
        <f>IF(CO230&gt;0,0,MAX(CO226-CO227-CO228,0)*Premissas!$B$7)</f>
        <v>0</v>
      </c>
      <c r="CP235" s="164">
        <f>IF(CP230&gt;0,0,MAX(CP226-CP227-CP228,0)*Premissas!$B$7)</f>
        <v>0</v>
      </c>
      <c r="CQ235" s="164">
        <f>IF(CQ230&gt;0,0,MAX(CQ226-CQ227-CQ228,0)*Premissas!$B$7)</f>
        <v>0</v>
      </c>
      <c r="CR235" s="164">
        <f>IF(CR230&gt;0,0,MAX(CR226-CR227-CR228,0)*Premissas!$B$7)</f>
        <v>0</v>
      </c>
      <c r="CS235" s="164">
        <f>IF(CS230&gt;0,0,MAX(CS226-CS227-CS228,0)*Premissas!$B$7)</f>
        <v>0</v>
      </c>
      <c r="CT235" s="164">
        <f>IF(CT230&gt;0,0,MAX(CT226-CT227-CT228,0)*Premissas!$B$7)</f>
        <v>0</v>
      </c>
      <c r="CU235" s="164">
        <f>IF(CU230&gt;0,0,MAX(CU226-CU227-CU228,0)*Premissas!$B$7)</f>
        <v>0</v>
      </c>
      <c r="CV235" s="164">
        <f>IF(CV230&gt;0,0,MAX(CV226-CV227-CV228,0)*Premissas!$B$7)</f>
        <v>0</v>
      </c>
      <c r="CW235" s="164">
        <f>IF(CW230&gt;0,0,MAX(CW226-CW227-CW228,0)*Premissas!$B$7)</f>
        <v>0</v>
      </c>
      <c r="CX235" s="164">
        <f>IF(CX230&gt;0,0,MAX(CX226-CX227-CX228,0)*Premissas!$B$7)</f>
        <v>0</v>
      </c>
      <c r="CY235" s="164">
        <f>IF(CY230&gt;0,0,MAX(CY226-CY227-CY228,0)*Premissas!$B$7)</f>
        <v>0</v>
      </c>
      <c r="CZ235" s="164">
        <f>IF(CZ230&gt;0,0,MAX(CZ226-CZ227-CZ228,0)*Premissas!$B$7)</f>
        <v>0</v>
      </c>
      <c r="DA235" s="164">
        <f>IF(DA230&gt;0,0,MAX(DA226-DA227-DA228,0)*Premissas!$B$7)</f>
        <v>0</v>
      </c>
      <c r="DB235" s="164">
        <f>IF(DB230&gt;0,0,MAX(DB226-DB227-DB228,0)*Premissas!$B$7)</f>
        <v>0</v>
      </c>
      <c r="DC235" s="164">
        <f>IF(DC230&gt;0,0,MAX(DC226-DC227-DC228,0)*Premissas!$B$7)</f>
        <v>0</v>
      </c>
      <c r="DD235" s="164">
        <f>IF(DD230&gt;0,0,MAX(DD226-DD227-DD228,0)*Premissas!$B$7)</f>
        <v>0</v>
      </c>
      <c r="DE235" s="164">
        <f>IF(DE230&gt;0,0,MAX(DE226-DE227-DE228,0)*Premissas!$B$7)</f>
        <v>0</v>
      </c>
      <c r="DF235" s="164">
        <f>IF(DF230&gt;0,0,MAX(DF226-DF227-DF228,0)*Premissas!$B$7)</f>
        <v>0</v>
      </c>
      <c r="DG235" s="164">
        <f>IF(DG230&gt;0,0,MAX(DG226-DG227-DG228,0)*Premissas!$B$7)</f>
        <v>0</v>
      </c>
      <c r="DH235" s="164">
        <f>IF(DH230&gt;0,0,MAX(DH226-DH227-DH228,0)*Premissas!$B$7)</f>
        <v>0</v>
      </c>
      <c r="DI235" s="164">
        <f>IF(DI230&gt;0,0,MAX(DI226-DI227-DI228,0)*Premissas!$B$7)</f>
        <v>0</v>
      </c>
      <c r="DJ235" s="164">
        <f>IF(DJ230&gt;0,0,MAX(DJ226-DJ227-DJ228,0)*Premissas!$B$7)</f>
        <v>0</v>
      </c>
      <c r="DK235" s="164">
        <f>IF(DK230&gt;0,0,MAX(DK226-DK227-DK228,0)*Premissas!$B$7)</f>
        <v>0</v>
      </c>
      <c r="DL235" s="164">
        <f>IF(DL230&gt;0,0,MAX(DL226-DL227-DL228,0)*Premissas!$B$7)</f>
        <v>0</v>
      </c>
      <c r="DM235" s="164">
        <f>IF(DM230&gt;0,0,MAX(DM226-DM227-DM228,0)*Premissas!$B$7)</f>
        <v>0</v>
      </c>
      <c r="DN235" s="164">
        <f>IF(DN230&gt;0,0,MAX(DN226-DN227-DN228,0)*Premissas!$B$7)</f>
        <v>0</v>
      </c>
      <c r="DO235" s="164">
        <f>IF(DO230&gt;0,0,MAX(DO226-DO227-DO228,0)*Premissas!$B$7)</f>
        <v>0</v>
      </c>
      <c r="DP235" s="164">
        <f>IF(DP230&gt;0,0,MAX(DP226-DP227-DP228,0)*Premissas!$B$7)</f>
        <v>0</v>
      </c>
      <c r="DQ235" s="164">
        <f>IF(DQ230&gt;0,0,MAX(DQ226-DQ227-DQ228,0)*Premissas!$B$7)</f>
        <v>0</v>
      </c>
      <c r="DR235" s="164">
        <f>IF(DR230&gt;0,0,MAX(DR226-DR227-DR228,0)*Premissas!$B$7)</f>
        <v>0</v>
      </c>
      <c r="DS235" s="164">
        <f>IF(DS230&gt;0,0,MAX(DS226-DS227-DS228,0)*Premissas!$B$7)</f>
        <v>0</v>
      </c>
    </row>
    <row r="236" spans="1:123" ht="13.5" customHeight="1" x14ac:dyDescent="0.35">
      <c r="A236" s="173" t="s">
        <v>499</v>
      </c>
      <c r="B236" s="165">
        <f>SUM(D236:BQ236)</f>
        <v>81613.549078764743</v>
      </c>
      <c r="C236" s="176">
        <f>B236/60</f>
        <v>1360.2258179794123</v>
      </c>
      <c r="D236" s="165">
        <f t="shared" ref="D236:AI236" si="438">MAX(D234-D235,0)</f>
        <v>957.55339542972649</v>
      </c>
      <c r="E236" s="165">
        <f t="shared" si="438"/>
        <v>974.00399652190299</v>
      </c>
      <c r="F236" s="165">
        <f t="shared" si="438"/>
        <v>983.79684731270959</v>
      </c>
      <c r="G236" s="165">
        <f t="shared" si="438"/>
        <v>1018.9655022495704</v>
      </c>
      <c r="H236" s="165">
        <f t="shared" si="438"/>
        <v>1044.8792479925203</v>
      </c>
      <c r="I236" s="165">
        <f t="shared" si="438"/>
        <v>805.17709987023272</v>
      </c>
      <c r="J236" s="165">
        <f t="shared" si="438"/>
        <v>1316.0480873741044</v>
      </c>
      <c r="K236" s="165">
        <f t="shared" si="438"/>
        <v>1474.3070345899778</v>
      </c>
      <c r="L236" s="165">
        <f t="shared" si="438"/>
        <v>1473.3815436705868</v>
      </c>
      <c r="M236" s="165">
        <f t="shared" si="438"/>
        <v>1443.7658342500724</v>
      </c>
      <c r="N236" s="165">
        <f t="shared" si="438"/>
        <v>1148.5342309643204</v>
      </c>
      <c r="O236" s="165">
        <f t="shared" si="438"/>
        <v>1312.3461236965402</v>
      </c>
      <c r="P236" s="165">
        <f t="shared" si="438"/>
        <v>1072.6439755742526</v>
      </c>
      <c r="Q236" s="165">
        <f t="shared" si="438"/>
        <v>1267.9225595657688</v>
      </c>
      <c r="R236" s="165">
        <f t="shared" si="438"/>
        <v>1008.7851021362686</v>
      </c>
      <c r="S236" s="165">
        <f t="shared" si="438"/>
        <v>1044.8792479925203</v>
      </c>
      <c r="T236" s="165">
        <f t="shared" si="438"/>
        <v>1070.7929937354704</v>
      </c>
      <c r="U236" s="165">
        <f t="shared" si="438"/>
        <v>825.53790009683632</v>
      </c>
      <c r="V236" s="165">
        <f t="shared" si="438"/>
        <v>1349.3657604721832</v>
      </c>
      <c r="W236" s="165">
        <f t="shared" si="438"/>
        <v>1474.3070345899778</v>
      </c>
      <c r="X236" s="165">
        <f t="shared" si="438"/>
        <v>1473.3815436705868</v>
      </c>
      <c r="Y236" s="165">
        <f t="shared" si="438"/>
        <v>1443.7658342500724</v>
      </c>
      <c r="Z236" s="165">
        <f t="shared" si="438"/>
        <v>1148.5342309643204</v>
      </c>
      <c r="AA236" s="165">
        <f t="shared" si="438"/>
        <v>1312.3461236965402</v>
      </c>
      <c r="AB236" s="165">
        <f t="shared" si="438"/>
        <v>1099.4832122365935</v>
      </c>
      <c r="AC236" s="165">
        <f t="shared" si="438"/>
        <v>1300.3147417444563</v>
      </c>
      <c r="AD236" s="165">
        <f t="shared" si="438"/>
        <v>1033.7733569598274</v>
      </c>
      <c r="AE236" s="165">
        <f t="shared" si="438"/>
        <v>1070.7929937354704</v>
      </c>
      <c r="AF236" s="165">
        <f t="shared" si="438"/>
        <v>1097.6322303978116</v>
      </c>
      <c r="AG236" s="165">
        <f t="shared" si="438"/>
        <v>845.89870032343993</v>
      </c>
      <c r="AH236" s="165">
        <f t="shared" si="438"/>
        <v>1382.6834335702617</v>
      </c>
      <c r="AI236" s="165">
        <f t="shared" si="438"/>
        <v>1549.2717990606548</v>
      </c>
      <c r="AJ236" s="165">
        <f t="shared" ref="AJ236:BO236" si="439">MAX(AJ234-AJ235,0)</f>
        <v>1548.3463081412635</v>
      </c>
      <c r="AK236" s="165">
        <f t="shared" si="439"/>
        <v>1516.8796168819672</v>
      </c>
      <c r="AL236" s="165">
        <f t="shared" si="439"/>
        <v>1206.8401588859581</v>
      </c>
      <c r="AM236" s="165">
        <f t="shared" si="439"/>
        <v>1378.9814698926973</v>
      </c>
      <c r="AN236" s="165">
        <f t="shared" si="439"/>
        <v>1127.2479398183259</v>
      </c>
      <c r="AO236" s="165">
        <f t="shared" si="439"/>
        <v>1332.7069239231439</v>
      </c>
      <c r="AP236" s="165">
        <f t="shared" si="439"/>
        <v>1059.6871027027776</v>
      </c>
      <c r="AQ236" s="165">
        <f t="shared" si="439"/>
        <v>1097.6322303978116</v>
      </c>
      <c r="AR236" s="165">
        <f t="shared" si="439"/>
        <v>1125.3969579795437</v>
      </c>
      <c r="AS236" s="165">
        <f t="shared" si="439"/>
        <v>867.18499146943452</v>
      </c>
      <c r="AT236" s="165">
        <f t="shared" si="439"/>
        <v>1416.9265975877313</v>
      </c>
      <c r="AU236" s="165">
        <f t="shared" si="439"/>
        <v>1587.2169267556885</v>
      </c>
      <c r="AV236" s="165">
        <f t="shared" si="439"/>
        <v>1586.2914358362975</v>
      </c>
      <c r="AW236" s="165">
        <f t="shared" si="439"/>
        <v>1554.8247445770012</v>
      </c>
      <c r="AX236" s="165">
        <f t="shared" si="439"/>
        <v>1236.4558683064722</v>
      </c>
      <c r="AY236" s="165">
        <f t="shared" si="439"/>
        <v>1413.2246339101671</v>
      </c>
      <c r="AZ236" s="165">
        <f t="shared" si="439"/>
        <v>1155.012667400058</v>
      </c>
      <c r="BA236" s="165">
        <f t="shared" si="439"/>
        <v>1366.0245970212225</v>
      </c>
      <c r="BB236" s="165">
        <f t="shared" si="439"/>
        <v>1085.6008484457275</v>
      </c>
      <c r="BC236" s="165">
        <f t="shared" si="439"/>
        <v>1124.4714670601527</v>
      </c>
      <c r="BD236" s="165">
        <f t="shared" si="439"/>
        <v>1153.1616855612758</v>
      </c>
      <c r="BE236" s="165">
        <f t="shared" si="439"/>
        <v>888.47128261542923</v>
      </c>
      <c r="BF236" s="165">
        <f t="shared" si="439"/>
        <v>1453.0207434439831</v>
      </c>
      <c r="BG236" s="165">
        <f t="shared" si="439"/>
        <v>1627.0130362895047</v>
      </c>
      <c r="BH236" s="165">
        <f t="shared" si="439"/>
        <v>1626.0875453701137</v>
      </c>
      <c r="BI236" s="165">
        <f t="shared" si="439"/>
        <v>1593.6953631914262</v>
      </c>
      <c r="BJ236" s="165">
        <f t="shared" si="439"/>
        <v>1267.9225595657688</v>
      </c>
      <c r="BK236" s="165">
        <f t="shared" si="439"/>
        <v>1448.3932888470279</v>
      </c>
      <c r="BL236" s="165">
        <f t="shared" si="439"/>
        <v>1184.6283768205722</v>
      </c>
      <c r="BM236" s="165">
        <f t="shared" si="439"/>
        <v>1400.267761038692</v>
      </c>
      <c r="BN236" s="165">
        <f t="shared" si="439"/>
        <v>1113.3655760274596</v>
      </c>
      <c r="BO236" s="165">
        <f t="shared" si="439"/>
        <v>1153.1616855612758</v>
      </c>
      <c r="BP236" s="165">
        <f t="shared" ref="BP236:CU236" si="440">MAX(BP234-BP235,0)</f>
        <v>1181.8519040623989</v>
      </c>
      <c r="BQ236" s="165">
        <f t="shared" si="440"/>
        <v>910.68306468081494</v>
      </c>
      <c r="BR236" s="165">
        <f t="shared" si="440"/>
        <v>1489.1148893002351</v>
      </c>
      <c r="BS236" s="165">
        <f t="shared" si="440"/>
        <v>1667.7346367427119</v>
      </c>
      <c r="BT236" s="165">
        <f t="shared" si="440"/>
        <v>1666.8091458233209</v>
      </c>
      <c r="BU236" s="165">
        <f t="shared" si="440"/>
        <v>1633.4914727252421</v>
      </c>
      <c r="BV236" s="165">
        <f t="shared" si="440"/>
        <v>1299.3892508250651</v>
      </c>
      <c r="BW236" s="165">
        <f t="shared" si="440"/>
        <v>1484.4874347032796</v>
      </c>
      <c r="BX236" s="165">
        <f t="shared" si="440"/>
        <v>1214.2440862410865</v>
      </c>
      <c r="BY236" s="165">
        <f t="shared" si="440"/>
        <v>1435.4364159755528</v>
      </c>
      <c r="BZ236" s="165">
        <f t="shared" si="440"/>
        <v>1141.130303609192</v>
      </c>
      <c r="CA236" s="165">
        <f t="shared" si="440"/>
        <v>1181.8519040623989</v>
      </c>
      <c r="CB236" s="165">
        <f t="shared" si="440"/>
        <v>1211.4676134829133</v>
      </c>
      <c r="CC236" s="165">
        <f t="shared" si="440"/>
        <v>933.82033766559175</v>
      </c>
      <c r="CD236" s="165">
        <f t="shared" si="440"/>
        <v>1526.1345260758778</v>
      </c>
      <c r="CE236" s="165">
        <f t="shared" si="440"/>
        <v>1709.3817281153101</v>
      </c>
      <c r="CF236" s="165">
        <f t="shared" si="440"/>
        <v>1708.4562371959191</v>
      </c>
      <c r="CG236" s="165">
        <f t="shared" si="440"/>
        <v>1674.2130731784493</v>
      </c>
      <c r="CH236" s="165">
        <f t="shared" si="440"/>
        <v>1331.7814330037527</v>
      </c>
      <c r="CI236" s="165">
        <f t="shared" si="440"/>
        <v>1521.5070714789224</v>
      </c>
      <c r="CJ236" s="165">
        <f t="shared" si="440"/>
        <v>1243.8597956616009</v>
      </c>
      <c r="CK236" s="165">
        <f t="shared" si="440"/>
        <v>1470.6050709124136</v>
      </c>
      <c r="CL236" s="165">
        <f t="shared" si="440"/>
        <v>1169.8205221103151</v>
      </c>
      <c r="CM236" s="165">
        <f t="shared" si="440"/>
        <v>1211.4676134829133</v>
      </c>
      <c r="CN236" s="165">
        <f t="shared" si="440"/>
        <v>1242.0088138228186</v>
      </c>
      <c r="CO236" s="165">
        <f t="shared" si="440"/>
        <v>956.95761065036857</v>
      </c>
      <c r="CP236" s="165">
        <f t="shared" si="440"/>
        <v>1564.0796537709118</v>
      </c>
      <c r="CQ236" s="165">
        <f t="shared" si="440"/>
        <v>1752.8798013266905</v>
      </c>
      <c r="CR236" s="165">
        <f t="shared" si="440"/>
        <v>1751.0288194879083</v>
      </c>
      <c r="CS236" s="165">
        <f t="shared" si="440"/>
        <v>1715.8601645510475</v>
      </c>
      <c r="CT236" s="165">
        <f t="shared" si="440"/>
        <v>1365.0991061018312</v>
      </c>
      <c r="CU236" s="165">
        <f t="shared" si="440"/>
        <v>1560.3776900933476</v>
      </c>
      <c r="CV236" s="165">
        <f t="shared" ref="CV236:DS236" si="441">MAX(CV234-CV235,0)</f>
        <v>1275.3264869208974</v>
      </c>
      <c r="CW236" s="165">
        <f t="shared" si="441"/>
        <v>1507.6247076880563</v>
      </c>
      <c r="CX236" s="165">
        <f t="shared" si="441"/>
        <v>1198.5107406114385</v>
      </c>
      <c r="CY236" s="165">
        <f t="shared" si="441"/>
        <v>1241.0833229034276</v>
      </c>
      <c r="CZ236" s="165">
        <f t="shared" si="441"/>
        <v>1273.4755050821152</v>
      </c>
      <c r="DA236" s="165">
        <f t="shared" si="441"/>
        <v>981.02037455453637</v>
      </c>
      <c r="DB236" s="165">
        <f t="shared" si="441"/>
        <v>1603.875763304728</v>
      </c>
      <c r="DC236" s="165">
        <f t="shared" si="441"/>
        <v>1796.377874538071</v>
      </c>
      <c r="DD236" s="165">
        <f t="shared" si="441"/>
        <v>1795.45238361868</v>
      </c>
      <c r="DE236" s="165">
        <f t="shared" si="441"/>
        <v>1759.358237762428</v>
      </c>
      <c r="DF236" s="165">
        <f t="shared" si="441"/>
        <v>1399.342270119301</v>
      </c>
      <c r="DG236" s="165">
        <f t="shared" si="441"/>
        <v>1599.2483087077726</v>
      </c>
      <c r="DH236" s="165">
        <f t="shared" si="441"/>
        <v>1306.7931781801938</v>
      </c>
      <c r="DI236" s="165">
        <f t="shared" si="441"/>
        <v>1545.5698353830903</v>
      </c>
      <c r="DJ236" s="165">
        <f t="shared" si="441"/>
        <v>1229.0519409513438</v>
      </c>
      <c r="DK236" s="165">
        <f t="shared" si="441"/>
        <v>1272.5500141627242</v>
      </c>
      <c r="DL236" s="165">
        <f t="shared" si="441"/>
        <v>1304.9421963414115</v>
      </c>
      <c r="DM236" s="165">
        <f t="shared" si="441"/>
        <v>1006.0086293780954</v>
      </c>
      <c r="DN236" s="165">
        <f t="shared" si="441"/>
        <v>1643.671872838544</v>
      </c>
      <c r="DO236" s="165">
        <f t="shared" si="441"/>
        <v>1840.8014386688424</v>
      </c>
      <c r="DP236" s="165">
        <f t="shared" si="441"/>
        <v>1839.8759477494514</v>
      </c>
      <c r="DQ236" s="165">
        <f t="shared" si="441"/>
        <v>1802.8563109738084</v>
      </c>
      <c r="DR236" s="165">
        <f t="shared" si="441"/>
        <v>1434.5109250561618</v>
      </c>
      <c r="DS236" s="165">
        <f t="shared" si="441"/>
        <v>1639.0444182415886</v>
      </c>
    </row>
    <row r="237" spans="1:123" ht="15" customHeight="1" x14ac:dyDescent="0.35">
      <c r="A237" s="289" t="s">
        <v>524</v>
      </c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89"/>
    </row>
    <row r="238" spans="1:123" ht="12.75" customHeight="1" x14ac:dyDescent="0.35">
      <c r="A238" s="86" t="s">
        <v>486</v>
      </c>
      <c r="B238" s="107">
        <f>SUM(D238:BQ238)</f>
        <v>283708</v>
      </c>
      <c r="C238" s="169">
        <f>B238/60</f>
        <v>4728.4666666666662</v>
      </c>
      <c r="D238" s="107">
        <v>3953</v>
      </c>
      <c r="E238" s="107">
        <v>4336</v>
      </c>
      <c r="F238" s="107">
        <v>4685</v>
      </c>
      <c r="G238" s="107">
        <v>3873</v>
      </c>
      <c r="H238" s="107">
        <v>3961</v>
      </c>
      <c r="I238" s="107">
        <v>3614</v>
      </c>
      <c r="J238" s="107">
        <v>3547</v>
      </c>
      <c r="K238" s="107">
        <v>4408</v>
      </c>
      <c r="L238" s="107">
        <v>4724</v>
      </c>
      <c r="M238" s="107">
        <v>3826</v>
      </c>
      <c r="N238" s="107">
        <v>3905</v>
      </c>
      <c r="O238" s="107">
        <v>3985</v>
      </c>
      <c r="P238" s="107">
        <v>4052</v>
      </c>
      <c r="Q238" s="107">
        <v>4444</v>
      </c>
      <c r="R238" s="107">
        <v>4802</v>
      </c>
      <c r="S238" s="107">
        <v>3970</v>
      </c>
      <c r="T238" s="107">
        <v>4060</v>
      </c>
      <c r="U238" s="107">
        <v>3704</v>
      </c>
      <c r="V238" s="107">
        <v>3636</v>
      </c>
      <c r="W238" s="107">
        <v>4408</v>
      </c>
      <c r="X238" s="107">
        <v>4724</v>
      </c>
      <c r="Y238" s="107">
        <v>3826</v>
      </c>
      <c r="Z238" s="107">
        <v>3905</v>
      </c>
      <c r="AA238" s="107">
        <v>3985</v>
      </c>
      <c r="AB238" s="107">
        <v>4153</v>
      </c>
      <c r="AC238" s="107">
        <v>4556</v>
      </c>
      <c r="AD238" s="107">
        <v>4922</v>
      </c>
      <c r="AE238" s="107">
        <v>4069</v>
      </c>
      <c r="AF238" s="107">
        <v>4162</v>
      </c>
      <c r="AG238" s="107">
        <v>3797</v>
      </c>
      <c r="AH238" s="107">
        <v>3727</v>
      </c>
      <c r="AI238" s="107">
        <v>4631</v>
      </c>
      <c r="AJ238" s="107">
        <v>4963</v>
      </c>
      <c r="AK238" s="107">
        <v>4020</v>
      </c>
      <c r="AL238" s="107">
        <v>4103</v>
      </c>
      <c r="AM238" s="107">
        <v>4187</v>
      </c>
      <c r="AN238" s="107">
        <v>4257</v>
      </c>
      <c r="AO238" s="107">
        <v>4669</v>
      </c>
      <c r="AP238" s="107">
        <v>5045</v>
      </c>
      <c r="AQ238" s="107">
        <v>4171</v>
      </c>
      <c r="AR238" s="107">
        <v>4266</v>
      </c>
      <c r="AS238" s="107">
        <v>3892</v>
      </c>
      <c r="AT238" s="107">
        <v>3820</v>
      </c>
      <c r="AU238" s="107">
        <v>4747</v>
      </c>
      <c r="AV238" s="107">
        <v>5087</v>
      </c>
      <c r="AW238" s="107">
        <v>4120</v>
      </c>
      <c r="AX238" s="107">
        <v>4205</v>
      </c>
      <c r="AY238" s="107">
        <v>4291</v>
      </c>
      <c r="AZ238" s="107">
        <v>4363</v>
      </c>
      <c r="BA238" s="107">
        <v>4786</v>
      </c>
      <c r="BB238" s="107">
        <v>5171</v>
      </c>
      <c r="BC238" s="107">
        <v>4275</v>
      </c>
      <c r="BD238" s="107">
        <v>4372</v>
      </c>
      <c r="BE238" s="107">
        <v>3989</v>
      </c>
      <c r="BF238" s="107">
        <v>3915</v>
      </c>
      <c r="BG238" s="107">
        <v>4866</v>
      </c>
      <c r="BH238" s="107">
        <v>5214</v>
      </c>
      <c r="BI238" s="107">
        <v>4223</v>
      </c>
      <c r="BJ238" s="107">
        <v>4310</v>
      </c>
      <c r="BK238" s="107">
        <v>4399</v>
      </c>
      <c r="BL238" s="107">
        <v>4472</v>
      </c>
      <c r="BM238" s="107">
        <v>4906</v>
      </c>
      <c r="BN238" s="107">
        <v>5301</v>
      </c>
      <c r="BO238" s="107">
        <v>4382</v>
      </c>
      <c r="BP238" s="107">
        <v>4482</v>
      </c>
      <c r="BQ238" s="107">
        <v>4089</v>
      </c>
      <c r="BR238" s="107">
        <v>4013</v>
      </c>
      <c r="BS238" s="107">
        <v>4987</v>
      </c>
      <c r="BT238" s="107">
        <v>5345</v>
      </c>
      <c r="BU238" s="107">
        <v>4329</v>
      </c>
      <c r="BV238" s="107">
        <v>4418</v>
      </c>
      <c r="BW238" s="107">
        <v>4509</v>
      </c>
      <c r="BX238" s="107">
        <v>4584</v>
      </c>
      <c r="BY238" s="107">
        <v>5028</v>
      </c>
      <c r="BZ238" s="107">
        <v>5433</v>
      </c>
      <c r="CA238" s="107">
        <v>4491</v>
      </c>
      <c r="CB238" s="107">
        <v>4594</v>
      </c>
      <c r="CC238" s="107">
        <v>4191</v>
      </c>
      <c r="CD238" s="107">
        <v>4113</v>
      </c>
      <c r="CE238" s="107">
        <v>5112</v>
      </c>
      <c r="CF238" s="107">
        <v>5478</v>
      </c>
      <c r="CG238" s="107">
        <v>4437</v>
      </c>
      <c r="CH238" s="107">
        <v>4529</v>
      </c>
      <c r="CI238" s="107">
        <v>4621</v>
      </c>
      <c r="CJ238" s="107">
        <v>4699</v>
      </c>
      <c r="CK238" s="107">
        <v>5154</v>
      </c>
      <c r="CL238" s="107">
        <v>5569</v>
      </c>
      <c r="CM238" s="107">
        <v>4604</v>
      </c>
      <c r="CN238" s="107">
        <v>4708</v>
      </c>
      <c r="CO238" s="107">
        <v>4296</v>
      </c>
      <c r="CP238" s="107">
        <v>4216</v>
      </c>
      <c r="CQ238" s="107">
        <v>5240</v>
      </c>
      <c r="CR238" s="107">
        <v>5615</v>
      </c>
      <c r="CS238" s="107">
        <v>4548</v>
      </c>
      <c r="CT238" s="107">
        <v>4642</v>
      </c>
      <c r="CU238" s="107">
        <v>4737</v>
      </c>
      <c r="CV238" s="107">
        <v>4816</v>
      </c>
      <c r="CW238" s="107">
        <v>5283</v>
      </c>
      <c r="CX238" s="107">
        <v>5708</v>
      </c>
      <c r="CY238" s="107">
        <v>4719</v>
      </c>
      <c r="CZ238" s="107">
        <v>4826</v>
      </c>
      <c r="DA238" s="107">
        <v>4403</v>
      </c>
      <c r="DB238" s="107">
        <v>4322</v>
      </c>
      <c r="DC238" s="107">
        <v>5371</v>
      </c>
      <c r="DD238" s="107">
        <v>5756</v>
      </c>
      <c r="DE238" s="107">
        <v>4662</v>
      </c>
      <c r="DF238" s="107">
        <v>4758</v>
      </c>
      <c r="DG238" s="107">
        <v>4855</v>
      </c>
      <c r="DH238" s="107">
        <v>4937</v>
      </c>
      <c r="DI238" s="107">
        <v>5415</v>
      </c>
      <c r="DJ238" s="107">
        <v>5851</v>
      </c>
      <c r="DK238" s="107">
        <v>4837</v>
      </c>
      <c r="DL238" s="107">
        <v>4947</v>
      </c>
      <c r="DM238" s="107">
        <v>4513</v>
      </c>
      <c r="DN238" s="107">
        <v>4430</v>
      </c>
      <c r="DO238" s="107">
        <v>5505</v>
      </c>
      <c r="DP238" s="107">
        <v>5900</v>
      </c>
      <c r="DQ238" s="107">
        <v>4778</v>
      </c>
      <c r="DR238" s="107">
        <v>4877</v>
      </c>
      <c r="DS238" s="107">
        <v>4977</v>
      </c>
    </row>
    <row r="239" spans="1:123" ht="12.75" customHeight="1" x14ac:dyDescent="0.35">
      <c r="A239" s="142" t="str">
        <f>"  "&amp;INDEX(PVSYST_Helexia!$A$5:$A$7,MATCH(Premissas!$B$13,PVSYST_Helexia!$B$5:$B$7,0))&amp;" créditos recebidos (kWh)"</f>
        <v xml:space="preserve">  HCS03 créditos recebidos (kWh)</v>
      </c>
      <c r="B239" s="155">
        <f>SUM(D239:BQ239)</f>
        <v>285026.49148636177</v>
      </c>
      <c r="C239" s="169">
        <f>B239/60</f>
        <v>4750.4415247726965</v>
      </c>
      <c r="D239" s="156">
        <f>D6*Premissas!$B$50</f>
        <v>3223.74</v>
      </c>
      <c r="E239" s="156">
        <f>E6*Premissas!$B$50</f>
        <v>3393.2599999999993</v>
      </c>
      <c r="F239" s="156">
        <f>F6*Premissas!$B$50</f>
        <v>4073.4199999999996</v>
      </c>
      <c r="G239" s="156">
        <f>G6*Premissas!$B$50</f>
        <v>3822.2599999999998</v>
      </c>
      <c r="H239" s="156">
        <f>H6*Premissas!$C$50</f>
        <v>5514.42</v>
      </c>
      <c r="I239" s="156">
        <f>I6*Premissas!$C$50</f>
        <v>5331.92</v>
      </c>
      <c r="J239" s="156">
        <f>J6*Premissas!$C$50</f>
        <v>5062.915</v>
      </c>
      <c r="K239" s="156">
        <f>K6*Premissas!$C$50</f>
        <v>5198.4869499999995</v>
      </c>
      <c r="L239" s="156">
        <f>L6*Premissas!$C$50</f>
        <v>4632.2971250000001</v>
      </c>
      <c r="M239" s="156">
        <f>M6*Premissas!$C$50</f>
        <v>5313.2502500000001</v>
      </c>
      <c r="N239" s="156">
        <f>N6*Premissas!$D$50</f>
        <v>5330.6786700000011</v>
      </c>
      <c r="O239" s="156">
        <f>O6*Premissas!$D$50</f>
        <v>4988.8842300000006</v>
      </c>
      <c r="P239" s="156">
        <f>P6*Premissas!$D$50</f>
        <v>4527.6808350000001</v>
      </c>
      <c r="Q239" s="156">
        <f>Q6*Premissas!$D$50</f>
        <v>4765.7684149999995</v>
      </c>
      <c r="R239" s="156">
        <f>R6*Premissas!$D$50</f>
        <v>5721.0400550000004</v>
      </c>
      <c r="S239" s="156">
        <f>S6*Premissas!$D$50</f>
        <v>5368.2906650000014</v>
      </c>
      <c r="T239" s="156">
        <f>T6*Premissas!$E$50</f>
        <v>5997.95154</v>
      </c>
      <c r="U239" s="156">
        <f>U6*Premissas!$E$50</f>
        <v>5799.4490399999995</v>
      </c>
      <c r="V239" s="156">
        <f>V6*Premissas!$E$50</f>
        <v>5506.8563549999999</v>
      </c>
      <c r="W239" s="156">
        <f>W6*Premissas!$E$50</f>
        <v>5682.7295699999995</v>
      </c>
      <c r="X239" s="156">
        <f>X6*Premissas!$E$50</f>
        <v>5063.7987749999993</v>
      </c>
      <c r="Y239" s="156">
        <f>Y6*Premissas!$E$50</f>
        <v>5808.1831499999998</v>
      </c>
      <c r="Z239" s="156">
        <f>Z6*Premissas!$E$50</f>
        <v>5795.4789899999996</v>
      </c>
      <c r="AA239" s="156">
        <f>AA6*Premissas!$E$50</f>
        <v>5423.8823099999991</v>
      </c>
      <c r="AB239" s="156">
        <f>AB6*Premissas!$F$50</f>
        <v>2626.91847465</v>
      </c>
      <c r="AC239" s="156">
        <f>AC6*Premissas!$F$50</f>
        <v>2765.0546828499996</v>
      </c>
      <c r="AD239" s="156">
        <f>AD6*Premissas!$F$50</f>
        <v>3319.2944384500001</v>
      </c>
      <c r="AE239" s="156">
        <f>AE6*Premissas!$F$50</f>
        <v>3114.6325103499998</v>
      </c>
      <c r="AF239" s="156">
        <f>AF6*Premissas!$F$50</f>
        <v>3200.8617078000002</v>
      </c>
      <c r="AG239" s="156">
        <f>AG6*Premissas!$F$50</f>
        <v>3094.9290328000002</v>
      </c>
      <c r="AH239" s="156">
        <f>AH6*Premissas!$G$50</f>
        <v>3295.8328260000003</v>
      </c>
      <c r="AI239" s="156">
        <f>AI6*Premissas!$G$50</f>
        <v>3401.0922840000003</v>
      </c>
      <c r="AJ239" s="156">
        <f>AJ6*Premissas!$G$50</f>
        <v>3030.66453</v>
      </c>
      <c r="AK239" s="156">
        <f>AK6*Premissas!$G$50</f>
        <v>3476.17578</v>
      </c>
      <c r="AL239" s="156">
        <f>AL6*Premissas!$G$50</f>
        <v>3468.5723880000005</v>
      </c>
      <c r="AM239" s="156">
        <f>AM6*Premissas!$G$50</f>
        <v>3246.1731720000007</v>
      </c>
      <c r="AN239" s="156">
        <f>AN6*Premissas!$H$50</f>
        <v>2687.0675425274999</v>
      </c>
      <c r="AO239" s="156">
        <f>AO6*Premissas!$H$50</f>
        <v>2828.3666825974997</v>
      </c>
      <c r="AP239" s="156">
        <f>AP6*Premissas!$H$50</f>
        <v>3395.2969746575</v>
      </c>
      <c r="AQ239" s="156">
        <f>AQ6*Premissas!$H$50</f>
        <v>3185.9488622224999</v>
      </c>
      <c r="AR239" s="156">
        <f>AR6*Premissas!$H$50</f>
        <v>3274.1524665299999</v>
      </c>
      <c r="AS239" s="156">
        <f>AS6*Premissas!$H$50</f>
        <v>3165.7942302800002</v>
      </c>
      <c r="AT239" s="156">
        <f>AT6*Premissas!$I$50</f>
        <v>3361.3375034167502</v>
      </c>
      <c r="AU239" s="156">
        <f>AU6*Premissas!$I$50</f>
        <v>3468.6889931444998</v>
      </c>
      <c r="AV239" s="156">
        <f>AV6*Premissas!$I$50</f>
        <v>3090.8989875337502</v>
      </c>
      <c r="AW239" s="156">
        <f>AW6*Premissas!$I$50</f>
        <v>3545.2647736275003</v>
      </c>
      <c r="AX239" s="156">
        <f>AX6*Premissas!$I$50</f>
        <v>3537.5102642115003</v>
      </c>
      <c r="AY239" s="156">
        <f>AY6*Premissas!$I$50</f>
        <v>3310.6908637934998</v>
      </c>
      <c r="AZ239" s="156">
        <f>AZ6*Premissas!$J$50</f>
        <v>3305.5816350438299</v>
      </c>
      <c r="BA239" s="156">
        <f>BA6*Premissas!$J$50</f>
        <v>3479.4052680826694</v>
      </c>
      <c r="BB239" s="156">
        <f>BB6*Premissas!$J$50</f>
        <v>4176.8326055513899</v>
      </c>
      <c r="BC239" s="156">
        <f>BC6*Premissas!$J$50</f>
        <v>3919.2963639631703</v>
      </c>
      <c r="BD239" s="156">
        <f>BD6*Premissas!$J$50</f>
        <v>4027.80283428036</v>
      </c>
      <c r="BE239" s="156">
        <f>BE6*Premissas!$J$50</f>
        <v>3894.5025021953602</v>
      </c>
      <c r="BF239" s="156">
        <f>BF6*Premissas!$K$50</f>
        <v>4160.2700392898296</v>
      </c>
      <c r="BG239" s="156">
        <f>BG6*Premissas!$K$50</f>
        <v>4293.1371452955527</v>
      </c>
      <c r="BH239" s="156">
        <f>BH6*Premissas!$K$50</f>
        <v>3825.5529054243939</v>
      </c>
      <c r="BI239" s="156">
        <f>BI6*Premissas!$K$50</f>
        <v>4387.9136814079875</v>
      </c>
      <c r="BJ239" s="156">
        <f>BJ6*Premissas!$K$50</f>
        <v>4378.3160574978674</v>
      </c>
      <c r="BK239" s="156">
        <f>BK6*Premissas!$K$50</f>
        <v>4097.5855581268579</v>
      </c>
      <c r="BL239" s="156">
        <f>BL6*Premissas!$L$50</f>
        <v>5630.5951632056122</v>
      </c>
      <c r="BM239" s="156">
        <f>BM6*Premissas!$L$50</f>
        <v>5926.6793672873973</v>
      </c>
      <c r="BN239" s="156">
        <f>BN6*Premissas!$L$50</f>
        <v>7114.6491186339481</v>
      </c>
      <c r="BO239" s="156">
        <f>BO6*Premissas!$L$50</f>
        <v>6675.9722150403832</v>
      </c>
      <c r="BP239" s="156">
        <f>BP6*Premissas!$L$50</f>
        <v>6860.7977841527854</v>
      </c>
      <c r="BQ239" s="156">
        <f>BQ6*Premissas!$L$50</f>
        <v>6633.7393454397597</v>
      </c>
      <c r="BR239" s="156">
        <f>BR6*Premissas!$M$50</f>
        <v>6317.4095568334978</v>
      </c>
      <c r="BS239" s="156">
        <f>BS6*Premissas!$M$50</f>
        <v>6519.1695188893882</v>
      </c>
      <c r="BT239" s="156">
        <f>BT6*Premissas!$M$50</f>
        <v>5809.1384108868342</v>
      </c>
      <c r="BU239" s="156">
        <f>BU6*Premissas!$M$50</f>
        <v>6663.0885888886223</v>
      </c>
      <c r="BV239" s="156">
        <f>BV6*Premissas!$M$50</f>
        <v>6648.514505850726</v>
      </c>
      <c r="BW239" s="156">
        <f>BW6*Premissas!$M$50</f>
        <v>6222.2225769922325</v>
      </c>
      <c r="BX239" s="156">
        <f>BX6*Premissas!$N$50</f>
        <v>5606.6977815501632</v>
      </c>
      <c r="BY239" s="156">
        <f>BY6*Premissas!$N$50</f>
        <v>5901.5253445448161</v>
      </c>
      <c r="BZ239" s="156">
        <f>BZ6*Premissas!$N$50</f>
        <v>7084.4531126337934</v>
      </c>
      <c r="CA239" s="156">
        <f>CA6*Premissas!$N$50</f>
        <v>6647.6380423073588</v>
      </c>
      <c r="CB239" s="156">
        <f>CB6*Premissas!$N$50</f>
        <v>6831.67917442212</v>
      </c>
      <c r="CC239" s="156">
        <f>CC6*Premissas!$N$50</f>
        <v>6605.5844175243792</v>
      </c>
      <c r="CD239" s="156">
        <f>CD6*Premissas!$O$50</f>
        <v>6290.018002606319</v>
      </c>
      <c r="CE239" s="156">
        <f>CE6*Premissas!$O$50</f>
        <v>6490.9031568961755</v>
      </c>
      <c r="CF239" s="156">
        <f>CF6*Premissas!$O$50</f>
        <v>5783.9506613253261</v>
      </c>
      <c r="CG239" s="156">
        <f>CG6*Premissas!$O$50</f>
        <v>6634.1982105205425</v>
      </c>
      <c r="CH239" s="156">
        <f>CH6*Premissas!$O$50</f>
        <v>6619.6873190142778</v>
      </c>
      <c r="CI239" s="156">
        <f>CI6*Premissas!$O$50</f>
        <v>6195.2437424560258</v>
      </c>
      <c r="CJ239" s="156">
        <f>CJ6*Premissas!$P$50</f>
        <v>5582.7753024800404</v>
      </c>
      <c r="CK239" s="156">
        <f>CK6*Premissas!$P$50</f>
        <v>5876.344904642875</v>
      </c>
      <c r="CL239" s="156">
        <f>CL6*Premissas!$P$50</f>
        <v>7054.2253943023461</v>
      </c>
      <c r="CM239" s="156">
        <f>CM6*Premissas!$P$50</f>
        <v>6619.2741125702942</v>
      </c>
      <c r="CN239" s="156">
        <f>CN6*Premissas!$P$50</f>
        <v>6802.5299838590581</v>
      </c>
      <c r="CO239" s="156">
        <f>CO6*Premissas!$P$50</f>
        <v>6577.3999208507475</v>
      </c>
      <c r="CP239" s="156">
        <f>CP6*Premissas!$Q$50</f>
        <v>6262.6151976820174</v>
      </c>
      <c r="CQ239" s="156">
        <f>CQ6*Premissas!$Q$50</f>
        <v>6462.6251848908087</v>
      </c>
      <c r="CR239" s="156">
        <f>CR6*Premissas!$Q$50</f>
        <v>5758.7525662485868</v>
      </c>
      <c r="CS239" s="156">
        <f>CS6*Premissas!$Q$50</f>
        <v>6605.2959658343252</v>
      </c>
      <c r="CT239" s="156">
        <f>CT6*Premissas!$Q$50</f>
        <v>6590.8482918147283</v>
      </c>
      <c r="CU239" s="156">
        <f>CU6*Premissas!$Q$50</f>
        <v>6168.2538267415275</v>
      </c>
      <c r="CV239" s="156">
        <f>CV6*Premissas!$R$50</f>
        <v>5558.82323511917</v>
      </c>
      <c r="CW239" s="156">
        <f>CW6*Premissas!$R$50</f>
        <v>5851.1333205532919</v>
      </c>
      <c r="CX239" s="156">
        <f>CX6*Premissas!$R$50</f>
        <v>7023.9602891049308</v>
      </c>
      <c r="CY239" s="156">
        <f>CY6*Premissas!$R$50</f>
        <v>6590.8751011764589</v>
      </c>
      <c r="CZ239" s="156">
        <f>CZ6*Premissas!$R$50</f>
        <v>6773.3447403968394</v>
      </c>
      <c r="DA239" s="156">
        <f>DA6*Premissas!$R$50</f>
        <v>6549.1805644504266</v>
      </c>
      <c r="DB239" s="156">
        <f>DB6*Premissas!$S$50</f>
        <v>0</v>
      </c>
      <c r="DC239" s="156">
        <f>DC6*Premissas!$S$50</f>
        <v>0</v>
      </c>
      <c r="DD239" s="156">
        <f>DD6*Premissas!$S$50</f>
        <v>0</v>
      </c>
      <c r="DE239" s="156">
        <f>DE6*Premissas!$S$50</f>
        <v>0</v>
      </c>
      <c r="DF239" s="156">
        <f>DF6*Premissas!$S$50</f>
        <v>0</v>
      </c>
      <c r="DG239" s="156">
        <f>DG6*Premissas!$S$50</f>
        <v>0</v>
      </c>
      <c r="DH239" s="156">
        <f>DH6*Premissas!$T$50</f>
        <v>0</v>
      </c>
      <c r="DI239" s="156">
        <f>DI6*Premissas!$T$50</f>
        <v>0</v>
      </c>
      <c r="DJ239" s="156">
        <f>DJ6*Premissas!$T$50</f>
        <v>0</v>
      </c>
      <c r="DK239" s="156">
        <f>DK6*Premissas!$T$50</f>
        <v>0</v>
      </c>
      <c r="DL239" s="156">
        <f>DL6*Premissas!$T$50</f>
        <v>0</v>
      </c>
      <c r="DM239" s="156">
        <f>DM6*Premissas!$T$50</f>
        <v>0</v>
      </c>
      <c r="DN239" s="156">
        <f>DN6*Premissas!$U$50</f>
        <v>0</v>
      </c>
      <c r="DO239" s="156">
        <f>DO6*Premissas!$U$50</f>
        <v>0</v>
      </c>
      <c r="DP239" s="156">
        <f>DP6*Premissas!$U$50</f>
        <v>0</v>
      </c>
      <c r="DQ239" s="156">
        <f>DQ6*Premissas!$U$50</f>
        <v>0</v>
      </c>
      <c r="DR239" s="156">
        <f>DR6*Premissas!$U$50</f>
        <v>0</v>
      </c>
      <c r="DS239" s="156">
        <f>DS6*Premissas!$U$50</f>
        <v>0</v>
      </c>
    </row>
    <row r="240" spans="1:123" ht="12.75" customHeight="1" x14ac:dyDescent="0.35">
      <c r="A240" s="146" t="s">
        <v>517</v>
      </c>
      <c r="B240" s="169">
        <f>AA240</f>
        <v>23909.079614999999</v>
      </c>
      <c r="C240" s="169" t="s">
        <v>169</v>
      </c>
      <c r="D240" s="169">
        <f>0</f>
        <v>0</v>
      </c>
      <c r="E240" s="169">
        <f t="shared" ref="E240:AJ240" si="442">D242</f>
        <v>0</v>
      </c>
      <c r="F240" s="169">
        <f t="shared" si="442"/>
        <v>0</v>
      </c>
      <c r="G240" s="169">
        <f t="shared" si="442"/>
        <v>0</v>
      </c>
      <c r="H240" s="169">
        <f t="shared" si="442"/>
        <v>0</v>
      </c>
      <c r="I240" s="169">
        <f t="shared" si="442"/>
        <v>1553.42</v>
      </c>
      <c r="J240" s="169">
        <f t="shared" si="442"/>
        <v>3271.34</v>
      </c>
      <c r="K240" s="169">
        <f t="shared" si="442"/>
        <v>4787.2550000000001</v>
      </c>
      <c r="L240" s="169">
        <f t="shared" si="442"/>
        <v>5577.7419499999996</v>
      </c>
      <c r="M240" s="169">
        <f t="shared" si="442"/>
        <v>5486.0390749999997</v>
      </c>
      <c r="N240" s="169">
        <f t="shared" si="442"/>
        <v>6973.2893249999997</v>
      </c>
      <c r="O240" s="169">
        <f t="shared" si="442"/>
        <v>8398.9679950000009</v>
      </c>
      <c r="P240" s="169">
        <f t="shared" si="442"/>
        <v>9402.8522250000024</v>
      </c>
      <c r="Q240" s="169">
        <f t="shared" si="442"/>
        <v>9878.5330600000016</v>
      </c>
      <c r="R240" s="169">
        <f t="shared" si="442"/>
        <v>10200.301475</v>
      </c>
      <c r="S240" s="169">
        <f t="shared" si="442"/>
        <v>11119.341530000002</v>
      </c>
      <c r="T240" s="169">
        <f t="shared" si="442"/>
        <v>12517.632195000002</v>
      </c>
      <c r="U240" s="169">
        <f t="shared" si="442"/>
        <v>14455.583735000002</v>
      </c>
      <c r="V240" s="169">
        <f t="shared" si="442"/>
        <v>16551.032775</v>
      </c>
      <c r="W240" s="169">
        <f t="shared" si="442"/>
        <v>18421.88913</v>
      </c>
      <c r="X240" s="169">
        <f t="shared" si="442"/>
        <v>19696.618699999999</v>
      </c>
      <c r="Y240" s="169">
        <f t="shared" si="442"/>
        <v>20036.417474999998</v>
      </c>
      <c r="Z240" s="169">
        <f t="shared" si="442"/>
        <v>22018.600624999999</v>
      </c>
      <c r="AA240" s="169">
        <f t="shared" si="442"/>
        <v>23909.079614999999</v>
      </c>
      <c r="AB240" s="169">
        <f t="shared" si="442"/>
        <v>25347.961924999996</v>
      </c>
      <c r="AC240" s="169">
        <f t="shared" si="442"/>
        <v>23821.880399649996</v>
      </c>
      <c r="AD240" s="169">
        <f t="shared" si="442"/>
        <v>22030.935082499996</v>
      </c>
      <c r="AE240" s="169">
        <f t="shared" si="442"/>
        <v>20428.229520949997</v>
      </c>
      <c r="AF240" s="169">
        <f t="shared" si="442"/>
        <v>19473.862031299996</v>
      </c>
      <c r="AG240" s="169">
        <f t="shared" si="442"/>
        <v>18512.723739099994</v>
      </c>
      <c r="AH240" s="169">
        <f t="shared" si="442"/>
        <v>17810.652771899993</v>
      </c>
      <c r="AI240" s="169">
        <f t="shared" si="442"/>
        <v>17379.485597899995</v>
      </c>
      <c r="AJ240" s="169">
        <f t="shared" si="442"/>
        <v>16149.577881899995</v>
      </c>
      <c r="AK240" s="169">
        <f t="shared" ref="AK240:BP240" si="443">AJ242</f>
        <v>14217.242411899995</v>
      </c>
      <c r="AL240" s="169">
        <f t="shared" si="443"/>
        <v>13673.418191899995</v>
      </c>
      <c r="AM240" s="169">
        <f t="shared" si="443"/>
        <v>13038.990579899995</v>
      </c>
      <c r="AN240" s="169">
        <f t="shared" si="443"/>
        <v>12098.163751899996</v>
      </c>
      <c r="AO240" s="169">
        <f t="shared" si="443"/>
        <v>10528.231294427496</v>
      </c>
      <c r="AP240" s="169">
        <f t="shared" si="443"/>
        <v>8687.597977024996</v>
      </c>
      <c r="AQ240" s="169">
        <f t="shared" si="443"/>
        <v>7037.894951682496</v>
      </c>
      <c r="AR240" s="169">
        <f t="shared" si="443"/>
        <v>6052.8438139049958</v>
      </c>
      <c r="AS240" s="169">
        <f t="shared" si="443"/>
        <v>5060.9962804349962</v>
      </c>
      <c r="AT240" s="169">
        <f t="shared" si="443"/>
        <v>4334.7905107149963</v>
      </c>
      <c r="AU240" s="169">
        <f t="shared" si="443"/>
        <v>3876.1280141317466</v>
      </c>
      <c r="AV240" s="169">
        <f t="shared" si="443"/>
        <v>2597.8170072762464</v>
      </c>
      <c r="AW240" s="169">
        <f t="shared" si="443"/>
        <v>601.71599480999657</v>
      </c>
      <c r="AX240" s="169">
        <f t="shared" si="443"/>
        <v>26.980768437496863</v>
      </c>
      <c r="AY240" s="169">
        <f t="shared" si="443"/>
        <v>0</v>
      </c>
      <c r="AZ240" s="169">
        <f t="shared" si="443"/>
        <v>0</v>
      </c>
      <c r="BA240" s="169">
        <f t="shared" si="443"/>
        <v>0</v>
      </c>
      <c r="BB240" s="169">
        <f t="shared" si="443"/>
        <v>0</v>
      </c>
      <c r="BC240" s="169">
        <f t="shared" si="443"/>
        <v>0</v>
      </c>
      <c r="BD240" s="169">
        <f t="shared" si="443"/>
        <v>0</v>
      </c>
      <c r="BE240" s="169">
        <f t="shared" si="443"/>
        <v>0</v>
      </c>
      <c r="BF240" s="169">
        <f t="shared" si="443"/>
        <v>0</v>
      </c>
      <c r="BG240" s="169">
        <f t="shared" si="443"/>
        <v>245.27003928982958</v>
      </c>
      <c r="BH240" s="169">
        <f t="shared" si="443"/>
        <v>0</v>
      </c>
      <c r="BI240" s="169">
        <f t="shared" si="443"/>
        <v>0</v>
      </c>
      <c r="BJ240" s="169">
        <f t="shared" si="443"/>
        <v>164.9136814079875</v>
      </c>
      <c r="BK240" s="169">
        <f t="shared" si="443"/>
        <v>233.2297389058549</v>
      </c>
      <c r="BL240" s="169">
        <f t="shared" si="443"/>
        <v>0</v>
      </c>
      <c r="BM240" s="169">
        <f t="shared" si="443"/>
        <v>1158.5951632056122</v>
      </c>
      <c r="BN240" s="169">
        <f t="shared" si="443"/>
        <v>2179.2745304930095</v>
      </c>
      <c r="BO240" s="169">
        <f t="shared" si="443"/>
        <v>3992.9236491269576</v>
      </c>
      <c r="BP240" s="169">
        <f t="shared" si="443"/>
        <v>6286.8958641673407</v>
      </c>
      <c r="BQ240" s="169">
        <f t="shared" ref="BQ240:CV240" si="444">BP242</f>
        <v>8665.6936483201262</v>
      </c>
      <c r="BR240" s="169">
        <f t="shared" si="444"/>
        <v>11210.432993759885</v>
      </c>
      <c r="BS240" s="169">
        <f t="shared" si="444"/>
        <v>13514.842550593383</v>
      </c>
      <c r="BT240" s="169">
        <f t="shared" si="444"/>
        <v>15047.012069482771</v>
      </c>
      <c r="BU240" s="169">
        <f t="shared" si="444"/>
        <v>15511.150480369604</v>
      </c>
      <c r="BV240" s="169">
        <f t="shared" si="444"/>
        <v>17845.239069258227</v>
      </c>
      <c r="BW240" s="169">
        <f t="shared" si="444"/>
        <v>20075.753575108953</v>
      </c>
      <c r="BX240" s="169">
        <f t="shared" si="444"/>
        <v>21788.976152101186</v>
      </c>
      <c r="BY240" s="169">
        <f t="shared" si="444"/>
        <v>22811.673933651349</v>
      </c>
      <c r="BZ240" s="169">
        <f t="shared" si="444"/>
        <v>23685.199278196167</v>
      </c>
      <c r="CA240" s="169">
        <f t="shared" si="444"/>
        <v>25336.65239082996</v>
      </c>
      <c r="CB240" s="169">
        <f t="shared" si="444"/>
        <v>27493.290433137321</v>
      </c>
      <c r="CC240" s="169">
        <f t="shared" si="444"/>
        <v>29730.96960755944</v>
      </c>
      <c r="CD240" s="169">
        <f t="shared" si="444"/>
        <v>32145.55402508382</v>
      </c>
      <c r="CE240" s="169">
        <f t="shared" si="444"/>
        <v>34322.572027690141</v>
      </c>
      <c r="CF240" s="169">
        <f t="shared" si="444"/>
        <v>35701.475184586314</v>
      </c>
      <c r="CG240" s="169">
        <f t="shared" si="444"/>
        <v>36007.425845911639</v>
      </c>
      <c r="CH240" s="169">
        <f t="shared" si="444"/>
        <v>38204.624056432178</v>
      </c>
      <c r="CI240" s="169">
        <f t="shared" si="444"/>
        <v>40295.311375446458</v>
      </c>
      <c r="CJ240" s="169">
        <f t="shared" si="444"/>
        <v>41869.555117902484</v>
      </c>
      <c r="CK240" s="169">
        <f t="shared" si="444"/>
        <v>42753.330420382525</v>
      </c>
      <c r="CL240" s="169">
        <f t="shared" si="444"/>
        <v>43475.675325025397</v>
      </c>
      <c r="CM240" s="169">
        <f t="shared" si="444"/>
        <v>44960.900719327743</v>
      </c>
      <c r="CN240" s="169">
        <f t="shared" si="444"/>
        <v>46976.174831898039</v>
      </c>
      <c r="CO240" s="169">
        <f t="shared" si="444"/>
        <v>49070.704815757097</v>
      </c>
      <c r="CP240" s="169">
        <f t="shared" si="444"/>
        <v>51352.104736607842</v>
      </c>
      <c r="CQ240" s="169">
        <f t="shared" si="444"/>
        <v>53398.71993428986</v>
      </c>
      <c r="CR240" s="169">
        <f t="shared" si="444"/>
        <v>54621.345119180667</v>
      </c>
      <c r="CS240" s="169">
        <f t="shared" si="444"/>
        <v>54765.097685429253</v>
      </c>
      <c r="CT240" s="169">
        <f t="shared" si="444"/>
        <v>56822.393651263577</v>
      </c>
      <c r="CU240" s="169">
        <f t="shared" si="444"/>
        <v>58771.241943078305</v>
      </c>
      <c r="CV240" s="169">
        <f t="shared" si="444"/>
        <v>60202.495769819834</v>
      </c>
      <c r="CW240" s="169">
        <f t="shared" ref="CW240:DS240" si="445">CV242</f>
        <v>60945.319004939003</v>
      </c>
      <c r="CX240" s="169">
        <f t="shared" si="445"/>
        <v>61513.452325492297</v>
      </c>
      <c r="CY240" s="169">
        <f t="shared" si="445"/>
        <v>62829.412614597226</v>
      </c>
      <c r="CZ240" s="169">
        <f t="shared" si="445"/>
        <v>64701.287715773688</v>
      </c>
      <c r="DA240" s="169">
        <f t="shared" si="445"/>
        <v>66648.632456170526</v>
      </c>
      <c r="DB240" s="169">
        <f t="shared" si="445"/>
        <v>68794.813020620946</v>
      </c>
      <c r="DC240" s="169">
        <f t="shared" si="445"/>
        <v>64472.813020620946</v>
      </c>
      <c r="DD240" s="169">
        <f t="shared" si="445"/>
        <v>59101.813020620946</v>
      </c>
      <c r="DE240" s="169">
        <f t="shared" si="445"/>
        <v>53345.813020620946</v>
      </c>
      <c r="DF240" s="169">
        <f t="shared" si="445"/>
        <v>48683.813020620946</v>
      </c>
      <c r="DG240" s="169">
        <f t="shared" si="445"/>
        <v>43925.813020620946</v>
      </c>
      <c r="DH240" s="169">
        <f t="shared" si="445"/>
        <v>39070.813020620946</v>
      </c>
      <c r="DI240" s="169">
        <f t="shared" si="445"/>
        <v>34133.813020620946</v>
      </c>
      <c r="DJ240" s="169">
        <f t="shared" si="445"/>
        <v>28718.813020620946</v>
      </c>
      <c r="DK240" s="169">
        <f t="shared" si="445"/>
        <v>22867.813020620946</v>
      </c>
      <c r="DL240" s="169">
        <f t="shared" si="445"/>
        <v>18030.813020620946</v>
      </c>
      <c r="DM240" s="169">
        <f t="shared" si="445"/>
        <v>13083.813020620946</v>
      </c>
      <c r="DN240" s="169">
        <f t="shared" si="445"/>
        <v>8570.8130206209462</v>
      </c>
      <c r="DO240" s="169">
        <f t="shared" si="445"/>
        <v>4140.8130206209462</v>
      </c>
      <c r="DP240" s="169">
        <f t="shared" si="445"/>
        <v>0</v>
      </c>
      <c r="DQ240" s="169">
        <f t="shared" si="445"/>
        <v>0</v>
      </c>
      <c r="DR240" s="169">
        <f t="shared" si="445"/>
        <v>0</v>
      </c>
      <c r="DS240" s="169">
        <f t="shared" si="445"/>
        <v>0</v>
      </c>
    </row>
    <row r="241" spans="1:123" ht="12.75" customHeight="1" x14ac:dyDescent="0.35">
      <c r="A241" s="146" t="s">
        <v>518</v>
      </c>
      <c r="B241" s="169">
        <f>SUM(D241:BQ241)</f>
        <v>25918.164578195679</v>
      </c>
      <c r="C241" s="169">
        <f>B241/60</f>
        <v>431.96940963659466</v>
      </c>
      <c r="D241" s="139">
        <f t="shared" ref="D241:AI241" si="446">MIN(D240,MAX(D238-D239,0))</f>
        <v>0</v>
      </c>
      <c r="E241" s="139">
        <f t="shared" si="446"/>
        <v>0</v>
      </c>
      <c r="F241" s="139">
        <f t="shared" si="446"/>
        <v>0</v>
      </c>
      <c r="G241" s="139">
        <f t="shared" si="446"/>
        <v>0</v>
      </c>
      <c r="H241" s="139">
        <f t="shared" si="446"/>
        <v>0</v>
      </c>
      <c r="I241" s="139">
        <f t="shared" si="446"/>
        <v>0</v>
      </c>
      <c r="J241" s="139">
        <f t="shared" si="446"/>
        <v>0</v>
      </c>
      <c r="K241" s="139">
        <f t="shared" si="446"/>
        <v>0</v>
      </c>
      <c r="L241" s="139">
        <f t="shared" si="446"/>
        <v>91.702874999999949</v>
      </c>
      <c r="M241" s="139">
        <f t="shared" si="446"/>
        <v>0</v>
      </c>
      <c r="N241" s="139">
        <f t="shared" si="446"/>
        <v>0</v>
      </c>
      <c r="O241" s="139">
        <f t="shared" si="446"/>
        <v>0</v>
      </c>
      <c r="P241" s="139">
        <f t="shared" si="446"/>
        <v>0</v>
      </c>
      <c r="Q241" s="139">
        <f t="shared" si="446"/>
        <v>0</v>
      </c>
      <c r="R241" s="139">
        <f t="shared" si="446"/>
        <v>0</v>
      </c>
      <c r="S241" s="139">
        <f t="shared" si="446"/>
        <v>0</v>
      </c>
      <c r="T241" s="139">
        <f t="shared" si="446"/>
        <v>0</v>
      </c>
      <c r="U241" s="139">
        <f t="shared" si="446"/>
        <v>0</v>
      </c>
      <c r="V241" s="139">
        <f t="shared" si="446"/>
        <v>0</v>
      </c>
      <c r="W241" s="139">
        <f t="shared" si="446"/>
        <v>0</v>
      </c>
      <c r="X241" s="139">
        <f t="shared" si="446"/>
        <v>0</v>
      </c>
      <c r="Y241" s="139">
        <f t="shared" si="446"/>
        <v>0</v>
      </c>
      <c r="Z241" s="139">
        <f t="shared" si="446"/>
        <v>0</v>
      </c>
      <c r="AA241" s="139">
        <f t="shared" si="446"/>
        <v>0</v>
      </c>
      <c r="AB241" s="139">
        <f t="shared" si="446"/>
        <v>1526.08152535</v>
      </c>
      <c r="AC241" s="139">
        <f t="shared" si="446"/>
        <v>1790.9453171500004</v>
      </c>
      <c r="AD241" s="139">
        <f t="shared" si="446"/>
        <v>1602.7055615499999</v>
      </c>
      <c r="AE241" s="139">
        <f t="shared" si="446"/>
        <v>954.36748965000015</v>
      </c>
      <c r="AF241" s="139">
        <f t="shared" si="446"/>
        <v>961.1382921999998</v>
      </c>
      <c r="AG241" s="139">
        <f t="shared" si="446"/>
        <v>702.07096719999981</v>
      </c>
      <c r="AH241" s="139">
        <f t="shared" si="446"/>
        <v>431.1671739999997</v>
      </c>
      <c r="AI241" s="139">
        <f t="shared" si="446"/>
        <v>1229.9077159999997</v>
      </c>
      <c r="AJ241" s="139">
        <f t="shared" ref="AJ241:BO241" si="447">MIN(AJ240,MAX(AJ238-AJ239,0))</f>
        <v>1932.33547</v>
      </c>
      <c r="AK241" s="139">
        <f t="shared" si="447"/>
        <v>543.82421999999997</v>
      </c>
      <c r="AL241" s="139">
        <f t="shared" si="447"/>
        <v>634.4276119999995</v>
      </c>
      <c r="AM241" s="139">
        <f t="shared" si="447"/>
        <v>940.8268279999993</v>
      </c>
      <c r="AN241" s="139">
        <f t="shared" si="447"/>
        <v>1569.9324574725001</v>
      </c>
      <c r="AO241" s="139">
        <f t="shared" si="447"/>
        <v>1840.6333174025003</v>
      </c>
      <c r="AP241" s="139">
        <f t="shared" si="447"/>
        <v>1649.7030253425</v>
      </c>
      <c r="AQ241" s="139">
        <f t="shared" si="447"/>
        <v>985.05113777750012</v>
      </c>
      <c r="AR241" s="139">
        <f t="shared" si="447"/>
        <v>991.84753347000014</v>
      </c>
      <c r="AS241" s="139">
        <f t="shared" si="447"/>
        <v>726.20576971999981</v>
      </c>
      <c r="AT241" s="139">
        <f t="shared" si="447"/>
        <v>458.66249658324978</v>
      </c>
      <c r="AU241" s="139">
        <f t="shared" si="447"/>
        <v>1278.3110068555002</v>
      </c>
      <c r="AV241" s="139">
        <f t="shared" si="447"/>
        <v>1996.1010124662498</v>
      </c>
      <c r="AW241" s="139">
        <f t="shared" si="447"/>
        <v>574.73522637249971</v>
      </c>
      <c r="AX241" s="139">
        <f t="shared" si="447"/>
        <v>26.980768437496863</v>
      </c>
      <c r="AY241" s="139">
        <f t="shared" si="447"/>
        <v>0</v>
      </c>
      <c r="AZ241" s="139">
        <f t="shared" si="447"/>
        <v>0</v>
      </c>
      <c r="BA241" s="139">
        <f t="shared" si="447"/>
        <v>0</v>
      </c>
      <c r="BB241" s="139">
        <f t="shared" si="447"/>
        <v>0</v>
      </c>
      <c r="BC241" s="139">
        <f t="shared" si="447"/>
        <v>0</v>
      </c>
      <c r="BD241" s="139">
        <f t="shared" si="447"/>
        <v>0</v>
      </c>
      <c r="BE241" s="139">
        <f t="shared" si="447"/>
        <v>0</v>
      </c>
      <c r="BF241" s="139">
        <f t="shared" si="447"/>
        <v>0</v>
      </c>
      <c r="BG241" s="139">
        <f t="shared" si="447"/>
        <v>245.27003928982958</v>
      </c>
      <c r="BH241" s="139">
        <f t="shared" si="447"/>
        <v>0</v>
      </c>
      <c r="BI241" s="139">
        <f t="shared" si="447"/>
        <v>0</v>
      </c>
      <c r="BJ241" s="139">
        <f t="shared" si="447"/>
        <v>0</v>
      </c>
      <c r="BK241" s="139">
        <f t="shared" si="447"/>
        <v>233.2297389058549</v>
      </c>
      <c r="BL241" s="139">
        <f t="shared" si="447"/>
        <v>0</v>
      </c>
      <c r="BM241" s="139">
        <f t="shared" si="447"/>
        <v>0</v>
      </c>
      <c r="BN241" s="139">
        <f t="shared" si="447"/>
        <v>0</v>
      </c>
      <c r="BO241" s="139">
        <f t="shared" si="447"/>
        <v>0</v>
      </c>
      <c r="BP241" s="139">
        <f t="shared" ref="BP241:CU241" si="448">MIN(BP240,MAX(BP238-BP239,0))</f>
        <v>0</v>
      </c>
      <c r="BQ241" s="139">
        <f t="shared" si="448"/>
        <v>0</v>
      </c>
      <c r="BR241" s="139">
        <f t="shared" si="448"/>
        <v>0</v>
      </c>
      <c r="BS241" s="139">
        <f t="shared" si="448"/>
        <v>0</v>
      </c>
      <c r="BT241" s="139">
        <f t="shared" si="448"/>
        <v>0</v>
      </c>
      <c r="BU241" s="139">
        <f t="shared" si="448"/>
        <v>0</v>
      </c>
      <c r="BV241" s="139">
        <f t="shared" si="448"/>
        <v>0</v>
      </c>
      <c r="BW241" s="139">
        <f t="shared" si="448"/>
        <v>0</v>
      </c>
      <c r="BX241" s="139">
        <f t="shared" si="448"/>
        <v>0</v>
      </c>
      <c r="BY241" s="139">
        <f t="shared" si="448"/>
        <v>0</v>
      </c>
      <c r="BZ241" s="139">
        <f t="shared" si="448"/>
        <v>0</v>
      </c>
      <c r="CA241" s="139">
        <f t="shared" si="448"/>
        <v>0</v>
      </c>
      <c r="CB241" s="139">
        <f t="shared" si="448"/>
        <v>0</v>
      </c>
      <c r="CC241" s="139">
        <f t="shared" si="448"/>
        <v>0</v>
      </c>
      <c r="CD241" s="139">
        <f t="shared" si="448"/>
        <v>0</v>
      </c>
      <c r="CE241" s="139">
        <f t="shared" si="448"/>
        <v>0</v>
      </c>
      <c r="CF241" s="139">
        <f t="shared" si="448"/>
        <v>0</v>
      </c>
      <c r="CG241" s="139">
        <f t="shared" si="448"/>
        <v>0</v>
      </c>
      <c r="CH241" s="139">
        <f t="shared" si="448"/>
        <v>0</v>
      </c>
      <c r="CI241" s="139">
        <f t="shared" si="448"/>
        <v>0</v>
      </c>
      <c r="CJ241" s="139">
        <f t="shared" si="448"/>
        <v>0</v>
      </c>
      <c r="CK241" s="139">
        <f t="shared" si="448"/>
        <v>0</v>
      </c>
      <c r="CL241" s="139">
        <f t="shared" si="448"/>
        <v>0</v>
      </c>
      <c r="CM241" s="139">
        <f t="shared" si="448"/>
        <v>0</v>
      </c>
      <c r="CN241" s="139">
        <f t="shared" si="448"/>
        <v>0</v>
      </c>
      <c r="CO241" s="139">
        <f t="shared" si="448"/>
        <v>0</v>
      </c>
      <c r="CP241" s="139">
        <f t="shared" si="448"/>
        <v>0</v>
      </c>
      <c r="CQ241" s="139">
        <f t="shared" si="448"/>
        <v>0</v>
      </c>
      <c r="CR241" s="139">
        <f t="shared" si="448"/>
        <v>0</v>
      </c>
      <c r="CS241" s="139">
        <f t="shared" si="448"/>
        <v>0</v>
      </c>
      <c r="CT241" s="139">
        <f t="shared" si="448"/>
        <v>0</v>
      </c>
      <c r="CU241" s="139">
        <f t="shared" si="448"/>
        <v>0</v>
      </c>
      <c r="CV241" s="139">
        <f t="shared" ref="CV241:DS241" si="449">MIN(CV240,MAX(CV238-CV239,0))</f>
        <v>0</v>
      </c>
      <c r="CW241" s="139">
        <f t="shared" si="449"/>
        <v>0</v>
      </c>
      <c r="CX241" s="139">
        <f t="shared" si="449"/>
        <v>0</v>
      </c>
      <c r="CY241" s="139">
        <f t="shared" si="449"/>
        <v>0</v>
      </c>
      <c r="CZ241" s="139">
        <f t="shared" si="449"/>
        <v>0</v>
      </c>
      <c r="DA241" s="139">
        <f t="shared" si="449"/>
        <v>0</v>
      </c>
      <c r="DB241" s="139">
        <f t="shared" si="449"/>
        <v>4322</v>
      </c>
      <c r="DC241" s="139">
        <f t="shared" si="449"/>
        <v>5371</v>
      </c>
      <c r="DD241" s="139">
        <f t="shared" si="449"/>
        <v>5756</v>
      </c>
      <c r="DE241" s="139">
        <f t="shared" si="449"/>
        <v>4662</v>
      </c>
      <c r="DF241" s="139">
        <f t="shared" si="449"/>
        <v>4758</v>
      </c>
      <c r="DG241" s="139">
        <f t="shared" si="449"/>
        <v>4855</v>
      </c>
      <c r="DH241" s="139">
        <f t="shared" si="449"/>
        <v>4937</v>
      </c>
      <c r="DI241" s="139">
        <f t="shared" si="449"/>
        <v>5415</v>
      </c>
      <c r="DJ241" s="139">
        <f t="shared" si="449"/>
        <v>5851</v>
      </c>
      <c r="DK241" s="139">
        <f t="shared" si="449"/>
        <v>4837</v>
      </c>
      <c r="DL241" s="139">
        <f t="shared" si="449"/>
        <v>4947</v>
      </c>
      <c r="DM241" s="139">
        <f t="shared" si="449"/>
        <v>4513</v>
      </c>
      <c r="DN241" s="139">
        <f t="shared" si="449"/>
        <v>4430</v>
      </c>
      <c r="DO241" s="139">
        <f t="shared" si="449"/>
        <v>4140.8130206209462</v>
      </c>
      <c r="DP241" s="139">
        <f t="shared" si="449"/>
        <v>0</v>
      </c>
      <c r="DQ241" s="139">
        <f t="shared" si="449"/>
        <v>0</v>
      </c>
      <c r="DR241" s="139">
        <f t="shared" si="449"/>
        <v>0</v>
      </c>
      <c r="DS241" s="139">
        <f t="shared" si="449"/>
        <v>0</v>
      </c>
    </row>
    <row r="242" spans="1:123" ht="12.75" customHeight="1" x14ac:dyDescent="0.35">
      <c r="A242" s="173" t="s">
        <v>519</v>
      </c>
      <c r="B242" s="157">
        <f>AA242</f>
        <v>25347.961924999996</v>
      </c>
      <c r="C242" s="169" t="s">
        <v>169</v>
      </c>
      <c r="D242" s="157">
        <f t="shared" ref="D242:AI242" si="450">MAX(D240-D241,0)+MAX(D239-D238,0)</f>
        <v>0</v>
      </c>
      <c r="E242" s="157">
        <f t="shared" si="450"/>
        <v>0</v>
      </c>
      <c r="F242" s="157">
        <f t="shared" si="450"/>
        <v>0</v>
      </c>
      <c r="G242" s="157">
        <f t="shared" si="450"/>
        <v>0</v>
      </c>
      <c r="H242" s="157">
        <f t="shared" si="450"/>
        <v>1553.42</v>
      </c>
      <c r="I242" s="157">
        <f t="shared" si="450"/>
        <v>3271.34</v>
      </c>
      <c r="J242" s="157">
        <f t="shared" si="450"/>
        <v>4787.2550000000001</v>
      </c>
      <c r="K242" s="157">
        <f t="shared" si="450"/>
        <v>5577.7419499999996</v>
      </c>
      <c r="L242" s="157">
        <f t="shared" si="450"/>
        <v>5486.0390749999997</v>
      </c>
      <c r="M242" s="157">
        <f t="shared" si="450"/>
        <v>6973.2893249999997</v>
      </c>
      <c r="N242" s="157">
        <f t="shared" si="450"/>
        <v>8398.9679950000009</v>
      </c>
      <c r="O242" s="157">
        <f t="shared" si="450"/>
        <v>9402.8522250000024</v>
      </c>
      <c r="P242" s="157">
        <f t="shared" si="450"/>
        <v>9878.5330600000016</v>
      </c>
      <c r="Q242" s="157">
        <f t="shared" si="450"/>
        <v>10200.301475</v>
      </c>
      <c r="R242" s="157">
        <f t="shared" si="450"/>
        <v>11119.341530000002</v>
      </c>
      <c r="S242" s="157">
        <f t="shared" si="450"/>
        <v>12517.632195000002</v>
      </c>
      <c r="T242" s="157">
        <f t="shared" si="450"/>
        <v>14455.583735000002</v>
      </c>
      <c r="U242" s="157">
        <f t="shared" si="450"/>
        <v>16551.032775</v>
      </c>
      <c r="V242" s="157">
        <f t="shared" si="450"/>
        <v>18421.88913</v>
      </c>
      <c r="W242" s="157">
        <f t="shared" si="450"/>
        <v>19696.618699999999</v>
      </c>
      <c r="X242" s="157">
        <f t="shared" si="450"/>
        <v>20036.417474999998</v>
      </c>
      <c r="Y242" s="157">
        <f t="shared" si="450"/>
        <v>22018.600624999999</v>
      </c>
      <c r="Z242" s="157">
        <f t="shared" si="450"/>
        <v>23909.079614999999</v>
      </c>
      <c r="AA242" s="157">
        <f t="shared" si="450"/>
        <v>25347.961924999996</v>
      </c>
      <c r="AB242" s="157">
        <f t="shared" si="450"/>
        <v>23821.880399649996</v>
      </c>
      <c r="AC242" s="157">
        <f t="shared" si="450"/>
        <v>22030.935082499996</v>
      </c>
      <c r="AD242" s="157">
        <f t="shared" si="450"/>
        <v>20428.229520949997</v>
      </c>
      <c r="AE242" s="157">
        <f t="shared" si="450"/>
        <v>19473.862031299996</v>
      </c>
      <c r="AF242" s="157">
        <f t="shared" si="450"/>
        <v>18512.723739099994</v>
      </c>
      <c r="AG242" s="157">
        <f t="shared" si="450"/>
        <v>17810.652771899993</v>
      </c>
      <c r="AH242" s="157">
        <f t="shared" si="450"/>
        <v>17379.485597899995</v>
      </c>
      <c r="AI242" s="157">
        <f t="shared" si="450"/>
        <v>16149.577881899995</v>
      </c>
      <c r="AJ242" s="157">
        <f t="shared" ref="AJ242:BO242" si="451">MAX(AJ240-AJ241,0)+MAX(AJ239-AJ238,0)</f>
        <v>14217.242411899995</v>
      </c>
      <c r="AK242" s="157">
        <f t="shared" si="451"/>
        <v>13673.418191899995</v>
      </c>
      <c r="AL242" s="157">
        <f t="shared" si="451"/>
        <v>13038.990579899995</v>
      </c>
      <c r="AM242" s="157">
        <f t="shared" si="451"/>
        <v>12098.163751899996</v>
      </c>
      <c r="AN242" s="157">
        <f t="shared" si="451"/>
        <v>10528.231294427496</v>
      </c>
      <c r="AO242" s="157">
        <f t="shared" si="451"/>
        <v>8687.597977024996</v>
      </c>
      <c r="AP242" s="157">
        <f t="shared" si="451"/>
        <v>7037.894951682496</v>
      </c>
      <c r="AQ242" s="157">
        <f t="shared" si="451"/>
        <v>6052.8438139049958</v>
      </c>
      <c r="AR242" s="157">
        <f t="shared" si="451"/>
        <v>5060.9962804349962</v>
      </c>
      <c r="AS242" s="157">
        <f t="shared" si="451"/>
        <v>4334.7905107149963</v>
      </c>
      <c r="AT242" s="157">
        <f t="shared" si="451"/>
        <v>3876.1280141317466</v>
      </c>
      <c r="AU242" s="157">
        <f t="shared" si="451"/>
        <v>2597.8170072762464</v>
      </c>
      <c r="AV242" s="157">
        <f t="shared" si="451"/>
        <v>601.71599480999657</v>
      </c>
      <c r="AW242" s="157">
        <f t="shared" si="451"/>
        <v>26.980768437496863</v>
      </c>
      <c r="AX242" s="157">
        <f t="shared" si="451"/>
        <v>0</v>
      </c>
      <c r="AY242" s="157">
        <f t="shared" si="451"/>
        <v>0</v>
      </c>
      <c r="AZ242" s="157">
        <f t="shared" si="451"/>
        <v>0</v>
      </c>
      <c r="BA242" s="157">
        <f t="shared" si="451"/>
        <v>0</v>
      </c>
      <c r="BB242" s="157">
        <f t="shared" si="451"/>
        <v>0</v>
      </c>
      <c r="BC242" s="157">
        <f t="shared" si="451"/>
        <v>0</v>
      </c>
      <c r="BD242" s="157">
        <f t="shared" si="451"/>
        <v>0</v>
      </c>
      <c r="BE242" s="157">
        <f t="shared" si="451"/>
        <v>0</v>
      </c>
      <c r="BF242" s="157">
        <f t="shared" si="451"/>
        <v>245.27003928982958</v>
      </c>
      <c r="BG242" s="157">
        <f t="shared" si="451"/>
        <v>0</v>
      </c>
      <c r="BH242" s="157">
        <f t="shared" si="451"/>
        <v>0</v>
      </c>
      <c r="BI242" s="157">
        <f t="shared" si="451"/>
        <v>164.9136814079875</v>
      </c>
      <c r="BJ242" s="157">
        <f t="shared" si="451"/>
        <v>233.2297389058549</v>
      </c>
      <c r="BK242" s="157">
        <f t="shared" si="451"/>
        <v>0</v>
      </c>
      <c r="BL242" s="157">
        <f t="shared" si="451"/>
        <v>1158.5951632056122</v>
      </c>
      <c r="BM242" s="157">
        <f t="shared" si="451"/>
        <v>2179.2745304930095</v>
      </c>
      <c r="BN242" s="157">
        <f t="shared" si="451"/>
        <v>3992.9236491269576</v>
      </c>
      <c r="BO242" s="157">
        <f t="shared" si="451"/>
        <v>6286.8958641673407</v>
      </c>
      <c r="BP242" s="157">
        <f t="shared" ref="BP242:CU242" si="452">MAX(BP240-BP241,0)+MAX(BP239-BP238,0)</f>
        <v>8665.6936483201262</v>
      </c>
      <c r="BQ242" s="157">
        <f t="shared" si="452"/>
        <v>11210.432993759885</v>
      </c>
      <c r="BR242" s="157">
        <f t="shared" si="452"/>
        <v>13514.842550593383</v>
      </c>
      <c r="BS242" s="157">
        <f t="shared" si="452"/>
        <v>15047.012069482771</v>
      </c>
      <c r="BT242" s="157">
        <f t="shared" si="452"/>
        <v>15511.150480369604</v>
      </c>
      <c r="BU242" s="157">
        <f t="shared" si="452"/>
        <v>17845.239069258227</v>
      </c>
      <c r="BV242" s="157">
        <f t="shared" si="452"/>
        <v>20075.753575108953</v>
      </c>
      <c r="BW242" s="157">
        <f t="shared" si="452"/>
        <v>21788.976152101186</v>
      </c>
      <c r="BX242" s="157">
        <f t="shared" si="452"/>
        <v>22811.673933651349</v>
      </c>
      <c r="BY242" s="157">
        <f t="shared" si="452"/>
        <v>23685.199278196167</v>
      </c>
      <c r="BZ242" s="157">
        <f t="shared" si="452"/>
        <v>25336.65239082996</v>
      </c>
      <c r="CA242" s="157">
        <f t="shared" si="452"/>
        <v>27493.290433137321</v>
      </c>
      <c r="CB242" s="157">
        <f t="shared" si="452"/>
        <v>29730.96960755944</v>
      </c>
      <c r="CC242" s="157">
        <f t="shared" si="452"/>
        <v>32145.55402508382</v>
      </c>
      <c r="CD242" s="157">
        <f t="shared" si="452"/>
        <v>34322.572027690141</v>
      </c>
      <c r="CE242" s="157">
        <f t="shared" si="452"/>
        <v>35701.475184586314</v>
      </c>
      <c r="CF242" s="157">
        <f t="shared" si="452"/>
        <v>36007.425845911639</v>
      </c>
      <c r="CG242" s="157">
        <f t="shared" si="452"/>
        <v>38204.624056432178</v>
      </c>
      <c r="CH242" s="157">
        <f t="shared" si="452"/>
        <v>40295.311375446458</v>
      </c>
      <c r="CI242" s="157">
        <f t="shared" si="452"/>
        <v>41869.555117902484</v>
      </c>
      <c r="CJ242" s="157">
        <f t="shared" si="452"/>
        <v>42753.330420382525</v>
      </c>
      <c r="CK242" s="157">
        <f t="shared" si="452"/>
        <v>43475.675325025397</v>
      </c>
      <c r="CL242" s="157">
        <f t="shared" si="452"/>
        <v>44960.900719327743</v>
      </c>
      <c r="CM242" s="157">
        <f t="shared" si="452"/>
        <v>46976.174831898039</v>
      </c>
      <c r="CN242" s="157">
        <f t="shared" si="452"/>
        <v>49070.704815757097</v>
      </c>
      <c r="CO242" s="157">
        <f t="shared" si="452"/>
        <v>51352.104736607842</v>
      </c>
      <c r="CP242" s="157">
        <f t="shared" si="452"/>
        <v>53398.71993428986</v>
      </c>
      <c r="CQ242" s="157">
        <f t="shared" si="452"/>
        <v>54621.345119180667</v>
      </c>
      <c r="CR242" s="157">
        <f t="shared" si="452"/>
        <v>54765.097685429253</v>
      </c>
      <c r="CS242" s="157">
        <f t="shared" si="452"/>
        <v>56822.393651263577</v>
      </c>
      <c r="CT242" s="157">
        <f t="shared" si="452"/>
        <v>58771.241943078305</v>
      </c>
      <c r="CU242" s="157">
        <f t="shared" si="452"/>
        <v>60202.495769819834</v>
      </c>
      <c r="CV242" s="157">
        <f t="shared" ref="CV242:DS242" si="453">MAX(CV240-CV241,0)+MAX(CV239-CV238,0)</f>
        <v>60945.319004939003</v>
      </c>
      <c r="CW242" s="157">
        <f t="shared" si="453"/>
        <v>61513.452325492297</v>
      </c>
      <c r="CX242" s="157">
        <f t="shared" si="453"/>
        <v>62829.412614597226</v>
      </c>
      <c r="CY242" s="157">
        <f t="shared" si="453"/>
        <v>64701.287715773688</v>
      </c>
      <c r="CZ242" s="157">
        <f t="shared" si="453"/>
        <v>66648.632456170526</v>
      </c>
      <c r="DA242" s="157">
        <f t="shared" si="453"/>
        <v>68794.813020620946</v>
      </c>
      <c r="DB242" s="157">
        <f t="shared" si="453"/>
        <v>64472.813020620946</v>
      </c>
      <c r="DC242" s="157">
        <f t="shared" si="453"/>
        <v>59101.813020620946</v>
      </c>
      <c r="DD242" s="157">
        <f t="shared" si="453"/>
        <v>53345.813020620946</v>
      </c>
      <c r="DE242" s="157">
        <f t="shared" si="453"/>
        <v>48683.813020620946</v>
      </c>
      <c r="DF242" s="157">
        <f t="shared" si="453"/>
        <v>43925.813020620946</v>
      </c>
      <c r="DG242" s="157">
        <f t="shared" si="453"/>
        <v>39070.813020620946</v>
      </c>
      <c r="DH242" s="157">
        <f t="shared" si="453"/>
        <v>34133.813020620946</v>
      </c>
      <c r="DI242" s="157">
        <f t="shared" si="453"/>
        <v>28718.813020620946</v>
      </c>
      <c r="DJ242" s="157">
        <f t="shared" si="453"/>
        <v>22867.813020620946</v>
      </c>
      <c r="DK242" s="157">
        <f t="shared" si="453"/>
        <v>18030.813020620946</v>
      </c>
      <c r="DL242" s="157">
        <f t="shared" si="453"/>
        <v>13083.813020620946</v>
      </c>
      <c r="DM242" s="157">
        <f t="shared" si="453"/>
        <v>8570.8130206209462</v>
      </c>
      <c r="DN242" s="157">
        <f t="shared" si="453"/>
        <v>4140.8130206209462</v>
      </c>
      <c r="DO242" s="157">
        <f t="shared" si="453"/>
        <v>0</v>
      </c>
      <c r="DP242" s="157">
        <f t="shared" si="453"/>
        <v>0</v>
      </c>
      <c r="DQ242" s="157">
        <f t="shared" si="453"/>
        <v>0</v>
      </c>
      <c r="DR242" s="157">
        <f t="shared" si="453"/>
        <v>0</v>
      </c>
      <c r="DS242" s="157">
        <f t="shared" si="453"/>
        <v>0</v>
      </c>
    </row>
    <row r="243" spans="1:123" ht="12.75" customHeight="1" x14ac:dyDescent="0.35">
      <c r="A243" s="146" t="s">
        <v>520</v>
      </c>
      <c r="B243" s="169">
        <f>AA243</f>
        <v>0</v>
      </c>
      <c r="C243" s="169" t="s">
        <v>169</v>
      </c>
      <c r="D243" s="139">
        <f>0</f>
        <v>0</v>
      </c>
      <c r="E243" s="139">
        <f>0</f>
        <v>0</v>
      </c>
      <c r="F243" s="139">
        <f>0</f>
        <v>0</v>
      </c>
      <c r="G243" s="139">
        <f>0</f>
        <v>0</v>
      </c>
      <c r="H243" s="139">
        <f>0</f>
        <v>0</v>
      </c>
      <c r="I243" s="139">
        <f>0</f>
        <v>0</v>
      </c>
      <c r="J243" s="139">
        <f>0</f>
        <v>0</v>
      </c>
      <c r="K243" s="139">
        <f>0</f>
        <v>0</v>
      </c>
      <c r="L243" s="139">
        <f>0</f>
        <v>0</v>
      </c>
      <c r="M243" s="139">
        <f>0</f>
        <v>0</v>
      </c>
      <c r="N243" s="139">
        <f>0</f>
        <v>0</v>
      </c>
      <c r="O243" s="139">
        <f>0</f>
        <v>0</v>
      </c>
      <c r="P243" s="139">
        <f>0</f>
        <v>0</v>
      </c>
      <c r="Q243" s="139">
        <f>0</f>
        <v>0</v>
      </c>
      <c r="R243" s="139">
        <f>0</f>
        <v>0</v>
      </c>
      <c r="S243" s="139">
        <f>0</f>
        <v>0</v>
      </c>
      <c r="T243" s="139">
        <f>0</f>
        <v>0</v>
      </c>
      <c r="U243" s="139">
        <f>0</f>
        <v>0</v>
      </c>
      <c r="V243" s="139">
        <f>0</f>
        <v>0</v>
      </c>
      <c r="W243" s="139">
        <f>0</f>
        <v>0</v>
      </c>
      <c r="X243" s="139">
        <f>0</f>
        <v>0</v>
      </c>
      <c r="Y243" s="139">
        <f>0</f>
        <v>0</v>
      </c>
      <c r="Z243" s="139">
        <f>0</f>
        <v>0</v>
      </c>
      <c r="AA243" s="139">
        <f>0</f>
        <v>0</v>
      </c>
      <c r="AB243" s="139">
        <f>0</f>
        <v>0</v>
      </c>
      <c r="AC243" s="139">
        <f>0</f>
        <v>0</v>
      </c>
      <c r="AD243" s="139">
        <f>0</f>
        <v>0</v>
      </c>
      <c r="AE243" s="139">
        <f>0</f>
        <v>0</v>
      </c>
      <c r="AF243" s="139">
        <f>0</f>
        <v>0</v>
      </c>
      <c r="AG243" s="139">
        <f>0</f>
        <v>0</v>
      </c>
      <c r="AH243" s="139">
        <f>0</f>
        <v>0</v>
      </c>
      <c r="AI243" s="139">
        <f>0</f>
        <v>0</v>
      </c>
      <c r="AJ243" s="139">
        <f>0</f>
        <v>0</v>
      </c>
      <c r="AK243" s="139">
        <f>0</f>
        <v>0</v>
      </c>
      <c r="AL243" s="139">
        <f>0</f>
        <v>0</v>
      </c>
      <c r="AM243" s="139">
        <f>0</f>
        <v>0</v>
      </c>
      <c r="AN243" s="139">
        <f>0</f>
        <v>0</v>
      </c>
      <c r="AO243" s="139">
        <f>0</f>
        <v>0</v>
      </c>
      <c r="AP243" s="139">
        <f>0</f>
        <v>0</v>
      </c>
      <c r="AQ243" s="139">
        <f>0</f>
        <v>0</v>
      </c>
      <c r="AR243" s="139">
        <f>0</f>
        <v>0</v>
      </c>
      <c r="AS243" s="139">
        <f>0</f>
        <v>0</v>
      </c>
      <c r="AT243" s="139">
        <f>0</f>
        <v>0</v>
      </c>
      <c r="AU243" s="139">
        <f>0</f>
        <v>0</v>
      </c>
      <c r="AV243" s="139">
        <f>0</f>
        <v>0</v>
      </c>
      <c r="AW243" s="139">
        <f>0</f>
        <v>0</v>
      </c>
      <c r="AX243" s="139">
        <f>0</f>
        <v>0</v>
      </c>
      <c r="AY243" s="139">
        <f>0</f>
        <v>0</v>
      </c>
      <c r="AZ243" s="139">
        <f>0</f>
        <v>0</v>
      </c>
      <c r="BA243" s="139">
        <f>0</f>
        <v>0</v>
      </c>
      <c r="BB243" s="139">
        <f>0</f>
        <v>0</v>
      </c>
      <c r="BC243" s="139">
        <f>0</f>
        <v>0</v>
      </c>
      <c r="BD243" s="139">
        <f>0</f>
        <v>0</v>
      </c>
      <c r="BE243" s="139">
        <f>0</f>
        <v>0</v>
      </c>
      <c r="BF243" s="139">
        <f>0</f>
        <v>0</v>
      </c>
      <c r="BG243" s="139">
        <f>0</f>
        <v>0</v>
      </c>
      <c r="BH243" s="139">
        <f>0</f>
        <v>0</v>
      </c>
      <c r="BI243" s="139">
        <f>0</f>
        <v>0</v>
      </c>
      <c r="BJ243" s="139">
        <f>0</f>
        <v>0</v>
      </c>
      <c r="BK243" s="139">
        <f>0</f>
        <v>0</v>
      </c>
      <c r="BL243" s="139">
        <f>0</f>
        <v>0</v>
      </c>
      <c r="BM243" s="139">
        <f>0</f>
        <v>0</v>
      </c>
      <c r="BN243" s="139">
        <f>0</f>
        <v>0</v>
      </c>
      <c r="BO243" s="139">
        <f>0</f>
        <v>0</v>
      </c>
      <c r="BP243" s="139">
        <f>0</f>
        <v>0</v>
      </c>
      <c r="BQ243" s="139">
        <f>0</f>
        <v>0</v>
      </c>
      <c r="BR243" s="139">
        <f>0</f>
        <v>0</v>
      </c>
      <c r="BS243" s="139">
        <f>0</f>
        <v>0</v>
      </c>
      <c r="BT243" s="139">
        <f>0</f>
        <v>0</v>
      </c>
      <c r="BU243" s="139">
        <f>0</f>
        <v>0</v>
      </c>
      <c r="BV243" s="139">
        <f>0</f>
        <v>0</v>
      </c>
      <c r="BW243" s="139">
        <f>0</f>
        <v>0</v>
      </c>
      <c r="BX243" s="139">
        <f>0</f>
        <v>0</v>
      </c>
      <c r="BY243" s="139">
        <f>0</f>
        <v>0</v>
      </c>
      <c r="BZ243" s="139">
        <f>0</f>
        <v>0</v>
      </c>
      <c r="CA243" s="139">
        <f>0</f>
        <v>0</v>
      </c>
      <c r="CB243" s="139">
        <f>0</f>
        <v>0</v>
      </c>
      <c r="CC243" s="139">
        <f>0</f>
        <v>0</v>
      </c>
      <c r="CD243" s="139">
        <f>0</f>
        <v>0</v>
      </c>
      <c r="CE243" s="139">
        <f>0</f>
        <v>0</v>
      </c>
      <c r="CF243" s="139">
        <f>0</f>
        <v>0</v>
      </c>
      <c r="CG243" s="139">
        <f>0</f>
        <v>0</v>
      </c>
      <c r="CH243" s="139">
        <f>0</f>
        <v>0</v>
      </c>
      <c r="CI243" s="139">
        <f>0</f>
        <v>0</v>
      </c>
      <c r="CJ243" s="139">
        <f>0</f>
        <v>0</v>
      </c>
      <c r="CK243" s="139">
        <f>0</f>
        <v>0</v>
      </c>
      <c r="CL243" s="139">
        <f>0</f>
        <v>0</v>
      </c>
      <c r="CM243" s="139">
        <f>0</f>
        <v>0</v>
      </c>
      <c r="CN243" s="139">
        <f>0</f>
        <v>0</v>
      </c>
      <c r="CO243" s="139">
        <f>0</f>
        <v>0</v>
      </c>
      <c r="CP243" s="139">
        <f>0</f>
        <v>0</v>
      </c>
      <c r="CQ243" s="139">
        <f>0</f>
        <v>0</v>
      </c>
      <c r="CR243" s="139">
        <f>0</f>
        <v>0</v>
      </c>
      <c r="CS243" s="139">
        <f>0</f>
        <v>0</v>
      </c>
      <c r="CT243" s="139">
        <f>0</f>
        <v>0</v>
      </c>
      <c r="CU243" s="139">
        <f>0</f>
        <v>0</v>
      </c>
      <c r="CV243" s="139">
        <f>0</f>
        <v>0</v>
      </c>
      <c r="CW243" s="139">
        <f>0</f>
        <v>0</v>
      </c>
      <c r="CX243" s="139">
        <f>0</f>
        <v>0</v>
      </c>
      <c r="CY243" s="139">
        <f>0</f>
        <v>0</v>
      </c>
      <c r="CZ243" s="139">
        <f>0</f>
        <v>0</v>
      </c>
      <c r="DA243" s="139">
        <f>0</f>
        <v>0</v>
      </c>
      <c r="DB243" s="139">
        <f>0</f>
        <v>0</v>
      </c>
      <c r="DC243" s="139">
        <f>0</f>
        <v>0</v>
      </c>
      <c r="DD243" s="139">
        <f>0</f>
        <v>0</v>
      </c>
      <c r="DE243" s="139">
        <f>0</f>
        <v>0</v>
      </c>
      <c r="DF243" s="139">
        <f>0</f>
        <v>0</v>
      </c>
      <c r="DG243" s="139">
        <f>0</f>
        <v>0</v>
      </c>
      <c r="DH243" s="139">
        <f>0</f>
        <v>0</v>
      </c>
      <c r="DI243" s="139">
        <f>0</f>
        <v>0</v>
      </c>
      <c r="DJ243" s="139">
        <f>0</f>
        <v>0</v>
      </c>
      <c r="DK243" s="139">
        <f>0</f>
        <v>0</v>
      </c>
      <c r="DL243" s="139">
        <f>0</f>
        <v>0</v>
      </c>
      <c r="DM243" s="139">
        <f>0</f>
        <v>0</v>
      </c>
      <c r="DN243" s="139">
        <f>0</f>
        <v>0</v>
      </c>
      <c r="DO243" s="139">
        <f>0</f>
        <v>0</v>
      </c>
      <c r="DP243" s="139">
        <f>0</f>
        <v>0</v>
      </c>
      <c r="DQ243" s="139">
        <f>0</f>
        <v>0</v>
      </c>
      <c r="DR243" s="139">
        <f>0</f>
        <v>0</v>
      </c>
      <c r="DS243" s="139">
        <f>0</f>
        <v>0</v>
      </c>
    </row>
    <row r="244" spans="1:123" ht="12.75" customHeight="1" x14ac:dyDescent="0.35">
      <c r="A244" s="146" t="s">
        <v>521</v>
      </c>
      <c r="B244" s="169">
        <f>SUM(D244:BQ244)</f>
        <v>0</v>
      </c>
      <c r="C244" s="169">
        <f>B244/60</f>
        <v>0</v>
      </c>
      <c r="D244" s="139">
        <f>0</f>
        <v>0</v>
      </c>
      <c r="E244" s="139">
        <f>0</f>
        <v>0</v>
      </c>
      <c r="F244" s="139">
        <f>0</f>
        <v>0</v>
      </c>
      <c r="G244" s="139">
        <f>0</f>
        <v>0</v>
      </c>
      <c r="H244" s="139">
        <f>0</f>
        <v>0</v>
      </c>
      <c r="I244" s="139">
        <f>0</f>
        <v>0</v>
      </c>
      <c r="J244" s="139">
        <f>0</f>
        <v>0</v>
      </c>
      <c r="K244" s="139">
        <f>0</f>
        <v>0</v>
      </c>
      <c r="L244" s="139">
        <f>0</f>
        <v>0</v>
      </c>
      <c r="M244" s="139">
        <f>0</f>
        <v>0</v>
      </c>
      <c r="N244" s="139">
        <f>0</f>
        <v>0</v>
      </c>
      <c r="O244" s="139">
        <f>0</f>
        <v>0</v>
      </c>
      <c r="P244" s="139">
        <f>0</f>
        <v>0</v>
      </c>
      <c r="Q244" s="139">
        <f>0</f>
        <v>0</v>
      </c>
      <c r="R244" s="139">
        <f>0</f>
        <v>0</v>
      </c>
      <c r="S244" s="139">
        <f>0</f>
        <v>0</v>
      </c>
      <c r="T244" s="139">
        <f>0</f>
        <v>0</v>
      </c>
      <c r="U244" s="139">
        <f>0</f>
        <v>0</v>
      </c>
      <c r="V244" s="139">
        <f>0</f>
        <v>0</v>
      </c>
      <c r="W244" s="139">
        <f>0</f>
        <v>0</v>
      </c>
      <c r="X244" s="139">
        <f>0</f>
        <v>0</v>
      </c>
      <c r="Y244" s="139">
        <f>0</f>
        <v>0</v>
      </c>
      <c r="Z244" s="139">
        <f>0</f>
        <v>0</v>
      </c>
      <c r="AA244" s="139">
        <f>0</f>
        <v>0</v>
      </c>
      <c r="AB244" s="139">
        <f>0</f>
        <v>0</v>
      </c>
      <c r="AC244" s="139">
        <f>0</f>
        <v>0</v>
      </c>
      <c r="AD244" s="139">
        <f>0</f>
        <v>0</v>
      </c>
      <c r="AE244" s="139">
        <f>0</f>
        <v>0</v>
      </c>
      <c r="AF244" s="139">
        <f>0</f>
        <v>0</v>
      </c>
      <c r="AG244" s="139">
        <f>0</f>
        <v>0</v>
      </c>
      <c r="AH244" s="139">
        <f>0</f>
        <v>0</v>
      </c>
      <c r="AI244" s="139">
        <f>0</f>
        <v>0</v>
      </c>
      <c r="AJ244" s="139">
        <f>0</f>
        <v>0</v>
      </c>
      <c r="AK244" s="139">
        <f>0</f>
        <v>0</v>
      </c>
      <c r="AL244" s="139">
        <f>0</f>
        <v>0</v>
      </c>
      <c r="AM244" s="139">
        <f>0</f>
        <v>0</v>
      </c>
      <c r="AN244" s="139">
        <f>0</f>
        <v>0</v>
      </c>
      <c r="AO244" s="139">
        <f>0</f>
        <v>0</v>
      </c>
      <c r="AP244" s="139">
        <f>0</f>
        <v>0</v>
      </c>
      <c r="AQ244" s="139">
        <f>0</f>
        <v>0</v>
      </c>
      <c r="AR244" s="139">
        <f>0</f>
        <v>0</v>
      </c>
      <c r="AS244" s="139">
        <f>0</f>
        <v>0</v>
      </c>
      <c r="AT244" s="139">
        <f>0</f>
        <v>0</v>
      </c>
      <c r="AU244" s="139">
        <f>0</f>
        <v>0</v>
      </c>
      <c r="AV244" s="139">
        <f>0</f>
        <v>0</v>
      </c>
      <c r="AW244" s="139">
        <f>0</f>
        <v>0</v>
      </c>
      <c r="AX244" s="139">
        <f>0</f>
        <v>0</v>
      </c>
      <c r="AY244" s="139">
        <f>0</f>
        <v>0</v>
      </c>
      <c r="AZ244" s="139">
        <f>0</f>
        <v>0</v>
      </c>
      <c r="BA244" s="139">
        <f>0</f>
        <v>0</v>
      </c>
      <c r="BB244" s="139">
        <f>0</f>
        <v>0</v>
      </c>
      <c r="BC244" s="139">
        <f>0</f>
        <v>0</v>
      </c>
      <c r="BD244" s="139">
        <f>0</f>
        <v>0</v>
      </c>
      <c r="BE244" s="139">
        <f>0</f>
        <v>0</v>
      </c>
      <c r="BF244" s="139">
        <f>0</f>
        <v>0</v>
      </c>
      <c r="BG244" s="139">
        <f>0</f>
        <v>0</v>
      </c>
      <c r="BH244" s="139">
        <f>0</f>
        <v>0</v>
      </c>
      <c r="BI244" s="139">
        <f>0</f>
        <v>0</v>
      </c>
      <c r="BJ244" s="139">
        <f>0</f>
        <v>0</v>
      </c>
      <c r="BK244" s="139">
        <f>0</f>
        <v>0</v>
      </c>
      <c r="BL244" s="139">
        <f>0</f>
        <v>0</v>
      </c>
      <c r="BM244" s="139">
        <f>0</f>
        <v>0</v>
      </c>
      <c r="BN244" s="139">
        <f>0</f>
        <v>0</v>
      </c>
      <c r="BO244" s="139">
        <f>0</f>
        <v>0</v>
      </c>
      <c r="BP244" s="139">
        <f>0</f>
        <v>0</v>
      </c>
      <c r="BQ244" s="139">
        <f>0</f>
        <v>0</v>
      </c>
      <c r="BR244" s="139">
        <f>0</f>
        <v>0</v>
      </c>
      <c r="BS244" s="139">
        <f>0</f>
        <v>0</v>
      </c>
      <c r="BT244" s="139">
        <f>0</f>
        <v>0</v>
      </c>
      <c r="BU244" s="139">
        <f>0</f>
        <v>0</v>
      </c>
      <c r="BV244" s="139">
        <f>0</f>
        <v>0</v>
      </c>
      <c r="BW244" s="139">
        <f>0</f>
        <v>0</v>
      </c>
      <c r="BX244" s="139">
        <f>0</f>
        <v>0</v>
      </c>
      <c r="BY244" s="139">
        <f>0</f>
        <v>0</v>
      </c>
      <c r="BZ244" s="139">
        <f>0</f>
        <v>0</v>
      </c>
      <c r="CA244" s="139">
        <f>0</f>
        <v>0</v>
      </c>
      <c r="CB244" s="139">
        <f>0</f>
        <v>0</v>
      </c>
      <c r="CC244" s="139">
        <f>0</f>
        <v>0</v>
      </c>
      <c r="CD244" s="139">
        <f>0</f>
        <v>0</v>
      </c>
      <c r="CE244" s="139">
        <f>0</f>
        <v>0</v>
      </c>
      <c r="CF244" s="139">
        <f>0</f>
        <v>0</v>
      </c>
      <c r="CG244" s="139">
        <f>0</f>
        <v>0</v>
      </c>
      <c r="CH244" s="139">
        <f>0</f>
        <v>0</v>
      </c>
      <c r="CI244" s="139">
        <f>0</f>
        <v>0</v>
      </c>
      <c r="CJ244" s="139">
        <f>0</f>
        <v>0</v>
      </c>
      <c r="CK244" s="139">
        <f>0</f>
        <v>0</v>
      </c>
      <c r="CL244" s="139">
        <f>0</f>
        <v>0</v>
      </c>
      <c r="CM244" s="139">
        <f>0</f>
        <v>0</v>
      </c>
      <c r="CN244" s="139">
        <f>0</f>
        <v>0</v>
      </c>
      <c r="CO244" s="139">
        <f>0</f>
        <v>0</v>
      </c>
      <c r="CP244" s="139">
        <f>0</f>
        <v>0</v>
      </c>
      <c r="CQ244" s="139">
        <f>0</f>
        <v>0</v>
      </c>
      <c r="CR244" s="139">
        <f>0</f>
        <v>0</v>
      </c>
      <c r="CS244" s="139">
        <f>0</f>
        <v>0</v>
      </c>
      <c r="CT244" s="139">
        <f>0</f>
        <v>0</v>
      </c>
      <c r="CU244" s="139">
        <f>0</f>
        <v>0</v>
      </c>
      <c r="CV244" s="139">
        <f>0</f>
        <v>0</v>
      </c>
      <c r="CW244" s="139">
        <f>0</f>
        <v>0</v>
      </c>
      <c r="CX244" s="139">
        <f>0</f>
        <v>0</v>
      </c>
      <c r="CY244" s="139">
        <f>0</f>
        <v>0</v>
      </c>
      <c r="CZ244" s="139">
        <f>0</f>
        <v>0</v>
      </c>
      <c r="DA244" s="139">
        <f>0</f>
        <v>0</v>
      </c>
      <c r="DB244" s="139">
        <f>0</f>
        <v>0</v>
      </c>
      <c r="DC244" s="139">
        <f>0</f>
        <v>0</v>
      </c>
      <c r="DD244" s="139">
        <f>0</f>
        <v>0</v>
      </c>
      <c r="DE244" s="139">
        <f>0</f>
        <v>0</v>
      </c>
      <c r="DF244" s="139">
        <f>0</f>
        <v>0</v>
      </c>
      <c r="DG244" s="139">
        <f>0</f>
        <v>0</v>
      </c>
      <c r="DH244" s="139">
        <f>0</f>
        <v>0</v>
      </c>
      <c r="DI244" s="139">
        <f>0</f>
        <v>0</v>
      </c>
      <c r="DJ244" s="139">
        <f>0</f>
        <v>0</v>
      </c>
      <c r="DK244" s="139">
        <f>0</f>
        <v>0</v>
      </c>
      <c r="DL244" s="139">
        <f>0</f>
        <v>0</v>
      </c>
      <c r="DM244" s="139">
        <f>0</f>
        <v>0</v>
      </c>
      <c r="DN244" s="139">
        <f>0</f>
        <v>0</v>
      </c>
      <c r="DO244" s="139">
        <f>0</f>
        <v>0</v>
      </c>
      <c r="DP244" s="139">
        <f>0</f>
        <v>0</v>
      </c>
      <c r="DQ244" s="139">
        <f>0</f>
        <v>0</v>
      </c>
      <c r="DR244" s="139">
        <f>0</f>
        <v>0</v>
      </c>
      <c r="DS244" s="139">
        <f>0</f>
        <v>0</v>
      </c>
    </row>
    <row r="245" spans="1:123" ht="12.75" customHeight="1" x14ac:dyDescent="0.35">
      <c r="A245" s="146" t="s">
        <v>522</v>
      </c>
      <c r="B245" s="169">
        <f>AA245</f>
        <v>0</v>
      </c>
      <c r="C245" s="169" t="s">
        <v>169</v>
      </c>
      <c r="D245" s="139">
        <f>0</f>
        <v>0</v>
      </c>
      <c r="E245" s="139">
        <f>0</f>
        <v>0</v>
      </c>
      <c r="F245" s="139">
        <f>0</f>
        <v>0</v>
      </c>
      <c r="G245" s="139">
        <f>0</f>
        <v>0</v>
      </c>
      <c r="H245" s="139">
        <f>0</f>
        <v>0</v>
      </c>
      <c r="I245" s="139">
        <f>0</f>
        <v>0</v>
      </c>
      <c r="J245" s="139">
        <f>0</f>
        <v>0</v>
      </c>
      <c r="K245" s="139">
        <f>0</f>
        <v>0</v>
      </c>
      <c r="L245" s="139">
        <f>0</f>
        <v>0</v>
      </c>
      <c r="M245" s="139">
        <f>0</f>
        <v>0</v>
      </c>
      <c r="N245" s="139">
        <f>0</f>
        <v>0</v>
      </c>
      <c r="O245" s="139">
        <f>0</f>
        <v>0</v>
      </c>
      <c r="P245" s="139">
        <f>0</f>
        <v>0</v>
      </c>
      <c r="Q245" s="139">
        <f>0</f>
        <v>0</v>
      </c>
      <c r="R245" s="139">
        <f>0</f>
        <v>0</v>
      </c>
      <c r="S245" s="139">
        <f>0</f>
        <v>0</v>
      </c>
      <c r="T245" s="139">
        <f>0</f>
        <v>0</v>
      </c>
      <c r="U245" s="139">
        <f>0</f>
        <v>0</v>
      </c>
      <c r="V245" s="139">
        <f>0</f>
        <v>0</v>
      </c>
      <c r="W245" s="139">
        <f>0</f>
        <v>0</v>
      </c>
      <c r="X245" s="139">
        <f>0</f>
        <v>0</v>
      </c>
      <c r="Y245" s="139">
        <f>0</f>
        <v>0</v>
      </c>
      <c r="Z245" s="139">
        <f>0</f>
        <v>0</v>
      </c>
      <c r="AA245" s="139">
        <f>0</f>
        <v>0</v>
      </c>
      <c r="AB245" s="139">
        <f>0</f>
        <v>0</v>
      </c>
      <c r="AC245" s="139">
        <f>0</f>
        <v>0</v>
      </c>
      <c r="AD245" s="139">
        <f>0</f>
        <v>0</v>
      </c>
      <c r="AE245" s="139">
        <f>0</f>
        <v>0</v>
      </c>
      <c r="AF245" s="139">
        <f>0</f>
        <v>0</v>
      </c>
      <c r="AG245" s="139">
        <f>0</f>
        <v>0</v>
      </c>
      <c r="AH245" s="139">
        <f>0</f>
        <v>0</v>
      </c>
      <c r="AI245" s="139">
        <f>0</f>
        <v>0</v>
      </c>
      <c r="AJ245" s="139">
        <f>0</f>
        <v>0</v>
      </c>
      <c r="AK245" s="139">
        <f>0</f>
        <v>0</v>
      </c>
      <c r="AL245" s="139">
        <f>0</f>
        <v>0</v>
      </c>
      <c r="AM245" s="139">
        <f>0</f>
        <v>0</v>
      </c>
      <c r="AN245" s="139">
        <f>0</f>
        <v>0</v>
      </c>
      <c r="AO245" s="139">
        <f>0</f>
        <v>0</v>
      </c>
      <c r="AP245" s="139">
        <f>0</f>
        <v>0</v>
      </c>
      <c r="AQ245" s="139">
        <f>0</f>
        <v>0</v>
      </c>
      <c r="AR245" s="139">
        <f>0</f>
        <v>0</v>
      </c>
      <c r="AS245" s="139">
        <f>0</f>
        <v>0</v>
      </c>
      <c r="AT245" s="139">
        <f>0</f>
        <v>0</v>
      </c>
      <c r="AU245" s="139">
        <f>0</f>
        <v>0</v>
      </c>
      <c r="AV245" s="139">
        <f>0</f>
        <v>0</v>
      </c>
      <c r="AW245" s="139">
        <f>0</f>
        <v>0</v>
      </c>
      <c r="AX245" s="139">
        <f>0</f>
        <v>0</v>
      </c>
      <c r="AY245" s="139">
        <f>0</f>
        <v>0</v>
      </c>
      <c r="AZ245" s="139">
        <f>0</f>
        <v>0</v>
      </c>
      <c r="BA245" s="139">
        <f>0</f>
        <v>0</v>
      </c>
      <c r="BB245" s="139">
        <f>0</f>
        <v>0</v>
      </c>
      <c r="BC245" s="139">
        <f>0</f>
        <v>0</v>
      </c>
      <c r="BD245" s="139">
        <f>0</f>
        <v>0</v>
      </c>
      <c r="BE245" s="139">
        <f>0</f>
        <v>0</v>
      </c>
      <c r="BF245" s="139">
        <f>0</f>
        <v>0</v>
      </c>
      <c r="BG245" s="139">
        <f>0</f>
        <v>0</v>
      </c>
      <c r="BH245" s="139">
        <f>0</f>
        <v>0</v>
      </c>
      <c r="BI245" s="139">
        <f>0</f>
        <v>0</v>
      </c>
      <c r="BJ245" s="139">
        <f>0</f>
        <v>0</v>
      </c>
      <c r="BK245" s="139">
        <f>0</f>
        <v>0</v>
      </c>
      <c r="BL245" s="139">
        <f>0</f>
        <v>0</v>
      </c>
      <c r="BM245" s="139">
        <f>0</f>
        <v>0</v>
      </c>
      <c r="BN245" s="139">
        <f>0</f>
        <v>0</v>
      </c>
      <c r="BO245" s="139">
        <f>0</f>
        <v>0</v>
      </c>
      <c r="BP245" s="139">
        <f>0</f>
        <v>0</v>
      </c>
      <c r="BQ245" s="139">
        <f>0</f>
        <v>0</v>
      </c>
      <c r="BR245" s="139">
        <f>0</f>
        <v>0</v>
      </c>
      <c r="BS245" s="139">
        <f>0</f>
        <v>0</v>
      </c>
      <c r="BT245" s="139">
        <f>0</f>
        <v>0</v>
      </c>
      <c r="BU245" s="139">
        <f>0</f>
        <v>0</v>
      </c>
      <c r="BV245" s="139">
        <f>0</f>
        <v>0</v>
      </c>
      <c r="BW245" s="139">
        <f>0</f>
        <v>0</v>
      </c>
      <c r="BX245" s="139">
        <f>0</f>
        <v>0</v>
      </c>
      <c r="BY245" s="139">
        <f>0</f>
        <v>0</v>
      </c>
      <c r="BZ245" s="139">
        <f>0</f>
        <v>0</v>
      </c>
      <c r="CA245" s="139">
        <f>0</f>
        <v>0</v>
      </c>
      <c r="CB245" s="139">
        <f>0</f>
        <v>0</v>
      </c>
      <c r="CC245" s="139">
        <f>0</f>
        <v>0</v>
      </c>
      <c r="CD245" s="139">
        <f>0</f>
        <v>0</v>
      </c>
      <c r="CE245" s="139">
        <f>0</f>
        <v>0</v>
      </c>
      <c r="CF245" s="139">
        <f>0</f>
        <v>0</v>
      </c>
      <c r="CG245" s="139">
        <f>0</f>
        <v>0</v>
      </c>
      <c r="CH245" s="139">
        <f>0</f>
        <v>0</v>
      </c>
      <c r="CI245" s="139">
        <f>0</f>
        <v>0</v>
      </c>
      <c r="CJ245" s="139">
        <f>0</f>
        <v>0</v>
      </c>
      <c r="CK245" s="139">
        <f>0</f>
        <v>0</v>
      </c>
      <c r="CL245" s="139">
        <f>0</f>
        <v>0</v>
      </c>
      <c r="CM245" s="139">
        <f>0</f>
        <v>0</v>
      </c>
      <c r="CN245" s="139">
        <f>0</f>
        <v>0</v>
      </c>
      <c r="CO245" s="139">
        <f>0</f>
        <v>0</v>
      </c>
      <c r="CP245" s="139">
        <f>0</f>
        <v>0</v>
      </c>
      <c r="CQ245" s="139">
        <f>0</f>
        <v>0</v>
      </c>
      <c r="CR245" s="139">
        <f>0</f>
        <v>0</v>
      </c>
      <c r="CS245" s="139">
        <f>0</f>
        <v>0</v>
      </c>
      <c r="CT245" s="139">
        <f>0</f>
        <v>0</v>
      </c>
      <c r="CU245" s="139">
        <f>0</f>
        <v>0</v>
      </c>
      <c r="CV245" s="139">
        <f>0</f>
        <v>0</v>
      </c>
      <c r="CW245" s="139">
        <f>0</f>
        <v>0</v>
      </c>
      <c r="CX245" s="139">
        <f>0</f>
        <v>0</v>
      </c>
      <c r="CY245" s="139">
        <f>0</f>
        <v>0</v>
      </c>
      <c r="CZ245" s="139">
        <f>0</f>
        <v>0</v>
      </c>
      <c r="DA245" s="139">
        <f>0</f>
        <v>0</v>
      </c>
      <c r="DB245" s="139">
        <f>0</f>
        <v>0</v>
      </c>
      <c r="DC245" s="139">
        <f>0</f>
        <v>0</v>
      </c>
      <c r="DD245" s="139">
        <f>0</f>
        <v>0</v>
      </c>
      <c r="DE245" s="139">
        <f>0</f>
        <v>0</v>
      </c>
      <c r="DF245" s="139">
        <f>0</f>
        <v>0</v>
      </c>
      <c r="DG245" s="139">
        <f>0</f>
        <v>0</v>
      </c>
      <c r="DH245" s="139">
        <f>0</f>
        <v>0</v>
      </c>
      <c r="DI245" s="139">
        <f>0</f>
        <v>0</v>
      </c>
      <c r="DJ245" s="139">
        <f>0</f>
        <v>0</v>
      </c>
      <c r="DK245" s="139">
        <f>0</f>
        <v>0</v>
      </c>
      <c r="DL245" s="139">
        <f>0</f>
        <v>0</v>
      </c>
      <c r="DM245" s="139">
        <f>0</f>
        <v>0</v>
      </c>
      <c r="DN245" s="139">
        <f>0</f>
        <v>0</v>
      </c>
      <c r="DO245" s="139">
        <f>0</f>
        <v>0</v>
      </c>
      <c r="DP245" s="139">
        <f>0</f>
        <v>0</v>
      </c>
      <c r="DQ245" s="139">
        <f>0</f>
        <v>0</v>
      </c>
      <c r="DR245" s="139">
        <f>0</f>
        <v>0</v>
      </c>
      <c r="DS245" s="139">
        <f>0</f>
        <v>0</v>
      </c>
    </row>
    <row r="246" spans="1:123" ht="12.75" customHeight="1" x14ac:dyDescent="0.35">
      <c r="A246" s="15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46" s="162">
        <f t="shared" ref="B246:B251" si="454">SUM(D246:BQ246)</f>
        <v>262569.17775860231</v>
      </c>
      <c r="C246" s="176">
        <f t="shared" ref="C246:C252" si="455">B246/60</f>
        <v>4376.1529626433721</v>
      </c>
      <c r="D246" s="162">
        <f>D238*Premissas!$F$19</f>
        <v>3658.465604352908</v>
      </c>
      <c r="E246" s="162">
        <f>E238*Premissas!$F$19</f>
        <v>4012.9286264796888</v>
      </c>
      <c r="F246" s="162">
        <f>F238*Premissas!$F$19</f>
        <v>4335.9249573471725</v>
      </c>
      <c r="G246" s="162">
        <f>G238*Premissas!$F$19</f>
        <v>3584.426330801622</v>
      </c>
      <c r="H246" s="162">
        <f>H238*Premissas!$F$19</f>
        <v>3665.8695317080364</v>
      </c>
      <c r="I246" s="162">
        <f>I238*Premissas!$F$19</f>
        <v>3344.7241826793347</v>
      </c>
      <c r="J246" s="162">
        <f>J238*Premissas!$F$19</f>
        <v>3282.7162910801326</v>
      </c>
      <c r="K246" s="162">
        <f>K238*Premissas!$F$19</f>
        <v>4079.5639726758459</v>
      </c>
      <c r="L246" s="162">
        <f>L238*Premissas!$F$19</f>
        <v>4372.0191032034245</v>
      </c>
      <c r="M246" s="162">
        <f>M238*Premissas!$F$19</f>
        <v>3540.9282575902416</v>
      </c>
      <c r="N246" s="162">
        <f>N238*Premissas!$F$19</f>
        <v>3614.0420402221366</v>
      </c>
      <c r="O246" s="162">
        <f>O238*Premissas!$F$19</f>
        <v>3688.0813137734222</v>
      </c>
      <c r="P246" s="162">
        <f>P238*Premissas!$F$19</f>
        <v>3750.0892053726243</v>
      </c>
      <c r="Q246" s="162">
        <f>Q238*Premissas!$F$19</f>
        <v>4112.881645773924</v>
      </c>
      <c r="R246" s="162">
        <f>R238*Premissas!$F$19</f>
        <v>4444.2073949159285</v>
      </c>
      <c r="S246" s="162">
        <f>S238*Premissas!$F$19</f>
        <v>3674.1989499825563</v>
      </c>
      <c r="T246" s="162">
        <f>T238*Premissas!$F$19</f>
        <v>3757.4931327277527</v>
      </c>
      <c r="U246" s="162">
        <f>U238*Premissas!$F$19</f>
        <v>3428.0183654245311</v>
      </c>
      <c r="V246" s="162">
        <f>V238*Premissas!$F$19</f>
        <v>3365.084982905938</v>
      </c>
      <c r="W246" s="162">
        <f>W238*Premissas!$F$19</f>
        <v>4079.5639726758459</v>
      </c>
      <c r="X246" s="162">
        <f>X238*Premissas!$F$19</f>
        <v>4372.0191032034245</v>
      </c>
      <c r="Y246" s="162">
        <f>Y238*Premissas!$F$19</f>
        <v>3540.9282575902416</v>
      </c>
      <c r="Z246" s="162">
        <f>Z238*Premissas!$F$19</f>
        <v>3614.0420402221366</v>
      </c>
      <c r="AA246" s="162">
        <f>AA238*Premissas!$F$19</f>
        <v>3688.0813137734222</v>
      </c>
      <c r="AB246" s="162">
        <f>AB238*Premissas!$F$19</f>
        <v>3843.5637882311225</v>
      </c>
      <c r="AC246" s="162">
        <f>AC238*Premissas!$F$19</f>
        <v>4216.5366287457246</v>
      </c>
      <c r="AD246" s="162">
        <f>AD238*Premissas!$F$19</f>
        <v>4555.266305242857</v>
      </c>
      <c r="AE246" s="162">
        <f>AE238*Premissas!$F$19</f>
        <v>3765.8225510022721</v>
      </c>
      <c r="AF246" s="162">
        <f>AF238*Premissas!$F$19</f>
        <v>3851.893206505642</v>
      </c>
      <c r="AG246" s="162">
        <f>AG238*Premissas!$F$19</f>
        <v>3514.0890209279005</v>
      </c>
      <c r="AH246" s="162">
        <f>AH238*Premissas!$F$19</f>
        <v>3449.3046565705258</v>
      </c>
      <c r="AI246" s="162">
        <f>AI238*Premissas!$F$19</f>
        <v>4285.9484477000551</v>
      </c>
      <c r="AJ246" s="162">
        <f>AJ238*Premissas!$F$19</f>
        <v>4593.211432937891</v>
      </c>
      <c r="AK246" s="162">
        <f>AK238*Premissas!$F$19</f>
        <v>3720.4734959521097</v>
      </c>
      <c r="AL246" s="162">
        <f>AL238*Premissas!$F$19</f>
        <v>3797.2892422615687</v>
      </c>
      <c r="AM246" s="162">
        <f>AM238*Premissas!$F$19</f>
        <v>3875.0304794904187</v>
      </c>
      <c r="AN246" s="162">
        <f>AN238*Premissas!$F$19</f>
        <v>3939.8148438477938</v>
      </c>
      <c r="AO246" s="162">
        <f>AO238*Premissas!$F$19</f>
        <v>4321.1171026369157</v>
      </c>
      <c r="AP246" s="162">
        <f>AP238*Premissas!$F$19</f>
        <v>4669.101688327959</v>
      </c>
      <c r="AQ246" s="162">
        <f>AQ238*Premissas!$F$19</f>
        <v>3860.2226247801618</v>
      </c>
      <c r="AR246" s="162">
        <f>AR238*Premissas!$F$19</f>
        <v>3948.1442621223136</v>
      </c>
      <c r="AS246" s="162">
        <f>AS238*Premissas!$F$19</f>
        <v>3602.0106582700528</v>
      </c>
      <c r="AT246" s="162">
        <f>AT238*Premissas!$F$19</f>
        <v>3535.3753120738952</v>
      </c>
      <c r="AU246" s="162">
        <f>AU238*Premissas!$F$19</f>
        <v>4393.3053943494187</v>
      </c>
      <c r="AV246" s="162">
        <f>AV238*Premissas!$F$19</f>
        <v>4707.9723069423835</v>
      </c>
      <c r="AW246" s="162">
        <f>AW238*Premissas!$F$19</f>
        <v>3813.022587891217</v>
      </c>
      <c r="AX246" s="162">
        <f>AX238*Premissas!$F$19</f>
        <v>3891.6893160394579</v>
      </c>
      <c r="AY246" s="162">
        <f>AY238*Premissas!$F$19</f>
        <v>3971.2815351070903</v>
      </c>
      <c r="AZ246" s="162">
        <f>AZ238*Premissas!$F$19</f>
        <v>4037.9168813032475</v>
      </c>
      <c r="BA246" s="162">
        <f>BA238*Premissas!$F$19</f>
        <v>4429.3995402056707</v>
      </c>
      <c r="BB246" s="162">
        <f>BB238*Premissas!$F$19</f>
        <v>4785.7135441712335</v>
      </c>
      <c r="BC246" s="162">
        <f>BC238*Premissas!$F$19</f>
        <v>3956.4736803968331</v>
      </c>
      <c r="BD246" s="162">
        <f>BD238*Premissas!$F$19</f>
        <v>4046.2462995777673</v>
      </c>
      <c r="BE246" s="162">
        <f>BE238*Premissas!$F$19</f>
        <v>3691.7832774509866</v>
      </c>
      <c r="BF246" s="162">
        <f>BF238*Premissas!$F$19</f>
        <v>3623.296949416047</v>
      </c>
      <c r="BG246" s="162">
        <f>BG238*Premissas!$F$19</f>
        <v>4503.4388137569567</v>
      </c>
      <c r="BH246" s="162">
        <f>BH238*Premissas!$F$19</f>
        <v>4825.5096537050495</v>
      </c>
      <c r="BI246" s="162">
        <f>BI238*Premissas!$F$19</f>
        <v>3908.3481525884972</v>
      </c>
      <c r="BJ246" s="162">
        <f>BJ238*Premissas!$F$19</f>
        <v>3988.8658625755206</v>
      </c>
      <c r="BK246" s="162">
        <f>BK238*Premissas!$F$19</f>
        <v>4071.234554401326</v>
      </c>
      <c r="BL246" s="162">
        <f>BL238*Premissas!$F$19</f>
        <v>4138.7953915168746</v>
      </c>
      <c r="BM246" s="162">
        <f>BM238*Premissas!$F$19</f>
        <v>4540.4584505325993</v>
      </c>
      <c r="BN246" s="162">
        <f>BN238*Premissas!$F$19</f>
        <v>4906.0273636920729</v>
      </c>
      <c r="BO246" s="162">
        <f>BO238*Premissas!$F$19</f>
        <v>4055.5012087716777</v>
      </c>
      <c r="BP246" s="162">
        <f>BP238*Premissas!$F$19</f>
        <v>4148.0503007107855</v>
      </c>
      <c r="BQ246" s="162">
        <f>BQ238*Premissas!$F$19</f>
        <v>3784.3323693900938</v>
      </c>
      <c r="BR246" s="162">
        <f>BR238*Premissas!$F$19</f>
        <v>3713.9950595163723</v>
      </c>
      <c r="BS246" s="162">
        <f>BS238*Premissas!$F$19</f>
        <v>4615.4232150032767</v>
      </c>
      <c r="BT246" s="162">
        <f>BT238*Premissas!$F$19</f>
        <v>4946.7489641452803</v>
      </c>
      <c r="BU246" s="162">
        <f>BU238*Premissas!$F$19</f>
        <v>4006.4501900439509</v>
      </c>
      <c r="BV246" s="162">
        <f>BV238*Premissas!$F$19</f>
        <v>4088.8188818697563</v>
      </c>
      <c r="BW246" s="162">
        <f>BW238*Premissas!$F$19</f>
        <v>4173.0385555343437</v>
      </c>
      <c r="BX246" s="162">
        <f>BX238*Premissas!$F$19</f>
        <v>4242.4503744886742</v>
      </c>
      <c r="BY246" s="162">
        <f>BY238*Premissas!$F$19</f>
        <v>4653.3683426983107</v>
      </c>
      <c r="BZ246" s="162">
        <f>BZ238*Premissas!$F$19</f>
        <v>5028.1921650516942</v>
      </c>
      <c r="CA246" s="162">
        <f>CA238*Premissas!$F$19</f>
        <v>4156.3797189853049</v>
      </c>
      <c r="CB246" s="162">
        <f>CB238*Premissas!$F$19</f>
        <v>4251.7052836825851</v>
      </c>
      <c r="CC246" s="162">
        <f>CC238*Premissas!$F$19</f>
        <v>3878.7324431679831</v>
      </c>
      <c r="CD246" s="162">
        <f>CD238*Premissas!$F$19</f>
        <v>3806.5441514554796</v>
      </c>
      <c r="CE246" s="162">
        <f>CE238*Premissas!$F$19</f>
        <v>4731.1095799271607</v>
      </c>
      <c r="CF246" s="162">
        <f>CF238*Premissas!$F$19</f>
        <v>5069.8392564242931</v>
      </c>
      <c r="CG246" s="162">
        <f>CG238*Premissas!$F$19</f>
        <v>4106.4032093381866</v>
      </c>
      <c r="CH246" s="162">
        <f>CH238*Premissas!$F$19</f>
        <v>4191.5483739221654</v>
      </c>
      <c r="CI246" s="162">
        <f>CI238*Premissas!$F$19</f>
        <v>4276.6935385061443</v>
      </c>
      <c r="CJ246" s="162">
        <f>CJ238*Premissas!$F$19</f>
        <v>4348.8818302186473</v>
      </c>
      <c r="CK246" s="162">
        <f>CK238*Premissas!$F$19</f>
        <v>4769.9801985415852</v>
      </c>
      <c r="CL246" s="162">
        <f>CL238*Premissas!$F$19</f>
        <v>5154.0589300888805</v>
      </c>
      <c r="CM246" s="162">
        <f>CM238*Premissas!$F$19</f>
        <v>4260.960192876496</v>
      </c>
      <c r="CN246" s="162">
        <f>CN238*Premissas!$F$19</f>
        <v>4357.2112484931677</v>
      </c>
      <c r="CO246" s="162">
        <f>CO238*Premissas!$F$19</f>
        <v>3975.9089897040458</v>
      </c>
      <c r="CP246" s="162">
        <f>CP238*Premissas!$F$19</f>
        <v>3901.8697161527598</v>
      </c>
      <c r="CQ246" s="162">
        <f>CQ238*Premissas!$F$19</f>
        <v>4849.5724176092181</v>
      </c>
      <c r="CR246" s="162">
        <f>CR238*Premissas!$F$19</f>
        <v>5196.6315123808699</v>
      </c>
      <c r="CS246" s="162">
        <f>CS238*Premissas!$F$19</f>
        <v>4209.1327013905957</v>
      </c>
      <c r="CT246" s="162">
        <f>CT238*Premissas!$F$19</f>
        <v>4296.1288478133565</v>
      </c>
      <c r="CU246" s="162">
        <f>CU238*Premissas!$F$19</f>
        <v>4384.0504851555088</v>
      </c>
      <c r="CV246" s="162">
        <f>CV238*Premissas!$F$19</f>
        <v>4457.1642677874033</v>
      </c>
      <c r="CW246" s="162">
        <f>CW238*Premissas!$F$19</f>
        <v>4889.368527143034</v>
      </c>
      <c r="CX246" s="162">
        <f>CX238*Premissas!$F$19</f>
        <v>5282.7021678842393</v>
      </c>
      <c r="CY246" s="162">
        <f>CY238*Premissas!$F$19</f>
        <v>4367.3916486064691</v>
      </c>
      <c r="CZ246" s="162">
        <f>CZ238*Premissas!$F$19</f>
        <v>4466.4191769813142</v>
      </c>
      <c r="DA246" s="162">
        <f>DA238*Premissas!$F$19</f>
        <v>4074.9365180788905</v>
      </c>
      <c r="DB246" s="162">
        <f>DB238*Premissas!$F$19</f>
        <v>3999.9717536082135</v>
      </c>
      <c r="DC246" s="162">
        <f>DC238*Premissas!$F$19</f>
        <v>4970.811728049448</v>
      </c>
      <c r="DD246" s="162">
        <f>DD238*Premissas!$F$19</f>
        <v>5327.1257320150107</v>
      </c>
      <c r="DE246" s="162">
        <f>DE238*Premissas!$F$19</f>
        <v>4314.6386662011782</v>
      </c>
      <c r="DF246" s="162">
        <f>DF238*Premissas!$F$19</f>
        <v>4403.4857944627211</v>
      </c>
      <c r="DG246" s="162">
        <f>DG238*Premissas!$F$19</f>
        <v>4493.2584136436553</v>
      </c>
      <c r="DH246" s="162">
        <f>DH238*Premissas!$F$19</f>
        <v>4569.1486690337233</v>
      </c>
      <c r="DI246" s="162">
        <f>DI238*Premissas!$F$19</f>
        <v>5011.5333285026554</v>
      </c>
      <c r="DJ246" s="162">
        <f>DJ238*Premissas!$F$19</f>
        <v>5415.047369357163</v>
      </c>
      <c r="DK246" s="162">
        <f>DK238*Premissas!$F$19</f>
        <v>4476.5995770946156</v>
      </c>
      <c r="DL246" s="162">
        <f>DL238*Premissas!$F$19</f>
        <v>4578.4035782276333</v>
      </c>
      <c r="DM246" s="162">
        <f>DM238*Premissas!$F$19</f>
        <v>4176.7405192119086</v>
      </c>
      <c r="DN246" s="162">
        <f>DN238*Premissas!$F$19</f>
        <v>4099.9247729024491</v>
      </c>
      <c r="DO246" s="162">
        <f>DO238*Premissas!$F$19</f>
        <v>5094.8275112478523</v>
      </c>
      <c r="DP246" s="162">
        <f>DP238*Premissas!$F$19</f>
        <v>5460.396424407325</v>
      </c>
      <c r="DQ246" s="162">
        <f>DQ238*Premissas!$F$19</f>
        <v>4421.9956128505428</v>
      </c>
      <c r="DR246" s="162">
        <f>DR238*Premissas!$F$19</f>
        <v>4513.6192138702581</v>
      </c>
      <c r="DS246" s="162">
        <f>DS238*Premissas!$F$19</f>
        <v>4606.1683058093658</v>
      </c>
    </row>
    <row r="247" spans="1:123" ht="12.75" customHeight="1" x14ac:dyDescent="0.35">
      <c r="A247" s="163" t="s">
        <v>498</v>
      </c>
      <c r="B247" s="164">
        <f t="shared" si="454"/>
        <v>11443.627550305877</v>
      </c>
      <c r="C247" s="176">
        <f t="shared" si="455"/>
        <v>190.72712583843128</v>
      </c>
      <c r="D247" s="164">
        <f>IF(D242&gt;0,0,MAX(D238-D239-D240,0)*Premissas!$B$7)</f>
        <v>843.65438484391666</v>
      </c>
      <c r="E247" s="164">
        <f>IF(E242&gt;0,0,MAX(E238-E239-E240,0)*Premissas!$B$7)</f>
        <v>1090.6216366834249</v>
      </c>
      <c r="F247" s="164">
        <f>IF(F242&gt;0,0,MAX(F238-F239-F240,0)*Premissas!$B$7)</f>
        <v>707.51467060149025</v>
      </c>
      <c r="G247" s="164">
        <f>IF(G242&gt;0,0,MAX(G238-G239-G240,0)*Premissas!$B$7)</f>
        <v>58.699261562379014</v>
      </c>
      <c r="H247" s="164">
        <f>IF(H242&gt;0,0,MAX(H238-H239-H240,0)*Premissas!$B$7)</f>
        <v>0</v>
      </c>
      <c r="I247" s="164">
        <f>IF(I242&gt;0,0,MAX(I238-I239-I240,0)*Premissas!$B$7)</f>
        <v>0</v>
      </c>
      <c r="J247" s="164">
        <f>IF(J242&gt;0,0,MAX(J238-J239-J240,0)*Premissas!$B$7)</f>
        <v>0</v>
      </c>
      <c r="K247" s="164">
        <f>IF(K242&gt;0,0,MAX(K238-K239-K240,0)*Premissas!$B$7)</f>
        <v>0</v>
      </c>
      <c r="L247" s="164">
        <f>IF(L242&gt;0,0,MAX(L238-L239-L240,0)*Premissas!$B$7)</f>
        <v>0</v>
      </c>
      <c r="M247" s="164">
        <f>IF(M242&gt;0,0,MAX(M238-M239-M240,0)*Premissas!$B$7)</f>
        <v>0</v>
      </c>
      <c r="N247" s="164">
        <f>IF(N242&gt;0,0,MAX(N238-N239-N240,0)*Premissas!$B$7)</f>
        <v>0</v>
      </c>
      <c r="O247" s="164">
        <f>IF(O242&gt;0,0,MAX(O238-O239-O240,0)*Premissas!$B$7)</f>
        <v>0</v>
      </c>
      <c r="P247" s="164">
        <f>IF(P242&gt;0,0,MAX(P238-P239-P240,0)*Premissas!$B$7)</f>
        <v>0</v>
      </c>
      <c r="Q247" s="164">
        <f>IF(Q242&gt;0,0,MAX(Q238-Q239-Q240,0)*Premissas!$B$7)</f>
        <v>0</v>
      </c>
      <c r="R247" s="164">
        <f>IF(R242&gt;0,0,MAX(R238-R239-R240,0)*Premissas!$B$7)</f>
        <v>0</v>
      </c>
      <c r="S247" s="164">
        <f>IF(S242&gt;0,0,MAX(S238-S239-S240,0)*Premissas!$B$7)</f>
        <v>0</v>
      </c>
      <c r="T247" s="164">
        <f>IF(T242&gt;0,0,MAX(T238-T239-T240,0)*Premissas!$B$7)</f>
        <v>0</v>
      </c>
      <c r="U247" s="164">
        <f>IF(U242&gt;0,0,MAX(U238-U239-U240,0)*Premissas!$B$7)</f>
        <v>0</v>
      </c>
      <c r="V247" s="164">
        <f>IF(V242&gt;0,0,MAX(V238-V239-V240,0)*Premissas!$B$7)</f>
        <v>0</v>
      </c>
      <c r="W247" s="164">
        <f>IF(W242&gt;0,0,MAX(W238-W239-W240,0)*Premissas!$B$7)</f>
        <v>0</v>
      </c>
      <c r="X247" s="164">
        <f>IF(X242&gt;0,0,MAX(X238-X239-X240,0)*Premissas!$B$7)</f>
        <v>0</v>
      </c>
      <c r="Y247" s="164">
        <f>IF(Y242&gt;0,0,MAX(Y238-Y239-Y240,0)*Premissas!$B$7)</f>
        <v>0</v>
      </c>
      <c r="Z247" s="164">
        <f>IF(Z242&gt;0,0,MAX(Z238-Z239-Z240,0)*Premissas!$B$7)</f>
        <v>0</v>
      </c>
      <c r="AA247" s="164">
        <f>IF(AA242&gt;0,0,MAX(AA238-AA239-AA240,0)*Premissas!$B$7)</f>
        <v>0</v>
      </c>
      <c r="AB247" s="164">
        <f>IF(AB242&gt;0,0,MAX(AB238-AB239-AB240,0)*Premissas!$B$7)</f>
        <v>0</v>
      </c>
      <c r="AC247" s="164">
        <f>IF(AC242&gt;0,0,MAX(AC238-AC239-AC240,0)*Premissas!$B$7)</f>
        <v>0</v>
      </c>
      <c r="AD247" s="164">
        <f>IF(AD242&gt;0,0,MAX(AD238-AD239-AD240,0)*Premissas!$B$7)</f>
        <v>0</v>
      </c>
      <c r="AE247" s="164">
        <f>IF(AE242&gt;0,0,MAX(AE238-AE239-AE240,0)*Premissas!$B$7)</f>
        <v>0</v>
      </c>
      <c r="AF247" s="164">
        <f>IF(AF242&gt;0,0,MAX(AF238-AF239-AF240,0)*Premissas!$B$7)</f>
        <v>0</v>
      </c>
      <c r="AG247" s="164">
        <f>IF(AG242&gt;0,0,MAX(AG238-AG239-AG240,0)*Premissas!$B$7)</f>
        <v>0</v>
      </c>
      <c r="AH247" s="164">
        <f>IF(AH242&gt;0,0,MAX(AH238-AH239-AH240,0)*Premissas!$B$7)</f>
        <v>0</v>
      </c>
      <c r="AI247" s="164">
        <f>IF(AI242&gt;0,0,MAX(AI238-AI239-AI240,0)*Premissas!$B$7)</f>
        <v>0</v>
      </c>
      <c r="AJ247" s="164">
        <f>IF(AJ242&gt;0,0,MAX(AJ238-AJ239-AJ240,0)*Premissas!$B$7)</f>
        <v>0</v>
      </c>
      <c r="AK247" s="164">
        <f>IF(AK242&gt;0,0,MAX(AK238-AK239-AK240,0)*Premissas!$B$7)</f>
        <v>0</v>
      </c>
      <c r="AL247" s="164">
        <f>IF(AL242&gt;0,0,MAX(AL238-AL239-AL240,0)*Premissas!$B$7)</f>
        <v>0</v>
      </c>
      <c r="AM247" s="164">
        <f>IF(AM242&gt;0,0,MAX(AM238-AM239-AM240,0)*Premissas!$B$7)</f>
        <v>0</v>
      </c>
      <c r="AN247" s="164">
        <f>IF(AN242&gt;0,0,MAX(AN238-AN239-AN240,0)*Premissas!$B$7)</f>
        <v>0</v>
      </c>
      <c r="AO247" s="164">
        <f>IF(AO242&gt;0,0,MAX(AO238-AO239-AO240,0)*Premissas!$B$7)</f>
        <v>0</v>
      </c>
      <c r="AP247" s="164">
        <f>IF(AP242&gt;0,0,MAX(AP238-AP239-AP240,0)*Premissas!$B$7)</f>
        <v>0</v>
      </c>
      <c r="AQ247" s="164">
        <f>IF(AQ242&gt;0,0,MAX(AQ238-AQ239-AQ240,0)*Premissas!$B$7)</f>
        <v>0</v>
      </c>
      <c r="AR247" s="164">
        <f>IF(AR242&gt;0,0,MAX(AR238-AR239-AR240,0)*Premissas!$B$7)</f>
        <v>0</v>
      </c>
      <c r="AS247" s="164">
        <f>IF(AS242&gt;0,0,MAX(AS238-AS239-AS240,0)*Premissas!$B$7)</f>
        <v>0</v>
      </c>
      <c r="AT247" s="164">
        <f>IF(AT242&gt;0,0,MAX(AT238-AT239-AT240,0)*Premissas!$B$7)</f>
        <v>0</v>
      </c>
      <c r="AU247" s="164">
        <f>IF(AU242&gt;0,0,MAX(AU238-AU239-AU240,0)*Premissas!$B$7)</f>
        <v>0</v>
      </c>
      <c r="AV247" s="164">
        <f>IF(AV242&gt;0,0,MAX(AV238-AV239-AV240,0)*Premissas!$B$7)</f>
        <v>0</v>
      </c>
      <c r="AW247" s="164">
        <f>IF(AW242&gt;0,0,MAX(AW238-AW239-AW240,0)*Premissas!$B$7)</f>
        <v>0</v>
      </c>
      <c r="AX247" s="164">
        <f>IF(AX242&gt;0,0,MAX(AX238-AX239-AX240,0)*Premissas!$B$7)</f>
        <v>740.98154133988226</v>
      </c>
      <c r="AY247" s="164">
        <f>IF(AY242&gt;0,0,MAX(AY238-AY239-AY240,0)*Premissas!$B$7)</f>
        <v>1134.0840046940268</v>
      </c>
      <c r="AZ247" s="164">
        <f>IF(AZ242&gt;0,0,MAX(AZ238-AZ239-AZ240,0)*Premissas!$B$7)</f>
        <v>1223.2888684553625</v>
      </c>
      <c r="BA247" s="164">
        <f>IF(BA242&gt;0,0,MAX(BA238-BA239-BA240,0)*Premissas!$B$7)</f>
        <v>1511.5519496421268</v>
      </c>
      <c r="BB247" s="164">
        <f>IF(BB242&gt;0,0,MAX(BB238-BB239-BB240,0)*Premissas!$B$7)</f>
        <v>1150.1161198960883</v>
      </c>
      <c r="BC247" s="164">
        <f>IF(BC242&gt;0,0,MAX(BC238-BC239-BC240,0)*Premissas!$B$7)</f>
        <v>411.50060643309098</v>
      </c>
      <c r="BD247" s="164">
        <f>IF(BD242&gt;0,0,MAX(BD238-BD239-BD240,0)*Premissas!$B$7)</f>
        <v>398.18918919208846</v>
      </c>
      <c r="BE247" s="164">
        <f>IF(BE242&gt;0,0,MAX(BE238-BE239-BE240,0)*Premissas!$B$7)</f>
        <v>109.32072015421488</v>
      </c>
      <c r="BF247" s="164">
        <f>IF(BF242&gt;0,0,MAX(BF238-BF239-BF240,0)*Premissas!$B$7)</f>
        <v>0</v>
      </c>
      <c r="BG247" s="164">
        <f>IF(BG242&gt;0,0,MAX(BG238-BG239-BG240,0)*Premissas!$B$7)</f>
        <v>378.98021990498034</v>
      </c>
      <c r="BH247" s="164">
        <f>IF(BH242&gt;0,0,MAX(BH238-BH239-BH240,0)*Premissas!$B$7)</f>
        <v>1606.2439726058005</v>
      </c>
      <c r="BI247" s="164">
        <f>IF(BI242&gt;0,0,MAX(BI238-BI239-BI240,0)*Premissas!$B$7)</f>
        <v>0</v>
      </c>
      <c r="BJ247" s="164">
        <f>IF(BJ242&gt;0,0,MAX(BJ238-BJ239-BJ240,0)*Premissas!$B$7)</f>
        <v>0</v>
      </c>
      <c r="BK247" s="164">
        <f>IF(BK242&gt;0,0,MAX(BK238-BK239-BK240,0)*Premissas!$B$7)</f>
        <v>78.880404297002229</v>
      </c>
      <c r="BL247" s="164">
        <f>IF(BL242&gt;0,0,MAX(BL238-BL239-BL240,0)*Premissas!$B$7)</f>
        <v>0</v>
      </c>
      <c r="BM247" s="164">
        <f>IF(BM242&gt;0,0,MAX(BM238-BM239-BM240,0)*Premissas!$B$7)</f>
        <v>0</v>
      </c>
      <c r="BN247" s="164">
        <f>IF(BN242&gt;0,0,MAX(BN238-BN239-BN240,0)*Premissas!$B$7)</f>
        <v>0</v>
      </c>
      <c r="BO247" s="164">
        <f>IF(BO242&gt;0,0,MAX(BO238-BO239-BO240,0)*Premissas!$B$7)</f>
        <v>0</v>
      </c>
      <c r="BP247" s="164">
        <f>IF(BP242&gt;0,0,MAX(BP238-BP239-BP240,0)*Premissas!$B$7)</f>
        <v>0</v>
      </c>
      <c r="BQ247" s="164">
        <f>IF(BQ242&gt;0,0,MAX(BQ238-BQ239-BQ240,0)*Premissas!$B$7)</f>
        <v>0</v>
      </c>
      <c r="BR247" s="164">
        <f>IF(BR242&gt;0,0,MAX(BR238-BR239-BR240,0)*Premissas!$B$7)</f>
        <v>0</v>
      </c>
      <c r="BS247" s="164">
        <f>IF(BS242&gt;0,0,MAX(BS238-BS239-BS240,0)*Premissas!$B$7)</f>
        <v>0</v>
      </c>
      <c r="BT247" s="164">
        <f>IF(BT242&gt;0,0,MAX(BT238-BT239-BT240,0)*Premissas!$B$7)</f>
        <v>0</v>
      </c>
      <c r="BU247" s="164">
        <f>IF(BU242&gt;0,0,MAX(BU238-BU239-BU240,0)*Premissas!$B$7)</f>
        <v>0</v>
      </c>
      <c r="BV247" s="164">
        <f>IF(BV242&gt;0,0,MAX(BV238-BV239-BV240,0)*Premissas!$B$7)</f>
        <v>0</v>
      </c>
      <c r="BW247" s="164">
        <f>IF(BW242&gt;0,0,MAX(BW238-BW239-BW240,0)*Premissas!$B$7)</f>
        <v>0</v>
      </c>
      <c r="BX247" s="164">
        <f>IF(BX242&gt;0,0,MAX(BX238-BX239-BX240,0)*Premissas!$B$7)</f>
        <v>0</v>
      </c>
      <c r="BY247" s="164">
        <f>IF(BY242&gt;0,0,MAX(BY238-BY239-BY240,0)*Premissas!$B$7)</f>
        <v>0</v>
      </c>
      <c r="BZ247" s="164">
        <f>IF(BZ242&gt;0,0,MAX(BZ238-BZ239-BZ240,0)*Premissas!$B$7)</f>
        <v>0</v>
      </c>
      <c r="CA247" s="164">
        <f>IF(CA242&gt;0,0,MAX(CA238-CA239-CA240,0)*Premissas!$B$7)</f>
        <v>0</v>
      </c>
      <c r="CB247" s="164">
        <f>IF(CB242&gt;0,0,MAX(CB238-CB239-CB240,0)*Premissas!$B$7)</f>
        <v>0</v>
      </c>
      <c r="CC247" s="164">
        <f>IF(CC242&gt;0,0,MAX(CC238-CC239-CC240,0)*Premissas!$B$7)</f>
        <v>0</v>
      </c>
      <c r="CD247" s="164">
        <f>IF(CD242&gt;0,0,MAX(CD238-CD239-CD240,0)*Premissas!$B$7)</f>
        <v>0</v>
      </c>
      <c r="CE247" s="164">
        <f>IF(CE242&gt;0,0,MAX(CE238-CE239-CE240,0)*Premissas!$B$7)</f>
        <v>0</v>
      </c>
      <c r="CF247" s="164">
        <f>IF(CF242&gt;0,0,MAX(CF238-CF239-CF240,0)*Premissas!$B$7)</f>
        <v>0</v>
      </c>
      <c r="CG247" s="164">
        <f>IF(CG242&gt;0,0,MAX(CG238-CG239-CG240,0)*Premissas!$B$7)</f>
        <v>0</v>
      </c>
      <c r="CH247" s="164">
        <f>IF(CH242&gt;0,0,MAX(CH238-CH239-CH240,0)*Premissas!$B$7)</f>
        <v>0</v>
      </c>
      <c r="CI247" s="164">
        <f>IF(CI242&gt;0,0,MAX(CI238-CI239-CI240,0)*Premissas!$B$7)</f>
        <v>0</v>
      </c>
      <c r="CJ247" s="164">
        <f>IF(CJ242&gt;0,0,MAX(CJ238-CJ239-CJ240,0)*Premissas!$B$7)</f>
        <v>0</v>
      </c>
      <c r="CK247" s="164">
        <f>IF(CK242&gt;0,0,MAX(CK238-CK239-CK240,0)*Premissas!$B$7)</f>
        <v>0</v>
      </c>
      <c r="CL247" s="164">
        <f>IF(CL242&gt;0,0,MAX(CL238-CL239-CL240,0)*Premissas!$B$7)</f>
        <v>0</v>
      </c>
      <c r="CM247" s="164">
        <f>IF(CM242&gt;0,0,MAX(CM238-CM239-CM240,0)*Premissas!$B$7)</f>
        <v>0</v>
      </c>
      <c r="CN247" s="164">
        <f>IF(CN242&gt;0,0,MAX(CN238-CN239-CN240,0)*Premissas!$B$7)</f>
        <v>0</v>
      </c>
      <c r="CO247" s="164">
        <f>IF(CO242&gt;0,0,MAX(CO238-CO239-CO240,0)*Premissas!$B$7)</f>
        <v>0</v>
      </c>
      <c r="CP247" s="164">
        <f>IF(CP242&gt;0,0,MAX(CP238-CP239-CP240,0)*Premissas!$B$7)</f>
        <v>0</v>
      </c>
      <c r="CQ247" s="164">
        <f>IF(CQ242&gt;0,0,MAX(CQ238-CQ239-CQ240,0)*Premissas!$B$7)</f>
        <v>0</v>
      </c>
      <c r="CR247" s="164">
        <f>IF(CR242&gt;0,0,MAX(CR238-CR239-CR240,0)*Premissas!$B$7)</f>
        <v>0</v>
      </c>
      <c r="CS247" s="164">
        <f>IF(CS242&gt;0,0,MAX(CS238-CS239-CS240,0)*Premissas!$B$7)</f>
        <v>0</v>
      </c>
      <c r="CT247" s="164">
        <f>IF(CT242&gt;0,0,MAX(CT238-CT239-CT240,0)*Premissas!$B$7)</f>
        <v>0</v>
      </c>
      <c r="CU247" s="164">
        <f>IF(CU242&gt;0,0,MAX(CU238-CU239-CU240,0)*Premissas!$B$7)</f>
        <v>0</v>
      </c>
      <c r="CV247" s="164">
        <f>IF(CV242&gt;0,0,MAX(CV238-CV239-CV240,0)*Premissas!$B$7)</f>
        <v>0</v>
      </c>
      <c r="CW247" s="164">
        <f>IF(CW242&gt;0,0,MAX(CW238-CW239-CW240,0)*Premissas!$B$7)</f>
        <v>0</v>
      </c>
      <c r="CX247" s="164">
        <f>IF(CX242&gt;0,0,MAX(CX238-CX239-CX240,0)*Premissas!$B$7)</f>
        <v>0</v>
      </c>
      <c r="CY247" s="164">
        <f>IF(CY242&gt;0,0,MAX(CY238-CY239-CY240,0)*Premissas!$B$7)</f>
        <v>0</v>
      </c>
      <c r="CZ247" s="164">
        <f>IF(CZ242&gt;0,0,MAX(CZ238-CZ239-CZ240,0)*Premissas!$B$7)</f>
        <v>0</v>
      </c>
      <c r="DA247" s="164">
        <f>IF(DA242&gt;0,0,MAX(DA238-DA239-DA240,0)*Premissas!$B$7)</f>
        <v>0</v>
      </c>
      <c r="DB247" s="164">
        <f>IF(DB242&gt;0,0,MAX(DB238-DB239-DB240,0)*Premissas!$B$7)</f>
        <v>0</v>
      </c>
      <c r="DC247" s="164">
        <f>IF(DC242&gt;0,0,MAX(DC238-DC239-DC240,0)*Premissas!$B$7)</f>
        <v>0</v>
      </c>
      <c r="DD247" s="164">
        <f>IF(DD242&gt;0,0,MAX(DD238-DD239-DD240,0)*Premissas!$B$7)</f>
        <v>0</v>
      </c>
      <c r="DE247" s="164">
        <f>IF(DE242&gt;0,0,MAX(DE238-DE239-DE240,0)*Premissas!$B$7)</f>
        <v>0</v>
      </c>
      <c r="DF247" s="164">
        <f>IF(DF242&gt;0,0,MAX(DF238-DF239-DF240,0)*Premissas!$B$7)</f>
        <v>0</v>
      </c>
      <c r="DG247" s="164">
        <f>IF(DG242&gt;0,0,MAX(DG238-DG239-DG240,0)*Premissas!$B$7)</f>
        <v>0</v>
      </c>
      <c r="DH247" s="164">
        <f>IF(DH242&gt;0,0,MAX(DH238-DH239-DH240,0)*Premissas!$B$7)</f>
        <v>0</v>
      </c>
      <c r="DI247" s="164">
        <f>IF(DI242&gt;0,0,MAX(DI238-DI239-DI240,0)*Premissas!$B$7)</f>
        <v>0</v>
      </c>
      <c r="DJ247" s="164">
        <f>IF(DJ242&gt;0,0,MAX(DJ238-DJ239-DJ240,0)*Premissas!$B$7)</f>
        <v>0</v>
      </c>
      <c r="DK247" s="164">
        <f>IF(DK242&gt;0,0,MAX(DK238-DK239-DK240,0)*Premissas!$B$7)</f>
        <v>0</v>
      </c>
      <c r="DL247" s="164">
        <f>IF(DL242&gt;0,0,MAX(DL238-DL239-DL240,0)*Premissas!$B$7)</f>
        <v>0</v>
      </c>
      <c r="DM247" s="164">
        <f>IF(DM242&gt;0,0,MAX(DM238-DM239-DM240,0)*Premissas!$B$7)</f>
        <v>0</v>
      </c>
      <c r="DN247" s="164">
        <f>IF(DN242&gt;0,0,MAX(DN238-DN239-DN240,0)*Premissas!$B$7)</f>
        <v>0</v>
      </c>
      <c r="DO247" s="164">
        <f>IF(DO242&gt;0,0,MAX(DO238-DO239-DO240,0)*Premissas!$B$7)</f>
        <v>1578.1783272085625</v>
      </c>
      <c r="DP247" s="164">
        <f>IF(DP242&gt;0,0,MAX(DP238-DP239-DP240,0)*Premissas!$B$7)</f>
        <v>6825.4955305091562</v>
      </c>
      <c r="DQ247" s="164">
        <f>IF(DQ242&gt;0,0,MAX(DQ238-DQ239-DQ240,0)*Premissas!$B$7)</f>
        <v>5527.4945160631778</v>
      </c>
      <c r="DR247" s="164">
        <f>IF(DR242&gt;0,0,MAX(DR238-DR239-DR240,0)*Premissas!$B$7)</f>
        <v>5642.0240173378224</v>
      </c>
      <c r="DS247" s="164">
        <f>IF(DS242&gt;0,0,MAX(DS238-DS239-DS240,0)*Premissas!$B$7)</f>
        <v>5757.7103822617064</v>
      </c>
    </row>
    <row r="248" spans="1:123" ht="13.5" customHeight="1" x14ac:dyDescent="0.35">
      <c r="A248" s="173" t="s">
        <v>499</v>
      </c>
      <c r="B248" s="165">
        <f t="shared" si="454"/>
        <v>251125.55020829651</v>
      </c>
      <c r="C248" s="176">
        <f t="shared" si="455"/>
        <v>4185.4258368049423</v>
      </c>
      <c r="D248" s="165">
        <f t="shared" ref="D248:AI248" si="456">MAX(D246-D247,0)</f>
        <v>2814.8112195089916</v>
      </c>
      <c r="E248" s="165">
        <f t="shared" si="456"/>
        <v>2922.3069897962641</v>
      </c>
      <c r="F248" s="165">
        <f t="shared" si="456"/>
        <v>3628.4102867456822</v>
      </c>
      <c r="G248" s="165">
        <f t="shared" si="456"/>
        <v>3525.7270692392431</v>
      </c>
      <c r="H248" s="165">
        <f t="shared" si="456"/>
        <v>3665.8695317080364</v>
      </c>
      <c r="I248" s="165">
        <f t="shared" si="456"/>
        <v>3344.7241826793347</v>
      </c>
      <c r="J248" s="165">
        <f t="shared" si="456"/>
        <v>3282.7162910801326</v>
      </c>
      <c r="K248" s="165">
        <f t="shared" si="456"/>
        <v>4079.5639726758459</v>
      </c>
      <c r="L248" s="165">
        <f t="shared" si="456"/>
        <v>4372.0191032034245</v>
      </c>
      <c r="M248" s="165">
        <f t="shared" si="456"/>
        <v>3540.9282575902416</v>
      </c>
      <c r="N248" s="165">
        <f t="shared" si="456"/>
        <v>3614.0420402221366</v>
      </c>
      <c r="O248" s="165">
        <f t="shared" si="456"/>
        <v>3688.0813137734222</v>
      </c>
      <c r="P248" s="165">
        <f t="shared" si="456"/>
        <v>3750.0892053726243</v>
      </c>
      <c r="Q248" s="165">
        <f t="shared" si="456"/>
        <v>4112.881645773924</v>
      </c>
      <c r="R248" s="165">
        <f t="shared" si="456"/>
        <v>4444.2073949159285</v>
      </c>
      <c r="S248" s="165">
        <f t="shared" si="456"/>
        <v>3674.1989499825563</v>
      </c>
      <c r="T248" s="165">
        <f t="shared" si="456"/>
        <v>3757.4931327277527</v>
      </c>
      <c r="U248" s="165">
        <f t="shared" si="456"/>
        <v>3428.0183654245311</v>
      </c>
      <c r="V248" s="165">
        <f t="shared" si="456"/>
        <v>3365.084982905938</v>
      </c>
      <c r="W248" s="165">
        <f t="shared" si="456"/>
        <v>4079.5639726758459</v>
      </c>
      <c r="X248" s="165">
        <f t="shared" si="456"/>
        <v>4372.0191032034245</v>
      </c>
      <c r="Y248" s="165">
        <f t="shared" si="456"/>
        <v>3540.9282575902416</v>
      </c>
      <c r="Z248" s="165">
        <f t="shared" si="456"/>
        <v>3614.0420402221366</v>
      </c>
      <c r="AA248" s="165">
        <f t="shared" si="456"/>
        <v>3688.0813137734222</v>
      </c>
      <c r="AB248" s="165">
        <f t="shared" si="456"/>
        <v>3843.5637882311225</v>
      </c>
      <c r="AC248" s="165">
        <f t="shared" si="456"/>
        <v>4216.5366287457246</v>
      </c>
      <c r="AD248" s="165">
        <f t="shared" si="456"/>
        <v>4555.266305242857</v>
      </c>
      <c r="AE248" s="165">
        <f t="shared" si="456"/>
        <v>3765.8225510022721</v>
      </c>
      <c r="AF248" s="165">
        <f t="shared" si="456"/>
        <v>3851.893206505642</v>
      </c>
      <c r="AG248" s="165">
        <f t="shared" si="456"/>
        <v>3514.0890209279005</v>
      </c>
      <c r="AH248" s="165">
        <f t="shared" si="456"/>
        <v>3449.3046565705258</v>
      </c>
      <c r="AI248" s="165">
        <f t="shared" si="456"/>
        <v>4285.9484477000551</v>
      </c>
      <c r="AJ248" s="165">
        <f t="shared" ref="AJ248:BO248" si="457">MAX(AJ246-AJ247,0)</f>
        <v>4593.211432937891</v>
      </c>
      <c r="AK248" s="165">
        <f t="shared" si="457"/>
        <v>3720.4734959521097</v>
      </c>
      <c r="AL248" s="165">
        <f t="shared" si="457"/>
        <v>3797.2892422615687</v>
      </c>
      <c r="AM248" s="165">
        <f t="shared" si="457"/>
        <v>3875.0304794904187</v>
      </c>
      <c r="AN248" s="165">
        <f t="shared" si="457"/>
        <v>3939.8148438477938</v>
      </c>
      <c r="AO248" s="165">
        <f t="shared" si="457"/>
        <v>4321.1171026369157</v>
      </c>
      <c r="AP248" s="165">
        <f t="shared" si="457"/>
        <v>4669.101688327959</v>
      </c>
      <c r="AQ248" s="165">
        <f t="shared" si="457"/>
        <v>3860.2226247801618</v>
      </c>
      <c r="AR248" s="165">
        <f t="shared" si="457"/>
        <v>3948.1442621223136</v>
      </c>
      <c r="AS248" s="165">
        <f t="shared" si="457"/>
        <v>3602.0106582700528</v>
      </c>
      <c r="AT248" s="165">
        <f t="shared" si="457"/>
        <v>3535.3753120738952</v>
      </c>
      <c r="AU248" s="165">
        <f t="shared" si="457"/>
        <v>4393.3053943494187</v>
      </c>
      <c r="AV248" s="165">
        <f t="shared" si="457"/>
        <v>4707.9723069423835</v>
      </c>
      <c r="AW248" s="165">
        <f t="shared" si="457"/>
        <v>3813.022587891217</v>
      </c>
      <c r="AX248" s="165">
        <f t="shared" si="457"/>
        <v>3150.7077746995756</v>
      </c>
      <c r="AY248" s="165">
        <f t="shared" si="457"/>
        <v>2837.1975304130638</v>
      </c>
      <c r="AZ248" s="165">
        <f t="shared" si="457"/>
        <v>2814.6280128478847</v>
      </c>
      <c r="BA248" s="165">
        <f t="shared" si="457"/>
        <v>2917.8475905635441</v>
      </c>
      <c r="BB248" s="165">
        <f t="shared" si="457"/>
        <v>3635.5974242751454</v>
      </c>
      <c r="BC248" s="165">
        <f t="shared" si="457"/>
        <v>3544.9730739637421</v>
      </c>
      <c r="BD248" s="165">
        <f t="shared" si="457"/>
        <v>3648.0571103856787</v>
      </c>
      <c r="BE248" s="165">
        <f t="shared" si="457"/>
        <v>3582.4625572967716</v>
      </c>
      <c r="BF248" s="165">
        <f t="shared" si="457"/>
        <v>3623.296949416047</v>
      </c>
      <c r="BG248" s="165">
        <f t="shared" si="457"/>
        <v>4124.4585938519767</v>
      </c>
      <c r="BH248" s="165">
        <f t="shared" si="457"/>
        <v>3219.2656810992489</v>
      </c>
      <c r="BI248" s="165">
        <f t="shared" si="457"/>
        <v>3908.3481525884972</v>
      </c>
      <c r="BJ248" s="165">
        <f t="shared" si="457"/>
        <v>3988.8658625755206</v>
      </c>
      <c r="BK248" s="165">
        <f t="shared" si="457"/>
        <v>3992.3541501043237</v>
      </c>
      <c r="BL248" s="165">
        <f t="shared" si="457"/>
        <v>4138.7953915168746</v>
      </c>
      <c r="BM248" s="165">
        <f t="shared" si="457"/>
        <v>4540.4584505325993</v>
      </c>
      <c r="BN248" s="165">
        <f t="shared" si="457"/>
        <v>4906.0273636920729</v>
      </c>
      <c r="BO248" s="165">
        <f t="shared" si="457"/>
        <v>4055.5012087716777</v>
      </c>
      <c r="BP248" s="165">
        <f t="shared" ref="BP248:CU248" si="458">MAX(BP246-BP247,0)</f>
        <v>4148.0503007107855</v>
      </c>
      <c r="BQ248" s="165">
        <f t="shared" si="458"/>
        <v>3784.3323693900938</v>
      </c>
      <c r="BR248" s="165">
        <f t="shared" si="458"/>
        <v>3713.9950595163723</v>
      </c>
      <c r="BS248" s="165">
        <f t="shared" si="458"/>
        <v>4615.4232150032767</v>
      </c>
      <c r="BT248" s="165">
        <f t="shared" si="458"/>
        <v>4946.7489641452803</v>
      </c>
      <c r="BU248" s="165">
        <f t="shared" si="458"/>
        <v>4006.4501900439509</v>
      </c>
      <c r="BV248" s="165">
        <f t="shared" si="458"/>
        <v>4088.8188818697563</v>
      </c>
      <c r="BW248" s="165">
        <f t="shared" si="458"/>
        <v>4173.0385555343437</v>
      </c>
      <c r="BX248" s="165">
        <f t="shared" si="458"/>
        <v>4242.4503744886742</v>
      </c>
      <c r="BY248" s="165">
        <f t="shared" si="458"/>
        <v>4653.3683426983107</v>
      </c>
      <c r="BZ248" s="165">
        <f t="shared" si="458"/>
        <v>5028.1921650516942</v>
      </c>
      <c r="CA248" s="165">
        <f t="shared" si="458"/>
        <v>4156.3797189853049</v>
      </c>
      <c r="CB248" s="165">
        <f t="shared" si="458"/>
        <v>4251.7052836825851</v>
      </c>
      <c r="CC248" s="165">
        <f t="shared" si="458"/>
        <v>3878.7324431679831</v>
      </c>
      <c r="CD248" s="165">
        <f t="shared" si="458"/>
        <v>3806.5441514554796</v>
      </c>
      <c r="CE248" s="165">
        <f t="shared" si="458"/>
        <v>4731.1095799271607</v>
      </c>
      <c r="CF248" s="165">
        <f t="shared" si="458"/>
        <v>5069.8392564242931</v>
      </c>
      <c r="CG248" s="165">
        <f t="shared" si="458"/>
        <v>4106.4032093381866</v>
      </c>
      <c r="CH248" s="165">
        <f t="shared" si="458"/>
        <v>4191.5483739221654</v>
      </c>
      <c r="CI248" s="165">
        <f t="shared" si="458"/>
        <v>4276.6935385061443</v>
      </c>
      <c r="CJ248" s="165">
        <f t="shared" si="458"/>
        <v>4348.8818302186473</v>
      </c>
      <c r="CK248" s="165">
        <f t="shared" si="458"/>
        <v>4769.9801985415852</v>
      </c>
      <c r="CL248" s="165">
        <f t="shared" si="458"/>
        <v>5154.0589300888805</v>
      </c>
      <c r="CM248" s="165">
        <f t="shared" si="458"/>
        <v>4260.960192876496</v>
      </c>
      <c r="CN248" s="165">
        <f t="shared" si="458"/>
        <v>4357.2112484931677</v>
      </c>
      <c r="CO248" s="165">
        <f t="shared" si="458"/>
        <v>3975.9089897040458</v>
      </c>
      <c r="CP248" s="165">
        <f t="shared" si="458"/>
        <v>3901.8697161527598</v>
      </c>
      <c r="CQ248" s="165">
        <f t="shared" si="458"/>
        <v>4849.5724176092181</v>
      </c>
      <c r="CR248" s="165">
        <f t="shared" si="458"/>
        <v>5196.6315123808699</v>
      </c>
      <c r="CS248" s="165">
        <f t="shared" si="458"/>
        <v>4209.1327013905957</v>
      </c>
      <c r="CT248" s="165">
        <f t="shared" si="458"/>
        <v>4296.1288478133565</v>
      </c>
      <c r="CU248" s="165">
        <f t="shared" si="458"/>
        <v>4384.0504851555088</v>
      </c>
      <c r="CV248" s="165">
        <f t="shared" ref="CV248:DS248" si="459">MAX(CV246-CV247,0)</f>
        <v>4457.1642677874033</v>
      </c>
      <c r="CW248" s="165">
        <f t="shared" si="459"/>
        <v>4889.368527143034</v>
      </c>
      <c r="CX248" s="165">
        <f t="shared" si="459"/>
        <v>5282.7021678842393</v>
      </c>
      <c r="CY248" s="165">
        <f t="shared" si="459"/>
        <v>4367.3916486064691</v>
      </c>
      <c r="CZ248" s="165">
        <f t="shared" si="459"/>
        <v>4466.4191769813142</v>
      </c>
      <c r="DA248" s="165">
        <f t="shared" si="459"/>
        <v>4074.9365180788905</v>
      </c>
      <c r="DB248" s="165">
        <f t="shared" si="459"/>
        <v>3999.9717536082135</v>
      </c>
      <c r="DC248" s="165">
        <f t="shared" si="459"/>
        <v>4970.811728049448</v>
      </c>
      <c r="DD248" s="165">
        <f t="shared" si="459"/>
        <v>5327.1257320150107</v>
      </c>
      <c r="DE248" s="165">
        <f t="shared" si="459"/>
        <v>4314.6386662011782</v>
      </c>
      <c r="DF248" s="165">
        <f t="shared" si="459"/>
        <v>4403.4857944627211</v>
      </c>
      <c r="DG248" s="165">
        <f t="shared" si="459"/>
        <v>4493.2584136436553</v>
      </c>
      <c r="DH248" s="165">
        <f t="shared" si="459"/>
        <v>4569.1486690337233</v>
      </c>
      <c r="DI248" s="165">
        <f t="shared" si="459"/>
        <v>5011.5333285026554</v>
      </c>
      <c r="DJ248" s="165">
        <f t="shared" si="459"/>
        <v>5415.047369357163</v>
      </c>
      <c r="DK248" s="165">
        <f t="shared" si="459"/>
        <v>4476.5995770946156</v>
      </c>
      <c r="DL248" s="165">
        <f t="shared" si="459"/>
        <v>4578.4035782276333</v>
      </c>
      <c r="DM248" s="165">
        <f t="shared" si="459"/>
        <v>4176.7405192119086</v>
      </c>
      <c r="DN248" s="165">
        <f t="shared" si="459"/>
        <v>4099.9247729024491</v>
      </c>
      <c r="DO248" s="165">
        <f t="shared" si="459"/>
        <v>3516.64918403929</v>
      </c>
      <c r="DP248" s="165">
        <f t="shared" si="459"/>
        <v>0</v>
      </c>
      <c r="DQ248" s="165">
        <f t="shared" si="459"/>
        <v>0</v>
      </c>
      <c r="DR248" s="165">
        <f t="shared" si="459"/>
        <v>0</v>
      </c>
      <c r="DS248" s="165">
        <f t="shared" si="459"/>
        <v>0</v>
      </c>
    </row>
    <row r="249" spans="1:123" ht="15" customHeight="1" x14ac:dyDescent="0.35">
      <c r="A249" s="179" t="s">
        <v>525</v>
      </c>
      <c r="B249" s="180">
        <f t="shared" si="454"/>
        <v>7598654.4634554936</v>
      </c>
      <c r="C249" s="176">
        <f t="shared" si="455"/>
        <v>126644.24105759156</v>
      </c>
      <c r="D249" s="180">
        <f t="shared" ref="D249:AI249" si="460">D35+D53+D66+D79+D92+D105+D118+D131+D144+D157+D170+D183+D196+D209+D222+D234+D246</f>
        <v>29914.642987477626</v>
      </c>
      <c r="E249" s="180">
        <f t="shared" si="460"/>
        <v>231391.59420419947</v>
      </c>
      <c r="F249" s="180">
        <f t="shared" si="460"/>
        <v>156548.84776591352</v>
      </c>
      <c r="G249" s="180">
        <f t="shared" si="460"/>
        <v>42616.080365200702</v>
      </c>
      <c r="H249" s="180">
        <f t="shared" si="460"/>
        <v>43352.771137035983</v>
      </c>
      <c r="I249" s="180">
        <f t="shared" si="460"/>
        <v>43210.245535449765</v>
      </c>
      <c r="J249" s="180">
        <f t="shared" si="460"/>
        <v>44658.638824296788</v>
      </c>
      <c r="K249" s="180">
        <f t="shared" si="460"/>
        <v>42485.586145566551</v>
      </c>
      <c r="L249" s="180">
        <f t="shared" si="460"/>
        <v>45032.537155730781</v>
      </c>
      <c r="M249" s="180">
        <f t="shared" si="460"/>
        <v>208537.25717620217</v>
      </c>
      <c r="N249" s="180">
        <f t="shared" si="460"/>
        <v>35167.729445941346</v>
      </c>
      <c r="O249" s="180">
        <f t="shared" si="460"/>
        <v>32721.656945990748</v>
      </c>
      <c r="P249" s="180">
        <f t="shared" si="460"/>
        <v>70854.001847767911</v>
      </c>
      <c r="Q249" s="180">
        <f t="shared" si="460"/>
        <v>281668.22725323628</v>
      </c>
      <c r="R249" s="180">
        <f t="shared" si="460"/>
        <v>161720.42291011635</v>
      </c>
      <c r="S249" s="180">
        <f t="shared" si="460"/>
        <v>43683.171395258607</v>
      </c>
      <c r="T249" s="180">
        <f t="shared" si="460"/>
        <v>44437.446494562333</v>
      </c>
      <c r="U249" s="180">
        <f t="shared" si="460"/>
        <v>44288.442456540361</v>
      </c>
      <c r="V249" s="180">
        <f t="shared" si="460"/>
        <v>45776.631854921201</v>
      </c>
      <c r="W249" s="180">
        <f t="shared" si="460"/>
        <v>42485.586145566551</v>
      </c>
      <c r="X249" s="180">
        <f t="shared" si="460"/>
        <v>45032.537155730781</v>
      </c>
      <c r="Y249" s="180">
        <f t="shared" si="460"/>
        <v>212454.36965114219</v>
      </c>
      <c r="Z249" s="180">
        <f t="shared" si="460"/>
        <v>35167.729445941346</v>
      </c>
      <c r="AA249" s="180">
        <f t="shared" si="460"/>
        <v>32721.656945990748</v>
      </c>
      <c r="AB249" s="180">
        <f t="shared" si="460"/>
        <v>74598.212109594475</v>
      </c>
      <c r="AC249" s="180">
        <f t="shared" si="460"/>
        <v>374262.46539323358</v>
      </c>
      <c r="AD249" s="180">
        <f t="shared" si="460"/>
        <v>249540.36133272297</v>
      </c>
      <c r="AE249" s="180">
        <f t="shared" si="460"/>
        <v>44773.399698301298</v>
      </c>
      <c r="AF249" s="180">
        <f t="shared" si="460"/>
        <v>45548.035597831615</v>
      </c>
      <c r="AG249" s="180">
        <f t="shared" si="460"/>
        <v>45399.957050729048</v>
      </c>
      <c r="AH249" s="180">
        <f t="shared" si="460"/>
        <v>46918.687649449777</v>
      </c>
      <c r="AI249" s="180">
        <f t="shared" si="460"/>
        <v>44635.501551312016</v>
      </c>
      <c r="AJ249" s="180">
        <f t="shared" ref="AJ249:BO249" si="461">AJ35+AJ53+AJ66+AJ79+AJ92+AJ105+AJ118+AJ131+AJ144+AJ157+AJ170+AJ183+AJ196+AJ209+AJ222+AJ234+AJ246</f>
        <v>47311.095799271599</v>
      </c>
      <c r="AK249" s="180">
        <f t="shared" si="461"/>
        <v>244075.16493770655</v>
      </c>
      <c r="AL249" s="180">
        <f t="shared" si="461"/>
        <v>36945.597502091594</v>
      </c>
      <c r="AM249" s="180">
        <f t="shared" si="461"/>
        <v>34378.285691700767</v>
      </c>
      <c r="AN249" s="180">
        <f t="shared" si="461"/>
        <v>178845.24258358398</v>
      </c>
      <c r="AO249" s="180">
        <f t="shared" si="461"/>
        <v>478339.97852498898</v>
      </c>
      <c r="AP249" s="180">
        <f t="shared" si="461"/>
        <v>258195.24017286752</v>
      </c>
      <c r="AQ249" s="180">
        <f t="shared" si="461"/>
        <v>45893.243710764466</v>
      </c>
      <c r="AR249" s="180">
        <f t="shared" si="461"/>
        <v>46687.314919602024</v>
      </c>
      <c r="AS249" s="180">
        <f t="shared" si="461"/>
        <v>46532.757936063717</v>
      </c>
      <c r="AT249" s="180">
        <f t="shared" si="461"/>
        <v>48092.210135237678</v>
      </c>
      <c r="AU249" s="180">
        <f t="shared" si="461"/>
        <v>45752.569091017038</v>
      </c>
      <c r="AV249" s="180">
        <f t="shared" si="461"/>
        <v>48494.798685172791</v>
      </c>
      <c r="AW249" s="180">
        <f t="shared" si="461"/>
        <v>264503.61082086427</v>
      </c>
      <c r="AX249" s="180">
        <f t="shared" si="461"/>
        <v>37871.088421482673</v>
      </c>
      <c r="AY249" s="180">
        <f t="shared" si="461"/>
        <v>35238.066755815074</v>
      </c>
      <c r="AZ249" s="180">
        <f t="shared" si="461"/>
        <v>205381.47782891581</v>
      </c>
      <c r="BA249" s="180">
        <f t="shared" si="461"/>
        <v>492586.8983133405</v>
      </c>
      <c r="BB249" s="180">
        <f t="shared" si="461"/>
        <v>267048.37759298243</v>
      </c>
      <c r="BC249" s="180">
        <f t="shared" si="461"/>
        <v>47040.85245080942</v>
      </c>
      <c r="BD249" s="180">
        <f t="shared" si="461"/>
        <v>47852.507987115372</v>
      </c>
      <c r="BE249" s="180">
        <f t="shared" si="461"/>
        <v>47695.174530818891</v>
      </c>
      <c r="BF249" s="180">
        <f t="shared" si="461"/>
        <v>49295.348330446068</v>
      </c>
      <c r="BG249" s="180">
        <f t="shared" si="461"/>
        <v>46896.475867384404</v>
      </c>
      <c r="BH249" s="180">
        <f t="shared" si="461"/>
        <v>49705.340807736306</v>
      </c>
      <c r="BI249" s="180">
        <f t="shared" si="461"/>
        <v>285370.01529887447</v>
      </c>
      <c r="BJ249" s="180">
        <f t="shared" si="461"/>
        <v>38818.791122939132</v>
      </c>
      <c r="BK249" s="180">
        <f t="shared" si="461"/>
        <v>36119.134111075371</v>
      </c>
      <c r="BL249" s="180">
        <f t="shared" si="461"/>
        <v>217802.41478424321</v>
      </c>
      <c r="BM249" s="180">
        <f t="shared" si="461"/>
        <v>504785.94865929853</v>
      </c>
      <c r="BN249" s="180">
        <f t="shared" si="461"/>
        <v>277338.7059893292</v>
      </c>
      <c r="BO249" s="180">
        <f t="shared" si="461"/>
        <v>48217.151409355465</v>
      </c>
      <c r="BP249" s="180">
        <f t="shared" ref="BP249:CU249" si="462">BP35+BP53+BP66+BP79+BP92+BP105+BP118+BP131+BP144+BP157+BP170+BP183+BP196+BP209+BP222+BP234+BP246</f>
        <v>49050.093236807428</v>
      </c>
      <c r="BQ249" s="180">
        <f t="shared" si="462"/>
        <v>48889.057816833389</v>
      </c>
      <c r="BR249" s="180">
        <f t="shared" si="462"/>
        <v>50527.176744155586</v>
      </c>
      <c r="BS249" s="180">
        <f t="shared" si="462"/>
        <v>48069.072862252891</v>
      </c>
      <c r="BT249" s="180">
        <f t="shared" si="462"/>
        <v>50951.051585236681</v>
      </c>
      <c r="BU249" s="180">
        <f t="shared" si="462"/>
        <v>395367.32444833731</v>
      </c>
      <c r="BV249" s="180">
        <f t="shared" si="462"/>
        <v>39789.631097380363</v>
      </c>
      <c r="BW249" s="180">
        <f t="shared" si="462"/>
        <v>37021.487757481664</v>
      </c>
      <c r="BX249" s="180">
        <f t="shared" si="462"/>
        <v>222874.85102004808</v>
      </c>
      <c r="BY249" s="180">
        <f t="shared" si="462"/>
        <v>519357.34440521273</v>
      </c>
      <c r="BZ249" s="180">
        <f t="shared" si="462"/>
        <v>286226.17596106953</v>
      </c>
      <c r="CA249" s="180">
        <f t="shared" si="462"/>
        <v>49422.140586402653</v>
      </c>
      <c r="CB249" s="180">
        <f t="shared" si="462"/>
        <v>50276.368705000597</v>
      </c>
      <c r="CC249" s="180">
        <f t="shared" si="462"/>
        <v>50111.631321348992</v>
      </c>
      <c r="CD249" s="180">
        <f t="shared" si="462"/>
        <v>51790.471849124384</v>
      </c>
      <c r="CE249" s="180">
        <f t="shared" si="462"/>
        <v>49271.28556654189</v>
      </c>
      <c r="CF249" s="180">
        <f t="shared" si="462"/>
        <v>147903.56908442985</v>
      </c>
      <c r="CG249" s="180">
        <f t="shared" si="462"/>
        <v>412607.82119675557</v>
      </c>
      <c r="CH249" s="180">
        <f t="shared" si="462"/>
        <v>40783.608344806373</v>
      </c>
      <c r="CI249" s="180">
        <f t="shared" si="462"/>
        <v>37947.904167792134</v>
      </c>
      <c r="CJ249" s="180">
        <f t="shared" si="462"/>
        <v>232578.26546160129</v>
      </c>
      <c r="CK249" s="180">
        <f t="shared" si="462"/>
        <v>534289.02212758374</v>
      </c>
      <c r="CL249" s="180">
        <f t="shared" si="462"/>
        <v>295330.13415799075</v>
      </c>
      <c r="CM249" s="180">
        <f t="shared" si="462"/>
        <v>50658.596454709113</v>
      </c>
      <c r="CN249" s="180">
        <f t="shared" si="462"/>
        <v>51531.334391694894</v>
      </c>
      <c r="CO249" s="180">
        <f t="shared" si="462"/>
        <v>51362.895044365716</v>
      </c>
      <c r="CP249" s="180">
        <f t="shared" si="462"/>
        <v>53085.233645352506</v>
      </c>
      <c r="CQ249" s="180">
        <f t="shared" si="462"/>
        <v>50503.113980251423</v>
      </c>
      <c r="CR249" s="180">
        <f t="shared" si="462"/>
        <v>151599.22981153725</v>
      </c>
      <c r="CS249" s="180">
        <f t="shared" si="462"/>
        <v>430565.27686601668</v>
      </c>
      <c r="CT249" s="180">
        <f t="shared" si="462"/>
        <v>41802.573847055944</v>
      </c>
      <c r="CU249" s="180">
        <f t="shared" si="462"/>
        <v>38897.457851087369</v>
      </c>
      <c r="CV249" s="180">
        <f t="shared" ref="CV249:DS249" si="463">CV35+CV53+CV66+CV79+CV92+CV105+CV118+CV131+CV144+CV157+CV170+CV183+CV196+CV209+CV222+CV234+CV246</f>
        <v>242392.76919236156</v>
      </c>
      <c r="CW249" s="180">
        <f t="shared" si="463"/>
        <v>549596.62284428335</v>
      </c>
      <c r="CX249" s="180">
        <f t="shared" si="463"/>
        <v>304663.05556477688</v>
      </c>
      <c r="CY249" s="180">
        <f t="shared" si="463"/>
        <v>51921.891559677919</v>
      </c>
      <c r="CZ249" s="180">
        <f t="shared" si="463"/>
        <v>52819.617751487269</v>
      </c>
      <c r="DA249" s="180">
        <f t="shared" si="463"/>
        <v>52647.476440480532</v>
      </c>
      <c r="DB249" s="180">
        <f t="shared" si="463"/>
        <v>54412.387623759292</v>
      </c>
      <c r="DC249" s="180">
        <f t="shared" si="463"/>
        <v>51764.558103381438</v>
      </c>
      <c r="DD249" s="180">
        <f t="shared" si="463"/>
        <v>155390.62817920151</v>
      </c>
      <c r="DE249" s="180">
        <f t="shared" si="463"/>
        <v>450948.77581684431</v>
      </c>
      <c r="DF249" s="180">
        <f t="shared" si="463"/>
        <v>42847.453095048462</v>
      </c>
      <c r="DG249" s="180">
        <f t="shared" si="463"/>
        <v>39868.297825528607</v>
      </c>
      <c r="DH249" s="180">
        <f t="shared" si="463"/>
        <v>251579.6614944271</v>
      </c>
      <c r="DI249" s="180">
        <f t="shared" si="463"/>
        <v>565289.17447892483</v>
      </c>
      <c r="DJ249" s="180">
        <f t="shared" si="463"/>
        <v>314228.03055275517</v>
      </c>
      <c r="DK249" s="180">
        <f t="shared" si="463"/>
        <v>53221.280810502998</v>
      </c>
      <c r="DL249" s="180">
        <f t="shared" si="463"/>
        <v>54142.144275297112</v>
      </c>
      <c r="DM249" s="180">
        <f t="shared" si="463"/>
        <v>53962.599036935244</v>
      </c>
      <c r="DN249" s="180">
        <f t="shared" si="463"/>
        <v>55773.784766183569</v>
      </c>
      <c r="DO249" s="180">
        <f t="shared" si="463"/>
        <v>53058.394408690161</v>
      </c>
      <c r="DP249" s="180">
        <f t="shared" si="463"/>
        <v>159276.83869650308</v>
      </c>
      <c r="DQ249" s="180">
        <f t="shared" si="463"/>
        <v>471839.68944737961</v>
      </c>
      <c r="DR249" s="180">
        <f t="shared" si="463"/>
        <v>43921.022561542108</v>
      </c>
      <c r="DS249" s="180">
        <f t="shared" si="463"/>
        <v>40865.051545712777</v>
      </c>
    </row>
    <row r="250" spans="1:123" ht="13.5" customHeight="1" x14ac:dyDescent="0.35">
      <c r="A250" s="173" t="s">
        <v>526</v>
      </c>
      <c r="B250" s="165">
        <f t="shared" si="454"/>
        <v>1245186.4835187367</v>
      </c>
      <c r="C250" s="176">
        <f t="shared" si="455"/>
        <v>20753.108058645612</v>
      </c>
      <c r="D250" s="165">
        <f t="shared" ref="D250:AI250" si="464">D36+D54+D67+D80+D93+D106+D119+D132+D145+D158+D171+D184+D197+D210+D223+D235+D247</f>
        <v>2939.9665134018951</v>
      </c>
      <c r="E250" s="165">
        <f t="shared" si="464"/>
        <v>82568.432981846723</v>
      </c>
      <c r="F250" s="165">
        <f t="shared" si="464"/>
        <v>1104.9864126160228</v>
      </c>
      <c r="G250" s="165">
        <f t="shared" si="464"/>
        <v>2690.9342599484985</v>
      </c>
      <c r="H250" s="165">
        <f t="shared" si="464"/>
        <v>0</v>
      </c>
      <c r="I250" s="165">
        <f t="shared" si="464"/>
        <v>0</v>
      </c>
      <c r="J250" s="165">
        <f t="shared" si="464"/>
        <v>0</v>
      </c>
      <c r="K250" s="165">
        <f t="shared" si="464"/>
        <v>0</v>
      </c>
      <c r="L250" s="165">
        <f t="shared" si="464"/>
        <v>0</v>
      </c>
      <c r="M250" s="165">
        <f t="shared" si="464"/>
        <v>0</v>
      </c>
      <c r="N250" s="165">
        <f t="shared" si="464"/>
        <v>0</v>
      </c>
      <c r="O250" s="165">
        <f t="shared" si="464"/>
        <v>0</v>
      </c>
      <c r="P250" s="165">
        <f t="shared" si="464"/>
        <v>0</v>
      </c>
      <c r="Q250" s="165">
        <f t="shared" si="464"/>
        <v>0</v>
      </c>
      <c r="R250" s="165">
        <f t="shared" si="464"/>
        <v>0</v>
      </c>
      <c r="S250" s="165">
        <f t="shared" si="464"/>
        <v>0</v>
      </c>
      <c r="T250" s="165">
        <f t="shared" si="464"/>
        <v>0</v>
      </c>
      <c r="U250" s="165">
        <f t="shared" si="464"/>
        <v>0</v>
      </c>
      <c r="V250" s="165">
        <f t="shared" si="464"/>
        <v>0</v>
      </c>
      <c r="W250" s="165">
        <f t="shared" si="464"/>
        <v>0</v>
      </c>
      <c r="X250" s="165">
        <f t="shared" si="464"/>
        <v>0</v>
      </c>
      <c r="Y250" s="165">
        <f t="shared" si="464"/>
        <v>0</v>
      </c>
      <c r="Z250" s="165">
        <f t="shared" si="464"/>
        <v>0</v>
      </c>
      <c r="AA250" s="165">
        <f t="shared" si="464"/>
        <v>0</v>
      </c>
      <c r="AB250" s="165">
        <f t="shared" si="464"/>
        <v>0</v>
      </c>
      <c r="AC250" s="165">
        <f t="shared" si="464"/>
        <v>0</v>
      </c>
      <c r="AD250" s="165">
        <f t="shared" si="464"/>
        <v>72494.148535751403</v>
      </c>
      <c r="AE250" s="165">
        <f t="shared" si="464"/>
        <v>0</v>
      </c>
      <c r="AF250" s="165">
        <f t="shared" si="464"/>
        <v>0</v>
      </c>
      <c r="AG250" s="165">
        <f t="shared" si="464"/>
        <v>0</v>
      </c>
      <c r="AH250" s="165">
        <f t="shared" si="464"/>
        <v>0</v>
      </c>
      <c r="AI250" s="165">
        <f t="shared" si="464"/>
        <v>0</v>
      </c>
      <c r="AJ250" s="165">
        <f t="shared" ref="AJ250:BO250" si="465">AJ36+AJ54+AJ67+AJ80+AJ93+AJ106+AJ119+AJ132+AJ145+AJ158+AJ171+AJ184+AJ197+AJ210+AJ223+AJ235+AJ247</f>
        <v>0</v>
      </c>
      <c r="AK250" s="165">
        <f t="shared" si="465"/>
        <v>0</v>
      </c>
      <c r="AL250" s="165">
        <f t="shared" si="465"/>
        <v>0</v>
      </c>
      <c r="AM250" s="165">
        <f t="shared" si="465"/>
        <v>0</v>
      </c>
      <c r="AN250" s="165">
        <f t="shared" si="465"/>
        <v>0</v>
      </c>
      <c r="AO250" s="165">
        <f t="shared" si="465"/>
        <v>116989.88091458243</v>
      </c>
      <c r="AP250" s="165">
        <f t="shared" si="465"/>
        <v>96803.845962186955</v>
      </c>
      <c r="AQ250" s="165">
        <f t="shared" si="465"/>
        <v>8594.2941881471834</v>
      </c>
      <c r="AR250" s="165">
        <f t="shared" si="465"/>
        <v>6345.3244878425403</v>
      </c>
      <c r="AS250" s="165">
        <f t="shared" si="465"/>
        <v>6049.3296190640049</v>
      </c>
      <c r="AT250" s="165">
        <f t="shared" si="465"/>
        <v>8390.301390579436</v>
      </c>
      <c r="AU250" s="165">
        <f t="shared" si="465"/>
        <v>5867.3685053110821</v>
      </c>
      <c r="AV250" s="165">
        <f t="shared" si="465"/>
        <v>14388.288018454177</v>
      </c>
      <c r="AW250" s="165">
        <f t="shared" si="465"/>
        <v>20039.412620583051</v>
      </c>
      <c r="AX250" s="165">
        <f t="shared" si="465"/>
        <v>16574.449163897934</v>
      </c>
      <c r="AY250" s="165">
        <f t="shared" si="465"/>
        <v>14406.417561161925</v>
      </c>
      <c r="AZ250" s="165">
        <f t="shared" si="465"/>
        <v>11649.25515794732</v>
      </c>
      <c r="BA250" s="165">
        <f t="shared" si="465"/>
        <v>134255.49345320321</v>
      </c>
      <c r="BB250" s="165">
        <f t="shared" si="465"/>
        <v>110057.34128859195</v>
      </c>
      <c r="BC250" s="165">
        <f t="shared" si="465"/>
        <v>27528.935337401294</v>
      </c>
      <c r="BD250" s="165">
        <f t="shared" si="465"/>
        <v>27454.037890229152</v>
      </c>
      <c r="BE250" s="165">
        <f t="shared" si="465"/>
        <v>29825.156445998535</v>
      </c>
      <c r="BF250" s="165">
        <f t="shared" si="465"/>
        <v>23194.604706650225</v>
      </c>
      <c r="BG250" s="165">
        <f t="shared" si="465"/>
        <v>19091.05776154613</v>
      </c>
      <c r="BH250" s="165">
        <f t="shared" si="465"/>
        <v>25268.978566919308</v>
      </c>
      <c r="BI250" s="165">
        <f t="shared" si="465"/>
        <v>14961.29443938459</v>
      </c>
      <c r="BJ250" s="165">
        <f t="shared" si="465"/>
        <v>8234.8257524908859</v>
      </c>
      <c r="BK250" s="165">
        <f t="shared" si="465"/>
        <v>6436.8207792972589</v>
      </c>
      <c r="BL250" s="165">
        <f t="shared" si="465"/>
        <v>0</v>
      </c>
      <c r="BM250" s="165">
        <f t="shared" si="465"/>
        <v>189249.48106828606</v>
      </c>
      <c r="BN250" s="165">
        <f t="shared" si="465"/>
        <v>139398.80511617142</v>
      </c>
      <c r="BO250" s="165">
        <f t="shared" si="465"/>
        <v>0</v>
      </c>
      <c r="BP250" s="165">
        <f t="shared" ref="BP250:CU250" si="466">BP36+BP54+BP67+BP80+BP93+BP106+BP119+BP132+BP145+BP158+BP171+BP184+BP197+BP210+BP223+BP235+BP247</f>
        <v>1603.3337573902838</v>
      </c>
      <c r="BQ250" s="165">
        <f t="shared" si="466"/>
        <v>729.68086185347067</v>
      </c>
      <c r="BR250" s="165">
        <f t="shared" si="466"/>
        <v>2010.5971737756206</v>
      </c>
      <c r="BS250" s="165">
        <f t="shared" si="466"/>
        <v>0</v>
      </c>
      <c r="BT250" s="165">
        <f t="shared" si="466"/>
        <v>918.53900436376261</v>
      </c>
      <c r="BU250" s="165">
        <f t="shared" si="466"/>
        <v>275953.39563535986</v>
      </c>
      <c r="BV250" s="165">
        <f t="shared" si="466"/>
        <v>0</v>
      </c>
      <c r="BW250" s="165">
        <f t="shared" si="466"/>
        <v>0</v>
      </c>
      <c r="BX250" s="165">
        <f t="shared" si="466"/>
        <v>46003.912394460007</v>
      </c>
      <c r="BY250" s="165">
        <f t="shared" si="466"/>
        <v>282020.23656733776</v>
      </c>
      <c r="BZ250" s="165">
        <f t="shared" si="466"/>
        <v>144020.90097547614</v>
      </c>
      <c r="CA250" s="165">
        <f t="shared" si="466"/>
        <v>0</v>
      </c>
      <c r="CB250" s="165">
        <f t="shared" si="466"/>
        <v>0</v>
      </c>
      <c r="CC250" s="165">
        <f t="shared" si="466"/>
        <v>0</v>
      </c>
      <c r="CD250" s="165">
        <f t="shared" si="466"/>
        <v>0</v>
      </c>
      <c r="CE250" s="165">
        <f t="shared" si="466"/>
        <v>0</v>
      </c>
      <c r="CF250" s="165">
        <f t="shared" si="466"/>
        <v>96459.371017818776</v>
      </c>
      <c r="CG250" s="165">
        <f t="shared" si="466"/>
        <v>292749.21707573993</v>
      </c>
      <c r="CH250" s="165">
        <f t="shared" si="466"/>
        <v>0</v>
      </c>
      <c r="CI250" s="165">
        <f t="shared" si="466"/>
        <v>0</v>
      </c>
      <c r="CJ250" s="165">
        <f t="shared" si="466"/>
        <v>49970.917113774762</v>
      </c>
      <c r="CK250" s="165">
        <f t="shared" si="466"/>
        <v>395076.96475453267</v>
      </c>
      <c r="CL250" s="165">
        <f t="shared" si="466"/>
        <v>220973.53144158737</v>
      </c>
      <c r="CM250" s="165">
        <f t="shared" si="466"/>
        <v>0</v>
      </c>
      <c r="CN250" s="165">
        <f t="shared" si="466"/>
        <v>0</v>
      </c>
      <c r="CO250" s="165">
        <f t="shared" si="466"/>
        <v>0</v>
      </c>
      <c r="CP250" s="165">
        <f t="shared" si="466"/>
        <v>0</v>
      </c>
      <c r="CQ250" s="165">
        <f t="shared" si="466"/>
        <v>0</v>
      </c>
      <c r="CR250" s="165">
        <f t="shared" si="466"/>
        <v>100224.627839671</v>
      </c>
      <c r="CS250" s="165">
        <f t="shared" si="466"/>
        <v>301326.9249591587</v>
      </c>
      <c r="CT250" s="165">
        <f t="shared" si="466"/>
        <v>0</v>
      </c>
      <c r="CU250" s="165">
        <f t="shared" si="466"/>
        <v>0</v>
      </c>
      <c r="CV250" s="165">
        <f t="shared" ref="CV250:DS250" si="467">CV36+CV54+CV67+CV80+CV93+CV106+CV119+CV132+CV145+CV158+CV171+CV184+CV197+CV210+CV223+CV235+CV247</f>
        <v>54038.65590907252</v>
      </c>
      <c r="CW250" s="165">
        <f t="shared" si="467"/>
        <v>444319.9718893799</v>
      </c>
      <c r="CX250" s="165">
        <f t="shared" si="467"/>
        <v>229429.34722288154</v>
      </c>
      <c r="CY250" s="165">
        <f t="shared" si="467"/>
        <v>0</v>
      </c>
      <c r="CZ250" s="165">
        <f t="shared" si="467"/>
        <v>0</v>
      </c>
      <c r="DA250" s="165">
        <f t="shared" si="467"/>
        <v>0</v>
      </c>
      <c r="DB250" s="165">
        <f t="shared" si="467"/>
        <v>3069.6241979863976</v>
      </c>
      <c r="DC250" s="165">
        <f t="shared" si="467"/>
        <v>6390.514798395352</v>
      </c>
      <c r="DD250" s="165">
        <f t="shared" si="467"/>
        <v>6886.8093039188143</v>
      </c>
      <c r="DE250" s="165">
        <f t="shared" si="467"/>
        <v>243620.89775489792</v>
      </c>
      <c r="DF250" s="165">
        <f t="shared" si="467"/>
        <v>4364.8465485781435</v>
      </c>
      <c r="DG250" s="165">
        <f t="shared" si="467"/>
        <v>3863.9245884577258</v>
      </c>
      <c r="DH250" s="165">
        <f t="shared" si="467"/>
        <v>10060.900206472494</v>
      </c>
      <c r="DI250" s="165">
        <f t="shared" si="467"/>
        <v>483452.37863325753</v>
      </c>
      <c r="DJ250" s="165">
        <f t="shared" si="467"/>
        <v>252067.8621318104</v>
      </c>
      <c r="DK250" s="165">
        <f t="shared" si="467"/>
        <v>39167.932572279402</v>
      </c>
      <c r="DL250" s="165">
        <f t="shared" si="467"/>
        <v>48601.076199006209</v>
      </c>
      <c r="DM250" s="165">
        <f t="shared" si="467"/>
        <v>50797.882838077465</v>
      </c>
      <c r="DN250" s="165">
        <f t="shared" si="467"/>
        <v>50449.666879656572</v>
      </c>
      <c r="DO250" s="165">
        <f t="shared" si="467"/>
        <v>48180.949204767763</v>
      </c>
      <c r="DP250" s="165">
        <f t="shared" si="467"/>
        <v>59890.831121094743</v>
      </c>
      <c r="DQ250" s="165">
        <f t="shared" si="467"/>
        <v>270208.93379400321</v>
      </c>
      <c r="DR250" s="165">
        <f t="shared" si="467"/>
        <v>46640.114882713067</v>
      </c>
      <c r="DS250" s="165">
        <f t="shared" si="467"/>
        <v>42925.425705007154</v>
      </c>
    </row>
    <row r="251" spans="1:123" ht="15" customHeight="1" x14ac:dyDescent="0.35">
      <c r="A251" s="181" t="s">
        <v>527</v>
      </c>
      <c r="B251" s="182">
        <f t="shared" si="454"/>
        <v>5322652.1479489757</v>
      </c>
      <c r="C251" s="176">
        <f t="shared" si="455"/>
        <v>88710.869132482927</v>
      </c>
      <c r="D251" s="182">
        <f t="shared" ref="D251:AI251" si="468">D250+D7</f>
        <v>57805.541513401891</v>
      </c>
      <c r="E251" s="182">
        <f t="shared" si="468"/>
        <v>140319.10798184673</v>
      </c>
      <c r="F251" s="182">
        <f t="shared" si="468"/>
        <v>70431.46141261603</v>
      </c>
      <c r="G251" s="182">
        <f t="shared" si="468"/>
        <v>67742.859259948498</v>
      </c>
      <c r="H251" s="182">
        <f t="shared" si="468"/>
        <v>66852.899999999994</v>
      </c>
      <c r="I251" s="182">
        <f t="shared" si="468"/>
        <v>64640.4</v>
      </c>
      <c r="J251" s="182">
        <f t="shared" si="468"/>
        <v>61379.175000000003</v>
      </c>
      <c r="K251" s="182">
        <f t="shared" si="468"/>
        <v>63022.752749999992</v>
      </c>
      <c r="L251" s="182">
        <f t="shared" si="468"/>
        <v>56158.670624999999</v>
      </c>
      <c r="M251" s="182">
        <f t="shared" si="468"/>
        <v>64414.061249999999</v>
      </c>
      <c r="N251" s="182">
        <f t="shared" si="468"/>
        <v>64273.169250000006</v>
      </c>
      <c r="O251" s="182">
        <f t="shared" si="468"/>
        <v>60152.078249999999</v>
      </c>
      <c r="P251" s="182">
        <f t="shared" si="468"/>
        <v>54591.247125000002</v>
      </c>
      <c r="Q251" s="182">
        <f t="shared" si="468"/>
        <v>57461.921624999995</v>
      </c>
      <c r="R251" s="182">
        <f t="shared" si="468"/>
        <v>68979.842625000005</v>
      </c>
      <c r="S251" s="182">
        <f t="shared" si="468"/>
        <v>64726.665375000004</v>
      </c>
      <c r="T251" s="182">
        <f t="shared" si="468"/>
        <v>66518.635500000004</v>
      </c>
      <c r="U251" s="182">
        <f t="shared" si="468"/>
        <v>64317.198000000004</v>
      </c>
      <c r="V251" s="182">
        <f t="shared" si="468"/>
        <v>61072.279125000008</v>
      </c>
      <c r="W251" s="182">
        <f t="shared" si="468"/>
        <v>63022.752749999992</v>
      </c>
      <c r="X251" s="182">
        <f t="shared" si="468"/>
        <v>56158.670624999999</v>
      </c>
      <c r="Y251" s="182">
        <f t="shared" si="468"/>
        <v>64414.061249999999</v>
      </c>
      <c r="Z251" s="182">
        <f t="shared" si="468"/>
        <v>64273.169250000006</v>
      </c>
      <c r="AA251" s="182">
        <f t="shared" si="468"/>
        <v>60152.078249999999</v>
      </c>
      <c r="AB251" s="182">
        <f t="shared" si="468"/>
        <v>54318.290889374999</v>
      </c>
      <c r="AC251" s="182">
        <f t="shared" si="468"/>
        <v>57174.612016874999</v>
      </c>
      <c r="AD251" s="182">
        <f t="shared" si="468"/>
        <v>141129.09194762641</v>
      </c>
      <c r="AE251" s="182">
        <f t="shared" si="468"/>
        <v>64403.032048124995</v>
      </c>
      <c r="AF251" s="182">
        <f t="shared" si="468"/>
        <v>66186.042322500012</v>
      </c>
      <c r="AG251" s="182">
        <f t="shared" si="468"/>
        <v>63995.612010000004</v>
      </c>
      <c r="AH251" s="182">
        <f t="shared" si="468"/>
        <v>60766.917729375004</v>
      </c>
      <c r="AI251" s="182">
        <f t="shared" si="468"/>
        <v>62707.638986250007</v>
      </c>
      <c r="AJ251" s="182">
        <f t="shared" ref="AJ251:BO251" si="469">AJ250+AJ7</f>
        <v>55877.877271875004</v>
      </c>
      <c r="AK251" s="182">
        <f t="shared" si="469"/>
        <v>64091.990943750003</v>
      </c>
      <c r="AL251" s="182">
        <f t="shared" si="469"/>
        <v>63951.803403750004</v>
      </c>
      <c r="AM251" s="182">
        <f t="shared" si="469"/>
        <v>59851.317858750008</v>
      </c>
      <c r="AN251" s="182">
        <f t="shared" si="469"/>
        <v>54046.69943492813</v>
      </c>
      <c r="AO251" s="182">
        <f t="shared" si="469"/>
        <v>173878.61987137306</v>
      </c>
      <c r="AP251" s="182">
        <f t="shared" si="469"/>
        <v>165095.61465700259</v>
      </c>
      <c r="AQ251" s="182">
        <f t="shared" si="469"/>
        <v>72675.311076031561</v>
      </c>
      <c r="AR251" s="182">
        <f t="shared" si="469"/>
        <v>72200.436598730041</v>
      </c>
      <c r="AS251" s="182">
        <f t="shared" si="469"/>
        <v>69724.963569014013</v>
      </c>
      <c r="AT251" s="182">
        <f t="shared" si="469"/>
        <v>68853.384531307558</v>
      </c>
      <c r="AU251" s="182">
        <f t="shared" si="469"/>
        <v>68261.469296629832</v>
      </c>
      <c r="AV251" s="182">
        <f t="shared" si="469"/>
        <v>69986.775903969799</v>
      </c>
      <c r="AW251" s="182">
        <f t="shared" si="469"/>
        <v>83810.943609614304</v>
      </c>
      <c r="AX251" s="182">
        <f t="shared" si="469"/>
        <v>80206.493550629195</v>
      </c>
      <c r="AY251" s="182">
        <f t="shared" si="469"/>
        <v>73958.478830618173</v>
      </c>
      <c r="AZ251" s="182">
        <f t="shared" si="469"/>
        <v>65425.721095700814</v>
      </c>
      <c r="BA251" s="182">
        <f t="shared" si="469"/>
        <v>190859.78871520987</v>
      </c>
      <c r="BB251" s="182">
        <f t="shared" si="469"/>
        <v>178007.6511399335</v>
      </c>
      <c r="BC251" s="182">
        <f t="shared" si="469"/>
        <v>91289.547140846262</v>
      </c>
      <c r="BD251" s="182">
        <f t="shared" si="469"/>
        <v>92979.874440562213</v>
      </c>
      <c r="BE251" s="182">
        <f t="shared" si="469"/>
        <v>93182.412226198794</v>
      </c>
      <c r="BF251" s="182">
        <f t="shared" si="469"/>
        <v>83355.372431674725</v>
      </c>
      <c r="BG251" s="182">
        <f t="shared" si="469"/>
        <v>81173.188048908283</v>
      </c>
      <c r="BH251" s="182">
        <f t="shared" si="469"/>
        <v>80589.474013007362</v>
      </c>
      <c r="BI251" s="182">
        <f t="shared" si="469"/>
        <v>78413.967773470678</v>
      </c>
      <c r="BJ251" s="182">
        <f t="shared" si="469"/>
        <v>71548.709917288492</v>
      </c>
      <c r="BK251" s="182">
        <f t="shared" si="469"/>
        <v>65691.121742406234</v>
      </c>
      <c r="BL251" s="182">
        <f t="shared" si="469"/>
        <v>53507.58360806472</v>
      </c>
      <c r="BM251" s="182">
        <f t="shared" si="469"/>
        <v>245570.75485398271</v>
      </c>
      <c r="BN251" s="182">
        <f t="shared" si="469"/>
        <v>207009.36341825628</v>
      </c>
      <c r="BO251" s="182">
        <f t="shared" si="469"/>
        <v>63441.808744427733</v>
      </c>
      <c r="BP251" s="182">
        <f t="shared" ref="BP251:CU251" si="470">BP250+BP7</f>
        <v>66801.541124971685</v>
      </c>
      <c r="BQ251" s="182">
        <f t="shared" si="470"/>
        <v>63770.150363152723</v>
      </c>
      <c r="BR251" s="182">
        <f t="shared" si="470"/>
        <v>61870.56106017498</v>
      </c>
      <c r="BS251" s="182">
        <f t="shared" si="470"/>
        <v>61771.719635925358</v>
      </c>
      <c r="BT251" s="182">
        <f t="shared" si="470"/>
        <v>55962.431973221377</v>
      </c>
      <c r="BU251" s="182">
        <f t="shared" si="470"/>
        <v>339088.80560277554</v>
      </c>
      <c r="BV251" s="182">
        <f t="shared" si="470"/>
        <v>62997.31474397362</v>
      </c>
      <c r="BW251" s="182">
        <f t="shared" si="470"/>
        <v>58958.029458293429</v>
      </c>
      <c r="BX251" s="182">
        <f t="shared" si="470"/>
        <v>99243.958084484402</v>
      </c>
      <c r="BY251" s="182">
        <f t="shared" si="470"/>
        <v>338059.90398410591</v>
      </c>
      <c r="BZ251" s="182">
        <f t="shared" si="470"/>
        <v>211293.40648605058</v>
      </c>
      <c r="CA251" s="182">
        <f t="shared" si="470"/>
        <v>63124.599700705592</v>
      </c>
      <c r="CB251" s="182">
        <f t="shared" si="470"/>
        <v>64872.216330743504</v>
      </c>
      <c r="CC251" s="182">
        <f t="shared" si="470"/>
        <v>62725.26715379276</v>
      </c>
      <c r="CD251" s="182">
        <f t="shared" si="470"/>
        <v>59560.664066967372</v>
      </c>
      <c r="CE251" s="182">
        <f t="shared" si="470"/>
        <v>61462.861037745723</v>
      </c>
      <c r="CF251" s="182">
        <f t="shared" si="470"/>
        <v>151228.04452183208</v>
      </c>
      <c r="CG251" s="182">
        <f t="shared" si="470"/>
        <v>355568.94999331853</v>
      </c>
      <c r="CH251" s="182">
        <f t="shared" si="470"/>
        <v>62682.328170253742</v>
      </c>
      <c r="CI251" s="182">
        <f t="shared" si="470"/>
        <v>58663.239311001969</v>
      </c>
      <c r="CJ251" s="182">
        <f t="shared" si="470"/>
        <v>102944.76257534904</v>
      </c>
      <c r="CK251" s="182">
        <f t="shared" si="470"/>
        <v>450836.43383421696</v>
      </c>
      <c r="CL251" s="182">
        <f t="shared" si="470"/>
        <v>287909.67442460894</v>
      </c>
      <c r="CM251" s="182">
        <f t="shared" si="470"/>
        <v>62808.976702202061</v>
      </c>
      <c r="CN251" s="182">
        <f t="shared" si="470"/>
        <v>64547.855249089786</v>
      </c>
      <c r="CO251" s="182">
        <f t="shared" si="470"/>
        <v>62411.640818023785</v>
      </c>
      <c r="CP251" s="182">
        <f t="shared" si="470"/>
        <v>59262.860746632527</v>
      </c>
      <c r="CQ251" s="182">
        <f t="shared" si="470"/>
        <v>61155.546732556992</v>
      </c>
      <c r="CR251" s="182">
        <f t="shared" si="470"/>
        <v>154719.45797616424</v>
      </c>
      <c r="CS251" s="182">
        <f t="shared" si="470"/>
        <v>363832.55921214941</v>
      </c>
      <c r="CT251" s="182">
        <f t="shared" si="470"/>
        <v>62368.916529402471</v>
      </c>
      <c r="CU251" s="182">
        <f t="shared" si="470"/>
        <v>58369.923114446945</v>
      </c>
      <c r="CV251" s="182">
        <f t="shared" ref="CV251:DS251" si="471">CV250+CV7</f>
        <v>106747.63214333892</v>
      </c>
      <c r="CW251" s="182">
        <f t="shared" si="471"/>
        <v>499800.64362366579</v>
      </c>
      <c r="CX251" s="182">
        <f t="shared" si="471"/>
        <v>296030.80949098797</v>
      </c>
      <c r="CY251" s="182">
        <f t="shared" si="471"/>
        <v>62494.93181869106</v>
      </c>
      <c r="CZ251" s="182">
        <f t="shared" si="471"/>
        <v>64225.115972844331</v>
      </c>
      <c r="DA251" s="182">
        <f t="shared" si="471"/>
        <v>62099.582613933679</v>
      </c>
      <c r="DB251" s="182">
        <f t="shared" si="471"/>
        <v>62036.170640885772</v>
      </c>
      <c r="DC251" s="182">
        <f t="shared" si="471"/>
        <v>67240.283797289565</v>
      </c>
      <c r="DD251" s="182">
        <f t="shared" si="471"/>
        <v>61109.165289729608</v>
      </c>
      <c r="DE251" s="182">
        <f t="shared" si="471"/>
        <v>305814.00383662368</v>
      </c>
      <c r="DF251" s="182">
        <f t="shared" si="471"/>
        <v>66421.918495333608</v>
      </c>
      <c r="DG251" s="182">
        <f t="shared" si="471"/>
        <v>61941.998087332446</v>
      </c>
      <c r="DH251" s="182">
        <f t="shared" si="471"/>
        <v>62506.331559567559</v>
      </c>
      <c r="DI251" s="182">
        <f t="shared" si="471"/>
        <v>538655.64700887201</v>
      </c>
      <c r="DJ251" s="182">
        <f t="shared" si="471"/>
        <v>318336.31708857627</v>
      </c>
      <c r="DK251" s="182">
        <f t="shared" si="471"/>
        <v>101350.389731877</v>
      </c>
      <c r="DL251" s="182">
        <f t="shared" si="471"/>
        <v>112505.06659198631</v>
      </c>
      <c r="DM251" s="182">
        <f t="shared" si="471"/>
        <v>112586.96753894148</v>
      </c>
      <c r="DN251" s="182">
        <f t="shared" si="471"/>
        <v>109121.38059034143</v>
      </c>
      <c r="DO251" s="182">
        <f t="shared" si="471"/>
        <v>108726.4693586675</v>
      </c>
      <c r="DP251" s="182">
        <f t="shared" si="471"/>
        <v>113842.07532697648</v>
      </c>
      <c r="DQ251" s="182">
        <f t="shared" si="471"/>
        <v>332091.07434532035</v>
      </c>
      <c r="DR251" s="182">
        <f t="shared" si="471"/>
        <v>108386.90146973474</v>
      </c>
      <c r="DS251" s="182">
        <f t="shared" si="471"/>
        <v>100713.10883638749</v>
      </c>
    </row>
    <row r="252" spans="1:123" ht="15.75" customHeight="1" x14ac:dyDescent="0.35">
      <c r="A252" s="39" t="s">
        <v>528</v>
      </c>
      <c r="B252" s="42">
        <f>SUM(D252:DS252)</f>
        <v>3109848.6774327098</v>
      </c>
      <c r="C252" s="144">
        <f t="shared" si="455"/>
        <v>51830.811290545164</v>
      </c>
      <c r="D252" s="42">
        <f t="shared" ref="D252:AI252" si="472">D249-D251-D253</f>
        <v>-27890.898525924265</v>
      </c>
      <c r="E252" s="42">
        <f t="shared" si="472"/>
        <v>91072.486222352745</v>
      </c>
      <c r="F252" s="42">
        <f t="shared" si="472"/>
        <v>86117.386353297494</v>
      </c>
      <c r="G252" s="42">
        <f t="shared" si="472"/>
        <v>-25126.778894747797</v>
      </c>
      <c r="H252" s="42">
        <f t="shared" si="472"/>
        <v>-23500.128862964011</v>
      </c>
      <c r="I252" s="42">
        <f t="shared" si="472"/>
        <v>-21430.154464550236</v>
      </c>
      <c r="J252" s="42">
        <f t="shared" si="472"/>
        <v>-16720.536175703215</v>
      </c>
      <c r="K252" s="42">
        <f t="shared" si="472"/>
        <v>-20537.166604433442</v>
      </c>
      <c r="L252" s="42">
        <f t="shared" si="472"/>
        <v>-11126.133469269218</v>
      </c>
      <c r="M252" s="42">
        <f t="shared" si="472"/>
        <v>144123.19592620217</v>
      </c>
      <c r="N252" s="42">
        <f t="shared" si="472"/>
        <v>-29105.43980405866</v>
      </c>
      <c r="O252" s="42">
        <f t="shared" si="472"/>
        <v>-27430.421304009251</v>
      </c>
      <c r="P252" s="42">
        <f t="shared" si="472"/>
        <v>16262.75472276791</v>
      </c>
      <c r="Q252" s="42">
        <f t="shared" si="472"/>
        <v>224206.3056282363</v>
      </c>
      <c r="R252" s="42">
        <f t="shared" si="472"/>
        <v>92740.580285116346</v>
      </c>
      <c r="S252" s="42">
        <f t="shared" si="472"/>
        <v>-21043.493979741397</v>
      </c>
      <c r="T252" s="42">
        <f t="shared" si="472"/>
        <v>-22081.189005437671</v>
      </c>
      <c r="U252" s="42">
        <f t="shared" si="472"/>
        <v>-20028.755543459643</v>
      </c>
      <c r="V252" s="42">
        <f t="shared" si="472"/>
        <v>-15295.647270078807</v>
      </c>
      <c r="W252" s="42">
        <f t="shared" si="472"/>
        <v>-20537.166604433442</v>
      </c>
      <c r="X252" s="42">
        <f t="shared" si="472"/>
        <v>-11126.133469269218</v>
      </c>
      <c r="Y252" s="42">
        <f t="shared" si="472"/>
        <v>148040.30840114219</v>
      </c>
      <c r="Z252" s="42">
        <f t="shared" si="472"/>
        <v>-29105.43980405866</v>
      </c>
      <c r="AA252" s="42">
        <f t="shared" si="472"/>
        <v>-27430.421304009251</v>
      </c>
      <c r="AB252" s="42">
        <f t="shared" si="472"/>
        <v>20279.921220219476</v>
      </c>
      <c r="AC252" s="42">
        <f t="shared" si="472"/>
        <v>317087.85337635857</v>
      </c>
      <c r="AD252" s="42">
        <f t="shared" si="472"/>
        <v>108411.26938509656</v>
      </c>
      <c r="AE252" s="42">
        <f t="shared" si="472"/>
        <v>-19629.632349823696</v>
      </c>
      <c r="AF252" s="42">
        <f t="shared" si="472"/>
        <v>-20638.006724668398</v>
      </c>
      <c r="AG252" s="42">
        <f t="shared" si="472"/>
        <v>-18595.654959270956</v>
      </c>
      <c r="AH252" s="42">
        <f t="shared" si="472"/>
        <v>-13848.230079925226</v>
      </c>
      <c r="AI252" s="42">
        <f t="shared" si="472"/>
        <v>-18072.137434937991</v>
      </c>
      <c r="AJ252" s="42">
        <f t="shared" ref="AJ252:BO252" si="473">AJ249-AJ251-AJ253</f>
        <v>-8566.7814726034048</v>
      </c>
      <c r="AK252" s="42">
        <f t="shared" si="473"/>
        <v>179983.17399395653</v>
      </c>
      <c r="AL252" s="42">
        <f t="shared" si="473"/>
        <v>-27006.20590165841</v>
      </c>
      <c r="AM252" s="42">
        <f t="shared" si="473"/>
        <v>-25473.032167049241</v>
      </c>
      <c r="AN252" s="42">
        <f t="shared" si="473"/>
        <v>124798.54314865585</v>
      </c>
      <c r="AO252" s="42">
        <f t="shared" si="473"/>
        <v>304461.35865361593</v>
      </c>
      <c r="AP252" s="42">
        <f t="shared" si="473"/>
        <v>93099.625515864929</v>
      </c>
      <c r="AQ252" s="42">
        <f t="shared" si="473"/>
        <v>-26782.067365267096</v>
      </c>
      <c r="AR252" s="42">
        <f t="shared" si="473"/>
        <v>-25513.121679128017</v>
      </c>
      <c r="AS252" s="42">
        <f t="shared" si="473"/>
        <v>-23192.205632950296</v>
      </c>
      <c r="AT252" s="42">
        <f t="shared" si="473"/>
        <v>-20761.17439606988</v>
      </c>
      <c r="AU252" s="42">
        <f t="shared" si="473"/>
        <v>-22508.900205612794</v>
      </c>
      <c r="AV252" s="42">
        <f t="shared" si="473"/>
        <v>-21491.977218797008</v>
      </c>
      <c r="AW252" s="42">
        <f t="shared" si="473"/>
        <v>180692.66721124997</v>
      </c>
      <c r="AX252" s="42">
        <f t="shared" si="473"/>
        <v>-42335.405129146522</v>
      </c>
      <c r="AY252" s="42">
        <f t="shared" si="473"/>
        <v>-38720.412074803098</v>
      </c>
      <c r="AZ252" s="42">
        <f t="shared" si="473"/>
        <v>139955.75673321501</v>
      </c>
      <c r="BA252" s="42">
        <f t="shared" si="473"/>
        <v>301727.10959813063</v>
      </c>
      <c r="BB252" s="42">
        <f t="shared" si="473"/>
        <v>89040.726453048934</v>
      </c>
      <c r="BC252" s="42">
        <f t="shared" si="473"/>
        <v>-44248.694690036842</v>
      </c>
      <c r="BD252" s="42">
        <f t="shared" si="473"/>
        <v>-45127.366453446841</v>
      </c>
      <c r="BE252" s="42">
        <f t="shared" si="473"/>
        <v>-45487.237695379903</v>
      </c>
      <c r="BF252" s="42">
        <f t="shared" si="473"/>
        <v>-34060.024101228657</v>
      </c>
      <c r="BG252" s="42">
        <f t="shared" si="473"/>
        <v>-34276.712181523879</v>
      </c>
      <c r="BH252" s="42">
        <f t="shared" si="473"/>
        <v>-30884.133205271057</v>
      </c>
      <c r="BI252" s="42">
        <f t="shared" si="473"/>
        <v>206956.04752540379</v>
      </c>
      <c r="BJ252" s="42">
        <f t="shared" si="473"/>
        <v>-32729.91879434936</v>
      </c>
      <c r="BK252" s="42">
        <f t="shared" si="473"/>
        <v>-29571.987631330863</v>
      </c>
      <c r="BL252" s="42">
        <f t="shared" si="473"/>
        <v>164294.8311761785</v>
      </c>
      <c r="BM252" s="42">
        <f t="shared" si="473"/>
        <v>259215.19380531582</v>
      </c>
      <c r="BN252" s="42">
        <f t="shared" si="473"/>
        <v>70329.342571072921</v>
      </c>
      <c r="BO252" s="42">
        <f t="shared" si="473"/>
        <v>-15224.657335072268</v>
      </c>
      <c r="BP252" s="42">
        <f t="shared" ref="BP252:CU252" si="474">BP249-BP251-BP253</f>
        <v>-17751.447888164257</v>
      </c>
      <c r="BQ252" s="42">
        <f t="shared" si="474"/>
        <v>-14881.092546319334</v>
      </c>
      <c r="BR252" s="42">
        <f t="shared" si="474"/>
        <v>-11343.384316019394</v>
      </c>
      <c r="BS252" s="42">
        <f t="shared" si="474"/>
        <v>-13702.646773672466</v>
      </c>
      <c r="BT252" s="42">
        <f t="shared" si="474"/>
        <v>-5011.3803879846964</v>
      </c>
      <c r="BU252" s="42">
        <f t="shared" si="474"/>
        <v>56278.518845561775</v>
      </c>
      <c r="BV252" s="42">
        <f t="shared" si="474"/>
        <v>-23207.683646593257</v>
      </c>
      <c r="BW252" s="42">
        <f t="shared" si="474"/>
        <v>-21936.541700811766</v>
      </c>
      <c r="BX252" s="42">
        <f t="shared" si="474"/>
        <v>123630.89293556368</v>
      </c>
      <c r="BY252" s="42">
        <f t="shared" si="474"/>
        <v>181297.44042110682</v>
      </c>
      <c r="BZ252" s="42">
        <f t="shared" si="474"/>
        <v>74932.769475018955</v>
      </c>
      <c r="CA252" s="42">
        <f t="shared" si="474"/>
        <v>-13702.459114302939</v>
      </c>
      <c r="CB252" s="42">
        <f t="shared" si="474"/>
        <v>-14595.847625742907</v>
      </c>
      <c r="CC252" s="42">
        <f t="shared" si="474"/>
        <v>-12613.635832443768</v>
      </c>
      <c r="CD252" s="42">
        <f t="shared" si="474"/>
        <v>-7770.1922178429886</v>
      </c>
      <c r="CE252" s="42">
        <f t="shared" si="474"/>
        <v>-12191.575471203832</v>
      </c>
      <c r="CF252" s="42">
        <f t="shared" si="474"/>
        <v>-3324.4754374022305</v>
      </c>
      <c r="CG252" s="42">
        <f t="shared" si="474"/>
        <v>57038.87120343704</v>
      </c>
      <c r="CH252" s="42">
        <f t="shared" si="474"/>
        <v>-21898.71982544737</v>
      </c>
      <c r="CI252" s="42">
        <f t="shared" si="474"/>
        <v>-20715.335143209835</v>
      </c>
      <c r="CJ252" s="42">
        <f t="shared" si="474"/>
        <v>129633.50288625224</v>
      </c>
      <c r="CK252" s="42">
        <f t="shared" si="474"/>
        <v>83452.588293366774</v>
      </c>
      <c r="CL252" s="42">
        <f t="shared" si="474"/>
        <v>7420.4597333818092</v>
      </c>
      <c r="CM252" s="42">
        <f t="shared" si="474"/>
        <v>-12150.380247492947</v>
      </c>
      <c r="CN252" s="42">
        <f t="shared" si="474"/>
        <v>-13016.520857394891</v>
      </c>
      <c r="CO252" s="42">
        <f t="shared" si="474"/>
        <v>-11048.745773658069</v>
      </c>
      <c r="CP252" s="42">
        <f t="shared" si="474"/>
        <v>-6177.6271012800207</v>
      </c>
      <c r="CQ252" s="42">
        <f t="shared" si="474"/>
        <v>-10652.432752305569</v>
      </c>
      <c r="CR252" s="42">
        <f t="shared" si="474"/>
        <v>-3120.2281646269839</v>
      </c>
      <c r="CS252" s="42">
        <f t="shared" si="474"/>
        <v>66732.717653867265</v>
      </c>
      <c r="CT252" s="42">
        <f t="shared" si="474"/>
        <v>-20566.342682346527</v>
      </c>
      <c r="CU252" s="42">
        <f t="shared" si="474"/>
        <v>-19472.465263359576</v>
      </c>
      <c r="CV252" s="42">
        <f t="shared" ref="CV252:DS252" si="475">CV249-CV251-CV253</f>
        <v>135645.13704902265</v>
      </c>
      <c r="CW252" s="42">
        <f t="shared" si="475"/>
        <v>49795.979220617563</v>
      </c>
      <c r="CX252" s="42">
        <f t="shared" si="475"/>
        <v>8632.2460737889051</v>
      </c>
      <c r="CY252" s="42">
        <f t="shared" si="475"/>
        <v>-10573.040259013142</v>
      </c>
      <c r="CZ252" s="42">
        <f t="shared" si="475"/>
        <v>-11405.498221357062</v>
      </c>
      <c r="DA252" s="42">
        <f t="shared" si="475"/>
        <v>-9452.1061734531468</v>
      </c>
      <c r="DB252" s="42">
        <f t="shared" si="475"/>
        <v>-7623.7830171264795</v>
      </c>
      <c r="DC252" s="42">
        <f t="shared" si="475"/>
        <v>-15475.725693908127</v>
      </c>
      <c r="DD252" s="42">
        <f t="shared" si="475"/>
        <v>94281.462889471906</v>
      </c>
      <c r="DE252" s="42">
        <f t="shared" si="475"/>
        <v>145134.77198022063</v>
      </c>
      <c r="DF252" s="42">
        <f t="shared" si="475"/>
        <v>-23574.465400285146</v>
      </c>
      <c r="DG252" s="42">
        <f t="shared" si="475"/>
        <v>-22073.700261803839</v>
      </c>
      <c r="DH252" s="42">
        <f t="shared" si="475"/>
        <v>189073.32993485953</v>
      </c>
      <c r="DI252" s="42">
        <f t="shared" si="475"/>
        <v>26633.527470052824</v>
      </c>
      <c r="DJ252" s="42">
        <f t="shared" si="475"/>
        <v>-4108.2865358210984</v>
      </c>
      <c r="DK252" s="42">
        <f t="shared" si="475"/>
        <v>-48129.108921374005</v>
      </c>
      <c r="DL252" s="42">
        <f t="shared" si="475"/>
        <v>-58362.922316689197</v>
      </c>
      <c r="DM252" s="42">
        <f t="shared" si="475"/>
        <v>-58624.368502006233</v>
      </c>
      <c r="DN252" s="42">
        <f t="shared" si="475"/>
        <v>-53347.595824157863</v>
      </c>
      <c r="DO252" s="42">
        <f t="shared" si="475"/>
        <v>-55668.074949977337</v>
      </c>
      <c r="DP252" s="42">
        <f t="shared" si="475"/>
        <v>45434.763369526598</v>
      </c>
      <c r="DQ252" s="42">
        <f t="shared" si="475"/>
        <v>139748.61510205927</v>
      </c>
      <c r="DR252" s="42">
        <f t="shared" si="475"/>
        <v>-64465.878908192637</v>
      </c>
      <c r="DS252" s="42">
        <f t="shared" si="475"/>
        <v>-59848.057290674711</v>
      </c>
    </row>
    <row r="253" spans="1:123" ht="18" customHeight="1" x14ac:dyDescent="0.35">
      <c r="A253" s="183" t="s">
        <v>529</v>
      </c>
      <c r="B253" s="184">
        <f>SUM(D253:BQ253)</f>
        <v>0</v>
      </c>
      <c r="C253" s="185" t="s">
        <v>530</v>
      </c>
      <c r="D253" s="186">
        <f>((D27+D45)*Premissas!$C$11+(D59+D72+D85+D98+D111+D124+D137+D150+D163+D176+D189+D202+D215+D227+D239)*Premissas!$E$11)</f>
        <v>0</v>
      </c>
      <c r="E253" s="186">
        <f>((E27+E45)*Premissas!$C$11+(E59+E72+E85+E98+E111+E124+E137+E150+E163+E176+E189+E202+E215+E227+E239)*Premissas!$E$11)</f>
        <v>0</v>
      </c>
      <c r="F253" s="186">
        <f>((F27+F45)*Premissas!$C$11+(F59+F72+F85+F98+F111+F124+F137+F150+F163+F176+F189+F202+F215+F227+F239)*Premissas!$E$11)</f>
        <v>0</v>
      </c>
      <c r="G253" s="186">
        <f>((G27+G45)*Premissas!$C$11+(G59+G72+G85+G98+G111+G124+G137+G150+G163+G176+G189+G202+G215+G227+G239)*Premissas!$E$11)</f>
        <v>0</v>
      </c>
      <c r="H253" s="186">
        <f>((H27+H45)*Premissas!$C$11+(H59+H72+H85+H98+H111+H124+H137+H150+H163+H176+H189+H202+H215+H227+H239)*Premissas!$E$11)</f>
        <v>0</v>
      </c>
      <c r="I253" s="186">
        <f>((I27+I45)*Premissas!$C$11+(I59+I72+I85+I98+I111+I124+I137+I150+I163+I176+I189+I202+I215+I227+I239)*Premissas!$E$11)</f>
        <v>0</v>
      </c>
      <c r="J253" s="186">
        <f>((J27+J45)*Premissas!$C$11+(J59+J72+J85+J98+J111+J124+J137+J150+J163+J176+J189+J202+J215+J227+J239)*Premissas!$E$11)</f>
        <v>0</v>
      </c>
      <c r="K253" s="186">
        <f>((K27+K45)*Premissas!$C$11+(K59+K72+K85+K98+K111+K124+K137+K150+K163+K176+K189+K202+K215+K227+K239)*Premissas!$E$11)</f>
        <v>0</v>
      </c>
      <c r="L253" s="186">
        <f>((L27+L45)*Premissas!$C$11+(L59+L72+L85+L98+L111+L124+L137+L150+L163+L176+L189+L202+L215+L227+L239)*Premissas!$E$11)</f>
        <v>0</v>
      </c>
      <c r="M253" s="186">
        <f>((M27+M45)*Premissas!$C$11+(M59+M72+M85+M98+M111+M124+M137+M150+M163+M176+M189+M202+M215+M227+M239)*Premissas!$E$11)</f>
        <v>0</v>
      </c>
      <c r="N253" s="186">
        <f>((N27+N45)*Premissas!$C$11+(N59+N72+N85+N98+N111+N124+N137+N150+N163+N176+N189+N202+N215+N227+N239)*Premissas!$E$11)</f>
        <v>0</v>
      </c>
      <c r="O253" s="186">
        <f>((O27+O45)*Premissas!$C$11+(O59+O72+O85+O98+O111+O124+O137+O150+O163+O176+O189+O202+O215+O227+O239)*Premissas!$E$11)</f>
        <v>0</v>
      </c>
      <c r="P253" s="186">
        <f>((P27+P45)*Premissas!$C$11+(P59+P72+P85+P98+P111+P124+P137+P150+P163+P176+P189+P202+P215+P227+P239)*Premissas!$E$11)</f>
        <v>0</v>
      </c>
      <c r="Q253" s="186">
        <f>((Q27+Q45)*Premissas!$C$11+(Q59+Q72+Q85+Q98+Q111+Q124+Q137+Q150+Q163+Q176+Q189+Q202+Q215+Q227+Q239)*Premissas!$E$11)</f>
        <v>0</v>
      </c>
      <c r="R253" s="186">
        <f>((R27+R45)*Premissas!$C$11+(R59+R72+R85+R98+R111+R124+R137+R150+R163+R176+R189+R202+R215+R227+R239)*Premissas!$E$11)</f>
        <v>0</v>
      </c>
      <c r="S253" s="186">
        <f>((S27+S45)*Premissas!$C$11+(S59+S72+S85+S98+S111+S124+S137+S150+S163+S176+S189+S202+S215+S227+S239)*Premissas!$E$11)</f>
        <v>0</v>
      </c>
      <c r="T253" s="186">
        <f>((T27+T45)*Premissas!$C$11+(T59+T72+T85+T98+T111+T124+T137+T150+T163+T176+T189+T202+T215+T227+T239)*Premissas!$E$11)</f>
        <v>0</v>
      </c>
      <c r="U253" s="186">
        <f>((U27+U45)*Premissas!$C$11+(U59+U72+U85+U98+U111+U124+U137+U150+U163+U176+U189+U202+U215+U227+U239)*Premissas!$E$11)</f>
        <v>0</v>
      </c>
      <c r="V253" s="186">
        <f>((V27+V45)*Premissas!$C$11+(V59+V72+V85+V98+V111+V124+V137+V150+V163+V176+V189+V202+V215+V227+V239)*Premissas!$E$11)</f>
        <v>0</v>
      </c>
      <c r="W253" s="186">
        <f>((W27+W45)*Premissas!$C$11+(W59+W72+W85+W98+W111+W124+W137+W150+W163+W176+W189+W202+W215+W227+W239)*Premissas!$E$11)</f>
        <v>0</v>
      </c>
      <c r="X253" s="186">
        <f>((X27+X45)*Premissas!$C$11+(X59+X72+X85+X98+X111+X124+X137+X150+X163+X176+X189+X202+X215+X227+X239)*Premissas!$E$11)</f>
        <v>0</v>
      </c>
      <c r="Y253" s="186">
        <f>((Y27+Y45)*Premissas!$C$11+(Y59+Y72+Y85+Y98+Y111+Y124+Y137+Y150+Y163+Y176+Y189+Y202+Y215+Y227+Y239)*Premissas!$E$11)</f>
        <v>0</v>
      </c>
      <c r="Z253" s="186">
        <f>((Z27+Z45)*Premissas!$C$11+(Z59+Z72+Z85+Z98+Z111+Z124+Z137+Z150+Z163+Z176+Z189+Z202+Z215+Z227+Z239)*Premissas!$E$11)</f>
        <v>0</v>
      </c>
      <c r="AA253" s="186">
        <f>((AA27+AA45)*Premissas!$C$11+(AA59+AA72+AA85+AA98+AA111+AA124+AA137+AA150+AA163+AA176+AA189+AA202+AA215+AA227+AA239)*Premissas!$E$11)</f>
        <v>0</v>
      </c>
      <c r="AB253" s="187">
        <f>((AB27+AB45)*Premissas!$C$11+(AB59+AB72+AB85+AB98+AB111+AB124+AB137+AB150+AB163+AB176+AB189+AB202+AB215+AB227+AB239)*Premissas!$E$11)</f>
        <v>0</v>
      </c>
      <c r="AC253" s="187">
        <f>((AC27+AC45)*Premissas!$C$11+(AC59+AC72+AC85+AC98+AC111+AC124+AC137+AC150+AC163+AC176+AC189+AC202+AC215+AC227+AC239)*Premissas!$E$11)</f>
        <v>0</v>
      </c>
      <c r="AD253" s="187">
        <f>((AD27+AD45)*Premissas!$C$11+(AD59+AD72+AD85+AD98+AD111+AD124+AD137+AD150+AD163+AD176+AD189+AD202+AD215+AD227+AD239)*Premissas!$E$11)</f>
        <v>0</v>
      </c>
      <c r="AE253" s="187">
        <f>((AE27+AE45)*Premissas!$C$11+(AE59+AE72+AE85+AE98+AE111+AE124+AE137+AE150+AE163+AE176+AE189+AE202+AE215+AE227+AE239)*Premissas!$E$11)</f>
        <v>0</v>
      </c>
      <c r="AF253" s="187">
        <f>((AF27+AF45)*Premissas!$C$11+(AF59+AF72+AF85+AF98+AF111+AF124+AF137+AF150+AF163+AF176+AF189+AF202+AF215+AF227+AF239)*Premissas!$E$11)</f>
        <v>0</v>
      </c>
      <c r="AG253" s="187">
        <f>((AG27+AG45)*Premissas!$C$11+(AG59+AG72+AG85+AG98+AG111+AG124+AG137+AG150+AG163+AG176+AG189+AG202+AG215+AG227+AG239)*Premissas!$E$11)</f>
        <v>0</v>
      </c>
      <c r="AH253" s="187">
        <f>((AH27+AH45)*Premissas!$C$11+(AH59+AH72+AH85+AH98+AH111+AH124+AH137+AH150+AH163+AH176+AH189+AH202+AH215+AH227+AH239)*Premissas!$E$11)</f>
        <v>0</v>
      </c>
      <c r="AI253" s="187">
        <f>((AI27+AI45)*Premissas!$C$11+(AI59+AI72+AI85+AI98+AI111+AI124+AI137+AI150+AI163+AI176+AI189+AI202+AI215+AI227+AI239)*Premissas!$E$11)</f>
        <v>0</v>
      </c>
      <c r="AJ253" s="187">
        <f>((AJ27+AJ45)*Premissas!$C$11+(AJ59+AJ72+AJ85+AJ98+AJ111+AJ124+AJ137+AJ150+AJ163+AJ176+AJ189+AJ202+AJ215+AJ227+AJ239)*Premissas!$E$11)</f>
        <v>0</v>
      </c>
      <c r="AK253" s="187">
        <f>((AK27+AK45)*Premissas!$C$11+(AK59+AK72+AK85+AK98+AK111+AK124+AK137+AK150+AK163+AK176+AK189+AK202+AK215+AK227+AK239)*Premissas!$E$11)</f>
        <v>0</v>
      </c>
      <c r="AL253" s="187">
        <f>((AL27+AL45)*Premissas!$C$11+(AL59+AL72+AL85+AL98+AL111+AL124+AL137+AL150+AL163+AL176+AL189+AL202+AL215+AL227+AL239)*Premissas!$E$11)</f>
        <v>0</v>
      </c>
      <c r="AM253" s="187">
        <f>((AM27+AM45)*Premissas!$C$11+(AM59+AM72+AM85+AM98+AM111+AM124+AM137+AM150+AM163+AM176+AM189+AM202+AM215+AM227+AM239)*Premissas!$E$11)</f>
        <v>0</v>
      </c>
      <c r="AN253" s="187">
        <f>((AN27+AN45)*Premissas!$C$11+(AN59+AN72+AN85+AN98+AN111+AN124+AN137+AN150+AN163+AN176+AN189+AN202+AN215+AN227+AN239)*Premissas!$E$11)</f>
        <v>0</v>
      </c>
      <c r="AO253" s="187">
        <f>((AO27+AO45)*Premissas!$C$11+(AO59+AO72+AO85+AO98+AO111+AO124+AO137+AO150+AO163+AO176+AO189+AO202+AO215+AO227+AO239)*Premissas!$E$11)</f>
        <v>0</v>
      </c>
      <c r="AP253" s="187">
        <f>((AP27+AP45)*Premissas!$C$11+(AP59+AP72+AP85+AP98+AP111+AP124+AP137+AP150+AP163+AP176+AP189+AP202+AP215+AP227+AP239)*Premissas!$E$11)</f>
        <v>0</v>
      </c>
      <c r="AQ253" s="187">
        <f>((AQ27+AQ45)*Premissas!$C$11+(AQ59+AQ72+AQ85+AQ98+AQ111+AQ124+AQ137+AQ150+AQ163+AQ176+AQ189+AQ202+AQ215+AQ227+AQ239)*Premissas!$E$11)</f>
        <v>0</v>
      </c>
      <c r="AR253" s="187">
        <f>((AR27+AR45)*Premissas!$C$11+(AR59+AR72+AR85+AR98+AR111+AR124+AR137+AR150+AR163+AR176+AR189+AR202+AR215+AR227+AR239)*Premissas!$E$11)</f>
        <v>0</v>
      </c>
      <c r="AS253" s="187">
        <f>((AS27+AS45)*Premissas!$C$11+(AS59+AS72+AS85+AS98+AS111+AS124+AS137+AS150+AS163+AS176+AS189+AS202+AS215+AS227+AS239)*Premissas!$E$11)</f>
        <v>0</v>
      </c>
      <c r="AT253" s="187">
        <f>((AT27+AT45)*Premissas!$C$11+(AT59+AT72+AT85+AT98+AT111+AT124+AT137+AT150+AT163+AT176+AT189+AT202+AT215+AT227+AT239)*Premissas!$E$11)</f>
        <v>0</v>
      </c>
      <c r="AU253" s="187">
        <f>((AU27+AU45)*Premissas!$C$11+(AU59+AU72+AU85+AU98+AU111+AU124+AU137+AU150+AU163+AU176+AU189+AU202+AU215+AU227+AU239)*Premissas!$E$11)</f>
        <v>0</v>
      </c>
      <c r="AV253" s="187">
        <f>((AV27+AV45)*Premissas!$C$11+(AV59+AV72+AV85+AV98+AV111+AV124+AV137+AV150+AV163+AV176+AV189+AV202+AV215+AV227+AV239)*Premissas!$E$11)</f>
        <v>0</v>
      </c>
      <c r="AW253" s="187">
        <f>((AW27+AW45)*Premissas!$C$11+(AW59+AW72+AW85+AW98+AW111+AW124+AW137+AW150+AW163+AW176+AW189+AW202+AW215+AW227+AW239)*Premissas!$E$11)</f>
        <v>0</v>
      </c>
      <c r="AX253" s="187">
        <f>((AX27+AX45)*Premissas!$C$11+(AX59+AX72+AX85+AX98+AX111+AX124+AX137+AX150+AX163+AX176+AX189+AX202+AX215+AX227+AX239)*Premissas!$E$11)</f>
        <v>0</v>
      </c>
      <c r="AY253" s="187">
        <f>((AY27+AY45)*Premissas!$C$11+(AY59+AY72+AY85+AY98+AY111+AY124+AY137+AY150+AY163+AY176+AY189+AY202+AY215+AY227+AY239)*Premissas!$E$11)</f>
        <v>0</v>
      </c>
      <c r="AZ253" s="187">
        <f>((AZ27+AZ45)*Premissas!$C$11+(AZ59+AZ72+AZ85+AZ98+AZ111+AZ124+AZ137+AZ150+AZ163+AZ176+AZ189+AZ202+AZ215+AZ227+AZ239)*Premissas!$E$11)</f>
        <v>0</v>
      </c>
      <c r="BA253" s="187">
        <f>((BA27+BA45)*Premissas!$C$11+(BA59+BA72+BA85+BA98+BA111+BA124+BA137+BA150+BA163+BA176+BA189+BA202+BA215+BA227+BA239)*Premissas!$E$11)</f>
        <v>0</v>
      </c>
      <c r="BB253" s="187">
        <f>((BB27+BB45)*Premissas!$C$11+(BB59+BB72+BB85+BB98+BB111+BB124+BB137+BB150+BB163+BB176+BB189+BB202+BB215+BB227+BB239)*Premissas!$E$11)</f>
        <v>0</v>
      </c>
      <c r="BC253" s="187">
        <f>((BC27+BC45)*Premissas!$C$11+(BC59+BC72+BC85+BC98+BC111+BC124+BC137+BC150+BC163+BC176+BC189+BC202+BC215+BC227+BC239)*Premissas!$E$11)</f>
        <v>0</v>
      </c>
      <c r="BD253" s="187">
        <f>((BD27+BD45)*Premissas!$C$11+(BD59+BD72+BD85+BD98+BD111+BD124+BD137+BD150+BD163+BD176+BD189+BD202+BD215+BD227+BD239)*Premissas!$E$11)</f>
        <v>0</v>
      </c>
      <c r="BE253" s="187">
        <f>((BE27+BE45)*Premissas!$C$11+(BE59+BE72+BE85+BE98+BE111+BE124+BE137+BE150+BE163+BE176+BE189+BE202+BE215+BE227+BE239)*Premissas!$E$11)</f>
        <v>0</v>
      </c>
      <c r="BF253" s="187">
        <f>((BF27+BF45)*Premissas!$C$11+(BF59+BF72+BF85+BF98+BF111+BF124+BF137+BF150+BF163+BF176+BF189+BF202+BF215+BF227+BF239)*Premissas!$E$11)</f>
        <v>0</v>
      </c>
      <c r="BG253" s="187">
        <f>((BG27+BG45)*Premissas!$C$11+(BG59+BG72+BG85+BG98+BG111+BG124+BG137+BG150+BG163+BG176+BG189+BG202+BG215+BG227+BG239)*Premissas!$E$11)</f>
        <v>0</v>
      </c>
      <c r="BH253" s="187">
        <f>((BH27+BH45)*Premissas!$C$11+(BH59+BH72+BH85+BH98+BH111+BH124+BH137+BH150+BH163+BH176+BH189+BH202+BH215+BH227+BH239)*Premissas!$E$11)</f>
        <v>0</v>
      </c>
      <c r="BI253" s="187">
        <f>((BI27+BI45)*Premissas!$C$11+(BI59+BI72+BI85+BI98+BI111+BI124+BI137+BI150+BI163+BI176+BI189+BI202+BI215+BI227+BI239)*Premissas!$E$11)</f>
        <v>0</v>
      </c>
      <c r="BJ253" s="187">
        <f>((BJ27+BJ45)*Premissas!$C$11+(BJ59+BJ72+BJ85+BJ98+BJ111+BJ124+BJ137+BJ150+BJ163+BJ176+BJ189+BJ202+BJ215+BJ227+BJ239)*Premissas!$E$11)</f>
        <v>0</v>
      </c>
      <c r="BK253" s="187">
        <f>((BK27+BK45)*Premissas!$C$11+(BK59+BK72+BK85+BK98+BK111+BK124+BK137+BK150+BK163+BK176+BK189+BK202+BK215+BK227+BK239)*Premissas!$E$11)</f>
        <v>0</v>
      </c>
      <c r="BL253" s="187">
        <f>((BL27+BL45)*Premissas!$C$11+(BL59+BL72+BL85+BL98+BL111+BL124+BL137+BL150+BL163+BL176+BL189+BL202+BL215+BL227+BL239)*Premissas!$E$11)</f>
        <v>0</v>
      </c>
      <c r="BM253" s="187">
        <f>((BM27+BM45)*Premissas!$C$11+(BM59+BM72+BM85+BM98+BM111+BM124+BM137+BM150+BM163+BM176+BM189+BM202+BM215+BM227+BM239)*Premissas!$E$11)</f>
        <v>0</v>
      </c>
      <c r="BN253" s="187">
        <f>((BN27+BN45)*Premissas!$C$11+(BN59+BN72+BN85+BN98+BN111+BN124+BN137+BN150+BN163+BN176+BN189+BN202+BN215+BN227+BN239)*Premissas!$E$11)</f>
        <v>0</v>
      </c>
      <c r="BO253" s="187">
        <f>((BO27+BO45)*Premissas!$C$11+(BO59+BO72+BO85+BO98+BO111+BO124+BO137+BO150+BO163+BO176+BO189+BO202+BO215+BO227+BO239)*Premissas!$E$11)</f>
        <v>0</v>
      </c>
      <c r="BP253" s="187">
        <f>((BP27+BP45)*Premissas!$C$11+(BP59+BP72+BP85+BP98+BP111+BP124+BP137+BP150+BP163+BP176+BP189+BP202+BP215+BP227+BP239)*Premissas!$E$11)</f>
        <v>0</v>
      </c>
      <c r="BQ253" s="187">
        <f>((BQ27+BQ45)*Premissas!$C$11+(BQ59+BQ72+BQ85+BQ98+BQ111+BQ124+BQ137+BQ150+BQ163+BQ176+BQ189+BQ202+BQ215+BQ227+BQ239)*Premissas!$E$11)</f>
        <v>0</v>
      </c>
      <c r="BR253" s="187">
        <f>((BR27+BR45)*Premissas!$C$11+(BR59+BR72+BR85+BR98+BR111+BR124+BR137+BR150+BR163+BR176+BR189+BR202+BR215+BR227+BR239)*Premissas!$E$11)</f>
        <v>0</v>
      </c>
      <c r="BS253" s="187">
        <f>((BS27+BS45)*Premissas!$C$11+(BS59+BS72+BS85+BS98+BS111+BS124+BS137+BS150+BS163+BS176+BS189+BS202+BS215+BS227+BS239)*Premissas!$E$11)</f>
        <v>0</v>
      </c>
      <c r="BT253" s="187">
        <f>((BT27+BT45)*Premissas!$C$11+(BT59+BT72+BT85+BT98+BT111+BT124+BT137+BT150+BT163+BT176+BT189+BT202+BT215+BT227+BT239)*Premissas!$E$11)</f>
        <v>0</v>
      </c>
      <c r="BU253" s="187">
        <f>((BU27+BU45)*Premissas!$C$11+(BU59+BU72+BU85+BU98+BU111+BU124+BU137+BU150+BU163+BU176+BU189+BU202+BU215+BU227+BU239)*Premissas!$E$11)</f>
        <v>0</v>
      </c>
      <c r="BV253" s="187">
        <f>((BV27+BV45)*Premissas!$C$11+(BV59+BV72+BV85+BV98+BV111+BV124+BV137+BV150+BV163+BV176+BV189+BV202+BV215+BV227+BV239)*Premissas!$E$11)</f>
        <v>0</v>
      </c>
      <c r="BW253" s="187">
        <f>((BW27+BW45)*Premissas!$C$11+(BW59+BW72+BW85+BW98+BW111+BW124+BW137+BW150+BW163+BW176+BW189+BW202+BW215+BW227+BW239)*Premissas!$E$11)</f>
        <v>0</v>
      </c>
      <c r="BX253" s="187">
        <f>((BX27+BX45)*Premissas!$C$11+(BX59+BX72+BX85+BX98+BX111+BX124+BX137+BX150+BX163+BX176+BX189+BX202+BX215+BX227+BX239)*Premissas!$E$11)</f>
        <v>0</v>
      </c>
      <c r="BY253" s="187">
        <f>((BY27+BY45)*Premissas!$C$11+(BY59+BY72+BY85+BY98+BY111+BY124+BY137+BY150+BY163+BY176+BY189+BY202+BY215+BY227+BY239)*Premissas!$E$11)</f>
        <v>0</v>
      </c>
      <c r="BZ253" s="187">
        <f>((BZ27+BZ45)*Premissas!$C$11+(BZ59+BZ72+BZ85+BZ98+BZ111+BZ124+BZ137+BZ150+BZ163+BZ176+BZ189+BZ202+BZ215+BZ227+BZ239)*Premissas!$E$11)</f>
        <v>0</v>
      </c>
      <c r="CA253" s="187">
        <f>((CA27+CA45)*Premissas!$C$11+(CA59+CA72+CA85+CA98+CA111+CA124+CA137+CA150+CA163+CA176+CA189+CA202+CA215+CA227+CA239)*Premissas!$E$11)</f>
        <v>0</v>
      </c>
      <c r="CB253" s="187">
        <f>((CB27+CB45)*Premissas!$C$11+(CB59+CB72+CB85+CB98+CB111+CB124+CB137+CB150+CB163+CB176+CB189+CB202+CB215+CB227+CB239)*Premissas!$E$11)</f>
        <v>0</v>
      </c>
      <c r="CC253" s="187">
        <f>((CC27+CC45)*Premissas!$C$11+(CC59+CC72+CC85+CC98+CC111+CC124+CC137+CC150+CC163+CC176+CC189+CC202+CC215+CC227+CC239)*Premissas!$E$11)</f>
        <v>0</v>
      </c>
      <c r="CD253" s="187">
        <f>((CD27+CD45)*Premissas!$C$11+(CD59+CD72+CD85+CD98+CD111+CD124+CD137+CD150+CD163+CD176+CD189+CD202+CD215+CD227+CD239)*Premissas!$E$11)</f>
        <v>0</v>
      </c>
      <c r="CE253" s="187">
        <f>((CE27+CE45)*Premissas!$C$11+(CE59+CE72+CE85+CE98+CE111+CE124+CE137+CE150+CE163+CE176+CE189+CE202+CE215+CE227+CE239)*Premissas!$E$11)</f>
        <v>0</v>
      </c>
      <c r="CF253" s="187">
        <f>((CF27+CF45)*Premissas!$C$11+(CF59+CF72+CF85+CF98+CF111+CF124+CF137+CF150+CF163+CF176+CF189+CF202+CF215+CF227+CF239)*Premissas!$E$11)</f>
        <v>0</v>
      </c>
      <c r="CG253" s="187">
        <f>((CG27+CG45)*Premissas!$C$11+(CG59+CG72+CG85+CG98+CG111+CG124+CG137+CG150+CG163+CG176+CG189+CG202+CG215+CG227+CG239)*Premissas!$E$11)</f>
        <v>0</v>
      </c>
      <c r="CH253" s="187">
        <f>((CH27+CH45)*Premissas!$C$11+(CH59+CH72+CH85+CH98+CH111+CH124+CH137+CH150+CH163+CH176+CH189+CH202+CH215+CH227+CH239)*Premissas!$E$11)</f>
        <v>0</v>
      </c>
      <c r="CI253" s="187">
        <f>((CI27+CI45)*Premissas!$C$11+(CI59+CI72+CI85+CI98+CI111+CI124+CI137+CI150+CI163+CI176+CI189+CI202+CI215+CI227+CI239)*Premissas!$E$11)</f>
        <v>0</v>
      </c>
      <c r="CJ253" s="187">
        <f>((CJ27+CJ45)*Premissas!$C$11+(CJ59+CJ72+CJ85+CJ98+CJ111+CJ124+CJ137+CJ150+CJ163+CJ176+CJ189+CJ202+CJ215+CJ227+CJ239)*Premissas!$E$11)</f>
        <v>0</v>
      </c>
      <c r="CK253" s="187">
        <f>((CK27+CK45)*Premissas!$C$11+(CK59+CK72+CK85+CK98+CK111+CK124+CK137+CK150+CK163+CK176+CK189+CK202+CK215+CK227+CK239)*Premissas!$E$11)</f>
        <v>0</v>
      </c>
      <c r="CL253" s="187">
        <f>((CL27+CL45)*Premissas!$C$11+(CL59+CL72+CL85+CL98+CL111+CL124+CL137+CL150+CL163+CL176+CL189+CL202+CL215+CL227+CL239)*Premissas!$E$11)</f>
        <v>0</v>
      </c>
      <c r="CM253" s="187">
        <f>((CM27+CM45)*Premissas!$C$11+(CM59+CM72+CM85+CM98+CM111+CM124+CM137+CM150+CM163+CM176+CM189+CM202+CM215+CM227+CM239)*Premissas!$E$11)</f>
        <v>0</v>
      </c>
      <c r="CN253" s="187">
        <f>((CN27+CN45)*Premissas!$C$11+(CN59+CN72+CN85+CN98+CN111+CN124+CN137+CN150+CN163+CN176+CN189+CN202+CN215+CN227+CN239)*Premissas!$E$11)</f>
        <v>0</v>
      </c>
      <c r="CO253" s="187">
        <f>((CO27+CO45)*Premissas!$C$11+(CO59+CO72+CO85+CO98+CO111+CO124+CO137+CO150+CO163+CO176+CO189+CO202+CO215+CO227+CO239)*Premissas!$E$11)</f>
        <v>0</v>
      </c>
      <c r="CP253" s="187">
        <f>((CP27+CP45)*Premissas!$C$11+(CP59+CP72+CP85+CP98+CP111+CP124+CP137+CP150+CP163+CP176+CP189+CP202+CP215+CP227+CP239)*Premissas!$E$11)</f>
        <v>0</v>
      </c>
      <c r="CQ253" s="187">
        <f>((CQ27+CQ45)*Premissas!$C$11+(CQ59+CQ72+CQ85+CQ98+CQ111+CQ124+CQ137+CQ150+CQ163+CQ176+CQ189+CQ202+CQ215+CQ227+CQ239)*Premissas!$E$11)</f>
        <v>0</v>
      </c>
      <c r="CR253" s="187">
        <f>((CR27+CR45)*Premissas!$C$11+(CR59+CR72+CR85+CR98+CR111+CR124+CR137+CR150+CR163+CR176+CR189+CR202+CR215+CR227+CR239)*Premissas!$E$11)</f>
        <v>0</v>
      </c>
      <c r="CS253" s="187">
        <f>((CS27+CS45)*Premissas!$C$11+(CS59+CS72+CS85+CS98+CS111+CS124+CS137+CS150+CS163+CS176+CS189+CS202+CS215+CS227+CS239)*Premissas!$E$11)</f>
        <v>0</v>
      </c>
      <c r="CT253" s="187">
        <f>((CT27+CT45)*Premissas!$C$11+(CT59+CT72+CT85+CT98+CT111+CT124+CT137+CT150+CT163+CT176+CT189+CT202+CT215+CT227+CT239)*Premissas!$E$11)</f>
        <v>0</v>
      </c>
      <c r="CU253" s="187">
        <f>((CU27+CU45)*Premissas!$C$11+(CU59+CU72+CU85+CU98+CU111+CU124+CU137+CU150+CU163+CU176+CU189+CU202+CU215+CU227+CU239)*Premissas!$E$11)</f>
        <v>0</v>
      </c>
      <c r="CV253" s="187">
        <f>((CV27+CV45)*Premissas!$C$11+(CV59+CV72+CV85+CV98+CV111+CV124+CV137+CV150+CV163+CV176+CV189+CV202+CV215+CV227+CV239)*Premissas!$E$11)</f>
        <v>0</v>
      </c>
      <c r="CW253" s="187">
        <f>((CW27+CW45)*Premissas!$C$11+(CW59+CW72+CW85+CW98+CW111+CW124+CW137+CW150+CW163+CW176+CW189+CW202+CW215+CW227+CW239)*Premissas!$E$11)</f>
        <v>0</v>
      </c>
      <c r="CX253" s="187">
        <f>((CX27+CX45)*Premissas!$C$11+(CX59+CX72+CX85+CX98+CX111+CX124+CX137+CX150+CX163+CX176+CX189+CX202+CX215+CX227+CX239)*Premissas!$E$11)</f>
        <v>0</v>
      </c>
      <c r="CY253" s="187">
        <f>((CY27+CY45)*Premissas!$C$11+(CY59+CY72+CY85+CY98+CY111+CY124+CY137+CY150+CY163+CY176+CY189+CY202+CY215+CY227+CY239)*Premissas!$E$11)</f>
        <v>0</v>
      </c>
      <c r="CZ253" s="187">
        <f>((CZ27+CZ45)*Premissas!$C$11+(CZ59+CZ72+CZ85+CZ98+CZ111+CZ124+CZ137+CZ150+CZ163+CZ176+CZ189+CZ202+CZ215+CZ227+CZ239)*Premissas!$E$11)</f>
        <v>0</v>
      </c>
      <c r="DA253" s="187">
        <f>((DA27+DA45)*Premissas!$C$11+(DA59+DA72+DA85+DA98+DA111+DA124+DA137+DA150+DA163+DA176+DA189+DA202+DA215+DA227+DA239)*Premissas!$E$11)</f>
        <v>0</v>
      </c>
      <c r="DB253" s="187">
        <f>((DB27+DB45)*Premissas!$C$11+(DB59+DB72+DB85+DB98+DB111+DB124+DB137+DB150+DB163+DB176+DB189+DB202+DB215+DB227+DB239)*Premissas!$E$11)</f>
        <v>0</v>
      </c>
      <c r="DC253" s="187">
        <f>((DC27+DC45)*Premissas!$C$11+(DC59+DC72+DC85+DC98+DC111+DC124+DC137+DC150+DC163+DC176+DC189+DC202+DC215+DC227+DC239)*Premissas!$E$11)</f>
        <v>0</v>
      </c>
      <c r="DD253" s="187">
        <f>((DD27+DD45)*Premissas!$C$11+(DD59+DD72+DD85+DD98+DD111+DD124+DD137+DD150+DD163+DD176+DD189+DD202+DD215+DD227+DD239)*Premissas!$E$11)</f>
        <v>0</v>
      </c>
      <c r="DE253" s="187">
        <f>((DE27+DE45)*Premissas!$C$11+(DE59+DE72+DE85+DE98+DE111+DE124+DE137+DE150+DE163+DE176+DE189+DE202+DE215+DE227+DE239)*Premissas!$E$11)</f>
        <v>0</v>
      </c>
      <c r="DF253" s="187">
        <f>((DF27+DF45)*Premissas!$C$11+(DF59+DF72+DF85+DF98+DF111+DF124+DF137+DF150+DF163+DF176+DF189+DF202+DF215+DF227+DF239)*Premissas!$E$11)</f>
        <v>0</v>
      </c>
      <c r="DG253" s="187">
        <f>((DG27+DG45)*Premissas!$C$11+(DG59+DG72+DG85+DG98+DG111+DG124+DG137+DG150+DG163+DG176+DG189+DG202+DG215+DG227+DG239)*Premissas!$E$11)</f>
        <v>0</v>
      </c>
      <c r="DH253" s="187">
        <f>((DH27+DH45)*Premissas!$C$11+(DH59+DH72+DH85+DH98+DH111+DH124+DH137+DH150+DH163+DH176+DH189+DH202+DH215+DH227+DH239)*Premissas!$E$11)</f>
        <v>0</v>
      </c>
      <c r="DI253" s="187">
        <f>((DI27+DI45)*Premissas!$C$11+(DI59+DI72+DI85+DI98+DI111+DI124+DI137+DI150+DI163+DI176+DI189+DI202+DI215+DI227+DI239)*Premissas!$E$11)</f>
        <v>0</v>
      </c>
      <c r="DJ253" s="187">
        <f>((DJ27+DJ45)*Premissas!$C$11+(DJ59+DJ72+DJ85+DJ98+DJ111+DJ124+DJ137+DJ150+DJ163+DJ176+DJ189+DJ202+DJ215+DJ227+DJ239)*Premissas!$E$11)</f>
        <v>0</v>
      </c>
      <c r="DK253" s="187">
        <f>((DK27+DK45)*Premissas!$C$11+(DK59+DK72+DK85+DK98+DK111+DK124+DK137+DK150+DK163+DK176+DK189+DK202+DK215+DK227+DK239)*Premissas!$E$11)</f>
        <v>0</v>
      </c>
      <c r="DL253" s="187">
        <f>((DL27+DL45)*Premissas!$C$11+(DL59+DL72+DL85+DL98+DL111+DL124+DL137+DL150+DL163+DL176+DL189+DL202+DL215+DL227+DL239)*Premissas!$E$11)</f>
        <v>0</v>
      </c>
      <c r="DM253" s="187">
        <f>((DM27+DM45)*Premissas!$C$11+(DM59+DM72+DM85+DM98+DM111+DM124+DM137+DM150+DM163+DM176+DM189+DM202+DM215+DM227+DM239)*Premissas!$E$11)</f>
        <v>0</v>
      </c>
      <c r="DN253" s="187">
        <f>((DN27+DN45)*Premissas!$C$11+(DN59+DN72+DN85+DN98+DN111+DN124+DN137+DN150+DN163+DN176+DN189+DN202+DN215+DN227+DN239)*Premissas!$E$11)</f>
        <v>0</v>
      </c>
      <c r="DO253" s="187">
        <f>((DO27+DO45)*Premissas!$C$11+(DO59+DO72+DO85+DO98+DO111+DO124+DO137+DO150+DO163+DO176+DO189+DO202+DO215+DO227+DO239)*Premissas!$E$11)</f>
        <v>0</v>
      </c>
      <c r="DP253" s="187">
        <f>((DP27+DP45)*Premissas!$C$11+(DP59+DP72+DP85+DP98+DP111+DP124+DP137+DP150+DP163+DP176+DP189+DP202+DP215+DP227+DP239)*Premissas!$E$11)</f>
        <v>0</v>
      </c>
      <c r="DQ253" s="187">
        <f>((DQ27+DQ45)*Premissas!$C$11+(DQ59+DQ72+DQ85+DQ98+DQ111+DQ124+DQ137+DQ150+DQ163+DQ176+DQ189+DQ202+DQ215+DQ227+DQ239)*Premissas!$E$11)</f>
        <v>0</v>
      </c>
      <c r="DR253" s="187">
        <f>((DR27+DR45)*Premissas!$C$11+(DR59+DR72+DR85+DR98+DR111+DR124+DR137+DR150+DR163+DR176+DR189+DR202+DR215+DR227+DR239)*Premissas!$E$11)</f>
        <v>0</v>
      </c>
      <c r="DS253" s="187">
        <f>((DS27+DS45)*Premissas!$C$11+(DS59+DS72+DS85+DS98+DS111+DS124+DS137+DS150+DS163+DS176+DS189+DS202+DS215+DS227+DS239)*Premissas!$E$11)</f>
        <v>0</v>
      </c>
    </row>
    <row r="254" spans="1:123" ht="15" customHeight="1" x14ac:dyDescent="0.35">
      <c r="A254" s="153" t="s">
        <v>531</v>
      </c>
      <c r="B254" s="153" t="s">
        <v>532</v>
      </c>
      <c r="C254" s="153" t="s">
        <v>15</v>
      </c>
    </row>
    <row r="255" spans="1:123" ht="15" customHeight="1" x14ac:dyDescent="0.35">
      <c r="A255" s="188" t="s">
        <v>485</v>
      </c>
      <c r="B255" s="140">
        <f>DS31</f>
        <v>56648.320984637459</v>
      </c>
      <c r="C255" s="189">
        <f>+B255*Premissas!$B$17</f>
        <v>25066.882035702078</v>
      </c>
    </row>
    <row r="256" spans="1:123" ht="15.75" customHeight="1" x14ac:dyDescent="0.35">
      <c r="A256" s="188" t="s">
        <v>500</v>
      </c>
      <c r="B256" s="140">
        <f>DS49</f>
        <v>158023.28432292552</v>
      </c>
      <c r="C256" s="189">
        <f>+B256*Premissas!$B$17</f>
        <v>69925.303312894539</v>
      </c>
    </row>
    <row r="257" spans="1:27" ht="15" customHeight="1" x14ac:dyDescent="0.35">
      <c r="A257" s="68" t="s">
        <v>502</v>
      </c>
      <c r="B257" s="127">
        <f>DS62</f>
        <v>0</v>
      </c>
      <c r="C257" s="164">
        <f>+B257*Premissas!$B$17</f>
        <v>0</v>
      </c>
    </row>
    <row r="258" spans="1:27" ht="15" customHeight="1" x14ac:dyDescent="0.35">
      <c r="A258" s="190" t="s">
        <v>505</v>
      </c>
      <c r="B258" s="127">
        <f>+DS75</f>
        <v>127936.28852063889</v>
      </c>
      <c r="C258" s="164">
        <f>+B258*Premissas!$B$17</f>
        <v>56611.80767038271</v>
      </c>
      <c r="E258" s="190"/>
      <c r="F258" s="190"/>
      <c r="G258" s="190"/>
      <c r="H258" s="190"/>
      <c r="I258" s="190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  <c r="AA258" s="190"/>
    </row>
    <row r="259" spans="1:27" ht="12.75" customHeight="1" x14ac:dyDescent="0.35">
      <c r="A259" s="68" t="s">
        <v>506</v>
      </c>
      <c r="B259" s="127">
        <f>+DS88</f>
        <v>116816.28852063889</v>
      </c>
      <c r="C259" s="164">
        <f>+B259*Premissas!$B$17</f>
        <v>51691.207670382712</v>
      </c>
    </row>
    <row r="260" spans="1:27" ht="12.75" customHeight="1" x14ac:dyDescent="0.35">
      <c r="A260" s="68" t="s">
        <v>507</v>
      </c>
      <c r="B260" s="127">
        <f>DS101</f>
        <v>101306.57411035793</v>
      </c>
      <c r="C260" s="164">
        <f>+B260*Premissas!$B$17</f>
        <v>44828.159043833388</v>
      </c>
    </row>
    <row r="261" spans="1:27" ht="12.75" customHeight="1" x14ac:dyDescent="0.35">
      <c r="A261" s="68" t="s">
        <v>508</v>
      </c>
      <c r="B261" s="127">
        <f>DS114</f>
        <v>0</v>
      </c>
      <c r="C261" s="164">
        <f>+B261*Premissas!$B$17</f>
        <v>0</v>
      </c>
    </row>
    <row r="262" spans="1:27" ht="12.75" customHeight="1" x14ac:dyDescent="0.35">
      <c r="A262" s="68" t="s">
        <v>509</v>
      </c>
      <c r="B262" s="127">
        <f>DS127</f>
        <v>0</v>
      </c>
      <c r="C262" s="164">
        <f>+B262*Premissas!$B$17</f>
        <v>0</v>
      </c>
    </row>
    <row r="263" spans="1:27" ht="12.75" customHeight="1" x14ac:dyDescent="0.35">
      <c r="A263" s="68" t="s">
        <v>510</v>
      </c>
      <c r="B263" s="127">
        <f>DS140</f>
        <v>0</v>
      </c>
      <c r="C263" s="164">
        <f>+B263*Premissas!$B$17</f>
        <v>0</v>
      </c>
    </row>
    <row r="264" spans="1:27" ht="12.75" customHeight="1" x14ac:dyDescent="0.35">
      <c r="A264" s="68" t="s">
        <v>511</v>
      </c>
      <c r="B264" s="127">
        <f>+DS153</f>
        <v>82696.28038600611</v>
      </c>
      <c r="C264" s="164">
        <f>+B264*Premissas!$B$17</f>
        <v>36593.104070807705</v>
      </c>
    </row>
    <row r="265" spans="1:27" ht="12.75" customHeight="1" x14ac:dyDescent="0.35">
      <c r="A265" s="68" t="s">
        <v>512</v>
      </c>
      <c r="B265" s="127">
        <f>DS166</f>
        <v>124482.09959017555</v>
      </c>
      <c r="C265" s="164">
        <f>+B265*Premissas!$B$17</f>
        <v>55083.329068652682</v>
      </c>
    </row>
    <row r="266" spans="1:27" ht="12.75" customHeight="1" x14ac:dyDescent="0.35">
      <c r="A266" s="68" t="s">
        <v>513</v>
      </c>
      <c r="B266" s="127">
        <f>DS179</f>
        <v>97346.288520638875</v>
      </c>
      <c r="C266" s="164">
        <f>+B266*Premissas!$B$17</f>
        <v>43075.732670382706</v>
      </c>
    </row>
    <row r="267" spans="1:27" ht="12.75" customHeight="1" x14ac:dyDescent="0.35">
      <c r="A267" s="68" t="s">
        <v>514</v>
      </c>
      <c r="B267" s="127">
        <f>DS192</f>
        <v>0</v>
      </c>
      <c r="C267" s="164">
        <f>+B267*Premissas!$B$17</f>
        <v>0</v>
      </c>
    </row>
    <row r="268" spans="1:27" ht="12.75" customHeight="1" x14ac:dyDescent="0.35">
      <c r="A268" s="68" t="s">
        <v>515</v>
      </c>
      <c r="B268" s="127">
        <f>+DS205</f>
        <v>0</v>
      </c>
      <c r="C268" s="164">
        <f>+B268*Premissas!$B$17</f>
        <v>0</v>
      </c>
    </row>
    <row r="269" spans="1:27" ht="12.75" customHeight="1" x14ac:dyDescent="0.35">
      <c r="A269" s="68" t="s">
        <v>516</v>
      </c>
      <c r="B269" s="127">
        <f>DS218</f>
        <v>157904.56297713734</v>
      </c>
      <c r="C269" s="164">
        <f>+B269*Premissas!$B$17</f>
        <v>69872.769117383272</v>
      </c>
    </row>
    <row r="270" spans="1:27" ht="12.75" customHeight="1" x14ac:dyDescent="0.35">
      <c r="A270" s="68" t="str">
        <f>+A225</f>
        <v xml:space="preserve">  Subest. Fiação (B3)</v>
      </c>
      <c r="B270" s="127">
        <f>DS230</f>
        <v>72853.682787224097</v>
      </c>
      <c r="C270" s="164">
        <f>+B270*Premissas!$B$17</f>
        <v>32237.754633346663</v>
      </c>
    </row>
    <row r="271" spans="1:27" ht="12.75" customHeight="1" x14ac:dyDescent="0.35">
      <c r="A271" s="68" t="str">
        <f>+A237</f>
        <v xml:space="preserve">  TRR Maracaju (B3)</v>
      </c>
      <c r="B271" s="127">
        <f>+DS242</f>
        <v>0</v>
      </c>
      <c r="C271" s="164">
        <f>+B271*Premissas!$B$17</f>
        <v>0</v>
      </c>
    </row>
    <row r="272" spans="1:27" ht="12.75" customHeight="1" x14ac:dyDescent="0.35">
      <c r="A272" s="147" t="s">
        <v>533</v>
      </c>
      <c r="B272" s="148">
        <f>DS18</f>
        <v>0</v>
      </c>
      <c r="C272" s="161">
        <f>B272*Premissas!$B$17</f>
        <v>0</v>
      </c>
    </row>
    <row r="273" spans="1:3" ht="12.75" customHeight="1" x14ac:dyDescent="0.35">
      <c r="A273" s="39" t="s">
        <v>534</v>
      </c>
      <c r="B273" s="41">
        <f>DS31+DS49+DS62+DS75+DS88+DS101+DS114+DS127+DS140+DS153+DS166+DS179+DS192+DS205+DS218+DS230+DS242</f>
        <v>1096013.6707203807</v>
      </c>
      <c r="C273" s="42">
        <f>B273*Premissas!$B$17</f>
        <v>484986.04929376848</v>
      </c>
    </row>
    <row r="274" spans="1:3" ht="12.75" customHeight="1" x14ac:dyDescent="0.35"/>
    <row r="275" spans="1:3" ht="12.75" customHeight="1" x14ac:dyDescent="0.35">
      <c r="A275" s="28" t="s">
        <v>535</v>
      </c>
    </row>
    <row r="276" spans="1:3" ht="12.75" customHeight="1" x14ac:dyDescent="0.35">
      <c r="A276" s="191" t="s">
        <v>536</v>
      </c>
      <c r="B276" s="189">
        <f>B252</f>
        <v>3109848.6774327098</v>
      </c>
    </row>
    <row r="277" spans="1:3" ht="12.75" customHeight="1" x14ac:dyDescent="0.35">
      <c r="A277" s="192" t="s">
        <v>537</v>
      </c>
      <c r="B277" s="193">
        <f>B273*Premissas!$B$17</f>
        <v>484986.04929376848</v>
      </c>
      <c r="C277" s="194" t="s">
        <v>169</v>
      </c>
    </row>
    <row r="278" spans="1:3" ht="15" customHeight="1" x14ac:dyDescent="0.35">
      <c r="A278" s="28" t="s">
        <v>538</v>
      </c>
      <c r="B278" s="195">
        <f>B252+B285</f>
        <v>3579197.5290956199</v>
      </c>
      <c r="C278" s="196" t="s">
        <v>169</v>
      </c>
    </row>
    <row r="279" spans="1:3" ht="15" customHeight="1" x14ac:dyDescent="0.35">
      <c r="A279" s="196"/>
      <c r="B279" s="196"/>
      <c r="C279" s="196" t="s">
        <v>169</v>
      </c>
    </row>
    <row r="280" spans="1:3" ht="12.75" customHeight="1" x14ac:dyDescent="0.35">
      <c r="A280" s="197" t="s">
        <v>539</v>
      </c>
      <c r="B280" s="197"/>
      <c r="C280" s="194"/>
    </row>
    <row r="281" spans="1:3" ht="12.75" customHeight="1" x14ac:dyDescent="0.35">
      <c r="A281" s="192" t="s">
        <v>540</v>
      </c>
      <c r="B281" s="148">
        <f>DS31-DS34</f>
        <v>38979.171119260733</v>
      </c>
      <c r="C281" s="194" t="s">
        <v>169</v>
      </c>
    </row>
    <row r="282" spans="1:3" ht="12.75" customHeight="1" x14ac:dyDescent="0.35">
      <c r="A282" s="192" t="s">
        <v>541</v>
      </c>
      <c r="B282" s="148">
        <f>DS49-DS52</f>
        <v>140354.13445754879</v>
      </c>
      <c r="C282" s="194" t="s">
        <v>169</v>
      </c>
    </row>
    <row r="283" spans="1:3" ht="12.75" customHeight="1" x14ac:dyDescent="0.35">
      <c r="A283" s="192" t="s">
        <v>542</v>
      </c>
      <c r="B283" s="148">
        <f>DS62+DS75+DS88+DS101+DS114+DS127+DS140+DS153+DS166+DS179+DS192+DS205+DS218+DS230+DS242</f>
        <v>881342.06541281764</v>
      </c>
      <c r="C283" s="194" t="s">
        <v>169</v>
      </c>
    </row>
    <row r="284" spans="1:3" ht="12.75" customHeight="1" x14ac:dyDescent="0.35">
      <c r="A284" s="198" t="s">
        <v>543</v>
      </c>
      <c r="B284" s="199">
        <f>B281+B282+B283</f>
        <v>1060675.3709896272</v>
      </c>
      <c r="C284" s="196" t="s">
        <v>169</v>
      </c>
    </row>
    <row r="285" spans="1:3" ht="12.75" customHeight="1" x14ac:dyDescent="0.35">
      <c r="A285" s="28" t="s">
        <v>544</v>
      </c>
      <c r="B285" s="42">
        <f>B284*Premissas!$B$17</f>
        <v>469348.85166291002</v>
      </c>
      <c r="C285" s="196" t="s">
        <v>169</v>
      </c>
    </row>
  </sheetData>
  <mergeCells count="22">
    <mergeCell ref="A225:AA225"/>
    <mergeCell ref="A237:AA237"/>
    <mergeCell ref="A161:AA161"/>
    <mergeCell ref="A174:AA174"/>
    <mergeCell ref="A187:AA187"/>
    <mergeCell ref="A200:AA200"/>
    <mergeCell ref="A213:AA213"/>
    <mergeCell ref="A96:AA96"/>
    <mergeCell ref="A109:AA109"/>
    <mergeCell ref="A122:AA122"/>
    <mergeCell ref="A135:AA135"/>
    <mergeCell ref="A148:AA148"/>
    <mergeCell ref="A21:AA21"/>
    <mergeCell ref="A39:AA39"/>
    <mergeCell ref="A57:AA57"/>
    <mergeCell ref="A70:AA70"/>
    <mergeCell ref="A83:AA83"/>
    <mergeCell ref="A1:AA1"/>
    <mergeCell ref="A2:AA2"/>
    <mergeCell ref="A5:AA5"/>
    <mergeCell ref="A8:AA8"/>
    <mergeCell ref="A15:AA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7E3E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200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3F1DB"/>
  </sheetPr>
  <dimension ref="A1:Q358"/>
  <sheetViews>
    <sheetView zoomScaleNormal="100" workbookViewId="0">
      <selection activeCell="M12" sqref="M12"/>
    </sheetView>
  </sheetViews>
  <sheetFormatPr defaultColWidth="12.54296875" defaultRowHeight="13" outlineLevelCol="1" x14ac:dyDescent="0.3"/>
  <cols>
    <col min="1" max="1" width="17.54296875" style="201" customWidth="1"/>
    <col min="2" max="2" width="12.54296875" style="201"/>
    <col min="3" max="3" width="15.26953125" style="201" customWidth="1"/>
    <col min="4" max="4" width="19.26953125" style="201" customWidth="1"/>
    <col min="5" max="5" width="12.54296875" style="201"/>
    <col min="6" max="7" width="11.54296875" style="201" hidden="1" customWidth="1" outlineLevel="1"/>
    <col min="8" max="8" width="12.54296875" style="201" collapsed="1"/>
    <col min="9" max="16384" width="12.54296875" style="201"/>
  </cols>
  <sheetData>
    <row r="1" spans="1:17" ht="15.75" customHeight="1" x14ac:dyDescent="0.3">
      <c r="A1" s="202" t="s">
        <v>545</v>
      </c>
      <c r="B1" s="202" t="s">
        <v>546</v>
      </c>
      <c r="C1" s="203" t="s">
        <v>547</v>
      </c>
      <c r="D1" s="202" t="s">
        <v>548</v>
      </c>
    </row>
    <row r="2" spans="1:17" ht="15.75" customHeight="1" x14ac:dyDescent="0.3">
      <c r="A2" s="204" t="s">
        <v>549</v>
      </c>
      <c r="B2" s="205">
        <v>45716</v>
      </c>
      <c r="C2" s="206">
        <v>190.1</v>
      </c>
      <c r="D2" s="207">
        <f>IFERROR(C2/VLOOKUP(A2,Usinas!$A:$B,2,FALSE()),"")</f>
        <v>0.27274031563845047</v>
      </c>
      <c r="F2" s="208" t="s">
        <v>550</v>
      </c>
      <c r="G2" s="208"/>
      <c r="H2" s="208" t="s">
        <v>37</v>
      </c>
      <c r="I2" s="208" t="s">
        <v>551</v>
      </c>
      <c r="J2" s="208" t="s">
        <v>552</v>
      </c>
      <c r="L2" s="209" t="s">
        <v>553</v>
      </c>
      <c r="P2" s="201" t="s">
        <v>554</v>
      </c>
      <c r="Q2" s="210">
        <v>0.8</v>
      </c>
    </row>
    <row r="3" spans="1:17" ht="15.75" customHeight="1" x14ac:dyDescent="0.3">
      <c r="A3" s="204" t="s">
        <v>549</v>
      </c>
      <c r="B3" s="205">
        <v>45717</v>
      </c>
      <c r="C3" s="206">
        <v>249.5</v>
      </c>
      <c r="D3" s="207">
        <f>IFERROR(C3/VLOOKUP(A3,Usinas!$A:$B,2,FALSE()),"")</f>
        <v>0.35796269727403157</v>
      </c>
      <c r="F3" s="211">
        <v>45658</v>
      </c>
      <c r="G3" s="211">
        <f>+F3+30</f>
        <v>45688</v>
      </c>
      <c r="H3" s="212">
        <f t="shared" ref="H3:H14" si="0">+F3</f>
        <v>45658</v>
      </c>
      <c r="I3" s="208">
        <v>0</v>
      </c>
      <c r="J3" s="208">
        <v>0</v>
      </c>
      <c r="L3" s="213">
        <f>+Batayporã!J3*Amandina!$Q$2</f>
        <v>91.407199999999975</v>
      </c>
    </row>
    <row r="4" spans="1:17" ht="15.75" customHeight="1" x14ac:dyDescent="0.3">
      <c r="A4" s="204" t="s">
        <v>549</v>
      </c>
      <c r="B4" s="205">
        <v>45718</v>
      </c>
      <c r="C4" s="206">
        <v>295.89999999999998</v>
      </c>
      <c r="D4" s="207">
        <f>IFERROR(C4/VLOOKUP(A4,Usinas!$A:$B,2,FALSE()),"")</f>
        <v>0.42453371592539452</v>
      </c>
      <c r="F4" s="211">
        <f>+B2</f>
        <v>45716</v>
      </c>
      <c r="G4" s="211">
        <f>+F4</f>
        <v>45716</v>
      </c>
      <c r="H4" s="212">
        <f t="shared" si="0"/>
        <v>45716</v>
      </c>
      <c r="I4" s="213">
        <f t="shared" ref="I4:I14" si="1">SUMIFS($C$1:$C$366, $B$1:$B$366, "&gt;="&amp;F4, $B$1:$B$366, "&lt;="&amp;G4)</f>
        <v>190.1</v>
      </c>
      <c r="J4" s="214">
        <f t="shared" ref="J4:J14" si="2">+I4/1000</f>
        <v>0.19009999999999999</v>
      </c>
      <c r="L4" s="213">
        <f>+Batayporã!J4*Amandina!$Q$2</f>
        <v>72.90552000000001</v>
      </c>
    </row>
    <row r="5" spans="1:17" ht="15.75" customHeight="1" x14ac:dyDescent="0.3">
      <c r="A5" s="204" t="s">
        <v>549</v>
      </c>
      <c r="B5" s="205">
        <v>45719</v>
      </c>
      <c r="C5" s="206">
        <v>250.2</v>
      </c>
      <c r="D5" s="207">
        <f>IFERROR(C5/VLOOKUP(A5,Usinas!$A:$B,2,FALSE()),"")</f>
        <v>0.35896700143472021</v>
      </c>
      <c r="F5" s="211">
        <f t="shared" ref="F5:F14" si="3">+G4+1</f>
        <v>45717</v>
      </c>
      <c r="G5" s="211">
        <f>+F5+30</f>
        <v>45747</v>
      </c>
      <c r="H5" s="212">
        <f t="shared" si="0"/>
        <v>45717</v>
      </c>
      <c r="I5" s="213">
        <f t="shared" si="1"/>
        <v>7913.8</v>
      </c>
      <c r="J5" s="214">
        <f t="shared" si="2"/>
        <v>7.9138000000000002</v>
      </c>
      <c r="L5" s="213">
        <f>+Batayporã!J5*Amandina!$Q$2</f>
        <v>82.449519999999993</v>
      </c>
    </row>
    <row r="6" spans="1:17" ht="15.75" customHeight="1" x14ac:dyDescent="0.3">
      <c r="A6" s="204" t="s">
        <v>549</v>
      </c>
      <c r="B6" s="205">
        <v>45720</v>
      </c>
      <c r="C6" s="206">
        <v>256.60000000000002</v>
      </c>
      <c r="D6" s="207">
        <f>IFERROR(C6/VLOOKUP(A6,Usinas!$A:$B,2,FALSE()),"")</f>
        <v>0.36814921090387376</v>
      </c>
      <c r="F6" s="211">
        <f t="shared" si="3"/>
        <v>45748</v>
      </c>
      <c r="G6" s="211">
        <f>+F6+29</f>
        <v>45777</v>
      </c>
      <c r="H6" s="212">
        <f t="shared" si="0"/>
        <v>45748</v>
      </c>
      <c r="I6" s="213">
        <f t="shared" si="1"/>
        <v>23902.799999999999</v>
      </c>
      <c r="J6" s="214">
        <f t="shared" si="2"/>
        <v>23.902799999999999</v>
      </c>
      <c r="L6" s="213">
        <f>+Batayporã!J6*Amandina!$Q$2</f>
        <v>58.967759999999998</v>
      </c>
    </row>
    <row r="7" spans="1:17" ht="15.75" customHeight="1" x14ac:dyDescent="0.3">
      <c r="A7" s="204" t="s">
        <v>549</v>
      </c>
      <c r="B7" s="205">
        <v>45721</v>
      </c>
      <c r="C7" s="206">
        <v>241</v>
      </c>
      <c r="D7" s="207">
        <f>IFERROR(C7/VLOOKUP(A7,Usinas!$A:$B,2,FALSE()),"")</f>
        <v>0.34576757532281205</v>
      </c>
      <c r="F7" s="211">
        <f t="shared" si="3"/>
        <v>45778</v>
      </c>
      <c r="G7" s="211">
        <f>+F7+30</f>
        <v>45808</v>
      </c>
      <c r="H7" s="212">
        <f t="shared" si="0"/>
        <v>45778</v>
      </c>
      <c r="I7" s="213">
        <f t="shared" si="1"/>
        <v>28781.699999999997</v>
      </c>
      <c r="J7" s="214">
        <f t="shared" si="2"/>
        <v>28.781699999999997</v>
      </c>
      <c r="L7" s="213">
        <f>+Batayporã!J7*Amandina!$Q$2</f>
        <v>73.293279999999996</v>
      </c>
    </row>
    <row r="8" spans="1:17" ht="15.75" customHeight="1" x14ac:dyDescent="0.3">
      <c r="A8" s="204" t="s">
        <v>549</v>
      </c>
      <c r="B8" s="205">
        <v>45722</v>
      </c>
      <c r="C8" s="206">
        <v>194.3</v>
      </c>
      <c r="D8" s="207">
        <f>IFERROR(C8/VLOOKUP(A8,Usinas!$A:$B,2,FALSE()),"")</f>
        <v>0.27876614060258254</v>
      </c>
      <c r="F8" s="211">
        <f t="shared" si="3"/>
        <v>45809</v>
      </c>
      <c r="G8" s="211">
        <f>+F8+29</f>
        <v>45838</v>
      </c>
      <c r="H8" s="212">
        <f t="shared" si="0"/>
        <v>45809</v>
      </c>
      <c r="I8" s="213">
        <f t="shared" si="1"/>
        <v>20798.200000000004</v>
      </c>
      <c r="J8" s="214">
        <f t="shared" si="2"/>
        <v>20.798200000000005</v>
      </c>
      <c r="L8" s="213">
        <f>+Batayporã!J8*Amandina!$Q$2</f>
        <v>57.829519999999981</v>
      </c>
    </row>
    <row r="9" spans="1:17" ht="15.75" customHeight="1" x14ac:dyDescent="0.3">
      <c r="A9" s="204" t="s">
        <v>549</v>
      </c>
      <c r="B9" s="205">
        <v>45723</v>
      </c>
      <c r="C9" s="206">
        <v>89.9</v>
      </c>
      <c r="D9" s="207">
        <f>IFERROR(C9/VLOOKUP(A9,Usinas!$A:$B,2,FALSE()),"")</f>
        <v>0.1289813486370158</v>
      </c>
      <c r="F9" s="211">
        <f t="shared" si="3"/>
        <v>45839</v>
      </c>
      <c r="G9" s="211">
        <f>+F9+30</f>
        <v>45869</v>
      </c>
      <c r="H9" s="212">
        <f t="shared" si="0"/>
        <v>45839</v>
      </c>
      <c r="I9" s="213">
        <f t="shared" si="1"/>
        <v>37317.800000000003</v>
      </c>
      <c r="J9" s="214">
        <f t="shared" si="2"/>
        <v>37.317800000000005</v>
      </c>
      <c r="L9" s="213">
        <f>+Batayporã!J9*Amandina!$Q$2</f>
        <v>70.669439999999994</v>
      </c>
    </row>
    <row r="10" spans="1:17" ht="15.75" customHeight="1" x14ac:dyDescent="0.3">
      <c r="A10" s="204" t="s">
        <v>549</v>
      </c>
      <c r="B10" s="205">
        <v>45724</v>
      </c>
      <c r="C10" s="206">
        <v>357.6</v>
      </c>
      <c r="D10" s="207">
        <f>IFERROR(C10/VLOOKUP(A10,Usinas!$A:$B,2,FALSE()),"")</f>
        <v>0.51305595408895266</v>
      </c>
      <c r="F10" s="211">
        <f t="shared" si="3"/>
        <v>45870</v>
      </c>
      <c r="G10" s="211">
        <f>+F10+30</f>
        <v>45900</v>
      </c>
      <c r="H10" s="212">
        <f t="shared" si="0"/>
        <v>45870</v>
      </c>
      <c r="I10" s="213">
        <f t="shared" si="1"/>
        <v>16177.900000000003</v>
      </c>
      <c r="J10" s="214">
        <f t="shared" si="2"/>
        <v>16.177900000000005</v>
      </c>
      <c r="L10" s="213">
        <f>+Batayporã!J10*Amandina!$Q$2</f>
        <v>74.466160000000002</v>
      </c>
    </row>
    <row r="11" spans="1:17" ht="15.75" customHeight="1" x14ac:dyDescent="0.3">
      <c r="A11" s="204" t="s">
        <v>549</v>
      </c>
      <c r="B11" s="205">
        <v>45725</v>
      </c>
      <c r="C11" s="206">
        <v>287</v>
      </c>
      <c r="D11" s="207">
        <f>IFERROR(C11/VLOOKUP(A11,Usinas!$A:$B,2,FALSE()),"")</f>
        <v>0.41176470588235292</v>
      </c>
      <c r="F11" s="211">
        <f t="shared" si="3"/>
        <v>45901</v>
      </c>
      <c r="G11" s="211">
        <f>+F11+29</f>
        <v>45930</v>
      </c>
      <c r="H11" s="212">
        <f t="shared" si="0"/>
        <v>45901</v>
      </c>
      <c r="I11" s="213">
        <f t="shared" si="1"/>
        <v>37738.800000000003</v>
      </c>
      <c r="J11" s="214">
        <f t="shared" si="2"/>
        <v>37.738800000000005</v>
      </c>
      <c r="L11" s="213">
        <f>+Batayporã!J11*Amandina!$Q$2</f>
        <v>75.546720000000008</v>
      </c>
    </row>
    <row r="12" spans="1:17" ht="15.75" customHeight="1" x14ac:dyDescent="0.3">
      <c r="A12" s="204" t="s">
        <v>549</v>
      </c>
      <c r="B12" s="205">
        <v>45726</v>
      </c>
      <c r="C12" s="206">
        <v>248.1</v>
      </c>
      <c r="D12" s="207">
        <f>IFERROR(C12/VLOOKUP(A12,Usinas!$A:$B,2,FALSE()),"")</f>
        <v>0.35595408895265424</v>
      </c>
      <c r="F12" s="211">
        <f t="shared" si="3"/>
        <v>45931</v>
      </c>
      <c r="G12" s="211">
        <f>+F12+30</f>
        <v>45961</v>
      </c>
      <c r="H12" s="212">
        <f t="shared" si="0"/>
        <v>45931</v>
      </c>
      <c r="I12" s="213">
        <f t="shared" si="1"/>
        <v>40322</v>
      </c>
      <c r="J12" s="214">
        <f t="shared" si="2"/>
        <v>40.322000000000003</v>
      </c>
      <c r="L12" s="213">
        <f>+Batayporã!J12*Amandina!$Q$2</f>
        <v>76.725439999999992</v>
      </c>
    </row>
    <row r="13" spans="1:17" ht="15.75" customHeight="1" x14ac:dyDescent="0.3">
      <c r="A13" s="204" t="s">
        <v>549</v>
      </c>
      <c r="B13" s="205">
        <v>45727</v>
      </c>
      <c r="C13" s="206">
        <v>142.1</v>
      </c>
      <c r="D13" s="207">
        <f>IFERROR(C13/VLOOKUP(A13,Usinas!$A:$B,2,FALSE()),"")</f>
        <v>0.20387374461979912</v>
      </c>
      <c r="F13" s="211">
        <f t="shared" si="3"/>
        <v>45962</v>
      </c>
      <c r="G13" s="211">
        <f>+F13+29</f>
        <v>45991</v>
      </c>
      <c r="H13" s="212">
        <f t="shared" si="0"/>
        <v>45962</v>
      </c>
      <c r="I13" s="213">
        <f t="shared" si="1"/>
        <v>36462.9</v>
      </c>
      <c r="J13" s="214">
        <f t="shared" si="2"/>
        <v>36.462900000000005</v>
      </c>
      <c r="L13" s="213">
        <f>+Batayporã!J13*Amandina!$Q$2</f>
        <v>86.384479999999996</v>
      </c>
    </row>
    <row r="14" spans="1:17" ht="15.75" customHeight="1" x14ac:dyDescent="0.3">
      <c r="A14" s="204" t="s">
        <v>549</v>
      </c>
      <c r="B14" s="205">
        <v>45728</v>
      </c>
      <c r="C14" s="206">
        <v>224.8</v>
      </c>
      <c r="D14" s="207">
        <f>IFERROR(C14/VLOOKUP(A14,Usinas!$A:$B,2,FALSE()),"")</f>
        <v>0.32252510760401726</v>
      </c>
      <c r="F14" s="211">
        <f t="shared" si="3"/>
        <v>45992</v>
      </c>
      <c r="G14" s="211">
        <f>+F14+30</f>
        <v>46022</v>
      </c>
      <c r="H14" s="212">
        <f t="shared" si="0"/>
        <v>45992</v>
      </c>
      <c r="I14" s="213">
        <f t="shared" si="1"/>
        <v>19968.100000000006</v>
      </c>
      <c r="J14" s="214">
        <f t="shared" si="2"/>
        <v>19.968100000000007</v>
      </c>
      <c r="L14" s="213">
        <f>+Batayporã!J14*Amandina!$Q$2</f>
        <v>85.283120000000011</v>
      </c>
    </row>
    <row r="15" spans="1:17" ht="15.75" customHeight="1" x14ac:dyDescent="0.3">
      <c r="A15" s="204" t="s">
        <v>549</v>
      </c>
      <c r="B15" s="205">
        <v>45729</v>
      </c>
      <c r="C15" s="206">
        <v>242.3</v>
      </c>
      <c r="D15" s="207">
        <f>IFERROR(C15/VLOOKUP(A15,Usinas!$A:$B,2,FALSE()),"")</f>
        <v>0.34763271162123388</v>
      </c>
    </row>
    <row r="16" spans="1:17" ht="15.75" customHeight="1" x14ac:dyDescent="0.3">
      <c r="A16" s="204" t="s">
        <v>549</v>
      </c>
      <c r="B16" s="205">
        <v>45730</v>
      </c>
      <c r="C16" s="206">
        <v>288.39999999999998</v>
      </c>
      <c r="D16" s="207">
        <f>IFERROR(C16/VLOOKUP(A16,Usinas!$A:$B,2,FALSE()),"")</f>
        <v>0.41377331420373026</v>
      </c>
    </row>
    <row r="17" spans="1:12" ht="15.75" customHeight="1" x14ac:dyDescent="0.3">
      <c r="A17" s="204" t="s">
        <v>549</v>
      </c>
      <c r="B17" s="205">
        <v>45731</v>
      </c>
      <c r="C17" s="206">
        <v>347.5</v>
      </c>
      <c r="D17" s="207">
        <f>IFERROR(C17/VLOOKUP(A17,Usinas!$A:$B,2,FALSE()),"")</f>
        <v>0.49856527977044474</v>
      </c>
      <c r="L17" s="209">
        <f>+SUM(L2:L14)</f>
        <v>905.92815999999993</v>
      </c>
    </row>
    <row r="18" spans="1:12" ht="12" customHeight="1" x14ac:dyDescent="0.3">
      <c r="A18" s="204" t="s">
        <v>549</v>
      </c>
      <c r="B18" s="205">
        <v>45732</v>
      </c>
      <c r="C18" s="206">
        <v>310.39999999999998</v>
      </c>
      <c r="D18" s="207">
        <f>IFERROR(C18/VLOOKUP(A18,Usinas!$A:$B,2,FALSE()),"")</f>
        <v>0.44533715925394546</v>
      </c>
    </row>
    <row r="19" spans="1:12" ht="12" customHeight="1" x14ac:dyDescent="0.3">
      <c r="A19" s="204" t="s">
        <v>549</v>
      </c>
      <c r="B19" s="205">
        <v>45733</v>
      </c>
      <c r="C19" s="206">
        <v>278</v>
      </c>
      <c r="D19" s="207">
        <f>IFERROR(C19/VLOOKUP(A19,Usinas!$A:$B,2,FALSE()),"")</f>
        <v>0.39885222381635582</v>
      </c>
    </row>
    <row r="20" spans="1:12" ht="12" customHeight="1" x14ac:dyDescent="0.3">
      <c r="A20" s="204" t="s">
        <v>549</v>
      </c>
      <c r="B20" s="205">
        <v>45734</v>
      </c>
      <c r="C20" s="206">
        <v>222.1</v>
      </c>
      <c r="D20" s="207">
        <f>IFERROR(C20/VLOOKUP(A20,Usinas!$A:$B,2,FALSE()),"")</f>
        <v>0.31865136298421809</v>
      </c>
    </row>
    <row r="21" spans="1:12" ht="12" customHeight="1" x14ac:dyDescent="0.3">
      <c r="A21" s="204" t="s">
        <v>549</v>
      </c>
      <c r="B21" s="205">
        <v>45735</v>
      </c>
      <c r="C21" s="206">
        <v>332.3</v>
      </c>
      <c r="D21" s="207">
        <f>IFERROR(C21/VLOOKUP(A21,Usinas!$A:$B,2,FALSE()),"")</f>
        <v>0.47675753228120515</v>
      </c>
    </row>
    <row r="22" spans="1:12" ht="12" customHeight="1" x14ac:dyDescent="0.3">
      <c r="A22" s="204" t="s">
        <v>549</v>
      </c>
      <c r="B22" s="205">
        <v>45736</v>
      </c>
      <c r="C22" s="206">
        <v>318.3</v>
      </c>
      <c r="D22" s="207">
        <f>IFERROR(C22/VLOOKUP(A22,Usinas!$A:$B,2,FALSE()),"")</f>
        <v>0.45667144906743184</v>
      </c>
    </row>
    <row r="23" spans="1:12" ht="12" customHeight="1" x14ac:dyDescent="0.3">
      <c r="A23" s="204" t="s">
        <v>549</v>
      </c>
      <c r="B23" s="205">
        <v>45737</v>
      </c>
      <c r="C23" s="206">
        <v>321.39999999999998</v>
      </c>
      <c r="D23" s="207">
        <f>IFERROR(C23/VLOOKUP(A23,Usinas!$A:$B,2,FALSE()),"")</f>
        <v>0.46111908177905303</v>
      </c>
    </row>
    <row r="24" spans="1:12" ht="12" customHeight="1" x14ac:dyDescent="0.3">
      <c r="A24" s="204" t="s">
        <v>549</v>
      </c>
      <c r="B24" s="205">
        <v>45738</v>
      </c>
      <c r="C24" s="206">
        <v>272.8</v>
      </c>
      <c r="D24" s="207">
        <f>IFERROR(C24/VLOOKUP(A24,Usinas!$A:$B,2,FALSE()),"")</f>
        <v>0.3913916786226686</v>
      </c>
    </row>
    <row r="25" spans="1:12" ht="12" customHeight="1" x14ac:dyDescent="0.3">
      <c r="A25" s="204" t="s">
        <v>549</v>
      </c>
      <c r="B25" s="205">
        <v>45739</v>
      </c>
      <c r="C25" s="206">
        <v>250.5</v>
      </c>
      <c r="D25" s="207">
        <f>IFERROR(C25/VLOOKUP(A25,Usinas!$A:$B,2,FALSE()),"")</f>
        <v>0.35939741750358678</v>
      </c>
    </row>
    <row r="26" spans="1:12" ht="12" customHeight="1" x14ac:dyDescent="0.3">
      <c r="A26" s="204" t="s">
        <v>549</v>
      </c>
      <c r="B26" s="205">
        <v>45740</v>
      </c>
      <c r="C26" s="206">
        <v>281.2</v>
      </c>
      <c r="D26" s="207">
        <f>IFERROR(C26/VLOOKUP(A26,Usinas!$A:$B,2,FALSE()),"")</f>
        <v>0.40344332855093257</v>
      </c>
    </row>
    <row r="27" spans="1:12" ht="12" customHeight="1" x14ac:dyDescent="0.3">
      <c r="A27" s="204" t="s">
        <v>549</v>
      </c>
      <c r="B27" s="205">
        <v>45741</v>
      </c>
      <c r="C27" s="206">
        <v>264.2</v>
      </c>
      <c r="D27" s="207">
        <f>IFERROR(C27/VLOOKUP(A27,Usinas!$A:$B,2,FALSE()),"")</f>
        <v>0.37905308464849352</v>
      </c>
    </row>
    <row r="28" spans="1:12" ht="12" customHeight="1" x14ac:dyDescent="0.3">
      <c r="A28" s="204" t="s">
        <v>549</v>
      </c>
      <c r="B28" s="205">
        <v>45742</v>
      </c>
      <c r="C28" s="206">
        <v>275</v>
      </c>
      <c r="D28" s="207">
        <f>IFERROR(C28/VLOOKUP(A28,Usinas!$A:$B,2,FALSE()),"")</f>
        <v>0.39454806312769009</v>
      </c>
    </row>
    <row r="29" spans="1:12" ht="12" customHeight="1" x14ac:dyDescent="0.3">
      <c r="A29" s="204" t="s">
        <v>549</v>
      </c>
      <c r="B29" s="205">
        <v>45743</v>
      </c>
      <c r="C29" s="206">
        <v>297</v>
      </c>
      <c r="D29" s="207">
        <f>IFERROR(C29/VLOOKUP(A29,Usinas!$A:$B,2,FALSE()),"")</f>
        <v>0.42611190817790529</v>
      </c>
    </row>
    <row r="30" spans="1:12" ht="12" customHeight="1" x14ac:dyDescent="0.3">
      <c r="A30" s="204" t="s">
        <v>549</v>
      </c>
      <c r="B30" s="205">
        <v>45744</v>
      </c>
      <c r="C30" s="206">
        <v>287.8</v>
      </c>
      <c r="D30" s="207">
        <f>IFERROR(C30/VLOOKUP(A30,Usinas!$A:$B,2,FALSE()),"")</f>
        <v>0.41291248206599712</v>
      </c>
    </row>
    <row r="31" spans="1:12" ht="12" customHeight="1" x14ac:dyDescent="0.3">
      <c r="A31" s="204" t="s">
        <v>549</v>
      </c>
      <c r="B31" s="205">
        <v>45745</v>
      </c>
      <c r="C31" s="206">
        <v>120.4</v>
      </c>
      <c r="D31" s="207">
        <f>IFERROR(C31/VLOOKUP(A31,Usinas!$A:$B,2,FALSE()),"")</f>
        <v>0.17274031563845052</v>
      </c>
    </row>
    <row r="32" spans="1:12" ht="12" customHeight="1" x14ac:dyDescent="0.3">
      <c r="A32" s="204" t="s">
        <v>549</v>
      </c>
      <c r="B32" s="205">
        <v>45746</v>
      </c>
      <c r="C32" s="206">
        <v>168.4</v>
      </c>
      <c r="D32" s="207">
        <f>IFERROR(C32/VLOOKUP(A32,Usinas!$A:$B,2,FALSE()),"")</f>
        <v>0.24160688665710187</v>
      </c>
    </row>
    <row r="33" spans="1:4" ht="12" customHeight="1" x14ac:dyDescent="0.3">
      <c r="A33" s="204" t="s">
        <v>549</v>
      </c>
      <c r="B33" s="205">
        <v>45747</v>
      </c>
      <c r="C33" s="206">
        <v>198.8</v>
      </c>
      <c r="D33" s="207">
        <f>IFERROR(C33/VLOOKUP(A33,Usinas!$A:$B,2,FALSE()),"")</f>
        <v>0.28522238163558106</v>
      </c>
    </row>
    <row r="34" spans="1:4" ht="12" customHeight="1" x14ac:dyDescent="0.3">
      <c r="A34" s="204" t="s">
        <v>549</v>
      </c>
      <c r="B34" s="205">
        <v>45748</v>
      </c>
      <c r="C34" s="206">
        <v>242.4</v>
      </c>
      <c r="D34" s="207">
        <f>IFERROR(C34/VLOOKUP(A34,Usinas!$A:$B,2,FALSE()),"")</f>
        <v>0.34777618364418939</v>
      </c>
    </row>
    <row r="35" spans="1:4" ht="12" customHeight="1" x14ac:dyDescent="0.3">
      <c r="A35" s="204" t="s">
        <v>549</v>
      </c>
      <c r="B35" s="205">
        <v>45749</v>
      </c>
      <c r="C35" s="206">
        <v>784.3</v>
      </c>
      <c r="D35" s="207">
        <f>IFERROR(C35/VLOOKUP(A35,Usinas!$A:$B,2,FALSE()),"")</f>
        <v>1.1252510760401722</v>
      </c>
    </row>
    <row r="36" spans="1:4" ht="12" customHeight="1" x14ac:dyDescent="0.3">
      <c r="A36" s="204" t="s">
        <v>549</v>
      </c>
      <c r="B36" s="205">
        <v>45750</v>
      </c>
      <c r="C36" s="206">
        <v>1039.0999999999999</v>
      </c>
      <c r="D36" s="207">
        <f>IFERROR(C36/VLOOKUP(A36,Usinas!$A:$B,2,FALSE()),"")</f>
        <v>1.4908177905308464</v>
      </c>
    </row>
    <row r="37" spans="1:4" ht="12" customHeight="1" x14ac:dyDescent="0.3">
      <c r="A37" s="204" t="s">
        <v>549</v>
      </c>
      <c r="B37" s="205">
        <v>45751</v>
      </c>
      <c r="C37" s="206">
        <v>1170</v>
      </c>
      <c r="D37" s="207">
        <f>IFERROR(C37/VLOOKUP(A37,Usinas!$A:$B,2,FALSE()),"")</f>
        <v>1.6786226685796271</v>
      </c>
    </row>
    <row r="38" spans="1:4" ht="12" customHeight="1" x14ac:dyDescent="0.3">
      <c r="A38" s="204" t="s">
        <v>549</v>
      </c>
      <c r="B38" s="205">
        <v>45752</v>
      </c>
      <c r="C38" s="206">
        <v>1141.7</v>
      </c>
      <c r="D38" s="207">
        <f>IFERROR(C38/VLOOKUP(A38,Usinas!$A:$B,2,FALSE()),"")</f>
        <v>1.6380200860832139</v>
      </c>
    </row>
    <row r="39" spans="1:4" ht="12" customHeight="1" x14ac:dyDescent="0.3">
      <c r="A39" s="204" t="s">
        <v>549</v>
      </c>
      <c r="B39" s="205">
        <v>45753</v>
      </c>
      <c r="C39" s="206">
        <v>1359</v>
      </c>
      <c r="D39" s="207">
        <f>IFERROR(C39/VLOOKUP(A39,Usinas!$A:$B,2,FALSE()),"")</f>
        <v>1.9497847919655666</v>
      </c>
    </row>
    <row r="40" spans="1:4" ht="12" customHeight="1" x14ac:dyDescent="0.3">
      <c r="A40" s="204" t="s">
        <v>549</v>
      </c>
      <c r="B40" s="205">
        <v>45754</v>
      </c>
      <c r="C40" s="206">
        <v>1249.5</v>
      </c>
      <c r="D40" s="207">
        <f>IFERROR(C40/VLOOKUP(A40,Usinas!$A:$B,2,FALSE()),"")</f>
        <v>1.7926829268292683</v>
      </c>
    </row>
    <row r="41" spans="1:4" ht="12" customHeight="1" x14ac:dyDescent="0.3">
      <c r="A41" s="204" t="s">
        <v>549</v>
      </c>
      <c r="B41" s="205">
        <v>45755</v>
      </c>
      <c r="C41" s="206">
        <v>937</v>
      </c>
      <c r="D41" s="207">
        <f>IFERROR(C41/VLOOKUP(A41,Usinas!$A:$B,2,FALSE()),"")</f>
        <v>1.3443328550932567</v>
      </c>
    </row>
    <row r="42" spans="1:4" ht="12" customHeight="1" x14ac:dyDescent="0.3">
      <c r="A42" s="204" t="s">
        <v>549</v>
      </c>
      <c r="B42" s="205">
        <v>45756</v>
      </c>
      <c r="C42" s="206">
        <v>722.3</v>
      </c>
      <c r="D42" s="207">
        <f>IFERROR(C42/VLOOKUP(A42,Usinas!$A:$B,2,FALSE()),"")</f>
        <v>1.0362984218077473</v>
      </c>
    </row>
    <row r="43" spans="1:4" ht="12" customHeight="1" x14ac:dyDescent="0.3">
      <c r="A43" s="204" t="s">
        <v>549</v>
      </c>
      <c r="B43" s="205">
        <v>45757</v>
      </c>
      <c r="C43" s="206">
        <v>954.7</v>
      </c>
      <c r="D43" s="207">
        <f>IFERROR(C43/VLOOKUP(A43,Usinas!$A:$B,2,FALSE()),"")</f>
        <v>1.3697274031563846</v>
      </c>
    </row>
    <row r="44" spans="1:4" ht="12" customHeight="1" x14ac:dyDescent="0.3">
      <c r="A44" s="204" t="s">
        <v>549</v>
      </c>
      <c r="B44" s="205">
        <v>45758</v>
      </c>
      <c r="C44" s="206">
        <v>1027</v>
      </c>
      <c r="D44" s="207">
        <f>IFERROR(C44/VLOOKUP(A44,Usinas!$A:$B,2,FALSE()),"")</f>
        <v>1.4734576757532281</v>
      </c>
    </row>
    <row r="45" spans="1:4" ht="12" customHeight="1" x14ac:dyDescent="0.3">
      <c r="A45" s="204" t="s">
        <v>549</v>
      </c>
      <c r="B45" s="205">
        <v>45759</v>
      </c>
      <c r="C45" s="206">
        <v>406.2</v>
      </c>
      <c r="D45" s="207">
        <f>IFERROR(C45/VLOOKUP(A45,Usinas!$A:$B,2,FALSE()),"")</f>
        <v>0.58278335724533714</v>
      </c>
    </row>
    <row r="46" spans="1:4" ht="12" customHeight="1" x14ac:dyDescent="0.3">
      <c r="A46" s="204" t="s">
        <v>549</v>
      </c>
      <c r="B46" s="205">
        <v>45760</v>
      </c>
      <c r="C46" s="206">
        <v>612.5</v>
      </c>
      <c r="D46" s="207">
        <f>IFERROR(C46/VLOOKUP(A46,Usinas!$A:$B,2,FALSE()),"")</f>
        <v>0.87876614060258251</v>
      </c>
    </row>
    <row r="47" spans="1:4" ht="12" customHeight="1" x14ac:dyDescent="0.3">
      <c r="A47" s="204" t="s">
        <v>549</v>
      </c>
      <c r="B47" s="205">
        <v>45761</v>
      </c>
      <c r="C47" s="206">
        <v>799.3</v>
      </c>
      <c r="D47" s="207">
        <f>IFERROR(C47/VLOOKUP(A47,Usinas!$A:$B,2,FALSE()),"")</f>
        <v>1.1467718794835007</v>
      </c>
    </row>
    <row r="48" spans="1:4" ht="12" customHeight="1" x14ac:dyDescent="0.3">
      <c r="A48" s="204" t="s">
        <v>549</v>
      </c>
      <c r="B48" s="205">
        <v>45762</v>
      </c>
      <c r="C48" s="206">
        <v>653.4</v>
      </c>
      <c r="D48" s="207">
        <f>IFERROR(C48/VLOOKUP(A48,Usinas!$A:$B,2,FALSE()),"")</f>
        <v>0.93744619799139162</v>
      </c>
    </row>
    <row r="49" spans="1:4" ht="12" customHeight="1" x14ac:dyDescent="0.3">
      <c r="A49" s="204" t="s">
        <v>549</v>
      </c>
      <c r="B49" s="205">
        <v>45763</v>
      </c>
      <c r="C49" s="206">
        <v>410.2</v>
      </c>
      <c r="D49" s="207">
        <f>IFERROR(C49/VLOOKUP(A49,Usinas!$A:$B,2,FALSE()),"")</f>
        <v>0.58852223816355809</v>
      </c>
    </row>
    <row r="50" spans="1:4" ht="12" customHeight="1" x14ac:dyDescent="0.3">
      <c r="A50" s="204" t="s">
        <v>549</v>
      </c>
      <c r="B50" s="205">
        <v>45764</v>
      </c>
      <c r="C50" s="206">
        <v>685.7</v>
      </c>
      <c r="D50" s="207">
        <f>IFERROR(C50/VLOOKUP(A50,Usinas!$A:$B,2,FALSE()),"")</f>
        <v>0.98378766140602592</v>
      </c>
    </row>
    <row r="51" spans="1:4" ht="12" customHeight="1" x14ac:dyDescent="0.3">
      <c r="A51" s="204" t="s">
        <v>549</v>
      </c>
      <c r="B51" s="205">
        <v>45765</v>
      </c>
      <c r="C51" s="206">
        <v>111.3</v>
      </c>
      <c r="D51" s="207">
        <f>IFERROR(C51/VLOOKUP(A51,Usinas!$A:$B,2,FALSE()),"")</f>
        <v>0.15968436154949783</v>
      </c>
    </row>
    <row r="52" spans="1:4" ht="12" customHeight="1" x14ac:dyDescent="0.3">
      <c r="A52" s="204" t="s">
        <v>549</v>
      </c>
      <c r="B52" s="205">
        <v>45766</v>
      </c>
      <c r="C52" s="206">
        <v>285.7</v>
      </c>
      <c r="D52" s="207">
        <f>IFERROR(C52/VLOOKUP(A52,Usinas!$A:$B,2,FALSE()),"")</f>
        <v>0.40989956958393114</v>
      </c>
    </row>
    <row r="53" spans="1:4" ht="12" customHeight="1" x14ac:dyDescent="0.3">
      <c r="A53" s="204" t="s">
        <v>549</v>
      </c>
      <c r="B53" s="205">
        <v>45767</v>
      </c>
      <c r="C53" s="206">
        <v>770.3</v>
      </c>
      <c r="D53" s="207">
        <f>IFERROR(C53/VLOOKUP(A53,Usinas!$A:$B,2,FALSE()),"")</f>
        <v>1.1051649928263987</v>
      </c>
    </row>
    <row r="54" spans="1:4" ht="12" customHeight="1" x14ac:dyDescent="0.3">
      <c r="A54" s="204" t="s">
        <v>549</v>
      </c>
      <c r="B54" s="205">
        <v>45768</v>
      </c>
      <c r="C54" s="206">
        <v>1144.3</v>
      </c>
      <c r="D54" s="207">
        <f>IFERROR(C54/VLOOKUP(A54,Usinas!$A:$B,2,FALSE()),"")</f>
        <v>1.6417503586800573</v>
      </c>
    </row>
    <row r="55" spans="1:4" ht="12" customHeight="1" x14ac:dyDescent="0.3">
      <c r="A55" s="204" t="s">
        <v>549</v>
      </c>
      <c r="B55" s="205">
        <v>45769</v>
      </c>
      <c r="C55" s="206">
        <v>1210.3</v>
      </c>
      <c r="D55" s="207">
        <f>IFERROR(C55/VLOOKUP(A55,Usinas!$A:$B,2,FALSE()),"")</f>
        <v>1.7364418938307029</v>
      </c>
    </row>
    <row r="56" spans="1:4" ht="12" customHeight="1" x14ac:dyDescent="0.3">
      <c r="A56" s="204" t="s">
        <v>549</v>
      </c>
      <c r="B56" s="205">
        <v>45770</v>
      </c>
      <c r="C56" s="206">
        <v>1046.3</v>
      </c>
      <c r="D56" s="207">
        <f>IFERROR(C56/VLOOKUP(A56,Usinas!$A:$B,2,FALSE()),"")</f>
        <v>1.501147776183644</v>
      </c>
    </row>
    <row r="57" spans="1:4" ht="12" customHeight="1" x14ac:dyDescent="0.3">
      <c r="A57" s="204" t="s">
        <v>549</v>
      </c>
      <c r="B57" s="205">
        <v>45771</v>
      </c>
      <c r="C57" s="206">
        <v>166.9</v>
      </c>
      <c r="D57" s="207">
        <f>IFERROR(C57/VLOOKUP(A57,Usinas!$A:$B,2,FALSE()),"")</f>
        <v>0.23945480631276903</v>
      </c>
    </row>
    <row r="58" spans="1:4" ht="12" customHeight="1" x14ac:dyDescent="0.3">
      <c r="A58" s="204" t="s">
        <v>549</v>
      </c>
      <c r="B58" s="205">
        <v>45772</v>
      </c>
      <c r="C58" s="206">
        <v>444.7</v>
      </c>
      <c r="D58" s="207">
        <f>IFERROR(C58/VLOOKUP(A58,Usinas!$A:$B,2,FALSE()),"")</f>
        <v>0.63802008608321381</v>
      </c>
    </row>
    <row r="59" spans="1:4" ht="12" customHeight="1" x14ac:dyDescent="0.3">
      <c r="A59" s="204" t="s">
        <v>549</v>
      </c>
      <c r="B59" s="205">
        <v>45773</v>
      </c>
      <c r="C59" s="206">
        <v>718.2</v>
      </c>
      <c r="D59" s="207">
        <f>IFERROR(C59/VLOOKUP(A59,Usinas!$A:$B,2,FALSE()),"")</f>
        <v>1.0304160688665711</v>
      </c>
    </row>
    <row r="60" spans="1:4" ht="12" customHeight="1" x14ac:dyDescent="0.3">
      <c r="A60" s="204" t="s">
        <v>549</v>
      </c>
      <c r="B60" s="205">
        <v>45774</v>
      </c>
      <c r="C60" s="206">
        <v>458.1</v>
      </c>
      <c r="D60" s="207">
        <f>IFERROR(C60/VLOOKUP(A60,Usinas!$A:$B,2,FALSE()),"")</f>
        <v>0.65724533715925393</v>
      </c>
    </row>
    <row r="61" spans="1:4" ht="12" customHeight="1" x14ac:dyDescent="0.3">
      <c r="A61" s="204" t="s">
        <v>549</v>
      </c>
      <c r="B61" s="205">
        <v>45775</v>
      </c>
      <c r="C61" s="206">
        <v>713.3</v>
      </c>
      <c r="D61" s="207">
        <f>IFERROR(C61/VLOOKUP(A61,Usinas!$A:$B,2,FALSE()),"")</f>
        <v>1.0233859397417502</v>
      </c>
    </row>
    <row r="62" spans="1:4" ht="12" customHeight="1" x14ac:dyDescent="0.3">
      <c r="A62" s="204" t="s">
        <v>549</v>
      </c>
      <c r="B62" s="205">
        <v>45776</v>
      </c>
      <c r="C62" s="206">
        <v>1328.6</v>
      </c>
      <c r="D62" s="207">
        <f>IFERROR(C62/VLOOKUP(A62,Usinas!$A:$B,2,FALSE()),"")</f>
        <v>1.9061692969870874</v>
      </c>
    </row>
    <row r="63" spans="1:4" ht="12" customHeight="1" x14ac:dyDescent="0.3">
      <c r="A63" s="204" t="s">
        <v>549</v>
      </c>
      <c r="B63" s="205">
        <v>45777</v>
      </c>
      <c r="C63" s="206">
        <v>1310.5</v>
      </c>
      <c r="D63" s="207">
        <f>IFERROR(C63/VLOOKUP(A63,Usinas!$A:$B,2,FALSE()),"")</f>
        <v>1.8802008608321377</v>
      </c>
    </row>
    <row r="64" spans="1:4" ht="12" customHeight="1" x14ac:dyDescent="0.3">
      <c r="A64" s="204" t="s">
        <v>549</v>
      </c>
      <c r="B64" s="205">
        <v>45778</v>
      </c>
      <c r="C64" s="206">
        <v>1329.1</v>
      </c>
      <c r="D64" s="207">
        <f>IFERROR(C64/VLOOKUP(A64,Usinas!$A:$B,2,FALSE()),"")</f>
        <v>1.906886657101865</v>
      </c>
    </row>
    <row r="65" spans="1:4" ht="12" customHeight="1" x14ac:dyDescent="0.3">
      <c r="A65" s="204" t="s">
        <v>549</v>
      </c>
      <c r="B65" s="205">
        <v>45779</v>
      </c>
      <c r="C65" s="206">
        <v>1263</v>
      </c>
      <c r="D65" s="207">
        <f>IFERROR(C65/VLOOKUP(A65,Usinas!$A:$B,2,FALSE()),"")</f>
        <v>1.812051649928264</v>
      </c>
    </row>
    <row r="66" spans="1:4" ht="12" customHeight="1" x14ac:dyDescent="0.3">
      <c r="A66" s="204" t="s">
        <v>549</v>
      </c>
      <c r="B66" s="205">
        <v>45780</v>
      </c>
      <c r="C66" s="206">
        <v>867.4</v>
      </c>
      <c r="D66" s="207">
        <f>IFERROR(C66/VLOOKUP(A66,Usinas!$A:$B,2,FALSE()),"")</f>
        <v>1.2444763271162123</v>
      </c>
    </row>
    <row r="67" spans="1:4" ht="12" customHeight="1" x14ac:dyDescent="0.3">
      <c r="A67" s="204" t="s">
        <v>549</v>
      </c>
      <c r="B67" s="205">
        <v>45781</v>
      </c>
      <c r="C67" s="206">
        <v>1083.4000000000001</v>
      </c>
      <c r="D67" s="207">
        <f>IFERROR(C67/VLOOKUP(A67,Usinas!$A:$B,2,FALSE()),"")</f>
        <v>1.5543758967001435</v>
      </c>
    </row>
    <row r="68" spans="1:4" ht="12" customHeight="1" x14ac:dyDescent="0.3">
      <c r="A68" s="204" t="s">
        <v>549</v>
      </c>
      <c r="B68" s="205">
        <v>45782</v>
      </c>
      <c r="C68" s="206">
        <v>942.2</v>
      </c>
      <c r="D68" s="207">
        <f>IFERROR(C68/VLOOKUP(A68,Usinas!$A:$B,2,FALSE()),"")</f>
        <v>1.3517934002869441</v>
      </c>
    </row>
    <row r="69" spans="1:4" ht="12" customHeight="1" x14ac:dyDescent="0.3">
      <c r="A69" s="204" t="s">
        <v>549</v>
      </c>
      <c r="B69" s="205">
        <v>45783</v>
      </c>
      <c r="C69" s="206">
        <v>651.6</v>
      </c>
      <c r="D69" s="207">
        <f>IFERROR(C69/VLOOKUP(A69,Usinas!$A:$B,2,FALSE()),"")</f>
        <v>0.93486370157819232</v>
      </c>
    </row>
    <row r="70" spans="1:4" ht="12" customHeight="1" x14ac:dyDescent="0.3">
      <c r="A70" s="204" t="s">
        <v>549</v>
      </c>
      <c r="B70" s="205">
        <v>45784</v>
      </c>
      <c r="C70" s="206">
        <v>831.4</v>
      </c>
      <c r="D70" s="207">
        <f>IFERROR(C70/VLOOKUP(A70,Usinas!$A:$B,2,FALSE()),"")</f>
        <v>1.1928263988522239</v>
      </c>
    </row>
    <row r="71" spans="1:4" ht="12" customHeight="1" x14ac:dyDescent="0.3">
      <c r="A71" s="204" t="s">
        <v>549</v>
      </c>
      <c r="B71" s="205">
        <v>45785</v>
      </c>
      <c r="C71" s="206">
        <v>456.1</v>
      </c>
      <c r="D71" s="207">
        <f>IFERROR(C71/VLOOKUP(A71,Usinas!$A:$B,2,FALSE()),"")</f>
        <v>0.65437589670014351</v>
      </c>
    </row>
    <row r="72" spans="1:4" ht="12" customHeight="1" x14ac:dyDescent="0.3">
      <c r="A72" s="204" t="s">
        <v>549</v>
      </c>
      <c r="B72" s="205">
        <v>45786</v>
      </c>
      <c r="C72" s="206">
        <v>761.6</v>
      </c>
      <c r="D72" s="207">
        <f>IFERROR(C72/VLOOKUP(A72,Usinas!$A:$B,2,FALSE()),"")</f>
        <v>1.0926829268292684</v>
      </c>
    </row>
    <row r="73" spans="1:4" ht="12" customHeight="1" x14ac:dyDescent="0.3">
      <c r="A73" s="204" t="s">
        <v>549</v>
      </c>
      <c r="B73" s="205">
        <v>45787</v>
      </c>
      <c r="C73" s="206">
        <v>629.6</v>
      </c>
      <c r="D73" s="207">
        <f>IFERROR(C73/VLOOKUP(A73,Usinas!$A:$B,2,FALSE()),"")</f>
        <v>0.90329985652797706</v>
      </c>
    </row>
    <row r="74" spans="1:4" ht="12" customHeight="1" x14ac:dyDescent="0.3">
      <c r="A74" s="204" t="s">
        <v>549</v>
      </c>
      <c r="B74" s="205">
        <v>45788</v>
      </c>
      <c r="C74" s="206">
        <v>653.29999999999995</v>
      </c>
      <c r="D74" s="207">
        <f>IFERROR(C74/VLOOKUP(A74,Usinas!$A:$B,2,FALSE()),"")</f>
        <v>0.93730272596843611</v>
      </c>
    </row>
    <row r="75" spans="1:4" ht="12" customHeight="1" x14ac:dyDescent="0.3">
      <c r="A75" s="204" t="s">
        <v>549</v>
      </c>
      <c r="B75" s="205">
        <v>45789</v>
      </c>
      <c r="C75" s="206">
        <v>1102.0999999999999</v>
      </c>
      <c r="D75" s="207">
        <f>IFERROR(C75/VLOOKUP(A75,Usinas!$A:$B,2,FALSE()),"")</f>
        <v>1.5812051649928263</v>
      </c>
    </row>
    <row r="76" spans="1:4" ht="12" customHeight="1" x14ac:dyDescent="0.3">
      <c r="A76" s="204" t="s">
        <v>549</v>
      </c>
      <c r="B76" s="205">
        <v>45790</v>
      </c>
      <c r="C76" s="206">
        <v>1033.3</v>
      </c>
      <c r="D76" s="207">
        <f>IFERROR(C76/VLOOKUP(A76,Usinas!$A:$B,2,FALSE()),"")</f>
        <v>1.482496413199426</v>
      </c>
    </row>
    <row r="77" spans="1:4" ht="12" customHeight="1" x14ac:dyDescent="0.3">
      <c r="A77" s="204" t="s">
        <v>549</v>
      </c>
      <c r="B77" s="205">
        <v>45791</v>
      </c>
      <c r="C77" s="206">
        <v>1078.5999999999999</v>
      </c>
      <c r="D77" s="207">
        <f>IFERROR(C77/VLOOKUP(A77,Usinas!$A:$B,2,FALSE()),"")</f>
        <v>1.5474892395982782</v>
      </c>
    </row>
    <row r="78" spans="1:4" ht="12" customHeight="1" x14ac:dyDescent="0.3">
      <c r="A78" s="204" t="s">
        <v>549</v>
      </c>
      <c r="B78" s="205">
        <v>45792</v>
      </c>
      <c r="C78" s="206">
        <v>1063.5999999999999</v>
      </c>
      <c r="D78" s="207">
        <f>IFERROR(C78/VLOOKUP(A78,Usinas!$A:$B,2,FALSE()),"")</f>
        <v>1.5259684361549497</v>
      </c>
    </row>
    <row r="79" spans="1:4" ht="12" customHeight="1" x14ac:dyDescent="0.3">
      <c r="A79" s="204" t="s">
        <v>549</v>
      </c>
      <c r="B79" s="205">
        <v>45793</v>
      </c>
      <c r="C79" s="206">
        <v>897.1</v>
      </c>
      <c r="D79" s="207">
        <f>IFERROR(C79/VLOOKUP(A79,Usinas!$A:$B,2,FALSE()),"")</f>
        <v>1.2870875179340029</v>
      </c>
    </row>
    <row r="80" spans="1:4" ht="12" customHeight="1" x14ac:dyDescent="0.3">
      <c r="A80" s="204" t="s">
        <v>549</v>
      </c>
      <c r="B80" s="205">
        <v>45794</v>
      </c>
      <c r="C80" s="206">
        <v>956.8</v>
      </c>
      <c r="D80" s="207">
        <f>IFERROR(C80/VLOOKUP(A80,Usinas!$A:$B,2,FALSE()),"")</f>
        <v>1.3727403156384503</v>
      </c>
    </row>
    <row r="81" spans="1:4" ht="12" customHeight="1" x14ac:dyDescent="0.3">
      <c r="A81" s="204" t="s">
        <v>549</v>
      </c>
      <c r="B81" s="205">
        <v>45795</v>
      </c>
      <c r="C81" s="206">
        <v>783.8</v>
      </c>
      <c r="D81" s="207">
        <f>IFERROR(C81/VLOOKUP(A81,Usinas!$A:$B,2,FALSE()),"")</f>
        <v>1.1245337159253945</v>
      </c>
    </row>
    <row r="82" spans="1:4" ht="12" customHeight="1" x14ac:dyDescent="0.3">
      <c r="A82" s="204" t="s">
        <v>549</v>
      </c>
      <c r="B82" s="205">
        <v>45796</v>
      </c>
      <c r="C82" s="206">
        <v>1045.7</v>
      </c>
      <c r="D82" s="207">
        <f>IFERROR(C82/VLOOKUP(A82,Usinas!$A:$B,2,FALSE()),"")</f>
        <v>1.500286944045911</v>
      </c>
    </row>
    <row r="83" spans="1:4" ht="12" customHeight="1" x14ac:dyDescent="0.3">
      <c r="A83" s="204" t="s">
        <v>549</v>
      </c>
      <c r="B83" s="205">
        <v>45797</v>
      </c>
      <c r="C83" s="206">
        <v>815.2</v>
      </c>
      <c r="D83" s="207">
        <f>IFERROR(C83/VLOOKUP(A83,Usinas!$A:$B,2,FALSE()),"")</f>
        <v>1.1695839311334291</v>
      </c>
    </row>
    <row r="84" spans="1:4" ht="12" customHeight="1" x14ac:dyDescent="0.3">
      <c r="A84" s="204" t="s">
        <v>549</v>
      </c>
      <c r="B84" s="205">
        <v>45798</v>
      </c>
      <c r="C84" s="206">
        <v>759.3</v>
      </c>
      <c r="D84" s="207">
        <f>IFERROR(C84/VLOOKUP(A84,Usinas!$A:$B,2,FALSE()),"")</f>
        <v>1.0893830703012912</v>
      </c>
    </row>
    <row r="85" spans="1:4" ht="12" customHeight="1" x14ac:dyDescent="0.3">
      <c r="A85" s="204" t="s">
        <v>549</v>
      </c>
      <c r="B85" s="205">
        <v>45799</v>
      </c>
      <c r="C85" s="206">
        <v>24.8</v>
      </c>
      <c r="D85" s="207">
        <f>IFERROR(C85/VLOOKUP(A85,Usinas!$A:$B,2,FALSE()),"")</f>
        <v>3.5581061692969873E-2</v>
      </c>
    </row>
    <row r="86" spans="1:4" ht="12" customHeight="1" x14ac:dyDescent="0.3">
      <c r="A86" s="204" t="s">
        <v>549</v>
      </c>
      <c r="B86" s="205">
        <v>45800</v>
      </c>
      <c r="C86" s="206">
        <v>886.3</v>
      </c>
      <c r="D86" s="207">
        <f>IFERROR(C86/VLOOKUP(A86,Usinas!$A:$B,2,FALSE()),"")</f>
        <v>1.2715925394548062</v>
      </c>
    </row>
    <row r="87" spans="1:4" ht="12" customHeight="1" x14ac:dyDescent="0.3">
      <c r="A87" s="204" t="s">
        <v>549</v>
      </c>
      <c r="B87" s="205">
        <v>45801</v>
      </c>
      <c r="C87" s="206">
        <v>1355.2</v>
      </c>
      <c r="D87" s="207">
        <f>IFERROR(C87/VLOOKUP(A87,Usinas!$A:$B,2,FALSE()),"")</f>
        <v>1.9443328550932568</v>
      </c>
    </row>
    <row r="88" spans="1:4" ht="12" customHeight="1" x14ac:dyDescent="0.3">
      <c r="A88" s="204" t="s">
        <v>549</v>
      </c>
      <c r="B88" s="205">
        <v>45802</v>
      </c>
      <c r="C88" s="206">
        <v>1350.3</v>
      </c>
      <c r="D88" s="207">
        <f>IFERROR(C88/VLOOKUP(A88,Usinas!$A:$B,2,FALSE()),"")</f>
        <v>1.9373027259684361</v>
      </c>
    </row>
    <row r="89" spans="1:4" ht="12" customHeight="1" x14ac:dyDescent="0.3">
      <c r="A89" s="204" t="s">
        <v>549</v>
      </c>
      <c r="B89" s="205">
        <v>45803</v>
      </c>
      <c r="C89" s="206">
        <v>1156.3</v>
      </c>
      <c r="D89" s="207">
        <f>IFERROR(C89/VLOOKUP(A89,Usinas!$A:$B,2,FALSE()),"")</f>
        <v>1.6589670014347202</v>
      </c>
    </row>
    <row r="90" spans="1:4" ht="12" customHeight="1" x14ac:dyDescent="0.3">
      <c r="A90" s="204" t="s">
        <v>549</v>
      </c>
      <c r="B90" s="205">
        <v>45804</v>
      </c>
      <c r="C90" s="206">
        <v>872.4</v>
      </c>
      <c r="D90" s="207">
        <f>IFERROR(C90/VLOOKUP(A90,Usinas!$A:$B,2,FALSE()),"")</f>
        <v>1.2516499282639886</v>
      </c>
    </row>
    <row r="91" spans="1:4" ht="12" customHeight="1" x14ac:dyDescent="0.3">
      <c r="A91" s="204" t="s">
        <v>549</v>
      </c>
      <c r="B91" s="205">
        <v>45805</v>
      </c>
      <c r="C91" s="206">
        <v>371.2</v>
      </c>
      <c r="D91" s="207">
        <f>IFERROR(C91/VLOOKUP(A91,Usinas!$A:$B,2,FALSE()),"")</f>
        <v>0.5325681492109039</v>
      </c>
    </row>
    <row r="92" spans="1:4" ht="12" customHeight="1" x14ac:dyDescent="0.3">
      <c r="A92" s="204" t="s">
        <v>549</v>
      </c>
      <c r="B92" s="205">
        <v>45806</v>
      </c>
      <c r="C92" s="206">
        <v>1310.8</v>
      </c>
      <c r="D92" s="207">
        <f>IFERROR(C92/VLOOKUP(A92,Usinas!$A:$B,2,FALSE()),"")</f>
        <v>1.8806312769010043</v>
      </c>
    </row>
    <row r="93" spans="1:4" ht="12" customHeight="1" x14ac:dyDescent="0.3">
      <c r="A93" s="204" t="s">
        <v>549</v>
      </c>
      <c r="B93" s="205">
        <v>45807</v>
      </c>
      <c r="C93" s="206">
        <v>1578.2</v>
      </c>
      <c r="D93" s="207">
        <f>IFERROR(C93/VLOOKUP(A93,Usinas!$A:$B,2,FALSE()),"")</f>
        <v>2.2642754662840745</v>
      </c>
    </row>
    <row r="94" spans="1:4" ht="12" customHeight="1" x14ac:dyDescent="0.3">
      <c r="A94" s="204" t="s">
        <v>549</v>
      </c>
      <c r="B94" s="205">
        <v>45808</v>
      </c>
      <c r="C94" s="206">
        <v>872</v>
      </c>
      <c r="D94" s="207">
        <f>IFERROR(C94/VLOOKUP(A94,Usinas!$A:$B,2,FALSE()),"")</f>
        <v>1.2510760401721663</v>
      </c>
    </row>
    <row r="95" spans="1:4" ht="12" customHeight="1" x14ac:dyDescent="0.3">
      <c r="A95" s="204" t="s">
        <v>549</v>
      </c>
      <c r="B95" s="205">
        <v>45809</v>
      </c>
      <c r="C95" s="206">
        <v>1234.8</v>
      </c>
      <c r="D95" s="207">
        <f>IFERROR(C95/VLOOKUP(A95,Usinas!$A:$B,2,FALSE()),"")</f>
        <v>1.7715925394548062</v>
      </c>
    </row>
    <row r="96" spans="1:4" ht="12" customHeight="1" x14ac:dyDescent="0.3">
      <c r="A96" s="204" t="s">
        <v>549</v>
      </c>
      <c r="B96" s="205">
        <v>45810</v>
      </c>
      <c r="C96" s="206">
        <v>1149.7</v>
      </c>
      <c r="D96" s="207">
        <f>IFERROR(C96/VLOOKUP(A96,Usinas!$A:$B,2,FALSE()),"")</f>
        <v>1.6494978479196558</v>
      </c>
    </row>
    <row r="97" spans="1:4" ht="12" customHeight="1" x14ac:dyDescent="0.3">
      <c r="A97" s="204" t="s">
        <v>549</v>
      </c>
      <c r="B97" s="205">
        <v>45811</v>
      </c>
      <c r="C97" s="206">
        <v>1228.0999999999999</v>
      </c>
      <c r="D97" s="207">
        <f>IFERROR(C97/VLOOKUP(A97,Usinas!$A:$B,2,FALSE()),"")</f>
        <v>1.761979913916786</v>
      </c>
    </row>
    <row r="98" spans="1:4" ht="12" customHeight="1" x14ac:dyDescent="0.3">
      <c r="A98" s="204" t="s">
        <v>549</v>
      </c>
      <c r="B98" s="205">
        <v>45812</v>
      </c>
      <c r="C98" s="206">
        <v>1169.2</v>
      </c>
      <c r="D98" s="207">
        <f>IFERROR(C98/VLOOKUP(A98,Usinas!$A:$B,2,FALSE()),"")</f>
        <v>1.6774748923959828</v>
      </c>
    </row>
    <row r="99" spans="1:4" ht="12" customHeight="1" x14ac:dyDescent="0.3">
      <c r="A99" s="204" t="s">
        <v>549</v>
      </c>
      <c r="B99" s="205">
        <v>45813</v>
      </c>
      <c r="C99" s="206">
        <v>802.3</v>
      </c>
      <c r="D99" s="207">
        <f>IFERROR(C99/VLOOKUP(A99,Usinas!$A:$B,2,FALSE()),"")</f>
        <v>1.1510760401721665</v>
      </c>
    </row>
    <row r="100" spans="1:4" ht="12" customHeight="1" x14ac:dyDescent="0.3">
      <c r="A100" s="204" t="s">
        <v>549</v>
      </c>
      <c r="B100" s="205">
        <v>45814</v>
      </c>
      <c r="C100" s="206">
        <v>1167.5999999999999</v>
      </c>
      <c r="D100" s="207">
        <f>IFERROR(C100/VLOOKUP(A100,Usinas!$A:$B,2,FALSE()),"")</f>
        <v>1.6751793400286943</v>
      </c>
    </row>
    <row r="101" spans="1:4" ht="12" customHeight="1" x14ac:dyDescent="0.3">
      <c r="A101" s="204" t="s">
        <v>549</v>
      </c>
      <c r="B101" s="205">
        <v>45815</v>
      </c>
      <c r="C101" s="206">
        <v>1235.0999999999999</v>
      </c>
      <c r="D101" s="207">
        <f>IFERROR(C101/VLOOKUP(A101,Usinas!$A:$B,2,FALSE()),"")</f>
        <v>1.7720229555236728</v>
      </c>
    </row>
    <row r="102" spans="1:4" ht="12" customHeight="1" x14ac:dyDescent="0.3">
      <c r="A102" s="204" t="s">
        <v>549</v>
      </c>
      <c r="B102" s="205">
        <v>45825</v>
      </c>
      <c r="C102" s="206">
        <v>1195.0999999999999</v>
      </c>
      <c r="D102" s="207">
        <f>IFERROR(C102/VLOOKUP(A102,Usinas!$A:$B,2,FALSE()),"")</f>
        <v>1.7146341463414634</v>
      </c>
    </row>
    <row r="103" spans="1:4" ht="12" customHeight="1" x14ac:dyDescent="0.3">
      <c r="A103" s="204" t="s">
        <v>549</v>
      </c>
      <c r="B103" s="205">
        <v>45826</v>
      </c>
      <c r="C103" s="206">
        <v>1332.9</v>
      </c>
      <c r="D103" s="207">
        <f>IFERROR(C103/VLOOKUP(A103,Usinas!$A:$B,2,FALSE()),"")</f>
        <v>1.9123385939741753</v>
      </c>
    </row>
    <row r="104" spans="1:4" ht="12" customHeight="1" x14ac:dyDescent="0.3">
      <c r="A104" s="204" t="s">
        <v>549</v>
      </c>
      <c r="B104" s="205">
        <v>45827</v>
      </c>
      <c r="C104" s="206">
        <v>1298.9000000000001</v>
      </c>
      <c r="D104" s="207">
        <f>IFERROR(C104/VLOOKUP(A104,Usinas!$A:$B,2,FALSE()),"")</f>
        <v>1.8635581061692972</v>
      </c>
    </row>
    <row r="105" spans="1:4" ht="12" customHeight="1" x14ac:dyDescent="0.3">
      <c r="A105" s="204" t="s">
        <v>549</v>
      </c>
      <c r="B105" s="205">
        <v>45828</v>
      </c>
      <c r="C105" s="206">
        <v>1018</v>
      </c>
      <c r="D105" s="207">
        <f>IFERROR(C105/VLOOKUP(A105,Usinas!$A:$B,2,FALSE()),"")</f>
        <v>1.4605451936872309</v>
      </c>
    </row>
    <row r="106" spans="1:4" ht="12" customHeight="1" x14ac:dyDescent="0.3">
      <c r="A106" s="204" t="s">
        <v>549</v>
      </c>
      <c r="B106" s="205">
        <v>45829</v>
      </c>
      <c r="C106" s="206">
        <v>464.7</v>
      </c>
      <c r="D106" s="207">
        <f>IFERROR(C106/VLOOKUP(A106,Usinas!$A:$B,2,FALSE()),"")</f>
        <v>0.66671449067431854</v>
      </c>
    </row>
    <row r="107" spans="1:4" ht="12" customHeight="1" x14ac:dyDescent="0.3">
      <c r="A107" s="204" t="s">
        <v>549</v>
      </c>
      <c r="B107" s="205">
        <v>45830</v>
      </c>
      <c r="C107" s="206">
        <v>645.20000000000005</v>
      </c>
      <c r="D107" s="207">
        <f>IFERROR(C107/VLOOKUP(A107,Usinas!$A:$B,2,FALSE()),"")</f>
        <v>0.92568149210903883</v>
      </c>
    </row>
    <row r="108" spans="1:4" ht="12" customHeight="1" x14ac:dyDescent="0.3">
      <c r="A108" s="204" t="s">
        <v>549</v>
      </c>
      <c r="B108" s="205">
        <v>45831</v>
      </c>
      <c r="C108" s="206">
        <v>255</v>
      </c>
      <c r="D108" s="207">
        <f>IFERROR(C108/VLOOKUP(A108,Usinas!$A:$B,2,FALSE()),"")</f>
        <v>0.36585365853658536</v>
      </c>
    </row>
    <row r="109" spans="1:4" ht="12" customHeight="1" x14ac:dyDescent="0.3">
      <c r="A109" s="204" t="s">
        <v>549</v>
      </c>
      <c r="B109" s="205">
        <v>45832</v>
      </c>
      <c r="C109" s="206">
        <v>1604.9</v>
      </c>
      <c r="D109" s="207">
        <f>IFERROR(C109/VLOOKUP(A109,Usinas!$A:$B,2,FALSE()),"")</f>
        <v>2.3025824964131996</v>
      </c>
    </row>
    <row r="110" spans="1:4" ht="12" customHeight="1" x14ac:dyDescent="0.3">
      <c r="A110" s="204" t="s">
        <v>549</v>
      </c>
      <c r="B110" s="205">
        <v>45833</v>
      </c>
      <c r="C110" s="206">
        <v>1484.1</v>
      </c>
      <c r="D110" s="207">
        <f>IFERROR(C110/VLOOKUP(A110,Usinas!$A:$B,2,FALSE()),"")</f>
        <v>2.1292682926829265</v>
      </c>
    </row>
    <row r="111" spans="1:4" ht="12" customHeight="1" x14ac:dyDescent="0.3">
      <c r="A111" s="204" t="s">
        <v>549</v>
      </c>
      <c r="B111" s="205">
        <v>45834</v>
      </c>
      <c r="C111" s="206">
        <v>541.9</v>
      </c>
      <c r="D111" s="207">
        <f>IFERROR(C111/VLOOKUP(A111,Usinas!$A:$B,2,FALSE()),"")</f>
        <v>0.77747489239598278</v>
      </c>
    </row>
    <row r="112" spans="1:4" ht="12" customHeight="1" x14ac:dyDescent="0.3">
      <c r="A112" s="204" t="s">
        <v>549</v>
      </c>
      <c r="B112" s="205">
        <v>45835</v>
      </c>
      <c r="C112" s="206">
        <v>551.70000000000005</v>
      </c>
      <c r="D112" s="207">
        <f>IFERROR(C112/VLOOKUP(A112,Usinas!$A:$B,2,FALSE()),"")</f>
        <v>0.79153515064562419</v>
      </c>
    </row>
    <row r="113" spans="1:4" ht="12" customHeight="1" x14ac:dyDescent="0.3">
      <c r="A113" s="204" t="s">
        <v>549</v>
      </c>
      <c r="B113" s="205">
        <v>45836</v>
      </c>
      <c r="C113" s="206">
        <v>1010</v>
      </c>
      <c r="D113" s="207">
        <f>IFERROR(C113/VLOOKUP(A113,Usinas!$A:$B,2,FALSE()),"")</f>
        <v>1.449067431850789</v>
      </c>
    </row>
    <row r="114" spans="1:4" ht="12" customHeight="1" x14ac:dyDescent="0.3">
      <c r="A114" s="204" t="s">
        <v>549</v>
      </c>
      <c r="B114" s="205">
        <v>45837</v>
      </c>
      <c r="C114" s="206">
        <v>1035.4000000000001</v>
      </c>
      <c r="D114" s="207">
        <f>IFERROR(C114/VLOOKUP(A114,Usinas!$A:$B,2,FALSE()),"")</f>
        <v>1.4855093256814922</v>
      </c>
    </row>
    <row r="115" spans="1:4" ht="12" customHeight="1" x14ac:dyDescent="0.3">
      <c r="A115" s="204" t="s">
        <v>549</v>
      </c>
      <c r="B115" s="205">
        <v>45838</v>
      </c>
      <c r="C115" s="206">
        <v>373.6</v>
      </c>
      <c r="D115" s="207">
        <f>IFERROR(C115/VLOOKUP(A115,Usinas!$A:$B,2,FALSE()),"")</f>
        <v>0.53601147776183644</v>
      </c>
    </row>
    <row r="116" spans="1:4" ht="12" customHeight="1" x14ac:dyDescent="0.3">
      <c r="A116" s="204" t="s">
        <v>549</v>
      </c>
      <c r="B116" s="205">
        <v>45839</v>
      </c>
      <c r="C116" s="206">
        <v>850.6</v>
      </c>
      <c r="D116" s="207">
        <f>IFERROR(C116/VLOOKUP(A116,Usinas!$A:$B,2,FALSE()),"")</f>
        <v>1.2203730272596844</v>
      </c>
    </row>
    <row r="117" spans="1:4" ht="12" customHeight="1" x14ac:dyDescent="0.3">
      <c r="A117" s="204" t="s">
        <v>549</v>
      </c>
      <c r="B117" s="205">
        <v>45840</v>
      </c>
      <c r="C117" s="206">
        <v>816.4</v>
      </c>
      <c r="D117" s="207">
        <f>IFERROR(C117/VLOOKUP(A117,Usinas!$A:$B,2,FALSE()),"")</f>
        <v>1.1713055954088953</v>
      </c>
    </row>
    <row r="118" spans="1:4" ht="12" customHeight="1" x14ac:dyDescent="0.3">
      <c r="A118" s="204" t="s">
        <v>549</v>
      </c>
      <c r="B118" s="205">
        <v>45841</v>
      </c>
      <c r="C118" s="206">
        <v>1073.9000000000001</v>
      </c>
      <c r="D118" s="207">
        <f>IFERROR(C118/VLOOKUP(A118,Usinas!$A:$B,2,FALSE()),"")</f>
        <v>1.5407460545193687</v>
      </c>
    </row>
    <row r="119" spans="1:4" ht="12" customHeight="1" x14ac:dyDescent="0.3">
      <c r="A119" s="204" t="s">
        <v>549</v>
      </c>
      <c r="B119" s="205">
        <v>45842</v>
      </c>
      <c r="C119" s="206">
        <v>1231.7</v>
      </c>
      <c r="D119" s="207">
        <f>IFERROR(C119/VLOOKUP(A119,Usinas!$A:$B,2,FALSE()),"")</f>
        <v>1.7671449067431853</v>
      </c>
    </row>
    <row r="120" spans="1:4" ht="12" customHeight="1" x14ac:dyDescent="0.3">
      <c r="A120" s="204" t="s">
        <v>549</v>
      </c>
      <c r="B120" s="205">
        <v>45843</v>
      </c>
      <c r="C120" s="206">
        <v>1178.8</v>
      </c>
      <c r="D120" s="207">
        <f>IFERROR(C120/VLOOKUP(A120,Usinas!$A:$B,2,FALSE()),"")</f>
        <v>1.691248206599713</v>
      </c>
    </row>
    <row r="121" spans="1:4" ht="12" customHeight="1" x14ac:dyDescent="0.3">
      <c r="A121" s="204" t="s">
        <v>549</v>
      </c>
      <c r="B121" s="205">
        <v>45844</v>
      </c>
      <c r="C121" s="206">
        <v>1219</v>
      </c>
      <c r="D121" s="207">
        <f>IFERROR(C121/VLOOKUP(A121,Usinas!$A:$B,2,FALSE()),"")</f>
        <v>1.7489239598278337</v>
      </c>
    </row>
    <row r="122" spans="1:4" ht="12" customHeight="1" x14ac:dyDescent="0.3">
      <c r="A122" s="204" t="s">
        <v>549</v>
      </c>
      <c r="B122" s="205">
        <v>45845</v>
      </c>
      <c r="C122" s="206">
        <v>1309.2</v>
      </c>
      <c r="D122" s="207">
        <f>IFERROR(C122/VLOOKUP(A122,Usinas!$A:$B,2,FALSE()),"")</f>
        <v>1.878335724533716</v>
      </c>
    </row>
    <row r="123" spans="1:4" ht="12" customHeight="1" x14ac:dyDescent="0.3">
      <c r="A123" s="204" t="s">
        <v>549</v>
      </c>
      <c r="B123" s="205">
        <v>45846</v>
      </c>
      <c r="C123" s="206">
        <v>1346.7</v>
      </c>
      <c r="D123" s="207">
        <f>IFERROR(C123/VLOOKUP(A123,Usinas!$A:$B,2,FALSE()),"")</f>
        <v>1.9321377331420373</v>
      </c>
    </row>
    <row r="124" spans="1:4" ht="12" customHeight="1" x14ac:dyDescent="0.3">
      <c r="A124" s="204" t="s">
        <v>549</v>
      </c>
      <c r="B124" s="205">
        <v>45847</v>
      </c>
      <c r="C124" s="206">
        <v>1371.2</v>
      </c>
      <c r="D124" s="207">
        <f>IFERROR(C124/VLOOKUP(A124,Usinas!$A:$B,2,FALSE()),"")</f>
        <v>1.9672883787661406</v>
      </c>
    </row>
    <row r="125" spans="1:4" ht="12" customHeight="1" x14ac:dyDescent="0.3">
      <c r="A125" s="204" t="s">
        <v>549</v>
      </c>
      <c r="B125" s="205">
        <v>45848</v>
      </c>
      <c r="C125" s="206">
        <v>1273.9000000000001</v>
      </c>
      <c r="D125" s="207">
        <f>IFERROR(C125/VLOOKUP(A125,Usinas!$A:$B,2,FALSE()),"")</f>
        <v>1.8276901004304162</v>
      </c>
    </row>
    <row r="126" spans="1:4" ht="12" customHeight="1" x14ac:dyDescent="0.3">
      <c r="A126" s="204" t="s">
        <v>549</v>
      </c>
      <c r="B126" s="205">
        <v>45849</v>
      </c>
      <c r="C126" s="206">
        <v>1038.2</v>
      </c>
      <c r="D126" s="207">
        <f>IFERROR(C126/VLOOKUP(A126,Usinas!$A:$B,2,FALSE()),"")</f>
        <v>1.4895265423242467</v>
      </c>
    </row>
    <row r="127" spans="1:4" ht="12" customHeight="1" x14ac:dyDescent="0.3">
      <c r="A127" s="204" t="s">
        <v>549</v>
      </c>
      <c r="B127" s="205">
        <v>45850</v>
      </c>
      <c r="C127" s="206">
        <v>1195.5</v>
      </c>
      <c r="D127" s="207">
        <f>IFERROR(C127/VLOOKUP(A127,Usinas!$A:$B,2,FALSE()),"")</f>
        <v>1.7152080344332854</v>
      </c>
    </row>
    <row r="128" spans="1:4" ht="12" customHeight="1" x14ac:dyDescent="0.3">
      <c r="A128" s="204" t="s">
        <v>549</v>
      </c>
      <c r="B128" s="205">
        <v>45851</v>
      </c>
      <c r="C128" s="206">
        <v>1086.0999999999999</v>
      </c>
      <c r="D128" s="207">
        <f>IFERROR(C128/VLOOKUP(A128,Usinas!$A:$B,2,FALSE()),"")</f>
        <v>1.5582496413199425</v>
      </c>
    </row>
    <row r="129" spans="1:4" ht="12" customHeight="1" x14ac:dyDescent="0.3">
      <c r="A129" s="204" t="s">
        <v>549</v>
      </c>
      <c r="B129" s="205">
        <v>45852</v>
      </c>
      <c r="C129" s="206">
        <v>1165.4000000000001</v>
      </c>
      <c r="D129" s="207">
        <f>IFERROR(C129/VLOOKUP(A129,Usinas!$A:$B,2,FALSE()),"")</f>
        <v>1.672022955523673</v>
      </c>
    </row>
    <row r="130" spans="1:4" ht="12" customHeight="1" x14ac:dyDescent="0.3">
      <c r="A130" s="204" t="s">
        <v>549</v>
      </c>
      <c r="B130" s="205">
        <v>45853</v>
      </c>
      <c r="C130" s="206">
        <v>1245.4000000000001</v>
      </c>
      <c r="D130" s="207">
        <f>IFERROR(C130/VLOOKUP(A130,Usinas!$A:$B,2,FALSE()),"")</f>
        <v>1.7868005738880919</v>
      </c>
    </row>
    <row r="131" spans="1:4" ht="12" customHeight="1" x14ac:dyDescent="0.3">
      <c r="A131" s="204" t="s">
        <v>549</v>
      </c>
      <c r="B131" s="205">
        <v>45854</v>
      </c>
      <c r="C131" s="206">
        <v>1301.9000000000001</v>
      </c>
      <c r="D131" s="207">
        <f>IFERROR(C131/VLOOKUP(A131,Usinas!$A:$B,2,FALSE()),"")</f>
        <v>1.8678622668579627</v>
      </c>
    </row>
    <row r="132" spans="1:4" ht="12" customHeight="1" x14ac:dyDescent="0.3">
      <c r="A132" s="204" t="s">
        <v>549</v>
      </c>
      <c r="B132" s="205">
        <v>45855</v>
      </c>
      <c r="C132" s="206">
        <v>1072</v>
      </c>
      <c r="D132" s="207">
        <f>IFERROR(C132/VLOOKUP(A132,Usinas!$A:$B,2,FALSE()),"")</f>
        <v>1.5380200860832138</v>
      </c>
    </row>
    <row r="133" spans="1:4" ht="12" customHeight="1" x14ac:dyDescent="0.3">
      <c r="A133" s="204" t="s">
        <v>549</v>
      </c>
      <c r="B133" s="205">
        <v>45856</v>
      </c>
      <c r="C133" s="206">
        <v>1363.1</v>
      </c>
      <c r="D133" s="207">
        <f>IFERROR(C133/VLOOKUP(A133,Usinas!$A:$B,2,FALSE()),"")</f>
        <v>1.9556671449067431</v>
      </c>
    </row>
    <row r="134" spans="1:4" ht="12" customHeight="1" x14ac:dyDescent="0.3">
      <c r="A134" s="204" t="s">
        <v>549</v>
      </c>
      <c r="B134" s="205">
        <v>45857</v>
      </c>
      <c r="C134" s="206">
        <v>1337.3</v>
      </c>
      <c r="D134" s="207">
        <f>IFERROR(C134/VLOOKUP(A134,Usinas!$A:$B,2,FALSE()),"")</f>
        <v>1.9186513629842181</v>
      </c>
    </row>
    <row r="135" spans="1:4" ht="12" customHeight="1" x14ac:dyDescent="0.3">
      <c r="A135" s="204" t="s">
        <v>549</v>
      </c>
      <c r="B135" s="205">
        <v>45858</v>
      </c>
      <c r="C135" s="206">
        <v>854.6</v>
      </c>
      <c r="D135" s="207">
        <f>IFERROR(C135/VLOOKUP(A135,Usinas!$A:$B,2,FALSE()),"")</f>
        <v>1.2261119081779053</v>
      </c>
    </row>
    <row r="136" spans="1:4" ht="12" customHeight="1" x14ac:dyDescent="0.3">
      <c r="A136" s="204" t="s">
        <v>549</v>
      </c>
      <c r="B136" s="205">
        <v>45859</v>
      </c>
      <c r="C136" s="206">
        <v>1215.5</v>
      </c>
      <c r="D136" s="207">
        <f>IFERROR(C136/VLOOKUP(A136,Usinas!$A:$B,2,FALSE()),"")</f>
        <v>1.7439024390243902</v>
      </c>
    </row>
    <row r="137" spans="1:4" ht="12" customHeight="1" x14ac:dyDescent="0.3">
      <c r="A137" s="204" t="s">
        <v>549</v>
      </c>
      <c r="B137" s="205">
        <v>45860</v>
      </c>
      <c r="C137" s="206">
        <v>1216.4000000000001</v>
      </c>
      <c r="D137" s="207">
        <f>IFERROR(C137/VLOOKUP(A137,Usinas!$A:$B,2,FALSE()),"")</f>
        <v>1.7451936872309901</v>
      </c>
    </row>
    <row r="138" spans="1:4" ht="12" customHeight="1" x14ac:dyDescent="0.3">
      <c r="A138" s="204" t="s">
        <v>549</v>
      </c>
      <c r="B138" s="205">
        <v>45861</v>
      </c>
      <c r="C138" s="206">
        <v>1263</v>
      </c>
      <c r="D138" s="207">
        <f>IFERROR(C138/VLOOKUP(A138,Usinas!$A:$B,2,FALSE()),"")</f>
        <v>1.812051649928264</v>
      </c>
    </row>
    <row r="139" spans="1:4" ht="12" customHeight="1" x14ac:dyDescent="0.3">
      <c r="A139" s="204" t="s">
        <v>549</v>
      </c>
      <c r="B139" s="205">
        <v>45862</v>
      </c>
      <c r="C139" s="206">
        <v>1127.2</v>
      </c>
      <c r="D139" s="207">
        <f>IFERROR(C139/VLOOKUP(A139,Usinas!$A:$B,2,FALSE()),"")</f>
        <v>1.6172166427546628</v>
      </c>
    </row>
    <row r="140" spans="1:4" ht="12" customHeight="1" x14ac:dyDescent="0.3">
      <c r="A140" s="204" t="s">
        <v>549</v>
      </c>
      <c r="B140" s="205">
        <v>45863</v>
      </c>
      <c r="C140" s="206">
        <v>1289.7</v>
      </c>
      <c r="D140" s="207">
        <f>IFERROR(C140/VLOOKUP(A140,Usinas!$A:$B,2,FALSE()),"")</f>
        <v>1.8503586800573888</v>
      </c>
    </row>
    <row r="141" spans="1:4" ht="12" customHeight="1" x14ac:dyDescent="0.3">
      <c r="A141" s="204" t="s">
        <v>549</v>
      </c>
      <c r="B141" s="205">
        <v>45864</v>
      </c>
      <c r="C141" s="206">
        <v>1184.3</v>
      </c>
      <c r="D141" s="207">
        <f>IFERROR(C141/VLOOKUP(A141,Usinas!$A:$B,2,FALSE()),"")</f>
        <v>1.6991391678622667</v>
      </c>
    </row>
    <row r="142" spans="1:4" ht="12" customHeight="1" x14ac:dyDescent="0.3">
      <c r="A142" s="204" t="s">
        <v>549</v>
      </c>
      <c r="B142" s="205">
        <v>45865</v>
      </c>
      <c r="C142" s="206">
        <v>1069.8</v>
      </c>
      <c r="D142" s="207">
        <f>IFERROR(C142/VLOOKUP(A142,Usinas!$A:$B,2,FALSE()),"")</f>
        <v>1.5348637015781923</v>
      </c>
    </row>
    <row r="143" spans="1:4" ht="12" customHeight="1" x14ac:dyDescent="0.3">
      <c r="A143" s="204" t="s">
        <v>549</v>
      </c>
      <c r="B143" s="205">
        <v>45866</v>
      </c>
      <c r="C143" s="206">
        <v>835.5</v>
      </c>
      <c r="D143" s="207">
        <f>IFERROR(C143/VLOOKUP(A143,Usinas!$A:$B,2,FALSE()),"")</f>
        <v>1.1987087517934003</v>
      </c>
    </row>
    <row r="144" spans="1:4" ht="12" customHeight="1" x14ac:dyDescent="0.3">
      <c r="A144" s="204" t="s">
        <v>549</v>
      </c>
      <c r="B144" s="205">
        <v>45867</v>
      </c>
      <c r="C144" s="206">
        <v>1624.3</v>
      </c>
      <c r="D144" s="207">
        <f>IFERROR(C144/VLOOKUP(A144,Usinas!$A:$B,2,FALSE()),"")</f>
        <v>2.3304160688665712</v>
      </c>
    </row>
    <row r="145" spans="1:4" ht="12" customHeight="1" x14ac:dyDescent="0.3">
      <c r="A145" s="204" t="s">
        <v>549</v>
      </c>
      <c r="B145" s="205">
        <v>45868</v>
      </c>
      <c r="C145" s="206">
        <v>1585.2</v>
      </c>
      <c r="D145" s="207">
        <f>IFERROR(C145/VLOOKUP(A145,Usinas!$A:$B,2,FALSE()),"")</f>
        <v>2.2743185078909613</v>
      </c>
    </row>
    <row r="146" spans="1:4" ht="12" customHeight="1" x14ac:dyDescent="0.3">
      <c r="A146" s="204" t="s">
        <v>549</v>
      </c>
      <c r="B146" s="205">
        <v>45869</v>
      </c>
      <c r="C146" s="206">
        <v>1576</v>
      </c>
      <c r="D146" s="207">
        <f>IFERROR(C146/VLOOKUP(A146,Usinas!$A:$B,2,FALSE()),"")</f>
        <v>2.2611190817790532</v>
      </c>
    </row>
    <row r="147" spans="1:4" ht="12" customHeight="1" x14ac:dyDescent="0.3">
      <c r="A147" s="204" t="s">
        <v>549</v>
      </c>
      <c r="B147" s="205">
        <v>45870</v>
      </c>
      <c r="C147" s="206">
        <v>1466.2</v>
      </c>
      <c r="D147" s="207">
        <f>IFERROR(C147/VLOOKUP(A147,Usinas!$A:$B,2,FALSE()),"")</f>
        <v>2.103586800573888</v>
      </c>
    </row>
    <row r="148" spans="1:4" ht="12" customHeight="1" x14ac:dyDescent="0.3">
      <c r="A148" s="204" t="s">
        <v>549</v>
      </c>
      <c r="B148" s="205">
        <v>45871</v>
      </c>
      <c r="C148" s="206">
        <v>1183.0999999999999</v>
      </c>
      <c r="D148" s="207">
        <f>IFERROR(C148/VLOOKUP(A148,Usinas!$A:$B,2,FALSE()),"")</f>
        <v>1.6974175035868004</v>
      </c>
    </row>
    <row r="149" spans="1:4" ht="12" customHeight="1" x14ac:dyDescent="0.3">
      <c r="A149" s="204" t="s">
        <v>549</v>
      </c>
      <c r="B149" s="205">
        <v>45872</v>
      </c>
      <c r="C149" s="206">
        <v>1138</v>
      </c>
      <c r="D149" s="207">
        <f>IFERROR(C149/VLOOKUP(A149,Usinas!$A:$B,2,FALSE()),"")</f>
        <v>1.6327116212338595</v>
      </c>
    </row>
    <row r="150" spans="1:4" ht="12" customHeight="1" x14ac:dyDescent="0.3">
      <c r="A150" s="204" t="s">
        <v>549</v>
      </c>
      <c r="B150" s="205">
        <v>45873</v>
      </c>
      <c r="C150" s="206">
        <v>194.5</v>
      </c>
      <c r="D150" s="207">
        <f>IFERROR(C150/VLOOKUP(A150,Usinas!$A:$B,2,FALSE()),"")</f>
        <v>0.27905308464849354</v>
      </c>
    </row>
    <row r="151" spans="1:4" ht="12" customHeight="1" x14ac:dyDescent="0.3">
      <c r="A151" s="204" t="s">
        <v>549</v>
      </c>
      <c r="B151" s="205">
        <v>45874</v>
      </c>
      <c r="C151" s="206">
        <v>958.7</v>
      </c>
      <c r="D151" s="207">
        <f>IFERROR(C151/VLOOKUP(A151,Usinas!$A:$B,2,FALSE()),"")</f>
        <v>1.3754662840746055</v>
      </c>
    </row>
    <row r="152" spans="1:4" ht="12" customHeight="1" x14ac:dyDescent="0.3">
      <c r="A152" s="204" t="s">
        <v>549</v>
      </c>
      <c r="B152" s="205">
        <v>45875</v>
      </c>
      <c r="C152" s="206">
        <v>1479.9</v>
      </c>
      <c r="D152" s="207">
        <f>IFERROR(C152/VLOOKUP(A152,Usinas!$A:$B,2,FALSE()),"")</f>
        <v>2.1232424677187951</v>
      </c>
    </row>
    <row r="153" spans="1:4" ht="12" customHeight="1" x14ac:dyDescent="0.3">
      <c r="A153" s="204" t="s">
        <v>549</v>
      </c>
      <c r="B153" s="205">
        <v>45876</v>
      </c>
      <c r="C153" s="206">
        <v>1109.0999999999999</v>
      </c>
      <c r="D153" s="207">
        <f>IFERROR(C153/VLOOKUP(A153,Usinas!$A:$B,2,FALSE()),"")</f>
        <v>1.5912482065997129</v>
      </c>
    </row>
    <row r="154" spans="1:4" ht="12" customHeight="1" x14ac:dyDescent="0.3">
      <c r="A154" s="204" t="s">
        <v>549</v>
      </c>
      <c r="B154" s="205">
        <v>45877</v>
      </c>
      <c r="C154" s="206">
        <v>633.20000000000005</v>
      </c>
      <c r="D154" s="207">
        <f>IFERROR(C154/VLOOKUP(A154,Usinas!$A:$B,2,FALSE()),"")</f>
        <v>0.90846484935437599</v>
      </c>
    </row>
    <row r="155" spans="1:4" ht="12" customHeight="1" x14ac:dyDescent="0.3">
      <c r="A155" s="204" t="s">
        <v>549</v>
      </c>
      <c r="B155" s="205">
        <v>45878</v>
      </c>
      <c r="C155" s="206">
        <v>1578.2</v>
      </c>
      <c r="D155" s="207">
        <f>IFERROR(C155/VLOOKUP(A155,Usinas!$A:$B,2,FALSE()),"")</f>
        <v>2.2642754662840745</v>
      </c>
    </row>
    <row r="156" spans="1:4" ht="12" customHeight="1" x14ac:dyDescent="0.3">
      <c r="A156" s="204" t="s">
        <v>549</v>
      </c>
      <c r="B156" s="205">
        <v>45879</v>
      </c>
      <c r="C156" s="206">
        <v>1637.7</v>
      </c>
      <c r="D156" s="207">
        <f>IFERROR(C156/VLOOKUP(A156,Usinas!$A:$B,2,FALSE()),"")</f>
        <v>2.3496413199426112</v>
      </c>
    </row>
    <row r="157" spans="1:4" ht="12" customHeight="1" x14ac:dyDescent="0.3">
      <c r="A157" s="204" t="s">
        <v>549</v>
      </c>
      <c r="B157" s="205">
        <v>45880</v>
      </c>
      <c r="C157" s="206">
        <v>707.3</v>
      </c>
      <c r="D157" s="207">
        <f>IFERROR(C157/VLOOKUP(A157,Usinas!$A:$B,2,FALSE()),"")</f>
        <v>1.0147776183644188</v>
      </c>
    </row>
    <row r="158" spans="1:4" ht="12" customHeight="1" x14ac:dyDescent="0.3">
      <c r="A158" s="204" t="s">
        <v>549</v>
      </c>
      <c r="B158" s="205">
        <v>45884</v>
      </c>
      <c r="C158" s="206">
        <v>337.1</v>
      </c>
      <c r="D158" s="207">
        <f>IFERROR(C158/VLOOKUP(A158,Usinas!$A:$B,2,FALSE()),"")</f>
        <v>0.48364418938307036</v>
      </c>
    </row>
    <row r="159" spans="1:4" ht="12" customHeight="1" x14ac:dyDescent="0.3">
      <c r="A159" s="204" t="s">
        <v>549</v>
      </c>
      <c r="B159" s="205">
        <v>45885</v>
      </c>
      <c r="C159" s="206">
        <v>596.1</v>
      </c>
      <c r="D159" s="207">
        <f>IFERROR(C159/VLOOKUP(A159,Usinas!$A:$B,2,FALSE()),"")</f>
        <v>0.8552367288378766</v>
      </c>
    </row>
    <row r="160" spans="1:4" ht="12" customHeight="1" x14ac:dyDescent="0.3">
      <c r="A160" s="204" t="s">
        <v>549</v>
      </c>
      <c r="B160" s="205">
        <v>45886</v>
      </c>
      <c r="C160" s="206">
        <v>577.6</v>
      </c>
      <c r="D160" s="207">
        <f>IFERROR(C160/VLOOKUP(A160,Usinas!$A:$B,2,FALSE()),"")</f>
        <v>0.82869440459110477</v>
      </c>
    </row>
    <row r="161" spans="1:4" ht="12" customHeight="1" x14ac:dyDescent="0.3">
      <c r="A161" s="204" t="s">
        <v>549</v>
      </c>
      <c r="B161" s="205">
        <v>45889</v>
      </c>
      <c r="C161" s="206">
        <v>454.5</v>
      </c>
      <c r="D161" s="207">
        <f>IFERROR(C161/VLOOKUP(A161,Usinas!$A:$B,2,FALSE()),"")</f>
        <v>0.65208034433285511</v>
      </c>
    </row>
    <row r="162" spans="1:4" ht="12" customHeight="1" x14ac:dyDescent="0.3">
      <c r="A162" s="204" t="s">
        <v>549</v>
      </c>
      <c r="B162" s="205">
        <v>45890</v>
      </c>
      <c r="C162" s="206">
        <v>291.89999999999998</v>
      </c>
      <c r="D162" s="207">
        <f>IFERROR(C162/VLOOKUP(A162,Usinas!$A:$B,2,FALSE()),"")</f>
        <v>0.41879483500717357</v>
      </c>
    </row>
    <row r="163" spans="1:4" ht="12" customHeight="1" x14ac:dyDescent="0.3">
      <c r="A163" s="204" t="s">
        <v>549</v>
      </c>
      <c r="B163" s="205">
        <v>45891</v>
      </c>
      <c r="C163" s="206">
        <v>506.2</v>
      </c>
      <c r="D163" s="207">
        <f>IFERROR(C163/VLOOKUP(A163,Usinas!$A:$B,2,FALSE()),"")</f>
        <v>0.72625538020086078</v>
      </c>
    </row>
    <row r="164" spans="1:4" ht="12" customHeight="1" x14ac:dyDescent="0.3">
      <c r="A164" s="204" t="s">
        <v>549</v>
      </c>
      <c r="B164" s="205">
        <v>45897</v>
      </c>
      <c r="C164" s="206">
        <v>59.1</v>
      </c>
      <c r="D164" s="207">
        <f>IFERROR(C164/VLOOKUP(A164,Usinas!$A:$B,2,FALSE()),"")</f>
        <v>8.4791965566714492E-2</v>
      </c>
    </row>
    <row r="165" spans="1:4" ht="12" customHeight="1" x14ac:dyDescent="0.3">
      <c r="A165" s="204" t="s">
        <v>549</v>
      </c>
      <c r="B165" s="205">
        <v>45898</v>
      </c>
      <c r="C165" s="206">
        <v>435.1</v>
      </c>
      <c r="D165" s="207">
        <f>IFERROR(C165/VLOOKUP(A165,Usinas!$A:$B,2,FALSE()),"")</f>
        <v>0.62424677187948352</v>
      </c>
    </row>
    <row r="166" spans="1:4" ht="12" customHeight="1" x14ac:dyDescent="0.3">
      <c r="A166" s="204" t="s">
        <v>549</v>
      </c>
      <c r="B166" s="205">
        <v>45899</v>
      </c>
      <c r="C166" s="206">
        <v>450.7</v>
      </c>
      <c r="D166" s="207">
        <f>IFERROR(C166/VLOOKUP(A166,Usinas!$A:$B,2,FALSE()),"")</f>
        <v>0.64662840746054517</v>
      </c>
    </row>
    <row r="167" spans="1:4" ht="12" customHeight="1" x14ac:dyDescent="0.3">
      <c r="A167" s="204" t="s">
        <v>549</v>
      </c>
      <c r="B167" s="205">
        <v>45900</v>
      </c>
      <c r="C167" s="206">
        <v>383.7</v>
      </c>
      <c r="D167" s="207">
        <f>IFERROR(C167/VLOOKUP(A167,Usinas!$A:$B,2,FALSE()),"")</f>
        <v>0.55050215208034436</v>
      </c>
    </row>
    <row r="168" spans="1:4" ht="12" customHeight="1" x14ac:dyDescent="0.3">
      <c r="A168" s="204" t="s">
        <v>549</v>
      </c>
      <c r="B168" s="205">
        <v>45901</v>
      </c>
      <c r="C168" s="206">
        <v>235.3</v>
      </c>
      <c r="D168" s="207">
        <f>IFERROR(C168/VLOOKUP(A168,Usinas!$A:$B,2,FALSE()),"")</f>
        <v>0.3375896700143472</v>
      </c>
    </row>
    <row r="169" spans="1:4" ht="12" customHeight="1" x14ac:dyDescent="0.3">
      <c r="A169" s="204" t="s">
        <v>549</v>
      </c>
      <c r="B169" s="205">
        <v>45902</v>
      </c>
      <c r="C169" s="206">
        <v>380.5</v>
      </c>
      <c r="D169" s="207">
        <f>IFERROR(C169/VLOOKUP(A169,Usinas!$A:$B,2,FALSE()),"")</f>
        <v>0.54591104734576756</v>
      </c>
    </row>
    <row r="170" spans="1:4" ht="12" customHeight="1" x14ac:dyDescent="0.3">
      <c r="A170" s="204" t="s">
        <v>549</v>
      </c>
      <c r="B170" s="205">
        <v>45903</v>
      </c>
      <c r="C170" s="206">
        <v>474.2</v>
      </c>
      <c r="D170" s="207">
        <f>IFERROR(C170/VLOOKUP(A170,Usinas!$A:$B,2,FALSE()),"")</f>
        <v>0.68034433285509321</v>
      </c>
    </row>
    <row r="171" spans="1:4" ht="12" customHeight="1" x14ac:dyDescent="0.3">
      <c r="A171" s="204" t="s">
        <v>549</v>
      </c>
      <c r="B171" s="205">
        <v>45904</v>
      </c>
      <c r="C171" s="206">
        <v>975</v>
      </c>
      <c r="D171" s="207">
        <f>IFERROR(C171/VLOOKUP(A171,Usinas!$A:$B,2,FALSE()),"")</f>
        <v>1.3988522238163559</v>
      </c>
    </row>
    <row r="172" spans="1:4" ht="12" customHeight="1" x14ac:dyDescent="0.3">
      <c r="A172" s="204" t="s">
        <v>549</v>
      </c>
      <c r="B172" s="205">
        <v>45905</v>
      </c>
      <c r="C172" s="206">
        <v>1179.5</v>
      </c>
      <c r="D172" s="207">
        <f>IFERROR(C172/VLOOKUP(A172,Usinas!$A:$B,2,FALSE()),"")</f>
        <v>1.6922525107604016</v>
      </c>
    </row>
    <row r="173" spans="1:4" ht="12" customHeight="1" x14ac:dyDescent="0.3">
      <c r="A173" s="204" t="s">
        <v>549</v>
      </c>
      <c r="B173" s="205">
        <v>45906</v>
      </c>
      <c r="C173" s="206">
        <v>958</v>
      </c>
      <c r="D173" s="207">
        <f>IFERROR(C173/VLOOKUP(A173,Usinas!$A:$B,2,FALSE()),"")</f>
        <v>1.3744619799139168</v>
      </c>
    </row>
    <row r="174" spans="1:4" ht="12" customHeight="1" x14ac:dyDescent="0.3">
      <c r="A174" s="204" t="s">
        <v>549</v>
      </c>
      <c r="B174" s="205">
        <v>45907</v>
      </c>
      <c r="C174" s="206">
        <v>981.6</v>
      </c>
      <c r="D174" s="207">
        <f>IFERROR(C174/VLOOKUP(A174,Usinas!$A:$B,2,FALSE()),"")</f>
        <v>1.4083213773314205</v>
      </c>
    </row>
    <row r="175" spans="1:4" ht="12" customHeight="1" x14ac:dyDescent="0.3">
      <c r="A175" s="204" t="s">
        <v>549</v>
      </c>
      <c r="B175" s="205">
        <v>45908</v>
      </c>
      <c r="C175" s="206">
        <v>1081</v>
      </c>
      <c r="D175" s="207">
        <f>IFERROR(C175/VLOOKUP(A175,Usinas!$A:$B,2,FALSE()),"")</f>
        <v>1.550932568149211</v>
      </c>
    </row>
    <row r="176" spans="1:4" ht="12" customHeight="1" x14ac:dyDescent="0.3">
      <c r="A176" s="204" t="s">
        <v>549</v>
      </c>
      <c r="B176" s="205">
        <v>45909</v>
      </c>
      <c r="C176" s="206">
        <v>1441.6</v>
      </c>
      <c r="D176" s="207">
        <f>IFERROR(C176/VLOOKUP(A176,Usinas!$A:$B,2,FALSE()),"")</f>
        <v>2.0682926829268293</v>
      </c>
    </row>
    <row r="177" spans="1:4" ht="12" customHeight="1" x14ac:dyDescent="0.3">
      <c r="A177" s="204" t="s">
        <v>549</v>
      </c>
      <c r="B177" s="205">
        <v>45910</v>
      </c>
      <c r="C177" s="206">
        <v>1477.5</v>
      </c>
      <c r="D177" s="207">
        <f>IFERROR(C177/VLOOKUP(A177,Usinas!$A:$B,2,FALSE()),"")</f>
        <v>2.1197991391678621</v>
      </c>
    </row>
    <row r="178" spans="1:4" ht="12" customHeight="1" x14ac:dyDescent="0.3">
      <c r="A178" s="204" t="s">
        <v>549</v>
      </c>
      <c r="B178" s="205">
        <v>45911</v>
      </c>
      <c r="C178" s="206">
        <v>1275.4000000000001</v>
      </c>
      <c r="D178" s="207">
        <f>IFERROR(C178/VLOOKUP(A178,Usinas!$A:$B,2,FALSE()),"")</f>
        <v>1.8298421807747491</v>
      </c>
    </row>
    <row r="179" spans="1:4" ht="12" customHeight="1" x14ac:dyDescent="0.3">
      <c r="A179" s="204" t="s">
        <v>549</v>
      </c>
      <c r="B179" s="205">
        <v>45912</v>
      </c>
      <c r="C179" s="206">
        <v>583.9</v>
      </c>
      <c r="D179" s="207">
        <f>IFERROR(C179/VLOOKUP(A179,Usinas!$A:$B,2,FALSE()),"")</f>
        <v>0.83773314203730265</v>
      </c>
    </row>
    <row r="180" spans="1:4" ht="12" customHeight="1" x14ac:dyDescent="0.3">
      <c r="A180" s="204" t="s">
        <v>549</v>
      </c>
      <c r="B180" s="205">
        <v>45913</v>
      </c>
      <c r="C180" s="206">
        <v>632.9</v>
      </c>
      <c r="D180" s="207">
        <f>IFERROR(C180/VLOOKUP(A180,Usinas!$A:$B,2,FALSE()),"")</f>
        <v>0.90803443328550926</v>
      </c>
    </row>
    <row r="181" spans="1:4" ht="12" customHeight="1" x14ac:dyDescent="0.3">
      <c r="A181" s="204" t="s">
        <v>549</v>
      </c>
      <c r="B181" s="205">
        <v>45914</v>
      </c>
      <c r="C181" s="206">
        <v>549.20000000000005</v>
      </c>
      <c r="D181" s="207">
        <f>IFERROR(C181/VLOOKUP(A181,Usinas!$A:$B,2,FALSE()),"")</f>
        <v>0.78794835007173603</v>
      </c>
    </row>
    <row r="182" spans="1:4" ht="12" customHeight="1" x14ac:dyDescent="0.3">
      <c r="A182" s="204" t="s">
        <v>549</v>
      </c>
      <c r="B182" s="205">
        <v>45915</v>
      </c>
      <c r="C182" s="206">
        <v>826.6</v>
      </c>
      <c r="D182" s="207">
        <f>IFERROR(C182/VLOOKUP(A182,Usinas!$A:$B,2,FALSE()),"")</f>
        <v>1.1859397417503588</v>
      </c>
    </row>
    <row r="183" spans="1:4" ht="12" customHeight="1" x14ac:dyDescent="0.3">
      <c r="A183" s="204" t="s">
        <v>549</v>
      </c>
      <c r="B183" s="205">
        <v>45916</v>
      </c>
      <c r="C183" s="206">
        <v>931.6</v>
      </c>
      <c r="D183" s="207">
        <f>IFERROR(C183/VLOOKUP(A183,Usinas!$A:$B,2,FALSE()),"")</f>
        <v>1.3365853658536586</v>
      </c>
    </row>
    <row r="184" spans="1:4" ht="12" customHeight="1" x14ac:dyDescent="0.3">
      <c r="A184" s="204" t="s">
        <v>549</v>
      </c>
      <c r="B184" s="205">
        <v>45917</v>
      </c>
      <c r="C184" s="206">
        <v>1336.4</v>
      </c>
      <c r="D184" s="207">
        <f>IFERROR(C184/VLOOKUP(A184,Usinas!$A:$B,2,FALSE()),"")</f>
        <v>1.9173601147776185</v>
      </c>
    </row>
    <row r="185" spans="1:4" ht="12" customHeight="1" x14ac:dyDescent="0.3">
      <c r="A185" s="204" t="s">
        <v>549</v>
      </c>
      <c r="B185" s="205">
        <v>45918</v>
      </c>
      <c r="C185" s="206">
        <v>757</v>
      </c>
      <c r="D185" s="207">
        <f>IFERROR(C185/VLOOKUP(A185,Usinas!$A:$B,2,FALSE()),"")</f>
        <v>1.0860832137733143</v>
      </c>
    </row>
    <row r="186" spans="1:4" ht="12" customHeight="1" x14ac:dyDescent="0.3">
      <c r="A186" s="204" t="s">
        <v>549</v>
      </c>
      <c r="B186" s="205">
        <v>45918</v>
      </c>
      <c r="C186" s="206">
        <v>1451.3</v>
      </c>
      <c r="D186" s="207">
        <f>IFERROR(C186/VLOOKUP(A186,Usinas!$A:$B,2,FALSE()),"")</f>
        <v>2.0822094691535149</v>
      </c>
    </row>
    <row r="187" spans="1:4" ht="12" customHeight="1" x14ac:dyDescent="0.3">
      <c r="A187" s="204" t="s">
        <v>549</v>
      </c>
      <c r="B187" s="205">
        <v>45919</v>
      </c>
      <c r="C187" s="206">
        <v>648</v>
      </c>
      <c r="D187" s="207">
        <f>IFERROR(C187/VLOOKUP(A187,Usinas!$A:$B,2,FALSE()),"")</f>
        <v>0.92969870875179339</v>
      </c>
    </row>
    <row r="188" spans="1:4" ht="12" customHeight="1" x14ac:dyDescent="0.3">
      <c r="A188" s="204" t="s">
        <v>549</v>
      </c>
      <c r="B188" s="205">
        <v>45919</v>
      </c>
      <c r="C188" s="206">
        <v>1349.7</v>
      </c>
      <c r="D188" s="207">
        <f>IFERROR(C188/VLOOKUP(A188,Usinas!$A:$B,2,FALSE()),"")</f>
        <v>1.9364418938307031</v>
      </c>
    </row>
    <row r="189" spans="1:4" ht="12" customHeight="1" x14ac:dyDescent="0.3">
      <c r="A189" s="204" t="s">
        <v>549</v>
      </c>
      <c r="B189" s="205">
        <v>45920</v>
      </c>
      <c r="C189" s="206">
        <v>329</v>
      </c>
      <c r="D189" s="207">
        <f>IFERROR(C189/VLOOKUP(A189,Usinas!$A:$B,2,FALSE()),"")</f>
        <v>0.4720229555236729</v>
      </c>
    </row>
    <row r="190" spans="1:4" ht="12" customHeight="1" x14ac:dyDescent="0.3">
      <c r="A190" s="204" t="s">
        <v>549</v>
      </c>
      <c r="B190" s="205">
        <v>45920</v>
      </c>
      <c r="C190" s="206">
        <v>1143.3</v>
      </c>
      <c r="D190" s="207">
        <f>IFERROR(C190/VLOOKUP(A190,Usinas!$A:$B,2,FALSE()),"")</f>
        <v>1.640315638450502</v>
      </c>
    </row>
    <row r="191" spans="1:4" ht="12" customHeight="1" x14ac:dyDescent="0.3">
      <c r="A191" s="204" t="s">
        <v>549</v>
      </c>
      <c r="B191" s="205">
        <v>45921</v>
      </c>
      <c r="C191" s="206">
        <v>506</v>
      </c>
      <c r="D191" s="207">
        <f>IFERROR(C191/VLOOKUP(A191,Usinas!$A:$B,2,FALSE()),"")</f>
        <v>0.72596843615494977</v>
      </c>
    </row>
    <row r="192" spans="1:4" ht="12" customHeight="1" x14ac:dyDescent="0.3">
      <c r="A192" s="204" t="s">
        <v>549</v>
      </c>
      <c r="B192" s="205">
        <v>45921</v>
      </c>
      <c r="C192" s="206">
        <v>814.4</v>
      </c>
      <c r="D192" s="207">
        <f>IFERROR(C192/VLOOKUP(A192,Usinas!$A:$B,2,FALSE()),"")</f>
        <v>1.1684361549497848</v>
      </c>
    </row>
    <row r="193" spans="1:4" ht="12" customHeight="1" x14ac:dyDescent="0.3">
      <c r="A193" s="204" t="s">
        <v>549</v>
      </c>
      <c r="B193" s="205">
        <v>45922</v>
      </c>
      <c r="C193" s="206">
        <v>138</v>
      </c>
      <c r="D193" s="207">
        <f>IFERROR(C193/VLOOKUP(A193,Usinas!$A:$B,2,FALSE()),"")</f>
        <v>0.19799139167862267</v>
      </c>
    </row>
    <row r="194" spans="1:4" ht="12" customHeight="1" x14ac:dyDescent="0.3">
      <c r="A194" s="204" t="s">
        <v>549</v>
      </c>
      <c r="B194" s="205">
        <v>45922</v>
      </c>
      <c r="C194" s="206">
        <v>116.7</v>
      </c>
      <c r="D194" s="207">
        <f>IFERROR(C194/VLOOKUP(A194,Usinas!$A:$B,2,FALSE()),"")</f>
        <v>0.16743185078909614</v>
      </c>
    </row>
    <row r="195" spans="1:4" ht="12" customHeight="1" x14ac:dyDescent="0.3">
      <c r="A195" s="204" t="s">
        <v>549</v>
      </c>
      <c r="B195" s="205">
        <v>45923</v>
      </c>
      <c r="C195" s="206">
        <v>1217</v>
      </c>
      <c r="D195" s="207">
        <f>IFERROR(C195/VLOOKUP(A195,Usinas!$A:$B,2,FALSE()),"")</f>
        <v>1.7460545193687231</v>
      </c>
    </row>
    <row r="196" spans="1:4" ht="12" customHeight="1" x14ac:dyDescent="0.3">
      <c r="A196" s="204" t="s">
        <v>549</v>
      </c>
      <c r="B196" s="205">
        <v>45923</v>
      </c>
      <c r="C196" s="206">
        <v>1710.9</v>
      </c>
      <c r="D196" s="207">
        <f>IFERROR(C196/VLOOKUP(A196,Usinas!$A:$B,2,FALSE()),"")</f>
        <v>2.4546628407460545</v>
      </c>
    </row>
    <row r="197" spans="1:4" ht="12" customHeight="1" x14ac:dyDescent="0.3">
      <c r="A197" s="204" t="s">
        <v>549</v>
      </c>
      <c r="B197" s="205">
        <v>45924</v>
      </c>
      <c r="C197" s="206">
        <v>38</v>
      </c>
      <c r="D197" s="207">
        <f>IFERROR(C197/VLOOKUP(A197,Usinas!$A:$B,2,FALSE()),"")</f>
        <v>5.4519368723098996E-2</v>
      </c>
    </row>
    <row r="198" spans="1:4" ht="12" customHeight="1" x14ac:dyDescent="0.3">
      <c r="A198" s="204" t="s">
        <v>549</v>
      </c>
      <c r="B198" s="205">
        <v>45924</v>
      </c>
      <c r="C198" s="206">
        <v>1635.2</v>
      </c>
      <c r="D198" s="207">
        <f>IFERROR(C198/VLOOKUP(A198,Usinas!$A:$B,2,FALSE()),"")</f>
        <v>2.3460545193687232</v>
      </c>
    </row>
    <row r="199" spans="1:4" ht="12" customHeight="1" x14ac:dyDescent="0.3">
      <c r="A199" s="204" t="s">
        <v>549</v>
      </c>
      <c r="B199" s="205">
        <v>45925</v>
      </c>
      <c r="C199" s="206">
        <v>95</v>
      </c>
      <c r="D199" s="207">
        <f>IFERROR(C199/VLOOKUP(A199,Usinas!$A:$B,2,FALSE()),"")</f>
        <v>0.13629842180774748</v>
      </c>
    </row>
    <row r="200" spans="1:4" ht="12" customHeight="1" x14ac:dyDescent="0.3">
      <c r="A200" s="204" t="s">
        <v>549</v>
      </c>
      <c r="B200" s="205">
        <v>45925</v>
      </c>
      <c r="C200" s="206">
        <v>1612</v>
      </c>
      <c r="D200" s="207">
        <f>IFERROR(C200/VLOOKUP(A200,Usinas!$A:$B,2,FALSE()),"")</f>
        <v>2.3127690100430418</v>
      </c>
    </row>
    <row r="201" spans="1:4" ht="12" customHeight="1" x14ac:dyDescent="0.3">
      <c r="A201" s="204" t="s">
        <v>549</v>
      </c>
      <c r="B201" s="205">
        <v>45926</v>
      </c>
      <c r="C201" s="206">
        <v>975</v>
      </c>
      <c r="D201" s="207">
        <f>IFERROR(C201/VLOOKUP(A201,Usinas!$A:$B,2,FALSE()),"")</f>
        <v>1.3988522238163559</v>
      </c>
    </row>
    <row r="202" spans="1:4" ht="12" customHeight="1" x14ac:dyDescent="0.3">
      <c r="A202" s="204" t="s">
        <v>549</v>
      </c>
      <c r="B202" s="205">
        <v>45926</v>
      </c>
      <c r="C202" s="206">
        <v>1577.1</v>
      </c>
      <c r="D202" s="207">
        <f>IFERROR(C202/VLOOKUP(A202,Usinas!$A:$B,2,FALSE()),"")</f>
        <v>2.2626972740315638</v>
      </c>
    </row>
    <row r="203" spans="1:4" ht="12" customHeight="1" x14ac:dyDescent="0.3">
      <c r="A203" s="204" t="s">
        <v>549</v>
      </c>
      <c r="B203" s="205">
        <v>45927</v>
      </c>
      <c r="C203" s="206">
        <v>1041</v>
      </c>
      <c r="D203" s="207">
        <f>IFERROR(C203/VLOOKUP(A203,Usinas!$A:$B,2,FALSE()),"")</f>
        <v>1.4935437589670015</v>
      </c>
    </row>
    <row r="204" spans="1:4" ht="12" customHeight="1" x14ac:dyDescent="0.3">
      <c r="A204" s="204" t="s">
        <v>549</v>
      </c>
      <c r="B204" s="205">
        <v>45927</v>
      </c>
      <c r="C204" s="206">
        <v>1536</v>
      </c>
      <c r="D204" s="207">
        <f>IFERROR(C204/VLOOKUP(A204,Usinas!$A:$B,2,FALSE()),"")</f>
        <v>2.2037302725968435</v>
      </c>
    </row>
    <row r="205" spans="1:4" ht="12" customHeight="1" x14ac:dyDescent="0.3">
      <c r="A205" s="204" t="s">
        <v>549</v>
      </c>
      <c r="B205" s="205">
        <v>45928</v>
      </c>
      <c r="C205" s="206">
        <v>474</v>
      </c>
      <c r="D205" s="207">
        <f>IFERROR(C205/VLOOKUP(A205,Usinas!$A:$B,2,FALSE()),"")</f>
        <v>0.68005738880918221</v>
      </c>
    </row>
    <row r="206" spans="1:4" ht="12" customHeight="1" x14ac:dyDescent="0.3">
      <c r="A206" s="204" t="s">
        <v>549</v>
      </c>
      <c r="B206" s="205">
        <v>45928</v>
      </c>
      <c r="C206" s="206">
        <v>797</v>
      </c>
      <c r="D206" s="207">
        <f>IFERROR(C206/VLOOKUP(A206,Usinas!$A:$B,2,FALSE()),"")</f>
        <v>1.1434720229555237</v>
      </c>
    </row>
    <row r="207" spans="1:4" ht="12" customHeight="1" x14ac:dyDescent="0.3">
      <c r="A207" s="204" t="s">
        <v>549</v>
      </c>
      <c r="B207" s="205">
        <v>45929</v>
      </c>
      <c r="C207" s="206">
        <v>519</v>
      </c>
      <c r="D207" s="207">
        <f>IFERROR(C207/VLOOKUP(A207,Usinas!$A:$B,2,FALSE()),"")</f>
        <v>0.74461979913916787</v>
      </c>
    </row>
    <row r="208" spans="1:4" ht="12" customHeight="1" x14ac:dyDescent="0.3">
      <c r="A208" s="204" t="s">
        <v>549</v>
      </c>
      <c r="B208" s="205">
        <v>45929</v>
      </c>
      <c r="C208" s="206">
        <v>897.3</v>
      </c>
      <c r="D208" s="207">
        <f>IFERROR(C208/VLOOKUP(A208,Usinas!$A:$B,2,FALSE()),"")</f>
        <v>1.2873744619799139</v>
      </c>
    </row>
    <row r="209" spans="1:4" ht="12" customHeight="1" x14ac:dyDescent="0.3">
      <c r="A209" s="204" t="s">
        <v>549</v>
      </c>
      <c r="B209" s="205">
        <v>45930</v>
      </c>
      <c r="C209" s="206">
        <v>263</v>
      </c>
      <c r="D209" s="207">
        <f>IFERROR(C209/VLOOKUP(A209,Usinas!$A:$B,2,FALSE()),"")</f>
        <v>0.37733142037302725</v>
      </c>
    </row>
    <row r="210" spans="1:4" ht="12" customHeight="1" x14ac:dyDescent="0.3">
      <c r="A210" s="204" t="s">
        <v>549</v>
      </c>
      <c r="B210" s="205">
        <v>45930</v>
      </c>
      <c r="C210" s="206">
        <v>777.7</v>
      </c>
      <c r="D210" s="207">
        <f>IFERROR(C210/VLOOKUP(A210,Usinas!$A:$B,2,FALSE()),"")</f>
        <v>1.1157819225251078</v>
      </c>
    </row>
    <row r="211" spans="1:4" ht="12" customHeight="1" x14ac:dyDescent="0.3">
      <c r="A211" s="204" t="s">
        <v>549</v>
      </c>
      <c r="B211" s="205">
        <v>45931</v>
      </c>
      <c r="C211" s="206">
        <v>150</v>
      </c>
      <c r="D211" s="207">
        <f>IFERROR(C211/VLOOKUP(A211,Usinas!$A:$B,2,FALSE()),"")</f>
        <v>0.21520803443328551</v>
      </c>
    </row>
    <row r="212" spans="1:4" ht="12" customHeight="1" x14ac:dyDescent="0.3">
      <c r="A212" s="204" t="s">
        <v>549</v>
      </c>
      <c r="B212" s="205">
        <v>45931</v>
      </c>
      <c r="C212" s="206">
        <v>290.3</v>
      </c>
      <c r="D212" s="207">
        <f>IFERROR(C212/VLOOKUP(A212,Usinas!$A:$B,2,FALSE()),"")</f>
        <v>0.41649928263988523</v>
      </c>
    </row>
    <row r="213" spans="1:4" ht="12" customHeight="1" x14ac:dyDescent="0.3">
      <c r="A213" s="204" t="s">
        <v>549</v>
      </c>
      <c r="B213" s="205">
        <v>45932</v>
      </c>
      <c r="C213" s="206">
        <v>467</v>
      </c>
      <c r="D213" s="207">
        <f>IFERROR(C213/VLOOKUP(A213,Usinas!$A:$B,2,FALSE()),"")</f>
        <v>0.67001434720229558</v>
      </c>
    </row>
    <row r="214" spans="1:4" ht="12" customHeight="1" x14ac:dyDescent="0.3">
      <c r="A214" s="204" t="s">
        <v>549</v>
      </c>
      <c r="B214" s="205">
        <v>45932</v>
      </c>
      <c r="C214" s="206">
        <v>725.2</v>
      </c>
      <c r="D214" s="207">
        <f>IFERROR(C214/VLOOKUP(A214,Usinas!$A:$B,2,FALSE()),"")</f>
        <v>1.0404591104734577</v>
      </c>
    </row>
    <row r="215" spans="1:4" ht="12" customHeight="1" x14ac:dyDescent="0.3">
      <c r="A215" s="204" t="s">
        <v>549</v>
      </c>
      <c r="B215" s="205">
        <v>45933</v>
      </c>
      <c r="C215" s="206">
        <v>380</v>
      </c>
      <c r="D215" s="207">
        <f>IFERROR(C215/VLOOKUP(A215,Usinas!$A:$B,2,FALSE()),"")</f>
        <v>0.54519368723098993</v>
      </c>
    </row>
    <row r="216" spans="1:4" ht="12" customHeight="1" x14ac:dyDescent="0.3">
      <c r="A216" s="204" t="s">
        <v>549</v>
      </c>
      <c r="B216" s="205">
        <v>45933</v>
      </c>
      <c r="C216" s="206">
        <v>440.9</v>
      </c>
      <c r="D216" s="207">
        <f>IFERROR(C216/VLOOKUP(A216,Usinas!$A:$B,2,FALSE()),"")</f>
        <v>0.63256814921090387</v>
      </c>
    </row>
    <row r="217" spans="1:4" ht="12" customHeight="1" x14ac:dyDescent="0.3">
      <c r="A217" s="204" t="s">
        <v>549</v>
      </c>
      <c r="B217" s="205">
        <v>45934</v>
      </c>
      <c r="C217" s="206">
        <v>901</v>
      </c>
      <c r="D217" s="207">
        <f>IFERROR(C217/VLOOKUP(A217,Usinas!$A:$B,2,FALSE()),"")</f>
        <v>1.2926829268292683</v>
      </c>
    </row>
    <row r="218" spans="1:4" ht="12" customHeight="1" x14ac:dyDescent="0.3">
      <c r="A218" s="204" t="s">
        <v>549</v>
      </c>
      <c r="B218" s="205">
        <v>45934</v>
      </c>
      <c r="C218" s="206">
        <v>970.8</v>
      </c>
      <c r="D218" s="207">
        <f>IFERROR(C218/VLOOKUP(A218,Usinas!$A:$B,2,FALSE()),"")</f>
        <v>1.3928263988522238</v>
      </c>
    </row>
    <row r="219" spans="1:4" ht="12" customHeight="1" x14ac:dyDescent="0.3">
      <c r="A219" s="204" t="s">
        <v>549</v>
      </c>
      <c r="B219" s="205">
        <v>45935</v>
      </c>
      <c r="C219" s="206">
        <v>755</v>
      </c>
      <c r="D219" s="207">
        <f>IFERROR(C219/VLOOKUP(A219,Usinas!$A:$B,2,FALSE()),"")</f>
        <v>1.0832137733142038</v>
      </c>
    </row>
    <row r="220" spans="1:4" ht="12" customHeight="1" x14ac:dyDescent="0.3">
      <c r="A220" s="204" t="s">
        <v>549</v>
      </c>
      <c r="B220" s="205">
        <v>45935</v>
      </c>
      <c r="C220" s="206">
        <v>608.5</v>
      </c>
      <c r="D220" s="207">
        <f>IFERROR(C220/VLOOKUP(A220,Usinas!$A:$B,2,FALSE()),"")</f>
        <v>0.87302725968436157</v>
      </c>
    </row>
    <row r="221" spans="1:4" ht="12" customHeight="1" x14ac:dyDescent="0.3">
      <c r="A221" s="204" t="s">
        <v>549</v>
      </c>
      <c r="B221" s="205">
        <v>45936</v>
      </c>
      <c r="C221" s="206">
        <v>45</v>
      </c>
      <c r="D221" s="207">
        <f>IFERROR(C221/VLOOKUP(A221,Usinas!$A:$B,2,FALSE()),"")</f>
        <v>6.4562410329985651E-2</v>
      </c>
    </row>
    <row r="222" spans="1:4" ht="12" customHeight="1" x14ac:dyDescent="0.3">
      <c r="A222" s="204" t="s">
        <v>549</v>
      </c>
      <c r="B222" s="205">
        <v>45936</v>
      </c>
      <c r="C222" s="206">
        <v>269.3</v>
      </c>
      <c r="D222" s="207">
        <f>IFERROR(C222/VLOOKUP(A222,Usinas!$A:$B,2,FALSE()),"")</f>
        <v>0.38637015781922529</v>
      </c>
    </row>
    <row r="223" spans="1:4" ht="12" customHeight="1" x14ac:dyDescent="0.3">
      <c r="A223" s="204" t="s">
        <v>549</v>
      </c>
      <c r="B223" s="205">
        <v>45937</v>
      </c>
      <c r="C223" s="206">
        <v>704</v>
      </c>
      <c r="D223" s="207">
        <f>IFERROR(C223/VLOOKUP(A223,Usinas!$A:$B,2,FALSE()),"")</f>
        <v>1.0100430416068866</v>
      </c>
    </row>
    <row r="224" spans="1:4" ht="12" customHeight="1" x14ac:dyDescent="0.3">
      <c r="A224" s="204" t="s">
        <v>549</v>
      </c>
      <c r="B224" s="205">
        <v>45937</v>
      </c>
      <c r="C224" s="206">
        <v>809.6</v>
      </c>
      <c r="D224" s="207">
        <f>IFERROR(C224/VLOOKUP(A224,Usinas!$A:$B,2,FALSE()),"")</f>
        <v>1.1615494978479197</v>
      </c>
    </row>
    <row r="225" spans="1:4" ht="12" customHeight="1" x14ac:dyDescent="0.3">
      <c r="A225" s="204" t="s">
        <v>549</v>
      </c>
      <c r="B225" s="205">
        <v>45938</v>
      </c>
      <c r="C225" s="206">
        <v>1045</v>
      </c>
      <c r="D225" s="207">
        <f>IFERROR(C225/VLOOKUP(A225,Usinas!$A:$B,2,FALSE()),"")</f>
        <v>1.4992826398852224</v>
      </c>
    </row>
    <row r="226" spans="1:4" ht="12" customHeight="1" x14ac:dyDescent="0.3">
      <c r="A226" s="204" t="s">
        <v>549</v>
      </c>
      <c r="B226" s="205">
        <v>45938</v>
      </c>
      <c r="C226" s="206">
        <v>1294.3</v>
      </c>
      <c r="D226" s="207">
        <f>IFERROR(C226/VLOOKUP(A226,Usinas!$A:$B,2,FALSE()),"")</f>
        <v>1.8569583931133429</v>
      </c>
    </row>
    <row r="227" spans="1:4" ht="12" customHeight="1" x14ac:dyDescent="0.3">
      <c r="A227" s="204" t="s">
        <v>549</v>
      </c>
      <c r="B227" s="205">
        <v>45939</v>
      </c>
      <c r="C227" s="206">
        <v>717</v>
      </c>
      <c r="D227" s="207">
        <f>IFERROR(C227/VLOOKUP(A227,Usinas!$A:$B,2,FALSE()),"")</f>
        <v>1.0286944045911048</v>
      </c>
    </row>
    <row r="228" spans="1:4" ht="12" customHeight="1" x14ac:dyDescent="0.3">
      <c r="A228" s="204" t="s">
        <v>549</v>
      </c>
      <c r="B228" s="205">
        <v>45939</v>
      </c>
      <c r="C228" s="206">
        <v>1311.2</v>
      </c>
      <c r="D228" s="207">
        <f>IFERROR(C228/VLOOKUP(A228,Usinas!$A:$B,2,FALSE()),"")</f>
        <v>1.8812051649928265</v>
      </c>
    </row>
    <row r="229" spans="1:4" ht="12" customHeight="1" x14ac:dyDescent="0.3">
      <c r="A229" s="204" t="s">
        <v>549</v>
      </c>
      <c r="B229" s="205">
        <v>45940</v>
      </c>
      <c r="C229" s="206">
        <v>834</v>
      </c>
      <c r="D229" s="207">
        <f>IFERROR(C229/VLOOKUP(A229,Usinas!$A:$B,2,FALSE()),"")</f>
        <v>1.1965566714490674</v>
      </c>
    </row>
    <row r="230" spans="1:4" ht="12" customHeight="1" x14ac:dyDescent="0.3">
      <c r="A230" s="204" t="s">
        <v>549</v>
      </c>
      <c r="B230" s="205">
        <v>45940</v>
      </c>
      <c r="C230" s="206">
        <v>1468.7</v>
      </c>
      <c r="D230" s="207">
        <f>IFERROR(C230/VLOOKUP(A230,Usinas!$A:$B,2,FALSE()),"")</f>
        <v>2.1071736011477764</v>
      </c>
    </row>
    <row r="231" spans="1:4" ht="12" customHeight="1" x14ac:dyDescent="0.3">
      <c r="A231" s="204" t="s">
        <v>549</v>
      </c>
      <c r="B231" s="205">
        <v>45941</v>
      </c>
      <c r="C231" s="206">
        <v>497</v>
      </c>
      <c r="D231" s="207">
        <f>IFERROR(C231/VLOOKUP(A231,Usinas!$A:$B,2,FALSE()),"")</f>
        <v>0.71305595408895261</v>
      </c>
    </row>
    <row r="232" spans="1:4" ht="12" customHeight="1" x14ac:dyDescent="0.3">
      <c r="A232" s="204" t="s">
        <v>549</v>
      </c>
      <c r="B232" s="205">
        <v>45941</v>
      </c>
      <c r="C232" s="206">
        <v>1006.1</v>
      </c>
      <c r="D232" s="207">
        <f>IFERROR(C232/VLOOKUP(A232,Usinas!$A:$B,2,FALSE()),"")</f>
        <v>1.4434720229555238</v>
      </c>
    </row>
    <row r="233" spans="1:4" ht="12" customHeight="1" x14ac:dyDescent="0.3">
      <c r="A233" s="204" t="s">
        <v>549</v>
      </c>
      <c r="B233" s="205">
        <v>45942</v>
      </c>
      <c r="C233" s="206">
        <v>580</v>
      </c>
      <c r="D233" s="207">
        <f>IFERROR(C233/VLOOKUP(A233,Usinas!$A:$B,2,FALSE()),"")</f>
        <v>0.83213773314203732</v>
      </c>
    </row>
    <row r="234" spans="1:4" ht="12" customHeight="1" x14ac:dyDescent="0.3">
      <c r="A234" s="204" t="s">
        <v>549</v>
      </c>
      <c r="B234" s="205">
        <v>45942</v>
      </c>
      <c r="C234" s="206">
        <v>303.8</v>
      </c>
      <c r="D234" s="207">
        <f>IFERROR(C234/VLOOKUP(A234,Usinas!$A:$B,2,FALSE()),"")</f>
        <v>0.43586800573888096</v>
      </c>
    </row>
    <row r="235" spans="1:4" ht="12" customHeight="1" x14ac:dyDescent="0.3">
      <c r="A235" s="204" t="s">
        <v>549</v>
      </c>
      <c r="B235" s="205">
        <v>45943</v>
      </c>
      <c r="C235" s="206">
        <v>219</v>
      </c>
      <c r="D235" s="207">
        <f>IFERROR(C235/VLOOKUP(A235,Usinas!$A:$B,2,FALSE()),"")</f>
        <v>0.31420373027259685</v>
      </c>
    </row>
    <row r="236" spans="1:4" ht="12" customHeight="1" x14ac:dyDescent="0.3">
      <c r="A236" s="204" t="s">
        <v>549</v>
      </c>
      <c r="B236" s="205">
        <v>45943</v>
      </c>
      <c r="C236" s="206">
        <v>209.4</v>
      </c>
      <c r="D236" s="207">
        <f>IFERROR(C236/VLOOKUP(A236,Usinas!$A:$B,2,FALSE()),"")</f>
        <v>0.30043041606886656</v>
      </c>
    </row>
    <row r="237" spans="1:4" ht="12" customHeight="1" x14ac:dyDescent="0.3">
      <c r="A237" s="204" t="s">
        <v>549</v>
      </c>
      <c r="B237" s="205">
        <v>45944</v>
      </c>
      <c r="C237" s="206">
        <v>1065</v>
      </c>
      <c r="D237" s="207">
        <f>IFERROR(C237/VLOOKUP(A237,Usinas!$A:$B,2,FALSE()),"")</f>
        <v>1.5279770444763272</v>
      </c>
    </row>
    <row r="238" spans="1:4" ht="12" customHeight="1" x14ac:dyDescent="0.3">
      <c r="A238" s="204" t="s">
        <v>549</v>
      </c>
      <c r="B238" s="205">
        <v>45944</v>
      </c>
      <c r="C238" s="206">
        <v>1573.1</v>
      </c>
      <c r="D238" s="207">
        <f>IFERROR(C238/VLOOKUP(A238,Usinas!$A:$B,2,FALSE()),"")</f>
        <v>2.2569583931133428</v>
      </c>
    </row>
    <row r="239" spans="1:4" ht="12" customHeight="1" x14ac:dyDescent="0.3">
      <c r="A239" s="204" t="s">
        <v>549</v>
      </c>
      <c r="B239" s="205">
        <v>45945</v>
      </c>
      <c r="C239" s="206">
        <v>713</v>
      </c>
      <c r="D239" s="207">
        <f>IFERROR(C239/VLOOKUP(A239,Usinas!$A:$B,2,FALSE()),"")</f>
        <v>1.0229555236728838</v>
      </c>
    </row>
    <row r="240" spans="1:4" ht="12" customHeight="1" x14ac:dyDescent="0.3">
      <c r="A240" s="204" t="s">
        <v>549</v>
      </c>
      <c r="B240" s="205">
        <v>45945</v>
      </c>
      <c r="C240" s="206">
        <v>682.3</v>
      </c>
      <c r="D240" s="207">
        <f>IFERROR(C240/VLOOKUP(A240,Usinas!$A:$B,2,FALSE()),"")</f>
        <v>0.97890961262553799</v>
      </c>
    </row>
    <row r="241" spans="1:4" ht="12" customHeight="1" x14ac:dyDescent="0.3">
      <c r="A241" s="204" t="s">
        <v>549</v>
      </c>
      <c r="B241" s="205">
        <v>45946</v>
      </c>
      <c r="C241" s="206">
        <v>549</v>
      </c>
      <c r="D241" s="207">
        <f>IFERROR(C241/VLOOKUP(A241,Usinas!$A:$B,2,FALSE()),"")</f>
        <v>0.78766140602582502</v>
      </c>
    </row>
    <row r="242" spans="1:4" ht="12" customHeight="1" x14ac:dyDescent="0.3">
      <c r="A242" s="204" t="s">
        <v>549</v>
      </c>
      <c r="B242" s="205">
        <v>45946</v>
      </c>
      <c r="C242" s="206">
        <v>693.6</v>
      </c>
      <c r="D242" s="207">
        <f>IFERROR(C242/VLOOKUP(A242,Usinas!$A:$B,2,FALSE()),"")</f>
        <v>0.99512195121951219</v>
      </c>
    </row>
    <row r="243" spans="1:4" ht="12" customHeight="1" x14ac:dyDescent="0.3">
      <c r="A243" s="204" t="s">
        <v>549</v>
      </c>
      <c r="B243" s="205">
        <v>45947</v>
      </c>
      <c r="C243" s="206">
        <v>668</v>
      </c>
      <c r="D243" s="207">
        <f>IFERROR(C243/VLOOKUP(A243,Usinas!$A:$B,2,FALSE()),"")</f>
        <v>0.95839311334289812</v>
      </c>
    </row>
    <row r="244" spans="1:4" ht="12" customHeight="1" x14ac:dyDescent="0.3">
      <c r="A244" s="204" t="s">
        <v>549</v>
      </c>
      <c r="B244" s="205">
        <v>45947</v>
      </c>
      <c r="C244" s="206">
        <v>530.4</v>
      </c>
      <c r="D244" s="207">
        <f>IFERROR(C244/VLOOKUP(A244,Usinas!$A:$B,2,FALSE()),"")</f>
        <v>0.76097560975609757</v>
      </c>
    </row>
    <row r="245" spans="1:4" ht="12" customHeight="1" x14ac:dyDescent="0.3">
      <c r="A245" s="204" t="s">
        <v>549</v>
      </c>
      <c r="B245" s="205">
        <v>45948</v>
      </c>
      <c r="C245" s="206">
        <v>401</v>
      </c>
      <c r="D245" s="207">
        <f>IFERROR(C245/VLOOKUP(A245,Usinas!$A:$B,2,FALSE()),"")</f>
        <v>0.57532281205164992</v>
      </c>
    </row>
    <row r="246" spans="1:4" ht="12" customHeight="1" x14ac:dyDescent="0.3">
      <c r="A246" s="204" t="s">
        <v>549</v>
      </c>
      <c r="B246" s="205">
        <v>45948</v>
      </c>
      <c r="C246" s="206">
        <v>210.5</v>
      </c>
      <c r="D246" s="207">
        <f>IFERROR(C246/VLOOKUP(A246,Usinas!$A:$B,2,FALSE()),"")</f>
        <v>0.30200860832137733</v>
      </c>
    </row>
    <row r="247" spans="1:4" ht="12" customHeight="1" x14ac:dyDescent="0.3">
      <c r="A247" s="204" t="s">
        <v>549</v>
      </c>
      <c r="B247" s="205">
        <v>45949</v>
      </c>
      <c r="C247" s="206">
        <v>1031</v>
      </c>
      <c r="D247" s="207">
        <f>IFERROR(C247/VLOOKUP(A247,Usinas!$A:$B,2,FALSE()),"")</f>
        <v>1.4791965566714491</v>
      </c>
    </row>
    <row r="248" spans="1:4" ht="12" customHeight="1" x14ac:dyDescent="0.3">
      <c r="A248" s="204" t="s">
        <v>549</v>
      </c>
      <c r="B248" s="205">
        <v>45949</v>
      </c>
      <c r="C248" s="206">
        <v>735.9</v>
      </c>
      <c r="D248" s="207">
        <f>IFERROR(C248/VLOOKUP(A248,Usinas!$A:$B,2,FALSE()),"")</f>
        <v>1.0558106169296986</v>
      </c>
    </row>
    <row r="249" spans="1:4" ht="12" customHeight="1" x14ac:dyDescent="0.3">
      <c r="A249" s="204" t="s">
        <v>549</v>
      </c>
      <c r="B249" s="205">
        <v>45950</v>
      </c>
      <c r="C249" s="206">
        <v>1662</v>
      </c>
      <c r="D249" s="207">
        <f>IFERROR(C249/VLOOKUP(A249,Usinas!$A:$B,2,FALSE()),"")</f>
        <v>2.3845050215208032</v>
      </c>
    </row>
    <row r="250" spans="1:4" ht="12" customHeight="1" x14ac:dyDescent="0.3">
      <c r="A250" s="204" t="s">
        <v>549</v>
      </c>
      <c r="B250" s="205">
        <v>45950</v>
      </c>
      <c r="C250" s="206">
        <v>854.5</v>
      </c>
      <c r="D250" s="207">
        <f>IFERROR(C250/VLOOKUP(A250,Usinas!$A:$B,2,FALSE()),"")</f>
        <v>1.2259684361549499</v>
      </c>
    </row>
    <row r="251" spans="1:4" ht="12" customHeight="1" x14ac:dyDescent="0.3">
      <c r="A251" s="204" t="s">
        <v>549</v>
      </c>
      <c r="B251" s="205">
        <v>45951</v>
      </c>
      <c r="C251" s="206">
        <v>1284</v>
      </c>
      <c r="D251" s="207">
        <f>IFERROR(C251/VLOOKUP(A251,Usinas!$A:$B,2,FALSE()),"")</f>
        <v>1.8421807747489241</v>
      </c>
    </row>
    <row r="252" spans="1:4" ht="12" customHeight="1" x14ac:dyDescent="0.3">
      <c r="A252" s="204" t="s">
        <v>549</v>
      </c>
      <c r="B252" s="205">
        <v>45951</v>
      </c>
      <c r="C252" s="206">
        <v>765.2</v>
      </c>
      <c r="D252" s="207">
        <f>IFERROR(C252/VLOOKUP(A252,Usinas!$A:$B,2,FALSE()),"")</f>
        <v>1.0978479196556672</v>
      </c>
    </row>
    <row r="253" spans="1:4" ht="12" customHeight="1" x14ac:dyDescent="0.3">
      <c r="A253" s="204" t="s">
        <v>549</v>
      </c>
      <c r="B253" s="205">
        <v>45952</v>
      </c>
      <c r="C253" s="206">
        <v>605</v>
      </c>
      <c r="D253" s="207">
        <f>IFERROR(C253/VLOOKUP(A253,Usinas!$A:$B,2,FALSE()),"")</f>
        <v>0.86800573888091825</v>
      </c>
    </row>
    <row r="254" spans="1:4" ht="12" customHeight="1" x14ac:dyDescent="0.3">
      <c r="A254" s="204" t="s">
        <v>549</v>
      </c>
      <c r="B254" s="205">
        <v>45952</v>
      </c>
      <c r="C254" s="206">
        <v>792.7</v>
      </c>
      <c r="D254" s="207">
        <f>IFERROR(C254/VLOOKUP(A254,Usinas!$A:$B,2,FALSE()),"")</f>
        <v>1.1373027259684363</v>
      </c>
    </row>
    <row r="255" spans="1:4" ht="12" customHeight="1" x14ac:dyDescent="0.3">
      <c r="A255" s="204" t="s">
        <v>549</v>
      </c>
      <c r="B255" s="205">
        <v>45953</v>
      </c>
      <c r="C255" s="206">
        <v>899</v>
      </c>
      <c r="D255" s="207">
        <f>IFERROR(C255/VLOOKUP(A255,Usinas!$A:$B,2,FALSE()),"")</f>
        <v>1.2898134863701578</v>
      </c>
    </row>
    <row r="256" spans="1:4" ht="12" customHeight="1" x14ac:dyDescent="0.3">
      <c r="A256" s="204" t="s">
        <v>549</v>
      </c>
      <c r="B256" s="205">
        <v>45953</v>
      </c>
      <c r="C256" s="206">
        <v>669.5</v>
      </c>
      <c r="D256" s="207">
        <f>IFERROR(C256/VLOOKUP(A256,Usinas!$A:$B,2,FALSE()),"")</f>
        <v>0.96054519368723101</v>
      </c>
    </row>
    <row r="257" spans="1:4" ht="12" customHeight="1" x14ac:dyDescent="0.3">
      <c r="A257" s="204" t="s">
        <v>549</v>
      </c>
      <c r="B257" s="205">
        <v>45954</v>
      </c>
      <c r="C257" s="206">
        <v>40</v>
      </c>
      <c r="D257" s="207">
        <f>IFERROR(C257/VLOOKUP(A257,Usinas!$A:$B,2,FALSE()),"")</f>
        <v>5.7388809182209469E-2</v>
      </c>
    </row>
    <row r="258" spans="1:4" ht="12" customHeight="1" x14ac:dyDescent="0.3">
      <c r="A258" s="204" t="s">
        <v>549</v>
      </c>
      <c r="B258" s="205">
        <v>45954</v>
      </c>
      <c r="C258" s="206">
        <v>810</v>
      </c>
      <c r="D258" s="207">
        <f>IFERROR(C258/VLOOKUP(A258,Usinas!$A:$B,2,FALSE()),"")</f>
        <v>1.1621233859397417</v>
      </c>
    </row>
    <row r="259" spans="1:4" ht="12" customHeight="1" x14ac:dyDescent="0.3">
      <c r="A259" s="204" t="s">
        <v>549</v>
      </c>
      <c r="B259" s="205">
        <v>45955</v>
      </c>
      <c r="C259" s="206">
        <v>682</v>
      </c>
      <c r="D259" s="207">
        <f>IFERROR(C259/VLOOKUP(A259,Usinas!$A:$B,2,FALSE()),"")</f>
        <v>0.97847919655667148</v>
      </c>
    </row>
    <row r="260" spans="1:4" ht="12" customHeight="1" x14ac:dyDescent="0.3">
      <c r="A260" s="204" t="s">
        <v>549</v>
      </c>
      <c r="B260" s="205">
        <v>45955</v>
      </c>
      <c r="C260" s="206">
        <v>558</v>
      </c>
      <c r="D260" s="207">
        <f>IFERROR(C260/VLOOKUP(A260,Usinas!$A:$B,2,FALSE()),"")</f>
        <v>0.80057388809182206</v>
      </c>
    </row>
    <row r="261" spans="1:4" ht="12" customHeight="1" x14ac:dyDescent="0.3">
      <c r="A261" s="204" t="s">
        <v>549</v>
      </c>
      <c r="B261" s="205">
        <v>45956</v>
      </c>
      <c r="C261" s="206">
        <v>57</v>
      </c>
      <c r="D261" s="207">
        <f>IFERROR(C261/VLOOKUP(A261,Usinas!$A:$B,2,FALSE()),"")</f>
        <v>8.1779053084648487E-2</v>
      </c>
    </row>
    <row r="262" spans="1:4" ht="12" customHeight="1" x14ac:dyDescent="0.3">
      <c r="A262" s="204" t="s">
        <v>549</v>
      </c>
      <c r="B262" s="205">
        <v>45956</v>
      </c>
      <c r="C262" s="206">
        <v>58.2</v>
      </c>
      <c r="D262" s="207">
        <f>IFERROR(C262/VLOOKUP(A262,Usinas!$A:$B,2,FALSE()),"")</f>
        <v>8.3500717360114787E-2</v>
      </c>
    </row>
    <row r="263" spans="1:4" ht="12" customHeight="1" x14ac:dyDescent="0.3">
      <c r="A263" s="204" t="s">
        <v>549</v>
      </c>
      <c r="B263" s="205">
        <v>45957</v>
      </c>
      <c r="C263" s="206">
        <v>498</v>
      </c>
      <c r="D263" s="207">
        <f>IFERROR(C263/VLOOKUP(A263,Usinas!$A:$B,2,FALSE()),"")</f>
        <v>0.71449067431850788</v>
      </c>
    </row>
    <row r="264" spans="1:4" ht="12" customHeight="1" x14ac:dyDescent="0.3">
      <c r="A264" s="204" t="s">
        <v>549</v>
      </c>
      <c r="B264" s="205">
        <v>45957</v>
      </c>
      <c r="C264" s="206">
        <v>536.29999999999995</v>
      </c>
      <c r="D264" s="207">
        <f>IFERROR(C264/VLOOKUP(A264,Usinas!$A:$B,2,FALSE()),"")</f>
        <v>0.76944045911047343</v>
      </c>
    </row>
    <row r="265" spans="1:4" ht="12" customHeight="1" x14ac:dyDescent="0.3">
      <c r="A265" s="204" t="s">
        <v>549</v>
      </c>
      <c r="B265" s="205">
        <v>45958</v>
      </c>
      <c r="C265" s="206">
        <v>121</v>
      </c>
      <c r="D265" s="207">
        <f>IFERROR(C265/VLOOKUP(A265,Usinas!$A:$B,2,FALSE()),"")</f>
        <v>0.17360114777618366</v>
      </c>
    </row>
    <row r="266" spans="1:4" ht="12" customHeight="1" x14ac:dyDescent="0.3">
      <c r="A266" s="204" t="s">
        <v>549</v>
      </c>
      <c r="B266" s="205">
        <v>45958</v>
      </c>
      <c r="C266" s="206">
        <v>348.9</v>
      </c>
      <c r="D266" s="207">
        <f>IFERROR(C266/VLOOKUP(A266,Usinas!$A:$B,2,FALSE()),"")</f>
        <v>0.50057388809182202</v>
      </c>
    </row>
    <row r="267" spans="1:4" ht="12" customHeight="1" x14ac:dyDescent="0.3">
      <c r="A267" s="204" t="s">
        <v>549</v>
      </c>
      <c r="B267" s="205">
        <v>45959</v>
      </c>
      <c r="C267" s="206">
        <v>584</v>
      </c>
      <c r="D267" s="207">
        <f>IFERROR(C267/VLOOKUP(A267,Usinas!$A:$B,2,FALSE()),"")</f>
        <v>0.83787661406025826</v>
      </c>
    </row>
    <row r="268" spans="1:4" ht="12" customHeight="1" x14ac:dyDescent="0.3">
      <c r="A268" s="204" t="s">
        <v>549</v>
      </c>
      <c r="B268" s="205">
        <v>45959</v>
      </c>
      <c r="C268" s="206">
        <v>459</v>
      </c>
      <c r="D268" s="207">
        <f>IFERROR(C268/VLOOKUP(A268,Usinas!$A:$B,2,FALSE()),"")</f>
        <v>0.65853658536585369</v>
      </c>
    </row>
    <row r="269" spans="1:4" ht="12" customHeight="1" x14ac:dyDescent="0.3">
      <c r="A269" s="204" t="s">
        <v>549</v>
      </c>
      <c r="B269" s="205">
        <v>45960</v>
      </c>
      <c r="C269" s="206">
        <v>393</v>
      </c>
      <c r="D269" s="207">
        <f>IFERROR(C269/VLOOKUP(A269,Usinas!$A:$B,2,FALSE()),"")</f>
        <v>0.56384505021520803</v>
      </c>
    </row>
    <row r="270" spans="1:4" ht="12" customHeight="1" x14ac:dyDescent="0.3">
      <c r="A270" s="204" t="s">
        <v>549</v>
      </c>
      <c r="B270" s="205">
        <v>45960</v>
      </c>
      <c r="C270" s="206">
        <v>438.1</v>
      </c>
      <c r="D270" s="207">
        <f>IFERROR(C270/VLOOKUP(A270,Usinas!$A:$B,2,FALSE()),"")</f>
        <v>0.6285509325681492</v>
      </c>
    </row>
    <row r="271" spans="1:4" ht="12" customHeight="1" x14ac:dyDescent="0.3">
      <c r="A271" s="204" t="s">
        <v>549</v>
      </c>
      <c r="B271" s="205">
        <v>45961</v>
      </c>
      <c r="C271" s="206">
        <v>516</v>
      </c>
      <c r="D271" s="207">
        <f>IFERROR(C271/VLOOKUP(A271,Usinas!$A:$B,2,FALSE()),"")</f>
        <v>0.74031563845050219</v>
      </c>
    </row>
    <row r="272" spans="1:4" ht="12" customHeight="1" x14ac:dyDescent="0.3">
      <c r="A272" s="204" t="s">
        <v>549</v>
      </c>
      <c r="B272" s="205">
        <v>45961</v>
      </c>
      <c r="C272" s="206">
        <v>835.7</v>
      </c>
      <c r="D272" s="207">
        <f>IFERROR(C272/VLOOKUP(A272,Usinas!$A:$B,2,FALSE()),"")</f>
        <v>1.1989956958393113</v>
      </c>
    </row>
    <row r="273" spans="1:4" ht="12" customHeight="1" x14ac:dyDescent="0.3">
      <c r="A273" s="204" t="s">
        <v>549</v>
      </c>
      <c r="B273" s="205">
        <v>45962</v>
      </c>
      <c r="C273" s="206">
        <v>662</v>
      </c>
      <c r="D273" s="207">
        <f>IFERROR(C273/VLOOKUP(A273,Usinas!$A:$B,2,FALSE()),"")</f>
        <v>0.94978479196556675</v>
      </c>
    </row>
    <row r="274" spans="1:4" ht="12" customHeight="1" x14ac:dyDescent="0.3">
      <c r="A274" s="204" t="s">
        <v>549</v>
      </c>
      <c r="B274" s="205">
        <v>45962</v>
      </c>
      <c r="C274" s="206">
        <v>899.4</v>
      </c>
      <c r="D274" s="207">
        <f>IFERROR(C274/VLOOKUP(A274,Usinas!$A:$B,2,FALSE()),"")</f>
        <v>1.2903873744619798</v>
      </c>
    </row>
    <row r="275" spans="1:4" ht="12" customHeight="1" x14ac:dyDescent="0.3">
      <c r="A275" s="204" t="s">
        <v>549</v>
      </c>
      <c r="B275" s="205">
        <v>45963</v>
      </c>
      <c r="C275" s="206">
        <v>463</v>
      </c>
      <c r="D275" s="207">
        <f>IFERROR(C275/VLOOKUP(A275,Usinas!$A:$B,2,FALSE()),"")</f>
        <v>0.66427546628407463</v>
      </c>
    </row>
    <row r="276" spans="1:4" ht="12" customHeight="1" x14ac:dyDescent="0.3">
      <c r="A276" s="204" t="s">
        <v>549</v>
      </c>
      <c r="B276" s="205">
        <v>45963</v>
      </c>
      <c r="C276" s="206">
        <v>478.6</v>
      </c>
      <c r="D276" s="207">
        <f>IFERROR(C276/VLOOKUP(A276,Usinas!$A:$B,2,FALSE()),"")</f>
        <v>0.68665710186513629</v>
      </c>
    </row>
    <row r="277" spans="1:4" ht="12" customHeight="1" x14ac:dyDescent="0.3">
      <c r="A277" s="204" t="s">
        <v>549</v>
      </c>
      <c r="B277" s="205">
        <v>45964</v>
      </c>
      <c r="C277" s="206">
        <v>531</v>
      </c>
      <c r="D277" s="207">
        <f>IFERROR(C277/VLOOKUP(A277,Usinas!$A:$B,2,FALSE()),"")</f>
        <v>0.76183644189383071</v>
      </c>
    </row>
    <row r="278" spans="1:4" ht="12" customHeight="1" x14ac:dyDescent="0.3">
      <c r="A278" s="204" t="s">
        <v>549</v>
      </c>
      <c r="B278" s="205">
        <v>45964</v>
      </c>
      <c r="C278" s="206">
        <v>911.3</v>
      </c>
      <c r="D278" s="207">
        <f>IFERROR(C278/VLOOKUP(A278,Usinas!$A:$B,2,FALSE()),"")</f>
        <v>1.3074605451936872</v>
      </c>
    </row>
    <row r="279" spans="1:4" ht="12" customHeight="1" x14ac:dyDescent="0.3">
      <c r="A279" s="204" t="s">
        <v>549</v>
      </c>
      <c r="B279" s="205">
        <v>45965</v>
      </c>
      <c r="C279" s="206">
        <v>415</v>
      </c>
      <c r="D279" s="207">
        <f>IFERROR(C279/VLOOKUP(A279,Usinas!$A:$B,2,FALSE()),"")</f>
        <v>0.59540889526542329</v>
      </c>
    </row>
    <row r="280" spans="1:4" ht="12" customHeight="1" x14ac:dyDescent="0.3">
      <c r="A280" s="204" t="s">
        <v>549</v>
      </c>
      <c r="B280" s="205">
        <v>45965</v>
      </c>
      <c r="C280" s="206">
        <v>1062</v>
      </c>
      <c r="D280" s="207">
        <f>IFERROR(C280/VLOOKUP(A280,Usinas!$A:$B,2,FALSE()),"")</f>
        <v>1.5236728837876614</v>
      </c>
    </row>
    <row r="281" spans="1:4" ht="12" customHeight="1" x14ac:dyDescent="0.3">
      <c r="A281" s="204" t="s">
        <v>549</v>
      </c>
      <c r="B281" s="205">
        <v>45966</v>
      </c>
      <c r="C281" s="206">
        <v>257</v>
      </c>
      <c r="D281" s="207">
        <f>IFERROR(C281/VLOOKUP(A281,Usinas!$A:$B,2,FALSE()),"")</f>
        <v>0.36872309899569583</v>
      </c>
    </row>
    <row r="282" spans="1:4" ht="12" customHeight="1" x14ac:dyDescent="0.3">
      <c r="A282" s="204" t="s">
        <v>549</v>
      </c>
      <c r="B282" s="205">
        <v>45966</v>
      </c>
      <c r="C282" s="206">
        <v>291.5</v>
      </c>
      <c r="D282" s="207">
        <f>IFERROR(C282/VLOOKUP(A282,Usinas!$A:$B,2,FALSE()),"")</f>
        <v>0.4182209469153515</v>
      </c>
    </row>
    <row r="283" spans="1:4" ht="12" customHeight="1" x14ac:dyDescent="0.3">
      <c r="A283" s="204" t="s">
        <v>549</v>
      </c>
      <c r="B283" s="205">
        <v>45967</v>
      </c>
      <c r="C283" s="206">
        <v>943</v>
      </c>
      <c r="D283" s="207">
        <f>IFERROR(C283/VLOOKUP(A283,Usinas!$A:$B,2,FALSE()),"")</f>
        <v>1.3529411764705883</v>
      </c>
    </row>
    <row r="284" spans="1:4" ht="12" customHeight="1" x14ac:dyDescent="0.3">
      <c r="A284" s="204" t="s">
        <v>549</v>
      </c>
      <c r="B284" s="205">
        <v>45967</v>
      </c>
      <c r="C284" s="206">
        <v>1209.4000000000001</v>
      </c>
      <c r="D284" s="207">
        <f>IFERROR(C284/VLOOKUP(A284,Usinas!$A:$B,2,FALSE()),"")</f>
        <v>1.7351506456241035</v>
      </c>
    </row>
    <row r="285" spans="1:4" ht="12" customHeight="1" x14ac:dyDescent="0.3">
      <c r="A285" s="204" t="s">
        <v>549</v>
      </c>
      <c r="B285" s="205">
        <v>45968</v>
      </c>
      <c r="C285" s="206">
        <v>458</v>
      </c>
      <c r="D285" s="207">
        <f>IFERROR(C285/VLOOKUP(A285,Usinas!$A:$B,2,FALSE()),"")</f>
        <v>0.65710186513629842</v>
      </c>
    </row>
    <row r="286" spans="1:4" ht="12" customHeight="1" x14ac:dyDescent="0.3">
      <c r="A286" s="204" t="s">
        <v>549</v>
      </c>
      <c r="B286" s="205">
        <v>45968</v>
      </c>
      <c r="C286" s="206">
        <v>1153.8</v>
      </c>
      <c r="D286" s="207">
        <f>IFERROR(C286/VLOOKUP(A286,Usinas!$A:$B,2,FALSE()),"")</f>
        <v>1.655380200860832</v>
      </c>
    </row>
    <row r="287" spans="1:4" ht="12" customHeight="1" x14ac:dyDescent="0.3">
      <c r="A287" s="204" t="s">
        <v>549</v>
      </c>
      <c r="B287" s="205">
        <v>45969</v>
      </c>
      <c r="C287" s="206">
        <v>733</v>
      </c>
      <c r="D287" s="207">
        <f>IFERROR(C287/VLOOKUP(A287,Usinas!$A:$B,2,FALSE()),"")</f>
        <v>1.0516499282639886</v>
      </c>
    </row>
    <row r="288" spans="1:4" ht="12" customHeight="1" x14ac:dyDescent="0.3">
      <c r="A288" s="204" t="s">
        <v>549</v>
      </c>
      <c r="B288" s="205">
        <v>45969</v>
      </c>
      <c r="C288" s="206">
        <v>892.3</v>
      </c>
      <c r="D288" s="207">
        <f>IFERROR(C288/VLOOKUP(A288,Usinas!$A:$B,2,FALSE()),"")</f>
        <v>1.2802008608321376</v>
      </c>
    </row>
    <row r="289" spans="1:4" ht="12" customHeight="1" x14ac:dyDescent="0.3">
      <c r="A289" s="204" t="s">
        <v>549</v>
      </c>
      <c r="B289" s="205">
        <v>45970</v>
      </c>
      <c r="C289" s="206">
        <v>533</v>
      </c>
      <c r="D289" s="207">
        <f>IFERROR(C289/VLOOKUP(A289,Usinas!$A:$B,2,FALSE()),"")</f>
        <v>0.76470588235294112</v>
      </c>
    </row>
    <row r="290" spans="1:4" ht="12" customHeight="1" x14ac:dyDescent="0.3">
      <c r="A290" s="204" t="s">
        <v>549</v>
      </c>
      <c r="B290" s="205">
        <v>45970</v>
      </c>
      <c r="C290" s="206">
        <v>1368.3</v>
      </c>
      <c r="D290" s="207">
        <f>IFERROR(C290/VLOOKUP(A290,Usinas!$A:$B,2,FALSE()),"")</f>
        <v>1.9631276901004304</v>
      </c>
    </row>
    <row r="291" spans="1:4" ht="12" customHeight="1" x14ac:dyDescent="0.3">
      <c r="A291" s="204" t="s">
        <v>549</v>
      </c>
      <c r="B291" s="205">
        <v>45971</v>
      </c>
      <c r="C291" s="206">
        <v>1217</v>
      </c>
      <c r="D291" s="207">
        <f>IFERROR(C291/VLOOKUP(A291,Usinas!$A:$B,2,FALSE()),"")</f>
        <v>1.7460545193687231</v>
      </c>
    </row>
    <row r="292" spans="1:4" ht="12" customHeight="1" x14ac:dyDescent="0.3">
      <c r="A292" s="204" t="s">
        <v>549</v>
      </c>
      <c r="B292" s="205">
        <v>45971</v>
      </c>
      <c r="C292" s="206">
        <v>1341.5</v>
      </c>
      <c r="D292" s="207">
        <f>IFERROR(C292/VLOOKUP(A292,Usinas!$A:$B,2,FALSE()),"")</f>
        <v>1.92467718794835</v>
      </c>
    </row>
    <row r="293" spans="1:4" ht="12" customHeight="1" x14ac:dyDescent="0.3">
      <c r="A293" s="204" t="s">
        <v>549</v>
      </c>
      <c r="B293" s="205">
        <v>45972</v>
      </c>
      <c r="C293" s="206">
        <v>796</v>
      </c>
      <c r="D293" s="207">
        <f>IFERROR(C293/VLOOKUP(A293,Usinas!$A:$B,2,FALSE()),"")</f>
        <v>1.1420373027259685</v>
      </c>
    </row>
    <row r="294" spans="1:4" ht="12" customHeight="1" x14ac:dyDescent="0.3">
      <c r="A294" s="204" t="s">
        <v>549</v>
      </c>
      <c r="B294" s="205">
        <v>45972</v>
      </c>
      <c r="C294" s="206">
        <v>1305.2</v>
      </c>
      <c r="D294" s="207">
        <f>IFERROR(C294/VLOOKUP(A294,Usinas!$A:$B,2,FALSE()),"")</f>
        <v>1.8725968436154949</v>
      </c>
    </row>
    <row r="295" spans="1:4" ht="12" customHeight="1" x14ac:dyDescent="0.3">
      <c r="A295" s="204" t="s">
        <v>549</v>
      </c>
      <c r="B295" s="205">
        <v>45973</v>
      </c>
      <c r="C295" s="206">
        <v>395</v>
      </c>
      <c r="D295" s="207">
        <f>IFERROR(C295/VLOOKUP(A295,Usinas!$A:$B,2,FALSE()),"")</f>
        <v>0.56671449067431856</v>
      </c>
    </row>
    <row r="296" spans="1:4" ht="12" customHeight="1" x14ac:dyDescent="0.3">
      <c r="A296" s="204" t="s">
        <v>549</v>
      </c>
      <c r="B296" s="205">
        <v>45973</v>
      </c>
      <c r="C296" s="206">
        <v>1108.8</v>
      </c>
      <c r="D296" s="207">
        <f>IFERROR(C296/VLOOKUP(A296,Usinas!$A:$B,2,FALSE()),"")</f>
        <v>1.5908177905308465</v>
      </c>
    </row>
    <row r="297" spans="1:4" ht="12" customHeight="1" x14ac:dyDescent="0.3">
      <c r="A297" s="204" t="s">
        <v>549</v>
      </c>
      <c r="B297" s="205">
        <v>45974</v>
      </c>
      <c r="C297" s="206">
        <v>303</v>
      </c>
      <c r="D297" s="207">
        <f>IFERROR(C297/VLOOKUP(A297,Usinas!$A:$B,2,FALSE()),"")</f>
        <v>0.4347202295552367</v>
      </c>
    </row>
    <row r="298" spans="1:4" ht="12" customHeight="1" x14ac:dyDescent="0.3">
      <c r="A298" s="204" t="s">
        <v>549</v>
      </c>
      <c r="B298" s="205">
        <v>45974</v>
      </c>
      <c r="C298" s="206">
        <v>359.5</v>
      </c>
      <c r="D298" s="207">
        <f>IFERROR(C298/VLOOKUP(A298,Usinas!$A:$B,2,FALSE()),"")</f>
        <v>0.51578192252510757</v>
      </c>
    </row>
    <row r="299" spans="1:4" ht="12" customHeight="1" x14ac:dyDescent="0.3">
      <c r="A299" s="204" t="s">
        <v>549</v>
      </c>
      <c r="B299" s="205">
        <v>45975</v>
      </c>
      <c r="C299" s="206">
        <v>584</v>
      </c>
      <c r="D299" s="207">
        <f>IFERROR(C299/VLOOKUP(A299,Usinas!$A:$B,2,FALSE()),"")</f>
        <v>0.83787661406025826</v>
      </c>
    </row>
    <row r="300" spans="1:4" ht="12" customHeight="1" x14ac:dyDescent="0.3">
      <c r="A300" s="204" t="s">
        <v>549</v>
      </c>
      <c r="B300" s="205">
        <v>45975</v>
      </c>
      <c r="C300" s="206">
        <v>558.9</v>
      </c>
      <c r="D300" s="207">
        <f>IFERROR(C300/VLOOKUP(A300,Usinas!$A:$B,2,FALSE()),"")</f>
        <v>0.80186513629842182</v>
      </c>
    </row>
    <row r="301" spans="1:4" ht="12" customHeight="1" x14ac:dyDescent="0.3">
      <c r="A301" s="204" t="s">
        <v>549</v>
      </c>
      <c r="B301" s="205">
        <v>45976</v>
      </c>
      <c r="C301" s="206">
        <v>253</v>
      </c>
      <c r="D301" s="207">
        <f>IFERROR(C301/VLOOKUP(A301,Usinas!$A:$B,2,FALSE()),"")</f>
        <v>0.36298421807747488</v>
      </c>
    </row>
    <row r="302" spans="1:4" ht="12" customHeight="1" x14ac:dyDescent="0.3">
      <c r="A302" s="204" t="s">
        <v>549</v>
      </c>
      <c r="B302" s="205">
        <v>45976</v>
      </c>
      <c r="C302" s="206">
        <v>311</v>
      </c>
      <c r="D302" s="207">
        <f>IFERROR(C302/VLOOKUP(A302,Usinas!$A:$B,2,FALSE()),"")</f>
        <v>0.44619799139167865</v>
      </c>
    </row>
    <row r="303" spans="1:4" ht="12" customHeight="1" x14ac:dyDescent="0.3">
      <c r="A303" s="204" t="s">
        <v>549</v>
      </c>
      <c r="B303" s="205">
        <v>45977</v>
      </c>
      <c r="C303" s="206">
        <v>67</v>
      </c>
      <c r="D303" s="207">
        <f>IFERROR(C303/VLOOKUP(A303,Usinas!$A:$B,2,FALSE()),"")</f>
        <v>9.6126255380200865E-2</v>
      </c>
    </row>
    <row r="304" spans="1:4" ht="12" customHeight="1" x14ac:dyDescent="0.3">
      <c r="A304" s="204" t="s">
        <v>549</v>
      </c>
      <c r="B304" s="205">
        <v>45977</v>
      </c>
      <c r="C304" s="206">
        <v>769.2</v>
      </c>
      <c r="D304" s="207">
        <f>IFERROR(C304/VLOOKUP(A304,Usinas!$A:$B,2,FALSE()),"")</f>
        <v>1.1035868005738882</v>
      </c>
    </row>
    <row r="305" spans="1:4" ht="12" customHeight="1" x14ac:dyDescent="0.3">
      <c r="A305" s="204" t="s">
        <v>549</v>
      </c>
      <c r="B305" s="205">
        <v>45978</v>
      </c>
      <c r="C305" s="206">
        <v>437</v>
      </c>
      <c r="D305" s="207">
        <f>IFERROR(C305/VLOOKUP(A305,Usinas!$A:$B,2,FALSE()),"")</f>
        <v>0.62697274031563843</v>
      </c>
    </row>
    <row r="306" spans="1:4" ht="12" customHeight="1" x14ac:dyDescent="0.3">
      <c r="A306" s="204" t="s">
        <v>549</v>
      </c>
      <c r="B306" s="205">
        <v>45978</v>
      </c>
      <c r="C306" s="206">
        <v>428.8</v>
      </c>
      <c r="D306" s="207">
        <f>IFERROR(C306/VLOOKUP(A306,Usinas!$A:$B,2,FALSE()),"")</f>
        <v>0.61520803443328553</v>
      </c>
    </row>
    <row r="307" spans="1:4" ht="12" customHeight="1" x14ac:dyDescent="0.3">
      <c r="A307" s="204" t="s">
        <v>549</v>
      </c>
      <c r="B307" s="205">
        <v>45979</v>
      </c>
      <c r="C307" s="206">
        <v>50</v>
      </c>
      <c r="D307" s="207">
        <f>IFERROR(C307/VLOOKUP(A307,Usinas!$A:$B,2,FALSE()),"")</f>
        <v>7.1736011477761832E-2</v>
      </c>
    </row>
    <row r="308" spans="1:4" ht="12" customHeight="1" x14ac:dyDescent="0.3">
      <c r="A308" s="204" t="s">
        <v>549</v>
      </c>
      <c r="B308" s="205">
        <v>45979</v>
      </c>
      <c r="C308" s="206">
        <v>178.6</v>
      </c>
      <c r="D308" s="207">
        <f>IFERROR(C308/VLOOKUP(A308,Usinas!$A:$B,2,FALSE()),"")</f>
        <v>0.25624103299856527</v>
      </c>
    </row>
    <row r="309" spans="1:4" ht="12" customHeight="1" x14ac:dyDescent="0.3">
      <c r="A309" s="204" t="s">
        <v>549</v>
      </c>
      <c r="B309" s="205">
        <v>45980</v>
      </c>
      <c r="C309" s="206">
        <v>995</v>
      </c>
      <c r="D309" s="207">
        <f>IFERROR(C309/VLOOKUP(A309,Usinas!$A:$B,2,FALSE()),"")</f>
        <v>1.4275466284074605</v>
      </c>
    </row>
    <row r="310" spans="1:4" ht="12" customHeight="1" x14ac:dyDescent="0.3">
      <c r="A310" s="204" t="s">
        <v>549</v>
      </c>
      <c r="B310" s="205">
        <v>45980</v>
      </c>
      <c r="C310" s="206">
        <v>1321</v>
      </c>
      <c r="D310" s="207">
        <f>IFERROR(C310/VLOOKUP(A310,Usinas!$A:$B,2,FALSE()),"")</f>
        <v>1.8952654232424677</v>
      </c>
    </row>
    <row r="311" spans="1:4" ht="12" customHeight="1" x14ac:dyDescent="0.3">
      <c r="A311" s="204" t="s">
        <v>549</v>
      </c>
      <c r="B311" s="205">
        <v>45981</v>
      </c>
      <c r="C311" s="206">
        <v>877</v>
      </c>
      <c r="D311" s="207">
        <f>IFERROR(C311/VLOOKUP(A311,Usinas!$A:$B,2,FALSE()),"")</f>
        <v>1.2582496413199427</v>
      </c>
    </row>
    <row r="312" spans="1:4" ht="12" customHeight="1" x14ac:dyDescent="0.3">
      <c r="A312" s="204" t="s">
        <v>549</v>
      </c>
      <c r="B312" s="205">
        <v>45981</v>
      </c>
      <c r="C312" s="206">
        <v>1309.4000000000001</v>
      </c>
      <c r="D312" s="207">
        <f>IFERROR(C312/VLOOKUP(A312,Usinas!$A:$B,2,FALSE()),"")</f>
        <v>1.878622668579627</v>
      </c>
    </row>
    <row r="313" spans="1:4" ht="12" customHeight="1" x14ac:dyDescent="0.3">
      <c r="A313" s="204" t="s">
        <v>549</v>
      </c>
      <c r="B313" s="205">
        <v>45982</v>
      </c>
      <c r="C313" s="206">
        <v>712</v>
      </c>
      <c r="D313" s="207">
        <f>IFERROR(C313/VLOOKUP(A313,Usinas!$A:$B,2,FALSE()),"")</f>
        <v>1.0215208034433285</v>
      </c>
    </row>
    <row r="314" spans="1:4" ht="12" customHeight="1" x14ac:dyDescent="0.3">
      <c r="A314" s="204" t="s">
        <v>549</v>
      </c>
      <c r="B314" s="205">
        <v>45982</v>
      </c>
      <c r="C314" s="206">
        <v>1242</v>
      </c>
      <c r="D314" s="207">
        <f>IFERROR(C314/VLOOKUP(A314,Usinas!$A:$B,2,FALSE()),"")</f>
        <v>1.7819225251076041</v>
      </c>
    </row>
    <row r="315" spans="1:4" ht="12" customHeight="1" x14ac:dyDescent="0.3">
      <c r="A315" s="204" t="s">
        <v>549</v>
      </c>
      <c r="B315" s="205">
        <v>45983</v>
      </c>
      <c r="C315" s="206">
        <v>732</v>
      </c>
      <c r="D315" s="207">
        <f>IFERROR(C315/VLOOKUP(A315,Usinas!$A:$B,2,FALSE()),"")</f>
        <v>1.0502152080344334</v>
      </c>
    </row>
    <row r="316" spans="1:4" ht="12" customHeight="1" x14ac:dyDescent="0.3">
      <c r="A316" s="204" t="s">
        <v>549</v>
      </c>
      <c r="B316" s="205">
        <v>45983</v>
      </c>
      <c r="C316" s="206">
        <v>1150.5</v>
      </c>
      <c r="D316" s="207">
        <f>IFERROR(C316/VLOOKUP(A316,Usinas!$A:$B,2,FALSE()),"")</f>
        <v>1.6506456241032998</v>
      </c>
    </row>
    <row r="317" spans="1:4" ht="12" customHeight="1" x14ac:dyDescent="0.3">
      <c r="A317" s="204" t="s">
        <v>549</v>
      </c>
      <c r="B317" s="205">
        <v>45988</v>
      </c>
      <c r="C317" s="206">
        <v>12</v>
      </c>
      <c r="D317" s="207">
        <f>IFERROR(C317/VLOOKUP(A317,Usinas!$A:$B,2,FALSE()),"")</f>
        <v>1.721664275466284E-2</v>
      </c>
    </row>
    <row r="318" spans="1:4" ht="12" customHeight="1" x14ac:dyDescent="0.3">
      <c r="A318" s="204" t="s">
        <v>549</v>
      </c>
      <c r="B318" s="205">
        <v>45988</v>
      </c>
      <c r="C318" s="206">
        <v>216.9</v>
      </c>
      <c r="D318" s="207">
        <f>IFERROR(C318/VLOOKUP(A318,Usinas!$A:$B,2,FALSE()),"")</f>
        <v>0.31119081779053087</v>
      </c>
    </row>
    <row r="319" spans="1:4" ht="12" customHeight="1" x14ac:dyDescent="0.3">
      <c r="A319" s="204" t="s">
        <v>549</v>
      </c>
      <c r="B319" s="205">
        <v>45989</v>
      </c>
      <c r="C319" s="206">
        <v>174</v>
      </c>
      <c r="D319" s="207">
        <f>IFERROR(C319/VLOOKUP(A319,Usinas!$A:$B,2,FALSE()),"")</f>
        <v>0.24964131994261118</v>
      </c>
    </row>
    <row r="320" spans="1:4" ht="12" customHeight="1" x14ac:dyDescent="0.3">
      <c r="A320" s="204" t="s">
        <v>549</v>
      </c>
      <c r="B320" s="205">
        <v>45989</v>
      </c>
      <c r="C320" s="206">
        <v>1216.2</v>
      </c>
      <c r="D320" s="207">
        <f>IFERROR(C320/VLOOKUP(A320,Usinas!$A:$B,2,FALSE()),"")</f>
        <v>1.7449067431850789</v>
      </c>
    </row>
    <row r="321" spans="1:4" ht="12" customHeight="1" x14ac:dyDescent="0.3">
      <c r="A321" s="204" t="s">
        <v>549</v>
      </c>
      <c r="B321" s="205">
        <v>45990</v>
      </c>
      <c r="C321" s="206">
        <v>42</v>
      </c>
      <c r="D321" s="207">
        <f>IFERROR(C321/VLOOKUP(A321,Usinas!$A:$B,2,FALSE()),"")</f>
        <v>6.0258249641319941E-2</v>
      </c>
    </row>
    <row r="322" spans="1:4" ht="12" customHeight="1" x14ac:dyDescent="0.3">
      <c r="A322" s="204" t="s">
        <v>549</v>
      </c>
      <c r="B322" s="205">
        <v>45990</v>
      </c>
      <c r="C322" s="206">
        <v>1176.9000000000001</v>
      </c>
      <c r="D322" s="207">
        <f>IFERROR(C322/VLOOKUP(A322,Usinas!$A:$B,2,FALSE()),"")</f>
        <v>1.6885222381635583</v>
      </c>
    </row>
    <row r="323" spans="1:4" ht="12" customHeight="1" x14ac:dyDescent="0.3">
      <c r="A323" s="204" t="s">
        <v>549</v>
      </c>
      <c r="B323" s="205">
        <v>45991</v>
      </c>
      <c r="C323" s="206">
        <v>416</v>
      </c>
      <c r="D323" s="207">
        <f>IFERROR(C323/VLOOKUP(A323,Usinas!$A:$B,2,FALSE()),"")</f>
        <v>0.59684361549497844</v>
      </c>
    </row>
    <row r="324" spans="1:4" ht="12" customHeight="1" x14ac:dyDescent="0.3">
      <c r="A324" s="204" t="s">
        <v>549</v>
      </c>
      <c r="B324" s="205">
        <v>45991</v>
      </c>
      <c r="C324" s="206">
        <v>1144.9000000000001</v>
      </c>
      <c r="D324" s="207">
        <f>IFERROR(C324/VLOOKUP(A324,Usinas!$A:$B,2,FALSE()),"")</f>
        <v>1.6426111908177907</v>
      </c>
    </row>
    <row r="325" spans="1:4" ht="12" customHeight="1" x14ac:dyDescent="0.3">
      <c r="A325" s="204" t="s">
        <v>549</v>
      </c>
      <c r="B325" s="205">
        <v>45992</v>
      </c>
      <c r="C325" s="206">
        <v>391.2</v>
      </c>
      <c r="D325" s="207">
        <f>IFERROR(C325/VLOOKUP(A325,Usinas!$A:$B,2,FALSE()),"")</f>
        <v>0.56126255380200862</v>
      </c>
    </row>
    <row r="326" spans="1:4" ht="12" customHeight="1" x14ac:dyDescent="0.3">
      <c r="A326" s="204" t="s">
        <v>549</v>
      </c>
      <c r="B326" s="205">
        <v>45992</v>
      </c>
      <c r="C326" s="206">
        <v>462.5</v>
      </c>
      <c r="D326" s="207">
        <f>IFERROR(C326/VLOOKUP(A326,Usinas!$A:$B,2,FALSE()),"")</f>
        <v>0.663558106169297</v>
      </c>
    </row>
    <row r="327" spans="1:4" ht="12" customHeight="1" x14ac:dyDescent="0.3">
      <c r="A327" s="204" t="s">
        <v>549</v>
      </c>
      <c r="B327" s="205">
        <v>45993</v>
      </c>
      <c r="C327" s="206">
        <v>789.2</v>
      </c>
      <c r="D327" s="207">
        <f>IFERROR(C327/VLOOKUP(A327,Usinas!$A:$B,2,FALSE()),"")</f>
        <v>1.1322812051649929</v>
      </c>
    </row>
    <row r="328" spans="1:4" ht="12" customHeight="1" x14ac:dyDescent="0.3">
      <c r="A328" s="204" t="s">
        <v>549</v>
      </c>
      <c r="B328" s="205">
        <v>45993</v>
      </c>
      <c r="C328" s="206">
        <v>965.7</v>
      </c>
      <c r="D328" s="207">
        <f>IFERROR(C328/VLOOKUP(A328,Usinas!$A:$B,2,FALSE()),"")</f>
        <v>1.3855093256814921</v>
      </c>
    </row>
    <row r="329" spans="1:4" ht="12" customHeight="1" x14ac:dyDescent="0.3">
      <c r="A329" s="204" t="s">
        <v>549</v>
      </c>
      <c r="B329" s="205">
        <v>45994</v>
      </c>
      <c r="C329" s="206">
        <v>4.5999999999999996</v>
      </c>
      <c r="D329" s="207">
        <f>IFERROR(C329/VLOOKUP(A329,Usinas!$A:$B,2,FALSE()),"")</f>
        <v>6.5997130559540887E-3</v>
      </c>
    </row>
    <row r="330" spans="1:4" ht="12" customHeight="1" x14ac:dyDescent="0.3">
      <c r="A330" s="204" t="s">
        <v>549</v>
      </c>
      <c r="B330" s="205">
        <v>45994</v>
      </c>
      <c r="C330" s="206">
        <v>17.8</v>
      </c>
      <c r="D330" s="207">
        <f>IFERROR(C330/VLOOKUP(A330,Usinas!$A:$B,2,FALSE()),"")</f>
        <v>2.5538020086083215E-2</v>
      </c>
    </row>
    <row r="331" spans="1:4" ht="12" customHeight="1" x14ac:dyDescent="0.3">
      <c r="A331" s="204" t="s">
        <v>549</v>
      </c>
      <c r="B331" s="205">
        <v>46010</v>
      </c>
      <c r="C331" s="206">
        <v>358</v>
      </c>
      <c r="D331" s="207">
        <f>IFERROR(C331/VLOOKUP(A331,Usinas!$A:$B,2,FALSE()),"")</f>
        <v>0.51362984218077479</v>
      </c>
    </row>
    <row r="332" spans="1:4" ht="12" customHeight="1" x14ac:dyDescent="0.3">
      <c r="A332" s="204" t="s">
        <v>549</v>
      </c>
      <c r="B332" s="205">
        <v>46010</v>
      </c>
      <c r="C332" s="206">
        <v>594.70000000000005</v>
      </c>
      <c r="D332" s="207">
        <f>IFERROR(C332/VLOOKUP(A332,Usinas!$A:$B,2,FALSE()),"")</f>
        <v>0.85322812051649932</v>
      </c>
    </row>
    <row r="333" spans="1:4" ht="12" customHeight="1" x14ac:dyDescent="0.3">
      <c r="A333" s="204" t="s">
        <v>549</v>
      </c>
      <c r="B333" s="205">
        <v>46011</v>
      </c>
      <c r="C333" s="206">
        <v>547.79999999999995</v>
      </c>
      <c r="D333" s="207">
        <f>IFERROR(C333/VLOOKUP(A333,Usinas!$A:$B,2,FALSE()),"")</f>
        <v>0.78593974175035863</v>
      </c>
    </row>
    <row r="334" spans="1:4" ht="12" customHeight="1" x14ac:dyDescent="0.3">
      <c r="A334" s="204" t="s">
        <v>549</v>
      </c>
      <c r="B334" s="205">
        <v>46011</v>
      </c>
      <c r="C334" s="206">
        <v>1094.9000000000001</v>
      </c>
      <c r="D334" s="207">
        <f>IFERROR(C334/VLOOKUP(A334,Usinas!$A:$B,2,FALSE()),"")</f>
        <v>1.5708751793400288</v>
      </c>
    </row>
    <row r="335" spans="1:4" ht="12" customHeight="1" x14ac:dyDescent="0.3">
      <c r="A335" s="204" t="s">
        <v>549</v>
      </c>
      <c r="B335" s="205">
        <v>46012</v>
      </c>
      <c r="C335" s="206">
        <v>807.7</v>
      </c>
      <c r="D335" s="207">
        <f>IFERROR(C335/VLOOKUP(A335,Usinas!$A:$B,2,FALSE()),"")</f>
        <v>1.1588235294117648</v>
      </c>
    </row>
    <row r="336" spans="1:4" ht="12" customHeight="1" x14ac:dyDescent="0.3">
      <c r="A336" s="204" t="s">
        <v>549</v>
      </c>
      <c r="B336" s="205">
        <v>46012</v>
      </c>
      <c r="C336" s="206">
        <v>974.5</v>
      </c>
      <c r="D336" s="207">
        <f>IFERROR(C336/VLOOKUP(A336,Usinas!$A:$B,2,FALSE()),"")</f>
        <v>1.3981348637015782</v>
      </c>
    </row>
    <row r="337" spans="1:4" ht="12" customHeight="1" x14ac:dyDescent="0.3">
      <c r="A337" s="204" t="s">
        <v>549</v>
      </c>
      <c r="B337" s="205">
        <v>46013</v>
      </c>
      <c r="C337" s="206">
        <v>221.2</v>
      </c>
      <c r="D337" s="207">
        <f>IFERROR(C337/VLOOKUP(A337,Usinas!$A:$B,2,FALSE()),"")</f>
        <v>0.31736011477761833</v>
      </c>
    </row>
    <row r="338" spans="1:4" ht="12" customHeight="1" x14ac:dyDescent="0.3">
      <c r="A338" s="204" t="s">
        <v>549</v>
      </c>
      <c r="B338" s="205">
        <v>46013</v>
      </c>
      <c r="C338" s="206">
        <v>1138.0999999999999</v>
      </c>
      <c r="D338" s="207">
        <f>IFERROR(C338/VLOOKUP(A338,Usinas!$A:$B,2,FALSE()),"")</f>
        <v>1.6328550932568149</v>
      </c>
    </row>
    <row r="339" spans="1:4" ht="12" customHeight="1" x14ac:dyDescent="0.3">
      <c r="A339" s="204" t="s">
        <v>549</v>
      </c>
      <c r="B339" s="205">
        <v>46014</v>
      </c>
      <c r="C339" s="206">
        <v>611.20000000000005</v>
      </c>
      <c r="D339" s="207">
        <f>IFERROR(C339/VLOOKUP(A339,Usinas!$A:$B,2,FALSE()),"")</f>
        <v>0.87690100430416074</v>
      </c>
    </row>
    <row r="340" spans="1:4" ht="12" customHeight="1" x14ac:dyDescent="0.3">
      <c r="A340" s="204" t="s">
        <v>549</v>
      </c>
      <c r="B340" s="205">
        <v>46014</v>
      </c>
      <c r="C340" s="206">
        <v>1085.5</v>
      </c>
      <c r="D340" s="207">
        <f>IFERROR(C340/VLOOKUP(A340,Usinas!$A:$B,2,FALSE()),"")</f>
        <v>1.5573888091822095</v>
      </c>
    </row>
    <row r="341" spans="1:4" ht="12" customHeight="1" x14ac:dyDescent="0.3">
      <c r="A341" s="204" t="s">
        <v>549</v>
      </c>
      <c r="B341" s="205">
        <v>46015</v>
      </c>
      <c r="C341" s="206">
        <v>477.5</v>
      </c>
      <c r="D341" s="207">
        <f>IFERROR(C341/VLOOKUP(A341,Usinas!$A:$B,2,FALSE()),"")</f>
        <v>0.68507890961262552</v>
      </c>
    </row>
    <row r="342" spans="1:4" ht="12" customHeight="1" x14ac:dyDescent="0.3">
      <c r="A342" s="204" t="s">
        <v>549</v>
      </c>
      <c r="B342" s="205">
        <v>46015</v>
      </c>
      <c r="C342" s="206">
        <v>1153.5</v>
      </c>
      <c r="D342" s="207">
        <f>IFERROR(C342/VLOOKUP(A342,Usinas!$A:$B,2,FALSE()),"")</f>
        <v>1.6549497847919656</v>
      </c>
    </row>
    <row r="343" spans="1:4" ht="12" customHeight="1" x14ac:dyDescent="0.3">
      <c r="A343" s="204" t="s">
        <v>549</v>
      </c>
      <c r="B343" s="205">
        <v>46016</v>
      </c>
      <c r="C343" s="206">
        <v>579.20000000000005</v>
      </c>
      <c r="D343" s="207">
        <f>IFERROR(C343/VLOOKUP(A343,Usinas!$A:$B,2,FALSE()),"")</f>
        <v>0.83098995695839317</v>
      </c>
    </row>
    <row r="344" spans="1:4" ht="12" customHeight="1" x14ac:dyDescent="0.3">
      <c r="A344" s="204" t="s">
        <v>549</v>
      </c>
      <c r="B344" s="205">
        <v>46016</v>
      </c>
      <c r="C344" s="206">
        <v>1123.2</v>
      </c>
      <c r="D344" s="207">
        <f>IFERROR(C344/VLOOKUP(A344,Usinas!$A:$B,2,FALSE()),"")</f>
        <v>1.611477761836442</v>
      </c>
    </row>
    <row r="345" spans="1:4" ht="12" customHeight="1" x14ac:dyDescent="0.3">
      <c r="A345" s="204" t="s">
        <v>549</v>
      </c>
      <c r="B345" s="205">
        <v>46017</v>
      </c>
      <c r="C345" s="206">
        <v>158.69999999999999</v>
      </c>
      <c r="D345" s="207">
        <f>IFERROR(C345/VLOOKUP(A345,Usinas!$A:$B,2,FALSE()),"")</f>
        <v>0.22769010043041604</v>
      </c>
    </row>
    <row r="346" spans="1:4" ht="12" customHeight="1" x14ac:dyDescent="0.3">
      <c r="A346" s="204" t="s">
        <v>549</v>
      </c>
      <c r="B346" s="205">
        <v>46017</v>
      </c>
      <c r="C346" s="206">
        <v>837.3</v>
      </c>
      <c r="D346" s="207">
        <f>IFERROR(C346/VLOOKUP(A346,Usinas!$A:$B,2,FALSE()),"")</f>
        <v>1.2012912482065996</v>
      </c>
    </row>
    <row r="347" spans="1:4" ht="12" customHeight="1" x14ac:dyDescent="0.3">
      <c r="A347" s="204" t="s">
        <v>549</v>
      </c>
      <c r="B347" s="205">
        <v>46018</v>
      </c>
      <c r="C347" s="206">
        <v>525</v>
      </c>
      <c r="D347" s="207">
        <f>IFERROR(C347/VLOOKUP(A347,Usinas!$A:$B,2,FALSE()),"")</f>
        <v>0.75322812051649923</v>
      </c>
    </row>
    <row r="348" spans="1:4" ht="12" customHeight="1" x14ac:dyDescent="0.3">
      <c r="A348" s="204" t="s">
        <v>549</v>
      </c>
      <c r="B348" s="205">
        <v>46018</v>
      </c>
      <c r="C348" s="206">
        <v>981.8</v>
      </c>
      <c r="D348" s="207">
        <f>IFERROR(C348/VLOOKUP(A348,Usinas!$A:$B,2,FALSE()),"")</f>
        <v>1.4086083213773313</v>
      </c>
    </row>
    <row r="349" spans="1:4" ht="12" customHeight="1" x14ac:dyDescent="0.3">
      <c r="A349" s="204" t="s">
        <v>549</v>
      </c>
      <c r="B349" s="205">
        <v>46019</v>
      </c>
      <c r="C349" s="206">
        <v>469.2</v>
      </c>
      <c r="D349" s="207">
        <f>IFERROR(C349/VLOOKUP(A349,Usinas!$A:$B,2,FALSE()),"")</f>
        <v>0.673170731707317</v>
      </c>
    </row>
    <row r="350" spans="1:4" ht="12" customHeight="1" x14ac:dyDescent="0.3">
      <c r="A350" s="204" t="s">
        <v>549</v>
      </c>
      <c r="B350" s="205">
        <v>46019</v>
      </c>
      <c r="C350" s="206">
        <v>113.9</v>
      </c>
      <c r="D350" s="207">
        <f>IFERROR(C350/VLOOKUP(A350,Usinas!$A:$B,2,FALSE()),"")</f>
        <v>0.16341463414634147</v>
      </c>
    </row>
    <row r="351" spans="1:4" ht="12" customHeight="1" x14ac:dyDescent="0.3">
      <c r="A351" s="204" t="s">
        <v>549</v>
      </c>
      <c r="B351" s="205">
        <v>46020</v>
      </c>
      <c r="C351" s="206">
        <v>259.5</v>
      </c>
      <c r="D351" s="207">
        <f>IFERROR(C351/VLOOKUP(A351,Usinas!$A:$B,2,FALSE()),"")</f>
        <v>0.37230989956958394</v>
      </c>
    </row>
    <row r="352" spans="1:4" ht="12" customHeight="1" x14ac:dyDescent="0.3">
      <c r="A352" s="204" t="s">
        <v>549</v>
      </c>
      <c r="B352" s="205">
        <v>46020</v>
      </c>
      <c r="C352" s="206">
        <v>935.7</v>
      </c>
      <c r="D352" s="207">
        <f>IFERROR(C352/VLOOKUP(A352,Usinas!$A:$B,2,FALSE()),"")</f>
        <v>1.3424677187948351</v>
      </c>
    </row>
    <row r="353" spans="1:4" ht="12" customHeight="1" x14ac:dyDescent="0.3">
      <c r="A353" s="204" t="s">
        <v>549</v>
      </c>
      <c r="B353" s="205">
        <v>46021</v>
      </c>
      <c r="C353" s="206">
        <v>386.8</v>
      </c>
      <c r="D353" s="207">
        <f>IFERROR(C353/VLOOKUP(A353,Usinas!$A:$B,2,FALSE()),"")</f>
        <v>0.55494978479196555</v>
      </c>
    </row>
    <row r="354" spans="1:4" ht="12" customHeight="1" x14ac:dyDescent="0.3">
      <c r="A354" s="204" t="s">
        <v>549</v>
      </c>
      <c r="B354" s="205">
        <v>46021</v>
      </c>
      <c r="C354" s="206">
        <v>867.7</v>
      </c>
      <c r="D354" s="207">
        <f>IFERROR(C354/VLOOKUP(A354,Usinas!$A:$B,2,FALSE()),"")</f>
        <v>1.2449067431850789</v>
      </c>
    </row>
    <row r="355" spans="1:4" ht="12" customHeight="1" x14ac:dyDescent="0.3">
      <c r="A355" s="204" t="s">
        <v>549</v>
      </c>
      <c r="B355" s="205">
        <v>46022</v>
      </c>
      <c r="C355" s="206">
        <v>43.6</v>
      </c>
      <c r="D355" s="207">
        <f>IFERROR(C355/VLOOKUP(A355,Usinas!$A:$B,2,FALSE()),"")</f>
        <v>6.2553802008608328E-2</v>
      </c>
    </row>
    <row r="356" spans="1:4" ht="12" customHeight="1" x14ac:dyDescent="0.3">
      <c r="A356" s="204" t="s">
        <v>549</v>
      </c>
      <c r="B356" s="205">
        <v>46022</v>
      </c>
      <c r="C356" s="206">
        <v>990.9</v>
      </c>
      <c r="D356" s="207">
        <f>IFERROR(C356/VLOOKUP(A356,Usinas!$A:$B,2,FALSE()),"")</f>
        <v>1.421664275466284</v>
      </c>
    </row>
    <row r="357" spans="1:4" ht="12" customHeight="1" x14ac:dyDescent="0.3">
      <c r="A357" s="204"/>
      <c r="B357" s="205"/>
      <c r="C357" s="206"/>
      <c r="D357" s="207"/>
    </row>
    <row r="358" spans="1:4" ht="12" customHeight="1" x14ac:dyDescent="0.3">
      <c r="A358" s="204"/>
      <c r="B358" s="205"/>
      <c r="C358" s="206"/>
      <c r="D358" s="207"/>
    </row>
  </sheetData>
  <autoFilter ref="A1:D356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3F1DB"/>
  </sheetPr>
  <dimension ref="A1:AH366"/>
  <sheetViews>
    <sheetView zoomScaleNormal="100" workbookViewId="0">
      <selection activeCell="M24" sqref="M24"/>
    </sheetView>
  </sheetViews>
  <sheetFormatPr defaultColWidth="12.54296875" defaultRowHeight="13" outlineLevelCol="1" x14ac:dyDescent="0.3"/>
  <cols>
    <col min="1" max="1" width="20.453125" style="201" customWidth="1"/>
    <col min="2" max="2" width="10.08984375" style="201" customWidth="1"/>
    <col min="3" max="3" width="15.26953125" style="201" customWidth="1"/>
    <col min="4" max="4" width="19.453125" style="201" customWidth="1"/>
    <col min="5" max="5" width="12.54296875" style="201"/>
    <col min="6" max="6" width="16.453125" style="201" hidden="1" customWidth="1" outlineLevel="1"/>
    <col min="7" max="7" width="11.54296875" style="201" hidden="1" customWidth="1" outlineLevel="1"/>
    <col min="8" max="8" width="11.54296875" style="201" customWidth="1"/>
    <col min="9" max="16384" width="12.54296875" style="201"/>
  </cols>
  <sheetData>
    <row r="1" spans="1:10" ht="15.75" customHeight="1" x14ac:dyDescent="0.3">
      <c r="A1" s="202" t="s">
        <v>545</v>
      </c>
      <c r="B1" s="202" t="s">
        <v>546</v>
      </c>
      <c r="C1" s="203" t="s">
        <v>547</v>
      </c>
      <c r="D1" s="202" t="s">
        <v>548</v>
      </c>
    </row>
    <row r="2" spans="1:10" ht="15.75" customHeight="1" x14ac:dyDescent="0.3">
      <c r="A2" s="204" t="s">
        <v>555</v>
      </c>
      <c r="B2" s="205">
        <v>45658</v>
      </c>
      <c r="C2" s="215">
        <v>3715.4</v>
      </c>
      <c r="D2" s="207">
        <f>IFERROR(C2/VLOOKUP(A2,Usinas!$A:$B,2,FALSE()),"")</f>
        <v>5.2925925925925927</v>
      </c>
      <c r="F2" s="208" t="s">
        <v>550</v>
      </c>
      <c r="G2" s="208"/>
      <c r="H2" s="208" t="s">
        <v>37</v>
      </c>
      <c r="I2" s="208" t="s">
        <v>551</v>
      </c>
      <c r="J2" s="208" t="s">
        <v>552</v>
      </c>
    </row>
    <row r="3" spans="1:10" ht="15.75" customHeight="1" x14ac:dyDescent="0.3">
      <c r="A3" s="204" t="s">
        <v>555</v>
      </c>
      <c r="B3" s="205">
        <v>45659</v>
      </c>
      <c r="C3" s="215">
        <v>2498.6</v>
      </c>
      <c r="D3" s="207">
        <f>IFERROR(C3/VLOOKUP(A3,Usinas!$A:$B,2,FALSE()),"")</f>
        <v>3.5592592592592593</v>
      </c>
      <c r="F3" s="211">
        <f>+B2</f>
        <v>45658</v>
      </c>
      <c r="G3" s="211">
        <f>+B32</f>
        <v>45688</v>
      </c>
      <c r="H3" s="212">
        <f t="shared" ref="H3:H14" si="0">+F3</f>
        <v>45658</v>
      </c>
      <c r="I3" s="213">
        <f t="shared" ref="I3:I14" si="1">SUMIFS($C$1:$C$366, $B$1:$B$366, "&gt;="&amp;F3, $B$1:$B$366, "&lt;="&amp;G3)</f>
        <v>114258.99999999996</v>
      </c>
      <c r="J3" s="213">
        <f t="shared" ref="J3:J14" si="2">+I3/1000</f>
        <v>114.25899999999996</v>
      </c>
    </row>
    <row r="4" spans="1:10" ht="15.75" customHeight="1" x14ac:dyDescent="0.3">
      <c r="A4" s="204" t="s">
        <v>555</v>
      </c>
      <c r="B4" s="205">
        <v>45660</v>
      </c>
      <c r="C4" s="215">
        <v>4061.9</v>
      </c>
      <c r="D4" s="207">
        <f>IFERROR(C4/VLOOKUP(A4,Usinas!$A:$B,2,FALSE()),"")</f>
        <v>5.7861823361823363</v>
      </c>
      <c r="F4" s="211">
        <f>+B33</f>
        <v>45689</v>
      </c>
      <c r="G4" s="211">
        <f>+F4+27</f>
        <v>45716</v>
      </c>
      <c r="H4" s="212">
        <f t="shared" si="0"/>
        <v>45689</v>
      </c>
      <c r="I4" s="213">
        <f t="shared" si="1"/>
        <v>91131.900000000009</v>
      </c>
      <c r="J4" s="213">
        <f t="shared" si="2"/>
        <v>91.131900000000002</v>
      </c>
    </row>
    <row r="5" spans="1:10" ht="15.75" customHeight="1" x14ac:dyDescent="0.3">
      <c r="A5" s="204" t="s">
        <v>555</v>
      </c>
      <c r="B5" s="205">
        <v>45661</v>
      </c>
      <c r="C5" s="215">
        <v>3262.5</v>
      </c>
      <c r="D5" s="207">
        <f>IFERROR(C5/VLOOKUP(A5,Usinas!$A:$B,2,FALSE()),"")</f>
        <v>4.6474358974358978</v>
      </c>
      <c r="F5" s="211">
        <f t="shared" ref="F5:F14" si="3">+G4+1</f>
        <v>45717</v>
      </c>
      <c r="G5" s="211">
        <f>+F5+30</f>
        <v>45747</v>
      </c>
      <c r="H5" s="212">
        <f t="shared" si="0"/>
        <v>45717</v>
      </c>
      <c r="I5" s="213">
        <f t="shared" si="1"/>
        <v>103061.89999999998</v>
      </c>
      <c r="J5" s="213">
        <f t="shared" si="2"/>
        <v>103.06189999999998</v>
      </c>
    </row>
    <row r="6" spans="1:10" ht="15.75" customHeight="1" x14ac:dyDescent="0.3">
      <c r="A6" s="204" t="s">
        <v>555</v>
      </c>
      <c r="B6" s="205">
        <v>45662</v>
      </c>
      <c r="C6" s="215">
        <v>4061</v>
      </c>
      <c r="D6" s="207">
        <f>IFERROR(C6/VLOOKUP(A6,Usinas!$A:$B,2,FALSE()),"")</f>
        <v>5.7849002849002851</v>
      </c>
      <c r="F6" s="211">
        <f t="shared" si="3"/>
        <v>45748</v>
      </c>
      <c r="G6" s="211">
        <f>+F6+29</f>
        <v>45777</v>
      </c>
      <c r="H6" s="212">
        <f t="shared" si="0"/>
        <v>45748</v>
      </c>
      <c r="I6" s="213">
        <f t="shared" si="1"/>
        <v>73709.7</v>
      </c>
      <c r="J6" s="213">
        <f t="shared" si="2"/>
        <v>73.709699999999998</v>
      </c>
    </row>
    <row r="7" spans="1:10" ht="15.75" customHeight="1" x14ac:dyDescent="0.3">
      <c r="A7" s="204" t="s">
        <v>555</v>
      </c>
      <c r="B7" s="205">
        <v>45663</v>
      </c>
      <c r="C7" s="215">
        <v>4431.8999999999996</v>
      </c>
      <c r="D7" s="207">
        <f>IFERROR(C7/VLOOKUP(A7,Usinas!$A:$B,2,FALSE()),"")</f>
        <v>6.313247863247863</v>
      </c>
      <c r="F7" s="211">
        <f t="shared" si="3"/>
        <v>45778</v>
      </c>
      <c r="G7" s="211">
        <f>+F7+30</f>
        <v>45808</v>
      </c>
      <c r="H7" s="212">
        <f t="shared" si="0"/>
        <v>45778</v>
      </c>
      <c r="I7" s="213">
        <f t="shared" si="1"/>
        <v>91616.599999999991</v>
      </c>
      <c r="J7" s="213">
        <f t="shared" si="2"/>
        <v>91.616599999999991</v>
      </c>
    </row>
    <row r="8" spans="1:10" ht="15.75" customHeight="1" x14ac:dyDescent="0.3">
      <c r="A8" s="204" t="s">
        <v>555</v>
      </c>
      <c r="B8" s="205">
        <v>45664</v>
      </c>
      <c r="C8" s="215">
        <v>4460</v>
      </c>
      <c r="D8" s="207">
        <f>IFERROR(C8/VLOOKUP(A8,Usinas!$A:$B,2,FALSE()),"")</f>
        <v>6.3532763532763532</v>
      </c>
      <c r="F8" s="211">
        <f t="shared" si="3"/>
        <v>45809</v>
      </c>
      <c r="G8" s="211">
        <f>+F8+29</f>
        <v>45838</v>
      </c>
      <c r="H8" s="212">
        <f t="shared" si="0"/>
        <v>45809</v>
      </c>
      <c r="I8" s="213">
        <f t="shared" si="1"/>
        <v>72286.89999999998</v>
      </c>
      <c r="J8" s="213">
        <f t="shared" si="2"/>
        <v>72.286899999999974</v>
      </c>
    </row>
    <row r="9" spans="1:10" ht="15.75" customHeight="1" x14ac:dyDescent="0.3">
      <c r="A9" s="204" t="s">
        <v>555</v>
      </c>
      <c r="B9" s="205">
        <v>45665</v>
      </c>
      <c r="C9" s="215">
        <v>3524.3</v>
      </c>
      <c r="D9" s="207">
        <f>IFERROR(C9/VLOOKUP(A9,Usinas!$A:$B,2,FALSE()),"")</f>
        <v>5.0203703703703706</v>
      </c>
      <c r="F9" s="211">
        <f t="shared" si="3"/>
        <v>45839</v>
      </c>
      <c r="G9" s="211">
        <f>+F9+30</f>
        <v>45869</v>
      </c>
      <c r="H9" s="212">
        <f t="shared" si="0"/>
        <v>45839</v>
      </c>
      <c r="I9" s="213">
        <f t="shared" si="1"/>
        <v>88336.8</v>
      </c>
      <c r="J9" s="213">
        <f t="shared" si="2"/>
        <v>88.336799999999997</v>
      </c>
    </row>
    <row r="10" spans="1:10" ht="15.75" customHeight="1" x14ac:dyDescent="0.3">
      <c r="A10" s="204" t="s">
        <v>555</v>
      </c>
      <c r="B10" s="205">
        <v>45666</v>
      </c>
      <c r="C10" s="215">
        <v>4744.5</v>
      </c>
      <c r="D10" s="207">
        <f>IFERROR(C10/VLOOKUP(A10,Usinas!$A:$B,2,FALSE()),"")</f>
        <v>6.7585470085470085</v>
      </c>
      <c r="F10" s="211">
        <f t="shared" si="3"/>
        <v>45870</v>
      </c>
      <c r="G10" s="211">
        <f>+F10+30</f>
        <v>45900</v>
      </c>
      <c r="H10" s="212">
        <f t="shared" si="0"/>
        <v>45870</v>
      </c>
      <c r="I10" s="213">
        <f t="shared" si="1"/>
        <v>93082.7</v>
      </c>
      <c r="J10" s="213">
        <f t="shared" si="2"/>
        <v>93.082700000000003</v>
      </c>
    </row>
    <row r="11" spans="1:10" ht="15.75" customHeight="1" x14ac:dyDescent="0.3">
      <c r="A11" s="204" t="s">
        <v>555</v>
      </c>
      <c r="B11" s="205">
        <v>45667</v>
      </c>
      <c r="C11" s="215">
        <v>3305</v>
      </c>
      <c r="D11" s="207">
        <f>IFERROR(C11/VLOOKUP(A11,Usinas!$A:$B,2,FALSE()),"")</f>
        <v>4.7079772079772075</v>
      </c>
      <c r="F11" s="211">
        <f t="shared" si="3"/>
        <v>45901</v>
      </c>
      <c r="G11" s="211">
        <f>+F11+29</f>
        <v>45930</v>
      </c>
      <c r="H11" s="212">
        <f t="shared" si="0"/>
        <v>45901</v>
      </c>
      <c r="I11" s="213">
        <f t="shared" si="1"/>
        <v>94433.400000000009</v>
      </c>
      <c r="J11" s="213">
        <f t="shared" si="2"/>
        <v>94.433400000000006</v>
      </c>
    </row>
    <row r="12" spans="1:10" ht="15.75" customHeight="1" x14ac:dyDescent="0.3">
      <c r="A12" s="204" t="s">
        <v>555</v>
      </c>
      <c r="B12" s="205">
        <v>45668</v>
      </c>
      <c r="C12" s="215">
        <v>4671.1000000000004</v>
      </c>
      <c r="D12" s="207">
        <f>IFERROR(C12/VLOOKUP(A12,Usinas!$A:$B,2,FALSE()),"")</f>
        <v>6.6539886039886049</v>
      </c>
      <c r="F12" s="211">
        <f t="shared" si="3"/>
        <v>45931</v>
      </c>
      <c r="G12" s="211">
        <f>+F12+30</f>
        <v>45961</v>
      </c>
      <c r="H12" s="212">
        <f t="shared" si="0"/>
        <v>45931</v>
      </c>
      <c r="I12" s="213">
        <f t="shared" si="1"/>
        <v>95906.799999999988</v>
      </c>
      <c r="J12" s="213">
        <f t="shared" si="2"/>
        <v>95.90679999999999</v>
      </c>
    </row>
    <row r="13" spans="1:10" ht="15.75" customHeight="1" x14ac:dyDescent="0.3">
      <c r="A13" s="204" t="s">
        <v>555</v>
      </c>
      <c r="B13" s="205">
        <v>45669</v>
      </c>
      <c r="C13" s="215">
        <v>4211.8999999999996</v>
      </c>
      <c r="D13" s="207">
        <f>IFERROR(C13/VLOOKUP(A13,Usinas!$A:$B,2,FALSE()),"")</f>
        <v>5.9998575498575493</v>
      </c>
      <c r="F13" s="211">
        <f t="shared" si="3"/>
        <v>45962</v>
      </c>
      <c r="G13" s="211">
        <f>+F13+29</f>
        <v>45991</v>
      </c>
      <c r="H13" s="212">
        <f t="shared" si="0"/>
        <v>45962</v>
      </c>
      <c r="I13" s="213">
        <f t="shared" si="1"/>
        <v>107980.59999999998</v>
      </c>
      <c r="J13" s="213">
        <f t="shared" si="2"/>
        <v>107.98059999999998</v>
      </c>
    </row>
    <row r="14" spans="1:10" ht="15.75" customHeight="1" x14ac:dyDescent="0.3">
      <c r="A14" s="204" t="s">
        <v>555</v>
      </c>
      <c r="B14" s="205">
        <v>45670</v>
      </c>
      <c r="C14" s="215">
        <v>4327.1000000000004</v>
      </c>
      <c r="D14" s="207">
        <f>IFERROR(C14/VLOOKUP(A14,Usinas!$A:$B,2,FALSE()),"")</f>
        <v>6.1639601139601146</v>
      </c>
      <c r="F14" s="211">
        <f t="shared" si="3"/>
        <v>45992</v>
      </c>
      <c r="G14" s="211">
        <f>+F14+30</f>
        <v>46022</v>
      </c>
      <c r="H14" s="212">
        <f t="shared" si="0"/>
        <v>45992</v>
      </c>
      <c r="I14" s="213">
        <f t="shared" si="1"/>
        <v>106603.90000000001</v>
      </c>
      <c r="J14" s="213">
        <f t="shared" si="2"/>
        <v>106.60390000000001</v>
      </c>
    </row>
    <row r="15" spans="1:10" ht="15.75" customHeight="1" x14ac:dyDescent="0.3">
      <c r="A15" s="204" t="s">
        <v>555</v>
      </c>
      <c r="B15" s="205">
        <v>45671</v>
      </c>
      <c r="C15" s="215">
        <v>4370</v>
      </c>
      <c r="D15" s="207">
        <f>IFERROR(C15/VLOOKUP(A15,Usinas!$A:$B,2,FALSE()),"")</f>
        <v>6.2250712250712255</v>
      </c>
    </row>
    <row r="16" spans="1:10" ht="15.75" customHeight="1" x14ac:dyDescent="0.3">
      <c r="A16" s="204" t="s">
        <v>555</v>
      </c>
      <c r="B16" s="205">
        <v>45672</v>
      </c>
      <c r="C16" s="215">
        <v>4324</v>
      </c>
      <c r="D16" s="207">
        <f>IFERROR(C16/VLOOKUP(A16,Usinas!$A:$B,2,FALSE()),"")</f>
        <v>6.1595441595441596</v>
      </c>
    </row>
    <row r="17" spans="1:10" ht="15.75" customHeight="1" x14ac:dyDescent="0.3">
      <c r="A17" s="204" t="s">
        <v>555</v>
      </c>
      <c r="B17" s="205">
        <v>45673</v>
      </c>
      <c r="C17" s="215">
        <v>4173.6000000000004</v>
      </c>
      <c r="D17" s="207">
        <f>IFERROR(C17/VLOOKUP(A17,Usinas!$A:$B,2,FALSE()),"")</f>
        <v>5.9452991452991455</v>
      </c>
      <c r="J17" s="209"/>
    </row>
    <row r="18" spans="1:10" ht="12" customHeight="1" x14ac:dyDescent="0.3">
      <c r="A18" s="204" t="s">
        <v>555</v>
      </c>
      <c r="B18" s="205">
        <v>45674</v>
      </c>
      <c r="C18" s="215">
        <v>2490.4</v>
      </c>
      <c r="D18" s="207">
        <f>IFERROR(C18/VLOOKUP(A18,Usinas!$A:$B,2,FALSE()),"")</f>
        <v>3.5475783475783476</v>
      </c>
    </row>
    <row r="19" spans="1:10" ht="12" customHeight="1" x14ac:dyDescent="0.3">
      <c r="A19" s="204" t="s">
        <v>555</v>
      </c>
      <c r="B19" s="205">
        <v>45675</v>
      </c>
      <c r="C19" s="215">
        <v>2419.1</v>
      </c>
      <c r="D19" s="207">
        <f>IFERROR(C19/VLOOKUP(A19,Usinas!$A:$B,2,FALSE()),"")</f>
        <v>3.4460113960113961</v>
      </c>
    </row>
    <row r="20" spans="1:10" ht="12" customHeight="1" x14ac:dyDescent="0.3">
      <c r="A20" s="204" t="s">
        <v>555</v>
      </c>
      <c r="B20" s="205">
        <v>45676</v>
      </c>
      <c r="C20" s="215">
        <v>3206.2</v>
      </c>
      <c r="D20" s="207">
        <f>IFERROR(C20/VLOOKUP(A20,Usinas!$A:$B,2,FALSE()),"")</f>
        <v>4.5672364672364667</v>
      </c>
    </row>
    <row r="21" spans="1:10" ht="12" customHeight="1" x14ac:dyDescent="0.3">
      <c r="A21" s="204" t="s">
        <v>555</v>
      </c>
      <c r="B21" s="205">
        <v>45677</v>
      </c>
      <c r="C21" s="215">
        <v>2768</v>
      </c>
      <c r="D21" s="207">
        <f>IFERROR(C21/VLOOKUP(A21,Usinas!$A:$B,2,FALSE()),"")</f>
        <v>3.9430199430199431</v>
      </c>
    </row>
    <row r="22" spans="1:10" ht="12" customHeight="1" x14ac:dyDescent="0.3">
      <c r="A22" s="204" t="s">
        <v>555</v>
      </c>
      <c r="B22" s="205">
        <v>45678</v>
      </c>
      <c r="C22" s="215">
        <v>3998.4</v>
      </c>
      <c r="D22" s="207">
        <f>IFERROR(C22/VLOOKUP(A22,Usinas!$A:$B,2,FALSE()),"")</f>
        <v>5.6957264957264959</v>
      </c>
    </row>
    <row r="23" spans="1:10" ht="12" customHeight="1" x14ac:dyDescent="0.3">
      <c r="A23" s="204" t="s">
        <v>555</v>
      </c>
      <c r="B23" s="205">
        <v>45679</v>
      </c>
      <c r="C23" s="215">
        <v>2927.9</v>
      </c>
      <c r="D23" s="207">
        <f>IFERROR(C23/VLOOKUP(A23,Usinas!$A:$B,2,FALSE()),"")</f>
        <v>4.1707977207977205</v>
      </c>
    </row>
    <row r="24" spans="1:10" ht="12" customHeight="1" x14ac:dyDescent="0.3">
      <c r="A24" s="204" t="s">
        <v>555</v>
      </c>
      <c r="B24" s="205">
        <v>45680</v>
      </c>
      <c r="C24" s="215">
        <v>3035.9</v>
      </c>
      <c r="D24" s="207">
        <f>IFERROR(C24/VLOOKUP(A24,Usinas!$A:$B,2,FALSE()),"")</f>
        <v>4.3246438746438747</v>
      </c>
    </row>
    <row r="25" spans="1:10" ht="12" customHeight="1" x14ac:dyDescent="0.3">
      <c r="A25" s="204" t="s">
        <v>555</v>
      </c>
      <c r="B25" s="205">
        <v>45681</v>
      </c>
      <c r="C25" s="215">
        <v>4013.7</v>
      </c>
      <c r="D25" s="207">
        <f>IFERROR(C25/VLOOKUP(A25,Usinas!$A:$B,2,FALSE()),"")</f>
        <v>5.7175213675213676</v>
      </c>
    </row>
    <row r="26" spans="1:10" ht="12" customHeight="1" x14ac:dyDescent="0.3">
      <c r="A26" s="204" t="s">
        <v>555</v>
      </c>
      <c r="B26" s="205">
        <v>45682</v>
      </c>
      <c r="C26" s="215">
        <v>3852.9</v>
      </c>
      <c r="D26" s="207">
        <f>IFERROR(C26/VLOOKUP(A26,Usinas!$A:$B,2,FALSE()),"")</f>
        <v>5.4884615384615385</v>
      </c>
    </row>
    <row r="27" spans="1:10" ht="12" customHeight="1" x14ac:dyDescent="0.3">
      <c r="A27" s="204" t="s">
        <v>555</v>
      </c>
      <c r="B27" s="205">
        <v>45683</v>
      </c>
      <c r="C27" s="215">
        <v>4282.3999999999996</v>
      </c>
      <c r="D27" s="207">
        <f>IFERROR(C27/VLOOKUP(A27,Usinas!$A:$B,2,FALSE()),"")</f>
        <v>6.1002849002848993</v>
      </c>
    </row>
    <row r="28" spans="1:10" ht="12" customHeight="1" x14ac:dyDescent="0.3">
      <c r="A28" s="204" t="s">
        <v>555</v>
      </c>
      <c r="B28" s="205">
        <v>45684</v>
      </c>
      <c r="C28" s="215">
        <v>3431.7</v>
      </c>
      <c r="D28" s="207">
        <f>IFERROR(C28/VLOOKUP(A28,Usinas!$A:$B,2,FALSE()),"")</f>
        <v>4.888461538461538</v>
      </c>
    </row>
    <row r="29" spans="1:10" ht="12" customHeight="1" x14ac:dyDescent="0.3">
      <c r="A29" s="204" t="s">
        <v>555</v>
      </c>
      <c r="B29" s="205">
        <v>45685</v>
      </c>
      <c r="C29" s="215">
        <v>3218.8</v>
      </c>
      <c r="D29" s="207">
        <f>IFERROR(C29/VLOOKUP(A29,Usinas!$A:$B,2,FALSE()),"")</f>
        <v>4.5851851851851855</v>
      </c>
    </row>
    <row r="30" spans="1:10" ht="12" customHeight="1" x14ac:dyDescent="0.3">
      <c r="A30" s="204" t="s">
        <v>555</v>
      </c>
      <c r="B30" s="205">
        <v>45686</v>
      </c>
      <c r="C30" s="215">
        <v>3626.5</v>
      </c>
      <c r="D30" s="207">
        <f>IFERROR(C30/VLOOKUP(A30,Usinas!$A:$B,2,FALSE()),"")</f>
        <v>5.165954415954416</v>
      </c>
    </row>
    <row r="31" spans="1:10" ht="12" customHeight="1" x14ac:dyDescent="0.3">
      <c r="A31" s="204" t="s">
        <v>555</v>
      </c>
      <c r="B31" s="205">
        <v>45687</v>
      </c>
      <c r="C31" s="215">
        <v>3186.4</v>
      </c>
      <c r="D31" s="207">
        <f>IFERROR(C31/VLOOKUP(A31,Usinas!$A:$B,2,FALSE()),"")</f>
        <v>4.5390313390313395</v>
      </c>
    </row>
    <row r="32" spans="1:10" ht="12" customHeight="1" x14ac:dyDescent="0.3">
      <c r="A32" s="204" t="s">
        <v>555</v>
      </c>
      <c r="B32" s="205">
        <v>45688</v>
      </c>
      <c r="C32" s="215">
        <v>3657.9</v>
      </c>
      <c r="D32" s="207">
        <f>IFERROR(C32/VLOOKUP(A32,Usinas!$A:$B,2,FALSE()),"")</f>
        <v>5.2106837606837608</v>
      </c>
    </row>
    <row r="33" spans="1:31" ht="12" customHeight="1" x14ac:dyDescent="0.3">
      <c r="A33" s="204" t="s">
        <v>555</v>
      </c>
      <c r="B33" s="205">
        <v>45689</v>
      </c>
      <c r="C33" s="215">
        <v>3855.5</v>
      </c>
      <c r="D33" s="207">
        <f>IFERROR(C33/VLOOKUP(A33,Usinas!$A:$B,2,FALSE()),"")</f>
        <v>5.4921652421652425</v>
      </c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</row>
    <row r="34" spans="1:31" ht="12" customHeight="1" x14ac:dyDescent="0.3">
      <c r="A34" s="204" t="s">
        <v>555</v>
      </c>
      <c r="B34" s="205">
        <v>45690</v>
      </c>
      <c r="C34" s="215">
        <v>3846</v>
      </c>
      <c r="D34" s="207">
        <f>IFERROR(C34/VLOOKUP(A34,Usinas!$A:$B,2,FALSE()),"")</f>
        <v>5.4786324786324787</v>
      </c>
    </row>
    <row r="35" spans="1:31" ht="12" customHeight="1" x14ac:dyDescent="0.3">
      <c r="A35" s="204" t="s">
        <v>555</v>
      </c>
      <c r="B35" s="205">
        <v>45691</v>
      </c>
      <c r="C35" s="215">
        <v>3078.7</v>
      </c>
      <c r="D35" s="207">
        <f>IFERROR(C35/VLOOKUP(A35,Usinas!$A:$B,2,FALSE()),"")</f>
        <v>4.3856125356125357</v>
      </c>
    </row>
    <row r="36" spans="1:31" ht="12" customHeight="1" x14ac:dyDescent="0.3">
      <c r="A36" s="204" t="s">
        <v>555</v>
      </c>
      <c r="B36" s="205">
        <v>45692</v>
      </c>
      <c r="C36" s="215">
        <v>3740.2</v>
      </c>
      <c r="D36" s="207">
        <f>IFERROR(C36/VLOOKUP(A36,Usinas!$A:$B,2,FALSE()),"")</f>
        <v>5.3279202279202273</v>
      </c>
    </row>
    <row r="37" spans="1:31" ht="12" customHeight="1" x14ac:dyDescent="0.3">
      <c r="A37" s="204" t="s">
        <v>555</v>
      </c>
      <c r="B37" s="205">
        <v>45693</v>
      </c>
      <c r="C37" s="215">
        <v>2541.9</v>
      </c>
      <c r="D37" s="207">
        <f>IFERROR(C37/VLOOKUP(A37,Usinas!$A:$B,2,FALSE()),"")</f>
        <v>3.620940170940171</v>
      </c>
    </row>
    <row r="38" spans="1:31" ht="12" customHeight="1" x14ac:dyDescent="0.3">
      <c r="A38" s="204" t="s">
        <v>555</v>
      </c>
      <c r="B38" s="205">
        <v>45694</v>
      </c>
      <c r="C38" s="215">
        <v>2646.8</v>
      </c>
      <c r="D38" s="207">
        <f>IFERROR(C38/VLOOKUP(A38,Usinas!$A:$B,2,FALSE()),"")</f>
        <v>3.7703703703703706</v>
      </c>
    </row>
    <row r="39" spans="1:31" ht="12" customHeight="1" x14ac:dyDescent="0.3">
      <c r="A39" s="204" t="s">
        <v>555</v>
      </c>
      <c r="B39" s="205">
        <v>45695</v>
      </c>
      <c r="C39" s="215">
        <v>3204.3</v>
      </c>
      <c r="D39" s="207">
        <f>IFERROR(C39/VLOOKUP(A39,Usinas!$A:$B,2,FALSE()),"")</f>
        <v>4.5645299145299152</v>
      </c>
    </row>
    <row r="40" spans="1:31" ht="12" customHeight="1" x14ac:dyDescent="0.3">
      <c r="A40" s="204" t="s">
        <v>555</v>
      </c>
      <c r="B40" s="205">
        <v>45696</v>
      </c>
      <c r="C40" s="215">
        <v>4377.7</v>
      </c>
      <c r="D40" s="207">
        <f>IFERROR(C40/VLOOKUP(A40,Usinas!$A:$B,2,FALSE()),"")</f>
        <v>6.2360398860398858</v>
      </c>
    </row>
    <row r="41" spans="1:31" ht="12" customHeight="1" x14ac:dyDescent="0.3">
      <c r="A41" s="204" t="s">
        <v>555</v>
      </c>
      <c r="B41" s="205">
        <v>45697</v>
      </c>
      <c r="C41" s="215">
        <v>4464.1000000000004</v>
      </c>
      <c r="D41" s="207">
        <f>IFERROR(C41/VLOOKUP(A41,Usinas!$A:$B,2,FALSE()),"")</f>
        <v>6.3591168091168093</v>
      </c>
    </row>
    <row r="42" spans="1:31" ht="12" customHeight="1" x14ac:dyDescent="0.3">
      <c r="A42" s="204" t="s">
        <v>555</v>
      </c>
      <c r="B42" s="205">
        <v>45698</v>
      </c>
      <c r="C42" s="215">
        <v>4095</v>
      </c>
      <c r="D42" s="207">
        <f>IFERROR(C42/VLOOKUP(A42,Usinas!$A:$B,2,FALSE()),"")</f>
        <v>5.833333333333333</v>
      </c>
    </row>
    <row r="43" spans="1:31" ht="12" customHeight="1" x14ac:dyDescent="0.3">
      <c r="A43" s="204" t="s">
        <v>555</v>
      </c>
      <c r="B43" s="205">
        <v>45699</v>
      </c>
      <c r="C43" s="215">
        <v>4250.8999999999996</v>
      </c>
      <c r="D43" s="207">
        <f>IFERROR(C43/VLOOKUP(A43,Usinas!$A:$B,2,FALSE()),"")</f>
        <v>6.0554131054131046</v>
      </c>
    </row>
    <row r="44" spans="1:31" ht="12" customHeight="1" x14ac:dyDescent="0.3">
      <c r="A44" s="204" t="s">
        <v>555</v>
      </c>
      <c r="B44" s="205">
        <v>45700</v>
      </c>
      <c r="C44" s="215">
        <v>3496.6</v>
      </c>
      <c r="D44" s="207">
        <f>IFERROR(C44/VLOOKUP(A44,Usinas!$A:$B,2,FALSE()),"")</f>
        <v>4.9809116809116807</v>
      </c>
    </row>
    <row r="45" spans="1:31" ht="12" customHeight="1" x14ac:dyDescent="0.3">
      <c r="A45" s="204" t="s">
        <v>555</v>
      </c>
      <c r="B45" s="205">
        <v>45701</v>
      </c>
      <c r="C45" s="215">
        <v>3138.7</v>
      </c>
      <c r="D45" s="207">
        <f>IFERROR(C45/VLOOKUP(A45,Usinas!$A:$B,2,FALSE()),"")</f>
        <v>4.4710826210826209</v>
      </c>
    </row>
    <row r="46" spans="1:31" ht="12" customHeight="1" x14ac:dyDescent="0.3">
      <c r="A46" s="204" t="s">
        <v>555</v>
      </c>
      <c r="B46" s="205">
        <v>45702</v>
      </c>
      <c r="C46" s="215">
        <v>2945.6</v>
      </c>
      <c r="D46" s="207">
        <f>IFERROR(C46/VLOOKUP(A46,Usinas!$A:$B,2,FALSE()),"")</f>
        <v>4.1960113960113956</v>
      </c>
    </row>
    <row r="47" spans="1:31" ht="12" customHeight="1" x14ac:dyDescent="0.3">
      <c r="A47" s="204" t="s">
        <v>555</v>
      </c>
      <c r="B47" s="205">
        <v>45703</v>
      </c>
      <c r="C47" s="215">
        <v>3153.2</v>
      </c>
      <c r="D47" s="207">
        <f>IFERROR(C47/VLOOKUP(A47,Usinas!$A:$B,2,FALSE()),"")</f>
        <v>4.4917378917378912</v>
      </c>
    </row>
    <row r="48" spans="1:31" ht="12" customHeight="1" x14ac:dyDescent="0.3">
      <c r="A48" s="204" t="s">
        <v>555</v>
      </c>
      <c r="B48" s="205">
        <v>45704</v>
      </c>
      <c r="C48" s="215">
        <v>2817.5</v>
      </c>
      <c r="D48" s="207">
        <f>IFERROR(C48/VLOOKUP(A48,Usinas!$A:$B,2,FALSE()),"")</f>
        <v>4.0135327635327638</v>
      </c>
    </row>
    <row r="49" spans="1:34" ht="12" customHeight="1" x14ac:dyDescent="0.3">
      <c r="A49" s="204" t="s">
        <v>555</v>
      </c>
      <c r="B49" s="205">
        <v>45705</v>
      </c>
      <c r="C49" s="215">
        <v>4114.6000000000004</v>
      </c>
      <c r="D49" s="207">
        <f>IFERROR(C49/VLOOKUP(A49,Usinas!$A:$B,2,FALSE()),"")</f>
        <v>5.8612535612535615</v>
      </c>
    </row>
    <row r="50" spans="1:34" ht="12" customHeight="1" x14ac:dyDescent="0.3">
      <c r="A50" s="204" t="s">
        <v>555</v>
      </c>
      <c r="B50" s="205">
        <v>45706</v>
      </c>
      <c r="C50" s="215">
        <v>1056.3</v>
      </c>
      <c r="D50" s="207">
        <f>IFERROR(C50/VLOOKUP(A50,Usinas!$A:$B,2,FALSE()),"")</f>
        <v>1.5047008547008547</v>
      </c>
    </row>
    <row r="51" spans="1:34" ht="12" customHeight="1" x14ac:dyDescent="0.3">
      <c r="A51" s="204" t="s">
        <v>555</v>
      </c>
      <c r="B51" s="205">
        <v>45707</v>
      </c>
      <c r="C51" s="215">
        <v>3654.3</v>
      </c>
      <c r="D51" s="207">
        <f>IFERROR(C51/VLOOKUP(A51,Usinas!$A:$B,2,FALSE()),"")</f>
        <v>5.2055555555555557</v>
      </c>
    </row>
    <row r="52" spans="1:34" ht="12" customHeight="1" x14ac:dyDescent="0.3">
      <c r="A52" s="204" t="s">
        <v>555</v>
      </c>
      <c r="B52" s="205">
        <v>45708</v>
      </c>
      <c r="C52" s="215">
        <v>3036.9</v>
      </c>
      <c r="D52" s="207">
        <f>IFERROR(C52/VLOOKUP(A52,Usinas!$A:$B,2,FALSE()),"")</f>
        <v>4.3260683760683758</v>
      </c>
    </row>
    <row r="53" spans="1:34" ht="12" customHeight="1" x14ac:dyDescent="0.3">
      <c r="A53" s="204" t="s">
        <v>555</v>
      </c>
      <c r="B53" s="205">
        <v>45709</v>
      </c>
      <c r="C53" s="215">
        <v>3928.6</v>
      </c>
      <c r="D53" s="207">
        <f>IFERROR(C53/VLOOKUP(A53,Usinas!$A:$B,2,FALSE()),"")</f>
        <v>5.5962962962962965</v>
      </c>
    </row>
    <row r="54" spans="1:34" ht="12" customHeight="1" x14ac:dyDescent="0.3">
      <c r="A54" s="204" t="s">
        <v>555</v>
      </c>
      <c r="B54" s="205">
        <v>45710</v>
      </c>
      <c r="C54" s="215">
        <v>2911.3</v>
      </c>
      <c r="D54" s="207">
        <f>IFERROR(C54/VLOOKUP(A54,Usinas!$A:$B,2,FALSE()),"")</f>
        <v>4.1471509971509972</v>
      </c>
    </row>
    <row r="55" spans="1:34" ht="12" customHeight="1" x14ac:dyDescent="0.3">
      <c r="A55" s="204" t="s">
        <v>555</v>
      </c>
      <c r="B55" s="205">
        <v>45711</v>
      </c>
      <c r="C55" s="215">
        <v>3237.7</v>
      </c>
      <c r="D55" s="207">
        <f>IFERROR(C55/VLOOKUP(A55,Usinas!$A:$B,2,FALSE()),"")</f>
        <v>4.6121082621082614</v>
      </c>
    </row>
    <row r="56" spans="1:34" ht="12" customHeight="1" x14ac:dyDescent="0.3">
      <c r="A56" s="204" t="s">
        <v>555</v>
      </c>
      <c r="B56" s="205">
        <v>45712</v>
      </c>
      <c r="C56" s="215">
        <v>3049.2</v>
      </c>
      <c r="D56" s="207">
        <f>IFERROR(C56/VLOOKUP(A56,Usinas!$A:$B,2,FALSE()),"")</f>
        <v>4.3435897435897433</v>
      </c>
    </row>
    <row r="57" spans="1:34" ht="12" customHeight="1" x14ac:dyDescent="0.3">
      <c r="A57" s="204" t="s">
        <v>555</v>
      </c>
      <c r="B57" s="205">
        <v>45713</v>
      </c>
      <c r="C57" s="215">
        <v>2395.6</v>
      </c>
      <c r="D57" s="207">
        <f>IFERROR(C57/VLOOKUP(A57,Usinas!$A:$B,2,FALSE()),"")</f>
        <v>3.4125356125356126</v>
      </c>
    </row>
    <row r="58" spans="1:34" ht="12" customHeight="1" x14ac:dyDescent="0.3">
      <c r="A58" s="204" t="s">
        <v>555</v>
      </c>
      <c r="B58" s="205">
        <v>45714</v>
      </c>
      <c r="C58" s="215">
        <v>2219.8000000000002</v>
      </c>
      <c r="D58" s="207">
        <f>IFERROR(C58/VLOOKUP(A58,Usinas!$A:$B,2,FALSE()),"")</f>
        <v>3.1621082621082626</v>
      </c>
    </row>
    <row r="59" spans="1:34" ht="12" customHeight="1" x14ac:dyDescent="0.3">
      <c r="A59" s="204" t="s">
        <v>555</v>
      </c>
      <c r="B59" s="205">
        <v>45715</v>
      </c>
      <c r="C59" s="215">
        <v>2579.6999999999998</v>
      </c>
      <c r="D59" s="207">
        <f>IFERROR(C59/VLOOKUP(A59,Usinas!$A:$B,2,FALSE()),"")</f>
        <v>3.6747863247863246</v>
      </c>
    </row>
    <row r="60" spans="1:34" ht="12" customHeight="1" x14ac:dyDescent="0.3">
      <c r="A60" s="204" t="s">
        <v>555</v>
      </c>
      <c r="B60" s="205">
        <v>45716</v>
      </c>
      <c r="C60" s="215">
        <v>3295.2</v>
      </c>
      <c r="D60" s="207">
        <f>IFERROR(C60/VLOOKUP(A60,Usinas!$A:$B,2,FALSE()),"")</f>
        <v>4.6940170940170933</v>
      </c>
    </row>
    <row r="61" spans="1:34" ht="12" customHeight="1" x14ac:dyDescent="0.3">
      <c r="A61" s="204" t="s">
        <v>555</v>
      </c>
      <c r="B61" s="205">
        <v>45717</v>
      </c>
      <c r="C61" s="215">
        <v>4203.8</v>
      </c>
      <c r="D61" s="207">
        <f>IFERROR(C61/VLOOKUP(A61,Usinas!$A:$B,2,FALSE()),"")</f>
        <v>5.9883190883190887</v>
      </c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  <c r="AB61" s="216"/>
      <c r="AC61" s="216"/>
      <c r="AD61" s="216"/>
      <c r="AE61" s="216"/>
      <c r="AF61" s="216"/>
      <c r="AG61" s="216"/>
      <c r="AH61" s="216"/>
    </row>
    <row r="62" spans="1:34" ht="12" customHeight="1" x14ac:dyDescent="0.3">
      <c r="A62" s="204" t="s">
        <v>555</v>
      </c>
      <c r="B62" s="205">
        <v>45718</v>
      </c>
      <c r="C62" s="215">
        <v>3958.9</v>
      </c>
      <c r="D62" s="207">
        <f>IFERROR(C62/VLOOKUP(A62,Usinas!$A:$B,2,FALSE()),"")</f>
        <v>5.6394586894586896</v>
      </c>
    </row>
    <row r="63" spans="1:34" ht="12" customHeight="1" x14ac:dyDescent="0.3">
      <c r="A63" s="204" t="s">
        <v>555</v>
      </c>
      <c r="B63" s="205">
        <v>45719</v>
      </c>
      <c r="C63" s="215">
        <v>3609.2</v>
      </c>
      <c r="D63" s="207">
        <f>IFERROR(C63/VLOOKUP(A63,Usinas!$A:$B,2,FALSE()),"")</f>
        <v>5.1413105413105411</v>
      </c>
    </row>
    <row r="64" spans="1:34" ht="12" customHeight="1" x14ac:dyDescent="0.3">
      <c r="A64" s="204" t="s">
        <v>555</v>
      </c>
      <c r="B64" s="205">
        <v>45720</v>
      </c>
      <c r="C64" s="215">
        <v>4119.1000000000004</v>
      </c>
      <c r="D64" s="207">
        <f>IFERROR(C64/VLOOKUP(A64,Usinas!$A:$B,2,FALSE()),"")</f>
        <v>5.8676638176638178</v>
      </c>
    </row>
    <row r="65" spans="1:4" ht="12" customHeight="1" x14ac:dyDescent="0.3">
      <c r="A65" s="204" t="s">
        <v>555</v>
      </c>
      <c r="B65" s="205">
        <v>45721</v>
      </c>
      <c r="C65" s="215">
        <v>2576.9</v>
      </c>
      <c r="D65" s="207">
        <f>IFERROR(C65/VLOOKUP(A65,Usinas!$A:$B,2,FALSE()),"")</f>
        <v>3.6707977207977209</v>
      </c>
    </row>
    <row r="66" spans="1:4" ht="12" customHeight="1" x14ac:dyDescent="0.3">
      <c r="A66" s="204" t="s">
        <v>555</v>
      </c>
      <c r="B66" s="205">
        <v>45722</v>
      </c>
      <c r="C66" s="215">
        <v>2442.3000000000002</v>
      </c>
      <c r="D66" s="207">
        <f>IFERROR(C66/VLOOKUP(A66,Usinas!$A:$B,2,FALSE()),"")</f>
        <v>3.4790598290598291</v>
      </c>
    </row>
    <row r="67" spans="1:4" ht="12" customHeight="1" x14ac:dyDescent="0.3">
      <c r="A67" s="204" t="s">
        <v>555</v>
      </c>
      <c r="B67" s="205">
        <v>45723</v>
      </c>
      <c r="C67" s="215">
        <v>3737.1</v>
      </c>
      <c r="D67" s="207">
        <f>IFERROR(C67/VLOOKUP(A67,Usinas!$A:$B,2,FALSE()),"")</f>
        <v>5.3235042735042732</v>
      </c>
    </row>
    <row r="68" spans="1:4" ht="12" customHeight="1" x14ac:dyDescent="0.3">
      <c r="A68" s="204" t="s">
        <v>555</v>
      </c>
      <c r="B68" s="205">
        <v>45724</v>
      </c>
      <c r="C68" s="215">
        <v>4121.2</v>
      </c>
      <c r="D68" s="207">
        <f>IFERROR(C68/VLOOKUP(A68,Usinas!$A:$B,2,FALSE()),"")</f>
        <v>5.8706552706552708</v>
      </c>
    </row>
    <row r="69" spans="1:4" ht="12" customHeight="1" x14ac:dyDescent="0.3">
      <c r="A69" s="204" t="s">
        <v>555</v>
      </c>
      <c r="B69" s="205">
        <v>45725</v>
      </c>
      <c r="C69" s="215">
        <v>4111</v>
      </c>
      <c r="D69" s="207">
        <f>IFERROR(C69/VLOOKUP(A69,Usinas!$A:$B,2,FALSE()),"")</f>
        <v>5.8561253561253563</v>
      </c>
    </row>
    <row r="70" spans="1:4" ht="12" customHeight="1" x14ac:dyDescent="0.3">
      <c r="A70" s="204" t="s">
        <v>555</v>
      </c>
      <c r="B70" s="205">
        <v>45726</v>
      </c>
      <c r="C70" s="215">
        <v>3726.1</v>
      </c>
      <c r="D70" s="207">
        <f>IFERROR(C70/VLOOKUP(A70,Usinas!$A:$B,2,FALSE()),"")</f>
        <v>5.3078347578347573</v>
      </c>
    </row>
    <row r="71" spans="1:4" ht="12" customHeight="1" x14ac:dyDescent="0.3">
      <c r="A71" s="204" t="s">
        <v>555</v>
      </c>
      <c r="B71" s="205">
        <v>45727</v>
      </c>
      <c r="C71" s="215">
        <v>1349.2</v>
      </c>
      <c r="D71" s="207">
        <f>IFERROR(C71/VLOOKUP(A71,Usinas!$A:$B,2,FALSE()),"")</f>
        <v>1.9219373219373219</v>
      </c>
    </row>
    <row r="72" spans="1:4" ht="12" customHeight="1" x14ac:dyDescent="0.3">
      <c r="A72" s="204" t="s">
        <v>555</v>
      </c>
      <c r="B72" s="205">
        <v>45728</v>
      </c>
      <c r="C72" s="215">
        <v>2562.3000000000002</v>
      </c>
      <c r="D72" s="207">
        <f>IFERROR(C72/VLOOKUP(A72,Usinas!$A:$B,2,FALSE()),"")</f>
        <v>3.6500000000000004</v>
      </c>
    </row>
    <row r="73" spans="1:4" ht="12" customHeight="1" x14ac:dyDescent="0.3">
      <c r="A73" s="204" t="s">
        <v>555</v>
      </c>
      <c r="B73" s="205">
        <v>45729</v>
      </c>
      <c r="C73" s="215">
        <v>3111.8</v>
      </c>
      <c r="D73" s="207">
        <f>IFERROR(C73/VLOOKUP(A73,Usinas!$A:$B,2,FALSE()),"")</f>
        <v>4.4327635327635333</v>
      </c>
    </row>
    <row r="74" spans="1:4" ht="12" customHeight="1" x14ac:dyDescent="0.3">
      <c r="A74" s="204" t="s">
        <v>555</v>
      </c>
      <c r="B74" s="205">
        <v>45730</v>
      </c>
      <c r="C74" s="215">
        <v>3930.7</v>
      </c>
      <c r="D74" s="207">
        <f>IFERROR(C74/VLOOKUP(A74,Usinas!$A:$B,2,FALSE()),"")</f>
        <v>5.5992877492877486</v>
      </c>
    </row>
    <row r="75" spans="1:4" ht="12" customHeight="1" x14ac:dyDescent="0.3">
      <c r="A75" s="204" t="s">
        <v>555</v>
      </c>
      <c r="B75" s="205">
        <v>45731</v>
      </c>
      <c r="C75" s="215">
        <v>3917.5</v>
      </c>
      <c r="D75" s="207">
        <f>IFERROR(C75/VLOOKUP(A75,Usinas!$A:$B,2,FALSE()),"")</f>
        <v>5.5804843304843308</v>
      </c>
    </row>
    <row r="76" spans="1:4" ht="12" customHeight="1" x14ac:dyDescent="0.3">
      <c r="A76" s="204" t="s">
        <v>555</v>
      </c>
      <c r="B76" s="205">
        <v>45732</v>
      </c>
      <c r="C76" s="215">
        <v>3963.9</v>
      </c>
      <c r="D76" s="207">
        <f>IFERROR(C76/VLOOKUP(A76,Usinas!$A:$B,2,FALSE()),"")</f>
        <v>5.6465811965811969</v>
      </c>
    </row>
    <row r="77" spans="1:4" ht="12" customHeight="1" x14ac:dyDescent="0.3">
      <c r="A77" s="204" t="s">
        <v>555</v>
      </c>
      <c r="B77" s="205">
        <v>45733</v>
      </c>
      <c r="C77" s="215">
        <v>3910.4</v>
      </c>
      <c r="D77" s="207">
        <f>IFERROR(C77/VLOOKUP(A77,Usinas!$A:$B,2,FALSE()),"")</f>
        <v>5.5703703703703704</v>
      </c>
    </row>
    <row r="78" spans="1:4" ht="12" customHeight="1" x14ac:dyDescent="0.3">
      <c r="A78" s="204" t="s">
        <v>555</v>
      </c>
      <c r="B78" s="205">
        <v>45734</v>
      </c>
      <c r="C78" s="215">
        <v>2651.6</v>
      </c>
      <c r="D78" s="207">
        <f>IFERROR(C78/VLOOKUP(A78,Usinas!$A:$B,2,FALSE()),"")</f>
        <v>3.777207977207977</v>
      </c>
    </row>
    <row r="79" spans="1:4" ht="12" customHeight="1" x14ac:dyDescent="0.3">
      <c r="A79" s="204" t="s">
        <v>555</v>
      </c>
      <c r="B79" s="205">
        <v>45735</v>
      </c>
      <c r="C79" s="215">
        <v>3971.5</v>
      </c>
      <c r="D79" s="207">
        <f>IFERROR(C79/VLOOKUP(A79,Usinas!$A:$B,2,FALSE()),"")</f>
        <v>5.6574074074074074</v>
      </c>
    </row>
    <row r="80" spans="1:4" ht="12" customHeight="1" x14ac:dyDescent="0.3">
      <c r="A80" s="204" t="s">
        <v>555</v>
      </c>
      <c r="B80" s="205">
        <v>45736</v>
      </c>
      <c r="C80" s="215">
        <v>4129.2</v>
      </c>
      <c r="D80" s="207">
        <f>IFERROR(C80/VLOOKUP(A80,Usinas!$A:$B,2,FALSE()),"")</f>
        <v>5.8820512820512816</v>
      </c>
    </row>
    <row r="81" spans="1:33" ht="12" customHeight="1" x14ac:dyDescent="0.3">
      <c r="A81" s="204" t="s">
        <v>555</v>
      </c>
      <c r="B81" s="205">
        <v>45737</v>
      </c>
      <c r="C81" s="215">
        <v>4286.5</v>
      </c>
      <c r="D81" s="207">
        <f>IFERROR(C81/VLOOKUP(A81,Usinas!$A:$B,2,FALSE()),"")</f>
        <v>6.1061253561253563</v>
      </c>
    </row>
    <row r="82" spans="1:33" ht="12" customHeight="1" x14ac:dyDescent="0.3">
      <c r="A82" s="204" t="s">
        <v>555</v>
      </c>
      <c r="B82" s="205">
        <v>45738</v>
      </c>
      <c r="C82" s="215">
        <v>3255.5</v>
      </c>
      <c r="D82" s="207">
        <f>IFERROR(C82/VLOOKUP(A82,Usinas!$A:$B,2,FALSE()),"")</f>
        <v>4.6374643874643873</v>
      </c>
    </row>
    <row r="83" spans="1:33" ht="12" customHeight="1" x14ac:dyDescent="0.3">
      <c r="A83" s="204" t="s">
        <v>555</v>
      </c>
      <c r="B83" s="205">
        <v>45739</v>
      </c>
      <c r="C83" s="215">
        <v>2573.9</v>
      </c>
      <c r="D83" s="207">
        <f>IFERROR(C83/VLOOKUP(A83,Usinas!$A:$B,2,FALSE()),"")</f>
        <v>3.6665242165242167</v>
      </c>
    </row>
    <row r="84" spans="1:33" ht="12" customHeight="1" x14ac:dyDescent="0.3">
      <c r="A84" s="204" t="s">
        <v>555</v>
      </c>
      <c r="B84" s="205">
        <v>45740</v>
      </c>
      <c r="C84" s="215">
        <v>3596.5</v>
      </c>
      <c r="D84" s="207">
        <f>IFERROR(C84/VLOOKUP(A84,Usinas!$A:$B,2,FALSE()),"")</f>
        <v>5.1232193732193734</v>
      </c>
    </row>
    <row r="85" spans="1:33" ht="12" customHeight="1" x14ac:dyDescent="0.3">
      <c r="A85" s="204" t="s">
        <v>555</v>
      </c>
      <c r="B85" s="205">
        <v>45741</v>
      </c>
      <c r="C85" s="215">
        <v>3226.1</v>
      </c>
      <c r="D85" s="207">
        <f>IFERROR(C85/VLOOKUP(A85,Usinas!$A:$B,2,FALSE()),"")</f>
        <v>4.5955840455840455</v>
      </c>
    </row>
    <row r="86" spans="1:33" ht="12" customHeight="1" x14ac:dyDescent="0.3">
      <c r="A86" s="204" t="s">
        <v>555</v>
      </c>
      <c r="B86" s="205">
        <v>45742</v>
      </c>
      <c r="C86" s="215">
        <v>3460.2</v>
      </c>
      <c r="D86" s="207">
        <f>IFERROR(C86/VLOOKUP(A86,Usinas!$A:$B,2,FALSE()),"")</f>
        <v>4.9290598290598284</v>
      </c>
    </row>
    <row r="87" spans="1:33" ht="12" customHeight="1" x14ac:dyDescent="0.3">
      <c r="A87" s="204" t="s">
        <v>555</v>
      </c>
      <c r="B87" s="205">
        <v>45743</v>
      </c>
      <c r="C87" s="215">
        <v>3792</v>
      </c>
      <c r="D87" s="207">
        <f>IFERROR(C87/VLOOKUP(A87,Usinas!$A:$B,2,FALSE()),"")</f>
        <v>5.4017094017094021</v>
      </c>
    </row>
    <row r="88" spans="1:33" ht="12" customHeight="1" x14ac:dyDescent="0.3">
      <c r="A88" s="204" t="s">
        <v>555</v>
      </c>
      <c r="B88" s="205">
        <v>45744</v>
      </c>
      <c r="C88" s="215">
        <v>3459.4</v>
      </c>
      <c r="D88" s="207">
        <f>IFERROR(C88/VLOOKUP(A88,Usinas!$A:$B,2,FALSE()),"")</f>
        <v>4.9279202279202279</v>
      </c>
    </row>
    <row r="89" spans="1:33" ht="12" customHeight="1" x14ac:dyDescent="0.3">
      <c r="A89" s="204" t="s">
        <v>555</v>
      </c>
      <c r="B89" s="205">
        <v>45745</v>
      </c>
      <c r="C89" s="215">
        <v>1523.2</v>
      </c>
      <c r="D89" s="207">
        <f>IFERROR(C89/VLOOKUP(A89,Usinas!$A:$B,2,FALSE()),"")</f>
        <v>2.1698005698005698</v>
      </c>
    </row>
    <row r="90" spans="1:33" ht="12" customHeight="1" x14ac:dyDescent="0.3">
      <c r="A90" s="204" t="s">
        <v>555</v>
      </c>
      <c r="B90" s="205">
        <v>45746</v>
      </c>
      <c r="C90" s="215">
        <v>1812.9</v>
      </c>
      <c r="D90" s="207">
        <f>IFERROR(C90/VLOOKUP(A90,Usinas!$A:$B,2,FALSE()),"")</f>
        <v>2.5824786324786326</v>
      </c>
    </row>
    <row r="91" spans="1:33" ht="12" customHeight="1" x14ac:dyDescent="0.3">
      <c r="A91" s="204" t="s">
        <v>555</v>
      </c>
      <c r="B91" s="205">
        <v>45747</v>
      </c>
      <c r="C91" s="215">
        <v>1972</v>
      </c>
      <c r="D91" s="207">
        <f>IFERROR(C91/VLOOKUP(A91,Usinas!$A:$B,2,FALSE()),"")</f>
        <v>2.8091168091168091</v>
      </c>
    </row>
    <row r="92" spans="1:33" ht="12" customHeight="1" x14ac:dyDescent="0.3">
      <c r="A92" s="204" t="s">
        <v>555</v>
      </c>
      <c r="B92" s="205">
        <v>45748</v>
      </c>
      <c r="C92" s="215">
        <v>2652</v>
      </c>
      <c r="D92" s="207">
        <f>IFERROR(C92/VLOOKUP(A92,Usinas!$A:$B,2,FALSE()),"")</f>
        <v>3.7777777777777777</v>
      </c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  <c r="AB92" s="216"/>
      <c r="AC92" s="216"/>
      <c r="AD92" s="216"/>
      <c r="AE92" s="216"/>
      <c r="AF92" s="216"/>
      <c r="AG92" s="216"/>
    </row>
    <row r="93" spans="1:33" ht="12" customHeight="1" x14ac:dyDescent="0.3">
      <c r="A93" s="204" t="s">
        <v>555</v>
      </c>
      <c r="B93" s="205">
        <v>45749</v>
      </c>
      <c r="C93" s="215">
        <v>2475</v>
      </c>
      <c r="D93" s="207">
        <f>IFERROR(C93/VLOOKUP(A93,Usinas!$A:$B,2,FALSE()),"")</f>
        <v>3.5256410256410255</v>
      </c>
    </row>
    <row r="94" spans="1:33" ht="12" customHeight="1" x14ac:dyDescent="0.3">
      <c r="A94" s="204" t="s">
        <v>555</v>
      </c>
      <c r="B94" s="205">
        <v>45750</v>
      </c>
      <c r="C94" s="215">
        <v>3413.1</v>
      </c>
      <c r="D94" s="207">
        <f>IFERROR(C94/VLOOKUP(A94,Usinas!$A:$B,2,FALSE()),"")</f>
        <v>4.8619658119658116</v>
      </c>
    </row>
    <row r="95" spans="1:33" ht="12" customHeight="1" x14ac:dyDescent="0.3">
      <c r="A95" s="204" t="s">
        <v>555</v>
      </c>
      <c r="B95" s="205">
        <v>45751</v>
      </c>
      <c r="C95" s="215">
        <v>3680.4</v>
      </c>
      <c r="D95" s="207">
        <f>IFERROR(C95/VLOOKUP(A95,Usinas!$A:$B,2,FALSE()),"")</f>
        <v>5.2427350427350428</v>
      </c>
    </row>
    <row r="96" spans="1:33" ht="12" customHeight="1" x14ac:dyDescent="0.3">
      <c r="A96" s="204" t="s">
        <v>555</v>
      </c>
      <c r="B96" s="205">
        <v>45752</v>
      </c>
      <c r="C96" s="215">
        <v>3348.1</v>
      </c>
      <c r="D96" s="207">
        <f>IFERROR(C96/VLOOKUP(A96,Usinas!$A:$B,2,FALSE()),"")</f>
        <v>4.769373219373219</v>
      </c>
    </row>
    <row r="97" spans="1:4" ht="12" customHeight="1" x14ac:dyDescent="0.3">
      <c r="A97" s="204" t="s">
        <v>555</v>
      </c>
      <c r="B97" s="205">
        <v>45753</v>
      </c>
      <c r="C97" s="215">
        <v>4070.8</v>
      </c>
      <c r="D97" s="207">
        <f>IFERROR(C97/VLOOKUP(A97,Usinas!$A:$B,2,FALSE()),"")</f>
        <v>5.7988603988603993</v>
      </c>
    </row>
    <row r="98" spans="1:4" ht="12" customHeight="1" x14ac:dyDescent="0.3">
      <c r="A98" s="204" t="s">
        <v>555</v>
      </c>
      <c r="B98" s="205">
        <v>45754</v>
      </c>
      <c r="C98" s="215">
        <v>3669.5</v>
      </c>
      <c r="D98" s="207">
        <f>IFERROR(C98/VLOOKUP(A98,Usinas!$A:$B,2,FALSE()),"")</f>
        <v>5.2272079772079776</v>
      </c>
    </row>
    <row r="99" spans="1:4" ht="12" customHeight="1" x14ac:dyDescent="0.3">
      <c r="A99" s="204" t="s">
        <v>555</v>
      </c>
      <c r="B99" s="205">
        <v>45755</v>
      </c>
      <c r="C99" s="215">
        <v>3131.1</v>
      </c>
      <c r="D99" s="207">
        <f>IFERROR(C99/VLOOKUP(A99,Usinas!$A:$B,2,FALSE()),"")</f>
        <v>4.4602564102564104</v>
      </c>
    </row>
    <row r="100" spans="1:4" ht="12" customHeight="1" x14ac:dyDescent="0.3">
      <c r="A100" s="204" t="s">
        <v>555</v>
      </c>
      <c r="B100" s="205">
        <v>45756</v>
      </c>
      <c r="C100" s="215">
        <v>1914.9</v>
      </c>
      <c r="D100" s="207">
        <f>IFERROR(C100/VLOOKUP(A100,Usinas!$A:$B,2,FALSE()),"")</f>
        <v>2.7277777777777779</v>
      </c>
    </row>
    <row r="101" spans="1:4" ht="12" customHeight="1" x14ac:dyDescent="0.3">
      <c r="A101" s="204" t="s">
        <v>555</v>
      </c>
      <c r="B101" s="205">
        <v>45757</v>
      </c>
      <c r="C101" s="215">
        <v>3132</v>
      </c>
      <c r="D101" s="207">
        <f>IFERROR(C101/VLOOKUP(A101,Usinas!$A:$B,2,FALSE()),"")</f>
        <v>4.4615384615384617</v>
      </c>
    </row>
    <row r="102" spans="1:4" ht="12" customHeight="1" x14ac:dyDescent="0.3">
      <c r="A102" s="204" t="s">
        <v>555</v>
      </c>
      <c r="B102" s="205">
        <v>45758</v>
      </c>
      <c r="C102" s="215">
        <v>3136.8</v>
      </c>
      <c r="D102" s="207">
        <f>IFERROR(C102/VLOOKUP(A102,Usinas!$A:$B,2,FALSE()),"")</f>
        <v>4.4683760683760685</v>
      </c>
    </row>
    <row r="103" spans="1:4" ht="12" customHeight="1" x14ac:dyDescent="0.3">
      <c r="A103" s="204" t="s">
        <v>555</v>
      </c>
      <c r="B103" s="205">
        <v>45759</v>
      </c>
      <c r="C103" s="215">
        <v>1323.1</v>
      </c>
      <c r="D103" s="207">
        <f>IFERROR(C103/VLOOKUP(A103,Usinas!$A:$B,2,FALSE()),"")</f>
        <v>1.8847578347578346</v>
      </c>
    </row>
    <row r="104" spans="1:4" ht="12" customHeight="1" x14ac:dyDescent="0.3">
      <c r="A104" s="204" t="s">
        <v>555</v>
      </c>
      <c r="B104" s="205">
        <v>45760</v>
      </c>
      <c r="C104" s="215">
        <v>1943.3</v>
      </c>
      <c r="D104" s="207">
        <f>IFERROR(C104/VLOOKUP(A104,Usinas!$A:$B,2,FALSE()),"")</f>
        <v>2.768233618233618</v>
      </c>
    </row>
    <row r="105" spans="1:4" ht="12" customHeight="1" x14ac:dyDescent="0.3">
      <c r="A105" s="204" t="s">
        <v>555</v>
      </c>
      <c r="B105" s="205">
        <v>45761</v>
      </c>
      <c r="C105" s="215">
        <v>2349</v>
      </c>
      <c r="D105" s="207">
        <f>IFERROR(C105/VLOOKUP(A105,Usinas!$A:$B,2,FALSE()),"")</f>
        <v>3.3461538461538463</v>
      </c>
    </row>
    <row r="106" spans="1:4" ht="12" customHeight="1" x14ac:dyDescent="0.3">
      <c r="A106" s="204" t="s">
        <v>555</v>
      </c>
      <c r="B106" s="205">
        <v>45762</v>
      </c>
      <c r="C106" s="215">
        <v>1817.5</v>
      </c>
      <c r="D106" s="207">
        <f>IFERROR(C106/VLOOKUP(A106,Usinas!$A:$B,2,FALSE()),"")</f>
        <v>2.5890313390313389</v>
      </c>
    </row>
    <row r="107" spans="1:4" ht="12" customHeight="1" x14ac:dyDescent="0.3">
      <c r="A107" s="204" t="s">
        <v>555</v>
      </c>
      <c r="B107" s="205">
        <v>45763</v>
      </c>
      <c r="C107" s="215">
        <v>1499.7</v>
      </c>
      <c r="D107" s="207">
        <f>IFERROR(C107/VLOOKUP(A107,Usinas!$A:$B,2,FALSE()),"")</f>
        <v>2.1363247863247863</v>
      </c>
    </row>
    <row r="108" spans="1:4" ht="12" customHeight="1" x14ac:dyDescent="0.3">
      <c r="A108" s="204" t="s">
        <v>555</v>
      </c>
      <c r="B108" s="205">
        <v>45764</v>
      </c>
      <c r="C108" s="215">
        <v>1911.2</v>
      </c>
      <c r="D108" s="207">
        <f>IFERROR(C108/VLOOKUP(A108,Usinas!$A:$B,2,FALSE()),"")</f>
        <v>2.7225071225071225</v>
      </c>
    </row>
    <row r="109" spans="1:4" ht="12" customHeight="1" x14ac:dyDescent="0.3">
      <c r="A109" s="204" t="s">
        <v>555</v>
      </c>
      <c r="B109" s="205">
        <v>45765</v>
      </c>
      <c r="C109" s="215">
        <v>696.1</v>
      </c>
      <c r="D109" s="207">
        <f>IFERROR(C109/VLOOKUP(A109,Usinas!$A:$B,2,FALSE()),"")</f>
        <v>0.99159544159544166</v>
      </c>
    </row>
    <row r="110" spans="1:4" ht="12" customHeight="1" x14ac:dyDescent="0.3">
      <c r="A110" s="204" t="s">
        <v>555</v>
      </c>
      <c r="B110" s="205">
        <v>45766</v>
      </c>
      <c r="C110" s="215">
        <v>1301.3</v>
      </c>
      <c r="D110" s="207">
        <f>IFERROR(C110/VLOOKUP(A110,Usinas!$A:$B,2,FALSE()),"")</f>
        <v>1.8537037037037036</v>
      </c>
    </row>
    <row r="111" spans="1:4" ht="12" customHeight="1" x14ac:dyDescent="0.3">
      <c r="A111" s="204" t="s">
        <v>555</v>
      </c>
      <c r="B111" s="205">
        <v>45767</v>
      </c>
      <c r="C111" s="215">
        <v>1834.3</v>
      </c>
      <c r="D111" s="207">
        <f>IFERROR(C111/VLOOKUP(A111,Usinas!$A:$B,2,FALSE()),"")</f>
        <v>2.6129629629629627</v>
      </c>
    </row>
    <row r="112" spans="1:4" ht="12" customHeight="1" x14ac:dyDescent="0.3">
      <c r="A112" s="204" t="s">
        <v>555</v>
      </c>
      <c r="B112" s="205">
        <v>45768</v>
      </c>
      <c r="C112" s="215">
        <v>3301.1</v>
      </c>
      <c r="D112" s="207">
        <f>IFERROR(C112/VLOOKUP(A112,Usinas!$A:$B,2,FALSE()),"")</f>
        <v>4.702421652421652</v>
      </c>
    </row>
    <row r="113" spans="1:34" ht="12" customHeight="1" x14ac:dyDescent="0.3">
      <c r="A113" s="204" t="s">
        <v>555</v>
      </c>
      <c r="B113" s="205">
        <v>45769</v>
      </c>
      <c r="C113" s="215">
        <v>3274.9</v>
      </c>
      <c r="D113" s="207">
        <f>IFERROR(C113/VLOOKUP(A113,Usinas!$A:$B,2,FALSE()),"")</f>
        <v>4.6650997150997151</v>
      </c>
    </row>
    <row r="114" spans="1:34" ht="12" customHeight="1" x14ac:dyDescent="0.3">
      <c r="A114" s="204" t="s">
        <v>555</v>
      </c>
      <c r="B114" s="205">
        <v>45770</v>
      </c>
      <c r="C114" s="215">
        <v>3091.6</v>
      </c>
      <c r="D114" s="207">
        <f>IFERROR(C114/VLOOKUP(A114,Usinas!$A:$B,2,FALSE()),"")</f>
        <v>4.403988603988604</v>
      </c>
    </row>
    <row r="115" spans="1:34" ht="12" customHeight="1" x14ac:dyDescent="0.3">
      <c r="A115" s="204" t="s">
        <v>555</v>
      </c>
      <c r="B115" s="205">
        <v>45771</v>
      </c>
      <c r="C115" s="215">
        <v>445.1</v>
      </c>
      <c r="D115" s="207">
        <f>IFERROR(C115/VLOOKUP(A115,Usinas!$A:$B,2,FALSE()),"")</f>
        <v>0.63404558404558409</v>
      </c>
    </row>
    <row r="116" spans="1:34" ht="12" customHeight="1" x14ac:dyDescent="0.3">
      <c r="A116" s="204" t="s">
        <v>555</v>
      </c>
      <c r="B116" s="205">
        <v>45772</v>
      </c>
      <c r="C116" s="215">
        <v>1551.6</v>
      </c>
      <c r="D116" s="207">
        <f>IFERROR(C116/VLOOKUP(A116,Usinas!$A:$B,2,FALSE()),"")</f>
        <v>2.21025641025641</v>
      </c>
    </row>
    <row r="117" spans="1:34" ht="12" customHeight="1" x14ac:dyDescent="0.3">
      <c r="A117" s="204" t="s">
        <v>555</v>
      </c>
      <c r="B117" s="205">
        <v>45773</v>
      </c>
      <c r="C117" s="215">
        <v>2181.8000000000002</v>
      </c>
      <c r="D117" s="207">
        <f>IFERROR(C117/VLOOKUP(A117,Usinas!$A:$B,2,FALSE()),"")</f>
        <v>3.1079772079772083</v>
      </c>
    </row>
    <row r="118" spans="1:34" ht="12" customHeight="1" x14ac:dyDescent="0.3">
      <c r="A118" s="204" t="s">
        <v>555</v>
      </c>
      <c r="B118" s="205">
        <v>45774</v>
      </c>
      <c r="C118" s="215">
        <v>1594.1</v>
      </c>
      <c r="D118" s="207">
        <f>IFERROR(C118/VLOOKUP(A118,Usinas!$A:$B,2,FALSE()),"")</f>
        <v>2.2707977207977206</v>
      </c>
    </row>
    <row r="119" spans="1:34" ht="12" customHeight="1" x14ac:dyDescent="0.3">
      <c r="A119" s="204" t="s">
        <v>555</v>
      </c>
      <c r="B119" s="205">
        <v>45775</v>
      </c>
      <c r="C119" s="215">
        <v>1632.6</v>
      </c>
      <c r="D119" s="207">
        <f>IFERROR(C119/VLOOKUP(A119,Usinas!$A:$B,2,FALSE()),"")</f>
        <v>2.3256410256410254</v>
      </c>
    </row>
    <row r="120" spans="1:34" ht="12" customHeight="1" x14ac:dyDescent="0.3">
      <c r="A120" s="204" t="s">
        <v>555</v>
      </c>
      <c r="B120" s="205">
        <v>45776</v>
      </c>
      <c r="C120" s="215">
        <v>3937.7</v>
      </c>
      <c r="D120" s="207">
        <f>IFERROR(C120/VLOOKUP(A120,Usinas!$A:$B,2,FALSE()),"")</f>
        <v>5.6092592592592592</v>
      </c>
    </row>
    <row r="121" spans="1:34" ht="12" customHeight="1" x14ac:dyDescent="0.3">
      <c r="A121" s="204" t="s">
        <v>555</v>
      </c>
      <c r="B121" s="205">
        <v>45777</v>
      </c>
      <c r="C121" s="215">
        <v>3400</v>
      </c>
      <c r="D121" s="207">
        <f>IFERROR(C121/VLOOKUP(A121,Usinas!$A:$B,2,FALSE()),"")</f>
        <v>4.8433048433048436</v>
      </c>
    </row>
    <row r="122" spans="1:34" ht="12" customHeight="1" x14ac:dyDescent="0.3">
      <c r="A122" s="204" t="s">
        <v>555</v>
      </c>
      <c r="B122" s="205">
        <v>45778</v>
      </c>
      <c r="C122" s="215">
        <v>3839.7</v>
      </c>
      <c r="D122" s="207">
        <f>IFERROR(C122/VLOOKUP(A122,Usinas!$A:$B,2,FALSE()),"")</f>
        <v>5.4696581196581198</v>
      </c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  <c r="AB122" s="216"/>
      <c r="AC122" s="216"/>
      <c r="AD122" s="216"/>
      <c r="AE122" s="216"/>
      <c r="AF122" s="216"/>
      <c r="AG122" s="216"/>
      <c r="AH122" s="216"/>
    </row>
    <row r="123" spans="1:34" ht="12" customHeight="1" x14ac:dyDescent="0.3">
      <c r="A123" s="204" t="s">
        <v>555</v>
      </c>
      <c r="B123" s="205">
        <v>45779</v>
      </c>
      <c r="C123" s="215">
        <v>3601.4</v>
      </c>
      <c r="D123" s="207">
        <f>IFERROR(C123/VLOOKUP(A123,Usinas!$A:$B,2,FALSE()),"")</f>
        <v>5.13019943019943</v>
      </c>
    </row>
    <row r="124" spans="1:34" ht="12" customHeight="1" x14ac:dyDescent="0.3">
      <c r="A124" s="204" t="s">
        <v>555</v>
      </c>
      <c r="B124" s="205">
        <v>45780</v>
      </c>
      <c r="C124" s="215">
        <v>2338.6</v>
      </c>
      <c r="D124" s="207">
        <f>IFERROR(C124/VLOOKUP(A124,Usinas!$A:$B,2,FALSE()),"")</f>
        <v>3.3313390313390312</v>
      </c>
    </row>
    <row r="125" spans="1:34" ht="12" customHeight="1" x14ac:dyDescent="0.3">
      <c r="A125" s="204" t="s">
        <v>555</v>
      </c>
      <c r="B125" s="205">
        <v>45781</v>
      </c>
      <c r="C125" s="215">
        <v>3654.9</v>
      </c>
      <c r="D125" s="207">
        <f>IFERROR(C125/VLOOKUP(A125,Usinas!$A:$B,2,FALSE()),"")</f>
        <v>5.2064102564102566</v>
      </c>
    </row>
    <row r="126" spans="1:34" ht="12" customHeight="1" x14ac:dyDescent="0.3">
      <c r="A126" s="204" t="s">
        <v>555</v>
      </c>
      <c r="B126" s="205">
        <v>45782</v>
      </c>
      <c r="C126" s="215">
        <v>2196.6</v>
      </c>
      <c r="D126" s="207">
        <f>IFERROR(C126/VLOOKUP(A126,Usinas!$A:$B,2,FALSE()),"")</f>
        <v>3.129059829059829</v>
      </c>
    </row>
    <row r="127" spans="1:34" ht="12" customHeight="1" x14ac:dyDescent="0.3">
      <c r="A127" s="204" t="s">
        <v>555</v>
      </c>
      <c r="B127" s="205">
        <v>45783</v>
      </c>
      <c r="C127" s="215">
        <v>3133.7</v>
      </c>
      <c r="D127" s="207">
        <f>IFERROR(C127/VLOOKUP(A127,Usinas!$A:$B,2,FALSE()),"")</f>
        <v>4.4639601139601135</v>
      </c>
    </row>
    <row r="128" spans="1:34" ht="12" customHeight="1" x14ac:dyDescent="0.3">
      <c r="A128" s="204" t="s">
        <v>555</v>
      </c>
      <c r="B128" s="205">
        <v>45784</v>
      </c>
      <c r="C128" s="215">
        <v>2426.1999999999998</v>
      </c>
      <c r="D128" s="207">
        <f>IFERROR(C128/VLOOKUP(A128,Usinas!$A:$B,2,FALSE()),"")</f>
        <v>3.456125356125356</v>
      </c>
    </row>
    <row r="129" spans="1:4" ht="12" customHeight="1" x14ac:dyDescent="0.3">
      <c r="A129" s="204" t="s">
        <v>555</v>
      </c>
      <c r="B129" s="205">
        <v>45785</v>
      </c>
      <c r="C129" s="215">
        <v>3420.1</v>
      </c>
      <c r="D129" s="207">
        <f>IFERROR(C129/VLOOKUP(A129,Usinas!$A:$B,2,FALSE()),"")</f>
        <v>4.8719373219373221</v>
      </c>
    </row>
    <row r="130" spans="1:4" ht="12" customHeight="1" x14ac:dyDescent="0.3">
      <c r="A130" s="204" t="s">
        <v>555</v>
      </c>
      <c r="B130" s="205">
        <v>45786</v>
      </c>
      <c r="C130" s="215">
        <v>3099.1</v>
      </c>
      <c r="D130" s="207">
        <f>IFERROR(C130/VLOOKUP(A130,Usinas!$A:$B,2,FALSE()),"")</f>
        <v>4.4146723646723647</v>
      </c>
    </row>
    <row r="131" spans="1:4" ht="12" customHeight="1" x14ac:dyDescent="0.3">
      <c r="A131" s="204" t="s">
        <v>555</v>
      </c>
      <c r="B131" s="205">
        <v>45787</v>
      </c>
      <c r="C131" s="215">
        <v>2070.9</v>
      </c>
      <c r="D131" s="207">
        <f>IFERROR(C131/VLOOKUP(A131,Usinas!$A:$B,2,FALSE()),"")</f>
        <v>2.95</v>
      </c>
    </row>
    <row r="132" spans="1:4" ht="12" customHeight="1" x14ac:dyDescent="0.3">
      <c r="A132" s="204" t="s">
        <v>555</v>
      </c>
      <c r="B132" s="205">
        <v>45788</v>
      </c>
      <c r="C132" s="215">
        <v>1936</v>
      </c>
      <c r="D132" s="207">
        <f>IFERROR(C132/VLOOKUP(A132,Usinas!$A:$B,2,FALSE()),"")</f>
        <v>2.757834757834758</v>
      </c>
    </row>
    <row r="133" spans="1:4" ht="12" customHeight="1" x14ac:dyDescent="0.3">
      <c r="A133" s="204" t="s">
        <v>555</v>
      </c>
      <c r="B133" s="205">
        <v>45789</v>
      </c>
      <c r="C133" s="215">
        <v>3439.2</v>
      </c>
      <c r="D133" s="207">
        <f>IFERROR(C133/VLOOKUP(A133,Usinas!$A:$B,2,FALSE()),"")</f>
        <v>4.8991452991452986</v>
      </c>
    </row>
    <row r="134" spans="1:4" ht="12" customHeight="1" x14ac:dyDescent="0.3">
      <c r="A134" s="204" t="s">
        <v>555</v>
      </c>
      <c r="B134" s="205">
        <v>45790</v>
      </c>
      <c r="C134" s="215">
        <v>3355.4</v>
      </c>
      <c r="D134" s="207">
        <f>IFERROR(C134/VLOOKUP(A134,Usinas!$A:$B,2,FALSE()),"")</f>
        <v>4.77977207977208</v>
      </c>
    </row>
    <row r="135" spans="1:4" ht="12" customHeight="1" x14ac:dyDescent="0.3">
      <c r="A135" s="204" t="s">
        <v>555</v>
      </c>
      <c r="B135" s="205">
        <v>45791</v>
      </c>
      <c r="C135" s="215">
        <v>3397.6</v>
      </c>
      <c r="D135" s="207">
        <f>IFERROR(C135/VLOOKUP(A135,Usinas!$A:$B,2,FALSE()),"")</f>
        <v>4.8398860398860402</v>
      </c>
    </row>
    <row r="136" spans="1:4" ht="12" customHeight="1" x14ac:dyDescent="0.3">
      <c r="A136" s="204" t="s">
        <v>555</v>
      </c>
      <c r="B136" s="205">
        <v>45792</v>
      </c>
      <c r="C136" s="215">
        <v>3376.6</v>
      </c>
      <c r="D136" s="207">
        <f>IFERROR(C136/VLOOKUP(A136,Usinas!$A:$B,2,FALSE()),"")</f>
        <v>4.8099715099715095</v>
      </c>
    </row>
    <row r="137" spans="1:4" ht="12" customHeight="1" x14ac:dyDescent="0.3">
      <c r="A137" s="204" t="s">
        <v>555</v>
      </c>
      <c r="B137" s="205">
        <v>45793</v>
      </c>
      <c r="C137" s="215">
        <v>3190.5</v>
      </c>
      <c r="D137" s="207">
        <f>IFERROR(C137/VLOOKUP(A137,Usinas!$A:$B,2,FALSE()),"")</f>
        <v>4.5448717948717947</v>
      </c>
    </row>
    <row r="138" spans="1:4" ht="12" customHeight="1" x14ac:dyDescent="0.3">
      <c r="A138" s="204" t="s">
        <v>555</v>
      </c>
      <c r="B138" s="205">
        <v>45794</v>
      </c>
      <c r="C138" s="215">
        <v>3019.2</v>
      </c>
      <c r="D138" s="207">
        <f>IFERROR(C138/VLOOKUP(A138,Usinas!$A:$B,2,FALSE()),"")</f>
        <v>4.3008547008547007</v>
      </c>
    </row>
    <row r="139" spans="1:4" ht="12" customHeight="1" x14ac:dyDescent="0.3">
      <c r="A139" s="204" t="s">
        <v>555</v>
      </c>
      <c r="B139" s="205">
        <v>45795</v>
      </c>
      <c r="C139" s="215">
        <v>3025.2</v>
      </c>
      <c r="D139" s="207">
        <f>IFERROR(C139/VLOOKUP(A139,Usinas!$A:$B,2,FALSE()),"")</f>
        <v>4.3094017094017092</v>
      </c>
    </row>
    <row r="140" spans="1:4" ht="12" customHeight="1" x14ac:dyDescent="0.3">
      <c r="A140" s="204" t="s">
        <v>555</v>
      </c>
      <c r="B140" s="205">
        <v>45796</v>
      </c>
      <c r="C140" s="215">
        <v>3298.4</v>
      </c>
      <c r="D140" s="207">
        <f>IFERROR(C140/VLOOKUP(A140,Usinas!$A:$B,2,FALSE()),"")</f>
        <v>4.6985754985754991</v>
      </c>
    </row>
    <row r="141" spans="1:4" ht="12" customHeight="1" x14ac:dyDescent="0.3">
      <c r="A141" s="204" t="s">
        <v>555</v>
      </c>
      <c r="B141" s="205">
        <v>45797</v>
      </c>
      <c r="C141" s="215">
        <v>2855.7</v>
      </c>
      <c r="D141" s="207">
        <f>IFERROR(C141/VLOOKUP(A141,Usinas!$A:$B,2,FALSE()),"")</f>
        <v>4.0679487179487177</v>
      </c>
    </row>
    <row r="142" spans="1:4" ht="12" customHeight="1" x14ac:dyDescent="0.3">
      <c r="A142" s="204" t="s">
        <v>555</v>
      </c>
      <c r="B142" s="205">
        <v>45798</v>
      </c>
      <c r="C142" s="215">
        <v>3046.7</v>
      </c>
      <c r="D142" s="207">
        <f>IFERROR(C142/VLOOKUP(A142,Usinas!$A:$B,2,FALSE()),"")</f>
        <v>4.34002849002849</v>
      </c>
    </row>
    <row r="143" spans="1:4" ht="12" customHeight="1" x14ac:dyDescent="0.3">
      <c r="A143" s="204" t="s">
        <v>555</v>
      </c>
      <c r="B143" s="205">
        <v>45799</v>
      </c>
      <c r="C143" s="215">
        <v>3090.6</v>
      </c>
      <c r="D143" s="207">
        <f>IFERROR(C143/VLOOKUP(A143,Usinas!$A:$B,2,FALSE()),"")</f>
        <v>4.402564102564102</v>
      </c>
    </row>
    <row r="144" spans="1:4" ht="12" customHeight="1" x14ac:dyDescent="0.3">
      <c r="A144" s="204" t="s">
        <v>555</v>
      </c>
      <c r="B144" s="205">
        <v>45800</v>
      </c>
      <c r="C144" s="215">
        <v>3059.5</v>
      </c>
      <c r="D144" s="207">
        <f>IFERROR(C144/VLOOKUP(A144,Usinas!$A:$B,2,FALSE()),"")</f>
        <v>4.3582621082621085</v>
      </c>
    </row>
    <row r="145" spans="1:33" ht="12" customHeight="1" x14ac:dyDescent="0.3">
      <c r="A145" s="204" t="s">
        <v>555</v>
      </c>
      <c r="B145" s="205">
        <v>45801</v>
      </c>
      <c r="C145" s="215">
        <v>3186.4</v>
      </c>
      <c r="D145" s="207">
        <f>IFERROR(C145/VLOOKUP(A145,Usinas!$A:$B,2,FALSE()),"")</f>
        <v>4.5390313390313395</v>
      </c>
    </row>
    <row r="146" spans="1:33" ht="12" customHeight="1" x14ac:dyDescent="0.3">
      <c r="A146" s="204" t="s">
        <v>555</v>
      </c>
      <c r="B146" s="205">
        <v>45802</v>
      </c>
      <c r="C146" s="215">
        <v>3220.5</v>
      </c>
      <c r="D146" s="207">
        <f>IFERROR(C146/VLOOKUP(A146,Usinas!$A:$B,2,FALSE()),"")</f>
        <v>4.5876068376068373</v>
      </c>
    </row>
    <row r="147" spans="1:33" ht="12" customHeight="1" x14ac:dyDescent="0.3">
      <c r="A147" s="204" t="s">
        <v>555</v>
      </c>
      <c r="B147" s="205">
        <v>45803</v>
      </c>
      <c r="C147" s="215">
        <v>2749.7</v>
      </c>
      <c r="D147" s="207">
        <f>IFERROR(C147/VLOOKUP(A147,Usinas!$A:$B,2,FALSE()),"")</f>
        <v>3.9169515669515667</v>
      </c>
    </row>
    <row r="148" spans="1:33" ht="12" customHeight="1" x14ac:dyDescent="0.3">
      <c r="A148" s="204" t="s">
        <v>555</v>
      </c>
      <c r="B148" s="205">
        <v>45804</v>
      </c>
      <c r="C148" s="215">
        <v>2407.1</v>
      </c>
      <c r="D148" s="207">
        <f>IFERROR(C148/VLOOKUP(A148,Usinas!$A:$B,2,FALSE()),"")</f>
        <v>3.4289173789173786</v>
      </c>
    </row>
    <row r="149" spans="1:33" ht="12" customHeight="1" x14ac:dyDescent="0.3">
      <c r="A149" s="204" t="s">
        <v>555</v>
      </c>
      <c r="B149" s="205">
        <v>45805</v>
      </c>
      <c r="C149" s="215">
        <v>810</v>
      </c>
      <c r="D149" s="207">
        <f>IFERROR(C149/VLOOKUP(A149,Usinas!$A:$B,2,FALSE()),"")</f>
        <v>1.1538461538461537</v>
      </c>
    </row>
    <row r="150" spans="1:33" ht="12" customHeight="1" x14ac:dyDescent="0.3">
      <c r="A150" s="204" t="s">
        <v>555</v>
      </c>
      <c r="B150" s="205">
        <v>45806</v>
      </c>
      <c r="C150" s="215">
        <v>3279.2</v>
      </c>
      <c r="D150" s="207">
        <f>IFERROR(C150/VLOOKUP(A150,Usinas!$A:$B,2,FALSE()),"")</f>
        <v>4.6712250712250709</v>
      </c>
    </row>
    <row r="151" spans="1:33" ht="12" customHeight="1" x14ac:dyDescent="0.3">
      <c r="A151" s="204" t="s">
        <v>555</v>
      </c>
      <c r="B151" s="205">
        <v>45807</v>
      </c>
      <c r="C151" s="215">
        <v>3583.1</v>
      </c>
      <c r="D151" s="207">
        <f>IFERROR(C151/VLOOKUP(A151,Usinas!$A:$B,2,FALSE()),"")</f>
        <v>5.1041310541310541</v>
      </c>
    </row>
    <row r="152" spans="1:33" ht="12" customHeight="1" x14ac:dyDescent="0.3">
      <c r="A152" s="204" t="s">
        <v>555</v>
      </c>
      <c r="B152" s="205">
        <v>45808</v>
      </c>
      <c r="C152" s="215">
        <v>2508.8000000000002</v>
      </c>
      <c r="D152" s="207">
        <f>IFERROR(C152/VLOOKUP(A152,Usinas!$A:$B,2,FALSE()),"")</f>
        <v>3.5737891737891743</v>
      </c>
    </row>
    <row r="153" spans="1:33" ht="12" customHeight="1" x14ac:dyDescent="0.3">
      <c r="A153" s="204" t="s">
        <v>555</v>
      </c>
      <c r="B153" s="205">
        <v>45809</v>
      </c>
      <c r="C153" s="215">
        <v>2980.4</v>
      </c>
      <c r="D153" s="207">
        <f>IFERROR(C153/VLOOKUP(A153,Usinas!$A:$B,2,FALSE()),"")</f>
        <v>4.2455840455840459</v>
      </c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  <c r="AA153" s="216"/>
      <c r="AB153" s="216"/>
      <c r="AC153" s="216"/>
      <c r="AD153" s="216"/>
      <c r="AE153" s="216"/>
      <c r="AF153" s="216"/>
      <c r="AG153" s="216"/>
    </row>
    <row r="154" spans="1:33" ht="12" customHeight="1" x14ac:dyDescent="0.3">
      <c r="A154" s="204" t="s">
        <v>555</v>
      </c>
      <c r="B154" s="205">
        <v>45810</v>
      </c>
      <c r="C154" s="215">
        <v>2796</v>
      </c>
      <c r="D154" s="207">
        <f>IFERROR(C154/VLOOKUP(A154,Usinas!$A:$B,2,FALSE()),"")</f>
        <v>3.982905982905983</v>
      </c>
    </row>
    <row r="155" spans="1:33" ht="12" customHeight="1" x14ac:dyDescent="0.3">
      <c r="A155" s="204" t="s">
        <v>555</v>
      </c>
      <c r="B155" s="205">
        <v>45811</v>
      </c>
      <c r="C155" s="215">
        <v>2937.4</v>
      </c>
      <c r="D155" s="207">
        <f>IFERROR(C155/VLOOKUP(A155,Usinas!$A:$B,2,FALSE()),"")</f>
        <v>4.1843304843304843</v>
      </c>
    </row>
    <row r="156" spans="1:33" ht="12" customHeight="1" x14ac:dyDescent="0.3">
      <c r="A156" s="204" t="s">
        <v>555</v>
      </c>
      <c r="B156" s="205">
        <v>45812</v>
      </c>
      <c r="C156" s="215">
        <v>2795.8</v>
      </c>
      <c r="D156" s="207">
        <f>IFERROR(C156/VLOOKUP(A156,Usinas!$A:$B,2,FALSE()),"")</f>
        <v>3.9826210826210828</v>
      </c>
    </row>
    <row r="157" spans="1:33" ht="12" customHeight="1" x14ac:dyDescent="0.3">
      <c r="A157" s="204" t="s">
        <v>555</v>
      </c>
      <c r="B157" s="205">
        <v>45813</v>
      </c>
      <c r="C157" s="215">
        <v>1843.8</v>
      </c>
      <c r="D157" s="207">
        <f>IFERROR(C157/VLOOKUP(A157,Usinas!$A:$B,2,FALSE()),"")</f>
        <v>2.6264957264957265</v>
      </c>
    </row>
    <row r="158" spans="1:33" ht="12" customHeight="1" x14ac:dyDescent="0.3">
      <c r="A158" s="204" t="s">
        <v>555</v>
      </c>
      <c r="B158" s="205">
        <v>45814</v>
      </c>
      <c r="C158" s="215">
        <v>2559.3000000000002</v>
      </c>
      <c r="D158" s="207">
        <f>IFERROR(C158/VLOOKUP(A158,Usinas!$A:$B,2,FALSE()),"")</f>
        <v>3.6457264957264961</v>
      </c>
    </row>
    <row r="159" spans="1:33" ht="12" customHeight="1" x14ac:dyDescent="0.3">
      <c r="A159" s="204" t="s">
        <v>555</v>
      </c>
      <c r="B159" s="205">
        <v>45815</v>
      </c>
      <c r="C159" s="215">
        <v>2978.3</v>
      </c>
      <c r="D159" s="207">
        <f>IFERROR(C159/VLOOKUP(A159,Usinas!$A:$B,2,FALSE()),"")</f>
        <v>4.2425925925925929</v>
      </c>
    </row>
    <row r="160" spans="1:33" ht="12" customHeight="1" x14ac:dyDescent="0.3">
      <c r="A160" s="204" t="s">
        <v>555</v>
      </c>
      <c r="B160" s="205">
        <v>45816</v>
      </c>
      <c r="C160" s="215">
        <v>765.5</v>
      </c>
      <c r="D160" s="207">
        <f>IFERROR(C160/VLOOKUP(A160,Usinas!$A:$B,2,FALSE()),"")</f>
        <v>1.0904558404558404</v>
      </c>
    </row>
    <row r="161" spans="1:4" ht="12" customHeight="1" x14ac:dyDescent="0.3">
      <c r="A161" s="204" t="s">
        <v>555</v>
      </c>
      <c r="B161" s="205">
        <v>45817</v>
      </c>
      <c r="C161" s="215">
        <v>2892.6</v>
      </c>
      <c r="D161" s="207">
        <f>IFERROR(C161/VLOOKUP(A161,Usinas!$A:$B,2,FALSE()),"")</f>
        <v>4.1205128205128201</v>
      </c>
    </row>
    <row r="162" spans="1:4" ht="12" customHeight="1" x14ac:dyDescent="0.3">
      <c r="A162" s="204" t="s">
        <v>555</v>
      </c>
      <c r="B162" s="205">
        <v>45818</v>
      </c>
      <c r="C162" s="215">
        <v>1838.9</v>
      </c>
      <c r="D162" s="207">
        <f>IFERROR(C162/VLOOKUP(A162,Usinas!$A:$B,2,FALSE()),"")</f>
        <v>2.6195156695156698</v>
      </c>
    </row>
    <row r="163" spans="1:4" ht="12" customHeight="1" x14ac:dyDescent="0.3">
      <c r="A163" s="204" t="s">
        <v>555</v>
      </c>
      <c r="B163" s="205">
        <v>45819</v>
      </c>
      <c r="C163" s="215">
        <v>3240.3</v>
      </c>
      <c r="D163" s="207">
        <f>IFERROR(C163/VLOOKUP(A163,Usinas!$A:$B,2,FALSE()),"")</f>
        <v>4.6158119658119663</v>
      </c>
    </row>
    <row r="164" spans="1:4" ht="12" customHeight="1" x14ac:dyDescent="0.3">
      <c r="A164" s="204" t="s">
        <v>555</v>
      </c>
      <c r="B164" s="205">
        <v>45820</v>
      </c>
      <c r="C164" s="215">
        <v>3314.9</v>
      </c>
      <c r="D164" s="207">
        <f>IFERROR(C164/VLOOKUP(A164,Usinas!$A:$B,2,FALSE()),"")</f>
        <v>4.7220797720797725</v>
      </c>
    </row>
    <row r="165" spans="1:4" ht="12" customHeight="1" x14ac:dyDescent="0.3">
      <c r="A165" s="204" t="s">
        <v>555</v>
      </c>
      <c r="B165" s="205">
        <v>45821</v>
      </c>
      <c r="C165" s="215">
        <v>2449.3000000000002</v>
      </c>
      <c r="D165" s="207">
        <f>IFERROR(C165/VLOOKUP(A165,Usinas!$A:$B,2,FALSE()),"")</f>
        <v>3.4890313390313392</v>
      </c>
    </row>
    <row r="166" spans="1:4" ht="12" customHeight="1" x14ac:dyDescent="0.3">
      <c r="A166" s="204" t="s">
        <v>555</v>
      </c>
      <c r="B166" s="205">
        <v>45822</v>
      </c>
      <c r="C166" s="215">
        <v>2137.6</v>
      </c>
      <c r="D166" s="207">
        <f>IFERROR(C166/VLOOKUP(A166,Usinas!$A:$B,2,FALSE()),"")</f>
        <v>3.045014245014245</v>
      </c>
    </row>
    <row r="167" spans="1:4" ht="12" customHeight="1" x14ac:dyDescent="0.3">
      <c r="A167" s="204" t="s">
        <v>555</v>
      </c>
      <c r="B167" s="205">
        <v>45823</v>
      </c>
      <c r="C167" s="215">
        <v>2434.3000000000002</v>
      </c>
      <c r="D167" s="207">
        <f>IFERROR(C167/VLOOKUP(A167,Usinas!$A:$B,2,FALSE()),"")</f>
        <v>3.4676638176638179</v>
      </c>
    </row>
    <row r="168" spans="1:4" ht="12" customHeight="1" x14ac:dyDescent="0.3">
      <c r="A168" s="204" t="s">
        <v>555</v>
      </c>
      <c r="B168" s="205">
        <v>45824</v>
      </c>
      <c r="C168" s="215">
        <v>3062.8</v>
      </c>
      <c r="D168" s="207">
        <f>IFERROR(C168/VLOOKUP(A168,Usinas!$A:$B,2,FALSE()),"")</f>
        <v>4.3629629629629632</v>
      </c>
    </row>
    <row r="169" spans="1:4" ht="12" customHeight="1" x14ac:dyDescent="0.3">
      <c r="A169" s="204" t="s">
        <v>555</v>
      </c>
      <c r="B169" s="205">
        <v>45825</v>
      </c>
      <c r="C169" s="215">
        <v>3067.7</v>
      </c>
      <c r="D169" s="207">
        <f>IFERROR(C169/VLOOKUP(A169,Usinas!$A:$B,2,FALSE()),"")</f>
        <v>4.3699430199430198</v>
      </c>
    </row>
    <row r="170" spans="1:4" ht="12" customHeight="1" x14ac:dyDescent="0.3">
      <c r="A170" s="204" t="s">
        <v>555</v>
      </c>
      <c r="B170" s="205">
        <v>45826</v>
      </c>
      <c r="C170" s="215">
        <v>3139.4</v>
      </c>
      <c r="D170" s="207">
        <f>IFERROR(C170/VLOOKUP(A170,Usinas!$A:$B,2,FALSE()),"")</f>
        <v>4.4720797720797725</v>
      </c>
    </row>
    <row r="171" spans="1:4" ht="12" customHeight="1" x14ac:dyDescent="0.3">
      <c r="A171" s="204" t="s">
        <v>555</v>
      </c>
      <c r="B171" s="205">
        <v>45827</v>
      </c>
      <c r="C171" s="215">
        <v>3108.7</v>
      </c>
      <c r="D171" s="207">
        <f>IFERROR(C171/VLOOKUP(A171,Usinas!$A:$B,2,FALSE()),"")</f>
        <v>4.4283475783475783</v>
      </c>
    </row>
    <row r="172" spans="1:4" ht="12" customHeight="1" x14ac:dyDescent="0.3">
      <c r="A172" s="204" t="s">
        <v>555</v>
      </c>
      <c r="B172" s="205">
        <v>45828</v>
      </c>
      <c r="C172" s="215">
        <v>2643</v>
      </c>
      <c r="D172" s="207">
        <f>IFERROR(C172/VLOOKUP(A172,Usinas!$A:$B,2,FALSE()),"")</f>
        <v>3.7649572649572649</v>
      </c>
    </row>
    <row r="173" spans="1:4" ht="12" customHeight="1" x14ac:dyDescent="0.3">
      <c r="A173" s="204" t="s">
        <v>555</v>
      </c>
      <c r="B173" s="205">
        <v>45829</v>
      </c>
      <c r="C173" s="215">
        <v>1109.5999999999999</v>
      </c>
      <c r="D173" s="207">
        <f>IFERROR(C173/VLOOKUP(A173,Usinas!$A:$B,2,FALSE()),"")</f>
        <v>1.5806267806267804</v>
      </c>
    </row>
    <row r="174" spans="1:4" ht="12" customHeight="1" x14ac:dyDescent="0.3">
      <c r="A174" s="204" t="s">
        <v>555</v>
      </c>
      <c r="B174" s="205">
        <v>45830</v>
      </c>
      <c r="C174" s="215">
        <v>1633.4</v>
      </c>
      <c r="D174" s="207">
        <f>IFERROR(C174/VLOOKUP(A174,Usinas!$A:$B,2,FALSE()),"")</f>
        <v>2.3267806267806268</v>
      </c>
    </row>
    <row r="175" spans="1:4" ht="12" customHeight="1" x14ac:dyDescent="0.3">
      <c r="A175" s="204" t="s">
        <v>555</v>
      </c>
      <c r="B175" s="205">
        <v>45831</v>
      </c>
      <c r="C175" s="215">
        <v>579.70000000000005</v>
      </c>
      <c r="D175" s="207">
        <f>IFERROR(C175/VLOOKUP(A175,Usinas!$A:$B,2,FALSE()),"")</f>
        <v>0.82578347578347588</v>
      </c>
    </row>
    <row r="176" spans="1:4" ht="12" customHeight="1" x14ac:dyDescent="0.3">
      <c r="A176" s="204" t="s">
        <v>555</v>
      </c>
      <c r="B176" s="205">
        <v>45832</v>
      </c>
      <c r="C176" s="215">
        <v>3661</v>
      </c>
      <c r="D176" s="207">
        <f>IFERROR(C176/VLOOKUP(A176,Usinas!$A:$B,2,FALSE()),"")</f>
        <v>5.2150997150997149</v>
      </c>
    </row>
    <row r="177" spans="1:34" ht="12" customHeight="1" x14ac:dyDescent="0.3">
      <c r="A177" s="204" t="s">
        <v>555</v>
      </c>
      <c r="B177" s="205">
        <v>45833</v>
      </c>
      <c r="C177" s="215">
        <v>2997.7</v>
      </c>
      <c r="D177" s="207">
        <f>IFERROR(C177/VLOOKUP(A177,Usinas!$A:$B,2,FALSE()),"")</f>
        <v>4.2702279202279199</v>
      </c>
    </row>
    <row r="178" spans="1:34" ht="12" customHeight="1" x14ac:dyDescent="0.3">
      <c r="A178" s="204" t="s">
        <v>555</v>
      </c>
      <c r="B178" s="205">
        <v>45834</v>
      </c>
      <c r="C178" s="215">
        <v>1670.4</v>
      </c>
      <c r="D178" s="207">
        <f>IFERROR(C178/VLOOKUP(A178,Usinas!$A:$B,2,FALSE()),"")</f>
        <v>2.3794871794871795</v>
      </c>
    </row>
    <row r="179" spans="1:34" ht="12" customHeight="1" x14ac:dyDescent="0.3">
      <c r="A179" s="204" t="s">
        <v>555</v>
      </c>
      <c r="B179" s="205">
        <v>45835</v>
      </c>
      <c r="C179" s="215">
        <v>1251</v>
      </c>
      <c r="D179" s="207">
        <f>IFERROR(C179/VLOOKUP(A179,Usinas!$A:$B,2,FALSE()),"")</f>
        <v>1.7820512820512822</v>
      </c>
    </row>
    <row r="180" spans="1:34" ht="12" customHeight="1" x14ac:dyDescent="0.3">
      <c r="A180" s="204" t="s">
        <v>555</v>
      </c>
      <c r="B180" s="205">
        <v>45836</v>
      </c>
      <c r="C180" s="215">
        <v>2953.2</v>
      </c>
      <c r="D180" s="207">
        <f>IFERROR(C180/VLOOKUP(A180,Usinas!$A:$B,2,FALSE()),"")</f>
        <v>4.206837606837607</v>
      </c>
    </row>
    <row r="181" spans="1:34" ht="12" customHeight="1" x14ac:dyDescent="0.3">
      <c r="A181" s="204" t="s">
        <v>555</v>
      </c>
      <c r="B181" s="205">
        <v>45837</v>
      </c>
      <c r="C181" s="215">
        <v>2652.4</v>
      </c>
      <c r="D181" s="207">
        <f>IFERROR(C181/VLOOKUP(A181,Usinas!$A:$B,2,FALSE()),"")</f>
        <v>3.7783475783475784</v>
      </c>
    </row>
    <row r="182" spans="1:34" ht="12" customHeight="1" x14ac:dyDescent="0.3">
      <c r="A182" s="204" t="s">
        <v>555</v>
      </c>
      <c r="B182" s="205">
        <v>45838</v>
      </c>
      <c r="C182" s="215">
        <v>792.5</v>
      </c>
      <c r="D182" s="207">
        <f>IFERROR(C182/VLOOKUP(A182,Usinas!$A:$B,2,FALSE()),"")</f>
        <v>1.128917378917379</v>
      </c>
    </row>
    <row r="183" spans="1:34" ht="12" customHeight="1" x14ac:dyDescent="0.3">
      <c r="A183" s="204" t="s">
        <v>555</v>
      </c>
      <c r="B183" s="205">
        <v>45839</v>
      </c>
      <c r="C183" s="215">
        <v>2040.9</v>
      </c>
      <c r="D183" s="207">
        <f>IFERROR(C183/VLOOKUP(A183,Usinas!$A:$B,2,FALSE()),"")</f>
        <v>2.9072649572649576</v>
      </c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  <c r="AB183" s="216"/>
      <c r="AC183" s="216"/>
      <c r="AD183" s="216"/>
      <c r="AE183" s="216"/>
      <c r="AF183" s="216"/>
      <c r="AG183" s="216"/>
      <c r="AH183" s="216"/>
    </row>
    <row r="184" spans="1:34" ht="12" customHeight="1" x14ac:dyDescent="0.3">
      <c r="A184" s="204" t="s">
        <v>555</v>
      </c>
      <c r="B184" s="205">
        <v>45840</v>
      </c>
      <c r="C184" s="215">
        <v>985.9</v>
      </c>
      <c r="D184" s="207">
        <f>IFERROR(C184/VLOOKUP(A184,Usinas!$A:$B,2,FALSE()),"")</f>
        <v>1.4044159544159545</v>
      </c>
    </row>
    <row r="185" spans="1:34" ht="12" customHeight="1" x14ac:dyDescent="0.3">
      <c r="A185" s="204" t="s">
        <v>555</v>
      </c>
      <c r="B185" s="205">
        <v>45841</v>
      </c>
      <c r="C185" s="215">
        <v>2848.3</v>
      </c>
      <c r="D185" s="207">
        <f>IFERROR(C185/VLOOKUP(A185,Usinas!$A:$B,2,FALSE()),"")</f>
        <v>4.0574074074074078</v>
      </c>
    </row>
    <row r="186" spans="1:34" ht="12" customHeight="1" x14ac:dyDescent="0.3">
      <c r="A186" s="204" t="s">
        <v>555</v>
      </c>
      <c r="B186" s="205">
        <v>45842</v>
      </c>
      <c r="C186" s="215">
        <v>2420.6999999999998</v>
      </c>
      <c r="D186" s="207">
        <f>IFERROR(C186/VLOOKUP(A186,Usinas!$A:$B,2,FALSE()),"")</f>
        <v>3.448290598290598</v>
      </c>
    </row>
    <row r="187" spans="1:34" ht="12" customHeight="1" x14ac:dyDescent="0.3">
      <c r="A187" s="204" t="s">
        <v>555</v>
      </c>
      <c r="B187" s="205">
        <v>45843</v>
      </c>
      <c r="C187" s="215">
        <v>3374.5</v>
      </c>
      <c r="D187" s="207">
        <f>IFERROR(C187/VLOOKUP(A187,Usinas!$A:$B,2,FALSE()),"")</f>
        <v>4.8069800569800574</v>
      </c>
    </row>
    <row r="188" spans="1:34" ht="12" customHeight="1" x14ac:dyDescent="0.3">
      <c r="A188" s="204" t="s">
        <v>555</v>
      </c>
      <c r="B188" s="205">
        <v>45844</v>
      </c>
      <c r="C188" s="215">
        <v>3429.6</v>
      </c>
      <c r="D188" s="207">
        <f>IFERROR(C188/VLOOKUP(A188,Usinas!$A:$B,2,FALSE()),"")</f>
        <v>4.885470085470085</v>
      </c>
    </row>
    <row r="189" spans="1:34" ht="12" customHeight="1" x14ac:dyDescent="0.3">
      <c r="A189" s="204" t="s">
        <v>555</v>
      </c>
      <c r="B189" s="205">
        <v>45845</v>
      </c>
      <c r="C189" s="215">
        <v>3200.8</v>
      </c>
      <c r="D189" s="207">
        <f>IFERROR(C189/VLOOKUP(A189,Usinas!$A:$B,2,FALSE()),"")</f>
        <v>4.5595441595441599</v>
      </c>
    </row>
    <row r="190" spans="1:34" ht="12" customHeight="1" x14ac:dyDescent="0.3">
      <c r="A190" s="204" t="s">
        <v>555</v>
      </c>
      <c r="B190" s="205">
        <v>45846</v>
      </c>
      <c r="C190" s="215">
        <v>3194.5</v>
      </c>
      <c r="D190" s="207">
        <f>IFERROR(C190/VLOOKUP(A190,Usinas!$A:$B,2,FALSE()),"")</f>
        <v>4.550569800569801</v>
      </c>
    </row>
    <row r="191" spans="1:34" ht="12" customHeight="1" x14ac:dyDescent="0.3">
      <c r="A191" s="204" t="s">
        <v>555</v>
      </c>
      <c r="B191" s="205">
        <v>45847</v>
      </c>
      <c r="C191" s="215">
        <v>3280.7</v>
      </c>
      <c r="D191" s="207">
        <f>IFERROR(C191/VLOOKUP(A191,Usinas!$A:$B,2,FALSE()),"")</f>
        <v>4.673361823361823</v>
      </c>
    </row>
    <row r="192" spans="1:34" ht="12" customHeight="1" x14ac:dyDescent="0.3">
      <c r="A192" s="204" t="s">
        <v>555</v>
      </c>
      <c r="B192" s="205">
        <v>45848</v>
      </c>
      <c r="C192" s="215">
        <v>3073.3</v>
      </c>
      <c r="D192" s="207">
        <f>IFERROR(C192/VLOOKUP(A192,Usinas!$A:$B,2,FALSE()),"")</f>
        <v>4.3779202279202281</v>
      </c>
    </row>
    <row r="193" spans="1:4" ht="12" customHeight="1" x14ac:dyDescent="0.3">
      <c r="A193" s="204" t="s">
        <v>555</v>
      </c>
      <c r="B193" s="205">
        <v>45849</v>
      </c>
      <c r="C193" s="215">
        <v>2183.9</v>
      </c>
      <c r="D193" s="207">
        <f>IFERROR(C193/VLOOKUP(A193,Usinas!$A:$B,2,FALSE()),"")</f>
        <v>3.1109686609686613</v>
      </c>
    </row>
    <row r="194" spans="1:4" ht="12" customHeight="1" x14ac:dyDescent="0.3">
      <c r="A194" s="204" t="s">
        <v>555</v>
      </c>
      <c r="B194" s="205">
        <v>45850</v>
      </c>
      <c r="C194" s="215">
        <v>2880.1</v>
      </c>
      <c r="D194" s="207">
        <f>IFERROR(C194/VLOOKUP(A194,Usinas!$A:$B,2,FALSE()),"")</f>
        <v>4.1027065527065529</v>
      </c>
    </row>
    <row r="195" spans="1:4" ht="12" customHeight="1" x14ac:dyDescent="0.3">
      <c r="A195" s="204" t="s">
        <v>555</v>
      </c>
      <c r="B195" s="205">
        <v>45851</v>
      </c>
      <c r="C195" s="215">
        <v>2478.1999999999998</v>
      </c>
      <c r="D195" s="207">
        <f>IFERROR(C195/VLOOKUP(A195,Usinas!$A:$B,2,FALSE()),"")</f>
        <v>3.5301994301994299</v>
      </c>
    </row>
    <row r="196" spans="1:4" ht="12" customHeight="1" x14ac:dyDescent="0.3">
      <c r="A196" s="204" t="s">
        <v>555</v>
      </c>
      <c r="B196" s="205">
        <v>45852</v>
      </c>
      <c r="C196" s="215">
        <v>2389.4</v>
      </c>
      <c r="D196" s="207">
        <f>IFERROR(C196/VLOOKUP(A196,Usinas!$A:$B,2,FALSE()),"")</f>
        <v>3.4037037037037039</v>
      </c>
    </row>
    <row r="197" spans="1:4" ht="12" customHeight="1" x14ac:dyDescent="0.3">
      <c r="A197" s="204" t="s">
        <v>555</v>
      </c>
      <c r="B197" s="205">
        <v>45853</v>
      </c>
      <c r="C197" s="215">
        <v>2792.3</v>
      </c>
      <c r="D197" s="207">
        <f>IFERROR(C197/VLOOKUP(A197,Usinas!$A:$B,2,FALSE()),"")</f>
        <v>3.977635327635328</v>
      </c>
    </row>
    <row r="198" spans="1:4" ht="12" customHeight="1" x14ac:dyDescent="0.3">
      <c r="A198" s="204" t="s">
        <v>555</v>
      </c>
      <c r="B198" s="205">
        <v>45854</v>
      </c>
      <c r="C198" s="215">
        <v>3045.8</v>
      </c>
      <c r="D198" s="207">
        <f>IFERROR(C198/VLOOKUP(A198,Usinas!$A:$B,2,FALSE()),"")</f>
        <v>4.3387464387464387</v>
      </c>
    </row>
    <row r="199" spans="1:4" ht="12" customHeight="1" x14ac:dyDescent="0.3">
      <c r="A199" s="204" t="s">
        <v>555</v>
      </c>
      <c r="B199" s="205">
        <v>45855</v>
      </c>
      <c r="C199" s="215">
        <v>2678.3</v>
      </c>
      <c r="D199" s="207">
        <f>IFERROR(C199/VLOOKUP(A199,Usinas!$A:$B,2,FALSE()),"")</f>
        <v>3.8152421652421653</v>
      </c>
    </row>
    <row r="200" spans="1:4" ht="12" customHeight="1" x14ac:dyDescent="0.3">
      <c r="A200" s="204" t="s">
        <v>555</v>
      </c>
      <c r="B200" s="205">
        <v>45856</v>
      </c>
      <c r="C200" s="215">
        <v>3381.8</v>
      </c>
      <c r="D200" s="207">
        <f>IFERROR(C200/VLOOKUP(A200,Usinas!$A:$B,2,FALSE()),"")</f>
        <v>4.8173789173789174</v>
      </c>
    </row>
    <row r="201" spans="1:4" ht="12" customHeight="1" x14ac:dyDescent="0.3">
      <c r="A201" s="204" t="s">
        <v>555</v>
      </c>
      <c r="B201" s="205">
        <v>45857</v>
      </c>
      <c r="C201" s="215">
        <v>3130.5</v>
      </c>
      <c r="D201" s="207">
        <f>IFERROR(C201/VLOOKUP(A201,Usinas!$A:$B,2,FALSE()),"")</f>
        <v>4.4594017094017095</v>
      </c>
    </row>
    <row r="202" spans="1:4" ht="12" customHeight="1" x14ac:dyDescent="0.3">
      <c r="A202" s="204" t="s">
        <v>555</v>
      </c>
      <c r="B202" s="205">
        <v>45858</v>
      </c>
      <c r="C202" s="215">
        <v>2421.1</v>
      </c>
      <c r="D202" s="207">
        <f>IFERROR(C202/VLOOKUP(A202,Usinas!$A:$B,2,FALSE()),"")</f>
        <v>3.4488603988603987</v>
      </c>
    </row>
    <row r="203" spans="1:4" ht="12" customHeight="1" x14ac:dyDescent="0.3">
      <c r="A203" s="204" t="s">
        <v>555</v>
      </c>
      <c r="B203" s="205">
        <v>45859</v>
      </c>
      <c r="C203" s="215">
        <v>2748.2</v>
      </c>
      <c r="D203" s="207">
        <f>IFERROR(C203/VLOOKUP(A203,Usinas!$A:$B,2,FALSE()),"")</f>
        <v>3.9148148148148145</v>
      </c>
    </row>
    <row r="204" spans="1:4" ht="12" customHeight="1" x14ac:dyDescent="0.3">
      <c r="A204" s="204" t="s">
        <v>555</v>
      </c>
      <c r="B204" s="205">
        <v>45860</v>
      </c>
      <c r="C204" s="215">
        <v>3098.2</v>
      </c>
      <c r="D204" s="207">
        <f>IFERROR(C204/VLOOKUP(A204,Usinas!$A:$B,2,FALSE()),"")</f>
        <v>4.4133903133903134</v>
      </c>
    </row>
    <row r="205" spans="1:4" ht="12" customHeight="1" x14ac:dyDescent="0.3">
      <c r="A205" s="204" t="s">
        <v>555</v>
      </c>
      <c r="B205" s="205">
        <v>45861</v>
      </c>
      <c r="C205" s="215">
        <v>2927.2</v>
      </c>
      <c r="D205" s="207">
        <f>IFERROR(C205/VLOOKUP(A205,Usinas!$A:$B,2,FALSE()),"")</f>
        <v>4.1698005698005698</v>
      </c>
    </row>
    <row r="206" spans="1:4" ht="12" customHeight="1" x14ac:dyDescent="0.3">
      <c r="A206" s="204" t="s">
        <v>555</v>
      </c>
      <c r="B206" s="205">
        <v>45862</v>
      </c>
      <c r="C206" s="215">
        <v>2676.8</v>
      </c>
      <c r="D206" s="207">
        <f>IFERROR(C206/VLOOKUP(A206,Usinas!$A:$B,2,FALSE()),"")</f>
        <v>3.8131054131054132</v>
      </c>
    </row>
    <row r="207" spans="1:4" ht="12" customHeight="1" x14ac:dyDescent="0.3">
      <c r="A207" s="204" t="s">
        <v>555</v>
      </c>
      <c r="B207" s="205">
        <v>45863</v>
      </c>
      <c r="C207" s="215">
        <v>3175.2</v>
      </c>
      <c r="D207" s="207">
        <f>IFERROR(C207/VLOOKUP(A207,Usinas!$A:$B,2,FALSE()),"")</f>
        <v>4.523076923076923</v>
      </c>
    </row>
    <row r="208" spans="1:4" ht="12" customHeight="1" x14ac:dyDescent="0.3">
      <c r="A208" s="204" t="s">
        <v>555</v>
      </c>
      <c r="B208" s="205">
        <v>45864</v>
      </c>
      <c r="C208" s="215">
        <v>2648.3</v>
      </c>
      <c r="D208" s="207">
        <f>IFERROR(C208/VLOOKUP(A208,Usinas!$A:$B,2,FALSE()),"")</f>
        <v>3.7725071225071227</v>
      </c>
    </row>
    <row r="209" spans="1:34" ht="12" customHeight="1" x14ac:dyDescent="0.3">
      <c r="A209" s="204" t="s">
        <v>555</v>
      </c>
      <c r="B209" s="205">
        <v>45865</v>
      </c>
      <c r="C209" s="215">
        <v>2719.5</v>
      </c>
      <c r="D209" s="207">
        <f>IFERROR(C209/VLOOKUP(A209,Usinas!$A:$B,2,FALSE()),"")</f>
        <v>3.8739316239316239</v>
      </c>
    </row>
    <row r="210" spans="1:34" ht="12" customHeight="1" x14ac:dyDescent="0.3">
      <c r="A210" s="204" t="s">
        <v>555</v>
      </c>
      <c r="B210" s="205">
        <v>45866</v>
      </c>
      <c r="C210" s="215">
        <v>2290.8000000000002</v>
      </c>
      <c r="D210" s="207">
        <f>IFERROR(C210/VLOOKUP(A210,Usinas!$A:$B,2,FALSE()),"")</f>
        <v>3.2632478632478636</v>
      </c>
    </row>
    <row r="211" spans="1:34" ht="12" customHeight="1" x14ac:dyDescent="0.3">
      <c r="A211" s="204" t="s">
        <v>555</v>
      </c>
      <c r="B211" s="205">
        <v>45867</v>
      </c>
      <c r="C211" s="215">
        <v>3621.8</v>
      </c>
      <c r="D211" s="207">
        <f>IFERROR(C211/VLOOKUP(A211,Usinas!$A:$B,2,FALSE()),"")</f>
        <v>5.1592592592592599</v>
      </c>
    </row>
    <row r="212" spans="1:34" ht="12" customHeight="1" x14ac:dyDescent="0.3">
      <c r="A212" s="204" t="s">
        <v>555</v>
      </c>
      <c r="B212" s="205">
        <v>45868</v>
      </c>
      <c r="C212" s="215">
        <v>3562.4</v>
      </c>
      <c r="D212" s="207">
        <f>IFERROR(C212/VLOOKUP(A212,Usinas!$A:$B,2,FALSE()),"")</f>
        <v>5.0746438746438747</v>
      </c>
    </row>
    <row r="213" spans="1:34" ht="12" customHeight="1" x14ac:dyDescent="0.3">
      <c r="A213" s="204" t="s">
        <v>555</v>
      </c>
      <c r="B213" s="205">
        <v>45869</v>
      </c>
      <c r="C213" s="215">
        <v>3637.8</v>
      </c>
      <c r="D213" s="207">
        <f>IFERROR(C213/VLOOKUP(A213,Usinas!$A:$B,2,FALSE()),"")</f>
        <v>5.1820512820512823</v>
      </c>
    </row>
    <row r="214" spans="1:34" ht="12" customHeight="1" x14ac:dyDescent="0.3">
      <c r="A214" s="204" t="s">
        <v>555</v>
      </c>
      <c r="B214" s="205">
        <v>45870</v>
      </c>
      <c r="C214" s="215">
        <v>3448.3</v>
      </c>
      <c r="D214" s="207">
        <f>IFERROR(C214/VLOOKUP(A214,Usinas!$A:$B,2,FALSE()),"")</f>
        <v>4.9121082621082621</v>
      </c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  <c r="AA214" s="216"/>
      <c r="AB214" s="216"/>
      <c r="AC214" s="216"/>
      <c r="AD214" s="216"/>
      <c r="AE214" s="216"/>
      <c r="AF214" s="216"/>
      <c r="AG214" s="216"/>
      <c r="AH214" s="216"/>
    </row>
    <row r="215" spans="1:34" ht="12" customHeight="1" x14ac:dyDescent="0.3">
      <c r="A215" s="204" t="s">
        <v>555</v>
      </c>
      <c r="B215" s="205">
        <v>45871</v>
      </c>
      <c r="C215" s="215">
        <v>2994</v>
      </c>
      <c r="D215" s="207">
        <f>IFERROR(C215/VLOOKUP(A215,Usinas!$A:$B,2,FALSE()),"")</f>
        <v>4.2649572649572649</v>
      </c>
    </row>
    <row r="216" spans="1:34" ht="12" customHeight="1" x14ac:dyDescent="0.3">
      <c r="A216" s="204" t="s">
        <v>555</v>
      </c>
      <c r="B216" s="205">
        <v>45872</v>
      </c>
      <c r="C216" s="215">
        <v>2814.4</v>
      </c>
      <c r="D216" s="207">
        <f>IFERROR(C216/VLOOKUP(A216,Usinas!$A:$B,2,FALSE()),"")</f>
        <v>4.0091168091168097</v>
      </c>
    </row>
    <row r="217" spans="1:34" ht="12" customHeight="1" x14ac:dyDescent="0.3">
      <c r="A217" s="204" t="s">
        <v>555</v>
      </c>
      <c r="B217" s="205">
        <v>45873</v>
      </c>
      <c r="C217" s="215">
        <v>551.79999999999995</v>
      </c>
      <c r="D217" s="207">
        <f>IFERROR(C217/VLOOKUP(A217,Usinas!$A:$B,2,FALSE()),"")</f>
        <v>0.78603988603988595</v>
      </c>
    </row>
    <row r="218" spans="1:34" ht="12" customHeight="1" x14ac:dyDescent="0.3">
      <c r="A218" s="204" t="s">
        <v>555</v>
      </c>
      <c r="B218" s="205">
        <v>45874</v>
      </c>
      <c r="C218" s="215">
        <v>2052.1</v>
      </c>
      <c r="D218" s="207">
        <f>IFERROR(C218/VLOOKUP(A218,Usinas!$A:$B,2,FALSE()),"")</f>
        <v>2.9232193732193732</v>
      </c>
    </row>
    <row r="219" spans="1:34" ht="12" customHeight="1" x14ac:dyDescent="0.3">
      <c r="A219" s="204" t="s">
        <v>555</v>
      </c>
      <c r="B219" s="205">
        <v>45875</v>
      </c>
      <c r="C219" s="215">
        <v>3638.1</v>
      </c>
      <c r="D219" s="207">
        <f>IFERROR(C219/VLOOKUP(A219,Usinas!$A:$B,2,FALSE()),"")</f>
        <v>5.1824786324786327</v>
      </c>
    </row>
    <row r="220" spans="1:34" ht="12" customHeight="1" x14ac:dyDescent="0.3">
      <c r="A220" s="204" t="s">
        <v>555</v>
      </c>
      <c r="B220" s="205">
        <v>45876</v>
      </c>
      <c r="C220" s="215">
        <v>2905.4</v>
      </c>
      <c r="D220" s="207">
        <f>IFERROR(C220/VLOOKUP(A220,Usinas!$A:$B,2,FALSE()),"")</f>
        <v>4.1387464387464385</v>
      </c>
    </row>
    <row r="221" spans="1:34" ht="12" customHeight="1" x14ac:dyDescent="0.3">
      <c r="A221" s="204" t="s">
        <v>555</v>
      </c>
      <c r="B221" s="205">
        <v>45877</v>
      </c>
      <c r="C221" s="215">
        <v>1482.9</v>
      </c>
      <c r="D221" s="207">
        <f>IFERROR(C221/VLOOKUP(A221,Usinas!$A:$B,2,FALSE()),"")</f>
        <v>2.1123931623931624</v>
      </c>
    </row>
    <row r="222" spans="1:34" ht="12" customHeight="1" x14ac:dyDescent="0.3">
      <c r="A222" s="204" t="s">
        <v>555</v>
      </c>
      <c r="B222" s="205">
        <v>45878</v>
      </c>
      <c r="C222" s="215">
        <v>3676.3</v>
      </c>
      <c r="D222" s="207">
        <f>IFERROR(C222/VLOOKUP(A222,Usinas!$A:$B,2,FALSE()),"")</f>
        <v>5.2368945868945875</v>
      </c>
    </row>
    <row r="223" spans="1:34" ht="12" customHeight="1" x14ac:dyDescent="0.3">
      <c r="A223" s="204" t="s">
        <v>555</v>
      </c>
      <c r="B223" s="205">
        <v>45879</v>
      </c>
      <c r="C223" s="215">
        <v>3831.4</v>
      </c>
      <c r="D223" s="207">
        <f>IFERROR(C223/VLOOKUP(A223,Usinas!$A:$B,2,FALSE()),"")</f>
        <v>5.4578347578347577</v>
      </c>
    </row>
    <row r="224" spans="1:34" ht="12" customHeight="1" x14ac:dyDescent="0.3">
      <c r="A224" s="204" t="s">
        <v>555</v>
      </c>
      <c r="B224" s="205">
        <v>45880</v>
      </c>
      <c r="C224" s="215">
        <v>3732.4</v>
      </c>
      <c r="D224" s="207">
        <f>IFERROR(C224/VLOOKUP(A224,Usinas!$A:$B,2,FALSE()),"")</f>
        <v>5.3168091168091172</v>
      </c>
    </row>
    <row r="225" spans="1:4" ht="12" customHeight="1" x14ac:dyDescent="0.3">
      <c r="A225" s="204" t="s">
        <v>555</v>
      </c>
      <c r="B225" s="205">
        <v>45881</v>
      </c>
      <c r="C225" s="215">
        <v>3738.9</v>
      </c>
      <c r="D225" s="207">
        <f>IFERROR(C225/VLOOKUP(A225,Usinas!$A:$B,2,FALSE()),"")</f>
        <v>5.3260683760683758</v>
      </c>
    </row>
    <row r="226" spans="1:4" ht="12" customHeight="1" x14ac:dyDescent="0.3">
      <c r="A226" s="204" t="s">
        <v>555</v>
      </c>
      <c r="B226" s="205">
        <v>45882</v>
      </c>
      <c r="C226" s="215">
        <v>3670.4</v>
      </c>
      <c r="D226" s="207">
        <f>IFERROR(C226/VLOOKUP(A226,Usinas!$A:$B,2,FALSE()),"")</f>
        <v>5.2284900284900289</v>
      </c>
    </row>
    <row r="227" spans="1:4" ht="12" customHeight="1" x14ac:dyDescent="0.3">
      <c r="A227" s="204" t="s">
        <v>555</v>
      </c>
      <c r="B227" s="205">
        <v>45883</v>
      </c>
      <c r="C227" s="215">
        <v>3640.5</v>
      </c>
      <c r="D227" s="207">
        <f>IFERROR(C227/VLOOKUP(A227,Usinas!$A:$B,2,FALSE()),"")</f>
        <v>5.1858974358974361</v>
      </c>
    </row>
    <row r="228" spans="1:4" ht="12" customHeight="1" x14ac:dyDescent="0.3">
      <c r="A228" s="204" t="s">
        <v>555</v>
      </c>
      <c r="B228" s="205">
        <v>45884</v>
      </c>
      <c r="C228" s="215">
        <v>3643</v>
      </c>
      <c r="D228" s="207">
        <f>IFERROR(C228/VLOOKUP(A228,Usinas!$A:$B,2,FALSE()),"")</f>
        <v>5.1894586894586894</v>
      </c>
    </row>
    <row r="229" spans="1:4" ht="12" customHeight="1" x14ac:dyDescent="0.3">
      <c r="A229" s="204" t="s">
        <v>555</v>
      </c>
      <c r="B229" s="205">
        <v>45885</v>
      </c>
      <c r="C229" s="215">
        <v>3505.9</v>
      </c>
      <c r="D229" s="207">
        <f>IFERROR(C229/VLOOKUP(A229,Usinas!$A:$B,2,FALSE()),"")</f>
        <v>4.9941595441595439</v>
      </c>
    </row>
    <row r="230" spans="1:4" ht="12" customHeight="1" x14ac:dyDescent="0.3">
      <c r="A230" s="204" t="s">
        <v>555</v>
      </c>
      <c r="B230" s="205">
        <v>45886</v>
      </c>
      <c r="C230" s="215">
        <v>3315.4</v>
      </c>
      <c r="D230" s="207">
        <f>IFERROR(C230/VLOOKUP(A230,Usinas!$A:$B,2,FALSE()),"")</f>
        <v>4.7227920227920226</v>
      </c>
    </row>
    <row r="231" spans="1:4" ht="12" customHeight="1" x14ac:dyDescent="0.3">
      <c r="A231" s="204" t="s">
        <v>555</v>
      </c>
      <c r="B231" s="205">
        <v>45887</v>
      </c>
      <c r="C231" s="215">
        <v>3384.3</v>
      </c>
      <c r="D231" s="207">
        <f>IFERROR(C231/VLOOKUP(A231,Usinas!$A:$B,2,FALSE()),"")</f>
        <v>4.8209401709401716</v>
      </c>
    </row>
    <row r="232" spans="1:4" ht="12" customHeight="1" x14ac:dyDescent="0.3">
      <c r="A232" s="204" t="s">
        <v>555</v>
      </c>
      <c r="B232" s="205">
        <v>45888</v>
      </c>
      <c r="C232" s="215">
        <v>2497</v>
      </c>
      <c r="D232" s="207">
        <f>IFERROR(C232/VLOOKUP(A232,Usinas!$A:$B,2,FALSE()),"")</f>
        <v>3.5569800569800569</v>
      </c>
    </row>
    <row r="233" spans="1:4" ht="12" customHeight="1" x14ac:dyDescent="0.3">
      <c r="A233" s="204" t="s">
        <v>555</v>
      </c>
      <c r="B233" s="205">
        <v>45889</v>
      </c>
      <c r="C233" s="215">
        <v>1839.9</v>
      </c>
      <c r="D233" s="207">
        <f>IFERROR(C233/VLOOKUP(A233,Usinas!$A:$B,2,FALSE()),"")</f>
        <v>2.620940170940171</v>
      </c>
    </row>
    <row r="234" spans="1:4" ht="12" customHeight="1" x14ac:dyDescent="0.3">
      <c r="A234" s="204" t="s">
        <v>555</v>
      </c>
      <c r="B234" s="205">
        <v>45890</v>
      </c>
      <c r="C234" s="215">
        <v>2901.5</v>
      </c>
      <c r="D234" s="207">
        <f>IFERROR(C234/VLOOKUP(A234,Usinas!$A:$B,2,FALSE()),"")</f>
        <v>4.133190883190883</v>
      </c>
    </row>
    <row r="235" spans="1:4" ht="12" customHeight="1" x14ac:dyDescent="0.3">
      <c r="A235" s="204" t="s">
        <v>555</v>
      </c>
      <c r="B235" s="205">
        <v>45891</v>
      </c>
      <c r="C235" s="215">
        <v>3320.7</v>
      </c>
      <c r="D235" s="207">
        <f>IFERROR(C235/VLOOKUP(A235,Usinas!$A:$B,2,FALSE()),"")</f>
        <v>4.7303418803418804</v>
      </c>
    </row>
    <row r="236" spans="1:4" ht="12" customHeight="1" x14ac:dyDescent="0.3">
      <c r="A236" s="204" t="s">
        <v>555</v>
      </c>
      <c r="B236" s="205">
        <v>45892</v>
      </c>
      <c r="C236" s="215">
        <v>3247.7</v>
      </c>
      <c r="D236" s="207">
        <f>IFERROR(C236/VLOOKUP(A236,Usinas!$A:$B,2,FALSE()),"")</f>
        <v>4.6263532763532762</v>
      </c>
    </row>
    <row r="237" spans="1:4" ht="12" customHeight="1" x14ac:dyDescent="0.3">
      <c r="A237" s="204" t="s">
        <v>555</v>
      </c>
      <c r="B237" s="205">
        <v>45893</v>
      </c>
      <c r="C237" s="215">
        <v>1173.4000000000001</v>
      </c>
      <c r="D237" s="207">
        <f>IFERROR(C237/VLOOKUP(A237,Usinas!$A:$B,2,FALSE()),"")</f>
        <v>1.6715099715099717</v>
      </c>
    </row>
    <row r="238" spans="1:4" ht="12" customHeight="1" x14ac:dyDescent="0.3">
      <c r="A238" s="204" t="s">
        <v>555</v>
      </c>
      <c r="B238" s="205">
        <v>45894</v>
      </c>
      <c r="C238" s="215">
        <v>2172.4</v>
      </c>
      <c r="D238" s="207">
        <f>IFERROR(C238/VLOOKUP(A238,Usinas!$A:$B,2,FALSE()),"")</f>
        <v>3.0945868945868948</v>
      </c>
    </row>
    <row r="239" spans="1:4" ht="12" customHeight="1" x14ac:dyDescent="0.3">
      <c r="A239" s="204" t="s">
        <v>555</v>
      </c>
      <c r="B239" s="205">
        <v>45895</v>
      </c>
      <c r="C239" s="215">
        <v>3333.9</v>
      </c>
      <c r="D239" s="207">
        <f>IFERROR(C239/VLOOKUP(A239,Usinas!$A:$B,2,FALSE()),"")</f>
        <v>4.7491452991452991</v>
      </c>
    </row>
    <row r="240" spans="1:4" ht="12" customHeight="1" x14ac:dyDescent="0.3">
      <c r="A240" s="204" t="s">
        <v>555</v>
      </c>
      <c r="B240" s="205">
        <v>45896</v>
      </c>
      <c r="C240" s="215">
        <v>3710.3</v>
      </c>
      <c r="D240" s="207">
        <f>IFERROR(C240/VLOOKUP(A240,Usinas!$A:$B,2,FALSE()),"")</f>
        <v>5.2853276353276355</v>
      </c>
    </row>
    <row r="241" spans="1:33" ht="12" customHeight="1" x14ac:dyDescent="0.3">
      <c r="A241" s="204" t="s">
        <v>555</v>
      </c>
      <c r="B241" s="205">
        <v>45897</v>
      </c>
      <c r="C241" s="215">
        <v>1843.9</v>
      </c>
      <c r="D241" s="207">
        <f>IFERROR(C241/VLOOKUP(A241,Usinas!$A:$B,2,FALSE()),"")</f>
        <v>2.6266381766381768</v>
      </c>
    </row>
    <row r="242" spans="1:33" ht="12" customHeight="1" x14ac:dyDescent="0.3">
      <c r="A242" s="204" t="s">
        <v>555</v>
      </c>
      <c r="B242" s="205">
        <v>45898</v>
      </c>
      <c r="C242" s="215">
        <v>3617.3</v>
      </c>
      <c r="D242" s="207">
        <f>IFERROR(C242/VLOOKUP(A242,Usinas!$A:$B,2,FALSE()),"")</f>
        <v>5.1528490028490035</v>
      </c>
    </row>
    <row r="243" spans="1:33" ht="12" customHeight="1" x14ac:dyDescent="0.3">
      <c r="A243" s="204" t="s">
        <v>555</v>
      </c>
      <c r="B243" s="205">
        <v>45899</v>
      </c>
      <c r="C243" s="215">
        <v>3692.8</v>
      </c>
      <c r="D243" s="207">
        <f>IFERROR(C243/VLOOKUP(A243,Usinas!$A:$B,2,FALSE()),"")</f>
        <v>5.260398860398861</v>
      </c>
    </row>
    <row r="244" spans="1:33" ht="12" customHeight="1" x14ac:dyDescent="0.3">
      <c r="A244" s="204" t="s">
        <v>555</v>
      </c>
      <c r="B244" s="205">
        <v>45900</v>
      </c>
      <c r="C244" s="215">
        <v>3706.4</v>
      </c>
      <c r="D244" s="207">
        <f>IFERROR(C244/VLOOKUP(A244,Usinas!$A:$B,2,FALSE()),"")</f>
        <v>5.27977207977208</v>
      </c>
    </row>
    <row r="245" spans="1:33" ht="12" customHeight="1" x14ac:dyDescent="0.3">
      <c r="A245" s="204" t="s">
        <v>555</v>
      </c>
      <c r="B245" s="205">
        <v>45901</v>
      </c>
      <c r="C245" s="215">
        <v>1311</v>
      </c>
      <c r="D245" s="207">
        <f>IFERROR(C245/VLOOKUP(A245,Usinas!$A:$B,2,FALSE()),"")</f>
        <v>1.8675213675213675</v>
      </c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  <c r="AA245" s="216"/>
      <c r="AB245" s="216"/>
      <c r="AC245" s="216"/>
      <c r="AD245" s="216"/>
      <c r="AE245" s="216"/>
      <c r="AF245" s="216"/>
      <c r="AG245" s="216"/>
    </row>
    <row r="246" spans="1:33" ht="12" customHeight="1" x14ac:dyDescent="0.3">
      <c r="A246" s="204" t="s">
        <v>555</v>
      </c>
      <c r="B246" s="205">
        <v>45902</v>
      </c>
      <c r="C246" s="215">
        <v>3613</v>
      </c>
      <c r="D246" s="207">
        <f>IFERROR(C246/VLOOKUP(A246,Usinas!$A:$B,2,FALSE()),"")</f>
        <v>5.1467236467236468</v>
      </c>
    </row>
    <row r="247" spans="1:33" ht="12" customHeight="1" x14ac:dyDescent="0.3">
      <c r="A247" s="204" t="s">
        <v>555</v>
      </c>
      <c r="B247" s="205">
        <v>45903</v>
      </c>
      <c r="C247" s="215">
        <v>3570</v>
      </c>
      <c r="D247" s="207">
        <f>IFERROR(C247/VLOOKUP(A247,Usinas!$A:$B,2,FALSE()),"")</f>
        <v>5.0854700854700852</v>
      </c>
    </row>
    <row r="248" spans="1:33" ht="12" customHeight="1" x14ac:dyDescent="0.3">
      <c r="A248" s="204" t="s">
        <v>555</v>
      </c>
      <c r="B248" s="205">
        <v>45904</v>
      </c>
      <c r="C248" s="215">
        <v>3276</v>
      </c>
      <c r="D248" s="207">
        <f>IFERROR(C248/VLOOKUP(A248,Usinas!$A:$B,2,FALSE()),"")</f>
        <v>4.666666666666667</v>
      </c>
    </row>
    <row r="249" spans="1:33" ht="12" customHeight="1" x14ac:dyDescent="0.3">
      <c r="A249" s="204" t="s">
        <v>555</v>
      </c>
      <c r="B249" s="205">
        <v>45905</v>
      </c>
      <c r="C249" s="215">
        <v>3330.7</v>
      </c>
      <c r="D249" s="207">
        <f>IFERROR(C249/VLOOKUP(A249,Usinas!$A:$B,2,FALSE()),"")</f>
        <v>4.7445868945868943</v>
      </c>
    </row>
    <row r="250" spans="1:33" ht="12" customHeight="1" x14ac:dyDescent="0.3">
      <c r="A250" s="204" t="s">
        <v>555</v>
      </c>
      <c r="B250" s="205">
        <v>45906</v>
      </c>
      <c r="C250" s="215">
        <v>2273.8000000000002</v>
      </c>
      <c r="D250" s="207">
        <f>IFERROR(C250/VLOOKUP(A250,Usinas!$A:$B,2,FALSE()),"")</f>
        <v>3.2390313390313392</v>
      </c>
    </row>
    <row r="251" spans="1:33" ht="12" customHeight="1" x14ac:dyDescent="0.3">
      <c r="A251" s="204" t="s">
        <v>555</v>
      </c>
      <c r="B251" s="205">
        <v>45907</v>
      </c>
      <c r="C251" s="215">
        <v>2261.4</v>
      </c>
      <c r="D251" s="207">
        <f>IFERROR(C251/VLOOKUP(A251,Usinas!$A:$B,2,FALSE()),"")</f>
        <v>3.2213675213675215</v>
      </c>
    </row>
    <row r="252" spans="1:33" ht="12" customHeight="1" x14ac:dyDescent="0.3">
      <c r="A252" s="204" t="s">
        <v>555</v>
      </c>
      <c r="B252" s="205">
        <v>45908</v>
      </c>
      <c r="C252" s="215">
        <v>3032.9</v>
      </c>
      <c r="D252" s="207">
        <f>IFERROR(C252/VLOOKUP(A252,Usinas!$A:$B,2,FALSE()),"")</f>
        <v>4.3203703703703704</v>
      </c>
    </row>
    <row r="253" spans="1:33" ht="12" customHeight="1" x14ac:dyDescent="0.3">
      <c r="A253" s="204" t="s">
        <v>555</v>
      </c>
      <c r="B253" s="205">
        <v>45909</v>
      </c>
      <c r="C253" s="215">
        <v>3529.1</v>
      </c>
      <c r="D253" s="207">
        <f>IFERROR(C253/VLOOKUP(A253,Usinas!$A:$B,2,FALSE()),"")</f>
        <v>5.0272079772079774</v>
      </c>
    </row>
    <row r="254" spans="1:33" ht="12" customHeight="1" x14ac:dyDescent="0.3">
      <c r="A254" s="204" t="s">
        <v>555</v>
      </c>
      <c r="B254" s="205">
        <v>45910</v>
      </c>
      <c r="C254" s="215">
        <v>3962.5</v>
      </c>
      <c r="D254" s="207">
        <f>IFERROR(C254/VLOOKUP(A254,Usinas!$A:$B,2,FALSE()),"")</f>
        <v>5.6445868945868947</v>
      </c>
    </row>
    <row r="255" spans="1:33" ht="12" customHeight="1" x14ac:dyDescent="0.3">
      <c r="A255" s="204" t="s">
        <v>555</v>
      </c>
      <c r="B255" s="205">
        <v>45911</v>
      </c>
      <c r="C255" s="215">
        <v>3433.7</v>
      </c>
      <c r="D255" s="207">
        <f>IFERROR(C255/VLOOKUP(A255,Usinas!$A:$B,2,FALSE()),"")</f>
        <v>4.8913105413105411</v>
      </c>
    </row>
    <row r="256" spans="1:33" ht="12" customHeight="1" x14ac:dyDescent="0.3">
      <c r="A256" s="204" t="s">
        <v>555</v>
      </c>
      <c r="B256" s="205">
        <v>45912</v>
      </c>
      <c r="C256" s="215">
        <v>2190.9</v>
      </c>
      <c r="D256" s="207">
        <f>IFERROR(C256/VLOOKUP(A256,Usinas!$A:$B,2,FALSE()),"")</f>
        <v>3.120940170940171</v>
      </c>
    </row>
    <row r="257" spans="1:4" ht="12" customHeight="1" x14ac:dyDescent="0.3">
      <c r="A257" s="204" t="s">
        <v>555</v>
      </c>
      <c r="B257" s="205">
        <v>45913</v>
      </c>
      <c r="C257" s="215">
        <v>2895.8</v>
      </c>
      <c r="D257" s="207">
        <f>IFERROR(C257/VLOOKUP(A257,Usinas!$A:$B,2,FALSE()),"")</f>
        <v>4.1250712250712249</v>
      </c>
    </row>
    <row r="258" spans="1:4" ht="12" customHeight="1" x14ac:dyDescent="0.3">
      <c r="A258" s="204" t="s">
        <v>555</v>
      </c>
      <c r="B258" s="205">
        <v>45914</v>
      </c>
      <c r="C258" s="215">
        <v>3613</v>
      </c>
      <c r="D258" s="207">
        <f>IFERROR(C258/VLOOKUP(A258,Usinas!$A:$B,2,FALSE()),"")</f>
        <v>5.1467236467236468</v>
      </c>
    </row>
    <row r="259" spans="1:4" ht="12" customHeight="1" x14ac:dyDescent="0.3">
      <c r="A259" s="204" t="s">
        <v>555</v>
      </c>
      <c r="B259" s="205">
        <v>45915</v>
      </c>
      <c r="C259" s="215">
        <v>3276.6</v>
      </c>
      <c r="D259" s="207">
        <f>IFERROR(C259/VLOOKUP(A259,Usinas!$A:$B,2,FALSE()),"")</f>
        <v>4.6675213675213678</v>
      </c>
    </row>
    <row r="260" spans="1:4" ht="12" customHeight="1" x14ac:dyDescent="0.3">
      <c r="A260" s="204" t="s">
        <v>555</v>
      </c>
      <c r="B260" s="205">
        <v>45916</v>
      </c>
      <c r="C260" s="215">
        <v>2253.6</v>
      </c>
      <c r="D260" s="207">
        <f>IFERROR(C260/VLOOKUP(A260,Usinas!$A:$B,2,FALSE()),"")</f>
        <v>3.21025641025641</v>
      </c>
    </row>
    <row r="261" spans="1:4" ht="12" customHeight="1" x14ac:dyDescent="0.3">
      <c r="A261" s="204" t="s">
        <v>555</v>
      </c>
      <c r="B261" s="205">
        <v>45917</v>
      </c>
      <c r="C261" s="215">
        <v>3792.6</v>
      </c>
      <c r="D261" s="207">
        <f>IFERROR(C261/VLOOKUP(A261,Usinas!$A:$B,2,FALSE()),"")</f>
        <v>5.402564102564102</v>
      </c>
    </row>
    <row r="262" spans="1:4" ht="12" customHeight="1" x14ac:dyDescent="0.3">
      <c r="A262" s="204" t="s">
        <v>555</v>
      </c>
      <c r="B262" s="205">
        <v>45918</v>
      </c>
      <c r="C262" s="215">
        <v>3981</v>
      </c>
      <c r="D262" s="207">
        <f>IFERROR(C262/VLOOKUP(A262,Usinas!$A:$B,2,FALSE()),"")</f>
        <v>5.6709401709401712</v>
      </c>
    </row>
    <row r="263" spans="1:4" ht="12" customHeight="1" x14ac:dyDescent="0.3">
      <c r="A263" s="204" t="s">
        <v>555</v>
      </c>
      <c r="B263" s="205">
        <v>45919</v>
      </c>
      <c r="C263" s="215">
        <v>3728.6</v>
      </c>
      <c r="D263" s="207">
        <f>IFERROR(C263/VLOOKUP(A263,Usinas!$A:$B,2,FALSE()),"")</f>
        <v>5.3113960113960115</v>
      </c>
    </row>
    <row r="264" spans="1:4" ht="12" customHeight="1" x14ac:dyDescent="0.3">
      <c r="A264" s="204" t="s">
        <v>555</v>
      </c>
      <c r="B264" s="205">
        <v>45920</v>
      </c>
      <c r="C264" s="215">
        <v>3497.5</v>
      </c>
      <c r="D264" s="207">
        <f>IFERROR(C264/VLOOKUP(A264,Usinas!$A:$B,2,FALSE()),"")</f>
        <v>4.982193732193732</v>
      </c>
    </row>
    <row r="265" spans="1:4" ht="12" customHeight="1" x14ac:dyDescent="0.3">
      <c r="A265" s="204" t="s">
        <v>555</v>
      </c>
      <c r="B265" s="205">
        <v>45921</v>
      </c>
      <c r="C265" s="215">
        <v>3221.9</v>
      </c>
      <c r="D265" s="207">
        <f>IFERROR(C265/VLOOKUP(A265,Usinas!$A:$B,2,FALSE()),"")</f>
        <v>4.5896011396011396</v>
      </c>
    </row>
    <row r="266" spans="1:4" ht="12" customHeight="1" x14ac:dyDescent="0.3">
      <c r="A266" s="204" t="s">
        <v>555</v>
      </c>
      <c r="B266" s="205">
        <v>45922</v>
      </c>
      <c r="C266" s="215">
        <v>688.4</v>
      </c>
      <c r="D266" s="207">
        <f>IFERROR(C266/VLOOKUP(A266,Usinas!$A:$B,2,FALSE()),"")</f>
        <v>0.98062678062678055</v>
      </c>
    </row>
    <row r="267" spans="1:4" ht="12" customHeight="1" x14ac:dyDescent="0.3">
      <c r="A267" s="204" t="s">
        <v>555</v>
      </c>
      <c r="B267" s="205">
        <v>45923</v>
      </c>
      <c r="C267" s="215">
        <v>4291.5</v>
      </c>
      <c r="D267" s="207">
        <f>IFERROR(C267/VLOOKUP(A267,Usinas!$A:$B,2,FALSE()),"")</f>
        <v>6.1132478632478628</v>
      </c>
    </row>
    <row r="268" spans="1:4" ht="12" customHeight="1" x14ac:dyDescent="0.3">
      <c r="A268" s="204" t="s">
        <v>555</v>
      </c>
      <c r="B268" s="205">
        <v>45924</v>
      </c>
      <c r="C268" s="215">
        <v>4037.1</v>
      </c>
      <c r="D268" s="207">
        <f>IFERROR(C268/VLOOKUP(A268,Usinas!$A:$B,2,FALSE()),"")</f>
        <v>5.7508547008547009</v>
      </c>
    </row>
    <row r="269" spans="1:4" ht="12" customHeight="1" x14ac:dyDescent="0.3">
      <c r="A269" s="204" t="s">
        <v>555</v>
      </c>
      <c r="B269" s="205">
        <v>45925</v>
      </c>
      <c r="C269" s="215">
        <v>4141.6000000000004</v>
      </c>
      <c r="D269" s="207">
        <f>IFERROR(C269/VLOOKUP(A269,Usinas!$A:$B,2,FALSE()),"")</f>
        <v>5.8997150997151007</v>
      </c>
    </row>
    <row r="270" spans="1:4" ht="12" customHeight="1" x14ac:dyDescent="0.3">
      <c r="A270" s="204" t="s">
        <v>555</v>
      </c>
      <c r="B270" s="205">
        <v>45926</v>
      </c>
      <c r="C270" s="215">
        <v>4230.6000000000004</v>
      </c>
      <c r="D270" s="207">
        <f>IFERROR(C270/VLOOKUP(A270,Usinas!$A:$B,2,FALSE()),"")</f>
        <v>6.0264957264957273</v>
      </c>
    </row>
    <row r="271" spans="1:4" ht="12" customHeight="1" x14ac:dyDescent="0.3">
      <c r="A271" s="204" t="s">
        <v>555</v>
      </c>
      <c r="B271" s="205">
        <v>45927</v>
      </c>
      <c r="C271" s="215">
        <v>4126.7</v>
      </c>
      <c r="D271" s="207">
        <f>IFERROR(C271/VLOOKUP(A271,Usinas!$A:$B,2,FALSE()),"")</f>
        <v>5.8784900284900283</v>
      </c>
    </row>
    <row r="272" spans="1:4" ht="12" customHeight="1" x14ac:dyDescent="0.3">
      <c r="A272" s="204" t="s">
        <v>555</v>
      </c>
      <c r="B272" s="205">
        <v>45928</v>
      </c>
      <c r="C272" s="215">
        <v>1686.5</v>
      </c>
      <c r="D272" s="207">
        <f>IFERROR(C272/VLOOKUP(A272,Usinas!$A:$B,2,FALSE()),"")</f>
        <v>2.4024216524216526</v>
      </c>
    </row>
    <row r="273" spans="1:34" ht="12" customHeight="1" x14ac:dyDescent="0.3">
      <c r="A273" s="204" t="s">
        <v>555</v>
      </c>
      <c r="B273" s="205">
        <v>45929</v>
      </c>
      <c r="C273" s="215">
        <v>3238.8</v>
      </c>
      <c r="D273" s="207">
        <f>IFERROR(C273/VLOOKUP(A273,Usinas!$A:$B,2,FALSE()),"")</f>
        <v>4.6136752136752142</v>
      </c>
    </row>
    <row r="274" spans="1:34" ht="12" customHeight="1" x14ac:dyDescent="0.3">
      <c r="A274" s="204" t="s">
        <v>555</v>
      </c>
      <c r="B274" s="205">
        <v>45930</v>
      </c>
      <c r="C274" s="215">
        <v>1946.6</v>
      </c>
      <c r="D274" s="207">
        <f>IFERROR(C274/VLOOKUP(A274,Usinas!$A:$B,2,FALSE()),"")</f>
        <v>2.7729344729344727</v>
      </c>
    </row>
    <row r="275" spans="1:34" ht="12" customHeight="1" x14ac:dyDescent="0.3">
      <c r="A275" s="204" t="s">
        <v>555</v>
      </c>
      <c r="B275" s="205">
        <v>45931</v>
      </c>
      <c r="C275" s="215">
        <v>494.8</v>
      </c>
      <c r="D275" s="207">
        <f>IFERROR(C275/VLOOKUP(A275,Usinas!$A:$B,2,FALSE()),"")</f>
        <v>0.70484330484330482</v>
      </c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  <c r="AA275" s="216"/>
      <c r="AB275" s="216"/>
      <c r="AC275" s="216"/>
      <c r="AD275" s="216"/>
      <c r="AE275" s="216"/>
      <c r="AF275" s="216"/>
      <c r="AG275" s="216"/>
      <c r="AH275" s="216"/>
    </row>
    <row r="276" spans="1:34" ht="12" customHeight="1" x14ac:dyDescent="0.3">
      <c r="A276" s="204" t="s">
        <v>555</v>
      </c>
      <c r="B276" s="205">
        <v>45932</v>
      </c>
      <c r="C276" s="215">
        <v>1739.5</v>
      </c>
      <c r="D276" s="207">
        <f>IFERROR(C276/VLOOKUP(A276,Usinas!$A:$B,2,FALSE()),"")</f>
        <v>2.4779202279202277</v>
      </c>
    </row>
    <row r="277" spans="1:34" ht="12" customHeight="1" x14ac:dyDescent="0.3">
      <c r="A277" s="204" t="s">
        <v>555</v>
      </c>
      <c r="B277" s="205">
        <v>45933</v>
      </c>
      <c r="C277" s="215">
        <v>1243.3</v>
      </c>
      <c r="D277" s="207">
        <f>IFERROR(C277/VLOOKUP(A277,Usinas!$A:$B,2,FALSE()),"")</f>
        <v>1.7710826210826209</v>
      </c>
    </row>
    <row r="278" spans="1:34" ht="12" customHeight="1" x14ac:dyDescent="0.3">
      <c r="A278" s="204" t="s">
        <v>555</v>
      </c>
      <c r="B278" s="205">
        <v>45934</v>
      </c>
      <c r="C278" s="215">
        <v>4002.4</v>
      </c>
      <c r="D278" s="207">
        <f>IFERROR(C278/VLOOKUP(A278,Usinas!$A:$B,2,FALSE()),"")</f>
        <v>5.7014245014245013</v>
      </c>
    </row>
    <row r="279" spans="1:34" ht="12" customHeight="1" x14ac:dyDescent="0.3">
      <c r="A279" s="204" t="s">
        <v>555</v>
      </c>
      <c r="B279" s="205">
        <v>45935</v>
      </c>
      <c r="C279" s="215">
        <v>3940.7</v>
      </c>
      <c r="D279" s="207">
        <f>IFERROR(C279/VLOOKUP(A279,Usinas!$A:$B,2,FALSE()),"")</f>
        <v>5.6135327635327634</v>
      </c>
    </row>
    <row r="280" spans="1:34" ht="12" customHeight="1" x14ac:dyDescent="0.3">
      <c r="A280" s="204" t="s">
        <v>555</v>
      </c>
      <c r="B280" s="205">
        <v>45936</v>
      </c>
      <c r="C280" s="215">
        <v>1506.2</v>
      </c>
      <c r="D280" s="207">
        <f>IFERROR(C280/VLOOKUP(A280,Usinas!$A:$B,2,FALSE()),"")</f>
        <v>2.1455840455840458</v>
      </c>
    </row>
    <row r="281" spans="1:34" ht="12" customHeight="1" x14ac:dyDescent="0.3">
      <c r="A281" s="204" t="s">
        <v>555</v>
      </c>
      <c r="B281" s="205">
        <v>45937</v>
      </c>
      <c r="C281" s="215">
        <v>2358.9</v>
      </c>
      <c r="D281" s="207">
        <f>IFERROR(C281/VLOOKUP(A281,Usinas!$A:$B,2,FALSE()),"")</f>
        <v>3.3602564102564103</v>
      </c>
    </row>
    <row r="282" spans="1:34" ht="12" customHeight="1" x14ac:dyDescent="0.3">
      <c r="A282" s="204" t="s">
        <v>555</v>
      </c>
      <c r="B282" s="205">
        <v>45938</v>
      </c>
      <c r="C282" s="215">
        <v>3358.6</v>
      </c>
      <c r="D282" s="207">
        <f>IFERROR(C282/VLOOKUP(A282,Usinas!$A:$B,2,FALSE()),"")</f>
        <v>4.7843304843304839</v>
      </c>
    </row>
    <row r="283" spans="1:34" ht="12" customHeight="1" x14ac:dyDescent="0.3">
      <c r="A283" s="204" t="s">
        <v>555</v>
      </c>
      <c r="B283" s="205">
        <v>45939</v>
      </c>
      <c r="C283" s="215">
        <v>4042.7</v>
      </c>
      <c r="D283" s="207">
        <f>IFERROR(C283/VLOOKUP(A283,Usinas!$A:$B,2,FALSE()),"")</f>
        <v>5.7588319088319082</v>
      </c>
    </row>
    <row r="284" spans="1:34" ht="12" customHeight="1" x14ac:dyDescent="0.3">
      <c r="A284" s="204" t="s">
        <v>555</v>
      </c>
      <c r="B284" s="205">
        <v>45940</v>
      </c>
      <c r="C284" s="215">
        <v>4041.8</v>
      </c>
      <c r="D284" s="207">
        <f>IFERROR(C284/VLOOKUP(A284,Usinas!$A:$B,2,FALSE()),"")</f>
        <v>5.7575498575498578</v>
      </c>
    </row>
    <row r="285" spans="1:34" ht="12" customHeight="1" x14ac:dyDescent="0.3">
      <c r="A285" s="204" t="s">
        <v>555</v>
      </c>
      <c r="B285" s="205">
        <v>45941</v>
      </c>
      <c r="C285" s="215">
        <v>4257.8</v>
      </c>
      <c r="D285" s="207">
        <f>IFERROR(C285/VLOOKUP(A285,Usinas!$A:$B,2,FALSE()),"")</f>
        <v>6.0652421652421653</v>
      </c>
    </row>
    <row r="286" spans="1:34" ht="12" customHeight="1" x14ac:dyDescent="0.3">
      <c r="A286" s="204" t="s">
        <v>555</v>
      </c>
      <c r="B286" s="205">
        <v>45942</v>
      </c>
      <c r="C286" s="215">
        <v>1562.1</v>
      </c>
      <c r="D286" s="207">
        <f>IFERROR(C286/VLOOKUP(A286,Usinas!$A:$B,2,FALSE()),"")</f>
        <v>2.2252136752136753</v>
      </c>
    </row>
    <row r="287" spans="1:34" ht="12" customHeight="1" x14ac:dyDescent="0.3">
      <c r="A287" s="204" t="s">
        <v>555</v>
      </c>
      <c r="B287" s="205">
        <v>45943</v>
      </c>
      <c r="C287" s="215">
        <v>1022</v>
      </c>
      <c r="D287" s="207">
        <f>IFERROR(C287/VLOOKUP(A287,Usinas!$A:$B,2,FALSE()),"")</f>
        <v>1.4558404558404558</v>
      </c>
    </row>
    <row r="288" spans="1:34" ht="12" customHeight="1" x14ac:dyDescent="0.3">
      <c r="A288" s="204" t="s">
        <v>555</v>
      </c>
      <c r="B288" s="205">
        <v>45944</v>
      </c>
      <c r="C288" s="215">
        <v>4034.9</v>
      </c>
      <c r="D288" s="207">
        <f>IFERROR(C288/VLOOKUP(A288,Usinas!$A:$B,2,FALSE()),"")</f>
        <v>5.747720797720798</v>
      </c>
    </row>
    <row r="289" spans="1:4" ht="12" customHeight="1" x14ac:dyDescent="0.3">
      <c r="A289" s="204" t="s">
        <v>555</v>
      </c>
      <c r="B289" s="205">
        <v>45945</v>
      </c>
      <c r="C289" s="215">
        <v>4376.2</v>
      </c>
      <c r="D289" s="207">
        <f>IFERROR(C289/VLOOKUP(A289,Usinas!$A:$B,2,FALSE()),"")</f>
        <v>6.2339031339031337</v>
      </c>
    </row>
    <row r="290" spans="1:4" ht="12" customHeight="1" x14ac:dyDescent="0.3">
      <c r="A290" s="204" t="s">
        <v>555</v>
      </c>
      <c r="B290" s="205">
        <v>45946</v>
      </c>
      <c r="C290" s="215">
        <v>3838.3</v>
      </c>
      <c r="D290" s="207">
        <f>IFERROR(C290/VLOOKUP(A290,Usinas!$A:$B,2,FALSE()),"")</f>
        <v>5.4676638176638175</v>
      </c>
    </row>
    <row r="291" spans="1:4" ht="12" customHeight="1" x14ac:dyDescent="0.3">
      <c r="A291" s="204" t="s">
        <v>555</v>
      </c>
      <c r="B291" s="205">
        <v>45947</v>
      </c>
      <c r="C291" s="215">
        <v>3372.5</v>
      </c>
      <c r="D291" s="207">
        <f>IFERROR(C291/VLOOKUP(A291,Usinas!$A:$B,2,FALSE()),"")</f>
        <v>4.8041310541310542</v>
      </c>
    </row>
    <row r="292" spans="1:4" ht="12" customHeight="1" x14ac:dyDescent="0.3">
      <c r="A292" s="204" t="s">
        <v>555</v>
      </c>
      <c r="B292" s="205">
        <v>45948</v>
      </c>
      <c r="C292" s="215">
        <v>879.9</v>
      </c>
      <c r="D292" s="207">
        <f>IFERROR(C292/VLOOKUP(A292,Usinas!$A:$B,2,FALSE()),"")</f>
        <v>1.2534188034188034</v>
      </c>
    </row>
    <row r="293" spans="1:4" ht="12" customHeight="1" x14ac:dyDescent="0.3">
      <c r="A293" s="204" t="s">
        <v>555</v>
      </c>
      <c r="B293" s="205">
        <v>45949</v>
      </c>
      <c r="C293" s="215">
        <v>4260.1000000000004</v>
      </c>
      <c r="D293" s="207">
        <f>IFERROR(C293/VLOOKUP(A293,Usinas!$A:$B,2,FALSE()),"")</f>
        <v>6.0685185185185189</v>
      </c>
    </row>
    <row r="294" spans="1:4" ht="12" customHeight="1" x14ac:dyDescent="0.3">
      <c r="A294" s="204" t="s">
        <v>555</v>
      </c>
      <c r="B294" s="205">
        <v>45950</v>
      </c>
      <c r="C294" s="215">
        <v>4844.2</v>
      </c>
      <c r="D294" s="207">
        <f>IFERROR(C294/VLOOKUP(A294,Usinas!$A:$B,2,FALSE()),"")</f>
        <v>6.9005698005698006</v>
      </c>
    </row>
    <row r="295" spans="1:4" ht="12" customHeight="1" x14ac:dyDescent="0.3">
      <c r="A295" s="204" t="s">
        <v>555</v>
      </c>
      <c r="B295" s="205">
        <v>45951</v>
      </c>
      <c r="C295" s="215">
        <v>4654.5</v>
      </c>
      <c r="D295" s="207">
        <f>IFERROR(C295/VLOOKUP(A295,Usinas!$A:$B,2,FALSE()),"")</f>
        <v>6.6303418803418808</v>
      </c>
    </row>
    <row r="296" spans="1:4" ht="12" customHeight="1" x14ac:dyDescent="0.3">
      <c r="A296" s="204" t="s">
        <v>555</v>
      </c>
      <c r="B296" s="205">
        <v>45952</v>
      </c>
      <c r="C296" s="215">
        <v>4761.8</v>
      </c>
      <c r="D296" s="207">
        <f>IFERROR(C296/VLOOKUP(A296,Usinas!$A:$B,2,FALSE()),"")</f>
        <v>6.7831908831908834</v>
      </c>
    </row>
    <row r="297" spans="1:4" ht="12" customHeight="1" x14ac:dyDescent="0.3">
      <c r="A297" s="204" t="s">
        <v>555</v>
      </c>
      <c r="B297" s="205">
        <v>45953</v>
      </c>
      <c r="C297" s="215">
        <v>4158.1000000000004</v>
      </c>
      <c r="D297" s="207">
        <f>IFERROR(C297/VLOOKUP(A297,Usinas!$A:$B,2,FALSE()),"")</f>
        <v>5.9232193732193741</v>
      </c>
    </row>
    <row r="298" spans="1:4" ht="12" customHeight="1" x14ac:dyDescent="0.3">
      <c r="A298" s="204" t="s">
        <v>555</v>
      </c>
      <c r="B298" s="205">
        <v>45954</v>
      </c>
      <c r="C298" s="215">
        <v>4620.7</v>
      </c>
      <c r="D298" s="207">
        <f>IFERROR(C298/VLOOKUP(A298,Usinas!$A:$B,2,FALSE()),"")</f>
        <v>6.5821937321937316</v>
      </c>
    </row>
    <row r="299" spans="1:4" ht="12" customHeight="1" x14ac:dyDescent="0.3">
      <c r="A299" s="204" t="s">
        <v>555</v>
      </c>
      <c r="B299" s="205">
        <v>45955</v>
      </c>
      <c r="C299" s="215">
        <v>3693.6</v>
      </c>
      <c r="D299" s="207">
        <f>IFERROR(C299/VLOOKUP(A299,Usinas!$A:$B,2,FALSE()),"")</f>
        <v>5.2615384615384615</v>
      </c>
    </row>
    <row r="300" spans="1:4" ht="12" customHeight="1" x14ac:dyDescent="0.3">
      <c r="A300" s="204" t="s">
        <v>555</v>
      </c>
      <c r="B300" s="205">
        <v>45956</v>
      </c>
      <c r="C300" s="215">
        <v>416.4</v>
      </c>
      <c r="D300" s="207">
        <f>IFERROR(C300/VLOOKUP(A300,Usinas!$A:$B,2,FALSE()),"")</f>
        <v>0.59316239316239316</v>
      </c>
    </row>
    <row r="301" spans="1:4" ht="12" customHeight="1" x14ac:dyDescent="0.3">
      <c r="A301" s="204" t="s">
        <v>555</v>
      </c>
      <c r="B301" s="205">
        <v>45957</v>
      </c>
      <c r="C301" s="215">
        <v>3121.4</v>
      </c>
      <c r="D301" s="207">
        <f>IFERROR(C301/VLOOKUP(A301,Usinas!$A:$B,2,FALSE()),"")</f>
        <v>4.4464387464387469</v>
      </c>
    </row>
    <row r="302" spans="1:4" ht="12" customHeight="1" x14ac:dyDescent="0.3">
      <c r="A302" s="204" t="s">
        <v>555</v>
      </c>
      <c r="B302" s="205">
        <v>45958</v>
      </c>
      <c r="C302" s="215">
        <v>1641.4</v>
      </c>
      <c r="D302" s="207">
        <f>IFERROR(C302/VLOOKUP(A302,Usinas!$A:$B,2,FALSE()),"")</f>
        <v>2.3381766381766385</v>
      </c>
    </row>
    <row r="303" spans="1:4" ht="12" customHeight="1" x14ac:dyDescent="0.3">
      <c r="A303" s="204" t="s">
        <v>555</v>
      </c>
      <c r="B303" s="205">
        <v>45959</v>
      </c>
      <c r="C303" s="215">
        <v>2758.5</v>
      </c>
      <c r="D303" s="207">
        <f>IFERROR(C303/VLOOKUP(A303,Usinas!$A:$B,2,FALSE()),"")</f>
        <v>3.9294871794871793</v>
      </c>
    </row>
    <row r="304" spans="1:4" ht="12" customHeight="1" x14ac:dyDescent="0.3">
      <c r="A304" s="204" t="s">
        <v>555</v>
      </c>
      <c r="B304" s="205">
        <v>45960</v>
      </c>
      <c r="C304" s="215">
        <v>3091.4</v>
      </c>
      <c r="D304" s="207">
        <f>IFERROR(C304/VLOOKUP(A304,Usinas!$A:$B,2,FALSE()),"")</f>
        <v>4.4037037037037035</v>
      </c>
    </row>
    <row r="305" spans="1:33" ht="12" customHeight="1" x14ac:dyDescent="0.3">
      <c r="A305" s="204" t="s">
        <v>555</v>
      </c>
      <c r="B305" s="205">
        <v>45961</v>
      </c>
      <c r="C305" s="215">
        <v>3812.1</v>
      </c>
      <c r="D305" s="207">
        <f>IFERROR(C305/VLOOKUP(A305,Usinas!$A:$B,2,FALSE()),"")</f>
        <v>5.4303418803418806</v>
      </c>
    </row>
    <row r="306" spans="1:33" ht="12" customHeight="1" x14ac:dyDescent="0.3">
      <c r="A306" s="204" t="s">
        <v>555</v>
      </c>
      <c r="B306" s="205">
        <v>45962</v>
      </c>
      <c r="C306" s="215">
        <v>3153.3</v>
      </c>
      <c r="D306" s="207">
        <f>IFERROR(C306/VLOOKUP(A306,Usinas!$A:$B,2,FALSE()),"")</f>
        <v>4.4918803418803419</v>
      </c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  <c r="X306" s="216"/>
      <c r="Y306" s="216"/>
      <c r="Z306" s="216"/>
      <c r="AA306" s="216"/>
      <c r="AB306" s="216"/>
      <c r="AC306" s="216"/>
      <c r="AD306" s="216"/>
      <c r="AE306" s="216"/>
      <c r="AF306" s="216"/>
      <c r="AG306" s="216"/>
    </row>
    <row r="307" spans="1:33" ht="12" customHeight="1" x14ac:dyDescent="0.3">
      <c r="A307" s="204" t="s">
        <v>555</v>
      </c>
      <c r="B307" s="205">
        <v>45963</v>
      </c>
      <c r="C307" s="215">
        <v>2718.2</v>
      </c>
      <c r="D307" s="207">
        <f>IFERROR(C307/VLOOKUP(A307,Usinas!$A:$B,2,FALSE()),"")</f>
        <v>3.8720797720797719</v>
      </c>
    </row>
    <row r="308" spans="1:33" ht="12" customHeight="1" x14ac:dyDescent="0.3">
      <c r="A308" s="204" t="s">
        <v>555</v>
      </c>
      <c r="B308" s="205">
        <v>45964</v>
      </c>
      <c r="C308" s="215">
        <v>3118.6</v>
      </c>
      <c r="D308" s="207">
        <f>IFERROR(C308/VLOOKUP(A308,Usinas!$A:$B,2,FALSE()),"")</f>
        <v>4.4424501424501424</v>
      </c>
    </row>
    <row r="309" spans="1:33" ht="12" customHeight="1" x14ac:dyDescent="0.3">
      <c r="A309" s="204" t="s">
        <v>555</v>
      </c>
      <c r="B309" s="205">
        <v>45965</v>
      </c>
      <c r="C309" s="215">
        <v>3888.5</v>
      </c>
      <c r="D309" s="207">
        <f>IFERROR(C309/VLOOKUP(A309,Usinas!$A:$B,2,FALSE()),"")</f>
        <v>5.5391737891737893</v>
      </c>
    </row>
    <row r="310" spans="1:33" ht="12" customHeight="1" x14ac:dyDescent="0.3">
      <c r="A310" s="204" t="s">
        <v>555</v>
      </c>
      <c r="B310" s="205">
        <v>45966</v>
      </c>
      <c r="C310" s="215">
        <v>3065.9</v>
      </c>
      <c r="D310" s="207">
        <f>IFERROR(C310/VLOOKUP(A310,Usinas!$A:$B,2,FALSE()),"")</f>
        <v>4.3673789173789173</v>
      </c>
    </row>
    <row r="311" spans="1:33" ht="12" customHeight="1" x14ac:dyDescent="0.3">
      <c r="A311" s="204" t="s">
        <v>555</v>
      </c>
      <c r="B311" s="205">
        <v>45967</v>
      </c>
      <c r="C311" s="215">
        <v>4363.6000000000004</v>
      </c>
      <c r="D311" s="207">
        <f>IFERROR(C311/VLOOKUP(A311,Usinas!$A:$B,2,FALSE()),"")</f>
        <v>6.2159544159544167</v>
      </c>
    </row>
    <row r="312" spans="1:33" ht="12" customHeight="1" x14ac:dyDescent="0.3">
      <c r="A312" s="204" t="s">
        <v>555</v>
      </c>
      <c r="B312" s="205">
        <v>45968</v>
      </c>
      <c r="C312" s="215">
        <v>4156.6000000000004</v>
      </c>
      <c r="D312" s="207">
        <f>IFERROR(C312/VLOOKUP(A312,Usinas!$A:$B,2,FALSE()),"")</f>
        <v>5.921082621082622</v>
      </c>
    </row>
    <row r="313" spans="1:33" ht="12" customHeight="1" x14ac:dyDescent="0.3">
      <c r="A313" s="204" t="s">
        <v>555</v>
      </c>
      <c r="B313" s="205">
        <v>45969</v>
      </c>
      <c r="C313" s="215">
        <v>3276.9</v>
      </c>
      <c r="D313" s="207">
        <f>IFERROR(C313/VLOOKUP(A313,Usinas!$A:$B,2,FALSE()),"")</f>
        <v>4.6679487179487182</v>
      </c>
    </row>
    <row r="314" spans="1:33" ht="12" customHeight="1" x14ac:dyDescent="0.3">
      <c r="A314" s="204" t="s">
        <v>555</v>
      </c>
      <c r="B314" s="205">
        <v>45970</v>
      </c>
      <c r="C314" s="215">
        <v>4420.8999999999996</v>
      </c>
      <c r="D314" s="207">
        <f>IFERROR(C314/VLOOKUP(A314,Usinas!$A:$B,2,FALSE()),"")</f>
        <v>6.2975783475783471</v>
      </c>
    </row>
    <row r="315" spans="1:33" ht="12" customHeight="1" x14ac:dyDescent="0.3">
      <c r="A315" s="204" t="s">
        <v>555</v>
      </c>
      <c r="B315" s="205">
        <v>45971</v>
      </c>
      <c r="C315" s="215">
        <v>4620.6000000000004</v>
      </c>
      <c r="D315" s="207">
        <f>IFERROR(C315/VLOOKUP(A315,Usinas!$A:$B,2,FALSE()),"")</f>
        <v>6.5820512820512826</v>
      </c>
    </row>
    <row r="316" spans="1:33" ht="12" customHeight="1" x14ac:dyDescent="0.3">
      <c r="A316" s="204" t="s">
        <v>555</v>
      </c>
      <c r="B316" s="205">
        <v>45972</v>
      </c>
      <c r="C316" s="215">
        <v>4748.1000000000004</v>
      </c>
      <c r="D316" s="207">
        <f>IFERROR(C316/VLOOKUP(A316,Usinas!$A:$B,2,FALSE()),"")</f>
        <v>6.7636752136752145</v>
      </c>
    </row>
    <row r="317" spans="1:33" ht="12" customHeight="1" x14ac:dyDescent="0.3">
      <c r="A317" s="204" t="s">
        <v>555</v>
      </c>
      <c r="B317" s="205">
        <v>45973</v>
      </c>
      <c r="C317" s="215">
        <v>3887.5</v>
      </c>
      <c r="D317" s="207">
        <f>IFERROR(C317/VLOOKUP(A317,Usinas!$A:$B,2,FALSE()),"")</f>
        <v>5.5377492877492873</v>
      </c>
    </row>
    <row r="318" spans="1:33" ht="12" customHeight="1" x14ac:dyDescent="0.3">
      <c r="A318" s="204" t="s">
        <v>555</v>
      </c>
      <c r="B318" s="205">
        <v>45974</v>
      </c>
      <c r="C318" s="215">
        <v>1724.1</v>
      </c>
      <c r="D318" s="207">
        <f>IFERROR(C318/VLOOKUP(A318,Usinas!$A:$B,2,FALSE()),"")</f>
        <v>2.4559829059829057</v>
      </c>
    </row>
    <row r="319" spans="1:33" ht="12" customHeight="1" x14ac:dyDescent="0.3">
      <c r="A319" s="204" t="s">
        <v>555</v>
      </c>
      <c r="B319" s="205">
        <v>45975</v>
      </c>
      <c r="C319" s="215">
        <v>2259</v>
      </c>
      <c r="D319" s="207">
        <f>IFERROR(C319/VLOOKUP(A319,Usinas!$A:$B,2,FALSE()),"")</f>
        <v>3.2179487179487181</v>
      </c>
    </row>
    <row r="320" spans="1:33" ht="12" customHeight="1" x14ac:dyDescent="0.3">
      <c r="A320" s="204" t="s">
        <v>555</v>
      </c>
      <c r="B320" s="205">
        <v>45976</v>
      </c>
      <c r="C320" s="215">
        <v>865.6</v>
      </c>
      <c r="D320" s="207">
        <f>IFERROR(C320/VLOOKUP(A320,Usinas!$A:$B,2,FALSE()),"")</f>
        <v>1.233048433048433</v>
      </c>
    </row>
    <row r="321" spans="1:34" ht="12" customHeight="1" x14ac:dyDescent="0.3">
      <c r="A321" s="204" t="s">
        <v>555</v>
      </c>
      <c r="B321" s="205">
        <v>45977</v>
      </c>
      <c r="C321" s="215">
        <v>783.7</v>
      </c>
      <c r="D321" s="207">
        <f>IFERROR(C321/VLOOKUP(A321,Usinas!$A:$B,2,FALSE()),"")</f>
        <v>1.1163817663817663</v>
      </c>
    </row>
    <row r="322" spans="1:34" ht="12" customHeight="1" x14ac:dyDescent="0.3">
      <c r="A322" s="204" t="s">
        <v>555</v>
      </c>
      <c r="B322" s="205">
        <v>45978</v>
      </c>
      <c r="C322" s="215">
        <v>1828.2</v>
      </c>
      <c r="D322" s="207">
        <f>IFERROR(C322/VLOOKUP(A322,Usinas!$A:$B,2,FALSE()),"")</f>
        <v>2.6042735042735043</v>
      </c>
    </row>
    <row r="323" spans="1:34" ht="12" customHeight="1" x14ac:dyDescent="0.3">
      <c r="A323" s="204" t="s">
        <v>555</v>
      </c>
      <c r="B323" s="205">
        <v>45979</v>
      </c>
      <c r="C323" s="215">
        <v>4120.5</v>
      </c>
      <c r="D323" s="207">
        <f>IFERROR(C323/VLOOKUP(A323,Usinas!$A:$B,2,FALSE()),"")</f>
        <v>5.8696581196581192</v>
      </c>
    </row>
    <row r="324" spans="1:34" ht="12" customHeight="1" x14ac:dyDescent="0.3">
      <c r="A324" s="204" t="s">
        <v>555</v>
      </c>
      <c r="B324" s="205">
        <v>45980</v>
      </c>
      <c r="C324" s="215">
        <v>4446.1000000000004</v>
      </c>
      <c r="D324" s="207">
        <f>IFERROR(C324/VLOOKUP(A324,Usinas!$A:$B,2,FALSE()),"")</f>
        <v>6.3334757834757838</v>
      </c>
    </row>
    <row r="325" spans="1:34" ht="12" customHeight="1" x14ac:dyDescent="0.3">
      <c r="A325" s="204" t="s">
        <v>555</v>
      </c>
      <c r="B325" s="205">
        <v>45981</v>
      </c>
      <c r="C325" s="215">
        <v>4406.6000000000004</v>
      </c>
      <c r="D325" s="207">
        <f>IFERROR(C325/VLOOKUP(A325,Usinas!$A:$B,2,FALSE()),"")</f>
        <v>6.2772079772079774</v>
      </c>
    </row>
    <row r="326" spans="1:34" ht="12" customHeight="1" x14ac:dyDescent="0.3">
      <c r="A326" s="204" t="s">
        <v>555</v>
      </c>
      <c r="B326" s="205">
        <v>45982</v>
      </c>
      <c r="C326" s="215">
        <v>4592.3999999999996</v>
      </c>
      <c r="D326" s="207">
        <f>IFERROR(C326/VLOOKUP(A326,Usinas!$A:$B,2,FALSE()),"")</f>
        <v>6.5418803418803417</v>
      </c>
    </row>
    <row r="327" spans="1:34" ht="12" customHeight="1" x14ac:dyDescent="0.3">
      <c r="A327" s="204" t="s">
        <v>555</v>
      </c>
      <c r="B327" s="205">
        <v>45983</v>
      </c>
      <c r="C327" s="215">
        <v>4246.8999999999996</v>
      </c>
      <c r="D327" s="207">
        <f>IFERROR(C327/VLOOKUP(A327,Usinas!$A:$B,2,FALSE()),"")</f>
        <v>6.0497150997150992</v>
      </c>
    </row>
    <row r="328" spans="1:34" ht="12" customHeight="1" x14ac:dyDescent="0.3">
      <c r="A328" s="204" t="s">
        <v>555</v>
      </c>
      <c r="B328" s="205">
        <v>45984</v>
      </c>
      <c r="C328" s="215">
        <v>2273.6999999999998</v>
      </c>
      <c r="D328" s="207">
        <f>IFERROR(C328/VLOOKUP(A328,Usinas!$A:$B,2,FALSE()),"")</f>
        <v>3.2388888888888885</v>
      </c>
    </row>
    <row r="329" spans="1:34" ht="12" customHeight="1" x14ac:dyDescent="0.3">
      <c r="A329" s="204" t="s">
        <v>555</v>
      </c>
      <c r="B329" s="205">
        <v>45985</v>
      </c>
      <c r="C329" s="215">
        <v>3627.3</v>
      </c>
      <c r="D329" s="207">
        <f>IFERROR(C329/VLOOKUP(A329,Usinas!$A:$B,2,FALSE()),"")</f>
        <v>5.1670940170940174</v>
      </c>
    </row>
    <row r="330" spans="1:34" ht="12" customHeight="1" x14ac:dyDescent="0.3">
      <c r="A330" s="204" t="s">
        <v>555</v>
      </c>
      <c r="B330" s="205">
        <v>45986</v>
      </c>
      <c r="C330" s="215">
        <v>4713.5</v>
      </c>
      <c r="D330" s="207">
        <f>IFERROR(C330/VLOOKUP(A330,Usinas!$A:$B,2,FALSE()),"")</f>
        <v>6.7143874643874648</v>
      </c>
    </row>
    <row r="331" spans="1:34" ht="12" customHeight="1" x14ac:dyDescent="0.3">
      <c r="A331" s="204" t="s">
        <v>555</v>
      </c>
      <c r="B331" s="205">
        <v>45987</v>
      </c>
      <c r="C331" s="215">
        <v>4726.2</v>
      </c>
      <c r="D331" s="207">
        <f>IFERROR(C331/VLOOKUP(A331,Usinas!$A:$B,2,FALSE()),"")</f>
        <v>6.7324786324786325</v>
      </c>
    </row>
    <row r="332" spans="1:34" ht="12" customHeight="1" x14ac:dyDescent="0.3">
      <c r="A332" s="204" t="s">
        <v>555</v>
      </c>
      <c r="B332" s="205">
        <v>45988</v>
      </c>
      <c r="C332" s="215">
        <v>4660.2</v>
      </c>
      <c r="D332" s="207">
        <f>IFERROR(C332/VLOOKUP(A332,Usinas!$A:$B,2,FALSE()),"")</f>
        <v>6.638461538461538</v>
      </c>
    </row>
    <row r="333" spans="1:34" ht="12" customHeight="1" x14ac:dyDescent="0.3">
      <c r="A333" s="204" t="s">
        <v>555</v>
      </c>
      <c r="B333" s="205">
        <v>45989</v>
      </c>
      <c r="C333" s="215">
        <v>4557.1000000000004</v>
      </c>
      <c r="D333" s="207">
        <f>IFERROR(C333/VLOOKUP(A333,Usinas!$A:$B,2,FALSE()),"")</f>
        <v>6.4915954415954422</v>
      </c>
    </row>
    <row r="334" spans="1:34" ht="12" customHeight="1" x14ac:dyDescent="0.3">
      <c r="A334" s="204" t="s">
        <v>555</v>
      </c>
      <c r="B334" s="205">
        <v>45990</v>
      </c>
      <c r="C334" s="215">
        <v>4467</v>
      </c>
      <c r="D334" s="207">
        <f>IFERROR(C334/VLOOKUP(A334,Usinas!$A:$B,2,FALSE()),"")</f>
        <v>6.3632478632478628</v>
      </c>
    </row>
    <row r="335" spans="1:34" ht="12" customHeight="1" x14ac:dyDescent="0.3">
      <c r="A335" s="204" t="s">
        <v>555</v>
      </c>
      <c r="B335" s="205">
        <v>45991</v>
      </c>
      <c r="C335" s="215">
        <v>4263.8</v>
      </c>
      <c r="D335" s="207">
        <f>IFERROR(C335/VLOOKUP(A335,Usinas!$A:$B,2,FALSE()),"")</f>
        <v>6.0737891737891738</v>
      </c>
    </row>
    <row r="336" spans="1:34" ht="12" customHeight="1" x14ac:dyDescent="0.3">
      <c r="A336" s="204" t="s">
        <v>555</v>
      </c>
      <c r="B336" s="205">
        <v>45992</v>
      </c>
      <c r="C336" s="215">
        <v>1639.3</v>
      </c>
      <c r="D336" s="207">
        <f>IFERROR(C336/VLOOKUP(A336,Usinas!$A:$B,2,FALSE()),"")</f>
        <v>2.335185185185185</v>
      </c>
      <c r="E336" s="216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  <c r="X336" s="216"/>
      <c r="Y336" s="216"/>
      <c r="Z336" s="216"/>
      <c r="AA336" s="216"/>
      <c r="AB336" s="216"/>
      <c r="AC336" s="216"/>
      <c r="AD336" s="216"/>
      <c r="AE336" s="216"/>
      <c r="AF336" s="216"/>
      <c r="AG336" s="216"/>
      <c r="AH336" s="216"/>
    </row>
    <row r="337" spans="1:4" ht="12" customHeight="1" x14ac:dyDescent="0.3">
      <c r="A337" s="204" t="s">
        <v>555</v>
      </c>
      <c r="B337" s="205">
        <v>45993</v>
      </c>
      <c r="C337" s="215">
        <v>3332</v>
      </c>
      <c r="D337" s="207">
        <f>IFERROR(C337/VLOOKUP(A337,Usinas!$A:$B,2,FALSE()),"")</f>
        <v>4.7464387464387467</v>
      </c>
    </row>
    <row r="338" spans="1:4" ht="12" customHeight="1" x14ac:dyDescent="0.3">
      <c r="A338" s="204" t="s">
        <v>555</v>
      </c>
      <c r="B338" s="205">
        <v>45994</v>
      </c>
      <c r="C338" s="215">
        <v>3990.4</v>
      </c>
      <c r="D338" s="207">
        <f>IFERROR(C338/VLOOKUP(A338,Usinas!$A:$B,2,FALSE()),"")</f>
        <v>5.6843304843304843</v>
      </c>
    </row>
    <row r="339" spans="1:4" ht="12" customHeight="1" x14ac:dyDescent="0.3">
      <c r="A339" s="204" t="s">
        <v>555</v>
      </c>
      <c r="B339" s="205">
        <v>45995</v>
      </c>
      <c r="C339" s="215">
        <v>4579.6000000000004</v>
      </c>
      <c r="D339" s="207">
        <f>IFERROR(C339/VLOOKUP(A339,Usinas!$A:$B,2,FALSE()),"")</f>
        <v>6.5236467236467242</v>
      </c>
    </row>
    <row r="340" spans="1:4" ht="12" customHeight="1" x14ac:dyDescent="0.3">
      <c r="A340" s="204" t="s">
        <v>555</v>
      </c>
      <c r="B340" s="205">
        <v>45996</v>
      </c>
      <c r="C340" s="215">
        <v>4274.5</v>
      </c>
      <c r="D340" s="207">
        <f>IFERROR(C340/VLOOKUP(A340,Usinas!$A:$B,2,FALSE()),"")</f>
        <v>6.0890313390313393</v>
      </c>
    </row>
    <row r="341" spans="1:4" ht="12" customHeight="1" x14ac:dyDescent="0.3">
      <c r="A341" s="204" t="s">
        <v>555</v>
      </c>
      <c r="B341" s="205">
        <v>45997</v>
      </c>
      <c r="C341" s="215">
        <v>4022.1</v>
      </c>
      <c r="D341" s="207">
        <f>IFERROR(C341/VLOOKUP(A341,Usinas!$A:$B,2,FALSE()),"")</f>
        <v>5.7294871794871796</v>
      </c>
    </row>
    <row r="342" spans="1:4" ht="12" customHeight="1" x14ac:dyDescent="0.3">
      <c r="A342" s="204" t="s">
        <v>555</v>
      </c>
      <c r="B342" s="205">
        <v>45998</v>
      </c>
      <c r="C342" s="215">
        <v>2537.4</v>
      </c>
      <c r="D342" s="207">
        <f>IFERROR(C342/VLOOKUP(A342,Usinas!$A:$B,2,FALSE()),"")</f>
        <v>3.6145299145299146</v>
      </c>
    </row>
    <row r="343" spans="1:4" ht="12" customHeight="1" x14ac:dyDescent="0.3">
      <c r="A343" s="204" t="s">
        <v>555</v>
      </c>
      <c r="B343" s="205">
        <v>45999</v>
      </c>
      <c r="C343" s="215">
        <v>2576.6999999999998</v>
      </c>
      <c r="D343" s="207">
        <f>IFERROR(C343/VLOOKUP(A343,Usinas!$A:$B,2,FALSE()),"")</f>
        <v>3.6705128205128204</v>
      </c>
    </row>
    <row r="344" spans="1:4" ht="12" customHeight="1" x14ac:dyDescent="0.3">
      <c r="A344" s="204" t="s">
        <v>555</v>
      </c>
      <c r="B344" s="205">
        <v>46000</v>
      </c>
      <c r="C344" s="215">
        <v>3103.7</v>
      </c>
      <c r="D344" s="207">
        <f>IFERROR(C344/VLOOKUP(A344,Usinas!$A:$B,2,FALSE()),"")</f>
        <v>4.4212250712250709</v>
      </c>
    </row>
    <row r="345" spans="1:4" ht="12" customHeight="1" x14ac:dyDescent="0.3">
      <c r="A345" s="204" t="s">
        <v>555</v>
      </c>
      <c r="B345" s="205">
        <v>46001</v>
      </c>
      <c r="C345" s="215">
        <v>4667</v>
      </c>
      <c r="D345" s="207">
        <f>IFERROR(C345/VLOOKUP(A345,Usinas!$A:$B,2,FALSE()),"")</f>
        <v>6.6481481481481479</v>
      </c>
    </row>
    <row r="346" spans="1:4" ht="12" customHeight="1" x14ac:dyDescent="0.3">
      <c r="A346" s="204" t="s">
        <v>555</v>
      </c>
      <c r="B346" s="205">
        <v>46002</v>
      </c>
      <c r="C346" s="215">
        <v>4382.6000000000004</v>
      </c>
      <c r="D346" s="207">
        <f>IFERROR(C346/VLOOKUP(A346,Usinas!$A:$B,2,FALSE()),"")</f>
        <v>6.2430199430199433</v>
      </c>
    </row>
    <row r="347" spans="1:4" ht="12" customHeight="1" x14ac:dyDescent="0.3">
      <c r="A347" s="204" t="s">
        <v>555</v>
      </c>
      <c r="B347" s="205">
        <v>46003</v>
      </c>
      <c r="C347" s="215">
        <v>2108.4</v>
      </c>
      <c r="D347" s="207">
        <f>IFERROR(C347/VLOOKUP(A347,Usinas!$A:$B,2,FALSE()),"")</f>
        <v>3.0034188034188034</v>
      </c>
    </row>
    <row r="348" spans="1:4" ht="12" customHeight="1" x14ac:dyDescent="0.3">
      <c r="A348" s="204" t="s">
        <v>555</v>
      </c>
      <c r="B348" s="205">
        <v>46004</v>
      </c>
      <c r="C348" s="215">
        <v>2402.5</v>
      </c>
      <c r="D348" s="207">
        <f>IFERROR(C348/VLOOKUP(A348,Usinas!$A:$B,2,FALSE()),"")</f>
        <v>3.4223646723646723</v>
      </c>
    </row>
    <row r="349" spans="1:4" ht="12" customHeight="1" x14ac:dyDescent="0.3">
      <c r="A349" s="204" t="s">
        <v>555</v>
      </c>
      <c r="B349" s="205">
        <v>46005</v>
      </c>
      <c r="C349" s="215">
        <v>2688</v>
      </c>
      <c r="D349" s="207">
        <f>IFERROR(C349/VLOOKUP(A349,Usinas!$A:$B,2,FALSE()),"")</f>
        <v>3.8290598290598292</v>
      </c>
    </row>
    <row r="350" spans="1:4" ht="12" customHeight="1" x14ac:dyDescent="0.3">
      <c r="A350" s="204" t="s">
        <v>555</v>
      </c>
      <c r="B350" s="205">
        <v>46006</v>
      </c>
      <c r="C350" s="215">
        <v>1916.8</v>
      </c>
      <c r="D350" s="207">
        <f>IFERROR(C350/VLOOKUP(A350,Usinas!$A:$B,2,FALSE()),"")</f>
        <v>2.7304843304843303</v>
      </c>
    </row>
    <row r="351" spans="1:4" ht="12" customHeight="1" x14ac:dyDescent="0.3">
      <c r="A351" s="204" t="s">
        <v>555</v>
      </c>
      <c r="B351" s="205">
        <v>46007</v>
      </c>
      <c r="C351" s="215">
        <v>2499.5</v>
      </c>
      <c r="D351" s="207">
        <f>IFERROR(C351/VLOOKUP(A351,Usinas!$A:$B,2,FALSE()),"")</f>
        <v>3.5605413105413106</v>
      </c>
    </row>
    <row r="352" spans="1:4" ht="12" customHeight="1" x14ac:dyDescent="0.3">
      <c r="A352" s="204" t="s">
        <v>555</v>
      </c>
      <c r="B352" s="205">
        <v>46008</v>
      </c>
      <c r="C352" s="215">
        <v>3247.7</v>
      </c>
      <c r="D352" s="207">
        <f>IFERROR(C352/VLOOKUP(A352,Usinas!$A:$B,2,FALSE()),"")</f>
        <v>4.6263532763532762</v>
      </c>
    </row>
    <row r="353" spans="1:4" ht="12" customHeight="1" x14ac:dyDescent="0.3">
      <c r="A353" s="204" t="s">
        <v>555</v>
      </c>
      <c r="B353" s="205">
        <v>46009</v>
      </c>
      <c r="C353" s="215">
        <v>4662.7</v>
      </c>
      <c r="D353" s="207">
        <f>IFERROR(C353/VLOOKUP(A353,Usinas!$A:$B,2,FALSE()),"")</f>
        <v>6.6420227920227921</v>
      </c>
    </row>
    <row r="354" spans="1:4" ht="12" customHeight="1" x14ac:dyDescent="0.3">
      <c r="A354" s="204" t="s">
        <v>555</v>
      </c>
      <c r="B354" s="205">
        <v>46010</v>
      </c>
      <c r="C354" s="215">
        <v>4222.6000000000004</v>
      </c>
      <c r="D354" s="207">
        <f>IFERROR(C354/VLOOKUP(A354,Usinas!$A:$B,2,FALSE()),"")</f>
        <v>6.0150997150997156</v>
      </c>
    </row>
    <row r="355" spans="1:4" ht="12" customHeight="1" x14ac:dyDescent="0.3">
      <c r="A355" s="204" t="s">
        <v>555</v>
      </c>
      <c r="B355" s="205">
        <v>46011</v>
      </c>
      <c r="C355" s="215">
        <v>3624.9</v>
      </c>
      <c r="D355" s="207">
        <f>IFERROR(C355/VLOOKUP(A355,Usinas!$A:$B,2,FALSE()),"")</f>
        <v>5.163675213675214</v>
      </c>
    </row>
    <row r="356" spans="1:4" ht="12" customHeight="1" x14ac:dyDescent="0.3">
      <c r="A356" s="204" t="s">
        <v>555</v>
      </c>
      <c r="B356" s="205">
        <v>46012</v>
      </c>
      <c r="C356" s="215">
        <v>3667.5</v>
      </c>
      <c r="D356" s="207">
        <f>IFERROR(C356/VLOOKUP(A356,Usinas!$A:$B,2,FALSE()),"")</f>
        <v>5.2243589743589745</v>
      </c>
    </row>
    <row r="357" spans="1:4" ht="12" customHeight="1" x14ac:dyDescent="0.3">
      <c r="A357" s="204" t="s">
        <v>555</v>
      </c>
      <c r="B357" s="205">
        <v>46013</v>
      </c>
      <c r="C357" s="215">
        <v>3785</v>
      </c>
      <c r="D357" s="207">
        <f>IFERROR(C357/VLOOKUP(A357,Usinas!$A:$B,2,FALSE()),"")</f>
        <v>5.3917378917378915</v>
      </c>
    </row>
    <row r="358" spans="1:4" ht="12" customHeight="1" x14ac:dyDescent="0.3">
      <c r="A358" s="204" t="s">
        <v>555</v>
      </c>
      <c r="B358" s="205">
        <v>46014</v>
      </c>
      <c r="C358" s="215">
        <v>3731.5</v>
      </c>
      <c r="D358" s="207">
        <f>IFERROR(C358/VLOOKUP(A358,Usinas!$A:$B,2,FALSE()),"")</f>
        <v>5.3155270655270659</v>
      </c>
    </row>
    <row r="359" spans="1:4" ht="12" customHeight="1" x14ac:dyDescent="0.3">
      <c r="A359" s="204" t="s">
        <v>555</v>
      </c>
      <c r="B359" s="205">
        <v>46015</v>
      </c>
      <c r="C359" s="215">
        <v>3650</v>
      </c>
      <c r="D359" s="207">
        <f>IFERROR(C359/VLOOKUP(A359,Usinas!$A:$B,2,FALSE()),"")</f>
        <v>5.199430199430199</v>
      </c>
    </row>
    <row r="360" spans="1:4" ht="12" customHeight="1" x14ac:dyDescent="0.3">
      <c r="A360" s="204" t="s">
        <v>555</v>
      </c>
      <c r="B360" s="205">
        <v>46016</v>
      </c>
      <c r="C360" s="215">
        <v>4109.6000000000004</v>
      </c>
      <c r="D360" s="207">
        <f>IFERROR(C360/VLOOKUP(A360,Usinas!$A:$B,2,FALSE()),"")</f>
        <v>5.8541310541310549</v>
      </c>
    </row>
    <row r="361" spans="1:4" ht="12" customHeight="1" x14ac:dyDescent="0.3">
      <c r="A361" s="204" t="s">
        <v>555</v>
      </c>
      <c r="B361" s="205">
        <v>46017</v>
      </c>
      <c r="C361" s="215">
        <v>3091.6</v>
      </c>
      <c r="D361" s="207">
        <f>IFERROR(C361/VLOOKUP(A361,Usinas!$A:$B,2,FALSE()),"")</f>
        <v>4.403988603988604</v>
      </c>
    </row>
    <row r="362" spans="1:4" ht="12" customHeight="1" x14ac:dyDescent="0.3">
      <c r="A362" s="204" t="s">
        <v>555</v>
      </c>
      <c r="B362" s="205">
        <v>46018</v>
      </c>
      <c r="C362" s="215">
        <v>4278.1000000000004</v>
      </c>
      <c r="D362" s="207">
        <f>IFERROR(C362/VLOOKUP(A362,Usinas!$A:$B,2,FALSE()),"")</f>
        <v>6.0941595441595444</v>
      </c>
    </row>
    <row r="363" spans="1:4" ht="12" customHeight="1" x14ac:dyDescent="0.3">
      <c r="A363" s="204" t="s">
        <v>555</v>
      </c>
      <c r="B363" s="205">
        <v>46019</v>
      </c>
      <c r="C363" s="215">
        <v>3286.4</v>
      </c>
      <c r="D363" s="207">
        <f>IFERROR(C363/VLOOKUP(A363,Usinas!$A:$B,2,FALSE()),"")</f>
        <v>4.681481481481482</v>
      </c>
    </row>
    <row r="364" spans="1:4" ht="12" customHeight="1" x14ac:dyDescent="0.3">
      <c r="A364" s="204" t="s">
        <v>555</v>
      </c>
      <c r="B364" s="205">
        <v>46020</v>
      </c>
      <c r="C364" s="215">
        <v>3456.6</v>
      </c>
      <c r="D364" s="207">
        <f>IFERROR(C364/VLOOKUP(A364,Usinas!$A:$B,2,FALSE()),"")</f>
        <v>4.9239316239316242</v>
      </c>
    </row>
    <row r="365" spans="1:4" ht="12" customHeight="1" x14ac:dyDescent="0.3">
      <c r="A365" s="204" t="s">
        <v>555</v>
      </c>
      <c r="B365" s="205">
        <v>46021</v>
      </c>
      <c r="C365" s="215">
        <v>3375</v>
      </c>
      <c r="D365" s="207">
        <f>IFERROR(C365/VLOOKUP(A365,Usinas!$A:$B,2,FALSE()),"")</f>
        <v>4.8076923076923075</v>
      </c>
    </row>
    <row r="366" spans="1:4" ht="12" customHeight="1" x14ac:dyDescent="0.3">
      <c r="A366" s="204" t="s">
        <v>555</v>
      </c>
      <c r="B366" s="205">
        <v>46022</v>
      </c>
      <c r="C366" s="215">
        <v>3694.2</v>
      </c>
      <c r="D366" s="207">
        <f>IFERROR(C366/VLOOKUP(A366,Usinas!$A:$B,2,FALSE()),"")</f>
        <v>5.2623931623931623</v>
      </c>
    </row>
  </sheetData>
  <autoFilter ref="A1:D366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F1DB"/>
  </sheetPr>
  <dimension ref="A1:J364"/>
  <sheetViews>
    <sheetView zoomScaleNormal="100" workbookViewId="0">
      <selection activeCell="I8" sqref="I8"/>
    </sheetView>
  </sheetViews>
  <sheetFormatPr defaultColWidth="12.54296875" defaultRowHeight="13" x14ac:dyDescent="0.3"/>
  <cols>
    <col min="1" max="1" width="20.453125" style="201" customWidth="1"/>
    <col min="2" max="2" width="10.08984375" style="201" customWidth="1"/>
    <col min="3" max="3" width="15.26953125" style="201" customWidth="1"/>
    <col min="4" max="4" width="20.26953125" style="201" customWidth="1"/>
    <col min="5" max="16384" width="12.54296875" style="201"/>
  </cols>
  <sheetData>
    <row r="1" spans="1:10" ht="15.75" customHeight="1" x14ac:dyDescent="0.3">
      <c r="A1" s="202" t="s">
        <v>545</v>
      </c>
      <c r="B1" s="202" t="s">
        <v>546</v>
      </c>
      <c r="C1" s="203" t="s">
        <v>547</v>
      </c>
      <c r="D1" s="202" t="s">
        <v>548</v>
      </c>
    </row>
    <row r="2" spans="1:10" ht="15.75" customHeight="1" x14ac:dyDescent="0.3">
      <c r="A2" s="204" t="s">
        <v>556</v>
      </c>
      <c r="B2" s="205">
        <v>45659</v>
      </c>
      <c r="C2" s="215">
        <v>1838.7</v>
      </c>
      <c r="D2" s="207">
        <f>IFERROR(C2/VLOOKUP(A2,Usinas!$A:$B,2,FALSE()),"")</f>
        <v>2.9608695652173913</v>
      </c>
      <c r="F2" s="208" t="s">
        <v>550</v>
      </c>
      <c r="G2" s="208"/>
      <c r="H2" s="208" t="s">
        <v>37</v>
      </c>
      <c r="I2" s="208" t="s">
        <v>551</v>
      </c>
      <c r="J2" s="208" t="s">
        <v>552</v>
      </c>
    </row>
    <row r="3" spans="1:10" ht="15.75" customHeight="1" x14ac:dyDescent="0.3">
      <c r="A3" s="204" t="s">
        <v>556</v>
      </c>
      <c r="B3" s="205">
        <v>45660</v>
      </c>
      <c r="C3" s="215">
        <v>2731.7</v>
      </c>
      <c r="D3" s="207">
        <f>IFERROR(C3/VLOOKUP(A3,Usinas!$A:$B,2,FALSE()),"")</f>
        <v>4.3988727858293073</v>
      </c>
      <c r="F3" s="211">
        <f>+B2</f>
        <v>45659</v>
      </c>
      <c r="G3" s="211">
        <f>+F3+29</f>
        <v>45688</v>
      </c>
      <c r="H3" s="212">
        <f t="shared" ref="H3:H14" si="0">+F3</f>
        <v>45659</v>
      </c>
      <c r="I3" s="213">
        <f t="shared" ref="I3:I14" si="1">SUMIFS($C$1:$C$366, $B$1:$B$366, "&gt;="&amp;F3, $B$1:$B$366, "&lt;="&amp;G3)</f>
        <v>83461.89999999998</v>
      </c>
      <c r="J3" s="213">
        <f t="shared" ref="J3:J14" si="2">+I3/1000</f>
        <v>83.461899999999986</v>
      </c>
    </row>
    <row r="4" spans="1:10" ht="15.75" customHeight="1" x14ac:dyDescent="0.3">
      <c r="A4" s="204" t="s">
        <v>556</v>
      </c>
      <c r="B4" s="205">
        <v>45661</v>
      </c>
      <c r="C4" s="215">
        <v>3144</v>
      </c>
      <c r="D4" s="207">
        <f>IFERROR(C4/VLOOKUP(A4,Usinas!$A:$B,2,FALSE()),"")</f>
        <v>5.06280193236715</v>
      </c>
      <c r="F4" s="211">
        <f t="shared" ref="F4:F14" si="3">+G3+1</f>
        <v>45689</v>
      </c>
      <c r="G4" s="211">
        <f>+F4+27</f>
        <v>45716</v>
      </c>
      <c r="H4" s="212">
        <f t="shared" si="0"/>
        <v>45689</v>
      </c>
      <c r="I4" s="213">
        <f t="shared" si="1"/>
        <v>76124.399999999994</v>
      </c>
      <c r="J4" s="213">
        <f t="shared" si="2"/>
        <v>76.124399999999994</v>
      </c>
    </row>
    <row r="5" spans="1:10" ht="15.75" customHeight="1" x14ac:dyDescent="0.3">
      <c r="A5" s="204" t="s">
        <v>556</v>
      </c>
      <c r="B5" s="205">
        <v>45662</v>
      </c>
      <c r="C5" s="215">
        <v>3472.1</v>
      </c>
      <c r="D5" s="207">
        <f>IFERROR(C5/VLOOKUP(A5,Usinas!$A:$B,2,FALSE()),"")</f>
        <v>5.5911433172302738</v>
      </c>
      <c r="F5" s="211">
        <f t="shared" si="3"/>
        <v>45717</v>
      </c>
      <c r="G5" s="211">
        <f>+F5+30</f>
        <v>45747</v>
      </c>
      <c r="H5" s="212">
        <f t="shared" si="0"/>
        <v>45717</v>
      </c>
      <c r="I5" s="213">
        <f t="shared" si="1"/>
        <v>89858.2</v>
      </c>
      <c r="J5" s="213">
        <f t="shared" si="2"/>
        <v>89.858199999999997</v>
      </c>
    </row>
    <row r="6" spans="1:10" ht="15.75" customHeight="1" x14ac:dyDescent="0.3">
      <c r="A6" s="204" t="s">
        <v>556</v>
      </c>
      <c r="B6" s="205">
        <v>45663</v>
      </c>
      <c r="C6" s="215">
        <v>3397.4</v>
      </c>
      <c r="D6" s="207">
        <f>IFERROR(C6/VLOOKUP(A6,Usinas!$A:$B,2,FALSE()),"")</f>
        <v>5.4708534621578098</v>
      </c>
      <c r="F6" s="211">
        <f t="shared" si="3"/>
        <v>45748</v>
      </c>
      <c r="G6" s="211">
        <f>+F6+29</f>
        <v>45777</v>
      </c>
      <c r="H6" s="212">
        <f t="shared" si="0"/>
        <v>45748</v>
      </c>
      <c r="I6" s="213">
        <f t="shared" si="1"/>
        <v>62725.399999999994</v>
      </c>
      <c r="J6" s="213">
        <f t="shared" si="2"/>
        <v>62.725399999999993</v>
      </c>
    </row>
    <row r="7" spans="1:10" ht="15.75" customHeight="1" x14ac:dyDescent="0.3">
      <c r="A7" s="204" t="s">
        <v>556</v>
      </c>
      <c r="B7" s="205">
        <v>45664</v>
      </c>
      <c r="C7" s="215">
        <v>3375.8</v>
      </c>
      <c r="D7" s="207">
        <f>IFERROR(C7/VLOOKUP(A7,Usinas!$A:$B,2,FALSE()),"")</f>
        <v>5.4360708534621578</v>
      </c>
      <c r="F7" s="211">
        <f t="shared" si="3"/>
        <v>45778</v>
      </c>
      <c r="G7" s="211">
        <f>+F7+30</f>
        <v>45808</v>
      </c>
      <c r="H7" s="212">
        <f t="shared" si="0"/>
        <v>45778</v>
      </c>
      <c r="I7" s="213">
        <f t="shared" si="1"/>
        <v>78227.500000000015</v>
      </c>
      <c r="J7" s="213">
        <f t="shared" si="2"/>
        <v>78.22750000000002</v>
      </c>
    </row>
    <row r="8" spans="1:10" ht="15.75" customHeight="1" x14ac:dyDescent="0.3">
      <c r="A8" s="204" t="s">
        <v>556</v>
      </c>
      <c r="B8" s="205">
        <v>45665</v>
      </c>
      <c r="C8" s="215">
        <v>3146.5</v>
      </c>
      <c r="D8" s="207">
        <f>IFERROR(C8/VLOOKUP(A8,Usinas!$A:$B,2,FALSE()),"")</f>
        <v>5.0668276972624797</v>
      </c>
      <c r="F8" s="211">
        <f t="shared" si="3"/>
        <v>45809</v>
      </c>
      <c r="G8" s="211">
        <f>+F8+29</f>
        <v>45838</v>
      </c>
      <c r="H8" s="212">
        <f t="shared" si="0"/>
        <v>45809</v>
      </c>
      <c r="I8" s="213">
        <f t="shared" si="1"/>
        <v>60380.599999999991</v>
      </c>
      <c r="J8" s="213">
        <f t="shared" si="2"/>
        <v>60.380599999999994</v>
      </c>
    </row>
    <row r="9" spans="1:10" ht="15.75" customHeight="1" x14ac:dyDescent="0.3">
      <c r="A9" s="204" t="s">
        <v>556</v>
      </c>
      <c r="B9" s="205">
        <v>45666</v>
      </c>
      <c r="C9" s="215">
        <v>3235.6</v>
      </c>
      <c r="D9" s="207">
        <f>IFERROR(C9/VLOOKUP(A9,Usinas!$A:$B,2,FALSE()),"")</f>
        <v>5.2103059581320448</v>
      </c>
      <c r="F9" s="211">
        <f t="shared" si="3"/>
        <v>45839</v>
      </c>
      <c r="G9" s="211">
        <f>+F9+30</f>
        <v>45869</v>
      </c>
      <c r="H9" s="212">
        <f t="shared" si="0"/>
        <v>45839</v>
      </c>
      <c r="I9" s="213">
        <f t="shared" si="1"/>
        <v>76551.200000000012</v>
      </c>
      <c r="J9" s="213">
        <f t="shared" si="2"/>
        <v>76.551200000000009</v>
      </c>
    </row>
    <row r="10" spans="1:10" ht="15.75" customHeight="1" x14ac:dyDescent="0.3">
      <c r="A10" s="204" t="s">
        <v>556</v>
      </c>
      <c r="B10" s="205">
        <v>45667</v>
      </c>
      <c r="C10" s="215">
        <v>2990.9</v>
      </c>
      <c r="D10" s="207">
        <f>IFERROR(C10/VLOOKUP(A10,Usinas!$A:$B,2,FALSE()),"")</f>
        <v>4.8162640901771336</v>
      </c>
      <c r="F10" s="211">
        <f t="shared" si="3"/>
        <v>45870</v>
      </c>
      <c r="G10" s="211">
        <f>+F10+30</f>
        <v>45900</v>
      </c>
      <c r="H10" s="212">
        <f t="shared" si="0"/>
        <v>45870</v>
      </c>
      <c r="I10" s="213">
        <f t="shared" si="1"/>
        <v>79815.599999999991</v>
      </c>
      <c r="J10" s="213">
        <f t="shared" si="2"/>
        <v>79.815599999999989</v>
      </c>
    </row>
    <row r="11" spans="1:10" ht="15.75" customHeight="1" x14ac:dyDescent="0.3">
      <c r="A11" s="204" t="s">
        <v>556</v>
      </c>
      <c r="B11" s="205">
        <v>45668</v>
      </c>
      <c r="C11" s="215">
        <v>3034</v>
      </c>
      <c r="D11" s="207">
        <f>IFERROR(C11/VLOOKUP(A11,Usinas!$A:$B,2,FALSE()),"")</f>
        <v>4.8856682769726252</v>
      </c>
      <c r="F11" s="211">
        <f t="shared" si="3"/>
        <v>45901</v>
      </c>
      <c r="G11" s="211">
        <f>+F11+29</f>
        <v>45930</v>
      </c>
      <c r="H11" s="212">
        <f t="shared" si="0"/>
        <v>45901</v>
      </c>
      <c r="I11" s="213">
        <f t="shared" si="1"/>
        <v>78203.000000000015</v>
      </c>
      <c r="J11" s="213">
        <f t="shared" si="2"/>
        <v>78.203000000000017</v>
      </c>
    </row>
    <row r="12" spans="1:10" ht="15.75" customHeight="1" x14ac:dyDescent="0.3">
      <c r="A12" s="204" t="s">
        <v>556</v>
      </c>
      <c r="B12" s="205">
        <v>45669</v>
      </c>
      <c r="C12" s="215">
        <v>3316.5</v>
      </c>
      <c r="D12" s="207">
        <f>IFERROR(C12/VLOOKUP(A12,Usinas!$A:$B,2,FALSE()),"")</f>
        <v>5.3405797101449277</v>
      </c>
      <c r="F12" s="211">
        <f t="shared" si="3"/>
        <v>45931</v>
      </c>
      <c r="G12" s="211">
        <f>+F12+30</f>
        <v>45961</v>
      </c>
      <c r="H12" s="212">
        <f t="shared" si="0"/>
        <v>45931</v>
      </c>
      <c r="I12" s="213">
        <f t="shared" si="1"/>
        <v>73160.099999999991</v>
      </c>
      <c r="J12" s="213">
        <f t="shared" si="2"/>
        <v>73.160099999999986</v>
      </c>
    </row>
    <row r="13" spans="1:10" ht="15.75" customHeight="1" x14ac:dyDescent="0.3">
      <c r="A13" s="204" t="s">
        <v>556</v>
      </c>
      <c r="B13" s="205">
        <v>45670</v>
      </c>
      <c r="C13" s="215">
        <v>3271.8</v>
      </c>
      <c r="D13" s="207">
        <f>IFERROR(C13/VLOOKUP(A13,Usinas!$A:$B,2,FALSE()),"")</f>
        <v>5.2685990338164252</v>
      </c>
      <c r="F13" s="211">
        <f t="shared" si="3"/>
        <v>45962</v>
      </c>
      <c r="G13" s="211">
        <f>+F13+29</f>
        <v>45991</v>
      </c>
      <c r="H13" s="212">
        <f t="shared" si="0"/>
        <v>45962</v>
      </c>
      <c r="I13" s="213">
        <f t="shared" si="1"/>
        <v>91030.500000000015</v>
      </c>
      <c r="J13" s="213">
        <f t="shared" si="2"/>
        <v>91.030500000000018</v>
      </c>
    </row>
    <row r="14" spans="1:10" ht="15.75" customHeight="1" x14ac:dyDescent="0.3">
      <c r="A14" s="204" t="s">
        <v>556</v>
      </c>
      <c r="B14" s="205">
        <v>45671</v>
      </c>
      <c r="C14" s="215">
        <v>2991</v>
      </c>
      <c r="D14" s="207">
        <f>IFERROR(C14/VLOOKUP(A14,Usinas!$A:$B,2,FALSE()),"")</f>
        <v>4.8164251207729469</v>
      </c>
      <c r="F14" s="211">
        <f t="shared" si="3"/>
        <v>45992</v>
      </c>
      <c r="G14" s="211">
        <f>+F14+30</f>
        <v>46022</v>
      </c>
      <c r="H14" s="212">
        <f t="shared" si="0"/>
        <v>45992</v>
      </c>
      <c r="I14" s="213">
        <f t="shared" si="1"/>
        <v>88631.699999999983</v>
      </c>
      <c r="J14" s="213">
        <f t="shared" si="2"/>
        <v>88.631699999999981</v>
      </c>
    </row>
    <row r="15" spans="1:10" ht="15.75" customHeight="1" x14ac:dyDescent="0.3">
      <c r="A15" s="204" t="s">
        <v>556</v>
      </c>
      <c r="B15" s="205">
        <v>45672</v>
      </c>
      <c r="C15" s="215">
        <v>3157.2</v>
      </c>
      <c r="D15" s="207">
        <f>IFERROR(C15/VLOOKUP(A15,Usinas!$A:$B,2,FALSE()),"")</f>
        <v>5.0840579710144924</v>
      </c>
    </row>
    <row r="16" spans="1:10" ht="15.75" customHeight="1" x14ac:dyDescent="0.3">
      <c r="A16" s="204" t="s">
        <v>556</v>
      </c>
      <c r="B16" s="205">
        <v>45673</v>
      </c>
      <c r="C16" s="215">
        <v>3240.1</v>
      </c>
      <c r="D16" s="207">
        <f>IFERROR(C16/VLOOKUP(A16,Usinas!$A:$B,2,FALSE()),"")</f>
        <v>5.2175523349436395</v>
      </c>
    </row>
    <row r="17" spans="1:10" ht="15.75" customHeight="1" x14ac:dyDescent="0.3">
      <c r="A17" s="204" t="s">
        <v>556</v>
      </c>
      <c r="B17" s="205">
        <v>45674</v>
      </c>
      <c r="C17" s="215">
        <v>2894.7</v>
      </c>
      <c r="D17" s="207">
        <f>IFERROR(C17/VLOOKUP(A17,Usinas!$A:$B,2,FALSE()),"")</f>
        <v>4.6613526570048309</v>
      </c>
      <c r="J17" s="209">
        <f>+SUM(J3:J14)</f>
        <v>938.17009999999993</v>
      </c>
    </row>
    <row r="18" spans="1:10" ht="15.75" customHeight="1" x14ac:dyDescent="0.3">
      <c r="A18" s="204" t="s">
        <v>556</v>
      </c>
      <c r="B18" s="205">
        <v>45675</v>
      </c>
      <c r="C18" s="215">
        <v>1963.6</v>
      </c>
      <c r="D18" s="207">
        <f>IFERROR(C18/VLOOKUP(A18,Usinas!$A:$B,2,FALSE()),"")</f>
        <v>3.1619967793880837</v>
      </c>
    </row>
    <row r="19" spans="1:10" ht="15.75" customHeight="1" x14ac:dyDescent="0.3">
      <c r="A19" s="204" t="s">
        <v>556</v>
      </c>
      <c r="B19" s="205">
        <v>45676</v>
      </c>
      <c r="C19" s="215">
        <v>2656</v>
      </c>
      <c r="D19" s="207">
        <f>IFERROR(C19/VLOOKUP(A19,Usinas!$A:$B,2,FALSE()),"")</f>
        <v>4.2769726247987121</v>
      </c>
    </row>
    <row r="20" spans="1:10" ht="12" customHeight="1" x14ac:dyDescent="0.3">
      <c r="A20" s="204" t="s">
        <v>556</v>
      </c>
      <c r="B20" s="205">
        <v>45677</v>
      </c>
      <c r="C20" s="215">
        <v>1379.4</v>
      </c>
      <c r="D20" s="207">
        <f>IFERROR(C20/VLOOKUP(A20,Usinas!$A:$B,2,FALSE()),"")</f>
        <v>2.221256038647343</v>
      </c>
    </row>
    <row r="21" spans="1:10" ht="12" customHeight="1" x14ac:dyDescent="0.3">
      <c r="A21" s="204" t="s">
        <v>556</v>
      </c>
      <c r="B21" s="205">
        <v>45678</v>
      </c>
      <c r="C21" s="215">
        <v>2442.6999999999998</v>
      </c>
      <c r="D21" s="207">
        <f>IFERROR(C21/VLOOKUP(A21,Usinas!$A:$B,2,FALSE()),"")</f>
        <v>3.9334943639291464</v>
      </c>
    </row>
    <row r="22" spans="1:10" ht="12" customHeight="1" x14ac:dyDescent="0.3">
      <c r="A22" s="204" t="s">
        <v>556</v>
      </c>
      <c r="B22" s="205">
        <v>45679</v>
      </c>
      <c r="C22" s="215">
        <v>2855.3</v>
      </c>
      <c r="D22" s="207">
        <f>IFERROR(C22/VLOOKUP(A22,Usinas!$A:$B,2,FALSE()),"")</f>
        <v>4.5979066022544286</v>
      </c>
    </row>
    <row r="23" spans="1:10" ht="12" customHeight="1" x14ac:dyDescent="0.3">
      <c r="A23" s="204" t="s">
        <v>556</v>
      </c>
      <c r="B23" s="205">
        <v>45680</v>
      </c>
      <c r="C23" s="215">
        <v>1825.6</v>
      </c>
      <c r="D23" s="207">
        <f>IFERROR(C23/VLOOKUP(A23,Usinas!$A:$B,2,FALSE()),"")</f>
        <v>2.9397745571658613</v>
      </c>
    </row>
    <row r="24" spans="1:10" ht="12" customHeight="1" x14ac:dyDescent="0.3">
      <c r="A24" s="204" t="s">
        <v>556</v>
      </c>
      <c r="B24" s="205">
        <v>45681</v>
      </c>
      <c r="C24" s="215">
        <v>3219.2</v>
      </c>
      <c r="D24" s="207">
        <f>IFERROR(C24/VLOOKUP(A24,Usinas!$A:$B,2,FALSE()),"")</f>
        <v>5.1838969404186797</v>
      </c>
    </row>
    <row r="25" spans="1:10" ht="12" customHeight="1" x14ac:dyDescent="0.3">
      <c r="A25" s="204" t="s">
        <v>556</v>
      </c>
      <c r="B25" s="205">
        <v>45682</v>
      </c>
      <c r="C25" s="215">
        <v>2932.2</v>
      </c>
      <c r="D25" s="207">
        <f>IFERROR(C25/VLOOKUP(A25,Usinas!$A:$B,2,FALSE()),"")</f>
        <v>4.7217391304347824</v>
      </c>
    </row>
    <row r="26" spans="1:10" ht="12" customHeight="1" x14ac:dyDescent="0.3">
      <c r="A26" s="204" t="s">
        <v>556</v>
      </c>
      <c r="B26" s="205">
        <v>45683</v>
      </c>
      <c r="C26" s="215">
        <v>2721.4</v>
      </c>
      <c r="D26" s="207">
        <f>IFERROR(C26/VLOOKUP(A26,Usinas!$A:$B,2,FALSE()),"")</f>
        <v>4.3822866344605478</v>
      </c>
    </row>
    <row r="27" spans="1:10" ht="12" customHeight="1" x14ac:dyDescent="0.3">
      <c r="A27" s="204" t="s">
        <v>556</v>
      </c>
      <c r="B27" s="205">
        <v>45684</v>
      </c>
      <c r="C27" s="215">
        <v>2272</v>
      </c>
      <c r="D27" s="207">
        <f>IFERROR(C27/VLOOKUP(A27,Usinas!$A:$B,2,FALSE()),"")</f>
        <v>3.6586151368760063</v>
      </c>
    </row>
    <row r="28" spans="1:10" ht="12" customHeight="1" x14ac:dyDescent="0.3">
      <c r="A28" s="204" t="s">
        <v>556</v>
      </c>
      <c r="B28" s="205">
        <v>45685</v>
      </c>
      <c r="C28" s="215">
        <v>2223.6</v>
      </c>
      <c r="D28" s="207">
        <f>IFERROR(C28/VLOOKUP(A28,Usinas!$A:$B,2,FALSE()),"")</f>
        <v>3.5806763285024155</v>
      </c>
    </row>
    <row r="29" spans="1:10" ht="12" customHeight="1" x14ac:dyDescent="0.3">
      <c r="A29" s="204" t="s">
        <v>556</v>
      </c>
      <c r="B29" s="205">
        <v>45686</v>
      </c>
      <c r="C29" s="215">
        <v>2824.9</v>
      </c>
      <c r="D29" s="207">
        <f>IFERROR(C29/VLOOKUP(A29,Usinas!$A:$B,2,FALSE()),"")</f>
        <v>4.5489533011272147</v>
      </c>
    </row>
    <row r="30" spans="1:10" ht="12" customHeight="1" x14ac:dyDescent="0.3">
      <c r="A30" s="204" t="s">
        <v>556</v>
      </c>
      <c r="B30" s="205">
        <v>45687</v>
      </c>
      <c r="C30" s="215">
        <v>2192.6</v>
      </c>
      <c r="D30" s="207">
        <f>IFERROR(C30/VLOOKUP(A30,Usinas!$A:$B,2,FALSE()),"")</f>
        <v>3.5307568438003218</v>
      </c>
    </row>
    <row r="31" spans="1:10" ht="12" customHeight="1" x14ac:dyDescent="0.3">
      <c r="A31" s="204" t="s">
        <v>556</v>
      </c>
      <c r="B31" s="205">
        <v>45688</v>
      </c>
      <c r="C31" s="215">
        <v>2715.4</v>
      </c>
      <c r="D31" s="207">
        <f>IFERROR(C31/VLOOKUP(A31,Usinas!$A:$B,2,FALSE()),"")</f>
        <v>4.3726247987117555</v>
      </c>
    </row>
    <row r="32" spans="1:10" ht="12" customHeight="1" x14ac:dyDescent="0.3">
      <c r="A32" s="204" t="s">
        <v>556</v>
      </c>
      <c r="B32" s="205">
        <v>45689</v>
      </c>
      <c r="C32" s="215">
        <v>2525.6999999999998</v>
      </c>
      <c r="D32" s="207">
        <f>IFERROR(C32/VLOOKUP(A32,Usinas!$A:$B,2,FALSE()),"")</f>
        <v>4.0671497584541063</v>
      </c>
    </row>
    <row r="33" spans="1:4" ht="12" customHeight="1" x14ac:dyDescent="0.3">
      <c r="A33" s="204" t="s">
        <v>556</v>
      </c>
      <c r="B33" s="205">
        <v>45690</v>
      </c>
      <c r="C33" s="215">
        <v>3430.9</v>
      </c>
      <c r="D33" s="207">
        <f>IFERROR(C33/VLOOKUP(A33,Usinas!$A:$B,2,FALSE()),"")</f>
        <v>5.524798711755234</v>
      </c>
    </row>
    <row r="34" spans="1:4" ht="12" customHeight="1" x14ac:dyDescent="0.3">
      <c r="A34" s="204" t="s">
        <v>556</v>
      </c>
      <c r="B34" s="205">
        <v>45691</v>
      </c>
      <c r="C34" s="215">
        <v>3301.6</v>
      </c>
      <c r="D34" s="207">
        <f>IFERROR(C34/VLOOKUP(A34,Usinas!$A:$B,2,FALSE()),"")</f>
        <v>5.3165861513687602</v>
      </c>
    </row>
    <row r="35" spans="1:4" ht="12" customHeight="1" x14ac:dyDescent="0.3">
      <c r="A35" s="204" t="s">
        <v>556</v>
      </c>
      <c r="B35" s="205">
        <v>45692</v>
      </c>
      <c r="C35" s="215">
        <v>3316.8</v>
      </c>
      <c r="D35" s="207">
        <f>IFERROR(C35/VLOOKUP(A35,Usinas!$A:$B,2,FALSE()),"")</f>
        <v>5.3410628019323676</v>
      </c>
    </row>
    <row r="36" spans="1:4" ht="12" customHeight="1" x14ac:dyDescent="0.3">
      <c r="A36" s="204" t="s">
        <v>556</v>
      </c>
      <c r="B36" s="205">
        <v>45693</v>
      </c>
      <c r="C36" s="215">
        <v>2023</v>
      </c>
      <c r="D36" s="207">
        <f>IFERROR(C36/VLOOKUP(A36,Usinas!$A:$B,2,FALSE()),"")</f>
        <v>3.257648953301127</v>
      </c>
    </row>
    <row r="37" spans="1:4" ht="12" customHeight="1" x14ac:dyDescent="0.3">
      <c r="A37" s="204" t="s">
        <v>556</v>
      </c>
      <c r="B37" s="205">
        <v>45694</v>
      </c>
      <c r="C37" s="215">
        <v>1776.7</v>
      </c>
      <c r="D37" s="207">
        <f>IFERROR(C37/VLOOKUP(A37,Usinas!$A:$B,2,FALSE()),"")</f>
        <v>2.8610305958132045</v>
      </c>
    </row>
    <row r="38" spans="1:4" ht="12" customHeight="1" x14ac:dyDescent="0.3">
      <c r="A38" s="204" t="s">
        <v>556</v>
      </c>
      <c r="B38" s="205">
        <v>45695</v>
      </c>
      <c r="C38" s="215">
        <v>1531.7</v>
      </c>
      <c r="D38" s="207">
        <f>IFERROR(C38/VLOOKUP(A38,Usinas!$A:$B,2,FALSE()),"")</f>
        <v>2.4665056360708535</v>
      </c>
    </row>
    <row r="39" spans="1:4" ht="12" customHeight="1" x14ac:dyDescent="0.3">
      <c r="A39" s="204" t="s">
        <v>556</v>
      </c>
      <c r="B39" s="205">
        <v>45696</v>
      </c>
      <c r="C39" s="215">
        <v>3120.2</v>
      </c>
      <c r="D39" s="207">
        <f>IFERROR(C39/VLOOKUP(A39,Usinas!$A:$B,2,FALSE()),"")</f>
        <v>5.0244766505636065</v>
      </c>
    </row>
    <row r="40" spans="1:4" ht="12" customHeight="1" x14ac:dyDescent="0.3">
      <c r="A40" s="204" t="s">
        <v>556</v>
      </c>
      <c r="B40" s="205">
        <v>45697</v>
      </c>
      <c r="C40" s="215">
        <v>3053</v>
      </c>
      <c r="D40" s="207">
        <f>IFERROR(C40/VLOOKUP(A40,Usinas!$A:$B,2,FALSE()),"")</f>
        <v>4.9162640901771333</v>
      </c>
    </row>
    <row r="41" spans="1:4" ht="12" customHeight="1" x14ac:dyDescent="0.3">
      <c r="A41" s="204" t="s">
        <v>556</v>
      </c>
      <c r="B41" s="205">
        <v>45698</v>
      </c>
      <c r="C41" s="215">
        <v>3457.7</v>
      </c>
      <c r="D41" s="207">
        <f>IFERROR(C41/VLOOKUP(A41,Usinas!$A:$B,2,FALSE()),"")</f>
        <v>5.5679549114331719</v>
      </c>
    </row>
    <row r="42" spans="1:4" ht="12" customHeight="1" x14ac:dyDescent="0.3">
      <c r="A42" s="204" t="s">
        <v>556</v>
      </c>
      <c r="B42" s="205">
        <v>45699</v>
      </c>
      <c r="C42" s="215">
        <v>3497.8</v>
      </c>
      <c r="D42" s="207">
        <f>IFERROR(C42/VLOOKUP(A42,Usinas!$A:$B,2,FALSE()),"")</f>
        <v>5.6325281803542673</v>
      </c>
    </row>
    <row r="43" spans="1:4" ht="12" customHeight="1" x14ac:dyDescent="0.3">
      <c r="A43" s="204" t="s">
        <v>556</v>
      </c>
      <c r="B43" s="205">
        <v>45700</v>
      </c>
      <c r="C43" s="215">
        <v>3154.5</v>
      </c>
      <c r="D43" s="207">
        <f>IFERROR(C43/VLOOKUP(A43,Usinas!$A:$B,2,FALSE()),"")</f>
        <v>5.0797101449275361</v>
      </c>
    </row>
    <row r="44" spans="1:4" ht="12" customHeight="1" x14ac:dyDescent="0.3">
      <c r="A44" s="204" t="s">
        <v>556</v>
      </c>
      <c r="B44" s="205">
        <v>45701</v>
      </c>
      <c r="C44" s="215">
        <v>2566.9</v>
      </c>
      <c r="D44" s="207">
        <f>IFERROR(C44/VLOOKUP(A44,Usinas!$A:$B,2,FALSE()),"")</f>
        <v>4.133494363929147</v>
      </c>
    </row>
    <row r="45" spans="1:4" ht="12" customHeight="1" x14ac:dyDescent="0.3">
      <c r="A45" s="204" t="s">
        <v>556</v>
      </c>
      <c r="B45" s="205">
        <v>45702</v>
      </c>
      <c r="C45" s="215">
        <v>2730.5</v>
      </c>
      <c r="D45" s="207">
        <f>IFERROR(C45/VLOOKUP(A45,Usinas!$A:$B,2,FALSE()),"")</f>
        <v>4.3969404186795495</v>
      </c>
    </row>
    <row r="46" spans="1:4" ht="12" customHeight="1" x14ac:dyDescent="0.3">
      <c r="A46" s="204" t="s">
        <v>556</v>
      </c>
      <c r="B46" s="205">
        <v>45703</v>
      </c>
      <c r="C46" s="215">
        <v>3417.5</v>
      </c>
      <c r="D46" s="207">
        <f>IFERROR(C46/VLOOKUP(A46,Usinas!$A:$B,2,FALSE()),"")</f>
        <v>5.5032206119162641</v>
      </c>
    </row>
    <row r="47" spans="1:4" ht="12" customHeight="1" x14ac:dyDescent="0.3">
      <c r="A47" s="204" t="s">
        <v>556</v>
      </c>
      <c r="B47" s="205">
        <v>45704</v>
      </c>
      <c r="C47" s="215">
        <v>2203.1</v>
      </c>
      <c r="D47" s="207">
        <f>IFERROR(C47/VLOOKUP(A47,Usinas!$A:$B,2,FALSE()),"")</f>
        <v>3.5476650563607084</v>
      </c>
    </row>
    <row r="48" spans="1:4" ht="12" customHeight="1" x14ac:dyDescent="0.3">
      <c r="A48" s="204" t="s">
        <v>556</v>
      </c>
      <c r="B48" s="205">
        <v>45705</v>
      </c>
      <c r="C48" s="215">
        <v>3502.6</v>
      </c>
      <c r="D48" s="207">
        <f>IFERROR(C48/VLOOKUP(A48,Usinas!$A:$B,2,FALSE()),"")</f>
        <v>5.640257648953301</v>
      </c>
    </row>
    <row r="49" spans="1:4" ht="12" customHeight="1" x14ac:dyDescent="0.3">
      <c r="A49" s="204" t="s">
        <v>556</v>
      </c>
      <c r="B49" s="205">
        <v>45706</v>
      </c>
      <c r="C49" s="215">
        <v>1487.5</v>
      </c>
      <c r="D49" s="207">
        <f>IFERROR(C49/VLOOKUP(A49,Usinas!$A:$B,2,FALSE()),"")</f>
        <v>2.395330112721417</v>
      </c>
    </row>
    <row r="50" spans="1:4" ht="12" customHeight="1" x14ac:dyDescent="0.3">
      <c r="A50" s="204" t="s">
        <v>556</v>
      </c>
      <c r="B50" s="205">
        <v>45707</v>
      </c>
      <c r="C50" s="215">
        <v>2470.6999999999998</v>
      </c>
      <c r="D50" s="207">
        <f>IFERROR(C50/VLOOKUP(A50,Usinas!$A:$B,2,FALSE()),"")</f>
        <v>3.9785829307568434</v>
      </c>
    </row>
    <row r="51" spans="1:4" ht="12" customHeight="1" x14ac:dyDescent="0.3">
      <c r="A51" s="204" t="s">
        <v>556</v>
      </c>
      <c r="B51" s="205">
        <v>45708</v>
      </c>
      <c r="C51" s="215">
        <v>3137.4</v>
      </c>
      <c r="D51" s="207">
        <f>IFERROR(C51/VLOOKUP(A51,Usinas!$A:$B,2,FALSE()),"")</f>
        <v>5.0521739130434788</v>
      </c>
    </row>
    <row r="52" spans="1:4" ht="12" customHeight="1" x14ac:dyDescent="0.3">
      <c r="A52" s="204" t="s">
        <v>556</v>
      </c>
      <c r="B52" s="205">
        <v>45709</v>
      </c>
      <c r="C52" s="215">
        <v>2924.4</v>
      </c>
      <c r="D52" s="207">
        <f>IFERROR(C52/VLOOKUP(A52,Usinas!$A:$B,2,FALSE()),"")</f>
        <v>4.7091787439613526</v>
      </c>
    </row>
    <row r="53" spans="1:4" ht="12" customHeight="1" x14ac:dyDescent="0.3">
      <c r="A53" s="204" t="s">
        <v>556</v>
      </c>
      <c r="B53" s="205">
        <v>45710</v>
      </c>
      <c r="C53" s="215">
        <v>1896.9</v>
      </c>
      <c r="D53" s="207">
        <f>IFERROR(C53/VLOOKUP(A53,Usinas!$A:$B,2,FALSE()),"")</f>
        <v>3.0545893719806765</v>
      </c>
    </row>
    <row r="54" spans="1:4" ht="12" customHeight="1" x14ac:dyDescent="0.3">
      <c r="A54" s="204" t="s">
        <v>556</v>
      </c>
      <c r="B54" s="205">
        <v>45711</v>
      </c>
      <c r="C54" s="215">
        <v>3489.2</v>
      </c>
      <c r="D54" s="207">
        <f>IFERROR(C54/VLOOKUP(A54,Usinas!$A:$B,2,FALSE()),"")</f>
        <v>5.6186795491143311</v>
      </c>
    </row>
    <row r="55" spans="1:4" ht="12" customHeight="1" x14ac:dyDescent="0.3">
      <c r="A55" s="204" t="s">
        <v>556</v>
      </c>
      <c r="B55" s="205">
        <v>45712</v>
      </c>
      <c r="C55" s="215">
        <v>2258.9</v>
      </c>
      <c r="D55" s="207">
        <f>IFERROR(C55/VLOOKUP(A55,Usinas!$A:$B,2,FALSE()),"")</f>
        <v>3.6375201288244767</v>
      </c>
    </row>
    <row r="56" spans="1:4" ht="12" customHeight="1" x14ac:dyDescent="0.3">
      <c r="A56" s="204" t="s">
        <v>556</v>
      </c>
      <c r="B56" s="205">
        <v>45713</v>
      </c>
      <c r="C56" s="215">
        <v>2399.9</v>
      </c>
      <c r="D56" s="207">
        <f>IFERROR(C56/VLOOKUP(A56,Usinas!$A:$B,2,FALSE()),"")</f>
        <v>3.8645732689210952</v>
      </c>
    </row>
    <row r="57" spans="1:4" ht="12" customHeight="1" x14ac:dyDescent="0.3">
      <c r="A57" s="204" t="s">
        <v>556</v>
      </c>
      <c r="B57" s="205">
        <v>45714</v>
      </c>
      <c r="C57" s="215">
        <v>2194.9</v>
      </c>
      <c r="D57" s="207">
        <f>IFERROR(C57/VLOOKUP(A57,Usinas!$A:$B,2,FALSE()),"")</f>
        <v>3.5344605475040258</v>
      </c>
    </row>
    <row r="58" spans="1:4" ht="12" customHeight="1" x14ac:dyDescent="0.3">
      <c r="A58" s="204" t="s">
        <v>556</v>
      </c>
      <c r="B58" s="205">
        <v>45715</v>
      </c>
      <c r="C58" s="215">
        <v>2023.6</v>
      </c>
      <c r="D58" s="207">
        <f>IFERROR(C58/VLOOKUP(A58,Usinas!$A:$B,2,FALSE()),"")</f>
        <v>3.2586151368760063</v>
      </c>
    </row>
    <row r="59" spans="1:4" ht="12" customHeight="1" x14ac:dyDescent="0.3">
      <c r="A59" s="204" t="s">
        <v>556</v>
      </c>
      <c r="B59" s="205">
        <v>45716</v>
      </c>
      <c r="C59" s="215">
        <v>3230.8</v>
      </c>
      <c r="D59" s="207">
        <f>IFERROR(C59/VLOOKUP(A59,Usinas!$A:$B,2,FALSE()),"")</f>
        <v>5.202576489533012</v>
      </c>
    </row>
    <row r="60" spans="1:4" ht="12" customHeight="1" x14ac:dyDescent="0.3">
      <c r="A60" s="204" t="s">
        <v>556</v>
      </c>
      <c r="B60" s="205">
        <v>45717</v>
      </c>
      <c r="C60" s="215">
        <v>3356.1</v>
      </c>
      <c r="D60" s="207">
        <f>IFERROR(C60/VLOOKUP(A60,Usinas!$A:$B,2,FALSE()),"")</f>
        <v>5.4043478260869566</v>
      </c>
    </row>
    <row r="61" spans="1:4" ht="12" customHeight="1" x14ac:dyDescent="0.3">
      <c r="A61" s="204" t="s">
        <v>556</v>
      </c>
      <c r="B61" s="205">
        <v>45718</v>
      </c>
      <c r="C61" s="215">
        <v>3508.4</v>
      </c>
      <c r="D61" s="207">
        <f>IFERROR(C61/VLOOKUP(A61,Usinas!$A:$B,2,FALSE()),"")</f>
        <v>5.6495974235104676</v>
      </c>
    </row>
    <row r="62" spans="1:4" ht="12" customHeight="1" x14ac:dyDescent="0.3">
      <c r="A62" s="204" t="s">
        <v>556</v>
      </c>
      <c r="B62" s="205">
        <v>45719</v>
      </c>
      <c r="C62" s="215">
        <v>3183.6</v>
      </c>
      <c r="D62" s="207">
        <f>IFERROR(C62/VLOOKUP(A62,Usinas!$A:$B,2,FALSE()),"")</f>
        <v>5.126570048309179</v>
      </c>
    </row>
    <row r="63" spans="1:4" ht="12" customHeight="1" x14ac:dyDescent="0.3">
      <c r="A63" s="204" t="s">
        <v>556</v>
      </c>
      <c r="B63" s="205">
        <v>45720</v>
      </c>
      <c r="C63" s="215">
        <v>3478.6</v>
      </c>
      <c r="D63" s="207">
        <f>IFERROR(C63/VLOOKUP(A63,Usinas!$A:$B,2,FALSE()),"")</f>
        <v>5.6016103059581317</v>
      </c>
    </row>
    <row r="64" spans="1:4" ht="12" customHeight="1" x14ac:dyDescent="0.3">
      <c r="A64" s="204" t="s">
        <v>556</v>
      </c>
      <c r="B64" s="205">
        <v>45721</v>
      </c>
      <c r="C64" s="215">
        <v>2706.8</v>
      </c>
      <c r="D64" s="207">
        <f>IFERROR(C64/VLOOKUP(A64,Usinas!$A:$B,2,FALSE()),"")</f>
        <v>4.3587761674718202</v>
      </c>
    </row>
    <row r="65" spans="1:4" ht="12" customHeight="1" x14ac:dyDescent="0.3">
      <c r="A65" s="204" t="s">
        <v>556</v>
      </c>
      <c r="B65" s="205">
        <v>45722</v>
      </c>
      <c r="C65" s="215">
        <v>2858.8</v>
      </c>
      <c r="D65" s="207">
        <f>IFERROR(C65/VLOOKUP(A65,Usinas!$A:$B,2,FALSE()),"")</f>
        <v>4.6035426731078912</v>
      </c>
    </row>
    <row r="66" spans="1:4" ht="12" customHeight="1" x14ac:dyDescent="0.3">
      <c r="A66" s="204" t="s">
        <v>556</v>
      </c>
      <c r="B66" s="205">
        <v>45723</v>
      </c>
      <c r="C66" s="215">
        <v>3445.2</v>
      </c>
      <c r="D66" s="207">
        <f>IFERROR(C66/VLOOKUP(A66,Usinas!$A:$B,2,FALSE()),"")</f>
        <v>5.5478260869565217</v>
      </c>
    </row>
    <row r="67" spans="1:4" ht="12" customHeight="1" x14ac:dyDescent="0.3">
      <c r="A67" s="204" t="s">
        <v>556</v>
      </c>
      <c r="B67" s="205">
        <v>45724</v>
      </c>
      <c r="C67" s="215">
        <v>3251.1</v>
      </c>
      <c r="D67" s="207">
        <f>IFERROR(C67/VLOOKUP(A67,Usinas!$A:$B,2,FALSE()),"")</f>
        <v>5.235265700483092</v>
      </c>
    </row>
    <row r="68" spans="1:4" ht="12" customHeight="1" x14ac:dyDescent="0.3">
      <c r="A68" s="204" t="s">
        <v>556</v>
      </c>
      <c r="B68" s="205">
        <v>45725</v>
      </c>
      <c r="C68" s="215">
        <v>3379.1</v>
      </c>
      <c r="D68" s="207">
        <f>IFERROR(C68/VLOOKUP(A68,Usinas!$A:$B,2,FALSE()),"")</f>
        <v>5.4413848631239938</v>
      </c>
    </row>
    <row r="69" spans="1:4" ht="12" customHeight="1" x14ac:dyDescent="0.3">
      <c r="A69" s="204" t="s">
        <v>556</v>
      </c>
      <c r="B69" s="205">
        <v>45726</v>
      </c>
      <c r="C69" s="215">
        <v>3060.9</v>
      </c>
      <c r="D69" s="207">
        <f>IFERROR(C69/VLOOKUP(A69,Usinas!$A:$B,2,FALSE()),"")</f>
        <v>4.9289855072463773</v>
      </c>
    </row>
    <row r="70" spans="1:4" ht="12" customHeight="1" x14ac:dyDescent="0.3">
      <c r="A70" s="204" t="s">
        <v>556</v>
      </c>
      <c r="B70" s="205">
        <v>45727</v>
      </c>
      <c r="C70" s="215">
        <v>968.4</v>
      </c>
      <c r="D70" s="207">
        <f>IFERROR(C70/VLOOKUP(A70,Usinas!$A:$B,2,FALSE()),"")</f>
        <v>1.5594202898550724</v>
      </c>
    </row>
    <row r="71" spans="1:4" ht="12" customHeight="1" x14ac:dyDescent="0.3">
      <c r="A71" s="204" t="s">
        <v>556</v>
      </c>
      <c r="B71" s="205">
        <v>45728</v>
      </c>
      <c r="C71" s="215">
        <v>2186.6</v>
      </c>
      <c r="D71" s="207">
        <f>IFERROR(C71/VLOOKUP(A71,Usinas!$A:$B,2,FALSE()),"")</f>
        <v>3.5210950080515295</v>
      </c>
    </row>
    <row r="72" spans="1:4" ht="12" customHeight="1" x14ac:dyDescent="0.3">
      <c r="A72" s="204" t="s">
        <v>556</v>
      </c>
      <c r="B72" s="205">
        <v>45729</v>
      </c>
      <c r="C72" s="215">
        <v>2228.1999999999998</v>
      </c>
      <c r="D72" s="207">
        <f>IFERROR(C72/VLOOKUP(A72,Usinas!$A:$B,2,FALSE()),"")</f>
        <v>3.5880837359098225</v>
      </c>
    </row>
    <row r="73" spans="1:4" ht="12" customHeight="1" x14ac:dyDescent="0.3">
      <c r="A73" s="204" t="s">
        <v>556</v>
      </c>
      <c r="B73" s="205">
        <v>45730</v>
      </c>
      <c r="C73" s="215">
        <v>3206.8</v>
      </c>
      <c r="D73" s="207">
        <f>IFERROR(C73/VLOOKUP(A73,Usinas!$A:$B,2,FALSE()),"")</f>
        <v>5.1639291465378427</v>
      </c>
    </row>
    <row r="74" spans="1:4" ht="12" customHeight="1" x14ac:dyDescent="0.3">
      <c r="A74" s="204" t="s">
        <v>556</v>
      </c>
      <c r="B74" s="205">
        <v>45731</v>
      </c>
      <c r="C74" s="215">
        <v>3154.3</v>
      </c>
      <c r="D74" s="207">
        <f>IFERROR(C74/VLOOKUP(A74,Usinas!$A:$B,2,FALSE()),"")</f>
        <v>5.0793880837359104</v>
      </c>
    </row>
    <row r="75" spans="1:4" ht="12" customHeight="1" x14ac:dyDescent="0.3">
      <c r="A75" s="204" t="s">
        <v>556</v>
      </c>
      <c r="B75" s="205">
        <v>45732</v>
      </c>
      <c r="C75" s="215">
        <v>3230.2</v>
      </c>
      <c r="D75" s="207">
        <f>IFERROR(C75/VLOOKUP(A75,Usinas!$A:$B,2,FALSE()),"")</f>
        <v>5.2016103059581313</v>
      </c>
    </row>
    <row r="76" spans="1:4" ht="12" customHeight="1" x14ac:dyDescent="0.3">
      <c r="A76" s="204" t="s">
        <v>556</v>
      </c>
      <c r="B76" s="205">
        <v>45733</v>
      </c>
      <c r="C76" s="215">
        <v>3306.2</v>
      </c>
      <c r="D76" s="207">
        <f>IFERROR(C76/VLOOKUP(A76,Usinas!$A:$B,2,FALSE()),"")</f>
        <v>5.3239935587761673</v>
      </c>
    </row>
    <row r="77" spans="1:4" ht="12" customHeight="1" x14ac:dyDescent="0.3">
      <c r="A77" s="204" t="s">
        <v>556</v>
      </c>
      <c r="B77" s="205">
        <v>45734</v>
      </c>
      <c r="C77" s="215">
        <v>2660.2</v>
      </c>
      <c r="D77" s="207">
        <f>IFERROR(C77/VLOOKUP(A77,Usinas!$A:$B,2,FALSE()),"")</f>
        <v>4.283735909822866</v>
      </c>
    </row>
    <row r="78" spans="1:4" ht="12" customHeight="1" x14ac:dyDescent="0.3">
      <c r="A78" s="204" t="s">
        <v>556</v>
      </c>
      <c r="B78" s="205">
        <v>45735</v>
      </c>
      <c r="C78" s="215">
        <v>3358</v>
      </c>
      <c r="D78" s="207">
        <f>IFERROR(C78/VLOOKUP(A78,Usinas!$A:$B,2,FALSE()),"")</f>
        <v>5.4074074074074074</v>
      </c>
    </row>
    <row r="79" spans="1:4" ht="12" customHeight="1" x14ac:dyDescent="0.3">
      <c r="A79" s="204" t="s">
        <v>556</v>
      </c>
      <c r="B79" s="205">
        <v>45736</v>
      </c>
      <c r="C79" s="215">
        <v>3608</v>
      </c>
      <c r="D79" s="207">
        <f>IFERROR(C79/VLOOKUP(A79,Usinas!$A:$B,2,FALSE()),"")</f>
        <v>5.8099838969404187</v>
      </c>
    </row>
    <row r="80" spans="1:4" ht="12" customHeight="1" x14ac:dyDescent="0.3">
      <c r="A80" s="204" t="s">
        <v>556</v>
      </c>
      <c r="B80" s="205">
        <v>45737</v>
      </c>
      <c r="C80" s="215">
        <v>3588.6</v>
      </c>
      <c r="D80" s="207">
        <f>IFERROR(C80/VLOOKUP(A80,Usinas!$A:$B,2,FALSE()),"")</f>
        <v>5.7787439613526566</v>
      </c>
    </row>
    <row r="81" spans="1:4" ht="12" customHeight="1" x14ac:dyDescent="0.3">
      <c r="A81" s="204" t="s">
        <v>556</v>
      </c>
      <c r="B81" s="205">
        <v>45738</v>
      </c>
      <c r="C81" s="215">
        <v>2853.7</v>
      </c>
      <c r="D81" s="207">
        <f>IFERROR(C81/VLOOKUP(A81,Usinas!$A:$B,2,FALSE()),"")</f>
        <v>4.5953301127214168</v>
      </c>
    </row>
    <row r="82" spans="1:4" ht="12" customHeight="1" x14ac:dyDescent="0.3">
      <c r="A82" s="204" t="s">
        <v>556</v>
      </c>
      <c r="B82" s="205">
        <v>45739</v>
      </c>
      <c r="C82" s="215">
        <v>2424.6</v>
      </c>
      <c r="D82" s="207">
        <f>IFERROR(C82/VLOOKUP(A82,Usinas!$A:$B,2,FALSE()),"")</f>
        <v>3.9043478260869562</v>
      </c>
    </row>
    <row r="83" spans="1:4" ht="12" customHeight="1" x14ac:dyDescent="0.3">
      <c r="A83" s="204" t="s">
        <v>556</v>
      </c>
      <c r="B83" s="205">
        <v>45740</v>
      </c>
      <c r="C83" s="215">
        <v>3014.2</v>
      </c>
      <c r="D83" s="207">
        <f>IFERROR(C83/VLOOKUP(A83,Usinas!$A:$B,2,FALSE()),"")</f>
        <v>4.8537842190016098</v>
      </c>
    </row>
    <row r="84" spans="1:4" ht="12" customHeight="1" x14ac:dyDescent="0.3">
      <c r="A84" s="204" t="s">
        <v>556</v>
      </c>
      <c r="B84" s="205">
        <v>45741</v>
      </c>
      <c r="C84" s="215">
        <v>2921.4</v>
      </c>
      <c r="D84" s="207">
        <f>IFERROR(C84/VLOOKUP(A84,Usinas!$A:$B,2,FALSE()),"")</f>
        <v>4.7043478260869565</v>
      </c>
    </row>
    <row r="85" spans="1:4" ht="12" customHeight="1" x14ac:dyDescent="0.3">
      <c r="A85" s="204" t="s">
        <v>556</v>
      </c>
      <c r="B85" s="205">
        <v>45742</v>
      </c>
      <c r="C85" s="215">
        <v>2917.5</v>
      </c>
      <c r="D85" s="207">
        <f>IFERROR(C85/VLOOKUP(A85,Usinas!$A:$B,2,FALSE()),"")</f>
        <v>4.6980676328502415</v>
      </c>
    </row>
    <row r="86" spans="1:4" ht="12" customHeight="1" x14ac:dyDescent="0.3">
      <c r="A86" s="204" t="s">
        <v>556</v>
      </c>
      <c r="B86" s="205">
        <v>45743</v>
      </c>
      <c r="C86" s="215">
        <v>2949.4</v>
      </c>
      <c r="D86" s="207">
        <f>IFERROR(C86/VLOOKUP(A86,Usinas!$A:$B,2,FALSE()),"")</f>
        <v>4.7494363929146539</v>
      </c>
    </row>
    <row r="87" spans="1:4" ht="12" customHeight="1" x14ac:dyDescent="0.3">
      <c r="A87" s="204" t="s">
        <v>556</v>
      </c>
      <c r="B87" s="205">
        <v>45744</v>
      </c>
      <c r="C87" s="215">
        <v>3277.6</v>
      </c>
      <c r="D87" s="207">
        <f>IFERROR(C87/VLOOKUP(A87,Usinas!$A:$B,2,FALSE()),"")</f>
        <v>5.277938808373591</v>
      </c>
    </row>
    <row r="88" spans="1:4" ht="12" customHeight="1" x14ac:dyDescent="0.3">
      <c r="A88" s="204" t="s">
        <v>556</v>
      </c>
      <c r="B88" s="205">
        <v>45745</v>
      </c>
      <c r="C88" s="215">
        <v>1952.1</v>
      </c>
      <c r="D88" s="207">
        <f>IFERROR(C88/VLOOKUP(A88,Usinas!$A:$B,2,FALSE()),"")</f>
        <v>3.1434782608695651</v>
      </c>
    </row>
    <row r="89" spans="1:4" ht="12" customHeight="1" x14ac:dyDescent="0.3">
      <c r="A89" s="204" t="s">
        <v>556</v>
      </c>
      <c r="B89" s="205">
        <v>45746</v>
      </c>
      <c r="C89" s="215">
        <v>1952.1</v>
      </c>
      <c r="D89" s="207">
        <f>IFERROR(C89/VLOOKUP(A89,Usinas!$A:$B,2,FALSE()),"")</f>
        <v>3.1434782608695651</v>
      </c>
    </row>
    <row r="90" spans="1:4" ht="12" customHeight="1" x14ac:dyDescent="0.3">
      <c r="A90" s="204" t="s">
        <v>556</v>
      </c>
      <c r="B90" s="205">
        <v>45747</v>
      </c>
      <c r="C90" s="215">
        <v>1871.5</v>
      </c>
      <c r="D90" s="207">
        <f>IFERROR(C90/VLOOKUP(A90,Usinas!$A:$B,2,FALSE()),"")</f>
        <v>3.0136876006441224</v>
      </c>
    </row>
    <row r="91" spans="1:4" ht="12" customHeight="1" x14ac:dyDescent="0.3">
      <c r="A91" s="204" t="s">
        <v>556</v>
      </c>
      <c r="B91" s="205">
        <v>45748</v>
      </c>
      <c r="C91" s="215">
        <v>2241.4</v>
      </c>
      <c r="D91" s="207">
        <f>IFERROR(C91/VLOOKUP(A91,Usinas!$A:$B,2,FALSE()),"")</f>
        <v>3.6093397745571658</v>
      </c>
    </row>
    <row r="92" spans="1:4" ht="12" customHeight="1" x14ac:dyDescent="0.3">
      <c r="A92" s="204" t="s">
        <v>556</v>
      </c>
      <c r="B92" s="205">
        <v>45749</v>
      </c>
      <c r="C92" s="215">
        <v>2809.3</v>
      </c>
      <c r="D92" s="207">
        <f>IFERROR(C92/VLOOKUP(A92,Usinas!$A:$B,2,FALSE()),"")</f>
        <v>4.5238325281803542</v>
      </c>
    </row>
    <row r="93" spans="1:4" ht="12" customHeight="1" x14ac:dyDescent="0.3">
      <c r="A93" s="204" t="s">
        <v>556</v>
      </c>
      <c r="B93" s="205">
        <v>45750</v>
      </c>
      <c r="C93" s="215">
        <v>2698.4</v>
      </c>
      <c r="D93" s="207">
        <f>IFERROR(C93/VLOOKUP(A93,Usinas!$A:$B,2,FALSE()),"")</f>
        <v>4.3452495974235106</v>
      </c>
    </row>
    <row r="94" spans="1:4" ht="12" customHeight="1" x14ac:dyDescent="0.3">
      <c r="A94" s="204" t="s">
        <v>556</v>
      </c>
      <c r="B94" s="205">
        <v>45751</v>
      </c>
      <c r="C94" s="215">
        <v>2618.3000000000002</v>
      </c>
      <c r="D94" s="207">
        <f>IFERROR(C94/VLOOKUP(A94,Usinas!$A:$B,2,FALSE()),"")</f>
        <v>4.216264090177134</v>
      </c>
    </row>
    <row r="95" spans="1:4" ht="12" customHeight="1" x14ac:dyDescent="0.3">
      <c r="A95" s="204" t="s">
        <v>556</v>
      </c>
      <c r="B95" s="205">
        <v>45752</v>
      </c>
      <c r="C95" s="215">
        <v>2786.8</v>
      </c>
      <c r="D95" s="207">
        <f>IFERROR(C95/VLOOKUP(A95,Usinas!$A:$B,2,FALSE()),"")</f>
        <v>4.4876006441223835</v>
      </c>
    </row>
    <row r="96" spans="1:4" ht="12" customHeight="1" x14ac:dyDescent="0.3">
      <c r="A96" s="204" t="s">
        <v>556</v>
      </c>
      <c r="B96" s="205">
        <v>45753</v>
      </c>
      <c r="C96" s="215">
        <v>3359.5</v>
      </c>
      <c r="D96" s="207">
        <f>IFERROR(C96/VLOOKUP(A96,Usinas!$A:$B,2,FALSE()),"")</f>
        <v>5.4098228663446051</v>
      </c>
    </row>
    <row r="97" spans="1:4" ht="12" customHeight="1" x14ac:dyDescent="0.3">
      <c r="A97" s="204" t="s">
        <v>556</v>
      </c>
      <c r="B97" s="205">
        <v>45754</v>
      </c>
      <c r="C97" s="215">
        <v>3244.2</v>
      </c>
      <c r="D97" s="207">
        <f>IFERROR(C97/VLOOKUP(A97,Usinas!$A:$B,2,FALSE()),"")</f>
        <v>5.2241545893719801</v>
      </c>
    </row>
    <row r="98" spans="1:4" ht="12" customHeight="1" x14ac:dyDescent="0.3">
      <c r="A98" s="204" t="s">
        <v>556</v>
      </c>
      <c r="B98" s="205">
        <v>45755</v>
      </c>
      <c r="C98" s="215">
        <v>1944</v>
      </c>
      <c r="D98" s="207">
        <f>IFERROR(C98/VLOOKUP(A98,Usinas!$A:$B,2,FALSE()),"")</f>
        <v>3.1304347826086958</v>
      </c>
    </row>
    <row r="99" spans="1:4" ht="12" customHeight="1" x14ac:dyDescent="0.3">
      <c r="A99" s="204" t="s">
        <v>556</v>
      </c>
      <c r="B99" s="205">
        <v>45756</v>
      </c>
      <c r="C99" s="215">
        <v>2174.9</v>
      </c>
      <c r="D99" s="207">
        <f>IFERROR(C99/VLOOKUP(A99,Usinas!$A:$B,2,FALSE()),"")</f>
        <v>3.5022544283413852</v>
      </c>
    </row>
    <row r="100" spans="1:4" ht="12" customHeight="1" x14ac:dyDescent="0.3">
      <c r="A100" s="204" t="s">
        <v>556</v>
      </c>
      <c r="B100" s="205">
        <v>45757</v>
      </c>
      <c r="C100" s="215">
        <v>2170.6999999999998</v>
      </c>
      <c r="D100" s="207">
        <f>IFERROR(C100/VLOOKUP(A100,Usinas!$A:$B,2,FALSE()),"")</f>
        <v>3.49549114331723</v>
      </c>
    </row>
    <row r="101" spans="1:4" ht="12" customHeight="1" x14ac:dyDescent="0.3">
      <c r="A101" s="204" t="s">
        <v>556</v>
      </c>
      <c r="B101" s="205">
        <v>45758</v>
      </c>
      <c r="C101" s="215">
        <v>2539.6999999999998</v>
      </c>
      <c r="D101" s="207">
        <f>IFERROR(C101/VLOOKUP(A101,Usinas!$A:$B,2,FALSE()),"")</f>
        <v>4.089694041867955</v>
      </c>
    </row>
    <row r="102" spans="1:4" ht="12" customHeight="1" x14ac:dyDescent="0.3">
      <c r="A102" s="204" t="s">
        <v>556</v>
      </c>
      <c r="B102" s="205">
        <v>45759</v>
      </c>
      <c r="C102" s="215">
        <v>719.1</v>
      </c>
      <c r="D102" s="207">
        <f>IFERROR(C102/VLOOKUP(A102,Usinas!$A:$B,2,FALSE()),"")</f>
        <v>1.1579710144927537</v>
      </c>
    </row>
    <row r="103" spans="1:4" ht="12" customHeight="1" x14ac:dyDescent="0.3">
      <c r="A103" s="204" t="s">
        <v>556</v>
      </c>
      <c r="B103" s="205">
        <v>45760</v>
      </c>
      <c r="C103" s="215">
        <v>2008.9</v>
      </c>
      <c r="D103" s="207">
        <f>IFERROR(C103/VLOOKUP(A103,Usinas!$A:$B,2,FALSE()),"")</f>
        <v>3.2349436392914654</v>
      </c>
    </row>
    <row r="104" spans="1:4" ht="12" customHeight="1" x14ac:dyDescent="0.3">
      <c r="A104" s="204" t="s">
        <v>556</v>
      </c>
      <c r="B104" s="205">
        <v>45761</v>
      </c>
      <c r="C104" s="215">
        <v>2630.8</v>
      </c>
      <c r="D104" s="207">
        <f>IFERROR(C104/VLOOKUP(A104,Usinas!$A:$B,2,FALSE()),"")</f>
        <v>4.2363929146537842</v>
      </c>
    </row>
    <row r="105" spans="1:4" ht="12" customHeight="1" x14ac:dyDescent="0.3">
      <c r="A105" s="204" t="s">
        <v>556</v>
      </c>
      <c r="B105" s="205">
        <v>45762</v>
      </c>
      <c r="C105" s="215">
        <v>1519.9</v>
      </c>
      <c r="D105" s="207">
        <f>IFERROR(C105/VLOOKUP(A105,Usinas!$A:$B,2,FALSE()),"")</f>
        <v>2.4475040257648955</v>
      </c>
    </row>
    <row r="106" spans="1:4" ht="12" customHeight="1" x14ac:dyDescent="0.3">
      <c r="A106" s="204" t="s">
        <v>556</v>
      </c>
      <c r="B106" s="205">
        <v>45763</v>
      </c>
      <c r="C106" s="215">
        <v>1036.7</v>
      </c>
      <c r="D106" s="207">
        <f>IFERROR(C106/VLOOKUP(A106,Usinas!$A:$B,2,FALSE()),"")</f>
        <v>1.6694041867954912</v>
      </c>
    </row>
    <row r="107" spans="1:4" ht="12" customHeight="1" x14ac:dyDescent="0.3">
      <c r="A107" s="204" t="s">
        <v>556</v>
      </c>
      <c r="B107" s="205">
        <v>45764</v>
      </c>
      <c r="C107" s="215">
        <v>1464.1</v>
      </c>
      <c r="D107" s="207">
        <f>IFERROR(C107/VLOOKUP(A107,Usinas!$A:$B,2,FALSE()),"")</f>
        <v>2.3576489533011271</v>
      </c>
    </row>
    <row r="108" spans="1:4" ht="12" customHeight="1" x14ac:dyDescent="0.3">
      <c r="A108" s="204" t="s">
        <v>556</v>
      </c>
      <c r="B108" s="205">
        <v>45765</v>
      </c>
      <c r="C108" s="215">
        <v>365.2</v>
      </c>
      <c r="D108" s="207">
        <f>IFERROR(C108/VLOOKUP(A108,Usinas!$A:$B,2,FALSE()),"")</f>
        <v>0.58808373590982288</v>
      </c>
    </row>
    <row r="109" spans="1:4" ht="12" customHeight="1" x14ac:dyDescent="0.3">
      <c r="A109" s="204" t="s">
        <v>556</v>
      </c>
      <c r="B109" s="205">
        <v>45766</v>
      </c>
      <c r="C109" s="215">
        <v>927.1</v>
      </c>
      <c r="D109" s="207">
        <f>IFERROR(C109/VLOOKUP(A109,Usinas!$A:$B,2,FALSE()),"")</f>
        <v>1.4929146537842191</v>
      </c>
    </row>
    <row r="110" spans="1:4" ht="12" customHeight="1" x14ac:dyDescent="0.3">
      <c r="A110" s="204" t="s">
        <v>556</v>
      </c>
      <c r="B110" s="205">
        <v>45767</v>
      </c>
      <c r="C110" s="215">
        <v>1555.3</v>
      </c>
      <c r="D110" s="207">
        <f>IFERROR(C110/VLOOKUP(A110,Usinas!$A:$B,2,FALSE()),"")</f>
        <v>2.5045088566827696</v>
      </c>
    </row>
    <row r="111" spans="1:4" ht="12" customHeight="1" x14ac:dyDescent="0.3">
      <c r="A111" s="204" t="s">
        <v>556</v>
      </c>
      <c r="B111" s="205">
        <v>45768</v>
      </c>
      <c r="C111" s="215">
        <v>2909.2</v>
      </c>
      <c r="D111" s="207">
        <f>IFERROR(C111/VLOOKUP(A111,Usinas!$A:$B,2,FALSE()),"")</f>
        <v>4.6847020933977452</v>
      </c>
    </row>
    <row r="112" spans="1:4" ht="12" customHeight="1" x14ac:dyDescent="0.3">
      <c r="A112" s="204" t="s">
        <v>556</v>
      </c>
      <c r="B112" s="205">
        <v>45769</v>
      </c>
      <c r="C112" s="215">
        <v>3253.6</v>
      </c>
      <c r="D112" s="207">
        <f>IFERROR(C112/VLOOKUP(A112,Usinas!$A:$B,2,FALSE()),"")</f>
        <v>5.2392914653784217</v>
      </c>
    </row>
    <row r="113" spans="1:4" ht="12" customHeight="1" x14ac:dyDescent="0.3">
      <c r="A113" s="204" t="s">
        <v>556</v>
      </c>
      <c r="B113" s="205">
        <v>45770</v>
      </c>
      <c r="C113" s="215">
        <v>2767.8</v>
      </c>
      <c r="D113" s="207">
        <f>IFERROR(C113/VLOOKUP(A113,Usinas!$A:$B,2,FALSE()),"")</f>
        <v>4.4570048309178745</v>
      </c>
    </row>
    <row r="114" spans="1:4" ht="12" customHeight="1" x14ac:dyDescent="0.3">
      <c r="A114" s="204" t="s">
        <v>556</v>
      </c>
      <c r="B114" s="205">
        <v>45771</v>
      </c>
      <c r="C114" s="215">
        <v>455.1</v>
      </c>
      <c r="D114" s="207">
        <f>IFERROR(C114/VLOOKUP(A114,Usinas!$A:$B,2,FALSE()),"")</f>
        <v>0.73285024154589373</v>
      </c>
    </row>
    <row r="115" spans="1:4" ht="12" customHeight="1" x14ac:dyDescent="0.3">
      <c r="A115" s="204" t="s">
        <v>556</v>
      </c>
      <c r="B115" s="205">
        <v>45772</v>
      </c>
      <c r="C115" s="215">
        <v>1078.9000000000001</v>
      </c>
      <c r="D115" s="207">
        <f>IFERROR(C115/VLOOKUP(A115,Usinas!$A:$B,2,FALSE()),"")</f>
        <v>1.7373590982286635</v>
      </c>
    </row>
    <row r="116" spans="1:4" ht="12" customHeight="1" x14ac:dyDescent="0.3">
      <c r="A116" s="204" t="s">
        <v>556</v>
      </c>
      <c r="B116" s="205">
        <v>45773</v>
      </c>
      <c r="C116" s="215">
        <v>1874.6</v>
      </c>
      <c r="D116" s="207">
        <f>IFERROR(C116/VLOOKUP(A116,Usinas!$A:$B,2,FALSE()),"")</f>
        <v>3.0186795491143315</v>
      </c>
    </row>
    <row r="117" spans="1:4" ht="12" customHeight="1" x14ac:dyDescent="0.3">
      <c r="A117" s="204" t="s">
        <v>556</v>
      </c>
      <c r="B117" s="205">
        <v>45774</v>
      </c>
      <c r="C117" s="215">
        <v>818.6</v>
      </c>
      <c r="D117" s="207">
        <f>IFERROR(C117/VLOOKUP(A117,Usinas!$A:$B,2,FALSE()),"")</f>
        <v>1.3181964573268921</v>
      </c>
    </row>
    <row r="118" spans="1:4" ht="12" customHeight="1" x14ac:dyDescent="0.3">
      <c r="A118" s="204" t="s">
        <v>556</v>
      </c>
      <c r="B118" s="205">
        <v>45775</v>
      </c>
      <c r="C118" s="215">
        <v>1807.6</v>
      </c>
      <c r="D118" s="207">
        <f>IFERROR(C118/VLOOKUP(A118,Usinas!$A:$B,2,FALSE()),"")</f>
        <v>2.9107890499194844</v>
      </c>
    </row>
    <row r="119" spans="1:4" ht="12" customHeight="1" x14ac:dyDescent="0.3">
      <c r="A119" s="204" t="s">
        <v>556</v>
      </c>
      <c r="B119" s="205">
        <v>45776</v>
      </c>
      <c r="C119" s="215">
        <v>3520.7</v>
      </c>
      <c r="D119" s="207">
        <f>IFERROR(C119/VLOOKUP(A119,Usinas!$A:$B,2,FALSE()),"")</f>
        <v>5.6694041867954912</v>
      </c>
    </row>
    <row r="120" spans="1:4" ht="12" customHeight="1" x14ac:dyDescent="0.3">
      <c r="A120" s="204" t="s">
        <v>556</v>
      </c>
      <c r="B120" s="205">
        <v>45777</v>
      </c>
      <c r="C120" s="215">
        <v>3425</v>
      </c>
      <c r="D120" s="207">
        <f>IFERROR(C120/VLOOKUP(A120,Usinas!$A:$B,2,FALSE()),"")</f>
        <v>5.5152979066022541</v>
      </c>
    </row>
    <row r="121" spans="1:4" ht="12" customHeight="1" x14ac:dyDescent="0.3">
      <c r="A121" s="204" t="s">
        <v>556</v>
      </c>
      <c r="B121" s="205">
        <v>45778</v>
      </c>
      <c r="C121" s="215">
        <v>3410</v>
      </c>
      <c r="D121" s="207">
        <f>IFERROR(C121/VLOOKUP(A121,Usinas!$A:$B,2,FALSE()),"")</f>
        <v>5.4911433172302742</v>
      </c>
    </row>
    <row r="122" spans="1:4" ht="12" customHeight="1" x14ac:dyDescent="0.3">
      <c r="A122" s="204" t="s">
        <v>556</v>
      </c>
      <c r="B122" s="205">
        <v>45779</v>
      </c>
      <c r="C122" s="215">
        <v>3202.7</v>
      </c>
      <c r="D122" s="207">
        <f>IFERROR(C122/VLOOKUP(A122,Usinas!$A:$B,2,FALSE()),"")</f>
        <v>5.1573268921095003</v>
      </c>
    </row>
    <row r="123" spans="1:4" ht="12" customHeight="1" x14ac:dyDescent="0.3">
      <c r="A123" s="204" t="s">
        <v>556</v>
      </c>
      <c r="B123" s="205">
        <v>45780</v>
      </c>
      <c r="C123" s="215">
        <v>2071.4</v>
      </c>
      <c r="D123" s="207">
        <f>IFERROR(C123/VLOOKUP(A123,Usinas!$A:$B,2,FALSE()),"")</f>
        <v>3.3355877616747183</v>
      </c>
    </row>
    <row r="124" spans="1:4" ht="12" customHeight="1" x14ac:dyDescent="0.3">
      <c r="A124" s="204" t="s">
        <v>556</v>
      </c>
      <c r="B124" s="205">
        <v>45782</v>
      </c>
      <c r="C124" s="215">
        <v>2599.9</v>
      </c>
      <c r="D124" s="207">
        <f>IFERROR(C124/VLOOKUP(A124,Usinas!$A:$B,2,FALSE()),"")</f>
        <v>4.1866344605475039</v>
      </c>
    </row>
    <row r="125" spans="1:4" ht="12" customHeight="1" x14ac:dyDescent="0.3">
      <c r="A125" s="204" t="s">
        <v>556</v>
      </c>
      <c r="B125" s="205">
        <v>45783</v>
      </c>
      <c r="C125" s="215">
        <v>2675.5</v>
      </c>
      <c r="D125" s="207">
        <f>IFERROR(C125/VLOOKUP(A125,Usinas!$A:$B,2,FALSE()),"")</f>
        <v>4.3083735909822867</v>
      </c>
    </row>
    <row r="126" spans="1:4" ht="12" customHeight="1" x14ac:dyDescent="0.3">
      <c r="A126" s="204" t="s">
        <v>556</v>
      </c>
      <c r="B126" s="205">
        <v>45784</v>
      </c>
      <c r="C126" s="215">
        <v>2048.3000000000002</v>
      </c>
      <c r="D126" s="207">
        <f>IFERROR(C126/VLOOKUP(A126,Usinas!$A:$B,2,FALSE()),"")</f>
        <v>3.2983896940418682</v>
      </c>
    </row>
    <row r="127" spans="1:4" ht="12" customHeight="1" x14ac:dyDescent="0.3">
      <c r="A127" s="204" t="s">
        <v>556</v>
      </c>
      <c r="B127" s="205">
        <v>45785</v>
      </c>
      <c r="C127" s="215">
        <v>3093.3</v>
      </c>
      <c r="D127" s="207">
        <f>IFERROR(C127/VLOOKUP(A127,Usinas!$A:$B,2,FALSE()),"")</f>
        <v>4.9811594202898553</v>
      </c>
    </row>
    <row r="128" spans="1:4" ht="12" customHeight="1" x14ac:dyDescent="0.3">
      <c r="A128" s="204" t="s">
        <v>556</v>
      </c>
      <c r="B128" s="205">
        <v>45786</v>
      </c>
      <c r="C128" s="215">
        <v>2564.5</v>
      </c>
      <c r="D128" s="207">
        <f>IFERROR(C128/VLOOKUP(A128,Usinas!$A:$B,2,FALSE()),"")</f>
        <v>4.1296296296296298</v>
      </c>
    </row>
    <row r="129" spans="1:4" ht="12" customHeight="1" x14ac:dyDescent="0.3">
      <c r="A129" s="204" t="s">
        <v>556</v>
      </c>
      <c r="B129" s="205">
        <v>45787</v>
      </c>
      <c r="C129" s="215">
        <v>2034.4</v>
      </c>
      <c r="D129" s="207">
        <f>IFERROR(C129/VLOOKUP(A129,Usinas!$A:$B,2,FALSE()),"")</f>
        <v>3.2760064412238328</v>
      </c>
    </row>
    <row r="130" spans="1:4" ht="12" customHeight="1" x14ac:dyDescent="0.3">
      <c r="A130" s="204" t="s">
        <v>556</v>
      </c>
      <c r="B130" s="205">
        <v>45788</v>
      </c>
      <c r="C130" s="215">
        <v>2275.4</v>
      </c>
      <c r="D130" s="207">
        <f>IFERROR(C130/VLOOKUP(A130,Usinas!$A:$B,2,FALSE()),"")</f>
        <v>3.6640901771336556</v>
      </c>
    </row>
    <row r="131" spans="1:4" ht="12" customHeight="1" x14ac:dyDescent="0.3">
      <c r="A131" s="204" t="s">
        <v>556</v>
      </c>
      <c r="B131" s="205">
        <v>45789</v>
      </c>
      <c r="C131" s="215">
        <v>3205.5</v>
      </c>
      <c r="D131" s="207">
        <f>IFERROR(C131/VLOOKUP(A131,Usinas!$A:$B,2,FALSE()),"")</f>
        <v>5.1618357487922708</v>
      </c>
    </row>
    <row r="132" spans="1:4" ht="12" customHeight="1" x14ac:dyDescent="0.3">
      <c r="A132" s="204" t="s">
        <v>556</v>
      </c>
      <c r="B132" s="205">
        <v>45790</v>
      </c>
      <c r="C132" s="215">
        <v>2711.9</v>
      </c>
      <c r="D132" s="207">
        <f>IFERROR(C132/VLOOKUP(A132,Usinas!$A:$B,2,FALSE()),"")</f>
        <v>4.3669887278582928</v>
      </c>
    </row>
    <row r="133" spans="1:4" ht="12" customHeight="1" x14ac:dyDescent="0.3">
      <c r="A133" s="204" t="s">
        <v>556</v>
      </c>
      <c r="B133" s="205">
        <v>45791</v>
      </c>
      <c r="C133" s="215">
        <v>3158</v>
      </c>
      <c r="D133" s="207">
        <f>IFERROR(C133/VLOOKUP(A133,Usinas!$A:$B,2,FALSE()),"")</f>
        <v>5.0853462157809988</v>
      </c>
    </row>
    <row r="134" spans="1:4" ht="12" customHeight="1" x14ac:dyDescent="0.3">
      <c r="A134" s="204" t="s">
        <v>556</v>
      </c>
      <c r="B134" s="205">
        <v>45792</v>
      </c>
      <c r="C134" s="215">
        <v>3202.4</v>
      </c>
      <c r="D134" s="207">
        <f>IFERROR(C134/VLOOKUP(A134,Usinas!$A:$B,2,FALSE()),"")</f>
        <v>5.1568438003220614</v>
      </c>
    </row>
    <row r="135" spans="1:4" ht="12" customHeight="1" x14ac:dyDescent="0.3">
      <c r="A135" s="204" t="s">
        <v>556</v>
      </c>
      <c r="B135" s="205">
        <v>45793</v>
      </c>
      <c r="C135" s="215">
        <v>2910.5</v>
      </c>
      <c r="D135" s="207">
        <f>IFERROR(C135/VLOOKUP(A135,Usinas!$A:$B,2,FALSE()),"")</f>
        <v>4.6867954911433172</v>
      </c>
    </row>
    <row r="136" spans="1:4" ht="12" customHeight="1" x14ac:dyDescent="0.3">
      <c r="A136" s="204" t="s">
        <v>556</v>
      </c>
      <c r="B136" s="205">
        <v>45794</v>
      </c>
      <c r="C136" s="215">
        <v>2611.4</v>
      </c>
      <c r="D136" s="207">
        <f>IFERROR(C136/VLOOKUP(A136,Usinas!$A:$B,2,FALSE()),"")</f>
        <v>4.2051529790660229</v>
      </c>
    </row>
    <row r="137" spans="1:4" ht="12" customHeight="1" x14ac:dyDescent="0.3">
      <c r="A137" s="204" t="s">
        <v>556</v>
      </c>
      <c r="B137" s="205">
        <v>45795</v>
      </c>
      <c r="C137" s="215">
        <v>2358.1</v>
      </c>
      <c r="D137" s="207">
        <f>IFERROR(C137/VLOOKUP(A137,Usinas!$A:$B,2,FALSE()),"")</f>
        <v>3.7972624798711752</v>
      </c>
    </row>
    <row r="138" spans="1:4" ht="12" customHeight="1" x14ac:dyDescent="0.3">
      <c r="A138" s="204" t="s">
        <v>556</v>
      </c>
      <c r="B138" s="205">
        <v>45796</v>
      </c>
      <c r="C138" s="215">
        <v>2920.1</v>
      </c>
      <c r="D138" s="207">
        <f>IFERROR(C138/VLOOKUP(A138,Usinas!$A:$B,2,FALSE()),"")</f>
        <v>4.7022544283413845</v>
      </c>
    </row>
    <row r="139" spans="1:4" ht="12" customHeight="1" x14ac:dyDescent="0.3">
      <c r="A139" s="204" t="s">
        <v>556</v>
      </c>
      <c r="B139" s="205">
        <v>45797</v>
      </c>
      <c r="C139" s="215">
        <v>2488.1999999999998</v>
      </c>
      <c r="D139" s="207">
        <f>IFERROR(C139/VLOOKUP(A139,Usinas!$A:$B,2,FALSE()),"")</f>
        <v>4.0067632850241539</v>
      </c>
    </row>
    <row r="140" spans="1:4" ht="12" customHeight="1" x14ac:dyDescent="0.3">
      <c r="A140" s="204" t="s">
        <v>556</v>
      </c>
      <c r="B140" s="205">
        <v>45798</v>
      </c>
      <c r="C140" s="215">
        <v>2810</v>
      </c>
      <c r="D140" s="207">
        <f>IFERROR(C140/VLOOKUP(A140,Usinas!$A:$B,2,FALSE()),"")</f>
        <v>4.5249597423510464</v>
      </c>
    </row>
    <row r="141" spans="1:4" ht="12" customHeight="1" x14ac:dyDescent="0.3">
      <c r="A141" s="204" t="s">
        <v>556</v>
      </c>
      <c r="B141" s="205">
        <v>45799</v>
      </c>
      <c r="C141" s="215">
        <v>2772.9</v>
      </c>
      <c r="D141" s="207">
        <f>IFERROR(C141/VLOOKUP(A141,Usinas!$A:$B,2,FALSE()),"")</f>
        <v>4.465217391304348</v>
      </c>
    </row>
    <row r="142" spans="1:4" ht="12" customHeight="1" x14ac:dyDescent="0.3">
      <c r="A142" s="204" t="s">
        <v>556</v>
      </c>
      <c r="B142" s="205">
        <v>45800</v>
      </c>
      <c r="C142" s="215">
        <v>2873.4</v>
      </c>
      <c r="D142" s="207">
        <f>IFERROR(C142/VLOOKUP(A142,Usinas!$A:$B,2,FALSE()),"")</f>
        <v>4.6270531400966188</v>
      </c>
    </row>
    <row r="143" spans="1:4" ht="12" customHeight="1" x14ac:dyDescent="0.3">
      <c r="A143" s="204" t="s">
        <v>556</v>
      </c>
      <c r="B143" s="205">
        <v>45801</v>
      </c>
      <c r="C143" s="215">
        <v>2873.3</v>
      </c>
      <c r="D143" s="207">
        <f>IFERROR(C143/VLOOKUP(A143,Usinas!$A:$B,2,FALSE()),"")</f>
        <v>4.6268921095008055</v>
      </c>
    </row>
    <row r="144" spans="1:4" ht="12" customHeight="1" x14ac:dyDescent="0.3">
      <c r="A144" s="204" t="s">
        <v>556</v>
      </c>
      <c r="B144" s="205">
        <v>45802</v>
      </c>
      <c r="C144" s="215">
        <v>2918.1</v>
      </c>
      <c r="D144" s="207">
        <f>IFERROR(C144/VLOOKUP(A144,Usinas!$A:$B,2,FALSE()),"")</f>
        <v>4.6990338164251204</v>
      </c>
    </row>
    <row r="145" spans="1:4" ht="12" customHeight="1" x14ac:dyDescent="0.3">
      <c r="A145" s="204" t="s">
        <v>556</v>
      </c>
      <c r="B145" s="205">
        <v>45803</v>
      </c>
      <c r="C145" s="215">
        <v>2293.5</v>
      </c>
      <c r="D145" s="207">
        <f>IFERROR(C145/VLOOKUP(A145,Usinas!$A:$B,2,FALSE()),"")</f>
        <v>3.6932367149758454</v>
      </c>
    </row>
    <row r="146" spans="1:4" ht="12" customHeight="1" x14ac:dyDescent="0.3">
      <c r="A146" s="204" t="s">
        <v>556</v>
      </c>
      <c r="B146" s="205">
        <v>45804</v>
      </c>
      <c r="C146" s="215">
        <v>2065.6999999999998</v>
      </c>
      <c r="D146" s="207">
        <f>IFERROR(C146/VLOOKUP(A146,Usinas!$A:$B,2,FALSE()),"")</f>
        <v>3.3264090177133654</v>
      </c>
    </row>
    <row r="147" spans="1:4" ht="12" customHeight="1" x14ac:dyDescent="0.3">
      <c r="A147" s="204" t="s">
        <v>556</v>
      </c>
      <c r="B147" s="205">
        <v>45805</v>
      </c>
      <c r="C147" s="215">
        <v>1002.7</v>
      </c>
      <c r="D147" s="207">
        <f>IFERROR(C147/VLOOKUP(A147,Usinas!$A:$B,2,FALSE()),"")</f>
        <v>1.6146537842190016</v>
      </c>
    </row>
    <row r="148" spans="1:4" ht="12" customHeight="1" x14ac:dyDescent="0.3">
      <c r="A148" s="204" t="s">
        <v>556</v>
      </c>
      <c r="B148" s="205">
        <v>45806</v>
      </c>
      <c r="C148" s="215">
        <v>1857.6</v>
      </c>
      <c r="D148" s="207">
        <f>IFERROR(C148/VLOOKUP(A148,Usinas!$A:$B,2,FALSE()),"")</f>
        <v>2.991304347826087</v>
      </c>
    </row>
    <row r="149" spans="1:4" ht="12" customHeight="1" x14ac:dyDescent="0.3">
      <c r="A149" s="204" t="s">
        <v>556</v>
      </c>
      <c r="B149" s="205">
        <v>45807</v>
      </c>
      <c r="C149" s="215">
        <v>3233.5</v>
      </c>
      <c r="D149" s="207">
        <f>IFERROR(C149/VLOOKUP(A149,Usinas!$A:$B,2,FALSE()),"")</f>
        <v>5.2069243156199674</v>
      </c>
    </row>
    <row r="150" spans="1:4" ht="12" customHeight="1" x14ac:dyDescent="0.3">
      <c r="A150" s="204" t="s">
        <v>556</v>
      </c>
      <c r="B150" s="205">
        <v>45808</v>
      </c>
      <c r="C150" s="215">
        <v>1985.3</v>
      </c>
      <c r="D150" s="207">
        <f>IFERROR(C150/VLOOKUP(A150,Usinas!$A:$B,2,FALSE()),"")</f>
        <v>3.1969404186795489</v>
      </c>
    </row>
    <row r="151" spans="1:4" ht="12" customHeight="1" x14ac:dyDescent="0.3">
      <c r="A151" s="204" t="s">
        <v>556</v>
      </c>
      <c r="B151" s="205">
        <v>45809</v>
      </c>
      <c r="C151" s="215">
        <v>1716.2</v>
      </c>
      <c r="D151" s="207">
        <f>IFERROR(C151/VLOOKUP(A151,Usinas!$A:$B,2,FALSE()),"")</f>
        <v>2.7636070853462158</v>
      </c>
    </row>
    <row r="152" spans="1:4" ht="12" customHeight="1" x14ac:dyDescent="0.3">
      <c r="A152" s="204" t="s">
        <v>556</v>
      </c>
      <c r="B152" s="205">
        <v>45810</v>
      </c>
      <c r="C152" s="215">
        <v>1779.6</v>
      </c>
      <c r="D152" s="207">
        <f>IFERROR(C152/VLOOKUP(A152,Usinas!$A:$B,2,FALSE()),"")</f>
        <v>2.8657004830917874</v>
      </c>
    </row>
    <row r="153" spans="1:4" ht="12" customHeight="1" x14ac:dyDescent="0.3">
      <c r="A153" s="204" t="s">
        <v>556</v>
      </c>
      <c r="B153" s="205">
        <v>45811</v>
      </c>
      <c r="C153" s="215">
        <v>2610.9</v>
      </c>
      <c r="D153" s="207">
        <f>IFERROR(C153/VLOOKUP(A153,Usinas!$A:$B,2,FALSE()),"")</f>
        <v>4.2043478260869565</v>
      </c>
    </row>
    <row r="154" spans="1:4" ht="12" customHeight="1" x14ac:dyDescent="0.3">
      <c r="A154" s="204" t="s">
        <v>556</v>
      </c>
      <c r="B154" s="205">
        <v>45812</v>
      </c>
      <c r="C154" s="215">
        <v>2551.6</v>
      </c>
      <c r="D154" s="207">
        <f>IFERROR(C154/VLOOKUP(A154,Usinas!$A:$B,2,FALSE()),"")</f>
        <v>4.1088566827697264</v>
      </c>
    </row>
    <row r="155" spans="1:4" ht="12" customHeight="1" x14ac:dyDescent="0.3">
      <c r="A155" s="204" t="s">
        <v>556</v>
      </c>
      <c r="B155" s="205">
        <v>45813</v>
      </c>
      <c r="C155" s="215">
        <v>1405.3</v>
      </c>
      <c r="D155" s="207">
        <f>IFERROR(C155/VLOOKUP(A155,Usinas!$A:$B,2,FALSE()),"")</f>
        <v>2.2629629629629631</v>
      </c>
    </row>
    <row r="156" spans="1:4" ht="12" customHeight="1" x14ac:dyDescent="0.3">
      <c r="A156" s="204" t="s">
        <v>556</v>
      </c>
      <c r="B156" s="205">
        <v>45814</v>
      </c>
      <c r="C156" s="215">
        <v>2151.6999999999998</v>
      </c>
      <c r="D156" s="207">
        <f>IFERROR(C156/VLOOKUP(A156,Usinas!$A:$B,2,FALSE()),"")</f>
        <v>3.464895330112721</v>
      </c>
    </row>
    <row r="157" spans="1:4" ht="12" customHeight="1" x14ac:dyDescent="0.3">
      <c r="A157" s="204" t="s">
        <v>556</v>
      </c>
      <c r="B157" s="205">
        <v>45815</v>
      </c>
      <c r="C157" s="215">
        <v>2589.9</v>
      </c>
      <c r="D157" s="207">
        <f>IFERROR(C157/VLOOKUP(A157,Usinas!$A:$B,2,FALSE()),"")</f>
        <v>4.1705314009661834</v>
      </c>
    </row>
    <row r="158" spans="1:4" ht="12" customHeight="1" x14ac:dyDescent="0.3">
      <c r="A158" s="204" t="s">
        <v>556</v>
      </c>
      <c r="B158" s="205">
        <v>45816</v>
      </c>
      <c r="C158" s="215">
        <v>682.4</v>
      </c>
      <c r="D158" s="207">
        <f>IFERROR(C158/VLOOKUP(A158,Usinas!$A:$B,2,FALSE()),"")</f>
        <v>1.0988727858293075</v>
      </c>
    </row>
    <row r="159" spans="1:4" ht="12" customHeight="1" x14ac:dyDescent="0.3">
      <c r="A159" s="204" t="s">
        <v>556</v>
      </c>
      <c r="B159" s="205">
        <v>45817</v>
      </c>
      <c r="C159" s="215">
        <v>2745.8</v>
      </c>
      <c r="D159" s="207">
        <f>IFERROR(C159/VLOOKUP(A159,Usinas!$A:$B,2,FALSE()),"")</f>
        <v>4.4215780998389693</v>
      </c>
    </row>
    <row r="160" spans="1:4" ht="12" customHeight="1" x14ac:dyDescent="0.3">
      <c r="A160" s="204" t="s">
        <v>556</v>
      </c>
      <c r="B160" s="205">
        <v>45818</v>
      </c>
      <c r="C160" s="215">
        <v>2040.5</v>
      </c>
      <c r="D160" s="207">
        <f>IFERROR(C160/VLOOKUP(A160,Usinas!$A:$B,2,FALSE()),"")</f>
        <v>3.2858293075684379</v>
      </c>
    </row>
    <row r="161" spans="1:4" ht="12" customHeight="1" x14ac:dyDescent="0.3">
      <c r="A161" s="204" t="s">
        <v>556</v>
      </c>
      <c r="B161" s="205">
        <v>45819</v>
      </c>
      <c r="C161" s="215">
        <v>3137.7</v>
      </c>
      <c r="D161" s="207">
        <f>IFERROR(C161/VLOOKUP(A161,Usinas!$A:$B,2,FALSE()),"")</f>
        <v>5.0526570048309178</v>
      </c>
    </row>
    <row r="162" spans="1:4" ht="12" customHeight="1" x14ac:dyDescent="0.3">
      <c r="A162" s="204" t="s">
        <v>556</v>
      </c>
      <c r="B162" s="205">
        <v>45820</v>
      </c>
      <c r="C162" s="215">
        <v>2979.6</v>
      </c>
      <c r="D162" s="207">
        <f>IFERROR(C162/VLOOKUP(A162,Usinas!$A:$B,2,FALSE()),"")</f>
        <v>4.7980676328502412</v>
      </c>
    </row>
    <row r="163" spans="1:4" ht="12" customHeight="1" x14ac:dyDescent="0.3">
      <c r="A163" s="204" t="s">
        <v>556</v>
      </c>
      <c r="B163" s="205">
        <v>45821</v>
      </c>
      <c r="C163" s="215">
        <v>2275.6</v>
      </c>
      <c r="D163" s="207">
        <f>IFERROR(C163/VLOOKUP(A163,Usinas!$A:$B,2,FALSE()),"")</f>
        <v>3.6644122383252817</v>
      </c>
    </row>
    <row r="164" spans="1:4" ht="12" customHeight="1" x14ac:dyDescent="0.3">
      <c r="A164" s="204" t="s">
        <v>556</v>
      </c>
      <c r="B164" s="205">
        <v>45822</v>
      </c>
      <c r="C164" s="215">
        <v>1881.7</v>
      </c>
      <c r="D164" s="207">
        <f>IFERROR(C164/VLOOKUP(A164,Usinas!$A:$B,2,FALSE()),"")</f>
        <v>3.0301127214170691</v>
      </c>
    </row>
    <row r="165" spans="1:4" ht="12" customHeight="1" x14ac:dyDescent="0.3">
      <c r="A165" s="204" t="s">
        <v>556</v>
      </c>
      <c r="B165" s="205">
        <v>45823</v>
      </c>
      <c r="C165" s="215">
        <v>2256.6999999999998</v>
      </c>
      <c r="D165" s="207">
        <f>IFERROR(C165/VLOOKUP(A165,Usinas!$A:$B,2,FALSE()),"")</f>
        <v>3.633977455716586</v>
      </c>
    </row>
    <row r="166" spans="1:4" ht="12" customHeight="1" x14ac:dyDescent="0.3">
      <c r="A166" s="204" t="s">
        <v>556</v>
      </c>
      <c r="B166" s="205">
        <v>45824</v>
      </c>
      <c r="C166" s="215">
        <v>2629.1</v>
      </c>
      <c r="D166" s="207">
        <f>IFERROR(C166/VLOOKUP(A166,Usinas!$A:$B,2,FALSE()),"")</f>
        <v>4.23365539452496</v>
      </c>
    </row>
    <row r="167" spans="1:4" ht="12" customHeight="1" x14ac:dyDescent="0.3">
      <c r="A167" s="204" t="s">
        <v>556</v>
      </c>
      <c r="B167" s="205">
        <v>45825</v>
      </c>
      <c r="C167" s="215">
        <v>2549.1</v>
      </c>
      <c r="D167" s="207">
        <f>IFERROR(C167/VLOOKUP(A167,Usinas!$A:$B,2,FALSE()),"")</f>
        <v>4.1048309178743958</v>
      </c>
    </row>
    <row r="168" spans="1:4" ht="12" customHeight="1" x14ac:dyDescent="0.3">
      <c r="A168" s="204" t="s">
        <v>556</v>
      </c>
      <c r="B168" s="205">
        <v>45826</v>
      </c>
      <c r="C168" s="215">
        <v>2802.2</v>
      </c>
      <c r="D168" s="207">
        <f>IFERROR(C168/VLOOKUP(A168,Usinas!$A:$B,2,FALSE()),"")</f>
        <v>4.5123993558776165</v>
      </c>
    </row>
    <row r="169" spans="1:4" ht="12" customHeight="1" x14ac:dyDescent="0.3">
      <c r="A169" s="204" t="s">
        <v>556</v>
      </c>
      <c r="B169" s="205">
        <v>45827</v>
      </c>
      <c r="C169" s="215">
        <v>2834.4</v>
      </c>
      <c r="D169" s="207">
        <f>IFERROR(C169/VLOOKUP(A169,Usinas!$A:$B,2,FALSE()),"")</f>
        <v>4.5642512077294688</v>
      </c>
    </row>
    <row r="170" spans="1:4" ht="12" customHeight="1" x14ac:dyDescent="0.3">
      <c r="A170" s="204" t="s">
        <v>556</v>
      </c>
      <c r="B170" s="205">
        <v>45828</v>
      </c>
      <c r="C170" s="215">
        <v>1881.5</v>
      </c>
      <c r="D170" s="207">
        <f>IFERROR(C170/VLOOKUP(A170,Usinas!$A:$B,2,FALSE()),"")</f>
        <v>3.029790660225443</v>
      </c>
    </row>
    <row r="171" spans="1:4" ht="12" customHeight="1" x14ac:dyDescent="0.3">
      <c r="A171" s="204" t="s">
        <v>556</v>
      </c>
      <c r="B171" s="205">
        <v>45829</v>
      </c>
      <c r="C171" s="215">
        <v>886.2</v>
      </c>
      <c r="D171" s="207">
        <f>IFERROR(C171/VLOOKUP(A171,Usinas!$A:$B,2,FALSE()),"")</f>
        <v>1.4270531400966184</v>
      </c>
    </row>
    <row r="172" spans="1:4" ht="12" customHeight="1" x14ac:dyDescent="0.3">
      <c r="A172" s="204" t="s">
        <v>556</v>
      </c>
      <c r="B172" s="205">
        <v>45830</v>
      </c>
      <c r="C172" s="215">
        <v>1185.8</v>
      </c>
      <c r="D172" s="207">
        <f>IFERROR(C172/VLOOKUP(A172,Usinas!$A:$B,2,FALSE()),"")</f>
        <v>1.9095008051529789</v>
      </c>
    </row>
    <row r="173" spans="1:4" ht="12" customHeight="1" x14ac:dyDescent="0.3">
      <c r="A173" s="204" t="s">
        <v>556</v>
      </c>
      <c r="B173" s="205">
        <v>45831</v>
      </c>
      <c r="C173" s="215">
        <v>746.6</v>
      </c>
      <c r="D173" s="207">
        <f>IFERROR(C173/VLOOKUP(A173,Usinas!$A:$B,2,FALSE()),"")</f>
        <v>1.202254428341385</v>
      </c>
    </row>
    <row r="174" spans="1:4" ht="12" customHeight="1" x14ac:dyDescent="0.3">
      <c r="A174" s="204" t="s">
        <v>556</v>
      </c>
      <c r="B174" s="205">
        <v>45832</v>
      </c>
      <c r="C174" s="215">
        <v>3284.4</v>
      </c>
      <c r="D174" s="207">
        <f>IFERROR(C174/VLOOKUP(A174,Usinas!$A:$B,2,FALSE()),"")</f>
        <v>5.2888888888888888</v>
      </c>
    </row>
    <row r="175" spans="1:4" ht="12" customHeight="1" x14ac:dyDescent="0.3">
      <c r="A175" s="204" t="s">
        <v>556</v>
      </c>
      <c r="B175" s="205">
        <v>45833</v>
      </c>
      <c r="C175" s="215">
        <v>2588.5</v>
      </c>
      <c r="D175" s="207">
        <f>IFERROR(C175/VLOOKUP(A175,Usinas!$A:$B,2,FALSE()),"")</f>
        <v>4.168276972624799</v>
      </c>
    </row>
    <row r="176" spans="1:4" ht="12" customHeight="1" x14ac:dyDescent="0.3">
      <c r="A176" s="204" t="s">
        <v>556</v>
      </c>
      <c r="B176" s="205">
        <v>45834</v>
      </c>
      <c r="C176" s="215">
        <v>710.9</v>
      </c>
      <c r="D176" s="207">
        <f>IFERROR(C176/VLOOKUP(A176,Usinas!$A:$B,2,FALSE()),"")</f>
        <v>1.1447665056360707</v>
      </c>
    </row>
    <row r="177" spans="1:4" ht="12" customHeight="1" x14ac:dyDescent="0.3">
      <c r="A177" s="204" t="s">
        <v>556</v>
      </c>
      <c r="B177" s="205">
        <v>45835</v>
      </c>
      <c r="C177" s="215">
        <v>1306.5999999999999</v>
      </c>
      <c r="D177" s="207">
        <f>IFERROR(C177/VLOOKUP(A177,Usinas!$A:$B,2,FALSE()),"")</f>
        <v>2.1040257648953298</v>
      </c>
    </row>
    <row r="178" spans="1:4" ht="12" customHeight="1" x14ac:dyDescent="0.3">
      <c r="A178" s="204" t="s">
        <v>556</v>
      </c>
      <c r="B178" s="205">
        <v>45836</v>
      </c>
      <c r="C178" s="215">
        <v>2679.5</v>
      </c>
      <c r="D178" s="207">
        <f>IFERROR(C178/VLOOKUP(A178,Usinas!$A:$B,2,FALSE()),"")</f>
        <v>4.3148148148148149</v>
      </c>
    </row>
    <row r="179" spans="1:4" ht="12" customHeight="1" x14ac:dyDescent="0.3">
      <c r="A179" s="204" t="s">
        <v>556</v>
      </c>
      <c r="B179" s="205">
        <v>45837</v>
      </c>
      <c r="C179" s="215">
        <v>997.4</v>
      </c>
      <c r="D179" s="207">
        <f>IFERROR(C179/VLOOKUP(A179,Usinas!$A:$B,2,FALSE()),"")</f>
        <v>1.6061191626409017</v>
      </c>
    </row>
    <row r="180" spans="1:4" ht="12" customHeight="1" x14ac:dyDescent="0.3">
      <c r="A180" s="204" t="s">
        <v>556</v>
      </c>
      <c r="B180" s="205">
        <v>45838</v>
      </c>
      <c r="C180" s="215">
        <v>493.2</v>
      </c>
      <c r="D180" s="207">
        <f>IFERROR(C180/VLOOKUP(A180,Usinas!$A:$B,2,FALSE()),"")</f>
        <v>0.79420289855072457</v>
      </c>
    </row>
    <row r="181" spans="1:4" ht="12" customHeight="1" x14ac:dyDescent="0.3">
      <c r="A181" s="204" t="s">
        <v>556</v>
      </c>
      <c r="B181" s="205">
        <v>45839</v>
      </c>
      <c r="C181" s="215">
        <v>1218.0999999999999</v>
      </c>
      <c r="D181" s="207">
        <f>IFERROR(C181/VLOOKUP(A181,Usinas!$A:$B,2,FALSE()),"")</f>
        <v>1.961513687600644</v>
      </c>
    </row>
    <row r="182" spans="1:4" ht="12" customHeight="1" x14ac:dyDescent="0.3">
      <c r="A182" s="204" t="s">
        <v>556</v>
      </c>
      <c r="B182" s="205">
        <v>45840</v>
      </c>
      <c r="C182" s="215">
        <v>2341.6999999999998</v>
      </c>
      <c r="D182" s="207">
        <f>IFERROR(C182/VLOOKUP(A182,Usinas!$A:$B,2,FALSE()),"")</f>
        <v>3.7708534621578096</v>
      </c>
    </row>
    <row r="183" spans="1:4" ht="12" customHeight="1" x14ac:dyDescent="0.3">
      <c r="A183" s="204" t="s">
        <v>556</v>
      </c>
      <c r="B183" s="205">
        <v>45841</v>
      </c>
      <c r="C183" s="215">
        <v>1148.4000000000001</v>
      </c>
      <c r="D183" s="207">
        <f>IFERROR(C183/VLOOKUP(A183,Usinas!$A:$B,2,FALSE()),"")</f>
        <v>1.8492753623188407</v>
      </c>
    </row>
    <row r="184" spans="1:4" ht="12" customHeight="1" x14ac:dyDescent="0.3">
      <c r="A184" s="204" t="s">
        <v>556</v>
      </c>
      <c r="B184" s="205">
        <v>45842</v>
      </c>
      <c r="C184" s="215">
        <v>3002.2</v>
      </c>
      <c r="D184" s="207">
        <f>IFERROR(C184/VLOOKUP(A184,Usinas!$A:$B,2,FALSE()),"")</f>
        <v>4.8344605475040252</v>
      </c>
    </row>
    <row r="185" spans="1:4" ht="12" customHeight="1" x14ac:dyDescent="0.3">
      <c r="A185" s="204" t="s">
        <v>556</v>
      </c>
      <c r="B185" s="205">
        <v>45843</v>
      </c>
      <c r="C185" s="215">
        <v>2927</v>
      </c>
      <c r="D185" s="207">
        <f>IFERROR(C185/VLOOKUP(A185,Usinas!$A:$B,2,FALSE()),"")</f>
        <v>4.7133655394524956</v>
      </c>
    </row>
    <row r="186" spans="1:4" ht="12" customHeight="1" x14ac:dyDescent="0.3">
      <c r="A186" s="204" t="s">
        <v>556</v>
      </c>
      <c r="B186" s="205">
        <v>45844</v>
      </c>
      <c r="C186" s="215">
        <v>2956.8</v>
      </c>
      <c r="D186" s="207">
        <f>IFERROR(C186/VLOOKUP(A186,Usinas!$A:$B,2,FALSE()),"")</f>
        <v>4.7613526570048315</v>
      </c>
    </row>
    <row r="187" spans="1:4" ht="12" customHeight="1" x14ac:dyDescent="0.3">
      <c r="A187" s="204" t="s">
        <v>556</v>
      </c>
      <c r="B187" s="205">
        <v>45845</v>
      </c>
      <c r="C187" s="215">
        <v>2929.7</v>
      </c>
      <c r="D187" s="207">
        <f>IFERROR(C187/VLOOKUP(A187,Usinas!$A:$B,2,FALSE()),"")</f>
        <v>4.7177133655394519</v>
      </c>
    </row>
    <row r="188" spans="1:4" ht="12" customHeight="1" x14ac:dyDescent="0.3">
      <c r="A188" s="204" t="s">
        <v>556</v>
      </c>
      <c r="B188" s="205">
        <v>45846</v>
      </c>
      <c r="C188" s="215">
        <v>2929.3</v>
      </c>
      <c r="D188" s="207">
        <f>IFERROR(C188/VLOOKUP(A188,Usinas!$A:$B,2,FALSE()),"")</f>
        <v>4.7170692431561996</v>
      </c>
    </row>
    <row r="189" spans="1:4" ht="12" customHeight="1" x14ac:dyDescent="0.3">
      <c r="A189" s="204" t="s">
        <v>556</v>
      </c>
      <c r="B189" s="205">
        <v>45847</v>
      </c>
      <c r="C189" s="215">
        <v>2963.8</v>
      </c>
      <c r="D189" s="207">
        <f>IFERROR(C189/VLOOKUP(A189,Usinas!$A:$B,2,FALSE()),"")</f>
        <v>4.7726247987117558</v>
      </c>
    </row>
    <row r="190" spans="1:4" ht="12" customHeight="1" x14ac:dyDescent="0.3">
      <c r="A190" s="204" t="s">
        <v>556</v>
      </c>
      <c r="B190" s="205">
        <v>45848</v>
      </c>
      <c r="C190" s="215">
        <v>2646.8</v>
      </c>
      <c r="D190" s="207">
        <f>IFERROR(C190/VLOOKUP(A190,Usinas!$A:$B,2,FALSE()),"")</f>
        <v>4.262157809983897</v>
      </c>
    </row>
    <row r="191" spans="1:4" ht="12" customHeight="1" x14ac:dyDescent="0.3">
      <c r="A191" s="204" t="s">
        <v>556</v>
      </c>
      <c r="B191" s="205">
        <v>45849</v>
      </c>
      <c r="C191" s="215">
        <v>2068.3000000000002</v>
      </c>
      <c r="D191" s="207">
        <f>IFERROR(C191/VLOOKUP(A191,Usinas!$A:$B,2,FALSE()),"")</f>
        <v>3.3305958132045093</v>
      </c>
    </row>
    <row r="192" spans="1:4" ht="12" customHeight="1" x14ac:dyDescent="0.3">
      <c r="A192" s="204" t="s">
        <v>556</v>
      </c>
      <c r="B192" s="205">
        <v>45850</v>
      </c>
      <c r="C192" s="215">
        <v>2556.9</v>
      </c>
      <c r="D192" s="207">
        <f>IFERROR(C192/VLOOKUP(A192,Usinas!$A:$B,2,FALSE()),"")</f>
        <v>4.1173913043478265</v>
      </c>
    </row>
    <row r="193" spans="1:4" ht="12" customHeight="1" x14ac:dyDescent="0.3">
      <c r="A193" s="204" t="s">
        <v>556</v>
      </c>
      <c r="B193" s="205">
        <v>45851</v>
      </c>
      <c r="C193" s="215">
        <v>2012.5</v>
      </c>
      <c r="D193" s="207">
        <f>IFERROR(C193/VLOOKUP(A193,Usinas!$A:$B,2,FALSE()),"")</f>
        <v>3.2407407407407409</v>
      </c>
    </row>
    <row r="194" spans="1:4" ht="12" customHeight="1" x14ac:dyDescent="0.3">
      <c r="A194" s="204" t="s">
        <v>556</v>
      </c>
      <c r="B194" s="205">
        <v>45852</v>
      </c>
      <c r="C194" s="215">
        <v>2389.9</v>
      </c>
      <c r="D194" s="207">
        <f>IFERROR(C194/VLOOKUP(A194,Usinas!$A:$B,2,FALSE()),"")</f>
        <v>3.8484702093397747</v>
      </c>
    </row>
    <row r="195" spans="1:4" ht="12" customHeight="1" x14ac:dyDescent="0.3">
      <c r="A195" s="204" t="s">
        <v>556</v>
      </c>
      <c r="B195" s="205">
        <v>45853</v>
      </c>
      <c r="C195" s="215">
        <v>2648</v>
      </c>
      <c r="D195" s="207">
        <f>IFERROR(C195/VLOOKUP(A195,Usinas!$A:$B,2,FALSE()),"")</f>
        <v>4.2640901771336557</v>
      </c>
    </row>
    <row r="196" spans="1:4" ht="12" customHeight="1" x14ac:dyDescent="0.3">
      <c r="A196" s="204" t="s">
        <v>556</v>
      </c>
      <c r="B196" s="205">
        <v>45854</v>
      </c>
      <c r="C196" s="215">
        <v>2608.1</v>
      </c>
      <c r="D196" s="207">
        <f>IFERROR(C196/VLOOKUP(A196,Usinas!$A:$B,2,FALSE()),"")</f>
        <v>4.1998389694041869</v>
      </c>
    </row>
    <row r="197" spans="1:4" ht="12" customHeight="1" x14ac:dyDescent="0.3">
      <c r="A197" s="204" t="s">
        <v>556</v>
      </c>
      <c r="B197" s="205">
        <v>45855</v>
      </c>
      <c r="C197" s="215">
        <v>1888.6</v>
      </c>
      <c r="D197" s="207">
        <f>IFERROR(C197/VLOOKUP(A197,Usinas!$A:$B,2,FALSE()),"")</f>
        <v>3.0412238325281802</v>
      </c>
    </row>
    <row r="198" spans="1:4" ht="12" customHeight="1" x14ac:dyDescent="0.3">
      <c r="A198" s="204" t="s">
        <v>556</v>
      </c>
      <c r="B198" s="205">
        <v>45856</v>
      </c>
      <c r="C198" s="215">
        <v>2546.4</v>
      </c>
      <c r="D198" s="207">
        <f>IFERROR(C198/VLOOKUP(A198,Usinas!$A:$B,2,FALSE()),"")</f>
        <v>4.1004830917874395</v>
      </c>
    </row>
    <row r="199" spans="1:4" ht="12" customHeight="1" x14ac:dyDescent="0.3">
      <c r="A199" s="204" t="s">
        <v>556</v>
      </c>
      <c r="B199" s="205">
        <v>45857</v>
      </c>
      <c r="C199" s="215">
        <v>2797.6</v>
      </c>
      <c r="D199" s="207">
        <f>IFERROR(C199/VLOOKUP(A199,Usinas!$A:$B,2,FALSE()),"")</f>
        <v>4.5049919484702095</v>
      </c>
    </row>
    <row r="200" spans="1:4" ht="12" customHeight="1" x14ac:dyDescent="0.3">
      <c r="A200" s="204" t="s">
        <v>556</v>
      </c>
      <c r="B200" s="205">
        <v>45858</v>
      </c>
      <c r="C200" s="215">
        <v>2127.3000000000002</v>
      </c>
      <c r="D200" s="207">
        <f>IFERROR(C200/VLOOKUP(A200,Usinas!$A:$B,2,FALSE()),"")</f>
        <v>3.4256038647342999</v>
      </c>
    </row>
    <row r="201" spans="1:4" ht="12" customHeight="1" x14ac:dyDescent="0.3">
      <c r="A201" s="204" t="s">
        <v>556</v>
      </c>
      <c r="B201" s="205">
        <v>45859</v>
      </c>
      <c r="C201" s="215">
        <v>2622.1</v>
      </c>
      <c r="D201" s="207">
        <f>IFERROR(C201/VLOOKUP(A201,Usinas!$A:$B,2,FALSE()),"")</f>
        <v>4.2223832528180356</v>
      </c>
    </row>
    <row r="202" spans="1:4" ht="12" customHeight="1" x14ac:dyDescent="0.3">
      <c r="A202" s="204" t="s">
        <v>556</v>
      </c>
      <c r="B202" s="205">
        <v>45860</v>
      </c>
      <c r="C202" s="215">
        <v>2648.1</v>
      </c>
      <c r="D202" s="207">
        <f>IFERROR(C202/VLOOKUP(A202,Usinas!$A:$B,2,FALSE()),"")</f>
        <v>4.2642512077294681</v>
      </c>
    </row>
    <row r="203" spans="1:4" ht="12" customHeight="1" x14ac:dyDescent="0.3">
      <c r="A203" s="204" t="s">
        <v>556</v>
      </c>
      <c r="B203" s="205">
        <v>45861</v>
      </c>
      <c r="C203" s="215">
        <v>2630.9</v>
      </c>
      <c r="D203" s="207">
        <f>IFERROR(C203/VLOOKUP(A203,Usinas!$A:$B,2,FALSE()),"")</f>
        <v>4.2365539452495975</v>
      </c>
    </row>
    <row r="204" spans="1:4" ht="12" customHeight="1" x14ac:dyDescent="0.3">
      <c r="A204" s="204" t="s">
        <v>556</v>
      </c>
      <c r="B204" s="205">
        <v>45862</v>
      </c>
      <c r="C204" s="215">
        <v>1966</v>
      </c>
      <c r="D204" s="207">
        <f>IFERROR(C204/VLOOKUP(A204,Usinas!$A:$B,2,FALSE()),"")</f>
        <v>3.1658615136876005</v>
      </c>
    </row>
    <row r="205" spans="1:4" ht="12" customHeight="1" x14ac:dyDescent="0.3">
      <c r="A205" s="204" t="s">
        <v>556</v>
      </c>
      <c r="B205" s="205">
        <v>45863</v>
      </c>
      <c r="C205" s="215">
        <v>2658.3</v>
      </c>
      <c r="D205" s="207">
        <f>IFERROR(C205/VLOOKUP(A205,Usinas!$A:$B,2,FALSE()),"")</f>
        <v>4.2806763285024161</v>
      </c>
    </row>
    <row r="206" spans="1:4" ht="12" customHeight="1" x14ac:dyDescent="0.3">
      <c r="A206" s="204" t="s">
        <v>556</v>
      </c>
      <c r="B206" s="205">
        <v>45864</v>
      </c>
      <c r="C206" s="215">
        <v>2083.1999999999998</v>
      </c>
      <c r="D206" s="207">
        <f>IFERROR(C206/VLOOKUP(A206,Usinas!$A:$B,2,FALSE()),"")</f>
        <v>3.3545893719806759</v>
      </c>
    </row>
    <row r="207" spans="1:4" ht="12" customHeight="1" x14ac:dyDescent="0.3">
      <c r="A207" s="204" t="s">
        <v>556</v>
      </c>
      <c r="B207" s="205">
        <v>45865</v>
      </c>
      <c r="C207" s="215">
        <v>2042.7</v>
      </c>
      <c r="D207" s="207">
        <f>IFERROR(C207/VLOOKUP(A207,Usinas!$A:$B,2,FALSE()),"")</f>
        <v>3.2893719806763286</v>
      </c>
    </row>
    <row r="208" spans="1:4" ht="12" customHeight="1" x14ac:dyDescent="0.3">
      <c r="A208" s="204" t="s">
        <v>556</v>
      </c>
      <c r="B208" s="205">
        <v>45866</v>
      </c>
      <c r="C208" s="215">
        <v>1185.5999999999999</v>
      </c>
      <c r="D208" s="207">
        <f>IFERROR(C208/VLOOKUP(A208,Usinas!$A:$B,2,FALSE()),"")</f>
        <v>1.9091787439613526</v>
      </c>
    </row>
    <row r="209" spans="1:4" ht="12" customHeight="1" x14ac:dyDescent="0.3">
      <c r="A209" s="204" t="s">
        <v>556</v>
      </c>
      <c r="B209" s="205">
        <v>45867</v>
      </c>
      <c r="C209" s="215">
        <v>3395.6</v>
      </c>
      <c r="D209" s="207">
        <f>IFERROR(C209/VLOOKUP(A209,Usinas!$A:$B,2,FALSE()),"")</f>
        <v>5.4679549114331722</v>
      </c>
    </row>
    <row r="210" spans="1:4" ht="12" customHeight="1" x14ac:dyDescent="0.3">
      <c r="A210" s="204" t="s">
        <v>556</v>
      </c>
      <c r="B210" s="205">
        <v>45868</v>
      </c>
      <c r="C210" s="215">
        <v>3305.5</v>
      </c>
      <c r="D210" s="207">
        <f>IFERROR(C210/VLOOKUP(A210,Usinas!$A:$B,2,FALSE()),"")</f>
        <v>5.3228663446054751</v>
      </c>
    </row>
    <row r="211" spans="1:4" ht="12" customHeight="1" x14ac:dyDescent="0.3">
      <c r="A211" s="204" t="s">
        <v>556</v>
      </c>
      <c r="B211" s="205">
        <v>45869</v>
      </c>
      <c r="C211" s="215">
        <v>3305.8</v>
      </c>
      <c r="D211" s="207">
        <f>IFERROR(C211/VLOOKUP(A211,Usinas!$A:$B,2,FALSE()),"")</f>
        <v>5.323349436392915</v>
      </c>
    </row>
    <row r="212" spans="1:4" ht="12" customHeight="1" x14ac:dyDescent="0.3">
      <c r="A212" s="204" t="s">
        <v>556</v>
      </c>
      <c r="B212" s="205">
        <v>45870</v>
      </c>
      <c r="C212" s="215">
        <v>3067.5</v>
      </c>
      <c r="D212" s="207">
        <f>IFERROR(C212/VLOOKUP(A212,Usinas!$A:$B,2,FALSE()),"")</f>
        <v>4.9396135265700485</v>
      </c>
    </row>
    <row r="213" spans="1:4" ht="12" customHeight="1" x14ac:dyDescent="0.3">
      <c r="A213" s="204" t="s">
        <v>556</v>
      </c>
      <c r="B213" s="205">
        <v>45871</v>
      </c>
      <c r="C213" s="215">
        <v>2336.1999999999998</v>
      </c>
      <c r="D213" s="207">
        <f>IFERROR(C213/VLOOKUP(A213,Usinas!$A:$B,2,FALSE()),"")</f>
        <v>3.7619967793880833</v>
      </c>
    </row>
    <row r="214" spans="1:4" ht="12" customHeight="1" x14ac:dyDescent="0.3">
      <c r="A214" s="204" t="s">
        <v>556</v>
      </c>
      <c r="B214" s="205">
        <v>45872</v>
      </c>
      <c r="C214" s="215">
        <v>2318.4</v>
      </c>
      <c r="D214" s="207">
        <f>IFERROR(C214/VLOOKUP(A214,Usinas!$A:$B,2,FALSE()),"")</f>
        <v>3.7333333333333334</v>
      </c>
    </row>
    <row r="215" spans="1:4" ht="12" customHeight="1" x14ac:dyDescent="0.3">
      <c r="A215" s="204" t="s">
        <v>556</v>
      </c>
      <c r="B215" s="205">
        <v>45873</v>
      </c>
      <c r="C215" s="215">
        <v>385.9</v>
      </c>
      <c r="D215" s="207">
        <f>IFERROR(C215/VLOOKUP(A215,Usinas!$A:$B,2,FALSE()),"")</f>
        <v>0.62141706924315621</v>
      </c>
    </row>
    <row r="216" spans="1:4" ht="12" customHeight="1" x14ac:dyDescent="0.3">
      <c r="A216" s="204" t="s">
        <v>556</v>
      </c>
      <c r="B216" s="205">
        <v>45874</v>
      </c>
      <c r="C216" s="215">
        <v>1795.2</v>
      </c>
      <c r="D216" s="207">
        <f>IFERROR(C216/VLOOKUP(A216,Usinas!$A:$B,2,FALSE()),"")</f>
        <v>2.8908212560386475</v>
      </c>
    </row>
    <row r="217" spans="1:4" ht="12" customHeight="1" x14ac:dyDescent="0.3">
      <c r="A217" s="204" t="s">
        <v>556</v>
      </c>
      <c r="B217" s="205">
        <v>45875</v>
      </c>
      <c r="C217" s="215">
        <v>3173</v>
      </c>
      <c r="D217" s="207">
        <f>IFERROR(C217/VLOOKUP(A217,Usinas!$A:$B,2,FALSE()),"")</f>
        <v>5.1095008051529787</v>
      </c>
    </row>
    <row r="218" spans="1:4" ht="12" customHeight="1" x14ac:dyDescent="0.3">
      <c r="A218" s="204" t="s">
        <v>556</v>
      </c>
      <c r="B218" s="205">
        <v>45876</v>
      </c>
      <c r="C218" s="215">
        <v>2332.6</v>
      </c>
      <c r="D218" s="207">
        <f>IFERROR(C218/VLOOKUP(A218,Usinas!$A:$B,2,FALSE()),"")</f>
        <v>3.7561996779388083</v>
      </c>
    </row>
    <row r="219" spans="1:4" ht="12" customHeight="1" x14ac:dyDescent="0.3">
      <c r="A219" s="204" t="s">
        <v>556</v>
      </c>
      <c r="B219" s="205">
        <v>45877</v>
      </c>
      <c r="C219" s="215">
        <v>1279.9000000000001</v>
      </c>
      <c r="D219" s="207">
        <f>IFERROR(C219/VLOOKUP(A219,Usinas!$A:$B,2,FALSE()),"")</f>
        <v>2.0610305958132047</v>
      </c>
    </row>
    <row r="220" spans="1:4" ht="12" customHeight="1" x14ac:dyDescent="0.3">
      <c r="A220" s="204" t="s">
        <v>556</v>
      </c>
      <c r="B220" s="205">
        <v>45878</v>
      </c>
      <c r="C220" s="215">
        <v>3010.6</v>
      </c>
      <c r="D220" s="207">
        <f>IFERROR(C220/VLOOKUP(A220,Usinas!$A:$B,2,FALSE()),"")</f>
        <v>4.8479871175523348</v>
      </c>
    </row>
    <row r="221" spans="1:4" ht="12" customHeight="1" x14ac:dyDescent="0.3">
      <c r="A221" s="204" t="s">
        <v>556</v>
      </c>
      <c r="B221" s="205">
        <v>45879</v>
      </c>
      <c r="C221" s="215">
        <v>3427.9</v>
      </c>
      <c r="D221" s="207">
        <f>IFERROR(C221/VLOOKUP(A221,Usinas!$A:$B,2,FALSE()),"")</f>
        <v>5.5199677938808378</v>
      </c>
    </row>
    <row r="222" spans="1:4" ht="12" customHeight="1" x14ac:dyDescent="0.3">
      <c r="A222" s="204" t="s">
        <v>556</v>
      </c>
      <c r="B222" s="205">
        <v>45880</v>
      </c>
      <c r="C222" s="215">
        <v>3339.3</v>
      </c>
      <c r="D222" s="207">
        <f>IFERROR(C222/VLOOKUP(A222,Usinas!$A:$B,2,FALSE()),"")</f>
        <v>5.3772946859903383</v>
      </c>
    </row>
    <row r="223" spans="1:4" ht="12" customHeight="1" x14ac:dyDescent="0.3">
      <c r="A223" s="204" t="s">
        <v>556</v>
      </c>
      <c r="B223" s="205">
        <v>45881</v>
      </c>
      <c r="C223" s="215">
        <v>3310.7</v>
      </c>
      <c r="D223" s="207">
        <f>IFERROR(C223/VLOOKUP(A223,Usinas!$A:$B,2,FALSE()),"")</f>
        <v>5.3312399355877611</v>
      </c>
    </row>
    <row r="224" spans="1:4" ht="12" customHeight="1" x14ac:dyDescent="0.3">
      <c r="A224" s="204" t="s">
        <v>556</v>
      </c>
      <c r="B224" s="205">
        <v>45882</v>
      </c>
      <c r="C224" s="215">
        <v>3191.2</v>
      </c>
      <c r="D224" s="207">
        <f>IFERROR(C224/VLOOKUP(A224,Usinas!$A:$B,2,FALSE()),"")</f>
        <v>5.1388083735909822</v>
      </c>
    </row>
    <row r="225" spans="1:4" ht="12" customHeight="1" x14ac:dyDescent="0.3">
      <c r="A225" s="204" t="s">
        <v>556</v>
      </c>
      <c r="B225" s="205">
        <v>45883</v>
      </c>
      <c r="C225" s="215">
        <v>3234.3</v>
      </c>
      <c r="D225" s="207">
        <f>IFERROR(C225/VLOOKUP(A225,Usinas!$A:$B,2,FALSE()),"")</f>
        <v>5.2082125603864737</v>
      </c>
    </row>
    <row r="226" spans="1:4" ht="12" customHeight="1" x14ac:dyDescent="0.3">
      <c r="A226" s="204" t="s">
        <v>556</v>
      </c>
      <c r="B226" s="205">
        <v>45884</v>
      </c>
      <c r="C226" s="215">
        <v>3132.5</v>
      </c>
      <c r="D226" s="207">
        <f>IFERROR(C226/VLOOKUP(A226,Usinas!$A:$B,2,FALSE()),"")</f>
        <v>5.044283413848631</v>
      </c>
    </row>
    <row r="227" spans="1:4" ht="12" customHeight="1" x14ac:dyDescent="0.3">
      <c r="A227" s="204" t="s">
        <v>556</v>
      </c>
      <c r="B227" s="205">
        <v>45885</v>
      </c>
      <c r="C227" s="215">
        <v>3113.2</v>
      </c>
      <c r="D227" s="207">
        <f>IFERROR(C227/VLOOKUP(A227,Usinas!$A:$B,2,FALSE()),"")</f>
        <v>5.0132045088566821</v>
      </c>
    </row>
    <row r="228" spans="1:4" ht="12" customHeight="1" x14ac:dyDescent="0.3">
      <c r="A228" s="204" t="s">
        <v>556</v>
      </c>
      <c r="B228" s="205">
        <v>45886</v>
      </c>
      <c r="C228" s="215">
        <v>2834.9</v>
      </c>
      <c r="D228" s="207">
        <f>IFERROR(C228/VLOOKUP(A228,Usinas!$A:$B,2,FALSE()),"")</f>
        <v>4.5650563607085344</v>
      </c>
    </row>
    <row r="229" spans="1:4" ht="12" customHeight="1" x14ac:dyDescent="0.3">
      <c r="A229" s="204" t="s">
        <v>556</v>
      </c>
      <c r="B229" s="205">
        <v>45887</v>
      </c>
      <c r="C229" s="215">
        <v>2942.3</v>
      </c>
      <c r="D229" s="207">
        <f>IFERROR(C229/VLOOKUP(A229,Usinas!$A:$B,2,FALSE()),"")</f>
        <v>4.7380032206119163</v>
      </c>
    </row>
    <row r="230" spans="1:4" ht="12" customHeight="1" x14ac:dyDescent="0.3">
      <c r="A230" s="204" t="s">
        <v>556</v>
      </c>
      <c r="B230" s="205">
        <v>45888</v>
      </c>
      <c r="C230" s="215">
        <v>1911.5</v>
      </c>
      <c r="D230" s="207">
        <f>IFERROR(C230/VLOOKUP(A230,Usinas!$A:$B,2,FALSE()),"")</f>
        <v>3.0780998389694041</v>
      </c>
    </row>
    <row r="231" spans="1:4" ht="12" customHeight="1" x14ac:dyDescent="0.3">
      <c r="A231" s="204" t="s">
        <v>556</v>
      </c>
      <c r="B231" s="205">
        <v>45889</v>
      </c>
      <c r="C231" s="215">
        <v>2463.6</v>
      </c>
      <c r="D231" s="207">
        <f>IFERROR(C231/VLOOKUP(A231,Usinas!$A:$B,2,FALSE()),"")</f>
        <v>3.9671497584541062</v>
      </c>
    </row>
    <row r="232" spans="1:4" ht="12" customHeight="1" x14ac:dyDescent="0.3">
      <c r="A232" s="204" t="s">
        <v>556</v>
      </c>
      <c r="B232" s="205">
        <v>45890</v>
      </c>
      <c r="C232" s="215">
        <v>2262.6999999999998</v>
      </c>
      <c r="D232" s="207">
        <f>IFERROR(C232/VLOOKUP(A232,Usinas!$A:$B,2,FALSE()),"")</f>
        <v>3.6436392914653783</v>
      </c>
    </row>
    <row r="233" spans="1:4" ht="12" customHeight="1" x14ac:dyDescent="0.3">
      <c r="A233" s="204" t="s">
        <v>556</v>
      </c>
      <c r="B233" s="205">
        <v>45891</v>
      </c>
      <c r="C233" s="215">
        <v>2773.8</v>
      </c>
      <c r="D233" s="207">
        <f>IFERROR(C233/VLOOKUP(A233,Usinas!$A:$B,2,FALSE()),"")</f>
        <v>4.4666666666666668</v>
      </c>
    </row>
    <row r="234" spans="1:4" ht="12" customHeight="1" x14ac:dyDescent="0.3">
      <c r="A234" s="204" t="s">
        <v>556</v>
      </c>
      <c r="B234" s="205">
        <v>45892</v>
      </c>
      <c r="C234" s="215">
        <v>2803.3</v>
      </c>
      <c r="D234" s="207">
        <f>IFERROR(C234/VLOOKUP(A234,Usinas!$A:$B,2,FALSE()),"")</f>
        <v>4.5141706924315619</v>
      </c>
    </row>
    <row r="235" spans="1:4" ht="12" customHeight="1" x14ac:dyDescent="0.3">
      <c r="A235" s="204" t="s">
        <v>556</v>
      </c>
      <c r="B235" s="205">
        <v>45893</v>
      </c>
      <c r="C235" s="215">
        <v>492.2</v>
      </c>
      <c r="D235" s="207">
        <f>IFERROR(C235/VLOOKUP(A235,Usinas!$A:$B,2,FALSE()),"")</f>
        <v>0.79259259259259263</v>
      </c>
    </row>
    <row r="236" spans="1:4" ht="12" customHeight="1" x14ac:dyDescent="0.3">
      <c r="A236" s="204" t="s">
        <v>556</v>
      </c>
      <c r="B236" s="205">
        <v>45894</v>
      </c>
      <c r="C236" s="215">
        <v>1713.4</v>
      </c>
      <c r="D236" s="207">
        <f>IFERROR(C236/VLOOKUP(A236,Usinas!$A:$B,2,FALSE()),"")</f>
        <v>2.7590982286634462</v>
      </c>
    </row>
    <row r="237" spans="1:4" ht="12" customHeight="1" x14ac:dyDescent="0.3">
      <c r="A237" s="204" t="s">
        <v>556</v>
      </c>
      <c r="B237" s="205">
        <v>45895</v>
      </c>
      <c r="C237" s="215">
        <v>2987.1</v>
      </c>
      <c r="D237" s="207">
        <f>IFERROR(C237/VLOOKUP(A237,Usinas!$A:$B,2,FALSE()),"")</f>
        <v>4.810144927536232</v>
      </c>
    </row>
    <row r="238" spans="1:4" ht="12" customHeight="1" x14ac:dyDescent="0.3">
      <c r="A238" s="204" t="s">
        <v>556</v>
      </c>
      <c r="B238" s="205">
        <v>45896</v>
      </c>
      <c r="C238" s="215">
        <v>3101.4</v>
      </c>
      <c r="D238" s="207">
        <f>IFERROR(C238/VLOOKUP(A238,Usinas!$A:$B,2,FALSE()),"")</f>
        <v>4.994202898550725</v>
      </c>
    </row>
    <row r="239" spans="1:4" ht="12" customHeight="1" x14ac:dyDescent="0.3">
      <c r="A239" s="204" t="s">
        <v>556</v>
      </c>
      <c r="B239" s="205">
        <v>45897</v>
      </c>
      <c r="C239" s="215">
        <v>1720.9</v>
      </c>
      <c r="D239" s="207">
        <f>IFERROR(C239/VLOOKUP(A239,Usinas!$A:$B,2,FALSE()),"")</f>
        <v>2.7711755233494366</v>
      </c>
    </row>
    <row r="240" spans="1:4" ht="12" customHeight="1" x14ac:dyDescent="0.3">
      <c r="A240" s="204" t="s">
        <v>556</v>
      </c>
      <c r="B240" s="205">
        <v>45898</v>
      </c>
      <c r="C240" s="215">
        <v>3089.2</v>
      </c>
      <c r="D240" s="207">
        <f>IFERROR(C240/VLOOKUP(A240,Usinas!$A:$B,2,FALSE()),"")</f>
        <v>4.9745571658615138</v>
      </c>
    </row>
    <row r="241" spans="1:4" ht="12" customHeight="1" x14ac:dyDescent="0.3">
      <c r="A241" s="204" t="s">
        <v>556</v>
      </c>
      <c r="B241" s="205">
        <v>45899</v>
      </c>
      <c r="C241" s="215">
        <v>3260</v>
      </c>
      <c r="D241" s="207">
        <f>IFERROR(C241/VLOOKUP(A241,Usinas!$A:$B,2,FALSE()),"")</f>
        <v>5.2495974235104672</v>
      </c>
    </row>
    <row r="242" spans="1:4" ht="12" customHeight="1" x14ac:dyDescent="0.3">
      <c r="A242" s="204" t="s">
        <v>556</v>
      </c>
      <c r="B242" s="205">
        <v>45900</v>
      </c>
      <c r="C242" s="215">
        <v>3010.9</v>
      </c>
      <c r="D242" s="207">
        <f>IFERROR(C242/VLOOKUP(A242,Usinas!$A:$B,2,FALSE()),"")</f>
        <v>4.8484702093397747</v>
      </c>
    </row>
    <row r="243" spans="1:4" ht="12" customHeight="1" x14ac:dyDescent="0.3">
      <c r="A243" s="204" t="s">
        <v>556</v>
      </c>
      <c r="B243" s="205">
        <v>45901</v>
      </c>
      <c r="C243" s="215">
        <v>1871.2</v>
      </c>
      <c r="D243" s="207">
        <f>IFERROR(C243/VLOOKUP(A243,Usinas!$A:$B,2,FALSE()),"")</f>
        <v>3.013204508856683</v>
      </c>
    </row>
    <row r="244" spans="1:4" ht="12" customHeight="1" x14ac:dyDescent="0.3">
      <c r="A244" s="204" t="s">
        <v>556</v>
      </c>
      <c r="B244" s="205">
        <v>45902</v>
      </c>
      <c r="C244" s="215">
        <v>3026.5</v>
      </c>
      <c r="D244" s="207">
        <f>IFERROR(C244/VLOOKUP(A244,Usinas!$A:$B,2,FALSE()),"")</f>
        <v>4.8735909822866343</v>
      </c>
    </row>
    <row r="245" spans="1:4" ht="12" customHeight="1" x14ac:dyDescent="0.3">
      <c r="A245" s="204" t="s">
        <v>556</v>
      </c>
      <c r="B245" s="205">
        <v>45903</v>
      </c>
      <c r="C245" s="215">
        <v>2984.5</v>
      </c>
      <c r="D245" s="207">
        <f>IFERROR(C245/VLOOKUP(A245,Usinas!$A:$B,2,FALSE()),"")</f>
        <v>4.8059581320450881</v>
      </c>
    </row>
    <row r="246" spans="1:4" ht="12" customHeight="1" x14ac:dyDescent="0.3">
      <c r="A246" s="204" t="s">
        <v>556</v>
      </c>
      <c r="B246" s="205">
        <v>45904</v>
      </c>
      <c r="C246" s="215">
        <v>2380.1</v>
      </c>
      <c r="D246" s="207">
        <f>IFERROR(C246/VLOOKUP(A246,Usinas!$A:$B,2,FALSE()),"")</f>
        <v>3.8326892109500803</v>
      </c>
    </row>
    <row r="247" spans="1:4" ht="12" customHeight="1" x14ac:dyDescent="0.3">
      <c r="A247" s="204" t="s">
        <v>556</v>
      </c>
      <c r="B247" s="205">
        <v>45905</v>
      </c>
      <c r="C247" s="215">
        <v>2324.3000000000002</v>
      </c>
      <c r="D247" s="207">
        <f>IFERROR(C247/VLOOKUP(A247,Usinas!$A:$B,2,FALSE()),"")</f>
        <v>3.7428341384863129</v>
      </c>
    </row>
    <row r="248" spans="1:4" ht="12" customHeight="1" x14ac:dyDescent="0.3">
      <c r="A248" s="204" t="s">
        <v>556</v>
      </c>
      <c r="B248" s="205">
        <v>45906</v>
      </c>
      <c r="C248" s="215">
        <v>1982.5</v>
      </c>
      <c r="D248" s="207">
        <f>IFERROR(C248/VLOOKUP(A248,Usinas!$A:$B,2,FALSE()),"")</f>
        <v>3.1924315619967794</v>
      </c>
    </row>
    <row r="249" spans="1:4" ht="12" customHeight="1" x14ac:dyDescent="0.3">
      <c r="A249" s="204" t="s">
        <v>556</v>
      </c>
      <c r="B249" s="205">
        <v>45907</v>
      </c>
      <c r="C249" s="215">
        <v>2114.8000000000002</v>
      </c>
      <c r="D249" s="207">
        <f>IFERROR(C249/VLOOKUP(A249,Usinas!$A:$B,2,FALSE()),"")</f>
        <v>3.4054750402576492</v>
      </c>
    </row>
    <row r="250" spans="1:4" ht="12" customHeight="1" x14ac:dyDescent="0.3">
      <c r="A250" s="204" t="s">
        <v>556</v>
      </c>
      <c r="B250" s="205">
        <v>45908</v>
      </c>
      <c r="C250" s="215">
        <v>2744.6</v>
      </c>
      <c r="D250" s="207">
        <f>IFERROR(C250/VLOOKUP(A250,Usinas!$A:$B,2,FALSE()),"")</f>
        <v>4.4196457326892107</v>
      </c>
    </row>
    <row r="251" spans="1:4" ht="12" customHeight="1" x14ac:dyDescent="0.3">
      <c r="A251" s="204" t="s">
        <v>556</v>
      </c>
      <c r="B251" s="205">
        <v>45909</v>
      </c>
      <c r="C251" s="215">
        <v>3323.2</v>
      </c>
      <c r="D251" s="207">
        <f>IFERROR(C251/VLOOKUP(A251,Usinas!$A:$B,2,FALSE()),"")</f>
        <v>5.3513687600644122</v>
      </c>
    </row>
    <row r="252" spans="1:4" ht="12" customHeight="1" x14ac:dyDescent="0.3">
      <c r="A252" s="204" t="s">
        <v>556</v>
      </c>
      <c r="B252" s="205">
        <v>45910</v>
      </c>
      <c r="C252" s="215">
        <v>3297.5</v>
      </c>
      <c r="D252" s="207">
        <f>IFERROR(C252/VLOOKUP(A252,Usinas!$A:$B,2,FALSE()),"")</f>
        <v>5.3099838969404187</v>
      </c>
    </row>
    <row r="253" spans="1:4" ht="12" customHeight="1" x14ac:dyDescent="0.3">
      <c r="A253" s="204" t="s">
        <v>556</v>
      </c>
      <c r="B253" s="205">
        <v>45911</v>
      </c>
      <c r="C253" s="215">
        <v>2730.5</v>
      </c>
      <c r="D253" s="207">
        <f>IFERROR(C253/VLOOKUP(A253,Usinas!$A:$B,2,FALSE()),"")</f>
        <v>4.3969404186795495</v>
      </c>
    </row>
    <row r="254" spans="1:4" ht="12" customHeight="1" x14ac:dyDescent="0.3">
      <c r="A254" s="204" t="s">
        <v>556</v>
      </c>
      <c r="B254" s="205">
        <v>45912</v>
      </c>
      <c r="C254" s="215">
        <v>2027.6</v>
      </c>
      <c r="D254" s="207">
        <f>IFERROR(C254/VLOOKUP(A254,Usinas!$A:$B,2,FALSE()),"")</f>
        <v>3.2650563607085346</v>
      </c>
    </row>
    <row r="255" spans="1:4" ht="12" customHeight="1" x14ac:dyDescent="0.3">
      <c r="A255" s="204" t="s">
        <v>556</v>
      </c>
      <c r="B255" s="205">
        <v>45913</v>
      </c>
      <c r="C255" s="215">
        <v>2810.8</v>
      </c>
      <c r="D255" s="207">
        <f>IFERROR(C255/VLOOKUP(A255,Usinas!$A:$B,2,FALSE()),"")</f>
        <v>4.5262479871175527</v>
      </c>
    </row>
    <row r="256" spans="1:4" ht="12" customHeight="1" x14ac:dyDescent="0.3">
      <c r="A256" s="204" t="s">
        <v>556</v>
      </c>
      <c r="B256" s="205">
        <v>45914</v>
      </c>
      <c r="C256" s="215">
        <v>2517.4</v>
      </c>
      <c r="D256" s="207">
        <f>IFERROR(C256/VLOOKUP(A256,Usinas!$A:$B,2,FALSE()),"")</f>
        <v>4.05378421900161</v>
      </c>
    </row>
    <row r="257" spans="1:4" ht="12" customHeight="1" x14ac:dyDescent="0.3">
      <c r="A257" s="204" t="s">
        <v>556</v>
      </c>
      <c r="B257" s="205">
        <v>45915</v>
      </c>
      <c r="C257" s="215">
        <v>3082</v>
      </c>
      <c r="D257" s="207">
        <f>IFERROR(C257/VLOOKUP(A257,Usinas!$A:$B,2,FALSE()),"")</f>
        <v>4.9629629629629628</v>
      </c>
    </row>
    <row r="258" spans="1:4" ht="12" customHeight="1" x14ac:dyDescent="0.3">
      <c r="A258" s="204" t="s">
        <v>556</v>
      </c>
      <c r="B258" s="205">
        <v>45916</v>
      </c>
      <c r="C258" s="215">
        <v>2041.7</v>
      </c>
      <c r="D258" s="207">
        <f>IFERROR(C258/VLOOKUP(A258,Usinas!$A:$B,2,FALSE()),"")</f>
        <v>3.2877616747181966</v>
      </c>
    </row>
    <row r="259" spans="1:4" ht="12" customHeight="1" x14ac:dyDescent="0.3">
      <c r="A259" s="204" t="s">
        <v>556</v>
      </c>
      <c r="B259" s="205">
        <v>45917</v>
      </c>
      <c r="C259" s="215">
        <v>3212.8</v>
      </c>
      <c r="D259" s="207">
        <f>IFERROR(C259/VLOOKUP(A259,Usinas!$A:$B,2,FALSE()),"")</f>
        <v>5.1735909822866351</v>
      </c>
    </row>
    <row r="260" spans="1:4" ht="12" customHeight="1" x14ac:dyDescent="0.3">
      <c r="A260" s="204" t="s">
        <v>556</v>
      </c>
      <c r="B260" s="205">
        <v>45918</v>
      </c>
      <c r="C260" s="215">
        <v>3288.2</v>
      </c>
      <c r="D260" s="207">
        <f>IFERROR(C260/VLOOKUP(A260,Usinas!$A:$B,2,FALSE()),"")</f>
        <v>5.2950080515297904</v>
      </c>
    </row>
    <row r="261" spans="1:4" ht="12" customHeight="1" x14ac:dyDescent="0.3">
      <c r="A261" s="204" t="s">
        <v>556</v>
      </c>
      <c r="B261" s="205">
        <v>45919</v>
      </c>
      <c r="C261" s="215">
        <v>3082.8</v>
      </c>
      <c r="D261" s="207">
        <f>IFERROR(C261/VLOOKUP(A261,Usinas!$A:$B,2,FALSE()),"")</f>
        <v>4.9642512077294692</v>
      </c>
    </row>
    <row r="262" spans="1:4" ht="12" customHeight="1" x14ac:dyDescent="0.3">
      <c r="A262" s="204" t="s">
        <v>556</v>
      </c>
      <c r="B262" s="205">
        <v>45920</v>
      </c>
      <c r="C262" s="215">
        <v>2623.4</v>
      </c>
      <c r="D262" s="207">
        <f>IFERROR(C262/VLOOKUP(A262,Usinas!$A:$B,2,FALSE()),"")</f>
        <v>4.2244766505636075</v>
      </c>
    </row>
    <row r="263" spans="1:4" ht="12" customHeight="1" x14ac:dyDescent="0.3">
      <c r="A263" s="204" t="s">
        <v>556</v>
      </c>
      <c r="B263" s="205">
        <v>45921</v>
      </c>
      <c r="C263" s="215">
        <v>2682.2</v>
      </c>
      <c r="D263" s="207">
        <f>IFERROR(C263/VLOOKUP(A263,Usinas!$A:$B,2,FALSE()),"")</f>
        <v>4.3191626409017712</v>
      </c>
    </row>
    <row r="264" spans="1:4" ht="12" customHeight="1" x14ac:dyDescent="0.3">
      <c r="A264" s="204" t="s">
        <v>556</v>
      </c>
      <c r="B264" s="205">
        <v>45922</v>
      </c>
      <c r="C264" s="215">
        <v>737.5</v>
      </c>
      <c r="D264" s="207">
        <f>IFERROR(C264/VLOOKUP(A264,Usinas!$A:$B,2,FALSE()),"")</f>
        <v>1.1876006441223832</v>
      </c>
    </row>
    <row r="265" spans="1:4" ht="12" customHeight="1" x14ac:dyDescent="0.3">
      <c r="A265" s="204" t="s">
        <v>556</v>
      </c>
      <c r="B265" s="205">
        <v>45923</v>
      </c>
      <c r="C265" s="215">
        <v>2651</v>
      </c>
      <c r="D265" s="207">
        <f>IFERROR(C265/VLOOKUP(A265,Usinas!$A:$B,2,FALSE()),"")</f>
        <v>4.2689210950080518</v>
      </c>
    </row>
    <row r="266" spans="1:4" ht="12" customHeight="1" x14ac:dyDescent="0.3">
      <c r="A266" s="204" t="s">
        <v>556</v>
      </c>
      <c r="B266" s="205">
        <v>45924</v>
      </c>
      <c r="C266" s="215">
        <v>3327.8</v>
      </c>
      <c r="D266" s="207">
        <f>IFERROR(C266/VLOOKUP(A266,Usinas!$A:$B,2,FALSE()),"")</f>
        <v>5.3587761674718202</v>
      </c>
    </row>
    <row r="267" spans="1:4" ht="12" customHeight="1" x14ac:dyDescent="0.3">
      <c r="A267" s="204" t="s">
        <v>556</v>
      </c>
      <c r="B267" s="205">
        <v>45925</v>
      </c>
      <c r="C267" s="215">
        <v>2736.8</v>
      </c>
      <c r="D267" s="207">
        <f>IFERROR(C267/VLOOKUP(A267,Usinas!$A:$B,2,FALSE()),"")</f>
        <v>4.4070853462157809</v>
      </c>
    </row>
    <row r="268" spans="1:4" ht="12" customHeight="1" x14ac:dyDescent="0.3">
      <c r="A268" s="204" t="s">
        <v>556</v>
      </c>
      <c r="B268" s="205">
        <v>45926</v>
      </c>
      <c r="C268" s="215">
        <v>2929.8</v>
      </c>
      <c r="D268" s="207">
        <f>IFERROR(C268/VLOOKUP(A268,Usinas!$A:$B,2,FALSE()),"")</f>
        <v>4.717874396135266</v>
      </c>
    </row>
    <row r="269" spans="1:4" ht="12" customHeight="1" x14ac:dyDescent="0.3">
      <c r="A269" s="204" t="s">
        <v>556</v>
      </c>
      <c r="B269" s="205">
        <v>45927</v>
      </c>
      <c r="C269" s="215">
        <v>3156.5</v>
      </c>
      <c r="D269" s="207">
        <f>IFERROR(C269/VLOOKUP(A269,Usinas!$A:$B,2,FALSE()),"")</f>
        <v>5.0829307568438002</v>
      </c>
    </row>
    <row r="270" spans="1:4" ht="12" customHeight="1" x14ac:dyDescent="0.3">
      <c r="A270" s="204" t="s">
        <v>556</v>
      </c>
      <c r="B270" s="205">
        <v>45928</v>
      </c>
      <c r="C270" s="215">
        <v>1637.3</v>
      </c>
      <c r="D270" s="207">
        <f>IFERROR(C270/VLOOKUP(A270,Usinas!$A:$B,2,FALSE()),"")</f>
        <v>2.6365539452495974</v>
      </c>
    </row>
    <row r="271" spans="1:4" ht="12" customHeight="1" x14ac:dyDescent="0.3">
      <c r="A271" s="204" t="s">
        <v>556</v>
      </c>
      <c r="B271" s="205">
        <v>45929</v>
      </c>
      <c r="C271" s="215">
        <v>3074.6</v>
      </c>
      <c r="D271" s="207">
        <f>IFERROR(C271/VLOOKUP(A271,Usinas!$A:$B,2,FALSE()),"")</f>
        <v>4.9510466988727853</v>
      </c>
    </row>
    <row r="272" spans="1:4" ht="12" customHeight="1" x14ac:dyDescent="0.3">
      <c r="A272" s="204" t="s">
        <v>556</v>
      </c>
      <c r="B272" s="205">
        <v>45930</v>
      </c>
      <c r="C272" s="215">
        <v>1803.1</v>
      </c>
      <c r="D272" s="207">
        <f>IFERROR(C272/VLOOKUP(A272,Usinas!$A:$B,2,FALSE()),"")</f>
        <v>2.9035426731078902</v>
      </c>
    </row>
    <row r="273" spans="1:4" ht="12" customHeight="1" x14ac:dyDescent="0.3">
      <c r="A273" s="204" t="s">
        <v>556</v>
      </c>
      <c r="B273" s="205">
        <v>45931</v>
      </c>
      <c r="C273" s="215">
        <v>773.1</v>
      </c>
      <c r="D273" s="207">
        <f>IFERROR(C273/VLOOKUP(A273,Usinas!$A:$B,2,FALSE()),"")</f>
        <v>1.2449275362318841</v>
      </c>
    </row>
    <row r="274" spans="1:4" ht="12" customHeight="1" x14ac:dyDescent="0.3">
      <c r="A274" s="204" t="s">
        <v>556</v>
      </c>
      <c r="B274" s="205">
        <v>45932</v>
      </c>
      <c r="C274" s="215">
        <v>1426.4</v>
      </c>
      <c r="D274" s="207">
        <f>IFERROR(C274/VLOOKUP(A274,Usinas!$A:$B,2,FALSE()),"")</f>
        <v>2.2969404186795495</v>
      </c>
    </row>
    <row r="275" spans="1:4" ht="12" customHeight="1" x14ac:dyDescent="0.3">
      <c r="A275" s="204" t="s">
        <v>556</v>
      </c>
      <c r="B275" s="205">
        <v>45933</v>
      </c>
      <c r="C275" s="215">
        <v>1038.0999999999999</v>
      </c>
      <c r="D275" s="207">
        <f>IFERROR(C275/VLOOKUP(A275,Usinas!$A:$B,2,FALSE()),"")</f>
        <v>1.671658615136876</v>
      </c>
    </row>
    <row r="276" spans="1:4" ht="12" customHeight="1" x14ac:dyDescent="0.3">
      <c r="A276" s="204" t="s">
        <v>556</v>
      </c>
      <c r="B276" s="205">
        <v>45934</v>
      </c>
      <c r="C276" s="215">
        <v>1487.5</v>
      </c>
      <c r="D276" s="207">
        <f>IFERROR(C276/VLOOKUP(A276,Usinas!$A:$B,2,FALSE()),"")</f>
        <v>2.395330112721417</v>
      </c>
    </row>
    <row r="277" spans="1:4" ht="12" customHeight="1" x14ac:dyDescent="0.3">
      <c r="A277" s="204" t="s">
        <v>556</v>
      </c>
      <c r="B277" s="205">
        <v>45935</v>
      </c>
      <c r="C277" s="215">
        <v>1802.7</v>
      </c>
      <c r="D277" s="207">
        <f>IFERROR(C277/VLOOKUP(A277,Usinas!$A:$B,2,FALSE()),"")</f>
        <v>2.9028985507246379</v>
      </c>
    </row>
    <row r="278" spans="1:4" ht="12" customHeight="1" x14ac:dyDescent="0.3">
      <c r="A278" s="204" t="s">
        <v>556</v>
      </c>
      <c r="B278" s="205">
        <v>45936</v>
      </c>
      <c r="C278" s="215">
        <v>1140.7</v>
      </c>
      <c r="D278" s="207">
        <f>IFERROR(C278/VLOOKUP(A278,Usinas!$A:$B,2,FALSE()),"")</f>
        <v>1.836876006441224</v>
      </c>
    </row>
    <row r="279" spans="1:4" ht="12" customHeight="1" x14ac:dyDescent="0.3">
      <c r="A279" s="204" t="s">
        <v>556</v>
      </c>
      <c r="B279" s="205">
        <v>45937</v>
      </c>
      <c r="C279" s="215">
        <v>1470.4</v>
      </c>
      <c r="D279" s="207">
        <f>IFERROR(C279/VLOOKUP(A279,Usinas!$A:$B,2,FALSE()),"")</f>
        <v>2.3677938808373593</v>
      </c>
    </row>
    <row r="280" spans="1:4" ht="12" customHeight="1" x14ac:dyDescent="0.3">
      <c r="A280" s="204" t="s">
        <v>556</v>
      </c>
      <c r="B280" s="205">
        <v>45938</v>
      </c>
      <c r="C280" s="215">
        <v>1378</v>
      </c>
      <c r="D280" s="207">
        <f>IFERROR(C280/VLOOKUP(A280,Usinas!$A:$B,2,FALSE()),"")</f>
        <v>2.2190016103059582</v>
      </c>
    </row>
    <row r="281" spans="1:4" ht="12" customHeight="1" x14ac:dyDescent="0.3">
      <c r="A281" s="204" t="s">
        <v>556</v>
      </c>
      <c r="B281" s="205">
        <v>45939</v>
      </c>
      <c r="C281" s="215">
        <v>322.5</v>
      </c>
      <c r="D281" s="207">
        <f>IFERROR(C281/VLOOKUP(A281,Usinas!$A:$B,2,FALSE()),"")</f>
        <v>0.51932367149758452</v>
      </c>
    </row>
    <row r="282" spans="1:4" ht="12" customHeight="1" x14ac:dyDescent="0.3">
      <c r="A282" s="204" t="s">
        <v>556</v>
      </c>
      <c r="B282" s="205">
        <v>45940</v>
      </c>
      <c r="C282" s="215">
        <v>2905.3</v>
      </c>
      <c r="D282" s="207">
        <f>IFERROR(C282/VLOOKUP(A282,Usinas!$A:$B,2,FALSE()),"")</f>
        <v>4.6784219001610312</v>
      </c>
    </row>
    <row r="283" spans="1:4" ht="12" customHeight="1" x14ac:dyDescent="0.3">
      <c r="A283" s="204" t="s">
        <v>556</v>
      </c>
      <c r="B283" s="205">
        <v>45941</v>
      </c>
      <c r="C283" s="215">
        <v>3468</v>
      </c>
      <c r="D283" s="207">
        <f>IFERROR(C283/VLOOKUP(A283,Usinas!$A:$B,2,FALSE()),"")</f>
        <v>5.5845410628019323</v>
      </c>
    </row>
    <row r="284" spans="1:4" ht="12" customHeight="1" x14ac:dyDescent="0.3">
      <c r="A284" s="204" t="s">
        <v>556</v>
      </c>
      <c r="B284" s="205">
        <v>45942</v>
      </c>
      <c r="C284" s="215">
        <v>1332.7</v>
      </c>
      <c r="D284" s="207">
        <f>IFERROR(C284/VLOOKUP(A284,Usinas!$A:$B,2,FALSE()),"")</f>
        <v>2.1460547504025764</v>
      </c>
    </row>
    <row r="285" spans="1:4" ht="12" customHeight="1" x14ac:dyDescent="0.3">
      <c r="A285" s="204" t="s">
        <v>556</v>
      </c>
      <c r="B285" s="205">
        <v>45943</v>
      </c>
      <c r="C285" s="215">
        <v>1289.7</v>
      </c>
      <c r="D285" s="207">
        <f>IFERROR(C285/VLOOKUP(A285,Usinas!$A:$B,2,FALSE()),"")</f>
        <v>2.0768115942028986</v>
      </c>
    </row>
    <row r="286" spans="1:4" ht="12" customHeight="1" x14ac:dyDescent="0.3">
      <c r="A286" s="204" t="s">
        <v>556</v>
      </c>
      <c r="B286" s="205">
        <v>45944</v>
      </c>
      <c r="C286" s="215">
        <v>3882.4</v>
      </c>
      <c r="D286" s="207">
        <f>IFERROR(C286/VLOOKUP(A286,Usinas!$A:$B,2,FALSE()),"")</f>
        <v>6.2518518518518524</v>
      </c>
    </row>
    <row r="287" spans="1:4" ht="12" customHeight="1" x14ac:dyDescent="0.3">
      <c r="A287" s="204" t="s">
        <v>556</v>
      </c>
      <c r="B287" s="205">
        <v>45945</v>
      </c>
      <c r="C287" s="215">
        <v>3545.4</v>
      </c>
      <c r="D287" s="207">
        <f>IFERROR(C287/VLOOKUP(A287,Usinas!$A:$B,2,FALSE()),"")</f>
        <v>5.7091787439613526</v>
      </c>
    </row>
    <row r="288" spans="1:4" ht="12" customHeight="1" x14ac:dyDescent="0.3">
      <c r="A288" s="204" t="s">
        <v>556</v>
      </c>
      <c r="B288" s="205">
        <v>45946</v>
      </c>
      <c r="C288" s="215">
        <v>3286</v>
      </c>
      <c r="D288" s="207">
        <f>IFERROR(C288/VLOOKUP(A288,Usinas!$A:$B,2,FALSE()),"")</f>
        <v>5.2914653784219006</v>
      </c>
    </row>
    <row r="289" spans="1:4" ht="12" customHeight="1" x14ac:dyDescent="0.3">
      <c r="A289" s="204" t="s">
        <v>556</v>
      </c>
      <c r="B289" s="205">
        <v>45947</v>
      </c>
      <c r="C289" s="215">
        <v>2885</v>
      </c>
      <c r="D289" s="207">
        <f>IFERROR(C289/VLOOKUP(A289,Usinas!$A:$B,2,FALSE()),"")</f>
        <v>4.6457326892109503</v>
      </c>
    </row>
    <row r="290" spans="1:4" ht="12" customHeight="1" x14ac:dyDescent="0.3">
      <c r="A290" s="204" t="s">
        <v>556</v>
      </c>
      <c r="B290" s="205">
        <v>45948</v>
      </c>
      <c r="C290" s="215">
        <v>1024.4000000000001</v>
      </c>
      <c r="D290" s="207">
        <f>IFERROR(C290/VLOOKUP(A290,Usinas!$A:$B,2,FALSE()),"")</f>
        <v>1.6495974235104671</v>
      </c>
    </row>
    <row r="291" spans="1:4" ht="12" customHeight="1" x14ac:dyDescent="0.3">
      <c r="A291" s="204" t="s">
        <v>556</v>
      </c>
      <c r="B291" s="205">
        <v>45949</v>
      </c>
      <c r="C291" s="215">
        <v>3202.6</v>
      </c>
      <c r="D291" s="207">
        <f>IFERROR(C291/VLOOKUP(A291,Usinas!$A:$B,2,FALSE()),"")</f>
        <v>5.1571658615136871</v>
      </c>
    </row>
    <row r="292" spans="1:4" ht="12" customHeight="1" x14ac:dyDescent="0.3">
      <c r="A292" s="204" t="s">
        <v>556</v>
      </c>
      <c r="B292" s="205">
        <v>45950</v>
      </c>
      <c r="C292" s="215">
        <v>4096.6000000000004</v>
      </c>
      <c r="D292" s="207">
        <f>IFERROR(C292/VLOOKUP(A292,Usinas!$A:$B,2,FALSE()),"")</f>
        <v>6.5967793880837364</v>
      </c>
    </row>
    <row r="293" spans="1:4" ht="12" customHeight="1" x14ac:dyDescent="0.3">
      <c r="A293" s="204" t="s">
        <v>556</v>
      </c>
      <c r="B293" s="205">
        <v>45951</v>
      </c>
      <c r="C293" s="215">
        <v>4051.5</v>
      </c>
      <c r="D293" s="207">
        <f>IFERROR(C293/VLOOKUP(A293,Usinas!$A:$B,2,FALSE()),"")</f>
        <v>6.5241545893719808</v>
      </c>
    </row>
    <row r="294" spans="1:4" ht="12" customHeight="1" x14ac:dyDescent="0.3">
      <c r="A294" s="204" t="s">
        <v>556</v>
      </c>
      <c r="B294" s="205">
        <v>45952</v>
      </c>
      <c r="C294" s="215">
        <v>4002.5</v>
      </c>
      <c r="D294" s="207">
        <f>IFERROR(C294/VLOOKUP(A294,Usinas!$A:$B,2,FALSE()),"")</f>
        <v>6.4452495974235102</v>
      </c>
    </row>
    <row r="295" spans="1:4" ht="12" customHeight="1" x14ac:dyDescent="0.3">
      <c r="A295" s="204" t="s">
        <v>556</v>
      </c>
      <c r="B295" s="205">
        <v>45953</v>
      </c>
      <c r="C295" s="215">
        <v>3444.6</v>
      </c>
      <c r="D295" s="207">
        <f>IFERROR(C295/VLOOKUP(A295,Usinas!$A:$B,2,FALSE()),"")</f>
        <v>5.5468599033816428</v>
      </c>
    </row>
    <row r="296" spans="1:4" ht="12" customHeight="1" x14ac:dyDescent="0.3">
      <c r="A296" s="204" t="s">
        <v>556</v>
      </c>
      <c r="B296" s="205">
        <v>45954</v>
      </c>
      <c r="C296" s="215">
        <v>3893.8</v>
      </c>
      <c r="D296" s="207">
        <f>IFERROR(C296/VLOOKUP(A296,Usinas!$A:$B,2,FALSE()),"")</f>
        <v>6.2702093397745573</v>
      </c>
    </row>
    <row r="297" spans="1:4" ht="12" customHeight="1" x14ac:dyDescent="0.3">
      <c r="A297" s="204" t="s">
        <v>556</v>
      </c>
      <c r="B297" s="205">
        <v>45955</v>
      </c>
      <c r="C297" s="215">
        <v>3396</v>
      </c>
      <c r="D297" s="207">
        <f>IFERROR(C297/VLOOKUP(A297,Usinas!$A:$B,2,FALSE()),"")</f>
        <v>5.4685990338164254</v>
      </c>
    </row>
    <row r="298" spans="1:4" ht="12" customHeight="1" x14ac:dyDescent="0.3">
      <c r="A298" s="204" t="s">
        <v>556</v>
      </c>
      <c r="B298" s="205">
        <v>45956</v>
      </c>
      <c r="C298" s="215">
        <v>5.0999999999999996</v>
      </c>
      <c r="D298" s="207">
        <f>IFERROR(C298/VLOOKUP(A298,Usinas!$A:$B,2,FALSE()),"")</f>
        <v>8.2125603864734286E-3</v>
      </c>
    </row>
    <row r="299" spans="1:4" ht="12" customHeight="1" x14ac:dyDescent="0.3">
      <c r="A299" s="204" t="s">
        <v>556</v>
      </c>
      <c r="B299" s="205">
        <v>45957</v>
      </c>
      <c r="C299" s="215">
        <v>2427.1999999999998</v>
      </c>
      <c r="D299" s="207">
        <f>IFERROR(C299/VLOOKUP(A299,Usinas!$A:$B,2,FALSE()),"")</f>
        <v>3.9085346215780996</v>
      </c>
    </row>
    <row r="300" spans="1:4" ht="12" customHeight="1" x14ac:dyDescent="0.3">
      <c r="A300" s="204" t="s">
        <v>556</v>
      </c>
      <c r="B300" s="205">
        <v>45958</v>
      </c>
      <c r="C300" s="215">
        <v>2273.1</v>
      </c>
      <c r="D300" s="207">
        <f>IFERROR(C300/VLOOKUP(A300,Usinas!$A:$B,2,FALSE()),"")</f>
        <v>3.6603864734299516</v>
      </c>
    </row>
    <row r="301" spans="1:4" ht="12" customHeight="1" x14ac:dyDescent="0.3">
      <c r="A301" s="204" t="s">
        <v>556</v>
      </c>
      <c r="B301" s="205">
        <v>45959</v>
      </c>
      <c r="C301" s="215">
        <v>1582.7</v>
      </c>
      <c r="D301" s="207">
        <f>IFERROR(C301/VLOOKUP(A301,Usinas!$A:$B,2,FALSE()),"")</f>
        <v>2.5486312399355877</v>
      </c>
    </row>
    <row r="302" spans="1:4" ht="12" customHeight="1" x14ac:dyDescent="0.3">
      <c r="A302" s="204" t="s">
        <v>556</v>
      </c>
      <c r="B302" s="205">
        <v>45960</v>
      </c>
      <c r="C302" s="215">
        <v>2863.7</v>
      </c>
      <c r="D302" s="207">
        <f>IFERROR(C302/VLOOKUP(A302,Usinas!$A:$B,2,FALSE()),"")</f>
        <v>4.6114331723027373</v>
      </c>
    </row>
    <row r="303" spans="1:4" ht="12" customHeight="1" x14ac:dyDescent="0.3">
      <c r="A303" s="204" t="s">
        <v>556</v>
      </c>
      <c r="B303" s="205">
        <v>45961</v>
      </c>
      <c r="C303" s="215">
        <v>3462.4</v>
      </c>
      <c r="D303" s="207">
        <f>IFERROR(C303/VLOOKUP(A303,Usinas!$A:$B,2,FALSE()),"")</f>
        <v>5.5755233494363932</v>
      </c>
    </row>
    <row r="304" spans="1:4" ht="12" customHeight="1" x14ac:dyDescent="0.3">
      <c r="A304" s="204" t="s">
        <v>556</v>
      </c>
      <c r="B304" s="205">
        <v>45962</v>
      </c>
      <c r="C304" s="215">
        <v>2620.3000000000002</v>
      </c>
      <c r="D304" s="207">
        <f>IFERROR(C304/VLOOKUP(A304,Usinas!$A:$B,2,FALSE()),"")</f>
        <v>4.2194847020933981</v>
      </c>
    </row>
    <row r="305" spans="1:4" ht="12" customHeight="1" x14ac:dyDescent="0.3">
      <c r="A305" s="204" t="s">
        <v>556</v>
      </c>
      <c r="B305" s="205">
        <v>45963</v>
      </c>
      <c r="C305" s="215">
        <v>1333.4</v>
      </c>
      <c r="D305" s="207">
        <f>IFERROR(C305/VLOOKUP(A305,Usinas!$A:$B,2,FALSE()),"")</f>
        <v>2.147181964573269</v>
      </c>
    </row>
    <row r="306" spans="1:4" ht="12" customHeight="1" x14ac:dyDescent="0.3">
      <c r="A306" s="204" t="s">
        <v>556</v>
      </c>
      <c r="B306" s="205">
        <v>45964</v>
      </c>
      <c r="C306" s="215">
        <v>2872.2</v>
      </c>
      <c r="D306" s="207">
        <f>IFERROR(C306/VLOOKUP(A306,Usinas!$A:$B,2,FALSE()),"")</f>
        <v>4.6251207729468593</v>
      </c>
    </row>
    <row r="307" spans="1:4" ht="12" customHeight="1" x14ac:dyDescent="0.3">
      <c r="A307" s="204" t="s">
        <v>556</v>
      </c>
      <c r="B307" s="205">
        <v>45965</v>
      </c>
      <c r="C307" s="215">
        <v>3228.1</v>
      </c>
      <c r="D307" s="207">
        <f>IFERROR(C307/VLOOKUP(A307,Usinas!$A:$B,2,FALSE()),"")</f>
        <v>5.1982286634460548</v>
      </c>
    </row>
    <row r="308" spans="1:4" ht="12" customHeight="1" x14ac:dyDescent="0.3">
      <c r="A308" s="204" t="s">
        <v>556</v>
      </c>
      <c r="B308" s="205">
        <v>45966</v>
      </c>
      <c r="C308" s="215">
        <v>650.5</v>
      </c>
      <c r="D308" s="207">
        <f>IFERROR(C308/VLOOKUP(A308,Usinas!$A:$B,2,FALSE()),"")</f>
        <v>1.0475040257648953</v>
      </c>
    </row>
    <row r="309" spans="1:4" ht="12" customHeight="1" x14ac:dyDescent="0.3">
      <c r="A309" s="204" t="s">
        <v>556</v>
      </c>
      <c r="B309" s="205">
        <v>45967</v>
      </c>
      <c r="C309" s="215">
        <v>3854.6</v>
      </c>
      <c r="D309" s="207">
        <f>IFERROR(C309/VLOOKUP(A309,Usinas!$A:$B,2,FALSE()),"")</f>
        <v>6.2070853462157807</v>
      </c>
    </row>
    <row r="310" spans="1:4" ht="12" customHeight="1" x14ac:dyDescent="0.3">
      <c r="A310" s="204" t="s">
        <v>556</v>
      </c>
      <c r="B310" s="205">
        <v>45968</v>
      </c>
      <c r="C310" s="215">
        <v>3232.3</v>
      </c>
      <c r="D310" s="207">
        <f>IFERROR(C310/VLOOKUP(A310,Usinas!$A:$B,2,FALSE()),"")</f>
        <v>5.2049919484702096</v>
      </c>
    </row>
    <row r="311" spans="1:4" ht="12" customHeight="1" x14ac:dyDescent="0.3">
      <c r="A311" s="204" t="s">
        <v>556</v>
      </c>
      <c r="B311" s="205">
        <v>45969</v>
      </c>
      <c r="C311" s="215">
        <v>2965.8</v>
      </c>
      <c r="D311" s="207">
        <f>IFERROR(C311/VLOOKUP(A311,Usinas!$A:$B,2,FALSE()),"")</f>
        <v>4.7758454106280199</v>
      </c>
    </row>
    <row r="312" spans="1:4" ht="12" customHeight="1" x14ac:dyDescent="0.3">
      <c r="A312" s="204" t="s">
        <v>556</v>
      </c>
      <c r="B312" s="205">
        <v>45970</v>
      </c>
      <c r="C312" s="215">
        <v>3730.2</v>
      </c>
      <c r="D312" s="207">
        <f>IFERROR(C312/VLOOKUP(A312,Usinas!$A:$B,2,FALSE()),"")</f>
        <v>6.0067632850241539</v>
      </c>
    </row>
    <row r="313" spans="1:4" ht="12" customHeight="1" x14ac:dyDescent="0.3">
      <c r="A313" s="204" t="s">
        <v>556</v>
      </c>
      <c r="B313" s="205">
        <v>45971</v>
      </c>
      <c r="C313" s="215">
        <v>4016.9</v>
      </c>
      <c r="D313" s="207">
        <f>IFERROR(C313/VLOOKUP(A313,Usinas!$A:$B,2,FALSE()),"")</f>
        <v>6.4684380032206121</v>
      </c>
    </row>
    <row r="314" spans="1:4" ht="12" customHeight="1" x14ac:dyDescent="0.3">
      <c r="A314" s="204" t="s">
        <v>556</v>
      </c>
      <c r="B314" s="205">
        <v>45972</v>
      </c>
      <c r="C314" s="215">
        <v>3945.3</v>
      </c>
      <c r="D314" s="207">
        <f>IFERROR(C314/VLOOKUP(A314,Usinas!$A:$B,2,FALSE()),"")</f>
        <v>6.3531400966183575</v>
      </c>
    </row>
    <row r="315" spans="1:4" ht="12" customHeight="1" x14ac:dyDescent="0.3">
      <c r="A315" s="204" t="s">
        <v>556</v>
      </c>
      <c r="B315" s="205">
        <v>45973</v>
      </c>
      <c r="C315" s="215">
        <v>3263.5</v>
      </c>
      <c r="D315" s="207">
        <f>IFERROR(C315/VLOOKUP(A315,Usinas!$A:$B,2,FALSE()),"")</f>
        <v>5.2552334943639289</v>
      </c>
    </row>
    <row r="316" spans="1:4" ht="12" customHeight="1" x14ac:dyDescent="0.3">
      <c r="A316" s="204" t="s">
        <v>556</v>
      </c>
      <c r="B316" s="205">
        <v>45974</v>
      </c>
      <c r="C316" s="215">
        <v>1157.8</v>
      </c>
      <c r="D316" s="207">
        <f>IFERROR(C316/VLOOKUP(A316,Usinas!$A:$B,2,FALSE()),"")</f>
        <v>1.8644122383252817</v>
      </c>
    </row>
    <row r="317" spans="1:4" ht="12" customHeight="1" x14ac:dyDescent="0.3">
      <c r="A317" s="204" t="s">
        <v>556</v>
      </c>
      <c r="B317" s="205">
        <v>45975</v>
      </c>
      <c r="C317" s="215">
        <v>2319.9</v>
      </c>
      <c r="D317" s="207">
        <f>IFERROR(C317/VLOOKUP(A317,Usinas!$A:$B,2,FALSE()),"")</f>
        <v>3.7357487922705315</v>
      </c>
    </row>
    <row r="318" spans="1:4" ht="12" customHeight="1" x14ac:dyDescent="0.3">
      <c r="A318" s="204" t="s">
        <v>556</v>
      </c>
      <c r="B318" s="205">
        <v>45976</v>
      </c>
      <c r="C318" s="215">
        <v>849.2</v>
      </c>
      <c r="D318" s="207">
        <f>IFERROR(C318/VLOOKUP(A318,Usinas!$A:$B,2,FALSE()),"")</f>
        <v>1.3674718196457327</v>
      </c>
    </row>
    <row r="319" spans="1:4" ht="12" customHeight="1" x14ac:dyDescent="0.3">
      <c r="A319" s="204" t="s">
        <v>556</v>
      </c>
      <c r="B319" s="205">
        <v>45977</v>
      </c>
      <c r="C319" s="215">
        <v>2325.4</v>
      </c>
      <c r="D319" s="207">
        <f>IFERROR(C319/VLOOKUP(A319,Usinas!$A:$B,2,FALSE()),"")</f>
        <v>3.7446054750402578</v>
      </c>
    </row>
    <row r="320" spans="1:4" ht="12" customHeight="1" x14ac:dyDescent="0.3">
      <c r="A320" s="204" t="s">
        <v>556</v>
      </c>
      <c r="B320" s="205">
        <v>45978</v>
      </c>
      <c r="C320" s="215">
        <v>994.1</v>
      </c>
      <c r="D320" s="207">
        <f>IFERROR(C320/VLOOKUP(A320,Usinas!$A:$B,2,FALSE()),"")</f>
        <v>1.6008051529790661</v>
      </c>
    </row>
    <row r="321" spans="1:4" ht="12" customHeight="1" x14ac:dyDescent="0.3">
      <c r="A321" s="204" t="s">
        <v>556</v>
      </c>
      <c r="B321" s="205">
        <v>45979</v>
      </c>
      <c r="C321" s="215">
        <v>3939.2</v>
      </c>
      <c r="D321" s="207">
        <f>IFERROR(C321/VLOOKUP(A321,Usinas!$A:$B,2,FALSE()),"")</f>
        <v>6.3433172302737519</v>
      </c>
    </row>
    <row r="322" spans="1:4" ht="12" customHeight="1" x14ac:dyDescent="0.3">
      <c r="A322" s="204" t="s">
        <v>556</v>
      </c>
      <c r="B322" s="205">
        <v>45980</v>
      </c>
      <c r="C322" s="215">
        <v>3963.8</v>
      </c>
      <c r="D322" s="207">
        <f>IFERROR(C322/VLOOKUP(A322,Usinas!$A:$B,2,FALSE()),"")</f>
        <v>6.382930756843801</v>
      </c>
    </row>
    <row r="323" spans="1:4" ht="12" customHeight="1" x14ac:dyDescent="0.3">
      <c r="A323" s="204" t="s">
        <v>556</v>
      </c>
      <c r="B323" s="205">
        <v>45981</v>
      </c>
      <c r="C323" s="215">
        <v>3968.8</v>
      </c>
      <c r="D323" s="207">
        <f>IFERROR(C323/VLOOKUP(A323,Usinas!$A:$B,2,FALSE()),"")</f>
        <v>6.3909822866344612</v>
      </c>
    </row>
    <row r="324" spans="1:4" ht="12" customHeight="1" x14ac:dyDescent="0.3">
      <c r="A324" s="204" t="s">
        <v>556</v>
      </c>
      <c r="B324" s="205">
        <v>45982</v>
      </c>
      <c r="C324" s="215">
        <v>3857</v>
      </c>
      <c r="D324" s="207">
        <f>IFERROR(C324/VLOOKUP(A324,Usinas!$A:$B,2,FALSE()),"")</f>
        <v>6.210950080515298</v>
      </c>
    </row>
    <row r="325" spans="1:4" ht="12" customHeight="1" x14ac:dyDescent="0.3">
      <c r="A325" s="204" t="s">
        <v>556</v>
      </c>
      <c r="B325" s="205">
        <v>45983</v>
      </c>
      <c r="C325" s="215">
        <v>3812.3</v>
      </c>
      <c r="D325" s="207">
        <f>IFERROR(C325/VLOOKUP(A325,Usinas!$A:$B,2,FALSE()),"")</f>
        <v>6.1389694041867955</v>
      </c>
    </row>
    <row r="326" spans="1:4" ht="12" customHeight="1" x14ac:dyDescent="0.3">
      <c r="A326" s="204" t="s">
        <v>556</v>
      </c>
      <c r="B326" s="205">
        <v>45984</v>
      </c>
      <c r="C326" s="215">
        <v>2079.6999999999998</v>
      </c>
      <c r="D326" s="207">
        <f>IFERROR(C326/VLOOKUP(A326,Usinas!$A:$B,2,FALSE()),"")</f>
        <v>3.3489533011272137</v>
      </c>
    </row>
    <row r="327" spans="1:4" ht="12" customHeight="1" x14ac:dyDescent="0.3">
      <c r="A327" s="204" t="s">
        <v>556</v>
      </c>
      <c r="B327" s="205">
        <v>45985</v>
      </c>
      <c r="C327" s="215">
        <v>3587.4</v>
      </c>
      <c r="D327" s="207">
        <f>IFERROR(C327/VLOOKUP(A327,Usinas!$A:$B,2,FALSE()),"")</f>
        <v>5.7768115942028988</v>
      </c>
    </row>
    <row r="328" spans="1:4" ht="12" customHeight="1" x14ac:dyDescent="0.3">
      <c r="A328" s="204" t="s">
        <v>556</v>
      </c>
      <c r="B328" s="205">
        <v>45986</v>
      </c>
      <c r="C328" s="215">
        <v>3914.7</v>
      </c>
      <c r="D328" s="207">
        <f>IFERROR(C328/VLOOKUP(A328,Usinas!$A:$B,2,FALSE()),"")</f>
        <v>6.3038647342995162</v>
      </c>
    </row>
    <row r="329" spans="1:4" ht="12" customHeight="1" x14ac:dyDescent="0.3">
      <c r="A329" s="204" t="s">
        <v>556</v>
      </c>
      <c r="B329" s="205">
        <v>45987</v>
      </c>
      <c r="C329" s="215">
        <v>3802.1</v>
      </c>
      <c r="D329" s="207">
        <f>IFERROR(C329/VLOOKUP(A329,Usinas!$A:$B,2,FALSE()),"")</f>
        <v>6.1225442834138484</v>
      </c>
    </row>
    <row r="330" spans="1:4" ht="12" customHeight="1" x14ac:dyDescent="0.3">
      <c r="A330" s="204" t="s">
        <v>556</v>
      </c>
      <c r="B330" s="205">
        <v>45988</v>
      </c>
      <c r="C330" s="215">
        <v>3745.4</v>
      </c>
      <c r="D330" s="207">
        <f>IFERROR(C330/VLOOKUP(A330,Usinas!$A:$B,2,FALSE()),"")</f>
        <v>6.0312399355877622</v>
      </c>
    </row>
    <row r="331" spans="1:4" ht="12" customHeight="1" x14ac:dyDescent="0.3">
      <c r="A331" s="204" t="s">
        <v>556</v>
      </c>
      <c r="B331" s="205">
        <v>45989</v>
      </c>
      <c r="C331" s="215">
        <v>3752</v>
      </c>
      <c r="D331" s="207">
        <f>IFERROR(C331/VLOOKUP(A331,Usinas!$A:$B,2,FALSE()),"")</f>
        <v>6.0418679549114334</v>
      </c>
    </row>
    <row r="332" spans="1:4" ht="12" customHeight="1" x14ac:dyDescent="0.3">
      <c r="A332" s="204" t="s">
        <v>556</v>
      </c>
      <c r="B332" s="205">
        <v>45990</v>
      </c>
      <c r="C332" s="215">
        <v>3695.8</v>
      </c>
      <c r="D332" s="207">
        <f>IFERROR(C332/VLOOKUP(A332,Usinas!$A:$B,2,FALSE()),"")</f>
        <v>5.9513687600644127</v>
      </c>
    </row>
    <row r="333" spans="1:4" ht="12" customHeight="1" x14ac:dyDescent="0.3">
      <c r="A333" s="204" t="s">
        <v>556</v>
      </c>
      <c r="B333" s="205">
        <v>45991</v>
      </c>
      <c r="C333" s="215">
        <v>3552.8</v>
      </c>
      <c r="D333" s="207">
        <f>IFERROR(C333/VLOOKUP(A333,Usinas!$A:$B,2,FALSE()),"")</f>
        <v>5.7210950080515302</v>
      </c>
    </row>
    <row r="334" spans="1:4" ht="12" customHeight="1" x14ac:dyDescent="0.3">
      <c r="A334" s="204" t="s">
        <v>556</v>
      </c>
      <c r="B334" s="205">
        <v>45992</v>
      </c>
      <c r="C334" s="215">
        <v>1714</v>
      </c>
      <c r="D334" s="207">
        <f>IFERROR(C334/VLOOKUP(A334,Usinas!$A:$B,2,FALSE()),"")</f>
        <v>2.7600644122383251</v>
      </c>
    </row>
    <row r="335" spans="1:4" ht="12" customHeight="1" x14ac:dyDescent="0.3">
      <c r="A335" s="204" t="s">
        <v>556</v>
      </c>
      <c r="B335" s="205">
        <v>45993</v>
      </c>
      <c r="C335" s="215">
        <v>2698.3</v>
      </c>
      <c r="D335" s="207">
        <f>IFERROR(C335/VLOOKUP(A335,Usinas!$A:$B,2,FALSE()),"")</f>
        <v>4.3450885668276973</v>
      </c>
    </row>
    <row r="336" spans="1:4" ht="12" customHeight="1" x14ac:dyDescent="0.3">
      <c r="A336" s="204" t="s">
        <v>556</v>
      </c>
      <c r="B336" s="205">
        <v>45994</v>
      </c>
      <c r="C336" s="215">
        <v>3117</v>
      </c>
      <c r="D336" s="207">
        <f>IFERROR(C336/VLOOKUP(A336,Usinas!$A:$B,2,FALSE()),"")</f>
        <v>5.0193236714975846</v>
      </c>
    </row>
    <row r="337" spans="1:4" ht="12" customHeight="1" x14ac:dyDescent="0.3">
      <c r="A337" s="204" t="s">
        <v>556</v>
      </c>
      <c r="B337" s="205">
        <v>45995</v>
      </c>
      <c r="C337" s="215">
        <v>3818.5</v>
      </c>
      <c r="D337" s="207">
        <f>IFERROR(C337/VLOOKUP(A337,Usinas!$A:$B,2,FALSE()),"")</f>
        <v>6.1489533011272144</v>
      </c>
    </row>
    <row r="338" spans="1:4" ht="12" customHeight="1" x14ac:dyDescent="0.3">
      <c r="A338" s="204" t="s">
        <v>556</v>
      </c>
      <c r="B338" s="205">
        <v>45996</v>
      </c>
      <c r="C338" s="215">
        <v>3814.9</v>
      </c>
      <c r="D338" s="207">
        <f>IFERROR(C338/VLOOKUP(A338,Usinas!$A:$B,2,FALSE()),"")</f>
        <v>6.1431561996779394</v>
      </c>
    </row>
    <row r="339" spans="1:4" ht="12" customHeight="1" x14ac:dyDescent="0.3">
      <c r="A339" s="204" t="s">
        <v>556</v>
      </c>
      <c r="B339" s="205">
        <v>45997</v>
      </c>
      <c r="C339" s="215">
        <v>3682.7</v>
      </c>
      <c r="D339" s="207">
        <f>IFERROR(C339/VLOOKUP(A339,Usinas!$A:$B,2,FALSE()),"")</f>
        <v>5.9302737520128819</v>
      </c>
    </row>
    <row r="340" spans="1:4" ht="12" customHeight="1" x14ac:dyDescent="0.3">
      <c r="A340" s="204" t="s">
        <v>556</v>
      </c>
      <c r="B340" s="205">
        <v>45998</v>
      </c>
      <c r="C340" s="215">
        <v>2031.3</v>
      </c>
      <c r="D340" s="207">
        <f>IFERROR(C340/VLOOKUP(A340,Usinas!$A:$B,2,FALSE()),"")</f>
        <v>3.2710144927536233</v>
      </c>
    </row>
    <row r="341" spans="1:4" ht="12" customHeight="1" x14ac:dyDescent="0.3">
      <c r="A341" s="204" t="s">
        <v>556</v>
      </c>
      <c r="B341" s="205">
        <v>45999</v>
      </c>
      <c r="C341" s="215">
        <v>2383.9</v>
      </c>
      <c r="D341" s="207">
        <f>IFERROR(C341/VLOOKUP(A341,Usinas!$A:$B,2,FALSE()),"")</f>
        <v>3.8388083735909824</v>
      </c>
    </row>
    <row r="342" spans="1:4" ht="12" customHeight="1" x14ac:dyDescent="0.3">
      <c r="A342" s="204" t="s">
        <v>556</v>
      </c>
      <c r="B342" s="205">
        <v>46000</v>
      </c>
      <c r="C342" s="215">
        <v>2839.8</v>
      </c>
      <c r="D342" s="207">
        <f>IFERROR(C342/VLOOKUP(A342,Usinas!$A:$B,2,FALSE()),"")</f>
        <v>4.5729468599033822</v>
      </c>
    </row>
    <row r="343" spans="1:4" ht="12" customHeight="1" x14ac:dyDescent="0.3">
      <c r="A343" s="204" t="s">
        <v>556</v>
      </c>
      <c r="B343" s="205">
        <v>46001</v>
      </c>
      <c r="C343" s="215">
        <v>3653.2</v>
      </c>
      <c r="D343" s="207">
        <f>IFERROR(C343/VLOOKUP(A343,Usinas!$A:$B,2,FALSE()),"")</f>
        <v>5.8827697262479868</v>
      </c>
    </row>
    <row r="344" spans="1:4" ht="12" customHeight="1" x14ac:dyDescent="0.3">
      <c r="A344" s="204" t="s">
        <v>556</v>
      </c>
      <c r="B344" s="205">
        <v>46002</v>
      </c>
      <c r="C344" s="215">
        <v>3657.8</v>
      </c>
      <c r="D344" s="207">
        <f>IFERROR(C344/VLOOKUP(A344,Usinas!$A:$B,2,FALSE()),"")</f>
        <v>5.8901771336553947</v>
      </c>
    </row>
    <row r="345" spans="1:4" ht="12" customHeight="1" x14ac:dyDescent="0.3">
      <c r="A345" s="204" t="s">
        <v>556</v>
      </c>
      <c r="B345" s="205">
        <v>46003</v>
      </c>
      <c r="C345" s="215">
        <v>1286.8</v>
      </c>
      <c r="D345" s="207">
        <f>IFERROR(C345/VLOOKUP(A345,Usinas!$A:$B,2,FALSE()),"")</f>
        <v>2.0721417069243158</v>
      </c>
    </row>
    <row r="346" spans="1:4" ht="12" customHeight="1" x14ac:dyDescent="0.3">
      <c r="A346" s="204" t="s">
        <v>556</v>
      </c>
      <c r="B346" s="205">
        <v>46004</v>
      </c>
      <c r="C346" s="215">
        <v>1267.8</v>
      </c>
      <c r="D346" s="207">
        <f>IFERROR(C346/VLOOKUP(A346,Usinas!$A:$B,2,FALSE()),"")</f>
        <v>2.0415458937198068</v>
      </c>
    </row>
    <row r="347" spans="1:4" ht="12" customHeight="1" x14ac:dyDescent="0.3">
      <c r="A347" s="204" t="s">
        <v>556</v>
      </c>
      <c r="B347" s="205">
        <v>46005</v>
      </c>
      <c r="C347" s="215">
        <v>2360.1999999999998</v>
      </c>
      <c r="D347" s="207">
        <f>IFERROR(C347/VLOOKUP(A347,Usinas!$A:$B,2,FALSE()),"")</f>
        <v>3.8006441223832526</v>
      </c>
    </row>
    <row r="348" spans="1:4" ht="12" customHeight="1" x14ac:dyDescent="0.3">
      <c r="A348" s="204" t="s">
        <v>556</v>
      </c>
      <c r="B348" s="205">
        <v>46006</v>
      </c>
      <c r="C348" s="215">
        <v>3447.7</v>
      </c>
      <c r="D348" s="207">
        <f>IFERROR(C348/VLOOKUP(A348,Usinas!$A:$B,2,FALSE()),"")</f>
        <v>5.5518518518518514</v>
      </c>
    </row>
    <row r="349" spans="1:4" ht="12" customHeight="1" x14ac:dyDescent="0.3">
      <c r="A349" s="204" t="s">
        <v>556</v>
      </c>
      <c r="B349" s="205">
        <v>46007</v>
      </c>
      <c r="C349" s="215">
        <v>1745.7</v>
      </c>
      <c r="D349" s="207">
        <f>IFERROR(C349/VLOOKUP(A349,Usinas!$A:$B,2,FALSE()),"")</f>
        <v>2.8111111111111113</v>
      </c>
    </row>
    <row r="350" spans="1:4" ht="12" customHeight="1" x14ac:dyDescent="0.3">
      <c r="A350" s="204" t="s">
        <v>556</v>
      </c>
      <c r="B350" s="205">
        <v>46008</v>
      </c>
      <c r="C350" s="215">
        <v>2506.6</v>
      </c>
      <c r="D350" s="207">
        <f>IFERROR(C350/VLOOKUP(A350,Usinas!$A:$B,2,FALSE()),"")</f>
        <v>4.036392914653784</v>
      </c>
    </row>
    <row r="351" spans="1:4" ht="12" customHeight="1" x14ac:dyDescent="0.3">
      <c r="A351" s="204" t="s">
        <v>556</v>
      </c>
      <c r="B351" s="205">
        <v>46009</v>
      </c>
      <c r="C351" s="215">
        <v>3902.1</v>
      </c>
      <c r="D351" s="207">
        <f>IFERROR(C351/VLOOKUP(A351,Usinas!$A:$B,2,FALSE()),"")</f>
        <v>6.2835748792270527</v>
      </c>
    </row>
    <row r="352" spans="1:4" ht="12" customHeight="1" x14ac:dyDescent="0.3">
      <c r="A352" s="204" t="s">
        <v>556</v>
      </c>
      <c r="B352" s="205">
        <v>46010</v>
      </c>
      <c r="C352" s="215">
        <v>3549.1</v>
      </c>
      <c r="D352" s="207">
        <f>IFERROR(C352/VLOOKUP(A352,Usinas!$A:$B,2,FALSE()),"")</f>
        <v>5.7151368760064409</v>
      </c>
    </row>
    <row r="353" spans="1:4" ht="12" customHeight="1" x14ac:dyDescent="0.3">
      <c r="A353" s="204" t="s">
        <v>556</v>
      </c>
      <c r="B353" s="205">
        <v>46011</v>
      </c>
      <c r="C353" s="215">
        <v>3187</v>
      </c>
      <c r="D353" s="207">
        <f>IFERROR(C353/VLOOKUP(A353,Usinas!$A:$B,2,FALSE()),"")</f>
        <v>5.1320450885668274</v>
      </c>
    </row>
    <row r="354" spans="1:4" ht="12" customHeight="1" x14ac:dyDescent="0.3">
      <c r="A354" s="204" t="s">
        <v>556</v>
      </c>
      <c r="B354" s="205">
        <v>46012</v>
      </c>
      <c r="C354" s="215">
        <v>2896.2</v>
      </c>
      <c r="D354" s="207">
        <f>IFERROR(C354/VLOOKUP(A354,Usinas!$A:$B,2,FALSE()),"")</f>
        <v>4.6637681159420286</v>
      </c>
    </row>
    <row r="355" spans="1:4" ht="12" customHeight="1" x14ac:dyDescent="0.3">
      <c r="A355" s="204" t="s">
        <v>556</v>
      </c>
      <c r="B355" s="205">
        <v>46013</v>
      </c>
      <c r="C355" s="215">
        <v>3197.7</v>
      </c>
      <c r="D355" s="207">
        <f>IFERROR(C355/VLOOKUP(A355,Usinas!$A:$B,2,FALSE()),"")</f>
        <v>5.1492753623188401</v>
      </c>
    </row>
    <row r="356" spans="1:4" ht="12" customHeight="1" x14ac:dyDescent="0.3">
      <c r="A356" s="204" t="s">
        <v>556</v>
      </c>
      <c r="B356" s="205">
        <v>46014</v>
      </c>
      <c r="C356" s="215">
        <v>2637.4</v>
      </c>
      <c r="D356" s="207">
        <f>IFERROR(C356/VLOOKUP(A356,Usinas!$A:$B,2,FALSE()),"")</f>
        <v>4.2470209339774563</v>
      </c>
    </row>
    <row r="357" spans="1:4" ht="12" customHeight="1" x14ac:dyDescent="0.3">
      <c r="A357" s="204" t="s">
        <v>556</v>
      </c>
      <c r="B357" s="205">
        <v>46015</v>
      </c>
      <c r="C357" s="215">
        <v>3567.5</v>
      </c>
      <c r="D357" s="207">
        <f>IFERROR(C357/VLOOKUP(A357,Usinas!$A:$B,2,FALSE()),"")</f>
        <v>5.7447665056360711</v>
      </c>
    </row>
    <row r="358" spans="1:4" ht="12" customHeight="1" x14ac:dyDescent="0.3">
      <c r="A358" s="204" t="s">
        <v>556</v>
      </c>
      <c r="B358" s="205">
        <v>46016</v>
      </c>
      <c r="C358" s="215">
        <v>3261.6</v>
      </c>
      <c r="D358" s="207">
        <f>IFERROR(C358/VLOOKUP(A358,Usinas!$A:$B,2,FALSE()),"")</f>
        <v>5.2521739130434781</v>
      </c>
    </row>
    <row r="359" spans="1:4" ht="12" customHeight="1" x14ac:dyDescent="0.3">
      <c r="A359" s="204" t="s">
        <v>556</v>
      </c>
      <c r="B359" s="205">
        <v>46017</v>
      </c>
      <c r="C359" s="215">
        <v>2682.5</v>
      </c>
      <c r="D359" s="207">
        <f>IFERROR(C359/VLOOKUP(A359,Usinas!$A:$B,2,FALSE()),"")</f>
        <v>4.319645732689211</v>
      </c>
    </row>
    <row r="360" spans="1:4" ht="12" customHeight="1" x14ac:dyDescent="0.3">
      <c r="A360" s="204" t="s">
        <v>556</v>
      </c>
      <c r="B360" s="205">
        <v>46018</v>
      </c>
      <c r="C360" s="215">
        <v>3624.2</v>
      </c>
      <c r="D360" s="207">
        <f>IFERROR(C360/VLOOKUP(A360,Usinas!$A:$B,2,FALSE()),"")</f>
        <v>5.8360708534621573</v>
      </c>
    </row>
    <row r="361" spans="1:4" ht="12" customHeight="1" x14ac:dyDescent="0.3">
      <c r="A361" s="204" t="s">
        <v>556</v>
      </c>
      <c r="B361" s="205">
        <v>46019</v>
      </c>
      <c r="C361" s="215">
        <v>1978.7</v>
      </c>
      <c r="D361" s="207">
        <f>IFERROR(C361/VLOOKUP(A361,Usinas!$A:$B,2,FALSE()),"")</f>
        <v>3.1863123993558777</v>
      </c>
    </row>
    <row r="362" spans="1:4" ht="12" customHeight="1" x14ac:dyDescent="0.3">
      <c r="A362" s="204" t="s">
        <v>556</v>
      </c>
      <c r="B362" s="205">
        <v>46020</v>
      </c>
      <c r="C362" s="215">
        <v>2976.3</v>
      </c>
      <c r="D362" s="207">
        <f>IFERROR(C362/VLOOKUP(A362,Usinas!$A:$B,2,FALSE()),"")</f>
        <v>4.792753623188406</v>
      </c>
    </row>
    <row r="363" spans="1:4" ht="12" customHeight="1" x14ac:dyDescent="0.3">
      <c r="A363" s="204" t="s">
        <v>556</v>
      </c>
      <c r="B363" s="205">
        <v>46021</v>
      </c>
      <c r="C363" s="215">
        <v>2416.9</v>
      </c>
      <c r="D363" s="207">
        <f>IFERROR(C363/VLOOKUP(A363,Usinas!$A:$B,2,FALSE()),"")</f>
        <v>3.8919484702093401</v>
      </c>
    </row>
    <row r="364" spans="1:4" ht="12" customHeight="1" x14ac:dyDescent="0.3">
      <c r="A364" s="204" t="s">
        <v>556</v>
      </c>
      <c r="B364" s="205">
        <v>46022</v>
      </c>
      <c r="C364" s="215">
        <v>2728.3</v>
      </c>
      <c r="D364" s="207">
        <f>IFERROR(C364/VLOOKUP(A364,Usinas!$A:$B,2,FALSE()),"")</f>
        <v>4.3933977455716589</v>
      </c>
    </row>
  </sheetData>
  <autoFilter ref="A1:D364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5200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200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E2CC"/>
  </sheetPr>
  <dimension ref="A4:S30"/>
  <sheetViews>
    <sheetView zoomScaleNormal="100" workbookViewId="0">
      <selection activeCell="M24" sqref="M24"/>
    </sheetView>
  </sheetViews>
  <sheetFormatPr defaultColWidth="8.54296875" defaultRowHeight="13" x14ac:dyDescent="0.3"/>
  <cols>
    <col min="1" max="1" width="24.453125" style="201" customWidth="1"/>
    <col min="2" max="2" width="39.81640625" style="201" customWidth="1"/>
    <col min="3" max="3" width="8.54296875" style="201"/>
    <col min="4" max="4" width="12.26953125" style="201" customWidth="1"/>
    <col min="5" max="16384" width="8.54296875" style="201"/>
  </cols>
  <sheetData>
    <row r="4" spans="1:19" ht="12.75" customHeight="1" x14ac:dyDescent="0.3">
      <c r="D4" s="217">
        <v>45658</v>
      </c>
      <c r="E4" s="217">
        <v>45689</v>
      </c>
      <c r="F4" s="217">
        <v>45717</v>
      </c>
      <c r="G4" s="217">
        <v>45748</v>
      </c>
      <c r="H4" s="217">
        <v>45778</v>
      </c>
      <c r="I4" s="217">
        <v>45809</v>
      </c>
      <c r="J4" s="217">
        <v>45839</v>
      </c>
      <c r="K4" s="217">
        <v>45870</v>
      </c>
      <c r="L4" s="217">
        <v>45901</v>
      </c>
      <c r="M4" s="217">
        <v>45931</v>
      </c>
      <c r="N4" s="217">
        <v>45962</v>
      </c>
      <c r="O4" s="217">
        <v>45992</v>
      </c>
      <c r="Q4" s="209" t="s">
        <v>557</v>
      </c>
      <c r="S4" s="209" t="s">
        <v>558</v>
      </c>
    </row>
    <row r="5" spans="1:19" ht="13.5" customHeight="1" x14ac:dyDescent="0.3">
      <c r="A5" s="201" t="s">
        <v>559</v>
      </c>
      <c r="B5" s="201" t="s">
        <v>560</v>
      </c>
      <c r="D5" s="218">
        <f>+SUMIFS('Memória de Massa - 2025'!$H$1:$H$217,'Memória de Massa - 2025'!$A$1:$A$217,'Formula Dados Copasul'!$A5,'Memória de Massa - 2025'!$F$1:$F$217,'Formula Dados Copasul'!D$4)</f>
        <v>44785.32</v>
      </c>
      <c r="E5" s="218">
        <f>+SUMIFS('Memória de Massa - 2025'!$H$1:$H$217,'Memória de Massa - 2025'!$A$1:$A$217,'Formula Dados Copasul'!$A5,'Memória de Massa - 2025'!$F$1:$F$217,'Formula Dados Copasul'!E$4)</f>
        <v>47470.69</v>
      </c>
      <c r="F5" s="218">
        <f>+SUMIFS('Memória de Massa - 2025'!$H$1:$H$217,'Memória de Massa - 2025'!$A$1:$A$217,'Formula Dados Copasul'!$A5,'Memória de Massa - 2025'!$F$1:$F$217,'Formula Dados Copasul'!F$4)</f>
        <v>42520.65</v>
      </c>
      <c r="G5" s="218">
        <f>+SUMIFS('Memória de Massa - 2025'!$H$1:$H$217,'Memória de Massa - 2025'!$A$1:$A$217,'Formula Dados Copasul'!$A5,'Memória de Massa - 2025'!$F$1:$F$217,'Formula Dados Copasul'!G$4)</f>
        <v>37072.04</v>
      </c>
      <c r="H5" s="218">
        <f>+SUMIFS('Memória de Massa - 2025'!$H$1:$H$217,'Memória de Massa - 2025'!$A$1:$A$217,'Formula Dados Copasul'!$A5,'Memória de Massa - 2025'!$F$1:$F$217,'Formula Dados Copasul'!H$4)</f>
        <v>34493.160000000003</v>
      </c>
      <c r="I5" s="218">
        <f>+SUMIFS('Memória de Massa - 2025'!$H$1:$H$217,'Memória de Massa - 2025'!$A$1:$A$217,'Formula Dados Copasul'!$A5,'Memória de Massa - 2025'!$F$1:$F$217,'Formula Dados Copasul'!I$4)</f>
        <v>32323.4</v>
      </c>
      <c r="J5" s="218">
        <f>+SUMIFS('Memória de Massa - 2025'!$H$1:$H$217,'Memória de Massa - 2025'!$A$1:$A$217,'Formula Dados Copasul'!$A5,'Memória de Massa - 2025'!$F$1:$F$217,'Formula Dados Copasul'!J$4)</f>
        <v>34695.56</v>
      </c>
      <c r="K5" s="218">
        <f>+SUMIFS('Memória de Massa - 2025'!$H$1:$H$217,'Memória de Massa - 2025'!$A$1:$A$217,'Formula Dados Copasul'!$A5,'Memória de Massa - 2025'!$F$1:$F$217,'Formula Dados Copasul'!K$4)</f>
        <v>37764.79</v>
      </c>
      <c r="L5" s="218">
        <f>+SUMIFS('Memória de Massa - 2025'!$H$1:$H$217,'Memória de Massa - 2025'!$A$1:$A$217,'Formula Dados Copasul'!$A5,'Memória de Massa - 2025'!$F$1:$F$217,'Formula Dados Copasul'!L$4)</f>
        <v>46046.96</v>
      </c>
      <c r="M5" s="218">
        <f>+SUMIFS('Memória de Massa - 2025'!$H$1:$H$217,'Memória de Massa - 2025'!$A$1:$A$217,'Formula Dados Copasul'!$A5,'Memória de Massa - 2025'!$F$1:$F$217,'Formula Dados Copasul'!M$4)</f>
        <v>46843.03</v>
      </c>
      <c r="N5" s="218">
        <f>+SUMIFS('Memória de Massa - 2025'!$H$1:$H$217,'Memória de Massa - 2025'!$A$1:$A$217,'Formula Dados Copasul'!$A5,'Memória de Massa - 2025'!$F$1:$F$217,'Formula Dados Copasul'!N$4)</f>
        <v>46689.03</v>
      </c>
      <c r="O5" s="218">
        <f>+SUMIFS('Memória de Massa - 2025'!$H$1:$H$217,'Memória de Massa - 2025'!$A$1:$A$217,'Formula Dados Copasul'!$A5,'Memória de Massa - 2025'!$F$1:$F$217,'Formula Dados Copasul'!O$4)</f>
        <v>48254.06</v>
      </c>
      <c r="Q5" s="219">
        <f>+SUM(D5:O5)</f>
        <v>498958.69</v>
      </c>
      <c r="S5" s="219">
        <f>+Q5/12</f>
        <v>41579.890833333331</v>
      </c>
    </row>
    <row r="6" spans="1:19" ht="13.5" customHeight="1" x14ac:dyDescent="0.3">
      <c r="A6" s="201" t="s">
        <v>561</v>
      </c>
      <c r="B6" s="220" t="s">
        <v>562</v>
      </c>
      <c r="D6" s="218">
        <f>+SUMIFS('Memória de Massa - 2025'!$H$1:$H$217,'Memória de Massa - 2025'!$A$1:$A$217,'Formula Dados Copasul'!$A6,'Memória de Massa - 2025'!$F$1:$F$217,'Formula Dados Copasul'!D$4)</f>
        <v>50942.720000000001</v>
      </c>
      <c r="E6" s="218">
        <f>+SUMIFS('Memória de Massa - 2025'!$H$1:$H$217,'Memória de Massa - 2025'!$A$1:$A$217,'Formula Dados Copasul'!$A6,'Memória de Massa - 2025'!$F$1:$F$217,'Formula Dados Copasul'!E$4)</f>
        <v>200728.75</v>
      </c>
      <c r="F6" s="218">
        <f>+SUMIFS('Memória de Massa - 2025'!$H$1:$H$217,'Memória de Massa - 2025'!$A$1:$A$217,'Formula Dados Copasul'!$A6,'Memória de Massa - 2025'!$F$1:$F$217,'Formula Dados Copasul'!F$4)</f>
        <v>207178.06</v>
      </c>
      <c r="G6" s="218">
        <f>+SUMIFS('Memória de Massa - 2025'!$H$1:$H$217,'Memória de Massa - 2025'!$A$1:$A$217,'Formula Dados Copasul'!$A6,'Memória de Massa - 2025'!$F$1:$F$217,'Formula Dados Copasul'!G$4)</f>
        <v>75954.61</v>
      </c>
      <c r="H6" s="218">
        <f>+SUMIFS('Memória de Massa - 2025'!$H$1:$H$217,'Memória de Massa - 2025'!$A$1:$A$217,'Formula Dados Copasul'!$A6,'Memória de Massa - 2025'!$F$1:$F$217,'Formula Dados Copasul'!H$4)</f>
        <v>87080.03</v>
      </c>
      <c r="I6" s="218">
        <f>+SUMIFS('Memória de Massa - 2025'!$H$1:$H$217,'Memória de Massa - 2025'!$A$1:$A$217,'Formula Dados Copasul'!$A6,'Memória de Massa - 2025'!$F$1:$F$217,'Formula Dados Copasul'!I$4)</f>
        <v>147398.37</v>
      </c>
      <c r="J6" s="218">
        <f>+SUMIFS('Memória de Massa - 2025'!$H$1:$H$217,'Memória de Massa - 2025'!$A$1:$A$217,'Formula Dados Copasul'!$A6,'Memória de Massa - 2025'!$F$1:$F$217,'Formula Dados Copasul'!J$4)</f>
        <v>307662.77</v>
      </c>
      <c r="K6" s="218">
        <f>+SUMIFS('Memória de Massa - 2025'!$H$1:$H$217,'Memória de Massa - 2025'!$A$1:$A$217,'Formula Dados Copasul'!$A6,'Memória de Massa - 2025'!$F$1:$F$217,'Formula Dados Copasul'!K$4)</f>
        <v>309712.87</v>
      </c>
      <c r="L6" s="218">
        <f>+SUMIFS('Memória de Massa - 2025'!$H$1:$H$217,'Memória de Massa - 2025'!$A$1:$A$217,'Formula Dados Copasul'!$A6,'Memória de Massa - 2025'!$F$1:$F$217,'Formula Dados Copasul'!L$4)</f>
        <v>82157.25</v>
      </c>
      <c r="M6" s="218">
        <f>+SUMIFS('Memória de Massa - 2025'!$H$1:$H$217,'Memória de Massa - 2025'!$A$1:$A$217,'Formula Dados Copasul'!$A6,'Memória de Massa - 2025'!$F$1:$F$217,'Formula Dados Copasul'!M$4)</f>
        <v>13325.59</v>
      </c>
      <c r="N6" s="218">
        <f>+SUMIFS('Memória de Massa - 2025'!$H$1:$H$217,'Memória de Massa - 2025'!$A$1:$A$217,'Formula Dados Copasul'!$A6,'Memória de Massa - 2025'!$F$1:$F$217,'Formula Dados Copasul'!N$4)</f>
        <v>11108.92</v>
      </c>
      <c r="O6" s="218">
        <f>+SUMIFS('Memória de Massa - 2025'!$H$1:$H$217,'Memória de Massa - 2025'!$A$1:$A$217,'Formula Dados Copasul'!$A6,'Memória de Massa - 2025'!$F$1:$F$217,'Formula Dados Copasul'!O$4)</f>
        <v>11745.55</v>
      </c>
      <c r="Q6" s="219">
        <f>+SUM(D6:O6)</f>
        <v>1504995.4900000002</v>
      </c>
      <c r="S6" s="219">
        <f>+Q6/12</f>
        <v>125416.29083333335</v>
      </c>
    </row>
    <row r="7" spans="1:19" ht="23.25" customHeight="1" x14ac:dyDescent="0.3">
      <c r="A7" s="201" t="s">
        <v>563</v>
      </c>
      <c r="B7" s="220" t="s">
        <v>564</v>
      </c>
      <c r="D7" s="218">
        <f>+SUMIFS('Memória de Massa - 2025'!$H$1:$H$217,'Memória de Massa - 2025'!$A$1:$A$217,'Formula Dados Copasul'!$A7,'Memória de Massa - 2025'!$F$1:$F$217,'Formula Dados Copasul'!D$4)</f>
        <v>72928.490000000005</v>
      </c>
      <c r="E7" s="218">
        <f>+SUMIFS('Memória de Massa - 2025'!$H$1:$H$217,'Memória de Massa - 2025'!$A$1:$A$217,'Formula Dados Copasul'!$A7,'Memória de Massa - 2025'!$F$1:$F$217,'Formula Dados Copasul'!E$4)</f>
        <v>212798.25</v>
      </c>
      <c r="F7" s="218">
        <f>+SUMIFS('Memória de Massa - 2025'!$H$1:$H$217,'Memória de Massa - 2025'!$A$1:$A$217,'Formula Dados Copasul'!$A7,'Memória de Massa - 2025'!$F$1:$F$217,'Formula Dados Copasul'!F$4)</f>
        <v>177578.42</v>
      </c>
      <c r="G7" s="218">
        <f>+SUMIFS('Memória de Massa - 2025'!$H$1:$H$217,'Memória de Massa - 2025'!$A$1:$A$217,'Formula Dados Copasul'!$A7,'Memória de Massa - 2025'!$F$1:$F$217,'Formula Dados Copasul'!G$4)</f>
        <v>84395.43</v>
      </c>
      <c r="H7" s="218">
        <f>+SUMIFS('Memória de Massa - 2025'!$H$1:$H$217,'Memória de Massa - 2025'!$A$1:$A$217,'Formula Dados Copasul'!$A7,'Memória de Massa - 2025'!$F$1:$F$217,'Formula Dados Copasul'!H$4)</f>
        <v>106720.74</v>
      </c>
      <c r="I7" s="218">
        <f>+SUMIFS('Memória de Massa - 2025'!$H$1:$H$217,'Memória de Massa - 2025'!$A$1:$A$217,'Formula Dados Copasul'!$A7,'Memória de Massa - 2025'!$F$1:$F$217,'Formula Dados Copasul'!I$4)</f>
        <v>183159.59</v>
      </c>
      <c r="J7" s="218">
        <f>+SUMIFS('Memória de Massa - 2025'!$H$1:$H$217,'Memória de Massa - 2025'!$A$1:$A$217,'Formula Dados Copasul'!$A7,'Memória de Massa - 2025'!$F$1:$F$217,'Formula Dados Copasul'!J$4)</f>
        <v>223302.56</v>
      </c>
      <c r="K7" s="218">
        <f>+SUMIFS('Memória de Massa - 2025'!$H$1:$H$217,'Memória de Massa - 2025'!$A$1:$A$217,'Formula Dados Copasul'!$A7,'Memória de Massa - 2025'!$F$1:$F$217,'Formula Dados Copasul'!K$4)</f>
        <v>130522.46</v>
      </c>
      <c r="L7" s="218">
        <f>+SUMIFS('Memória de Massa - 2025'!$H$1:$H$217,'Memória de Massa - 2025'!$A$1:$A$217,'Formula Dados Copasul'!$A7,'Memória de Massa - 2025'!$F$1:$F$217,'Formula Dados Copasul'!L$4)</f>
        <v>17968.55</v>
      </c>
      <c r="M7" s="218">
        <f>+SUMIFS('Memória de Massa - 2025'!$H$1:$H$217,'Memória de Massa - 2025'!$A$1:$A$217,'Formula Dados Copasul'!$A7,'Memória de Massa - 2025'!$F$1:$F$217,'Formula Dados Copasul'!M$4)</f>
        <v>11731.55</v>
      </c>
      <c r="N7" s="218">
        <f>+SUMIFS('Memória de Massa - 2025'!$H$1:$H$217,'Memória de Massa - 2025'!$A$1:$A$217,'Formula Dados Copasul'!$A7,'Memória de Massa - 2025'!$F$1:$F$217,'Formula Dados Copasul'!N$4)</f>
        <v>8808.98</v>
      </c>
      <c r="O7" s="218">
        <f>+SUMIFS('Memória de Massa - 2025'!$H$1:$H$217,'Memória de Massa - 2025'!$A$1:$A$217,'Formula Dados Copasul'!$A7,'Memória de Massa - 2025'!$F$1:$F$217,'Formula Dados Copasul'!O$4)</f>
        <v>15428.7</v>
      </c>
      <c r="Q7" s="219">
        <f>+SUM(D7:O7)</f>
        <v>1245343.72</v>
      </c>
      <c r="S7" s="219">
        <f>+Q7/12</f>
        <v>103778.64333333333</v>
      </c>
    </row>
    <row r="8" spans="1:19" ht="13.5" customHeight="1" x14ac:dyDescent="0.3">
      <c r="B8" s="221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</row>
    <row r="9" spans="1:19" ht="12.75" customHeight="1" x14ac:dyDescent="0.3">
      <c r="B9" s="222" t="s">
        <v>565</v>
      </c>
      <c r="C9" s="223"/>
      <c r="D9" s="224">
        <f t="shared" ref="D9:O9" si="0">+SUM(D5:D7)</f>
        <v>168656.53000000003</v>
      </c>
      <c r="E9" s="224">
        <f t="shared" si="0"/>
        <v>460997.69</v>
      </c>
      <c r="F9" s="224">
        <f t="shared" si="0"/>
        <v>427277.13</v>
      </c>
      <c r="G9" s="224">
        <f t="shared" si="0"/>
        <v>197422.07999999999</v>
      </c>
      <c r="H9" s="224">
        <f t="shared" si="0"/>
        <v>228293.93</v>
      </c>
      <c r="I9" s="224">
        <f t="shared" si="0"/>
        <v>362881.36</v>
      </c>
      <c r="J9" s="224">
        <f t="shared" si="0"/>
        <v>565660.89</v>
      </c>
      <c r="K9" s="224">
        <f t="shared" si="0"/>
        <v>478000.12</v>
      </c>
      <c r="L9" s="224">
        <f t="shared" si="0"/>
        <v>146172.75999999998</v>
      </c>
      <c r="M9" s="224">
        <f t="shared" si="0"/>
        <v>71900.17</v>
      </c>
      <c r="N9" s="224">
        <f t="shared" si="0"/>
        <v>66606.929999999993</v>
      </c>
      <c r="O9" s="224">
        <f t="shared" si="0"/>
        <v>75428.31</v>
      </c>
      <c r="P9" s="223"/>
      <c r="Q9" s="224">
        <f>+SUM(D9:O9)</f>
        <v>3249297.9000000004</v>
      </c>
      <c r="R9" s="224"/>
      <c r="S9" s="224">
        <f>+Q9/12</f>
        <v>270774.82500000001</v>
      </c>
    </row>
    <row r="10" spans="1:19" ht="13.5" customHeight="1" x14ac:dyDescent="0.3">
      <c r="B10" s="221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</row>
    <row r="11" spans="1:19" ht="13.5" customHeight="1" x14ac:dyDescent="0.3">
      <c r="A11" s="201" t="s">
        <v>561</v>
      </c>
      <c r="B11" s="220" t="s">
        <v>566</v>
      </c>
      <c r="D11" s="218">
        <f>+SUMIFS('Memória de Massa - 2025'!$G$1:$G$217,'Memória de Massa - 2025'!$A$1:$A$217,'Formula Dados Copasul'!$A11,'Memória de Massa - 2025'!$F$1:$F$217,'Formula Dados Copasul'!D$4)</f>
        <v>10827.94</v>
      </c>
      <c r="E11" s="218">
        <f>+SUMIFS('Memória de Massa - 2025'!$G$1:$G$217,'Memória de Massa - 2025'!$A$1:$A$217,'Formula Dados Copasul'!$A11,'Memória de Massa - 2025'!$F$1:$F$217,'Formula Dados Copasul'!E$4)</f>
        <v>37839.9</v>
      </c>
      <c r="F11" s="218">
        <f>+SUMIFS('Memória de Massa - 2025'!$G$1:$G$217,'Memória de Massa - 2025'!$A$1:$A$217,'Formula Dados Copasul'!$A11,'Memória de Massa - 2025'!$F$1:$F$217,'Formula Dados Copasul'!F$4)</f>
        <v>27093.399999999998</v>
      </c>
      <c r="G11" s="218">
        <f>+SUMIFS('Memória de Massa - 2025'!$G$1:$G$217,'Memória de Massa - 2025'!$A$1:$A$217,'Formula Dados Copasul'!$A11,'Memória de Massa - 2025'!$F$1:$F$217,'Formula Dados Copasul'!G$4)</f>
        <v>4120.62</v>
      </c>
      <c r="H11" s="218">
        <f>+SUMIFS('Memória de Massa - 2025'!$G$1:$G$217,'Memória de Massa - 2025'!$A$1:$A$217,'Formula Dados Copasul'!$A11,'Memória de Massa - 2025'!$F$1:$F$217,'Formula Dados Copasul'!H$4)</f>
        <v>7310.48</v>
      </c>
      <c r="I11" s="218">
        <f>+SUMIFS('Memória de Massa - 2025'!$G$1:$G$217,'Memória de Massa - 2025'!$A$1:$A$217,'Formula Dados Copasul'!$A11,'Memória de Massa - 2025'!$F$1:$F$217,'Formula Dados Copasul'!I$4)</f>
        <v>22180.07</v>
      </c>
      <c r="J11" s="218">
        <f>+SUMIFS('Memória de Massa - 2025'!$G$1:$G$217,'Memória de Massa - 2025'!$A$1:$A$217,'Formula Dados Copasul'!$A11,'Memória de Massa - 2025'!$F$1:$F$217,'Formula Dados Copasul'!J$4)</f>
        <v>53060.15</v>
      </c>
      <c r="K11" s="218">
        <f>+SUMIFS('Memória de Massa - 2025'!$G$1:$G$217,'Memória de Massa - 2025'!$A$1:$A$217,'Formula Dados Copasul'!$A11,'Memória de Massa - 2025'!$F$1:$F$217,'Formula Dados Copasul'!K$4)</f>
        <v>44066.229999999996</v>
      </c>
      <c r="L11" s="218">
        <f>+SUMIFS('Memória de Massa - 2025'!$G$1:$G$217,'Memória de Massa - 2025'!$A$1:$A$217,'Formula Dados Copasul'!$A11,'Memória de Massa - 2025'!$F$1:$F$217,'Formula Dados Copasul'!L$4)</f>
        <v>10666.029999999999</v>
      </c>
      <c r="M11" s="218">
        <f>+SUMIFS('Memória de Massa - 2025'!$G$1:$G$217,'Memória de Massa - 2025'!$A$1:$A$217,'Formula Dados Copasul'!$A11,'Memória de Massa - 2025'!$F$1:$F$217,'Formula Dados Copasul'!M$4)</f>
        <v>2567</v>
      </c>
      <c r="N11" s="218">
        <f>+SUMIFS('Memória de Massa - 2025'!$G$1:$G$217,'Memória de Massa - 2025'!$A$1:$A$217,'Formula Dados Copasul'!$A11,'Memória de Massa - 2025'!$F$1:$F$217,'Formula Dados Copasul'!N$4)</f>
        <v>2254.69</v>
      </c>
      <c r="O11" s="218">
        <f>+SUMIFS('Memória de Massa - 2025'!$G$1:$G$217,'Memória de Massa - 2025'!$A$1:$A$217,'Formula Dados Copasul'!$A11,'Memória de Massa - 2025'!$F$1:$F$217,'Formula Dados Copasul'!O$4)</f>
        <v>2595.31</v>
      </c>
      <c r="Q11" s="219">
        <f>+SUM(D11:O11)</f>
        <v>224581.81999999998</v>
      </c>
      <c r="S11" s="219">
        <f>+Q11/12</f>
        <v>18715.151666666665</v>
      </c>
    </row>
    <row r="12" spans="1:19" ht="13.5" customHeight="1" x14ac:dyDescent="0.3">
      <c r="A12" s="201" t="s">
        <v>563</v>
      </c>
      <c r="B12" s="220" t="s">
        <v>567</v>
      </c>
      <c r="D12" s="218">
        <f>+SUMIFS('Memória de Massa - 2025'!$G$1:$G$217,'Memória de Massa - 2025'!$A$1:$A$217,'Formula Dados Copasul'!$A12,'Memória de Massa - 2025'!$F$1:$F$217,'Formula Dados Copasul'!D$4)</f>
        <v>9264.15</v>
      </c>
      <c r="E12" s="218">
        <f>+SUMIFS('Memória de Massa - 2025'!$G$1:$G$217,'Memória de Massa - 2025'!$A$1:$A$217,'Formula Dados Copasul'!$A12,'Memória de Massa - 2025'!$F$1:$F$217,'Formula Dados Copasul'!E$4)</f>
        <v>19948.64</v>
      </c>
      <c r="F12" s="218">
        <f>+SUMIFS('Memória de Massa - 2025'!$G$1:$G$217,'Memória de Massa - 2025'!$A$1:$A$217,'Formula Dados Copasul'!$A12,'Memória de Massa - 2025'!$F$1:$F$217,'Formula Dados Copasul'!F$4)</f>
        <v>14932.89</v>
      </c>
      <c r="G12" s="218">
        <f>+SUMIFS('Memória de Massa - 2025'!$G$1:$G$217,'Memória de Massa - 2025'!$A$1:$A$217,'Formula Dados Copasul'!$A12,'Memória de Massa - 2025'!$F$1:$F$217,'Formula Dados Copasul'!G$4)</f>
        <v>2769.48</v>
      </c>
      <c r="H12" s="218">
        <f>+SUMIFS('Memória de Massa - 2025'!$G$1:$G$217,'Memória de Massa - 2025'!$A$1:$A$217,'Formula Dados Copasul'!$A12,'Memória de Massa - 2025'!$F$1:$F$217,'Formula Dados Copasul'!H$4)</f>
        <v>7312.1</v>
      </c>
      <c r="I12" s="218">
        <f>+SUMIFS('Memória de Massa - 2025'!$G$1:$G$217,'Memória de Massa - 2025'!$A$1:$A$217,'Formula Dados Copasul'!$A12,'Memória de Massa - 2025'!$F$1:$F$217,'Formula Dados Copasul'!I$4)</f>
        <v>19556.78</v>
      </c>
      <c r="J12" s="218">
        <f>+SUMIFS('Memória de Massa - 2025'!$G$1:$G$217,'Memória de Massa - 2025'!$A$1:$A$217,'Formula Dados Copasul'!$A12,'Memória de Massa - 2025'!$F$1:$F$217,'Formula Dados Copasul'!J$4)</f>
        <v>37585.800000000003</v>
      </c>
      <c r="K12" s="218">
        <f>+SUMIFS('Memória de Massa - 2025'!$G$1:$G$217,'Memória de Massa - 2025'!$A$1:$A$217,'Formula Dados Copasul'!$A12,'Memória de Massa - 2025'!$F$1:$F$217,'Formula Dados Copasul'!K$4)</f>
        <v>19255.009999999998</v>
      </c>
      <c r="L12" s="218">
        <f>+SUMIFS('Memória de Massa - 2025'!$G$1:$G$217,'Memória de Massa - 2025'!$A$1:$A$217,'Formula Dados Copasul'!$A12,'Memória de Massa - 2025'!$F$1:$F$217,'Formula Dados Copasul'!L$4)</f>
        <v>2740.19</v>
      </c>
      <c r="M12" s="218">
        <f>+SUMIFS('Memória de Massa - 2025'!$G$1:$G$217,'Memória de Massa - 2025'!$A$1:$A$217,'Formula Dados Copasul'!$A12,'Memória de Massa - 2025'!$F$1:$F$217,'Formula Dados Copasul'!M$4)</f>
        <v>2102.94</v>
      </c>
      <c r="N12" s="218">
        <f>+SUMIFS('Memória de Massa - 2025'!$G$1:$G$217,'Memória de Massa - 2025'!$A$1:$A$217,'Formula Dados Copasul'!$A12,'Memória de Massa - 2025'!$F$1:$F$217,'Formula Dados Copasul'!N$4)</f>
        <v>1437.03</v>
      </c>
      <c r="O12" s="218">
        <f>+SUMIFS('Memória de Massa - 2025'!$G$1:$G$217,'Memória de Massa - 2025'!$A$1:$A$217,'Formula Dados Copasul'!$A12,'Memória de Massa - 2025'!$F$1:$F$217,'Formula Dados Copasul'!O$4)</f>
        <v>1514.84</v>
      </c>
      <c r="Q12" s="219">
        <f>+SUM(D12:O12)</f>
        <v>138419.85</v>
      </c>
      <c r="S12" s="219">
        <f>+Q12/12</f>
        <v>11534.987500000001</v>
      </c>
    </row>
    <row r="13" spans="1:19" ht="13.5" customHeight="1" x14ac:dyDescent="0.3"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</row>
    <row r="14" spans="1:19" ht="12.75" customHeight="1" x14ac:dyDescent="0.3">
      <c r="B14" s="222" t="s">
        <v>568</v>
      </c>
      <c r="C14" s="223"/>
      <c r="D14" s="224">
        <f t="shared" ref="D14:O14" si="1">+SUM(D11:D12)</f>
        <v>20092.09</v>
      </c>
      <c r="E14" s="224">
        <f t="shared" si="1"/>
        <v>57788.54</v>
      </c>
      <c r="F14" s="224">
        <f t="shared" si="1"/>
        <v>42026.289999999994</v>
      </c>
      <c r="G14" s="224">
        <f t="shared" si="1"/>
        <v>6890.1</v>
      </c>
      <c r="H14" s="224">
        <f t="shared" si="1"/>
        <v>14622.58</v>
      </c>
      <c r="I14" s="224">
        <f t="shared" si="1"/>
        <v>41736.85</v>
      </c>
      <c r="J14" s="224">
        <f t="shared" si="1"/>
        <v>90645.950000000012</v>
      </c>
      <c r="K14" s="224">
        <f t="shared" si="1"/>
        <v>63321.239999999991</v>
      </c>
      <c r="L14" s="224">
        <f t="shared" si="1"/>
        <v>13406.22</v>
      </c>
      <c r="M14" s="224">
        <f t="shared" si="1"/>
        <v>4669.9400000000005</v>
      </c>
      <c r="N14" s="224">
        <f t="shared" si="1"/>
        <v>3691.7200000000003</v>
      </c>
      <c r="O14" s="224">
        <f t="shared" si="1"/>
        <v>4110.1499999999996</v>
      </c>
      <c r="P14" s="223"/>
      <c r="Q14" s="224">
        <f>+SUM(D14:O14)</f>
        <v>363001.67</v>
      </c>
      <c r="R14" s="224"/>
      <c r="S14" s="224">
        <f>+Q14/12</f>
        <v>30250.139166666664</v>
      </c>
    </row>
    <row r="17" spans="1:19" ht="12.75" customHeight="1" x14ac:dyDescent="0.3">
      <c r="B17" s="222" t="s">
        <v>569</v>
      </c>
      <c r="C17" s="223"/>
      <c r="D17" s="224">
        <f t="shared" ref="D17:O17" si="2">+SUM(D14,D9)</f>
        <v>188748.62000000002</v>
      </c>
      <c r="E17" s="224">
        <f t="shared" si="2"/>
        <v>518786.23</v>
      </c>
      <c r="F17" s="224">
        <f t="shared" si="2"/>
        <v>469303.42</v>
      </c>
      <c r="G17" s="224">
        <f t="shared" si="2"/>
        <v>204312.18</v>
      </c>
      <c r="H17" s="224">
        <f t="shared" si="2"/>
        <v>242916.50999999998</v>
      </c>
      <c r="I17" s="224">
        <f t="shared" si="2"/>
        <v>404618.20999999996</v>
      </c>
      <c r="J17" s="224">
        <f t="shared" si="2"/>
        <v>656306.84000000008</v>
      </c>
      <c r="K17" s="224">
        <f t="shared" si="2"/>
        <v>541321.36</v>
      </c>
      <c r="L17" s="224">
        <f t="shared" si="2"/>
        <v>159578.97999999998</v>
      </c>
      <c r="M17" s="224">
        <f t="shared" si="2"/>
        <v>76570.11</v>
      </c>
      <c r="N17" s="224">
        <f t="shared" si="2"/>
        <v>70298.649999999994</v>
      </c>
      <c r="O17" s="224">
        <f t="shared" si="2"/>
        <v>79538.459999999992</v>
      </c>
      <c r="P17" s="223"/>
      <c r="Q17" s="226">
        <f>+SUM(Q14,Q9)</f>
        <v>3612299.5700000003</v>
      </c>
      <c r="R17" s="223"/>
      <c r="S17" s="224">
        <f>+Q17/12</f>
        <v>301024.96416666667</v>
      </c>
    </row>
    <row r="18" spans="1:19" ht="13.5" customHeight="1" x14ac:dyDescent="0.3">
      <c r="D18" s="225"/>
    </row>
    <row r="19" spans="1:19" ht="13.5" customHeight="1" x14ac:dyDescent="0.3">
      <c r="D19" s="225"/>
    </row>
    <row r="20" spans="1:19" ht="13.5" customHeight="1" x14ac:dyDescent="0.3">
      <c r="A20" s="204" t="s">
        <v>570</v>
      </c>
      <c r="B20" s="201" t="s">
        <v>571</v>
      </c>
      <c r="D20" s="218">
        <f>+SUMIFS('Memória de Massa - 2025'!$K$1:$K$217,'Memória de Massa - 2025'!$B$1:$B$217,$A20,'Memória de Massa - 2025'!$F$1:$F$217,'Formula Dados Copasul'!D$4)</f>
        <v>83461.899999999994</v>
      </c>
      <c r="E20" s="218">
        <f>+SUMIFS('Memória de Massa - 2025'!$K$1:$K$217,'Memória de Massa - 2025'!$B$1:$B$217,$A20,'Memória de Massa - 2025'!$F$1:$F$217,'Formula Dados Copasul'!E$4)</f>
        <v>76124.399999999994</v>
      </c>
      <c r="F20" s="218">
        <f>+SUMIFS('Memória de Massa - 2025'!$K$1:$K$217,'Memória de Massa - 2025'!$B$1:$B$217,$A20,'Memória de Massa - 2025'!$F$1:$F$217,'Formula Dados Copasul'!F$4)</f>
        <v>89858.2</v>
      </c>
      <c r="G20" s="218">
        <f>+SUMIFS('Memória de Massa - 2025'!$K$1:$K$217,'Memória de Massa - 2025'!$B$1:$B$217,$A20,'Memória de Massa - 2025'!$F$1:$F$217,'Formula Dados Copasul'!G$4)</f>
        <v>62725.4</v>
      </c>
      <c r="H20" s="218">
        <f>+SUMIFS('Memória de Massa - 2025'!$K$1:$K$217,'Memória de Massa - 2025'!$B$1:$B$217,$A20,'Memória de Massa - 2025'!$F$1:$F$217,'Formula Dados Copasul'!H$4)</f>
        <v>78227.5</v>
      </c>
      <c r="I20" s="218">
        <f>+SUMIFS('Memória de Massa - 2025'!$K$1:$K$217,'Memória de Massa - 2025'!$B$1:$B$217,$A20,'Memória de Massa - 2025'!$F$1:$F$217,'Formula Dados Copasul'!I$4)</f>
        <v>60380.6</v>
      </c>
      <c r="J20" s="218">
        <f>+SUMIFS('Memória de Massa - 2025'!$K$1:$K$217,'Memória de Massa - 2025'!$B$1:$B$217,$A20,'Memória de Massa - 2025'!$F$1:$F$217,'Formula Dados Copasul'!J$4)</f>
        <v>76551.199999999997</v>
      </c>
      <c r="K20" s="218">
        <f>+SUMIFS('Memória de Massa - 2025'!$K$1:$K$217,'Memória de Massa - 2025'!$B$1:$B$217,$A20,'Memória de Massa - 2025'!$F$1:$F$217,'Formula Dados Copasul'!K$4)</f>
        <v>79815.600000000006</v>
      </c>
      <c r="L20" s="218">
        <f>+SUMIFS('Memória de Massa - 2025'!$K$1:$K$217,'Memória de Massa - 2025'!$B$1:$B$217,$A20,'Memória de Massa - 2025'!$F$1:$F$217,'Formula Dados Copasul'!L$4)</f>
        <v>78203</v>
      </c>
      <c r="M20" s="218">
        <f>+SUMIFS('Memória de Massa - 2025'!$K$1:$K$217,'Memória de Massa - 2025'!$B$1:$B$217,$A20,'Memória de Massa - 2025'!$F$1:$F$217,'Formula Dados Copasul'!M$4)</f>
        <v>73160.100000000006</v>
      </c>
      <c r="N20" s="218">
        <f>+SUMIFS('Memória de Massa - 2025'!$K$1:$K$217,'Memória de Massa - 2025'!$B$1:$B$217,$A20,'Memória de Massa - 2025'!$F$1:$F$217,'Formula Dados Copasul'!N$4)</f>
        <v>91030.5</v>
      </c>
      <c r="O20" s="218">
        <f>+SUMIFS('Memória de Massa - 2025'!$K$1:$K$217,'Memória de Massa - 2025'!$B$1:$B$217,$A20,'Memória de Massa - 2025'!$F$1:$F$217,'Formula Dados Copasul'!O$4)</f>
        <v>88631.7</v>
      </c>
      <c r="Q20" s="219">
        <f>+SUM(D20:O20)</f>
        <v>938170.09999999986</v>
      </c>
      <c r="S20" s="219">
        <f>+Q20/12</f>
        <v>78180.84166666666</v>
      </c>
    </row>
    <row r="21" spans="1:19" ht="13.5" customHeight="1" x14ac:dyDescent="0.3">
      <c r="A21" s="204" t="s">
        <v>572</v>
      </c>
      <c r="B21" s="201" t="s">
        <v>573</v>
      </c>
      <c r="D21" s="218">
        <f>+SUMIFS('Memória de Massa - 2025'!$K$1:$K$217,'Memória de Massa - 2025'!$B$1:$B$217,$A21,'Memória de Massa - 2025'!$F$1:$F$217,'Formula Dados Copasul'!D$4)</f>
        <v>114259</v>
      </c>
      <c r="E21" s="218">
        <f>+SUMIFS('Memória de Massa - 2025'!$K$1:$K$217,'Memória de Massa - 2025'!$B$1:$B$217,$A21,'Memória de Massa - 2025'!$F$1:$F$217,'Formula Dados Copasul'!E$4)</f>
        <v>91131.9</v>
      </c>
      <c r="F21" s="218">
        <f>+SUMIFS('Memória de Massa - 2025'!$K$1:$K$217,'Memória de Massa - 2025'!$B$1:$B$217,$A21,'Memória de Massa - 2025'!$F$1:$F$217,'Formula Dados Copasul'!F$4)</f>
        <v>103061.9</v>
      </c>
      <c r="G21" s="218">
        <f>+SUMIFS('Memória de Massa - 2025'!$K$1:$K$217,'Memória de Massa - 2025'!$B$1:$B$217,$A21,'Memória de Massa - 2025'!$F$1:$F$217,'Formula Dados Copasul'!G$4)</f>
        <v>73709.7</v>
      </c>
      <c r="H21" s="218">
        <f>+SUMIFS('Memória de Massa - 2025'!$K$1:$K$217,'Memória de Massa - 2025'!$B$1:$B$217,$A21,'Memória de Massa - 2025'!$F$1:$F$217,'Formula Dados Copasul'!H$4)</f>
        <v>91616.6</v>
      </c>
      <c r="I21" s="218">
        <f>+SUMIFS('Memória de Massa - 2025'!$K$1:$K$217,'Memória de Massa - 2025'!$B$1:$B$217,$A21,'Memória de Massa - 2025'!$F$1:$F$217,'Formula Dados Copasul'!I$4)</f>
        <v>72286.899999999994</v>
      </c>
      <c r="J21" s="218">
        <f>+SUMIFS('Memória de Massa - 2025'!$K$1:$K$217,'Memória de Massa - 2025'!$B$1:$B$217,$A21,'Memória de Massa - 2025'!$F$1:$F$217,'Formula Dados Copasul'!J$4)</f>
        <v>88336.8</v>
      </c>
      <c r="K21" s="218">
        <f>+SUMIFS('Memória de Massa - 2025'!$K$1:$K$217,'Memória de Massa - 2025'!$B$1:$B$217,$A21,'Memória de Massa - 2025'!$F$1:$F$217,'Formula Dados Copasul'!K$4)</f>
        <v>93082.7</v>
      </c>
      <c r="L21" s="218">
        <f>+SUMIFS('Memória de Massa - 2025'!$K$1:$K$217,'Memória de Massa - 2025'!$B$1:$B$217,$A21,'Memória de Massa - 2025'!$F$1:$F$217,'Formula Dados Copasul'!L$4)</f>
        <v>94433.4</v>
      </c>
      <c r="M21" s="218">
        <f>+SUMIFS('Memória de Massa - 2025'!$K$1:$K$217,'Memória de Massa - 2025'!$B$1:$B$217,$A21,'Memória de Massa - 2025'!$F$1:$F$217,'Formula Dados Copasul'!M$4)</f>
        <v>95906.8</v>
      </c>
      <c r="N21" s="218">
        <f>+SUMIFS('Memória de Massa - 2025'!$K$1:$K$217,'Memória de Massa - 2025'!$B$1:$B$217,$A21,'Memória de Massa - 2025'!$F$1:$F$217,'Formula Dados Copasul'!N$4)</f>
        <v>107980.6</v>
      </c>
      <c r="O21" s="218">
        <f>+SUMIFS('Memória de Massa - 2025'!$K$1:$K$217,'Memória de Massa - 2025'!$B$1:$B$217,$A21,'Memória de Massa - 2025'!$F$1:$F$217,'Formula Dados Copasul'!O$4)</f>
        <v>106603.9</v>
      </c>
      <c r="Q21" s="219">
        <f>+SUM(D21:O21)</f>
        <v>1132410.2</v>
      </c>
      <c r="S21" s="219">
        <f>+Q21/12</f>
        <v>94367.516666666663</v>
      </c>
    </row>
    <row r="22" spans="1:19" ht="13.5" customHeight="1" x14ac:dyDescent="0.3">
      <c r="A22" s="204" t="s">
        <v>574</v>
      </c>
      <c r="B22" s="201" t="s">
        <v>575</v>
      </c>
      <c r="D22" s="218">
        <f>+SUMIFS('Memória de Massa - 2025'!$K$1:$K$217,'Memória de Massa - 2025'!$B$1:$B$217,$A22,'Memória de Massa - 2025'!$F$1:$F$217,'Formula Dados Copasul'!D$4)</f>
        <v>0</v>
      </c>
      <c r="E22" s="218">
        <f>+SUMIFS('Memória de Massa - 2025'!$K$1:$K$217,'Memória de Massa - 2025'!$B$1:$B$217,$A22,'Memória de Massa - 2025'!$F$1:$F$217,'Formula Dados Copasul'!E$4)</f>
        <v>190.1</v>
      </c>
      <c r="F22" s="218">
        <f>+SUMIFS('Memória de Massa - 2025'!$K$1:$K$217,'Memória de Massa - 2025'!$B$1:$B$217,$A22,'Memória de Massa - 2025'!$F$1:$F$217,'Formula Dados Copasul'!F$4)</f>
        <v>7913.8</v>
      </c>
      <c r="G22" s="218">
        <f>+SUMIFS('Memória de Massa - 2025'!$K$1:$K$217,'Memória de Massa - 2025'!$B$1:$B$217,$A22,'Memória de Massa - 2025'!$F$1:$F$217,'Formula Dados Copasul'!G$4)</f>
        <v>23902.799999999999</v>
      </c>
      <c r="H22" s="218">
        <f>+SUMIFS('Memória de Massa - 2025'!$K$1:$K$217,'Memória de Massa - 2025'!$B$1:$B$217,$A22,'Memória de Massa - 2025'!$F$1:$F$217,'Formula Dados Copasul'!H$4)</f>
        <v>28781.7</v>
      </c>
      <c r="I22" s="218">
        <f>+SUMIFS('Memória de Massa - 2025'!$K$1:$K$217,'Memória de Massa - 2025'!$B$1:$B$217,$A22,'Memória de Massa - 2025'!$F$1:$F$217,'Formula Dados Copasul'!I$4)</f>
        <v>20798.2</v>
      </c>
      <c r="J22" s="218">
        <f>+SUMIFS('Memória de Massa - 2025'!$K$1:$K$217,'Memória de Massa - 2025'!$B$1:$B$217,$A22,'Memória de Massa - 2025'!$F$1:$F$217,'Formula Dados Copasul'!J$4)</f>
        <v>37317.800000000003</v>
      </c>
      <c r="K22" s="218">
        <f>+SUMIFS('Memória de Massa - 2025'!$K$1:$K$217,'Memória de Massa - 2025'!$B$1:$B$217,$A22,'Memória de Massa - 2025'!$F$1:$F$217,'Formula Dados Copasul'!K$4)</f>
        <v>16177.9</v>
      </c>
      <c r="L22" s="218">
        <f>+SUMIFS('Memória de Massa - 2025'!$K$1:$K$217,'Memória de Massa - 2025'!$B$1:$B$217,$A22,'Memória de Massa - 2025'!$F$1:$F$217,'Formula Dados Copasul'!L$4)</f>
        <v>37738.800000000003</v>
      </c>
      <c r="M22" s="218">
        <f>+SUMIFS('Memória de Massa - 2025'!$K$1:$K$217,'Memória de Massa - 2025'!$B$1:$B$217,$A22,'Memória de Massa - 2025'!$F$1:$F$217,'Formula Dados Copasul'!M$4)</f>
        <v>40322</v>
      </c>
      <c r="N22" s="218">
        <f>+SUMIFS('Memória de Massa - 2025'!$K$1:$K$217,'Memória de Massa - 2025'!$B$1:$B$217,$A22,'Memória de Massa - 2025'!$F$1:$F$217,'Formula Dados Copasul'!N$4)</f>
        <v>36462.9</v>
      </c>
      <c r="O22" s="218">
        <f>+SUMIFS('Memória de Massa - 2025'!$K$1:$K$217,'Memória de Massa - 2025'!$B$1:$B$217,$A22,'Memória de Massa - 2025'!$F$1:$F$217,'Formula Dados Copasul'!O$4)</f>
        <v>19968.099999999999</v>
      </c>
      <c r="Q22" s="219">
        <f>+SUM(D22:O22)</f>
        <v>269574.10000000003</v>
      </c>
      <c r="S22" s="219">
        <f>+Q22/12</f>
        <v>22464.508333333335</v>
      </c>
    </row>
    <row r="23" spans="1:19" ht="13.5" customHeight="1" x14ac:dyDescent="0.3">
      <c r="D23" s="225"/>
    </row>
    <row r="24" spans="1:19" ht="12.75" customHeight="1" x14ac:dyDescent="0.3">
      <c r="B24" s="222" t="s">
        <v>576</v>
      </c>
      <c r="C24" s="223"/>
      <c r="D24" s="224">
        <f t="shared" ref="D24:O24" si="3">+SUM(D20:D22)</f>
        <v>197720.9</v>
      </c>
      <c r="E24" s="224">
        <f t="shared" si="3"/>
        <v>167446.39999999999</v>
      </c>
      <c r="F24" s="224">
        <f t="shared" si="3"/>
        <v>200833.89999999997</v>
      </c>
      <c r="G24" s="224">
        <f t="shared" si="3"/>
        <v>160337.9</v>
      </c>
      <c r="H24" s="224">
        <f t="shared" si="3"/>
        <v>198625.80000000002</v>
      </c>
      <c r="I24" s="224">
        <f t="shared" si="3"/>
        <v>153465.70000000001</v>
      </c>
      <c r="J24" s="224">
        <f t="shared" si="3"/>
        <v>202205.8</v>
      </c>
      <c r="K24" s="224">
        <f t="shared" si="3"/>
        <v>189076.19999999998</v>
      </c>
      <c r="L24" s="224">
        <f t="shared" si="3"/>
        <v>210375.2</v>
      </c>
      <c r="M24" s="224">
        <f t="shared" si="3"/>
        <v>209388.90000000002</v>
      </c>
      <c r="N24" s="224">
        <f t="shared" si="3"/>
        <v>235474</v>
      </c>
      <c r="O24" s="224">
        <f t="shared" si="3"/>
        <v>215203.69999999998</v>
      </c>
      <c r="P24" s="223"/>
      <c r="Q24" s="224">
        <f>+SUM(Q20:Q22)</f>
        <v>2340154.4</v>
      </c>
      <c r="R24" s="223"/>
      <c r="S24" s="224">
        <f>+SUM(S20:S22)</f>
        <v>195012.86666666667</v>
      </c>
    </row>
    <row r="25" spans="1:19" ht="13.5" customHeight="1" x14ac:dyDescent="0.3">
      <c r="D25" s="225"/>
    </row>
    <row r="26" spans="1:19" ht="13.5" customHeight="1" x14ac:dyDescent="0.3">
      <c r="A26" s="204" t="s">
        <v>570</v>
      </c>
      <c r="B26" s="201" t="s">
        <v>577</v>
      </c>
      <c r="D26" s="218">
        <f>+SUMIFS('Memória de Massa - 2025'!$L$1:$L$217,'Memória de Massa - 2025'!$B$1:$B$217,$A26,'Memória de Massa - 2025'!$F$1:$F$217,'Formula Dados Copasul'!D$4)</f>
        <v>54986</v>
      </c>
      <c r="E26" s="218">
        <f>+SUMIFS('Memória de Massa - 2025'!$L$1:$L$217,'Memória de Massa - 2025'!$B$1:$B$217,$A26,'Memória de Massa - 2025'!$F$1:$F$217,'Formula Dados Copasul'!E$4)</f>
        <v>188910</v>
      </c>
      <c r="F26" s="218">
        <f>+SUMIFS('Memória de Massa - 2025'!$L$1:$L$217,'Memória de Massa - 2025'!$B$1:$B$217,$A26,'Memória de Massa - 2025'!$F$1:$F$217,'Formula Dados Copasul'!F$4)</f>
        <v>32411</v>
      </c>
      <c r="G26" s="218">
        <f>+SUMIFS('Memória de Massa - 2025'!$L$1:$L$217,'Memória de Massa - 2025'!$B$1:$B$217,$A26,'Memória de Massa - 2025'!$F$1:$F$217,'Formula Dados Copasul'!G$4)</f>
        <v>41488</v>
      </c>
      <c r="H26" s="218">
        <f>+SUMIFS('Memória de Massa - 2025'!$L$1:$L$217,'Memória de Massa - 2025'!$B$1:$B$217,$A26,'Memória de Massa - 2025'!$F$1:$F$217,'Formula Dados Copasul'!H$4)</f>
        <v>55127</v>
      </c>
      <c r="I26" s="218">
        <f>+SUMIFS('Memória de Massa - 2025'!$L$1:$L$217,'Memória de Massa - 2025'!$B$1:$B$217,$A26,'Memória de Massa - 2025'!$F$1:$F$217,'Formula Dados Copasul'!I$4)</f>
        <v>24600</v>
      </c>
      <c r="J26" s="218">
        <f>+SUMIFS('Memória de Massa - 2025'!$L$1:$L$217,'Memória de Massa - 2025'!$B$1:$B$217,$A26,'Memória de Massa - 2025'!$F$1:$F$217,'Formula Dados Copasul'!J$4)</f>
        <v>10848</v>
      </c>
      <c r="K26" s="218">
        <f>+SUMIFS('Memória de Massa - 2025'!$L$1:$L$217,'Memória de Massa - 2025'!$B$1:$B$217,$A26,'Memória de Massa - 2025'!$F$1:$F$217,'Formula Dados Copasul'!K$4)</f>
        <v>37261</v>
      </c>
      <c r="L26" s="218">
        <f>+SUMIFS('Memória de Massa - 2025'!$L$1:$L$217,'Memória de Massa - 2025'!$B$1:$B$217,$A26,'Memória de Massa - 2025'!$F$1:$F$217,'Formula Dados Copasul'!L$4)</f>
        <v>75597</v>
      </c>
      <c r="M26" s="218">
        <f>+SUMIFS('Memória de Massa - 2025'!$L$1:$L$217,'Memória de Massa - 2025'!$B$1:$B$217,$A26,'Memória de Massa - 2025'!$F$1:$F$217,'Formula Dados Copasul'!M$4)</f>
        <v>9875</v>
      </c>
      <c r="N26" s="218">
        <f>+SUMIFS('Memória de Massa - 2025'!$L$1:$L$217,'Memória de Massa - 2025'!$B$1:$B$217,$A26,'Memória de Massa - 2025'!$F$1:$F$217,'Formula Dados Copasul'!N$4)</f>
        <v>7844</v>
      </c>
      <c r="O26" s="218">
        <f>+SUMIFS('Memória de Massa - 2025'!$L$1:$L$217,'Memória de Massa - 2025'!$B$1:$B$217,$A26,'Memória de Massa - 2025'!$F$1:$F$217,'Formula Dados Copasul'!O$4)</f>
        <v>8737</v>
      </c>
      <c r="Q26" s="219">
        <f>+SUM(D26:O26)</f>
        <v>547684</v>
      </c>
      <c r="S26" s="219">
        <f>+Q26/12</f>
        <v>45640.333333333336</v>
      </c>
    </row>
    <row r="27" spans="1:19" ht="13.5" customHeight="1" x14ac:dyDescent="0.3">
      <c r="A27" s="204" t="s">
        <v>572</v>
      </c>
      <c r="B27" s="201" t="s">
        <v>578</v>
      </c>
      <c r="D27" s="218">
        <f>+SUMIFS('Memória de Massa - 2025'!$L$1:$L$217,'Memória de Massa - 2025'!$B$1:$B$217,$A27,'Memória de Massa - 2025'!$F$1:$F$217,'Formula Dados Copasul'!D$4)</f>
        <v>6785</v>
      </c>
      <c r="E27" s="218">
        <f>+SUMIFS('Memória de Massa - 2025'!$L$1:$L$217,'Memória de Massa - 2025'!$B$1:$B$217,$A27,'Memória de Massa - 2025'!$F$1:$F$217,'Formula Dados Copasul'!E$4)</f>
        <v>36315</v>
      </c>
      <c r="F27" s="218">
        <f>+SUMIFS('Memória de Massa - 2025'!$L$1:$L$217,'Memória de Massa - 2025'!$B$1:$B$217,$A27,'Memória de Massa - 2025'!$F$1:$F$217,'Formula Dados Copasul'!F$4)</f>
        <v>63697</v>
      </c>
      <c r="G27" s="218">
        <f>+SUMIFS('Memória de Massa - 2025'!$L$1:$L$217,'Memória de Massa - 2025'!$B$1:$B$217,$A27,'Memória de Massa - 2025'!$F$1:$F$217,'Formula Dados Copasul'!G$4)</f>
        <v>38586</v>
      </c>
      <c r="H27" s="218">
        <f>+SUMIFS('Memória de Massa - 2025'!$L$1:$L$217,'Memória de Massa - 2025'!$B$1:$B$217,$A27,'Memória de Massa - 2025'!$F$1:$F$217,'Formula Dados Copasul'!H$4)</f>
        <v>37159</v>
      </c>
      <c r="I27" s="218">
        <f>+SUMIFS('Memória de Massa - 2025'!$L$1:$L$217,'Memória de Massa - 2025'!$B$1:$B$217,$A27,'Memória de Massa - 2025'!$F$1:$F$217,'Formula Dados Copasul'!I$4)</f>
        <v>36580</v>
      </c>
      <c r="J27" s="218">
        <f>+SUMIFS('Memória de Massa - 2025'!$L$1:$L$217,'Memória de Massa - 2025'!$B$1:$B$217,$A27,'Memória de Massa - 2025'!$F$1:$F$217,'Formula Dados Copasul'!J$4)</f>
        <v>64186</v>
      </c>
      <c r="K27" s="218">
        <f>+SUMIFS('Memória de Massa - 2025'!$L$1:$L$217,'Memória de Massa - 2025'!$B$1:$B$217,$A27,'Memória de Massa - 2025'!$F$1:$F$217,'Formula Dados Copasul'!K$4)</f>
        <v>59224</v>
      </c>
      <c r="L27" s="218">
        <f>+SUMIFS('Memória de Massa - 2025'!$L$1:$L$217,'Memória de Massa - 2025'!$B$1:$B$217,$A27,'Memória de Massa - 2025'!$F$1:$F$217,'Formula Dados Copasul'!L$4)</f>
        <v>29344</v>
      </c>
      <c r="M27" s="218">
        <f>+SUMIFS('Memória de Massa - 2025'!$L$1:$L$217,'Memória de Massa - 2025'!$B$1:$B$217,$A27,'Memória de Massa - 2025'!$F$1:$F$217,'Formula Dados Copasul'!M$4)</f>
        <v>6018</v>
      </c>
      <c r="N27" s="218">
        <f>+SUMIFS('Memória de Massa - 2025'!$L$1:$L$217,'Memória de Massa - 2025'!$B$1:$B$217,$A27,'Memória de Massa - 2025'!$F$1:$F$217,'Formula Dados Copasul'!N$4)</f>
        <v>5520</v>
      </c>
      <c r="O27" s="218">
        <f>+SUMIFS('Memória de Massa - 2025'!$L$1:$L$217,'Memória de Massa - 2025'!$B$1:$B$217,$A27,'Memória de Massa - 2025'!$F$1:$F$217,'Formula Dados Copasul'!O$4)</f>
        <v>5604</v>
      </c>
      <c r="Q27" s="219">
        <f>+SUM(D27:O27)</f>
        <v>389018</v>
      </c>
      <c r="S27" s="219">
        <f>+Q27/12</f>
        <v>32418.166666666668</v>
      </c>
    </row>
    <row r="28" spans="1:19" ht="13.5" customHeight="1" x14ac:dyDescent="0.3">
      <c r="A28" s="204" t="s">
        <v>574</v>
      </c>
      <c r="B28" s="201" t="s">
        <v>579</v>
      </c>
      <c r="D28" s="218">
        <f>+SUMIFS('Memória de Massa - 2025'!$L$1:$L$217,'Memória de Massa - 2025'!$B$1:$B$217,$A28,'Memória de Massa - 2025'!$F$1:$F$217,'Formula Dados Copasul'!D$4)</f>
        <v>0</v>
      </c>
      <c r="E28" s="218">
        <f>+SUMIFS('Memória de Massa - 2025'!$L$1:$L$217,'Memória de Massa - 2025'!$B$1:$B$217,$A28,'Memória de Massa - 2025'!$F$1:$F$217,'Formula Dados Copasul'!E$4)</f>
        <v>0</v>
      </c>
      <c r="F28" s="218">
        <f>+SUMIFS('Memória de Massa - 2025'!$L$1:$L$217,'Memória de Massa - 2025'!$B$1:$B$217,$A28,'Memória de Massa - 2025'!$F$1:$F$217,'Formula Dados Copasul'!F$4)</f>
        <v>419</v>
      </c>
      <c r="G28" s="218">
        <f>+SUMIFS('Memória de Massa - 2025'!$L$1:$L$217,'Memória de Massa - 2025'!$B$1:$B$217,$A28,'Memória de Massa - 2025'!$F$1:$F$217,'Formula Dados Copasul'!G$4)</f>
        <v>1423</v>
      </c>
      <c r="H28" s="218">
        <f>+SUMIFS('Memória de Massa - 2025'!$L$1:$L$217,'Memória de Massa - 2025'!$B$1:$B$217,$A28,'Memória de Massa - 2025'!$F$1:$F$217,'Formula Dados Copasul'!H$4)</f>
        <v>9127</v>
      </c>
      <c r="I28" s="218">
        <f>+SUMIFS('Memória de Massa - 2025'!$L$1:$L$217,'Memória de Massa - 2025'!$B$1:$B$217,$A28,'Memória de Massa - 2025'!$F$1:$F$217,'Formula Dados Copasul'!I$4)</f>
        <v>7190</v>
      </c>
      <c r="J28" s="218">
        <f>+SUMIFS('Memória de Massa - 2025'!$L$1:$L$217,'Memória de Massa - 2025'!$B$1:$B$217,$A28,'Memória de Massa - 2025'!$F$1:$F$217,'Formula Dados Copasul'!J$4)</f>
        <v>9165</v>
      </c>
      <c r="K28" s="218">
        <f>+SUMIFS('Memória de Massa - 2025'!$L$1:$L$217,'Memória de Massa - 2025'!$B$1:$B$217,$A28,'Memória de Massa - 2025'!$F$1:$F$217,'Formula Dados Copasul'!K$4)</f>
        <v>5142</v>
      </c>
      <c r="L28" s="218">
        <f>+SUMIFS('Memória de Massa - 2025'!$L$1:$L$217,'Memória de Massa - 2025'!$B$1:$B$217,$A28,'Memória de Massa - 2025'!$F$1:$F$217,'Formula Dados Copasul'!L$4)</f>
        <v>20709</v>
      </c>
      <c r="M28" s="218">
        <f>+SUMIFS('Memória de Massa - 2025'!$L$1:$L$217,'Memória de Massa - 2025'!$B$1:$B$217,$A28,'Memória de Massa - 2025'!$F$1:$F$217,'Formula Dados Copasul'!M$4)</f>
        <v>13835</v>
      </c>
      <c r="N28" s="218">
        <f>+SUMIFS('Memória de Massa - 2025'!$L$1:$L$217,'Memória de Massa - 2025'!$B$1:$B$217,$A28,'Memória de Massa - 2025'!$F$1:$F$217,'Formula Dados Copasul'!N$4)</f>
        <v>10246</v>
      </c>
      <c r="O28" s="218">
        <f>+SUMIFS('Memória de Massa - 2025'!$L$1:$L$217,'Memória de Massa - 2025'!$B$1:$B$217,$A28,'Memória de Massa - 2025'!$F$1:$F$217,'Formula Dados Copasul'!O$4)</f>
        <v>16944</v>
      </c>
      <c r="Q28" s="219">
        <f>+SUM(D28:O28)</f>
        <v>94200</v>
      </c>
      <c r="S28" s="219">
        <f>+Q28/12</f>
        <v>7850</v>
      </c>
    </row>
    <row r="29" spans="1:19" ht="13.5" customHeight="1" x14ac:dyDescent="0.3">
      <c r="D29" s="225"/>
    </row>
    <row r="30" spans="1:19" ht="12.75" customHeight="1" x14ac:dyDescent="0.3">
      <c r="B30" s="222" t="s">
        <v>580</v>
      </c>
      <c r="C30" s="223"/>
      <c r="D30" s="224">
        <f t="shared" ref="D30:O30" si="4">+SUM(D26:D28)</f>
        <v>61771</v>
      </c>
      <c r="E30" s="224">
        <f t="shared" si="4"/>
        <v>225225</v>
      </c>
      <c r="F30" s="224">
        <f t="shared" si="4"/>
        <v>96527</v>
      </c>
      <c r="G30" s="224">
        <f t="shared" si="4"/>
        <v>81497</v>
      </c>
      <c r="H30" s="224">
        <f t="shared" si="4"/>
        <v>101413</v>
      </c>
      <c r="I30" s="224">
        <f t="shared" si="4"/>
        <v>68370</v>
      </c>
      <c r="J30" s="224">
        <f t="shared" si="4"/>
        <v>84199</v>
      </c>
      <c r="K30" s="224">
        <f t="shared" si="4"/>
        <v>101627</v>
      </c>
      <c r="L30" s="224">
        <f t="shared" si="4"/>
        <v>125650</v>
      </c>
      <c r="M30" s="224">
        <f t="shared" si="4"/>
        <v>29728</v>
      </c>
      <c r="N30" s="224">
        <f t="shared" si="4"/>
        <v>23610</v>
      </c>
      <c r="O30" s="224">
        <f t="shared" si="4"/>
        <v>31285</v>
      </c>
      <c r="P30" s="223"/>
      <c r="Q30" s="224">
        <f>+SUM(Q26:Q28)</f>
        <v>1030902</v>
      </c>
      <c r="R30" s="223"/>
      <c r="S30" s="224">
        <f>+SUM(S26:S28)</f>
        <v>85908.5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E2CC"/>
  </sheetPr>
  <dimension ref="A1:R217"/>
  <sheetViews>
    <sheetView zoomScale="85" zoomScaleNormal="85" workbookViewId="0">
      <pane xSplit="2" ySplit="1" topLeftCell="G98" activePane="bottomRight" state="frozen"/>
      <selection pane="topRight" activeCell="G1" sqref="G1"/>
      <selection pane="bottomLeft" activeCell="A98" sqref="A98"/>
      <selection pane="bottomRight" activeCell="M24" sqref="M24"/>
    </sheetView>
  </sheetViews>
  <sheetFormatPr defaultColWidth="12.54296875" defaultRowHeight="13" x14ac:dyDescent="0.3"/>
  <cols>
    <col min="1" max="1" width="12.54296875" style="201"/>
    <col min="2" max="2" width="29.54296875" style="201" customWidth="1"/>
    <col min="3" max="3" width="18.453125" style="201" customWidth="1"/>
    <col min="4" max="4" width="13.453125" style="201" customWidth="1"/>
    <col min="5" max="5" width="16.7265625" style="201" customWidth="1"/>
    <col min="6" max="6" width="10.81640625" style="201" customWidth="1"/>
    <col min="7" max="7" width="21.453125" style="201" customWidth="1"/>
    <col min="8" max="8" width="29.08984375" style="201" customWidth="1"/>
    <col min="9" max="9" width="20.08984375" style="201" customWidth="1"/>
    <col min="10" max="10" width="24.26953125" style="201" customWidth="1"/>
    <col min="11" max="11" width="20.81640625" style="201" customWidth="1"/>
    <col min="12" max="12" width="25.54296875" style="201" customWidth="1"/>
    <col min="13" max="14" width="12.54296875" style="201"/>
    <col min="15" max="15" width="15.81640625" style="201" customWidth="1"/>
    <col min="16" max="16" width="32" style="201" customWidth="1"/>
    <col min="17" max="16384" width="12.54296875" style="201"/>
  </cols>
  <sheetData>
    <row r="1" spans="1:18" ht="12.75" customHeight="1" x14ac:dyDescent="0.3">
      <c r="B1" s="227" t="s">
        <v>581</v>
      </c>
      <c r="C1" s="227" t="s">
        <v>582</v>
      </c>
      <c r="D1" s="227" t="s">
        <v>583</v>
      </c>
      <c r="E1" s="227" t="s">
        <v>68</v>
      </c>
      <c r="F1" s="227" t="s">
        <v>37</v>
      </c>
      <c r="G1" s="228" t="s">
        <v>584</v>
      </c>
      <c r="H1" s="228" t="s">
        <v>585</v>
      </c>
      <c r="I1" s="228" t="s">
        <v>586</v>
      </c>
      <c r="J1" s="228" t="s">
        <v>587</v>
      </c>
      <c r="K1" s="229" t="s">
        <v>588</v>
      </c>
      <c r="L1" s="229" t="s">
        <v>589</v>
      </c>
      <c r="O1" s="201" t="s">
        <v>590</v>
      </c>
      <c r="P1" s="201" t="s">
        <v>591</v>
      </c>
      <c r="R1" s="201" t="s">
        <v>592</v>
      </c>
    </row>
    <row r="2" spans="1:18" ht="12" hidden="1" customHeight="1" x14ac:dyDescent="0.3">
      <c r="A2" s="201" t="s">
        <v>559</v>
      </c>
      <c r="B2" s="204" t="s">
        <v>96</v>
      </c>
      <c r="C2" s="230" t="s">
        <v>593</v>
      </c>
      <c r="D2" s="230" t="s">
        <v>594</v>
      </c>
      <c r="E2" s="230" t="s">
        <v>595</v>
      </c>
      <c r="F2" s="225">
        <v>45992</v>
      </c>
      <c r="G2" s="231"/>
      <c r="H2" s="231">
        <v>518</v>
      </c>
      <c r="I2" s="231"/>
      <c r="J2" s="231"/>
      <c r="K2" s="231"/>
      <c r="L2" s="231"/>
    </row>
    <row r="3" spans="1:18" ht="12" hidden="1" customHeight="1" x14ac:dyDescent="0.3">
      <c r="A3" s="201" t="s">
        <v>559</v>
      </c>
      <c r="B3" s="204" t="s">
        <v>96</v>
      </c>
      <c r="C3" s="230" t="s">
        <v>593</v>
      </c>
      <c r="D3" s="230" t="s">
        <v>594</v>
      </c>
      <c r="E3" s="230" t="s">
        <v>595</v>
      </c>
      <c r="F3" s="225">
        <v>45962</v>
      </c>
      <c r="G3" s="231"/>
      <c r="H3" s="231">
        <v>467</v>
      </c>
      <c r="I3" s="231"/>
      <c r="J3" s="231"/>
      <c r="K3" s="231"/>
      <c r="L3" s="231"/>
    </row>
    <row r="4" spans="1:18" ht="12" hidden="1" customHeight="1" x14ac:dyDescent="0.3">
      <c r="A4" s="201" t="s">
        <v>559</v>
      </c>
      <c r="B4" s="204" t="s">
        <v>96</v>
      </c>
      <c r="C4" s="230" t="s">
        <v>593</v>
      </c>
      <c r="D4" s="230" t="s">
        <v>594</v>
      </c>
      <c r="E4" s="230" t="s">
        <v>595</v>
      </c>
      <c r="F4" s="225">
        <v>45931</v>
      </c>
      <c r="G4" s="231"/>
      <c r="H4" s="231">
        <v>596</v>
      </c>
      <c r="I4" s="231"/>
      <c r="J4" s="231"/>
      <c r="K4" s="231"/>
      <c r="L4" s="231"/>
    </row>
    <row r="5" spans="1:18" ht="12" hidden="1" customHeight="1" x14ac:dyDescent="0.3">
      <c r="A5" s="201" t="s">
        <v>559</v>
      </c>
      <c r="B5" s="204" t="s">
        <v>96</v>
      </c>
      <c r="C5" s="230" t="s">
        <v>593</v>
      </c>
      <c r="D5" s="230" t="s">
        <v>594</v>
      </c>
      <c r="E5" s="230" t="s">
        <v>595</v>
      </c>
      <c r="F5" s="225">
        <v>45901</v>
      </c>
      <c r="G5" s="231"/>
      <c r="H5" s="231">
        <v>523</v>
      </c>
      <c r="I5" s="231"/>
      <c r="J5" s="231"/>
      <c r="K5" s="231"/>
      <c r="L5" s="231"/>
    </row>
    <row r="6" spans="1:18" ht="12" hidden="1" customHeight="1" x14ac:dyDescent="0.3">
      <c r="A6" s="201" t="s">
        <v>559</v>
      </c>
      <c r="B6" s="204" t="s">
        <v>96</v>
      </c>
      <c r="C6" s="230" t="s">
        <v>593</v>
      </c>
      <c r="D6" s="230" t="s">
        <v>594</v>
      </c>
      <c r="E6" s="230" t="s">
        <v>595</v>
      </c>
      <c r="F6" s="225">
        <v>45870</v>
      </c>
      <c r="G6" s="231"/>
      <c r="H6" s="231">
        <v>1194</v>
      </c>
      <c r="I6" s="231"/>
      <c r="J6" s="231"/>
      <c r="K6" s="231"/>
      <c r="L6" s="231"/>
    </row>
    <row r="7" spans="1:18" ht="12" hidden="1" customHeight="1" x14ac:dyDescent="0.3">
      <c r="A7" s="201" t="s">
        <v>559</v>
      </c>
      <c r="B7" s="204" t="s">
        <v>96</v>
      </c>
      <c r="C7" s="230" t="s">
        <v>593</v>
      </c>
      <c r="D7" s="230" t="s">
        <v>594</v>
      </c>
      <c r="E7" s="230" t="s">
        <v>595</v>
      </c>
      <c r="F7" s="225">
        <v>45839</v>
      </c>
      <c r="G7" s="231"/>
      <c r="H7" s="231">
        <v>1194</v>
      </c>
      <c r="I7" s="231"/>
      <c r="J7" s="231"/>
      <c r="K7" s="231"/>
      <c r="L7" s="231"/>
    </row>
    <row r="8" spans="1:18" ht="12" hidden="1" customHeight="1" x14ac:dyDescent="0.3">
      <c r="A8" s="201" t="s">
        <v>559</v>
      </c>
      <c r="B8" s="204" t="s">
        <v>96</v>
      </c>
      <c r="C8" s="230" t="s">
        <v>593</v>
      </c>
      <c r="D8" s="230" t="s">
        <v>594</v>
      </c>
      <c r="E8" s="230" t="s">
        <v>595</v>
      </c>
      <c r="F8" s="225">
        <v>45809</v>
      </c>
      <c r="G8" s="231"/>
      <c r="H8" s="231">
        <v>275</v>
      </c>
      <c r="I8" s="231"/>
      <c r="J8" s="231"/>
      <c r="K8" s="231"/>
      <c r="L8" s="231"/>
    </row>
    <row r="9" spans="1:18" ht="12" hidden="1" customHeight="1" x14ac:dyDescent="0.3">
      <c r="A9" s="201" t="s">
        <v>559</v>
      </c>
      <c r="B9" s="204" t="s">
        <v>96</v>
      </c>
      <c r="C9" s="230" t="s">
        <v>593</v>
      </c>
      <c r="D9" s="230" t="s">
        <v>594</v>
      </c>
      <c r="E9" s="230" t="s">
        <v>595</v>
      </c>
      <c r="F9" s="225">
        <v>45778</v>
      </c>
      <c r="G9" s="231"/>
      <c r="H9" s="231">
        <v>272</v>
      </c>
      <c r="I9" s="231"/>
      <c r="J9" s="231"/>
      <c r="K9" s="231"/>
      <c r="L9" s="231"/>
    </row>
    <row r="10" spans="1:18" ht="12" hidden="1" customHeight="1" x14ac:dyDescent="0.3">
      <c r="A10" s="201" t="s">
        <v>559</v>
      </c>
      <c r="B10" s="204" t="s">
        <v>96</v>
      </c>
      <c r="C10" s="230" t="s">
        <v>593</v>
      </c>
      <c r="D10" s="230" t="s">
        <v>594</v>
      </c>
      <c r="E10" s="230" t="s">
        <v>595</v>
      </c>
      <c r="F10" s="225">
        <v>45748</v>
      </c>
      <c r="G10" s="231"/>
      <c r="H10" s="231">
        <v>259</v>
      </c>
      <c r="I10" s="231"/>
      <c r="J10" s="231"/>
      <c r="K10" s="231"/>
      <c r="L10" s="231"/>
    </row>
    <row r="11" spans="1:18" ht="12" hidden="1" customHeight="1" x14ac:dyDescent="0.3">
      <c r="A11" s="201" t="s">
        <v>559</v>
      </c>
      <c r="B11" s="204" t="s">
        <v>96</v>
      </c>
      <c r="C11" s="230" t="s">
        <v>593</v>
      </c>
      <c r="D11" s="230" t="s">
        <v>594</v>
      </c>
      <c r="E11" s="230" t="s">
        <v>595</v>
      </c>
      <c r="F11" s="225">
        <v>45717</v>
      </c>
      <c r="G11" s="231"/>
      <c r="H11" s="231">
        <v>258</v>
      </c>
      <c r="I11" s="231"/>
      <c r="J11" s="231"/>
      <c r="K11" s="231"/>
      <c r="L11" s="231"/>
    </row>
    <row r="12" spans="1:18" ht="12" hidden="1" customHeight="1" x14ac:dyDescent="0.3">
      <c r="A12" s="201" t="s">
        <v>559</v>
      </c>
      <c r="B12" s="204" t="s">
        <v>96</v>
      </c>
      <c r="C12" s="230" t="s">
        <v>593</v>
      </c>
      <c r="D12" s="230" t="s">
        <v>594</v>
      </c>
      <c r="E12" s="230" t="s">
        <v>595</v>
      </c>
      <c r="F12" s="225">
        <v>45689</v>
      </c>
      <c r="G12" s="231"/>
      <c r="H12" s="231">
        <v>305</v>
      </c>
      <c r="I12" s="231"/>
      <c r="J12" s="231"/>
      <c r="K12" s="231"/>
      <c r="L12" s="231"/>
    </row>
    <row r="13" spans="1:18" ht="12" hidden="1" customHeight="1" x14ac:dyDescent="0.3">
      <c r="A13" s="201" t="s">
        <v>559</v>
      </c>
      <c r="B13" s="204" t="s">
        <v>96</v>
      </c>
      <c r="C13" s="230" t="s">
        <v>593</v>
      </c>
      <c r="D13" s="230" t="s">
        <v>594</v>
      </c>
      <c r="E13" s="230" t="s">
        <v>595</v>
      </c>
      <c r="F13" s="225">
        <v>45658</v>
      </c>
      <c r="G13" s="231"/>
      <c r="H13" s="231">
        <v>264</v>
      </c>
      <c r="I13" s="231"/>
      <c r="J13" s="231"/>
      <c r="K13" s="231"/>
      <c r="L13" s="231"/>
    </row>
    <row r="14" spans="1:18" ht="12" hidden="1" customHeight="1" x14ac:dyDescent="0.3">
      <c r="A14" s="201" t="s">
        <v>559</v>
      </c>
      <c r="B14" s="204" t="s">
        <v>84</v>
      </c>
      <c r="C14" s="230" t="s">
        <v>593</v>
      </c>
      <c r="D14" s="230" t="s">
        <v>596</v>
      </c>
      <c r="E14" s="230" t="s">
        <v>595</v>
      </c>
      <c r="F14" s="225">
        <v>45992</v>
      </c>
      <c r="G14" s="231"/>
      <c r="H14" s="231">
        <v>670</v>
      </c>
      <c r="I14" s="231"/>
      <c r="J14" s="231"/>
      <c r="K14" s="231"/>
      <c r="L14" s="231"/>
    </row>
    <row r="15" spans="1:18" ht="12" hidden="1" customHeight="1" x14ac:dyDescent="0.3">
      <c r="A15" s="201" t="s">
        <v>559</v>
      </c>
      <c r="B15" s="204" t="s">
        <v>84</v>
      </c>
      <c r="C15" s="230" t="s">
        <v>593</v>
      </c>
      <c r="D15" s="230" t="s">
        <v>596</v>
      </c>
      <c r="E15" s="230" t="s">
        <v>595</v>
      </c>
      <c r="F15" s="225">
        <v>45962</v>
      </c>
      <c r="G15" s="231"/>
      <c r="H15" s="231">
        <v>769</v>
      </c>
      <c r="I15" s="231"/>
      <c r="J15" s="231"/>
      <c r="K15" s="231"/>
      <c r="L15" s="231"/>
    </row>
    <row r="16" spans="1:18" ht="12" hidden="1" customHeight="1" x14ac:dyDescent="0.3">
      <c r="A16" s="201" t="s">
        <v>559</v>
      </c>
      <c r="B16" s="204" t="s">
        <v>84</v>
      </c>
      <c r="C16" s="230" t="s">
        <v>593</v>
      </c>
      <c r="D16" s="230" t="s">
        <v>596</v>
      </c>
      <c r="E16" s="230" t="s">
        <v>595</v>
      </c>
      <c r="F16" s="225">
        <v>45931</v>
      </c>
      <c r="G16" s="231"/>
      <c r="H16" s="231">
        <v>752</v>
      </c>
      <c r="I16" s="231"/>
      <c r="J16" s="231"/>
      <c r="K16" s="231"/>
      <c r="L16" s="231"/>
    </row>
    <row r="17" spans="1:12" ht="12" hidden="1" customHeight="1" x14ac:dyDescent="0.3">
      <c r="A17" s="201" t="s">
        <v>559</v>
      </c>
      <c r="B17" s="204" t="s">
        <v>84</v>
      </c>
      <c r="C17" s="230" t="s">
        <v>593</v>
      </c>
      <c r="D17" s="230" t="s">
        <v>596</v>
      </c>
      <c r="E17" s="230" t="s">
        <v>595</v>
      </c>
      <c r="F17" s="225">
        <v>45901</v>
      </c>
      <c r="G17" s="231"/>
      <c r="H17" s="231">
        <v>674</v>
      </c>
      <c r="I17" s="231"/>
      <c r="J17" s="231"/>
      <c r="K17" s="231"/>
      <c r="L17" s="231"/>
    </row>
    <row r="18" spans="1:12" ht="12" hidden="1" customHeight="1" x14ac:dyDescent="0.3">
      <c r="A18" s="201" t="s">
        <v>559</v>
      </c>
      <c r="B18" s="204" t="s">
        <v>84</v>
      </c>
      <c r="C18" s="230" t="s">
        <v>593</v>
      </c>
      <c r="D18" s="230" t="s">
        <v>596</v>
      </c>
      <c r="E18" s="230" t="s">
        <v>595</v>
      </c>
      <c r="F18" s="225">
        <v>45870</v>
      </c>
      <c r="G18" s="231"/>
      <c r="H18" s="231">
        <v>369</v>
      </c>
      <c r="I18" s="231"/>
      <c r="J18" s="231"/>
      <c r="K18" s="231"/>
      <c r="L18" s="231"/>
    </row>
    <row r="19" spans="1:12" ht="12" hidden="1" customHeight="1" x14ac:dyDescent="0.3">
      <c r="A19" s="201" t="s">
        <v>559</v>
      </c>
      <c r="B19" s="204" t="s">
        <v>84</v>
      </c>
      <c r="C19" s="230" t="s">
        <v>593</v>
      </c>
      <c r="D19" s="230" t="s">
        <v>596</v>
      </c>
      <c r="E19" s="230" t="s">
        <v>595</v>
      </c>
      <c r="F19" s="225">
        <v>45839</v>
      </c>
      <c r="G19" s="231"/>
      <c r="H19" s="231">
        <v>293</v>
      </c>
      <c r="I19" s="231"/>
      <c r="J19" s="231"/>
      <c r="K19" s="231"/>
      <c r="L19" s="231"/>
    </row>
    <row r="20" spans="1:12" ht="12" hidden="1" customHeight="1" x14ac:dyDescent="0.3">
      <c r="A20" s="201" t="s">
        <v>559</v>
      </c>
      <c r="B20" s="204" t="s">
        <v>84</v>
      </c>
      <c r="C20" s="230" t="s">
        <v>593</v>
      </c>
      <c r="D20" s="230" t="s">
        <v>596</v>
      </c>
      <c r="E20" s="230" t="s">
        <v>595</v>
      </c>
      <c r="F20" s="225">
        <v>45809</v>
      </c>
      <c r="G20" s="231"/>
      <c r="H20" s="231">
        <v>364</v>
      </c>
      <c r="I20" s="231"/>
      <c r="J20" s="231"/>
      <c r="K20" s="231"/>
      <c r="L20" s="231"/>
    </row>
    <row r="21" spans="1:12" ht="12" hidden="1" customHeight="1" x14ac:dyDescent="0.3">
      <c r="A21" s="201" t="s">
        <v>559</v>
      </c>
      <c r="B21" s="204" t="s">
        <v>84</v>
      </c>
      <c r="C21" s="230" t="s">
        <v>593</v>
      </c>
      <c r="D21" s="230" t="s">
        <v>596</v>
      </c>
      <c r="E21" s="230" t="s">
        <v>595</v>
      </c>
      <c r="F21" s="225">
        <v>45778</v>
      </c>
      <c r="G21" s="231"/>
      <c r="H21" s="231">
        <v>595</v>
      </c>
      <c r="I21" s="231"/>
      <c r="J21" s="231"/>
      <c r="K21" s="231"/>
      <c r="L21" s="231"/>
    </row>
    <row r="22" spans="1:12" ht="12" hidden="1" customHeight="1" x14ac:dyDescent="0.3">
      <c r="A22" s="201" t="s">
        <v>559</v>
      </c>
      <c r="B22" s="204" t="s">
        <v>84</v>
      </c>
      <c r="C22" s="230" t="s">
        <v>593</v>
      </c>
      <c r="D22" s="230" t="s">
        <v>596</v>
      </c>
      <c r="E22" s="230" t="s">
        <v>595</v>
      </c>
      <c r="F22" s="225">
        <v>45748</v>
      </c>
      <c r="G22" s="231"/>
      <c r="H22" s="231">
        <v>528</v>
      </c>
      <c r="I22" s="231"/>
      <c r="J22" s="231"/>
      <c r="K22" s="231"/>
      <c r="L22" s="231"/>
    </row>
    <row r="23" spans="1:12" ht="12" hidden="1" customHeight="1" x14ac:dyDescent="0.3">
      <c r="A23" s="201" t="s">
        <v>559</v>
      </c>
      <c r="B23" s="204" t="s">
        <v>84</v>
      </c>
      <c r="C23" s="230" t="s">
        <v>593</v>
      </c>
      <c r="D23" s="230" t="s">
        <v>596</v>
      </c>
      <c r="E23" s="230" t="s">
        <v>595</v>
      </c>
      <c r="F23" s="225">
        <v>45717</v>
      </c>
      <c r="G23" s="231"/>
      <c r="H23" s="231">
        <v>944</v>
      </c>
      <c r="I23" s="231"/>
      <c r="J23" s="231"/>
      <c r="K23" s="231"/>
      <c r="L23" s="231"/>
    </row>
    <row r="24" spans="1:12" ht="12" hidden="1" customHeight="1" x14ac:dyDescent="0.3">
      <c r="A24" s="201" t="s">
        <v>559</v>
      </c>
      <c r="B24" s="204" t="s">
        <v>84</v>
      </c>
      <c r="C24" s="230" t="s">
        <v>593</v>
      </c>
      <c r="D24" s="230" t="s">
        <v>596</v>
      </c>
      <c r="E24" s="230" t="s">
        <v>595</v>
      </c>
      <c r="F24" s="225">
        <v>45689</v>
      </c>
      <c r="G24" s="231"/>
      <c r="H24" s="231">
        <v>895</v>
      </c>
      <c r="I24" s="231"/>
      <c r="J24" s="231"/>
      <c r="K24" s="231"/>
      <c r="L24" s="231"/>
    </row>
    <row r="25" spans="1:12" ht="12" hidden="1" customHeight="1" x14ac:dyDescent="0.3">
      <c r="A25" s="201" t="s">
        <v>559</v>
      </c>
      <c r="B25" s="204" t="s">
        <v>84</v>
      </c>
      <c r="C25" s="230" t="s">
        <v>593</v>
      </c>
      <c r="D25" s="230" t="s">
        <v>596</v>
      </c>
      <c r="E25" s="230" t="s">
        <v>595</v>
      </c>
      <c r="F25" s="225">
        <v>45658</v>
      </c>
      <c r="G25" s="231"/>
      <c r="H25" s="231">
        <v>389</v>
      </c>
      <c r="I25" s="231"/>
      <c r="J25" s="231"/>
      <c r="K25" s="231"/>
      <c r="L25" s="231"/>
    </row>
    <row r="26" spans="1:12" ht="12" hidden="1" customHeight="1" x14ac:dyDescent="0.3">
      <c r="A26" s="201" t="s">
        <v>559</v>
      </c>
      <c r="B26" s="204" t="s">
        <v>104</v>
      </c>
      <c r="C26" s="230" t="s">
        <v>597</v>
      </c>
      <c r="D26" s="230" t="s">
        <v>598</v>
      </c>
      <c r="E26" s="230" t="s">
        <v>599</v>
      </c>
      <c r="F26" s="225">
        <v>45992</v>
      </c>
      <c r="G26" s="231"/>
      <c r="H26" s="231">
        <v>148</v>
      </c>
      <c r="I26" s="231"/>
      <c r="J26" s="231"/>
      <c r="K26" s="231"/>
      <c r="L26" s="231"/>
    </row>
    <row r="27" spans="1:12" ht="12" hidden="1" customHeight="1" x14ac:dyDescent="0.3">
      <c r="A27" s="201" t="s">
        <v>559</v>
      </c>
      <c r="B27" s="204" t="s">
        <v>104</v>
      </c>
      <c r="C27" s="230" t="s">
        <v>597</v>
      </c>
      <c r="D27" s="230" t="s">
        <v>598</v>
      </c>
      <c r="E27" s="230" t="s">
        <v>599</v>
      </c>
      <c r="F27" s="225">
        <v>45962</v>
      </c>
      <c r="G27" s="231"/>
      <c r="H27" s="231">
        <v>150</v>
      </c>
      <c r="I27" s="231"/>
      <c r="J27" s="231"/>
      <c r="K27" s="231"/>
      <c r="L27" s="231"/>
    </row>
    <row r="28" spans="1:12" ht="12" hidden="1" customHeight="1" x14ac:dyDescent="0.3">
      <c r="A28" s="201" t="s">
        <v>559</v>
      </c>
      <c r="B28" s="204" t="s">
        <v>104</v>
      </c>
      <c r="C28" s="230" t="s">
        <v>597</v>
      </c>
      <c r="D28" s="230" t="s">
        <v>598</v>
      </c>
      <c r="E28" s="230" t="s">
        <v>599</v>
      </c>
      <c r="F28" s="225">
        <v>45931</v>
      </c>
      <c r="G28" s="231"/>
      <c r="H28" s="231">
        <v>151</v>
      </c>
      <c r="I28" s="231"/>
      <c r="J28" s="231"/>
      <c r="K28" s="231"/>
      <c r="L28" s="231"/>
    </row>
    <row r="29" spans="1:12" ht="12" hidden="1" customHeight="1" x14ac:dyDescent="0.3">
      <c r="A29" s="201" t="s">
        <v>559</v>
      </c>
      <c r="B29" s="204" t="s">
        <v>104</v>
      </c>
      <c r="C29" s="230" t="s">
        <v>597</v>
      </c>
      <c r="D29" s="230" t="s">
        <v>598</v>
      </c>
      <c r="E29" s="230" t="s">
        <v>599</v>
      </c>
      <c r="F29" s="225">
        <v>45901</v>
      </c>
      <c r="G29" s="231"/>
      <c r="H29" s="231">
        <v>153</v>
      </c>
      <c r="I29" s="231"/>
      <c r="J29" s="231"/>
      <c r="K29" s="231"/>
      <c r="L29" s="231"/>
    </row>
    <row r="30" spans="1:12" ht="12" hidden="1" customHeight="1" x14ac:dyDescent="0.3">
      <c r="A30" s="201" t="s">
        <v>559</v>
      </c>
      <c r="B30" s="204" t="s">
        <v>104</v>
      </c>
      <c r="C30" s="230" t="s">
        <v>597</v>
      </c>
      <c r="D30" s="230" t="s">
        <v>598</v>
      </c>
      <c r="E30" s="230" t="s">
        <v>599</v>
      </c>
      <c r="F30" s="225">
        <v>45870</v>
      </c>
      <c r="G30" s="231"/>
      <c r="H30" s="231">
        <v>155</v>
      </c>
      <c r="I30" s="231"/>
      <c r="J30" s="231"/>
      <c r="K30" s="231"/>
      <c r="L30" s="231"/>
    </row>
    <row r="31" spans="1:12" ht="12" hidden="1" customHeight="1" x14ac:dyDescent="0.3">
      <c r="A31" s="201" t="s">
        <v>559</v>
      </c>
      <c r="B31" s="204" t="s">
        <v>104</v>
      </c>
      <c r="C31" s="230" t="s">
        <v>597</v>
      </c>
      <c r="D31" s="230" t="s">
        <v>598</v>
      </c>
      <c r="E31" s="230" t="s">
        <v>599</v>
      </c>
      <c r="F31" s="225">
        <v>45839</v>
      </c>
      <c r="G31" s="231"/>
      <c r="H31" s="231">
        <v>156</v>
      </c>
      <c r="I31" s="231"/>
      <c r="J31" s="231"/>
      <c r="K31" s="231"/>
      <c r="L31" s="231"/>
    </row>
    <row r="32" spans="1:12" ht="12" hidden="1" customHeight="1" x14ac:dyDescent="0.3">
      <c r="A32" s="201" t="s">
        <v>559</v>
      </c>
      <c r="B32" s="204" t="s">
        <v>104</v>
      </c>
      <c r="C32" s="230" t="s">
        <v>597</v>
      </c>
      <c r="D32" s="230" t="s">
        <v>598</v>
      </c>
      <c r="E32" s="230" t="s">
        <v>599</v>
      </c>
      <c r="F32" s="225">
        <v>45809</v>
      </c>
      <c r="G32" s="231"/>
      <c r="H32" s="231">
        <v>158</v>
      </c>
      <c r="I32" s="231"/>
      <c r="J32" s="231"/>
      <c r="K32" s="231"/>
      <c r="L32" s="231"/>
    </row>
    <row r="33" spans="1:12" ht="12" hidden="1" customHeight="1" x14ac:dyDescent="0.3">
      <c r="A33" s="201" t="s">
        <v>559</v>
      </c>
      <c r="B33" s="204" t="s">
        <v>104</v>
      </c>
      <c r="C33" s="230" t="s">
        <v>597</v>
      </c>
      <c r="D33" s="230" t="s">
        <v>598</v>
      </c>
      <c r="E33" s="230" t="s">
        <v>599</v>
      </c>
      <c r="F33" s="225">
        <v>45778</v>
      </c>
      <c r="G33" s="231"/>
      <c r="H33" s="231">
        <v>159</v>
      </c>
      <c r="I33" s="231"/>
      <c r="J33" s="231"/>
      <c r="K33" s="231"/>
      <c r="L33" s="231"/>
    </row>
    <row r="34" spans="1:12" ht="12" hidden="1" customHeight="1" x14ac:dyDescent="0.3">
      <c r="A34" s="201" t="s">
        <v>559</v>
      </c>
      <c r="B34" s="204" t="s">
        <v>104</v>
      </c>
      <c r="C34" s="230" t="s">
        <v>597</v>
      </c>
      <c r="D34" s="230" t="s">
        <v>598</v>
      </c>
      <c r="E34" s="230" t="s">
        <v>599</v>
      </c>
      <c r="F34" s="225">
        <v>45748</v>
      </c>
      <c r="G34" s="231"/>
      <c r="H34" s="231">
        <v>160</v>
      </c>
      <c r="I34" s="231"/>
      <c r="J34" s="231"/>
      <c r="K34" s="231"/>
      <c r="L34" s="231"/>
    </row>
    <row r="35" spans="1:12" ht="12" hidden="1" customHeight="1" x14ac:dyDescent="0.3">
      <c r="A35" s="201" t="s">
        <v>559</v>
      </c>
      <c r="B35" s="204" t="s">
        <v>104</v>
      </c>
      <c r="C35" s="230" t="s">
        <v>597</v>
      </c>
      <c r="D35" s="230" t="s">
        <v>598</v>
      </c>
      <c r="E35" s="230" t="s">
        <v>599</v>
      </c>
      <c r="F35" s="225">
        <v>45717</v>
      </c>
      <c r="G35" s="231"/>
      <c r="H35" s="231">
        <v>161</v>
      </c>
      <c r="I35" s="231"/>
      <c r="J35" s="231"/>
      <c r="K35" s="231"/>
      <c r="L35" s="231"/>
    </row>
    <row r="36" spans="1:12" ht="12" hidden="1" customHeight="1" x14ac:dyDescent="0.3">
      <c r="A36" s="201" t="s">
        <v>559</v>
      </c>
      <c r="B36" s="204" t="s">
        <v>104</v>
      </c>
      <c r="C36" s="230" t="s">
        <v>597</v>
      </c>
      <c r="D36" s="230" t="s">
        <v>598</v>
      </c>
      <c r="E36" s="230" t="s">
        <v>599</v>
      </c>
      <c r="F36" s="225">
        <v>45689</v>
      </c>
      <c r="G36" s="231"/>
      <c r="H36" s="231">
        <v>162</v>
      </c>
      <c r="I36" s="231"/>
      <c r="J36" s="231"/>
      <c r="K36" s="231"/>
      <c r="L36" s="231"/>
    </row>
    <row r="37" spans="1:12" ht="12" hidden="1" customHeight="1" x14ac:dyDescent="0.3">
      <c r="A37" s="201" t="s">
        <v>559</v>
      </c>
      <c r="B37" s="204" t="s">
        <v>104</v>
      </c>
      <c r="C37" s="230" t="s">
        <v>597</v>
      </c>
      <c r="D37" s="230" t="s">
        <v>598</v>
      </c>
      <c r="E37" s="230" t="s">
        <v>599</v>
      </c>
      <c r="F37" s="225">
        <v>45658</v>
      </c>
      <c r="G37" s="231"/>
      <c r="H37" s="231">
        <v>163</v>
      </c>
      <c r="I37" s="231"/>
      <c r="J37" s="231"/>
      <c r="K37" s="231"/>
      <c r="L37" s="231"/>
    </row>
    <row r="38" spans="1:12" ht="12" hidden="1" customHeight="1" x14ac:dyDescent="0.3">
      <c r="A38" s="201" t="s">
        <v>559</v>
      </c>
      <c r="B38" s="204" t="s">
        <v>600</v>
      </c>
      <c r="C38" s="230" t="s">
        <v>597</v>
      </c>
      <c r="D38" s="230" t="s">
        <v>601</v>
      </c>
      <c r="E38" s="230" t="s">
        <v>595</v>
      </c>
      <c r="F38" s="225">
        <v>45992</v>
      </c>
      <c r="G38" s="231"/>
      <c r="H38" s="231">
        <v>450</v>
      </c>
      <c r="I38" s="231"/>
      <c r="J38" s="231"/>
      <c r="K38" s="231"/>
      <c r="L38" s="231"/>
    </row>
    <row r="39" spans="1:12" ht="12" hidden="1" customHeight="1" x14ac:dyDescent="0.3">
      <c r="A39" s="201" t="s">
        <v>559</v>
      </c>
      <c r="B39" s="204" t="s">
        <v>600</v>
      </c>
      <c r="C39" s="230" t="s">
        <v>597</v>
      </c>
      <c r="D39" s="230" t="s">
        <v>601</v>
      </c>
      <c r="E39" s="230" t="s">
        <v>595</v>
      </c>
      <c r="F39" s="225">
        <v>45962</v>
      </c>
      <c r="G39" s="231"/>
      <c r="H39" s="231">
        <v>450</v>
      </c>
      <c r="I39" s="231"/>
      <c r="J39" s="231"/>
      <c r="K39" s="231"/>
      <c r="L39" s="231"/>
    </row>
    <row r="40" spans="1:12" ht="12" hidden="1" customHeight="1" x14ac:dyDescent="0.3">
      <c r="A40" s="201" t="s">
        <v>559</v>
      </c>
      <c r="B40" s="204" t="s">
        <v>600</v>
      </c>
      <c r="C40" s="230" t="s">
        <v>597</v>
      </c>
      <c r="D40" s="230" t="s">
        <v>601</v>
      </c>
      <c r="E40" s="230" t="s">
        <v>595</v>
      </c>
      <c r="F40" s="225">
        <v>45931</v>
      </c>
      <c r="G40" s="231"/>
      <c r="H40" s="231">
        <v>450</v>
      </c>
      <c r="I40" s="231"/>
      <c r="J40" s="231"/>
      <c r="K40" s="231"/>
      <c r="L40" s="231"/>
    </row>
    <row r="41" spans="1:12" ht="12" hidden="1" customHeight="1" x14ac:dyDescent="0.3">
      <c r="A41" s="201" t="s">
        <v>559</v>
      </c>
      <c r="B41" s="204" t="s">
        <v>600</v>
      </c>
      <c r="C41" s="230" t="s">
        <v>597</v>
      </c>
      <c r="D41" s="230" t="s">
        <v>601</v>
      </c>
      <c r="E41" s="230" t="s">
        <v>595</v>
      </c>
      <c r="F41" s="225">
        <v>45901</v>
      </c>
      <c r="G41" s="231"/>
      <c r="H41" s="231">
        <v>450</v>
      </c>
      <c r="I41" s="231"/>
      <c r="J41" s="231"/>
      <c r="K41" s="231"/>
      <c r="L41" s="231"/>
    </row>
    <row r="42" spans="1:12" ht="12" hidden="1" customHeight="1" x14ac:dyDescent="0.3">
      <c r="A42" s="201" t="s">
        <v>559</v>
      </c>
      <c r="B42" s="204" t="s">
        <v>600</v>
      </c>
      <c r="C42" s="230" t="s">
        <v>597</v>
      </c>
      <c r="D42" s="230" t="s">
        <v>601</v>
      </c>
      <c r="E42" s="230" t="s">
        <v>595</v>
      </c>
      <c r="F42" s="225">
        <v>45870</v>
      </c>
      <c r="G42" s="231"/>
      <c r="H42" s="231">
        <v>450</v>
      </c>
      <c r="I42" s="231"/>
      <c r="J42" s="231"/>
      <c r="K42" s="231"/>
      <c r="L42" s="231"/>
    </row>
    <row r="43" spans="1:12" ht="12" hidden="1" customHeight="1" x14ac:dyDescent="0.3">
      <c r="A43" s="201" t="s">
        <v>559</v>
      </c>
      <c r="B43" s="204" t="s">
        <v>600</v>
      </c>
      <c r="C43" s="230" t="s">
        <v>597</v>
      </c>
      <c r="D43" s="230" t="s">
        <v>601</v>
      </c>
      <c r="E43" s="230" t="s">
        <v>595</v>
      </c>
      <c r="F43" s="225">
        <v>45839</v>
      </c>
      <c r="G43" s="231"/>
      <c r="H43" s="231">
        <v>450</v>
      </c>
      <c r="I43" s="231"/>
      <c r="J43" s="231"/>
      <c r="K43" s="231"/>
      <c r="L43" s="231"/>
    </row>
    <row r="44" spans="1:12" ht="12" hidden="1" customHeight="1" x14ac:dyDescent="0.3">
      <c r="A44" s="201" t="s">
        <v>559</v>
      </c>
      <c r="B44" s="204" t="s">
        <v>600</v>
      </c>
      <c r="C44" s="230" t="s">
        <v>597</v>
      </c>
      <c r="D44" s="230" t="s">
        <v>601</v>
      </c>
      <c r="E44" s="230" t="s">
        <v>595</v>
      </c>
      <c r="F44" s="225">
        <v>45809</v>
      </c>
      <c r="G44" s="231"/>
      <c r="H44" s="231">
        <v>450</v>
      </c>
      <c r="I44" s="231"/>
      <c r="J44" s="231"/>
      <c r="K44" s="231"/>
      <c r="L44" s="231"/>
    </row>
    <row r="45" spans="1:12" ht="12" hidden="1" customHeight="1" x14ac:dyDescent="0.3">
      <c r="A45" s="201" t="s">
        <v>559</v>
      </c>
      <c r="B45" s="204" t="s">
        <v>600</v>
      </c>
      <c r="C45" s="230" t="s">
        <v>597</v>
      </c>
      <c r="D45" s="230" t="s">
        <v>601</v>
      </c>
      <c r="E45" s="230" t="s">
        <v>595</v>
      </c>
      <c r="F45" s="225">
        <v>45778</v>
      </c>
      <c r="G45" s="231"/>
      <c r="H45" s="231">
        <v>450</v>
      </c>
      <c r="I45" s="231"/>
      <c r="J45" s="231"/>
      <c r="K45" s="231"/>
      <c r="L45" s="231"/>
    </row>
    <row r="46" spans="1:12" ht="12" hidden="1" customHeight="1" x14ac:dyDescent="0.3">
      <c r="A46" s="201" t="s">
        <v>559</v>
      </c>
      <c r="B46" s="204" t="s">
        <v>600</v>
      </c>
      <c r="C46" s="230" t="s">
        <v>597</v>
      </c>
      <c r="D46" s="230" t="s">
        <v>601</v>
      </c>
      <c r="E46" s="230" t="s">
        <v>595</v>
      </c>
      <c r="F46" s="225">
        <v>45748</v>
      </c>
      <c r="G46" s="231"/>
      <c r="H46" s="231">
        <v>450</v>
      </c>
      <c r="I46" s="231"/>
      <c r="J46" s="231"/>
      <c r="K46" s="231"/>
      <c r="L46" s="231"/>
    </row>
    <row r="47" spans="1:12" ht="12" hidden="1" customHeight="1" x14ac:dyDescent="0.3">
      <c r="A47" s="201" t="s">
        <v>559</v>
      </c>
      <c r="B47" s="204" t="s">
        <v>600</v>
      </c>
      <c r="C47" s="230" t="s">
        <v>597</v>
      </c>
      <c r="D47" s="230" t="s">
        <v>601</v>
      </c>
      <c r="E47" s="230" t="s">
        <v>595</v>
      </c>
      <c r="F47" s="225">
        <v>45717</v>
      </c>
      <c r="G47" s="231"/>
      <c r="H47" s="231">
        <v>450</v>
      </c>
      <c r="I47" s="231"/>
      <c r="J47" s="231"/>
      <c r="K47" s="231"/>
      <c r="L47" s="231"/>
    </row>
    <row r="48" spans="1:12" ht="12" hidden="1" customHeight="1" x14ac:dyDescent="0.3">
      <c r="A48" s="201" t="s">
        <v>559</v>
      </c>
      <c r="B48" s="204" t="s">
        <v>600</v>
      </c>
      <c r="C48" s="230" t="s">
        <v>597</v>
      </c>
      <c r="D48" s="230" t="s">
        <v>601</v>
      </c>
      <c r="E48" s="230" t="s">
        <v>595</v>
      </c>
      <c r="F48" s="225">
        <v>45689</v>
      </c>
      <c r="G48" s="231"/>
      <c r="H48" s="231">
        <v>450</v>
      </c>
      <c r="I48" s="231"/>
      <c r="J48" s="231"/>
      <c r="K48" s="231"/>
      <c r="L48" s="231"/>
    </row>
    <row r="49" spans="1:12" ht="12" hidden="1" customHeight="1" x14ac:dyDescent="0.3">
      <c r="A49" s="201" t="s">
        <v>559</v>
      </c>
      <c r="B49" s="204" t="s">
        <v>600</v>
      </c>
      <c r="C49" s="230" t="s">
        <v>597</v>
      </c>
      <c r="D49" s="230" t="s">
        <v>601</v>
      </c>
      <c r="E49" s="230" t="s">
        <v>595</v>
      </c>
      <c r="F49" s="225">
        <v>45658</v>
      </c>
      <c r="G49" s="231"/>
      <c r="H49" s="231">
        <v>450</v>
      </c>
      <c r="I49" s="231"/>
      <c r="J49" s="231"/>
      <c r="K49" s="231"/>
      <c r="L49" s="231"/>
    </row>
    <row r="50" spans="1:12" ht="12" hidden="1" customHeight="1" x14ac:dyDescent="0.3">
      <c r="A50" s="201" t="s">
        <v>559</v>
      </c>
      <c r="B50" s="204" t="s">
        <v>602</v>
      </c>
      <c r="C50" s="230" t="s">
        <v>597</v>
      </c>
      <c r="D50" s="230" t="s">
        <v>603</v>
      </c>
      <c r="E50" s="230" t="s">
        <v>595</v>
      </c>
      <c r="F50" s="225">
        <v>45992</v>
      </c>
      <c r="G50" s="231"/>
      <c r="H50" s="231">
        <v>1255</v>
      </c>
      <c r="I50" s="231"/>
      <c r="J50" s="231"/>
      <c r="K50" s="231"/>
      <c r="L50" s="231"/>
    </row>
    <row r="51" spans="1:12" ht="12" hidden="1" customHeight="1" x14ac:dyDescent="0.3">
      <c r="A51" s="201" t="s">
        <v>559</v>
      </c>
      <c r="B51" s="204" t="s">
        <v>602</v>
      </c>
      <c r="C51" s="230" t="s">
        <v>597</v>
      </c>
      <c r="D51" s="230" t="s">
        <v>603</v>
      </c>
      <c r="E51" s="230" t="s">
        <v>595</v>
      </c>
      <c r="F51" s="225">
        <v>45962</v>
      </c>
      <c r="G51" s="231"/>
      <c r="H51" s="231">
        <v>1294</v>
      </c>
      <c r="I51" s="231"/>
      <c r="J51" s="231"/>
      <c r="K51" s="231"/>
      <c r="L51" s="231"/>
    </row>
    <row r="52" spans="1:12" ht="12" hidden="1" customHeight="1" x14ac:dyDescent="0.3">
      <c r="A52" s="201" t="s">
        <v>559</v>
      </c>
      <c r="B52" s="204" t="s">
        <v>602</v>
      </c>
      <c r="C52" s="230" t="s">
        <v>597</v>
      </c>
      <c r="D52" s="230" t="s">
        <v>603</v>
      </c>
      <c r="E52" s="230" t="s">
        <v>595</v>
      </c>
      <c r="F52" s="225">
        <v>45931</v>
      </c>
      <c r="G52" s="231"/>
      <c r="H52" s="231">
        <v>934</v>
      </c>
      <c r="I52" s="231"/>
      <c r="J52" s="231"/>
      <c r="K52" s="231"/>
      <c r="L52" s="231"/>
    </row>
    <row r="53" spans="1:12" ht="12" hidden="1" customHeight="1" x14ac:dyDescent="0.3">
      <c r="A53" s="201" t="s">
        <v>559</v>
      </c>
      <c r="B53" s="204" t="s">
        <v>602</v>
      </c>
      <c r="C53" s="230" t="s">
        <v>597</v>
      </c>
      <c r="D53" s="230" t="s">
        <v>603</v>
      </c>
      <c r="E53" s="230" t="s">
        <v>595</v>
      </c>
      <c r="F53" s="225">
        <v>45901</v>
      </c>
      <c r="G53" s="231"/>
      <c r="H53" s="231">
        <v>989</v>
      </c>
      <c r="I53" s="231"/>
      <c r="J53" s="231"/>
      <c r="K53" s="231"/>
      <c r="L53" s="231"/>
    </row>
    <row r="54" spans="1:12" ht="12" hidden="1" customHeight="1" x14ac:dyDescent="0.3">
      <c r="A54" s="201" t="s">
        <v>559</v>
      </c>
      <c r="B54" s="204" t="s">
        <v>602</v>
      </c>
      <c r="C54" s="230" t="s">
        <v>597</v>
      </c>
      <c r="D54" s="230" t="s">
        <v>603</v>
      </c>
      <c r="E54" s="230" t="s">
        <v>595</v>
      </c>
      <c r="F54" s="225">
        <v>45870</v>
      </c>
      <c r="G54" s="231"/>
      <c r="H54" s="231">
        <v>608</v>
      </c>
      <c r="I54" s="231"/>
      <c r="J54" s="231"/>
      <c r="K54" s="231"/>
      <c r="L54" s="231"/>
    </row>
    <row r="55" spans="1:12" ht="12" hidden="1" customHeight="1" x14ac:dyDescent="0.3">
      <c r="A55" s="201" t="s">
        <v>559</v>
      </c>
      <c r="B55" s="204" t="s">
        <v>602</v>
      </c>
      <c r="C55" s="230" t="s">
        <v>597</v>
      </c>
      <c r="D55" s="230" t="s">
        <v>603</v>
      </c>
      <c r="E55" s="230" t="s">
        <v>595</v>
      </c>
      <c r="F55" s="225">
        <v>45839</v>
      </c>
      <c r="G55" s="231"/>
      <c r="H55" s="231">
        <v>392</v>
      </c>
      <c r="I55" s="231"/>
      <c r="J55" s="231"/>
      <c r="K55" s="231"/>
      <c r="L55" s="231"/>
    </row>
    <row r="56" spans="1:12" ht="12" hidden="1" customHeight="1" x14ac:dyDescent="0.3">
      <c r="A56" s="201" t="s">
        <v>559</v>
      </c>
      <c r="B56" s="204" t="s">
        <v>602</v>
      </c>
      <c r="C56" s="230" t="s">
        <v>597</v>
      </c>
      <c r="D56" s="230" t="s">
        <v>603</v>
      </c>
      <c r="E56" s="230" t="s">
        <v>595</v>
      </c>
      <c r="F56" s="225">
        <v>45809</v>
      </c>
      <c r="G56" s="231"/>
      <c r="H56" s="231">
        <v>500</v>
      </c>
      <c r="I56" s="231"/>
      <c r="J56" s="231"/>
      <c r="K56" s="231"/>
      <c r="L56" s="231"/>
    </row>
    <row r="57" spans="1:12" ht="12" hidden="1" customHeight="1" x14ac:dyDescent="0.3">
      <c r="A57" s="201" t="s">
        <v>559</v>
      </c>
      <c r="B57" s="204" t="s">
        <v>602</v>
      </c>
      <c r="C57" s="230" t="s">
        <v>597</v>
      </c>
      <c r="D57" s="230" t="s">
        <v>603</v>
      </c>
      <c r="E57" s="230" t="s">
        <v>595</v>
      </c>
      <c r="F57" s="225">
        <v>45778</v>
      </c>
      <c r="G57" s="231"/>
      <c r="H57" s="231">
        <v>769</v>
      </c>
      <c r="I57" s="231"/>
      <c r="J57" s="231"/>
      <c r="K57" s="231"/>
      <c r="L57" s="231"/>
    </row>
    <row r="58" spans="1:12" ht="12" hidden="1" customHeight="1" x14ac:dyDescent="0.3">
      <c r="A58" s="201" t="s">
        <v>559</v>
      </c>
      <c r="B58" s="204" t="s">
        <v>602</v>
      </c>
      <c r="C58" s="230" t="s">
        <v>597</v>
      </c>
      <c r="D58" s="230" t="s">
        <v>603</v>
      </c>
      <c r="E58" s="230" t="s">
        <v>595</v>
      </c>
      <c r="F58" s="225">
        <v>45748</v>
      </c>
      <c r="G58" s="231"/>
      <c r="H58" s="231">
        <v>1029</v>
      </c>
      <c r="I58" s="231"/>
      <c r="J58" s="231"/>
      <c r="K58" s="231"/>
      <c r="L58" s="231"/>
    </row>
    <row r="59" spans="1:12" ht="12" hidden="1" customHeight="1" x14ac:dyDescent="0.3">
      <c r="A59" s="201" t="s">
        <v>559</v>
      </c>
      <c r="B59" s="204" t="s">
        <v>602</v>
      </c>
      <c r="C59" s="230" t="s">
        <v>597</v>
      </c>
      <c r="D59" s="230" t="s">
        <v>603</v>
      </c>
      <c r="E59" s="230" t="s">
        <v>595</v>
      </c>
      <c r="F59" s="225">
        <v>45717</v>
      </c>
      <c r="G59" s="231"/>
      <c r="H59" s="231">
        <v>1511</v>
      </c>
      <c r="I59" s="231"/>
      <c r="J59" s="231"/>
      <c r="K59" s="231"/>
      <c r="L59" s="231"/>
    </row>
    <row r="60" spans="1:12" ht="12" hidden="1" customHeight="1" x14ac:dyDescent="0.3">
      <c r="A60" s="201" t="s">
        <v>559</v>
      </c>
      <c r="B60" s="204" t="s">
        <v>602</v>
      </c>
      <c r="C60" s="230" t="s">
        <v>597</v>
      </c>
      <c r="D60" s="230" t="s">
        <v>603</v>
      </c>
      <c r="E60" s="230" t="s">
        <v>595</v>
      </c>
      <c r="F60" s="225">
        <v>45689</v>
      </c>
      <c r="G60" s="231"/>
      <c r="H60" s="231">
        <v>1676</v>
      </c>
      <c r="I60" s="231"/>
      <c r="J60" s="231"/>
      <c r="K60" s="231"/>
      <c r="L60" s="231"/>
    </row>
    <row r="61" spans="1:12" ht="12" hidden="1" customHeight="1" x14ac:dyDescent="0.3">
      <c r="A61" s="201" t="s">
        <v>559</v>
      </c>
      <c r="B61" s="204" t="s">
        <v>602</v>
      </c>
      <c r="C61" s="230" t="s">
        <v>597</v>
      </c>
      <c r="D61" s="230" t="s">
        <v>603</v>
      </c>
      <c r="E61" s="230" t="s">
        <v>595</v>
      </c>
      <c r="F61" s="225">
        <v>45658</v>
      </c>
      <c r="G61" s="231"/>
      <c r="H61" s="231">
        <v>1933</v>
      </c>
      <c r="I61" s="231"/>
      <c r="J61" s="231"/>
      <c r="K61" s="231"/>
      <c r="L61" s="231"/>
    </row>
    <row r="62" spans="1:12" ht="12" hidden="1" customHeight="1" x14ac:dyDescent="0.3">
      <c r="A62" s="201" t="s">
        <v>559</v>
      </c>
      <c r="B62" s="204" t="s">
        <v>604</v>
      </c>
      <c r="C62" s="230" t="s">
        <v>597</v>
      </c>
      <c r="D62" s="230" t="s">
        <v>605</v>
      </c>
      <c r="E62" s="230" t="s">
        <v>595</v>
      </c>
      <c r="F62" s="225">
        <v>45992</v>
      </c>
      <c r="G62" s="231"/>
      <c r="H62" s="231">
        <v>3167</v>
      </c>
      <c r="I62" s="231"/>
      <c r="J62" s="231"/>
      <c r="K62" s="231"/>
      <c r="L62" s="231"/>
    </row>
    <row r="63" spans="1:12" ht="12" hidden="1" customHeight="1" x14ac:dyDescent="0.3">
      <c r="A63" s="201" t="s">
        <v>559</v>
      </c>
      <c r="B63" s="204" t="s">
        <v>604</v>
      </c>
      <c r="C63" s="230" t="s">
        <v>597</v>
      </c>
      <c r="D63" s="230" t="s">
        <v>605</v>
      </c>
      <c r="E63" s="230" t="s">
        <v>595</v>
      </c>
      <c r="F63" s="225">
        <v>45962</v>
      </c>
      <c r="G63" s="231"/>
      <c r="H63" s="231">
        <v>3722</v>
      </c>
      <c r="I63" s="231"/>
      <c r="J63" s="231"/>
      <c r="K63" s="231"/>
      <c r="L63" s="231"/>
    </row>
    <row r="64" spans="1:12" ht="12" hidden="1" customHeight="1" x14ac:dyDescent="0.3">
      <c r="A64" s="201" t="s">
        <v>559</v>
      </c>
      <c r="B64" s="204" t="s">
        <v>604</v>
      </c>
      <c r="C64" s="230" t="s">
        <v>597</v>
      </c>
      <c r="D64" s="230" t="s">
        <v>605</v>
      </c>
      <c r="E64" s="230" t="s">
        <v>595</v>
      </c>
      <c r="F64" s="225">
        <v>45931</v>
      </c>
      <c r="G64" s="231"/>
      <c r="H64" s="231">
        <v>3101</v>
      </c>
      <c r="I64" s="231"/>
      <c r="J64" s="231"/>
      <c r="K64" s="231"/>
      <c r="L64" s="231"/>
    </row>
    <row r="65" spans="1:12" ht="12" hidden="1" customHeight="1" x14ac:dyDescent="0.3">
      <c r="A65" s="201" t="s">
        <v>559</v>
      </c>
      <c r="B65" s="204" t="s">
        <v>604</v>
      </c>
      <c r="C65" s="230" t="s">
        <v>597</v>
      </c>
      <c r="D65" s="230" t="s">
        <v>605</v>
      </c>
      <c r="E65" s="230" t="s">
        <v>595</v>
      </c>
      <c r="F65" s="225">
        <v>45901</v>
      </c>
      <c r="G65" s="231"/>
      <c r="H65" s="231">
        <v>3035</v>
      </c>
      <c r="I65" s="231"/>
      <c r="J65" s="231"/>
      <c r="K65" s="231"/>
      <c r="L65" s="231"/>
    </row>
    <row r="66" spans="1:12" ht="12" hidden="1" customHeight="1" x14ac:dyDescent="0.3">
      <c r="A66" s="201" t="s">
        <v>559</v>
      </c>
      <c r="B66" s="204" t="s">
        <v>604</v>
      </c>
      <c r="C66" s="230" t="s">
        <v>597</v>
      </c>
      <c r="D66" s="230" t="s">
        <v>605</v>
      </c>
      <c r="E66" s="230" t="s">
        <v>595</v>
      </c>
      <c r="F66" s="225">
        <v>45870</v>
      </c>
      <c r="G66" s="231"/>
      <c r="H66" s="231">
        <v>3150</v>
      </c>
      <c r="I66" s="231"/>
      <c r="J66" s="231"/>
      <c r="K66" s="231"/>
      <c r="L66" s="231"/>
    </row>
    <row r="67" spans="1:12" ht="12" hidden="1" customHeight="1" x14ac:dyDescent="0.3">
      <c r="A67" s="201" t="s">
        <v>559</v>
      </c>
      <c r="B67" s="204" t="s">
        <v>604</v>
      </c>
      <c r="C67" s="230" t="s">
        <v>597</v>
      </c>
      <c r="D67" s="230" t="s">
        <v>605</v>
      </c>
      <c r="E67" s="230" t="s">
        <v>595</v>
      </c>
      <c r="F67" s="225">
        <v>45839</v>
      </c>
      <c r="G67" s="231"/>
      <c r="H67" s="231">
        <v>2764</v>
      </c>
      <c r="I67" s="231"/>
      <c r="J67" s="231"/>
      <c r="K67" s="231"/>
      <c r="L67" s="231"/>
    </row>
    <row r="68" spans="1:12" ht="12" hidden="1" customHeight="1" x14ac:dyDescent="0.3">
      <c r="A68" s="201" t="s">
        <v>559</v>
      </c>
      <c r="B68" s="204" t="s">
        <v>604</v>
      </c>
      <c r="C68" s="230" t="s">
        <v>597</v>
      </c>
      <c r="D68" s="230" t="s">
        <v>605</v>
      </c>
      <c r="E68" s="230" t="s">
        <v>595</v>
      </c>
      <c r="F68" s="225">
        <v>45809</v>
      </c>
      <c r="G68" s="231"/>
      <c r="H68" s="231">
        <v>2632</v>
      </c>
      <c r="I68" s="231"/>
      <c r="J68" s="231"/>
      <c r="K68" s="231"/>
      <c r="L68" s="231"/>
    </row>
    <row r="69" spans="1:12" ht="12" hidden="1" customHeight="1" x14ac:dyDescent="0.3">
      <c r="A69" s="201" t="s">
        <v>559</v>
      </c>
      <c r="B69" s="204" t="s">
        <v>604</v>
      </c>
      <c r="C69" s="230" t="s">
        <v>597</v>
      </c>
      <c r="D69" s="230" t="s">
        <v>605</v>
      </c>
      <c r="E69" s="230" t="s">
        <v>595</v>
      </c>
      <c r="F69" s="225">
        <v>45778</v>
      </c>
      <c r="G69" s="231"/>
      <c r="H69" s="231">
        <v>2674</v>
      </c>
      <c r="I69" s="231"/>
      <c r="J69" s="231"/>
      <c r="K69" s="231"/>
      <c r="L69" s="231"/>
    </row>
    <row r="70" spans="1:12" ht="12" hidden="1" customHeight="1" x14ac:dyDescent="0.3">
      <c r="A70" s="201" t="s">
        <v>559</v>
      </c>
      <c r="B70" s="204" t="s">
        <v>604</v>
      </c>
      <c r="C70" s="230" t="s">
        <v>597</v>
      </c>
      <c r="D70" s="230" t="s">
        <v>605</v>
      </c>
      <c r="E70" s="230" t="s">
        <v>595</v>
      </c>
      <c r="F70" s="225">
        <v>45748</v>
      </c>
      <c r="G70" s="231"/>
      <c r="H70" s="231">
        <v>3021</v>
      </c>
      <c r="I70" s="231"/>
      <c r="J70" s="231"/>
      <c r="K70" s="231"/>
      <c r="L70" s="231"/>
    </row>
    <row r="71" spans="1:12" ht="12" hidden="1" customHeight="1" x14ac:dyDescent="0.3">
      <c r="A71" s="201" t="s">
        <v>559</v>
      </c>
      <c r="B71" s="204" t="s">
        <v>604</v>
      </c>
      <c r="C71" s="230" t="s">
        <v>597</v>
      </c>
      <c r="D71" s="230" t="s">
        <v>605</v>
      </c>
      <c r="E71" s="230" t="s">
        <v>595</v>
      </c>
      <c r="F71" s="225">
        <v>45717</v>
      </c>
      <c r="G71" s="231"/>
      <c r="H71" s="231">
        <v>3538</v>
      </c>
      <c r="I71" s="231"/>
      <c r="J71" s="231"/>
      <c r="K71" s="231"/>
      <c r="L71" s="231"/>
    </row>
    <row r="72" spans="1:12" ht="12" hidden="1" customHeight="1" x14ac:dyDescent="0.3">
      <c r="A72" s="201" t="s">
        <v>559</v>
      </c>
      <c r="B72" s="204" t="s">
        <v>604</v>
      </c>
      <c r="C72" s="230" t="s">
        <v>597</v>
      </c>
      <c r="D72" s="230" t="s">
        <v>605</v>
      </c>
      <c r="E72" s="230" t="s">
        <v>595</v>
      </c>
      <c r="F72" s="225">
        <v>45689</v>
      </c>
      <c r="G72" s="231"/>
      <c r="H72" s="231">
        <v>4767</v>
      </c>
      <c r="I72" s="231"/>
      <c r="J72" s="231"/>
      <c r="K72" s="231"/>
      <c r="L72" s="231"/>
    </row>
    <row r="73" spans="1:12" ht="12" hidden="1" customHeight="1" x14ac:dyDescent="0.3">
      <c r="A73" s="201" t="s">
        <v>559</v>
      </c>
      <c r="B73" s="204" t="s">
        <v>604</v>
      </c>
      <c r="C73" s="230" t="s">
        <v>597</v>
      </c>
      <c r="D73" s="230" t="s">
        <v>605</v>
      </c>
      <c r="E73" s="230" t="s">
        <v>595</v>
      </c>
      <c r="F73" s="225">
        <v>45658</v>
      </c>
      <c r="G73" s="231"/>
      <c r="H73" s="231">
        <v>4423</v>
      </c>
      <c r="I73" s="231"/>
      <c r="J73" s="231"/>
      <c r="K73" s="231"/>
      <c r="L73" s="231"/>
    </row>
    <row r="74" spans="1:12" ht="12" hidden="1" customHeight="1" x14ac:dyDescent="0.3">
      <c r="A74" s="201" t="s">
        <v>559</v>
      </c>
      <c r="B74" s="204" t="s">
        <v>88</v>
      </c>
      <c r="C74" s="230" t="s">
        <v>606</v>
      </c>
      <c r="D74" s="230" t="s">
        <v>607</v>
      </c>
      <c r="E74" s="230" t="s">
        <v>595</v>
      </c>
      <c r="F74" s="225">
        <v>45992</v>
      </c>
      <c r="G74" s="231"/>
      <c r="H74" s="231">
        <v>11642</v>
      </c>
      <c r="I74" s="231"/>
      <c r="J74" s="231"/>
      <c r="K74" s="231"/>
      <c r="L74" s="231"/>
    </row>
    <row r="75" spans="1:12" ht="12" hidden="1" customHeight="1" x14ac:dyDescent="0.3">
      <c r="A75" s="201" t="s">
        <v>559</v>
      </c>
      <c r="B75" s="204" t="s">
        <v>88</v>
      </c>
      <c r="C75" s="230" t="s">
        <v>606</v>
      </c>
      <c r="D75" s="230" t="s">
        <v>607</v>
      </c>
      <c r="E75" s="230" t="s">
        <v>595</v>
      </c>
      <c r="F75" s="225">
        <v>45962</v>
      </c>
      <c r="G75" s="231"/>
      <c r="H75" s="231">
        <v>12098</v>
      </c>
      <c r="I75" s="231"/>
      <c r="J75" s="231"/>
      <c r="K75" s="231"/>
      <c r="L75" s="231"/>
    </row>
    <row r="76" spans="1:12" ht="12" hidden="1" customHeight="1" x14ac:dyDescent="0.3">
      <c r="A76" s="201" t="s">
        <v>559</v>
      </c>
      <c r="B76" s="204" t="s">
        <v>88</v>
      </c>
      <c r="C76" s="230" t="s">
        <v>606</v>
      </c>
      <c r="D76" s="230" t="s">
        <v>607</v>
      </c>
      <c r="E76" s="230" t="s">
        <v>595</v>
      </c>
      <c r="F76" s="225">
        <v>45931</v>
      </c>
      <c r="G76" s="231"/>
      <c r="H76" s="231">
        <v>10947</v>
      </c>
      <c r="I76" s="231"/>
      <c r="J76" s="231"/>
      <c r="K76" s="231"/>
      <c r="L76" s="231"/>
    </row>
    <row r="77" spans="1:12" ht="12" hidden="1" customHeight="1" x14ac:dyDescent="0.3">
      <c r="A77" s="201" t="s">
        <v>559</v>
      </c>
      <c r="B77" s="204" t="s">
        <v>88</v>
      </c>
      <c r="C77" s="230" t="s">
        <v>606</v>
      </c>
      <c r="D77" s="230" t="s">
        <v>607</v>
      </c>
      <c r="E77" s="230" t="s">
        <v>595</v>
      </c>
      <c r="F77" s="225">
        <v>45901</v>
      </c>
      <c r="G77" s="231"/>
      <c r="H77" s="231">
        <v>11071</v>
      </c>
      <c r="I77" s="231"/>
      <c r="J77" s="231"/>
      <c r="K77" s="231"/>
      <c r="L77" s="231"/>
    </row>
    <row r="78" spans="1:12" ht="12" hidden="1" customHeight="1" x14ac:dyDescent="0.3">
      <c r="A78" s="201" t="s">
        <v>559</v>
      </c>
      <c r="B78" s="204" t="s">
        <v>88</v>
      </c>
      <c r="C78" s="230" t="s">
        <v>606</v>
      </c>
      <c r="D78" s="230" t="s">
        <v>607</v>
      </c>
      <c r="E78" s="230" t="s">
        <v>595</v>
      </c>
      <c r="F78" s="225">
        <v>45870</v>
      </c>
      <c r="G78" s="231"/>
      <c r="H78" s="231">
        <v>8554</v>
      </c>
      <c r="I78" s="231"/>
      <c r="J78" s="231"/>
      <c r="K78" s="231"/>
      <c r="L78" s="231"/>
    </row>
    <row r="79" spans="1:12" ht="12" hidden="1" customHeight="1" x14ac:dyDescent="0.3">
      <c r="A79" s="201" t="s">
        <v>559</v>
      </c>
      <c r="B79" s="204" t="s">
        <v>88</v>
      </c>
      <c r="C79" s="230" t="s">
        <v>606</v>
      </c>
      <c r="D79" s="230" t="s">
        <v>607</v>
      </c>
      <c r="E79" s="230" t="s">
        <v>595</v>
      </c>
      <c r="F79" s="225">
        <v>45839</v>
      </c>
      <c r="G79" s="231"/>
      <c r="H79" s="231">
        <v>8738</v>
      </c>
      <c r="I79" s="231"/>
      <c r="J79" s="231"/>
      <c r="K79" s="231"/>
      <c r="L79" s="231"/>
    </row>
    <row r="80" spans="1:12" ht="12" hidden="1" customHeight="1" x14ac:dyDescent="0.3">
      <c r="A80" s="201" t="s">
        <v>559</v>
      </c>
      <c r="B80" s="204" t="s">
        <v>88</v>
      </c>
      <c r="C80" s="230" t="s">
        <v>606</v>
      </c>
      <c r="D80" s="230" t="s">
        <v>607</v>
      </c>
      <c r="E80" s="230" t="s">
        <v>595</v>
      </c>
      <c r="F80" s="225">
        <v>45809</v>
      </c>
      <c r="G80" s="231"/>
      <c r="H80" s="231">
        <v>6483</v>
      </c>
      <c r="I80" s="231"/>
      <c r="J80" s="231"/>
      <c r="K80" s="231"/>
      <c r="L80" s="231"/>
    </row>
    <row r="81" spans="1:12" ht="12" hidden="1" customHeight="1" x14ac:dyDescent="0.3">
      <c r="A81" s="201" t="s">
        <v>559</v>
      </c>
      <c r="B81" s="204" t="s">
        <v>88</v>
      </c>
      <c r="C81" s="230" t="s">
        <v>606</v>
      </c>
      <c r="D81" s="230" t="s">
        <v>607</v>
      </c>
      <c r="E81" s="230" t="s">
        <v>595</v>
      </c>
      <c r="F81" s="225">
        <v>45778</v>
      </c>
      <c r="G81" s="231"/>
      <c r="H81" s="231">
        <v>6394</v>
      </c>
      <c r="I81" s="231"/>
      <c r="J81" s="231"/>
      <c r="K81" s="231"/>
      <c r="L81" s="231"/>
    </row>
    <row r="82" spans="1:12" ht="12" hidden="1" customHeight="1" x14ac:dyDescent="0.3">
      <c r="A82" s="201" t="s">
        <v>559</v>
      </c>
      <c r="B82" s="204" t="s">
        <v>88</v>
      </c>
      <c r="C82" s="230" t="s">
        <v>606</v>
      </c>
      <c r="D82" s="230" t="s">
        <v>607</v>
      </c>
      <c r="E82" s="230" t="s">
        <v>595</v>
      </c>
      <c r="F82" s="225">
        <v>45748</v>
      </c>
      <c r="G82" s="231"/>
      <c r="H82" s="231">
        <v>7229</v>
      </c>
      <c r="I82" s="231"/>
      <c r="J82" s="231"/>
      <c r="K82" s="231"/>
      <c r="L82" s="231"/>
    </row>
    <row r="83" spans="1:12" ht="12" hidden="1" customHeight="1" x14ac:dyDescent="0.3">
      <c r="A83" s="201" t="s">
        <v>559</v>
      </c>
      <c r="B83" s="204" t="s">
        <v>88</v>
      </c>
      <c r="C83" s="230" t="s">
        <v>606</v>
      </c>
      <c r="D83" s="230" t="s">
        <v>607</v>
      </c>
      <c r="E83" s="230" t="s">
        <v>595</v>
      </c>
      <c r="F83" s="225">
        <v>45717</v>
      </c>
      <c r="G83" s="231"/>
      <c r="H83" s="231">
        <v>8490</v>
      </c>
      <c r="I83" s="231"/>
      <c r="J83" s="231"/>
      <c r="K83" s="231"/>
      <c r="L83" s="231"/>
    </row>
    <row r="84" spans="1:12" ht="12" hidden="1" customHeight="1" x14ac:dyDescent="0.3">
      <c r="A84" s="201" t="s">
        <v>559</v>
      </c>
      <c r="B84" s="204" t="s">
        <v>88</v>
      </c>
      <c r="C84" s="230" t="s">
        <v>606</v>
      </c>
      <c r="D84" s="230" t="s">
        <v>607</v>
      </c>
      <c r="E84" s="230" t="s">
        <v>595</v>
      </c>
      <c r="F84" s="225">
        <v>45689</v>
      </c>
      <c r="G84" s="231"/>
      <c r="H84" s="231">
        <v>10825</v>
      </c>
      <c r="I84" s="231"/>
      <c r="J84" s="231"/>
      <c r="K84" s="231"/>
      <c r="L84" s="231"/>
    </row>
    <row r="85" spans="1:12" ht="12" hidden="1" customHeight="1" x14ac:dyDescent="0.3">
      <c r="A85" s="201" t="s">
        <v>559</v>
      </c>
      <c r="B85" s="204" t="s">
        <v>88</v>
      </c>
      <c r="C85" s="230" t="s">
        <v>606</v>
      </c>
      <c r="D85" s="230" t="s">
        <v>607</v>
      </c>
      <c r="E85" s="230" t="s">
        <v>595</v>
      </c>
      <c r="F85" s="225">
        <v>45658</v>
      </c>
      <c r="G85" s="231"/>
      <c r="H85" s="231">
        <v>10042</v>
      </c>
      <c r="I85" s="231"/>
      <c r="J85" s="231"/>
      <c r="K85" s="231"/>
      <c r="L85" s="231"/>
    </row>
    <row r="86" spans="1:12" ht="12" hidden="1" customHeight="1" x14ac:dyDescent="0.3">
      <c r="A86" s="201" t="s">
        <v>559</v>
      </c>
      <c r="B86" s="204" t="s">
        <v>608</v>
      </c>
      <c r="C86" s="230" t="s">
        <v>609</v>
      </c>
      <c r="D86" s="230" t="s">
        <v>610</v>
      </c>
      <c r="E86" s="230" t="s">
        <v>595</v>
      </c>
      <c r="F86" s="225">
        <v>45992</v>
      </c>
      <c r="G86" s="231"/>
      <c r="H86" s="231">
        <v>1422</v>
      </c>
      <c r="I86" s="231"/>
      <c r="J86" s="231"/>
      <c r="K86" s="231"/>
      <c r="L86" s="231"/>
    </row>
    <row r="87" spans="1:12" ht="12" hidden="1" customHeight="1" x14ac:dyDescent="0.3">
      <c r="A87" s="201" t="s">
        <v>559</v>
      </c>
      <c r="B87" s="204" t="s">
        <v>608</v>
      </c>
      <c r="C87" s="230" t="s">
        <v>609</v>
      </c>
      <c r="D87" s="230" t="s">
        <v>610</v>
      </c>
      <c r="E87" s="230" t="s">
        <v>595</v>
      </c>
      <c r="F87" s="225">
        <v>45962</v>
      </c>
      <c r="G87" s="231"/>
      <c r="H87" s="231">
        <v>870</v>
      </c>
      <c r="I87" s="231"/>
      <c r="J87" s="231"/>
      <c r="K87" s="231"/>
      <c r="L87" s="231"/>
    </row>
    <row r="88" spans="1:12" ht="12" hidden="1" customHeight="1" x14ac:dyDescent="0.3">
      <c r="A88" s="201" t="s">
        <v>559</v>
      </c>
      <c r="B88" s="204" t="s">
        <v>608</v>
      </c>
      <c r="C88" s="230" t="s">
        <v>609</v>
      </c>
      <c r="D88" s="230" t="s">
        <v>610</v>
      </c>
      <c r="E88" s="230" t="s">
        <v>595</v>
      </c>
      <c r="F88" s="225">
        <v>45931</v>
      </c>
      <c r="G88" s="231"/>
      <c r="H88" s="231">
        <v>1129</v>
      </c>
      <c r="I88" s="231"/>
      <c r="J88" s="231"/>
      <c r="K88" s="231"/>
      <c r="L88" s="231"/>
    </row>
    <row r="89" spans="1:12" ht="12" hidden="1" customHeight="1" x14ac:dyDescent="0.3">
      <c r="A89" s="201" t="s">
        <v>559</v>
      </c>
      <c r="B89" s="204" t="s">
        <v>608</v>
      </c>
      <c r="C89" s="230" t="s">
        <v>609</v>
      </c>
      <c r="D89" s="230" t="s">
        <v>610</v>
      </c>
      <c r="E89" s="230" t="s">
        <v>595</v>
      </c>
      <c r="F89" s="225">
        <v>45901</v>
      </c>
      <c r="G89" s="231"/>
      <c r="H89" s="231">
        <v>1101</v>
      </c>
      <c r="I89" s="231"/>
      <c r="J89" s="231"/>
      <c r="K89" s="231"/>
      <c r="L89" s="231"/>
    </row>
    <row r="90" spans="1:12" ht="12" hidden="1" customHeight="1" x14ac:dyDescent="0.3">
      <c r="A90" s="201" t="s">
        <v>559</v>
      </c>
      <c r="B90" s="204" t="s">
        <v>608</v>
      </c>
      <c r="C90" s="230" t="s">
        <v>609</v>
      </c>
      <c r="D90" s="230" t="s">
        <v>610</v>
      </c>
      <c r="E90" s="230" t="s">
        <v>595</v>
      </c>
      <c r="F90" s="225">
        <v>45870</v>
      </c>
      <c r="G90" s="231"/>
      <c r="H90" s="231">
        <v>1063</v>
      </c>
      <c r="I90" s="231"/>
      <c r="J90" s="231"/>
      <c r="K90" s="231"/>
      <c r="L90" s="231"/>
    </row>
    <row r="91" spans="1:12" ht="12" hidden="1" customHeight="1" x14ac:dyDescent="0.3">
      <c r="A91" s="201" t="s">
        <v>559</v>
      </c>
      <c r="B91" s="204" t="s">
        <v>608</v>
      </c>
      <c r="C91" s="230" t="s">
        <v>609</v>
      </c>
      <c r="D91" s="230" t="s">
        <v>610</v>
      </c>
      <c r="E91" s="230" t="s">
        <v>595</v>
      </c>
      <c r="F91" s="225">
        <v>45839</v>
      </c>
      <c r="G91" s="231"/>
      <c r="H91" s="231">
        <v>1337</v>
      </c>
      <c r="I91" s="231"/>
      <c r="J91" s="231"/>
      <c r="K91" s="231"/>
      <c r="L91" s="231"/>
    </row>
    <row r="92" spans="1:12" ht="12" hidden="1" customHeight="1" x14ac:dyDescent="0.3">
      <c r="A92" s="201" t="s">
        <v>559</v>
      </c>
      <c r="B92" s="204" t="s">
        <v>608</v>
      </c>
      <c r="C92" s="230" t="s">
        <v>609</v>
      </c>
      <c r="D92" s="230" t="s">
        <v>610</v>
      </c>
      <c r="E92" s="230" t="s">
        <v>595</v>
      </c>
      <c r="F92" s="225">
        <v>45809</v>
      </c>
      <c r="G92" s="231"/>
      <c r="H92" s="231">
        <v>1131</v>
      </c>
      <c r="I92" s="231"/>
      <c r="J92" s="231"/>
      <c r="K92" s="231"/>
      <c r="L92" s="231"/>
    </row>
    <row r="93" spans="1:12" ht="12" hidden="1" customHeight="1" x14ac:dyDescent="0.3">
      <c r="A93" s="201" t="s">
        <v>559</v>
      </c>
      <c r="B93" s="204" t="s">
        <v>608</v>
      </c>
      <c r="C93" s="230" t="s">
        <v>609</v>
      </c>
      <c r="D93" s="230" t="s">
        <v>610</v>
      </c>
      <c r="E93" s="230" t="s">
        <v>595</v>
      </c>
      <c r="F93" s="225">
        <v>45778</v>
      </c>
      <c r="G93" s="231"/>
      <c r="H93" s="231">
        <v>1383</v>
      </c>
      <c r="I93" s="231"/>
      <c r="J93" s="231"/>
      <c r="K93" s="231"/>
      <c r="L93" s="231"/>
    </row>
    <row r="94" spans="1:12" ht="12" hidden="1" customHeight="1" x14ac:dyDescent="0.3">
      <c r="A94" s="201" t="s">
        <v>559</v>
      </c>
      <c r="B94" s="204" t="s">
        <v>608</v>
      </c>
      <c r="C94" s="230" t="s">
        <v>609</v>
      </c>
      <c r="D94" s="230" t="s">
        <v>610</v>
      </c>
      <c r="E94" s="230" t="s">
        <v>595</v>
      </c>
      <c r="F94" s="225">
        <v>45748</v>
      </c>
      <c r="G94" s="231"/>
      <c r="H94" s="231">
        <v>1211</v>
      </c>
      <c r="I94" s="231"/>
      <c r="J94" s="231"/>
      <c r="K94" s="231"/>
      <c r="L94" s="231"/>
    </row>
    <row r="95" spans="1:12" ht="12" hidden="1" customHeight="1" x14ac:dyDescent="0.3">
      <c r="A95" s="201" t="s">
        <v>559</v>
      </c>
      <c r="B95" s="204" t="s">
        <v>608</v>
      </c>
      <c r="C95" s="230" t="s">
        <v>609</v>
      </c>
      <c r="D95" s="230" t="s">
        <v>610</v>
      </c>
      <c r="E95" s="230" t="s">
        <v>595</v>
      </c>
      <c r="F95" s="225">
        <v>45717</v>
      </c>
      <c r="G95" s="231"/>
      <c r="H95" s="231">
        <v>1522</v>
      </c>
      <c r="I95" s="231"/>
      <c r="J95" s="231"/>
      <c r="K95" s="231"/>
      <c r="L95" s="231"/>
    </row>
    <row r="96" spans="1:12" ht="12" hidden="1" customHeight="1" x14ac:dyDescent="0.3">
      <c r="A96" s="201" t="s">
        <v>559</v>
      </c>
      <c r="B96" s="204" t="s">
        <v>608</v>
      </c>
      <c r="C96" s="230" t="s">
        <v>609</v>
      </c>
      <c r="D96" s="230" t="s">
        <v>610</v>
      </c>
      <c r="E96" s="230" t="s">
        <v>595</v>
      </c>
      <c r="F96" s="225">
        <v>45689</v>
      </c>
      <c r="G96" s="231"/>
      <c r="H96" s="231">
        <v>1553</v>
      </c>
      <c r="I96" s="231"/>
      <c r="J96" s="231"/>
      <c r="K96" s="231"/>
      <c r="L96" s="231"/>
    </row>
    <row r="97" spans="1:12" ht="12" hidden="1" customHeight="1" x14ac:dyDescent="0.3">
      <c r="A97" s="201" t="s">
        <v>559</v>
      </c>
      <c r="B97" s="204" t="s">
        <v>608</v>
      </c>
      <c r="C97" s="230" t="s">
        <v>609</v>
      </c>
      <c r="D97" s="230" t="s">
        <v>610</v>
      </c>
      <c r="E97" s="230" t="s">
        <v>595</v>
      </c>
      <c r="F97" s="225">
        <v>45658</v>
      </c>
      <c r="G97" s="231"/>
      <c r="H97" s="231">
        <v>1554</v>
      </c>
      <c r="I97" s="231"/>
      <c r="J97" s="231"/>
      <c r="K97" s="231"/>
      <c r="L97" s="231"/>
    </row>
    <row r="98" spans="1:12" ht="12" customHeight="1" x14ac:dyDescent="0.3">
      <c r="A98" s="201" t="s">
        <v>561</v>
      </c>
      <c r="B98" s="204" t="s">
        <v>570</v>
      </c>
      <c r="C98" s="230" t="s">
        <v>611</v>
      </c>
      <c r="D98" s="230" t="s">
        <v>612</v>
      </c>
      <c r="E98" s="230" t="s">
        <v>613</v>
      </c>
      <c r="F98" s="225">
        <v>45992</v>
      </c>
      <c r="G98" s="231">
        <v>1502.26</v>
      </c>
      <c r="H98" s="231">
        <v>7234.75</v>
      </c>
      <c r="I98" s="231">
        <v>56.45</v>
      </c>
      <c r="J98" s="231">
        <v>112.3</v>
      </c>
      <c r="K98" s="231">
        <v>88631.7</v>
      </c>
      <c r="L98" s="231">
        <v>8737</v>
      </c>
    </row>
    <row r="99" spans="1:12" ht="12" customHeight="1" x14ac:dyDescent="0.3">
      <c r="A99" s="201" t="s">
        <v>561</v>
      </c>
      <c r="B99" s="204" t="s">
        <v>570</v>
      </c>
      <c r="C99" s="230" t="s">
        <v>611</v>
      </c>
      <c r="D99" s="230" t="s">
        <v>612</v>
      </c>
      <c r="E99" s="230" t="s">
        <v>613</v>
      </c>
      <c r="F99" s="225">
        <v>45962</v>
      </c>
      <c r="G99" s="231">
        <v>1235.1400000000001</v>
      </c>
      <c r="H99" s="231">
        <v>6608.62</v>
      </c>
      <c r="I99" s="231">
        <v>102.14</v>
      </c>
      <c r="J99" s="231">
        <v>108.19</v>
      </c>
      <c r="K99" s="231">
        <v>91030.5</v>
      </c>
      <c r="L99" s="231">
        <v>7844</v>
      </c>
    </row>
    <row r="100" spans="1:12" ht="12" customHeight="1" x14ac:dyDescent="0.3">
      <c r="A100" s="201" t="s">
        <v>561</v>
      </c>
      <c r="B100" s="204" t="s">
        <v>570</v>
      </c>
      <c r="C100" s="230" t="s">
        <v>611</v>
      </c>
      <c r="D100" s="230" t="s">
        <v>612</v>
      </c>
      <c r="E100" s="230" t="s">
        <v>613</v>
      </c>
      <c r="F100" s="225">
        <v>45931</v>
      </c>
      <c r="G100" s="231">
        <v>1434.05</v>
      </c>
      <c r="H100" s="231">
        <v>8440.99</v>
      </c>
      <c r="I100" s="231">
        <v>38.299999999999997</v>
      </c>
      <c r="J100" s="231">
        <v>147.16999999999999</v>
      </c>
      <c r="K100" s="231">
        <v>73160.100000000006</v>
      </c>
      <c r="L100" s="231">
        <v>9875</v>
      </c>
    </row>
    <row r="101" spans="1:12" ht="12" customHeight="1" x14ac:dyDescent="0.3">
      <c r="A101" s="201" t="s">
        <v>561</v>
      </c>
      <c r="B101" s="204" t="s">
        <v>570</v>
      </c>
      <c r="C101" s="230" t="s">
        <v>611</v>
      </c>
      <c r="D101" s="230" t="s">
        <v>612</v>
      </c>
      <c r="E101" s="230" t="s">
        <v>613</v>
      </c>
      <c r="F101" s="225">
        <v>45901</v>
      </c>
      <c r="G101" s="231">
        <v>9308.3799999999992</v>
      </c>
      <c r="H101" s="231">
        <v>66288.600000000006</v>
      </c>
      <c r="I101" s="231">
        <v>821.18</v>
      </c>
      <c r="J101" s="231">
        <v>782.88</v>
      </c>
      <c r="K101" s="231">
        <v>78203</v>
      </c>
      <c r="L101" s="231">
        <v>75597</v>
      </c>
    </row>
    <row r="102" spans="1:12" ht="12" customHeight="1" x14ac:dyDescent="0.3">
      <c r="A102" s="201" t="s">
        <v>561</v>
      </c>
      <c r="B102" s="204" t="s">
        <v>570</v>
      </c>
      <c r="C102" s="230" t="s">
        <v>611</v>
      </c>
      <c r="D102" s="230" t="s">
        <v>612</v>
      </c>
      <c r="E102" s="230" t="s">
        <v>613</v>
      </c>
      <c r="F102" s="225">
        <v>45870</v>
      </c>
      <c r="G102" s="231">
        <v>32243.23</v>
      </c>
      <c r="H102" s="231">
        <v>262311.67</v>
      </c>
      <c r="I102" s="231">
        <v>1065.1199999999999</v>
      </c>
      <c r="J102" s="231">
        <v>1015.39</v>
      </c>
      <c r="K102" s="231">
        <v>79815.600000000006</v>
      </c>
      <c r="L102" s="231">
        <v>37261</v>
      </c>
    </row>
    <row r="103" spans="1:12" ht="12" customHeight="1" x14ac:dyDescent="0.3">
      <c r="A103" s="201" t="s">
        <v>561</v>
      </c>
      <c r="B103" s="204" t="s">
        <v>570</v>
      </c>
      <c r="C103" s="230" t="s">
        <v>611</v>
      </c>
      <c r="D103" s="230" t="s">
        <v>612</v>
      </c>
      <c r="E103" s="230" t="s">
        <v>613</v>
      </c>
      <c r="F103" s="225">
        <v>45839</v>
      </c>
      <c r="G103" s="231">
        <v>39585.5</v>
      </c>
      <c r="H103" s="231">
        <v>256951.97</v>
      </c>
      <c r="I103" s="231">
        <v>1024.8</v>
      </c>
      <c r="J103" s="231">
        <v>993.89</v>
      </c>
      <c r="K103" s="231">
        <v>76551.199999999997</v>
      </c>
      <c r="L103" s="231">
        <v>10848</v>
      </c>
    </row>
    <row r="104" spans="1:12" ht="12" customHeight="1" x14ac:dyDescent="0.3">
      <c r="A104" s="201" t="s">
        <v>561</v>
      </c>
      <c r="B104" s="204" t="s">
        <v>570</v>
      </c>
      <c r="C104" s="230" t="s">
        <v>611</v>
      </c>
      <c r="D104" s="230" t="s">
        <v>612</v>
      </c>
      <c r="E104" s="230" t="s">
        <v>613</v>
      </c>
      <c r="F104" s="225">
        <v>45809</v>
      </c>
      <c r="G104" s="231">
        <v>16950.02</v>
      </c>
      <c r="H104" s="231">
        <v>116048.52</v>
      </c>
      <c r="I104" s="231">
        <v>870.91</v>
      </c>
      <c r="J104" s="231">
        <v>868.22</v>
      </c>
      <c r="K104" s="231">
        <v>60380.6</v>
      </c>
      <c r="L104" s="231">
        <v>24600</v>
      </c>
    </row>
    <row r="105" spans="1:12" ht="12" customHeight="1" x14ac:dyDescent="0.3">
      <c r="A105" s="201" t="s">
        <v>561</v>
      </c>
      <c r="B105" s="204" t="s">
        <v>570</v>
      </c>
      <c r="C105" s="230" t="s">
        <v>611</v>
      </c>
      <c r="D105" s="230" t="s">
        <v>612</v>
      </c>
      <c r="E105" s="230" t="s">
        <v>613</v>
      </c>
      <c r="F105" s="225">
        <v>45778</v>
      </c>
      <c r="G105" s="231">
        <v>6013.73</v>
      </c>
      <c r="H105" s="231">
        <v>51218.33</v>
      </c>
      <c r="I105" s="231">
        <v>452.93</v>
      </c>
      <c r="J105" s="231">
        <v>456.96</v>
      </c>
      <c r="K105" s="231">
        <v>78227.5</v>
      </c>
      <c r="L105" s="231">
        <v>55127</v>
      </c>
    </row>
    <row r="106" spans="1:12" ht="12" customHeight="1" x14ac:dyDescent="0.3">
      <c r="A106" s="201" t="s">
        <v>561</v>
      </c>
      <c r="B106" s="204" t="s">
        <v>570</v>
      </c>
      <c r="C106" s="230" t="s">
        <v>611</v>
      </c>
      <c r="D106" s="230" t="s">
        <v>612</v>
      </c>
      <c r="E106" s="230" t="s">
        <v>613</v>
      </c>
      <c r="F106" s="225">
        <v>45748</v>
      </c>
      <c r="G106" s="231">
        <v>2938.32</v>
      </c>
      <c r="H106" s="231">
        <v>38550.46</v>
      </c>
      <c r="I106" s="231">
        <v>441.5</v>
      </c>
      <c r="J106" s="231">
        <v>485.18</v>
      </c>
      <c r="K106" s="231">
        <v>62725.4</v>
      </c>
      <c r="L106" s="231">
        <v>41488</v>
      </c>
    </row>
    <row r="107" spans="1:12" ht="12" customHeight="1" x14ac:dyDescent="0.3">
      <c r="A107" s="201" t="s">
        <v>561</v>
      </c>
      <c r="B107" s="204" t="s">
        <v>570</v>
      </c>
      <c r="C107" s="230" t="s">
        <v>611</v>
      </c>
      <c r="D107" s="230" t="s">
        <v>612</v>
      </c>
      <c r="E107" s="230" t="s">
        <v>613</v>
      </c>
      <c r="F107" s="225">
        <v>45717</v>
      </c>
      <c r="G107" s="231">
        <v>17348.349999999999</v>
      </c>
      <c r="H107" s="231">
        <v>153225.91</v>
      </c>
      <c r="I107" s="231">
        <v>831.26</v>
      </c>
      <c r="J107" s="231">
        <v>799.01</v>
      </c>
      <c r="K107" s="231">
        <v>89858.2</v>
      </c>
      <c r="L107" s="231">
        <v>32411</v>
      </c>
    </row>
    <row r="108" spans="1:12" ht="12" customHeight="1" x14ac:dyDescent="0.3">
      <c r="A108" s="201" t="s">
        <v>561</v>
      </c>
      <c r="B108" s="204" t="s">
        <v>570</v>
      </c>
      <c r="C108" s="230" t="s">
        <v>611</v>
      </c>
      <c r="D108" s="230" t="s">
        <v>612</v>
      </c>
      <c r="E108" s="230" t="s">
        <v>613</v>
      </c>
      <c r="F108" s="225">
        <v>45689</v>
      </c>
      <c r="G108" s="231">
        <v>29874.6</v>
      </c>
      <c r="H108" s="231">
        <v>172378.75</v>
      </c>
      <c r="I108" s="231">
        <v>846.05</v>
      </c>
      <c r="J108" s="231">
        <v>864.19</v>
      </c>
      <c r="K108" s="231">
        <v>76124.399999999994</v>
      </c>
      <c r="L108" s="231">
        <v>188910</v>
      </c>
    </row>
    <row r="109" spans="1:12" ht="12" customHeight="1" x14ac:dyDescent="0.3">
      <c r="A109" s="201" t="s">
        <v>561</v>
      </c>
      <c r="B109" s="204" t="s">
        <v>570</v>
      </c>
      <c r="C109" s="230" t="s">
        <v>611</v>
      </c>
      <c r="D109" s="230" t="s">
        <v>612</v>
      </c>
      <c r="E109" s="230" t="s">
        <v>613</v>
      </c>
      <c r="F109" s="225">
        <v>45658</v>
      </c>
      <c r="G109" s="231">
        <v>9630.94</v>
      </c>
      <c r="H109" s="231">
        <v>45354.62</v>
      </c>
      <c r="I109" s="231">
        <v>605.47</v>
      </c>
      <c r="J109" s="231">
        <v>516.77</v>
      </c>
      <c r="K109" s="231">
        <v>83461.899999999994</v>
      </c>
      <c r="L109" s="231">
        <v>54986</v>
      </c>
    </row>
    <row r="110" spans="1:12" ht="12" hidden="1" customHeight="1" x14ac:dyDescent="0.3">
      <c r="A110" s="201" t="s">
        <v>559</v>
      </c>
      <c r="B110" s="204" t="s">
        <v>614</v>
      </c>
      <c r="C110" s="230" t="s">
        <v>615</v>
      </c>
      <c r="D110" s="230" t="s">
        <v>616</v>
      </c>
      <c r="E110" s="230" t="s">
        <v>595</v>
      </c>
      <c r="F110" s="225">
        <v>45992</v>
      </c>
      <c r="G110" s="231"/>
      <c r="H110" s="231">
        <v>838</v>
      </c>
      <c r="I110" s="231"/>
      <c r="J110" s="231"/>
      <c r="K110" s="231"/>
      <c r="L110" s="231"/>
    </row>
    <row r="111" spans="1:12" ht="12" hidden="1" customHeight="1" x14ac:dyDescent="0.3">
      <c r="A111" s="201" t="s">
        <v>559</v>
      </c>
      <c r="B111" s="204" t="s">
        <v>614</v>
      </c>
      <c r="C111" s="230" t="s">
        <v>615</v>
      </c>
      <c r="D111" s="230" t="s">
        <v>616</v>
      </c>
      <c r="E111" s="230" t="s">
        <v>595</v>
      </c>
      <c r="F111" s="225">
        <v>45962</v>
      </c>
      <c r="G111" s="231"/>
      <c r="H111" s="231">
        <v>925</v>
      </c>
      <c r="I111" s="231"/>
      <c r="J111" s="231"/>
      <c r="K111" s="231"/>
      <c r="L111" s="231"/>
    </row>
    <row r="112" spans="1:12" ht="12" hidden="1" customHeight="1" x14ac:dyDescent="0.3">
      <c r="A112" s="201" t="s">
        <v>559</v>
      </c>
      <c r="B112" s="204" t="s">
        <v>614</v>
      </c>
      <c r="C112" s="230" t="s">
        <v>615</v>
      </c>
      <c r="D112" s="230" t="s">
        <v>616</v>
      </c>
      <c r="E112" s="230" t="s">
        <v>595</v>
      </c>
      <c r="F112" s="225">
        <v>45931</v>
      </c>
      <c r="G112" s="231"/>
      <c r="H112" s="231">
        <v>943</v>
      </c>
      <c r="I112" s="231"/>
      <c r="J112" s="231"/>
      <c r="K112" s="231"/>
      <c r="L112" s="231"/>
    </row>
    <row r="113" spans="1:18" ht="12" hidden="1" customHeight="1" x14ac:dyDescent="0.3">
      <c r="A113" s="201" t="s">
        <v>559</v>
      </c>
      <c r="B113" s="204" t="s">
        <v>614</v>
      </c>
      <c r="C113" s="230" t="s">
        <v>615</v>
      </c>
      <c r="D113" s="230" t="s">
        <v>616</v>
      </c>
      <c r="E113" s="230" t="s">
        <v>595</v>
      </c>
      <c r="F113" s="225">
        <v>45901</v>
      </c>
      <c r="G113" s="231"/>
      <c r="H113" s="231">
        <v>719</v>
      </c>
      <c r="I113" s="231"/>
      <c r="J113" s="231"/>
      <c r="K113" s="231"/>
      <c r="L113" s="231"/>
    </row>
    <row r="114" spans="1:18" ht="12" hidden="1" customHeight="1" x14ac:dyDescent="0.3">
      <c r="A114" s="201" t="s">
        <v>559</v>
      </c>
      <c r="B114" s="204" t="s">
        <v>614</v>
      </c>
      <c r="C114" s="230" t="s">
        <v>615</v>
      </c>
      <c r="D114" s="230" t="s">
        <v>616</v>
      </c>
      <c r="E114" s="230" t="s">
        <v>595</v>
      </c>
      <c r="F114" s="225">
        <v>45870</v>
      </c>
      <c r="G114" s="231"/>
      <c r="H114" s="231">
        <v>816</v>
      </c>
      <c r="I114" s="231"/>
      <c r="J114" s="231"/>
      <c r="K114" s="231"/>
      <c r="L114" s="231"/>
    </row>
    <row r="115" spans="1:18" ht="12" hidden="1" customHeight="1" x14ac:dyDescent="0.3">
      <c r="A115" s="201" t="s">
        <v>559</v>
      </c>
      <c r="B115" s="204" t="s">
        <v>614</v>
      </c>
      <c r="C115" s="230" t="s">
        <v>615</v>
      </c>
      <c r="D115" s="230" t="s">
        <v>616</v>
      </c>
      <c r="E115" s="230" t="s">
        <v>595</v>
      </c>
      <c r="F115" s="225">
        <v>45839</v>
      </c>
      <c r="G115" s="231"/>
      <c r="H115" s="231">
        <v>899</v>
      </c>
      <c r="I115" s="231"/>
      <c r="J115" s="231"/>
      <c r="K115" s="231"/>
      <c r="L115" s="231"/>
    </row>
    <row r="116" spans="1:18" ht="12" hidden="1" customHeight="1" x14ac:dyDescent="0.3">
      <c r="A116" s="201" t="s">
        <v>559</v>
      </c>
      <c r="B116" s="204" t="s">
        <v>614</v>
      </c>
      <c r="C116" s="230" t="s">
        <v>615</v>
      </c>
      <c r="D116" s="230" t="s">
        <v>616</v>
      </c>
      <c r="E116" s="230" t="s">
        <v>595</v>
      </c>
      <c r="F116" s="225">
        <v>45809</v>
      </c>
      <c r="G116" s="231"/>
      <c r="H116" s="231">
        <v>1067</v>
      </c>
      <c r="I116" s="231"/>
      <c r="J116" s="231"/>
      <c r="K116" s="231"/>
      <c r="L116" s="231"/>
    </row>
    <row r="117" spans="1:18" ht="12" hidden="1" customHeight="1" x14ac:dyDescent="0.3">
      <c r="A117" s="201" t="s">
        <v>559</v>
      </c>
      <c r="B117" s="204" t="s">
        <v>614</v>
      </c>
      <c r="C117" s="230" t="s">
        <v>615</v>
      </c>
      <c r="D117" s="230" t="s">
        <v>616</v>
      </c>
      <c r="E117" s="230" t="s">
        <v>595</v>
      </c>
      <c r="F117" s="225">
        <v>45778</v>
      </c>
      <c r="G117" s="231"/>
      <c r="H117" s="231">
        <v>1146</v>
      </c>
      <c r="I117" s="231"/>
      <c r="J117" s="231"/>
      <c r="K117" s="231"/>
      <c r="L117" s="231"/>
    </row>
    <row r="118" spans="1:18" ht="12" hidden="1" customHeight="1" x14ac:dyDescent="0.3">
      <c r="A118" s="201" t="s">
        <v>559</v>
      </c>
      <c r="B118" s="204" t="s">
        <v>614</v>
      </c>
      <c r="C118" s="230" t="s">
        <v>615</v>
      </c>
      <c r="D118" s="230" t="s">
        <v>616</v>
      </c>
      <c r="E118" s="230" t="s">
        <v>595</v>
      </c>
      <c r="F118" s="225">
        <v>45748</v>
      </c>
      <c r="G118" s="231"/>
      <c r="H118" s="231">
        <v>1026</v>
      </c>
      <c r="I118" s="231"/>
      <c r="J118" s="231"/>
      <c r="K118" s="231"/>
      <c r="L118" s="231"/>
    </row>
    <row r="119" spans="1:18" ht="12" hidden="1" customHeight="1" x14ac:dyDescent="0.3">
      <c r="A119" s="201" t="s">
        <v>559</v>
      </c>
      <c r="B119" s="204" t="s">
        <v>614</v>
      </c>
      <c r="C119" s="230" t="s">
        <v>615</v>
      </c>
      <c r="D119" s="230" t="s">
        <v>616</v>
      </c>
      <c r="E119" s="230" t="s">
        <v>595</v>
      </c>
      <c r="F119" s="225">
        <v>45717</v>
      </c>
      <c r="G119" s="231"/>
      <c r="H119" s="231">
        <v>1030</v>
      </c>
      <c r="I119" s="231"/>
      <c r="J119" s="231"/>
      <c r="K119" s="231"/>
      <c r="L119" s="231"/>
    </row>
    <row r="120" spans="1:18" ht="12" hidden="1" customHeight="1" x14ac:dyDescent="0.3">
      <c r="A120" s="201" t="s">
        <v>559</v>
      </c>
      <c r="B120" s="204" t="s">
        <v>614</v>
      </c>
      <c r="C120" s="230" t="s">
        <v>615</v>
      </c>
      <c r="D120" s="230" t="s">
        <v>616</v>
      </c>
      <c r="E120" s="230" t="s">
        <v>595</v>
      </c>
      <c r="F120" s="225">
        <v>45689</v>
      </c>
      <c r="G120" s="231"/>
      <c r="H120" s="231">
        <v>887</v>
      </c>
      <c r="I120" s="231"/>
      <c r="J120" s="231"/>
      <c r="K120" s="231"/>
      <c r="L120" s="231"/>
    </row>
    <row r="121" spans="1:18" ht="12" hidden="1" customHeight="1" x14ac:dyDescent="0.3">
      <c r="A121" s="201" t="s">
        <v>559</v>
      </c>
      <c r="B121" s="204" t="s">
        <v>614</v>
      </c>
      <c r="C121" s="230" t="s">
        <v>615</v>
      </c>
      <c r="D121" s="230" t="s">
        <v>616</v>
      </c>
      <c r="E121" s="230" t="s">
        <v>595</v>
      </c>
      <c r="F121" s="225">
        <v>45658</v>
      </c>
      <c r="G121" s="231"/>
      <c r="H121" s="231">
        <v>876</v>
      </c>
      <c r="I121" s="231"/>
      <c r="J121" s="231"/>
      <c r="K121" s="231"/>
      <c r="L121" s="231"/>
    </row>
    <row r="122" spans="1:18" ht="12" customHeight="1" x14ac:dyDescent="0.3">
      <c r="A122" s="201" t="s">
        <v>563</v>
      </c>
      <c r="B122" s="204" t="s">
        <v>574</v>
      </c>
      <c r="C122" s="230" t="s">
        <v>617</v>
      </c>
      <c r="D122" s="230" t="s">
        <v>618</v>
      </c>
      <c r="E122" s="230" t="s">
        <v>619</v>
      </c>
      <c r="F122" s="225">
        <v>45992</v>
      </c>
      <c r="G122" s="231">
        <v>1514.84</v>
      </c>
      <c r="H122" s="231">
        <v>15428.7</v>
      </c>
      <c r="I122" s="231">
        <v>30.24</v>
      </c>
      <c r="J122" s="231">
        <v>217.98</v>
      </c>
      <c r="K122" s="231">
        <v>19968.099999999999</v>
      </c>
      <c r="L122" s="231">
        <v>16944</v>
      </c>
      <c r="O122" s="232">
        <f t="shared" ref="O122:O133" si="0">+K122-L122</f>
        <v>3024.0999999999985</v>
      </c>
      <c r="P122" s="231">
        <f>+VLOOKUP(F122,Amandina!$H$4:$L$14,5,0)*1000</f>
        <v>85283.12000000001</v>
      </c>
      <c r="R122" s="232">
        <f>+P122-H122</f>
        <v>69854.420000000013</v>
      </c>
    </row>
    <row r="123" spans="1:18" ht="12" customHeight="1" x14ac:dyDescent="0.3">
      <c r="A123" s="201" t="s">
        <v>563</v>
      </c>
      <c r="B123" s="204" t="s">
        <v>574</v>
      </c>
      <c r="C123" s="230" t="s">
        <v>617</v>
      </c>
      <c r="D123" s="230" t="s">
        <v>618</v>
      </c>
      <c r="E123" s="230" t="s">
        <v>619</v>
      </c>
      <c r="F123" s="225">
        <v>45962</v>
      </c>
      <c r="G123" s="231">
        <v>1437.03</v>
      </c>
      <c r="H123" s="231">
        <v>8808.98</v>
      </c>
      <c r="I123" s="231">
        <v>103.32</v>
      </c>
      <c r="J123" s="231">
        <v>100.8</v>
      </c>
      <c r="K123" s="231">
        <v>36462.9</v>
      </c>
      <c r="L123" s="231">
        <v>10246</v>
      </c>
      <c r="O123" s="232">
        <f t="shared" si="0"/>
        <v>26216.9</v>
      </c>
      <c r="P123" s="231">
        <f>+VLOOKUP(F123,Amandina!$H$4:$L$14,5,0)*1000</f>
        <v>86384.48</v>
      </c>
    </row>
    <row r="124" spans="1:18" ht="12" customHeight="1" x14ac:dyDescent="0.3">
      <c r="A124" s="201" t="s">
        <v>563</v>
      </c>
      <c r="B124" s="204" t="s">
        <v>574</v>
      </c>
      <c r="C124" s="230" t="s">
        <v>617</v>
      </c>
      <c r="D124" s="230" t="s">
        <v>618</v>
      </c>
      <c r="E124" s="230" t="s">
        <v>619</v>
      </c>
      <c r="F124" s="225">
        <v>45931</v>
      </c>
      <c r="G124" s="231">
        <v>2102.94</v>
      </c>
      <c r="H124" s="231">
        <v>11731.55</v>
      </c>
      <c r="I124" s="231">
        <v>167.58</v>
      </c>
      <c r="J124" s="231">
        <v>165.06</v>
      </c>
      <c r="K124" s="231">
        <v>40322</v>
      </c>
      <c r="L124" s="231">
        <v>13835</v>
      </c>
      <c r="O124" s="232">
        <f t="shared" si="0"/>
        <v>26487</v>
      </c>
      <c r="P124" s="231">
        <f>+VLOOKUP(F124,Amandina!$H$4:$L$14,5,0)*1000</f>
        <v>76725.439999999988</v>
      </c>
    </row>
    <row r="125" spans="1:18" ht="12" customHeight="1" x14ac:dyDescent="0.3">
      <c r="A125" s="201" t="s">
        <v>563</v>
      </c>
      <c r="B125" s="204" t="s">
        <v>574</v>
      </c>
      <c r="C125" s="230" t="s">
        <v>617</v>
      </c>
      <c r="D125" s="230" t="s">
        <v>618</v>
      </c>
      <c r="E125" s="230" t="s">
        <v>619</v>
      </c>
      <c r="F125" s="225">
        <v>45901</v>
      </c>
      <c r="G125" s="231">
        <v>2740.19</v>
      </c>
      <c r="H125" s="231">
        <v>17968.55</v>
      </c>
      <c r="I125" s="231">
        <v>168.84</v>
      </c>
      <c r="J125" s="231">
        <v>196.56</v>
      </c>
      <c r="K125" s="231">
        <v>37738.800000000003</v>
      </c>
      <c r="L125" s="231">
        <v>20709</v>
      </c>
      <c r="O125" s="232">
        <f t="shared" si="0"/>
        <v>17029.800000000003</v>
      </c>
      <c r="P125" s="231">
        <f>+VLOOKUP(F125,Amandina!$H$4:$L$14,5,0)*1000</f>
        <v>75546.720000000001</v>
      </c>
    </row>
    <row r="126" spans="1:18" ht="12" customHeight="1" x14ac:dyDescent="0.3">
      <c r="A126" s="201" t="s">
        <v>563</v>
      </c>
      <c r="B126" s="204" t="s">
        <v>574</v>
      </c>
      <c r="C126" s="230" t="s">
        <v>617</v>
      </c>
      <c r="D126" s="230" t="s">
        <v>618</v>
      </c>
      <c r="E126" s="230" t="s">
        <v>619</v>
      </c>
      <c r="F126" s="225">
        <v>45870</v>
      </c>
      <c r="G126" s="231">
        <v>19255.009999999998</v>
      </c>
      <c r="H126" s="231">
        <v>130522.46</v>
      </c>
      <c r="I126" s="231">
        <v>793.8</v>
      </c>
      <c r="J126" s="231">
        <v>869.4</v>
      </c>
      <c r="K126" s="231">
        <v>16177.9</v>
      </c>
      <c r="L126" s="231">
        <v>5142</v>
      </c>
      <c r="O126" s="232">
        <f t="shared" si="0"/>
        <v>11035.9</v>
      </c>
      <c r="P126" s="231">
        <f>+VLOOKUP(F126,Amandina!$H$4:$L$14,5,0)*1000</f>
        <v>74466.16</v>
      </c>
    </row>
    <row r="127" spans="1:18" ht="12" customHeight="1" x14ac:dyDescent="0.3">
      <c r="A127" s="201" t="s">
        <v>563</v>
      </c>
      <c r="B127" s="204" t="s">
        <v>574</v>
      </c>
      <c r="C127" s="230" t="s">
        <v>617</v>
      </c>
      <c r="D127" s="230" t="s">
        <v>618</v>
      </c>
      <c r="E127" s="230" t="s">
        <v>619</v>
      </c>
      <c r="F127" s="225">
        <v>45839</v>
      </c>
      <c r="G127" s="231">
        <v>37585.800000000003</v>
      </c>
      <c r="H127" s="231">
        <v>223302.56</v>
      </c>
      <c r="I127" s="231">
        <v>904.68</v>
      </c>
      <c r="J127" s="231">
        <v>916.02</v>
      </c>
      <c r="K127" s="231">
        <v>37317.800000000003</v>
      </c>
      <c r="L127" s="231">
        <v>9165</v>
      </c>
      <c r="O127" s="232">
        <f t="shared" si="0"/>
        <v>28152.800000000003</v>
      </c>
      <c r="P127" s="231">
        <f>+VLOOKUP(F127,Amandina!$H$4:$L$14,5,0)*1000</f>
        <v>70669.439999999988</v>
      </c>
    </row>
    <row r="128" spans="1:18" ht="12" customHeight="1" x14ac:dyDescent="0.3">
      <c r="A128" s="201" t="s">
        <v>563</v>
      </c>
      <c r="B128" s="204" t="s">
        <v>574</v>
      </c>
      <c r="C128" s="230" t="s">
        <v>617</v>
      </c>
      <c r="D128" s="230" t="s">
        <v>618</v>
      </c>
      <c r="E128" s="230" t="s">
        <v>619</v>
      </c>
      <c r="F128" s="225">
        <v>45809</v>
      </c>
      <c r="G128" s="231">
        <v>19556.78</v>
      </c>
      <c r="H128" s="231">
        <v>183159.59</v>
      </c>
      <c r="I128" s="231">
        <v>747.18</v>
      </c>
      <c r="J128" s="231">
        <v>845.46</v>
      </c>
      <c r="K128" s="231">
        <v>20798.2</v>
      </c>
      <c r="L128" s="231">
        <v>7190</v>
      </c>
      <c r="O128" s="232">
        <f t="shared" si="0"/>
        <v>13608.2</v>
      </c>
      <c r="P128" s="231">
        <f>+VLOOKUP(F128,Amandina!$H$4:$L$14,5,0)*1000</f>
        <v>57829.519999999982</v>
      </c>
    </row>
    <row r="129" spans="1:16" ht="12" customHeight="1" x14ac:dyDescent="0.3">
      <c r="A129" s="201" t="s">
        <v>563</v>
      </c>
      <c r="B129" s="204" t="s">
        <v>574</v>
      </c>
      <c r="C129" s="230" t="s">
        <v>617</v>
      </c>
      <c r="D129" s="230" t="s">
        <v>618</v>
      </c>
      <c r="E129" s="230" t="s">
        <v>619</v>
      </c>
      <c r="F129" s="225">
        <v>45778</v>
      </c>
      <c r="G129" s="231">
        <v>7312.1</v>
      </c>
      <c r="H129" s="231">
        <v>106720.74</v>
      </c>
      <c r="I129" s="231">
        <v>486.36</v>
      </c>
      <c r="J129" s="231">
        <v>784.98</v>
      </c>
      <c r="K129" s="231">
        <v>28781.7</v>
      </c>
      <c r="L129" s="231">
        <v>9127</v>
      </c>
      <c r="O129" s="232">
        <f t="shared" si="0"/>
        <v>19654.7</v>
      </c>
      <c r="P129" s="231">
        <f>+VLOOKUP(F129,Amandina!$H$4:$L$14,5,0)*1000</f>
        <v>73293.279999999999</v>
      </c>
    </row>
    <row r="130" spans="1:16" ht="12" customHeight="1" x14ac:dyDescent="0.3">
      <c r="A130" s="201" t="s">
        <v>563</v>
      </c>
      <c r="B130" s="204" t="s">
        <v>574</v>
      </c>
      <c r="C130" s="230" t="s">
        <v>617</v>
      </c>
      <c r="D130" s="230" t="s">
        <v>618</v>
      </c>
      <c r="E130" s="230" t="s">
        <v>619</v>
      </c>
      <c r="F130" s="225">
        <v>45748</v>
      </c>
      <c r="G130" s="231">
        <v>2769.48</v>
      </c>
      <c r="H130" s="231">
        <v>84395.43</v>
      </c>
      <c r="I130" s="231">
        <v>110.88</v>
      </c>
      <c r="J130" s="231">
        <v>560.70000000000005</v>
      </c>
      <c r="K130" s="231">
        <v>23902.799999999999</v>
      </c>
      <c r="L130" s="231">
        <v>1423</v>
      </c>
      <c r="O130" s="232">
        <f t="shared" si="0"/>
        <v>22479.8</v>
      </c>
      <c r="P130" s="231">
        <f>+VLOOKUP(F130,Amandina!$H$4:$L$14,5,0)*1000</f>
        <v>58967.759999999995</v>
      </c>
    </row>
    <row r="131" spans="1:16" ht="12" customHeight="1" x14ac:dyDescent="0.3">
      <c r="A131" s="201" t="s">
        <v>563</v>
      </c>
      <c r="B131" s="204" t="s">
        <v>574</v>
      </c>
      <c r="C131" s="230" t="s">
        <v>617</v>
      </c>
      <c r="D131" s="230" t="s">
        <v>618</v>
      </c>
      <c r="E131" s="230" t="s">
        <v>619</v>
      </c>
      <c r="F131" s="225">
        <v>45717</v>
      </c>
      <c r="G131" s="231">
        <v>14932.89</v>
      </c>
      <c r="H131" s="231">
        <v>177578.42</v>
      </c>
      <c r="I131" s="231">
        <v>913.5</v>
      </c>
      <c r="J131" s="231">
        <v>923.58</v>
      </c>
      <c r="K131" s="231">
        <v>7913.8</v>
      </c>
      <c r="L131" s="231">
        <v>419</v>
      </c>
      <c r="O131" s="232">
        <f t="shared" si="0"/>
        <v>7494.8</v>
      </c>
      <c r="P131" s="231">
        <f>+VLOOKUP(F131,Amandina!$H$4:$L$14,5,0)*1000</f>
        <v>82449.51999999999</v>
      </c>
    </row>
    <row r="132" spans="1:16" ht="12" customHeight="1" x14ac:dyDescent="0.3">
      <c r="A132" s="201" t="s">
        <v>563</v>
      </c>
      <c r="B132" s="204" t="s">
        <v>574</v>
      </c>
      <c r="C132" s="230" t="s">
        <v>617</v>
      </c>
      <c r="D132" s="230" t="s">
        <v>618</v>
      </c>
      <c r="E132" s="230" t="s">
        <v>619</v>
      </c>
      <c r="F132" s="225">
        <v>45689</v>
      </c>
      <c r="G132" s="231">
        <v>19948.64</v>
      </c>
      <c r="H132" s="231">
        <v>212798.25</v>
      </c>
      <c r="I132" s="231">
        <v>763.56</v>
      </c>
      <c r="J132" s="231">
        <v>790.02</v>
      </c>
      <c r="K132" s="231">
        <v>190.1</v>
      </c>
      <c r="L132" s="231">
        <v>0</v>
      </c>
      <c r="O132" s="232">
        <f t="shared" si="0"/>
        <v>190.1</v>
      </c>
      <c r="P132" s="231">
        <f>+Batayporã!J4*80%*1000</f>
        <v>72905.52</v>
      </c>
    </row>
    <row r="133" spans="1:16" ht="12" customHeight="1" x14ac:dyDescent="0.3">
      <c r="A133" s="201" t="s">
        <v>563</v>
      </c>
      <c r="B133" s="204" t="s">
        <v>574</v>
      </c>
      <c r="C133" s="230" t="s">
        <v>617</v>
      </c>
      <c r="D133" s="230" t="s">
        <v>618</v>
      </c>
      <c r="E133" s="230" t="s">
        <v>619</v>
      </c>
      <c r="F133" s="225">
        <v>45658</v>
      </c>
      <c r="G133" s="231">
        <v>9264.15</v>
      </c>
      <c r="H133" s="231">
        <v>72928.490000000005</v>
      </c>
      <c r="I133" s="231">
        <v>704.34</v>
      </c>
      <c r="J133" s="231">
        <v>758.52</v>
      </c>
      <c r="K133" s="231">
        <v>0</v>
      </c>
      <c r="L133" s="231">
        <v>0</v>
      </c>
      <c r="O133" s="232">
        <f t="shared" si="0"/>
        <v>0</v>
      </c>
      <c r="P133" s="231">
        <f>+Batayporã!J3*80%*1000</f>
        <v>91407.199999999968</v>
      </c>
    </row>
    <row r="134" spans="1:16" ht="12" hidden="1" customHeight="1" x14ac:dyDescent="0.3">
      <c r="A134" s="201" t="s">
        <v>559</v>
      </c>
      <c r="B134" s="204" t="s">
        <v>620</v>
      </c>
      <c r="C134" s="230" t="s">
        <v>621</v>
      </c>
      <c r="D134" s="230" t="s">
        <v>622</v>
      </c>
      <c r="E134" s="230" t="s">
        <v>595</v>
      </c>
      <c r="F134" s="225">
        <v>45992</v>
      </c>
      <c r="G134" s="231"/>
      <c r="H134" s="231">
        <v>3227</v>
      </c>
      <c r="I134" s="231"/>
      <c r="J134" s="231"/>
      <c r="K134" s="231"/>
      <c r="L134" s="231"/>
    </row>
    <row r="135" spans="1:16" ht="12" hidden="1" customHeight="1" x14ac:dyDescent="0.3">
      <c r="A135" s="201" t="s">
        <v>559</v>
      </c>
      <c r="B135" s="204" t="s">
        <v>620</v>
      </c>
      <c r="C135" s="230" t="s">
        <v>621</v>
      </c>
      <c r="D135" s="230" t="s">
        <v>622</v>
      </c>
      <c r="E135" s="230" t="s">
        <v>595</v>
      </c>
      <c r="F135" s="225">
        <v>45962</v>
      </c>
      <c r="G135" s="231"/>
      <c r="H135" s="231">
        <v>2090</v>
      </c>
      <c r="I135" s="231"/>
      <c r="J135" s="231"/>
      <c r="K135" s="231"/>
      <c r="L135" s="231"/>
    </row>
    <row r="136" spans="1:16" ht="12" hidden="1" customHeight="1" x14ac:dyDescent="0.3">
      <c r="A136" s="201" t="s">
        <v>559</v>
      </c>
      <c r="B136" s="204" t="s">
        <v>620</v>
      </c>
      <c r="C136" s="230" t="s">
        <v>621</v>
      </c>
      <c r="D136" s="230" t="s">
        <v>622</v>
      </c>
      <c r="E136" s="230" t="s">
        <v>595</v>
      </c>
      <c r="F136" s="225">
        <v>45931</v>
      </c>
      <c r="G136" s="231"/>
      <c r="H136" s="231">
        <v>2593</v>
      </c>
      <c r="I136" s="231"/>
      <c r="J136" s="231"/>
      <c r="K136" s="231"/>
      <c r="L136" s="231"/>
    </row>
    <row r="137" spans="1:16" ht="12" hidden="1" customHeight="1" x14ac:dyDescent="0.3">
      <c r="A137" s="201" t="s">
        <v>559</v>
      </c>
      <c r="B137" s="204" t="s">
        <v>620</v>
      </c>
      <c r="C137" s="230" t="s">
        <v>621</v>
      </c>
      <c r="D137" s="230" t="s">
        <v>622</v>
      </c>
      <c r="E137" s="230" t="s">
        <v>595</v>
      </c>
      <c r="F137" s="225">
        <v>45901</v>
      </c>
      <c r="G137" s="231"/>
      <c r="H137" s="231">
        <v>2469</v>
      </c>
      <c r="I137" s="231"/>
      <c r="J137" s="231"/>
      <c r="K137" s="231"/>
      <c r="L137" s="231"/>
    </row>
    <row r="138" spans="1:16" ht="12" hidden="1" customHeight="1" x14ac:dyDescent="0.3">
      <c r="A138" s="201" t="s">
        <v>559</v>
      </c>
      <c r="B138" s="204" t="s">
        <v>620</v>
      </c>
      <c r="C138" s="230" t="s">
        <v>621</v>
      </c>
      <c r="D138" s="230" t="s">
        <v>622</v>
      </c>
      <c r="E138" s="230" t="s">
        <v>595</v>
      </c>
      <c r="F138" s="225">
        <v>45870</v>
      </c>
      <c r="G138" s="231"/>
      <c r="H138" s="231">
        <v>1448</v>
      </c>
      <c r="I138" s="231"/>
      <c r="J138" s="231"/>
      <c r="K138" s="231"/>
      <c r="L138" s="231"/>
    </row>
    <row r="139" spans="1:16" ht="12" hidden="1" customHeight="1" x14ac:dyDescent="0.3">
      <c r="A139" s="201" t="s">
        <v>559</v>
      </c>
      <c r="B139" s="204" t="s">
        <v>620</v>
      </c>
      <c r="C139" s="230" t="s">
        <v>621</v>
      </c>
      <c r="D139" s="230" t="s">
        <v>622</v>
      </c>
      <c r="E139" s="230" t="s">
        <v>595</v>
      </c>
      <c r="F139" s="225">
        <v>45839</v>
      </c>
      <c r="G139" s="231"/>
      <c r="H139" s="231">
        <v>1317</v>
      </c>
      <c r="I139" s="231"/>
      <c r="J139" s="231"/>
      <c r="K139" s="231"/>
      <c r="L139" s="231"/>
    </row>
    <row r="140" spans="1:16" ht="12" hidden="1" customHeight="1" x14ac:dyDescent="0.3">
      <c r="A140" s="201" t="s">
        <v>559</v>
      </c>
      <c r="B140" s="204" t="s">
        <v>620</v>
      </c>
      <c r="C140" s="230" t="s">
        <v>621</v>
      </c>
      <c r="D140" s="230" t="s">
        <v>622</v>
      </c>
      <c r="E140" s="230" t="s">
        <v>595</v>
      </c>
      <c r="F140" s="225">
        <v>45809</v>
      </c>
      <c r="G140" s="231"/>
      <c r="H140" s="231">
        <v>1362</v>
      </c>
      <c r="I140" s="231"/>
      <c r="J140" s="231"/>
      <c r="K140" s="231"/>
      <c r="L140" s="231"/>
    </row>
    <row r="141" spans="1:16" ht="12" hidden="1" customHeight="1" x14ac:dyDescent="0.3">
      <c r="A141" s="201" t="s">
        <v>559</v>
      </c>
      <c r="B141" s="204" t="s">
        <v>620</v>
      </c>
      <c r="C141" s="230" t="s">
        <v>621</v>
      </c>
      <c r="D141" s="230" t="s">
        <v>622</v>
      </c>
      <c r="E141" s="230" t="s">
        <v>595</v>
      </c>
      <c r="F141" s="225">
        <v>45778</v>
      </c>
      <c r="G141" s="231"/>
      <c r="H141" s="231">
        <v>2238</v>
      </c>
      <c r="I141" s="231"/>
      <c r="J141" s="231"/>
      <c r="K141" s="231"/>
      <c r="L141" s="231"/>
    </row>
    <row r="142" spans="1:16" ht="12" hidden="1" customHeight="1" x14ac:dyDescent="0.3">
      <c r="A142" s="201" t="s">
        <v>559</v>
      </c>
      <c r="B142" s="204" t="s">
        <v>620</v>
      </c>
      <c r="C142" s="230" t="s">
        <v>621</v>
      </c>
      <c r="D142" s="230" t="s">
        <v>622</v>
      </c>
      <c r="E142" s="230" t="s">
        <v>595</v>
      </c>
      <c r="F142" s="225">
        <v>45748</v>
      </c>
      <c r="G142" s="231"/>
      <c r="H142" s="231">
        <v>2511</v>
      </c>
      <c r="I142" s="231"/>
      <c r="J142" s="231"/>
      <c r="K142" s="231"/>
      <c r="L142" s="231"/>
    </row>
    <row r="143" spans="1:16" ht="12" hidden="1" customHeight="1" x14ac:dyDescent="0.3">
      <c r="A143" s="201" t="s">
        <v>559</v>
      </c>
      <c r="B143" s="204" t="s">
        <v>620</v>
      </c>
      <c r="C143" s="230" t="s">
        <v>621</v>
      </c>
      <c r="D143" s="230" t="s">
        <v>622</v>
      </c>
      <c r="E143" s="230" t="s">
        <v>595</v>
      </c>
      <c r="F143" s="225">
        <v>45717</v>
      </c>
      <c r="G143" s="231"/>
      <c r="H143" s="231">
        <v>3281</v>
      </c>
      <c r="I143" s="231"/>
      <c r="J143" s="231"/>
      <c r="K143" s="231"/>
      <c r="L143" s="231"/>
    </row>
    <row r="144" spans="1:16" ht="12" hidden="1" customHeight="1" x14ac:dyDescent="0.3">
      <c r="A144" s="201" t="s">
        <v>559</v>
      </c>
      <c r="B144" s="204" t="s">
        <v>620</v>
      </c>
      <c r="C144" s="230" t="s">
        <v>621</v>
      </c>
      <c r="D144" s="230" t="s">
        <v>622</v>
      </c>
      <c r="E144" s="230" t="s">
        <v>595</v>
      </c>
      <c r="F144" s="225">
        <v>45689</v>
      </c>
      <c r="G144" s="231"/>
      <c r="H144" s="231">
        <v>3394</v>
      </c>
      <c r="I144" s="231"/>
      <c r="J144" s="231"/>
      <c r="K144" s="231"/>
      <c r="L144" s="231"/>
    </row>
    <row r="145" spans="1:15" ht="12" hidden="1" customHeight="1" x14ac:dyDescent="0.3">
      <c r="A145" s="201" t="s">
        <v>559</v>
      </c>
      <c r="B145" s="204" t="s">
        <v>620</v>
      </c>
      <c r="C145" s="230" t="s">
        <v>621</v>
      </c>
      <c r="D145" s="230" t="s">
        <v>622</v>
      </c>
      <c r="E145" s="230" t="s">
        <v>595</v>
      </c>
      <c r="F145" s="225">
        <v>45658</v>
      </c>
      <c r="G145" s="231"/>
      <c r="H145" s="231">
        <v>3370</v>
      </c>
      <c r="I145" s="231"/>
      <c r="J145" s="231"/>
      <c r="K145" s="231"/>
      <c r="L145" s="231"/>
    </row>
    <row r="146" spans="1:15" ht="12" customHeight="1" x14ac:dyDescent="0.3">
      <c r="A146" s="201" t="s">
        <v>561</v>
      </c>
      <c r="B146" s="204" t="s">
        <v>572</v>
      </c>
      <c r="C146" s="230" t="s">
        <v>623</v>
      </c>
      <c r="D146" s="230" t="s">
        <v>624</v>
      </c>
      <c r="E146" s="230" t="s">
        <v>613</v>
      </c>
      <c r="F146" s="225">
        <v>45992</v>
      </c>
      <c r="G146" s="231">
        <v>1093.05</v>
      </c>
      <c r="H146" s="231">
        <v>4510.8</v>
      </c>
      <c r="I146" s="231">
        <v>25.2</v>
      </c>
      <c r="J146" s="231">
        <v>42</v>
      </c>
      <c r="K146" s="231">
        <v>106603.9</v>
      </c>
      <c r="L146" s="231">
        <v>5604</v>
      </c>
    </row>
    <row r="147" spans="1:15" ht="12" customHeight="1" x14ac:dyDescent="0.3">
      <c r="A147" s="201" t="s">
        <v>561</v>
      </c>
      <c r="B147" s="204" t="s">
        <v>572</v>
      </c>
      <c r="C147" s="230" t="s">
        <v>623</v>
      </c>
      <c r="D147" s="230" t="s">
        <v>624</v>
      </c>
      <c r="E147" s="230" t="s">
        <v>613</v>
      </c>
      <c r="F147" s="225">
        <v>45962</v>
      </c>
      <c r="G147" s="231">
        <v>1019.55</v>
      </c>
      <c r="H147" s="231">
        <v>4500.3</v>
      </c>
      <c r="I147" s="231">
        <v>79.8</v>
      </c>
      <c r="J147" s="231">
        <v>71.400000000000006</v>
      </c>
      <c r="K147" s="231">
        <v>107980.6</v>
      </c>
      <c r="L147" s="231">
        <v>5520</v>
      </c>
    </row>
    <row r="148" spans="1:15" ht="12" customHeight="1" x14ac:dyDescent="0.3">
      <c r="A148" s="201" t="s">
        <v>561</v>
      </c>
      <c r="B148" s="204" t="s">
        <v>572</v>
      </c>
      <c r="C148" s="230" t="s">
        <v>623</v>
      </c>
      <c r="D148" s="230" t="s">
        <v>624</v>
      </c>
      <c r="E148" s="230" t="s">
        <v>613</v>
      </c>
      <c r="F148" s="225">
        <v>45931</v>
      </c>
      <c r="G148" s="231">
        <v>1132.95</v>
      </c>
      <c r="H148" s="231">
        <v>4884.6000000000004</v>
      </c>
      <c r="I148" s="231">
        <v>21</v>
      </c>
      <c r="J148" s="231">
        <v>46.2</v>
      </c>
      <c r="K148" s="231">
        <v>95906.8</v>
      </c>
      <c r="L148" s="231">
        <v>6018</v>
      </c>
    </row>
    <row r="149" spans="1:15" ht="12" customHeight="1" x14ac:dyDescent="0.3">
      <c r="A149" s="201" t="s">
        <v>561</v>
      </c>
      <c r="B149" s="204" t="s">
        <v>572</v>
      </c>
      <c r="C149" s="230" t="s">
        <v>623</v>
      </c>
      <c r="D149" s="230" t="s">
        <v>624</v>
      </c>
      <c r="E149" s="230" t="s">
        <v>613</v>
      </c>
      <c r="F149" s="225">
        <v>45901</v>
      </c>
      <c r="G149" s="231">
        <v>1357.65</v>
      </c>
      <c r="H149" s="231">
        <v>15868.65</v>
      </c>
      <c r="I149" s="231">
        <v>142.80000000000001</v>
      </c>
      <c r="J149" s="231">
        <v>151.19999999999999</v>
      </c>
      <c r="K149" s="231">
        <v>94433.4</v>
      </c>
      <c r="L149" s="231">
        <v>29344</v>
      </c>
    </row>
    <row r="150" spans="1:15" ht="12" customHeight="1" x14ac:dyDescent="0.3">
      <c r="A150" s="201" t="s">
        <v>561</v>
      </c>
      <c r="B150" s="204" t="s">
        <v>572</v>
      </c>
      <c r="C150" s="230" t="s">
        <v>623</v>
      </c>
      <c r="D150" s="230" t="s">
        <v>624</v>
      </c>
      <c r="E150" s="230" t="s">
        <v>613</v>
      </c>
      <c r="F150" s="225">
        <v>45870</v>
      </c>
      <c r="G150" s="231">
        <v>11823</v>
      </c>
      <c r="H150" s="231">
        <v>47401.2</v>
      </c>
      <c r="I150" s="231">
        <v>407.4</v>
      </c>
      <c r="J150" s="231">
        <v>390.6</v>
      </c>
      <c r="K150" s="231">
        <v>93082.7</v>
      </c>
      <c r="L150" s="231">
        <v>59224</v>
      </c>
    </row>
    <row r="151" spans="1:15" ht="12" customHeight="1" x14ac:dyDescent="0.3">
      <c r="A151" s="201" t="s">
        <v>561</v>
      </c>
      <c r="B151" s="204" t="s">
        <v>572</v>
      </c>
      <c r="C151" s="230" t="s">
        <v>623</v>
      </c>
      <c r="D151" s="230" t="s">
        <v>624</v>
      </c>
      <c r="E151" s="230" t="s">
        <v>613</v>
      </c>
      <c r="F151" s="225">
        <v>45839</v>
      </c>
      <c r="G151" s="231">
        <v>13474.65</v>
      </c>
      <c r="H151" s="231">
        <v>50710.8</v>
      </c>
      <c r="I151" s="231">
        <v>382.2</v>
      </c>
      <c r="J151" s="231">
        <v>394.8</v>
      </c>
      <c r="K151" s="231">
        <v>88336.8</v>
      </c>
      <c r="L151" s="231">
        <v>64186</v>
      </c>
    </row>
    <row r="152" spans="1:15" ht="12" customHeight="1" x14ac:dyDescent="0.3">
      <c r="A152" s="201" t="s">
        <v>561</v>
      </c>
      <c r="B152" s="204" t="s">
        <v>572</v>
      </c>
      <c r="C152" s="230" t="s">
        <v>623</v>
      </c>
      <c r="D152" s="230" t="s">
        <v>624</v>
      </c>
      <c r="E152" s="230" t="s">
        <v>613</v>
      </c>
      <c r="F152" s="225">
        <v>45809</v>
      </c>
      <c r="G152" s="231">
        <v>5230.05</v>
      </c>
      <c r="H152" s="231">
        <v>31349.85</v>
      </c>
      <c r="I152" s="231">
        <v>352.8</v>
      </c>
      <c r="J152" s="231">
        <v>357</v>
      </c>
      <c r="K152" s="231">
        <v>72286.899999999994</v>
      </c>
      <c r="L152" s="231">
        <v>36580</v>
      </c>
    </row>
    <row r="153" spans="1:15" ht="12" customHeight="1" x14ac:dyDescent="0.3">
      <c r="A153" s="201" t="s">
        <v>561</v>
      </c>
      <c r="B153" s="204" t="s">
        <v>572</v>
      </c>
      <c r="C153" s="230" t="s">
        <v>623</v>
      </c>
      <c r="D153" s="230" t="s">
        <v>624</v>
      </c>
      <c r="E153" s="230" t="s">
        <v>613</v>
      </c>
      <c r="F153" s="225">
        <v>45778</v>
      </c>
      <c r="G153" s="231">
        <v>1296.75</v>
      </c>
      <c r="H153" s="231">
        <v>35861.699999999997</v>
      </c>
      <c r="I153" s="231">
        <v>79.8</v>
      </c>
      <c r="J153" s="231">
        <v>197.4</v>
      </c>
      <c r="K153" s="231">
        <v>91616.6</v>
      </c>
      <c r="L153" s="231">
        <v>37159</v>
      </c>
    </row>
    <row r="154" spans="1:15" ht="12" customHeight="1" x14ac:dyDescent="0.3">
      <c r="A154" s="201" t="s">
        <v>561</v>
      </c>
      <c r="B154" s="204" t="s">
        <v>572</v>
      </c>
      <c r="C154" s="230" t="s">
        <v>623</v>
      </c>
      <c r="D154" s="230" t="s">
        <v>624</v>
      </c>
      <c r="E154" s="230" t="s">
        <v>613</v>
      </c>
      <c r="F154" s="225">
        <v>45748</v>
      </c>
      <c r="G154" s="231">
        <v>1182.3</v>
      </c>
      <c r="H154" s="231">
        <v>37404.15</v>
      </c>
      <c r="I154" s="231">
        <v>168</v>
      </c>
      <c r="J154" s="231">
        <v>197.4</v>
      </c>
      <c r="K154" s="231">
        <v>73709.7</v>
      </c>
      <c r="L154" s="231">
        <v>38586</v>
      </c>
    </row>
    <row r="155" spans="1:15" ht="12" customHeight="1" x14ac:dyDescent="0.3">
      <c r="A155" s="201" t="s">
        <v>561</v>
      </c>
      <c r="B155" s="204" t="s">
        <v>572</v>
      </c>
      <c r="C155" s="230" t="s">
        <v>623</v>
      </c>
      <c r="D155" s="230" t="s">
        <v>624</v>
      </c>
      <c r="E155" s="230" t="s">
        <v>613</v>
      </c>
      <c r="F155" s="225">
        <v>45717</v>
      </c>
      <c r="G155" s="231">
        <v>9745.0499999999993</v>
      </c>
      <c r="H155" s="231">
        <v>53952.15</v>
      </c>
      <c r="I155" s="231">
        <v>378</v>
      </c>
      <c r="J155" s="231">
        <v>369.6</v>
      </c>
      <c r="K155" s="231">
        <v>103061.9</v>
      </c>
      <c r="L155" s="231">
        <v>63697</v>
      </c>
    </row>
    <row r="156" spans="1:15" ht="12" customHeight="1" x14ac:dyDescent="0.3">
      <c r="A156" s="201" t="s">
        <v>561</v>
      </c>
      <c r="B156" s="204" t="s">
        <v>572</v>
      </c>
      <c r="C156" s="230" t="s">
        <v>623</v>
      </c>
      <c r="D156" s="230" t="s">
        <v>624</v>
      </c>
      <c r="E156" s="230" t="s">
        <v>613</v>
      </c>
      <c r="F156" s="225">
        <v>45689</v>
      </c>
      <c r="G156" s="231">
        <v>7965.3</v>
      </c>
      <c r="H156" s="231">
        <v>28350</v>
      </c>
      <c r="I156" s="231">
        <v>361.2</v>
      </c>
      <c r="J156" s="231">
        <v>327.60000000000002</v>
      </c>
      <c r="K156" s="231">
        <v>91131.9</v>
      </c>
      <c r="L156" s="231">
        <v>36315</v>
      </c>
    </row>
    <row r="157" spans="1:15" ht="12" customHeight="1" x14ac:dyDescent="0.3">
      <c r="A157" s="201" t="s">
        <v>561</v>
      </c>
      <c r="B157" s="204" t="s">
        <v>572</v>
      </c>
      <c r="C157" s="230" t="s">
        <v>623</v>
      </c>
      <c r="D157" s="230" t="s">
        <v>624</v>
      </c>
      <c r="E157" s="230" t="s">
        <v>613</v>
      </c>
      <c r="F157" s="225">
        <v>45658</v>
      </c>
      <c r="G157" s="231">
        <v>1197</v>
      </c>
      <c r="H157" s="231">
        <v>5588.1</v>
      </c>
      <c r="I157" s="231">
        <v>25.2</v>
      </c>
      <c r="J157" s="231">
        <v>25.2</v>
      </c>
      <c r="K157" s="231">
        <v>114259</v>
      </c>
      <c r="L157" s="231">
        <v>6785</v>
      </c>
      <c r="O157" s="232"/>
    </row>
    <row r="158" spans="1:15" ht="12" hidden="1" customHeight="1" x14ac:dyDescent="0.3">
      <c r="A158" s="201" t="s">
        <v>559</v>
      </c>
      <c r="B158" s="204" t="s">
        <v>625</v>
      </c>
      <c r="C158" s="230" t="s">
        <v>626</v>
      </c>
      <c r="D158" s="230" t="s">
        <v>627</v>
      </c>
      <c r="E158" s="230" t="s">
        <v>595</v>
      </c>
      <c r="F158" s="225">
        <v>45992</v>
      </c>
      <c r="G158" s="231"/>
      <c r="H158" s="231">
        <v>1260</v>
      </c>
      <c r="I158" s="231"/>
      <c r="J158" s="231"/>
      <c r="K158" s="231"/>
      <c r="L158" s="231"/>
    </row>
    <row r="159" spans="1:15" ht="12" hidden="1" customHeight="1" x14ac:dyDescent="0.3">
      <c r="A159" s="201" t="s">
        <v>559</v>
      </c>
      <c r="B159" s="204" t="s">
        <v>625</v>
      </c>
      <c r="C159" s="230" t="s">
        <v>626</v>
      </c>
      <c r="D159" s="230" t="s">
        <v>627</v>
      </c>
      <c r="E159" s="230" t="s">
        <v>595</v>
      </c>
      <c r="F159" s="225">
        <v>45962</v>
      </c>
      <c r="G159" s="231"/>
      <c r="H159" s="231">
        <v>900</v>
      </c>
      <c r="I159" s="231"/>
      <c r="J159" s="231"/>
      <c r="K159" s="231"/>
      <c r="L159" s="231"/>
    </row>
    <row r="160" spans="1:15" ht="12" hidden="1" customHeight="1" x14ac:dyDescent="0.3">
      <c r="A160" s="201" t="s">
        <v>559</v>
      </c>
      <c r="B160" s="204" t="s">
        <v>625</v>
      </c>
      <c r="C160" s="230" t="s">
        <v>626</v>
      </c>
      <c r="D160" s="230" t="s">
        <v>627</v>
      </c>
      <c r="E160" s="230" t="s">
        <v>595</v>
      </c>
      <c r="F160" s="225">
        <v>45931</v>
      </c>
      <c r="G160" s="231"/>
      <c r="H160" s="231">
        <v>939</v>
      </c>
      <c r="I160" s="231"/>
      <c r="J160" s="231"/>
      <c r="K160" s="231"/>
      <c r="L160" s="231"/>
    </row>
    <row r="161" spans="1:12" ht="12" hidden="1" customHeight="1" x14ac:dyDescent="0.3">
      <c r="A161" s="201" t="s">
        <v>559</v>
      </c>
      <c r="B161" s="204" t="s">
        <v>625</v>
      </c>
      <c r="C161" s="230" t="s">
        <v>626</v>
      </c>
      <c r="D161" s="230" t="s">
        <v>627</v>
      </c>
      <c r="E161" s="230" t="s">
        <v>595</v>
      </c>
      <c r="F161" s="225">
        <v>45901</v>
      </c>
      <c r="G161" s="231"/>
      <c r="H161" s="231">
        <v>750</v>
      </c>
      <c r="I161" s="231"/>
      <c r="J161" s="231"/>
      <c r="K161" s="231"/>
      <c r="L161" s="231"/>
    </row>
    <row r="162" spans="1:12" ht="12" hidden="1" customHeight="1" x14ac:dyDescent="0.3">
      <c r="A162" s="201" t="s">
        <v>559</v>
      </c>
      <c r="B162" s="204" t="s">
        <v>625</v>
      </c>
      <c r="C162" s="230" t="s">
        <v>626</v>
      </c>
      <c r="D162" s="230" t="s">
        <v>627</v>
      </c>
      <c r="E162" s="230" t="s">
        <v>595</v>
      </c>
      <c r="F162" s="225">
        <v>45870</v>
      </c>
      <c r="G162" s="231"/>
      <c r="H162" s="231">
        <v>525</v>
      </c>
      <c r="I162" s="231"/>
      <c r="J162" s="231"/>
      <c r="K162" s="231"/>
      <c r="L162" s="231"/>
    </row>
    <row r="163" spans="1:12" ht="12" hidden="1" customHeight="1" x14ac:dyDescent="0.3">
      <c r="A163" s="201" t="s">
        <v>559</v>
      </c>
      <c r="B163" s="204" t="s">
        <v>625</v>
      </c>
      <c r="C163" s="230" t="s">
        <v>626</v>
      </c>
      <c r="D163" s="230" t="s">
        <v>627</v>
      </c>
      <c r="E163" s="230" t="s">
        <v>595</v>
      </c>
      <c r="F163" s="225">
        <v>45839</v>
      </c>
      <c r="G163" s="231"/>
      <c r="H163" s="231">
        <v>475</v>
      </c>
      <c r="I163" s="231"/>
      <c r="J163" s="231"/>
      <c r="K163" s="231"/>
      <c r="L163" s="231"/>
    </row>
    <row r="164" spans="1:12" ht="12" hidden="1" customHeight="1" x14ac:dyDescent="0.3">
      <c r="A164" s="201" t="s">
        <v>559</v>
      </c>
      <c r="B164" s="204" t="s">
        <v>625</v>
      </c>
      <c r="C164" s="230" t="s">
        <v>626</v>
      </c>
      <c r="D164" s="230" t="s">
        <v>627</v>
      </c>
      <c r="E164" s="230" t="s">
        <v>595</v>
      </c>
      <c r="F164" s="225">
        <v>45809</v>
      </c>
      <c r="G164" s="231"/>
      <c r="H164" s="231">
        <v>554</v>
      </c>
      <c r="I164" s="231"/>
      <c r="J164" s="231"/>
      <c r="K164" s="231"/>
      <c r="L164" s="231"/>
    </row>
    <row r="165" spans="1:12" ht="12" hidden="1" customHeight="1" x14ac:dyDescent="0.3">
      <c r="A165" s="201" t="s">
        <v>559</v>
      </c>
      <c r="B165" s="204" t="s">
        <v>625</v>
      </c>
      <c r="C165" s="230" t="s">
        <v>626</v>
      </c>
      <c r="D165" s="230" t="s">
        <v>627</v>
      </c>
      <c r="E165" s="230" t="s">
        <v>595</v>
      </c>
      <c r="F165" s="225">
        <v>45778</v>
      </c>
      <c r="G165" s="231"/>
      <c r="H165" s="231">
        <v>733</v>
      </c>
      <c r="I165" s="231"/>
      <c r="J165" s="231"/>
      <c r="K165" s="231"/>
      <c r="L165" s="231"/>
    </row>
    <row r="166" spans="1:12" ht="12" hidden="1" customHeight="1" x14ac:dyDescent="0.3">
      <c r="A166" s="201" t="s">
        <v>559</v>
      </c>
      <c r="B166" s="204" t="s">
        <v>625</v>
      </c>
      <c r="C166" s="230" t="s">
        <v>626</v>
      </c>
      <c r="D166" s="230" t="s">
        <v>627</v>
      </c>
      <c r="E166" s="230" t="s">
        <v>595</v>
      </c>
      <c r="F166" s="225">
        <v>45748</v>
      </c>
      <c r="G166" s="231"/>
      <c r="H166" s="231">
        <v>915</v>
      </c>
      <c r="I166" s="231"/>
      <c r="J166" s="231"/>
      <c r="K166" s="231"/>
      <c r="L166" s="231"/>
    </row>
    <row r="167" spans="1:12" ht="12" hidden="1" customHeight="1" x14ac:dyDescent="0.3">
      <c r="A167" s="201" t="s">
        <v>559</v>
      </c>
      <c r="B167" s="204" t="s">
        <v>625</v>
      </c>
      <c r="C167" s="230" t="s">
        <v>626</v>
      </c>
      <c r="D167" s="230" t="s">
        <v>627</v>
      </c>
      <c r="E167" s="230" t="s">
        <v>595</v>
      </c>
      <c r="F167" s="225">
        <v>45717</v>
      </c>
      <c r="G167" s="231"/>
      <c r="H167" s="231">
        <v>1180</v>
      </c>
      <c r="I167" s="231"/>
      <c r="J167" s="231"/>
      <c r="K167" s="231"/>
      <c r="L167" s="231"/>
    </row>
    <row r="168" spans="1:12" ht="12" hidden="1" customHeight="1" x14ac:dyDescent="0.3">
      <c r="A168" s="201" t="s">
        <v>559</v>
      </c>
      <c r="B168" s="204" t="s">
        <v>625</v>
      </c>
      <c r="C168" s="230" t="s">
        <v>626</v>
      </c>
      <c r="D168" s="230" t="s">
        <v>627</v>
      </c>
      <c r="E168" s="230" t="s">
        <v>595</v>
      </c>
      <c r="F168" s="225">
        <v>45689</v>
      </c>
      <c r="G168" s="231"/>
      <c r="H168" s="231">
        <v>1100</v>
      </c>
      <c r="I168" s="231"/>
      <c r="J168" s="231"/>
      <c r="K168" s="231"/>
      <c r="L168" s="231"/>
    </row>
    <row r="169" spans="1:12" ht="12" hidden="1" customHeight="1" x14ac:dyDescent="0.3">
      <c r="A169" s="201" t="s">
        <v>559</v>
      </c>
      <c r="B169" s="204" t="s">
        <v>625</v>
      </c>
      <c r="C169" s="230" t="s">
        <v>626</v>
      </c>
      <c r="D169" s="230" t="s">
        <v>627</v>
      </c>
      <c r="E169" s="230" t="s">
        <v>595</v>
      </c>
      <c r="F169" s="225">
        <v>45658</v>
      </c>
      <c r="G169" s="231"/>
      <c r="H169" s="231">
        <v>1140</v>
      </c>
      <c r="I169" s="231"/>
      <c r="J169" s="231"/>
      <c r="K169" s="231"/>
      <c r="L169" s="231"/>
    </row>
    <row r="170" spans="1:12" ht="12" hidden="1" customHeight="1" x14ac:dyDescent="0.3">
      <c r="A170" s="201" t="s">
        <v>559</v>
      </c>
      <c r="B170" s="204" t="s">
        <v>100</v>
      </c>
      <c r="C170" s="230" t="s">
        <v>628</v>
      </c>
      <c r="D170" s="230" t="s">
        <v>629</v>
      </c>
      <c r="E170" s="230" t="s">
        <v>595</v>
      </c>
      <c r="F170" s="225">
        <v>45992</v>
      </c>
      <c r="G170" s="231"/>
      <c r="H170" s="231">
        <v>4877</v>
      </c>
      <c r="I170" s="231"/>
      <c r="J170" s="231"/>
      <c r="K170" s="231"/>
      <c r="L170" s="231"/>
    </row>
    <row r="171" spans="1:12" ht="12" hidden="1" customHeight="1" x14ac:dyDescent="0.3">
      <c r="A171" s="201" t="s">
        <v>559</v>
      </c>
      <c r="B171" s="204" t="s">
        <v>100</v>
      </c>
      <c r="C171" s="230" t="s">
        <v>628</v>
      </c>
      <c r="D171" s="230" t="s">
        <v>629</v>
      </c>
      <c r="E171" s="230" t="s">
        <v>595</v>
      </c>
      <c r="F171" s="225">
        <v>45962</v>
      </c>
      <c r="G171" s="231"/>
      <c r="H171" s="231">
        <v>4046</v>
      </c>
      <c r="I171" s="231"/>
      <c r="J171" s="231"/>
      <c r="K171" s="231"/>
      <c r="L171" s="231"/>
    </row>
    <row r="172" spans="1:12" ht="12" hidden="1" customHeight="1" x14ac:dyDescent="0.3">
      <c r="A172" s="201" t="s">
        <v>559</v>
      </c>
      <c r="B172" s="204" t="s">
        <v>100</v>
      </c>
      <c r="C172" s="230" t="s">
        <v>628</v>
      </c>
      <c r="D172" s="230" t="s">
        <v>629</v>
      </c>
      <c r="E172" s="230" t="s">
        <v>595</v>
      </c>
      <c r="F172" s="225">
        <v>45931</v>
      </c>
      <c r="G172" s="231"/>
      <c r="H172" s="231">
        <v>5439</v>
      </c>
      <c r="I172" s="231"/>
      <c r="J172" s="231"/>
      <c r="K172" s="231"/>
      <c r="L172" s="231"/>
    </row>
    <row r="173" spans="1:12" ht="12" hidden="1" customHeight="1" x14ac:dyDescent="0.3">
      <c r="A173" s="201" t="s">
        <v>559</v>
      </c>
      <c r="B173" s="204" t="s">
        <v>100</v>
      </c>
      <c r="C173" s="230" t="s">
        <v>628</v>
      </c>
      <c r="D173" s="230" t="s">
        <v>629</v>
      </c>
      <c r="E173" s="230" t="s">
        <v>595</v>
      </c>
      <c r="F173" s="225">
        <v>45901</v>
      </c>
      <c r="G173" s="231"/>
      <c r="H173" s="231">
        <v>7235</v>
      </c>
      <c r="I173" s="231"/>
      <c r="J173" s="231"/>
      <c r="K173" s="231"/>
      <c r="L173" s="231"/>
    </row>
    <row r="174" spans="1:12" ht="12" hidden="1" customHeight="1" x14ac:dyDescent="0.3">
      <c r="A174" s="201" t="s">
        <v>559</v>
      </c>
      <c r="B174" s="204" t="s">
        <v>100</v>
      </c>
      <c r="C174" s="230" t="s">
        <v>628</v>
      </c>
      <c r="D174" s="230" t="s">
        <v>629</v>
      </c>
      <c r="E174" s="230" t="s">
        <v>595</v>
      </c>
      <c r="F174" s="225">
        <v>45870</v>
      </c>
      <c r="G174" s="231"/>
      <c r="H174" s="231">
        <v>2459</v>
      </c>
      <c r="I174" s="231"/>
      <c r="J174" s="231"/>
      <c r="K174" s="231"/>
      <c r="L174" s="231"/>
    </row>
    <row r="175" spans="1:12" ht="12" hidden="1" customHeight="1" x14ac:dyDescent="0.3">
      <c r="A175" s="201" t="s">
        <v>559</v>
      </c>
      <c r="B175" s="204" t="s">
        <v>100</v>
      </c>
      <c r="C175" s="230" t="s">
        <v>628</v>
      </c>
      <c r="D175" s="230" t="s">
        <v>629</v>
      </c>
      <c r="E175" s="230" t="s">
        <v>595</v>
      </c>
      <c r="F175" s="225">
        <v>45839</v>
      </c>
      <c r="G175" s="231"/>
      <c r="H175" s="231">
        <v>1294</v>
      </c>
      <c r="I175" s="231"/>
      <c r="J175" s="231"/>
      <c r="K175" s="231"/>
      <c r="L175" s="231"/>
    </row>
    <row r="176" spans="1:12" ht="12" hidden="1" customHeight="1" x14ac:dyDescent="0.3">
      <c r="A176" s="201" t="s">
        <v>559</v>
      </c>
      <c r="B176" s="204" t="s">
        <v>100</v>
      </c>
      <c r="C176" s="230" t="s">
        <v>628</v>
      </c>
      <c r="D176" s="230" t="s">
        <v>629</v>
      </c>
      <c r="E176" s="230" t="s">
        <v>595</v>
      </c>
      <c r="F176" s="225">
        <v>45809</v>
      </c>
      <c r="G176" s="231"/>
      <c r="H176" s="231">
        <v>1737</v>
      </c>
      <c r="I176" s="231"/>
      <c r="J176" s="231"/>
      <c r="K176" s="231"/>
      <c r="L176" s="231"/>
    </row>
    <row r="177" spans="1:12" ht="12" hidden="1" customHeight="1" x14ac:dyDescent="0.3">
      <c r="A177" s="201" t="s">
        <v>559</v>
      </c>
      <c r="B177" s="204" t="s">
        <v>100</v>
      </c>
      <c r="C177" s="230" t="s">
        <v>628</v>
      </c>
      <c r="D177" s="230" t="s">
        <v>629</v>
      </c>
      <c r="E177" s="230" t="s">
        <v>595</v>
      </c>
      <c r="F177" s="225">
        <v>45778</v>
      </c>
      <c r="G177" s="231"/>
      <c r="H177" s="231">
        <v>832</v>
      </c>
      <c r="I177" s="231"/>
      <c r="J177" s="231"/>
      <c r="K177" s="231"/>
      <c r="L177" s="231"/>
    </row>
    <row r="178" spans="1:12" ht="12" hidden="1" customHeight="1" x14ac:dyDescent="0.3">
      <c r="A178" s="201" t="s">
        <v>559</v>
      </c>
      <c r="B178" s="204" t="s">
        <v>100</v>
      </c>
      <c r="C178" s="230" t="s">
        <v>628</v>
      </c>
      <c r="D178" s="230" t="s">
        <v>629</v>
      </c>
      <c r="E178" s="230" t="s">
        <v>595</v>
      </c>
      <c r="F178" s="225">
        <v>45748</v>
      </c>
      <c r="G178" s="231"/>
      <c r="H178" s="231">
        <v>1107</v>
      </c>
      <c r="I178" s="231"/>
      <c r="J178" s="231"/>
      <c r="K178" s="231"/>
      <c r="L178" s="231"/>
    </row>
    <row r="179" spans="1:12" ht="12" hidden="1" customHeight="1" x14ac:dyDescent="0.3">
      <c r="A179" s="201" t="s">
        <v>559</v>
      </c>
      <c r="B179" s="204" t="s">
        <v>100</v>
      </c>
      <c r="C179" s="230" t="s">
        <v>628</v>
      </c>
      <c r="D179" s="230" t="s">
        <v>629</v>
      </c>
      <c r="E179" s="230" t="s">
        <v>595</v>
      </c>
      <c r="F179" s="225">
        <v>45717</v>
      </c>
      <c r="G179" s="231"/>
      <c r="H179" s="231">
        <v>1347</v>
      </c>
      <c r="I179" s="231"/>
      <c r="J179" s="231"/>
      <c r="K179" s="231"/>
      <c r="L179" s="231"/>
    </row>
    <row r="180" spans="1:12" ht="12" hidden="1" customHeight="1" x14ac:dyDescent="0.3">
      <c r="A180" s="201" t="s">
        <v>559</v>
      </c>
      <c r="B180" s="204" t="s">
        <v>100</v>
      </c>
      <c r="C180" s="230" t="s">
        <v>628</v>
      </c>
      <c r="D180" s="230" t="s">
        <v>629</v>
      </c>
      <c r="E180" s="230" t="s">
        <v>595</v>
      </c>
      <c r="F180" s="225">
        <v>45689</v>
      </c>
      <c r="G180" s="231"/>
      <c r="H180" s="231">
        <v>875</v>
      </c>
      <c r="I180" s="231"/>
      <c r="J180" s="231"/>
      <c r="K180" s="231"/>
      <c r="L180" s="231"/>
    </row>
    <row r="181" spans="1:12" ht="12" hidden="1" customHeight="1" x14ac:dyDescent="0.3">
      <c r="A181" s="201" t="s">
        <v>559</v>
      </c>
      <c r="B181" s="204" t="s">
        <v>100</v>
      </c>
      <c r="C181" s="230" t="s">
        <v>628</v>
      </c>
      <c r="D181" s="230" t="s">
        <v>629</v>
      </c>
      <c r="E181" s="230" t="s">
        <v>595</v>
      </c>
      <c r="F181" s="225">
        <v>45658</v>
      </c>
      <c r="G181" s="231"/>
      <c r="H181" s="231">
        <v>0</v>
      </c>
      <c r="I181" s="231"/>
      <c r="J181" s="231"/>
      <c r="K181" s="231"/>
      <c r="L181" s="231"/>
    </row>
    <row r="182" spans="1:12" ht="12" hidden="1" customHeight="1" x14ac:dyDescent="0.3">
      <c r="A182" s="201" t="s">
        <v>559</v>
      </c>
      <c r="B182" s="204" t="s">
        <v>79</v>
      </c>
      <c r="C182" s="230" t="s">
        <v>630</v>
      </c>
      <c r="D182" s="230" t="s">
        <v>631</v>
      </c>
      <c r="E182" s="230" t="s">
        <v>595</v>
      </c>
      <c r="F182" s="225">
        <v>45992</v>
      </c>
      <c r="G182" s="231"/>
      <c r="H182" s="231">
        <v>6073.06</v>
      </c>
      <c r="I182" s="231"/>
      <c r="J182" s="231"/>
      <c r="K182" s="231"/>
      <c r="L182" s="231"/>
    </row>
    <row r="183" spans="1:12" ht="12" hidden="1" customHeight="1" x14ac:dyDescent="0.3">
      <c r="A183" s="201" t="s">
        <v>559</v>
      </c>
      <c r="B183" s="204" t="s">
        <v>79</v>
      </c>
      <c r="C183" s="230" t="s">
        <v>630</v>
      </c>
      <c r="D183" s="230" t="s">
        <v>631</v>
      </c>
      <c r="E183" s="230" t="s">
        <v>595</v>
      </c>
      <c r="F183" s="225">
        <v>45962</v>
      </c>
      <c r="G183" s="231"/>
      <c r="H183" s="231">
        <v>6374.03</v>
      </c>
      <c r="I183" s="231"/>
      <c r="J183" s="231"/>
      <c r="K183" s="231"/>
      <c r="L183" s="231"/>
    </row>
    <row r="184" spans="1:12" ht="12" hidden="1" customHeight="1" x14ac:dyDescent="0.3">
      <c r="A184" s="201" t="s">
        <v>559</v>
      </c>
      <c r="B184" s="204" t="s">
        <v>79</v>
      </c>
      <c r="C184" s="230" t="s">
        <v>630</v>
      </c>
      <c r="D184" s="230" t="s">
        <v>631</v>
      </c>
      <c r="E184" s="230" t="s">
        <v>595</v>
      </c>
      <c r="F184" s="225">
        <v>45931</v>
      </c>
      <c r="G184" s="231"/>
      <c r="H184" s="231">
        <v>5428.03</v>
      </c>
      <c r="I184" s="231"/>
      <c r="J184" s="231"/>
      <c r="K184" s="231"/>
      <c r="L184" s="231"/>
    </row>
    <row r="185" spans="1:12" ht="12" hidden="1" customHeight="1" x14ac:dyDescent="0.3">
      <c r="A185" s="201" t="s">
        <v>559</v>
      </c>
      <c r="B185" s="204" t="s">
        <v>79</v>
      </c>
      <c r="C185" s="230" t="s">
        <v>630</v>
      </c>
      <c r="D185" s="230" t="s">
        <v>631</v>
      </c>
      <c r="E185" s="230" t="s">
        <v>595</v>
      </c>
      <c r="F185" s="225">
        <v>45901</v>
      </c>
      <c r="G185" s="231"/>
      <c r="H185" s="231">
        <v>4204.96</v>
      </c>
      <c r="I185" s="231"/>
      <c r="J185" s="231"/>
      <c r="K185" s="231"/>
      <c r="L185" s="231"/>
    </row>
    <row r="186" spans="1:12" ht="12" hidden="1" customHeight="1" x14ac:dyDescent="0.3">
      <c r="A186" s="201" t="s">
        <v>559</v>
      </c>
      <c r="B186" s="204" t="s">
        <v>79</v>
      </c>
      <c r="C186" s="230" t="s">
        <v>630</v>
      </c>
      <c r="D186" s="230" t="s">
        <v>631</v>
      </c>
      <c r="E186" s="230" t="s">
        <v>595</v>
      </c>
      <c r="F186" s="225">
        <v>45870</v>
      </c>
      <c r="G186" s="231"/>
      <c r="H186" s="231">
        <v>3408.79</v>
      </c>
      <c r="I186" s="231"/>
      <c r="J186" s="231"/>
      <c r="K186" s="231"/>
      <c r="L186" s="231"/>
    </row>
    <row r="187" spans="1:12" ht="12" hidden="1" customHeight="1" x14ac:dyDescent="0.3">
      <c r="A187" s="201" t="s">
        <v>559</v>
      </c>
      <c r="B187" s="204" t="s">
        <v>79</v>
      </c>
      <c r="C187" s="230" t="s">
        <v>630</v>
      </c>
      <c r="D187" s="230" t="s">
        <v>631</v>
      </c>
      <c r="E187" s="230" t="s">
        <v>595</v>
      </c>
      <c r="F187" s="225">
        <v>45839</v>
      </c>
      <c r="G187" s="231"/>
      <c r="H187" s="231">
        <v>3450.56</v>
      </c>
      <c r="I187" s="231"/>
      <c r="J187" s="231"/>
      <c r="K187" s="231"/>
      <c r="L187" s="231"/>
    </row>
    <row r="188" spans="1:12" ht="12" hidden="1" customHeight="1" x14ac:dyDescent="0.3">
      <c r="A188" s="201" t="s">
        <v>559</v>
      </c>
      <c r="B188" s="204" t="s">
        <v>79</v>
      </c>
      <c r="C188" s="230" t="s">
        <v>630</v>
      </c>
      <c r="D188" s="230" t="s">
        <v>631</v>
      </c>
      <c r="E188" s="230" t="s">
        <v>595</v>
      </c>
      <c r="F188" s="225">
        <v>45809</v>
      </c>
      <c r="G188" s="231"/>
      <c r="H188" s="231">
        <v>3657.4</v>
      </c>
      <c r="I188" s="231"/>
      <c r="J188" s="231"/>
      <c r="K188" s="231"/>
      <c r="L188" s="231"/>
    </row>
    <row r="189" spans="1:12" ht="12" hidden="1" customHeight="1" x14ac:dyDescent="0.3">
      <c r="A189" s="201" t="s">
        <v>559</v>
      </c>
      <c r="B189" s="204" t="s">
        <v>79</v>
      </c>
      <c r="C189" s="230" t="s">
        <v>630</v>
      </c>
      <c r="D189" s="230" t="s">
        <v>631</v>
      </c>
      <c r="E189" s="230" t="s">
        <v>595</v>
      </c>
      <c r="F189" s="225">
        <v>45778</v>
      </c>
      <c r="G189" s="231"/>
      <c r="H189" s="231">
        <v>4080.16</v>
      </c>
      <c r="I189" s="231"/>
      <c r="J189" s="231"/>
      <c r="K189" s="231"/>
      <c r="L189" s="231"/>
    </row>
    <row r="190" spans="1:12" ht="12" hidden="1" customHeight="1" x14ac:dyDescent="0.3">
      <c r="A190" s="201" t="s">
        <v>559</v>
      </c>
      <c r="B190" s="204" t="s">
        <v>79</v>
      </c>
      <c r="C190" s="230" t="s">
        <v>630</v>
      </c>
      <c r="D190" s="230" t="s">
        <v>631</v>
      </c>
      <c r="E190" s="230" t="s">
        <v>595</v>
      </c>
      <c r="F190" s="225">
        <v>45748</v>
      </c>
      <c r="G190" s="231"/>
      <c r="H190" s="231">
        <v>4416.04</v>
      </c>
      <c r="I190" s="231"/>
      <c r="J190" s="231"/>
      <c r="K190" s="231"/>
      <c r="L190" s="231"/>
    </row>
    <row r="191" spans="1:12" ht="12" hidden="1" customHeight="1" x14ac:dyDescent="0.3">
      <c r="A191" s="201" t="s">
        <v>559</v>
      </c>
      <c r="B191" s="204" t="s">
        <v>79</v>
      </c>
      <c r="C191" s="230" t="s">
        <v>630</v>
      </c>
      <c r="D191" s="230" t="s">
        <v>631</v>
      </c>
      <c r="E191" s="230" t="s">
        <v>595</v>
      </c>
      <c r="F191" s="225">
        <v>45717</v>
      </c>
      <c r="G191" s="231"/>
      <c r="H191" s="231">
        <v>5075.6499999999996</v>
      </c>
      <c r="I191" s="231"/>
      <c r="J191" s="231"/>
      <c r="K191" s="231"/>
      <c r="L191" s="231"/>
    </row>
    <row r="192" spans="1:12" ht="12" hidden="1" customHeight="1" x14ac:dyDescent="0.3">
      <c r="A192" s="201" t="s">
        <v>559</v>
      </c>
      <c r="B192" s="204" t="s">
        <v>79</v>
      </c>
      <c r="C192" s="230" t="s">
        <v>630</v>
      </c>
      <c r="D192" s="230" t="s">
        <v>631</v>
      </c>
      <c r="E192" s="230" t="s">
        <v>595</v>
      </c>
      <c r="F192" s="225">
        <v>45689</v>
      </c>
      <c r="G192" s="231"/>
      <c r="H192" s="231">
        <v>4332.6899999999996</v>
      </c>
      <c r="I192" s="231"/>
      <c r="J192" s="231"/>
      <c r="K192" s="231"/>
      <c r="L192" s="231"/>
    </row>
    <row r="193" spans="1:12" ht="12" hidden="1" customHeight="1" x14ac:dyDescent="0.3">
      <c r="A193" s="201" t="s">
        <v>559</v>
      </c>
      <c r="B193" s="204" t="s">
        <v>79</v>
      </c>
      <c r="C193" s="230" t="s">
        <v>630</v>
      </c>
      <c r="D193" s="230" t="s">
        <v>631</v>
      </c>
      <c r="E193" s="230" t="s">
        <v>595</v>
      </c>
      <c r="F193" s="225">
        <v>45658</v>
      </c>
      <c r="G193" s="231"/>
      <c r="H193" s="231">
        <v>4121.32</v>
      </c>
      <c r="I193" s="231"/>
      <c r="J193" s="231"/>
      <c r="K193" s="231"/>
      <c r="L193" s="231"/>
    </row>
    <row r="194" spans="1:12" ht="12" hidden="1" customHeight="1" x14ac:dyDescent="0.3">
      <c r="A194" s="201" t="s">
        <v>559</v>
      </c>
      <c r="B194" s="204" t="s">
        <v>109</v>
      </c>
      <c r="C194" s="230" t="s">
        <v>632</v>
      </c>
      <c r="D194" s="230" t="s">
        <v>633</v>
      </c>
      <c r="E194" s="230" t="s">
        <v>595</v>
      </c>
      <c r="F194" s="225">
        <v>45992</v>
      </c>
      <c r="G194" s="231"/>
      <c r="H194" s="231">
        <v>3547</v>
      </c>
      <c r="I194" s="231"/>
      <c r="J194" s="231"/>
      <c r="K194" s="231"/>
      <c r="L194" s="231"/>
    </row>
    <row r="195" spans="1:12" ht="12" hidden="1" customHeight="1" x14ac:dyDescent="0.3">
      <c r="A195" s="201" t="s">
        <v>559</v>
      </c>
      <c r="B195" s="204" t="s">
        <v>109</v>
      </c>
      <c r="C195" s="230" t="s">
        <v>632</v>
      </c>
      <c r="D195" s="230" t="s">
        <v>633</v>
      </c>
      <c r="E195" s="230" t="s">
        <v>595</v>
      </c>
      <c r="F195" s="225">
        <v>45962</v>
      </c>
      <c r="G195" s="231"/>
      <c r="H195" s="231">
        <v>3614</v>
      </c>
      <c r="I195" s="231"/>
      <c r="J195" s="231"/>
      <c r="K195" s="231"/>
      <c r="L195" s="231"/>
    </row>
    <row r="196" spans="1:12" ht="12" hidden="1" customHeight="1" x14ac:dyDescent="0.3">
      <c r="A196" s="201" t="s">
        <v>559</v>
      </c>
      <c r="B196" s="204" t="s">
        <v>109</v>
      </c>
      <c r="C196" s="230" t="s">
        <v>632</v>
      </c>
      <c r="D196" s="230" t="s">
        <v>633</v>
      </c>
      <c r="E196" s="230" t="s">
        <v>595</v>
      </c>
      <c r="F196" s="225">
        <v>45931</v>
      </c>
      <c r="G196" s="231"/>
      <c r="H196" s="231">
        <v>3961</v>
      </c>
      <c r="I196" s="231"/>
      <c r="J196" s="231"/>
      <c r="K196" s="231"/>
      <c r="L196" s="231"/>
    </row>
    <row r="197" spans="1:12" ht="12" hidden="1" customHeight="1" x14ac:dyDescent="0.3">
      <c r="A197" s="201" t="s">
        <v>559</v>
      </c>
      <c r="B197" s="204" t="s">
        <v>109</v>
      </c>
      <c r="C197" s="230" t="s">
        <v>632</v>
      </c>
      <c r="D197" s="230" t="s">
        <v>633</v>
      </c>
      <c r="E197" s="230" t="s">
        <v>595</v>
      </c>
      <c r="F197" s="225">
        <v>45901</v>
      </c>
      <c r="G197" s="231"/>
      <c r="H197" s="231">
        <v>3873</v>
      </c>
      <c r="I197" s="231"/>
      <c r="J197" s="231"/>
      <c r="K197" s="231"/>
      <c r="L197" s="231"/>
    </row>
    <row r="198" spans="1:12" ht="12" hidden="1" customHeight="1" x14ac:dyDescent="0.3">
      <c r="A198" s="201" t="s">
        <v>559</v>
      </c>
      <c r="B198" s="204" t="s">
        <v>109</v>
      </c>
      <c r="C198" s="230" t="s">
        <v>632</v>
      </c>
      <c r="D198" s="230" t="s">
        <v>633</v>
      </c>
      <c r="E198" s="230" t="s">
        <v>595</v>
      </c>
      <c r="F198" s="225">
        <v>45870</v>
      </c>
      <c r="G198" s="231"/>
      <c r="H198" s="231">
        <v>4685</v>
      </c>
      <c r="I198" s="231"/>
      <c r="J198" s="231"/>
      <c r="K198" s="231"/>
      <c r="L198" s="231"/>
    </row>
    <row r="199" spans="1:12" ht="12" hidden="1" customHeight="1" x14ac:dyDescent="0.3">
      <c r="A199" s="201" t="s">
        <v>559</v>
      </c>
      <c r="B199" s="204" t="s">
        <v>109</v>
      </c>
      <c r="C199" s="230" t="s">
        <v>632</v>
      </c>
      <c r="D199" s="230" t="s">
        <v>633</v>
      </c>
      <c r="E199" s="230" t="s">
        <v>595</v>
      </c>
      <c r="F199" s="225">
        <v>45839</v>
      </c>
      <c r="G199" s="231"/>
      <c r="H199" s="231">
        <v>4336</v>
      </c>
      <c r="I199" s="231"/>
      <c r="J199" s="231"/>
      <c r="K199" s="231"/>
      <c r="L199" s="231"/>
    </row>
    <row r="200" spans="1:12" ht="12" hidden="1" customHeight="1" x14ac:dyDescent="0.3">
      <c r="A200" s="201" t="s">
        <v>559</v>
      </c>
      <c r="B200" s="204" t="s">
        <v>109</v>
      </c>
      <c r="C200" s="230" t="s">
        <v>632</v>
      </c>
      <c r="D200" s="230" t="s">
        <v>633</v>
      </c>
      <c r="E200" s="230" t="s">
        <v>595</v>
      </c>
      <c r="F200" s="225">
        <v>45809</v>
      </c>
      <c r="G200" s="231"/>
      <c r="H200" s="231">
        <v>3953</v>
      </c>
      <c r="I200" s="231"/>
      <c r="J200" s="231"/>
      <c r="K200" s="231"/>
      <c r="L200" s="231"/>
    </row>
    <row r="201" spans="1:12" ht="12" hidden="1" customHeight="1" x14ac:dyDescent="0.3">
      <c r="A201" s="201" t="s">
        <v>559</v>
      </c>
      <c r="B201" s="204" t="s">
        <v>109</v>
      </c>
      <c r="C201" s="230" t="s">
        <v>632</v>
      </c>
      <c r="D201" s="230" t="s">
        <v>633</v>
      </c>
      <c r="E201" s="230" t="s">
        <v>595</v>
      </c>
      <c r="F201" s="225">
        <v>45778</v>
      </c>
      <c r="G201" s="231"/>
      <c r="H201" s="231">
        <v>3888</v>
      </c>
      <c r="I201" s="231"/>
      <c r="J201" s="231"/>
      <c r="K201" s="231"/>
      <c r="L201" s="231"/>
    </row>
    <row r="202" spans="1:12" ht="12" hidden="1" customHeight="1" x14ac:dyDescent="0.3">
      <c r="A202" s="201" t="s">
        <v>559</v>
      </c>
      <c r="B202" s="204" t="s">
        <v>109</v>
      </c>
      <c r="C202" s="230" t="s">
        <v>632</v>
      </c>
      <c r="D202" s="230" t="s">
        <v>633</v>
      </c>
      <c r="E202" s="230" t="s">
        <v>595</v>
      </c>
      <c r="F202" s="225">
        <v>45748</v>
      </c>
      <c r="G202" s="231"/>
      <c r="H202" s="231">
        <v>3810</v>
      </c>
      <c r="I202" s="231"/>
      <c r="J202" s="231"/>
      <c r="K202" s="231"/>
      <c r="L202" s="231"/>
    </row>
    <row r="203" spans="1:12" ht="12" hidden="1" customHeight="1" x14ac:dyDescent="0.3">
      <c r="A203" s="201" t="s">
        <v>559</v>
      </c>
      <c r="B203" s="204" t="s">
        <v>109</v>
      </c>
      <c r="C203" s="230" t="s">
        <v>632</v>
      </c>
      <c r="D203" s="230" t="s">
        <v>633</v>
      </c>
      <c r="E203" s="230" t="s">
        <v>595</v>
      </c>
      <c r="F203" s="225">
        <v>45717</v>
      </c>
      <c r="G203" s="231"/>
      <c r="H203" s="231">
        <v>3733</v>
      </c>
      <c r="I203" s="231"/>
      <c r="J203" s="231"/>
      <c r="K203" s="231"/>
      <c r="L203" s="231"/>
    </row>
    <row r="204" spans="1:12" ht="12" hidden="1" customHeight="1" x14ac:dyDescent="0.3">
      <c r="A204" s="201" t="s">
        <v>559</v>
      </c>
      <c r="B204" s="204" t="s">
        <v>109</v>
      </c>
      <c r="C204" s="230" t="s">
        <v>632</v>
      </c>
      <c r="D204" s="230" t="s">
        <v>633</v>
      </c>
      <c r="E204" s="230" t="s">
        <v>595</v>
      </c>
      <c r="F204" s="225">
        <v>45689</v>
      </c>
      <c r="G204" s="231"/>
      <c r="H204" s="231">
        <v>4609</v>
      </c>
      <c r="I204" s="231"/>
      <c r="J204" s="231"/>
      <c r="K204" s="231"/>
      <c r="L204" s="231"/>
    </row>
    <row r="205" spans="1:12" ht="12" hidden="1" customHeight="1" x14ac:dyDescent="0.3">
      <c r="A205" s="201" t="s">
        <v>559</v>
      </c>
      <c r="B205" s="204" t="s">
        <v>109</v>
      </c>
      <c r="C205" s="230" t="s">
        <v>632</v>
      </c>
      <c r="D205" s="230" t="s">
        <v>633</v>
      </c>
      <c r="E205" s="230" t="s">
        <v>595</v>
      </c>
      <c r="F205" s="225">
        <v>45658</v>
      </c>
      <c r="G205" s="231"/>
      <c r="H205" s="231">
        <v>4300</v>
      </c>
      <c r="I205" s="231"/>
      <c r="J205" s="231"/>
      <c r="K205" s="231"/>
      <c r="L205" s="231"/>
    </row>
    <row r="206" spans="1:12" ht="12" hidden="1" customHeight="1" x14ac:dyDescent="0.3">
      <c r="A206" s="201" t="s">
        <v>559</v>
      </c>
      <c r="B206" s="204" t="s">
        <v>102</v>
      </c>
      <c r="C206" s="230" t="s">
        <v>634</v>
      </c>
      <c r="D206" s="230" t="s">
        <v>635</v>
      </c>
      <c r="E206" s="230" t="s">
        <v>595</v>
      </c>
      <c r="F206" s="225">
        <v>45992</v>
      </c>
      <c r="G206" s="231"/>
      <c r="H206" s="231">
        <v>9160</v>
      </c>
      <c r="I206" s="231"/>
      <c r="J206" s="231"/>
      <c r="K206" s="231"/>
      <c r="L206" s="231"/>
    </row>
    <row r="207" spans="1:12" ht="12" hidden="1" customHeight="1" x14ac:dyDescent="0.3">
      <c r="A207" s="201" t="s">
        <v>559</v>
      </c>
      <c r="B207" s="204" t="s">
        <v>102</v>
      </c>
      <c r="C207" s="230" t="s">
        <v>634</v>
      </c>
      <c r="D207" s="230" t="s">
        <v>635</v>
      </c>
      <c r="E207" s="230" t="s">
        <v>595</v>
      </c>
      <c r="F207" s="225">
        <v>45962</v>
      </c>
      <c r="G207" s="231"/>
      <c r="H207" s="231">
        <v>8920</v>
      </c>
      <c r="I207" s="231"/>
      <c r="J207" s="231"/>
      <c r="K207" s="231"/>
      <c r="L207" s="231"/>
    </row>
    <row r="208" spans="1:12" ht="12" hidden="1" customHeight="1" x14ac:dyDescent="0.3">
      <c r="A208" s="201" t="s">
        <v>559</v>
      </c>
      <c r="B208" s="204" t="s">
        <v>102</v>
      </c>
      <c r="C208" s="230" t="s">
        <v>634</v>
      </c>
      <c r="D208" s="230" t="s">
        <v>635</v>
      </c>
      <c r="E208" s="230" t="s">
        <v>595</v>
      </c>
      <c r="F208" s="225">
        <v>45931</v>
      </c>
      <c r="G208" s="231"/>
      <c r="H208" s="231">
        <v>9480</v>
      </c>
      <c r="I208" s="231"/>
      <c r="J208" s="231"/>
      <c r="K208" s="231"/>
      <c r="L208" s="231"/>
    </row>
    <row r="209" spans="1:12" ht="12" hidden="1" customHeight="1" x14ac:dyDescent="0.3">
      <c r="A209" s="201" t="s">
        <v>559</v>
      </c>
      <c r="B209" s="204" t="s">
        <v>102</v>
      </c>
      <c r="C209" s="230" t="s">
        <v>634</v>
      </c>
      <c r="D209" s="230" t="s">
        <v>635</v>
      </c>
      <c r="E209" s="230" t="s">
        <v>595</v>
      </c>
      <c r="F209" s="225">
        <v>45901</v>
      </c>
      <c r="G209" s="231"/>
      <c r="H209" s="231">
        <v>8800</v>
      </c>
      <c r="I209" s="231"/>
      <c r="J209" s="231"/>
      <c r="K209" s="231"/>
      <c r="L209" s="231"/>
    </row>
    <row r="210" spans="1:12" ht="12" hidden="1" customHeight="1" x14ac:dyDescent="0.3">
      <c r="A210" s="201" t="s">
        <v>559</v>
      </c>
      <c r="B210" s="204" t="s">
        <v>102</v>
      </c>
      <c r="C210" s="230" t="s">
        <v>634</v>
      </c>
      <c r="D210" s="230" t="s">
        <v>635</v>
      </c>
      <c r="E210" s="230" t="s">
        <v>595</v>
      </c>
      <c r="F210" s="225">
        <v>45870</v>
      </c>
      <c r="G210" s="231"/>
      <c r="H210" s="231">
        <v>8880</v>
      </c>
      <c r="I210" s="231"/>
      <c r="J210" s="231"/>
      <c r="K210" s="231"/>
      <c r="L210" s="231"/>
    </row>
    <row r="211" spans="1:12" ht="12" hidden="1" customHeight="1" x14ac:dyDescent="0.3">
      <c r="A211" s="201" t="s">
        <v>559</v>
      </c>
      <c r="B211" s="204" t="s">
        <v>102</v>
      </c>
      <c r="C211" s="230" t="s">
        <v>634</v>
      </c>
      <c r="D211" s="230" t="s">
        <v>635</v>
      </c>
      <c r="E211" s="230" t="s">
        <v>595</v>
      </c>
      <c r="F211" s="225">
        <v>45839</v>
      </c>
      <c r="G211" s="231"/>
      <c r="H211" s="231">
        <v>7600</v>
      </c>
      <c r="I211" s="231"/>
      <c r="J211" s="231"/>
      <c r="K211" s="231"/>
      <c r="L211" s="231"/>
    </row>
    <row r="212" spans="1:12" ht="12" hidden="1" customHeight="1" x14ac:dyDescent="0.3">
      <c r="A212" s="201" t="s">
        <v>559</v>
      </c>
      <c r="B212" s="204" t="s">
        <v>102</v>
      </c>
      <c r="C212" s="230" t="s">
        <v>634</v>
      </c>
      <c r="D212" s="230" t="s">
        <v>635</v>
      </c>
      <c r="E212" s="230" t="s">
        <v>595</v>
      </c>
      <c r="F212" s="225">
        <v>45809</v>
      </c>
      <c r="G212" s="231"/>
      <c r="H212" s="231">
        <v>8000</v>
      </c>
      <c r="I212" s="231"/>
      <c r="J212" s="231"/>
      <c r="K212" s="231"/>
      <c r="L212" s="231"/>
    </row>
    <row r="213" spans="1:12" ht="12" hidden="1" customHeight="1" x14ac:dyDescent="0.3">
      <c r="A213" s="201" t="s">
        <v>559</v>
      </c>
      <c r="B213" s="204" t="s">
        <v>102</v>
      </c>
      <c r="C213" s="230" t="s">
        <v>634</v>
      </c>
      <c r="D213" s="230" t="s">
        <v>635</v>
      </c>
      <c r="E213" s="230" t="s">
        <v>595</v>
      </c>
      <c r="F213" s="225">
        <v>45778</v>
      </c>
      <c r="G213" s="231"/>
      <c r="H213" s="231">
        <v>8880</v>
      </c>
      <c r="I213" s="231"/>
      <c r="J213" s="231"/>
      <c r="K213" s="231"/>
      <c r="L213" s="231"/>
    </row>
    <row r="214" spans="1:12" ht="12" hidden="1" customHeight="1" x14ac:dyDescent="0.3">
      <c r="A214" s="201" t="s">
        <v>559</v>
      </c>
      <c r="B214" s="204" t="s">
        <v>102</v>
      </c>
      <c r="C214" s="230" t="s">
        <v>634</v>
      </c>
      <c r="D214" s="230" t="s">
        <v>635</v>
      </c>
      <c r="E214" s="230" t="s">
        <v>595</v>
      </c>
      <c r="F214" s="225">
        <v>45748</v>
      </c>
      <c r="G214" s="231"/>
      <c r="H214" s="231">
        <v>9400</v>
      </c>
      <c r="I214" s="231"/>
      <c r="J214" s="231"/>
      <c r="K214" s="231"/>
      <c r="L214" s="231"/>
    </row>
    <row r="215" spans="1:12" ht="12" hidden="1" customHeight="1" x14ac:dyDescent="0.3">
      <c r="A215" s="201" t="s">
        <v>559</v>
      </c>
      <c r="B215" s="204" t="s">
        <v>102</v>
      </c>
      <c r="C215" s="230" t="s">
        <v>634</v>
      </c>
      <c r="D215" s="230" t="s">
        <v>635</v>
      </c>
      <c r="E215" s="230" t="s">
        <v>595</v>
      </c>
      <c r="F215" s="225">
        <v>45717</v>
      </c>
      <c r="G215" s="231"/>
      <c r="H215" s="231">
        <v>10000</v>
      </c>
      <c r="I215" s="231"/>
      <c r="J215" s="231"/>
      <c r="K215" s="231"/>
      <c r="L215" s="231"/>
    </row>
    <row r="216" spans="1:12" ht="12" hidden="1" customHeight="1" x14ac:dyDescent="0.3">
      <c r="A216" s="201" t="s">
        <v>559</v>
      </c>
      <c r="B216" s="204" t="s">
        <v>102</v>
      </c>
      <c r="C216" s="230" t="s">
        <v>634</v>
      </c>
      <c r="D216" s="230" t="s">
        <v>635</v>
      </c>
      <c r="E216" s="230" t="s">
        <v>595</v>
      </c>
      <c r="F216" s="225">
        <v>45689</v>
      </c>
      <c r="G216" s="231"/>
      <c r="H216" s="231">
        <v>11640</v>
      </c>
      <c r="I216" s="231"/>
      <c r="J216" s="231"/>
      <c r="K216" s="231"/>
      <c r="L216" s="231"/>
    </row>
    <row r="217" spans="1:12" ht="12" hidden="1" customHeight="1" x14ac:dyDescent="0.3">
      <c r="A217" s="201" t="s">
        <v>559</v>
      </c>
      <c r="B217" s="204" t="s">
        <v>102</v>
      </c>
      <c r="C217" s="230" t="s">
        <v>634</v>
      </c>
      <c r="D217" s="230" t="s">
        <v>635</v>
      </c>
      <c r="E217" s="230" t="s">
        <v>595</v>
      </c>
      <c r="F217" s="225">
        <v>45658</v>
      </c>
      <c r="G217" s="231"/>
      <c r="H217" s="231">
        <v>11760</v>
      </c>
      <c r="I217" s="231"/>
      <c r="J217" s="231"/>
      <c r="K217" s="231"/>
      <c r="L217" s="231"/>
    </row>
  </sheetData>
  <autoFilter ref="B1:L217" xr:uid="{00000000-0009-0000-0000-00000A000000}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93C92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200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E7FD"/>
  </sheetPr>
  <dimension ref="B3:K102"/>
  <sheetViews>
    <sheetView topLeftCell="A61" zoomScaleNormal="100" workbookViewId="0">
      <selection activeCell="I69" sqref="I69"/>
    </sheetView>
  </sheetViews>
  <sheetFormatPr defaultColWidth="8.54296875" defaultRowHeight="13" x14ac:dyDescent="0.3"/>
  <cols>
    <col min="1" max="2" width="8.54296875" style="201"/>
    <col min="3" max="3" width="16.453125" style="201" customWidth="1"/>
    <col min="4" max="4" width="10.08984375" style="201" customWidth="1"/>
    <col min="5" max="5" width="22.54296875" style="201" customWidth="1"/>
    <col min="6" max="6" width="8.54296875" style="201"/>
    <col min="7" max="7" width="23.08984375" style="201" customWidth="1"/>
    <col min="8" max="8" width="15.81640625" style="201" customWidth="1"/>
    <col min="9" max="9" width="15.08984375" style="201" customWidth="1"/>
    <col min="10" max="16384" width="8.54296875" style="201"/>
  </cols>
  <sheetData>
    <row r="3" spans="2:9" ht="12.75" customHeight="1" x14ac:dyDescent="0.3">
      <c r="B3" s="233" t="s">
        <v>636</v>
      </c>
      <c r="C3" s="233" t="s">
        <v>637</v>
      </c>
      <c r="D3" s="233" t="s">
        <v>546</v>
      </c>
      <c r="E3" s="233" t="s">
        <v>37</v>
      </c>
      <c r="F3" s="233" t="s">
        <v>638</v>
      </c>
      <c r="G3" s="233" t="s">
        <v>639</v>
      </c>
      <c r="H3" s="233" t="s">
        <v>640</v>
      </c>
      <c r="I3" s="233" t="s">
        <v>641</v>
      </c>
    </row>
    <row r="4" spans="2:9" ht="13.5" customHeight="1" x14ac:dyDescent="0.3">
      <c r="B4" s="234" t="s">
        <v>642</v>
      </c>
      <c r="C4" s="234" t="s">
        <v>643</v>
      </c>
      <c r="D4" s="235">
        <v>45383</v>
      </c>
      <c r="E4" s="236" t="s">
        <v>644</v>
      </c>
      <c r="F4" s="236">
        <v>4</v>
      </c>
      <c r="G4" s="236">
        <v>2024</v>
      </c>
      <c r="H4" s="236" t="s">
        <v>645</v>
      </c>
      <c r="I4" s="237">
        <v>37.226999999999997</v>
      </c>
    </row>
    <row r="5" spans="2:9" ht="13.5" customHeight="1" x14ac:dyDescent="0.3">
      <c r="B5" s="234" t="s">
        <v>642</v>
      </c>
      <c r="C5" s="234" t="s">
        <v>643</v>
      </c>
      <c r="D5" s="235">
        <v>45413</v>
      </c>
      <c r="E5" s="236" t="s">
        <v>646</v>
      </c>
      <c r="F5" s="236">
        <v>5</v>
      </c>
      <c r="G5" s="236">
        <v>2024</v>
      </c>
      <c r="H5" s="236" t="s">
        <v>645</v>
      </c>
      <c r="I5" s="237">
        <v>66.274000000000001</v>
      </c>
    </row>
    <row r="6" spans="2:9" ht="13.5" customHeight="1" x14ac:dyDescent="0.3">
      <c r="B6" s="234" t="s">
        <v>642</v>
      </c>
      <c r="C6" s="234" t="s">
        <v>643</v>
      </c>
      <c r="D6" s="235">
        <v>45444</v>
      </c>
      <c r="E6" s="236" t="s">
        <v>459</v>
      </c>
      <c r="F6" s="236">
        <v>6</v>
      </c>
      <c r="G6" s="236">
        <v>2024</v>
      </c>
      <c r="H6" s="236" t="s">
        <v>645</v>
      </c>
      <c r="I6" s="237">
        <v>54.743000000000002</v>
      </c>
    </row>
    <row r="7" spans="2:9" ht="13.5" customHeight="1" x14ac:dyDescent="0.3">
      <c r="B7" s="234" t="s">
        <v>642</v>
      </c>
      <c r="C7" s="234" t="s">
        <v>643</v>
      </c>
      <c r="D7" s="235">
        <v>45474</v>
      </c>
      <c r="E7" s="236" t="s">
        <v>460</v>
      </c>
      <c r="F7" s="236">
        <v>7</v>
      </c>
      <c r="G7" s="236">
        <v>2024</v>
      </c>
      <c r="H7" s="236" t="s">
        <v>645</v>
      </c>
      <c r="I7" s="237">
        <v>100.242</v>
      </c>
    </row>
    <row r="8" spans="2:9" ht="13.5" customHeight="1" x14ac:dyDescent="0.3">
      <c r="B8" s="234" t="s">
        <v>642</v>
      </c>
      <c r="C8" s="234" t="s">
        <v>643</v>
      </c>
      <c r="D8" s="235">
        <v>45505</v>
      </c>
      <c r="E8" s="236" t="s">
        <v>647</v>
      </c>
      <c r="F8" s="236">
        <v>8</v>
      </c>
      <c r="G8" s="236">
        <v>2024</v>
      </c>
      <c r="H8" s="236" t="s">
        <v>645</v>
      </c>
      <c r="I8" s="237">
        <v>114.491</v>
      </c>
    </row>
    <row r="9" spans="2:9" ht="13.5" customHeight="1" x14ac:dyDescent="0.3">
      <c r="B9" s="234" t="s">
        <v>642</v>
      </c>
      <c r="C9" s="234" t="s">
        <v>643</v>
      </c>
      <c r="D9" s="235">
        <v>45536</v>
      </c>
      <c r="E9" s="236" t="s">
        <v>648</v>
      </c>
      <c r="F9" s="236">
        <v>9</v>
      </c>
      <c r="G9" s="236">
        <v>2024</v>
      </c>
      <c r="H9" s="236" t="s">
        <v>645</v>
      </c>
      <c r="I9" s="237">
        <v>101.6523</v>
      </c>
    </row>
    <row r="10" spans="2:9" ht="13.5" customHeight="1" x14ac:dyDescent="0.3">
      <c r="B10" s="234" t="s">
        <v>642</v>
      </c>
      <c r="C10" s="234" t="s">
        <v>643</v>
      </c>
      <c r="D10" s="235">
        <v>45566</v>
      </c>
      <c r="E10" s="236" t="s">
        <v>649</v>
      </c>
      <c r="F10" s="236">
        <v>10</v>
      </c>
      <c r="G10" s="236">
        <v>2024</v>
      </c>
      <c r="H10" s="236" t="s">
        <v>645</v>
      </c>
      <c r="I10" s="237">
        <v>88.615099999999998</v>
      </c>
    </row>
    <row r="11" spans="2:9" ht="13.5" customHeight="1" x14ac:dyDescent="0.3">
      <c r="B11" s="234" t="s">
        <v>642</v>
      </c>
      <c r="C11" s="234" t="s">
        <v>643</v>
      </c>
      <c r="D11" s="235">
        <v>45597</v>
      </c>
      <c r="E11" s="236" t="s">
        <v>464</v>
      </c>
      <c r="F11" s="236">
        <v>11</v>
      </c>
      <c r="G11" s="236">
        <v>2024</v>
      </c>
      <c r="H11" s="236" t="s">
        <v>645</v>
      </c>
      <c r="I11" s="237">
        <v>99.369399999999999</v>
      </c>
    </row>
    <row r="12" spans="2:9" ht="13.5" customHeight="1" x14ac:dyDescent="0.3">
      <c r="B12" s="234" t="s">
        <v>642</v>
      </c>
      <c r="C12" s="234" t="s">
        <v>643</v>
      </c>
      <c r="D12" s="235">
        <v>45627</v>
      </c>
      <c r="E12" s="236" t="s">
        <v>650</v>
      </c>
      <c r="F12" s="236">
        <v>12</v>
      </c>
      <c r="G12" s="236">
        <v>2024</v>
      </c>
      <c r="H12" s="236" t="s">
        <v>645</v>
      </c>
      <c r="I12" s="237">
        <v>77.195599999999999</v>
      </c>
    </row>
    <row r="13" spans="2:9" ht="13.5" customHeight="1" x14ac:dyDescent="0.3">
      <c r="B13" s="234" t="s">
        <v>642</v>
      </c>
      <c r="C13" s="234" t="s">
        <v>643</v>
      </c>
      <c r="D13" s="235">
        <v>45658</v>
      </c>
      <c r="E13" s="236" t="s">
        <v>454</v>
      </c>
      <c r="F13" s="236">
        <v>1</v>
      </c>
      <c r="G13" s="236">
        <v>2024</v>
      </c>
      <c r="H13" s="236" t="s">
        <v>651</v>
      </c>
      <c r="I13" s="237">
        <v>105.4782</v>
      </c>
    </row>
    <row r="14" spans="2:9" ht="13.5" customHeight="1" x14ac:dyDescent="0.3">
      <c r="B14" s="234" t="s">
        <v>642</v>
      </c>
      <c r="C14" s="234" t="s">
        <v>643</v>
      </c>
      <c r="D14" s="235">
        <v>45689</v>
      </c>
      <c r="E14" s="236" t="s">
        <v>652</v>
      </c>
      <c r="F14" s="236">
        <v>2</v>
      </c>
      <c r="G14" s="236">
        <v>2024</v>
      </c>
      <c r="H14" s="236" t="s">
        <v>651</v>
      </c>
      <c r="I14" s="237">
        <v>85</v>
      </c>
    </row>
    <row r="15" spans="2:9" ht="13.5" customHeight="1" x14ac:dyDescent="0.3">
      <c r="B15" s="234" t="s">
        <v>642</v>
      </c>
      <c r="C15" s="234" t="s">
        <v>643</v>
      </c>
      <c r="D15" s="235">
        <v>45717</v>
      </c>
      <c r="E15" s="236" t="s">
        <v>456</v>
      </c>
      <c r="F15" s="236">
        <v>3</v>
      </c>
      <c r="G15" s="236">
        <v>2024</v>
      </c>
      <c r="H15" s="236" t="s">
        <v>651</v>
      </c>
      <c r="I15" s="237">
        <v>100.17870000000001</v>
      </c>
    </row>
    <row r="16" spans="2:9" ht="13.5" customHeight="1" x14ac:dyDescent="0.3">
      <c r="B16" s="234" t="s">
        <v>642</v>
      </c>
      <c r="C16" s="234" t="s">
        <v>643</v>
      </c>
      <c r="D16" s="235">
        <v>45748</v>
      </c>
      <c r="E16" s="236" t="s">
        <v>644</v>
      </c>
      <c r="F16" s="236">
        <v>4</v>
      </c>
      <c r="G16" s="236">
        <v>2024</v>
      </c>
      <c r="H16" s="236" t="s">
        <v>651</v>
      </c>
      <c r="I16" s="237">
        <v>81.436099999999996</v>
      </c>
    </row>
    <row r="17" spans="2:9" ht="13.5" customHeight="1" x14ac:dyDescent="0.3">
      <c r="B17" s="234" t="s">
        <v>642</v>
      </c>
      <c r="C17" s="234" t="s">
        <v>643</v>
      </c>
      <c r="D17" s="235">
        <v>45778</v>
      </c>
      <c r="E17" s="236" t="s">
        <v>646</v>
      </c>
      <c r="F17" s="236">
        <v>5</v>
      </c>
      <c r="G17" s="236">
        <v>2024</v>
      </c>
      <c r="H17" s="236" t="s">
        <v>651</v>
      </c>
      <c r="I17" s="237">
        <v>93.345100000000002</v>
      </c>
    </row>
    <row r="18" spans="2:9" ht="13.5" customHeight="1" x14ac:dyDescent="0.3">
      <c r="B18" s="234" t="s">
        <v>642</v>
      </c>
      <c r="C18" s="234" t="s">
        <v>643</v>
      </c>
      <c r="D18" s="235">
        <v>45809</v>
      </c>
      <c r="E18" s="236" t="s">
        <v>459</v>
      </c>
      <c r="F18" s="236">
        <v>6</v>
      </c>
      <c r="G18" s="236">
        <v>2024</v>
      </c>
      <c r="H18" s="236" t="s">
        <v>651</v>
      </c>
      <c r="I18" s="237">
        <v>77.902199999999993</v>
      </c>
    </row>
    <row r="19" spans="2:9" ht="13.5" customHeight="1" x14ac:dyDescent="0.3">
      <c r="B19" s="234" t="s">
        <v>642</v>
      </c>
      <c r="C19" s="234" t="s">
        <v>643</v>
      </c>
      <c r="D19" s="235">
        <v>45839</v>
      </c>
      <c r="E19" s="236" t="s">
        <v>460</v>
      </c>
      <c r="F19" s="236">
        <v>7</v>
      </c>
      <c r="G19" s="236">
        <v>2024</v>
      </c>
      <c r="H19" s="236" t="s">
        <v>651</v>
      </c>
      <c r="I19" s="237">
        <v>104.9024</v>
      </c>
    </row>
    <row r="20" spans="2:9" ht="13.5" customHeight="1" x14ac:dyDescent="0.3">
      <c r="B20" s="234" t="s">
        <v>642</v>
      </c>
      <c r="C20" s="234" t="s">
        <v>643</v>
      </c>
      <c r="D20" s="235">
        <v>45870</v>
      </c>
      <c r="E20" s="236" t="s">
        <v>647</v>
      </c>
      <c r="F20" s="236">
        <v>8</v>
      </c>
      <c r="G20" s="236">
        <v>2024</v>
      </c>
      <c r="H20" s="236" t="s">
        <v>651</v>
      </c>
      <c r="I20" s="237">
        <v>112</v>
      </c>
    </row>
    <row r="21" spans="2:9" ht="13.5" customHeight="1" x14ac:dyDescent="0.3">
      <c r="B21" s="234" t="s">
        <v>642</v>
      </c>
      <c r="C21" s="234" t="s">
        <v>643</v>
      </c>
      <c r="D21" s="235">
        <v>45901</v>
      </c>
      <c r="E21" s="236" t="s">
        <v>648</v>
      </c>
      <c r="F21" s="236">
        <v>9</v>
      </c>
      <c r="G21" s="236">
        <v>2024</v>
      </c>
      <c r="H21" s="236" t="s">
        <v>651</v>
      </c>
      <c r="I21" s="237">
        <v>111.27760000000001</v>
      </c>
    </row>
    <row r="22" spans="2:9" ht="13.5" customHeight="1" x14ac:dyDescent="0.3">
      <c r="B22" s="234" t="s">
        <v>642</v>
      </c>
      <c r="C22" s="234" t="s">
        <v>643</v>
      </c>
      <c r="D22" s="235">
        <v>45931</v>
      </c>
      <c r="E22" s="236" t="s">
        <v>649</v>
      </c>
      <c r="F22" s="236">
        <v>10</v>
      </c>
      <c r="G22" s="236">
        <v>2024</v>
      </c>
      <c r="H22" s="236" t="s">
        <v>651</v>
      </c>
      <c r="I22" s="237">
        <v>103.95740000000001</v>
      </c>
    </row>
    <row r="23" spans="2:9" ht="13.5" customHeight="1" x14ac:dyDescent="0.3">
      <c r="B23" s="234" t="s">
        <v>642</v>
      </c>
      <c r="C23" s="234" t="s">
        <v>643</v>
      </c>
      <c r="D23" s="235">
        <v>45962</v>
      </c>
      <c r="E23" s="236" t="s">
        <v>464</v>
      </c>
      <c r="F23" s="236">
        <v>11</v>
      </c>
      <c r="G23" s="236">
        <v>2024</v>
      </c>
      <c r="H23" s="236" t="s">
        <v>651</v>
      </c>
      <c r="I23" s="237">
        <v>122.8546</v>
      </c>
    </row>
    <row r="24" spans="2:9" ht="13.5" customHeight="1" x14ac:dyDescent="0.3">
      <c r="B24" s="234" t="s">
        <v>642</v>
      </c>
      <c r="C24" s="234" t="s">
        <v>643</v>
      </c>
      <c r="D24" s="235">
        <v>45992</v>
      </c>
      <c r="E24" s="236" t="s">
        <v>650</v>
      </c>
      <c r="F24" s="236">
        <v>12</v>
      </c>
      <c r="G24" s="236">
        <v>2024</v>
      </c>
      <c r="H24" s="236" t="s">
        <v>651</v>
      </c>
      <c r="I24" s="237">
        <v>104</v>
      </c>
    </row>
    <row r="25" spans="2:9" ht="13.5" customHeight="1" x14ac:dyDescent="0.3">
      <c r="B25" s="234" t="s">
        <v>642</v>
      </c>
      <c r="C25" s="234" t="s">
        <v>643</v>
      </c>
      <c r="D25" s="235">
        <v>46023</v>
      </c>
      <c r="E25" s="236" t="s">
        <v>454</v>
      </c>
      <c r="F25" s="236">
        <v>1</v>
      </c>
      <c r="G25" s="236">
        <v>2024</v>
      </c>
      <c r="H25" s="236" t="s">
        <v>653</v>
      </c>
      <c r="I25" s="237">
        <v>106.72239999999999</v>
      </c>
    </row>
    <row r="29" spans="2:9" ht="12.75" customHeight="1" x14ac:dyDescent="0.3">
      <c r="B29" s="233" t="s">
        <v>636</v>
      </c>
      <c r="C29" s="233" t="s">
        <v>637</v>
      </c>
      <c r="D29" s="233" t="s">
        <v>546</v>
      </c>
      <c r="E29" s="233" t="s">
        <v>37</v>
      </c>
      <c r="F29" s="233" t="s">
        <v>638</v>
      </c>
      <c r="G29" s="233" t="s">
        <v>639</v>
      </c>
      <c r="H29" s="233" t="s">
        <v>640</v>
      </c>
      <c r="I29" s="233" t="s">
        <v>641</v>
      </c>
    </row>
    <row r="30" spans="2:9" ht="13.5" customHeight="1" x14ac:dyDescent="0.3">
      <c r="B30" s="234" t="s">
        <v>654</v>
      </c>
      <c r="C30" s="234" t="s">
        <v>655</v>
      </c>
      <c r="D30" s="235">
        <v>45383</v>
      </c>
      <c r="E30" s="236" t="s">
        <v>644</v>
      </c>
      <c r="F30" s="236">
        <v>4</v>
      </c>
      <c r="G30" s="236">
        <v>2024</v>
      </c>
      <c r="H30" s="236" t="s">
        <v>645</v>
      </c>
      <c r="I30" s="237">
        <v>32.671999999999997</v>
      </c>
    </row>
    <row r="31" spans="2:9" ht="13.5" customHeight="1" x14ac:dyDescent="0.3">
      <c r="B31" s="234" t="s">
        <v>654</v>
      </c>
      <c r="C31" s="234" t="s">
        <v>655</v>
      </c>
      <c r="D31" s="235">
        <v>45413</v>
      </c>
      <c r="E31" s="236" t="s">
        <v>646</v>
      </c>
      <c r="F31" s="236">
        <v>5</v>
      </c>
      <c r="G31" s="236">
        <v>2024</v>
      </c>
      <c r="H31" s="236" t="s">
        <v>645</v>
      </c>
      <c r="I31" s="237">
        <v>108.947</v>
      </c>
    </row>
    <row r="32" spans="2:9" ht="13.5" customHeight="1" x14ac:dyDescent="0.3">
      <c r="B32" s="234" t="s">
        <v>654</v>
      </c>
      <c r="C32" s="234" t="s">
        <v>655</v>
      </c>
      <c r="D32" s="235">
        <v>45444</v>
      </c>
      <c r="E32" s="236" t="s">
        <v>459</v>
      </c>
      <c r="F32" s="236">
        <v>6</v>
      </c>
      <c r="G32" s="236">
        <v>2024</v>
      </c>
      <c r="H32" s="236" t="s">
        <v>645</v>
      </c>
      <c r="I32" s="237">
        <v>92.917000000000002</v>
      </c>
    </row>
    <row r="33" spans="2:9" ht="13.5" customHeight="1" x14ac:dyDescent="0.3">
      <c r="B33" s="234" t="s">
        <v>654</v>
      </c>
      <c r="C33" s="234" t="s">
        <v>655</v>
      </c>
      <c r="D33" s="235">
        <v>45474</v>
      </c>
      <c r="E33" s="236" t="s">
        <v>460</v>
      </c>
      <c r="F33" s="236">
        <v>7</v>
      </c>
      <c r="G33" s="236">
        <v>2024</v>
      </c>
      <c r="H33" s="236" t="s">
        <v>645</v>
      </c>
      <c r="I33" s="237">
        <v>163.0883</v>
      </c>
    </row>
    <row r="34" spans="2:9" ht="13.5" customHeight="1" x14ac:dyDescent="0.3">
      <c r="B34" s="234" t="s">
        <v>654</v>
      </c>
      <c r="C34" s="234" t="s">
        <v>655</v>
      </c>
      <c r="D34" s="235">
        <v>45505</v>
      </c>
      <c r="E34" s="236" t="s">
        <v>647</v>
      </c>
      <c r="F34" s="236">
        <v>8</v>
      </c>
      <c r="G34" s="236">
        <v>2024</v>
      </c>
      <c r="H34" s="236" t="s">
        <v>645</v>
      </c>
      <c r="I34" s="237">
        <v>189.08789999999999</v>
      </c>
    </row>
    <row r="35" spans="2:9" ht="13.5" customHeight="1" x14ac:dyDescent="0.3">
      <c r="B35" s="234" t="s">
        <v>654</v>
      </c>
      <c r="C35" s="234" t="s">
        <v>655</v>
      </c>
      <c r="D35" s="235">
        <v>45536</v>
      </c>
      <c r="E35" s="236" t="s">
        <v>648</v>
      </c>
      <c r="F35" s="236">
        <v>9</v>
      </c>
      <c r="G35" s="236">
        <v>2024</v>
      </c>
      <c r="H35" s="236" t="s">
        <v>645</v>
      </c>
      <c r="I35" s="237">
        <v>176.17519999999999</v>
      </c>
    </row>
    <row r="36" spans="2:9" ht="13.5" customHeight="1" x14ac:dyDescent="0.3">
      <c r="B36" s="234" t="s">
        <v>654</v>
      </c>
      <c r="C36" s="234" t="s">
        <v>655</v>
      </c>
      <c r="D36" s="235">
        <v>45566</v>
      </c>
      <c r="E36" s="236" t="s">
        <v>649</v>
      </c>
      <c r="F36" s="236">
        <v>10</v>
      </c>
      <c r="G36" s="236">
        <v>2024</v>
      </c>
      <c r="H36" s="236" t="s">
        <v>645</v>
      </c>
      <c r="I36" s="237">
        <v>161.11170000000001</v>
      </c>
    </row>
    <row r="37" spans="2:9" ht="13.5" customHeight="1" x14ac:dyDescent="0.3">
      <c r="B37" s="234" t="s">
        <v>654</v>
      </c>
      <c r="C37" s="234" t="s">
        <v>655</v>
      </c>
      <c r="D37" s="235">
        <v>45597</v>
      </c>
      <c r="E37" s="236" t="s">
        <v>464</v>
      </c>
      <c r="F37" s="236">
        <v>11</v>
      </c>
      <c r="G37" s="236">
        <v>2024</v>
      </c>
      <c r="H37" s="236" t="s">
        <v>645</v>
      </c>
      <c r="I37" s="237">
        <v>169.51140000000001</v>
      </c>
    </row>
    <row r="38" spans="2:9" ht="13.5" customHeight="1" x14ac:dyDescent="0.3">
      <c r="B38" s="234" t="s">
        <v>654</v>
      </c>
      <c r="C38" s="234" t="s">
        <v>655</v>
      </c>
      <c r="D38" s="235">
        <v>45627</v>
      </c>
      <c r="E38" s="236" t="s">
        <v>650</v>
      </c>
      <c r="F38" s="236">
        <v>12</v>
      </c>
      <c r="G38" s="236">
        <v>2024</v>
      </c>
      <c r="H38" s="236" t="s">
        <v>645</v>
      </c>
      <c r="I38" s="237">
        <v>166.99639999999999</v>
      </c>
    </row>
    <row r="39" spans="2:9" ht="13.5" customHeight="1" x14ac:dyDescent="0.3">
      <c r="B39" s="234" t="s">
        <v>654</v>
      </c>
      <c r="C39" s="234" t="s">
        <v>655</v>
      </c>
      <c r="D39" s="235">
        <v>45658</v>
      </c>
      <c r="E39" s="236" t="s">
        <v>454</v>
      </c>
      <c r="F39" s="236">
        <v>1</v>
      </c>
      <c r="G39" s="236">
        <v>2024</v>
      </c>
      <c r="H39" s="236" t="s">
        <v>651</v>
      </c>
      <c r="I39" s="237">
        <v>190.90889999999999</v>
      </c>
    </row>
    <row r="40" spans="2:9" ht="13.5" customHeight="1" x14ac:dyDescent="0.3">
      <c r="B40" s="234" t="s">
        <v>654</v>
      </c>
      <c r="C40" s="234" t="s">
        <v>655</v>
      </c>
      <c r="D40" s="235">
        <v>45689</v>
      </c>
      <c r="E40" s="236" t="s">
        <v>652</v>
      </c>
      <c r="F40" s="236">
        <v>2</v>
      </c>
      <c r="G40" s="236">
        <v>2024</v>
      </c>
      <c r="H40" s="236" t="s">
        <v>651</v>
      </c>
      <c r="I40" s="237">
        <v>166</v>
      </c>
    </row>
    <row r="41" spans="2:9" ht="13.5" customHeight="1" x14ac:dyDescent="0.3">
      <c r="B41" s="234" t="s">
        <v>654</v>
      </c>
      <c r="C41" s="234" t="s">
        <v>655</v>
      </c>
      <c r="D41" s="235">
        <v>45717</v>
      </c>
      <c r="E41" s="236" t="s">
        <v>456</v>
      </c>
      <c r="F41" s="236">
        <v>3</v>
      </c>
      <c r="G41" s="236">
        <v>2024</v>
      </c>
      <c r="H41" s="236" t="s">
        <v>651</v>
      </c>
      <c r="I41" s="237">
        <v>193.42939999999999</v>
      </c>
    </row>
    <row r="42" spans="2:9" ht="13.5" customHeight="1" x14ac:dyDescent="0.3">
      <c r="B42" s="234" t="s">
        <v>654</v>
      </c>
      <c r="C42" s="234" t="s">
        <v>655</v>
      </c>
      <c r="D42" s="235">
        <v>45748</v>
      </c>
      <c r="E42" s="236" t="s">
        <v>644</v>
      </c>
      <c r="F42" s="236">
        <v>4</v>
      </c>
      <c r="G42" s="236">
        <v>2024</v>
      </c>
      <c r="H42" s="236" t="s">
        <v>651</v>
      </c>
      <c r="I42" s="237">
        <v>145.84440000000001</v>
      </c>
    </row>
    <row r="43" spans="2:9" ht="13.5" customHeight="1" x14ac:dyDescent="0.3">
      <c r="B43" s="234" t="s">
        <v>654</v>
      </c>
      <c r="C43" s="234" t="s">
        <v>655</v>
      </c>
      <c r="D43" s="235">
        <v>45778</v>
      </c>
      <c r="E43" s="236" t="s">
        <v>646</v>
      </c>
      <c r="F43" s="236">
        <v>5</v>
      </c>
      <c r="G43" s="236">
        <v>2024</v>
      </c>
      <c r="H43" s="236" t="s">
        <v>651</v>
      </c>
      <c r="I43" s="237">
        <v>158.6377</v>
      </c>
    </row>
    <row r="44" spans="2:9" ht="13.5" customHeight="1" x14ac:dyDescent="0.3">
      <c r="B44" s="234" t="s">
        <v>654</v>
      </c>
      <c r="C44" s="234" t="s">
        <v>655</v>
      </c>
      <c r="D44" s="235">
        <v>45809</v>
      </c>
      <c r="E44" s="236" t="s">
        <v>459</v>
      </c>
      <c r="F44" s="236">
        <v>6</v>
      </c>
      <c r="G44" s="236">
        <v>2024</v>
      </c>
      <c r="H44" s="236" t="s">
        <v>651</v>
      </c>
      <c r="I44" s="237">
        <v>128.6395</v>
      </c>
    </row>
    <row r="45" spans="2:9" ht="13.5" customHeight="1" x14ac:dyDescent="0.3">
      <c r="B45" s="234" t="s">
        <v>654</v>
      </c>
      <c r="C45" s="234" t="s">
        <v>655</v>
      </c>
      <c r="D45" s="235">
        <v>45839</v>
      </c>
      <c r="E45" s="236" t="s">
        <v>460</v>
      </c>
      <c r="F45" s="236">
        <v>7</v>
      </c>
      <c r="G45" s="236">
        <v>2024</v>
      </c>
      <c r="H45" s="236" t="s">
        <v>651</v>
      </c>
      <c r="I45" s="237">
        <v>178.34549999999999</v>
      </c>
    </row>
    <row r="46" spans="2:9" ht="13.5" customHeight="1" x14ac:dyDescent="0.3">
      <c r="B46" s="234" t="s">
        <v>654</v>
      </c>
      <c r="C46" s="234" t="s">
        <v>655</v>
      </c>
      <c r="D46" s="235">
        <v>45870</v>
      </c>
      <c r="E46" s="236" t="s">
        <v>647</v>
      </c>
      <c r="F46" s="236">
        <v>8</v>
      </c>
      <c r="G46" s="236">
        <v>2024</v>
      </c>
      <c r="H46" s="236" t="s">
        <v>651</v>
      </c>
      <c r="I46" s="237">
        <v>191</v>
      </c>
    </row>
    <row r="47" spans="2:9" ht="13.5" customHeight="1" x14ac:dyDescent="0.3">
      <c r="B47" s="234" t="s">
        <v>654</v>
      </c>
      <c r="C47" s="234" t="s">
        <v>655</v>
      </c>
      <c r="D47" s="235">
        <v>45901</v>
      </c>
      <c r="E47" s="236" t="s">
        <v>648</v>
      </c>
      <c r="F47" s="236">
        <v>9</v>
      </c>
      <c r="G47" s="236">
        <v>2024</v>
      </c>
      <c r="H47" s="236" t="s">
        <v>651</v>
      </c>
      <c r="I47" s="237">
        <v>200.2328</v>
      </c>
    </row>
    <row r="48" spans="2:9" ht="13.5" customHeight="1" x14ac:dyDescent="0.3">
      <c r="B48" s="234" t="s">
        <v>654</v>
      </c>
      <c r="C48" s="234" t="s">
        <v>655</v>
      </c>
      <c r="D48" s="235">
        <v>45931</v>
      </c>
      <c r="E48" s="236" t="s">
        <v>649</v>
      </c>
      <c r="F48" s="236">
        <v>10</v>
      </c>
      <c r="G48" s="236">
        <v>2024</v>
      </c>
      <c r="H48" s="236" t="s">
        <v>651</v>
      </c>
      <c r="I48" s="237">
        <v>185.55019999999999</v>
      </c>
    </row>
    <row r="49" spans="2:9" ht="13.5" customHeight="1" x14ac:dyDescent="0.3">
      <c r="B49" s="234" t="s">
        <v>654</v>
      </c>
      <c r="C49" s="234" t="s">
        <v>655</v>
      </c>
      <c r="D49" s="235">
        <v>45962</v>
      </c>
      <c r="E49" s="236" t="s">
        <v>464</v>
      </c>
      <c r="F49" s="236">
        <v>11</v>
      </c>
      <c r="G49" s="236">
        <v>2024</v>
      </c>
      <c r="H49" s="236" t="s">
        <v>651</v>
      </c>
      <c r="I49" s="237">
        <v>215.34950000000001</v>
      </c>
    </row>
    <row r="50" spans="2:9" ht="13.5" customHeight="1" x14ac:dyDescent="0.3">
      <c r="B50" s="234" t="s">
        <v>654</v>
      </c>
      <c r="C50" s="234" t="s">
        <v>655</v>
      </c>
      <c r="D50" s="235">
        <v>45992</v>
      </c>
      <c r="E50" s="236" t="s">
        <v>650</v>
      </c>
      <c r="F50" s="236">
        <v>12</v>
      </c>
      <c r="G50" s="236">
        <v>2024</v>
      </c>
      <c r="H50" s="236" t="s">
        <v>651</v>
      </c>
      <c r="I50" s="237">
        <v>182</v>
      </c>
    </row>
    <row r="51" spans="2:9" ht="13.5" customHeight="1" x14ac:dyDescent="0.3">
      <c r="B51" s="234" t="s">
        <v>654</v>
      </c>
      <c r="C51" s="234" t="s">
        <v>655</v>
      </c>
      <c r="D51" s="235">
        <v>46023</v>
      </c>
      <c r="E51" s="236" t="s">
        <v>454</v>
      </c>
      <c r="F51" s="236">
        <v>1</v>
      </c>
      <c r="G51" s="236">
        <v>2024</v>
      </c>
      <c r="H51" s="236" t="s">
        <v>653</v>
      </c>
      <c r="I51" s="237">
        <v>184.9512</v>
      </c>
    </row>
    <row r="56" spans="2:9" ht="12.75" customHeight="1" x14ac:dyDescent="0.3">
      <c r="B56" s="233" t="s">
        <v>636</v>
      </c>
      <c r="C56" s="233" t="s">
        <v>637</v>
      </c>
      <c r="D56" s="233" t="s">
        <v>546</v>
      </c>
      <c r="E56" s="233" t="s">
        <v>37</v>
      </c>
      <c r="F56" s="233" t="s">
        <v>638</v>
      </c>
      <c r="G56" s="233" t="s">
        <v>639</v>
      </c>
      <c r="H56" s="233" t="s">
        <v>640</v>
      </c>
      <c r="I56" s="233" t="s">
        <v>641</v>
      </c>
    </row>
    <row r="57" spans="2:9" ht="13.5" customHeight="1" x14ac:dyDescent="0.3">
      <c r="B57" s="234" t="s">
        <v>656</v>
      </c>
      <c r="C57" s="234" t="s">
        <v>246</v>
      </c>
      <c r="D57" s="235">
        <v>45383</v>
      </c>
      <c r="E57" s="236" t="s">
        <v>644</v>
      </c>
      <c r="F57" s="236">
        <v>4</v>
      </c>
      <c r="G57" s="236">
        <v>2024</v>
      </c>
      <c r="H57" s="236" t="s">
        <v>645</v>
      </c>
      <c r="I57" s="237">
        <v>70.926000000000002</v>
      </c>
    </row>
    <row r="58" spans="2:9" ht="13.5" customHeight="1" x14ac:dyDescent="0.3">
      <c r="B58" s="234" t="s">
        <v>656</v>
      </c>
      <c r="C58" s="234" t="s">
        <v>246</v>
      </c>
      <c r="D58" s="235">
        <v>45413</v>
      </c>
      <c r="E58" s="236" t="s">
        <v>646</v>
      </c>
      <c r="F58" s="236">
        <v>5</v>
      </c>
      <c r="G58" s="236">
        <v>2024</v>
      </c>
      <c r="H58" s="236" t="s">
        <v>645</v>
      </c>
      <c r="I58" s="237">
        <v>74.153000000000006</v>
      </c>
    </row>
    <row r="59" spans="2:9" ht="13.5" customHeight="1" x14ac:dyDescent="0.3">
      <c r="B59" s="234" t="s">
        <v>656</v>
      </c>
      <c r="C59" s="234" t="s">
        <v>246</v>
      </c>
      <c r="D59" s="235">
        <v>45444</v>
      </c>
      <c r="E59" s="236" t="s">
        <v>459</v>
      </c>
      <c r="F59" s="236">
        <v>6</v>
      </c>
      <c r="G59" s="236">
        <v>2024</v>
      </c>
      <c r="H59" s="236" t="s">
        <v>645</v>
      </c>
      <c r="I59" s="237">
        <v>62.902000000000001</v>
      </c>
    </row>
    <row r="60" spans="2:9" ht="13.5" customHeight="1" x14ac:dyDescent="0.3">
      <c r="B60" s="234" t="s">
        <v>656</v>
      </c>
      <c r="C60" s="234" t="s">
        <v>246</v>
      </c>
      <c r="D60" s="235">
        <v>45474</v>
      </c>
      <c r="E60" s="236" t="s">
        <v>460</v>
      </c>
      <c r="F60" s="236">
        <v>7</v>
      </c>
      <c r="G60" s="236">
        <v>2024</v>
      </c>
      <c r="H60" s="236" t="s">
        <v>645</v>
      </c>
      <c r="I60" s="237">
        <v>107.0881</v>
      </c>
    </row>
    <row r="61" spans="2:9" ht="13.5" customHeight="1" x14ac:dyDescent="0.3">
      <c r="B61" s="234" t="s">
        <v>656</v>
      </c>
      <c r="C61" s="234" t="s">
        <v>246</v>
      </c>
      <c r="D61" s="235">
        <v>45505</v>
      </c>
      <c r="E61" s="236" t="s">
        <v>647</v>
      </c>
      <c r="F61" s="236">
        <v>8</v>
      </c>
      <c r="G61" s="236">
        <v>2024</v>
      </c>
      <c r="H61" s="236" t="s">
        <v>645</v>
      </c>
      <c r="I61" s="237">
        <v>51.749299999999998</v>
      </c>
    </row>
    <row r="62" spans="2:9" ht="13.5" customHeight="1" x14ac:dyDescent="0.3">
      <c r="B62" s="234" t="s">
        <v>656</v>
      </c>
      <c r="C62" s="234" t="s">
        <v>246</v>
      </c>
      <c r="D62" s="235">
        <v>45536</v>
      </c>
      <c r="E62" s="236" t="s">
        <v>648</v>
      </c>
      <c r="F62" s="236">
        <v>9</v>
      </c>
      <c r="G62" s="236">
        <v>2024</v>
      </c>
      <c r="H62" s="236" t="s">
        <v>645</v>
      </c>
      <c r="I62" s="237">
        <v>107.0198</v>
      </c>
    </row>
    <row r="63" spans="2:9" ht="13.5" customHeight="1" x14ac:dyDescent="0.3">
      <c r="B63" s="234" t="s">
        <v>656</v>
      </c>
      <c r="C63" s="234" t="s">
        <v>246</v>
      </c>
      <c r="D63" s="235">
        <v>45566</v>
      </c>
      <c r="E63" s="236" t="s">
        <v>649</v>
      </c>
      <c r="F63" s="236">
        <v>10</v>
      </c>
      <c r="G63" s="236">
        <v>2024</v>
      </c>
      <c r="H63" s="236" t="s">
        <v>645</v>
      </c>
      <c r="I63" s="237">
        <v>98.584599999999995</v>
      </c>
    </row>
    <row r="64" spans="2:9" ht="13.5" customHeight="1" x14ac:dyDescent="0.3">
      <c r="B64" s="234" t="s">
        <v>656</v>
      </c>
      <c r="C64" s="234" t="s">
        <v>246</v>
      </c>
      <c r="D64" s="235">
        <v>45597</v>
      </c>
      <c r="E64" s="236" t="s">
        <v>464</v>
      </c>
      <c r="F64" s="236">
        <v>11</v>
      </c>
      <c r="G64" s="236">
        <v>2024</v>
      </c>
      <c r="H64" s="236" t="s">
        <v>645</v>
      </c>
      <c r="I64" s="237">
        <v>119.2367</v>
      </c>
    </row>
    <row r="65" spans="2:9" ht="13.5" customHeight="1" x14ac:dyDescent="0.3">
      <c r="B65" s="234" t="s">
        <v>656</v>
      </c>
      <c r="C65" s="234" t="s">
        <v>246</v>
      </c>
      <c r="D65" s="235">
        <v>45627</v>
      </c>
      <c r="E65" s="236" t="s">
        <v>650</v>
      </c>
      <c r="F65" s="236">
        <v>12</v>
      </c>
      <c r="G65" s="236">
        <v>2024</v>
      </c>
      <c r="H65" s="236" t="s">
        <v>645</v>
      </c>
      <c r="I65" s="237">
        <v>111.13890000000001</v>
      </c>
    </row>
    <row r="66" spans="2:9" ht="13.5" customHeight="1" x14ac:dyDescent="0.3">
      <c r="B66" s="234" t="s">
        <v>656</v>
      </c>
      <c r="C66" s="234" t="s">
        <v>246</v>
      </c>
      <c r="D66" s="235">
        <v>45658</v>
      </c>
      <c r="E66" s="236" t="s">
        <v>454</v>
      </c>
      <c r="F66" s="236">
        <v>1</v>
      </c>
      <c r="G66" s="236">
        <v>2024</v>
      </c>
      <c r="H66" s="236" t="s">
        <v>651</v>
      </c>
      <c r="I66" s="237">
        <v>143.38210000000001</v>
      </c>
    </row>
    <row r="67" spans="2:9" ht="13.5" customHeight="1" x14ac:dyDescent="0.3">
      <c r="B67" s="234" t="s">
        <v>656</v>
      </c>
      <c r="C67" s="234" t="s">
        <v>246</v>
      </c>
      <c r="D67" s="235">
        <v>45689</v>
      </c>
      <c r="E67" s="236" t="s">
        <v>652</v>
      </c>
      <c r="F67" s="236">
        <v>2</v>
      </c>
      <c r="G67" s="236">
        <v>2024</v>
      </c>
      <c r="H67" s="236" t="s">
        <v>651</v>
      </c>
      <c r="I67" s="237">
        <v>121</v>
      </c>
    </row>
    <row r="68" spans="2:9" ht="13.5" customHeight="1" x14ac:dyDescent="0.3">
      <c r="B68" s="234" t="s">
        <v>656</v>
      </c>
      <c r="C68" s="234" t="s">
        <v>246</v>
      </c>
      <c r="D68" s="235">
        <v>45717</v>
      </c>
      <c r="E68" s="236" t="s">
        <v>456</v>
      </c>
      <c r="F68" s="236">
        <v>3</v>
      </c>
      <c r="G68" s="236">
        <v>2024</v>
      </c>
      <c r="H68" s="236" t="s">
        <v>651</v>
      </c>
      <c r="I68" s="237">
        <v>141.1858</v>
      </c>
    </row>
    <row r="69" spans="2:9" ht="13.5" customHeight="1" x14ac:dyDescent="0.3">
      <c r="B69" s="234" t="s">
        <v>656</v>
      </c>
      <c r="C69" s="234" t="s">
        <v>246</v>
      </c>
      <c r="D69" s="235">
        <v>45748</v>
      </c>
      <c r="E69" s="236" t="s">
        <v>644</v>
      </c>
      <c r="F69" s="236">
        <v>4</v>
      </c>
      <c r="G69" s="236">
        <v>2024</v>
      </c>
      <c r="H69" s="236" t="s">
        <v>651</v>
      </c>
      <c r="I69" s="237">
        <v>105.8031</v>
      </c>
    </row>
    <row r="70" spans="2:9" ht="13.5" customHeight="1" x14ac:dyDescent="0.3">
      <c r="B70" s="234" t="s">
        <v>656</v>
      </c>
      <c r="C70" s="234" t="s">
        <v>246</v>
      </c>
      <c r="D70" s="235">
        <v>45778</v>
      </c>
      <c r="E70" s="236" t="s">
        <v>646</v>
      </c>
      <c r="F70" s="236">
        <v>5</v>
      </c>
      <c r="G70" s="236">
        <v>2024</v>
      </c>
      <c r="H70" s="236" t="s">
        <v>651</v>
      </c>
      <c r="I70" s="237">
        <v>121.0391</v>
      </c>
    </row>
    <row r="71" spans="2:9" ht="13.5" customHeight="1" x14ac:dyDescent="0.3">
      <c r="B71" s="234" t="s">
        <v>656</v>
      </c>
      <c r="C71" s="234" t="s">
        <v>246</v>
      </c>
      <c r="D71" s="235">
        <v>45809</v>
      </c>
      <c r="E71" s="236" t="s">
        <v>459</v>
      </c>
      <c r="F71" s="236">
        <v>6</v>
      </c>
      <c r="G71" s="236">
        <v>2024</v>
      </c>
      <c r="H71" s="236" t="s">
        <v>651</v>
      </c>
      <c r="I71" s="237">
        <v>99.471599999999995</v>
      </c>
    </row>
    <row r="72" spans="2:9" ht="13.5" customHeight="1" x14ac:dyDescent="0.3">
      <c r="B72" s="234" t="s">
        <v>656</v>
      </c>
      <c r="C72" s="234" t="s">
        <v>246</v>
      </c>
      <c r="D72" s="235">
        <v>45839</v>
      </c>
      <c r="E72" s="236" t="s">
        <v>460</v>
      </c>
      <c r="F72" s="236">
        <v>7</v>
      </c>
      <c r="G72" s="236">
        <v>2024</v>
      </c>
      <c r="H72" s="236" t="s">
        <v>651</v>
      </c>
      <c r="I72" s="237">
        <v>127.0078</v>
      </c>
    </row>
    <row r="73" spans="2:9" ht="13.5" customHeight="1" x14ac:dyDescent="0.3">
      <c r="B73" s="234" t="s">
        <v>656</v>
      </c>
      <c r="C73" s="234" t="s">
        <v>246</v>
      </c>
      <c r="D73" s="235">
        <v>45870</v>
      </c>
      <c r="E73" s="236" t="s">
        <v>647</v>
      </c>
      <c r="F73" s="236">
        <v>8</v>
      </c>
      <c r="G73" s="236">
        <v>2024</v>
      </c>
      <c r="H73" s="236" t="s">
        <v>651</v>
      </c>
      <c r="I73" s="237">
        <v>135</v>
      </c>
    </row>
    <row r="74" spans="2:9" ht="13.5" customHeight="1" x14ac:dyDescent="0.3">
      <c r="B74" s="234" t="s">
        <v>656</v>
      </c>
      <c r="C74" s="234" t="s">
        <v>246</v>
      </c>
      <c r="D74" s="235">
        <v>45901</v>
      </c>
      <c r="E74" s="236" t="s">
        <v>648</v>
      </c>
      <c r="F74" s="236">
        <v>9</v>
      </c>
      <c r="G74" s="236">
        <v>2024</v>
      </c>
      <c r="H74" s="236" t="s">
        <v>651</v>
      </c>
      <c r="I74" s="237">
        <v>139.88890000000001</v>
      </c>
    </row>
    <row r="75" spans="2:9" ht="13.5" customHeight="1" x14ac:dyDescent="0.3">
      <c r="B75" s="234" t="s">
        <v>656</v>
      </c>
      <c r="C75" s="234" t="s">
        <v>246</v>
      </c>
      <c r="D75" s="235">
        <v>45931</v>
      </c>
      <c r="E75" s="236" t="s">
        <v>649</v>
      </c>
      <c r="F75" s="236">
        <v>10</v>
      </c>
      <c r="G75" s="236">
        <v>2024</v>
      </c>
      <c r="H75" s="236" t="s">
        <v>651</v>
      </c>
      <c r="I75" s="237">
        <v>128.4246</v>
      </c>
    </row>
    <row r="76" spans="2:9" ht="13.5" customHeight="1" x14ac:dyDescent="0.3">
      <c r="B76" s="234" t="s">
        <v>656</v>
      </c>
      <c r="C76" s="234" t="s">
        <v>246</v>
      </c>
      <c r="D76" s="235">
        <v>45962</v>
      </c>
      <c r="E76" s="236" t="s">
        <v>464</v>
      </c>
      <c r="F76" s="236">
        <v>11</v>
      </c>
      <c r="G76" s="236">
        <v>2024</v>
      </c>
      <c r="H76" s="236" t="s">
        <v>651</v>
      </c>
      <c r="I76" s="237">
        <v>153.30719999999999</v>
      </c>
    </row>
    <row r="77" spans="2:9" ht="13.5" customHeight="1" x14ac:dyDescent="0.3">
      <c r="B77" s="234" t="s">
        <v>656</v>
      </c>
      <c r="C77" s="234" t="s">
        <v>246</v>
      </c>
      <c r="D77" s="235">
        <v>45992</v>
      </c>
      <c r="E77" s="236" t="s">
        <v>650</v>
      </c>
      <c r="F77" s="236">
        <v>12</v>
      </c>
      <c r="G77" s="236">
        <v>2024</v>
      </c>
      <c r="H77" s="236" t="s">
        <v>651</v>
      </c>
      <c r="I77" s="237">
        <v>130</v>
      </c>
    </row>
    <row r="78" spans="2:9" ht="13.5" customHeight="1" x14ac:dyDescent="0.3">
      <c r="B78" s="234" t="s">
        <v>656</v>
      </c>
      <c r="C78" s="234" t="s">
        <v>246</v>
      </c>
      <c r="D78" s="235">
        <v>46023</v>
      </c>
      <c r="E78" s="236" t="s">
        <v>454</v>
      </c>
      <c r="F78" s="236">
        <v>1</v>
      </c>
      <c r="G78" s="236">
        <v>2024</v>
      </c>
      <c r="H78" s="236" t="s">
        <v>653</v>
      </c>
      <c r="I78" s="237">
        <v>131.6157</v>
      </c>
    </row>
    <row r="84" spans="2:11" ht="13.5" customHeight="1" x14ac:dyDescent="0.3">
      <c r="B84" s="201" t="s">
        <v>657</v>
      </c>
    </row>
    <row r="85" spans="2:11" ht="12.75" customHeight="1" x14ac:dyDescent="0.3">
      <c r="B85" s="233" t="s">
        <v>636</v>
      </c>
      <c r="C85" s="233" t="s">
        <v>637</v>
      </c>
      <c r="D85" s="233" t="s">
        <v>658</v>
      </c>
      <c r="E85" s="233" t="s">
        <v>659</v>
      </c>
      <c r="F85" s="233" t="s">
        <v>660</v>
      </c>
      <c r="G85" s="233" t="s">
        <v>639</v>
      </c>
      <c r="H85" s="233" t="s">
        <v>640</v>
      </c>
      <c r="I85" s="233" t="s">
        <v>661</v>
      </c>
      <c r="J85" s="233" t="s">
        <v>662</v>
      </c>
      <c r="K85" s="233" t="s">
        <v>663</v>
      </c>
    </row>
    <row r="86" spans="2:11" ht="13.5" customHeight="1" x14ac:dyDescent="0.3">
      <c r="B86" s="234" t="s">
        <v>642</v>
      </c>
      <c r="C86" s="236" t="s">
        <v>643</v>
      </c>
      <c r="D86" s="235">
        <v>45444</v>
      </c>
      <c r="E86" s="236" t="s">
        <v>459</v>
      </c>
      <c r="F86" s="236">
        <v>2024</v>
      </c>
      <c r="G86" s="236">
        <v>2024</v>
      </c>
      <c r="H86" s="236" t="s">
        <v>645</v>
      </c>
      <c r="I86" s="238">
        <v>0</v>
      </c>
      <c r="J86" s="239">
        <v>0.54669999999999996</v>
      </c>
      <c r="K86" s="236" t="s">
        <v>664</v>
      </c>
    </row>
    <row r="87" spans="2:11" ht="13.5" customHeight="1" x14ac:dyDescent="0.3">
      <c r="B87" s="234" t="s">
        <v>642</v>
      </c>
      <c r="C87" s="236" t="s">
        <v>643</v>
      </c>
      <c r="D87" s="235">
        <v>45536</v>
      </c>
      <c r="E87" s="236" t="s">
        <v>648</v>
      </c>
      <c r="F87" s="236">
        <v>2024</v>
      </c>
      <c r="G87" s="236">
        <v>2024</v>
      </c>
      <c r="H87" s="236" t="s">
        <v>645</v>
      </c>
      <c r="I87" s="238">
        <v>0</v>
      </c>
      <c r="J87" s="239">
        <v>0.7026</v>
      </c>
      <c r="K87" s="236" t="s">
        <v>664</v>
      </c>
    </row>
    <row r="88" spans="2:11" ht="13.5" customHeight="1" x14ac:dyDescent="0.3">
      <c r="B88" s="234" t="s">
        <v>642</v>
      </c>
      <c r="C88" s="236" t="s">
        <v>643</v>
      </c>
      <c r="D88" s="235">
        <v>45597</v>
      </c>
      <c r="E88" s="236" t="s">
        <v>464</v>
      </c>
      <c r="F88" s="236">
        <v>2024</v>
      </c>
      <c r="G88" s="236">
        <v>2024</v>
      </c>
      <c r="H88" s="236" t="s">
        <v>645</v>
      </c>
      <c r="I88" s="238">
        <v>0</v>
      </c>
      <c r="J88" s="239">
        <v>0.73099999999999998</v>
      </c>
      <c r="K88" s="236" t="s">
        <v>664</v>
      </c>
    </row>
    <row r="89" spans="2:11" ht="13.5" customHeight="1" x14ac:dyDescent="0.3">
      <c r="B89" s="234" t="s">
        <v>642</v>
      </c>
      <c r="C89" s="236" t="s">
        <v>643</v>
      </c>
      <c r="D89" s="235">
        <v>45717</v>
      </c>
      <c r="E89" s="236" t="s">
        <v>456</v>
      </c>
      <c r="F89" s="236">
        <v>2025</v>
      </c>
      <c r="G89" s="236">
        <v>2024</v>
      </c>
      <c r="H89" s="236" t="s">
        <v>651</v>
      </c>
      <c r="I89" s="238">
        <v>0</v>
      </c>
      <c r="J89" s="239">
        <v>0.74860000000000004</v>
      </c>
      <c r="K89" s="236" t="s">
        <v>664</v>
      </c>
    </row>
    <row r="93" spans="2:11" ht="12.75" customHeight="1" x14ac:dyDescent="0.3">
      <c r="B93" s="233" t="s">
        <v>636</v>
      </c>
      <c r="C93" s="233" t="s">
        <v>637</v>
      </c>
      <c r="D93" s="233" t="s">
        <v>658</v>
      </c>
      <c r="E93" s="233" t="s">
        <v>659</v>
      </c>
      <c r="F93" s="233" t="s">
        <v>660</v>
      </c>
      <c r="G93" s="233" t="s">
        <v>639</v>
      </c>
      <c r="H93" s="233" t="s">
        <v>640</v>
      </c>
      <c r="I93" s="233" t="s">
        <v>661</v>
      </c>
      <c r="J93" s="233" t="s">
        <v>662</v>
      </c>
      <c r="K93" s="233" t="s">
        <v>663</v>
      </c>
    </row>
    <row r="94" spans="2:11" ht="13.5" customHeight="1" x14ac:dyDescent="0.3">
      <c r="B94" s="234" t="s">
        <v>654</v>
      </c>
      <c r="C94" s="236" t="s">
        <v>655</v>
      </c>
      <c r="D94" s="235">
        <v>45536</v>
      </c>
      <c r="E94" s="236" t="s">
        <v>648</v>
      </c>
      <c r="F94" s="236">
        <v>2024</v>
      </c>
      <c r="G94" s="236">
        <v>2024</v>
      </c>
      <c r="H94" s="236" t="s">
        <v>645</v>
      </c>
      <c r="I94" s="238">
        <v>0</v>
      </c>
      <c r="J94" s="239">
        <v>0.71750000000000003</v>
      </c>
      <c r="K94" s="236" t="s">
        <v>664</v>
      </c>
    </row>
    <row r="95" spans="2:11" ht="13.5" customHeight="1" x14ac:dyDescent="0.3">
      <c r="B95" s="234" t="s">
        <v>654</v>
      </c>
      <c r="C95" s="236" t="s">
        <v>655</v>
      </c>
      <c r="D95" s="235">
        <v>45597</v>
      </c>
      <c r="E95" s="236" t="s">
        <v>464</v>
      </c>
      <c r="F95" s="236">
        <v>2024</v>
      </c>
      <c r="G95" s="236">
        <v>2024</v>
      </c>
      <c r="H95" s="236" t="s">
        <v>645</v>
      </c>
      <c r="I95" s="238">
        <v>0</v>
      </c>
      <c r="J95" s="239">
        <v>0.79490000000000005</v>
      </c>
      <c r="K95" s="236" t="s">
        <v>664</v>
      </c>
    </row>
    <row r="96" spans="2:11" ht="13.5" customHeight="1" x14ac:dyDescent="0.3">
      <c r="B96" s="234" t="s">
        <v>654</v>
      </c>
      <c r="C96" s="236" t="s">
        <v>655</v>
      </c>
      <c r="D96" s="235">
        <v>45717</v>
      </c>
      <c r="E96" s="236" t="s">
        <v>456</v>
      </c>
      <c r="F96" s="236">
        <v>2025</v>
      </c>
      <c r="G96" s="236">
        <v>2024</v>
      </c>
      <c r="H96" s="236" t="s">
        <v>651</v>
      </c>
      <c r="I96" s="238">
        <v>0</v>
      </c>
      <c r="J96" s="239">
        <v>0.79900000000000004</v>
      </c>
      <c r="K96" s="236" t="s">
        <v>664</v>
      </c>
    </row>
    <row r="99" spans="2:11" ht="12.75" customHeight="1" x14ac:dyDescent="0.3">
      <c r="B99" s="233" t="s">
        <v>636</v>
      </c>
      <c r="C99" s="233" t="s">
        <v>637</v>
      </c>
      <c r="D99" s="233" t="s">
        <v>658</v>
      </c>
      <c r="E99" s="233" t="s">
        <v>659</v>
      </c>
      <c r="F99" s="233" t="s">
        <v>660</v>
      </c>
      <c r="G99" s="233" t="s">
        <v>639</v>
      </c>
      <c r="H99" s="233" t="s">
        <v>640</v>
      </c>
      <c r="I99" s="233" t="s">
        <v>661</v>
      </c>
      <c r="J99" s="233" t="s">
        <v>662</v>
      </c>
      <c r="K99" s="233" t="s">
        <v>663</v>
      </c>
    </row>
    <row r="100" spans="2:11" ht="13.5" customHeight="1" x14ac:dyDescent="0.3">
      <c r="B100" s="234" t="s">
        <v>656</v>
      </c>
      <c r="C100" s="236" t="s">
        <v>246</v>
      </c>
      <c r="D100" s="235">
        <v>45536</v>
      </c>
      <c r="E100" s="236" t="s">
        <v>648</v>
      </c>
      <c r="F100" s="236">
        <v>2024</v>
      </c>
      <c r="G100" s="236">
        <v>2024</v>
      </c>
      <c r="H100" s="236" t="s">
        <v>645</v>
      </c>
      <c r="I100" s="238">
        <v>0</v>
      </c>
      <c r="J100" s="239">
        <v>0.57150000000000001</v>
      </c>
      <c r="K100" s="236" t="s">
        <v>664</v>
      </c>
    </row>
    <row r="101" spans="2:11" ht="13.5" customHeight="1" x14ac:dyDescent="0.3">
      <c r="B101" s="234" t="s">
        <v>656</v>
      </c>
      <c r="C101" s="236" t="s">
        <v>246</v>
      </c>
      <c r="D101" s="235">
        <v>45597</v>
      </c>
      <c r="E101" s="236" t="s">
        <v>464</v>
      </c>
      <c r="F101" s="236">
        <v>2024</v>
      </c>
      <c r="G101" s="236">
        <v>2024</v>
      </c>
      <c r="H101" s="236" t="s">
        <v>645</v>
      </c>
      <c r="I101" s="238">
        <v>0</v>
      </c>
      <c r="J101" s="239">
        <v>0.79710000000000003</v>
      </c>
      <c r="K101" s="236" t="s">
        <v>664</v>
      </c>
    </row>
    <row r="102" spans="2:11" ht="13.5" customHeight="1" x14ac:dyDescent="0.3">
      <c r="B102" s="234" t="s">
        <v>656</v>
      </c>
      <c r="C102" s="236" t="s">
        <v>246</v>
      </c>
      <c r="D102" s="235">
        <v>45717</v>
      </c>
      <c r="E102" s="236" t="s">
        <v>456</v>
      </c>
      <c r="F102" s="236">
        <v>2025</v>
      </c>
      <c r="G102" s="236">
        <v>2024</v>
      </c>
      <c r="H102" s="236" t="s">
        <v>651</v>
      </c>
      <c r="I102" s="238">
        <v>0</v>
      </c>
      <c r="J102" s="239">
        <v>0.80010000000000003</v>
      </c>
      <c r="K102" s="236" t="s">
        <v>664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9E7FD"/>
  </sheetPr>
  <dimension ref="A2:AJ16"/>
  <sheetViews>
    <sheetView topLeftCell="I1" zoomScaleNormal="100" workbookViewId="0">
      <selection activeCell="Y14" sqref="Y14"/>
    </sheetView>
  </sheetViews>
  <sheetFormatPr defaultColWidth="8.54296875" defaultRowHeight="13" x14ac:dyDescent="0.3"/>
  <cols>
    <col min="1" max="1" width="8.54296875" style="201"/>
    <col min="2" max="2" width="16.453125" style="201" customWidth="1"/>
    <col min="3" max="9" width="8.54296875" style="201"/>
    <col min="10" max="10" width="7.54296875" style="201" customWidth="1"/>
    <col min="11" max="21" width="8.54296875" style="201"/>
    <col min="22" max="22" width="25.453125" style="201" customWidth="1"/>
    <col min="23" max="33" width="8.54296875" style="201"/>
    <col min="34" max="34" width="11.54296875" style="201" customWidth="1"/>
    <col min="35" max="35" width="133.54296875" style="201" customWidth="1"/>
    <col min="36" max="16384" width="8.54296875" style="201"/>
  </cols>
  <sheetData>
    <row r="2" spans="1:36" ht="13.5" customHeight="1" x14ac:dyDescent="0.3">
      <c r="J2" s="201">
        <f>+COUNTA($B$5:J5)</f>
        <v>9</v>
      </c>
      <c r="K2" s="201">
        <f>+COUNTA($B$5:K5)</f>
        <v>10</v>
      </c>
      <c r="L2" s="201">
        <f>+COUNTA($B$5:L5)</f>
        <v>11</v>
      </c>
      <c r="M2" s="201">
        <f>+COUNTA($B$5:M5)</f>
        <v>12</v>
      </c>
      <c r="N2" s="201">
        <f>+COUNTA($B$5:N5)</f>
        <v>13</v>
      </c>
      <c r="O2" s="201">
        <f>+COUNTA($B$5:O5)</f>
        <v>14</v>
      </c>
      <c r="P2" s="201">
        <f>+COUNTA($B$5:P5)</f>
        <v>15</v>
      </c>
      <c r="Q2" s="201">
        <f>+COUNTA($B$5:Q5)</f>
        <v>16</v>
      </c>
      <c r="R2" s="201">
        <f>+COUNTA($B$5:R5)</f>
        <v>17</v>
      </c>
      <c r="S2" s="201">
        <f>+COUNTA($B$5:S5)</f>
        <v>18</v>
      </c>
      <c r="T2" s="201">
        <f>+COUNTA($B$5:T5)</f>
        <v>19</v>
      </c>
      <c r="U2" s="201">
        <f>+COUNTA($B$5:U5)</f>
        <v>20</v>
      </c>
    </row>
    <row r="3" spans="1:36" ht="12.75" customHeight="1" x14ac:dyDescent="0.3">
      <c r="B3" s="209" t="s">
        <v>665</v>
      </c>
      <c r="J3" s="240" t="s">
        <v>454</v>
      </c>
      <c r="K3" s="240" t="s">
        <v>455</v>
      </c>
      <c r="L3" s="240" t="s">
        <v>456</v>
      </c>
      <c r="M3" s="240" t="s">
        <v>457</v>
      </c>
      <c r="N3" s="240" t="s">
        <v>458</v>
      </c>
      <c r="O3" s="240" t="s">
        <v>459</v>
      </c>
      <c r="P3" s="240" t="s">
        <v>460</v>
      </c>
      <c r="Q3" s="240" t="s">
        <v>461</v>
      </c>
      <c r="R3" s="240" t="s">
        <v>462</v>
      </c>
      <c r="S3" s="240" t="s">
        <v>463</v>
      </c>
      <c r="T3" s="240" t="s">
        <v>464</v>
      </c>
      <c r="U3" s="240" t="s">
        <v>465</v>
      </c>
    </row>
    <row r="4" spans="1:36" s="230" customFormat="1" ht="12.75" customHeight="1" x14ac:dyDescent="0.3">
      <c r="A4" s="233" t="s">
        <v>636</v>
      </c>
      <c r="B4" s="233" t="s">
        <v>637</v>
      </c>
      <c r="C4" s="233" t="s">
        <v>251</v>
      </c>
      <c r="D4" s="233" t="s">
        <v>663</v>
      </c>
      <c r="E4" s="233" t="s">
        <v>666</v>
      </c>
      <c r="F4" s="233" t="s">
        <v>667</v>
      </c>
      <c r="G4" s="233" t="s">
        <v>668</v>
      </c>
      <c r="H4" s="233" t="s">
        <v>639</v>
      </c>
      <c r="I4" s="233" t="s">
        <v>640</v>
      </c>
      <c r="J4" s="233" t="s">
        <v>669</v>
      </c>
      <c r="K4" s="233" t="s">
        <v>670</v>
      </c>
      <c r="L4" s="233" t="s">
        <v>671</v>
      </c>
      <c r="M4" s="233" t="s">
        <v>672</v>
      </c>
      <c r="N4" s="233" t="s">
        <v>673</v>
      </c>
      <c r="O4" s="233" t="s">
        <v>674</v>
      </c>
      <c r="P4" s="233" t="s">
        <v>675</v>
      </c>
      <c r="Q4" s="233" t="s">
        <v>676</v>
      </c>
      <c r="R4" s="233" t="s">
        <v>677</v>
      </c>
      <c r="S4" s="233" t="s">
        <v>678</v>
      </c>
      <c r="T4" s="233" t="s">
        <v>679</v>
      </c>
      <c r="U4" s="233" t="s">
        <v>680</v>
      </c>
      <c r="V4" s="233" t="s">
        <v>681</v>
      </c>
      <c r="W4" s="233" t="s">
        <v>682</v>
      </c>
      <c r="X4" s="233" t="s">
        <v>683</v>
      </c>
      <c r="Y4" s="233" t="s">
        <v>684</v>
      </c>
      <c r="Z4" s="233" t="s">
        <v>685</v>
      </c>
      <c r="AA4" s="233" t="s">
        <v>686</v>
      </c>
      <c r="AB4" s="233" t="s">
        <v>687</v>
      </c>
      <c r="AC4" s="233" t="s">
        <v>688</v>
      </c>
      <c r="AD4" s="233" t="s">
        <v>689</v>
      </c>
      <c r="AE4" s="233" t="s">
        <v>690</v>
      </c>
      <c r="AF4" s="233" t="s">
        <v>691</v>
      </c>
      <c r="AG4" s="233" t="s">
        <v>692</v>
      </c>
      <c r="AH4" s="233" t="s">
        <v>693</v>
      </c>
      <c r="AI4" s="233" t="s">
        <v>694</v>
      </c>
      <c r="AJ4" s="233" t="s">
        <v>695</v>
      </c>
    </row>
    <row r="5" spans="1:36" s="251" customFormat="1" ht="12.75" customHeight="1" x14ac:dyDescent="0.3">
      <c r="A5" s="241" t="s">
        <v>642</v>
      </c>
      <c r="B5" s="242" t="s">
        <v>643</v>
      </c>
      <c r="C5" s="242" t="s">
        <v>696</v>
      </c>
      <c r="D5" s="242" t="s">
        <v>697</v>
      </c>
      <c r="E5" s="242" t="s">
        <v>698</v>
      </c>
      <c r="F5" s="243">
        <v>500</v>
      </c>
      <c r="G5" s="243">
        <v>626.4</v>
      </c>
      <c r="H5" s="244">
        <v>2024</v>
      </c>
      <c r="I5" s="244">
        <v>2</v>
      </c>
      <c r="J5" s="245">
        <v>105.88</v>
      </c>
      <c r="K5" s="245">
        <v>109.34</v>
      </c>
      <c r="L5" s="245">
        <v>120.94</v>
      </c>
      <c r="M5" s="245">
        <v>113.72</v>
      </c>
      <c r="N5" s="245">
        <v>105.37</v>
      </c>
      <c r="O5" s="245">
        <v>89.608999999999995</v>
      </c>
      <c r="P5" s="245">
        <v>99.212000000000003</v>
      </c>
      <c r="Q5" s="245">
        <v>121.11</v>
      </c>
      <c r="R5" s="245">
        <v>114.6</v>
      </c>
      <c r="S5" s="245">
        <v>118.18</v>
      </c>
      <c r="T5" s="245">
        <v>107.05</v>
      </c>
      <c r="U5" s="245">
        <v>116.84</v>
      </c>
      <c r="V5" s="243">
        <v>1330.5530000000001</v>
      </c>
      <c r="W5" s="243">
        <v>1321.8510000000001</v>
      </c>
      <c r="X5" s="246">
        <v>3.0830000000000002</v>
      </c>
      <c r="Y5" s="243">
        <v>1278.0051643438101</v>
      </c>
      <c r="Z5" s="243">
        <v>1269.64683443127</v>
      </c>
      <c r="AA5" s="243">
        <v>1198.240747437</v>
      </c>
      <c r="AB5" s="247">
        <v>0.81885833333333302</v>
      </c>
      <c r="AC5" s="247">
        <v>0.81344166666666695</v>
      </c>
      <c r="AD5" s="243">
        <v>2110.2346743295002</v>
      </c>
      <c r="AE5" s="247">
        <v>0.301792465753425</v>
      </c>
      <c r="AF5" s="248" t="s">
        <v>699</v>
      </c>
      <c r="AG5" s="248" t="s">
        <v>700</v>
      </c>
      <c r="AH5" s="249">
        <v>45993</v>
      </c>
      <c r="AI5" s="248" t="s">
        <v>701</v>
      </c>
      <c r="AJ5" s="250" t="s">
        <v>702</v>
      </c>
    </row>
    <row r="6" spans="1:36" s="251" customFormat="1" ht="12.75" customHeight="1" x14ac:dyDescent="0.3">
      <c r="A6" s="241" t="s">
        <v>654</v>
      </c>
      <c r="B6" s="242" t="s">
        <v>655</v>
      </c>
      <c r="C6" s="242" t="s">
        <v>696</v>
      </c>
      <c r="D6" s="242" t="s">
        <v>697</v>
      </c>
      <c r="E6" s="242" t="s">
        <v>698</v>
      </c>
      <c r="F6" s="243">
        <v>875</v>
      </c>
      <c r="G6" s="243">
        <v>1127.52</v>
      </c>
      <c r="H6" s="244">
        <v>2024</v>
      </c>
      <c r="I6" s="244">
        <v>2</v>
      </c>
      <c r="J6" s="245">
        <v>189.47</v>
      </c>
      <c r="K6" s="245">
        <v>194.28</v>
      </c>
      <c r="L6" s="245">
        <v>214.77</v>
      </c>
      <c r="M6" s="245">
        <v>202.63</v>
      </c>
      <c r="N6" s="245">
        <v>189.07</v>
      </c>
      <c r="O6" s="245">
        <v>171.58</v>
      </c>
      <c r="P6" s="245">
        <v>181</v>
      </c>
      <c r="Q6" s="245">
        <v>217.01</v>
      </c>
      <c r="R6" s="245">
        <v>204.19</v>
      </c>
      <c r="S6" s="245">
        <v>181</v>
      </c>
      <c r="T6" s="245">
        <v>203.55</v>
      </c>
      <c r="U6" s="245">
        <v>207.27</v>
      </c>
      <c r="V6" s="243">
        <v>2369.92</v>
      </c>
      <c r="W6" s="243">
        <v>2355.8200000000002</v>
      </c>
      <c r="X6" s="246">
        <v>3.0830000000000002</v>
      </c>
      <c r="Y6" s="243">
        <v>2276.3242043584</v>
      </c>
      <c r="Z6" s="243">
        <v>2262.7810589013998</v>
      </c>
      <c r="AA6" s="243">
        <v>2135.52020434</v>
      </c>
      <c r="AB6" s="247">
        <v>0.81225000000000003</v>
      </c>
      <c r="AC6" s="247">
        <v>0.80731666666666702</v>
      </c>
      <c r="AD6" s="243">
        <v>2089.3820065276</v>
      </c>
      <c r="AE6" s="247">
        <v>0.30734768427919101</v>
      </c>
      <c r="AF6" s="248" t="s">
        <v>699</v>
      </c>
      <c r="AG6" s="248" t="s">
        <v>703</v>
      </c>
      <c r="AH6" s="249">
        <v>45993</v>
      </c>
      <c r="AI6" s="248" t="s">
        <v>701</v>
      </c>
      <c r="AJ6" s="250" t="s">
        <v>702</v>
      </c>
    </row>
    <row r="7" spans="1:36" s="251" customFormat="1" ht="12.75" customHeight="1" x14ac:dyDescent="0.3">
      <c r="A7" s="241" t="s">
        <v>656</v>
      </c>
      <c r="B7" s="242" t="s">
        <v>246</v>
      </c>
      <c r="C7" s="242" t="s">
        <v>696</v>
      </c>
      <c r="D7" s="242" t="s">
        <v>697</v>
      </c>
      <c r="E7" s="242" t="s">
        <v>698</v>
      </c>
      <c r="F7" s="243">
        <v>625</v>
      </c>
      <c r="G7" s="243">
        <v>814.32</v>
      </c>
      <c r="H7" s="244">
        <v>2024</v>
      </c>
      <c r="I7" s="244">
        <v>2</v>
      </c>
      <c r="J7" s="245">
        <v>143.13999999999999</v>
      </c>
      <c r="K7" s="245">
        <v>127.55</v>
      </c>
      <c r="L7" s="245">
        <v>146.30000000000001</v>
      </c>
      <c r="M7" s="245">
        <v>145.97999999999999</v>
      </c>
      <c r="N7" s="245">
        <v>136.62</v>
      </c>
      <c r="O7" s="245">
        <v>123.99</v>
      </c>
      <c r="P7" s="245">
        <v>130.51</v>
      </c>
      <c r="Q7" s="245">
        <v>156.66999999999999</v>
      </c>
      <c r="R7" s="245">
        <v>147.01</v>
      </c>
      <c r="S7" s="245">
        <v>151.08000000000001</v>
      </c>
      <c r="T7" s="245">
        <v>146.08000000000001</v>
      </c>
      <c r="U7" s="245">
        <v>138.71</v>
      </c>
      <c r="V7" s="243">
        <v>1703.67</v>
      </c>
      <c r="W7" s="243">
        <v>1693.64</v>
      </c>
      <c r="X7" s="246">
        <v>3.0830000000000002</v>
      </c>
      <c r="Y7" s="243">
        <v>1636.3865688459</v>
      </c>
      <c r="Z7" s="243">
        <v>1626.7526859428001</v>
      </c>
      <c r="AA7" s="243">
        <v>1535.26264268</v>
      </c>
      <c r="AB7" s="247">
        <v>0.80774999999999997</v>
      </c>
      <c r="AC7" s="247">
        <v>0.80291666666666694</v>
      </c>
      <c r="AD7" s="243">
        <v>2079.8212005108599</v>
      </c>
      <c r="AE7" s="247">
        <v>0.30934063926940603</v>
      </c>
      <c r="AF7" s="248" t="s">
        <v>699</v>
      </c>
      <c r="AG7" s="248" t="s">
        <v>704</v>
      </c>
      <c r="AH7" s="249">
        <v>45993</v>
      </c>
      <c r="AI7" s="248" t="s">
        <v>701</v>
      </c>
      <c r="AJ7" s="250" t="s">
        <v>702</v>
      </c>
    </row>
    <row r="12" spans="1:36" ht="28.5" customHeight="1" x14ac:dyDescent="0.3">
      <c r="B12" s="209" t="s">
        <v>705</v>
      </c>
      <c r="J12" s="240" t="s">
        <v>454</v>
      </c>
      <c r="K12" s="240" t="s">
        <v>455</v>
      </c>
      <c r="L12" s="240" t="s">
        <v>456</v>
      </c>
      <c r="M12" s="240" t="s">
        <v>457</v>
      </c>
      <c r="N12" s="240" t="s">
        <v>458</v>
      </c>
      <c r="O12" s="240" t="s">
        <v>459</v>
      </c>
      <c r="P12" s="240" t="s">
        <v>460</v>
      </c>
      <c r="Q12" s="240" t="s">
        <v>461</v>
      </c>
      <c r="R12" s="240" t="s">
        <v>462</v>
      </c>
      <c r="S12" s="240" t="s">
        <v>463</v>
      </c>
      <c r="T12" s="240" t="s">
        <v>464</v>
      </c>
      <c r="U12" s="240" t="s">
        <v>465</v>
      </c>
      <c r="V12" s="233" t="s">
        <v>706</v>
      </c>
      <c r="W12" s="252" t="s">
        <v>707</v>
      </c>
      <c r="X12" s="252" t="s">
        <v>708</v>
      </c>
    </row>
    <row r="13" spans="1:36" ht="12.75" customHeight="1" x14ac:dyDescent="0.3">
      <c r="A13" s="233" t="s">
        <v>636</v>
      </c>
      <c r="B13" s="233" t="s">
        <v>637</v>
      </c>
      <c r="C13" s="233" t="s">
        <v>251</v>
      </c>
      <c r="D13" s="233" t="s">
        <v>663</v>
      </c>
      <c r="E13" s="233" t="s">
        <v>666</v>
      </c>
      <c r="F13" s="233" t="s">
        <v>667</v>
      </c>
      <c r="G13" s="233" t="s">
        <v>668</v>
      </c>
      <c r="H13" s="233" t="s">
        <v>639</v>
      </c>
      <c r="I13" s="233" t="s">
        <v>640</v>
      </c>
      <c r="J13" s="233" t="s">
        <v>669</v>
      </c>
      <c r="K13" s="233" t="s">
        <v>670</v>
      </c>
      <c r="L13" s="233" t="s">
        <v>671</v>
      </c>
      <c r="M13" s="233" t="s">
        <v>672</v>
      </c>
      <c r="N13" s="233" t="s">
        <v>673</v>
      </c>
      <c r="O13" s="233" t="s">
        <v>674</v>
      </c>
      <c r="P13" s="233" t="s">
        <v>675</v>
      </c>
      <c r="Q13" s="233" t="s">
        <v>676</v>
      </c>
      <c r="R13" s="233" t="s">
        <v>677</v>
      </c>
      <c r="S13" s="233" t="s">
        <v>678</v>
      </c>
      <c r="T13" s="233" t="s">
        <v>679</v>
      </c>
      <c r="U13" s="233" t="s">
        <v>680</v>
      </c>
      <c r="V13" s="233" t="s">
        <v>706</v>
      </c>
    </row>
    <row r="14" spans="1:36" ht="23.25" customHeight="1" x14ac:dyDescent="0.3">
      <c r="A14" s="241" t="s">
        <v>642</v>
      </c>
      <c r="B14" s="242" t="s">
        <v>643</v>
      </c>
      <c r="C14" s="242" t="s">
        <v>696</v>
      </c>
      <c r="D14" s="242" t="s">
        <v>697</v>
      </c>
      <c r="E14" s="242" t="s">
        <v>698</v>
      </c>
      <c r="F14" s="243">
        <v>500</v>
      </c>
      <c r="G14" s="243">
        <v>626.4</v>
      </c>
      <c r="H14" s="244">
        <v>2024</v>
      </c>
      <c r="I14" s="244">
        <v>2</v>
      </c>
      <c r="V14" s="243"/>
    </row>
    <row r="15" spans="1:36" ht="23.25" customHeight="1" x14ac:dyDescent="0.3">
      <c r="A15" s="241" t="s">
        <v>654</v>
      </c>
      <c r="B15" s="242" t="s">
        <v>655</v>
      </c>
      <c r="C15" s="242" t="s">
        <v>696</v>
      </c>
      <c r="D15" s="242" t="s">
        <v>697</v>
      </c>
      <c r="E15" s="242" t="s">
        <v>698</v>
      </c>
      <c r="F15" s="243">
        <v>875</v>
      </c>
      <c r="G15" s="243">
        <v>1127.52</v>
      </c>
      <c r="H15" s="244">
        <v>2024</v>
      </c>
      <c r="I15" s="244">
        <v>2</v>
      </c>
      <c r="J15" s="245">
        <v>188.55</v>
      </c>
      <c r="K15" s="245">
        <v>166</v>
      </c>
      <c r="L15" s="245">
        <v>193.42939999999999</v>
      </c>
      <c r="M15" s="245">
        <v>144.13460000000001</v>
      </c>
      <c r="N15" s="245">
        <v>158.6377</v>
      </c>
      <c r="O15" s="245">
        <v>128.6395</v>
      </c>
      <c r="P15" s="245">
        <v>178.34549999999999</v>
      </c>
      <c r="Q15" s="245">
        <v>190.73480000000001</v>
      </c>
      <c r="R15" s="245">
        <v>200.2328</v>
      </c>
      <c r="S15" s="245">
        <v>185.55019999999999</v>
      </c>
      <c r="T15" s="245">
        <v>215.34950000000001</v>
      </c>
      <c r="U15" s="245">
        <v>181.5256</v>
      </c>
      <c r="V15" s="243">
        <v>2131.1296000000002</v>
      </c>
      <c r="W15" s="245">
        <v>184.9512</v>
      </c>
      <c r="X15" s="245">
        <v>157.43899999999999</v>
      </c>
    </row>
    <row r="16" spans="1:36" ht="23.25" customHeight="1" x14ac:dyDescent="0.3">
      <c r="A16" s="241" t="s">
        <v>656</v>
      </c>
      <c r="B16" s="242" t="s">
        <v>246</v>
      </c>
      <c r="C16" s="242" t="s">
        <v>696</v>
      </c>
      <c r="D16" s="242" t="s">
        <v>697</v>
      </c>
      <c r="E16" s="242" t="s">
        <v>698</v>
      </c>
      <c r="F16" s="243">
        <v>625</v>
      </c>
      <c r="G16" s="243">
        <v>814.32</v>
      </c>
      <c r="H16" s="244">
        <v>2024</v>
      </c>
      <c r="I16" s="244">
        <v>2</v>
      </c>
      <c r="J16" s="245">
        <v>143.47999999999999</v>
      </c>
      <c r="K16" s="245">
        <v>121</v>
      </c>
      <c r="L16" s="245">
        <v>141.1858</v>
      </c>
      <c r="M16" s="245">
        <v>105.1116</v>
      </c>
      <c r="N16" s="245">
        <v>121.0391</v>
      </c>
      <c r="O16" s="245">
        <v>99.471599999999995</v>
      </c>
      <c r="P16" s="245">
        <v>127.0078</v>
      </c>
      <c r="Q16" s="245">
        <v>134.7817</v>
      </c>
      <c r="R16" s="245">
        <v>139.88890000000001</v>
      </c>
      <c r="S16" s="245">
        <v>128.4246</v>
      </c>
      <c r="T16" s="245">
        <v>153.30719999999999</v>
      </c>
      <c r="U16" s="245">
        <v>130.39959999999999</v>
      </c>
      <c r="V16" s="243">
        <v>1545.0979</v>
      </c>
      <c r="W16" s="245">
        <v>131.6157</v>
      </c>
      <c r="X16" s="245">
        <v>110.621</v>
      </c>
    </row>
  </sheetData>
  <hyperlinks>
    <hyperlink ref="AJ5" r:id="rId1" xr:uid="{00000000-0004-0000-0D00-000000000000}"/>
    <hyperlink ref="AJ6" r:id="rId2" xr:uid="{00000000-0004-0000-0D00-000001000000}"/>
    <hyperlink ref="AJ7" r:id="rId3" xr:uid="{00000000-0004-0000-0D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3F1DB"/>
  </sheetPr>
  <dimension ref="A1:AC4"/>
  <sheetViews>
    <sheetView zoomScaleNormal="100" workbookViewId="0">
      <selection activeCell="M24" sqref="M24"/>
    </sheetView>
  </sheetViews>
  <sheetFormatPr defaultColWidth="12.54296875" defaultRowHeight="13" x14ac:dyDescent="0.3"/>
  <cols>
    <col min="1" max="1" width="17.54296875" style="201" customWidth="1"/>
    <col min="2" max="2" width="8.54296875" style="201" customWidth="1"/>
    <col min="3" max="3" width="8" style="201" customWidth="1"/>
    <col min="4" max="4" width="15.453125" style="201" customWidth="1"/>
    <col min="5" max="5" width="10.54296875" style="201" customWidth="1"/>
    <col min="6" max="6" width="9.453125" style="201" customWidth="1"/>
    <col min="7" max="7" width="17.26953125" style="201" customWidth="1"/>
    <col min="8" max="8" width="12.54296875" style="201"/>
    <col min="9" max="9" width="17.453125" style="201" customWidth="1"/>
    <col min="10" max="11" width="11.26953125" style="201" customWidth="1"/>
    <col min="12" max="16384" width="12.54296875" style="201"/>
  </cols>
  <sheetData>
    <row r="1" spans="1:29" ht="31.5" customHeight="1" x14ac:dyDescent="0.3">
      <c r="A1" s="253" t="s">
        <v>545</v>
      </c>
      <c r="B1" s="253" t="s">
        <v>709</v>
      </c>
      <c r="C1" s="253" t="s">
        <v>710</v>
      </c>
      <c r="D1" s="253" t="s">
        <v>711</v>
      </c>
      <c r="E1" s="253" t="s">
        <v>712</v>
      </c>
      <c r="F1" s="253" t="s">
        <v>713</v>
      </c>
      <c r="G1" s="253" t="s">
        <v>714</v>
      </c>
      <c r="H1" s="253" t="s">
        <v>715</v>
      </c>
      <c r="I1" s="253" t="s">
        <v>716</v>
      </c>
      <c r="J1" s="253" t="s">
        <v>717</v>
      </c>
      <c r="K1" s="253" t="s">
        <v>718</v>
      </c>
      <c r="L1" s="254" t="s">
        <v>719</v>
      </c>
      <c r="M1" s="254" t="s">
        <v>720</v>
      </c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</row>
    <row r="2" spans="1:29" ht="12" customHeight="1" x14ac:dyDescent="0.3">
      <c r="A2" s="204" t="s">
        <v>556</v>
      </c>
      <c r="B2" s="204">
        <v>621</v>
      </c>
      <c r="C2" s="204">
        <v>500</v>
      </c>
      <c r="D2" s="204">
        <v>1800</v>
      </c>
      <c r="E2" s="204">
        <v>345</v>
      </c>
      <c r="F2" s="256">
        <v>0.17399999999999999</v>
      </c>
      <c r="G2" s="257">
        <v>1.9</v>
      </c>
      <c r="H2" s="207">
        <f>D2*G2</f>
        <v>3420</v>
      </c>
      <c r="I2" s="207">
        <f>D2*E2/H2</f>
        <v>181.57894736842104</v>
      </c>
      <c r="J2" s="258" t="s">
        <v>721</v>
      </c>
      <c r="K2" s="258" t="s">
        <v>722</v>
      </c>
      <c r="L2" s="216" t="s">
        <v>723</v>
      </c>
      <c r="M2" s="216">
        <v>0</v>
      </c>
    </row>
    <row r="3" spans="1:29" ht="12" customHeight="1" x14ac:dyDescent="0.3">
      <c r="A3" s="204" t="s">
        <v>555</v>
      </c>
      <c r="B3" s="259">
        <v>702</v>
      </c>
      <c r="C3" s="204">
        <v>500</v>
      </c>
      <c r="D3" s="204">
        <v>1560</v>
      </c>
      <c r="E3" s="204">
        <v>450</v>
      </c>
      <c r="F3" s="256">
        <v>0.20399999999999999</v>
      </c>
      <c r="G3" s="257">
        <v>2.209184</v>
      </c>
      <c r="H3" s="207">
        <f>D3*G3</f>
        <v>3446.3270400000001</v>
      </c>
      <c r="I3" s="207">
        <f>D3*E3/H3</f>
        <v>203.69512000811159</v>
      </c>
      <c r="J3" s="258" t="s">
        <v>724</v>
      </c>
      <c r="K3" s="258" t="s">
        <v>725</v>
      </c>
      <c r="L3" s="216"/>
      <c r="M3" s="216"/>
    </row>
    <row r="4" spans="1:29" ht="12" customHeight="1" x14ac:dyDescent="0.3">
      <c r="A4" s="204" t="s">
        <v>549</v>
      </c>
      <c r="B4" s="204">
        <v>697</v>
      </c>
      <c r="C4" s="204">
        <v>500</v>
      </c>
      <c r="D4" s="204">
        <v>1700</v>
      </c>
      <c r="E4" s="204">
        <v>410</v>
      </c>
      <c r="F4" s="256">
        <v>0.20300000000000001</v>
      </c>
      <c r="G4" s="257">
        <v>2.0220359999999999</v>
      </c>
      <c r="H4" s="207">
        <f>D4*G4</f>
        <v>3437.4611999999997</v>
      </c>
      <c r="I4" s="207">
        <f>D4*E4/H4</f>
        <v>202.76592503793208</v>
      </c>
      <c r="J4" s="258" t="s">
        <v>726</v>
      </c>
      <c r="K4" s="258" t="s">
        <v>727</v>
      </c>
      <c r="L4" s="216"/>
      <c r="M4" s="216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</vt:lpstr>
      <vt:lpstr>Premissas</vt:lpstr>
      <vt:lpstr>Input_Consumo_GrupoA</vt:lpstr>
      <vt:lpstr>Simulacao</vt:lpstr>
      <vt:lpstr>Dados_Produção_Copasul</vt:lpstr>
      <vt:lpstr>Amandina</vt:lpstr>
      <vt:lpstr>Batayporã</vt:lpstr>
      <vt:lpstr>Novo Horizonte do Sul</vt:lpstr>
      <vt:lpstr>Dados_Consumo_Copasul</vt:lpstr>
      <vt:lpstr>Formula Dados Copasul</vt:lpstr>
      <vt:lpstr>Memória de Massa - 2025</vt:lpstr>
      <vt:lpstr>Dados_Produção_Helexia</vt:lpstr>
      <vt:lpstr>Usinas_Helexia_PR</vt:lpstr>
      <vt:lpstr>PVSYST_Helexia</vt:lpstr>
      <vt:lpstr>Usinas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louis.demoffarts@helexia.eu</dc:creator>
  <dc:description/>
  <cp:lastModifiedBy>Louis De Moffarts</cp:lastModifiedBy>
  <cp:revision>22</cp:revision>
  <dcterms:created xsi:type="dcterms:W3CDTF">2026-03-17T17:02:02Z</dcterms:created>
  <dcterms:modified xsi:type="dcterms:W3CDTF">2026-04-07T22:24:15Z</dcterms:modified>
  <dc:language>en-US</dc:language>
</cp:coreProperties>
</file>