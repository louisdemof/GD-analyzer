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helexia-my.sharepoint.com/personal/louis_demoffarts_helexia_eu/Documents/Bureau/COPASUL/Copasul Enviar Cliente/Envios Finais/"/>
    </mc:Choice>
  </mc:AlternateContent>
  <xr:revisionPtr revIDLastSave="0" documentId="8_{82A6D59C-2977-41C3-B218-A77F08723068}" xr6:coauthVersionLast="47" xr6:coauthVersionMax="47" xr10:uidLastSave="{00000000-0000-0000-0000-000000000000}"/>
  <bookViews>
    <workbookView xWindow="-28920" yWindow="-120" windowWidth="29040" windowHeight="15720" tabRatio="500" activeTab="3" xr2:uid="{00000000-000D-0000-FFFF-FFFF00000000}"/>
  </bookViews>
  <sheets>
    <sheet name="Resumo" sheetId="1" r:id="rId1"/>
    <sheet name="Premissas" sheetId="2" r:id="rId2"/>
    <sheet name="Input_Consumo_GrupoA" sheetId="3" r:id="rId3"/>
    <sheet name="Simulacao" sheetId="4" r:id="rId4"/>
    <sheet name="Dados_Produção_Copasul" sheetId="5" r:id="rId5"/>
    <sheet name="Amandina" sheetId="6" r:id="rId6"/>
    <sheet name="Batayporã" sheetId="7" r:id="rId7"/>
    <sheet name="Novo Horizonte do Sul" sheetId="8" r:id="rId8"/>
    <sheet name="Dados_Consumo_Copasul" sheetId="9" r:id="rId9"/>
    <sheet name="Formula Dados Copasul" sheetId="10" r:id="rId10"/>
    <sheet name="Memória de Massa - 2025" sheetId="11" r:id="rId11"/>
    <sheet name="Dados_Produção_Helexia" sheetId="12" r:id="rId12"/>
    <sheet name="Usinas_Helexia_PR" sheetId="13" r:id="rId13"/>
    <sheet name="PVSYST_Helexia" sheetId="14" r:id="rId14"/>
    <sheet name="Usinas" sheetId="15" r:id="rId15"/>
  </sheets>
  <definedNames>
    <definedName name="_xlnm._FilterDatabase" localSheetId="5" hidden="1">Amandina!$A$1:$D$356</definedName>
    <definedName name="_xlnm._FilterDatabase" localSheetId="6" hidden="1">Batayporã!$A$1:$D$366</definedName>
    <definedName name="_xlnm._FilterDatabase" localSheetId="10" hidden="1">'Memória de Massa - 2025'!$B$1:$L$217</definedName>
    <definedName name="_xlnm._FilterDatabase" localSheetId="7" hidden="1">'Novo Horizonte do Sul'!$A$1:$D$364</definedName>
    <definedName name="solver_adj" localSheetId="1" hidden="1">Premissas!$B$33:$E$50</definedName>
    <definedName name="solver_cvg" localSheetId="1" hidden="1">0.000001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5000</definedName>
    <definedName name="solver_lhs1" localSheetId="1" hidden="1">Premissas!$B$33:$E$50</definedName>
    <definedName name="solver_lhs2" localSheetId="1" hidden="1">Premissas!$B$34:$E$34</definedName>
    <definedName name="solver_lhs3" localSheetId="1" hidden="1">Premissas!$B$51</definedName>
    <definedName name="solver_lhs4" localSheetId="1" hidden="1">Premissas!$C$51</definedName>
    <definedName name="solver_lhs5" localSheetId="1" hidden="1">Premissas!$D$51</definedName>
    <definedName name="solver_lhs6" localSheetId="1" hidden="1">Premissas!$E$51</definedName>
    <definedName name="solver_lhs7" localSheetId="1" hidden="1">Premissas!$E$51</definedName>
    <definedName name="solver_mip" localSheetId="1" hidden="1">2147483647</definedName>
    <definedName name="solver_mni" localSheetId="1" hidden="1">300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6</definedName>
    <definedName name="solver_nwt" localSheetId="1" hidden="1">1</definedName>
    <definedName name="solver_opt" localSheetId="1" hidden="1">Premissas!$K$5</definedName>
    <definedName name="solver_pre" localSheetId="1" hidden="1">0.000001</definedName>
    <definedName name="solver_rbv" localSheetId="1" hidden="1">1</definedName>
    <definedName name="solver_rel1" localSheetId="1" hidden="1">3</definedName>
    <definedName name="solver_rel2" localSheetId="1" hidden="1">2</definedName>
    <definedName name="solver_rel3" localSheetId="1" hidden="1">2</definedName>
    <definedName name="solver_rel4" localSheetId="1" hidden="1">2</definedName>
    <definedName name="solver_rel5" localSheetId="1" hidden="1">2</definedName>
    <definedName name="solver_rel6" localSheetId="1" hidden="1">2</definedName>
    <definedName name="solver_rel7" localSheetId="1" hidden="1">2</definedName>
    <definedName name="solver_rhs1" localSheetId="1" hidden="1">0</definedName>
    <definedName name="solver_rhs2" localSheetId="1" hidden="1">0</definedName>
    <definedName name="solver_rhs3" localSheetId="1" hidden="1">1</definedName>
    <definedName name="solver_rhs4" localSheetId="1" hidden="1">1</definedName>
    <definedName name="solver_rhs5" localSheetId="1" hidden="1">1</definedName>
    <definedName name="solver_rhs6" localSheetId="1" hidden="1">1</definedName>
    <definedName name="solver_rhs7" localSheetId="1" hidden="1">Premissas!$J$18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200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7" i="2" l="1"/>
  <c r="B288" i="4"/>
  <c r="H4" i="15"/>
  <c r="I4" i="15" s="1"/>
  <c r="H3" i="15"/>
  <c r="I3" i="15" s="1"/>
  <c r="I2" i="15"/>
  <c r="H2" i="15"/>
  <c r="U2" i="14"/>
  <c r="T2" i="14"/>
  <c r="S2" i="14"/>
  <c r="R2" i="14"/>
  <c r="Q2" i="14"/>
  <c r="P2" i="14"/>
  <c r="O2" i="14"/>
  <c r="N2" i="14"/>
  <c r="M2" i="14"/>
  <c r="L2" i="14"/>
  <c r="K2" i="14"/>
  <c r="J2" i="14"/>
  <c r="O133" i="11"/>
  <c r="O132" i="11"/>
  <c r="O131" i="11"/>
  <c r="O130" i="11"/>
  <c r="O129" i="11"/>
  <c r="O128" i="11"/>
  <c r="O127" i="11"/>
  <c r="O126" i="11"/>
  <c r="O125" i="11"/>
  <c r="O124" i="11"/>
  <c r="O123" i="11"/>
  <c r="O122" i="11"/>
  <c r="M30" i="10"/>
  <c r="E30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Q28" i="10" s="1"/>
  <c r="S28" i="10" s="1"/>
  <c r="O27" i="10"/>
  <c r="N27" i="10"/>
  <c r="M27" i="10"/>
  <c r="L27" i="10"/>
  <c r="K27" i="10"/>
  <c r="J27" i="10"/>
  <c r="I27" i="10"/>
  <c r="H27" i="10"/>
  <c r="G27" i="10"/>
  <c r="F27" i="10"/>
  <c r="Q27" i="10" s="1"/>
  <c r="S27" i="10" s="1"/>
  <c r="E27" i="10"/>
  <c r="D27" i="10"/>
  <c r="O26" i="10"/>
  <c r="O30" i="10" s="1"/>
  <c r="N26" i="10"/>
  <c r="N30" i="10" s="1"/>
  <c r="M26" i="10"/>
  <c r="L26" i="10"/>
  <c r="K26" i="10"/>
  <c r="K30" i="10" s="1"/>
  <c r="J26" i="10"/>
  <c r="I26" i="10"/>
  <c r="I30" i="10" s="1"/>
  <c r="H26" i="10"/>
  <c r="H30" i="10" s="1"/>
  <c r="G26" i="10"/>
  <c r="G30" i="10" s="1"/>
  <c r="F26" i="10"/>
  <c r="F30" i="10" s="1"/>
  <c r="E26" i="10"/>
  <c r="D26" i="10"/>
  <c r="Q26" i="10" s="1"/>
  <c r="M24" i="10"/>
  <c r="E24" i="10"/>
  <c r="O22" i="10"/>
  <c r="N22" i="10"/>
  <c r="M22" i="10"/>
  <c r="L22" i="10"/>
  <c r="K22" i="10"/>
  <c r="J22" i="10"/>
  <c r="J24" i="10" s="1"/>
  <c r="I22" i="10"/>
  <c r="H22" i="10"/>
  <c r="G22" i="10"/>
  <c r="F22" i="10"/>
  <c r="E22" i="10"/>
  <c r="D22" i="10"/>
  <c r="Q22" i="10" s="1"/>
  <c r="S22" i="10" s="1"/>
  <c r="O21" i="10"/>
  <c r="N21" i="10"/>
  <c r="M21" i="10"/>
  <c r="L21" i="10"/>
  <c r="K21" i="10"/>
  <c r="J21" i="10"/>
  <c r="I21" i="10"/>
  <c r="H21" i="10"/>
  <c r="G21" i="10"/>
  <c r="F21" i="10"/>
  <c r="Q21" i="10" s="1"/>
  <c r="S21" i="10" s="1"/>
  <c r="E21" i="10"/>
  <c r="D21" i="10"/>
  <c r="O20" i="10"/>
  <c r="O24" i="10" s="1"/>
  <c r="N20" i="10"/>
  <c r="N24" i="10" s="1"/>
  <c r="M20" i="10"/>
  <c r="L20" i="10"/>
  <c r="L24" i="10" s="1"/>
  <c r="K20" i="10"/>
  <c r="K24" i="10" s="1"/>
  <c r="J20" i="10"/>
  <c r="I20" i="10"/>
  <c r="I24" i="10" s="1"/>
  <c r="H20" i="10"/>
  <c r="G20" i="10"/>
  <c r="G24" i="10" s="1"/>
  <c r="F20" i="10"/>
  <c r="F24" i="10" s="1"/>
  <c r="E20" i="10"/>
  <c r="D20" i="10"/>
  <c r="Q20" i="10" s="1"/>
  <c r="K14" i="10"/>
  <c r="K17" i="10" s="1"/>
  <c r="O12" i="10"/>
  <c r="N12" i="10"/>
  <c r="M12" i="10"/>
  <c r="L12" i="10"/>
  <c r="K12" i="10"/>
  <c r="J12" i="10"/>
  <c r="J14" i="10" s="1"/>
  <c r="I12" i="10"/>
  <c r="I14" i="10" s="1"/>
  <c r="H12" i="10"/>
  <c r="G12" i="10"/>
  <c r="F12" i="10"/>
  <c r="Q12" i="10" s="1"/>
  <c r="S12" i="10" s="1"/>
  <c r="E12" i="10"/>
  <c r="D12" i="10"/>
  <c r="O11" i="10"/>
  <c r="O14" i="10" s="1"/>
  <c r="O17" i="10" s="1"/>
  <c r="N11" i="10"/>
  <c r="M11" i="10"/>
  <c r="M14" i="10" s="1"/>
  <c r="M17" i="10" s="1"/>
  <c r="L11" i="10"/>
  <c r="L14" i="10" s="1"/>
  <c r="L17" i="10" s="1"/>
  <c r="K11" i="10"/>
  <c r="J11" i="10"/>
  <c r="I11" i="10"/>
  <c r="H11" i="10"/>
  <c r="H14" i="10" s="1"/>
  <c r="G11" i="10"/>
  <c r="G14" i="10" s="1"/>
  <c r="G17" i="10" s="1"/>
  <c r="F11" i="10"/>
  <c r="E11" i="10"/>
  <c r="E14" i="10" s="1"/>
  <c r="E17" i="10" s="1"/>
  <c r="D11" i="10"/>
  <c r="D14" i="10" s="1"/>
  <c r="N9" i="10"/>
  <c r="M9" i="10"/>
  <c r="L9" i="10"/>
  <c r="F9" i="10"/>
  <c r="E9" i="10"/>
  <c r="O7" i="10"/>
  <c r="N7" i="10"/>
  <c r="M7" i="10"/>
  <c r="L7" i="10"/>
  <c r="K7" i="10"/>
  <c r="J7" i="10"/>
  <c r="I7" i="10"/>
  <c r="H7" i="10"/>
  <c r="Q7" i="10" s="1"/>
  <c r="S7" i="10" s="1"/>
  <c r="G7" i="10"/>
  <c r="F7" i="10"/>
  <c r="E7" i="10"/>
  <c r="D7" i="10"/>
  <c r="O6" i="10"/>
  <c r="N6" i="10"/>
  <c r="M6" i="10"/>
  <c r="L6" i="10"/>
  <c r="K6" i="10"/>
  <c r="J6" i="10"/>
  <c r="J9" i="10" s="1"/>
  <c r="I6" i="10"/>
  <c r="H6" i="10"/>
  <c r="Q6" i="10" s="1"/>
  <c r="S6" i="10" s="1"/>
  <c r="G6" i="10"/>
  <c r="F6" i="10"/>
  <c r="E6" i="10"/>
  <c r="D6" i="10"/>
  <c r="O5" i="10"/>
  <c r="O9" i="10" s="1"/>
  <c r="N5" i="10"/>
  <c r="M5" i="10"/>
  <c r="L5" i="10"/>
  <c r="K5" i="10"/>
  <c r="K9" i="10" s="1"/>
  <c r="J5" i="10"/>
  <c r="I5" i="10"/>
  <c r="I9" i="10" s="1"/>
  <c r="H5" i="10"/>
  <c r="G5" i="10"/>
  <c r="G9" i="10" s="1"/>
  <c r="F5" i="10"/>
  <c r="E5" i="10"/>
  <c r="D5" i="10"/>
  <c r="D9" i="10" s="1"/>
  <c r="D364" i="8"/>
  <c r="D363" i="8"/>
  <c r="D362" i="8"/>
  <c r="D361" i="8"/>
  <c r="D360" i="8"/>
  <c r="D359" i="8"/>
  <c r="D358" i="8"/>
  <c r="D357" i="8"/>
  <c r="D356" i="8"/>
  <c r="D355" i="8"/>
  <c r="D354" i="8"/>
  <c r="D353" i="8"/>
  <c r="D352" i="8"/>
  <c r="D351" i="8"/>
  <c r="D350" i="8"/>
  <c r="D349" i="8"/>
  <c r="D348" i="8"/>
  <c r="D347" i="8"/>
  <c r="D346" i="8"/>
  <c r="D345" i="8"/>
  <c r="D344" i="8"/>
  <c r="D343" i="8"/>
  <c r="D342" i="8"/>
  <c r="D341" i="8"/>
  <c r="D340" i="8"/>
  <c r="D339" i="8"/>
  <c r="D338" i="8"/>
  <c r="D337" i="8"/>
  <c r="D336" i="8"/>
  <c r="D335" i="8"/>
  <c r="D334" i="8"/>
  <c r="D333" i="8"/>
  <c r="D332" i="8"/>
  <c r="D331" i="8"/>
  <c r="D330" i="8"/>
  <c r="D329" i="8"/>
  <c r="D328" i="8"/>
  <c r="D327" i="8"/>
  <c r="D326" i="8"/>
  <c r="D325" i="8"/>
  <c r="D324" i="8"/>
  <c r="D323" i="8"/>
  <c r="D322" i="8"/>
  <c r="D321" i="8"/>
  <c r="D320" i="8"/>
  <c r="D319" i="8"/>
  <c r="D318" i="8"/>
  <c r="D317" i="8"/>
  <c r="D316" i="8"/>
  <c r="D315" i="8"/>
  <c r="D314" i="8"/>
  <c r="D313" i="8"/>
  <c r="D312" i="8"/>
  <c r="D311" i="8"/>
  <c r="D310" i="8"/>
  <c r="D309" i="8"/>
  <c r="D308" i="8"/>
  <c r="D307" i="8"/>
  <c r="D306" i="8"/>
  <c r="D305" i="8"/>
  <c r="D304" i="8"/>
  <c r="D303" i="8"/>
  <c r="D302" i="8"/>
  <c r="D301" i="8"/>
  <c r="D300" i="8"/>
  <c r="D299" i="8"/>
  <c r="D298" i="8"/>
  <c r="D297" i="8"/>
  <c r="D296" i="8"/>
  <c r="D295" i="8"/>
  <c r="D294" i="8"/>
  <c r="D293" i="8"/>
  <c r="D292" i="8"/>
  <c r="D291" i="8"/>
  <c r="D290" i="8"/>
  <c r="D289" i="8"/>
  <c r="D288" i="8"/>
  <c r="D287" i="8"/>
  <c r="D286" i="8"/>
  <c r="D285" i="8"/>
  <c r="D284" i="8"/>
  <c r="D283" i="8"/>
  <c r="D282" i="8"/>
  <c r="D281" i="8"/>
  <c r="D280" i="8"/>
  <c r="D279" i="8"/>
  <c r="D278" i="8"/>
  <c r="D277" i="8"/>
  <c r="D276" i="8"/>
  <c r="D275" i="8"/>
  <c r="D274" i="8"/>
  <c r="D273" i="8"/>
  <c r="D272" i="8"/>
  <c r="D271" i="8"/>
  <c r="D270" i="8"/>
  <c r="D269" i="8"/>
  <c r="D268" i="8"/>
  <c r="D267" i="8"/>
  <c r="D266" i="8"/>
  <c r="D265" i="8"/>
  <c r="D264" i="8"/>
  <c r="D263" i="8"/>
  <c r="D262" i="8"/>
  <c r="D261" i="8"/>
  <c r="D260" i="8"/>
  <c r="D259" i="8"/>
  <c r="D258" i="8"/>
  <c r="D257" i="8"/>
  <c r="D256" i="8"/>
  <c r="D255" i="8"/>
  <c r="D254" i="8"/>
  <c r="D253" i="8"/>
  <c r="D252" i="8"/>
  <c r="D251" i="8"/>
  <c r="D250" i="8"/>
  <c r="D249" i="8"/>
  <c r="D248" i="8"/>
  <c r="D247" i="8"/>
  <c r="D246" i="8"/>
  <c r="D245" i="8"/>
  <c r="D244" i="8"/>
  <c r="D243" i="8"/>
  <c r="D242" i="8"/>
  <c r="D241" i="8"/>
  <c r="D240" i="8"/>
  <c r="D239" i="8"/>
  <c r="D238" i="8"/>
  <c r="D237" i="8"/>
  <c r="D236" i="8"/>
  <c r="D235" i="8"/>
  <c r="D234" i="8"/>
  <c r="D233" i="8"/>
  <c r="D232" i="8"/>
  <c r="D231" i="8"/>
  <c r="D230" i="8"/>
  <c r="D229" i="8"/>
  <c r="D228" i="8"/>
  <c r="D227" i="8"/>
  <c r="D226" i="8"/>
  <c r="D225" i="8"/>
  <c r="D224" i="8"/>
  <c r="D223" i="8"/>
  <c r="D222" i="8"/>
  <c r="D221" i="8"/>
  <c r="D220" i="8"/>
  <c r="D219" i="8"/>
  <c r="D218" i="8"/>
  <c r="D217" i="8"/>
  <c r="D216" i="8"/>
  <c r="D215" i="8"/>
  <c r="D214" i="8"/>
  <c r="D213" i="8"/>
  <c r="D212" i="8"/>
  <c r="D211" i="8"/>
  <c r="D210" i="8"/>
  <c r="D209" i="8"/>
  <c r="D208" i="8"/>
  <c r="D207" i="8"/>
  <c r="D206" i="8"/>
  <c r="D205" i="8"/>
  <c r="D204" i="8"/>
  <c r="D203" i="8"/>
  <c r="D202" i="8"/>
  <c r="D201" i="8"/>
  <c r="D200" i="8"/>
  <c r="D199" i="8"/>
  <c r="D198" i="8"/>
  <c r="D197" i="8"/>
  <c r="D196" i="8"/>
  <c r="D195" i="8"/>
  <c r="D194" i="8"/>
  <c r="D193" i="8"/>
  <c r="D192" i="8"/>
  <c r="D191" i="8"/>
  <c r="D190" i="8"/>
  <c r="D189" i="8"/>
  <c r="D188" i="8"/>
  <c r="D187" i="8"/>
  <c r="D186" i="8"/>
  <c r="D185" i="8"/>
  <c r="D184" i="8"/>
  <c r="D183" i="8"/>
  <c r="D182" i="8"/>
  <c r="D181" i="8"/>
  <c r="D180" i="8"/>
  <c r="D179" i="8"/>
  <c r="D178" i="8"/>
  <c r="D177" i="8"/>
  <c r="D176" i="8"/>
  <c r="D175" i="8"/>
  <c r="D174" i="8"/>
  <c r="D173" i="8"/>
  <c r="D172" i="8"/>
  <c r="D171" i="8"/>
  <c r="D170" i="8"/>
  <c r="D169" i="8"/>
  <c r="D168" i="8"/>
  <c r="D167" i="8"/>
  <c r="D166" i="8"/>
  <c r="D165" i="8"/>
  <c r="D164" i="8"/>
  <c r="D163" i="8"/>
  <c r="D162" i="8"/>
  <c r="D161" i="8"/>
  <c r="D160" i="8"/>
  <c r="D159" i="8"/>
  <c r="D158" i="8"/>
  <c r="D157" i="8"/>
  <c r="D156" i="8"/>
  <c r="D155" i="8"/>
  <c r="D154" i="8"/>
  <c r="D153" i="8"/>
  <c r="D152" i="8"/>
  <c r="D151" i="8"/>
  <c r="D150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D117" i="8"/>
  <c r="D116" i="8"/>
  <c r="D115" i="8"/>
  <c r="D114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H3" i="8"/>
  <c r="F3" i="8"/>
  <c r="D3" i="8"/>
  <c r="D2" i="8"/>
  <c r="D366" i="7"/>
  <c r="D365" i="7"/>
  <c r="D364" i="7"/>
  <c r="D363" i="7"/>
  <c r="D362" i="7"/>
  <c r="D361" i="7"/>
  <c r="D360" i="7"/>
  <c r="D359" i="7"/>
  <c r="D358" i="7"/>
  <c r="D357" i="7"/>
  <c r="D356" i="7"/>
  <c r="D355" i="7"/>
  <c r="D354" i="7"/>
  <c r="D353" i="7"/>
  <c r="D352" i="7"/>
  <c r="D351" i="7"/>
  <c r="D350" i="7"/>
  <c r="D349" i="7"/>
  <c r="D348" i="7"/>
  <c r="D347" i="7"/>
  <c r="D346" i="7"/>
  <c r="D345" i="7"/>
  <c r="D344" i="7"/>
  <c r="D343" i="7"/>
  <c r="D342" i="7"/>
  <c r="D341" i="7"/>
  <c r="D340" i="7"/>
  <c r="D339" i="7"/>
  <c r="D338" i="7"/>
  <c r="D337" i="7"/>
  <c r="D336" i="7"/>
  <c r="D335" i="7"/>
  <c r="D334" i="7"/>
  <c r="D333" i="7"/>
  <c r="D332" i="7"/>
  <c r="D331" i="7"/>
  <c r="D330" i="7"/>
  <c r="D329" i="7"/>
  <c r="D328" i="7"/>
  <c r="D327" i="7"/>
  <c r="D326" i="7"/>
  <c r="D325" i="7"/>
  <c r="D324" i="7"/>
  <c r="D323" i="7"/>
  <c r="D322" i="7"/>
  <c r="D321" i="7"/>
  <c r="D320" i="7"/>
  <c r="D319" i="7"/>
  <c r="D318" i="7"/>
  <c r="D317" i="7"/>
  <c r="D316" i="7"/>
  <c r="D315" i="7"/>
  <c r="D314" i="7"/>
  <c r="D313" i="7"/>
  <c r="D312" i="7"/>
  <c r="D311" i="7"/>
  <c r="D310" i="7"/>
  <c r="D309" i="7"/>
  <c r="D308" i="7"/>
  <c r="D307" i="7"/>
  <c r="D306" i="7"/>
  <c r="D305" i="7"/>
  <c r="D304" i="7"/>
  <c r="D303" i="7"/>
  <c r="D302" i="7"/>
  <c r="D301" i="7"/>
  <c r="D300" i="7"/>
  <c r="D299" i="7"/>
  <c r="D298" i="7"/>
  <c r="D297" i="7"/>
  <c r="D296" i="7"/>
  <c r="D295" i="7"/>
  <c r="D294" i="7"/>
  <c r="D293" i="7"/>
  <c r="D292" i="7"/>
  <c r="D291" i="7"/>
  <c r="D290" i="7"/>
  <c r="D289" i="7"/>
  <c r="D288" i="7"/>
  <c r="D287" i="7"/>
  <c r="D286" i="7"/>
  <c r="D285" i="7"/>
  <c r="D284" i="7"/>
  <c r="D283" i="7"/>
  <c r="D282" i="7"/>
  <c r="D281" i="7"/>
  <c r="D280" i="7"/>
  <c r="D279" i="7"/>
  <c r="D278" i="7"/>
  <c r="D277" i="7"/>
  <c r="D276" i="7"/>
  <c r="D275" i="7"/>
  <c r="D274" i="7"/>
  <c r="D273" i="7"/>
  <c r="D272" i="7"/>
  <c r="D271" i="7"/>
  <c r="D270" i="7"/>
  <c r="D269" i="7"/>
  <c r="D268" i="7"/>
  <c r="D267" i="7"/>
  <c r="D266" i="7"/>
  <c r="D265" i="7"/>
  <c r="D264" i="7"/>
  <c r="D263" i="7"/>
  <c r="D262" i="7"/>
  <c r="D261" i="7"/>
  <c r="D260" i="7"/>
  <c r="D259" i="7"/>
  <c r="D258" i="7"/>
  <c r="D257" i="7"/>
  <c r="D256" i="7"/>
  <c r="D255" i="7"/>
  <c r="D254" i="7"/>
  <c r="D253" i="7"/>
  <c r="D252" i="7"/>
  <c r="D251" i="7"/>
  <c r="D250" i="7"/>
  <c r="D249" i="7"/>
  <c r="D248" i="7"/>
  <c r="D247" i="7"/>
  <c r="D246" i="7"/>
  <c r="D245" i="7"/>
  <c r="D244" i="7"/>
  <c r="D243" i="7"/>
  <c r="D242" i="7"/>
  <c r="D241" i="7"/>
  <c r="D240" i="7"/>
  <c r="D239" i="7"/>
  <c r="D238" i="7"/>
  <c r="D237" i="7"/>
  <c r="D236" i="7"/>
  <c r="D235" i="7"/>
  <c r="D234" i="7"/>
  <c r="D233" i="7"/>
  <c r="D232" i="7"/>
  <c r="D231" i="7"/>
  <c r="D230" i="7"/>
  <c r="D229" i="7"/>
  <c r="D228" i="7"/>
  <c r="D227" i="7"/>
  <c r="D226" i="7"/>
  <c r="D225" i="7"/>
  <c r="D224" i="7"/>
  <c r="D223" i="7"/>
  <c r="D222" i="7"/>
  <c r="D221" i="7"/>
  <c r="D220" i="7"/>
  <c r="D219" i="7"/>
  <c r="D218" i="7"/>
  <c r="D217" i="7"/>
  <c r="D216" i="7"/>
  <c r="D215" i="7"/>
  <c r="D214" i="7"/>
  <c r="D213" i="7"/>
  <c r="D212" i="7"/>
  <c r="D211" i="7"/>
  <c r="D210" i="7"/>
  <c r="D209" i="7"/>
  <c r="D208" i="7"/>
  <c r="D207" i="7"/>
  <c r="D206" i="7"/>
  <c r="D205" i="7"/>
  <c r="D204" i="7"/>
  <c r="D203" i="7"/>
  <c r="D202" i="7"/>
  <c r="D201" i="7"/>
  <c r="D200" i="7"/>
  <c r="D199" i="7"/>
  <c r="D198" i="7"/>
  <c r="D197" i="7"/>
  <c r="D196" i="7"/>
  <c r="D195" i="7"/>
  <c r="D194" i="7"/>
  <c r="D193" i="7"/>
  <c r="D192" i="7"/>
  <c r="D191" i="7"/>
  <c r="D190" i="7"/>
  <c r="D189" i="7"/>
  <c r="D188" i="7"/>
  <c r="D187" i="7"/>
  <c r="D186" i="7"/>
  <c r="D185" i="7"/>
  <c r="D184" i="7"/>
  <c r="D183" i="7"/>
  <c r="D182" i="7"/>
  <c r="D181" i="7"/>
  <c r="D180" i="7"/>
  <c r="D179" i="7"/>
  <c r="D178" i="7"/>
  <c r="D177" i="7"/>
  <c r="D176" i="7"/>
  <c r="D175" i="7"/>
  <c r="D174" i="7"/>
  <c r="D173" i="7"/>
  <c r="D172" i="7"/>
  <c r="D171" i="7"/>
  <c r="D170" i="7"/>
  <c r="D169" i="7"/>
  <c r="D168" i="7"/>
  <c r="D167" i="7"/>
  <c r="D166" i="7"/>
  <c r="D165" i="7"/>
  <c r="D164" i="7"/>
  <c r="D163" i="7"/>
  <c r="D162" i="7"/>
  <c r="D161" i="7"/>
  <c r="D160" i="7"/>
  <c r="D159" i="7"/>
  <c r="D158" i="7"/>
  <c r="D157" i="7"/>
  <c r="D156" i="7"/>
  <c r="D155" i="7"/>
  <c r="D154" i="7"/>
  <c r="D153" i="7"/>
  <c r="D152" i="7"/>
  <c r="D151" i="7"/>
  <c r="D150" i="7"/>
  <c r="D149" i="7"/>
  <c r="D148" i="7"/>
  <c r="D147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J4" i="7"/>
  <c r="I4" i="7"/>
  <c r="H4" i="7"/>
  <c r="G4" i="7"/>
  <c r="F5" i="7" s="1"/>
  <c r="F4" i="7"/>
  <c r="D4" i="7"/>
  <c r="H3" i="7"/>
  <c r="G3" i="7"/>
  <c r="I3" i="7" s="1"/>
  <c r="J3" i="7" s="1"/>
  <c r="F3" i="7"/>
  <c r="D3" i="7"/>
  <c r="D2" i="7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F4" i="6"/>
  <c r="D4" i="6"/>
  <c r="H3" i="6"/>
  <c r="G3" i="6"/>
  <c r="D3" i="6"/>
  <c r="D2" i="6"/>
  <c r="A271" i="4"/>
  <c r="A270" i="4"/>
  <c r="A246" i="4"/>
  <c r="AA245" i="4"/>
  <c r="Z245" i="4"/>
  <c r="Y245" i="4"/>
  <c r="X245" i="4"/>
  <c r="W245" i="4"/>
  <c r="V245" i="4"/>
  <c r="U245" i="4"/>
  <c r="T245" i="4"/>
  <c r="S245" i="4"/>
  <c r="R245" i="4"/>
  <c r="Q245" i="4"/>
  <c r="P245" i="4"/>
  <c r="O245" i="4"/>
  <c r="N245" i="4"/>
  <c r="M245" i="4"/>
  <c r="L245" i="4"/>
  <c r="K245" i="4"/>
  <c r="J245" i="4"/>
  <c r="I245" i="4"/>
  <c r="H245" i="4"/>
  <c r="G245" i="4"/>
  <c r="F245" i="4"/>
  <c r="E245" i="4"/>
  <c r="D245" i="4"/>
  <c r="B245" i="4"/>
  <c r="AA244" i="4"/>
  <c r="Z244" i="4"/>
  <c r="Y244" i="4"/>
  <c r="X244" i="4"/>
  <c r="W244" i="4"/>
  <c r="V244" i="4"/>
  <c r="U244" i="4"/>
  <c r="T244" i="4"/>
  <c r="S244" i="4"/>
  <c r="R244" i="4"/>
  <c r="Q244" i="4"/>
  <c r="P244" i="4"/>
  <c r="O244" i="4"/>
  <c r="N244" i="4"/>
  <c r="M244" i="4"/>
  <c r="L244" i="4"/>
  <c r="K244" i="4"/>
  <c r="J244" i="4"/>
  <c r="I244" i="4"/>
  <c r="H244" i="4"/>
  <c r="G244" i="4"/>
  <c r="F244" i="4"/>
  <c r="E244" i="4"/>
  <c r="D244" i="4"/>
  <c r="AA243" i="4"/>
  <c r="Z243" i="4"/>
  <c r="Y243" i="4"/>
  <c r="X243" i="4"/>
  <c r="W243" i="4"/>
  <c r="V243" i="4"/>
  <c r="U243" i="4"/>
  <c r="T243" i="4"/>
  <c r="S243" i="4"/>
  <c r="R243" i="4"/>
  <c r="Q243" i="4"/>
  <c r="P243" i="4"/>
  <c r="O243" i="4"/>
  <c r="N243" i="4"/>
  <c r="M243" i="4"/>
  <c r="L243" i="4"/>
  <c r="K243" i="4"/>
  <c r="J243" i="4"/>
  <c r="I243" i="4"/>
  <c r="H243" i="4"/>
  <c r="G243" i="4"/>
  <c r="F243" i="4"/>
  <c r="E243" i="4"/>
  <c r="D243" i="4"/>
  <c r="B243" i="4"/>
  <c r="D240" i="4"/>
  <c r="A239" i="4"/>
  <c r="AA238" i="4"/>
  <c r="Z238" i="4"/>
  <c r="Y238" i="4"/>
  <c r="X238" i="4"/>
  <c r="W238" i="4"/>
  <c r="V238" i="4"/>
  <c r="U238" i="4"/>
  <c r="T238" i="4"/>
  <c r="S238" i="4"/>
  <c r="R238" i="4"/>
  <c r="Q238" i="4"/>
  <c r="P238" i="4"/>
  <c r="O238" i="4"/>
  <c r="N238" i="4"/>
  <c r="M238" i="4"/>
  <c r="L238" i="4"/>
  <c r="K238" i="4"/>
  <c r="J238" i="4"/>
  <c r="I238" i="4"/>
  <c r="H238" i="4"/>
  <c r="G238" i="4"/>
  <c r="F238" i="4"/>
  <c r="E238" i="4"/>
  <c r="D238" i="4"/>
  <c r="A234" i="4"/>
  <c r="AA233" i="4"/>
  <c r="Z233" i="4"/>
  <c r="Y233" i="4"/>
  <c r="X233" i="4"/>
  <c r="W233" i="4"/>
  <c r="V233" i="4"/>
  <c r="U233" i="4"/>
  <c r="T233" i="4"/>
  <c r="S233" i="4"/>
  <c r="R233" i="4"/>
  <c r="Q233" i="4"/>
  <c r="P233" i="4"/>
  <c r="O233" i="4"/>
  <c r="N233" i="4"/>
  <c r="M233" i="4"/>
  <c r="L233" i="4"/>
  <c r="K233" i="4"/>
  <c r="J233" i="4"/>
  <c r="I233" i="4"/>
  <c r="H233" i="4"/>
  <c r="G233" i="4"/>
  <c r="F233" i="4"/>
  <c r="E233" i="4"/>
  <c r="D233" i="4"/>
  <c r="B233" i="4"/>
  <c r="AA232" i="4"/>
  <c r="Z232" i="4"/>
  <c r="Y232" i="4"/>
  <c r="X232" i="4"/>
  <c r="W232" i="4"/>
  <c r="V232" i="4"/>
  <c r="U232" i="4"/>
  <c r="T232" i="4"/>
  <c r="S232" i="4"/>
  <c r="R232" i="4"/>
  <c r="Q232" i="4"/>
  <c r="P232" i="4"/>
  <c r="O232" i="4"/>
  <c r="N232" i="4"/>
  <c r="M232" i="4"/>
  <c r="L232" i="4"/>
  <c r="K232" i="4"/>
  <c r="J232" i="4"/>
  <c r="I232" i="4"/>
  <c r="H232" i="4"/>
  <c r="G232" i="4"/>
  <c r="F232" i="4"/>
  <c r="E232" i="4"/>
  <c r="D232" i="4"/>
  <c r="AA231" i="4"/>
  <c r="Z231" i="4"/>
  <c r="Y231" i="4"/>
  <c r="X231" i="4"/>
  <c r="W231" i="4"/>
  <c r="V231" i="4"/>
  <c r="U231" i="4"/>
  <c r="T231" i="4"/>
  <c r="S231" i="4"/>
  <c r="R231" i="4"/>
  <c r="Q231" i="4"/>
  <c r="P231" i="4"/>
  <c r="O231" i="4"/>
  <c r="N231" i="4"/>
  <c r="M231" i="4"/>
  <c r="L231" i="4"/>
  <c r="K231" i="4"/>
  <c r="J231" i="4"/>
  <c r="I231" i="4"/>
  <c r="H231" i="4"/>
  <c r="G231" i="4"/>
  <c r="F231" i="4"/>
  <c r="E231" i="4"/>
  <c r="D231" i="4"/>
  <c r="B231" i="4"/>
  <c r="D228" i="4"/>
  <c r="A227" i="4"/>
  <c r="AA226" i="4"/>
  <c r="Z226" i="4"/>
  <c r="Y226" i="4"/>
  <c r="X226" i="4"/>
  <c r="W226" i="4"/>
  <c r="V226" i="4"/>
  <c r="U226" i="4"/>
  <c r="T226" i="4"/>
  <c r="S226" i="4"/>
  <c r="R226" i="4"/>
  <c r="Q226" i="4"/>
  <c r="P226" i="4"/>
  <c r="O226" i="4"/>
  <c r="N226" i="4"/>
  <c r="M226" i="4"/>
  <c r="L226" i="4"/>
  <c r="K226" i="4"/>
  <c r="A222" i="4"/>
  <c r="AA221" i="4"/>
  <c r="Z221" i="4"/>
  <c r="Y221" i="4"/>
  <c r="X221" i="4"/>
  <c r="W221" i="4"/>
  <c r="V221" i="4"/>
  <c r="U221" i="4"/>
  <c r="T221" i="4"/>
  <c r="S221" i="4"/>
  <c r="R221" i="4"/>
  <c r="Q221" i="4"/>
  <c r="P221" i="4"/>
  <c r="O221" i="4"/>
  <c r="N221" i="4"/>
  <c r="M221" i="4"/>
  <c r="L221" i="4"/>
  <c r="K221" i="4"/>
  <c r="J221" i="4"/>
  <c r="I221" i="4"/>
  <c r="H221" i="4"/>
  <c r="G221" i="4"/>
  <c r="F221" i="4"/>
  <c r="E221" i="4"/>
  <c r="D221" i="4"/>
  <c r="B221" i="4"/>
  <c r="AA220" i="4"/>
  <c r="Z220" i="4"/>
  <c r="Y220" i="4"/>
  <c r="X220" i="4"/>
  <c r="W220" i="4"/>
  <c r="V220" i="4"/>
  <c r="U220" i="4"/>
  <c r="T220" i="4"/>
  <c r="S220" i="4"/>
  <c r="R220" i="4"/>
  <c r="Q220" i="4"/>
  <c r="P220" i="4"/>
  <c r="O220" i="4"/>
  <c r="N220" i="4"/>
  <c r="M220" i="4"/>
  <c r="L220" i="4"/>
  <c r="K220" i="4"/>
  <c r="J220" i="4"/>
  <c r="I220" i="4"/>
  <c r="H220" i="4"/>
  <c r="G220" i="4"/>
  <c r="F220" i="4"/>
  <c r="E220" i="4"/>
  <c r="D220" i="4"/>
  <c r="AA219" i="4"/>
  <c r="Z219" i="4"/>
  <c r="Y219" i="4"/>
  <c r="X219" i="4"/>
  <c r="W219" i="4"/>
  <c r="V219" i="4"/>
  <c r="U219" i="4"/>
  <c r="T219" i="4"/>
  <c r="S219" i="4"/>
  <c r="R219" i="4"/>
  <c r="Q219" i="4"/>
  <c r="P219" i="4"/>
  <c r="O219" i="4"/>
  <c r="N219" i="4"/>
  <c r="M219" i="4"/>
  <c r="L219" i="4"/>
  <c r="K219" i="4"/>
  <c r="J219" i="4"/>
  <c r="I219" i="4"/>
  <c r="H219" i="4"/>
  <c r="G219" i="4"/>
  <c r="F219" i="4"/>
  <c r="E219" i="4"/>
  <c r="D219" i="4"/>
  <c r="B219" i="4"/>
  <c r="D216" i="4"/>
  <c r="A215" i="4"/>
  <c r="AA214" i="4"/>
  <c r="Z214" i="4"/>
  <c r="Y214" i="4"/>
  <c r="X214" i="4"/>
  <c r="W214" i="4"/>
  <c r="V214" i="4"/>
  <c r="U214" i="4"/>
  <c r="T214" i="4"/>
  <c r="S214" i="4"/>
  <c r="R214" i="4"/>
  <c r="Q214" i="4"/>
  <c r="P214" i="4"/>
  <c r="O214" i="4"/>
  <c r="N214" i="4"/>
  <c r="M214" i="4"/>
  <c r="L214" i="4"/>
  <c r="K214" i="4"/>
  <c r="J214" i="4"/>
  <c r="I214" i="4"/>
  <c r="H214" i="4"/>
  <c r="G214" i="4"/>
  <c r="F214" i="4"/>
  <c r="E214" i="4"/>
  <c r="D214" i="4"/>
  <c r="A209" i="4"/>
  <c r="D206" i="4"/>
  <c r="D203" i="4"/>
  <c r="A202" i="4"/>
  <c r="AA201" i="4"/>
  <c r="Z201" i="4"/>
  <c r="Y201" i="4"/>
  <c r="X201" i="4"/>
  <c r="W201" i="4"/>
  <c r="V201" i="4"/>
  <c r="U201" i="4"/>
  <c r="T201" i="4"/>
  <c r="S201" i="4"/>
  <c r="R201" i="4"/>
  <c r="Q201" i="4"/>
  <c r="P201" i="4"/>
  <c r="O201" i="4"/>
  <c r="N201" i="4"/>
  <c r="M201" i="4"/>
  <c r="L201" i="4"/>
  <c r="K201" i="4"/>
  <c r="A196" i="4"/>
  <c r="D193" i="4"/>
  <c r="D194" i="4" s="1"/>
  <c r="D190" i="4"/>
  <c r="A189" i="4"/>
  <c r="AA188" i="4"/>
  <c r="Z188" i="4"/>
  <c r="Y188" i="4"/>
  <c r="X188" i="4"/>
  <c r="W188" i="4"/>
  <c r="V188" i="4"/>
  <c r="U188" i="4"/>
  <c r="T188" i="4"/>
  <c r="S188" i="4"/>
  <c r="R188" i="4"/>
  <c r="Q188" i="4"/>
  <c r="P188" i="4"/>
  <c r="O188" i="4"/>
  <c r="N188" i="4"/>
  <c r="M188" i="4"/>
  <c r="L188" i="4"/>
  <c r="K188" i="4"/>
  <c r="A183" i="4"/>
  <c r="D180" i="4"/>
  <c r="D181" i="4" s="1"/>
  <c r="D177" i="4"/>
  <c r="A176" i="4"/>
  <c r="AA175" i="4"/>
  <c r="Z175" i="4"/>
  <c r="Y175" i="4"/>
  <c r="X175" i="4"/>
  <c r="W175" i="4"/>
  <c r="V175" i="4"/>
  <c r="U175" i="4"/>
  <c r="T175" i="4"/>
  <c r="S175" i="4"/>
  <c r="R175" i="4"/>
  <c r="Q175" i="4"/>
  <c r="P175" i="4"/>
  <c r="O175" i="4"/>
  <c r="N175" i="4"/>
  <c r="M175" i="4"/>
  <c r="L175" i="4"/>
  <c r="K175" i="4"/>
  <c r="A170" i="4"/>
  <c r="D169" i="4"/>
  <c r="E167" i="4" s="1"/>
  <c r="E168" i="4" s="1"/>
  <c r="D168" i="4"/>
  <c r="D167" i="4"/>
  <c r="D164" i="4"/>
  <c r="A163" i="4"/>
  <c r="AA162" i="4"/>
  <c r="Z162" i="4"/>
  <c r="Y162" i="4"/>
  <c r="X162" i="4"/>
  <c r="W162" i="4"/>
  <c r="V162" i="4"/>
  <c r="U162" i="4"/>
  <c r="T162" i="4"/>
  <c r="S162" i="4"/>
  <c r="R162" i="4"/>
  <c r="Q162" i="4"/>
  <c r="P162" i="4"/>
  <c r="O162" i="4"/>
  <c r="N162" i="4"/>
  <c r="M162" i="4"/>
  <c r="L162" i="4"/>
  <c r="K162" i="4"/>
  <c r="A157" i="4"/>
  <c r="D156" i="4"/>
  <c r="E154" i="4" s="1"/>
  <c r="D154" i="4"/>
  <c r="D155" i="4" s="1"/>
  <c r="D151" i="4"/>
  <c r="A150" i="4"/>
  <c r="AA149" i="4"/>
  <c r="Z149" i="4"/>
  <c r="Y149" i="4"/>
  <c r="X149" i="4"/>
  <c r="W149" i="4"/>
  <c r="V149" i="4"/>
  <c r="U149" i="4"/>
  <c r="T149" i="4"/>
  <c r="S149" i="4"/>
  <c r="R149" i="4"/>
  <c r="Q149" i="4"/>
  <c r="P149" i="4"/>
  <c r="O149" i="4"/>
  <c r="N149" i="4"/>
  <c r="M149" i="4"/>
  <c r="L149" i="4"/>
  <c r="K149" i="4"/>
  <c r="A144" i="4"/>
  <c r="D141" i="4"/>
  <c r="D142" i="4" s="1"/>
  <c r="D138" i="4"/>
  <c r="A137" i="4"/>
  <c r="AA136" i="4"/>
  <c r="Z136" i="4"/>
  <c r="Y136" i="4"/>
  <c r="X136" i="4"/>
  <c r="W136" i="4"/>
  <c r="V136" i="4"/>
  <c r="U136" i="4"/>
  <c r="T136" i="4"/>
  <c r="S136" i="4"/>
  <c r="R136" i="4"/>
  <c r="Q136" i="4"/>
  <c r="P136" i="4"/>
  <c r="O136" i="4"/>
  <c r="N136" i="4"/>
  <c r="M136" i="4"/>
  <c r="L136" i="4"/>
  <c r="K136" i="4"/>
  <c r="A131" i="4"/>
  <c r="D128" i="4"/>
  <c r="D129" i="4" s="1"/>
  <c r="D125" i="4"/>
  <c r="A124" i="4"/>
  <c r="AA123" i="4"/>
  <c r="Z123" i="4"/>
  <c r="Y123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A118" i="4"/>
  <c r="D115" i="4"/>
  <c r="D112" i="4"/>
  <c r="A111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A105" i="4"/>
  <c r="D103" i="4"/>
  <c r="D104" i="4" s="1"/>
  <c r="E102" i="4" s="1"/>
  <c r="D102" i="4"/>
  <c r="D99" i="4"/>
  <c r="A98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A92" i="4"/>
  <c r="D89" i="4"/>
  <c r="D90" i="4" s="1"/>
  <c r="D86" i="4"/>
  <c r="A85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A79" i="4"/>
  <c r="D76" i="4"/>
  <c r="D73" i="4"/>
  <c r="A72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A66" i="4"/>
  <c r="D63" i="4"/>
  <c r="D64" i="4" s="1"/>
  <c r="D65" i="4" s="1"/>
  <c r="E63" i="4" s="1"/>
  <c r="D60" i="4"/>
  <c r="A59" i="4"/>
  <c r="AA58" i="4"/>
  <c r="Z58" i="4"/>
  <c r="Y58" i="4"/>
  <c r="Y66" i="4" s="1"/>
  <c r="X58" i="4"/>
  <c r="W58" i="4"/>
  <c r="V58" i="4"/>
  <c r="U58" i="4"/>
  <c r="T58" i="4"/>
  <c r="S58" i="4"/>
  <c r="R58" i="4"/>
  <c r="Q58" i="4"/>
  <c r="Q66" i="4" s="1"/>
  <c r="P58" i="4"/>
  <c r="O58" i="4"/>
  <c r="N58" i="4"/>
  <c r="M58" i="4"/>
  <c r="L58" i="4"/>
  <c r="K58" i="4"/>
  <c r="A53" i="4"/>
  <c r="D50" i="4"/>
  <c r="D47" i="4"/>
  <c r="A45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A35" i="4"/>
  <c r="D32" i="4"/>
  <c r="D29" i="4"/>
  <c r="A27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D20" i="4"/>
  <c r="D46" i="4" s="1"/>
  <c r="D19" i="4"/>
  <c r="D28" i="4" s="1"/>
  <c r="D16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L9" i="4"/>
  <c r="X9" i="4" s="1"/>
  <c r="K9" i="4"/>
  <c r="W7" i="4"/>
  <c r="R42" i="1" s="1"/>
  <c r="AA6" i="4"/>
  <c r="AA7" i="4" s="1"/>
  <c r="R46" i="1" s="1"/>
  <c r="U6" i="4"/>
  <c r="U27" i="4" s="1"/>
  <c r="K6" i="4"/>
  <c r="K7" i="4" s="1"/>
  <c r="R30" i="1" s="1"/>
  <c r="A6" i="4"/>
  <c r="A5" i="4"/>
  <c r="A1" i="4"/>
  <c r="B84" i="2"/>
  <c r="B83" i="2"/>
  <c r="Z6" i="4" s="1"/>
  <c r="B82" i="2"/>
  <c r="Y6" i="4" s="1"/>
  <c r="B81" i="2"/>
  <c r="X6" i="4" s="1"/>
  <c r="B80" i="2"/>
  <c r="W6" i="4" s="1"/>
  <c r="B79" i="2"/>
  <c r="V6" i="4" s="1"/>
  <c r="B78" i="2"/>
  <c r="B77" i="2"/>
  <c r="T6" i="4" s="1"/>
  <c r="B76" i="2"/>
  <c r="S6" i="4" s="1"/>
  <c r="B75" i="2"/>
  <c r="R6" i="4" s="1"/>
  <c r="R7" i="4" s="1"/>
  <c r="R37" i="1" s="1"/>
  <c r="B74" i="2"/>
  <c r="Q6" i="4" s="1"/>
  <c r="B73" i="2"/>
  <c r="P6" i="4" s="1"/>
  <c r="B72" i="2"/>
  <c r="O6" i="4" s="1"/>
  <c r="O27" i="4" s="1"/>
  <c r="B71" i="2"/>
  <c r="N6" i="4" s="1"/>
  <c r="B70" i="2"/>
  <c r="M6" i="4" s="1"/>
  <c r="B69" i="2"/>
  <c r="L6" i="4" s="1"/>
  <c r="B68" i="2"/>
  <c r="B67" i="2"/>
  <c r="J6" i="4" s="1"/>
  <c r="B66" i="2"/>
  <c r="I6" i="4" s="1"/>
  <c r="I7" i="4" s="1"/>
  <c r="R28" i="1" s="1"/>
  <c r="B65" i="2"/>
  <c r="H6" i="4" s="1"/>
  <c r="B64" i="2"/>
  <c r="G6" i="4" s="1"/>
  <c r="B63" i="2"/>
  <c r="F6" i="4" s="1"/>
  <c r="B62" i="2"/>
  <c r="E6" i="4" s="1"/>
  <c r="B61" i="2"/>
  <c r="D6" i="4" s="1"/>
  <c r="B60" i="2"/>
  <c r="A59" i="2"/>
  <c r="B56" i="2"/>
  <c r="E51" i="2"/>
  <c r="D51" i="2"/>
  <c r="C51" i="2"/>
  <c r="B51" i="2"/>
  <c r="A31" i="2"/>
  <c r="B29" i="2"/>
  <c r="B22" i="2"/>
  <c r="F19" i="2"/>
  <c r="E11" i="2"/>
  <c r="D11" i="2"/>
  <c r="C11" i="2"/>
  <c r="A1" i="2"/>
  <c r="B72" i="1"/>
  <c r="F64" i="1"/>
  <c r="K15" i="1"/>
  <c r="K14" i="1"/>
  <c r="K13" i="1"/>
  <c r="K11" i="1"/>
  <c r="K9" i="1"/>
  <c r="B2" i="1"/>
  <c r="B1" i="1"/>
  <c r="B10" i="4" l="1"/>
  <c r="C10" i="4" s="1"/>
  <c r="B97" i="4"/>
  <c r="C97" i="4" s="1"/>
  <c r="AA27" i="4"/>
  <c r="B23" i="4"/>
  <c r="C23" i="4" s="1"/>
  <c r="B22" i="4"/>
  <c r="C22" i="4" s="1"/>
  <c r="B232" i="4"/>
  <c r="C232" i="4" s="1"/>
  <c r="W9" i="4"/>
  <c r="W12" i="4" s="1"/>
  <c r="W14" i="4" s="1"/>
  <c r="B201" i="4"/>
  <c r="C201" i="4" s="1"/>
  <c r="K12" i="4"/>
  <c r="K14" i="4" s="1"/>
  <c r="L19" i="4" s="1"/>
  <c r="L28" i="4" s="1"/>
  <c r="B41" i="4"/>
  <c r="C41" i="4" s="1"/>
  <c r="B220" i="4"/>
  <c r="C220" i="4" s="1"/>
  <c r="B11" i="4"/>
  <c r="C11" i="4" s="1"/>
  <c r="D117" i="4"/>
  <c r="E115" i="4" s="1"/>
  <c r="D116" i="4"/>
  <c r="V239" i="4"/>
  <c r="V227" i="4"/>
  <c r="V215" i="4"/>
  <c r="V189" i="4"/>
  <c r="V202" i="4"/>
  <c r="V176" i="4"/>
  <c r="V163" i="4"/>
  <c r="V150" i="4"/>
  <c r="V137" i="4"/>
  <c r="V111" i="4"/>
  <c r="V72" i="4"/>
  <c r="V124" i="4"/>
  <c r="V85" i="4"/>
  <c r="V59" i="4"/>
  <c r="V27" i="4"/>
  <c r="V45" i="4"/>
  <c r="V98" i="4"/>
  <c r="V7" i="4"/>
  <c r="R41" i="1" s="1"/>
  <c r="F239" i="4"/>
  <c r="F227" i="4"/>
  <c r="F215" i="4"/>
  <c r="F202" i="4"/>
  <c r="F189" i="4"/>
  <c r="F176" i="4"/>
  <c r="F163" i="4"/>
  <c r="F150" i="4"/>
  <c r="F137" i="4"/>
  <c r="F111" i="4"/>
  <c r="F72" i="4"/>
  <c r="F85" i="4"/>
  <c r="F98" i="4"/>
  <c r="F59" i="4"/>
  <c r="F27" i="4"/>
  <c r="F124" i="4"/>
  <c r="F45" i="4"/>
  <c r="F7" i="4"/>
  <c r="R25" i="1" s="1"/>
  <c r="N227" i="4"/>
  <c r="N215" i="4"/>
  <c r="N189" i="4"/>
  <c r="N239" i="4"/>
  <c r="N202" i="4"/>
  <c r="N176" i="4"/>
  <c r="N163" i="4"/>
  <c r="N150" i="4"/>
  <c r="N137" i="4"/>
  <c r="N72" i="4"/>
  <c r="N85" i="4"/>
  <c r="N111" i="4"/>
  <c r="N124" i="4"/>
  <c r="N98" i="4"/>
  <c r="N59" i="4"/>
  <c r="N27" i="4"/>
  <c r="N45" i="4"/>
  <c r="N7" i="4"/>
  <c r="R33" i="1" s="1"/>
  <c r="P239" i="4"/>
  <c r="P227" i="4"/>
  <c r="P202" i="4"/>
  <c r="P189" i="4"/>
  <c r="P176" i="4"/>
  <c r="P163" i="4"/>
  <c r="P137" i="4"/>
  <c r="P124" i="4"/>
  <c r="P150" i="4"/>
  <c r="P85" i="4"/>
  <c r="P111" i="4"/>
  <c r="P59" i="4"/>
  <c r="P215" i="4"/>
  <c r="P98" i="4"/>
  <c r="P27" i="4"/>
  <c r="P45" i="4"/>
  <c r="P72" i="4"/>
  <c r="P7" i="4"/>
  <c r="R35" i="1" s="1"/>
  <c r="X227" i="4"/>
  <c r="X215" i="4"/>
  <c r="X202" i="4"/>
  <c r="X239" i="4"/>
  <c r="X176" i="4"/>
  <c r="X137" i="4"/>
  <c r="X163" i="4"/>
  <c r="X124" i="4"/>
  <c r="X189" i="4"/>
  <c r="X150" i="4"/>
  <c r="X111" i="4"/>
  <c r="X85" i="4"/>
  <c r="X59" i="4"/>
  <c r="X98" i="4"/>
  <c r="X27" i="4"/>
  <c r="X72" i="4"/>
  <c r="X45" i="4"/>
  <c r="X7" i="4"/>
  <c r="R43" i="1" s="1"/>
  <c r="L20" i="4"/>
  <c r="L46" i="4" s="1"/>
  <c r="Y239" i="4"/>
  <c r="Y227" i="4"/>
  <c r="Y202" i="4"/>
  <c r="Y189" i="4"/>
  <c r="Y215" i="4"/>
  <c r="Y163" i="4"/>
  <c r="Y176" i="4"/>
  <c r="Y111" i="4"/>
  <c r="Y150" i="4"/>
  <c r="Y124" i="4"/>
  <c r="Y85" i="4"/>
  <c r="Y59" i="4"/>
  <c r="Y98" i="4"/>
  <c r="Y137" i="4"/>
  <c r="Y72" i="4"/>
  <c r="Y27" i="4"/>
  <c r="Y45" i="4"/>
  <c r="Y7" i="4"/>
  <c r="R44" i="1" s="1"/>
  <c r="J227" i="4"/>
  <c r="J239" i="4"/>
  <c r="J202" i="4"/>
  <c r="J189" i="4"/>
  <c r="J215" i="4"/>
  <c r="J163" i="4"/>
  <c r="J111" i="4"/>
  <c r="J150" i="4"/>
  <c r="J137" i="4"/>
  <c r="J124" i="4"/>
  <c r="J59" i="4"/>
  <c r="J176" i="4"/>
  <c r="J98" i="4"/>
  <c r="J72" i="4"/>
  <c r="J27" i="4"/>
  <c r="J85" i="4"/>
  <c r="J45" i="4"/>
  <c r="J7" i="4"/>
  <c r="R29" i="1" s="1"/>
  <c r="S239" i="4"/>
  <c r="S227" i="4"/>
  <c r="S215" i="4"/>
  <c r="S189" i="4"/>
  <c r="S163" i="4"/>
  <c r="S202" i="4"/>
  <c r="S176" i="4"/>
  <c r="S150" i="4"/>
  <c r="S137" i="4"/>
  <c r="S59" i="4"/>
  <c r="S111" i="4"/>
  <c r="S98" i="4"/>
  <c r="S72" i="4"/>
  <c r="S124" i="4"/>
  <c r="S45" i="4"/>
  <c r="S85" i="4"/>
  <c r="S27" i="4"/>
  <c r="S7" i="4"/>
  <c r="R38" i="1" s="1"/>
  <c r="D239" i="4"/>
  <c r="D227" i="4"/>
  <c r="D189" i="4"/>
  <c r="D176" i="4"/>
  <c r="D215" i="4"/>
  <c r="D202" i="4"/>
  <c r="D124" i="4"/>
  <c r="D163" i="4"/>
  <c r="D111" i="4"/>
  <c r="D98" i="4"/>
  <c r="D137" i="4"/>
  <c r="D72" i="4"/>
  <c r="D150" i="4"/>
  <c r="D85" i="4"/>
  <c r="D45" i="4"/>
  <c r="D59" i="4"/>
  <c r="D27" i="4"/>
  <c r="D7" i="4"/>
  <c r="B6" i="4"/>
  <c r="L239" i="4"/>
  <c r="L227" i="4"/>
  <c r="L215" i="4"/>
  <c r="L202" i="4"/>
  <c r="L189" i="4"/>
  <c r="L176" i="4"/>
  <c r="L124" i="4"/>
  <c r="L163" i="4"/>
  <c r="L111" i="4"/>
  <c r="L150" i="4"/>
  <c r="L98" i="4"/>
  <c r="L72" i="4"/>
  <c r="L85" i="4"/>
  <c r="L45" i="4"/>
  <c r="L137" i="4"/>
  <c r="L59" i="4"/>
  <c r="L27" i="4"/>
  <c r="L7" i="4"/>
  <c r="R31" i="1" s="1"/>
  <c r="T239" i="4"/>
  <c r="T215" i="4"/>
  <c r="T227" i="4"/>
  <c r="T202" i="4"/>
  <c r="T176" i="4"/>
  <c r="T189" i="4"/>
  <c r="T124" i="4"/>
  <c r="T111" i="4"/>
  <c r="T163" i="4"/>
  <c r="T98" i="4"/>
  <c r="T150" i="4"/>
  <c r="T72" i="4"/>
  <c r="T85" i="4"/>
  <c r="T59" i="4"/>
  <c r="T45" i="4"/>
  <c r="T137" i="4"/>
  <c r="T27" i="4"/>
  <c r="T7" i="4"/>
  <c r="R39" i="1" s="1"/>
  <c r="X12" i="4"/>
  <c r="X13" i="4" s="1"/>
  <c r="E239" i="4"/>
  <c r="E227" i="4"/>
  <c r="E215" i="4"/>
  <c r="E176" i="4"/>
  <c r="E189" i="4"/>
  <c r="E163" i="4"/>
  <c r="E124" i="4"/>
  <c r="E202" i="4"/>
  <c r="E111" i="4"/>
  <c r="E150" i="4"/>
  <c r="E137" i="4"/>
  <c r="E72" i="4"/>
  <c r="E85" i="4"/>
  <c r="E98" i="4"/>
  <c r="E59" i="4"/>
  <c r="E7" i="4"/>
  <c r="R24" i="1" s="1"/>
  <c r="E45" i="4"/>
  <c r="E27" i="4"/>
  <c r="M239" i="4"/>
  <c r="M215" i="4"/>
  <c r="M202" i="4"/>
  <c r="M189" i="4"/>
  <c r="M176" i="4"/>
  <c r="M227" i="4"/>
  <c r="M163" i="4"/>
  <c r="M124" i="4"/>
  <c r="M111" i="4"/>
  <c r="M150" i="4"/>
  <c r="M137" i="4"/>
  <c r="M72" i="4"/>
  <c r="M85" i="4"/>
  <c r="M98" i="4"/>
  <c r="M59" i="4"/>
  <c r="M7" i="4"/>
  <c r="R32" i="1" s="1"/>
  <c r="M45" i="4"/>
  <c r="M27" i="4"/>
  <c r="Q239" i="4"/>
  <c r="Q202" i="4"/>
  <c r="Q227" i="4"/>
  <c r="Q215" i="4"/>
  <c r="Q189" i="4"/>
  <c r="Q163" i="4"/>
  <c r="Q176" i="4"/>
  <c r="Q111" i="4"/>
  <c r="Q150" i="4"/>
  <c r="Q124" i="4"/>
  <c r="Q137" i="4"/>
  <c r="Q85" i="4"/>
  <c r="Q59" i="4"/>
  <c r="Q98" i="4"/>
  <c r="Q72" i="4"/>
  <c r="Q27" i="4"/>
  <c r="Q45" i="4"/>
  <c r="I239" i="4"/>
  <c r="I215" i="4"/>
  <c r="I189" i="4"/>
  <c r="I163" i="4"/>
  <c r="I202" i="4"/>
  <c r="I176" i="4"/>
  <c r="I227" i="4"/>
  <c r="I111" i="4"/>
  <c r="I150" i="4"/>
  <c r="I124" i="4"/>
  <c r="I137" i="4"/>
  <c r="I85" i="4"/>
  <c r="I59" i="4"/>
  <c r="I98" i="4"/>
  <c r="I72" i="4"/>
  <c r="I27" i="4"/>
  <c r="I45" i="4"/>
  <c r="R227" i="4"/>
  <c r="R202" i="4"/>
  <c r="R239" i="4"/>
  <c r="R215" i="4"/>
  <c r="R189" i="4"/>
  <c r="R163" i="4"/>
  <c r="R111" i="4"/>
  <c r="R176" i="4"/>
  <c r="R150" i="4"/>
  <c r="R137" i="4"/>
  <c r="R124" i="4"/>
  <c r="R59" i="4"/>
  <c r="R98" i="4"/>
  <c r="R72" i="4"/>
  <c r="R27" i="4"/>
  <c r="R45" i="4"/>
  <c r="R85" i="4"/>
  <c r="AA239" i="4"/>
  <c r="AA227" i="4"/>
  <c r="AA215" i="4"/>
  <c r="AA189" i="4"/>
  <c r="AA202" i="4"/>
  <c r="AA176" i="4"/>
  <c r="AA163" i="4"/>
  <c r="AA150" i="4"/>
  <c r="AA137" i="4"/>
  <c r="AA124" i="4"/>
  <c r="AA59" i="4"/>
  <c r="AA98" i="4"/>
  <c r="AA72" i="4"/>
  <c r="AA45" i="4"/>
  <c r="AA85" i="4"/>
  <c r="AA111" i="4"/>
  <c r="E64" i="4"/>
  <c r="E65" i="4" s="1"/>
  <c r="F63" i="4" s="1"/>
  <c r="L12" i="4"/>
  <c r="L14" i="4" s="1"/>
  <c r="H227" i="4"/>
  <c r="H239" i="4"/>
  <c r="H215" i="4"/>
  <c r="H202" i="4"/>
  <c r="H189" i="4"/>
  <c r="H176" i="4"/>
  <c r="H137" i="4"/>
  <c r="H124" i="4"/>
  <c r="H163" i="4"/>
  <c r="H150" i="4"/>
  <c r="H85" i="4"/>
  <c r="H59" i="4"/>
  <c r="H98" i="4"/>
  <c r="H27" i="4"/>
  <c r="H45" i="4"/>
  <c r="H111" i="4"/>
  <c r="H72" i="4"/>
  <c r="Z239" i="4"/>
  <c r="Z227" i="4"/>
  <c r="Z202" i="4"/>
  <c r="Z189" i="4"/>
  <c r="Z215" i="4"/>
  <c r="Z163" i="4"/>
  <c r="Z111" i="4"/>
  <c r="Z150" i="4"/>
  <c r="Z176" i="4"/>
  <c r="Z137" i="4"/>
  <c r="Z124" i="4"/>
  <c r="Z59" i="4"/>
  <c r="Z98" i="4"/>
  <c r="Z72" i="4"/>
  <c r="Z27" i="4"/>
  <c r="Z45" i="4"/>
  <c r="Z85" i="4"/>
  <c r="N246" i="4"/>
  <c r="H234" i="4"/>
  <c r="G234" i="4"/>
  <c r="V246" i="4"/>
  <c r="E234" i="4"/>
  <c r="G246" i="4"/>
  <c r="D234" i="4"/>
  <c r="F246" i="4"/>
  <c r="O246" i="4"/>
  <c r="Z234" i="4"/>
  <c r="F234" i="4"/>
  <c r="G209" i="4"/>
  <c r="V234" i="4"/>
  <c r="D246" i="4"/>
  <c r="R234" i="4"/>
  <c r="D209" i="4"/>
  <c r="L246" i="4"/>
  <c r="I209" i="4"/>
  <c r="Y234" i="4"/>
  <c r="Z209" i="4"/>
  <c r="E209" i="4"/>
  <c r="H196" i="4"/>
  <c r="Q234" i="4"/>
  <c r="F222" i="4"/>
  <c r="N234" i="4"/>
  <c r="X209" i="4"/>
  <c r="M209" i="4"/>
  <c r="J234" i="4"/>
  <c r="R209" i="4"/>
  <c r="I196" i="4"/>
  <c r="E183" i="4"/>
  <c r="W246" i="4"/>
  <c r="S246" i="4"/>
  <c r="J209" i="4"/>
  <c r="O196" i="4"/>
  <c r="E196" i="4"/>
  <c r="J183" i="4"/>
  <c r="H209" i="4"/>
  <c r="Y196" i="4"/>
  <c r="D196" i="4"/>
  <c r="I183" i="4"/>
  <c r="V222" i="4"/>
  <c r="F209" i="4"/>
  <c r="H183" i="4"/>
  <c r="G183" i="4"/>
  <c r="Q209" i="4"/>
  <c r="R196" i="4"/>
  <c r="H170" i="4"/>
  <c r="E157" i="4"/>
  <c r="K209" i="4"/>
  <c r="Q196" i="4"/>
  <c r="G170" i="4"/>
  <c r="D157" i="4"/>
  <c r="J196" i="4"/>
  <c r="F183" i="4"/>
  <c r="F170" i="4"/>
  <c r="G196" i="4"/>
  <c r="I234" i="4"/>
  <c r="H157" i="4"/>
  <c r="J170" i="4"/>
  <c r="G157" i="4"/>
  <c r="F196" i="4"/>
  <c r="AA183" i="4"/>
  <c r="U170" i="4"/>
  <c r="E144" i="4"/>
  <c r="J131" i="4"/>
  <c r="G118" i="4"/>
  <c r="D105" i="4"/>
  <c r="T170" i="4"/>
  <c r="D144" i="4"/>
  <c r="I131" i="4"/>
  <c r="F118" i="4"/>
  <c r="N183" i="4"/>
  <c r="Q170" i="4"/>
  <c r="J157" i="4"/>
  <c r="I170" i="4"/>
  <c r="H144" i="4"/>
  <c r="E131" i="4"/>
  <c r="J118" i="4"/>
  <c r="G105" i="4"/>
  <c r="E170" i="4"/>
  <c r="G144" i="4"/>
  <c r="D131" i="4"/>
  <c r="I118" i="4"/>
  <c r="F105" i="4"/>
  <c r="U209" i="4"/>
  <c r="I157" i="4"/>
  <c r="S144" i="4"/>
  <c r="AA131" i="4"/>
  <c r="K131" i="4"/>
  <c r="U118" i="4"/>
  <c r="E118" i="4"/>
  <c r="L222" i="4"/>
  <c r="U196" i="4"/>
  <c r="F157" i="4"/>
  <c r="R144" i="4"/>
  <c r="X131" i="4"/>
  <c r="H131" i="4"/>
  <c r="T118" i="4"/>
  <c r="D118" i="4"/>
  <c r="D183" i="4"/>
  <c r="Y170" i="4"/>
  <c r="N144" i="4"/>
  <c r="F131" i="4"/>
  <c r="M170" i="4"/>
  <c r="AA144" i="4"/>
  <c r="K144" i="4"/>
  <c r="S131" i="4"/>
  <c r="M118" i="4"/>
  <c r="J105" i="4"/>
  <c r="L170" i="4"/>
  <c r="Z144" i="4"/>
  <c r="J144" i="4"/>
  <c r="P131" i="4"/>
  <c r="L118" i="4"/>
  <c r="F144" i="4"/>
  <c r="O131" i="4"/>
  <c r="X118" i="4"/>
  <c r="F92" i="4"/>
  <c r="H66" i="4"/>
  <c r="I105" i="4"/>
  <c r="E92" i="4"/>
  <c r="J79" i="4"/>
  <c r="G66" i="4"/>
  <c r="G131" i="4"/>
  <c r="P118" i="4"/>
  <c r="H105" i="4"/>
  <c r="D92" i="4"/>
  <c r="I79" i="4"/>
  <c r="F66" i="4"/>
  <c r="K118" i="4"/>
  <c r="E105" i="4"/>
  <c r="H79" i="4"/>
  <c r="E66" i="4"/>
  <c r="H118" i="4"/>
  <c r="J92" i="4"/>
  <c r="G79" i="4"/>
  <c r="D66" i="4"/>
  <c r="Y92" i="4"/>
  <c r="Q92" i="4"/>
  <c r="I92" i="4"/>
  <c r="V79" i="4"/>
  <c r="N79" i="4"/>
  <c r="F79" i="4"/>
  <c r="AA66" i="4"/>
  <c r="S66" i="4"/>
  <c r="K66" i="4"/>
  <c r="I144" i="4"/>
  <c r="O92" i="4"/>
  <c r="E79" i="4"/>
  <c r="Z66" i="4"/>
  <c r="W131" i="4"/>
  <c r="H92" i="4"/>
  <c r="D79" i="4"/>
  <c r="Z157" i="4"/>
  <c r="G92" i="4"/>
  <c r="R66" i="4"/>
  <c r="R157" i="4"/>
  <c r="U79" i="4"/>
  <c r="J66" i="4"/>
  <c r="AA118" i="4"/>
  <c r="X92" i="4"/>
  <c r="T79" i="4"/>
  <c r="I66" i="4"/>
  <c r="W92" i="4"/>
  <c r="M79" i="4"/>
  <c r="D170" i="4"/>
  <c r="V144" i="4"/>
  <c r="P92" i="4"/>
  <c r="L79" i="4"/>
  <c r="G227" i="4"/>
  <c r="G239" i="4"/>
  <c r="G202" i="4"/>
  <c r="G215" i="4"/>
  <c r="G189" i="4"/>
  <c r="G137" i="4"/>
  <c r="G176" i="4"/>
  <c r="G124" i="4"/>
  <c r="G163" i="4"/>
  <c r="G111" i="4"/>
  <c r="G85" i="4"/>
  <c r="G150" i="4"/>
  <c r="G59" i="4"/>
  <c r="G98" i="4"/>
  <c r="G72" i="4"/>
  <c r="G45" i="4"/>
  <c r="O239" i="4"/>
  <c r="O227" i="4"/>
  <c r="O202" i="4"/>
  <c r="O215" i="4"/>
  <c r="O163" i="4"/>
  <c r="O137" i="4"/>
  <c r="O176" i="4"/>
  <c r="O124" i="4"/>
  <c r="O150" i="4"/>
  <c r="O189" i="4"/>
  <c r="O85" i="4"/>
  <c r="O111" i="4"/>
  <c r="O59" i="4"/>
  <c r="O98" i="4"/>
  <c r="O45" i="4"/>
  <c r="O72" i="4"/>
  <c r="W239" i="4"/>
  <c r="W227" i="4"/>
  <c r="W202" i="4"/>
  <c r="W215" i="4"/>
  <c r="W189" i="4"/>
  <c r="W137" i="4"/>
  <c r="W163" i="4"/>
  <c r="W124" i="4"/>
  <c r="W111" i="4"/>
  <c r="W176" i="4"/>
  <c r="W150" i="4"/>
  <c r="W85" i="4"/>
  <c r="W59" i="4"/>
  <c r="W98" i="4"/>
  <c r="W72" i="4"/>
  <c r="W45" i="4"/>
  <c r="K239" i="4"/>
  <c r="K227" i="4"/>
  <c r="K215" i="4"/>
  <c r="K202" i="4"/>
  <c r="K163" i="4"/>
  <c r="K189" i="4"/>
  <c r="K150" i="4"/>
  <c r="K137" i="4"/>
  <c r="K124" i="4"/>
  <c r="K59" i="4"/>
  <c r="K176" i="4"/>
  <c r="K98" i="4"/>
  <c r="K72" i="4"/>
  <c r="K111" i="4"/>
  <c r="K85" i="4"/>
  <c r="K45" i="4"/>
  <c r="W27" i="4"/>
  <c r="O7" i="4"/>
  <c r="R34" i="1" s="1"/>
  <c r="G27" i="4"/>
  <c r="G7" i="4"/>
  <c r="R26" i="1" s="1"/>
  <c r="K27" i="4"/>
  <c r="U239" i="4"/>
  <c r="U227" i="4"/>
  <c r="U202" i="4"/>
  <c r="U176" i="4"/>
  <c r="U215" i="4"/>
  <c r="U189" i="4"/>
  <c r="U163" i="4"/>
  <c r="U124" i="4"/>
  <c r="U111" i="4"/>
  <c r="U150" i="4"/>
  <c r="U137" i="4"/>
  <c r="U72" i="4"/>
  <c r="U85" i="4"/>
  <c r="U98" i="4"/>
  <c r="U7" i="4"/>
  <c r="R40" i="1" s="1"/>
  <c r="U59" i="4"/>
  <c r="U45" i="4"/>
  <c r="H7" i="4"/>
  <c r="R27" i="1" s="1"/>
  <c r="Q7" i="4"/>
  <c r="R36" i="1" s="1"/>
  <c r="Z7" i="4"/>
  <c r="R45" i="1" s="1"/>
  <c r="B40" i="4"/>
  <c r="C40" i="4" s="1"/>
  <c r="L66" i="4"/>
  <c r="T66" i="4"/>
  <c r="Q24" i="10"/>
  <c r="S20" i="10"/>
  <c r="S24" i="10" s="1"/>
  <c r="M66" i="4"/>
  <c r="U66" i="4"/>
  <c r="O79" i="4"/>
  <c r="W79" i="4"/>
  <c r="R92" i="4"/>
  <c r="Z92" i="4"/>
  <c r="E103" i="4"/>
  <c r="N118" i="4"/>
  <c r="B110" i="4"/>
  <c r="C110" i="4" s="1"/>
  <c r="N131" i="4"/>
  <c r="B123" i="4"/>
  <c r="C123" i="4" s="1"/>
  <c r="V131" i="4"/>
  <c r="N66" i="4"/>
  <c r="V66" i="4"/>
  <c r="P79" i="4"/>
  <c r="X79" i="4"/>
  <c r="K92" i="4"/>
  <c r="S92" i="4"/>
  <c r="AA92" i="4"/>
  <c r="O66" i="4"/>
  <c r="W66" i="4"/>
  <c r="Q79" i="4"/>
  <c r="Y79" i="4"/>
  <c r="L92" i="4"/>
  <c r="T92" i="4"/>
  <c r="M105" i="4"/>
  <c r="U105" i="4"/>
  <c r="P66" i="4"/>
  <c r="X66" i="4"/>
  <c r="R79" i="4"/>
  <c r="Z79" i="4"/>
  <c r="M92" i="4"/>
  <c r="B84" i="4"/>
  <c r="C84" i="4" s="1"/>
  <c r="U92" i="4"/>
  <c r="K79" i="4"/>
  <c r="B71" i="4"/>
  <c r="C71" i="4" s="1"/>
  <c r="S79" i="4"/>
  <c r="AA79" i="4"/>
  <c r="N92" i="4"/>
  <c r="V92" i="4"/>
  <c r="B58" i="4"/>
  <c r="C58" i="4" s="1"/>
  <c r="X105" i="4"/>
  <c r="P105" i="4"/>
  <c r="D91" i="4"/>
  <c r="E89" i="4" s="1"/>
  <c r="Y105" i="4"/>
  <c r="Q105" i="4"/>
  <c r="P144" i="4"/>
  <c r="X144" i="4"/>
  <c r="Z105" i="4"/>
  <c r="R105" i="4"/>
  <c r="Q144" i="4"/>
  <c r="Y144" i="4"/>
  <c r="K105" i="4"/>
  <c r="S105" i="4"/>
  <c r="AA105" i="4"/>
  <c r="D143" i="4"/>
  <c r="E141" i="4" s="1"/>
  <c r="K170" i="4"/>
  <c r="B162" i="4"/>
  <c r="C162" i="4" s="1"/>
  <c r="S170" i="4"/>
  <c r="AA170" i="4"/>
  <c r="D77" i="4"/>
  <c r="D78" i="4" s="1"/>
  <c r="E76" i="4" s="1"/>
  <c r="L105" i="4"/>
  <c r="T105" i="4"/>
  <c r="Q118" i="4"/>
  <c r="Y118" i="4"/>
  <c r="N157" i="4"/>
  <c r="V157" i="4"/>
  <c r="R118" i="4"/>
  <c r="Z118" i="4"/>
  <c r="R131" i="4"/>
  <c r="B136" i="4"/>
  <c r="C136" i="4" s="1"/>
  <c r="N105" i="4"/>
  <c r="V105" i="4"/>
  <c r="S118" i="4"/>
  <c r="M144" i="4"/>
  <c r="U144" i="4"/>
  <c r="E156" i="4"/>
  <c r="F154" i="4" s="1"/>
  <c r="E155" i="4"/>
  <c r="O105" i="4"/>
  <c r="W105" i="4"/>
  <c r="V118" i="4"/>
  <c r="O157" i="4"/>
  <c r="W157" i="4"/>
  <c r="O118" i="4"/>
  <c r="W118" i="4"/>
  <c r="Q131" i="4"/>
  <c r="Y131" i="4"/>
  <c r="D130" i="4"/>
  <c r="E128" i="4" s="1"/>
  <c r="Z131" i="4"/>
  <c r="L144" i="4"/>
  <c r="T144" i="4"/>
  <c r="Q157" i="4"/>
  <c r="Y157" i="4"/>
  <c r="N170" i="4"/>
  <c r="V170" i="4"/>
  <c r="O170" i="4"/>
  <c r="W170" i="4"/>
  <c r="E116" i="4"/>
  <c r="E117" i="4" s="1"/>
  <c r="F115" i="4" s="1"/>
  <c r="L131" i="4"/>
  <c r="T131" i="4"/>
  <c r="K157" i="4"/>
  <c r="B149" i="4"/>
  <c r="C149" i="4" s="1"/>
  <c r="S157" i="4"/>
  <c r="AA157" i="4"/>
  <c r="M131" i="4"/>
  <c r="U131" i="4"/>
  <c r="O144" i="4"/>
  <c r="W144" i="4"/>
  <c r="L157" i="4"/>
  <c r="T157" i="4"/>
  <c r="M183" i="4"/>
  <c r="U183" i="4"/>
  <c r="P157" i="4"/>
  <c r="X157" i="4"/>
  <c r="M196" i="4"/>
  <c r="N196" i="4"/>
  <c r="V196" i="4"/>
  <c r="K222" i="4"/>
  <c r="S222" i="4"/>
  <c r="AA222" i="4"/>
  <c r="P170" i="4"/>
  <c r="X170" i="4"/>
  <c r="R183" i="4"/>
  <c r="Z183" i="4"/>
  <c r="M157" i="4"/>
  <c r="U157" i="4"/>
  <c r="E169" i="4"/>
  <c r="F167" i="4" s="1"/>
  <c r="K183" i="4"/>
  <c r="S183" i="4"/>
  <c r="V183" i="4"/>
  <c r="Z196" i="4"/>
  <c r="R170" i="4"/>
  <c r="Z170" i="4"/>
  <c r="L183" i="4"/>
  <c r="N209" i="4"/>
  <c r="V209" i="4"/>
  <c r="T183" i="4"/>
  <c r="L196" i="4"/>
  <c r="T196" i="4"/>
  <c r="K246" i="4"/>
  <c r="AA246" i="4"/>
  <c r="O183" i="4"/>
  <c r="W183" i="4"/>
  <c r="W196" i="4"/>
  <c r="P209" i="4"/>
  <c r="P183" i="4"/>
  <c r="X183" i="4"/>
  <c r="D182" i="4"/>
  <c r="E180" i="4" s="1"/>
  <c r="P196" i="4"/>
  <c r="X196" i="4"/>
  <c r="B175" i="4"/>
  <c r="C175" i="4" s="1"/>
  <c r="Q183" i="4"/>
  <c r="Y183" i="4"/>
  <c r="Y209" i="4"/>
  <c r="D208" i="4"/>
  <c r="E206" i="4" s="1"/>
  <c r="D207" i="4"/>
  <c r="N222" i="4"/>
  <c r="AA209" i="4"/>
  <c r="G222" i="4"/>
  <c r="O222" i="4"/>
  <c r="W222" i="4"/>
  <c r="K196" i="4"/>
  <c r="B188" i="4"/>
  <c r="C188" i="4" s="1"/>
  <c r="S196" i="4"/>
  <c r="AA196" i="4"/>
  <c r="S209" i="4"/>
  <c r="K234" i="4"/>
  <c r="S234" i="4"/>
  <c r="AA234" i="4"/>
  <c r="H246" i="4"/>
  <c r="P246" i="4"/>
  <c r="X246" i="4"/>
  <c r="L209" i="4"/>
  <c r="T209" i="4"/>
  <c r="L234" i="4"/>
  <c r="T234" i="4"/>
  <c r="P132" i="11"/>
  <c r="L4" i="6"/>
  <c r="P133" i="11"/>
  <c r="L3" i="6"/>
  <c r="D195" i="4"/>
  <c r="E193" i="4" s="1"/>
  <c r="O209" i="4"/>
  <c r="W209" i="4"/>
  <c r="D222" i="4"/>
  <c r="B214" i="4"/>
  <c r="C214" i="4" s="1"/>
  <c r="T222" i="4"/>
  <c r="O234" i="4"/>
  <c r="W234" i="4"/>
  <c r="T246" i="4"/>
  <c r="H222" i="4"/>
  <c r="P222" i="4"/>
  <c r="X222" i="4"/>
  <c r="B238" i="4"/>
  <c r="C238" i="4" s="1"/>
  <c r="E246" i="4"/>
  <c r="M246" i="4"/>
  <c r="U246" i="4"/>
  <c r="J222" i="4"/>
  <c r="R222" i="4"/>
  <c r="Z222" i="4"/>
  <c r="E222" i="4"/>
  <c r="M222" i="4"/>
  <c r="U222" i="4"/>
  <c r="Q9" i="10"/>
  <c r="S9" i="10" s="1"/>
  <c r="M234" i="4"/>
  <c r="U234" i="4"/>
  <c r="J17" i="10"/>
  <c r="B244" i="4"/>
  <c r="C244" i="4" s="1"/>
  <c r="I222" i="4"/>
  <c r="Q222" i="4"/>
  <c r="Y222" i="4"/>
  <c r="P234" i="4"/>
  <c r="X234" i="4"/>
  <c r="I246" i="4"/>
  <c r="Q246" i="4"/>
  <c r="Y246" i="4"/>
  <c r="Q30" i="10"/>
  <c r="S26" i="10"/>
  <c r="S30" i="10" s="1"/>
  <c r="D17" i="10"/>
  <c r="Q14" i="10"/>
  <c r="B226" i="4"/>
  <c r="C226" i="4" s="1"/>
  <c r="J246" i="4"/>
  <c r="R246" i="4"/>
  <c r="Z246" i="4"/>
  <c r="Q11" i="10"/>
  <c r="S11" i="10" s="1"/>
  <c r="D24" i="10"/>
  <c r="G3" i="8"/>
  <c r="F4" i="8" s="1"/>
  <c r="H9" i="10"/>
  <c r="H17" i="10" s="1"/>
  <c r="Q5" i="10"/>
  <c r="S5" i="10" s="1"/>
  <c r="H4" i="6"/>
  <c r="G4" i="6"/>
  <c r="F5" i="6" s="1"/>
  <c r="H5" i="7"/>
  <c r="G5" i="7"/>
  <c r="H24" i="10"/>
  <c r="J30" i="10"/>
  <c r="F14" i="10"/>
  <c r="F17" i="10" s="1"/>
  <c r="N14" i="10"/>
  <c r="N17" i="10" s="1"/>
  <c r="I17" i="10"/>
  <c r="D30" i="10"/>
  <c r="L30" i="10"/>
  <c r="W13" i="4" l="1"/>
  <c r="T253" i="4"/>
  <c r="AA253" i="4"/>
  <c r="O253" i="4"/>
  <c r="X253" i="4"/>
  <c r="U253" i="4"/>
  <c r="K13" i="4"/>
  <c r="E77" i="4"/>
  <c r="E78" i="4" s="1"/>
  <c r="F76" i="4" s="1"/>
  <c r="F64" i="4"/>
  <c r="B144" i="4"/>
  <c r="C144" i="4" s="1"/>
  <c r="K42" i="4"/>
  <c r="W42" i="4"/>
  <c r="K253" i="4"/>
  <c r="B183" i="4"/>
  <c r="C183" i="4" s="1"/>
  <c r="B157" i="4"/>
  <c r="C157" i="4" s="1"/>
  <c r="B150" i="4"/>
  <c r="C150" i="4" s="1"/>
  <c r="D152" i="4"/>
  <c r="B215" i="4"/>
  <c r="C215" i="4" s="1"/>
  <c r="D217" i="4"/>
  <c r="S253" i="4"/>
  <c r="V253" i="4"/>
  <c r="I5" i="7"/>
  <c r="F6" i="7"/>
  <c r="B222" i="4"/>
  <c r="C222" i="4" s="1"/>
  <c r="G253" i="4"/>
  <c r="B118" i="4"/>
  <c r="C118" i="4" s="1"/>
  <c r="B105" i="4"/>
  <c r="C105" i="4" s="1"/>
  <c r="Z253" i="4"/>
  <c r="L13" i="4"/>
  <c r="R253" i="4"/>
  <c r="I253" i="4"/>
  <c r="L253" i="4"/>
  <c r="B72" i="4"/>
  <c r="C72" i="4" s="1"/>
  <c r="D74" i="4"/>
  <c r="D178" i="4"/>
  <c r="B176" i="4"/>
  <c r="C176" i="4" s="1"/>
  <c r="P253" i="4"/>
  <c r="D87" i="4"/>
  <c r="B85" i="4"/>
  <c r="C85" i="4" s="1"/>
  <c r="S14" i="10"/>
  <c r="Q17" i="10"/>
  <c r="S17" i="10" s="1"/>
  <c r="X42" i="4"/>
  <c r="L42" i="4"/>
  <c r="E142" i="4"/>
  <c r="E143" i="4" s="1"/>
  <c r="F141" i="4" s="1"/>
  <c r="B131" i="4"/>
  <c r="C131" i="4" s="1"/>
  <c r="M20" i="4"/>
  <c r="M46" i="4" s="1"/>
  <c r="M19" i="4"/>
  <c r="M28" i="4" s="1"/>
  <c r="K12" i="1"/>
  <c r="B5" i="1"/>
  <c r="C6" i="4"/>
  <c r="D139" i="4"/>
  <c r="B137" i="4"/>
  <c r="C137" i="4" s="1"/>
  <c r="D191" i="4"/>
  <c r="B189" i="4"/>
  <c r="C189" i="4" s="1"/>
  <c r="H5" i="6"/>
  <c r="G5" i="6"/>
  <c r="F6" i="6" s="1"/>
  <c r="G4" i="8"/>
  <c r="F5" i="8" s="1"/>
  <c r="I4" i="8"/>
  <c r="H4" i="8"/>
  <c r="F116" i="4"/>
  <c r="W253" i="4"/>
  <c r="B79" i="4"/>
  <c r="C79" i="4" s="1"/>
  <c r="B66" i="4"/>
  <c r="C66" i="4" s="1"/>
  <c r="H253" i="4"/>
  <c r="R23" i="1"/>
  <c r="B7" i="4"/>
  <c r="B98" i="4"/>
  <c r="C98" i="4" s="1"/>
  <c r="D100" i="4"/>
  <c r="B227" i="4"/>
  <c r="C227" i="4" s="1"/>
  <c r="D229" i="4"/>
  <c r="N253" i="4"/>
  <c r="F155" i="4"/>
  <c r="F156" i="4" s="1"/>
  <c r="G154" i="4" s="1"/>
  <c r="I3" i="8"/>
  <c r="E182" i="4"/>
  <c r="F180" i="4" s="1"/>
  <c r="E181" i="4"/>
  <c r="E130" i="4"/>
  <c r="F128" i="4" s="1"/>
  <c r="E129" i="4"/>
  <c r="X20" i="4"/>
  <c r="X46" i="4" s="1"/>
  <c r="X19" i="4"/>
  <c r="X28" i="4" s="1"/>
  <c r="Q253" i="4"/>
  <c r="M253" i="4"/>
  <c r="X14" i="4"/>
  <c r="D253" i="4"/>
  <c r="B27" i="4"/>
  <c r="C27" i="4" s="1"/>
  <c r="B111" i="4"/>
  <c r="C111" i="4" s="1"/>
  <c r="D113" i="4"/>
  <c r="D241" i="4"/>
  <c r="B239" i="4"/>
  <c r="C239" i="4" s="1"/>
  <c r="B202" i="4"/>
  <c r="C202" i="4" s="1"/>
  <c r="D204" i="4"/>
  <c r="I4" i="6"/>
  <c r="J4" i="6" s="1"/>
  <c r="E207" i="4"/>
  <c r="E208" i="4" s="1"/>
  <c r="F206" i="4" s="1"/>
  <c r="B92" i="4"/>
  <c r="C92" i="4" s="1"/>
  <c r="B196" i="4"/>
  <c r="C196" i="4" s="1"/>
  <c r="B209" i="4"/>
  <c r="C209" i="4" s="1"/>
  <c r="B59" i="4"/>
  <c r="C59" i="4" s="1"/>
  <c r="D61" i="4"/>
  <c r="B163" i="4"/>
  <c r="C163" i="4" s="1"/>
  <c r="D165" i="4"/>
  <c r="J253" i="4"/>
  <c r="B246" i="4"/>
  <c r="C246" i="4" s="1"/>
  <c r="E194" i="4"/>
  <c r="F168" i="4"/>
  <c r="F169" i="4" s="1"/>
  <c r="G167" i="4" s="1"/>
  <c r="E90" i="4"/>
  <c r="E104" i="4"/>
  <c r="F102" i="4" s="1"/>
  <c r="B170" i="4"/>
  <c r="C170" i="4" s="1"/>
  <c r="B234" i="4"/>
  <c r="C234" i="4" s="1"/>
  <c r="E253" i="4"/>
  <c r="B45" i="4"/>
  <c r="C45" i="4" s="1"/>
  <c r="D126" i="4"/>
  <c r="B124" i="4"/>
  <c r="C124" i="4" s="1"/>
  <c r="Y253" i="4"/>
  <c r="F253" i="4"/>
  <c r="F207" i="4" l="1"/>
  <c r="F208" i="4" s="1"/>
  <c r="G206" i="4" s="1"/>
  <c r="G155" i="4"/>
  <c r="G156" i="4" s="1"/>
  <c r="H154" i="4" s="1"/>
  <c r="F77" i="4"/>
  <c r="B253" i="4"/>
  <c r="D179" i="4"/>
  <c r="J5" i="7"/>
  <c r="L5" i="6" s="1"/>
  <c r="M9" i="4"/>
  <c r="Y19" i="4"/>
  <c r="Y28" i="4" s="1"/>
  <c r="Y20" i="4"/>
  <c r="Y46" i="4" s="1"/>
  <c r="I5" i="6"/>
  <c r="J5" i="6" s="1"/>
  <c r="D75" i="4"/>
  <c r="D218" i="4"/>
  <c r="W43" i="4"/>
  <c r="W44" i="4" s="1"/>
  <c r="D127" i="4"/>
  <c r="F103" i="4"/>
  <c r="F104" i="4" s="1"/>
  <c r="G102" i="4" s="1"/>
  <c r="F129" i="4"/>
  <c r="F130" i="4" s="1"/>
  <c r="G128" i="4" s="1"/>
  <c r="F182" i="4"/>
  <c r="G180" i="4" s="1"/>
  <c r="F181" i="4"/>
  <c r="P131" i="11"/>
  <c r="D101" i="4"/>
  <c r="K43" i="4"/>
  <c r="K44" i="4" s="1"/>
  <c r="D140" i="4"/>
  <c r="D205" i="4"/>
  <c r="D242" i="4"/>
  <c r="D153" i="4"/>
  <c r="I6" i="7"/>
  <c r="H6" i="7"/>
  <c r="G6" i="7"/>
  <c r="F7" i="7" s="1"/>
  <c r="D230" i="4"/>
  <c r="E91" i="4"/>
  <c r="F89" i="4" s="1"/>
  <c r="E195" i="4"/>
  <c r="F193" i="4" s="1"/>
  <c r="D166" i="4"/>
  <c r="D114" i="4"/>
  <c r="E12" i="1"/>
  <c r="G12" i="1"/>
  <c r="C7" i="4"/>
  <c r="D5" i="1"/>
  <c r="F117" i="4"/>
  <c r="G115" i="4" s="1"/>
  <c r="L43" i="4"/>
  <c r="L44" i="4" s="1"/>
  <c r="G6" i="6"/>
  <c r="F7" i="6" s="1"/>
  <c r="H6" i="6"/>
  <c r="J4" i="8"/>
  <c r="L24" i="4"/>
  <c r="D192" i="4"/>
  <c r="X43" i="4"/>
  <c r="X44" i="4"/>
  <c r="D88" i="4"/>
  <c r="F65" i="4"/>
  <c r="G63" i="4" s="1"/>
  <c r="J3" i="8"/>
  <c r="K24" i="4"/>
  <c r="G168" i="4"/>
  <c r="G169" i="4"/>
  <c r="H167" i="4" s="1"/>
  <c r="D62" i="4"/>
  <c r="G5" i="8"/>
  <c r="F6" i="8" s="1"/>
  <c r="H5" i="8"/>
  <c r="F142" i="4"/>
  <c r="F143" i="4" s="1"/>
  <c r="G141" i="4" s="1"/>
  <c r="H155" i="4" l="1"/>
  <c r="G207" i="4"/>
  <c r="D106" i="4"/>
  <c r="E99" i="4"/>
  <c r="I5" i="8"/>
  <c r="G64" i="4"/>
  <c r="G65" i="4" s="1"/>
  <c r="H63" i="4" s="1"/>
  <c r="E190" i="4"/>
  <c r="D197" i="4"/>
  <c r="E151" i="4"/>
  <c r="D158" i="4"/>
  <c r="F78" i="4"/>
  <c r="G76" i="4" s="1"/>
  <c r="E216" i="4"/>
  <c r="D223" i="4"/>
  <c r="D67" i="4"/>
  <c r="E60" i="4"/>
  <c r="D93" i="4"/>
  <c r="E86" i="4"/>
  <c r="F90" i="4"/>
  <c r="F91" i="4" s="1"/>
  <c r="G89" i="4" s="1"/>
  <c r="D145" i="4"/>
  <c r="E138" i="4"/>
  <c r="E125" i="4"/>
  <c r="D132" i="4"/>
  <c r="E73" i="4"/>
  <c r="D80" i="4"/>
  <c r="G104" i="4"/>
  <c r="H102" i="4" s="1"/>
  <c r="G103" i="4"/>
  <c r="X24" i="4"/>
  <c r="L25" i="4"/>
  <c r="L26" i="4" s="1"/>
  <c r="E228" i="4"/>
  <c r="D235" i="4"/>
  <c r="M12" i="4"/>
  <c r="M14" i="4" s="1"/>
  <c r="Y9" i="4"/>
  <c r="Y42" i="4"/>
  <c r="M42" i="4"/>
  <c r="I6" i="8"/>
  <c r="H6" i="8"/>
  <c r="G6" i="8"/>
  <c r="F7" i="8" s="1"/>
  <c r="F194" i="4"/>
  <c r="F195" i="4" s="1"/>
  <c r="G193" i="4" s="1"/>
  <c r="G116" i="4"/>
  <c r="G117" i="4" s="1"/>
  <c r="H115" i="4" s="1"/>
  <c r="E240" i="4"/>
  <c r="D247" i="4"/>
  <c r="G129" i="4"/>
  <c r="D184" i="4"/>
  <c r="E177" i="4"/>
  <c r="J6" i="7"/>
  <c r="L6" i="6" s="1"/>
  <c r="N9" i="4"/>
  <c r="G142" i="4"/>
  <c r="G143" i="4" s="1"/>
  <c r="H141" i="4" s="1"/>
  <c r="H7" i="6"/>
  <c r="G7" i="6"/>
  <c r="F8" i="6" s="1"/>
  <c r="I7" i="6"/>
  <c r="J7" i="6" s="1"/>
  <c r="D171" i="4"/>
  <c r="E164" i="4"/>
  <c r="G7" i="7"/>
  <c r="F8" i="7" s="1"/>
  <c r="I7" i="7"/>
  <c r="H7" i="7"/>
  <c r="D119" i="4"/>
  <c r="E112" i="4"/>
  <c r="G181" i="4"/>
  <c r="G182" i="4" s="1"/>
  <c r="H180" i="4" s="1"/>
  <c r="H168" i="4"/>
  <c r="H169" i="4" s="1"/>
  <c r="I167" i="4" s="1"/>
  <c r="W24" i="4"/>
  <c r="K25" i="4"/>
  <c r="K26" i="4" s="1"/>
  <c r="I6" i="6"/>
  <c r="J6" i="6" s="1"/>
  <c r="D210" i="4"/>
  <c r="E203" i="4"/>
  <c r="H116" i="4" l="1"/>
  <c r="H117" i="4" s="1"/>
  <c r="I115" i="4" s="1"/>
  <c r="H181" i="4"/>
  <c r="H182" i="4" s="1"/>
  <c r="I180" i="4" s="1"/>
  <c r="G90" i="4"/>
  <c r="G91" i="4" s="1"/>
  <c r="H89" i="4" s="1"/>
  <c r="J7" i="7"/>
  <c r="L7" i="6" s="1"/>
  <c r="O9" i="4"/>
  <c r="G194" i="4"/>
  <c r="G195" i="4" s="1"/>
  <c r="H193" i="4" s="1"/>
  <c r="D133" i="4"/>
  <c r="D211" i="4"/>
  <c r="H8" i="7"/>
  <c r="G8" i="7"/>
  <c r="F9" i="7" s="1"/>
  <c r="I8" i="7"/>
  <c r="Z9" i="4"/>
  <c r="N12" i="4"/>
  <c r="N13" i="4" s="1"/>
  <c r="E241" i="4"/>
  <c r="E242" i="4" s="1"/>
  <c r="G7" i="8"/>
  <c r="F8" i="8" s="1"/>
  <c r="H7" i="8"/>
  <c r="E126" i="4"/>
  <c r="E127" i="4" s="1"/>
  <c r="D68" i="4"/>
  <c r="E191" i="4"/>
  <c r="E192" i="4" s="1"/>
  <c r="G208" i="4"/>
  <c r="H206" i="4" s="1"/>
  <c r="E165" i="4"/>
  <c r="E166" i="4" s="1"/>
  <c r="Z42" i="4"/>
  <c r="N42" i="4"/>
  <c r="N20" i="4"/>
  <c r="N46" i="4" s="1"/>
  <c r="N19" i="4"/>
  <c r="N28" i="4" s="1"/>
  <c r="E139" i="4"/>
  <c r="E140" i="4" s="1"/>
  <c r="D224" i="4"/>
  <c r="J6" i="8"/>
  <c r="N24" i="4"/>
  <c r="D236" i="4"/>
  <c r="H103" i="4"/>
  <c r="H104" i="4"/>
  <c r="I102" i="4" s="1"/>
  <c r="D146" i="4"/>
  <c r="E217" i="4"/>
  <c r="E218" i="4" s="1"/>
  <c r="H64" i="4"/>
  <c r="H65" i="4" s="1"/>
  <c r="I63" i="4" s="1"/>
  <c r="J5" i="8"/>
  <c r="M24" i="4"/>
  <c r="I168" i="4"/>
  <c r="I169" i="4" s="1"/>
  <c r="J167" i="4" s="1"/>
  <c r="H142" i="4"/>
  <c r="H143" i="4" s="1"/>
  <c r="I141" i="4" s="1"/>
  <c r="Y12" i="4"/>
  <c r="Y13" i="4" s="1"/>
  <c r="D198" i="4"/>
  <c r="E113" i="4"/>
  <c r="D185" i="4"/>
  <c r="E229" i="4"/>
  <c r="E230" i="4" s="1"/>
  <c r="D120" i="4"/>
  <c r="D159" i="4"/>
  <c r="H156" i="4"/>
  <c r="I154" i="4" s="1"/>
  <c r="G77" i="4"/>
  <c r="G78" i="4" s="1"/>
  <c r="H76" i="4" s="1"/>
  <c r="I8" i="6"/>
  <c r="J8" i="6" s="1"/>
  <c r="H8" i="6"/>
  <c r="G8" i="6"/>
  <c r="F9" i="6" s="1"/>
  <c r="M43" i="4"/>
  <c r="M44" i="4" s="1"/>
  <c r="W25" i="4"/>
  <c r="W26" i="4" s="1"/>
  <c r="Y43" i="4"/>
  <c r="Y44" i="4" s="1"/>
  <c r="D81" i="4"/>
  <c r="E87" i="4"/>
  <c r="E88" i="4" s="1"/>
  <c r="E152" i="4"/>
  <c r="E153" i="4" s="1"/>
  <c r="E100" i="4"/>
  <c r="E204" i="4"/>
  <c r="D248" i="4"/>
  <c r="X25" i="4"/>
  <c r="X26" i="4"/>
  <c r="E61" i="4"/>
  <c r="D172" i="4"/>
  <c r="E178" i="4"/>
  <c r="E179" i="4" s="1"/>
  <c r="P130" i="11"/>
  <c r="G130" i="4"/>
  <c r="H128" i="4" s="1"/>
  <c r="M13" i="4"/>
  <c r="E74" i="4"/>
  <c r="D94" i="4"/>
  <c r="D107" i="4"/>
  <c r="N14" i="4" l="1"/>
  <c r="O20" i="4" s="1"/>
  <c r="O46" i="4" s="1"/>
  <c r="E184" i="4"/>
  <c r="F177" i="4"/>
  <c r="H90" i="4"/>
  <c r="H91" i="4" s="1"/>
  <c r="I89" i="4" s="1"/>
  <c r="F190" i="4"/>
  <c r="E197" i="4"/>
  <c r="E158" i="4"/>
  <c r="F151" i="4"/>
  <c r="I181" i="4"/>
  <c r="I182" i="4" s="1"/>
  <c r="J180" i="4" s="1"/>
  <c r="I142" i="4"/>
  <c r="I143" i="4"/>
  <c r="J141" i="4" s="1"/>
  <c r="H194" i="4"/>
  <c r="H195" i="4" s="1"/>
  <c r="I193" i="4" s="1"/>
  <c r="I64" i="4"/>
  <c r="I65" i="4" s="1"/>
  <c r="J63" i="4" s="1"/>
  <c r="I117" i="4"/>
  <c r="J115" i="4" s="1"/>
  <c r="I116" i="4"/>
  <c r="Y14" i="4"/>
  <c r="Y24" i="4"/>
  <c r="M25" i="4"/>
  <c r="M26" i="4" s="1"/>
  <c r="F125" i="4"/>
  <c r="E132" i="4"/>
  <c r="H77" i="4"/>
  <c r="H78" i="4" s="1"/>
  <c r="I76" i="4" s="1"/>
  <c r="E171" i="4"/>
  <c r="F164" i="4"/>
  <c r="H207" i="4"/>
  <c r="H208" i="4" s="1"/>
  <c r="I206" i="4" s="1"/>
  <c r="Z12" i="4"/>
  <c r="Z13" i="4" s="1"/>
  <c r="J8" i="7"/>
  <c r="L8" i="6" s="1"/>
  <c r="D9" i="4"/>
  <c r="F138" i="4"/>
  <c r="E145" i="4"/>
  <c r="H129" i="4"/>
  <c r="H130" i="4" s="1"/>
  <c r="I128" i="4" s="1"/>
  <c r="I7" i="8"/>
  <c r="H9" i="7"/>
  <c r="G9" i="7"/>
  <c r="F10" i="7" s="1"/>
  <c r="I9" i="7"/>
  <c r="E235" i="4"/>
  <c r="F228" i="4"/>
  <c r="E62" i="4"/>
  <c r="E205" i="4"/>
  <c r="E114" i="4"/>
  <c r="N25" i="4"/>
  <c r="N26" i="4" s="1"/>
  <c r="Z24" i="4"/>
  <c r="AA9" i="4"/>
  <c r="O12" i="4"/>
  <c r="AA42" i="4"/>
  <c r="O42" i="4"/>
  <c r="E75" i="4"/>
  <c r="I104" i="4"/>
  <c r="J102" i="4" s="1"/>
  <c r="I103" i="4"/>
  <c r="F86" i="4"/>
  <c r="E93" i="4"/>
  <c r="I155" i="4"/>
  <c r="I156" i="4"/>
  <c r="J154" i="4" s="1"/>
  <c r="G8" i="8"/>
  <c r="F9" i="8" s="1"/>
  <c r="H8" i="8"/>
  <c r="H9" i="6"/>
  <c r="G9" i="6"/>
  <c r="F10" i="6" s="1"/>
  <c r="J168" i="4"/>
  <c r="J169" i="4" s="1"/>
  <c r="K167" i="4" s="1"/>
  <c r="F216" i="4"/>
  <c r="E223" i="4"/>
  <c r="N43" i="4"/>
  <c r="N44" i="4" s="1"/>
  <c r="F240" i="4"/>
  <c r="E247" i="4"/>
  <c r="E101" i="4"/>
  <c r="Z43" i="4"/>
  <c r="Z44" i="4" s="1"/>
  <c r="O19" i="4" l="1"/>
  <c r="O28" i="4" s="1"/>
  <c r="I77" i="4"/>
  <c r="I78" i="4" s="1"/>
  <c r="J76" i="4" s="1"/>
  <c r="J181" i="4"/>
  <c r="J182" i="4" s="1"/>
  <c r="K180" i="4" s="1"/>
  <c r="I194" i="4"/>
  <c r="I195" i="4" s="1"/>
  <c r="J193" i="4" s="1"/>
  <c r="I90" i="4"/>
  <c r="I91" i="4" s="1"/>
  <c r="J89" i="4" s="1"/>
  <c r="I207" i="4"/>
  <c r="I208" i="4" s="1"/>
  <c r="J206" i="4" s="1"/>
  <c r="J65" i="4"/>
  <c r="K63" i="4" s="1"/>
  <c r="J64" i="4"/>
  <c r="K168" i="4"/>
  <c r="K169" i="4" s="1"/>
  <c r="L167" i="4" s="1"/>
  <c r="J103" i="4"/>
  <c r="J104" i="4" s="1"/>
  <c r="K102" i="4" s="1"/>
  <c r="E67" i="4"/>
  <c r="F60" i="4"/>
  <c r="G10" i="6"/>
  <c r="F11" i="6" s="1"/>
  <c r="I10" i="6"/>
  <c r="J10" i="6" s="1"/>
  <c r="H10" i="6"/>
  <c r="G9" i="8"/>
  <c r="F10" i="8" s="1"/>
  <c r="H9" i="8"/>
  <c r="Z25" i="4"/>
  <c r="Z26" i="4" s="1"/>
  <c r="F139" i="4"/>
  <c r="F165" i="4"/>
  <c r="F166" i="4" s="1"/>
  <c r="F126" i="4"/>
  <c r="F127" i="4" s="1"/>
  <c r="Z20" i="4"/>
  <c r="Z46" i="4" s="1"/>
  <c r="Z19" i="4"/>
  <c r="Z28" i="4" s="1"/>
  <c r="F191" i="4"/>
  <c r="I9" i="6"/>
  <c r="J9" i="6" s="1"/>
  <c r="O43" i="4"/>
  <c r="O44" i="4" s="1"/>
  <c r="O13" i="4"/>
  <c r="J7" i="8"/>
  <c r="O24" i="4"/>
  <c r="E172" i="4"/>
  <c r="J142" i="4"/>
  <c r="J143" i="4" s="1"/>
  <c r="K141" i="4" s="1"/>
  <c r="E106" i="4"/>
  <c r="F99" i="4"/>
  <c r="E224" i="4"/>
  <c r="E94" i="4"/>
  <c r="AA43" i="4"/>
  <c r="AA44" i="4" s="1"/>
  <c r="O14" i="4"/>
  <c r="P9" i="4"/>
  <c r="D12" i="4"/>
  <c r="D14" i="4" s="1"/>
  <c r="J116" i="4"/>
  <c r="J117" i="4" s="1"/>
  <c r="K115" i="4" s="1"/>
  <c r="F241" i="4"/>
  <c r="P127" i="11"/>
  <c r="J155" i="4"/>
  <c r="J156" i="4" s="1"/>
  <c r="K154" i="4" s="1"/>
  <c r="AA12" i="4"/>
  <c r="AA14" i="4" s="1"/>
  <c r="F217" i="4"/>
  <c r="F218" i="4" s="1"/>
  <c r="F87" i="4"/>
  <c r="E119" i="4"/>
  <c r="F112" i="4"/>
  <c r="F229" i="4"/>
  <c r="F230" i="4" s="1"/>
  <c r="D42" i="4"/>
  <c r="P42" i="4"/>
  <c r="P128" i="11"/>
  <c r="E248" i="4"/>
  <c r="E210" i="4"/>
  <c r="F203" i="4"/>
  <c r="E236" i="4"/>
  <c r="F152" i="4"/>
  <c r="F153" i="4" s="1"/>
  <c r="J9" i="7"/>
  <c r="L9" i="6" s="1"/>
  <c r="E9" i="4"/>
  <c r="I129" i="4"/>
  <c r="I130" i="4" s="1"/>
  <c r="J128" i="4" s="1"/>
  <c r="Y25" i="4"/>
  <c r="Y26" i="4" s="1"/>
  <c r="E159" i="4"/>
  <c r="F178" i="4"/>
  <c r="F179" i="4" s="1"/>
  <c r="I8" i="8"/>
  <c r="E80" i="4"/>
  <c r="F73" i="4"/>
  <c r="I10" i="7"/>
  <c r="H10" i="7"/>
  <c r="G10" i="7"/>
  <c r="F11" i="7" s="1"/>
  <c r="E146" i="4"/>
  <c r="Z14" i="4"/>
  <c r="E133" i="4"/>
  <c r="E198" i="4"/>
  <c r="E185" i="4"/>
  <c r="AA13" i="4" l="1"/>
  <c r="F158" i="4"/>
  <c r="G151" i="4"/>
  <c r="F171" i="4"/>
  <c r="G164" i="4"/>
  <c r="J207" i="4"/>
  <c r="J208" i="4" s="1"/>
  <c r="K206" i="4" s="1"/>
  <c r="K116" i="4"/>
  <c r="K117" i="4" s="1"/>
  <c r="L115" i="4" s="1"/>
  <c r="J194" i="4"/>
  <c r="J195" i="4" s="1"/>
  <c r="K193" i="4" s="1"/>
  <c r="J129" i="4"/>
  <c r="J130" i="4"/>
  <c r="K128" i="4" s="1"/>
  <c r="F223" i="4"/>
  <c r="G216" i="4"/>
  <c r="E20" i="4"/>
  <c r="E19" i="4"/>
  <c r="K103" i="4"/>
  <c r="K104" i="4" s="1"/>
  <c r="L102" i="4" s="1"/>
  <c r="K181" i="4"/>
  <c r="K182" i="4" s="1"/>
  <c r="L180" i="4" s="1"/>
  <c r="L168" i="4"/>
  <c r="L169" i="4"/>
  <c r="M167" i="4" s="1"/>
  <c r="J78" i="4"/>
  <c r="K76" i="4" s="1"/>
  <c r="J77" i="4"/>
  <c r="E68" i="4"/>
  <c r="AA19" i="4"/>
  <c r="AA28" i="4" s="1"/>
  <c r="AA20" i="4"/>
  <c r="AA46" i="4" s="1"/>
  <c r="D43" i="4"/>
  <c r="D44" i="4" s="1"/>
  <c r="O25" i="4"/>
  <c r="O26" i="4" s="1"/>
  <c r="AA24" i="4"/>
  <c r="H10" i="8"/>
  <c r="G10" i="8"/>
  <c r="F11" i="8" s="1"/>
  <c r="J10" i="7"/>
  <c r="L10" i="6" s="1"/>
  <c r="F9" i="4"/>
  <c r="K64" i="4"/>
  <c r="K65" i="4" s="1"/>
  <c r="L63" i="4" s="1"/>
  <c r="J8" i="8"/>
  <c r="D24" i="4"/>
  <c r="F242" i="4"/>
  <c r="P20" i="4"/>
  <c r="P46" i="4" s="1"/>
  <c r="P19" i="4"/>
  <c r="P28" i="4" s="1"/>
  <c r="F192" i="4"/>
  <c r="F140" i="4"/>
  <c r="I9" i="8"/>
  <c r="K155" i="4"/>
  <c r="K156" i="4" s="1"/>
  <c r="L154" i="4" s="1"/>
  <c r="G125" i="4"/>
  <c r="F132" i="4"/>
  <c r="K142" i="4"/>
  <c r="K143" i="4" s="1"/>
  <c r="L141" i="4" s="1"/>
  <c r="F88" i="4"/>
  <c r="F74" i="4"/>
  <c r="F75" i="4" s="1"/>
  <c r="D13" i="4"/>
  <c r="D17" i="4" s="1"/>
  <c r="F61" i="4"/>
  <c r="F62" i="4" s="1"/>
  <c r="E81" i="4"/>
  <c r="P43" i="4"/>
  <c r="P44" i="4" s="1"/>
  <c r="P12" i="4"/>
  <c r="G177" i="4"/>
  <c r="F184" i="4"/>
  <c r="F204" i="4"/>
  <c r="F205" i="4" s="1"/>
  <c r="F235" i="4"/>
  <c r="G228" i="4"/>
  <c r="F100" i="4"/>
  <c r="J90" i="4"/>
  <c r="J91" i="4"/>
  <c r="K89" i="4" s="1"/>
  <c r="I11" i="7"/>
  <c r="H11" i="7"/>
  <c r="G11" i="7"/>
  <c r="F12" i="7" s="1"/>
  <c r="E12" i="4"/>
  <c r="E14" i="4" s="1"/>
  <c r="Q9" i="4"/>
  <c r="E13" i="4"/>
  <c r="E211" i="4"/>
  <c r="F113" i="4"/>
  <c r="E107" i="4"/>
  <c r="Q42" i="4"/>
  <c r="E42" i="4"/>
  <c r="E120" i="4"/>
  <c r="H11" i="6"/>
  <c r="G11" i="6"/>
  <c r="F12" i="6" s="1"/>
  <c r="I11" i="6"/>
  <c r="J11" i="6" s="1"/>
  <c r="D51" i="4" l="1"/>
  <c r="D52" i="4" s="1"/>
  <c r="D48" i="4"/>
  <c r="D49" i="4" s="1"/>
  <c r="L116" i="4"/>
  <c r="L117" i="4" s="1"/>
  <c r="M115" i="4" s="1"/>
  <c r="L142" i="4"/>
  <c r="L143" i="4"/>
  <c r="M141" i="4" s="1"/>
  <c r="K207" i="4"/>
  <c r="K208" i="4"/>
  <c r="L206" i="4" s="1"/>
  <c r="K194" i="4"/>
  <c r="K195" i="4" s="1"/>
  <c r="L193" i="4" s="1"/>
  <c r="L155" i="4"/>
  <c r="L156" i="4"/>
  <c r="M154" i="4" s="1"/>
  <c r="L64" i="4"/>
  <c r="L65" i="4" s="1"/>
  <c r="M63" i="4" s="1"/>
  <c r="F210" i="4"/>
  <c r="G203" i="4"/>
  <c r="J9" i="8"/>
  <c r="E24" i="4"/>
  <c r="D18" i="4"/>
  <c r="E16" i="4" s="1"/>
  <c r="E17" i="4" s="1"/>
  <c r="G229" i="4"/>
  <c r="G230" i="4" s="1"/>
  <c r="F80" i="4"/>
  <c r="G73" i="4"/>
  <c r="L181" i="4"/>
  <c r="L182" i="4" s="1"/>
  <c r="M180" i="4" s="1"/>
  <c r="K129" i="4"/>
  <c r="K130" i="4" s="1"/>
  <c r="L128" i="4" s="1"/>
  <c r="F236" i="4"/>
  <c r="L103" i="4"/>
  <c r="L104" i="4" s="1"/>
  <c r="M102" i="4" s="1"/>
  <c r="K91" i="4"/>
  <c r="L89" i="4" s="1"/>
  <c r="K90" i="4"/>
  <c r="F247" i="4"/>
  <c r="G240" i="4"/>
  <c r="Q12" i="4"/>
  <c r="Q13" i="4" s="1"/>
  <c r="P14" i="4"/>
  <c r="F185" i="4"/>
  <c r="G86" i="4"/>
  <c r="F93" i="4"/>
  <c r="G138" i="4"/>
  <c r="F145" i="4"/>
  <c r="K77" i="4"/>
  <c r="K78" i="4" s="1"/>
  <c r="L76" i="4" s="1"/>
  <c r="E28" i="4"/>
  <c r="G165" i="4"/>
  <c r="G166" i="4" s="1"/>
  <c r="J11" i="7"/>
  <c r="L11" i="6" s="1"/>
  <c r="G9" i="4"/>
  <c r="G126" i="4"/>
  <c r="G127" i="4" s="1"/>
  <c r="E43" i="4"/>
  <c r="E44" i="4" s="1"/>
  <c r="H12" i="7"/>
  <c r="I12" i="7"/>
  <c r="G12" i="7"/>
  <c r="F13" i="7" s="1"/>
  <c r="F13" i="4"/>
  <c r="F12" i="4"/>
  <c r="F14" i="4" s="1"/>
  <c r="R9" i="4"/>
  <c r="G217" i="4"/>
  <c r="G218" i="4" s="1"/>
  <c r="G152" i="4"/>
  <c r="G153" i="4" s="1"/>
  <c r="P13" i="4"/>
  <c r="I10" i="8"/>
  <c r="F20" i="4"/>
  <c r="F46" i="4" s="1"/>
  <c r="F19" i="4"/>
  <c r="F28" i="4" s="1"/>
  <c r="G178" i="4"/>
  <c r="G179" i="4" s="1"/>
  <c r="F67" i="4"/>
  <c r="G60" i="4"/>
  <c r="F197" i="4"/>
  <c r="G190" i="4"/>
  <c r="M168" i="4"/>
  <c r="M169" i="4" s="1"/>
  <c r="N167" i="4" s="1"/>
  <c r="E46" i="4"/>
  <c r="F172" i="4"/>
  <c r="I12" i="6"/>
  <c r="J12" i="6" s="1"/>
  <c r="H12" i="6"/>
  <c r="G12" i="6"/>
  <c r="F13" i="6" s="1"/>
  <c r="Q43" i="4"/>
  <c r="Q44" i="4" s="1"/>
  <c r="F114" i="4"/>
  <c r="F101" i="4"/>
  <c r="F133" i="4"/>
  <c r="P24" i="4"/>
  <c r="D25" i="4"/>
  <c r="D26" i="4" s="1"/>
  <c r="D30" i="4" s="1"/>
  <c r="R42" i="4"/>
  <c r="F42" i="4"/>
  <c r="P126" i="11"/>
  <c r="AA25" i="4"/>
  <c r="AA26" i="4" s="1"/>
  <c r="F224" i="4"/>
  <c r="F159" i="4"/>
  <c r="G11" i="8"/>
  <c r="F12" i="8" s="1"/>
  <c r="H11" i="8"/>
  <c r="G158" i="4" l="1"/>
  <c r="H151" i="4"/>
  <c r="L129" i="4"/>
  <c r="L130" i="4" s="1"/>
  <c r="M128" i="4" s="1"/>
  <c r="M181" i="4"/>
  <c r="M182" i="4" s="1"/>
  <c r="N180" i="4" s="1"/>
  <c r="G184" i="4"/>
  <c r="H177" i="4"/>
  <c r="M64" i="4"/>
  <c r="M65" i="4" s="1"/>
  <c r="N63" i="4" s="1"/>
  <c r="H164" i="4"/>
  <c r="G171" i="4"/>
  <c r="H228" i="4"/>
  <c r="G235" i="4"/>
  <c r="J10" i="8"/>
  <c r="F24" i="4"/>
  <c r="H13" i="7"/>
  <c r="G13" i="7"/>
  <c r="F14" i="7" s="1"/>
  <c r="F211" i="4"/>
  <c r="L194" i="4"/>
  <c r="L195" i="4" s="1"/>
  <c r="M193" i="4" s="1"/>
  <c r="G112" i="4"/>
  <c r="F119" i="4"/>
  <c r="L77" i="4"/>
  <c r="L78" i="4" s="1"/>
  <c r="M76" i="4" s="1"/>
  <c r="L207" i="4"/>
  <c r="L208" i="4" s="1"/>
  <c r="M206" i="4" s="1"/>
  <c r="G61" i="4"/>
  <c r="G62" i="4" s="1"/>
  <c r="S9" i="4"/>
  <c r="G12" i="4"/>
  <c r="G14" i="4" s="1"/>
  <c r="F106" i="4"/>
  <c r="G99" i="4"/>
  <c r="I11" i="8"/>
  <c r="G132" i="4"/>
  <c r="H125" i="4"/>
  <c r="P25" i="4"/>
  <c r="P26" i="4" s="1"/>
  <c r="F68" i="4"/>
  <c r="S42" i="4"/>
  <c r="G42" i="4"/>
  <c r="D54" i="4"/>
  <c r="E47" i="4"/>
  <c r="M103" i="4"/>
  <c r="M104" i="4" s="1"/>
  <c r="N102" i="4" s="1"/>
  <c r="E26" i="4"/>
  <c r="Q24" i="4"/>
  <c r="E25" i="4"/>
  <c r="M142" i="4"/>
  <c r="M143" i="4" s="1"/>
  <c r="N141" i="4" s="1"/>
  <c r="G20" i="4"/>
  <c r="G19" i="4"/>
  <c r="G28" i="4" s="1"/>
  <c r="F146" i="4"/>
  <c r="G74" i="4"/>
  <c r="G75" i="4" s="1"/>
  <c r="M155" i="4"/>
  <c r="M156" i="4"/>
  <c r="N154" i="4" s="1"/>
  <c r="G12" i="8"/>
  <c r="F13" i="8" s="1"/>
  <c r="I12" i="8"/>
  <c r="H12" i="8"/>
  <c r="E18" i="4"/>
  <c r="F16" i="4" s="1"/>
  <c r="F17" i="4" s="1"/>
  <c r="E51" i="4"/>
  <c r="F43" i="4"/>
  <c r="F44" i="4" s="1"/>
  <c r="G139" i="4"/>
  <c r="G140" i="4" s="1"/>
  <c r="G241" i="4"/>
  <c r="G242" i="4" s="1"/>
  <c r="F81" i="4"/>
  <c r="D53" i="4"/>
  <c r="E50" i="4"/>
  <c r="J12" i="7"/>
  <c r="L12" i="6" s="1"/>
  <c r="H9" i="4"/>
  <c r="L90" i="4"/>
  <c r="L91" i="4" s="1"/>
  <c r="M89" i="4" s="1"/>
  <c r="N168" i="4"/>
  <c r="N169" i="4" s="1"/>
  <c r="O167" i="4" s="1"/>
  <c r="F94" i="4"/>
  <c r="Q19" i="4"/>
  <c r="Q28" i="4" s="1"/>
  <c r="Q20" i="4"/>
  <c r="Q46" i="4" s="1"/>
  <c r="F248" i="4"/>
  <c r="M116" i="4"/>
  <c r="M117" i="4" s="1"/>
  <c r="N115" i="4" s="1"/>
  <c r="D31" i="4"/>
  <c r="G191" i="4"/>
  <c r="G192" i="4" s="1"/>
  <c r="F198" i="4"/>
  <c r="R12" i="4"/>
  <c r="R14" i="4" s="1"/>
  <c r="R43" i="4"/>
  <c r="R44" i="4" s="1"/>
  <c r="I13" i="6"/>
  <c r="J13" i="6" s="1"/>
  <c r="H13" i="6"/>
  <c r="G13" i="6"/>
  <c r="F14" i="6" s="1"/>
  <c r="G223" i="4"/>
  <c r="H216" i="4"/>
  <c r="D33" i="4"/>
  <c r="G87" i="4"/>
  <c r="G88" i="4" s="1"/>
  <c r="Q14" i="4"/>
  <c r="G204" i="4"/>
  <c r="G205" i="4" s="1"/>
  <c r="R13" i="4" l="1"/>
  <c r="N103" i="4"/>
  <c r="N104" i="4" s="1"/>
  <c r="O102" i="4" s="1"/>
  <c r="M207" i="4"/>
  <c r="M208" i="4" s="1"/>
  <c r="N206" i="4" s="1"/>
  <c r="H86" i="4"/>
  <c r="G93" i="4"/>
  <c r="M77" i="4"/>
  <c r="M78" i="4" s="1"/>
  <c r="N76" i="4" s="1"/>
  <c r="G247" i="4"/>
  <c r="H240" i="4"/>
  <c r="M194" i="4"/>
  <c r="M195" i="4"/>
  <c r="N193" i="4" s="1"/>
  <c r="M129" i="4"/>
  <c r="M130" i="4" s="1"/>
  <c r="N128" i="4" s="1"/>
  <c r="H60" i="4"/>
  <c r="G67" i="4"/>
  <c r="N116" i="4"/>
  <c r="N117" i="4" s="1"/>
  <c r="O115" i="4" s="1"/>
  <c r="O168" i="4"/>
  <c r="O169" i="4" s="1"/>
  <c r="P167" i="4" s="1"/>
  <c r="G145" i="4"/>
  <c r="H138" i="4"/>
  <c r="H203" i="4"/>
  <c r="G210" i="4"/>
  <c r="M90" i="4"/>
  <c r="M91" i="4" s="1"/>
  <c r="N89" i="4" s="1"/>
  <c r="G100" i="4"/>
  <c r="G101" i="4" s="1"/>
  <c r="H20" i="4"/>
  <c r="H46" i="4" s="1"/>
  <c r="H19" i="4"/>
  <c r="G172" i="4"/>
  <c r="R20" i="4"/>
  <c r="R46" i="4" s="1"/>
  <c r="R19" i="4"/>
  <c r="R28" i="4" s="1"/>
  <c r="I14" i="6"/>
  <c r="J14" i="6" s="1"/>
  <c r="H14" i="6"/>
  <c r="G14" i="6"/>
  <c r="F107" i="4"/>
  <c r="I13" i="7"/>
  <c r="H165" i="4"/>
  <c r="H166" i="4" s="1"/>
  <c r="G197" i="4"/>
  <c r="H190" i="4"/>
  <c r="E29" i="4"/>
  <c r="E30" i="4" s="1"/>
  <c r="D36" i="4"/>
  <c r="G80" i="4"/>
  <c r="H73" i="4"/>
  <c r="N142" i="4"/>
  <c r="N143" i="4" s="1"/>
  <c r="O141" i="4" s="1"/>
  <c r="F120" i="4"/>
  <c r="H14" i="7"/>
  <c r="G14" i="7"/>
  <c r="I14" i="7" s="1"/>
  <c r="N181" i="4"/>
  <c r="N182" i="4" s="1"/>
  <c r="O180" i="4" s="1"/>
  <c r="S19" i="4"/>
  <c r="S28" i="4" s="1"/>
  <c r="S20" i="4"/>
  <c r="S46" i="4" s="1"/>
  <c r="T42" i="4"/>
  <c r="H42" i="4"/>
  <c r="F18" i="4"/>
  <c r="G16" i="4" s="1"/>
  <c r="G17" i="4" s="1"/>
  <c r="G113" i="4"/>
  <c r="G114" i="4" s="1"/>
  <c r="N64" i="4"/>
  <c r="N65" i="4" s="1"/>
  <c r="O63" i="4" s="1"/>
  <c r="H12" i="4"/>
  <c r="H14" i="4" s="1"/>
  <c r="T9" i="4"/>
  <c r="H13" i="4"/>
  <c r="E52" i="4"/>
  <c r="E48" i="4"/>
  <c r="E49" i="4" s="1"/>
  <c r="F25" i="4"/>
  <c r="F26" i="4" s="1"/>
  <c r="R24" i="4"/>
  <c r="J12" i="8"/>
  <c r="H24" i="4"/>
  <c r="G43" i="4"/>
  <c r="H126" i="4"/>
  <c r="H127" i="4" s="1"/>
  <c r="H152" i="4"/>
  <c r="H153" i="4" s="1"/>
  <c r="H217" i="4"/>
  <c r="H218" i="4" s="1"/>
  <c r="N155" i="4"/>
  <c r="N156" i="4" s="1"/>
  <c r="O154" i="4" s="1"/>
  <c r="G224" i="4"/>
  <c r="D55" i="4"/>
  <c r="D34" i="4"/>
  <c r="I13" i="8"/>
  <c r="G13" i="8"/>
  <c r="F14" i="8" s="1"/>
  <c r="H13" i="8"/>
  <c r="G46" i="4"/>
  <c r="Q25" i="4"/>
  <c r="Q26" i="4" s="1"/>
  <c r="S43" i="4"/>
  <c r="S44" i="4" s="1"/>
  <c r="G133" i="4"/>
  <c r="S12" i="4"/>
  <c r="S14" i="4" s="1"/>
  <c r="G236" i="4"/>
  <c r="H178" i="4"/>
  <c r="H179" i="4" s="1"/>
  <c r="G159" i="4"/>
  <c r="J11" i="8"/>
  <c r="G24" i="4"/>
  <c r="G13" i="4"/>
  <c r="H229" i="4"/>
  <c r="H230" i="4" s="1"/>
  <c r="G185" i="4"/>
  <c r="S13" i="4" l="1"/>
  <c r="I19" i="4"/>
  <c r="I28" i="4" s="1"/>
  <c r="I20" i="4"/>
  <c r="H99" i="4"/>
  <c r="G106" i="4"/>
  <c r="J14" i="7"/>
  <c r="L14" i="6" s="1"/>
  <c r="J9" i="4"/>
  <c r="H184" i="4"/>
  <c r="I177" i="4"/>
  <c r="F47" i="4"/>
  <c r="E54" i="4"/>
  <c r="I164" i="4"/>
  <c r="H171" i="4"/>
  <c r="N129" i="4"/>
  <c r="N130" i="4" s="1"/>
  <c r="O128" i="4" s="1"/>
  <c r="O64" i="4"/>
  <c r="O65" i="4" s="1"/>
  <c r="P63" i="4" s="1"/>
  <c r="O181" i="4"/>
  <c r="O182" i="4" s="1"/>
  <c r="P180" i="4" s="1"/>
  <c r="H112" i="4"/>
  <c r="G119" i="4"/>
  <c r="N77" i="4"/>
  <c r="N78" i="4" s="1"/>
  <c r="O76" i="4" s="1"/>
  <c r="H223" i="4"/>
  <c r="I216" i="4"/>
  <c r="H158" i="4"/>
  <c r="I151" i="4"/>
  <c r="I228" i="4"/>
  <c r="H235" i="4"/>
  <c r="T19" i="4"/>
  <c r="T28" i="4" s="1"/>
  <c r="T20" i="4"/>
  <c r="T46" i="4" s="1"/>
  <c r="H132" i="4"/>
  <c r="I125" i="4"/>
  <c r="O103" i="4"/>
  <c r="O104" i="4" s="1"/>
  <c r="P102" i="4" s="1"/>
  <c r="D35" i="4"/>
  <c r="E32" i="4"/>
  <c r="D250" i="4"/>
  <c r="H61" i="4"/>
  <c r="H62" i="4" s="1"/>
  <c r="G44" i="4"/>
  <c r="T12" i="4"/>
  <c r="T14" i="4"/>
  <c r="E31" i="4"/>
  <c r="H28" i="4"/>
  <c r="H139" i="4"/>
  <c r="H140" i="4" s="1"/>
  <c r="G25" i="4"/>
  <c r="G26" i="4"/>
  <c r="S24" i="4"/>
  <c r="H14" i="8"/>
  <c r="G14" i="8"/>
  <c r="I14" i="8" s="1"/>
  <c r="H25" i="4"/>
  <c r="H26" i="4" s="1"/>
  <c r="T24" i="4"/>
  <c r="H191" i="4"/>
  <c r="H192" i="4" s="1"/>
  <c r="G146" i="4"/>
  <c r="G94" i="4"/>
  <c r="J13" i="8"/>
  <c r="I24" i="4"/>
  <c r="H17" i="4"/>
  <c r="G198" i="4"/>
  <c r="P168" i="4"/>
  <c r="P169" i="4" s="1"/>
  <c r="Q167" i="4" s="1"/>
  <c r="N194" i="4"/>
  <c r="N195" i="4" s="1"/>
  <c r="O193" i="4" s="1"/>
  <c r="H87" i="4"/>
  <c r="H88" i="4" s="1"/>
  <c r="O155" i="4"/>
  <c r="O156" i="4" s="1"/>
  <c r="P154" i="4" s="1"/>
  <c r="O142" i="4"/>
  <c r="O143" i="4" s="1"/>
  <c r="P141" i="4" s="1"/>
  <c r="J13" i="7"/>
  <c r="L13" i="6" s="1"/>
  <c r="I9" i="4"/>
  <c r="G211" i="4"/>
  <c r="G248" i="4"/>
  <c r="G18" i="4"/>
  <c r="H16" i="4" s="1"/>
  <c r="H74" i="4"/>
  <c r="H75" i="4" s="1"/>
  <c r="N90" i="4"/>
  <c r="N91" i="4" s="1"/>
  <c r="O89" i="4" s="1"/>
  <c r="O116" i="4"/>
  <c r="O117" i="4" s="1"/>
  <c r="P115" i="4" s="1"/>
  <c r="H241" i="4"/>
  <c r="H242" i="4" s="1"/>
  <c r="N207" i="4"/>
  <c r="N208" i="4" s="1"/>
  <c r="O206" i="4" s="1"/>
  <c r="E53" i="4"/>
  <c r="F50" i="4"/>
  <c r="H43" i="4"/>
  <c r="H44" i="4"/>
  <c r="G81" i="4"/>
  <c r="R25" i="4"/>
  <c r="R26" i="4" s="1"/>
  <c r="T43" i="4"/>
  <c r="T44" i="4" s="1"/>
  <c r="H204" i="4"/>
  <c r="H205" i="4" s="1"/>
  <c r="G68" i="4"/>
  <c r="I203" i="4" l="1"/>
  <c r="H210" i="4"/>
  <c r="P181" i="4"/>
  <c r="P182" i="4" s="1"/>
  <c r="Q180" i="4" s="1"/>
  <c r="J14" i="8"/>
  <c r="J17" i="8" s="1"/>
  <c r="J24" i="4"/>
  <c r="P103" i="4"/>
  <c r="P104" i="4" s="1"/>
  <c r="Q102" i="4" s="1"/>
  <c r="P64" i="4"/>
  <c r="P65" i="4" s="1"/>
  <c r="Q63" i="4" s="1"/>
  <c r="P116" i="4"/>
  <c r="P117" i="4" s="1"/>
  <c r="Q115" i="4" s="1"/>
  <c r="P142" i="4"/>
  <c r="P143" i="4" s="1"/>
  <c r="Q141" i="4" s="1"/>
  <c r="O207" i="4"/>
  <c r="O208" i="4" s="1"/>
  <c r="P206" i="4" s="1"/>
  <c r="O90" i="4"/>
  <c r="O91" i="4" s="1"/>
  <c r="P89" i="4" s="1"/>
  <c r="H80" i="4"/>
  <c r="I73" i="4"/>
  <c r="O77" i="4"/>
  <c r="O78" i="4"/>
  <c r="P76" i="4" s="1"/>
  <c r="H247" i="4"/>
  <c r="I240" i="4"/>
  <c r="P155" i="4"/>
  <c r="P156" i="4" s="1"/>
  <c r="Q154" i="4" s="1"/>
  <c r="H93" i="4"/>
  <c r="I86" i="4"/>
  <c r="O194" i="4"/>
  <c r="O195" i="4" s="1"/>
  <c r="P193" i="4" s="1"/>
  <c r="I60" i="4"/>
  <c r="H67" i="4"/>
  <c r="Q168" i="4"/>
  <c r="Q169" i="4" s="1"/>
  <c r="R167" i="4" s="1"/>
  <c r="F51" i="4"/>
  <c r="S25" i="4"/>
  <c r="S26" i="4" s="1"/>
  <c r="I152" i="4"/>
  <c r="I153" i="4" s="1"/>
  <c r="H172" i="4"/>
  <c r="H185" i="4"/>
  <c r="U20" i="4"/>
  <c r="U46" i="4" s="1"/>
  <c r="U19" i="4"/>
  <c r="U28" i="4" s="1"/>
  <c r="H159" i="4"/>
  <c r="D251" i="4"/>
  <c r="S23" i="1"/>
  <c r="I126" i="4"/>
  <c r="I127" i="4" s="1"/>
  <c r="I217" i="4"/>
  <c r="I218" i="4" s="1"/>
  <c r="J42" i="4"/>
  <c r="V42" i="4"/>
  <c r="P124" i="11"/>
  <c r="P129" i="11"/>
  <c r="P123" i="11"/>
  <c r="P122" i="11"/>
  <c r="R122" i="11" s="1"/>
  <c r="P125" i="11"/>
  <c r="L17" i="6"/>
  <c r="E55" i="4"/>
  <c r="V9" i="4"/>
  <c r="J12" i="4"/>
  <c r="J14" i="4" s="1"/>
  <c r="T13" i="4"/>
  <c r="H133" i="4"/>
  <c r="H224" i="4"/>
  <c r="F48" i="4"/>
  <c r="F49" i="4" s="1"/>
  <c r="G107" i="4"/>
  <c r="I138" i="4"/>
  <c r="H145" i="4"/>
  <c r="E33" i="4"/>
  <c r="E34" i="4" s="1"/>
  <c r="H100" i="4"/>
  <c r="H101" i="4" s="1"/>
  <c r="I12" i="4"/>
  <c r="I13" i="4" s="1"/>
  <c r="I14" i="4"/>
  <c r="U9" i="4"/>
  <c r="H197" i="4"/>
  <c r="I190" i="4"/>
  <c r="I42" i="4"/>
  <c r="U42" i="4"/>
  <c r="U24" i="4"/>
  <c r="I25" i="4"/>
  <c r="I26" i="4" s="1"/>
  <c r="D249" i="4"/>
  <c r="D37" i="4"/>
  <c r="I46" i="4"/>
  <c r="H236" i="4"/>
  <c r="G120" i="4"/>
  <c r="O129" i="4"/>
  <c r="O130" i="4" s="1"/>
  <c r="P128" i="4" s="1"/>
  <c r="I165" i="4"/>
  <c r="I166" i="4" s="1"/>
  <c r="H18" i="4"/>
  <c r="I16" i="4" s="1"/>
  <c r="T25" i="4"/>
  <c r="T26" i="4" s="1"/>
  <c r="F29" i="4"/>
  <c r="E36" i="4"/>
  <c r="I229" i="4"/>
  <c r="I230" i="4" s="1"/>
  <c r="H113" i="4"/>
  <c r="H114" i="4" s="1"/>
  <c r="I178" i="4"/>
  <c r="I179" i="4" s="1"/>
  <c r="Q103" i="4" l="1"/>
  <c r="Q104" i="4" s="1"/>
  <c r="R102" i="4" s="1"/>
  <c r="I112" i="4"/>
  <c r="H119" i="4"/>
  <c r="Q181" i="4"/>
  <c r="Q182" i="4" s="1"/>
  <c r="R180" i="4" s="1"/>
  <c r="R168" i="4"/>
  <c r="R169" i="4" s="1"/>
  <c r="S167" i="4" s="1"/>
  <c r="J228" i="4"/>
  <c r="I235" i="4"/>
  <c r="I236" i="4" s="1"/>
  <c r="P194" i="4"/>
  <c r="P195" i="4" s="1"/>
  <c r="Q193" i="4" s="1"/>
  <c r="J164" i="4"/>
  <c r="I171" i="4"/>
  <c r="I172" i="4" s="1"/>
  <c r="J177" i="4"/>
  <c r="I184" i="4"/>
  <c r="I185" i="4" s="1"/>
  <c r="E35" i="4"/>
  <c r="F32" i="4"/>
  <c r="I158" i="4"/>
  <c r="I159" i="4" s="1"/>
  <c r="J151" i="4"/>
  <c r="Q116" i="4"/>
  <c r="Q117" i="4" s="1"/>
  <c r="R115" i="4" s="1"/>
  <c r="I191" i="4"/>
  <c r="I192" i="4" s="1"/>
  <c r="I99" i="4"/>
  <c r="H106" i="4"/>
  <c r="G47" i="4"/>
  <c r="F54" i="4"/>
  <c r="K19" i="4"/>
  <c r="K28" i="4" s="1"/>
  <c r="K20" i="4"/>
  <c r="K46" i="4" s="1"/>
  <c r="I132" i="4"/>
  <c r="I133" i="4" s="1"/>
  <c r="J125" i="4"/>
  <c r="H68" i="4"/>
  <c r="Q155" i="4"/>
  <c r="Q156" i="4" s="1"/>
  <c r="R154" i="4" s="1"/>
  <c r="I74" i="4"/>
  <c r="I75" i="4" s="1"/>
  <c r="Q142" i="4"/>
  <c r="Q143" i="4"/>
  <c r="R141" i="4" s="1"/>
  <c r="V12" i="4"/>
  <c r="V14" i="4" s="1"/>
  <c r="I61" i="4"/>
  <c r="I62" i="4" s="1"/>
  <c r="E250" i="4"/>
  <c r="B9" i="4"/>
  <c r="C9" i="4" s="1"/>
  <c r="V43" i="4"/>
  <c r="H248" i="4"/>
  <c r="V24" i="4"/>
  <c r="J25" i="4"/>
  <c r="J26" i="4" s="1"/>
  <c r="F30" i="4"/>
  <c r="F31" i="4" s="1"/>
  <c r="U12" i="4"/>
  <c r="U13" i="4" s="1"/>
  <c r="H146" i="4"/>
  <c r="J43" i="4"/>
  <c r="J44" i="4" s="1"/>
  <c r="P90" i="4"/>
  <c r="P91" i="4" s="1"/>
  <c r="Q89" i="4" s="1"/>
  <c r="I241" i="4"/>
  <c r="I242" i="4" s="1"/>
  <c r="I87" i="4"/>
  <c r="I88" i="4" s="1"/>
  <c r="P77" i="4"/>
  <c r="P78" i="4"/>
  <c r="Q76" i="4" s="1"/>
  <c r="P129" i="4"/>
  <c r="P130" i="4" s="1"/>
  <c r="Q128" i="4" s="1"/>
  <c r="U25" i="4"/>
  <c r="U26" i="4" s="1"/>
  <c r="J20" i="4"/>
  <c r="J19" i="4"/>
  <c r="I139" i="4"/>
  <c r="I140" i="4" s="1"/>
  <c r="I17" i="4"/>
  <c r="I18" i="4" s="1"/>
  <c r="J16" i="4" s="1"/>
  <c r="F52" i="4"/>
  <c r="H94" i="4"/>
  <c r="J216" i="4"/>
  <c r="I223" i="4"/>
  <c r="I224" i="4" s="1"/>
  <c r="P207" i="4"/>
  <c r="P208" i="4" s="1"/>
  <c r="Q206" i="4" s="1"/>
  <c r="Q64" i="4"/>
  <c r="Q65" i="4" s="1"/>
  <c r="R63" i="4" s="1"/>
  <c r="H211" i="4"/>
  <c r="H198" i="4"/>
  <c r="H81" i="4"/>
  <c r="U43" i="4"/>
  <c r="U44" i="4" s="1"/>
  <c r="D252" i="4"/>
  <c r="Q23" i="1"/>
  <c r="I43" i="4"/>
  <c r="I44" i="4"/>
  <c r="B42" i="4"/>
  <c r="C42" i="4" s="1"/>
  <c r="J13" i="4"/>
  <c r="I204" i="4"/>
  <c r="I205" i="4" s="1"/>
  <c r="U14" i="4" l="1"/>
  <c r="V13" i="4"/>
  <c r="B43" i="4"/>
  <c r="C43" i="4" s="1"/>
  <c r="R64" i="4"/>
  <c r="R65" i="4" s="1"/>
  <c r="S63" i="4" s="1"/>
  <c r="I80" i="4"/>
  <c r="I81" i="4" s="1"/>
  <c r="J73" i="4"/>
  <c r="J60" i="4"/>
  <c r="I67" i="4"/>
  <c r="I68" i="4" s="1"/>
  <c r="R155" i="4"/>
  <c r="R156" i="4" s="1"/>
  <c r="S154" i="4" s="1"/>
  <c r="J240" i="4"/>
  <c r="I247" i="4"/>
  <c r="I248" i="4" s="1"/>
  <c r="Q90" i="4"/>
  <c r="Q91" i="4" s="1"/>
  <c r="R89" i="4" s="1"/>
  <c r="I197" i="4"/>
  <c r="I198" i="4" s="1"/>
  <c r="J190" i="4"/>
  <c r="R116" i="4"/>
  <c r="R117" i="4" s="1"/>
  <c r="S115" i="4" s="1"/>
  <c r="S168" i="4"/>
  <c r="S169" i="4" s="1"/>
  <c r="T167" i="4" s="1"/>
  <c r="R181" i="4"/>
  <c r="R182" i="4" s="1"/>
  <c r="S180" i="4" s="1"/>
  <c r="J203" i="4"/>
  <c r="I210" i="4"/>
  <c r="I211" i="4" s="1"/>
  <c r="J17" i="4"/>
  <c r="J18" i="4" s="1"/>
  <c r="K16" i="4" s="1"/>
  <c r="R103" i="4"/>
  <c r="R104" i="4" s="1"/>
  <c r="S102" i="4" s="1"/>
  <c r="J138" i="4"/>
  <c r="I145" i="4"/>
  <c r="I146" i="4" s="1"/>
  <c r="Q129" i="4"/>
  <c r="Q130" i="4" s="1"/>
  <c r="R128" i="4" s="1"/>
  <c r="B13" i="4"/>
  <c r="C13" i="4" s="1"/>
  <c r="J152" i="4"/>
  <c r="J153" i="4" s="1"/>
  <c r="G48" i="4"/>
  <c r="G49" i="4" s="1"/>
  <c r="J46" i="4"/>
  <c r="V25" i="4"/>
  <c r="B25" i="4" s="1"/>
  <c r="C25" i="4" s="1"/>
  <c r="B24" i="4"/>
  <c r="C24" i="4" s="1"/>
  <c r="V44" i="4"/>
  <c r="B44" i="4" s="1"/>
  <c r="C44" i="4" s="1"/>
  <c r="H107" i="4"/>
  <c r="F33" i="4"/>
  <c r="H120" i="4"/>
  <c r="J217" i="4"/>
  <c r="J218" i="4" s="1"/>
  <c r="I100" i="4"/>
  <c r="I101" i="4" s="1"/>
  <c r="E249" i="4"/>
  <c r="E37" i="4"/>
  <c r="J229" i="4"/>
  <c r="J230" i="4" s="1"/>
  <c r="I113" i="4"/>
  <c r="I114" i="4" s="1"/>
  <c r="V20" i="4"/>
  <c r="V46" i="4" s="1"/>
  <c r="V19" i="4"/>
  <c r="V28" i="4" s="1"/>
  <c r="R142" i="4"/>
  <c r="R143" i="4" s="1"/>
  <c r="S141" i="4" s="1"/>
  <c r="J126" i="4"/>
  <c r="J127" i="4" s="1"/>
  <c r="Q194" i="4"/>
  <c r="Q195" i="4" s="1"/>
  <c r="R193" i="4" s="1"/>
  <c r="G50" i="4"/>
  <c r="F53" i="4"/>
  <c r="I93" i="4"/>
  <c r="I94" i="4" s="1"/>
  <c r="J86" i="4"/>
  <c r="B12" i="4"/>
  <c r="C12" i="4" s="1"/>
  <c r="E251" i="4"/>
  <c r="S24" i="1"/>
  <c r="J178" i="4"/>
  <c r="J179" i="4" s="1"/>
  <c r="Q77" i="4"/>
  <c r="Q78" i="4" s="1"/>
  <c r="R76" i="4" s="1"/>
  <c r="W20" i="4"/>
  <c r="W46" i="4" s="1"/>
  <c r="W19" i="4"/>
  <c r="W28" i="4" s="1"/>
  <c r="B14" i="4"/>
  <c r="C14" i="4" s="1"/>
  <c r="G29" i="4"/>
  <c r="F36" i="4"/>
  <c r="J28" i="4"/>
  <c r="Q207" i="4"/>
  <c r="Q208" i="4" s="1"/>
  <c r="R206" i="4" s="1"/>
  <c r="T23" i="1"/>
  <c r="U23" i="1" s="1"/>
  <c r="J165" i="4"/>
  <c r="J166" i="4" s="1"/>
  <c r="V26" i="4" l="1"/>
  <c r="B26" i="4" s="1"/>
  <c r="C26" i="4" s="1"/>
  <c r="B20" i="4"/>
  <c r="C20" i="4" s="1"/>
  <c r="J235" i="4"/>
  <c r="J236" i="4" s="1"/>
  <c r="K228" i="4"/>
  <c r="S155" i="4"/>
  <c r="S156" i="4" s="1"/>
  <c r="T154" i="4" s="1"/>
  <c r="S142" i="4"/>
  <c r="S143" i="4" s="1"/>
  <c r="T141" i="4" s="1"/>
  <c r="T168" i="4"/>
  <c r="T169" i="4" s="1"/>
  <c r="U167" i="4" s="1"/>
  <c r="J223" i="4"/>
  <c r="J224" i="4" s="1"/>
  <c r="K216" i="4"/>
  <c r="S103" i="4"/>
  <c r="S104" i="4" s="1"/>
  <c r="T102" i="4" s="1"/>
  <c r="R207" i="4"/>
  <c r="R208" i="4" s="1"/>
  <c r="S206" i="4" s="1"/>
  <c r="G54" i="4"/>
  <c r="H47" i="4"/>
  <c r="K17" i="4"/>
  <c r="K18" i="4" s="1"/>
  <c r="L16" i="4" s="1"/>
  <c r="K177" i="4"/>
  <c r="J184" i="4"/>
  <c r="J185" i="4" s="1"/>
  <c r="K125" i="4"/>
  <c r="J132" i="4"/>
  <c r="J133" i="4" s="1"/>
  <c r="I106" i="4"/>
  <c r="I107" i="4" s="1"/>
  <c r="J99" i="4"/>
  <c r="S116" i="4"/>
  <c r="S117" i="4"/>
  <c r="T115" i="4" s="1"/>
  <c r="K164" i="4"/>
  <c r="J171" i="4"/>
  <c r="J172" i="4" s="1"/>
  <c r="R77" i="4"/>
  <c r="R78" i="4" s="1"/>
  <c r="S76" i="4" s="1"/>
  <c r="J158" i="4"/>
  <c r="J159" i="4" s="1"/>
  <c r="K151" i="4"/>
  <c r="R90" i="4"/>
  <c r="R91" i="4"/>
  <c r="S89" i="4" s="1"/>
  <c r="S64" i="4"/>
  <c r="S65" i="4" s="1"/>
  <c r="T63" i="4" s="1"/>
  <c r="B46" i="4"/>
  <c r="C46" i="4" s="1"/>
  <c r="J191" i="4"/>
  <c r="J192" i="4" s="1"/>
  <c r="J87" i="4"/>
  <c r="J88" i="4" s="1"/>
  <c r="J139" i="4"/>
  <c r="J140" i="4" s="1"/>
  <c r="S181" i="4"/>
  <c r="S182" i="4" s="1"/>
  <c r="T180" i="4" s="1"/>
  <c r="J61" i="4"/>
  <c r="J62" i="4" s="1"/>
  <c r="R194" i="4"/>
  <c r="R195" i="4" s="1"/>
  <c r="S193" i="4" s="1"/>
  <c r="J112" i="4"/>
  <c r="I119" i="4"/>
  <c r="I120" i="4" s="1"/>
  <c r="B19" i="4"/>
  <c r="C19" i="4" s="1"/>
  <c r="J204" i="4"/>
  <c r="J205" i="4" s="1"/>
  <c r="F55" i="4"/>
  <c r="E252" i="4"/>
  <c r="Q24" i="1"/>
  <c r="B28" i="4"/>
  <c r="C28" i="4" s="1"/>
  <c r="J74" i="4"/>
  <c r="J75" i="4" s="1"/>
  <c r="F250" i="4"/>
  <c r="G30" i="4"/>
  <c r="G31" i="4" s="1"/>
  <c r="G51" i="4"/>
  <c r="G52" i="4" s="1"/>
  <c r="F34" i="4"/>
  <c r="R129" i="4"/>
  <c r="R130" i="4"/>
  <c r="S128" i="4" s="1"/>
  <c r="J241" i="4"/>
  <c r="J242" i="4" s="1"/>
  <c r="J197" i="4" l="1"/>
  <c r="J198" i="4" s="1"/>
  <c r="K190" i="4"/>
  <c r="L17" i="4"/>
  <c r="L18" i="4" s="1"/>
  <c r="M16" i="4" s="1"/>
  <c r="K240" i="4"/>
  <c r="J247" i="4"/>
  <c r="J248" i="4" s="1"/>
  <c r="J67" i="4"/>
  <c r="J68" i="4" s="1"/>
  <c r="K60" i="4"/>
  <c r="U168" i="4"/>
  <c r="U169" i="4" s="1"/>
  <c r="V167" i="4" s="1"/>
  <c r="G36" i="4"/>
  <c r="H29" i="4"/>
  <c r="T155" i="4"/>
  <c r="T156" i="4"/>
  <c r="U154" i="4" s="1"/>
  <c r="S194" i="4"/>
  <c r="S195" i="4" s="1"/>
  <c r="T193" i="4" s="1"/>
  <c r="T64" i="4"/>
  <c r="T65" i="4" s="1"/>
  <c r="U63" i="4" s="1"/>
  <c r="T181" i="4"/>
  <c r="T182" i="4" s="1"/>
  <c r="U180" i="4" s="1"/>
  <c r="H50" i="4"/>
  <c r="G53" i="4"/>
  <c r="T142" i="4"/>
  <c r="T143" i="4" s="1"/>
  <c r="U141" i="4" s="1"/>
  <c r="J210" i="4"/>
  <c r="J211" i="4" s="1"/>
  <c r="K203" i="4"/>
  <c r="S77" i="4"/>
  <c r="S78" i="4" s="1"/>
  <c r="T76" i="4" s="1"/>
  <c r="K73" i="4"/>
  <c r="J80" i="4"/>
  <c r="J81" i="4" s="1"/>
  <c r="K126" i="4"/>
  <c r="K127" i="4" s="1"/>
  <c r="S207" i="4"/>
  <c r="S208" i="4"/>
  <c r="T206" i="4" s="1"/>
  <c r="K165" i="4"/>
  <c r="K166" i="4" s="1"/>
  <c r="K178" i="4"/>
  <c r="K179" i="4" s="1"/>
  <c r="T103" i="4"/>
  <c r="T104" i="4" s="1"/>
  <c r="U102" i="4" s="1"/>
  <c r="J145" i="4"/>
  <c r="J146" i="4" s="1"/>
  <c r="K138" i="4"/>
  <c r="S90" i="4"/>
  <c r="S91" i="4" s="1"/>
  <c r="T89" i="4" s="1"/>
  <c r="T116" i="4"/>
  <c r="T117" i="4" s="1"/>
  <c r="U115" i="4" s="1"/>
  <c r="J113" i="4"/>
  <c r="J114" i="4" s="1"/>
  <c r="G32" i="4"/>
  <c r="F35" i="4"/>
  <c r="F251" i="4"/>
  <c r="S25" i="1"/>
  <c r="K217" i="4"/>
  <c r="K218" i="4" s="1"/>
  <c r="K229" i="4"/>
  <c r="K230" i="4" s="1"/>
  <c r="S129" i="4"/>
  <c r="S130" i="4" s="1"/>
  <c r="T128" i="4" s="1"/>
  <c r="J93" i="4"/>
  <c r="J94" i="4" s="1"/>
  <c r="K86" i="4"/>
  <c r="T24" i="1"/>
  <c r="U24" i="1" s="1"/>
  <c r="K152" i="4"/>
  <c r="K153" i="4" s="1"/>
  <c r="J100" i="4"/>
  <c r="J101" i="4" s="1"/>
  <c r="H48" i="4"/>
  <c r="H49" i="4" s="1"/>
  <c r="L164" i="4" l="1"/>
  <c r="K171" i="4"/>
  <c r="K172" i="4" s="1"/>
  <c r="K223" i="4"/>
  <c r="K224" i="4" s="1"/>
  <c r="L216" i="4"/>
  <c r="H54" i="4"/>
  <c r="I47" i="4"/>
  <c r="U64" i="4"/>
  <c r="U65" i="4" s="1"/>
  <c r="V63" i="4" s="1"/>
  <c r="T194" i="4"/>
  <c r="T195" i="4" s="1"/>
  <c r="U193" i="4" s="1"/>
  <c r="L125" i="4"/>
  <c r="K132" i="4"/>
  <c r="K133" i="4" s="1"/>
  <c r="T129" i="4"/>
  <c r="T130" i="4" s="1"/>
  <c r="U128" i="4" s="1"/>
  <c r="U181" i="4"/>
  <c r="U182" i="4" s="1"/>
  <c r="V180" i="4" s="1"/>
  <c r="U142" i="4"/>
  <c r="U143" i="4" s="1"/>
  <c r="V141" i="4" s="1"/>
  <c r="K61" i="4"/>
  <c r="K62" i="4" s="1"/>
  <c r="T90" i="4"/>
  <c r="T91" i="4" s="1"/>
  <c r="U89" i="4" s="1"/>
  <c r="K74" i="4"/>
  <c r="K75" i="4" s="1"/>
  <c r="H51" i="4"/>
  <c r="H52" i="4" s="1"/>
  <c r="K241" i="4"/>
  <c r="K242" i="4" s="1"/>
  <c r="U103" i="4"/>
  <c r="U104" i="4" s="1"/>
  <c r="V102" i="4" s="1"/>
  <c r="H30" i="4"/>
  <c r="H31" i="4" s="1"/>
  <c r="T207" i="4"/>
  <c r="T208" i="4" s="1"/>
  <c r="U206" i="4" s="1"/>
  <c r="K184" i="4"/>
  <c r="K185" i="4" s="1"/>
  <c r="L177" i="4"/>
  <c r="U155" i="4"/>
  <c r="U156" i="4" s="1"/>
  <c r="V154" i="4" s="1"/>
  <c r="J106" i="4"/>
  <c r="J107" i="4" s="1"/>
  <c r="K99" i="4"/>
  <c r="F249" i="4"/>
  <c r="F37" i="4"/>
  <c r="K139" i="4"/>
  <c r="K140" i="4" s="1"/>
  <c r="T77" i="4"/>
  <c r="T78" i="4" s="1"/>
  <c r="U76" i="4" s="1"/>
  <c r="G250" i="4"/>
  <c r="M17" i="4"/>
  <c r="M18" i="4" s="1"/>
  <c r="N16" i="4" s="1"/>
  <c r="G33" i="4"/>
  <c r="G34" i="4" s="1"/>
  <c r="K204" i="4"/>
  <c r="K205" i="4" s="1"/>
  <c r="K191" i="4"/>
  <c r="K192" i="4" s="1"/>
  <c r="K112" i="4"/>
  <c r="J119" i="4"/>
  <c r="J120" i="4" s="1"/>
  <c r="K87" i="4"/>
  <c r="K88" i="4" s="1"/>
  <c r="U116" i="4"/>
  <c r="U117" i="4" s="1"/>
  <c r="V115" i="4" s="1"/>
  <c r="G55" i="4"/>
  <c r="K158" i="4"/>
  <c r="K159" i="4" s="1"/>
  <c r="L151" i="4"/>
  <c r="K235" i="4"/>
  <c r="K236" i="4" s="1"/>
  <c r="L228" i="4"/>
  <c r="V168" i="4"/>
  <c r="V169" i="4" s="1"/>
  <c r="W167" i="4" s="1"/>
  <c r="L240" i="4" l="1"/>
  <c r="K247" i="4"/>
  <c r="K248" i="4" s="1"/>
  <c r="U90" i="4"/>
  <c r="U91" i="4" s="1"/>
  <c r="V89" i="4" s="1"/>
  <c r="K67" i="4"/>
  <c r="K68" i="4" s="1"/>
  <c r="L60" i="4"/>
  <c r="I50" i="4"/>
  <c r="H53" i="4"/>
  <c r="K197" i="4"/>
  <c r="K198" i="4" s="1"/>
  <c r="L190" i="4"/>
  <c r="G35" i="4"/>
  <c r="H32" i="4"/>
  <c r="I29" i="4"/>
  <c r="H36" i="4"/>
  <c r="K93" i="4"/>
  <c r="K94" i="4" s="1"/>
  <c r="L86" i="4"/>
  <c r="K145" i="4"/>
  <c r="K146" i="4" s="1"/>
  <c r="L138" i="4"/>
  <c r="N17" i="4"/>
  <c r="N18" i="4" s="1"/>
  <c r="O16" i="4" s="1"/>
  <c r="V103" i="4"/>
  <c r="V104" i="4" s="1"/>
  <c r="W102" i="4" s="1"/>
  <c r="V116" i="4"/>
  <c r="V117" i="4" s="1"/>
  <c r="W115" i="4" s="1"/>
  <c r="K210" i="4"/>
  <c r="K211" i="4" s="1"/>
  <c r="L203" i="4"/>
  <c r="U77" i="4"/>
  <c r="U78" i="4" s="1"/>
  <c r="V76" i="4" s="1"/>
  <c r="L73" i="4"/>
  <c r="K80" i="4"/>
  <c r="K81" i="4" s="1"/>
  <c r="V155" i="4"/>
  <c r="V156" i="4" s="1"/>
  <c r="W154" i="4" s="1"/>
  <c r="L178" i="4"/>
  <c r="L179" i="4" s="1"/>
  <c r="I48" i="4"/>
  <c r="I49" i="4" s="1"/>
  <c r="L152" i="4"/>
  <c r="L153" i="4" s="1"/>
  <c r="U129" i="4"/>
  <c r="U130" i="4" s="1"/>
  <c r="V128" i="4" s="1"/>
  <c r="K113" i="4"/>
  <c r="K114" i="4" s="1"/>
  <c r="L217" i="4"/>
  <c r="L218" i="4" s="1"/>
  <c r="U207" i="4"/>
  <c r="U208" i="4" s="1"/>
  <c r="V206" i="4" s="1"/>
  <c r="L126" i="4"/>
  <c r="L127" i="4" s="1"/>
  <c r="W168" i="4"/>
  <c r="W169" i="4" s="1"/>
  <c r="X167" i="4" s="1"/>
  <c r="V181" i="4"/>
  <c r="V182" i="4"/>
  <c r="W180" i="4" s="1"/>
  <c r="G251" i="4"/>
  <c r="S26" i="1"/>
  <c r="K100" i="4"/>
  <c r="K101" i="4" s="1"/>
  <c r="V142" i="4"/>
  <c r="V143" i="4" s="1"/>
  <c r="W141" i="4" s="1"/>
  <c r="U194" i="4"/>
  <c r="U195" i="4" s="1"/>
  <c r="V193" i="4" s="1"/>
  <c r="L229" i="4"/>
  <c r="L230" i="4" s="1"/>
  <c r="V64" i="4"/>
  <c r="V65" i="4" s="1"/>
  <c r="W63" i="4" s="1"/>
  <c r="F252" i="4"/>
  <c r="Q25" i="1"/>
  <c r="L165" i="4"/>
  <c r="L166" i="4" s="1"/>
  <c r="V194" i="4" l="1"/>
  <c r="V195" i="4" s="1"/>
  <c r="W193" i="4" s="1"/>
  <c r="W116" i="4"/>
  <c r="W117" i="4" s="1"/>
  <c r="X115" i="4" s="1"/>
  <c r="X168" i="4"/>
  <c r="X169" i="4" s="1"/>
  <c r="Y167" i="4" s="1"/>
  <c r="K106" i="4"/>
  <c r="K107" i="4" s="1"/>
  <c r="L99" i="4"/>
  <c r="V90" i="4"/>
  <c r="V91" i="4" s="1"/>
  <c r="W89" i="4" s="1"/>
  <c r="I54" i="4"/>
  <c r="J47" i="4"/>
  <c r="L184" i="4"/>
  <c r="L185" i="4" s="1"/>
  <c r="M177" i="4"/>
  <c r="M216" i="4"/>
  <c r="L223" i="4"/>
  <c r="L224" i="4" s="1"/>
  <c r="O17" i="4"/>
  <c r="O18" i="4" s="1"/>
  <c r="P16" i="4" s="1"/>
  <c r="V77" i="4"/>
  <c r="V78" i="4" s="1"/>
  <c r="W76" i="4" s="1"/>
  <c r="L158" i="4"/>
  <c r="L159" i="4" s="1"/>
  <c r="M151" i="4"/>
  <c r="L171" i="4"/>
  <c r="L172" i="4" s="1"/>
  <c r="M164" i="4"/>
  <c r="V207" i="4"/>
  <c r="V208" i="4" s="1"/>
  <c r="W206" i="4" s="1"/>
  <c r="W103" i="4"/>
  <c r="W104" i="4" s="1"/>
  <c r="X102" i="4" s="1"/>
  <c r="W64" i="4"/>
  <c r="W65" i="4" s="1"/>
  <c r="X63" i="4" s="1"/>
  <c r="L112" i="4"/>
  <c r="K119" i="4"/>
  <c r="K120" i="4" s="1"/>
  <c r="L132" i="4"/>
  <c r="L133" i="4" s="1"/>
  <c r="M125" i="4"/>
  <c r="L87" i="4"/>
  <c r="L88" i="4" s="1"/>
  <c r="H55" i="4"/>
  <c r="I30" i="4"/>
  <c r="I31" i="4" s="1"/>
  <c r="H33" i="4"/>
  <c r="H34" i="4" s="1"/>
  <c r="W155" i="4"/>
  <c r="W156" i="4" s="1"/>
  <c r="X154" i="4" s="1"/>
  <c r="H250" i="4"/>
  <c r="W142" i="4"/>
  <c r="W143" i="4" s="1"/>
  <c r="X141" i="4" s="1"/>
  <c r="T25" i="1"/>
  <c r="U25" i="1" s="1"/>
  <c r="G249" i="4"/>
  <c r="G37" i="4"/>
  <c r="M228" i="4"/>
  <c r="L235" i="4"/>
  <c r="L236" i="4" s="1"/>
  <c r="V129" i="4"/>
  <c r="V130" i="4" s="1"/>
  <c r="W128" i="4" s="1"/>
  <c r="I51" i="4"/>
  <c r="I52" i="4" s="1"/>
  <c r="L61" i="4"/>
  <c r="L62" i="4" s="1"/>
  <c r="W181" i="4"/>
  <c r="W182" i="4" s="1"/>
  <c r="X180" i="4" s="1"/>
  <c r="L74" i="4"/>
  <c r="L75" i="4" s="1"/>
  <c r="L204" i="4"/>
  <c r="L205" i="4" s="1"/>
  <c r="L139" i="4"/>
  <c r="L140" i="4" s="1"/>
  <c r="L191" i="4"/>
  <c r="L192" i="4" s="1"/>
  <c r="L241" i="4"/>
  <c r="L242" i="4" s="1"/>
  <c r="I36" i="4" l="1"/>
  <c r="I250" i="4" s="1"/>
  <c r="J29" i="4"/>
  <c r="W77" i="4"/>
  <c r="W78" i="4"/>
  <c r="X76" i="4" s="1"/>
  <c r="X142" i="4"/>
  <c r="X143" i="4" s="1"/>
  <c r="Y141" i="4" s="1"/>
  <c r="W90" i="4"/>
  <c r="W91" i="4" s="1"/>
  <c r="X89" i="4" s="1"/>
  <c r="L93" i="4"/>
  <c r="L94" i="4" s="1"/>
  <c r="M86" i="4"/>
  <c r="J50" i="4"/>
  <c r="I53" i="4"/>
  <c r="I55" i="4" s="1"/>
  <c r="M203" i="4"/>
  <c r="L210" i="4"/>
  <c r="L211" i="4" s="1"/>
  <c r="X103" i="4"/>
  <c r="X104" i="4"/>
  <c r="Y102" i="4" s="1"/>
  <c r="M190" i="4"/>
  <c r="L197" i="4"/>
  <c r="L198" i="4" s="1"/>
  <c r="W129" i="4"/>
  <c r="W130" i="4" s="1"/>
  <c r="X128" i="4" s="1"/>
  <c r="X155" i="4"/>
  <c r="X156" i="4" s="1"/>
  <c r="Y154" i="4" s="1"/>
  <c r="P17" i="4"/>
  <c r="P18" i="4" s="1"/>
  <c r="Q16" i="4" s="1"/>
  <c r="X181" i="4"/>
  <c r="X182" i="4" s="1"/>
  <c r="Y180" i="4" s="1"/>
  <c r="L67" i="4"/>
  <c r="L68" i="4" s="1"/>
  <c r="M60" i="4"/>
  <c r="M138" i="4"/>
  <c r="L145" i="4"/>
  <c r="L146" i="4" s="1"/>
  <c r="I32" i="4"/>
  <c r="H35" i="4"/>
  <c r="W194" i="4"/>
  <c r="W195" i="4"/>
  <c r="X193" i="4" s="1"/>
  <c r="M165" i="4"/>
  <c r="M166" i="4" s="1"/>
  <c r="M229" i="4"/>
  <c r="M230" i="4" s="1"/>
  <c r="M152" i="4"/>
  <c r="M153" i="4" s="1"/>
  <c r="M178" i="4"/>
  <c r="M179" i="4" s="1"/>
  <c r="M73" i="4"/>
  <c r="L80" i="4"/>
  <c r="L81" i="4" s="1"/>
  <c r="L100" i="4"/>
  <c r="L101" i="4" s="1"/>
  <c r="Y168" i="4"/>
  <c r="Y169" i="4" s="1"/>
  <c r="Z167" i="4" s="1"/>
  <c r="L247" i="4"/>
  <c r="L248" i="4" s="1"/>
  <c r="M240" i="4"/>
  <c r="X64" i="4"/>
  <c r="X65" i="4" s="1"/>
  <c r="Y63" i="4" s="1"/>
  <c r="J48" i="4"/>
  <c r="J49" i="4" s="1"/>
  <c r="G252" i="4"/>
  <c r="Q26" i="1"/>
  <c r="L113" i="4"/>
  <c r="L114" i="4" s="1"/>
  <c r="H251" i="4"/>
  <c r="S27" i="1"/>
  <c r="M126" i="4"/>
  <c r="M127" i="4" s="1"/>
  <c r="W207" i="4"/>
  <c r="W208" i="4" s="1"/>
  <c r="X206" i="4" s="1"/>
  <c r="M217" i="4"/>
  <c r="M218" i="4" s="1"/>
  <c r="X116" i="4"/>
  <c r="X117" i="4" s="1"/>
  <c r="Y115" i="4" s="1"/>
  <c r="Y64" i="4" l="1"/>
  <c r="Y65" i="4" s="1"/>
  <c r="Z63" i="4" s="1"/>
  <c r="M158" i="4"/>
  <c r="M159" i="4" s="1"/>
  <c r="N151" i="4"/>
  <c r="Q17" i="4"/>
  <c r="Q18" i="4" s="1"/>
  <c r="R16" i="4" s="1"/>
  <c r="N125" i="4"/>
  <c r="M132" i="4"/>
  <c r="M133" i="4" s="1"/>
  <c r="M171" i="4"/>
  <c r="M172" i="4" s="1"/>
  <c r="N164" i="4"/>
  <c r="Y155" i="4"/>
  <c r="Y156" i="4" s="1"/>
  <c r="Z154" i="4" s="1"/>
  <c r="X90" i="4"/>
  <c r="X91" i="4" s="1"/>
  <c r="Y89" i="4" s="1"/>
  <c r="Z168" i="4"/>
  <c r="Z169" i="4" s="1"/>
  <c r="AA167" i="4" s="1"/>
  <c r="L119" i="4"/>
  <c r="L120" i="4" s="1"/>
  <c r="M112" i="4"/>
  <c r="Y116" i="4"/>
  <c r="Y117" i="4" s="1"/>
  <c r="Z115" i="4" s="1"/>
  <c r="X129" i="4"/>
  <c r="X130" i="4" s="1"/>
  <c r="Y128" i="4" s="1"/>
  <c r="X207" i="4"/>
  <c r="X208" i="4" s="1"/>
  <c r="Y206" i="4" s="1"/>
  <c r="M235" i="4"/>
  <c r="M236" i="4" s="1"/>
  <c r="N228" i="4"/>
  <c r="Y181" i="4"/>
  <c r="Y182" i="4" s="1"/>
  <c r="Z180" i="4" s="1"/>
  <c r="L106" i="4"/>
  <c r="L107" i="4" s="1"/>
  <c r="M99" i="4"/>
  <c r="N216" i="4"/>
  <c r="M223" i="4"/>
  <c r="M224" i="4" s="1"/>
  <c r="J54" i="4"/>
  <c r="K47" i="4"/>
  <c r="M184" i="4"/>
  <c r="M185" i="4" s="1"/>
  <c r="N177" i="4"/>
  <c r="T26" i="1"/>
  <c r="U26" i="1" s="1"/>
  <c r="I33" i="4"/>
  <c r="I34" i="4" s="1"/>
  <c r="Y142" i="4"/>
  <c r="Y143" i="4"/>
  <c r="Z141" i="4" s="1"/>
  <c r="Y103" i="4"/>
  <c r="Y104" i="4" s="1"/>
  <c r="Z102" i="4" s="1"/>
  <c r="M61" i="4"/>
  <c r="M62" i="4" s="1"/>
  <c r="X77" i="4"/>
  <c r="X78" i="4"/>
  <c r="Y76" i="4" s="1"/>
  <c r="M204" i="4"/>
  <c r="M205" i="4" s="1"/>
  <c r="M74" i="4"/>
  <c r="M75" i="4" s="1"/>
  <c r="J51" i="4"/>
  <c r="J52" i="4" s="1"/>
  <c r="H249" i="4"/>
  <c r="H37" i="4"/>
  <c r="M139" i="4"/>
  <c r="M140" i="4" s="1"/>
  <c r="M241" i="4"/>
  <c r="M242" i="4" s="1"/>
  <c r="X194" i="4"/>
  <c r="X195" i="4"/>
  <c r="Y193" i="4" s="1"/>
  <c r="M87" i="4"/>
  <c r="M88" i="4" s="1"/>
  <c r="J30" i="4"/>
  <c r="J31" i="4" s="1"/>
  <c r="M191" i="4"/>
  <c r="M192" i="4" s="1"/>
  <c r="I251" i="4"/>
  <c r="S28" i="1"/>
  <c r="Z116" i="4" l="1"/>
  <c r="Z117" i="4" s="1"/>
  <c r="AA115" i="4" s="1"/>
  <c r="Y129" i="4"/>
  <c r="Y130" i="4" s="1"/>
  <c r="Z128" i="4" s="1"/>
  <c r="Z181" i="4"/>
  <c r="Z182" i="4" s="1"/>
  <c r="AA180" i="4" s="1"/>
  <c r="R17" i="4"/>
  <c r="R18" i="4" s="1"/>
  <c r="S16" i="4" s="1"/>
  <c r="J32" i="4"/>
  <c r="I35" i="4"/>
  <c r="N190" i="4"/>
  <c r="M197" i="4"/>
  <c r="M198" i="4" s="1"/>
  <c r="M67" i="4"/>
  <c r="M68" i="4" s="1"/>
  <c r="N60" i="4"/>
  <c r="AA168" i="4"/>
  <c r="B168" i="4" s="1"/>
  <c r="C168" i="4" s="1"/>
  <c r="B167" i="4"/>
  <c r="M247" i="4"/>
  <c r="M248" i="4" s="1"/>
  <c r="N240" i="4"/>
  <c r="Y90" i="4"/>
  <c r="Y91" i="4" s="1"/>
  <c r="Z89" i="4" s="1"/>
  <c r="M210" i="4"/>
  <c r="M211" i="4" s="1"/>
  <c r="N203" i="4"/>
  <c r="N138" i="4"/>
  <c r="M145" i="4"/>
  <c r="M146" i="4" s="1"/>
  <c r="J36" i="4"/>
  <c r="J250" i="4" s="1"/>
  <c r="K29" i="4"/>
  <c r="K50" i="4"/>
  <c r="J53" i="4"/>
  <c r="J55" i="4" s="1"/>
  <c r="Z156" i="4"/>
  <c r="AA154" i="4" s="1"/>
  <c r="Z155" i="4"/>
  <c r="Z64" i="4"/>
  <c r="Z65" i="4" s="1"/>
  <c r="AA63" i="4" s="1"/>
  <c r="Y194" i="4"/>
  <c r="Y195" i="4" s="1"/>
  <c r="Z193" i="4" s="1"/>
  <c r="H252" i="4"/>
  <c r="Q27" i="1"/>
  <c r="N217" i="4"/>
  <c r="N218" i="4" s="1"/>
  <c r="N126" i="4"/>
  <c r="N127" i="4" s="1"/>
  <c r="M100" i="4"/>
  <c r="M101" i="4" s="1"/>
  <c r="N178" i="4"/>
  <c r="N179" i="4" s="1"/>
  <c r="N152" i="4"/>
  <c r="N153" i="4" s="1"/>
  <c r="N86" i="4"/>
  <c r="M93" i="4"/>
  <c r="M94" i="4" s="1"/>
  <c r="Z103" i="4"/>
  <c r="Z104" i="4" s="1"/>
  <c r="AA102" i="4" s="1"/>
  <c r="Y207" i="4"/>
  <c r="Y208" i="4" s="1"/>
  <c r="Z206" i="4" s="1"/>
  <c r="Z142" i="4"/>
  <c r="Z143" i="4" s="1"/>
  <c r="AA141" i="4" s="1"/>
  <c r="K48" i="4"/>
  <c r="K49" i="4" s="1"/>
  <c r="N229" i="4"/>
  <c r="N230" i="4" s="1"/>
  <c r="M113" i="4"/>
  <c r="M114" i="4" s="1"/>
  <c r="N165" i="4"/>
  <c r="N166" i="4" s="1"/>
  <c r="Y77" i="4"/>
  <c r="Y78" i="4" s="1"/>
  <c r="Z76" i="4" s="1"/>
  <c r="M80" i="4"/>
  <c r="M81" i="4" s="1"/>
  <c r="N73" i="4"/>
  <c r="Z90" i="4" l="1"/>
  <c r="Z91" i="4"/>
  <c r="AA89" i="4" s="1"/>
  <c r="N158" i="4"/>
  <c r="N159" i="4" s="1"/>
  <c r="O151" i="4"/>
  <c r="S17" i="4"/>
  <c r="S18" i="4" s="1"/>
  <c r="T16" i="4" s="1"/>
  <c r="N223" i="4"/>
  <c r="N224" i="4" s="1"/>
  <c r="O216" i="4"/>
  <c r="N235" i="4"/>
  <c r="N236" i="4" s="1"/>
  <c r="O228" i="4"/>
  <c r="Z194" i="4"/>
  <c r="Z195" i="4" s="1"/>
  <c r="AA193" i="4" s="1"/>
  <c r="Z129" i="4"/>
  <c r="Z130" i="4" s="1"/>
  <c r="AA128" i="4" s="1"/>
  <c r="O125" i="4"/>
  <c r="N132" i="4"/>
  <c r="N133" i="4" s="1"/>
  <c r="K54" i="4"/>
  <c r="L47" i="4"/>
  <c r="O177" i="4"/>
  <c r="N184" i="4"/>
  <c r="N185" i="4" s="1"/>
  <c r="B180" i="4"/>
  <c r="AA181" i="4"/>
  <c r="B181" i="4" s="1"/>
  <c r="C181" i="4" s="1"/>
  <c r="Z77" i="4"/>
  <c r="Z78" i="4" s="1"/>
  <c r="AA76" i="4" s="1"/>
  <c r="Z207" i="4"/>
  <c r="Z208" i="4" s="1"/>
  <c r="AA206" i="4" s="1"/>
  <c r="AA116" i="4"/>
  <c r="B116" i="4" s="1"/>
  <c r="C116" i="4" s="1"/>
  <c r="AA117" i="4"/>
  <c r="B117" i="4" s="1"/>
  <c r="B115" i="4"/>
  <c r="B141" i="4"/>
  <c r="AA142" i="4"/>
  <c r="B142" i="4" s="1"/>
  <c r="C142" i="4" s="1"/>
  <c r="AA64" i="4"/>
  <c r="B64" i="4" s="1"/>
  <c r="C64" i="4" s="1"/>
  <c r="B63" i="4"/>
  <c r="N204" i="4"/>
  <c r="N205" i="4" s="1"/>
  <c r="AA169" i="4"/>
  <c r="B169" i="4" s="1"/>
  <c r="M119" i="4"/>
  <c r="M120" i="4" s="1"/>
  <c r="N112" i="4"/>
  <c r="AA155" i="4"/>
  <c r="B155" i="4" s="1"/>
  <c r="C155" i="4" s="1"/>
  <c r="B154" i="4"/>
  <c r="N61" i="4"/>
  <c r="N62" i="4" s="1"/>
  <c r="T27" i="1"/>
  <c r="U27" i="1" s="1"/>
  <c r="K51" i="4"/>
  <c r="K52" i="4" s="1"/>
  <c r="N171" i="4"/>
  <c r="N172" i="4" s="1"/>
  <c r="O164" i="4"/>
  <c r="N139" i="4"/>
  <c r="N140" i="4" s="1"/>
  <c r="N74" i="4"/>
  <c r="N75" i="4" s="1"/>
  <c r="AA103" i="4"/>
  <c r="B103" i="4" s="1"/>
  <c r="C103" i="4" s="1"/>
  <c r="B102" i="4"/>
  <c r="AA104" i="4"/>
  <c r="B104" i="4" s="1"/>
  <c r="J251" i="4"/>
  <c r="S29" i="1"/>
  <c r="I249" i="4"/>
  <c r="I37" i="4"/>
  <c r="M106" i="4"/>
  <c r="M107" i="4" s="1"/>
  <c r="N99" i="4"/>
  <c r="K30" i="4"/>
  <c r="K31" i="4" s="1"/>
  <c r="N241" i="4"/>
  <c r="N242" i="4" s="1"/>
  <c r="N191" i="4"/>
  <c r="N192" i="4" s="1"/>
  <c r="N87" i="4"/>
  <c r="N88" i="4" s="1"/>
  <c r="J33" i="4"/>
  <c r="J34" i="4" s="1"/>
  <c r="AA65" i="4" l="1"/>
  <c r="B65" i="4" s="1"/>
  <c r="AA143" i="4"/>
  <c r="B143" i="4" s="1"/>
  <c r="AA156" i="4"/>
  <c r="B156" i="4" s="1"/>
  <c r="K53" i="4"/>
  <c r="K55" i="4" s="1"/>
  <c r="L50" i="4"/>
  <c r="N197" i="4"/>
  <c r="N198" i="4" s="1"/>
  <c r="O190" i="4"/>
  <c r="O138" i="4"/>
  <c r="N145" i="4"/>
  <c r="N146" i="4" s="1"/>
  <c r="T17" i="4"/>
  <c r="T18" i="4" s="1"/>
  <c r="U16" i="4" s="1"/>
  <c r="N67" i="4"/>
  <c r="N68" i="4" s="1"/>
  <c r="O60" i="4"/>
  <c r="N247" i="4"/>
  <c r="N248" i="4" s="1"/>
  <c r="O240" i="4"/>
  <c r="N210" i="4"/>
  <c r="N211" i="4" s="1"/>
  <c r="O203" i="4"/>
  <c r="K32" i="4"/>
  <c r="J35" i="4"/>
  <c r="O86" i="4"/>
  <c r="N93" i="4"/>
  <c r="N94" i="4" s="1"/>
  <c r="AA77" i="4"/>
  <c r="B77" i="4" s="1"/>
  <c r="C77" i="4" s="1"/>
  <c r="B76" i="4"/>
  <c r="O217" i="4"/>
  <c r="O218" i="4" s="1"/>
  <c r="O126" i="4"/>
  <c r="O127" i="4" s="1"/>
  <c r="AA182" i="4"/>
  <c r="B182" i="4" s="1"/>
  <c r="N80" i="4"/>
  <c r="N81" i="4" s="1"/>
  <c r="O73" i="4"/>
  <c r="I252" i="4"/>
  <c r="T28" i="1" s="1"/>
  <c r="U28" i="1" s="1"/>
  <c r="Q28" i="1"/>
  <c r="B128" i="4"/>
  <c r="AA129" i="4"/>
  <c r="B129" i="4" s="1"/>
  <c r="C129" i="4" s="1"/>
  <c r="AA130" i="4"/>
  <c r="B130" i="4" s="1"/>
  <c r="O165" i="4"/>
  <c r="O166" i="4" s="1"/>
  <c r="O152" i="4"/>
  <c r="O153" i="4" s="1"/>
  <c r="O178" i="4"/>
  <c r="O179" i="4" s="1"/>
  <c r="AA194" i="4"/>
  <c r="B194" i="4" s="1"/>
  <c r="C194" i="4" s="1"/>
  <c r="B193" i="4"/>
  <c r="O229" i="4"/>
  <c r="O230" i="4" s="1"/>
  <c r="K36" i="4"/>
  <c r="K250" i="4" s="1"/>
  <c r="L29" i="4"/>
  <c r="AA207" i="4"/>
  <c r="B207" i="4" s="1"/>
  <c r="C207" i="4" s="1"/>
  <c r="B206" i="4"/>
  <c r="L48" i="4"/>
  <c r="L49" i="4" s="1"/>
  <c r="B89" i="4"/>
  <c r="AA90" i="4"/>
  <c r="B90" i="4" s="1"/>
  <c r="C90" i="4" s="1"/>
  <c r="N100" i="4"/>
  <c r="N101" i="4" s="1"/>
  <c r="N113" i="4"/>
  <c r="N114" i="4" s="1"/>
  <c r="AA91" i="4" l="1"/>
  <c r="B91" i="4" s="1"/>
  <c r="O223" i="4"/>
  <c r="O224" i="4" s="1"/>
  <c r="P216" i="4"/>
  <c r="P151" i="4"/>
  <c r="O158" i="4"/>
  <c r="O159" i="4" s="1"/>
  <c r="O112" i="4"/>
  <c r="N119" i="4"/>
  <c r="N120" i="4" s="1"/>
  <c r="U17" i="4"/>
  <c r="U18" i="4" s="1"/>
  <c r="V16" i="4" s="1"/>
  <c r="O235" i="4"/>
  <c r="O236" i="4" s="1"/>
  <c r="P228" i="4"/>
  <c r="P164" i="4"/>
  <c r="O171" i="4"/>
  <c r="O172" i="4" s="1"/>
  <c r="O132" i="4"/>
  <c r="O133" i="4" s="1"/>
  <c r="P125" i="4"/>
  <c r="M47" i="4"/>
  <c r="L54" i="4"/>
  <c r="O184" i="4"/>
  <c r="O185" i="4" s="1"/>
  <c r="P177" i="4"/>
  <c r="K33" i="4"/>
  <c r="K34" i="4" s="1"/>
  <c r="O204" i="4"/>
  <c r="O205" i="4" s="1"/>
  <c r="N106" i="4"/>
  <c r="N107" i="4" s="1"/>
  <c r="O99" i="4"/>
  <c r="O74" i="4"/>
  <c r="O75" i="4" s="1"/>
  <c r="O139" i="4"/>
  <c r="O140" i="4" s="1"/>
  <c r="AA78" i="4"/>
  <c r="B78" i="4" s="1"/>
  <c r="O241" i="4"/>
  <c r="O242" i="4" s="1"/>
  <c r="O191" i="4"/>
  <c r="O192" i="4" s="1"/>
  <c r="L30" i="4"/>
  <c r="L31" i="4" s="1"/>
  <c r="K251" i="4"/>
  <c r="S30" i="1"/>
  <c r="AA208" i="4"/>
  <c r="B208" i="4" s="1"/>
  <c r="O87" i="4"/>
  <c r="O88" i="4" s="1"/>
  <c r="O61" i="4"/>
  <c r="O62" i="4" s="1"/>
  <c r="L51" i="4"/>
  <c r="L52" i="4" s="1"/>
  <c r="AA195" i="4"/>
  <c r="B195" i="4" s="1"/>
  <c r="J249" i="4"/>
  <c r="J37" i="4"/>
  <c r="L53" i="4" l="1"/>
  <c r="L55" i="4" s="1"/>
  <c r="M50" i="4"/>
  <c r="O80" i="4"/>
  <c r="O81" i="4" s="1"/>
  <c r="P73" i="4"/>
  <c r="O210" i="4"/>
  <c r="O211" i="4" s="1"/>
  <c r="P203" i="4"/>
  <c r="V17" i="4"/>
  <c r="V18" i="4" s="1"/>
  <c r="W16" i="4" s="1"/>
  <c r="K35" i="4"/>
  <c r="L32" i="4"/>
  <c r="P138" i="4"/>
  <c r="O145" i="4"/>
  <c r="O146" i="4" s="1"/>
  <c r="P60" i="4"/>
  <c r="O67" i="4"/>
  <c r="O68" i="4" s="1"/>
  <c r="P86" i="4"/>
  <c r="O93" i="4"/>
  <c r="O94" i="4" s="1"/>
  <c r="O197" i="4"/>
  <c r="O198" i="4" s="1"/>
  <c r="P190" i="4"/>
  <c r="O100" i="4"/>
  <c r="O101" i="4" s="1"/>
  <c r="J252" i="4"/>
  <c r="T29" i="1" s="1"/>
  <c r="U29" i="1" s="1"/>
  <c r="Q29" i="1"/>
  <c r="M48" i="4"/>
  <c r="M49" i="4" s="1"/>
  <c r="P126" i="4"/>
  <c r="P127" i="4" s="1"/>
  <c r="O247" i="4"/>
  <c r="O248" i="4" s="1"/>
  <c r="P240" i="4"/>
  <c r="O113" i="4"/>
  <c r="O114" i="4" s="1"/>
  <c r="P165" i="4"/>
  <c r="P166" i="4" s="1"/>
  <c r="P152" i="4"/>
  <c r="P153" i="4" s="1"/>
  <c r="P229" i="4"/>
  <c r="P230" i="4" s="1"/>
  <c r="P217" i="4"/>
  <c r="P218" i="4" s="1"/>
  <c r="M29" i="4"/>
  <c r="L36" i="4"/>
  <c r="L250" i="4" s="1"/>
  <c r="P178" i="4"/>
  <c r="P179" i="4" s="1"/>
  <c r="W17" i="4" l="1"/>
  <c r="W18" i="4" s="1"/>
  <c r="X16" i="4" s="1"/>
  <c r="P223" i="4"/>
  <c r="P224" i="4" s="1"/>
  <c r="Q216" i="4"/>
  <c r="Q164" i="4"/>
  <c r="P171" i="4"/>
  <c r="P172" i="4" s="1"/>
  <c r="N47" i="4"/>
  <c r="M54" i="4"/>
  <c r="O106" i="4"/>
  <c r="O107" i="4" s="1"/>
  <c r="P99" i="4"/>
  <c r="Q228" i="4"/>
  <c r="P235" i="4"/>
  <c r="P236" i="4" s="1"/>
  <c r="P112" i="4"/>
  <c r="O119" i="4"/>
  <c r="O120" i="4" s="1"/>
  <c r="P87" i="4"/>
  <c r="P88" i="4" s="1"/>
  <c r="P204" i="4"/>
  <c r="P205" i="4" s="1"/>
  <c r="M30" i="4"/>
  <c r="M31" i="4" s="1"/>
  <c r="P241" i="4"/>
  <c r="P242" i="4" s="1"/>
  <c r="P74" i="4"/>
  <c r="P75" i="4" s="1"/>
  <c r="L251" i="4"/>
  <c r="S31" i="1"/>
  <c r="P139" i="4"/>
  <c r="P140" i="4" s="1"/>
  <c r="P61" i="4"/>
  <c r="P62" i="4" s="1"/>
  <c r="P191" i="4"/>
  <c r="P192" i="4" s="1"/>
  <c r="L33" i="4"/>
  <c r="L34" i="4" s="1"/>
  <c r="M51" i="4"/>
  <c r="M52" i="4" s="1"/>
  <c r="P184" i="4"/>
  <c r="P185" i="4" s="1"/>
  <c r="Q177" i="4"/>
  <c r="Q151" i="4"/>
  <c r="P158" i="4"/>
  <c r="P159" i="4" s="1"/>
  <c r="P132" i="4"/>
  <c r="P133" i="4" s="1"/>
  <c r="Q125" i="4"/>
  <c r="K249" i="4"/>
  <c r="K37" i="4"/>
  <c r="Q203" i="4" l="1"/>
  <c r="P210" i="4"/>
  <c r="P211" i="4" s="1"/>
  <c r="L35" i="4"/>
  <c r="M32" i="4"/>
  <c r="Q138" i="4"/>
  <c r="P145" i="4"/>
  <c r="P146" i="4" s="1"/>
  <c r="P197" i="4"/>
  <c r="P198" i="4" s="1"/>
  <c r="Q190" i="4"/>
  <c r="P93" i="4"/>
  <c r="P94" i="4" s="1"/>
  <c r="Q86" i="4"/>
  <c r="P80" i="4"/>
  <c r="P81" i="4" s="1"/>
  <c r="Q73" i="4"/>
  <c r="N29" i="4"/>
  <c r="M36" i="4"/>
  <c r="M250" i="4" s="1"/>
  <c r="Q60" i="4"/>
  <c r="P67" i="4"/>
  <c r="P68" i="4" s="1"/>
  <c r="M53" i="4"/>
  <c r="M55" i="4" s="1"/>
  <c r="N50" i="4"/>
  <c r="P247" i="4"/>
  <c r="P248" i="4" s="1"/>
  <c r="Q240" i="4"/>
  <c r="X17" i="4"/>
  <c r="X18" i="4" s="1"/>
  <c r="Y16" i="4" s="1"/>
  <c r="Q178" i="4"/>
  <c r="Q179" i="4" s="1"/>
  <c r="N48" i="4"/>
  <c r="N49" i="4" s="1"/>
  <c r="Q217" i="4"/>
  <c r="Q218" i="4" s="1"/>
  <c r="K252" i="4"/>
  <c r="T30" i="1" s="1"/>
  <c r="U30" i="1" s="1"/>
  <c r="Q30" i="1"/>
  <c r="Q126" i="4"/>
  <c r="Q127" i="4" s="1"/>
  <c r="Q229" i="4"/>
  <c r="Q230" i="4" s="1"/>
  <c r="P100" i="4"/>
  <c r="P101" i="4" s="1"/>
  <c r="Q152" i="4"/>
  <c r="Q153" i="4" s="1"/>
  <c r="P113" i="4"/>
  <c r="P114" i="4" s="1"/>
  <c r="Q165" i="4"/>
  <c r="Q166" i="4" s="1"/>
  <c r="R164" i="4" l="1"/>
  <c r="Q171" i="4"/>
  <c r="Q172" i="4" s="1"/>
  <c r="O47" i="4"/>
  <c r="N54" i="4"/>
  <c r="R177" i="4"/>
  <c r="Q184" i="4"/>
  <c r="Q185" i="4" s="1"/>
  <c r="R228" i="4"/>
  <c r="Q235" i="4"/>
  <c r="Q236" i="4" s="1"/>
  <c r="R216" i="4"/>
  <c r="Q223" i="4"/>
  <c r="Q224" i="4" s="1"/>
  <c r="Q112" i="4"/>
  <c r="P119" i="4"/>
  <c r="P120" i="4" s="1"/>
  <c r="Q158" i="4"/>
  <c r="Q159" i="4" s="1"/>
  <c r="R151" i="4"/>
  <c r="P106" i="4"/>
  <c r="P107" i="4" s="1"/>
  <c r="Q99" i="4"/>
  <c r="Y17" i="4"/>
  <c r="Y18" i="4" s="1"/>
  <c r="Z16" i="4" s="1"/>
  <c r="Q132" i="4"/>
  <c r="Q133" i="4" s="1"/>
  <c r="R125" i="4"/>
  <c r="Q191" i="4"/>
  <c r="Q192" i="4" s="1"/>
  <c r="Q61" i="4"/>
  <c r="Q62" i="4" s="1"/>
  <c r="Q241" i="4"/>
  <c r="Q242" i="4" s="1"/>
  <c r="Q74" i="4"/>
  <c r="Q75" i="4" s="1"/>
  <c r="M33" i="4"/>
  <c r="M34" i="4" s="1"/>
  <c r="N30" i="4"/>
  <c r="N31" i="4" s="1"/>
  <c r="L249" i="4"/>
  <c r="L37" i="4"/>
  <c r="M251" i="4"/>
  <c r="S32" i="1"/>
  <c r="Q139" i="4"/>
  <c r="Q140" i="4" s="1"/>
  <c r="N51" i="4"/>
  <c r="N52" i="4" s="1"/>
  <c r="Q87" i="4"/>
  <c r="Q88" i="4" s="1"/>
  <c r="Q204" i="4"/>
  <c r="Q205" i="4" s="1"/>
  <c r="Q80" i="4" l="1"/>
  <c r="Q81" i="4" s="1"/>
  <c r="R73" i="4"/>
  <c r="M35" i="4"/>
  <c r="N32" i="4"/>
  <c r="R60" i="4"/>
  <c r="Q67" i="4"/>
  <c r="Q68" i="4" s="1"/>
  <c r="R240" i="4"/>
  <c r="Q247" i="4"/>
  <c r="Q248" i="4" s="1"/>
  <c r="R203" i="4"/>
  <c r="Q210" i="4"/>
  <c r="Q211" i="4" s="1"/>
  <c r="R138" i="4"/>
  <c r="Q145" i="4"/>
  <c r="Q146" i="4" s="1"/>
  <c r="Q197" i="4"/>
  <c r="Q198" i="4" s="1"/>
  <c r="R190" i="4"/>
  <c r="Q93" i="4"/>
  <c r="Q94" i="4" s="1"/>
  <c r="R86" i="4"/>
  <c r="O29" i="4"/>
  <c r="N36" i="4"/>
  <c r="N250" i="4" s="1"/>
  <c r="Z17" i="4"/>
  <c r="Z18" i="4" s="1"/>
  <c r="AA16" i="4" s="1"/>
  <c r="R229" i="4"/>
  <c r="R230" i="4" s="1"/>
  <c r="R126" i="4"/>
  <c r="R127" i="4" s="1"/>
  <c r="Q113" i="4"/>
  <c r="Q114" i="4" s="1"/>
  <c r="O48" i="4"/>
  <c r="O49" i="4" s="1"/>
  <c r="O50" i="4"/>
  <c r="N53" i="4"/>
  <c r="N55" i="4" s="1"/>
  <c r="R152" i="4"/>
  <c r="R153" i="4" s="1"/>
  <c r="Q100" i="4"/>
  <c r="Q101" i="4" s="1"/>
  <c r="R178" i="4"/>
  <c r="R179" i="4" s="1"/>
  <c r="L252" i="4"/>
  <c r="T31" i="1" s="1"/>
  <c r="U31" i="1" s="1"/>
  <c r="Q31" i="1"/>
  <c r="R217" i="4"/>
  <c r="R218" i="4" s="1"/>
  <c r="R165" i="4"/>
  <c r="R166" i="4" s="1"/>
  <c r="O54" i="4" l="1"/>
  <c r="P47" i="4"/>
  <c r="R223" i="4"/>
  <c r="R224" i="4" s="1"/>
  <c r="S216" i="4"/>
  <c r="Q106" i="4"/>
  <c r="Q107" i="4" s="1"/>
  <c r="R99" i="4"/>
  <c r="S125" i="4"/>
  <c r="R132" i="4"/>
  <c r="R133" i="4" s="1"/>
  <c r="R235" i="4"/>
  <c r="R236" i="4" s="1"/>
  <c r="S228" i="4"/>
  <c r="B16" i="4"/>
  <c r="AA17" i="4"/>
  <c r="B17" i="4" s="1"/>
  <c r="C17" i="4" s="1"/>
  <c r="R171" i="4"/>
  <c r="R172" i="4" s="1"/>
  <c r="S164" i="4"/>
  <c r="R112" i="4"/>
  <c r="Q119" i="4"/>
  <c r="Q120" i="4" s="1"/>
  <c r="S177" i="4"/>
  <c r="R184" i="4"/>
  <c r="R185" i="4" s="1"/>
  <c r="R158" i="4"/>
  <c r="R159" i="4" s="1"/>
  <c r="S151" i="4"/>
  <c r="R241" i="4"/>
  <c r="R242" i="4" s="1"/>
  <c r="R61" i="4"/>
  <c r="R62" i="4" s="1"/>
  <c r="R87" i="4"/>
  <c r="R88" i="4" s="1"/>
  <c r="N33" i="4"/>
  <c r="N34" i="4" s="1"/>
  <c r="O51" i="4"/>
  <c r="O52" i="4" s="1"/>
  <c r="R139" i="4"/>
  <c r="R140" i="4" s="1"/>
  <c r="N251" i="4"/>
  <c r="S33" i="1"/>
  <c r="R74" i="4"/>
  <c r="R75" i="4" s="1"/>
  <c r="R191" i="4"/>
  <c r="R192" i="4" s="1"/>
  <c r="M249" i="4"/>
  <c r="M37" i="4"/>
  <c r="O30" i="4"/>
  <c r="O31" i="4" s="1"/>
  <c r="R204" i="4"/>
  <c r="R205" i="4" s="1"/>
  <c r="R93" i="4" l="1"/>
  <c r="R94" i="4" s="1"/>
  <c r="S86" i="4"/>
  <c r="O36" i="4"/>
  <c r="O250" i="4" s="1"/>
  <c r="P29" i="4"/>
  <c r="S73" i="4"/>
  <c r="R80" i="4"/>
  <c r="R81" i="4" s="1"/>
  <c r="S240" i="4"/>
  <c r="R247" i="4"/>
  <c r="R248" i="4" s="1"/>
  <c r="S190" i="4"/>
  <c r="R197" i="4"/>
  <c r="R198" i="4" s="1"/>
  <c r="O32" i="4"/>
  <c r="N35" i="4"/>
  <c r="R67" i="4"/>
  <c r="R68" i="4" s="1"/>
  <c r="S60" i="4"/>
  <c r="R113" i="4"/>
  <c r="R114" i="4" s="1"/>
  <c r="P50" i="4"/>
  <c r="O53" i="4"/>
  <c r="O55" i="4" s="1"/>
  <c r="R100" i="4"/>
  <c r="R101" i="4" s="1"/>
  <c r="R210" i="4"/>
  <c r="R211" i="4" s="1"/>
  <c r="S203" i="4"/>
  <c r="S152" i="4"/>
  <c r="S153" i="4" s="1"/>
  <c r="S217" i="4"/>
  <c r="S218" i="4" s="1"/>
  <c r="AA18" i="4"/>
  <c r="S165" i="4"/>
  <c r="S166" i="4" s="1"/>
  <c r="S178" i="4"/>
  <c r="S179" i="4" s="1"/>
  <c r="S229" i="4"/>
  <c r="S230" i="4" s="1"/>
  <c r="P48" i="4"/>
  <c r="P49" i="4" s="1"/>
  <c r="S126" i="4"/>
  <c r="S127" i="4" s="1"/>
  <c r="M252" i="4"/>
  <c r="T32" i="1" s="1"/>
  <c r="U32" i="1" s="1"/>
  <c r="Q32" i="1"/>
  <c r="R145" i="4"/>
  <c r="R146" i="4" s="1"/>
  <c r="S138" i="4"/>
  <c r="S223" i="4" l="1"/>
  <c r="S224" i="4" s="1"/>
  <c r="T216" i="4"/>
  <c r="T164" i="4"/>
  <c r="S171" i="4"/>
  <c r="S172" i="4" s="1"/>
  <c r="T125" i="4"/>
  <c r="S132" i="4"/>
  <c r="S133" i="4" s="1"/>
  <c r="S158" i="4"/>
  <c r="S159" i="4" s="1"/>
  <c r="T151" i="4"/>
  <c r="R106" i="4"/>
  <c r="R107" i="4" s="1"/>
  <c r="S99" i="4"/>
  <c r="S112" i="4"/>
  <c r="R119" i="4"/>
  <c r="R120" i="4" s="1"/>
  <c r="P54" i="4"/>
  <c r="Q47" i="4"/>
  <c r="S184" i="4"/>
  <c r="S185" i="4" s="1"/>
  <c r="T177" i="4"/>
  <c r="S241" i="4"/>
  <c r="S242" i="4" s="1"/>
  <c r="N249" i="4"/>
  <c r="N37" i="4"/>
  <c r="P30" i="4"/>
  <c r="P31" i="4" s="1"/>
  <c r="S235" i="4"/>
  <c r="S236" i="4" s="1"/>
  <c r="T228" i="4"/>
  <c r="S61" i="4"/>
  <c r="S62" i="4" s="1"/>
  <c r="O33" i="4"/>
  <c r="O34" i="4" s="1"/>
  <c r="O251" i="4"/>
  <c r="S34" i="1"/>
  <c r="S74" i="4"/>
  <c r="S75" i="4" s="1"/>
  <c r="S87" i="4"/>
  <c r="S88" i="4" s="1"/>
  <c r="S204" i="4"/>
  <c r="S205" i="4" s="1"/>
  <c r="B272" i="4"/>
  <c r="C272" i="4" s="1"/>
  <c r="B18" i="4"/>
  <c r="S139" i="4"/>
  <c r="S140" i="4" s="1"/>
  <c r="P51" i="4"/>
  <c r="P52" i="4" s="1"/>
  <c r="S191" i="4"/>
  <c r="S192" i="4" s="1"/>
  <c r="T190" i="4" l="1"/>
  <c r="S197" i="4"/>
  <c r="S198" i="4" s="1"/>
  <c r="O35" i="4"/>
  <c r="P32" i="4"/>
  <c r="T203" i="4"/>
  <c r="S210" i="4"/>
  <c r="S211" i="4" s="1"/>
  <c r="S93" i="4"/>
  <c r="S94" i="4" s="1"/>
  <c r="T86" i="4"/>
  <c r="Q50" i="4"/>
  <c r="P53" i="4"/>
  <c r="P55" i="4" s="1"/>
  <c r="S67" i="4"/>
  <c r="S68" i="4" s="1"/>
  <c r="T60" i="4"/>
  <c r="Q29" i="4"/>
  <c r="P36" i="4"/>
  <c r="P250" i="4" s="1"/>
  <c r="T240" i="4"/>
  <c r="S247" i="4"/>
  <c r="S248" i="4" s="1"/>
  <c r="S145" i="4"/>
  <c r="S146" i="4" s="1"/>
  <c r="T138" i="4"/>
  <c r="T229" i="4"/>
  <c r="T230" i="4" s="1"/>
  <c r="T178" i="4"/>
  <c r="T179" i="4" s="1"/>
  <c r="T152" i="4"/>
  <c r="T153" i="4" s="1"/>
  <c r="Q48" i="4"/>
  <c r="Q49" i="4" s="1"/>
  <c r="T73" i="4"/>
  <c r="S80" i="4"/>
  <c r="S81" i="4" s="1"/>
  <c r="N252" i="4"/>
  <c r="T33" i="1" s="1"/>
  <c r="U33" i="1" s="1"/>
  <c r="Q33" i="1"/>
  <c r="S113" i="4"/>
  <c r="S114" i="4" s="1"/>
  <c r="T165" i="4"/>
  <c r="T166" i="4" s="1"/>
  <c r="S100" i="4"/>
  <c r="S101" i="4" s="1"/>
  <c r="T217" i="4"/>
  <c r="T218" i="4" s="1"/>
  <c r="T126" i="4"/>
  <c r="T127" i="4" s="1"/>
  <c r="U125" i="4" l="1"/>
  <c r="T132" i="4"/>
  <c r="T133" i="4" s="1"/>
  <c r="U216" i="4"/>
  <c r="T223" i="4"/>
  <c r="T224" i="4" s="1"/>
  <c r="S106" i="4"/>
  <c r="S107" i="4" s="1"/>
  <c r="T99" i="4"/>
  <c r="U177" i="4"/>
  <c r="T184" i="4"/>
  <c r="T185" i="4" s="1"/>
  <c r="Q54" i="4"/>
  <c r="R47" i="4"/>
  <c r="T158" i="4"/>
  <c r="T159" i="4" s="1"/>
  <c r="U151" i="4"/>
  <c r="T171" i="4"/>
  <c r="T172" i="4" s="1"/>
  <c r="U164" i="4"/>
  <c r="T112" i="4"/>
  <c r="S119" i="4"/>
  <c r="S120" i="4" s="1"/>
  <c r="U228" i="4"/>
  <c r="T235" i="4"/>
  <c r="T236" i="4" s="1"/>
  <c r="T241" i="4"/>
  <c r="T242" i="4" s="1"/>
  <c r="T61" i="4"/>
  <c r="T62" i="4" s="1"/>
  <c r="P33" i="4"/>
  <c r="P34" i="4" s="1"/>
  <c r="T87" i="4"/>
  <c r="T88" i="4" s="1"/>
  <c r="P251" i="4"/>
  <c r="S35" i="1"/>
  <c r="Q30" i="4"/>
  <c r="Q31" i="4" s="1"/>
  <c r="T74" i="4"/>
  <c r="T75" i="4" s="1"/>
  <c r="O249" i="4"/>
  <c r="O37" i="4"/>
  <c r="T139" i="4"/>
  <c r="T140" i="4" s="1"/>
  <c r="T204" i="4"/>
  <c r="T205" i="4" s="1"/>
  <c r="Q51" i="4"/>
  <c r="Q52" i="4" s="1"/>
  <c r="T191" i="4"/>
  <c r="T192" i="4" s="1"/>
  <c r="T93" i="4" l="1"/>
  <c r="T94" i="4" s="1"/>
  <c r="U86" i="4"/>
  <c r="T145" i="4"/>
  <c r="T146" i="4" s="1"/>
  <c r="U138" i="4"/>
  <c r="U73" i="4"/>
  <c r="T80" i="4"/>
  <c r="T81" i="4" s="1"/>
  <c r="T210" i="4"/>
  <c r="T211" i="4" s="1"/>
  <c r="U203" i="4"/>
  <c r="U240" i="4"/>
  <c r="T247" i="4"/>
  <c r="T248" i="4" s="1"/>
  <c r="Q32" i="4"/>
  <c r="P35" i="4"/>
  <c r="Q36" i="4"/>
  <c r="Q250" i="4" s="1"/>
  <c r="R29" i="4"/>
  <c r="U165" i="4"/>
  <c r="U166" i="4" s="1"/>
  <c r="T100" i="4"/>
  <c r="T101" i="4" s="1"/>
  <c r="T67" i="4"/>
  <c r="T68" i="4" s="1"/>
  <c r="U60" i="4"/>
  <c r="T113" i="4"/>
  <c r="T114" i="4" s="1"/>
  <c r="U217" i="4"/>
  <c r="U218" i="4" s="1"/>
  <c r="R50" i="4"/>
  <c r="Q53" i="4"/>
  <c r="Q55" i="4" s="1"/>
  <c r="U178" i="4"/>
  <c r="U179" i="4" s="1"/>
  <c r="U190" i="4"/>
  <c r="T197" i="4"/>
  <c r="T198" i="4" s="1"/>
  <c r="R48" i="4"/>
  <c r="R49" i="4" s="1"/>
  <c r="U152" i="4"/>
  <c r="U153" i="4" s="1"/>
  <c r="O252" i="4"/>
  <c r="T34" i="1" s="1"/>
  <c r="U34" i="1" s="1"/>
  <c r="Q34" i="1"/>
  <c r="U229" i="4"/>
  <c r="U230" i="4" s="1"/>
  <c r="U126" i="4"/>
  <c r="U127" i="4" s="1"/>
  <c r="T106" i="4" l="1"/>
  <c r="T107" i="4" s="1"/>
  <c r="U99" i="4"/>
  <c r="U171" i="4"/>
  <c r="U172" i="4" s="1"/>
  <c r="V164" i="4"/>
  <c r="U158" i="4"/>
  <c r="U159" i="4" s="1"/>
  <c r="V151" i="4"/>
  <c r="U184" i="4"/>
  <c r="U185" i="4" s="1"/>
  <c r="V177" i="4"/>
  <c r="R54" i="4"/>
  <c r="S47" i="4"/>
  <c r="V125" i="4"/>
  <c r="U132" i="4"/>
  <c r="U133" i="4" s="1"/>
  <c r="U235" i="4"/>
  <c r="U236" i="4" s="1"/>
  <c r="V228" i="4"/>
  <c r="U223" i="4"/>
  <c r="U224" i="4" s="1"/>
  <c r="V216" i="4"/>
  <c r="T119" i="4"/>
  <c r="T120" i="4" s="1"/>
  <c r="U112" i="4"/>
  <c r="U204" i="4"/>
  <c r="U205" i="4" s="1"/>
  <c r="U61" i="4"/>
  <c r="U62" i="4" s="1"/>
  <c r="U139" i="4"/>
  <c r="U140" i="4" s="1"/>
  <c r="U191" i="4"/>
  <c r="U192" i="4" s="1"/>
  <c r="U74" i="4"/>
  <c r="U75" i="4" s="1"/>
  <c r="R30" i="4"/>
  <c r="R31" i="4" s="1"/>
  <c r="P249" i="4"/>
  <c r="P37" i="4"/>
  <c r="U87" i="4"/>
  <c r="U88" i="4" s="1"/>
  <c r="Q251" i="4"/>
  <c r="S36" i="1"/>
  <c r="Q33" i="4"/>
  <c r="Q34" i="4" s="1"/>
  <c r="R51" i="4"/>
  <c r="R52" i="4" s="1"/>
  <c r="U241" i="4"/>
  <c r="U242" i="4" s="1"/>
  <c r="R32" i="4" l="1"/>
  <c r="Q35" i="4"/>
  <c r="U80" i="4"/>
  <c r="U81" i="4" s="1"/>
  <c r="V73" i="4"/>
  <c r="V138" i="4"/>
  <c r="U145" i="4"/>
  <c r="U146" i="4" s="1"/>
  <c r="U210" i="4"/>
  <c r="U211" i="4" s="1"/>
  <c r="V203" i="4"/>
  <c r="R36" i="4"/>
  <c r="R250" i="4" s="1"/>
  <c r="S29" i="4"/>
  <c r="U197" i="4"/>
  <c r="U198" i="4" s="1"/>
  <c r="V190" i="4"/>
  <c r="U67" i="4"/>
  <c r="U68" i="4" s="1"/>
  <c r="V60" i="4"/>
  <c r="V86" i="4"/>
  <c r="U93" i="4"/>
  <c r="U94" i="4" s="1"/>
  <c r="V240" i="4"/>
  <c r="U247" i="4"/>
  <c r="U248" i="4" s="1"/>
  <c r="S50" i="4"/>
  <c r="R53" i="4"/>
  <c r="R55" i="4" s="1"/>
  <c r="V217" i="4"/>
  <c r="V218" i="4" s="1"/>
  <c r="V178" i="4"/>
  <c r="V179" i="4" s="1"/>
  <c r="V165" i="4"/>
  <c r="V166" i="4" s="1"/>
  <c r="P252" i="4"/>
  <c r="T35" i="1" s="1"/>
  <c r="U35" i="1" s="1"/>
  <c r="Q35" i="1"/>
  <c r="V152" i="4"/>
  <c r="V153" i="4" s="1"/>
  <c r="V126" i="4"/>
  <c r="V127" i="4" s="1"/>
  <c r="V229" i="4"/>
  <c r="V230" i="4" s="1"/>
  <c r="U113" i="4"/>
  <c r="U114" i="4" s="1"/>
  <c r="S48" i="4"/>
  <c r="S49" i="4" s="1"/>
  <c r="U100" i="4"/>
  <c r="U101" i="4" s="1"/>
  <c r="V171" i="4" l="1"/>
  <c r="V172" i="4" s="1"/>
  <c r="W164" i="4"/>
  <c r="W177" i="4"/>
  <c r="V184" i="4"/>
  <c r="V185" i="4" s="1"/>
  <c r="V223" i="4"/>
  <c r="V224" i="4" s="1"/>
  <c r="W216" i="4"/>
  <c r="U106" i="4"/>
  <c r="U107" i="4" s="1"/>
  <c r="V99" i="4"/>
  <c r="S54" i="4"/>
  <c r="T47" i="4"/>
  <c r="U119" i="4"/>
  <c r="U120" i="4" s="1"/>
  <c r="V112" i="4"/>
  <c r="V235" i="4"/>
  <c r="V236" i="4" s="1"/>
  <c r="W228" i="4"/>
  <c r="W125" i="4"/>
  <c r="V132" i="4"/>
  <c r="V133" i="4" s="1"/>
  <c r="V158" i="4"/>
  <c r="V159" i="4" s="1"/>
  <c r="W151" i="4"/>
  <c r="V204" i="4"/>
  <c r="V205" i="4" s="1"/>
  <c r="V87" i="4"/>
  <c r="V88" i="4" s="1"/>
  <c r="V139" i="4"/>
  <c r="V140" i="4" s="1"/>
  <c r="V191" i="4"/>
  <c r="V192" i="4" s="1"/>
  <c r="V74" i="4"/>
  <c r="V75" i="4" s="1"/>
  <c r="V61" i="4"/>
  <c r="V62" i="4" s="1"/>
  <c r="S51" i="4"/>
  <c r="S52" i="4" s="1"/>
  <c r="S30" i="4"/>
  <c r="S31" i="4" s="1"/>
  <c r="Q249" i="4"/>
  <c r="Q37" i="4"/>
  <c r="V241" i="4"/>
  <c r="V242" i="4" s="1"/>
  <c r="R251" i="4"/>
  <c r="S37" i="1"/>
  <c r="R33" i="4"/>
  <c r="R34" i="4" s="1"/>
  <c r="S36" i="4" l="1"/>
  <c r="S250" i="4" s="1"/>
  <c r="T29" i="4"/>
  <c r="S32" i="4"/>
  <c r="R35" i="4"/>
  <c r="V210" i="4"/>
  <c r="V211" i="4" s="1"/>
  <c r="W203" i="4"/>
  <c r="W138" i="4"/>
  <c r="V145" i="4"/>
  <c r="V146" i="4" s="1"/>
  <c r="V247" i="4"/>
  <c r="V248" i="4" s="1"/>
  <c r="W240" i="4"/>
  <c r="V80" i="4"/>
  <c r="V81" i="4" s="1"/>
  <c r="W73" i="4"/>
  <c r="W229" i="4"/>
  <c r="W230" i="4" s="1"/>
  <c r="W217" i="4"/>
  <c r="W218" i="4" s="1"/>
  <c r="S53" i="4"/>
  <c r="S55" i="4" s="1"/>
  <c r="T50" i="4"/>
  <c r="V100" i="4"/>
  <c r="V101" i="4" s="1"/>
  <c r="V67" i="4"/>
  <c r="V68" i="4" s="1"/>
  <c r="W60" i="4"/>
  <c r="Q252" i="4"/>
  <c r="T36" i="1" s="1"/>
  <c r="U36" i="1" s="1"/>
  <c r="Q36" i="1"/>
  <c r="V113" i="4"/>
  <c r="V114" i="4" s="1"/>
  <c r="W86" i="4"/>
  <c r="V93" i="4"/>
  <c r="V94" i="4" s="1"/>
  <c r="W178" i="4"/>
  <c r="W179" i="4" s="1"/>
  <c r="W126" i="4"/>
  <c r="W127" i="4" s="1"/>
  <c r="W152" i="4"/>
  <c r="W153" i="4" s="1"/>
  <c r="T48" i="4"/>
  <c r="T49" i="4" s="1"/>
  <c r="W165" i="4"/>
  <c r="W166" i="4" s="1"/>
  <c r="V197" i="4"/>
  <c r="V198" i="4" s="1"/>
  <c r="W190" i="4"/>
  <c r="X164" i="4" l="1"/>
  <c r="W171" i="4"/>
  <c r="W172" i="4" s="1"/>
  <c r="W223" i="4"/>
  <c r="W224" i="4" s="1"/>
  <c r="X216" i="4"/>
  <c r="V106" i="4"/>
  <c r="V107" i="4" s="1"/>
  <c r="W99" i="4"/>
  <c r="U47" i="4"/>
  <c r="T54" i="4"/>
  <c r="W132" i="4"/>
  <c r="W133" i="4" s="1"/>
  <c r="X125" i="4"/>
  <c r="W184" i="4"/>
  <c r="W185" i="4" s="1"/>
  <c r="X177" i="4"/>
  <c r="W191" i="4"/>
  <c r="W192" i="4" s="1"/>
  <c r="W139" i="4"/>
  <c r="W140" i="4" s="1"/>
  <c r="W61" i="4"/>
  <c r="W62" i="4" s="1"/>
  <c r="W204" i="4"/>
  <c r="W205" i="4" s="1"/>
  <c r="W74" i="4"/>
  <c r="W75" i="4" s="1"/>
  <c r="R249" i="4"/>
  <c r="R37" i="4"/>
  <c r="S33" i="4"/>
  <c r="S34" i="4" s="1"/>
  <c r="W235" i="4"/>
  <c r="W236" i="4" s="1"/>
  <c r="X228" i="4"/>
  <c r="W87" i="4"/>
  <c r="W88" i="4" s="1"/>
  <c r="T52" i="4"/>
  <c r="T51" i="4"/>
  <c r="W241" i="4"/>
  <c r="W242" i="4" s="1"/>
  <c r="T30" i="4"/>
  <c r="T31" i="4" s="1"/>
  <c r="W158" i="4"/>
  <c r="W159" i="4" s="1"/>
  <c r="X151" i="4"/>
  <c r="V119" i="4"/>
  <c r="V120" i="4" s="1"/>
  <c r="W112" i="4"/>
  <c r="S251" i="4"/>
  <c r="S38" i="1"/>
  <c r="W145" i="4" l="1"/>
  <c r="W146" i="4" s="1"/>
  <c r="X138" i="4"/>
  <c r="X60" i="4"/>
  <c r="W67" i="4"/>
  <c r="W68" i="4" s="1"/>
  <c r="S35" i="4"/>
  <c r="T32" i="4"/>
  <c r="X203" i="4"/>
  <c r="W210" i="4"/>
  <c r="W211" i="4" s="1"/>
  <c r="X86" i="4"/>
  <c r="W93" i="4"/>
  <c r="W94" i="4" s="1"/>
  <c r="W197" i="4"/>
  <c r="W198" i="4" s="1"/>
  <c r="X190" i="4"/>
  <c r="U29" i="4"/>
  <c r="T36" i="4"/>
  <c r="T250" i="4" s="1"/>
  <c r="W247" i="4"/>
  <c r="W248" i="4" s="1"/>
  <c r="X240" i="4"/>
  <c r="W80" i="4"/>
  <c r="W81" i="4" s="1"/>
  <c r="X73" i="4"/>
  <c r="R252" i="4"/>
  <c r="T37" i="1" s="1"/>
  <c r="U37" i="1" s="1"/>
  <c r="Q37" i="1"/>
  <c r="U48" i="4"/>
  <c r="U49" i="4" s="1"/>
  <c r="W100" i="4"/>
  <c r="W101" i="4" s="1"/>
  <c r="X178" i="4"/>
  <c r="X179" i="4" s="1"/>
  <c r="X217" i="4"/>
  <c r="X218" i="4" s="1"/>
  <c r="X152" i="4"/>
  <c r="X153" i="4" s="1"/>
  <c r="X126" i="4"/>
  <c r="X127" i="4" s="1"/>
  <c r="T53" i="4"/>
  <c r="T55" i="4" s="1"/>
  <c r="U50" i="4"/>
  <c r="X229" i="4"/>
  <c r="X230" i="4" s="1"/>
  <c r="W113" i="4"/>
  <c r="W114" i="4" s="1"/>
  <c r="X165" i="4"/>
  <c r="X166" i="4" s="1"/>
  <c r="X184" i="4" l="1"/>
  <c r="X185" i="4" s="1"/>
  <c r="Y177" i="4"/>
  <c r="X112" i="4"/>
  <c r="W119" i="4"/>
  <c r="W120" i="4" s="1"/>
  <c r="V47" i="4"/>
  <c r="U54" i="4"/>
  <c r="Y151" i="4"/>
  <c r="X158" i="4"/>
  <c r="X159" i="4" s="1"/>
  <c r="Y164" i="4"/>
  <c r="X171" i="4"/>
  <c r="X172" i="4" s="1"/>
  <c r="Y228" i="4"/>
  <c r="X235" i="4"/>
  <c r="X236" i="4" s="1"/>
  <c r="X132" i="4"/>
  <c r="X133" i="4" s="1"/>
  <c r="Y125" i="4"/>
  <c r="X223" i="4"/>
  <c r="X224" i="4" s="1"/>
  <c r="Y216" i="4"/>
  <c r="X241" i="4"/>
  <c r="X242" i="4" s="1"/>
  <c r="T251" i="4"/>
  <c r="S39" i="1"/>
  <c r="T33" i="4"/>
  <c r="T34" i="4" s="1"/>
  <c r="X204" i="4"/>
  <c r="X205" i="4" s="1"/>
  <c r="X191" i="4"/>
  <c r="X192" i="4" s="1"/>
  <c r="W106" i="4"/>
  <c r="W107" i="4" s="1"/>
  <c r="X99" i="4"/>
  <c r="U30" i="4"/>
  <c r="U31" i="4" s="1"/>
  <c r="X61" i="4"/>
  <c r="X62" i="4" s="1"/>
  <c r="S249" i="4"/>
  <c r="S37" i="4"/>
  <c r="U51" i="4"/>
  <c r="U52" i="4" s="1"/>
  <c r="X74" i="4"/>
  <c r="X75" i="4" s="1"/>
  <c r="X139" i="4"/>
  <c r="X140" i="4" s="1"/>
  <c r="X87" i="4"/>
  <c r="X88" i="4" s="1"/>
  <c r="Y190" i="4" l="1"/>
  <c r="X197" i="4"/>
  <c r="X198" i="4" s="1"/>
  <c r="X80" i="4"/>
  <c r="X81" i="4" s="1"/>
  <c r="Y73" i="4"/>
  <c r="Y203" i="4"/>
  <c r="X210" i="4"/>
  <c r="X211" i="4" s="1"/>
  <c r="X93" i="4"/>
  <c r="X94" i="4" s="1"/>
  <c r="Y86" i="4"/>
  <c r="Y138" i="4"/>
  <c r="X145" i="4"/>
  <c r="X146" i="4" s="1"/>
  <c r="U53" i="4"/>
  <c r="U55" i="4" s="1"/>
  <c r="V50" i="4"/>
  <c r="T35" i="4"/>
  <c r="U32" i="4"/>
  <c r="Y60" i="4"/>
  <c r="X67" i="4"/>
  <c r="X68" i="4" s="1"/>
  <c r="V29" i="4"/>
  <c r="U36" i="4"/>
  <c r="U250" i="4" s="1"/>
  <c r="X247" i="4"/>
  <c r="X248" i="4" s="1"/>
  <c r="Y240" i="4"/>
  <c r="Y152" i="4"/>
  <c r="Y153" i="4" s="1"/>
  <c r="Y126" i="4"/>
  <c r="Y127" i="4" s="1"/>
  <c r="X100" i="4"/>
  <c r="X101" i="4" s="1"/>
  <c r="Y229" i="4"/>
  <c r="Y230" i="4" s="1"/>
  <c r="X113" i="4"/>
  <c r="X114" i="4" s="1"/>
  <c r="Y217" i="4"/>
  <c r="Y218" i="4" s="1"/>
  <c r="Y178" i="4"/>
  <c r="Y179" i="4" s="1"/>
  <c r="V48" i="4"/>
  <c r="V49" i="4" s="1"/>
  <c r="S252" i="4"/>
  <c r="T38" i="1" s="1"/>
  <c r="U38" i="1" s="1"/>
  <c r="Q38" i="1"/>
  <c r="Y165" i="4"/>
  <c r="Y166" i="4" s="1"/>
  <c r="Y99" i="4" l="1"/>
  <c r="X106" i="4"/>
  <c r="X107" i="4" s="1"/>
  <c r="Z164" i="4"/>
  <c r="Y171" i="4"/>
  <c r="Y172" i="4" s="1"/>
  <c r="Y132" i="4"/>
  <c r="Y133" i="4" s="1"/>
  <c r="Z125" i="4"/>
  <c r="Z216" i="4"/>
  <c r="Y223" i="4"/>
  <c r="Y224" i="4" s="1"/>
  <c r="W47" i="4"/>
  <c r="V54" i="4"/>
  <c r="Y158" i="4"/>
  <c r="Y159" i="4" s="1"/>
  <c r="Z151" i="4"/>
  <c r="Z177" i="4"/>
  <c r="Y184" i="4"/>
  <c r="Y185" i="4" s="1"/>
  <c r="Y112" i="4"/>
  <c r="X119" i="4"/>
  <c r="X120" i="4" s="1"/>
  <c r="Y87" i="4"/>
  <c r="Y88" i="4" s="1"/>
  <c r="Y61" i="4"/>
  <c r="Y62" i="4" s="1"/>
  <c r="Y204" i="4"/>
  <c r="Y205" i="4" s="1"/>
  <c r="U33" i="4"/>
  <c r="U34" i="4" s="1"/>
  <c r="Y241" i="4"/>
  <c r="Y242" i="4" s="1"/>
  <c r="V51" i="4"/>
  <c r="V52" i="4" s="1"/>
  <c r="Y74" i="4"/>
  <c r="Y75" i="4" s="1"/>
  <c r="T249" i="4"/>
  <c r="T37" i="4"/>
  <c r="Z228" i="4"/>
  <c r="Y235" i="4"/>
  <c r="Y236" i="4" s="1"/>
  <c r="U251" i="4"/>
  <c r="S40" i="1"/>
  <c r="V30" i="4"/>
  <c r="V31" i="4" s="1"/>
  <c r="Y139" i="4"/>
  <c r="Y140" i="4" s="1"/>
  <c r="Y191" i="4"/>
  <c r="Y192" i="4" s="1"/>
  <c r="W29" i="4" l="1"/>
  <c r="V36" i="4"/>
  <c r="V250" i="4" s="1"/>
  <c r="W50" i="4"/>
  <c r="V53" i="4"/>
  <c r="V55" i="4" s="1"/>
  <c r="Y80" i="4"/>
  <c r="Y81" i="4" s="1"/>
  <c r="Z73" i="4"/>
  <c r="Z240" i="4"/>
  <c r="Y247" i="4"/>
  <c r="Y248" i="4" s="1"/>
  <c r="Y210" i="4"/>
  <c r="Y211" i="4" s="1"/>
  <c r="Z203" i="4"/>
  <c r="Z60" i="4"/>
  <c r="Y67" i="4"/>
  <c r="Y68" i="4" s="1"/>
  <c r="U35" i="4"/>
  <c r="V32" i="4"/>
  <c r="Y197" i="4"/>
  <c r="Y198" i="4" s="1"/>
  <c r="Z190" i="4"/>
  <c r="Y93" i="4"/>
  <c r="Y94" i="4" s="1"/>
  <c r="Z86" i="4"/>
  <c r="Z138" i="4"/>
  <c r="Y145" i="4"/>
  <c r="Y146" i="4" s="1"/>
  <c r="Y113" i="4"/>
  <c r="Y114" i="4" s="1"/>
  <c r="Z152" i="4"/>
  <c r="Z153" i="4" s="1"/>
  <c r="T252" i="4"/>
  <c r="T39" i="1" s="1"/>
  <c r="U39" i="1" s="1"/>
  <c r="Q39" i="1"/>
  <c r="Z217" i="4"/>
  <c r="Z218" i="4" s="1"/>
  <c r="Z126" i="4"/>
  <c r="Z127" i="4" s="1"/>
  <c r="Z178" i="4"/>
  <c r="Z179" i="4" s="1"/>
  <c r="Z165" i="4"/>
  <c r="Z166" i="4" s="1"/>
  <c r="Z229" i="4"/>
  <c r="Z230" i="4" s="1"/>
  <c r="W48" i="4"/>
  <c r="W49" i="4" s="1"/>
  <c r="Y100" i="4"/>
  <c r="Y101" i="4" s="1"/>
  <c r="Y106" i="4" l="1"/>
  <c r="Y107" i="4" s="1"/>
  <c r="Z99" i="4"/>
  <c r="Z235" i="4"/>
  <c r="Z236" i="4" s="1"/>
  <c r="AA228" i="4"/>
  <c r="AA164" i="4"/>
  <c r="Z171" i="4"/>
  <c r="Z172" i="4" s="1"/>
  <c r="W54" i="4"/>
  <c r="X47" i="4"/>
  <c r="Z184" i="4"/>
  <c r="Z185" i="4" s="1"/>
  <c r="AA177" i="4"/>
  <c r="Z158" i="4"/>
  <c r="Z159" i="4" s="1"/>
  <c r="AA151" i="4"/>
  <c r="Z112" i="4"/>
  <c r="Y119" i="4"/>
  <c r="Y120" i="4" s="1"/>
  <c r="AA125" i="4"/>
  <c r="Z132" i="4"/>
  <c r="Z133" i="4" s="1"/>
  <c r="Z223" i="4"/>
  <c r="Z224" i="4" s="1"/>
  <c r="AA216" i="4"/>
  <c r="Z241" i="4"/>
  <c r="Z242" i="4" s="1"/>
  <c r="Z74" i="4"/>
  <c r="Z75" i="4" s="1"/>
  <c r="V33" i="4"/>
  <c r="V34" i="4" s="1"/>
  <c r="Z139" i="4"/>
  <c r="Z140" i="4" s="1"/>
  <c r="Z61" i="4"/>
  <c r="Z62" i="4" s="1"/>
  <c r="W51" i="4"/>
  <c r="W52" i="4" s="1"/>
  <c r="Z87" i="4"/>
  <c r="Z88" i="4" s="1"/>
  <c r="Z204" i="4"/>
  <c r="Z205" i="4" s="1"/>
  <c r="V251" i="4"/>
  <c r="S41" i="1"/>
  <c r="Z191" i="4"/>
  <c r="Z192" i="4" s="1"/>
  <c r="U249" i="4"/>
  <c r="U37" i="4"/>
  <c r="W30" i="4"/>
  <c r="W31" i="4" s="1"/>
  <c r="X50" i="4" l="1"/>
  <c r="W53" i="4"/>
  <c r="W55" i="4" s="1"/>
  <c r="Z197" i="4"/>
  <c r="Z198" i="4" s="1"/>
  <c r="AA190" i="4"/>
  <c r="W36" i="4"/>
  <c r="W250" i="4" s="1"/>
  <c r="X29" i="4"/>
  <c r="Z145" i="4"/>
  <c r="Z146" i="4" s="1"/>
  <c r="AA138" i="4"/>
  <c r="Z247" i="4"/>
  <c r="Z248" i="4" s="1"/>
  <c r="AA240" i="4"/>
  <c r="Z93" i="4"/>
  <c r="Z94" i="4" s="1"/>
  <c r="AA86" i="4"/>
  <c r="Z67" i="4"/>
  <c r="Z68" i="4" s="1"/>
  <c r="AA60" i="4"/>
  <c r="W32" i="4"/>
  <c r="V35" i="4"/>
  <c r="AA73" i="4"/>
  <c r="Z80" i="4"/>
  <c r="Z81" i="4" s="1"/>
  <c r="Z210" i="4"/>
  <c r="Z211" i="4" s="1"/>
  <c r="AA203" i="4"/>
  <c r="X48" i="4"/>
  <c r="X49" i="4" s="1"/>
  <c r="B164" i="4"/>
  <c r="AA165" i="4"/>
  <c r="B165" i="4" s="1"/>
  <c r="C165" i="4" s="1"/>
  <c r="Z113" i="4"/>
  <c r="Z114" i="4" s="1"/>
  <c r="B151" i="4"/>
  <c r="AA152" i="4"/>
  <c r="B152" i="4" s="1"/>
  <c r="C152" i="4" s="1"/>
  <c r="B228" i="4"/>
  <c r="AA229" i="4"/>
  <c r="B229" i="4" s="1"/>
  <c r="C229" i="4" s="1"/>
  <c r="U252" i="4"/>
  <c r="T40" i="1" s="1"/>
  <c r="U40" i="1" s="1"/>
  <c r="Q40" i="1"/>
  <c r="B125" i="4"/>
  <c r="AA126" i="4"/>
  <c r="B126" i="4" s="1"/>
  <c r="C126" i="4" s="1"/>
  <c r="B216" i="4"/>
  <c r="AA217" i="4"/>
  <c r="B217" i="4" s="1"/>
  <c r="C217" i="4" s="1"/>
  <c r="B177" i="4"/>
  <c r="AA178" i="4"/>
  <c r="B178" i="4" s="1"/>
  <c r="C178" i="4" s="1"/>
  <c r="Z100" i="4"/>
  <c r="Z101" i="4" s="1"/>
  <c r="AA179" i="4" l="1"/>
  <c r="B266" i="4" s="1"/>
  <c r="AA166" i="4"/>
  <c r="B166" i="4" s="1"/>
  <c r="X54" i="4"/>
  <c r="Y47" i="4"/>
  <c r="Z106" i="4"/>
  <c r="Z107" i="4" s="1"/>
  <c r="AA99" i="4"/>
  <c r="AA112" i="4"/>
  <c r="Z119" i="4"/>
  <c r="Z120" i="4" s="1"/>
  <c r="AA230" i="4"/>
  <c r="W33" i="4"/>
  <c r="W34" i="4" s="1"/>
  <c r="B60" i="4"/>
  <c r="AA61" i="4"/>
  <c r="B61" i="4" s="1"/>
  <c r="C61" i="4" s="1"/>
  <c r="X30" i="4"/>
  <c r="X31" i="4" s="1"/>
  <c r="B138" i="4"/>
  <c r="AA139" i="4"/>
  <c r="B139" i="4" s="1"/>
  <c r="C139" i="4" s="1"/>
  <c r="W251" i="4"/>
  <c r="S42" i="1"/>
  <c r="AA153" i="4"/>
  <c r="B203" i="4"/>
  <c r="AA204" i="4"/>
  <c r="B204" i="4" s="1"/>
  <c r="C204" i="4" s="1"/>
  <c r="B86" i="4"/>
  <c r="AA87" i="4"/>
  <c r="B87" i="4" s="1"/>
  <c r="C87" i="4" s="1"/>
  <c r="B190" i="4"/>
  <c r="AA191" i="4"/>
  <c r="B191" i="4" s="1"/>
  <c r="C191" i="4" s="1"/>
  <c r="V249" i="4"/>
  <c r="V37" i="4"/>
  <c r="AA218" i="4"/>
  <c r="AA127" i="4"/>
  <c r="B240" i="4"/>
  <c r="AA241" i="4"/>
  <c r="B241" i="4" s="1"/>
  <c r="C241" i="4" s="1"/>
  <c r="B73" i="4"/>
  <c r="AA74" i="4"/>
  <c r="B74" i="4" s="1"/>
  <c r="C74" i="4" s="1"/>
  <c r="X51" i="4"/>
  <c r="X52" i="4" s="1"/>
  <c r="B179" i="4" l="1"/>
  <c r="AA184" i="4"/>
  <c r="B184" i="4" s="1"/>
  <c r="C184" i="4" s="1"/>
  <c r="AA171" i="4"/>
  <c r="AA172" i="4" s="1"/>
  <c r="B172" i="4" s="1"/>
  <c r="C172" i="4" s="1"/>
  <c r="B265" i="4"/>
  <c r="C265" i="4" s="1"/>
  <c r="AA205" i="4"/>
  <c r="B268" i="4" s="1"/>
  <c r="AA140" i="4"/>
  <c r="AA145" i="4" s="1"/>
  <c r="Y50" i="4"/>
  <c r="X53" i="4"/>
  <c r="X55" i="4" s="1"/>
  <c r="Y29" i="4"/>
  <c r="X36" i="4"/>
  <c r="X250" i="4" s="1"/>
  <c r="W35" i="4"/>
  <c r="X32" i="4"/>
  <c r="B270" i="4"/>
  <c r="AA235" i="4"/>
  <c r="B230" i="4"/>
  <c r="C266" i="4"/>
  <c r="E58" i="1"/>
  <c r="D58" i="1"/>
  <c r="B112" i="4"/>
  <c r="AA113" i="4"/>
  <c r="B113" i="4" s="1"/>
  <c r="C113" i="4" s="1"/>
  <c r="B262" i="4"/>
  <c r="AA132" i="4"/>
  <c r="B127" i="4"/>
  <c r="B99" i="4"/>
  <c r="AA100" i="4"/>
  <c r="B100" i="4" s="1"/>
  <c r="C100" i="4" s="1"/>
  <c r="AA192" i="4"/>
  <c r="AA75" i="4"/>
  <c r="AA223" i="4"/>
  <c r="B269" i="4"/>
  <c r="B218" i="4"/>
  <c r="AA88" i="4"/>
  <c r="AA62" i="4"/>
  <c r="Y48" i="4"/>
  <c r="Y49" i="4" s="1"/>
  <c r="B264" i="4"/>
  <c r="AA158" i="4"/>
  <c r="B153" i="4"/>
  <c r="AA242" i="4"/>
  <c r="V252" i="4"/>
  <c r="T41" i="1" s="1"/>
  <c r="U41" i="1" s="1"/>
  <c r="Q41" i="1"/>
  <c r="E57" i="1" l="1"/>
  <c r="B171" i="4"/>
  <c r="C171" i="4" s="1"/>
  <c r="AA185" i="4"/>
  <c r="B185" i="4" s="1"/>
  <c r="C185" i="4" s="1"/>
  <c r="B140" i="4"/>
  <c r="D57" i="1"/>
  <c r="B263" i="4"/>
  <c r="E55" i="1" s="1"/>
  <c r="B205" i="4"/>
  <c r="AA210" i="4"/>
  <c r="B210" i="4" s="1"/>
  <c r="C210" i="4" s="1"/>
  <c r="Y54" i="4"/>
  <c r="Z47" i="4"/>
  <c r="AA236" i="4"/>
  <c r="B236" i="4" s="1"/>
  <c r="C236" i="4" s="1"/>
  <c r="B235" i="4"/>
  <c r="C235" i="4" s="1"/>
  <c r="C262" i="4"/>
  <c r="D54" i="1"/>
  <c r="E54" i="1"/>
  <c r="C270" i="4"/>
  <c r="D62" i="1"/>
  <c r="E62" i="1"/>
  <c r="B259" i="4"/>
  <c r="AA93" i="4"/>
  <c r="B88" i="4"/>
  <c r="C269" i="4"/>
  <c r="D61" i="1"/>
  <c r="E61" i="1"/>
  <c r="AA101" i="4"/>
  <c r="X33" i="4"/>
  <c r="X34" i="4" s="1"/>
  <c r="AA224" i="4"/>
  <c r="B224" i="4" s="1"/>
  <c r="C224" i="4" s="1"/>
  <c r="B223" i="4"/>
  <c r="C223" i="4" s="1"/>
  <c r="AA146" i="4"/>
  <c r="B146" i="4" s="1"/>
  <c r="C146" i="4" s="1"/>
  <c r="B145" i="4"/>
  <c r="C145" i="4" s="1"/>
  <c r="W249" i="4"/>
  <c r="W37" i="4"/>
  <c r="AA133" i="4"/>
  <c r="B133" i="4" s="1"/>
  <c r="C133" i="4" s="1"/>
  <c r="B132" i="4"/>
  <c r="C132" i="4" s="1"/>
  <c r="AA159" i="4"/>
  <c r="B159" i="4" s="1"/>
  <c r="C159" i="4" s="1"/>
  <c r="B158" i="4"/>
  <c r="C158" i="4" s="1"/>
  <c r="C264" i="4"/>
  <c r="E56" i="1"/>
  <c r="D56" i="1"/>
  <c r="B267" i="4"/>
  <c r="AA197" i="4"/>
  <c r="B192" i="4"/>
  <c r="C268" i="4"/>
  <c r="E60" i="1"/>
  <c r="D60" i="1"/>
  <c r="Y30" i="4"/>
  <c r="Y31" i="4" s="1"/>
  <c r="B258" i="4"/>
  <c r="AA80" i="4"/>
  <c r="B75" i="4"/>
  <c r="AA114" i="4"/>
  <c r="X251" i="4"/>
  <c r="S43" i="1"/>
  <c r="AA247" i="4"/>
  <c r="B242" i="4"/>
  <c r="B271" i="4" s="1"/>
  <c r="B257" i="4"/>
  <c r="AA67" i="4"/>
  <c r="B62" i="4"/>
  <c r="Y51" i="4"/>
  <c r="Y52" i="4" s="1"/>
  <c r="C263" i="4" l="1"/>
  <c r="D55" i="1"/>
  <c r="AA211" i="4"/>
  <c r="B211" i="4" s="1"/>
  <c r="C211" i="4" s="1"/>
  <c r="Y32" i="4"/>
  <c r="X35" i="4"/>
  <c r="Z50" i="4"/>
  <c r="Y53" i="4"/>
  <c r="Y55" i="4" s="1"/>
  <c r="AA94" i="4"/>
  <c r="B94" i="4" s="1"/>
  <c r="C94" i="4" s="1"/>
  <c r="B93" i="4"/>
  <c r="C93" i="4" s="1"/>
  <c r="B261" i="4"/>
  <c r="AA119" i="4"/>
  <c r="B114" i="4"/>
  <c r="B283" i="4"/>
  <c r="C259" i="4"/>
  <c r="E51" i="1"/>
  <c r="D51" i="1"/>
  <c r="Y36" i="4"/>
  <c r="Y250" i="4" s="1"/>
  <c r="Z29" i="4"/>
  <c r="AA248" i="4"/>
  <c r="B248" i="4" s="1"/>
  <c r="C248" i="4" s="1"/>
  <c r="B247" i="4"/>
  <c r="C247" i="4" s="1"/>
  <c r="W252" i="4"/>
  <c r="T42" i="1" s="1"/>
  <c r="U42" i="1" s="1"/>
  <c r="Q42" i="1"/>
  <c r="C258" i="4"/>
  <c r="E50" i="1"/>
  <c r="D50" i="1"/>
  <c r="AA198" i="4"/>
  <c r="B198" i="4" s="1"/>
  <c r="C198" i="4" s="1"/>
  <c r="B197" i="4"/>
  <c r="C197" i="4" s="1"/>
  <c r="Z48" i="4"/>
  <c r="Z49" i="4" s="1"/>
  <c r="AA68" i="4"/>
  <c r="B68" i="4" s="1"/>
  <c r="C68" i="4" s="1"/>
  <c r="B67" i="4"/>
  <c r="C67" i="4" s="1"/>
  <c r="C257" i="4"/>
  <c r="D49" i="1"/>
  <c r="E49" i="1"/>
  <c r="C271" i="4"/>
  <c r="E63" i="1"/>
  <c r="D63" i="1"/>
  <c r="B260" i="4"/>
  <c r="B101" i="4"/>
  <c r="AA106" i="4"/>
  <c r="AA81" i="4"/>
  <c r="B81" i="4" s="1"/>
  <c r="C81" i="4" s="1"/>
  <c r="B80" i="4"/>
  <c r="C80" i="4" s="1"/>
  <c r="C267" i="4"/>
  <c r="E59" i="1"/>
  <c r="D59" i="1"/>
  <c r="Z54" i="4" l="1"/>
  <c r="AA47" i="4"/>
  <c r="Z30" i="4"/>
  <c r="Z31" i="4" s="1"/>
  <c r="AA120" i="4"/>
  <c r="B120" i="4" s="1"/>
  <c r="C120" i="4" s="1"/>
  <c r="B119" i="4"/>
  <c r="C119" i="4" s="1"/>
  <c r="C261" i="4"/>
  <c r="D53" i="1"/>
  <c r="E53" i="1"/>
  <c r="Y251" i="4"/>
  <c r="S44" i="1"/>
  <c r="C260" i="4"/>
  <c r="E52" i="1"/>
  <c r="D52" i="1"/>
  <c r="F69" i="1"/>
  <c r="D69" i="1"/>
  <c r="E69" i="1"/>
  <c r="X249" i="4"/>
  <c r="X37" i="4"/>
  <c r="Z51" i="4"/>
  <c r="Z52" i="4" s="1"/>
  <c r="AA107" i="4"/>
  <c r="B107" i="4" s="1"/>
  <c r="C107" i="4" s="1"/>
  <c r="B106" i="4"/>
  <c r="C106" i="4" s="1"/>
  <c r="Y33" i="4"/>
  <c r="Y34" i="4" s="1"/>
  <c r="AA50" i="4" l="1"/>
  <c r="Z53" i="4"/>
  <c r="Z55" i="4" s="1"/>
  <c r="Z32" i="4"/>
  <c r="Y35" i="4"/>
  <c r="Z36" i="4"/>
  <c r="Z250" i="4" s="1"/>
  <c r="AA29" i="4"/>
  <c r="X252" i="4"/>
  <c r="T43" i="1" s="1"/>
  <c r="U43" i="1" s="1"/>
  <c r="Q43" i="1"/>
  <c r="B47" i="4"/>
  <c r="AA48" i="4"/>
  <c r="B48" i="4" s="1"/>
  <c r="C48" i="4" s="1"/>
  <c r="B29" i="4" l="1"/>
  <c r="AA30" i="4"/>
  <c r="B30" i="4" s="1"/>
  <c r="C30" i="4" s="1"/>
  <c r="Z251" i="4"/>
  <c r="S45" i="1"/>
  <c r="Y249" i="4"/>
  <c r="Y37" i="4"/>
  <c r="Z33" i="4"/>
  <c r="Z34" i="4" s="1"/>
  <c r="AA49" i="4"/>
  <c r="B50" i="4"/>
  <c r="AA51" i="4"/>
  <c r="B51" i="4" s="1"/>
  <c r="C51" i="4" s="1"/>
  <c r="AA32" i="4" l="1"/>
  <c r="Z35" i="4"/>
  <c r="Y252" i="4"/>
  <c r="T44" i="1" s="1"/>
  <c r="U44" i="1" s="1"/>
  <c r="Q44" i="1"/>
  <c r="AA52" i="4"/>
  <c r="B282" i="4" s="1"/>
  <c r="B256" i="4"/>
  <c r="AA54" i="4"/>
  <c r="B54" i="4" s="1"/>
  <c r="C54" i="4" s="1"/>
  <c r="B49" i="4"/>
  <c r="D68" i="1"/>
  <c r="AA31" i="4"/>
  <c r="B273" i="4" s="1"/>
  <c r="C273" i="4" s="1"/>
  <c r="F68" i="1" l="1"/>
  <c r="E68" i="1"/>
  <c r="AA53" i="4"/>
  <c r="B52" i="4"/>
  <c r="C68" i="1"/>
  <c r="Z249" i="4"/>
  <c r="Z37" i="4"/>
  <c r="C256" i="4"/>
  <c r="E48" i="1"/>
  <c r="D48" i="1"/>
  <c r="B255" i="4"/>
  <c r="AA36" i="4"/>
  <c r="B31" i="4"/>
  <c r="D67" i="1"/>
  <c r="B32" i="4"/>
  <c r="AA33" i="4"/>
  <c r="B33" i="4" s="1"/>
  <c r="C33" i="4" s="1"/>
  <c r="Z252" i="4" l="1"/>
  <c r="T45" i="1" s="1"/>
  <c r="U45" i="1" s="1"/>
  <c r="Q45" i="1"/>
  <c r="C255" i="4"/>
  <c r="F47" i="1"/>
  <c r="E47" i="1"/>
  <c r="D47" i="1"/>
  <c r="B277" i="4"/>
  <c r="E64" i="1"/>
  <c r="D64" i="1"/>
  <c r="H5" i="1"/>
  <c r="J31" i="2" s="1"/>
  <c r="K18" i="1"/>
  <c r="F57" i="1"/>
  <c r="F58" i="1"/>
  <c r="F61" i="1"/>
  <c r="F56" i="1"/>
  <c r="F62" i="1"/>
  <c r="F60" i="1"/>
  <c r="F55" i="1"/>
  <c r="F54" i="1"/>
  <c r="F49" i="1"/>
  <c r="F59" i="1"/>
  <c r="F63" i="1"/>
  <c r="F50" i="1"/>
  <c r="F51" i="1"/>
  <c r="F53" i="1"/>
  <c r="F52" i="1"/>
  <c r="AA34" i="4"/>
  <c r="AA250" i="4"/>
  <c r="B36" i="4"/>
  <c r="C36" i="4" s="1"/>
  <c r="AA55" i="4"/>
  <c r="B55" i="4" s="1"/>
  <c r="C55" i="4" s="1"/>
  <c r="B53" i="4"/>
  <c r="C53" i="4" s="1"/>
  <c r="F48" i="1"/>
  <c r="AA35" i="4" l="1"/>
  <c r="B34" i="4"/>
  <c r="C67" i="1"/>
  <c r="B281" i="4"/>
  <c r="AA251" i="4"/>
  <c r="B251" i="4" s="1"/>
  <c r="S46" i="1"/>
  <c r="B250" i="4"/>
  <c r="C250" i="4" l="1"/>
  <c r="G11" i="1"/>
  <c r="E11" i="1"/>
  <c r="C251" i="4"/>
  <c r="E13" i="1"/>
  <c r="G13" i="1"/>
  <c r="B284" i="4"/>
  <c r="B285" i="4" s="1"/>
  <c r="F67" i="1"/>
  <c r="E67" i="1"/>
  <c r="AA249" i="4"/>
  <c r="AA37" i="4"/>
  <c r="B37" i="4" s="1"/>
  <c r="C37" i="4" s="1"/>
  <c r="B35" i="4"/>
  <c r="C35" i="4" s="1"/>
  <c r="AA252" i="4" l="1"/>
  <c r="Q46" i="1"/>
  <c r="B249" i="4"/>
  <c r="E70" i="1"/>
  <c r="T46" i="1" l="1"/>
  <c r="U46" i="1" s="1"/>
  <c r="B252" i="4"/>
  <c r="F70" i="1"/>
  <c r="G15" i="1"/>
  <c r="F15" i="1"/>
  <c r="E15" i="1"/>
  <c r="C249" i="4"/>
  <c r="G10" i="1"/>
  <c r="F10" i="1"/>
  <c r="E10" i="1"/>
  <c r="F12" i="1"/>
  <c r="F11" i="1"/>
  <c r="F13" i="1"/>
  <c r="B276" i="4" l="1"/>
  <c r="B278" i="4"/>
  <c r="C252" i="4"/>
  <c r="K5" i="2"/>
  <c r="K16" i="1"/>
  <c r="J32" i="2"/>
  <c r="G14" i="1"/>
  <c r="F14" i="1"/>
  <c r="E14" i="1"/>
  <c r="K17" i="1"/>
  <c r="F5" i="1"/>
  <c r="G16" i="1" l="1"/>
  <c r="E16" i="1"/>
  <c r="F16" i="1"/>
  <c r="J5" i="1"/>
</calcChain>
</file>

<file path=xl/sharedStrings.xml><?xml version="1.0" encoding="utf-8"?>
<sst xmlns="http://schemas.openxmlformats.org/spreadsheetml/2006/main" count="3430" uniqueCount="537">
  <si>
    <t>⚡  GERAÇÃO INJETADA</t>
  </si>
  <si>
    <t>📄  PPA PAGO À HELEXIA</t>
  </si>
  <si>
    <t>✅  ECONOMIA LÍQUIDA</t>
  </si>
  <si>
    <t>🏦  BANCO RESIDUAL</t>
  </si>
  <si>
    <t>🌟  VALOR TOTAL</t>
  </si>
  <si>
    <t>3,375 MWh injetados em 24 meses</t>
  </si>
  <si>
    <t>Custo total do contrato PPA</t>
  </si>
  <si>
    <t>Rede evitada menos PPA pago</t>
  </si>
  <si>
    <t>Banco total Copasul @ PPA</t>
  </si>
  <si>
    <t>Economia + banco ATRIBUÍVEL a Helexia</t>
  </si>
  <si>
    <t>A.  CUSTO COPASUL — ANÁLISE 24 MESES</t>
  </si>
  <si>
    <t>B.  INDICADORES-CHAVE</t>
  </si>
  <si>
    <t>COMPONENTE</t>
  </si>
  <si>
    <t>R$</t>
  </si>
  <si>
    <t>%</t>
  </si>
  <si>
    <t>R$/mês</t>
  </si>
  <si>
    <t>Usina contratada</t>
  </si>
  <si>
    <t>Custo SEM Helexia — baseline 24m</t>
  </si>
  <si>
    <t>Período do contrato</t>
  </si>
  <si>
    <t>Jun/2026 – Mai/2028  (24 meses)</t>
  </si>
  <si>
    <t xml:space="preserve">  Custo rede remanescente (COM Helexia)</t>
  </si>
  <si>
    <t>Potência contratada</t>
  </si>
  <si>
    <t xml:space="preserve">  PPA pago à Helexia</t>
  </si>
  <si>
    <t>Geração P50 total</t>
  </si>
  <si>
    <t>Custo total COM Helexia (rede + PPA)</t>
  </si>
  <si>
    <t>PPA (R$/kWh)</t>
  </si>
  <si>
    <t>★  ECONOMIA LÍQUIDA (rede − PPA)</t>
  </si>
  <si>
    <t>Tarifa Grupo A FP</t>
  </si>
  <si>
    <t xml:space="preserve">  + Banco atribuível Helexia @ PPA (net NHS/AMD + Grupo B)</t>
  </si>
  <si>
    <t>Tarifa Grupo B3</t>
  </si>
  <si>
    <t>★  VALOR TOTAL HELEXIA (economia + banco atribuível)</t>
  </si>
  <si>
    <t>Economia média/mês</t>
  </si>
  <si>
    <t>% redução custo Copasul</t>
  </si>
  <si>
    <t>Banco residual (kWh)</t>
  </si>
  <si>
    <t>C.  ANÁLISE VISUAL — ECONOMIA E BANCO DE CRÉDITOS</t>
  </si>
  <si>
    <t>Mês</t>
  </si>
  <si>
    <t>SEM Helexia</t>
  </si>
  <si>
    <t>PPA</t>
  </si>
  <si>
    <t>Rede COM</t>
  </si>
  <si>
    <t>Eco mensal</t>
  </si>
  <si>
    <t>Eco acumulada</t>
  </si>
  <si>
    <t>Jun/26</t>
  </si>
  <si>
    <t>Jul/26</t>
  </si>
  <si>
    <t>Ago/26</t>
  </si>
  <si>
    <t>Set/26</t>
  </si>
  <si>
    <t>Out/26</t>
  </si>
  <si>
    <t>Nov/26</t>
  </si>
  <si>
    <t>Dez/26</t>
  </si>
  <si>
    <t>Jan/27</t>
  </si>
  <si>
    <t>Fev/27</t>
  </si>
  <si>
    <t>Mar/27</t>
  </si>
  <si>
    <t>Abr/27</t>
  </si>
  <si>
    <t>Mai/27</t>
  </si>
  <si>
    <t>Jun/27</t>
  </si>
  <si>
    <t>Jul/27</t>
  </si>
  <si>
    <t>Ago/27</t>
  </si>
  <si>
    <t>Set/27</t>
  </si>
  <si>
    <t>Out/27</t>
  </si>
  <si>
    <t>Nov/27</t>
  </si>
  <si>
    <t>Dez/27</t>
  </si>
  <si>
    <t>Jan/28</t>
  </si>
  <si>
    <t>Fev/28</t>
  </si>
  <si>
    <t>Mar/28</t>
  </si>
  <si>
    <t>D.  BANCO DE CRÉDITOS — SALDO FINAL MAI/2028 POR UC   |   Banco total Copasul (incl. geração própria)</t>
  </si>
  <si>
    <t>Abr/28</t>
  </si>
  <si>
    <t>Unidade Consumidora</t>
  </si>
  <si>
    <t>Grupo</t>
  </si>
  <si>
    <t>Saldo (kWh)</t>
  </si>
  <si>
    <t>Valor @ PPA (R$)</t>
  </si>
  <si>
    <t>% do banco total</t>
  </si>
  <si>
    <t>Mai/28</t>
  </si>
  <si>
    <t>NHS — Novo Horizonte do Sul</t>
  </si>
  <si>
    <t>A4V</t>
  </si>
  <si>
    <t>AMD — Amandina</t>
  </si>
  <si>
    <t>A3A</t>
  </si>
  <si>
    <t>AREC</t>
  </si>
  <si>
    <t>B3</t>
  </si>
  <si>
    <t>Banheiro Motoristas</t>
  </si>
  <si>
    <t>CTC Copasul</t>
  </si>
  <si>
    <t>Depósito Irrigação</t>
  </si>
  <si>
    <t>Entreposto</t>
  </si>
  <si>
    <t>Esc. Deodápolis</t>
  </si>
  <si>
    <t>Esc. Nova Andradina</t>
  </si>
  <si>
    <t>Esc. Regional Deodápolis</t>
  </si>
  <si>
    <t>Galpão AE</t>
  </si>
  <si>
    <t>Irrigação CG</t>
  </si>
  <si>
    <t>Laboratório de Solos</t>
  </si>
  <si>
    <t>Posto Carreteiro</t>
  </si>
  <si>
    <t>Refeitório Deodápolis</t>
  </si>
  <si>
    <t>B1</t>
  </si>
  <si>
    <t>Subest. Fiação</t>
  </si>
  <si>
    <t>TRR Maracaju</t>
  </si>
  <si>
    <t>TOTAL — 17 UCs</t>
  </si>
  <si>
    <t>E.  BANCO ATRIBUÍVEL HELEXIA — O QUE A HELEXIA REALMENTE ENTREGA</t>
  </si>
  <si>
    <t>Unidade / Grupo</t>
  </si>
  <si>
    <t>Banco SEM</t>
  </si>
  <si>
    <t>Banco COM</t>
  </si>
  <si>
    <t>Atribuível (kWh)</t>
  </si>
  <si>
    <t>Atribuível (R$)</t>
  </si>
  <si>
    <t>NHS — Novo Horizonte do Sul (A4V)</t>
  </si>
  <si>
    <t>AMD — Amandina (A3A)</t>
  </si>
  <si>
    <t>Grupo B — 15 UCs (SEM banco próprio = zero)</t>
  </si>
  <si>
    <t>0</t>
  </si>
  <si>
    <t>★  BANCO ATRIBUÍVEL TOTAL HELEXIA</t>
  </si>
  <si>
    <t>—</t>
  </si>
  <si>
    <t>* Banco COM = saldo que Copasul terá em Mai/2028. Banco SEM = projeção sem CS3. Atribuível = diferença gerada pela Helexia (Grupo B: 100%; NHS/AMD: COM−SEM).</t>
  </si>
  <si>
    <t>🎯  OTIMIZAÇÃO RATEIO — SOLVER CONFIG</t>
  </si>
  <si>
    <t>Azul = inputs editáveis  |  Preto = fórmulas  |  Verde = links entre abas</t>
  </si>
  <si>
    <t>Siga o passo a passo abaixo para maximizar Economia Líquida via Excel Solver</t>
  </si>
  <si>
    <t>A.  TARIFAS ENERGISA MS (com tributos ICMS 17% + PIS/COFINS)</t>
  </si>
  <si>
    <t>① CÉLULA OBJETIVO (aponte o Solver aqui):</t>
  </si>
  <si>
    <t>ENDEREÇO</t>
  </si>
  <si>
    <t>VALOR ATUAL</t>
  </si>
  <si>
    <t>OBJETIVO</t>
  </si>
  <si>
    <t>Tarifa Grupo A FP com tributos (R$/kWh)</t>
  </si>
  <si>
    <t>← T_AFP: edit here</t>
  </si>
  <si>
    <t>Economia Líquida Copasul 24m (R$)</t>
  </si>
  <si>
    <t>Premissas!K5</t>
  </si>
  <si>
    <t>↑ MAXIMIZAR</t>
  </si>
  <si>
    <t>Tarifa Grupo A Ponta com tributos (R$/kWh)</t>
  </si>
  <si>
    <t>← T_APT: edit here</t>
  </si>
  <si>
    <t>Tarifa Grupo B3 com tributos (R$/kWh)</t>
  </si>
  <si>
    <t>← T_B3: edit here</t>
  </si>
  <si>
    <t>②  ATIVAR SOLVER (se ainda não estiver ativo)</t>
  </si>
  <si>
    <t>Arquivo → Opções → Suplementos → Gerenciar: Suplementos do Excel → Ir... → ✓ Solver Add-in → OK</t>
  </si>
  <si>
    <t>FA = TE_FP / TE_Ponta</t>
  </si>
  <si>
    <t>← FA: edit here</t>
  </si>
  <si>
    <t>③  ABRIR SOLVER</t>
  </si>
  <si>
    <t>Guia Dados → botão "Solver" (canto direito da faixa de opções)</t>
  </si>
  <si>
    <t>ICMS (%)</t>
  </si>
  <si>
    <t>← ICMS: edit here</t>
  </si>
  <si>
    <t>④  CONFIGURAR OBJETIVO</t>
  </si>
  <si>
    <t>Definir Objetivo: selecione a célula   Premissas!K5   →  marque  ● Máx</t>
  </si>
  <si>
    <t>PIS + COFINS (%)</t>
  </si>
  <si>
    <t>← PIS_COFINS: edit here</t>
  </si>
  <si>
    <t>⑤  DEFINIR CÉLULAS VARIÁVEIS</t>
  </si>
  <si>
    <t>Alterando Células de Variáveis:   Premissas!$B$33:$E$50   (68 variáveis = 17 UCs × 4 períodos)</t>
  </si>
  <si>
    <t>ICMS isenção autoconsumo remoto ativa? (Art. 23-A RICMS/MS)  →  'Sim' = isento  |  'Não' = ICMS cobrado sobre kWh compensados pelo CS3</t>
  </si>
  <si>
    <t>Sim</t>
  </si>
  <si>
    <t>← B=toggle (Sim/Não)  |  C=ICMS A_FP  D=ICMS A_Ponta  E=ICMS Grupo B (R$/kWh) — tudo 0 se Sim</t>
  </si>
  <si>
    <t>B.  CONDIÇÕES DO CONTRATO</t>
  </si>
  <si>
    <t>⑥  ADICIONAR AS RESTRIÇÕES (Adicionar → preencher cada linha → OK)</t>
  </si>
  <si>
    <t>Usina</t>
  </si>
  <si>
    <t>Cassilândia 03</t>
  </si>
  <si>
    <t>Célula / Intervalo</t>
  </si>
  <si>
    <t>Relação</t>
  </si>
  <si>
    <t>Valor / Restrição</t>
  </si>
  <si>
    <t>Descrição</t>
  </si>
  <si>
    <t>Distribuidora</t>
  </si>
  <si>
    <t>Energisa MS</t>
  </si>
  <si>
    <t>Premissas!$B$33:$E$50</t>
  </si>
  <si>
    <t>&gt;=</t>
  </si>
  <si>
    <t>Todos os rateios ≥ 0%  (sem valores negativos)</t>
  </si>
  <si>
    <t>Início do contrato</t>
  </si>
  <si>
    <t>Jun/2026</t>
  </si>
  <si>
    <t>Premissas!$B$51</t>
  </si>
  <si>
    <t>=</t>
  </si>
  <si>
    <t>1</t>
  </si>
  <si>
    <t>Soma P1 = 100%  (Jun–Set/26)</t>
  </si>
  <si>
    <t>Prazo (meses)</t>
  </si>
  <si>
    <t>Premissas!$C$51</t>
  </si>
  <si>
    <t>Soma P2 = 100%  (Out/26–Mar/27)</t>
  </si>
  <si>
    <t>PPA Helexia CS3 (R$/kWh)</t>
  </si>
  <si>
    <t>Premissas!$D$51</t>
  </si>
  <si>
    <t>Soma P3 = 100%  (Abr–Set/27)</t>
  </si>
  <si>
    <t>H.  CENÁRIO CONCORRENTE — ENERGIA ASSINATURA GRUPO B (ex: Plin Energia)</t>
  </si>
  <si>
    <t>Premissas!$E$51</t>
  </si>
  <si>
    <t>Soma P4 = 100%  (Out/27–Mai/28)</t>
  </si>
  <si>
    <t>Grupo B tem contrato Assinatura GD concorrente?</t>
  </si>
  <si>
    <t>Desconto (%):</t>
  </si>
  <si>
    <t>Tarifa B3 SEM efetiva:</t>
  </si>
  <si>
    <t>Premissas!$B$34:$E$34</t>
  </si>
  <si>
    <t>BAT (linha 34) = 0%  em todos os períodos</t>
  </si>
  <si>
    <t>C.  PREMISSAS DE CRESCIMENTO E DEGRADAÇÃO</t>
  </si>
  <si>
    <t>&lt;=</t>
  </si>
  <si>
    <t>Todos os rateios ≤ 100%  (limite superior)</t>
  </si>
  <si>
    <t>Crescimento consumo Y2 vs Y1 (%)</t>
  </si>
  <si>
    <t>← 2.5% editável | aplica a TODOS os UCs</t>
  </si>
  <si>
    <t>Crescimento consumo Y3 parcial (Dez/27-Mai/28) (%)</t>
  </si>
  <si>
    <t>← mesmo % que Y2 por padrão</t>
  </si>
  <si>
    <t>⑦  MÉTODO DE RESOLUÇÃO E OPÇÕES</t>
  </si>
  <si>
    <t>Degradação geração Y2 (%)</t>
  </si>
  <si>
    <t>← 0.5%/ano editável</t>
  </si>
  <si>
    <t>Método de Resolução:</t>
  </si>
  <si>
    <t>GRG Não-Linear</t>
  </si>
  <si>
    <t>O modelo tem funções IF (não-lineares). GRG é o método correto.</t>
  </si>
  <si>
    <t>Usar proxy Batayporã p/ Amandina gen?</t>
  </si>
  <si>
    <t>Opções → Precisão:</t>
  </si>
  <si>
    <t>0,000001</t>
  </si>
  <si>
    <t>Maior precisão = resultado mais fino.</t>
  </si>
  <si>
    <t>D.  BANCOS DE CRÉDITOS — SALDO INICIAL (Mai/2026, FPt GD I)</t>
  </si>
  <si>
    <t>Opções → Iterações:</t>
  </si>
  <si>
    <t>1000</t>
  </si>
  <si>
    <t>Permite mais buscas antes de parar.</t>
  </si>
  <si>
    <t>NHS — Silos Novo Horizonte do Sul (kWh)</t>
  </si>
  <si>
    <t>Opções → Convergência:</t>
  </si>
  <si>
    <t>0,0001</t>
  </si>
  <si>
    <t>Critério de parada quando melhoria &lt; este valor.</t>
  </si>
  <si>
    <t>BAT — Silos Batayporã (kWh)  [stranded — não transferível CS3]</t>
  </si>
  <si>
    <t>⚠  Otimização local:</t>
  </si>
  <si>
    <t>Execute 2–3 vezes</t>
  </si>
  <si>
    <t>GRG pode parar em mínimo local. Rode com rateios iniciais diferentes e fique com o melhor resultado.</t>
  </si>
  <si>
    <t>AMD — Silos Amandina (kWh)</t>
  </si>
  <si>
    <t>TOTAL NHS+AMD (kWh)</t>
  </si>
  <si>
    <t>← BAT stranded bank não incluído no total</t>
  </si>
  <si>
    <t>⑧  EXECUTAR → clicar "Resolver" → aceitar "Manter Solução do Solver"</t>
  </si>
  <si>
    <t>Economia Liquida ANTES da otimização (R$):</t>
  </si>
  <si>
    <t>← valor antes de rodar o Solver (referência)</t>
  </si>
  <si>
    <t>Vsalor Banco Residual ANTES da otimização (R$):</t>
  </si>
  <si>
    <t>UC / Planta</t>
  </si>
  <si>
    <t>P1: Jun–Set/26</t>
  </si>
  <si>
    <t>P2: Out/26–Mar/27</t>
  </si>
  <si>
    <t>P3: Abr/27–Set/27</t>
  </si>
  <si>
    <t>P4: Out/27–Mai/28</t>
  </si>
  <si>
    <t>Economia APÓS otimização (R$) — resultado:</t>
  </si>
  <si>
    <t>← atualiza automaticamente após o Solver alterar B33:E50</t>
  </si>
  <si>
    <t>NHS — Silos N. Horizonte (A4V)</t>
  </si>
  <si>
    <t>BAT — Silos Batayporã (A4V)</t>
  </si>
  <si>
    <t>AMD — Silos Amandina (A3A)</t>
  </si>
  <si>
    <t>AREC (B3)</t>
  </si>
  <si>
    <t>Banheiro Motoristas (B3)</t>
  </si>
  <si>
    <t>CTC Copasul (B3)</t>
  </si>
  <si>
    <t>Depósito Irrigação (B3)</t>
  </si>
  <si>
    <t>Entreposto (B3)</t>
  </si>
  <si>
    <t>Esc. Deodápolis (B3)</t>
  </si>
  <si>
    <t>Esc. Nova Andradina (B3)</t>
  </si>
  <si>
    <t>Esc. Regional Deodápolis (B3)</t>
  </si>
  <si>
    <t>Galpão AE (B3)</t>
  </si>
  <si>
    <t>Irrigação CG (B3)</t>
  </si>
  <si>
    <t>Lab. Solos (B3)</t>
  </si>
  <si>
    <t>Posto Carreteiro (B3)</t>
  </si>
  <si>
    <t>Refeitório Deodápolis (B1)</t>
  </si>
  <si>
    <t>Subest. Fiação (B3)</t>
  </si>
  <si>
    <t>TRR Maracaju (B3)</t>
  </si>
  <si>
    <t>TOTAL (deve = 100%)</t>
  </si>
  <si>
    <t>⚠  Ajuste os percentuais acima para que cada coluna some exatamente 100%.  BAT está fixo em 0% — seus créditos futuros entram via mecanismo de rateio próprio (seção F abaixo).  A otimização automática maximiza o aproveitamento dos créditos CS3.</t>
  </si>
  <si>
    <t>F.  RATEIO DO SURPLUS BAT — 2 PERÍODOS (NH 39% / AMD 61% por padrão)</t>
  </si>
  <si>
    <t>BAT→NHS (%)</t>
  </si>
  <si>
    <t>← editável</t>
  </si>
  <si>
    <t>BAT→AMD (%)</t>
  </si>
  <si>
    <t>← = 1 − NHS%</t>
  </si>
  <si>
    <t>Degradação Y2 aplicada</t>
  </si>
  <si>
    <t>← Y1: valor direto PVSYST  |  Y2/Y3: × (1−DEG)</t>
  </si>
  <si>
    <t>kWh — CS3 P50 mês 06 (base=136,620 kWh)</t>
  </si>
  <si>
    <t>kWh — CS3 P50 mês 07 (base=123,990 kWh)</t>
  </si>
  <si>
    <t>kWh — CS3 P50 mês 08 (base=130,510 kWh)</t>
  </si>
  <si>
    <t>kWh — CS3 P50 mês 09 (base=156,670 kWh)</t>
  </si>
  <si>
    <t>kWh — CS3 P50 mês 10 (base=147,010 kWh)</t>
  </si>
  <si>
    <t>kWh — CS3 P50 mês 11 (base=151,080 kWh)</t>
  </si>
  <si>
    <t>kWh — CS3 P50 mês 12 (base=146,080 kWh)</t>
  </si>
  <si>
    <t>kWh — CS3 P50 mês 01 (base=2,000 kWh)</t>
  </si>
  <si>
    <t>kWh — CS3 P50 mês 02 (base=143,140 kWh)</t>
  </si>
  <si>
    <t>kWh — CS3 P50 mês 03 (base=127,550 kWh)</t>
  </si>
  <si>
    <t>kWh — CS3 P50 mês 04 (base=146,300 kWh)</t>
  </si>
  <si>
    <t>kWh — CS3 P50 mês 05 (base=145,980 kWh)</t>
  </si>
  <si>
    <t>INPUT — CONSUMO ORÇADO GRUPO A | Fonte: Consumo_Orçado_2026_GD</t>
  </si>
  <si>
    <t>Azul = valores editáveis (fonte: arquivo fornecido) | Preto = fórmulas de projeção Y2/Y3</t>
  </si>
  <si>
    <t>NHS FP (kWh)</t>
  </si>
  <si>
    <t>NHS Ponta (kWh)</t>
  </si>
  <si>
    <t>BAT FP (kWh)</t>
  </si>
  <si>
    <t>BAT Ponta (kWh)</t>
  </si>
  <si>
    <t>AMD FP (kWh)</t>
  </si>
  <si>
    <t>AMD Ponta (kWh)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</si>
  <si>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</si>
  <si>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</si>
  <si>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</si>
  <si>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</si>
  <si>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</si>
  <si>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</si>
  <si>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</si>
  <si>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</si>
  <si>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</si>
  <si>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</si>
  <si>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</si>
  <si>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</si>
  <si>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Crescimento Y2 aplicado automaticamente via Premissas!$B$21 (atualmente 2,5%). Altere lá para que todos os 18 UCs sejam atualizados.</t>
  </si>
  <si>
    <t>Energisa MS  ·  Todas as células são fórmulas  ·  Azul=input Premissas  ·  Verde=link entre abas</t>
  </si>
  <si>
    <t>INDICADOR / UC</t>
  </si>
  <si>
    <t>TOTAL 24m
ou SALDO FINAL</t>
  </si>
  <si>
    <t>MÉD/mês
ou unidade</t>
  </si>
  <si>
    <t>PPA Helexia — custo total (R$)</t>
  </si>
  <si>
    <t>1.  BAT — BATAYPORÃ — GERAÇÃO, CONSUMO E SURPLUS</t>
  </si>
  <si>
    <t>BAT Geração própria (kWh)</t>
  </si>
  <si>
    <t>BAT Consumo FP (kWh)</t>
  </si>
  <si>
    <t>BAT Consumo Ponta (kWh)</t>
  </si>
  <si>
    <t xml:space="preserve">  BAT auto-comp. FP (kWh)</t>
  </si>
  <si>
    <t xml:space="preserve">  BAT auto-comp. Ponta via FA (kWh)</t>
  </si>
  <si>
    <t>★ BAT surplus líquido → rateio (kWh)</t>
  </si>
  <si>
    <t xml:space="preserve">  BAT banco stranded — depleção por consumo próprio apenas</t>
  </si>
  <si>
    <t xml:space="preserve">  BAT banco início mês (kWh)</t>
  </si>
  <si>
    <t xml:space="preserve">  BAT banco draw (kWh)</t>
  </si>
  <si>
    <t xml:space="preserve">  BAT banco fim mês (kWh)</t>
  </si>
  <si>
    <t xml:space="preserve">  BAT créditos → NHS (kWh, T+1)</t>
  </si>
  <si>
    <t xml:space="preserve">  BAT créditos → AMD (kWh, T+1)</t>
  </si>
  <si>
    <t xml:space="preserve">  NHS — N. Horizonte do Sul (A4V)</t>
  </si>
  <si>
    <t xml:space="preserve">  Consumo FP (kWh)</t>
  </si>
  <si>
    <t xml:space="preserve">  Consumo Ponta (kWh) [via FA]</t>
  </si>
  <si>
    <t xml:space="preserve">  Geração própria (kWh)</t>
  </si>
  <si>
    <t xml:space="preserve">  Auto-comp. FP (kWh)</t>
  </si>
  <si>
    <t xml:space="preserve">  Auto-comp. Ponta via FA (kWh)</t>
  </si>
  <si>
    <t xml:space="preserve">  BAT créditos → NHS (kWh)</t>
  </si>
  <si>
    <t xml:space="preserve">  Banco início mês COM Helexia (kWh)</t>
  </si>
  <si>
    <t xml:space="preserve">  Bank draw COM Helexia (kWh)</t>
  </si>
  <si>
    <t>★ Banco fim mês COM Helexia (kWh)</t>
  </si>
  <si>
    <t xml:space="preserve">  Banco início mês SEM Helexia (kWh)</t>
  </si>
  <si>
    <t xml:space="preserve">  Bank draw SEM Helexia (kWh) — gen+BAT, no CS3</t>
  </si>
  <si>
    <t xml:space="preserve">  Banco fim mês SEM Helexia (kWh) — gen+BAT, no CS3</t>
  </si>
  <si>
    <t xml:space="preserve">  Custo COM Helexia — rede remanescente (R$)</t>
  </si>
  <si>
    <t>★ Economia mensal (R$)</t>
  </si>
  <si>
    <t xml:space="preserve">  AMD — Amandina (A3A)</t>
  </si>
  <si>
    <t xml:space="preserve">  BAT créditos → AMD (kWh)</t>
  </si>
  <si>
    <t xml:space="preserve">  AREC (B3)</t>
  </si>
  <si>
    <t xml:space="preserve">  Bank draw SEM Helexia (kWh)</t>
  </si>
  <si>
    <t xml:space="preserve">  Banco fim mês SEM Helexia (kWh)</t>
  </si>
  <si>
    <t xml:space="preserve">  Banheiro Motoristas (B3)</t>
  </si>
  <si>
    <t xml:space="preserve">  CTC Copasul (B3)</t>
  </si>
  <si>
    <t xml:space="preserve">  Depósito Irrigação (B3)</t>
  </si>
  <si>
    <t xml:space="preserve">  Entreposto (B3)</t>
  </si>
  <si>
    <t xml:space="preserve">  Esc. Deodápolis (B3)</t>
  </si>
  <si>
    <t xml:space="preserve">  Esc. N. Andradina (B3)</t>
  </si>
  <si>
    <t xml:space="preserve">  Esc. Reg. Deodápolis (B3)</t>
  </si>
  <si>
    <t xml:space="preserve">  Galpão AE (B3)</t>
  </si>
  <si>
    <t xml:space="preserve">  Irrigação CG (B3)</t>
  </si>
  <si>
    <t xml:space="preserve">  Lab. Solos (B3)</t>
  </si>
  <si>
    <t xml:space="preserve">  Posto Carreteiro (B3)</t>
  </si>
  <si>
    <t xml:space="preserve">  Refeitório Deodápolis (B1)</t>
  </si>
  <si>
    <t xml:space="preserve">  Banco início COM (kWh)</t>
  </si>
  <si>
    <t xml:space="preserve">  Bank draw COM (kWh)</t>
  </si>
  <si>
    <t>★ Banco fim COM (kWh)</t>
  </si>
  <si>
    <t xml:space="preserve">  Banco início SEM (kWh) = 0</t>
  </si>
  <si>
    <t xml:space="preserve">  Bank draw SEM (kWh) = 0</t>
  </si>
  <si>
    <t xml:space="preserve">  Banco fim SEM (kWh) = 0</t>
  </si>
  <si>
    <t xml:space="preserve">  Subest. Fiação (B3)</t>
  </si>
  <si>
    <t xml:space="preserve">  TRR Maracaju (B3)</t>
  </si>
  <si>
    <t>CUSTO TOTAL SEM Helexia (R$) — todas as UCs</t>
  </si>
  <si>
    <t>CUSTO TOTAL COM Helexia — rede remanescente (R$)</t>
  </si>
  <si>
    <t>CUSTO TOTAL COM Helexia — rede + PPA (R$)</t>
  </si>
  <si>
    <t>★ ECONOMIA LÍQUIDA COPASUL (R$) — rede savings − PPA</t>
  </si>
  <si>
    <t>⚠  ICMS adicional se isenção perdida (Premissas B11="Não") — ICMS sobre kWh compensados pelo CS3 (R$)</t>
  </si>
  <si>
    <t>0 quando Premissas B11=Sim (isenção ativa — base case)</t>
  </si>
  <si>
    <t xml:space="preserve">  BANCO DE CRÉDITOS — SALDO FINAL MAI/2028</t>
  </si>
  <si>
    <t>kWh</t>
  </si>
  <si>
    <t xml:space="preserve">  BAT — Batayporã (stranded, não transferível)</t>
  </si>
  <si>
    <t>TOTAL banco créditos TODAS as UCs (kWh)</t>
  </si>
  <si>
    <t xml:space="preserve">  VALOR TOTAL = ECONOMIA LÍQUIDA 24m + BANCO RESIDUAL @ PPA</t>
  </si>
  <si>
    <t>Economia líquida 24m (R$)</t>
  </si>
  <si>
    <t>+ Banco residual todas UCs @ PPA (R$)</t>
  </si>
  <si>
    <t>★ VALOR TOTAL HELEXIA (R$) — economia + banco atribuível</t>
  </si>
  <si>
    <t xml:space="preserve">  BANCO ATRIBUÍVEL HELEXIA — DECOMPOSIÇÃO (COM − SEM por UC)</t>
  </si>
  <si>
    <t xml:space="preserve">  NHS — banco atribuível Helexia (COM−SEM, kWh)</t>
  </si>
  <si>
    <t xml:space="preserve">  AMD — banco atribuível Helexia (COM−SEM, kWh)</t>
  </si>
  <si>
    <t xml:space="preserve">  Grupo B — banco total (100% atribuível, SEM=0, kWh)</t>
  </si>
  <si>
    <t xml:space="preserve">  Banco ATRIBUÍVEL total Helexia (kWh)</t>
  </si>
  <si>
    <t>★ Banco ATRIBUÍVEL total Helexia @ PPA (R$)</t>
  </si>
  <si>
    <t>Unidade</t>
  </si>
  <si>
    <t>Data</t>
  </si>
  <si>
    <t>Geração (kWh)</t>
  </si>
  <si>
    <t>Yf Diário (kWh/kWp)</t>
  </si>
  <si>
    <t>Amandina</t>
  </si>
  <si>
    <t xml:space="preserve">Geração Mensal </t>
  </si>
  <si>
    <t>Kwh</t>
  </si>
  <si>
    <t>MWh</t>
  </si>
  <si>
    <t>Proxi Bataypora</t>
  </si>
  <si>
    <t>proxy Rate</t>
  </si>
  <si>
    <t>Batayporã</t>
  </si>
  <si>
    <t>Novo Horizonte do Sul</t>
  </si>
  <si>
    <t>Total</t>
  </si>
  <si>
    <t>Meia Mensal</t>
  </si>
  <si>
    <t>Grupo B</t>
  </si>
  <si>
    <t>Consomo Fora Ponta Grupo B (kWh)</t>
  </si>
  <si>
    <t>A4 Verde</t>
  </si>
  <si>
    <t>Consumo Fora Ponta Grupo A (kWh)</t>
  </si>
  <si>
    <t>A3A rural</t>
  </si>
  <si>
    <t>Consumo Fora Ponta Grupo A3A Rural (kWh)</t>
  </si>
  <si>
    <t>Total Fora Ponta (kWh)</t>
  </si>
  <si>
    <t>Consumo Ponta Grupo A (kWh)</t>
  </si>
  <si>
    <t>Consumo Ponta Grupo A3A (kWh)</t>
  </si>
  <si>
    <t>Total  Ponta (kWh)</t>
  </si>
  <si>
    <t>Total Consumo (kWh)</t>
  </si>
  <si>
    <t>SiIos Novo Horizonte do Sul</t>
  </si>
  <si>
    <t>Produçao Usina 1</t>
  </si>
  <si>
    <t>Silos Batayporã</t>
  </si>
  <si>
    <t xml:space="preserve">Produção Usina 2 </t>
  </si>
  <si>
    <t>Silos Amandina</t>
  </si>
  <si>
    <t>Produção Usina 3</t>
  </si>
  <si>
    <t>Total Produção (kWH)</t>
  </si>
  <si>
    <t>Compensão usina 1</t>
  </si>
  <si>
    <t>Compensão usina 2</t>
  </si>
  <si>
    <t>Compensão usina 3</t>
  </si>
  <si>
    <t>Total Compensação (kWH)</t>
  </si>
  <si>
    <t>Nome</t>
  </si>
  <si>
    <t>CNPJ</t>
  </si>
  <si>
    <t>UC</t>
  </si>
  <si>
    <t>Consumo Ponta (kWh)</t>
  </si>
  <si>
    <t>Consumo Fora Ponta (kWh)</t>
  </si>
  <si>
    <t>Demanda Ponta (kW)</t>
  </si>
  <si>
    <t>Demanda Fora Ponta (kW)</t>
  </si>
  <si>
    <t>Energia Gerada (kWh)</t>
  </si>
  <si>
    <t>Energia Compensada (kWh)</t>
  </si>
  <si>
    <t>Energia Sobrando</t>
  </si>
  <si>
    <t>Energia Gerada Pos reparação</t>
  </si>
  <si>
    <t>Compensação Fora Ponta</t>
  </si>
  <si>
    <t>03.902.129/0001-83</t>
  </si>
  <si>
    <t>10/169099-9</t>
  </si>
  <si>
    <t>B3 - Comercial</t>
  </si>
  <si>
    <t>10/169105-4</t>
  </si>
  <si>
    <t>03.902.129/0004-26</t>
  </si>
  <si>
    <t>10/178204-4</t>
  </si>
  <si>
    <t>B1 - Residencial</t>
  </si>
  <si>
    <t>Banheiro dos Motoristas Deodápolis</t>
  </si>
  <si>
    <t>10/178206-9</t>
  </si>
  <si>
    <t>Escritório Regional Deodápolis</t>
  </si>
  <si>
    <t>10/2916462-1</t>
  </si>
  <si>
    <t>Escritório Deodápolis</t>
  </si>
  <si>
    <t>10/178456-0</t>
  </si>
  <si>
    <t>03.902.129/0011-55</t>
  </si>
  <si>
    <t>10/3146634-5</t>
  </si>
  <si>
    <t>Subestação Fiação</t>
  </si>
  <si>
    <t>03.902.129/0015-89</t>
  </si>
  <si>
    <t>10/2418582-9</t>
  </si>
  <si>
    <t>03.902.129/0020-46</t>
  </si>
  <si>
    <t>10/3184070-5</t>
  </si>
  <si>
    <t>Verde A4 - Industrial</t>
  </si>
  <si>
    <t>Deposito Irrigação</t>
  </si>
  <si>
    <t>03.902.129/0023-99</t>
  </si>
  <si>
    <t>10/2551502-4</t>
  </si>
  <si>
    <t>03.902.129/0025-50</t>
  </si>
  <si>
    <t>10/3267347-7</t>
  </si>
  <si>
    <t>Verde A3a - Rural</t>
  </si>
  <si>
    <t>Escritório Nova Andradina</t>
  </si>
  <si>
    <t>03.902.129/0026-31</t>
  </si>
  <si>
    <t>10/3683986-8</t>
  </si>
  <si>
    <t>03.902.129/0031-07</t>
  </si>
  <si>
    <t>10/2121803-7</t>
  </si>
  <si>
    <t>Irrigação Copasul Campo Grande</t>
  </si>
  <si>
    <t>03.902.129/0032-80</t>
  </si>
  <si>
    <t>10/2603357-1</t>
  </si>
  <si>
    <t>03.902.129/0039-56</t>
  </si>
  <si>
    <t>10/3491513-2</t>
  </si>
  <si>
    <t>03.908.126/0001-57</t>
  </si>
  <si>
    <t>10/172692-6</t>
  </si>
  <si>
    <t>43.241.544/0002-39</t>
  </si>
  <si>
    <t>10/2502847-3</t>
  </si>
  <si>
    <t>48.657.758/0001-23</t>
  </si>
  <si>
    <t>10/2502804-4</t>
  </si>
  <si>
    <t>Código</t>
  </si>
  <si>
    <t>Nome do Projeto</t>
  </si>
  <si>
    <t>Nº Mês</t>
  </si>
  <si>
    <t>Ano de Exposição Solar</t>
  </si>
  <si>
    <t>Ano de Geração</t>
  </si>
  <si>
    <t>Geração (MWh)</t>
  </si>
  <si>
    <t>HCS01</t>
  </si>
  <si>
    <t>Cassilândia 01</t>
  </si>
  <si>
    <t>Apr</t>
  </si>
  <si>
    <t>Ano 0</t>
  </si>
  <si>
    <t>May</t>
  </si>
  <si>
    <t>Aug</t>
  </si>
  <si>
    <t>Sept</t>
  </si>
  <si>
    <t>Oct</t>
  </si>
  <si>
    <t>Dec</t>
  </si>
  <si>
    <t>Ano 1</t>
  </si>
  <si>
    <t>Feb</t>
  </si>
  <si>
    <t>Ano 2</t>
  </si>
  <si>
    <t>HCS02</t>
  </si>
  <si>
    <t>Cassilândia 02</t>
  </si>
  <si>
    <t>HCS03</t>
  </si>
  <si>
    <t>Performance Ratio</t>
  </si>
  <si>
    <t>Data do PR</t>
  </si>
  <si>
    <t>Mês do PR</t>
  </si>
  <si>
    <t>Ano do PR</t>
  </si>
  <si>
    <t>PR PVsyst (%)</t>
  </si>
  <si>
    <t>PR Real (%)</t>
  </si>
  <si>
    <t>Status</t>
  </si>
  <si>
    <t>Aprovado</t>
  </si>
  <si>
    <t>PV Syst</t>
  </si>
  <si>
    <t>Cliente</t>
  </si>
  <si>
    <t>Potência AC (kWac)</t>
  </si>
  <si>
    <t>Potência DC (kWp)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</si>
  <si>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</si>
  <si>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</si>
  <si>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</si>
  <si>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</si>
  <si>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</si>
  <si>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</si>
  <si>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</si>
  <si>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</si>
  <si>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</si>
  <si>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</si>
  <si>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</si>
  <si>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</si>
  <si>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Geração P50 Ano 0 (MWh/ano)</t>
  </si>
  <si>
    <t>Geração P50 Ano Atual (MWh/ano)</t>
  </si>
  <si>
    <t>Variabilidade Anual (%)</t>
  </si>
  <si>
    <t>Geração P90 PVsyst Ano 0 (MWh/ano)</t>
  </si>
  <si>
    <t>Geração P90 PVsyst Ano Atual (MWh/ano)</t>
  </si>
  <si>
    <t>Geração P90 Ano Atual Real (MWh/ano)</t>
  </si>
  <si>
    <t>PR Médio Ano 0</t>
  </si>
  <si>
    <t>PR Médio Ano Atual</t>
  </si>
  <si>
    <t>Produção Específica</t>
  </si>
  <si>
    <t>Fator de Capacidade</t>
  </si>
  <si>
    <t>Versão PVsyst</t>
  </si>
  <si>
    <t>Variante PVsyst</t>
  </si>
  <si>
    <t>Data PVsyst</t>
  </si>
  <si>
    <t>Observação</t>
  </si>
  <si>
    <t>Link Report</t>
  </si>
  <si>
    <t>EMS</t>
  </si>
  <si>
    <t>Entregue</t>
  </si>
  <si>
    <t>COMERC</t>
  </si>
  <si>
    <t>As Built</t>
  </si>
  <si>
    <t>VCH</t>
  </si>
  <si>
    <t>Considerando perdas nos cabos e transformador conforme Projeto Executivo. Além de perdas por sujidade e indisponibilidade conforme premissas do O&amp;M</t>
  </si>
  <si>
    <t>Clique Aqui</t>
  </si>
  <si>
    <t>VCI</t>
  </si>
  <si>
    <t>VCJ</t>
  </si>
  <si>
    <t>Produçao 2025</t>
  </si>
  <si>
    <t>Geração Atual Ano 0 (MWh/ano)</t>
  </si>
  <si>
    <t>January 26</t>
  </si>
  <si>
    <t>February 26</t>
  </si>
  <si>
    <t>Pi (kWp)</t>
  </si>
  <si>
    <t>Pg (kW)</t>
  </si>
  <si>
    <t>Número de módulos</t>
  </si>
  <si>
    <t>Potencia (W)</t>
  </si>
  <si>
    <t>Eficiência</t>
  </si>
  <si>
    <t>Área do módulo (m²)</t>
  </si>
  <si>
    <t>Área Total (m²)</t>
  </si>
  <si>
    <t>Densidade de Potência (W/m²)</t>
  </si>
  <si>
    <t>Latitude</t>
  </si>
  <si>
    <t>Longitude</t>
  </si>
  <si>
    <t>Inclinação</t>
  </si>
  <si>
    <t>Azimuth</t>
  </si>
  <si>
    <t>-22.67340908</t>
  </si>
  <si>
    <t>-53.84513269</t>
  </si>
  <si>
    <t>22°</t>
  </si>
  <si>
    <t>-22.27609989</t>
  </si>
  <si>
    <t>-53.22534149</t>
  </si>
  <si>
    <t>-22.34231564</t>
  </si>
  <si>
    <t>-53.58536212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</si>
</sst>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#,##0.00&quot; GWh&quot;"/>
    <numFmt numFmtId="165" formatCode="&quot;R$ &quot;#,##0;&quot;(R$ &quot;#,##0\);\-"/>
    <numFmt numFmtId="166" formatCode="0.0%"/>
    <numFmt numFmtId="167" formatCode="#,##0.0&quot; MWh&quot;"/>
    <numFmt numFmtId="168" formatCode="&quot;R$ &quot;0.0000"/>
    <numFmt numFmtId="169" formatCode="#,##0;\(#,##0\);\-"/>
    <numFmt numFmtId="170" formatCode="0.000000"/>
    <numFmt numFmtId="171" formatCode="&quot;R$ &quot;#,##0.0000"/>
    <numFmt numFmtId="172" formatCode="m/d/yyyy"/>
    <numFmt numFmtId="173" formatCode="0.0"/>
    <numFmt numFmtId="174" formatCode="mm/yyyy"/>
    <numFmt numFmtId="175" formatCode="#,##0.0"/>
  </numFmts>
  <fonts count="82" x14ac:knownFonts="1">
    <font>
      <sz val="11"/>
      <color theme="1"/>
      <name val="Calibri"/>
      <family val="2"/>
      <charset val="1"/>
    </font>
    <font>
      <sz val="10"/>
      <color rgb="FF000000"/>
      <name val="Arial"/>
      <family val="2"/>
      <charset val="1"/>
    </font>
    <font>
      <sz val="11"/>
      <color theme="1"/>
      <name val="Arial"/>
      <family val="2"/>
      <charset val="1"/>
    </font>
    <font>
      <b/>
      <sz val="14"/>
      <color rgb="FFFFFFFF"/>
      <name val="Arial"/>
      <family val="2"/>
      <charset val="1"/>
    </font>
    <font>
      <sz val="9"/>
      <color rgb="FFAACCFF"/>
      <name val="Arial"/>
      <family val="2"/>
      <charset val="1"/>
    </font>
    <font>
      <b/>
      <sz val="8"/>
      <color rgb="FFFFFFFF"/>
      <name val="Arial"/>
      <family val="2"/>
      <charset val="1"/>
    </font>
    <font>
      <b/>
      <sz val="16"/>
      <color rgb="FF375623"/>
      <name val="Arial"/>
      <family val="2"/>
      <charset val="1"/>
    </font>
    <font>
      <b/>
      <sz val="16"/>
      <color rgb="FFC65911"/>
      <name val="Arial"/>
      <family val="2"/>
      <charset val="1"/>
    </font>
    <font>
      <b/>
      <sz val="16"/>
      <color rgb="FF1F7A5C"/>
      <name val="Arial"/>
      <family val="2"/>
      <charset val="1"/>
    </font>
    <font>
      <b/>
      <sz val="16"/>
      <color rgb="FF1F3864"/>
      <name val="Arial"/>
      <family val="2"/>
      <charset val="1"/>
    </font>
    <font>
      <i/>
      <sz val="8"/>
      <color rgb="FF595959"/>
      <name val="Arial"/>
      <family val="2"/>
      <charset val="1"/>
    </font>
    <font>
      <sz val="8"/>
      <color rgb="FF595959"/>
      <name val="Calibri"/>
      <family val="2"/>
    </font>
    <font>
      <b/>
      <sz val="9"/>
      <color rgb="FFFFFFFF"/>
      <name val="Arial"/>
      <family val="2"/>
      <charset val="1"/>
    </font>
    <font>
      <b/>
      <sz val="8"/>
      <color rgb="FF595959"/>
      <name val="Arial"/>
      <family val="2"/>
      <charset val="1"/>
    </font>
    <font>
      <sz val="8"/>
      <color rgb="FF595959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595959"/>
      <name val="Arial"/>
      <family val="2"/>
      <charset val="1"/>
    </font>
    <font>
      <sz val="9"/>
      <name val="Arial"/>
      <family val="2"/>
      <charset val="1"/>
    </font>
    <font>
      <b/>
      <sz val="9"/>
      <color rgb="FF2E5FA3"/>
      <name val="Arial"/>
      <family val="2"/>
      <charset val="1"/>
    </font>
    <font>
      <b/>
      <sz val="9"/>
      <color rgb="FF375623"/>
      <name val="Arial"/>
      <family val="2"/>
      <charset val="1"/>
    </font>
    <font>
      <b/>
      <sz val="9"/>
      <name val="Arial"/>
      <family val="2"/>
      <charset val="1"/>
    </font>
    <font>
      <sz val="9"/>
      <color rgb="FF1F7A5C"/>
      <name val="Arial"/>
      <family val="2"/>
      <charset val="1"/>
    </font>
    <font>
      <sz val="8"/>
      <name val="Arial"/>
      <family val="2"/>
      <charset val="1"/>
    </font>
    <font>
      <b/>
      <sz val="9"/>
      <color rgb="FFFFFFFF"/>
      <name val="Calibri"/>
      <family val="2"/>
    </font>
    <font>
      <b/>
      <sz val="8"/>
      <color rgb="FF595959"/>
      <name val="Calibri"/>
      <family val="2"/>
    </font>
    <font>
      <sz val="9"/>
      <color rgb="FF000000"/>
      <name val="Calibri"/>
      <family val="2"/>
    </font>
    <font>
      <sz val="9"/>
      <color rgb="FF595959"/>
      <name val="Calibri"/>
      <family val="2"/>
    </font>
    <font>
      <b/>
      <sz val="9"/>
      <color rgb="FF1F7A5C"/>
      <name val="Calibri"/>
      <family val="2"/>
    </font>
    <font>
      <sz val="9"/>
      <color rgb="FFFFFFFF"/>
      <name val="Calibri"/>
      <family val="2"/>
    </font>
    <font>
      <i/>
      <sz val="7"/>
      <color rgb="FF999999"/>
      <name val="Calibri"/>
      <family val="2"/>
    </font>
    <font>
      <sz val="7"/>
      <color rgb="FF999999"/>
      <name val="Calibri"/>
      <family val="2"/>
    </font>
    <font>
      <b/>
      <sz val="11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8"/>
      <color rgb="FF2E5FA3"/>
      <name val="Arial"/>
      <family val="2"/>
      <charset val="1"/>
    </font>
    <font>
      <b/>
      <sz val="9"/>
      <color rgb="FF0000FF"/>
      <name val="Arial"/>
      <family val="2"/>
      <charset val="1"/>
    </font>
    <font>
      <i/>
      <sz val="9"/>
      <color rgb="FF595959"/>
      <name val="Arial"/>
      <family val="2"/>
      <charset val="1"/>
    </font>
    <font>
      <b/>
      <sz val="12"/>
      <color rgb="FF375623"/>
      <name val="Arial"/>
      <family val="2"/>
      <charset val="1"/>
    </font>
    <font>
      <sz val="8"/>
      <color rgb="FF000000"/>
      <name val="Arial"/>
      <family val="2"/>
      <charset val="1"/>
    </font>
    <font>
      <b/>
      <sz val="10"/>
      <color rgb="FFC65911"/>
      <name val="Arial"/>
      <family val="2"/>
      <charset val="1"/>
    </font>
    <font>
      <b/>
      <sz val="9"/>
      <color rgb="FFC65911"/>
      <name val="Arial"/>
      <family val="2"/>
      <charset val="1"/>
    </font>
    <font>
      <i/>
      <sz val="9"/>
      <color rgb="FF000000"/>
      <name val="Arial"/>
      <family val="2"/>
      <charset val="1"/>
    </font>
    <font>
      <i/>
      <sz val="8"/>
      <color rgb="FF888888"/>
      <name val="Arial"/>
      <family val="2"/>
      <charset val="1"/>
    </font>
    <font>
      <b/>
      <sz val="9"/>
      <color rgb="FF7F6000"/>
      <name val="Arial"/>
      <family val="2"/>
      <charset val="1"/>
    </font>
    <font>
      <sz val="9"/>
      <color rgb="FF1F3864"/>
      <name val="Arial"/>
      <family val="2"/>
      <charset val="1"/>
    </font>
    <font>
      <b/>
      <sz val="9"/>
      <color rgb="FFC00000"/>
      <name val="Arial"/>
      <family val="2"/>
      <charset val="1"/>
    </font>
    <font>
      <b/>
      <sz val="9"/>
      <color rgb="FF1F3864"/>
      <name val="Arial"/>
      <family val="2"/>
      <charset val="1"/>
    </font>
    <font>
      <b/>
      <sz val="8"/>
      <color rgb="FFC65911"/>
      <name val="Arial"/>
      <family val="2"/>
      <charset val="1"/>
    </font>
    <font>
      <b/>
      <sz val="9"/>
      <color rgb="FF595959"/>
      <name val="Arial"/>
      <family val="2"/>
      <charset val="1"/>
    </font>
    <font>
      <b/>
      <sz val="8"/>
      <color rgb="FFC00000"/>
      <name val="Arial"/>
      <family val="2"/>
      <charset val="1"/>
    </font>
    <font>
      <b/>
      <sz val="11"/>
      <color rgb="FF375623"/>
      <name val="Arial"/>
      <family val="2"/>
      <charset val="1"/>
    </font>
    <font>
      <i/>
      <sz val="8"/>
      <color rgb="FF375623"/>
      <name val="Arial"/>
      <family val="2"/>
      <charset val="1"/>
    </font>
    <font>
      <sz val="9"/>
      <color rgb="FF0000FF"/>
      <name val="Arial"/>
      <family val="2"/>
      <charset val="1"/>
    </font>
    <font>
      <i/>
      <sz val="8"/>
      <color rgb="FFCC6600"/>
      <name val="Arial"/>
      <family val="2"/>
      <charset val="1"/>
    </font>
    <font>
      <sz val="9"/>
      <color rgb="FF008000"/>
      <name val="Arial"/>
      <family val="2"/>
      <charset val="1"/>
    </font>
    <font>
      <b/>
      <sz val="9"/>
      <color rgb="FF000000"/>
      <name val="Arial"/>
      <family val="2"/>
      <charset val="1"/>
    </font>
    <font>
      <b/>
      <sz val="12"/>
      <color rgb="FFFFFFFF"/>
      <name val="Arial"/>
      <family val="2"/>
      <charset val="1"/>
    </font>
    <font>
      <sz val="8"/>
      <color rgb="FFFFFFFF"/>
      <name val="Arial"/>
      <family val="2"/>
      <charset val="1"/>
    </font>
    <font>
      <b/>
      <sz val="9"/>
      <color rgb="FF008000"/>
      <name val="Arial"/>
      <family val="2"/>
      <charset val="1"/>
    </font>
    <font>
      <sz val="9"/>
      <color rgb="FFCC6600"/>
      <name val="Arial"/>
      <family val="2"/>
      <charset val="1"/>
    </font>
    <font>
      <i/>
      <sz val="9"/>
      <color rgb="FF808080"/>
      <name val="Arial"/>
      <family val="2"/>
      <charset val="1"/>
    </font>
    <font>
      <i/>
      <sz val="9"/>
      <color rgb="FF2E5FA3"/>
      <name val="Arial"/>
      <family val="2"/>
      <charset val="1"/>
    </font>
    <font>
      <i/>
      <sz val="9"/>
      <color rgb="FF375623"/>
      <name val="Arial"/>
      <family val="2"/>
      <charset val="1"/>
    </font>
    <font>
      <sz val="9"/>
      <color rgb="FFC00000"/>
      <name val="Arial"/>
      <family val="2"/>
      <charset val="1"/>
    </font>
    <font>
      <i/>
      <sz val="9"/>
      <color rgb="FFC00000"/>
      <name val="Arial"/>
      <family val="2"/>
      <charset val="1"/>
    </font>
    <font>
      <sz val="9"/>
      <color rgb="FF375623"/>
      <name val="Arial"/>
      <family val="2"/>
      <charset val="1"/>
    </font>
    <font>
      <sz val="9"/>
      <color rgb="FFFFFFFF"/>
      <name val="Arial"/>
      <family val="2"/>
      <charset val="1"/>
    </font>
    <font>
      <i/>
      <sz val="9"/>
      <color rgb="FF008000"/>
      <name val="Arial"/>
      <family val="2"/>
      <charset val="1"/>
    </font>
    <font>
      <i/>
      <sz val="9"/>
      <color rgb="FFFFFFFF"/>
      <name val="Arial"/>
      <family val="2"/>
      <charset val="1"/>
    </font>
    <font>
      <b/>
      <i/>
      <sz val="9"/>
      <color rgb="FFC65911"/>
      <name val="Arial"/>
      <family val="2"/>
      <charset val="1"/>
    </font>
    <font>
      <sz val="9"/>
      <color rgb="FFC65911"/>
      <name val="Arial"/>
      <family val="2"/>
      <charset val="1"/>
    </font>
    <font>
      <sz val="9"/>
      <color rgb="FF808080"/>
      <name val="Calibri"/>
      <family val="2"/>
    </font>
    <font>
      <sz val="10"/>
      <color rgb="FF000000"/>
      <name val="Aptos Display"/>
      <family val="2"/>
      <charset val="1"/>
    </font>
    <font>
      <sz val="10"/>
      <color rgb="FFFFFFFF"/>
      <name val="Aptos Display"/>
      <family val="2"/>
      <charset val="1"/>
    </font>
    <font>
      <sz val="10"/>
      <color theme="1"/>
      <name val="Aptos Display"/>
      <family val="2"/>
      <charset val="1"/>
    </font>
    <font>
      <b/>
      <sz val="10"/>
      <color rgb="FF000000"/>
      <name val="Aptos Display"/>
      <family val="2"/>
      <charset val="1"/>
    </font>
    <font>
      <b/>
      <sz val="10"/>
      <color theme="1"/>
      <name val="Aptos Display"/>
      <family val="2"/>
      <charset val="1"/>
    </font>
    <font>
      <b/>
      <sz val="10"/>
      <color theme="0"/>
      <name val="Aptos Display"/>
      <family val="2"/>
      <charset val="1"/>
    </font>
    <font>
      <sz val="10"/>
      <name val="Aptos Display"/>
      <family val="2"/>
      <charset val="1"/>
    </font>
    <font>
      <b/>
      <sz val="10"/>
      <color theme="1" tint="0.24948881496627703"/>
      <name val="Aptos Display"/>
      <family val="2"/>
      <charset val="1"/>
    </font>
    <font>
      <b/>
      <sz val="11"/>
      <color theme="0"/>
      <name val="Calibri"/>
      <family val="2"/>
      <charset val="1"/>
    </font>
    <font>
      <b/>
      <sz val="10"/>
      <color rgb="FFFFFFFF"/>
      <name val="Aptos Display"/>
      <family val="2"/>
      <charset val="1"/>
    </font>
    <font>
      <sz val="11"/>
      <color theme="1"/>
      <name val="Calibri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rgb="FF1F3864"/>
        <bgColor rgb="FF093C92"/>
      </patternFill>
    </fill>
    <fill>
      <patternFill patternType="solid">
        <fgColor rgb="FF375623"/>
        <bgColor rgb="FF404040"/>
      </patternFill>
    </fill>
    <fill>
      <patternFill patternType="solid">
        <fgColor rgb="FFC65911"/>
        <bgColor rgb="FFC05200"/>
      </patternFill>
    </fill>
    <fill>
      <patternFill patternType="solid">
        <fgColor rgb="FF1F7A5C"/>
        <bgColor rgb="FF277E3E"/>
      </patternFill>
    </fill>
    <fill>
      <patternFill patternType="solid">
        <fgColor rgb="FFE8F5E9"/>
        <bgColor rgb="FFE0F4EF"/>
      </patternFill>
    </fill>
    <fill>
      <patternFill patternType="solid">
        <fgColor rgb="FFFBE9E7"/>
        <bgColor rgb="FFFDECEA"/>
      </patternFill>
    </fill>
    <fill>
      <patternFill patternType="solid">
        <fgColor rgb="FFE0F4EF"/>
        <bgColor rgb="FFE8F5E9"/>
      </patternFill>
    </fill>
    <fill>
      <patternFill patternType="solid">
        <fgColor rgb="FFF5F5F5"/>
        <bgColor rgb="FFF2F2F2"/>
      </patternFill>
    </fill>
    <fill>
      <patternFill patternType="solid">
        <fgColor rgb="FFFFFFFF"/>
        <bgColor rgb="FFFFF5F5"/>
      </patternFill>
    </fill>
    <fill>
      <patternFill patternType="solid">
        <fgColor rgb="FFEBF0FA"/>
        <bgColor rgb="FFEBF3FB"/>
      </patternFill>
    </fill>
    <fill>
      <patternFill patternType="solid">
        <fgColor rgb="FFEBF3FB"/>
        <bgColor rgb="FFEBF0FA"/>
      </patternFill>
    </fill>
    <fill>
      <patternFill patternType="solid">
        <fgColor rgb="FFFFF3CD"/>
        <bgColor rgb="FFFFF2CC"/>
      </patternFill>
    </fill>
    <fill>
      <patternFill patternType="solid">
        <fgColor rgb="FFFFE0B2"/>
        <bgColor rgb="FFFFE2CC"/>
      </patternFill>
    </fill>
    <fill>
      <patternFill patternType="solid">
        <fgColor rgb="FFFFF2CC"/>
        <bgColor rgb="FFFFF3CD"/>
      </patternFill>
    </fill>
    <fill>
      <patternFill patternType="solid">
        <fgColor rgb="FF595959"/>
        <bgColor rgb="FF606060"/>
      </patternFill>
    </fill>
    <fill>
      <patternFill patternType="solid">
        <fgColor rgb="FFFDECEA"/>
        <bgColor rgb="FFFBE9E7"/>
      </patternFill>
    </fill>
    <fill>
      <patternFill patternType="solid">
        <fgColor rgb="FFFEF0E7"/>
        <bgColor rgb="FFFDECEA"/>
      </patternFill>
    </fill>
    <fill>
      <patternFill patternType="solid">
        <fgColor rgb="FFF2F2F2"/>
        <bgColor rgb="FFF5F5F5"/>
      </patternFill>
    </fill>
    <fill>
      <patternFill patternType="solid">
        <fgColor rgb="FFCC6600"/>
        <bgColor rgb="FFC65911"/>
      </patternFill>
    </fill>
    <fill>
      <patternFill patternType="solid">
        <fgColor rgb="FF606060"/>
        <bgColor rgb="FF595959"/>
      </patternFill>
    </fill>
    <fill>
      <patternFill patternType="solid">
        <fgColor rgb="FF2E5FA3"/>
        <bgColor rgb="FF1F7A5C"/>
      </patternFill>
    </fill>
    <fill>
      <patternFill patternType="solid">
        <fgColor rgb="FFFFF9E6"/>
        <bgColor rgb="FFFFF5F5"/>
      </patternFill>
    </fill>
    <fill>
      <patternFill patternType="solid">
        <fgColor rgb="FF808080"/>
        <bgColor rgb="FF888888"/>
      </patternFill>
    </fill>
    <fill>
      <patternFill patternType="solid">
        <fgColor rgb="FFE2EFDA"/>
        <bgColor rgb="FFE8F5E9"/>
      </patternFill>
    </fill>
    <fill>
      <patternFill patternType="solid">
        <fgColor rgb="FFFFF5F5"/>
        <bgColor rgb="FFF5F5F5"/>
      </patternFill>
    </fill>
    <fill>
      <patternFill patternType="solid">
        <fgColor rgb="FF000000"/>
        <bgColor rgb="FF003300"/>
      </patternFill>
    </fill>
    <fill>
      <patternFill patternType="solid">
        <fgColor rgb="FF6AA84F"/>
        <bgColor rgb="FF888888"/>
      </patternFill>
    </fill>
    <fill>
      <patternFill patternType="solid">
        <fgColor theme="1" tint="0.24948881496627703"/>
        <bgColor rgb="FF375623"/>
      </patternFill>
    </fill>
    <fill>
      <patternFill patternType="solid">
        <fgColor theme="0" tint="-0.14999847407452621"/>
        <bgColor rgb="FFD0D0D0"/>
      </patternFill>
    </fill>
    <fill>
      <patternFill patternType="solid">
        <fgColor rgb="FFBDD7EE"/>
        <bgColor rgb="FFAACCFF"/>
      </patternFill>
    </fill>
    <fill>
      <patternFill patternType="solid">
        <fgColor theme="7" tint="0.39948728904080327"/>
        <bgColor rgb="FFB3B3B3"/>
      </patternFill>
    </fill>
    <fill>
      <patternFill patternType="solid">
        <fgColor theme="3" tint="0.49989318521683401"/>
        <bgColor rgb="FF95B3D7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 style="medium">
        <color rgb="FF375623"/>
      </left>
      <right style="medium">
        <color rgb="FF375623"/>
      </right>
      <top style="medium">
        <color rgb="FF375623"/>
      </top>
      <bottom style="medium">
        <color rgb="FF375623"/>
      </bottom>
      <diagonal/>
    </border>
    <border>
      <left style="medium">
        <color rgb="FFC65911"/>
      </left>
      <right style="medium">
        <color rgb="FFC65911"/>
      </right>
      <top style="medium">
        <color rgb="FFC65911"/>
      </top>
      <bottom style="medium">
        <color rgb="FFC65911"/>
      </bottom>
      <diagonal/>
    </border>
    <border>
      <left style="thin">
        <color rgb="FFC65911"/>
      </left>
      <right style="thin">
        <color rgb="FFC65911"/>
      </right>
      <top style="thin">
        <color rgb="FFC65911"/>
      </top>
      <bottom style="thin">
        <color rgb="FFC6591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theme="4" tint="0.39988402966399123"/>
      </top>
      <bottom style="thin">
        <color theme="4" tint="0.39988402966399123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0" fontId="81" fillId="0" borderId="0"/>
    <xf numFmtId="0" fontId="81" fillId="0" borderId="0"/>
    <xf numFmtId="0" fontId="81" fillId="0" borderId="0"/>
    <xf numFmtId="9" fontId="2" fillId="0" borderId="0"/>
    <xf numFmtId="9" fontId="81" fillId="0" borderId="0"/>
  </cellStyleXfs>
  <cellXfs count="305">
    <xf numFmtId="0" fontId="0" fillId="0" borderId="0" xfId="0"/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right" vertical="center"/>
    </xf>
    <xf numFmtId="165" fontId="16" fillId="9" borderId="0" xfId="0" applyNumberFormat="1" applyFont="1" applyFill="1" applyAlignment="1">
      <alignment horizontal="right" vertical="center"/>
    </xf>
    <xf numFmtId="166" fontId="16" fillId="9" borderId="0" xfId="0" applyNumberFormat="1" applyFont="1" applyFill="1" applyAlignment="1">
      <alignment horizontal="right" vertical="center"/>
    </xf>
    <xf numFmtId="165" fontId="17" fillId="9" borderId="0" xfId="0" applyNumberFormat="1" applyFont="1" applyFill="1" applyAlignment="1">
      <alignment horizontal="right" vertical="center"/>
    </xf>
    <xf numFmtId="0" fontId="15" fillId="10" borderId="0" xfId="0" applyFont="1" applyFill="1" applyAlignment="1">
      <alignment horizontal="left" vertical="center"/>
    </xf>
    <xf numFmtId="165" fontId="15" fillId="10" borderId="0" xfId="0" applyNumberFormat="1" applyFont="1" applyFill="1" applyAlignment="1">
      <alignment horizontal="right" vertical="center"/>
    </xf>
    <xf numFmtId="166" fontId="15" fillId="10" borderId="0" xfId="0" applyNumberFormat="1" applyFont="1" applyFill="1" applyAlignment="1">
      <alignment horizontal="right" vertical="center"/>
    </xf>
    <xf numFmtId="165" fontId="17" fillId="10" borderId="0" xfId="0" applyNumberFormat="1" applyFont="1" applyFill="1" applyAlignment="1">
      <alignment horizontal="right" vertical="center"/>
    </xf>
    <xf numFmtId="165" fontId="18" fillId="11" borderId="1" xfId="0" applyNumberFormat="1" applyFont="1" applyFill="1" applyBorder="1" applyAlignment="1">
      <alignment horizontal="right" vertical="center"/>
    </xf>
    <xf numFmtId="166" fontId="18" fillId="11" borderId="1" xfId="0" applyNumberFormat="1" applyFont="1" applyFill="1" applyBorder="1" applyAlignment="1">
      <alignment horizontal="right" vertical="center"/>
    </xf>
    <xf numFmtId="165" fontId="17" fillId="11" borderId="1" xfId="0" applyNumberFormat="1" applyFont="1" applyFill="1" applyBorder="1" applyAlignment="1">
      <alignment horizontal="right" vertical="center"/>
    </xf>
    <xf numFmtId="165" fontId="19" fillId="6" borderId="1" xfId="0" applyNumberFormat="1" applyFont="1" applyFill="1" applyBorder="1" applyAlignment="1">
      <alignment horizontal="right" vertical="center"/>
    </xf>
    <xf numFmtId="166" fontId="19" fillId="6" borderId="1" xfId="0" applyNumberFormat="1" applyFont="1" applyFill="1" applyBorder="1" applyAlignment="1">
      <alignment horizontal="right" vertical="center"/>
    </xf>
    <xf numFmtId="165" fontId="20" fillId="6" borderId="1" xfId="0" applyNumberFormat="1" applyFont="1" applyFill="1" applyBorder="1" applyAlignment="1">
      <alignment horizontal="right" vertical="center"/>
    </xf>
    <xf numFmtId="165" fontId="21" fillId="8" borderId="0" xfId="0" applyNumberFormat="1" applyFont="1" applyFill="1" applyAlignment="1">
      <alignment horizontal="right" vertical="center"/>
    </xf>
    <xf numFmtId="166" fontId="21" fillId="8" borderId="0" xfId="0" applyNumberFormat="1" applyFont="1" applyFill="1" applyAlignment="1">
      <alignment horizontal="right" vertical="center"/>
    </xf>
    <xf numFmtId="165" fontId="17" fillId="8" borderId="0" xfId="0" applyNumberFormat="1" applyFont="1" applyFill="1" applyAlignment="1">
      <alignment horizontal="right" vertical="center"/>
    </xf>
    <xf numFmtId="165" fontId="19" fillId="6" borderId="0" xfId="0" applyNumberFormat="1" applyFont="1" applyFill="1" applyAlignment="1">
      <alignment horizontal="right" vertical="center"/>
    </xf>
    <xf numFmtId="166" fontId="19" fillId="6" borderId="0" xfId="0" applyNumberFormat="1" applyFont="1" applyFill="1" applyAlignment="1">
      <alignment horizontal="right" vertical="center"/>
    </xf>
    <xf numFmtId="169" fontId="15" fillId="9" borderId="0" xfId="0" applyNumberFormat="1" applyFont="1" applyFill="1" applyAlignment="1">
      <alignment horizontal="right" vertical="center"/>
    </xf>
    <xf numFmtId="0" fontId="13" fillId="0" borderId="0" xfId="0" applyFont="1" applyAlignment="1">
      <alignment horizontal="right"/>
    </xf>
    <xf numFmtId="49" fontId="22" fillId="0" borderId="0" xfId="0" applyNumberFormat="1" applyFont="1"/>
    <xf numFmtId="165" fontId="22" fillId="0" borderId="0" xfId="0" applyNumberFormat="1" applyFont="1"/>
    <xf numFmtId="0" fontId="23" fillId="3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center" vertical="center"/>
    </xf>
    <xf numFmtId="0" fontId="19" fillId="6" borderId="0" xfId="0" applyFont="1" applyFill="1" applyAlignment="1">
      <alignment horizontal="left" vertical="center"/>
    </xf>
    <xf numFmtId="0" fontId="14" fillId="6" borderId="0" xfId="0" applyFont="1" applyFill="1" applyAlignment="1">
      <alignment horizontal="center" vertical="center"/>
    </xf>
    <xf numFmtId="169" fontId="19" fillId="6" borderId="0" xfId="0" applyNumberFormat="1" applyFont="1" applyFill="1" applyAlignment="1">
      <alignment horizontal="right" vertical="center"/>
    </xf>
    <xf numFmtId="0" fontId="15" fillId="9" borderId="0" xfId="0" applyFont="1" applyFill="1" applyAlignment="1">
      <alignment horizontal="left" vertical="center"/>
    </xf>
    <xf numFmtId="0" fontId="14" fillId="9" borderId="0" xfId="0" applyFont="1" applyFill="1" applyAlignment="1">
      <alignment horizontal="center" vertical="center"/>
    </xf>
    <xf numFmtId="165" fontId="15" fillId="9" borderId="0" xfId="0" applyNumberFormat="1" applyFont="1" applyFill="1" applyAlignment="1">
      <alignment horizontal="right" vertical="center"/>
    </xf>
    <xf numFmtId="166" fontId="15" fillId="9" borderId="0" xfId="0" applyNumberFormat="1" applyFont="1" applyFill="1" applyAlignment="1">
      <alignment horizontal="right" vertical="center"/>
    </xf>
    <xf numFmtId="0" fontId="14" fillId="10" borderId="0" xfId="0" applyFont="1" applyFill="1" applyAlignment="1">
      <alignment horizontal="center" vertical="center"/>
    </xf>
    <xf numFmtId="169" fontId="15" fillId="10" borderId="0" xfId="0" applyNumberFormat="1" applyFont="1" applyFill="1" applyAlignment="1">
      <alignment horizontal="right" vertical="center"/>
    </xf>
    <xf numFmtId="0" fontId="17" fillId="0" borderId="0" xfId="0" applyFont="1"/>
    <xf numFmtId="0" fontId="12" fillId="3" borderId="0" xfId="0" applyFont="1" applyFill="1" applyAlignment="1">
      <alignment horizontal="left" vertical="center"/>
    </xf>
    <xf numFmtId="0" fontId="17" fillId="3" borderId="0" xfId="0" applyFont="1" applyFill="1"/>
    <xf numFmtId="169" fontId="12" fillId="3" borderId="0" xfId="0" applyNumberFormat="1" applyFont="1" applyFill="1" applyAlignment="1">
      <alignment horizontal="right" vertical="center"/>
    </xf>
    <xf numFmtId="165" fontId="12" fillId="3" borderId="0" xfId="0" applyNumberFormat="1" applyFont="1" applyFill="1" applyAlignment="1">
      <alignment horizontal="right" vertical="center"/>
    </xf>
    <xf numFmtId="166" fontId="12" fillId="3" borderId="0" xfId="0" applyNumberFormat="1" applyFont="1" applyFill="1" applyAlignment="1">
      <alignment horizontal="right" vertical="center"/>
    </xf>
    <xf numFmtId="0" fontId="23" fillId="5" borderId="0" xfId="0" applyFont="1" applyFill="1" applyAlignment="1">
      <alignment horizontal="left" vertical="center"/>
    </xf>
    <xf numFmtId="0" fontId="24" fillId="9" borderId="0" xfId="0" applyFont="1" applyFill="1" applyAlignment="1">
      <alignment horizontal="left" vertical="center"/>
    </xf>
    <xf numFmtId="0" fontId="24" fillId="9" borderId="0" xfId="0" applyFont="1" applyFill="1" applyAlignment="1">
      <alignment horizontal="right" vertical="center"/>
    </xf>
    <xf numFmtId="0" fontId="25" fillId="10" borderId="0" xfId="0" applyFont="1" applyFill="1" applyAlignment="1">
      <alignment horizontal="left" vertical="center"/>
    </xf>
    <xf numFmtId="169" fontId="26" fillId="10" borderId="0" xfId="0" applyNumberFormat="1" applyFont="1" applyFill="1" applyAlignment="1">
      <alignment horizontal="right" vertical="center"/>
    </xf>
    <xf numFmtId="0" fontId="27" fillId="8" borderId="0" xfId="0" applyFont="1" applyFill="1" applyAlignment="1">
      <alignment horizontal="right" vertical="center"/>
    </xf>
    <xf numFmtId="0" fontId="25" fillId="9" borderId="0" xfId="0" applyFont="1" applyFill="1" applyAlignment="1">
      <alignment horizontal="left" vertical="center"/>
    </xf>
    <xf numFmtId="169" fontId="26" fillId="9" borderId="0" xfId="0" applyNumberFormat="1" applyFont="1" applyFill="1" applyAlignment="1">
      <alignment horizontal="right" vertical="center"/>
    </xf>
    <xf numFmtId="0" fontId="26" fillId="10" borderId="0" xfId="0" applyFont="1" applyFill="1" applyAlignment="1">
      <alignment horizontal="right" vertical="center"/>
    </xf>
    <xf numFmtId="0" fontId="28" fillId="5" borderId="0" xfId="0" applyFont="1" applyFill="1" applyAlignment="1">
      <alignment horizontal="right" vertical="center"/>
    </xf>
    <xf numFmtId="0" fontId="23" fillId="5" borderId="0" xfId="0" applyFont="1" applyFill="1" applyAlignment="1">
      <alignment horizontal="right" vertical="center"/>
    </xf>
    <xf numFmtId="0" fontId="30" fillId="0" borderId="0" xfId="0" applyFont="1"/>
    <xf numFmtId="0" fontId="15" fillId="0" borderId="0" xfId="0" applyFont="1" applyAlignment="1">
      <alignment horizontal="left" vertical="center"/>
    </xf>
    <xf numFmtId="168" fontId="34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35" fillId="6" borderId="0" xfId="0" applyFont="1" applyFill="1" applyAlignment="1">
      <alignment horizontal="center" vertical="center"/>
    </xf>
    <xf numFmtId="165" fontId="36" fillId="6" borderId="3" xfId="0" applyNumberFormat="1" applyFont="1" applyFill="1" applyBorder="1" applyAlignment="1">
      <alignment horizontal="center" vertical="center"/>
    </xf>
    <xf numFmtId="0" fontId="12" fillId="4" borderId="0" xfId="0" applyFont="1" applyFill="1" applyAlignment="1">
      <alignment horizontal="left" vertical="center"/>
    </xf>
    <xf numFmtId="170" fontId="34" fillId="0" borderId="0" xfId="0" applyNumberFormat="1" applyFont="1" applyAlignment="1">
      <alignment horizontal="right" vertical="center"/>
    </xf>
    <xf numFmtId="166" fontId="34" fillId="0" borderId="0" xfId="0" applyNumberFormat="1" applyFont="1" applyAlignment="1">
      <alignment horizontal="right" vertical="center"/>
    </xf>
    <xf numFmtId="0" fontId="38" fillId="14" borderId="4" xfId="0" applyFont="1" applyFill="1" applyBorder="1" applyAlignment="1">
      <alignment horizontal="left" vertical="center" wrapText="1"/>
    </xf>
    <xf numFmtId="49" fontId="39" fillId="13" borderId="0" xfId="0" applyNumberFormat="1" applyFont="1" applyFill="1" applyAlignment="1">
      <alignment horizontal="center" vertical="center"/>
    </xf>
    <xf numFmtId="171" fontId="40" fillId="14" borderId="5" xfId="0" applyNumberFormat="1" applyFont="1" applyFill="1" applyBorder="1" applyAlignment="1">
      <alignment horizontal="center" vertical="center"/>
    </xf>
    <xf numFmtId="0" fontId="41" fillId="14" borderId="5" xfId="0" applyFont="1" applyFill="1" applyBorder="1" applyAlignment="1">
      <alignment horizontal="left" vertical="center"/>
    </xf>
    <xf numFmtId="0" fontId="42" fillId="15" borderId="0" xfId="0" applyFont="1" applyFill="1" applyAlignment="1">
      <alignment horizontal="left" vertical="center"/>
    </xf>
    <xf numFmtId="0" fontId="5" fillId="16" borderId="6" xfId="0" applyFont="1" applyFill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44" fillId="17" borderId="6" xfId="0" applyFont="1" applyFill="1" applyBorder="1" applyAlignment="1">
      <alignment horizontal="center" vertical="center"/>
    </xf>
    <xf numFmtId="0" fontId="45" fillId="6" borderId="6" xfId="0" applyFont="1" applyFill="1" applyBorder="1" applyAlignment="1">
      <alignment horizontal="center" vertical="center"/>
    </xf>
    <xf numFmtId="1" fontId="34" fillId="0" borderId="0" xfId="0" applyNumberFormat="1" applyFont="1" applyAlignment="1">
      <alignment horizontal="right" vertical="center"/>
    </xf>
    <xf numFmtId="0" fontId="15" fillId="18" borderId="0" xfId="0" applyFont="1" applyFill="1" applyAlignment="1">
      <alignment horizontal="left" vertical="center"/>
    </xf>
    <xf numFmtId="0" fontId="10" fillId="18" borderId="0" xfId="0" applyFont="1" applyFill="1" applyAlignment="1">
      <alignment horizontal="right" vertical="center"/>
    </xf>
    <xf numFmtId="166" fontId="39" fillId="13" borderId="0" xfId="0" applyNumberFormat="1" applyFont="1" applyFill="1" applyAlignment="1">
      <alignment horizontal="center" vertical="center"/>
    </xf>
    <xf numFmtId="168" fontId="40" fillId="9" borderId="0" xfId="0" applyNumberFormat="1" applyFont="1" applyFill="1" applyAlignment="1">
      <alignment horizontal="right" vertical="center"/>
    </xf>
    <xf numFmtId="0" fontId="45" fillId="9" borderId="6" xfId="0" applyFont="1" applyFill="1" applyBorder="1" applyAlignment="1">
      <alignment horizontal="center" vertical="center"/>
    </xf>
    <xf numFmtId="166" fontId="15" fillId="0" borderId="0" xfId="0" applyNumberFormat="1" applyFont="1" applyAlignment="1">
      <alignment horizontal="right" vertical="center"/>
    </xf>
    <xf numFmtId="0" fontId="39" fillId="13" borderId="6" xfId="0" applyFont="1" applyFill="1" applyBorder="1" applyAlignment="1">
      <alignment horizontal="center" vertical="center"/>
    </xf>
    <xf numFmtId="0" fontId="42" fillId="15" borderId="0" xfId="0" applyFont="1" applyFill="1" applyAlignment="1">
      <alignment horizontal="center" vertical="center"/>
    </xf>
    <xf numFmtId="0" fontId="47" fillId="9" borderId="6" xfId="0" applyFont="1" applyFill="1" applyBorder="1" applyAlignment="1">
      <alignment horizontal="center" vertical="center"/>
    </xf>
    <xf numFmtId="169" fontId="34" fillId="0" borderId="0" xfId="0" applyNumberFormat="1" applyFont="1" applyAlignment="1">
      <alignment horizontal="right" vertical="center"/>
    </xf>
    <xf numFmtId="169" fontId="15" fillId="0" borderId="0" xfId="0" applyNumberFormat="1" applyFont="1" applyAlignment="1">
      <alignment horizontal="right" vertical="center"/>
    </xf>
    <xf numFmtId="165" fontId="35" fillId="9" borderId="0" xfId="0" applyNumberFormat="1" applyFont="1" applyFill="1" applyAlignment="1">
      <alignment horizontal="right" vertical="center"/>
    </xf>
    <xf numFmtId="0" fontId="12" fillId="2" borderId="0" xfId="0" applyFont="1" applyFill="1" applyAlignment="1">
      <alignment horizontal="center" vertical="center" wrapText="1"/>
    </xf>
    <xf numFmtId="165" fontId="49" fillId="6" borderId="3" xfId="0" applyNumberFormat="1" applyFont="1" applyFill="1" applyBorder="1" applyAlignment="1">
      <alignment horizontal="right" vertical="center"/>
    </xf>
    <xf numFmtId="0" fontId="45" fillId="12" borderId="0" xfId="0" applyFont="1" applyFill="1" applyAlignment="1">
      <alignment horizontal="left" vertical="center"/>
    </xf>
    <xf numFmtId="10" fontId="51" fillId="12" borderId="0" xfId="0" applyNumberFormat="1" applyFont="1" applyFill="1" applyAlignment="1">
      <alignment horizontal="right" vertical="center"/>
    </xf>
    <xf numFmtId="10" fontId="35" fillId="12" borderId="0" xfId="0" applyNumberFormat="1" applyFont="1" applyFill="1" applyAlignment="1">
      <alignment horizontal="right" vertical="center"/>
    </xf>
    <xf numFmtId="0" fontId="15" fillId="19" borderId="0" xfId="0" applyFont="1" applyFill="1" applyAlignment="1">
      <alignment horizontal="left" vertical="center"/>
    </xf>
    <xf numFmtId="10" fontId="51" fillId="19" borderId="0" xfId="0" applyNumberFormat="1" applyFont="1" applyFill="1" applyAlignment="1">
      <alignment horizontal="right" vertical="center"/>
    </xf>
    <xf numFmtId="0" fontId="12" fillId="20" borderId="0" xfId="0" applyFont="1" applyFill="1" applyAlignment="1">
      <alignment horizontal="left" vertical="center"/>
    </xf>
    <xf numFmtId="10" fontId="12" fillId="20" borderId="0" xfId="0" applyNumberFormat="1" applyFont="1" applyFill="1" applyAlignment="1">
      <alignment horizontal="right" vertical="center"/>
    </xf>
    <xf numFmtId="166" fontId="53" fillId="0" borderId="0" xfId="0" applyNumberFormat="1" applyFont="1" applyAlignment="1">
      <alignment horizontal="right" vertical="center"/>
    </xf>
    <xf numFmtId="169" fontId="53" fillId="0" borderId="0" xfId="0" applyNumberFormat="1" applyFont="1" applyAlignment="1">
      <alignment horizontal="right" vertical="center"/>
    </xf>
    <xf numFmtId="0" fontId="12" fillId="22" borderId="0" xfId="0" applyFont="1" applyFill="1" applyAlignment="1">
      <alignment horizontal="center" vertical="center" wrapText="1"/>
    </xf>
    <xf numFmtId="0" fontId="12" fillId="21" borderId="0" xfId="0" applyFont="1" applyFill="1" applyAlignment="1">
      <alignment horizontal="center" vertical="center" wrapText="1"/>
    </xf>
    <xf numFmtId="0" fontId="54" fillId="19" borderId="0" xfId="0" applyFont="1" applyFill="1" applyAlignment="1">
      <alignment horizontal="center" vertical="center"/>
    </xf>
    <xf numFmtId="169" fontId="51" fillId="12" borderId="0" xfId="0" applyNumberFormat="1" applyFont="1" applyFill="1" applyAlignment="1">
      <alignment horizontal="right" vertical="center"/>
    </xf>
    <xf numFmtId="169" fontId="51" fillId="9" borderId="0" xfId="0" applyNumberFormat="1" applyFont="1" applyFill="1" applyAlignment="1">
      <alignment horizontal="right" vertical="center"/>
    </xf>
    <xf numFmtId="169" fontId="51" fillId="18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center" vertical="center" wrapText="1"/>
    </xf>
    <xf numFmtId="0" fontId="5" fillId="22" borderId="0" xfId="0" applyFont="1" applyFill="1" applyAlignment="1">
      <alignment horizontal="center" vertical="center"/>
    </xf>
    <xf numFmtId="169" fontId="35" fillId="0" borderId="0" xfId="0" applyNumberFormat="1" applyFont="1" applyAlignment="1">
      <alignment horizontal="right" vertical="center"/>
    </xf>
    <xf numFmtId="169" fontId="57" fillId="0" borderId="0" xfId="0" applyNumberFormat="1" applyFont="1" applyAlignment="1">
      <alignment horizontal="right" vertical="center"/>
    </xf>
    <xf numFmtId="0" fontId="58" fillId="0" borderId="0" xfId="0" applyFont="1" applyAlignment="1">
      <alignment horizontal="left" vertical="center"/>
    </xf>
    <xf numFmtId="165" fontId="58" fillId="0" borderId="0" xfId="0" applyNumberFormat="1" applyFont="1" applyAlignment="1">
      <alignment horizontal="right" vertical="center"/>
    </xf>
    <xf numFmtId="165" fontId="35" fillId="0" borderId="0" xfId="0" applyNumberFormat="1" applyFont="1" applyAlignment="1">
      <alignment horizontal="right" vertical="center"/>
    </xf>
    <xf numFmtId="0" fontId="53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59" fillId="0" borderId="0" xfId="0" applyFont="1" applyAlignment="1">
      <alignment horizontal="left" vertical="center"/>
    </xf>
    <xf numFmtId="169" fontId="59" fillId="0" borderId="0" xfId="0" applyNumberFormat="1" applyFont="1" applyAlignment="1">
      <alignment horizontal="right" vertical="center"/>
    </xf>
    <xf numFmtId="0" fontId="60" fillId="0" borderId="0" xfId="0" applyFont="1" applyAlignment="1">
      <alignment horizontal="left" vertical="center"/>
    </xf>
    <xf numFmtId="169" fontId="60" fillId="0" borderId="0" xfId="0" applyNumberFormat="1" applyFont="1" applyAlignment="1">
      <alignment horizontal="right" vertical="center"/>
    </xf>
    <xf numFmtId="0" fontId="61" fillId="0" borderId="0" xfId="0" applyFont="1" applyAlignment="1">
      <alignment horizontal="left" vertical="center"/>
    </xf>
    <xf numFmtId="169" fontId="61" fillId="0" borderId="0" xfId="0" applyNumberFormat="1" applyFont="1" applyAlignment="1">
      <alignment horizontal="right" vertical="center"/>
    </xf>
    <xf numFmtId="0" fontId="12" fillId="22" borderId="0" xfId="0" applyFont="1" applyFill="1" applyAlignment="1">
      <alignment horizontal="left" vertical="center"/>
    </xf>
    <xf numFmtId="0" fontId="57" fillId="0" borderId="0" xfId="0" applyFont="1" applyAlignment="1">
      <alignment horizontal="left" vertical="center"/>
    </xf>
    <xf numFmtId="169" fontId="58" fillId="0" borderId="0" xfId="0" applyNumberFormat="1" applyFont="1" applyAlignment="1">
      <alignment horizontal="right" vertical="center"/>
    </xf>
    <xf numFmtId="169" fontId="58" fillId="23" borderId="0" xfId="0" applyNumberFormat="1" applyFont="1" applyFill="1" applyAlignment="1">
      <alignment horizontal="right" vertical="center"/>
    </xf>
    <xf numFmtId="169" fontId="19" fillId="25" borderId="0" xfId="0" applyNumberFormat="1" applyFont="1" applyFill="1" applyAlignment="1">
      <alignment horizontal="right" vertical="center"/>
    </xf>
    <xf numFmtId="169" fontId="35" fillId="9" borderId="0" xfId="0" applyNumberFormat="1" applyFont="1" applyFill="1" applyAlignment="1">
      <alignment horizontal="right" vertical="center"/>
    </xf>
    <xf numFmtId="0" fontId="62" fillId="0" borderId="0" xfId="0" applyFont="1" applyAlignment="1">
      <alignment horizontal="left" vertical="center"/>
    </xf>
    <xf numFmtId="165" fontId="63" fillId="0" borderId="0" xfId="0" applyNumberFormat="1" applyFont="1" applyAlignment="1">
      <alignment horizontal="right" vertical="center"/>
    </xf>
    <xf numFmtId="165" fontId="59" fillId="0" borderId="0" xfId="0" applyNumberFormat="1" applyFont="1" applyAlignment="1">
      <alignment horizontal="right" vertical="center"/>
    </xf>
    <xf numFmtId="165" fontId="62" fillId="0" borderId="0" xfId="0" applyNumberFormat="1" applyFont="1" applyAlignment="1">
      <alignment horizontal="right" vertical="center"/>
    </xf>
    <xf numFmtId="0" fontId="64" fillId="0" borderId="0" xfId="0" applyFont="1" applyAlignment="1">
      <alignment horizontal="left" vertical="center"/>
    </xf>
    <xf numFmtId="165" fontId="64" fillId="0" borderId="0" xfId="0" applyNumberFormat="1" applyFont="1" applyAlignment="1">
      <alignment horizontal="right" vertical="center"/>
    </xf>
    <xf numFmtId="165" fontId="19" fillId="25" borderId="0" xfId="0" applyNumberFormat="1" applyFont="1" applyFill="1" applyAlignment="1">
      <alignment horizontal="right" vertical="center"/>
    </xf>
    <xf numFmtId="0" fontId="51" fillId="0" borderId="0" xfId="0" applyFont="1" applyAlignment="1">
      <alignment horizontal="left" vertical="center"/>
    </xf>
    <xf numFmtId="169" fontId="51" fillId="0" borderId="0" xfId="0" applyNumberFormat="1" applyFont="1" applyAlignment="1">
      <alignment horizontal="right" vertical="center"/>
    </xf>
    <xf numFmtId="169" fontId="59" fillId="9" borderId="0" xfId="0" applyNumberFormat="1" applyFont="1" applyFill="1" applyAlignment="1">
      <alignment horizontal="right" vertical="center"/>
    </xf>
    <xf numFmtId="169" fontId="16" fillId="0" borderId="0" xfId="0" applyNumberFormat="1" applyFont="1" applyAlignment="1">
      <alignment horizontal="right" vertical="center"/>
    </xf>
    <xf numFmtId="0" fontId="58" fillId="3" borderId="0" xfId="0" applyFont="1" applyFill="1" applyAlignment="1">
      <alignment horizontal="left" vertical="center"/>
    </xf>
    <xf numFmtId="169" fontId="65" fillId="3" borderId="0" xfId="0" applyNumberFormat="1" applyFont="1" applyFill="1" applyAlignment="1">
      <alignment horizontal="right" vertical="center"/>
    </xf>
    <xf numFmtId="169" fontId="66" fillId="25" borderId="0" xfId="0" applyNumberFormat="1" applyFont="1" applyFill="1" applyAlignment="1">
      <alignment horizontal="right" vertical="center"/>
    </xf>
    <xf numFmtId="0" fontId="19" fillId="25" borderId="0" xfId="0" applyFont="1" applyFill="1" applyAlignment="1">
      <alignment horizontal="left" vertical="center"/>
    </xf>
    <xf numFmtId="0" fontId="67" fillId="3" borderId="0" xfId="0" applyFont="1" applyFill="1" applyAlignment="1">
      <alignment horizontal="left" vertical="center"/>
    </xf>
    <xf numFmtId="169" fontId="35" fillId="25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0" fontId="64" fillId="2" borderId="0" xfId="0" applyFont="1" applyFill="1" applyAlignment="1">
      <alignment horizontal="left" vertical="center"/>
    </xf>
    <xf numFmtId="169" fontId="66" fillId="0" borderId="0" xfId="0" applyNumberFormat="1" applyFont="1" applyAlignment="1">
      <alignment horizontal="right" vertical="center"/>
    </xf>
    <xf numFmtId="0" fontId="44" fillId="26" borderId="0" xfId="0" applyFont="1" applyFill="1" applyAlignment="1">
      <alignment horizontal="left" vertical="center"/>
    </xf>
    <xf numFmtId="165" fontId="44" fillId="26" borderId="0" xfId="0" applyNumberFormat="1" applyFont="1" applyFill="1" applyAlignment="1">
      <alignment horizontal="right" vertical="center"/>
    </xf>
    <xf numFmtId="0" fontId="18" fillId="12" borderId="0" xfId="0" applyFont="1" applyFill="1" applyAlignment="1">
      <alignment horizontal="left" vertical="center"/>
    </xf>
    <xf numFmtId="165" fontId="18" fillId="12" borderId="0" xfId="0" applyNumberFormat="1" applyFont="1" applyFill="1" applyAlignment="1">
      <alignment horizontal="right" vertical="center"/>
    </xf>
    <xf numFmtId="0" fontId="68" fillId="14" borderId="4" xfId="0" applyFont="1" applyFill="1" applyBorder="1" applyAlignment="1">
      <alignment horizontal="left" vertical="center"/>
    </xf>
    <xf numFmtId="3" fontId="38" fillId="14" borderId="4" xfId="0" applyNumberFormat="1" applyFont="1" applyFill="1" applyBorder="1" applyAlignment="1">
      <alignment horizontal="center" vertical="center"/>
    </xf>
    <xf numFmtId="165" fontId="41" fillId="14" borderId="5" xfId="0" applyNumberFormat="1" applyFont="1" applyFill="1" applyBorder="1" applyAlignment="1">
      <alignment horizontal="left" vertical="center"/>
    </xf>
    <xf numFmtId="3" fontId="69" fillId="14" borderId="5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left" vertical="center"/>
    </xf>
    <xf numFmtId="165" fontId="19" fillId="0" borderId="0" xfId="0" applyNumberFormat="1" applyFont="1" applyAlignment="1">
      <alignment horizontal="right" vertical="center"/>
    </xf>
    <xf numFmtId="0" fontId="15" fillId="0" borderId="0" xfId="0" applyFont="1" applyAlignment="1">
      <alignment vertical="center"/>
    </xf>
    <xf numFmtId="0" fontId="54" fillId="0" borderId="0" xfId="0" applyFont="1" applyAlignment="1">
      <alignment horizontal="left" vertical="center"/>
    </xf>
    <xf numFmtId="0" fontId="70" fillId="0" borderId="0" xfId="0" applyFont="1" applyAlignment="1">
      <alignment horizontal="left" vertical="center"/>
    </xf>
    <xf numFmtId="165" fontId="70" fillId="0" borderId="0" xfId="0" applyNumberFormat="1" applyFont="1" applyAlignment="1">
      <alignment horizontal="right" vertical="center"/>
    </xf>
    <xf numFmtId="0" fontId="70" fillId="0" borderId="0" xfId="0" applyFont="1" applyAlignment="1">
      <alignment horizontal="right" vertical="center"/>
    </xf>
    <xf numFmtId="165" fontId="23" fillId="3" borderId="0" xfId="0" applyNumberFormat="1" applyFont="1" applyFill="1" applyAlignment="1">
      <alignment horizontal="right" vertical="center"/>
    </xf>
    <xf numFmtId="0" fontId="26" fillId="0" borderId="0" xfId="0" applyFont="1" applyAlignment="1">
      <alignment horizontal="right" vertical="center"/>
    </xf>
    <xf numFmtId="0" fontId="27" fillId="0" borderId="0" xfId="0" applyFont="1" applyAlignment="1">
      <alignment horizontal="left" vertical="center"/>
    </xf>
    <xf numFmtId="0" fontId="1" fillId="0" borderId="0" xfId="0" applyFont="1"/>
    <xf numFmtId="0" fontId="71" fillId="0" borderId="0" xfId="0" applyFont="1"/>
    <xf numFmtId="0" fontId="72" fillId="27" borderId="0" xfId="0" applyFont="1" applyFill="1" applyAlignment="1">
      <alignment horizontal="center"/>
    </xf>
    <xf numFmtId="4" fontId="72" fillId="27" borderId="0" xfId="0" applyNumberFormat="1" applyFont="1" applyFill="1" applyAlignment="1">
      <alignment horizontal="center"/>
    </xf>
    <xf numFmtId="0" fontId="73" fillId="0" borderId="0" xfId="0" applyFont="1"/>
    <xf numFmtId="172" fontId="73" fillId="0" borderId="0" xfId="0" applyNumberFormat="1" applyFont="1" applyAlignment="1">
      <alignment horizontal="center"/>
    </xf>
    <xf numFmtId="4" fontId="71" fillId="0" borderId="0" xfId="0" applyNumberFormat="1" applyFont="1" applyAlignment="1">
      <alignment horizontal="center"/>
    </xf>
    <xf numFmtId="173" fontId="73" fillId="0" borderId="0" xfId="0" applyNumberFormat="1" applyFont="1"/>
    <xf numFmtId="0" fontId="74" fillId="0" borderId="7" xfId="0" applyFont="1" applyBorder="1"/>
    <xf numFmtId="0" fontId="74" fillId="0" borderId="0" xfId="0" applyFont="1"/>
    <xf numFmtId="9" fontId="71" fillId="0" borderId="0" xfId="0" applyNumberFormat="1" applyFont="1"/>
    <xf numFmtId="172" fontId="71" fillId="0" borderId="7" xfId="0" applyNumberFormat="1" applyFont="1" applyBorder="1"/>
    <xf numFmtId="17" fontId="71" fillId="0" borderId="7" xfId="0" applyNumberFormat="1" applyFont="1" applyBorder="1"/>
    <xf numFmtId="0" fontId="71" fillId="0" borderId="7" xfId="0" applyFont="1" applyBorder="1"/>
    <xf numFmtId="2" fontId="71" fillId="0" borderId="7" xfId="0" applyNumberFormat="1" applyFont="1" applyBorder="1"/>
    <xf numFmtId="4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right"/>
    </xf>
    <xf numFmtId="174" fontId="75" fillId="0" borderId="0" xfId="0" applyNumberFormat="1" applyFont="1" applyAlignment="1">
      <alignment horizontal="center"/>
    </xf>
    <xf numFmtId="3" fontId="73" fillId="0" borderId="0" xfId="0" applyNumberFormat="1" applyFont="1"/>
    <xf numFmtId="3" fontId="71" fillId="0" borderId="0" xfId="0" applyNumberFormat="1" applyFont="1"/>
    <xf numFmtId="0" fontId="71" fillId="0" borderId="8" xfId="0" applyFont="1" applyBorder="1" applyAlignment="1">
      <alignment horizontal="left" vertical="center" wrapText="1"/>
    </xf>
    <xf numFmtId="0" fontId="71" fillId="0" borderId="0" xfId="0" applyFont="1" applyAlignment="1">
      <alignment horizontal="left" vertical="center" wrapText="1"/>
    </xf>
    <xf numFmtId="0" fontId="74" fillId="19" borderId="8" xfId="0" applyFont="1" applyFill="1" applyBorder="1" applyAlignment="1">
      <alignment horizontal="left" vertical="center" wrapText="1"/>
    </xf>
    <xf numFmtId="0" fontId="71" fillId="19" borderId="0" xfId="0" applyFont="1" applyFill="1"/>
    <xf numFmtId="3" fontId="71" fillId="19" borderId="0" xfId="0" applyNumberFormat="1" applyFont="1" applyFill="1"/>
    <xf numFmtId="174" fontId="73" fillId="0" borderId="0" xfId="0" applyNumberFormat="1" applyFont="1" applyAlignment="1">
      <alignment horizontal="center"/>
    </xf>
    <xf numFmtId="3" fontId="74" fillId="19" borderId="0" xfId="0" applyNumberFormat="1" applyFont="1" applyFill="1"/>
    <xf numFmtId="0" fontId="73" fillId="28" borderId="0" xfId="0" applyFont="1" applyFill="1" applyAlignment="1">
      <alignment horizontal="center"/>
    </xf>
    <xf numFmtId="175" fontId="73" fillId="28" borderId="0" xfId="0" applyNumberFormat="1" applyFont="1" applyFill="1" applyAlignment="1">
      <alignment horizontal="center"/>
    </xf>
    <xf numFmtId="175" fontId="75" fillId="28" borderId="0" xfId="0" applyNumberFormat="1" applyFont="1" applyFill="1" applyAlignment="1">
      <alignment horizontal="center"/>
    </xf>
    <xf numFmtId="0" fontId="73" fillId="0" borderId="0" xfId="0" applyFont="1" applyAlignment="1">
      <alignment horizontal="center"/>
    </xf>
    <xf numFmtId="175" fontId="73" fillId="0" borderId="0" xfId="0" applyNumberFormat="1" applyFont="1"/>
    <xf numFmtId="175" fontId="71" fillId="0" borderId="0" xfId="0" applyNumberFormat="1" applyFont="1"/>
    <xf numFmtId="0" fontId="76" fillId="29" borderId="0" xfId="0" applyFont="1" applyFill="1" applyAlignment="1">
      <alignment horizontal="center" vertical="center"/>
    </xf>
    <xf numFmtId="0" fontId="73" fillId="0" borderId="0" xfId="0" applyFont="1" applyAlignment="1">
      <alignment horizontal="center" vertical="center"/>
    </xf>
    <xf numFmtId="172" fontId="73" fillId="0" borderId="0" xfId="0" applyNumberFormat="1" applyFont="1" applyAlignment="1">
      <alignment horizontal="center" vertical="center"/>
    </xf>
    <xf numFmtId="0" fontId="73" fillId="30" borderId="0" xfId="0" applyFont="1" applyFill="1" applyAlignment="1">
      <alignment horizontal="center" vertical="center"/>
    </xf>
    <xf numFmtId="2" fontId="73" fillId="0" borderId="0" xfId="0" applyNumberFormat="1" applyFont="1" applyAlignment="1">
      <alignment horizontal="center" vertical="center"/>
    </xf>
    <xf numFmtId="10" fontId="73" fillId="30" borderId="0" xfId="0" applyNumberFormat="1" applyFont="1" applyFill="1" applyAlignment="1">
      <alignment horizontal="center" vertical="center"/>
    </xf>
    <xf numFmtId="10" fontId="73" fillId="0" borderId="0" xfId="0" applyNumberFormat="1" applyFont="1" applyAlignment="1">
      <alignment horizontal="center" vertical="center"/>
    </xf>
    <xf numFmtId="0" fontId="74" fillId="31" borderId="8" xfId="0" applyFont="1" applyFill="1" applyBorder="1" applyAlignment="1">
      <alignment horizontal="center" vertical="center" wrapText="1"/>
    </xf>
    <xf numFmtId="0" fontId="77" fillId="0" borderId="0" xfId="0" applyFont="1" applyAlignment="1">
      <alignment horizontal="center" vertical="center" wrapText="1"/>
    </xf>
    <xf numFmtId="0" fontId="77" fillId="30" borderId="0" xfId="0" applyFont="1" applyFill="1" applyAlignment="1">
      <alignment horizontal="center" vertical="center" wrapText="1"/>
    </xf>
    <xf numFmtId="2" fontId="77" fillId="30" borderId="0" xfId="0" applyNumberFormat="1" applyFont="1" applyFill="1" applyAlignment="1">
      <alignment horizontal="center" vertical="center"/>
    </xf>
    <xf numFmtId="0" fontId="77" fillId="30" borderId="0" xfId="0" applyFont="1" applyFill="1" applyAlignment="1">
      <alignment horizontal="center" vertical="center"/>
    </xf>
    <xf numFmtId="2" fontId="77" fillId="32" borderId="0" xfId="0" applyNumberFormat="1" applyFont="1" applyFill="1" applyAlignment="1">
      <alignment horizontal="center" vertical="center"/>
    </xf>
    <xf numFmtId="2" fontId="77" fillId="0" borderId="0" xfId="0" applyNumberFormat="1" applyFont="1" applyAlignment="1">
      <alignment horizontal="center" vertical="center"/>
    </xf>
    <xf numFmtId="10" fontId="77" fillId="30" borderId="0" xfId="0" applyNumberFormat="1" applyFont="1" applyFill="1" applyAlignment="1">
      <alignment horizontal="center" vertical="center"/>
    </xf>
    <xf numFmtId="0" fontId="77" fillId="0" borderId="0" xfId="0" applyFont="1" applyAlignment="1">
      <alignment horizontal="center" vertical="center"/>
    </xf>
    <xf numFmtId="172" fontId="77" fillId="0" borderId="0" xfId="0" applyNumberFormat="1" applyFont="1" applyAlignment="1">
      <alignment horizontal="center" vertical="center"/>
    </xf>
    <xf numFmtId="0" fontId="78" fillId="32" borderId="0" xfId="0" applyFont="1" applyFill="1" applyAlignment="1">
      <alignment horizontal="center" vertical="center"/>
    </xf>
    <xf numFmtId="0" fontId="77" fillId="0" borderId="0" xfId="0" applyFont="1" applyAlignment="1">
      <alignment horizontal="center"/>
    </xf>
    <xf numFmtId="0" fontId="79" fillId="33" borderId="9" xfId="0" applyFont="1" applyFill="1" applyBorder="1" applyAlignment="1">
      <alignment horizontal="center" vertical="center" wrapText="1"/>
    </xf>
    <xf numFmtId="0" fontId="80" fillId="27" borderId="0" xfId="0" applyFont="1" applyFill="1" applyAlignment="1">
      <alignment horizontal="center" vertical="center" wrapText="1"/>
    </xf>
    <xf numFmtId="0" fontId="72" fillId="27" borderId="0" xfId="0" applyFont="1" applyFill="1" applyAlignment="1">
      <alignment horizontal="center" vertical="center" wrapText="1"/>
    </xf>
    <xf numFmtId="0" fontId="73" fillId="0" borderId="0" xfId="0" applyFont="1" applyAlignment="1">
      <alignment horizontal="center" vertical="center" wrapText="1"/>
    </xf>
    <xf numFmtId="10" fontId="73" fillId="0" borderId="0" xfId="0" applyNumberFormat="1" applyFont="1"/>
    <xf numFmtId="2" fontId="73" fillId="0" borderId="0" xfId="0" applyNumberFormat="1" applyFont="1"/>
    <xf numFmtId="49" fontId="73" fillId="0" borderId="0" xfId="0" applyNumberFormat="1" applyFont="1" applyAlignment="1">
      <alignment horizontal="center"/>
    </xf>
    <xf numFmtId="0" fontId="73" fillId="10" borderId="0" xfId="0" applyFont="1" applyFill="1"/>
    <xf numFmtId="3" fontId="27" fillId="8" borderId="0" xfId="0" applyNumberFormat="1" applyFont="1" applyFill="1" applyAlignment="1">
      <alignment horizontal="right" vertical="center"/>
    </xf>
    <xf numFmtId="0" fontId="23" fillId="3" borderId="0" xfId="0" applyFont="1" applyFill="1" applyAlignment="1">
      <alignment vertical="center"/>
    </xf>
    <xf numFmtId="165" fontId="0" fillId="0" borderId="0" xfId="0" applyNumberFormat="1"/>
    <xf numFmtId="0" fontId="29" fillId="0" borderId="0" xfId="0" applyFont="1" applyAlignment="1">
      <alignment horizontal="left" vertical="center"/>
    </xf>
    <xf numFmtId="0" fontId="14" fillId="9" borderId="0" xfId="0" applyFont="1" applyFill="1" applyAlignment="1">
      <alignment horizontal="left" vertical="center"/>
    </xf>
    <xf numFmtId="169" fontId="15" fillId="9" borderId="0" xfId="0" applyNumberFormat="1" applyFont="1" applyFill="1" applyAlignment="1">
      <alignment horizontal="right" vertical="center"/>
    </xf>
    <xf numFmtId="0" fontId="12" fillId="2" borderId="0" xfId="0" applyFont="1" applyFill="1" applyAlignment="1">
      <alignment horizontal="left" vertical="center"/>
    </xf>
    <xf numFmtId="0" fontId="23" fillId="3" borderId="0" xfId="0" applyFont="1" applyFill="1" applyAlignment="1">
      <alignment horizontal="left" vertical="center"/>
    </xf>
    <xf numFmtId="0" fontId="23" fillId="5" borderId="0" xfId="0" applyFont="1" applyFill="1" applyAlignment="1">
      <alignment horizontal="left" vertical="center"/>
    </xf>
    <xf numFmtId="0" fontId="19" fillId="6" borderId="1" xfId="0" applyFont="1" applyFill="1" applyBorder="1" applyAlignment="1">
      <alignment horizontal="left" vertical="center"/>
    </xf>
    <xf numFmtId="0" fontId="14" fillId="6" borderId="0" xfId="0" applyFont="1" applyFill="1" applyAlignment="1">
      <alignment horizontal="left" vertical="center"/>
    </xf>
    <xf numFmtId="165" fontId="19" fillId="6" borderId="0" xfId="0" applyNumberFormat="1" applyFont="1" applyFill="1" applyAlignment="1">
      <alignment horizontal="right" vertical="center"/>
    </xf>
    <xf numFmtId="166" fontId="19" fillId="6" borderId="0" xfId="0" applyNumberFormat="1" applyFont="1" applyFill="1" applyAlignment="1">
      <alignment horizontal="right" vertical="center"/>
    </xf>
    <xf numFmtId="168" fontId="15" fillId="9" borderId="0" xfId="0" applyNumberFormat="1" applyFont="1" applyFill="1" applyAlignment="1">
      <alignment horizontal="right" vertical="center"/>
    </xf>
    <xf numFmtId="0" fontId="21" fillId="8" borderId="0" xfId="0" applyFont="1" applyFill="1" applyAlignment="1">
      <alignment horizontal="left" vertical="center"/>
    </xf>
    <xf numFmtId="0" fontId="14" fillId="10" borderId="0" xfId="0" applyFont="1" applyFill="1" applyAlignment="1">
      <alignment horizontal="left" vertical="center"/>
    </xf>
    <xf numFmtId="168" fontId="15" fillId="10" borderId="0" xfId="0" applyNumberFormat="1" applyFont="1" applyFill="1" applyAlignment="1">
      <alignment horizontal="right" vertical="center"/>
    </xf>
    <xf numFmtId="0" fontId="15" fillId="10" borderId="0" xfId="0" applyFont="1" applyFill="1" applyAlignment="1">
      <alignment horizontal="left" vertical="center"/>
    </xf>
    <xf numFmtId="167" fontId="15" fillId="9" borderId="0" xfId="0" applyNumberFormat="1" applyFont="1" applyFill="1" applyAlignment="1">
      <alignment horizontal="right" vertical="center"/>
    </xf>
    <xf numFmtId="0" fontId="18" fillId="11" borderId="1" xfId="0" applyFont="1" applyFill="1" applyBorder="1" applyAlignment="1">
      <alignment horizontal="left" vertical="center"/>
    </xf>
    <xf numFmtId="0" fontId="16" fillId="9" borderId="0" xfId="0" applyFont="1" applyFill="1" applyAlignment="1">
      <alignment horizontal="left" vertical="center"/>
    </xf>
    <xf numFmtId="49" fontId="15" fillId="9" borderId="0" xfId="0" applyNumberFormat="1" applyFont="1" applyFill="1" applyAlignment="1">
      <alignment horizontal="right" vertical="center"/>
    </xf>
    <xf numFmtId="49" fontId="15" fillId="10" borderId="0" xfId="0" applyNumberFormat="1" applyFont="1" applyFill="1" applyAlignment="1">
      <alignment horizontal="right" vertical="center"/>
    </xf>
    <xf numFmtId="0" fontId="12" fillId="5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left" vertical="center"/>
    </xf>
    <xf numFmtId="0" fontId="10" fillId="6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left" vertical="center"/>
    </xf>
    <xf numFmtId="164" fontId="6" fillId="6" borderId="0" xfId="0" applyNumberFormat="1" applyFont="1" applyFill="1" applyAlignment="1">
      <alignment horizontal="center" vertical="center"/>
    </xf>
    <xf numFmtId="165" fontId="7" fillId="7" borderId="0" xfId="0" applyNumberFormat="1" applyFont="1" applyFill="1" applyAlignment="1">
      <alignment horizontal="center" vertical="center"/>
    </xf>
    <xf numFmtId="165" fontId="6" fillId="6" borderId="0" xfId="0" applyNumberFormat="1" applyFont="1" applyFill="1" applyAlignment="1">
      <alignment horizontal="center" vertical="center"/>
    </xf>
    <xf numFmtId="165" fontId="8" fillId="8" borderId="0" xfId="0" applyNumberFormat="1" applyFont="1" applyFill="1" applyAlignment="1">
      <alignment horizontal="center" vertical="center"/>
    </xf>
    <xf numFmtId="165" fontId="9" fillId="6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2" fillId="18" borderId="0" xfId="0" applyFont="1" applyFill="1" applyAlignment="1">
      <alignment horizontal="left" vertical="center" wrapText="1"/>
    </xf>
    <xf numFmtId="0" fontId="32" fillId="21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35" fillId="9" borderId="0" xfId="0" applyFont="1" applyFill="1" applyAlignment="1">
      <alignment horizontal="left" vertical="center"/>
    </xf>
    <xf numFmtId="0" fontId="10" fillId="9" borderId="0" xfId="0" applyFont="1" applyFill="1" applyAlignment="1">
      <alignment horizontal="left" vertical="center"/>
    </xf>
    <xf numFmtId="0" fontId="19" fillId="6" borderId="0" xfId="0" applyFont="1" applyFill="1" applyAlignment="1">
      <alignment horizontal="left" vertical="center"/>
    </xf>
    <xf numFmtId="0" fontId="50" fillId="6" borderId="0" xfId="0" applyFont="1" applyFill="1" applyAlignment="1">
      <alignment horizontal="left" vertical="center"/>
    </xf>
    <xf numFmtId="0" fontId="48" fillId="17" borderId="6" xfId="0" applyFont="1" applyFill="1" applyBorder="1" applyAlignment="1">
      <alignment horizontal="left" vertical="center"/>
    </xf>
    <xf numFmtId="0" fontId="10" fillId="17" borderId="6" xfId="0" applyFont="1" applyFill="1" applyBorder="1" applyAlignment="1">
      <alignment horizontal="left" vertical="center" wrapText="1"/>
    </xf>
    <xf numFmtId="0" fontId="12" fillId="3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left" vertical="center"/>
    </xf>
    <xf numFmtId="0" fontId="13" fillId="9" borderId="6" xfId="0" applyFont="1" applyFill="1" applyBorder="1" applyAlignment="1">
      <alignment horizontal="left" vertical="center"/>
    </xf>
    <xf numFmtId="0" fontId="10" fillId="9" borderId="6" xfId="0" applyFont="1" applyFill="1" applyBorder="1" applyAlignment="1">
      <alignment horizontal="left" vertical="center" wrapText="1"/>
    </xf>
    <xf numFmtId="0" fontId="46" fillId="13" borderId="6" xfId="0" applyFont="1" applyFill="1" applyBorder="1" applyAlignment="1">
      <alignment horizontal="left" vertical="center"/>
    </xf>
    <xf numFmtId="0" fontId="10" fillId="13" borderId="6" xfId="0" applyFont="1" applyFill="1" applyBorder="1" applyAlignment="1">
      <alignment horizontal="left" vertical="center" wrapText="1"/>
    </xf>
    <xf numFmtId="49" fontId="43" fillId="9" borderId="2" xfId="0" applyNumberFormat="1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left" vertical="center" wrapText="1"/>
    </xf>
    <xf numFmtId="49" fontId="45" fillId="6" borderId="2" xfId="0" applyNumberFormat="1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left" vertical="center" wrapText="1"/>
    </xf>
    <xf numFmtId="0" fontId="5" fillId="16" borderId="6" xfId="0" applyFont="1" applyFill="1" applyBorder="1" applyAlignment="1">
      <alignment horizontal="center" vertical="center"/>
    </xf>
    <xf numFmtId="49" fontId="43" fillId="17" borderId="2" xfId="0" applyNumberFormat="1" applyFont="1" applyFill="1" applyBorder="1" applyAlignment="1">
      <alignment horizontal="center" vertical="center"/>
    </xf>
    <xf numFmtId="0" fontId="15" fillId="17" borderId="2" xfId="0" applyFont="1" applyFill="1" applyBorder="1" applyAlignment="1">
      <alignment horizontal="center" vertical="center"/>
    </xf>
    <xf numFmtId="0" fontId="10" fillId="17" borderId="2" xfId="0" applyFont="1" applyFill="1" applyBorder="1" applyAlignment="1">
      <alignment horizontal="left" vertical="center" wrapText="1"/>
    </xf>
    <xf numFmtId="0" fontId="37" fillId="6" borderId="0" xfId="0" applyFont="1" applyFill="1" applyAlignment="1">
      <alignment horizontal="left" vertical="center" wrapText="1"/>
    </xf>
    <xf numFmtId="0" fontId="19" fillId="6" borderId="2" xfId="0" applyFont="1" applyFill="1" applyBorder="1" applyAlignment="1">
      <alignment horizontal="left" vertical="center"/>
    </xf>
    <xf numFmtId="0" fontId="12" fillId="4" borderId="0" xfId="0" applyFont="1" applyFill="1" applyAlignment="1">
      <alignment horizontal="left" vertical="center"/>
    </xf>
    <xf numFmtId="0" fontId="37" fillId="13" borderId="0" xfId="0" applyFont="1" applyFill="1" applyAlignment="1">
      <alignment horizontal="left" vertical="center" wrapText="1"/>
    </xf>
    <xf numFmtId="0" fontId="37" fillId="11" borderId="0" xfId="0" applyFont="1" applyFill="1" applyAlignment="1">
      <alignment horizontal="left" vertical="center" wrapText="1"/>
    </xf>
    <xf numFmtId="0" fontId="31" fillId="2" borderId="0" xfId="0" applyFont="1" applyFill="1" applyAlignment="1">
      <alignment horizontal="left" vertical="center"/>
    </xf>
    <xf numFmtId="0" fontId="32" fillId="2" borderId="0" xfId="0" applyFont="1" applyFill="1" applyAlignment="1">
      <alignment horizontal="center" vertical="center"/>
    </xf>
    <xf numFmtId="0" fontId="33" fillId="12" borderId="0" xfId="0" applyFont="1" applyFill="1" applyAlignment="1">
      <alignment horizontal="left" vertical="center"/>
    </xf>
    <xf numFmtId="0" fontId="10" fillId="9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52" fillId="23" borderId="0" xfId="0" applyFont="1" applyFill="1" applyAlignment="1">
      <alignment horizontal="left" vertical="center" wrapText="1"/>
    </xf>
    <xf numFmtId="0" fontId="12" fillId="22" borderId="0" xfId="0" applyFont="1" applyFill="1" applyAlignment="1">
      <alignment horizontal="left" vertical="center"/>
    </xf>
    <xf numFmtId="0" fontId="12" fillId="20" borderId="0" xfId="0" applyFont="1" applyFill="1" applyAlignment="1">
      <alignment horizontal="left" vertical="center"/>
    </xf>
    <xf numFmtId="0" fontId="55" fillId="2" borderId="0" xfId="0" applyFont="1" applyFill="1" applyAlignment="1">
      <alignment horizontal="center" vertical="center"/>
    </xf>
    <xf numFmtId="0" fontId="56" fillId="22" borderId="0" xfId="0" applyFont="1" applyFill="1" applyAlignment="1">
      <alignment horizontal="center" vertical="center"/>
    </xf>
    <xf numFmtId="0" fontId="12" fillId="21" borderId="0" xfId="0" applyFont="1" applyFill="1" applyAlignment="1">
      <alignment horizontal="left" vertical="center"/>
    </xf>
    <xf numFmtId="0" fontId="12" fillId="24" borderId="0" xfId="0" applyFont="1" applyFill="1" applyAlignment="1">
      <alignment horizontal="left" vertical="center"/>
    </xf>
  </cellXfs>
  <cellStyles count="8">
    <cellStyle name="Normal" xfId="0" builtinId="0"/>
    <cellStyle name="Normal 2" xfId="1" xr:uid="{00000000-0005-0000-0000-000006000000}"/>
    <cellStyle name="Normal 2 2" xfId="2" xr:uid="{00000000-0005-0000-0000-000007000000}"/>
    <cellStyle name="Normal 3" xfId="3" xr:uid="{00000000-0005-0000-0000-000008000000}"/>
    <cellStyle name="Normal 4" xfId="4" xr:uid="{00000000-0005-0000-0000-000009000000}"/>
    <cellStyle name="Normal 5" xfId="5" xr:uid="{00000000-0005-0000-0000-00000A000000}"/>
    <cellStyle name="Percent 2" xfId="6" xr:uid="{00000000-0005-0000-0000-00000B000000}"/>
    <cellStyle name="Percent 3" xfId="7" xr:uid="{00000000-0005-0000-0000-00000C000000}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EBF0FA"/>
      <rgbColor rgb="FF0000FF"/>
      <rgbColor rgb="FFE2EFDA"/>
      <rgbColor rgb="FFFBE9E7"/>
      <rgbColor rgb="FFD9E7FD"/>
      <rgbColor rgb="FFFFF5F5"/>
      <rgbColor rgb="FF008000"/>
      <rgbColor rgb="FF000080"/>
      <rgbColor rgb="FF7F6000"/>
      <rgbColor rgb="FFF2F2F2"/>
      <rgbColor rgb="FF1F7A5C"/>
      <rgbColor rgb="FFCCCCCC"/>
      <rgbColor rgb="FF808080"/>
      <rgbColor rgb="FF95B3D7"/>
      <rgbColor rgb="FFC0504D"/>
      <rgbColor rgb="FFFFF3CD"/>
      <rgbColor rgb="FFE0F4EF"/>
      <rgbColor rgb="FFF5F5F5"/>
      <rgbColor rgb="FFC65911"/>
      <rgbColor rgb="FF2E5FA3"/>
      <rgbColor rgb="FFBDD7EE"/>
      <rgbColor rgb="FF000080"/>
      <rgbColor rgb="FFFDECEA"/>
      <rgbColor rgb="FFFFF9E6"/>
      <rgbColor rgb="FFD9D9D9"/>
      <rgbColor rgb="FFFEF0E7"/>
      <rgbColor rgb="FF800000"/>
      <rgbColor rgb="FFEBF3FB"/>
      <rgbColor rgb="FF0000FF"/>
      <rgbColor rgb="FFD0D0D0"/>
      <rgbColor rgb="FFE8F5E9"/>
      <rgbColor rgb="FFD3F1DB"/>
      <rgbColor rgb="FFFFF2CC"/>
      <rgbColor rgb="FFAACCFF"/>
      <rgbColor rgb="FFB3B3B3"/>
      <rgbColor rgb="FFB3A2C7"/>
      <rgbColor rgb="FFFFE0B2"/>
      <rgbColor rgb="FF888888"/>
      <rgbColor rgb="FF71A1DC"/>
      <rgbColor rgb="FF6AA84F"/>
      <rgbColor rgb="FFFFE2CC"/>
      <rgbColor rgb="FFF79646"/>
      <rgbColor rgb="FFCC6600"/>
      <rgbColor rgb="FF606060"/>
      <rgbColor rgb="FF999999"/>
      <rgbColor rgb="FF093C92"/>
      <rgbColor rgb="FF277E3E"/>
      <rgbColor rgb="FF003300"/>
      <rgbColor rgb="FF375623"/>
      <rgbColor rgb="FFC05200"/>
      <rgbColor rgb="FF595959"/>
      <rgbColor rgb="FF1F3864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fr-F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Custo Mensal — SEM vs COM Helexia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Resumo!$Q$22</c:f>
              <c:strCache>
                <c:ptCount val="1"/>
                <c:pt idx="0">
                  <c:v>SEM Helexia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C0504D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Resumo!$P$23:$P$46</c:f>
              <c:strCache>
                <c:ptCount val="24"/>
                <c:pt idx="0">
                  <c:v>Jun/26</c:v>
                </c:pt>
                <c:pt idx="1">
                  <c:v>Jul/26</c:v>
                </c:pt>
                <c:pt idx="2">
                  <c:v>Ago/26</c:v>
                </c:pt>
                <c:pt idx="3">
                  <c:v>Set/26</c:v>
                </c:pt>
                <c:pt idx="4">
                  <c:v>Out/26</c:v>
                </c:pt>
                <c:pt idx="5">
                  <c:v>Nov/26</c:v>
                </c:pt>
                <c:pt idx="6">
                  <c:v>Dez/26</c:v>
                </c:pt>
                <c:pt idx="7">
                  <c:v>Jan/27</c:v>
                </c:pt>
                <c:pt idx="8">
                  <c:v>Fev/27</c:v>
                </c:pt>
                <c:pt idx="9">
                  <c:v>Mar/27</c:v>
                </c:pt>
                <c:pt idx="10">
                  <c:v>Abr/27</c:v>
                </c:pt>
                <c:pt idx="11">
                  <c:v>Mai/27</c:v>
                </c:pt>
                <c:pt idx="12">
                  <c:v>Jun/27</c:v>
                </c:pt>
                <c:pt idx="13">
                  <c:v>Jul/27</c:v>
                </c:pt>
                <c:pt idx="14">
                  <c:v>Ago/27</c:v>
                </c:pt>
                <c:pt idx="15">
                  <c:v>Set/27</c:v>
                </c:pt>
                <c:pt idx="16">
                  <c:v>Out/27</c:v>
                </c:pt>
                <c:pt idx="17">
                  <c:v>Nov/27</c:v>
                </c:pt>
                <c:pt idx="18">
                  <c:v>Dez/27</c:v>
                </c:pt>
                <c:pt idx="19">
                  <c:v>Jan/28</c:v>
                </c:pt>
                <c:pt idx="20">
                  <c:v>Fev/28</c:v>
                </c:pt>
                <c:pt idx="21">
                  <c:v>Mar/28</c:v>
                </c:pt>
                <c:pt idx="22">
                  <c:v>Abr/28</c:v>
                </c:pt>
                <c:pt idx="23">
                  <c:v>Mai/28</c:v>
                </c:pt>
              </c:strCache>
            </c:strRef>
          </c:cat>
          <c:val>
            <c:numRef>
              <c:f>Resumo!$Q$23:$Q$46</c:f>
              <c:numCache>
                <c:formatCode>"R$ "#,##0;"(R$ "#,##0\);\-</c:formatCode>
                <c:ptCount val="24"/>
                <c:pt idx="0">
                  <c:v>29915.013183845378</c:v>
                </c:pt>
                <c:pt idx="1">
                  <c:v>231390.506545151</c:v>
                </c:pt>
                <c:pt idx="2">
                  <c:v>156547.56036546425</c:v>
                </c:pt>
                <c:pt idx="3">
                  <c:v>42616.080365200702</c:v>
                </c:pt>
                <c:pt idx="4">
                  <c:v>43352.771137035983</c:v>
                </c:pt>
                <c:pt idx="5">
                  <c:v>43210.245535449765</c:v>
                </c:pt>
                <c:pt idx="6">
                  <c:v>44658.731373388728</c:v>
                </c:pt>
                <c:pt idx="7">
                  <c:v>42484.598184010109</c:v>
                </c:pt>
                <c:pt idx="8">
                  <c:v>45032.044331816214</c:v>
                </c:pt>
                <c:pt idx="9">
                  <c:v>208536.61971715876</c:v>
                </c:pt>
                <c:pt idx="10">
                  <c:v>35167.544347757459</c:v>
                </c:pt>
                <c:pt idx="11">
                  <c:v>32721.221965258628</c:v>
                </c:pt>
                <c:pt idx="12">
                  <c:v>70853.527476254065</c:v>
                </c:pt>
                <c:pt idx="13">
                  <c:v>281671.07435274409</c:v>
                </c:pt>
                <c:pt idx="14">
                  <c:v>161721.86760364164</c:v>
                </c:pt>
                <c:pt idx="15">
                  <c:v>43681.482374330706</c:v>
                </c:pt>
                <c:pt idx="16">
                  <c:v>44436.590415461891</c:v>
                </c:pt>
                <c:pt idx="17">
                  <c:v>44290.501673835999</c:v>
                </c:pt>
                <c:pt idx="18">
                  <c:v>45775.199657723439</c:v>
                </c:pt>
                <c:pt idx="19">
                  <c:v>42484.598184010109</c:v>
                </c:pt>
                <c:pt idx="20">
                  <c:v>45032.044331816214</c:v>
                </c:pt>
                <c:pt idx="21">
                  <c:v>212454.37427997991</c:v>
                </c:pt>
                <c:pt idx="22">
                  <c:v>35167.544347757459</c:v>
                </c:pt>
                <c:pt idx="23">
                  <c:v>32721.221965258628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B4-4E42-B10A-E8503CF90324}"/>
            </c:ext>
          </c:extLst>
        </c:ser>
        <c:ser>
          <c:idx val="1"/>
          <c:order val="1"/>
          <c:tx>
            <c:strRef>
              <c:f>Resumo!$R$22</c:f>
              <c:strCache>
                <c:ptCount val="1"/>
                <c:pt idx="0">
                  <c:v>PPA</c:v>
                </c:pt>
              </c:strCache>
            </c:strRef>
          </c:tx>
          <c:spPr>
            <a:solidFill>
              <a:srgbClr val="F79646"/>
            </a:solidFill>
            <a:ln w="0">
              <a:solidFill>
                <a:srgbClr val="F7964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Resumo!$P$23:$P$46</c:f>
              <c:strCache>
                <c:ptCount val="24"/>
                <c:pt idx="0">
                  <c:v>Jun/26</c:v>
                </c:pt>
                <c:pt idx="1">
                  <c:v>Jul/26</c:v>
                </c:pt>
                <c:pt idx="2">
                  <c:v>Ago/26</c:v>
                </c:pt>
                <c:pt idx="3">
                  <c:v>Set/26</c:v>
                </c:pt>
                <c:pt idx="4">
                  <c:v>Out/26</c:v>
                </c:pt>
                <c:pt idx="5">
                  <c:v>Nov/26</c:v>
                </c:pt>
                <c:pt idx="6">
                  <c:v>Dez/26</c:v>
                </c:pt>
                <c:pt idx="7">
                  <c:v>Jan/27</c:v>
                </c:pt>
                <c:pt idx="8">
                  <c:v>Fev/27</c:v>
                </c:pt>
                <c:pt idx="9">
                  <c:v>Mar/27</c:v>
                </c:pt>
                <c:pt idx="10">
                  <c:v>Abr/27</c:v>
                </c:pt>
                <c:pt idx="11">
                  <c:v>Mai/27</c:v>
                </c:pt>
                <c:pt idx="12">
                  <c:v>Jun/27</c:v>
                </c:pt>
                <c:pt idx="13">
                  <c:v>Jul/27</c:v>
                </c:pt>
                <c:pt idx="14">
                  <c:v>Ago/27</c:v>
                </c:pt>
                <c:pt idx="15">
                  <c:v>Set/27</c:v>
                </c:pt>
                <c:pt idx="16">
                  <c:v>Out/27</c:v>
                </c:pt>
                <c:pt idx="17">
                  <c:v>Nov/27</c:v>
                </c:pt>
                <c:pt idx="18">
                  <c:v>Dez/27</c:v>
                </c:pt>
                <c:pt idx="19">
                  <c:v>Jan/28</c:v>
                </c:pt>
                <c:pt idx="20">
                  <c:v>Fev/28</c:v>
                </c:pt>
                <c:pt idx="21">
                  <c:v>Mar/28</c:v>
                </c:pt>
                <c:pt idx="22">
                  <c:v>Abr/28</c:v>
                </c:pt>
                <c:pt idx="23">
                  <c:v>Mai/28</c:v>
                </c:pt>
              </c:strCache>
            </c:strRef>
          </c:cat>
          <c:val>
            <c:numRef>
              <c:f>Resumo!$R$23:$R$46</c:f>
              <c:numCache>
                <c:formatCode>"R$ "#,##0;"(R$ "#,##0\);\-</c:formatCode>
                <c:ptCount val="24"/>
                <c:pt idx="0">
                  <c:v>54865.574999999997</c:v>
                </c:pt>
                <c:pt idx="1">
                  <c:v>57750.674999999996</c:v>
                </c:pt>
                <c:pt idx="2">
                  <c:v>69326.475000000006</c:v>
                </c:pt>
                <c:pt idx="3">
                  <c:v>65051.925000000003</c:v>
                </c:pt>
                <c:pt idx="4">
                  <c:v>66852.899999999994</c:v>
                </c:pt>
                <c:pt idx="5">
                  <c:v>64640.4</c:v>
                </c:pt>
                <c:pt idx="6">
                  <c:v>61379.175000000003</c:v>
                </c:pt>
                <c:pt idx="7">
                  <c:v>63022.752749999992</c:v>
                </c:pt>
                <c:pt idx="8">
                  <c:v>56158.670624999999</c:v>
                </c:pt>
                <c:pt idx="9">
                  <c:v>64414.061249999999</c:v>
                </c:pt>
                <c:pt idx="10">
                  <c:v>64273.169250000006</c:v>
                </c:pt>
                <c:pt idx="11">
                  <c:v>60152.078249999999</c:v>
                </c:pt>
                <c:pt idx="12">
                  <c:v>54591.247125000002</c:v>
                </c:pt>
                <c:pt idx="13">
                  <c:v>57461.921624999995</c:v>
                </c:pt>
                <c:pt idx="14">
                  <c:v>68979.842625000005</c:v>
                </c:pt>
                <c:pt idx="15">
                  <c:v>64726.665375000004</c:v>
                </c:pt>
                <c:pt idx="16">
                  <c:v>66518.635500000004</c:v>
                </c:pt>
                <c:pt idx="17">
                  <c:v>64317.198000000004</c:v>
                </c:pt>
                <c:pt idx="18">
                  <c:v>61072.279125000008</c:v>
                </c:pt>
                <c:pt idx="19">
                  <c:v>63022.752749999992</c:v>
                </c:pt>
                <c:pt idx="20">
                  <c:v>56158.670624999999</c:v>
                </c:pt>
                <c:pt idx="21">
                  <c:v>64414.061249999999</c:v>
                </c:pt>
                <c:pt idx="22">
                  <c:v>64273.169250000006</c:v>
                </c:pt>
                <c:pt idx="23">
                  <c:v>60152.078249999999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B4-4E42-B10A-E8503CF90324}"/>
            </c:ext>
          </c:extLst>
        </c:ser>
        <c:ser>
          <c:idx val="2"/>
          <c:order val="2"/>
          <c:tx>
            <c:strRef>
              <c:f>Resumo!$S$22</c:f>
              <c:strCache>
                <c:ptCount val="1"/>
                <c:pt idx="0">
                  <c:v>Rede COM</c:v>
                </c:pt>
              </c:strCache>
            </c:strRef>
          </c:tx>
          <c:spPr>
            <a:solidFill>
              <a:srgbClr val="375623"/>
            </a:solidFill>
            <a:ln w="0">
              <a:solidFill>
                <a:srgbClr val="375623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Resumo!$P$23:$P$46</c:f>
              <c:strCache>
                <c:ptCount val="24"/>
                <c:pt idx="0">
                  <c:v>Jun/26</c:v>
                </c:pt>
                <c:pt idx="1">
                  <c:v>Jul/26</c:v>
                </c:pt>
                <c:pt idx="2">
                  <c:v>Ago/26</c:v>
                </c:pt>
                <c:pt idx="3">
                  <c:v>Set/26</c:v>
                </c:pt>
                <c:pt idx="4">
                  <c:v>Out/26</c:v>
                </c:pt>
                <c:pt idx="5">
                  <c:v>Nov/26</c:v>
                </c:pt>
                <c:pt idx="6">
                  <c:v>Dez/26</c:v>
                </c:pt>
                <c:pt idx="7">
                  <c:v>Jan/27</c:v>
                </c:pt>
                <c:pt idx="8">
                  <c:v>Fev/27</c:v>
                </c:pt>
                <c:pt idx="9">
                  <c:v>Mar/27</c:v>
                </c:pt>
                <c:pt idx="10">
                  <c:v>Abr/27</c:v>
                </c:pt>
                <c:pt idx="11">
                  <c:v>Mai/27</c:v>
                </c:pt>
                <c:pt idx="12">
                  <c:v>Jun/27</c:v>
                </c:pt>
                <c:pt idx="13">
                  <c:v>Jul/27</c:v>
                </c:pt>
                <c:pt idx="14">
                  <c:v>Ago/27</c:v>
                </c:pt>
                <c:pt idx="15">
                  <c:v>Set/27</c:v>
                </c:pt>
                <c:pt idx="16">
                  <c:v>Out/27</c:v>
                </c:pt>
                <c:pt idx="17">
                  <c:v>Nov/27</c:v>
                </c:pt>
                <c:pt idx="18">
                  <c:v>Dez/27</c:v>
                </c:pt>
                <c:pt idx="19">
                  <c:v>Jan/28</c:v>
                </c:pt>
                <c:pt idx="20">
                  <c:v>Fev/28</c:v>
                </c:pt>
                <c:pt idx="21">
                  <c:v>Mar/28</c:v>
                </c:pt>
                <c:pt idx="22">
                  <c:v>Abr/28</c:v>
                </c:pt>
                <c:pt idx="23">
                  <c:v>Mai/28</c:v>
                </c:pt>
              </c:strCache>
            </c:strRef>
          </c:cat>
          <c:val>
            <c:numRef>
              <c:f>Resumo!$S$23:$S$46</c:f>
              <c:numCache>
                <c:formatCode>"R$ "#,##0;"(R$ "#,##0\);\-</c:formatCode>
                <c:ptCount val="24"/>
                <c:pt idx="0">
                  <c:v>2915.1860989962584</c:v>
                </c:pt>
                <c:pt idx="1">
                  <c:v>83523.67804512108</c:v>
                </c:pt>
                <c:pt idx="2">
                  <c:v>0.54126727605898883</c:v>
                </c:pt>
                <c:pt idx="3">
                  <c:v>0.1230399755196992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B4-4E42-B10A-E8503CF90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5"/>
        <c:axId val="20708696"/>
        <c:axId val="41602787"/>
      </c:barChart>
      <c:catAx>
        <c:axId val="207086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1602787"/>
        <c:crosses val="autoZero"/>
        <c:auto val="1"/>
        <c:lblAlgn val="ctr"/>
        <c:lblOffset val="100"/>
        <c:noMultiLvlLbl val="0"/>
      </c:catAx>
      <c:valAx>
        <c:axId val="4160278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2070869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fr-F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Economia Liquida 
Acumulada ao Longo do Contrato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Resumo!$U$22</c:f>
              <c:strCache>
                <c:ptCount val="1"/>
                <c:pt idx="0">
                  <c:v>Eco acumulada</c:v>
                </c:pt>
              </c:strCache>
            </c:strRef>
          </c:tx>
          <c:spPr>
            <a:ln w="28440">
              <a:solidFill>
                <a:srgbClr val="37562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Resumo!$P$23:$P$46</c:f>
              <c:strCache>
                <c:ptCount val="24"/>
                <c:pt idx="0">
                  <c:v>Jun/26</c:v>
                </c:pt>
                <c:pt idx="1">
                  <c:v>Jul/26</c:v>
                </c:pt>
                <c:pt idx="2">
                  <c:v>Ago/26</c:v>
                </c:pt>
                <c:pt idx="3">
                  <c:v>Set/26</c:v>
                </c:pt>
                <c:pt idx="4">
                  <c:v>Out/26</c:v>
                </c:pt>
                <c:pt idx="5">
                  <c:v>Nov/26</c:v>
                </c:pt>
                <c:pt idx="6">
                  <c:v>Dez/26</c:v>
                </c:pt>
                <c:pt idx="7">
                  <c:v>Jan/27</c:v>
                </c:pt>
                <c:pt idx="8">
                  <c:v>Fev/27</c:v>
                </c:pt>
                <c:pt idx="9">
                  <c:v>Mar/27</c:v>
                </c:pt>
                <c:pt idx="10">
                  <c:v>Abr/27</c:v>
                </c:pt>
                <c:pt idx="11">
                  <c:v>Mai/27</c:v>
                </c:pt>
                <c:pt idx="12">
                  <c:v>Jun/27</c:v>
                </c:pt>
                <c:pt idx="13">
                  <c:v>Jul/27</c:v>
                </c:pt>
                <c:pt idx="14">
                  <c:v>Ago/27</c:v>
                </c:pt>
                <c:pt idx="15">
                  <c:v>Set/27</c:v>
                </c:pt>
                <c:pt idx="16">
                  <c:v>Out/27</c:v>
                </c:pt>
                <c:pt idx="17">
                  <c:v>Nov/27</c:v>
                </c:pt>
                <c:pt idx="18">
                  <c:v>Dez/27</c:v>
                </c:pt>
                <c:pt idx="19">
                  <c:v>Jan/28</c:v>
                </c:pt>
                <c:pt idx="20">
                  <c:v>Fev/28</c:v>
                </c:pt>
                <c:pt idx="21">
                  <c:v>Mar/28</c:v>
                </c:pt>
                <c:pt idx="22">
                  <c:v>Abr/28</c:v>
                </c:pt>
                <c:pt idx="23">
                  <c:v>Mai/28</c:v>
                </c:pt>
              </c:strCache>
            </c:strRef>
          </c:cat>
          <c:val>
            <c:numRef>
              <c:f>Resumo!$U$23:$U$46</c:f>
              <c:numCache>
                <c:formatCode>"R$ "#,##0;"(R$ "#,##0\);\-</c:formatCode>
                <c:ptCount val="24"/>
                <c:pt idx="0">
                  <c:v>-27865.747915150878</c:v>
                </c:pt>
                <c:pt idx="1">
                  <c:v>62250.405584879059</c:v>
                </c:pt>
                <c:pt idx="2">
                  <c:v>149470.94968306724</c:v>
                </c:pt>
                <c:pt idx="3">
                  <c:v>127034.98200829243</c:v>
                </c:pt>
                <c:pt idx="4">
                  <c:v>103534.85314532841</c:v>
                </c:pt>
                <c:pt idx="5">
                  <c:v>82104.69868077818</c:v>
                </c:pt>
                <c:pt idx="6">
                  <c:v>65384.255054166904</c:v>
                </c:pt>
                <c:pt idx="7">
                  <c:v>44846.10048817702</c:v>
                </c:pt>
                <c:pt idx="8">
                  <c:v>33719.474194993236</c:v>
                </c:pt>
                <c:pt idx="9">
                  <c:v>177842.03266215199</c:v>
                </c:pt>
                <c:pt idx="10">
                  <c:v>148736.40775990946</c:v>
                </c:pt>
                <c:pt idx="11">
                  <c:v>121305.55147516809</c:v>
                </c:pt>
                <c:pt idx="12">
                  <c:v>137567.83182642216</c:v>
                </c:pt>
                <c:pt idx="13">
                  <c:v>361776.98455416627</c:v>
                </c:pt>
                <c:pt idx="14">
                  <c:v>454519.00953280792</c:v>
                </c:pt>
                <c:pt idx="15">
                  <c:v>433473.82653213863</c:v>
                </c:pt>
                <c:pt idx="16">
                  <c:v>411391.78144760052</c:v>
                </c:pt>
                <c:pt idx="17">
                  <c:v>391365.08512143651</c:v>
                </c:pt>
                <c:pt idx="18">
                  <c:v>376068.00565415993</c:v>
                </c:pt>
                <c:pt idx="19">
                  <c:v>355529.85108817008</c:v>
                </c:pt>
                <c:pt idx="20">
                  <c:v>344403.22479498631</c:v>
                </c:pt>
                <c:pt idx="21">
                  <c:v>492443.53782496625</c:v>
                </c:pt>
                <c:pt idx="22">
                  <c:v>463337.91292272368</c:v>
                </c:pt>
                <c:pt idx="23">
                  <c:v>435907.05663798231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7B3-4BF6-81BA-633731182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8458183"/>
        <c:axId val="69480099"/>
      </c:lineChart>
      <c:catAx>
        <c:axId val="5845818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69480099"/>
        <c:crosses val="autoZero"/>
        <c:auto val="1"/>
        <c:lblAlgn val="ctr"/>
        <c:lblOffset val="100"/>
        <c:noMultiLvlLbl val="0"/>
      </c:catAx>
      <c:valAx>
        <c:axId val="6948009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845818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</xdr:row>
      <xdr:rowOff>0</xdr:rowOff>
    </xdr:from>
    <xdr:to>
      <xdr:col>5</xdr:col>
      <xdr:colOff>642240</xdr:colOff>
      <xdr:row>43</xdr:row>
      <xdr:rowOff>63720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13</xdr:col>
      <xdr:colOff>308880</xdr:colOff>
      <xdr:row>43</xdr:row>
      <xdr:rowOff>63720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file:///C:\Users\C:\Users\C:\Users\C:\:f:\r\teams\bu-hlxbr-helexia_brazil\Documents%20partages\H-BRL-General\6-PROJECTS\_Engenharia%20Executiva\02%20-%20PROJETOS\MS%20-%20ENERGISA\CASSILANDIA%203\06%20-%20PVsyst%3fcsf=1&amp;web=1&amp;e=GTd49e" TargetMode="External"/><Relationship Id="rId2" Type="http://schemas.openxmlformats.org/officeDocument/2006/relationships/hyperlink" Target="file:///C:\Users\C:\Users\C:\Users\C:\:f:\r\teams\bu-hlxbr-helexia_brazil\Documents%20partages\H-BRL-General\6-PROJECTS\_Engenharia%20Executiva\02%20-%20PROJETOS\MS%20-%20ENERGISA\CASSILANDIA%202\06%20-%20PVsyst%3fcsf=1&amp;web=1&amp;e=3edxoh" TargetMode="External"/><Relationship Id="rId1" Type="http://schemas.openxmlformats.org/officeDocument/2006/relationships/hyperlink" Target="file:///C:\Users\C:\Users\C:\Users\C:\:f:\r\teams\bu-hlxbr-helexia_brazil\Documents%20partages\H-BRL-General\6-PROJECTS\_Engenharia%20Executiva\02%20-%20PROJETOS\MS%20-%20ENERGISA\CASSILANDIA%201\06%20-%20PVsyst%3fcsf=1&amp;web=1&amp;e=eUXVB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75623"/>
  </sheetPr>
  <dimension ref="A1:U85"/>
  <sheetViews>
    <sheetView showGridLines="0" zoomScale="87" zoomScaleNormal="87" workbookViewId="0">
      <selection activeCell="J5" sqref="J5:K5"/>
    </sheetView>
  </sheetViews>
  <sheetFormatPr defaultColWidth="8.7265625" defaultRowHeight="14.5" x14ac:dyDescent="0.35"/>
  <cols>
    <col min="1" max="1" width="1.54296875" customWidth="1"/>
    <col min="2" max="2" width="28" customWidth="1"/>
    <col min="3" max="7" width="14" customWidth="1"/>
    <col min="8" max="8" width="1.54296875" customWidth="1"/>
    <col min="9" max="9" width="22.54296875" customWidth="1"/>
    <col min="10" max="12" width="14" customWidth="1"/>
    <col min="20" max="20" width="10" customWidth="1"/>
    <col min="21" max="21" width="12.54296875" customWidth="1"/>
  </cols>
  <sheetData>
    <row r="1" spans="2:12" ht="31.5" customHeight="1" x14ac:dyDescent="0.35">
      <c r="B1" s="257" t="str">
        <f>"SIMULAÇÃO RATEIO FIXO — "&amp;Premissas!$B$13&amp;" × COPASUL | Resumo Executivo"</f>
        <v>SIMULAÇÃO RATEIO FIXO — Cassilândia 03 × COPASUL | Resumo Executivo</v>
      </c>
      <c r="C1" s="257"/>
      <c r="D1" s="257"/>
      <c r="E1" s="257"/>
      <c r="F1" s="257"/>
      <c r="G1" s="257"/>
      <c r="H1" s="257"/>
      <c r="I1" s="257"/>
      <c r="J1" s="257"/>
      <c r="K1" s="257"/>
      <c r="L1" s="257"/>
    </row>
    <row r="2" spans="2:12" ht="13.5" customHeight="1" x14ac:dyDescent="0.35">
      <c r="B2" s="258" t="str">
        <f>"18 Unidades Consumidoras  ·  Jun/2026–Mai/2028  ·  Energisa MS  ·  Usina: "&amp;Premissas!$B$13</f>
        <v>18 Unidades Consumidoras  ·  Jun/2026–Mai/2028  ·  Energisa MS  ·  Usina: Cassilândia 03</v>
      </c>
      <c r="C2" s="258"/>
      <c r="D2" s="258"/>
      <c r="E2" s="258"/>
      <c r="F2" s="258"/>
      <c r="G2" s="258"/>
      <c r="H2" s="258"/>
      <c r="I2" s="258"/>
      <c r="J2" s="258"/>
      <c r="K2" s="258"/>
      <c r="L2" s="258"/>
    </row>
    <row r="3" spans="2:12" ht="7.5" customHeight="1" x14ac:dyDescent="0.35"/>
    <row r="4" spans="2:12" ht="15.75" customHeight="1" x14ac:dyDescent="0.35">
      <c r="B4" s="259" t="s">
        <v>0</v>
      </c>
      <c r="C4" s="259"/>
      <c r="D4" s="260" t="s">
        <v>1</v>
      </c>
      <c r="E4" s="260"/>
      <c r="F4" s="259" t="s">
        <v>2</v>
      </c>
      <c r="G4" s="259"/>
      <c r="H4" s="261" t="s">
        <v>3</v>
      </c>
      <c r="I4" s="261"/>
      <c r="J4" s="262" t="s">
        <v>4</v>
      </c>
      <c r="K4" s="262"/>
    </row>
    <row r="5" spans="2:12" ht="30" customHeight="1" x14ac:dyDescent="0.35">
      <c r="B5" s="252">
        <f>Simulacao!B6/1000000</f>
        <v>3.3753138500000004</v>
      </c>
      <c r="C5" s="252"/>
      <c r="D5" s="253">
        <f>Simulacao!B7</f>
        <v>1493576.3786250004</v>
      </c>
      <c r="E5" s="253"/>
      <c r="F5" s="254">
        <f>Simulacao!B252</f>
        <v>435907.05663798231</v>
      </c>
      <c r="G5" s="254"/>
      <c r="H5" s="255">
        <f>Simulacao!B273*Premissas!$B$17</f>
        <v>510604.46437487041</v>
      </c>
      <c r="I5" s="255"/>
      <c r="J5" s="256">
        <f>Simulacao!B278</f>
        <v>776149.85377947404</v>
      </c>
      <c r="K5" s="256"/>
    </row>
    <row r="6" spans="2:12" ht="12.75" customHeight="1" x14ac:dyDescent="0.35">
      <c r="B6" s="248" t="s">
        <v>5</v>
      </c>
      <c r="C6" s="248"/>
      <c r="D6" s="249" t="s">
        <v>6</v>
      </c>
      <c r="E6" s="249"/>
      <c r="F6" s="248" t="s">
        <v>7</v>
      </c>
      <c r="G6" s="248"/>
      <c r="H6" s="250" t="s">
        <v>8</v>
      </c>
      <c r="I6" s="250"/>
      <c r="J6" s="251" t="s">
        <v>9</v>
      </c>
      <c r="K6" s="251"/>
    </row>
    <row r="7" spans="2:12" ht="9.75" customHeight="1" x14ac:dyDescent="0.35"/>
    <row r="8" spans="2:12" ht="15.75" customHeight="1" x14ac:dyDescent="0.35">
      <c r="B8" s="229" t="s">
        <v>10</v>
      </c>
      <c r="C8" s="229"/>
      <c r="D8" s="229"/>
      <c r="E8" s="229"/>
      <c r="F8" s="229"/>
      <c r="G8" s="229"/>
      <c r="I8" s="246" t="s">
        <v>11</v>
      </c>
      <c r="J8" s="246"/>
      <c r="K8" s="246"/>
      <c r="L8" s="246"/>
    </row>
    <row r="9" spans="2:12" ht="13.5" customHeight="1" x14ac:dyDescent="0.35">
      <c r="B9" s="247" t="s">
        <v>12</v>
      </c>
      <c r="C9" s="247"/>
      <c r="D9" s="247"/>
      <c r="E9" s="5" t="s">
        <v>13</v>
      </c>
      <c r="F9" s="5" t="s">
        <v>14</v>
      </c>
      <c r="G9" s="5" t="s">
        <v>15</v>
      </c>
      <c r="I9" s="238" t="s">
        <v>16</v>
      </c>
      <c r="J9" s="238"/>
      <c r="K9" s="245" t="str">
        <f>Premissas!$B$13</f>
        <v>Cassilândia 03</v>
      </c>
      <c r="L9" s="245"/>
    </row>
    <row r="10" spans="2:12" ht="13.5" customHeight="1" x14ac:dyDescent="0.35">
      <c r="B10" s="243" t="s">
        <v>17</v>
      </c>
      <c r="C10" s="243"/>
      <c r="D10" s="243"/>
      <c r="E10" s="6">
        <f>Simulacao!B249</f>
        <v>2015922.9637143514</v>
      </c>
      <c r="F10" s="7">
        <f>Simulacao!B249/Simulacao!B249</f>
        <v>1</v>
      </c>
      <c r="G10" s="8">
        <f>(Simulacao!B249)/24</f>
        <v>83996.790154764647</v>
      </c>
      <c r="I10" s="227" t="s">
        <v>18</v>
      </c>
      <c r="J10" s="227"/>
      <c r="K10" s="244" t="s">
        <v>19</v>
      </c>
      <c r="L10" s="244"/>
    </row>
    <row r="11" spans="2:12" ht="13.5" customHeight="1" x14ac:dyDescent="0.35">
      <c r="B11" s="240" t="s">
        <v>20</v>
      </c>
      <c r="C11" s="240"/>
      <c r="D11" s="240"/>
      <c r="E11" s="10">
        <f>Simulacao!B250</f>
        <v>86439.528451368911</v>
      </c>
      <c r="F11" s="11">
        <f>Simulacao!B250/Simulacao!B249</f>
        <v>4.2878388711889814E-2</v>
      </c>
      <c r="G11" s="12">
        <f>(Simulacao!B250)/24</f>
        <v>3601.647018807038</v>
      </c>
      <c r="I11" s="238" t="s">
        <v>21</v>
      </c>
      <c r="J11" s="238"/>
      <c r="K11" s="245" t="str">
        <f>VLOOKUP(Premissas!$B$13,PVSYST_Helexia!$B$5:$F$7,5,0)&amp;" kWac"</f>
        <v>625 kWac</v>
      </c>
      <c r="L11" s="245"/>
    </row>
    <row r="12" spans="2:12" ht="13.5" customHeight="1" x14ac:dyDescent="0.35">
      <c r="B12" s="240" t="s">
        <v>22</v>
      </c>
      <c r="C12" s="240"/>
      <c r="D12" s="240"/>
      <c r="E12" s="10">
        <f>Simulacao!B7</f>
        <v>1493576.3786250004</v>
      </c>
      <c r="F12" s="11">
        <f>Simulacao!B7/Simulacao!B249</f>
        <v>0.74088961012333332</v>
      </c>
      <c r="G12" s="12">
        <f>(Simulacao!B7)/24</f>
        <v>62232.349109375013</v>
      </c>
      <c r="I12" s="227" t="s">
        <v>23</v>
      </c>
      <c r="J12" s="227"/>
      <c r="K12" s="241">
        <f>Simulacao!B6/1000</f>
        <v>3375.3138500000005</v>
      </c>
      <c r="L12" s="241"/>
    </row>
    <row r="13" spans="2:12" ht="13.5" customHeight="1" x14ac:dyDescent="0.35">
      <c r="B13" s="242" t="s">
        <v>24</v>
      </c>
      <c r="C13" s="242"/>
      <c r="D13" s="242"/>
      <c r="E13" s="13">
        <f>Simulacao!B251</f>
        <v>1580015.9070763695</v>
      </c>
      <c r="F13" s="14">
        <f>Simulacao!B251/Simulacao!B249</f>
        <v>0.78376799883522319</v>
      </c>
      <c r="G13" s="15">
        <f>(Simulacao!B251)/24</f>
        <v>65833.996128182058</v>
      </c>
      <c r="I13" s="238" t="s">
        <v>25</v>
      </c>
      <c r="J13" s="238"/>
      <c r="K13" s="239">
        <f>Premissas!$B$17</f>
        <v>0.4425</v>
      </c>
      <c r="L13" s="239"/>
    </row>
    <row r="14" spans="2:12" ht="13.5" customHeight="1" x14ac:dyDescent="0.35">
      <c r="B14" s="232" t="s">
        <v>26</v>
      </c>
      <c r="C14" s="232"/>
      <c r="D14" s="232"/>
      <c r="E14" s="16">
        <f>Simulacao!B252</f>
        <v>435907.05663798231</v>
      </c>
      <c r="F14" s="17">
        <f>Simulacao!B252/Simulacao!B249</f>
        <v>0.21623200116477698</v>
      </c>
      <c r="G14" s="18">
        <f>(Simulacao!B252)/24</f>
        <v>18162.794026582596</v>
      </c>
      <c r="I14" s="227" t="s">
        <v>27</v>
      </c>
      <c r="J14" s="227"/>
      <c r="K14" s="236">
        <f>Premissas!$B$5</f>
        <v>0.52647111134532698</v>
      </c>
      <c r="L14" s="236"/>
    </row>
    <row r="15" spans="2:12" ht="13.5" customHeight="1" x14ac:dyDescent="0.35">
      <c r="B15" s="237" t="s">
        <v>28</v>
      </c>
      <c r="C15" s="237"/>
      <c r="D15" s="237"/>
      <c r="E15" s="19">
        <f>Simulacao!B285</f>
        <v>340242.79714149173</v>
      </c>
      <c r="F15" s="20">
        <f>IFERROR(Simulacao!B285/Simulacao!B249,0)</f>
        <v>0.16877767814827216</v>
      </c>
      <c r="G15" s="21">
        <f>Simulacao!B285/24</f>
        <v>14176.783214228823</v>
      </c>
      <c r="I15" s="238" t="s">
        <v>29</v>
      </c>
      <c r="J15" s="238"/>
      <c r="K15" s="239">
        <f>Premissas!$B$7</f>
        <v>1.15686364923884</v>
      </c>
      <c r="L15" s="239"/>
    </row>
    <row r="16" spans="2:12" ht="13.5" customHeight="1" x14ac:dyDescent="0.35">
      <c r="B16" s="232" t="s">
        <v>30</v>
      </c>
      <c r="C16" s="232"/>
      <c r="D16" s="232"/>
      <c r="E16" s="16">
        <f>Simulacao!B278</f>
        <v>776149.85377947404</v>
      </c>
      <c r="F16" s="17">
        <f>Simulacao!B278/Simulacao!B249</f>
        <v>0.38500967931304914</v>
      </c>
      <c r="G16" s="18">
        <f>(Simulacao!B278)/24</f>
        <v>32339.577240811417</v>
      </c>
      <c r="I16" s="233" t="s">
        <v>31</v>
      </c>
      <c r="J16" s="233"/>
      <c r="K16" s="234">
        <f>Simulacao!B252/24</f>
        <v>18162.794026582596</v>
      </c>
      <c r="L16" s="234"/>
    </row>
    <row r="17" spans="2:21" ht="13.5" customHeight="1" x14ac:dyDescent="0.35">
      <c r="I17" s="233" t="s">
        <v>32</v>
      </c>
      <c r="J17" s="233"/>
      <c r="K17" s="235">
        <f>IFERROR(Simulacao!B252/Simulacao!B249,0)</f>
        <v>0.21623200116477698</v>
      </c>
      <c r="L17" s="235"/>
    </row>
    <row r="18" spans="2:21" ht="13.5" customHeight="1" x14ac:dyDescent="0.35">
      <c r="I18" s="227" t="s">
        <v>33</v>
      </c>
      <c r="J18" s="227"/>
      <c r="K18" s="228">
        <f>Simulacao!B273</f>
        <v>1153908.3940675037</v>
      </c>
      <c r="L18" s="228"/>
    </row>
    <row r="19" spans="2:21" ht="9.75" customHeight="1" x14ac:dyDescent="0.35"/>
    <row r="20" spans="2:21" ht="15.75" customHeight="1" x14ac:dyDescent="0.35">
      <c r="B20" s="229" t="s">
        <v>34</v>
      </c>
      <c r="C20" s="229"/>
      <c r="D20" s="229"/>
      <c r="E20" s="229"/>
      <c r="F20" s="229"/>
      <c r="G20" s="229"/>
      <c r="H20" s="229"/>
      <c r="I20" s="229"/>
      <c r="J20" s="229"/>
      <c r="K20" s="229"/>
      <c r="L20" s="229"/>
    </row>
    <row r="21" spans="2:21" ht="3.75" customHeight="1" x14ac:dyDescent="0.35"/>
    <row r="22" spans="2:21" ht="12" customHeight="1" x14ac:dyDescent="0.35">
      <c r="P22" s="25" t="s">
        <v>35</v>
      </c>
      <c r="Q22" s="25" t="s">
        <v>36</v>
      </c>
      <c r="R22" s="25" t="s">
        <v>37</v>
      </c>
      <c r="S22" s="25" t="s">
        <v>38</v>
      </c>
      <c r="T22" s="25" t="s">
        <v>39</v>
      </c>
      <c r="U22" s="25" t="s">
        <v>40</v>
      </c>
    </row>
    <row r="23" spans="2:21" ht="12" customHeight="1" x14ac:dyDescent="0.35">
      <c r="P23" s="26" t="s">
        <v>41</v>
      </c>
      <c r="Q23" s="27">
        <f>Simulacao!D249</f>
        <v>29915.013183845378</v>
      </c>
      <c r="R23" s="27">
        <f>Simulacao!D7</f>
        <v>54865.574999999997</v>
      </c>
      <c r="S23" s="27">
        <f>Simulacao!D250</f>
        <v>2915.1860989962584</v>
      </c>
      <c r="T23" s="27">
        <f>Simulacao!D252</f>
        <v>-27865.747915150878</v>
      </c>
      <c r="U23" s="27">
        <f>T23</f>
        <v>-27865.747915150878</v>
      </c>
    </row>
    <row r="24" spans="2:21" ht="12" customHeight="1" x14ac:dyDescent="0.35">
      <c r="P24" s="26" t="s">
        <v>42</v>
      </c>
      <c r="Q24" s="27">
        <f>Simulacao!E249</f>
        <v>231390.506545151</v>
      </c>
      <c r="R24" s="27">
        <f>Simulacao!E7</f>
        <v>57750.674999999996</v>
      </c>
      <c r="S24" s="27">
        <f>Simulacao!E250</f>
        <v>83523.67804512108</v>
      </c>
      <c r="T24" s="27">
        <f>Simulacao!E252</f>
        <v>90116.153500029934</v>
      </c>
      <c r="U24" s="27">
        <f t="shared" ref="U24:U46" si="0">U23+T24</f>
        <v>62250.405584879059</v>
      </c>
    </row>
    <row r="25" spans="2:21" ht="12" customHeight="1" x14ac:dyDescent="0.35">
      <c r="P25" s="26" t="s">
        <v>43</v>
      </c>
      <c r="Q25" s="27">
        <f>Simulacao!F249</f>
        <v>156547.56036546425</v>
      </c>
      <c r="R25" s="27">
        <f>Simulacao!F7</f>
        <v>69326.475000000006</v>
      </c>
      <c r="S25" s="27">
        <f>Simulacao!F250</f>
        <v>0.54126727605898883</v>
      </c>
      <c r="T25" s="27">
        <f>Simulacao!F252</f>
        <v>87220.544098188184</v>
      </c>
      <c r="U25" s="27">
        <f t="shared" si="0"/>
        <v>149470.94968306724</v>
      </c>
    </row>
    <row r="26" spans="2:21" ht="12" customHeight="1" x14ac:dyDescent="0.35">
      <c r="P26" s="26" t="s">
        <v>44</v>
      </c>
      <c r="Q26" s="27">
        <f>Simulacao!G249</f>
        <v>42616.080365200702</v>
      </c>
      <c r="R26" s="27">
        <f>Simulacao!G7</f>
        <v>65051.925000000003</v>
      </c>
      <c r="S26" s="27">
        <f>Simulacao!G250</f>
        <v>0.1230399755196992</v>
      </c>
      <c r="T26" s="27">
        <f>Simulacao!G252</f>
        <v>-22435.967674774824</v>
      </c>
      <c r="U26" s="27">
        <f t="shared" si="0"/>
        <v>127034.98200829243</v>
      </c>
    </row>
    <row r="27" spans="2:21" ht="12" customHeight="1" x14ac:dyDescent="0.35">
      <c r="P27" s="26" t="s">
        <v>45</v>
      </c>
      <c r="Q27" s="27">
        <f>Simulacao!H249</f>
        <v>43352.771137035983</v>
      </c>
      <c r="R27" s="27">
        <f>Simulacao!H7</f>
        <v>66852.899999999994</v>
      </c>
      <c r="S27" s="27">
        <f>Simulacao!H250</f>
        <v>0</v>
      </c>
      <c r="T27" s="27">
        <f>Simulacao!H252</f>
        <v>-23500.128862964011</v>
      </c>
      <c r="U27" s="27">
        <f t="shared" si="0"/>
        <v>103534.85314532841</v>
      </c>
    </row>
    <row r="28" spans="2:21" ht="12" customHeight="1" x14ac:dyDescent="0.35">
      <c r="P28" s="26" t="s">
        <v>46</v>
      </c>
      <c r="Q28" s="27">
        <f>Simulacao!I249</f>
        <v>43210.245535449765</v>
      </c>
      <c r="R28" s="27">
        <f>Simulacao!I7</f>
        <v>64640.4</v>
      </c>
      <c r="S28" s="27">
        <f>Simulacao!I250</f>
        <v>0</v>
      </c>
      <c r="T28" s="27">
        <f>Simulacao!I252</f>
        <v>-21430.154464550236</v>
      </c>
      <c r="U28" s="27">
        <f t="shared" si="0"/>
        <v>82104.69868077818</v>
      </c>
    </row>
    <row r="29" spans="2:21" ht="12" customHeight="1" x14ac:dyDescent="0.35">
      <c r="P29" s="26" t="s">
        <v>47</v>
      </c>
      <c r="Q29" s="27">
        <f>Simulacao!J249</f>
        <v>44658.731373388728</v>
      </c>
      <c r="R29" s="27">
        <f>Simulacao!J7</f>
        <v>61379.175000000003</v>
      </c>
      <c r="S29" s="27">
        <f>Simulacao!J250</f>
        <v>0</v>
      </c>
      <c r="T29" s="27">
        <f>Simulacao!J252</f>
        <v>-16720.443626611275</v>
      </c>
      <c r="U29" s="27">
        <f t="shared" si="0"/>
        <v>65384.255054166904</v>
      </c>
    </row>
    <row r="30" spans="2:21" ht="12" customHeight="1" x14ac:dyDescent="0.35">
      <c r="P30" s="26" t="s">
        <v>48</v>
      </c>
      <c r="Q30" s="27">
        <f>Simulacao!K249</f>
        <v>42484.598184010109</v>
      </c>
      <c r="R30" s="27">
        <f>Simulacao!K7</f>
        <v>63022.752749999992</v>
      </c>
      <c r="S30" s="27">
        <f>Simulacao!K250</f>
        <v>0</v>
      </c>
      <c r="T30" s="27">
        <f>Simulacao!K252</f>
        <v>-20538.154565989884</v>
      </c>
      <c r="U30" s="27">
        <f t="shared" si="0"/>
        <v>44846.10048817702</v>
      </c>
    </row>
    <row r="31" spans="2:21" ht="12" customHeight="1" x14ac:dyDescent="0.35">
      <c r="P31" s="26" t="s">
        <v>49</v>
      </c>
      <c r="Q31" s="27">
        <f>Simulacao!L249</f>
        <v>45032.044331816214</v>
      </c>
      <c r="R31" s="27">
        <f>Simulacao!L7</f>
        <v>56158.670624999999</v>
      </c>
      <c r="S31" s="27">
        <f>Simulacao!L250</f>
        <v>0</v>
      </c>
      <c r="T31" s="27">
        <f>Simulacao!L252</f>
        <v>-11126.626293183785</v>
      </c>
      <c r="U31" s="27">
        <f t="shared" si="0"/>
        <v>33719.474194993236</v>
      </c>
    </row>
    <row r="32" spans="2:21" ht="12" customHeight="1" x14ac:dyDescent="0.35">
      <c r="P32" s="26" t="s">
        <v>50</v>
      </c>
      <c r="Q32" s="27">
        <f>Simulacao!M249</f>
        <v>208536.61971715876</v>
      </c>
      <c r="R32" s="27">
        <f>Simulacao!M7</f>
        <v>64414.061249999999</v>
      </c>
      <c r="S32" s="27">
        <f>Simulacao!M250</f>
        <v>0</v>
      </c>
      <c r="T32" s="27">
        <f>Simulacao!M252</f>
        <v>144122.55846715876</v>
      </c>
      <c r="U32" s="27">
        <f t="shared" si="0"/>
        <v>177842.03266215199</v>
      </c>
    </row>
    <row r="33" spans="2:21" ht="12" customHeight="1" x14ac:dyDescent="0.35">
      <c r="P33" s="26" t="s">
        <v>51</v>
      </c>
      <c r="Q33" s="27">
        <f>Simulacao!N249</f>
        <v>35167.544347757459</v>
      </c>
      <c r="R33" s="27">
        <f>Simulacao!N7</f>
        <v>64273.169250000006</v>
      </c>
      <c r="S33" s="27">
        <f>Simulacao!N250</f>
        <v>0</v>
      </c>
      <c r="T33" s="27">
        <f>Simulacao!N252</f>
        <v>-29105.624902242547</v>
      </c>
      <c r="U33" s="27">
        <f t="shared" si="0"/>
        <v>148736.40775990946</v>
      </c>
    </row>
    <row r="34" spans="2:21" ht="12" customHeight="1" x14ac:dyDescent="0.35">
      <c r="P34" s="26" t="s">
        <v>52</v>
      </c>
      <c r="Q34" s="27">
        <f>Simulacao!O249</f>
        <v>32721.221965258628</v>
      </c>
      <c r="R34" s="27">
        <f>Simulacao!O7</f>
        <v>60152.078249999999</v>
      </c>
      <c r="S34" s="27">
        <f>Simulacao!O250</f>
        <v>0</v>
      </c>
      <c r="T34" s="27">
        <f>Simulacao!O252</f>
        <v>-27430.85628474137</v>
      </c>
      <c r="U34" s="27">
        <f t="shared" si="0"/>
        <v>121305.55147516809</v>
      </c>
    </row>
    <row r="35" spans="2:21" ht="12" customHeight="1" x14ac:dyDescent="0.35">
      <c r="P35" s="26" t="s">
        <v>53</v>
      </c>
      <c r="Q35" s="27">
        <f>Simulacao!P249</f>
        <v>70853.527476254065</v>
      </c>
      <c r="R35" s="27">
        <f>Simulacao!P7</f>
        <v>54591.247125000002</v>
      </c>
      <c r="S35" s="27">
        <f>Simulacao!P250</f>
        <v>0</v>
      </c>
      <c r="T35" s="27">
        <f>Simulacao!P252</f>
        <v>16262.280351254063</v>
      </c>
      <c r="U35" s="27">
        <f t="shared" si="0"/>
        <v>137567.83182642216</v>
      </c>
    </row>
    <row r="36" spans="2:21" ht="12" customHeight="1" x14ac:dyDescent="0.35">
      <c r="P36" s="26" t="s">
        <v>54</v>
      </c>
      <c r="Q36" s="27">
        <f>Simulacao!Q249</f>
        <v>281671.07435274409</v>
      </c>
      <c r="R36" s="27">
        <f>Simulacao!Q7</f>
        <v>57461.921624999995</v>
      </c>
      <c r="S36" s="27">
        <f>Simulacao!Q250</f>
        <v>0</v>
      </c>
      <c r="T36" s="27">
        <f>Simulacao!Q252</f>
        <v>224209.15272774411</v>
      </c>
      <c r="U36" s="27">
        <f t="shared" si="0"/>
        <v>361776.98455416627</v>
      </c>
    </row>
    <row r="37" spans="2:21" ht="12" customHeight="1" x14ac:dyDescent="0.35">
      <c r="P37" s="26" t="s">
        <v>55</v>
      </c>
      <c r="Q37" s="27">
        <f>Simulacao!R249</f>
        <v>161721.86760364164</v>
      </c>
      <c r="R37" s="27">
        <f>Simulacao!R7</f>
        <v>68979.842625000005</v>
      </c>
      <c r="S37" s="27">
        <f>Simulacao!R250</f>
        <v>0</v>
      </c>
      <c r="T37" s="27">
        <f>Simulacao!R252</f>
        <v>92742.024978641639</v>
      </c>
      <c r="U37" s="27">
        <f t="shared" si="0"/>
        <v>454519.00953280792</v>
      </c>
    </row>
    <row r="38" spans="2:21" ht="12" customHeight="1" x14ac:dyDescent="0.35">
      <c r="P38" s="26" t="s">
        <v>56</v>
      </c>
      <c r="Q38" s="27">
        <f>Simulacao!S249</f>
        <v>43681.482374330706</v>
      </c>
      <c r="R38" s="27">
        <f>Simulacao!S7</f>
        <v>64726.665375000004</v>
      </c>
      <c r="S38" s="27">
        <f>Simulacao!S250</f>
        <v>0</v>
      </c>
      <c r="T38" s="27">
        <f>Simulacao!S252</f>
        <v>-21045.183000669298</v>
      </c>
      <c r="U38" s="27">
        <f t="shared" si="0"/>
        <v>433473.82653213863</v>
      </c>
    </row>
    <row r="39" spans="2:21" ht="12" customHeight="1" x14ac:dyDescent="0.35">
      <c r="P39" s="26" t="s">
        <v>57</v>
      </c>
      <c r="Q39" s="27">
        <f>Simulacao!T249</f>
        <v>44436.590415461891</v>
      </c>
      <c r="R39" s="27">
        <f>Simulacao!T7</f>
        <v>66518.635500000004</v>
      </c>
      <c r="S39" s="27">
        <f>Simulacao!T250</f>
        <v>0</v>
      </c>
      <c r="T39" s="27">
        <f>Simulacao!T252</f>
        <v>-22082.045084538113</v>
      </c>
      <c r="U39" s="27">
        <f t="shared" si="0"/>
        <v>411391.78144760052</v>
      </c>
    </row>
    <row r="40" spans="2:21" ht="12" customHeight="1" x14ac:dyDescent="0.35">
      <c r="P40" s="26" t="s">
        <v>58</v>
      </c>
      <c r="Q40" s="27">
        <f>Simulacao!U249</f>
        <v>44290.501673835999</v>
      </c>
      <c r="R40" s="27">
        <f>Simulacao!U7</f>
        <v>64317.198000000004</v>
      </c>
      <c r="S40" s="27">
        <f>Simulacao!U250</f>
        <v>0</v>
      </c>
      <c r="T40" s="27">
        <f>Simulacao!U252</f>
        <v>-20026.696326164005</v>
      </c>
      <c r="U40" s="27">
        <f t="shared" si="0"/>
        <v>391365.08512143651</v>
      </c>
    </row>
    <row r="41" spans="2:21" ht="12" customHeight="1" x14ac:dyDescent="0.35">
      <c r="P41" s="26" t="s">
        <v>59</v>
      </c>
      <c r="Q41" s="27">
        <f>Simulacao!V249</f>
        <v>45775.199657723439</v>
      </c>
      <c r="R41" s="27">
        <f>Simulacao!V7</f>
        <v>61072.279125000008</v>
      </c>
      <c r="S41" s="27">
        <f>Simulacao!V250</f>
        <v>0</v>
      </c>
      <c r="T41" s="27">
        <f>Simulacao!V252</f>
        <v>-15297.07946727657</v>
      </c>
      <c r="U41" s="27">
        <f t="shared" si="0"/>
        <v>376068.00565415993</v>
      </c>
    </row>
    <row r="42" spans="2:21" ht="12" customHeight="1" x14ac:dyDescent="0.35">
      <c r="P42" s="26" t="s">
        <v>60</v>
      </c>
      <c r="Q42" s="27">
        <f>Simulacao!W249</f>
        <v>42484.598184010109</v>
      </c>
      <c r="R42" s="27">
        <f>Simulacao!W7</f>
        <v>63022.752749999992</v>
      </c>
      <c r="S42" s="27">
        <f>Simulacao!W250</f>
        <v>0</v>
      </c>
      <c r="T42" s="27">
        <f>Simulacao!W252</f>
        <v>-20538.154565989884</v>
      </c>
      <c r="U42" s="27">
        <f t="shared" si="0"/>
        <v>355529.85108817008</v>
      </c>
    </row>
    <row r="43" spans="2:21" ht="12" customHeight="1" x14ac:dyDescent="0.35">
      <c r="P43" s="26" t="s">
        <v>61</v>
      </c>
      <c r="Q43" s="27">
        <f>Simulacao!X249</f>
        <v>45032.044331816214</v>
      </c>
      <c r="R43" s="27">
        <f>Simulacao!X7</f>
        <v>56158.670624999999</v>
      </c>
      <c r="S43" s="27">
        <f>Simulacao!X250</f>
        <v>0</v>
      </c>
      <c r="T43" s="27">
        <f>Simulacao!X252</f>
        <v>-11126.626293183785</v>
      </c>
      <c r="U43" s="27">
        <f t="shared" si="0"/>
        <v>344403.22479498631</v>
      </c>
    </row>
    <row r="44" spans="2:21" ht="12" customHeight="1" x14ac:dyDescent="0.35">
      <c r="P44" s="26" t="s">
        <v>62</v>
      </c>
      <c r="Q44" s="27">
        <f>Simulacao!Y249</f>
        <v>212454.37427997991</v>
      </c>
      <c r="R44" s="27">
        <f>Simulacao!Y7</f>
        <v>64414.061249999999</v>
      </c>
      <c r="S44" s="27">
        <f>Simulacao!Y250</f>
        <v>0</v>
      </c>
      <c r="T44" s="27">
        <f>Simulacao!Y252</f>
        <v>148040.31302997991</v>
      </c>
      <c r="U44" s="27">
        <f t="shared" si="0"/>
        <v>492443.53782496625</v>
      </c>
    </row>
    <row r="45" spans="2:21" ht="12" customHeight="1" x14ac:dyDescent="0.35">
      <c r="B45" s="230" t="s">
        <v>63</v>
      </c>
      <c r="C45" s="230"/>
      <c r="D45" s="230"/>
      <c r="E45" s="230"/>
      <c r="F45" s="230"/>
      <c r="G45" s="230"/>
      <c r="H45" s="230"/>
      <c r="I45" s="230"/>
      <c r="J45" s="230"/>
      <c r="K45" s="230"/>
      <c r="L45" s="230"/>
      <c r="P45" s="26" t="s">
        <v>64</v>
      </c>
      <c r="Q45" s="27">
        <f>Simulacao!Z249</f>
        <v>35167.544347757459</v>
      </c>
      <c r="R45" s="27">
        <f>Simulacao!Z7</f>
        <v>64273.169250000006</v>
      </c>
      <c r="S45" s="27">
        <f>Simulacao!Z250</f>
        <v>0</v>
      </c>
      <c r="T45" s="27">
        <f>Simulacao!Z252</f>
        <v>-29105.624902242547</v>
      </c>
      <c r="U45" s="27">
        <f t="shared" si="0"/>
        <v>463337.91292272368</v>
      </c>
    </row>
    <row r="46" spans="2:21" ht="12" customHeight="1" x14ac:dyDescent="0.35">
      <c r="B46" s="4" t="s">
        <v>65</v>
      </c>
      <c r="C46" s="29" t="s">
        <v>66</v>
      </c>
      <c r="D46" s="5" t="s">
        <v>67</v>
      </c>
      <c r="E46" s="5" t="s">
        <v>68</v>
      </c>
      <c r="F46" s="5" t="s">
        <v>69</v>
      </c>
      <c r="P46" s="26" t="s">
        <v>70</v>
      </c>
      <c r="Q46" s="27">
        <f>Simulacao!AA249</f>
        <v>32721.221965258628</v>
      </c>
      <c r="R46" s="27">
        <f>Simulacao!AA7</f>
        <v>60152.078249999999</v>
      </c>
      <c r="S46" s="27">
        <f>Simulacao!AA250</f>
        <v>0</v>
      </c>
      <c r="T46" s="27">
        <f>Simulacao!AA252</f>
        <v>-27430.85628474137</v>
      </c>
      <c r="U46" s="27">
        <f t="shared" si="0"/>
        <v>435907.05663798231</v>
      </c>
    </row>
    <row r="47" spans="2:21" ht="12.75" customHeight="1" x14ac:dyDescent="0.35">
      <c r="B47" s="30" t="s">
        <v>71</v>
      </c>
      <c r="C47" s="31" t="s">
        <v>72</v>
      </c>
      <c r="D47" s="32">
        <f>Simulacao!B255</f>
        <v>363392.79953723564</v>
      </c>
      <c r="E47" s="22">
        <f>Simulacao!B255*Premissas!$B$17</f>
        <v>160801.31379522677</v>
      </c>
      <c r="F47" s="23">
        <f>IFERROR(Simulacao!B255/Simulacao!B273,0)</f>
        <v>0.31492343881500279</v>
      </c>
    </row>
    <row r="48" spans="2:21" ht="12.75" customHeight="1" x14ac:dyDescent="0.35">
      <c r="B48" s="30" t="s">
        <v>73</v>
      </c>
      <c r="C48" s="31" t="s">
        <v>74</v>
      </c>
      <c r="D48" s="32">
        <f>Simulacao!B256</f>
        <v>347056.54985246802</v>
      </c>
      <c r="E48" s="22">
        <f>Simulacao!B256*Premissas!$B$17</f>
        <v>153572.5233097171</v>
      </c>
      <c r="F48" s="23">
        <f>IFERROR(Simulacao!B256/Simulacao!B273,0)</f>
        <v>0.30076611942227122</v>
      </c>
    </row>
    <row r="49" spans="1:21" ht="12.75" customHeight="1" x14ac:dyDescent="0.35">
      <c r="B49" s="33" t="s">
        <v>75</v>
      </c>
      <c r="C49" s="34" t="s">
        <v>76</v>
      </c>
      <c r="D49" s="24">
        <f>Simulacao!B257</f>
        <v>48227.227686487138</v>
      </c>
      <c r="E49" s="35">
        <f>Simulacao!B257*Premissas!$B$17</f>
        <v>21340.54825127056</v>
      </c>
      <c r="F49" s="36">
        <f>IFERROR(Simulacao!B257/Simulacao!B273,0)</f>
        <v>4.1794676193044354E-2</v>
      </c>
    </row>
    <row r="50" spans="1:21" ht="12.75" customHeight="1" x14ac:dyDescent="0.35">
      <c r="B50" s="9" t="s">
        <v>77</v>
      </c>
      <c r="C50" s="37" t="s">
        <v>76</v>
      </c>
      <c r="D50" s="38">
        <f>Simulacao!B258</f>
        <v>3516.0365625129066</v>
      </c>
      <c r="E50" s="10">
        <f>Simulacao!B258*Premissas!$B$17</f>
        <v>1555.8461789119613</v>
      </c>
      <c r="F50" s="11">
        <f>IFERROR(Simulacao!B258/Simulacao!B273,0)</f>
        <v>3.0470673240524308E-3</v>
      </c>
    </row>
    <row r="51" spans="1:21" ht="12.75" customHeight="1" x14ac:dyDescent="0.35">
      <c r="B51" s="33" t="s">
        <v>78</v>
      </c>
      <c r="C51" s="34" t="s">
        <v>76</v>
      </c>
      <c r="D51" s="24">
        <f>Simulacao!B259</f>
        <v>4931.6828847257466</v>
      </c>
      <c r="E51" s="35">
        <f>Simulacao!B259*Premissas!$B$17</f>
        <v>2182.2696764911429</v>
      </c>
      <c r="F51" s="36">
        <f>IFERROR(Simulacao!B259/Simulacao!B273,0)</f>
        <v>4.2738946263677522E-3</v>
      </c>
    </row>
    <row r="52" spans="1:21" ht="12.75" customHeight="1" x14ac:dyDescent="0.35">
      <c r="B52" s="9" t="s">
        <v>79</v>
      </c>
      <c r="C52" s="37" t="s">
        <v>76</v>
      </c>
      <c r="D52" s="38">
        <f>Simulacao!B260</f>
        <v>8017.1096225495585</v>
      </c>
      <c r="E52" s="10">
        <f>Simulacao!B260*Premissas!$B$17</f>
        <v>3547.5710079781798</v>
      </c>
      <c r="F52" s="11">
        <f>IFERROR(Simulacao!B260/Simulacao!B273,0)</f>
        <v>6.9477868986544148E-3</v>
      </c>
    </row>
    <row r="53" spans="1:21" ht="12.75" customHeight="1" x14ac:dyDescent="0.35">
      <c r="B53" s="33" t="s">
        <v>80</v>
      </c>
      <c r="C53" s="34" t="s">
        <v>76</v>
      </c>
      <c r="D53" s="24">
        <f>Simulacao!B261</f>
        <v>174669.20951946563</v>
      </c>
      <c r="E53" s="35">
        <f>Simulacao!B261*Premissas!$B$17</f>
        <v>77291.125212363535</v>
      </c>
      <c r="F53" s="36">
        <f>IFERROR(Simulacao!B261/Simulacao!B273,0)</f>
        <v>0.15137181635689484</v>
      </c>
    </row>
    <row r="54" spans="1:21" ht="12.75" customHeight="1" x14ac:dyDescent="0.35">
      <c r="B54" s="9" t="s">
        <v>81</v>
      </c>
      <c r="C54" s="37" t="s">
        <v>76</v>
      </c>
      <c r="D54" s="38">
        <f>Simulacao!B262</f>
        <v>30697.168613385216</v>
      </c>
      <c r="E54" s="10">
        <f>Simulacao!B262*Premissas!$B$17</f>
        <v>13583.497111422957</v>
      </c>
      <c r="F54" s="11">
        <f>IFERROR(Simulacao!B262/Simulacao!B273,0)</f>
        <v>2.6602777803858692E-2</v>
      </c>
    </row>
    <row r="55" spans="1:21" ht="12.75" customHeight="1" x14ac:dyDescent="0.35">
      <c r="B55" s="33" t="s">
        <v>82</v>
      </c>
      <c r="C55" s="34" t="s">
        <v>76</v>
      </c>
      <c r="D55" s="24">
        <f>Simulacao!B263</f>
        <v>17019.809097163648</v>
      </c>
      <c r="E55" s="35">
        <f>Simulacao!B263*Premissas!$B$17</f>
        <v>7531.2655254949141</v>
      </c>
      <c r="F55" s="36">
        <f>IFERROR(Simulacao!B263/Simulacao!B273,0)</f>
        <v>1.4749705595926177E-2</v>
      </c>
    </row>
    <row r="56" spans="1:21" ht="12.75" customHeight="1" x14ac:dyDescent="0.35">
      <c r="B56" s="9" t="s">
        <v>83</v>
      </c>
      <c r="C56" s="37" t="s">
        <v>76</v>
      </c>
      <c r="D56" s="38">
        <f>Simulacao!B264</f>
        <v>11109.969041717146</v>
      </c>
      <c r="E56" s="10">
        <f>Simulacao!B264*Premissas!$B$17</f>
        <v>4916.1613009598368</v>
      </c>
      <c r="F56" s="11">
        <f>IFERROR(Simulacao!B264/Simulacao!B273,0)</f>
        <v>9.6281204806516144E-3</v>
      </c>
    </row>
    <row r="57" spans="1:21" ht="12.75" customHeight="1" x14ac:dyDescent="0.35">
      <c r="B57" s="33" t="s">
        <v>84</v>
      </c>
      <c r="C57" s="34" t="s">
        <v>76</v>
      </c>
      <c r="D57" s="24">
        <f>Simulacao!B265</f>
        <v>4588.7710097050467</v>
      </c>
      <c r="E57" s="35">
        <f>Simulacao!B265*Premissas!$B$17</f>
        <v>2030.5311717944833</v>
      </c>
      <c r="F57" s="36">
        <f>IFERROR(Simulacao!B265/Simulacao!B273,0)</f>
        <v>3.9767203647160599E-3</v>
      </c>
    </row>
    <row r="58" spans="1:21" ht="12.75" customHeight="1" x14ac:dyDescent="0.35">
      <c r="B58" s="9" t="s">
        <v>85</v>
      </c>
      <c r="C58" s="37" t="s">
        <v>76</v>
      </c>
      <c r="D58" s="38">
        <f>Simulacao!B266</f>
        <v>6783.862335986084</v>
      </c>
      <c r="E58" s="10">
        <f>Simulacao!B266*Premissas!$B$17</f>
        <v>3001.8590836738422</v>
      </c>
      <c r="F58" s="11">
        <f>IFERROR(Simulacao!B266/Simulacao!B273,0)</f>
        <v>5.8790302339972646E-3</v>
      </c>
    </row>
    <row r="59" spans="1:21" ht="12.75" customHeight="1" x14ac:dyDescent="0.35">
      <c r="B59" s="33" t="s">
        <v>86</v>
      </c>
      <c r="C59" s="34" t="s">
        <v>76</v>
      </c>
      <c r="D59" s="24">
        <f>Simulacao!B267</f>
        <v>32892.005589813285</v>
      </c>
      <c r="E59" s="35">
        <f>Simulacao!B267*Premissas!$B$17</f>
        <v>14554.712473492378</v>
      </c>
      <c r="F59" s="36">
        <f>IFERROR(Simulacao!B267/Simulacao!B273,0)</f>
        <v>2.8504867248490696E-2</v>
      </c>
    </row>
    <row r="60" spans="1:21" ht="12.75" customHeight="1" x14ac:dyDescent="0.35">
      <c r="A60" s="39"/>
      <c r="B60" s="33" t="s">
        <v>87</v>
      </c>
      <c r="C60" s="34" t="s">
        <v>76</v>
      </c>
      <c r="D60" s="24">
        <f>Simulacao!B268</f>
        <v>65098.388401933131</v>
      </c>
      <c r="E60" s="35">
        <f>Simulacao!B268*Premissas!$B$17</f>
        <v>28806.036867855411</v>
      </c>
      <c r="F60" s="36">
        <f>IFERROR(Simulacao!B268/Simulacao!B273,0)</f>
        <v>5.6415560140318094E-2</v>
      </c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</row>
    <row r="61" spans="1:21" ht="12.75" customHeight="1" x14ac:dyDescent="0.35">
      <c r="A61" s="39"/>
      <c r="B61" s="9" t="s">
        <v>88</v>
      </c>
      <c r="C61" s="37" t="s">
        <v>89</v>
      </c>
      <c r="D61" s="38">
        <f>Simulacao!B269</f>
        <v>1320.3387059489762</v>
      </c>
      <c r="E61" s="10">
        <f>Simulacao!B269*Premissas!$B$17</f>
        <v>584.24987738242203</v>
      </c>
      <c r="F61" s="11">
        <f>IFERROR(Simulacao!B269/Simulacao!B273,0)</f>
        <v>1.1442318235460693E-3</v>
      </c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</row>
    <row r="62" spans="1:21" ht="12.75" customHeight="1" x14ac:dyDescent="0.35">
      <c r="A62" s="39"/>
      <c r="B62" s="33" t="s">
        <v>90</v>
      </c>
      <c r="C62" s="34" t="s">
        <v>76</v>
      </c>
      <c r="D62" s="24">
        <f>Simulacao!B270</f>
        <v>10010.106696178478</v>
      </c>
      <c r="E62" s="35">
        <f>Simulacao!B270*Premissas!$B$17</f>
        <v>4429.4722130589762</v>
      </c>
      <c r="F62" s="36">
        <f>IFERROR(Simulacao!B270/Simulacao!B273,0)</f>
        <v>8.6749578628967719E-3</v>
      </c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</row>
    <row r="63" spans="1:21" ht="12.75" customHeight="1" x14ac:dyDescent="0.35">
      <c r="A63" s="39"/>
      <c r="B63" s="9" t="s">
        <v>91</v>
      </c>
      <c r="C63" s="37" t="s">
        <v>76</v>
      </c>
      <c r="D63" s="38">
        <f>Simulacao!B271</f>
        <v>24577.358910228184</v>
      </c>
      <c r="E63" s="10">
        <f>Simulacao!B271*Premissas!$B$17</f>
        <v>10875.481317775972</v>
      </c>
      <c r="F63" s="11">
        <f>IFERROR(Simulacao!B271/Simulacao!B273,0)</f>
        <v>2.1299228809310844E-2</v>
      </c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</row>
    <row r="64" spans="1:21" ht="15" customHeight="1" x14ac:dyDescent="0.35">
      <c r="A64" s="39"/>
      <c r="B64" s="40" t="s">
        <v>92</v>
      </c>
      <c r="C64" s="41"/>
      <c r="D64" s="42">
        <f>Simulacao!B273</f>
        <v>1153908.3940675037</v>
      </c>
      <c r="E64" s="43">
        <f>Simulacao!B273*Premissas!$B$17</f>
        <v>510604.46437487041</v>
      </c>
      <c r="F64" s="44">
        <f>1</f>
        <v>1</v>
      </c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</row>
    <row r="65" spans="1:21" ht="15.75" hidden="1" customHeight="1" x14ac:dyDescent="0.35">
      <c r="A65" s="39"/>
      <c r="B65" s="231" t="s">
        <v>93</v>
      </c>
      <c r="C65" s="231"/>
      <c r="D65" s="231"/>
      <c r="E65" s="231"/>
      <c r="F65" s="231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</row>
    <row r="66" spans="1:21" ht="12.75" customHeight="1" x14ac:dyDescent="0.35">
      <c r="A66" s="39"/>
      <c r="B66" s="46" t="s">
        <v>94</v>
      </c>
      <c r="C66" s="47" t="s">
        <v>95</v>
      </c>
      <c r="D66" s="47" t="s">
        <v>96</v>
      </c>
      <c r="E66" s="47" t="s">
        <v>97</v>
      </c>
      <c r="F66" s="47" t="s">
        <v>98</v>
      </c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</row>
    <row r="67" spans="1:21" ht="12.75" hidden="1" customHeight="1" x14ac:dyDescent="0.35">
      <c r="A67" s="39"/>
      <c r="B67" s="48" t="s">
        <v>99</v>
      </c>
      <c r="C67" s="49">
        <f>Simulacao!AA34</f>
        <v>44055.758422141385</v>
      </c>
      <c r="D67" s="49">
        <f>Simulacao!AA31</f>
        <v>363392.79953723564</v>
      </c>
      <c r="E67" s="50">
        <f>Simulacao!B281</f>
        <v>319337.04111509427</v>
      </c>
      <c r="F67" s="50">
        <f>Simulacao!B281*Premissas!$B$17</f>
        <v>141306.64069342922</v>
      </c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</row>
    <row r="68" spans="1:21" ht="12.75" hidden="1" customHeight="1" x14ac:dyDescent="0.35">
      <c r="A68" s="39"/>
      <c r="B68" s="51" t="s">
        <v>100</v>
      </c>
      <c r="C68" s="52">
        <f>Simulacao!AA52</f>
        <v>340942.35961939255</v>
      </c>
      <c r="D68" s="52">
        <f>Simulacao!AA49</f>
        <v>347056.54985246802</v>
      </c>
      <c r="E68" s="50">
        <f>Simulacao!B282</f>
        <v>6114.1902330754674</v>
      </c>
      <c r="F68" s="50">
        <f>Simulacao!B282*Premissas!$B$17</f>
        <v>2705.5291781358942</v>
      </c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</row>
    <row r="69" spans="1:21" ht="12.75" hidden="1" customHeight="1" x14ac:dyDescent="0.35">
      <c r="A69" s="39"/>
      <c r="B69" s="48" t="s">
        <v>101</v>
      </c>
      <c r="C69" s="53" t="s">
        <v>102</v>
      </c>
      <c r="D69" s="53">
        <f>Simulacao!B283</f>
        <v>443459.04467780021</v>
      </c>
      <c r="E69" s="50">
        <f>Simulacao!B283</f>
        <v>443459.04467780021</v>
      </c>
      <c r="F69" s="50">
        <f>Simulacao!B283*Premissas!$B$17</f>
        <v>196230.6272699266</v>
      </c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</row>
    <row r="70" spans="1:21" ht="15" hidden="1" customHeight="1" x14ac:dyDescent="0.35">
      <c r="A70" s="39"/>
      <c r="B70" s="45" t="s">
        <v>103</v>
      </c>
      <c r="C70" s="54" t="s">
        <v>104</v>
      </c>
      <c r="D70" s="54" t="s">
        <v>104</v>
      </c>
      <c r="E70" s="55">
        <f>Simulacao!B284</f>
        <v>768910.27602597</v>
      </c>
      <c r="F70" s="55">
        <f>Simulacao!B285</f>
        <v>340242.79714149173</v>
      </c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</row>
    <row r="71" spans="1:21" ht="15" hidden="1" customHeight="1" x14ac:dyDescent="0.35">
      <c r="A71" s="39"/>
      <c r="B71" s="226" t="s">
        <v>105</v>
      </c>
      <c r="C71" s="226"/>
      <c r="D71" s="226"/>
      <c r="E71" s="226"/>
      <c r="F71" s="226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</row>
    <row r="72" spans="1:21" ht="12" hidden="1" customHeight="1" x14ac:dyDescent="0.35">
      <c r="A72" s="39"/>
      <c r="B72" s="56" t="str">
        <f>"Modelo V4_d  ·  Usina: "&amp;Premissas!$B$13&amp;"  ·  PPA: R$"&amp;TEXT(Premissas!$B$17,"0.0000")&amp;"/kWh"&amp;"  ·  Jun/2026–Mai/2028"</f>
        <v>Modelo V4_d  ·  Usina: Cassilândia 03  ·  PPA: R$00.000/kWh  ·  Jun/2026–Mai/2028</v>
      </c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</row>
    <row r="73" spans="1:21" ht="15" hidden="1" customHeight="1" x14ac:dyDescent="0.35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</row>
    <row r="74" spans="1:21" ht="15" hidden="1" customHeight="1" x14ac:dyDescent="0.35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</row>
    <row r="75" spans="1:21" ht="15" hidden="1" customHeight="1" x14ac:dyDescent="0.3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</row>
    <row r="76" spans="1:21" ht="15" hidden="1" customHeight="1" x14ac:dyDescent="0.35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</row>
    <row r="77" spans="1:21" ht="15" hidden="1" customHeight="1" x14ac:dyDescent="0.35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</row>
    <row r="78" spans="1:21" ht="15" hidden="1" customHeight="1" x14ac:dyDescent="0.35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</row>
    <row r="79" spans="1:21" ht="15" hidden="1" customHeight="1" x14ac:dyDescent="0.35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</row>
    <row r="80" spans="1:21" ht="15" hidden="1" customHeight="1" x14ac:dyDescent="0.35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</row>
    <row r="81" spans="1:21" ht="15" hidden="1" customHeight="1" x14ac:dyDescent="0.35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</row>
    <row r="82" spans="1:21" ht="15" hidden="1" customHeight="1" x14ac:dyDescent="0.35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</row>
    <row r="83" spans="1:21" ht="15" hidden="1" customHeight="1" x14ac:dyDescent="0.35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</row>
    <row r="84" spans="1:21" ht="15" hidden="1" customHeight="1" x14ac:dyDescent="0.35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</row>
    <row r="85" spans="1:21" ht="15" hidden="1" customHeight="1" x14ac:dyDescent="0.3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</row>
  </sheetData>
  <mergeCells count="51">
    <mergeCell ref="B1:L1"/>
    <mergeCell ref="B2:L2"/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  <mergeCell ref="B6:C6"/>
    <mergeCell ref="D6:E6"/>
    <mergeCell ref="F6:G6"/>
    <mergeCell ref="H6:I6"/>
    <mergeCell ref="J6:K6"/>
    <mergeCell ref="B8:G8"/>
    <mergeCell ref="I8:L8"/>
    <mergeCell ref="B9:D9"/>
    <mergeCell ref="I9:J9"/>
    <mergeCell ref="K9:L9"/>
    <mergeCell ref="B10:D10"/>
    <mergeCell ref="I10:J10"/>
    <mergeCell ref="K10:L10"/>
    <mergeCell ref="B11:D11"/>
    <mergeCell ref="I11:J11"/>
    <mergeCell ref="K11:L11"/>
    <mergeCell ref="B12:D12"/>
    <mergeCell ref="I12:J12"/>
    <mergeCell ref="K12:L12"/>
    <mergeCell ref="B13:D13"/>
    <mergeCell ref="I13:J13"/>
    <mergeCell ref="K13:L13"/>
    <mergeCell ref="B14:D14"/>
    <mergeCell ref="I14:J14"/>
    <mergeCell ref="K14:L14"/>
    <mergeCell ref="B15:D15"/>
    <mergeCell ref="I15:J15"/>
    <mergeCell ref="K15:L15"/>
    <mergeCell ref="B16:D16"/>
    <mergeCell ref="I16:J16"/>
    <mergeCell ref="K16:L16"/>
    <mergeCell ref="I17:J17"/>
    <mergeCell ref="K17:L17"/>
    <mergeCell ref="B71:F71"/>
    <mergeCell ref="I18:J18"/>
    <mergeCell ref="K18:L18"/>
    <mergeCell ref="B20:L20"/>
    <mergeCell ref="B45:L45"/>
    <mergeCell ref="B65:F6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FA3"/>
  </sheetPr>
  <dimension ref="A1:M84"/>
  <sheetViews>
    <sheetView showGridLines="0" zoomScaleNormal="100" workbookViewId="0">
      <selection activeCell="D7" sqref="D7"/>
    </sheetView>
  </sheetViews>
  <sheetFormatPr defaultColWidth="8.7265625" defaultRowHeight="14.5" x14ac:dyDescent="0.35"/>
  <cols>
    <col min="1" max="1" width="79.26953125" customWidth="1"/>
    <col min="2" max="2" width="18" customWidth="1"/>
    <col min="3" max="3" width="30" customWidth="1"/>
    <col min="4" max="4" width="21.453125" customWidth="1"/>
    <col min="5" max="5" width="18" customWidth="1"/>
    <col min="7" max="7" width="3" customWidth="1"/>
    <col min="8" max="8" width="51" customWidth="1"/>
    <col min="9" max="9" width="16.26953125" customWidth="1"/>
    <col min="10" max="10" width="20" customWidth="1"/>
    <col min="11" max="11" width="13.1796875" customWidth="1"/>
    <col min="12" max="12" width="20" customWidth="1"/>
    <col min="13" max="13" width="15" customWidth="1"/>
  </cols>
  <sheetData>
    <row r="1" spans="1:13" ht="21.75" customHeight="1" x14ac:dyDescent="0.35">
      <c r="A1" s="293" t="str">
        <f>"PREMISSAS — "&amp;Premissas!$B$13&amp;" × Copasul | Energisa MS"</f>
        <v>PREMISSAS — Cassilândia 03 × Copasul | Energisa MS</v>
      </c>
      <c r="B1" s="293"/>
      <c r="C1" s="293"/>
      <c r="D1" s="293"/>
      <c r="E1" s="293"/>
      <c r="G1" s="294" t="s">
        <v>106</v>
      </c>
      <c r="H1" s="294"/>
      <c r="I1" s="294"/>
      <c r="J1" s="294"/>
      <c r="K1" s="294"/>
      <c r="L1" s="294"/>
      <c r="M1" s="294"/>
    </row>
    <row r="2" spans="1:13" ht="12.75" customHeight="1" x14ac:dyDescent="0.35">
      <c r="A2" s="295" t="s">
        <v>107</v>
      </c>
      <c r="B2" s="295"/>
      <c r="C2" s="295"/>
      <c r="D2" s="295"/>
      <c r="E2" s="295"/>
      <c r="G2" s="296" t="s">
        <v>108</v>
      </c>
      <c r="H2" s="296"/>
      <c r="I2" s="296"/>
      <c r="J2" s="296"/>
      <c r="K2" s="296"/>
      <c r="L2" s="296"/>
      <c r="M2" s="296"/>
    </row>
    <row r="3" spans="1:13" ht="6" customHeight="1" x14ac:dyDescent="0.35"/>
    <row r="4" spans="1:13" ht="15.75" customHeight="1" x14ac:dyDescent="0.35">
      <c r="A4" s="273" t="s">
        <v>109</v>
      </c>
      <c r="B4" s="273"/>
      <c r="C4" s="273"/>
      <c r="D4" s="273"/>
      <c r="E4" s="273"/>
      <c r="G4" s="265" t="s">
        <v>110</v>
      </c>
      <c r="H4" s="265"/>
      <c r="I4" s="265"/>
      <c r="J4" s="2" t="s">
        <v>111</v>
      </c>
      <c r="K4" s="2" t="s">
        <v>112</v>
      </c>
      <c r="L4" s="259" t="s">
        <v>113</v>
      </c>
      <c r="M4" s="259"/>
    </row>
    <row r="5" spans="1:13" ht="24" customHeight="1" x14ac:dyDescent="0.35">
      <c r="A5" s="57" t="s">
        <v>114</v>
      </c>
      <c r="B5" s="58">
        <v>0.52647111134532698</v>
      </c>
      <c r="C5" s="59" t="s">
        <v>115</v>
      </c>
      <c r="G5" s="289" t="s">
        <v>116</v>
      </c>
      <c r="H5" s="289"/>
      <c r="I5" s="289"/>
      <c r="J5" s="60" t="s">
        <v>117</v>
      </c>
      <c r="K5" s="61">
        <f>Simulacao!B252</f>
        <v>435907.05663798231</v>
      </c>
      <c r="L5" s="272" t="s">
        <v>118</v>
      </c>
      <c r="M5" s="272"/>
    </row>
    <row r="6" spans="1:13" ht="14.25" customHeight="1" x14ac:dyDescent="0.35">
      <c r="A6" s="57" t="s">
        <v>119</v>
      </c>
      <c r="B6" s="58">
        <v>2.9723794027943402</v>
      </c>
      <c r="C6" s="59" t="s">
        <v>120</v>
      </c>
    </row>
    <row r="7" spans="1:13" ht="21.75" customHeight="1" x14ac:dyDescent="0.35">
      <c r="A7" s="57" t="s">
        <v>121</v>
      </c>
      <c r="B7" s="58">
        <v>1.15686364923884</v>
      </c>
      <c r="C7" s="59" t="s">
        <v>122</v>
      </c>
      <c r="D7">
        <f>(592+286.02)/(1-B10)/(1-B9)</f>
        <v>1156.7582522545074</v>
      </c>
      <c r="G7" s="290" t="s">
        <v>123</v>
      </c>
      <c r="H7" s="290"/>
      <c r="I7" s="291" t="s">
        <v>124</v>
      </c>
      <c r="J7" s="291"/>
      <c r="K7" s="291"/>
      <c r="L7" s="291"/>
      <c r="M7" s="291"/>
    </row>
    <row r="8" spans="1:13" ht="21.75" customHeight="1" x14ac:dyDescent="0.35">
      <c r="A8" s="57" t="s">
        <v>125</v>
      </c>
      <c r="B8" s="63">
        <v>0.60426704914726304</v>
      </c>
      <c r="C8" s="59" t="s">
        <v>126</v>
      </c>
      <c r="G8" s="229" t="s">
        <v>127</v>
      </c>
      <c r="H8" s="229"/>
      <c r="I8" s="292" t="s">
        <v>128</v>
      </c>
      <c r="J8" s="292"/>
      <c r="K8" s="292"/>
      <c r="L8" s="292"/>
      <c r="M8" s="292"/>
    </row>
    <row r="9" spans="1:13" ht="21.75" customHeight="1" x14ac:dyDescent="0.35">
      <c r="A9" s="57" t="s">
        <v>129</v>
      </c>
      <c r="B9" s="64">
        <v>0.17</v>
      </c>
      <c r="C9" s="59" t="s">
        <v>130</v>
      </c>
      <c r="G9" s="265" t="s">
        <v>131</v>
      </c>
      <c r="H9" s="265"/>
      <c r="I9" s="288" t="s">
        <v>132</v>
      </c>
      <c r="J9" s="288"/>
      <c r="K9" s="288"/>
      <c r="L9" s="288"/>
      <c r="M9" s="288"/>
    </row>
    <row r="10" spans="1:13" ht="21" customHeight="1" x14ac:dyDescent="0.35">
      <c r="A10" s="57" t="s">
        <v>133</v>
      </c>
      <c r="B10" s="64">
        <v>8.5500000000000007E-2</v>
      </c>
      <c r="C10" s="59" t="s">
        <v>134</v>
      </c>
      <c r="G10" s="265" t="s">
        <v>135</v>
      </c>
      <c r="H10" s="265"/>
      <c r="I10" s="288" t="s">
        <v>136</v>
      </c>
      <c r="J10" s="288"/>
      <c r="K10" s="288"/>
      <c r="L10" s="288"/>
      <c r="M10" s="288"/>
    </row>
    <row r="11" spans="1:13" ht="33" customHeight="1" x14ac:dyDescent="0.35">
      <c r="A11" s="65" t="s">
        <v>137</v>
      </c>
      <c r="B11" s="66" t="s">
        <v>138</v>
      </c>
      <c r="C11" s="67">
        <f>IF($B$11="Sim",0,$B$5*$B$9/(1+$B$9))</f>
        <v>0</v>
      </c>
      <c r="D11" s="67">
        <f>IF($B$11="Sim",0,$B$6*$B$9/(1+$B$9))</f>
        <v>0</v>
      </c>
      <c r="E11" s="67">
        <f>IF($B$11="Sim",0,$B$7*$B$9/(1+$B$9))</f>
        <v>0</v>
      </c>
      <c r="F11" s="68" t="s">
        <v>139</v>
      </c>
    </row>
    <row r="12" spans="1:13" ht="15.75" customHeight="1" x14ac:dyDescent="0.35">
      <c r="A12" s="273" t="s">
        <v>140</v>
      </c>
      <c r="B12" s="273"/>
      <c r="C12" s="273"/>
      <c r="D12" s="273"/>
      <c r="E12" s="273"/>
      <c r="G12" s="229" t="s">
        <v>141</v>
      </c>
      <c r="H12" s="229"/>
      <c r="I12" s="229"/>
      <c r="J12" s="229"/>
      <c r="K12" s="229"/>
      <c r="L12" s="229"/>
      <c r="M12" s="229"/>
    </row>
    <row r="13" spans="1:13" ht="13.5" customHeight="1" x14ac:dyDescent="0.35">
      <c r="A13" s="57" t="s">
        <v>142</v>
      </c>
      <c r="B13" s="69" t="s">
        <v>143</v>
      </c>
      <c r="G13" s="284" t="s">
        <v>144</v>
      </c>
      <c r="H13" s="284"/>
      <c r="I13" s="70" t="s">
        <v>145</v>
      </c>
      <c r="J13" s="284" t="s">
        <v>146</v>
      </c>
      <c r="K13" s="284"/>
      <c r="L13" s="284" t="s">
        <v>147</v>
      </c>
      <c r="M13" s="284"/>
    </row>
    <row r="14" spans="1:13" ht="15" customHeight="1" x14ac:dyDescent="0.35">
      <c r="A14" s="57" t="s">
        <v>148</v>
      </c>
      <c r="B14" s="71" t="s">
        <v>149</v>
      </c>
      <c r="G14" s="285" t="s">
        <v>150</v>
      </c>
      <c r="H14" s="285"/>
      <c r="I14" s="72" t="s">
        <v>151</v>
      </c>
      <c r="J14" s="286" t="s">
        <v>102</v>
      </c>
      <c r="K14" s="286"/>
      <c r="L14" s="287" t="s">
        <v>152</v>
      </c>
      <c r="M14" s="287"/>
    </row>
    <row r="15" spans="1:13" ht="15" customHeight="1" x14ac:dyDescent="0.35">
      <c r="A15" s="57" t="s">
        <v>153</v>
      </c>
      <c r="B15" s="71" t="s">
        <v>154</v>
      </c>
      <c r="G15" s="281" t="s">
        <v>155</v>
      </c>
      <c r="H15" s="281"/>
      <c r="I15" s="73" t="s">
        <v>156</v>
      </c>
      <c r="J15" s="282" t="s">
        <v>157</v>
      </c>
      <c r="K15" s="282"/>
      <c r="L15" s="283" t="s">
        <v>158</v>
      </c>
      <c r="M15" s="283"/>
    </row>
    <row r="16" spans="1:13" ht="15" customHeight="1" x14ac:dyDescent="0.35">
      <c r="A16" s="57" t="s">
        <v>159</v>
      </c>
      <c r="B16" s="74">
        <v>24</v>
      </c>
      <c r="G16" s="281" t="s">
        <v>160</v>
      </c>
      <c r="H16" s="281"/>
      <c r="I16" s="73" t="s">
        <v>156</v>
      </c>
      <c r="J16" s="282" t="s">
        <v>157</v>
      </c>
      <c r="K16" s="282"/>
      <c r="L16" s="283" t="s">
        <v>161</v>
      </c>
      <c r="M16" s="283"/>
    </row>
    <row r="17" spans="1:13" ht="15" customHeight="1" x14ac:dyDescent="0.35">
      <c r="A17" s="57" t="s">
        <v>162</v>
      </c>
      <c r="B17" s="58">
        <v>0.4425</v>
      </c>
      <c r="G17" s="281" t="s">
        <v>163</v>
      </c>
      <c r="H17" s="281"/>
      <c r="I17" s="73" t="s">
        <v>156</v>
      </c>
      <c r="J17" s="282" t="s">
        <v>157</v>
      </c>
      <c r="K17" s="282"/>
      <c r="L17" s="283" t="s">
        <v>164</v>
      </c>
      <c r="M17" s="283"/>
    </row>
    <row r="18" spans="1:13" ht="15.75" customHeight="1" x14ac:dyDescent="0.35">
      <c r="A18" s="62" t="s">
        <v>165</v>
      </c>
      <c r="G18" s="281" t="s">
        <v>166</v>
      </c>
      <c r="H18" s="281"/>
      <c r="I18" s="73" t="s">
        <v>156</v>
      </c>
      <c r="J18" s="282" t="s">
        <v>157</v>
      </c>
      <c r="K18" s="282"/>
      <c r="L18" s="283" t="s">
        <v>167</v>
      </c>
      <c r="M18" s="283"/>
    </row>
    <row r="19" spans="1:13" ht="15" customHeight="1" x14ac:dyDescent="0.35">
      <c r="A19" s="75" t="s">
        <v>168</v>
      </c>
      <c r="B19" s="66" t="s">
        <v>138</v>
      </c>
      <c r="C19" s="76" t="s">
        <v>169</v>
      </c>
      <c r="D19" s="77">
        <v>0.2</v>
      </c>
      <c r="E19" s="76" t="s">
        <v>170</v>
      </c>
      <c r="F19" s="78">
        <f>IF(B19="Sim",B7*(1-D19),B7)</f>
        <v>0.92549091939107209</v>
      </c>
      <c r="G19" s="278" t="s">
        <v>171</v>
      </c>
      <c r="H19" s="278"/>
      <c r="I19" s="79" t="s">
        <v>156</v>
      </c>
      <c r="J19" s="279" t="s">
        <v>102</v>
      </c>
      <c r="K19" s="279"/>
      <c r="L19" s="280" t="s">
        <v>172</v>
      </c>
      <c r="M19" s="280"/>
    </row>
    <row r="20" spans="1:13" ht="15" customHeight="1" x14ac:dyDescent="0.35">
      <c r="A20" s="273" t="s">
        <v>173</v>
      </c>
      <c r="B20" s="273"/>
      <c r="C20" s="273"/>
      <c r="D20" s="273"/>
      <c r="E20" s="273"/>
      <c r="G20" s="278" t="s">
        <v>150</v>
      </c>
      <c r="H20" s="278"/>
      <c r="I20" s="79" t="s">
        <v>174</v>
      </c>
      <c r="J20" s="279" t="s">
        <v>157</v>
      </c>
      <c r="K20" s="279"/>
      <c r="L20" s="280" t="s">
        <v>175</v>
      </c>
      <c r="M20" s="280"/>
    </row>
    <row r="21" spans="1:13" ht="15" customHeight="1" x14ac:dyDescent="0.35">
      <c r="A21" s="57" t="s">
        <v>176</v>
      </c>
      <c r="B21" s="64">
        <v>2.5000000000000001E-2</v>
      </c>
      <c r="C21" s="59" t="s">
        <v>177</v>
      </c>
    </row>
    <row r="22" spans="1:13" ht="15.75" customHeight="1" x14ac:dyDescent="0.35">
      <c r="A22" s="57" t="s">
        <v>178</v>
      </c>
      <c r="B22" s="80">
        <f>B21</f>
        <v>2.5000000000000001E-2</v>
      </c>
      <c r="C22" s="59" t="s">
        <v>179</v>
      </c>
      <c r="G22" s="229" t="s">
        <v>180</v>
      </c>
      <c r="H22" s="229"/>
      <c r="I22" s="229"/>
      <c r="J22" s="229"/>
      <c r="K22" s="229"/>
      <c r="L22" s="229"/>
      <c r="M22" s="229"/>
    </row>
    <row r="23" spans="1:13" ht="18" customHeight="1" x14ac:dyDescent="0.35">
      <c r="A23" s="57" t="s">
        <v>181</v>
      </c>
      <c r="B23" s="64">
        <v>5.0000000000000001E-3</v>
      </c>
      <c r="C23" s="59" t="s">
        <v>182</v>
      </c>
      <c r="G23" s="276" t="s">
        <v>183</v>
      </c>
      <c r="H23" s="276"/>
      <c r="I23" s="81" t="s">
        <v>184</v>
      </c>
      <c r="J23" s="277" t="s">
        <v>185</v>
      </c>
      <c r="K23" s="277"/>
      <c r="L23" s="277"/>
      <c r="M23" s="277"/>
    </row>
    <row r="24" spans="1:13" ht="18" customHeight="1" x14ac:dyDescent="0.35">
      <c r="A24" s="57" t="s">
        <v>186</v>
      </c>
      <c r="B24" s="82" t="s">
        <v>138</v>
      </c>
      <c r="G24" s="274" t="s">
        <v>187</v>
      </c>
      <c r="H24" s="274"/>
      <c r="I24" s="83" t="s">
        <v>188</v>
      </c>
      <c r="J24" s="275" t="s">
        <v>189</v>
      </c>
      <c r="K24" s="275"/>
      <c r="L24" s="275"/>
      <c r="M24" s="275"/>
    </row>
    <row r="25" spans="1:13" ht="18" customHeight="1" x14ac:dyDescent="0.35">
      <c r="A25" s="273" t="s">
        <v>190</v>
      </c>
      <c r="B25" s="273"/>
      <c r="C25" s="273"/>
      <c r="D25" s="273"/>
      <c r="E25" s="273"/>
      <c r="G25" s="274" t="s">
        <v>191</v>
      </c>
      <c r="H25" s="274"/>
      <c r="I25" s="83" t="s">
        <v>192</v>
      </c>
      <c r="J25" s="275" t="s">
        <v>193</v>
      </c>
      <c r="K25" s="275"/>
      <c r="L25" s="275"/>
      <c r="M25" s="275"/>
    </row>
    <row r="26" spans="1:13" ht="18" customHeight="1" x14ac:dyDescent="0.35">
      <c r="A26" s="57" t="s">
        <v>194</v>
      </c>
      <c r="B26" s="84">
        <v>148516</v>
      </c>
      <c r="G26" s="274" t="s">
        <v>195</v>
      </c>
      <c r="H26" s="274"/>
      <c r="I26" s="83" t="s">
        <v>196</v>
      </c>
      <c r="J26" s="275" t="s">
        <v>197</v>
      </c>
      <c r="K26" s="275"/>
      <c r="L26" s="275"/>
      <c r="M26" s="275"/>
    </row>
    <row r="27" spans="1:13" ht="18" customHeight="1" x14ac:dyDescent="0.35">
      <c r="A27" s="57" t="s">
        <v>198</v>
      </c>
      <c r="B27" s="84">
        <v>906739</v>
      </c>
      <c r="G27" s="270" t="s">
        <v>199</v>
      </c>
      <c r="H27" s="270"/>
      <c r="I27" s="72" t="s">
        <v>200</v>
      </c>
      <c r="J27" s="271" t="s">
        <v>201</v>
      </c>
      <c r="K27" s="271"/>
      <c r="L27" s="271"/>
      <c r="M27" s="271"/>
    </row>
    <row r="28" spans="1:13" ht="15" customHeight="1" x14ac:dyDescent="0.35">
      <c r="A28" s="57" t="s">
        <v>202</v>
      </c>
      <c r="B28" s="84">
        <v>991029</v>
      </c>
    </row>
    <row r="29" spans="1:13" ht="15.75" customHeight="1" x14ac:dyDescent="0.35">
      <c r="A29" s="57" t="s">
        <v>203</v>
      </c>
      <c r="B29" s="85">
        <f>B26+B28</f>
        <v>1139545</v>
      </c>
      <c r="C29" s="59" t="s">
        <v>204</v>
      </c>
      <c r="G29" s="272" t="s">
        <v>205</v>
      </c>
      <c r="H29" s="272"/>
      <c r="I29" s="272"/>
      <c r="J29" s="272"/>
      <c r="K29" s="272"/>
      <c r="L29" s="272"/>
      <c r="M29" s="272"/>
    </row>
    <row r="30" spans="1:13" ht="13.5" customHeight="1" x14ac:dyDescent="0.35">
      <c r="G30" s="266" t="s">
        <v>206</v>
      </c>
      <c r="H30" s="266"/>
      <c r="I30" s="266"/>
      <c r="J30" s="86">
        <v>670877.66062698001</v>
      </c>
      <c r="K30" s="267" t="s">
        <v>207</v>
      </c>
      <c r="L30" s="267"/>
      <c r="M30" s="267"/>
    </row>
    <row r="31" spans="1:13" ht="19.5" customHeight="1" x14ac:dyDescent="0.35">
      <c r="A31" s="229" t="str">
        <f>"E.  RATEIO FIXO "&amp;INDEX(PVSYST_Helexia!$A$5:$A$7,MATCH(Premissas!$B$13,PVSYST_Helexia!$B$5:$B$7,0))&amp;" — 4 PERÍODOS (edit percentuais — devem somar 100% por período)"</f>
        <v>E.  RATEIO FIXO HCS03 — 4 PERÍODOS (edit percentuais — devem somar 100% por período)</v>
      </c>
      <c r="B31" s="229"/>
      <c r="C31" s="229"/>
      <c r="D31" s="229"/>
      <c r="E31" s="229"/>
      <c r="G31" s="266" t="s">
        <v>208</v>
      </c>
      <c r="H31" s="266"/>
      <c r="I31" s="266"/>
      <c r="J31" s="86">
        <f>Resumo!H5</f>
        <v>510604.46437487041</v>
      </c>
      <c r="K31" s="267" t="s">
        <v>207</v>
      </c>
      <c r="L31" s="267"/>
      <c r="M31" s="267"/>
    </row>
    <row r="32" spans="1:13" ht="30" customHeight="1" x14ac:dyDescent="0.35">
      <c r="A32" s="3" t="s">
        <v>209</v>
      </c>
      <c r="B32" s="87" t="s">
        <v>210</v>
      </c>
      <c r="C32" s="87" t="s">
        <v>211</v>
      </c>
      <c r="D32" s="87" t="s">
        <v>212</v>
      </c>
      <c r="E32" s="87" t="s">
        <v>213</v>
      </c>
      <c r="G32" s="268" t="s">
        <v>214</v>
      </c>
      <c r="H32" s="268"/>
      <c r="I32" s="268"/>
      <c r="J32" s="88">
        <f>Simulacao!B252</f>
        <v>435907.05663798231</v>
      </c>
      <c r="K32" s="269" t="s">
        <v>215</v>
      </c>
      <c r="L32" s="269"/>
      <c r="M32" s="269"/>
    </row>
    <row r="33" spans="1:5" ht="12.75" customHeight="1" x14ac:dyDescent="0.35">
      <c r="A33" s="89" t="s">
        <v>216</v>
      </c>
      <c r="B33" s="90">
        <v>0.73507401398742689</v>
      </c>
      <c r="C33" s="90">
        <v>0.52568024163045002</v>
      </c>
      <c r="D33" s="90">
        <v>0.67565004810260798</v>
      </c>
      <c r="E33" s="90">
        <v>0.28120000000000001</v>
      </c>
    </row>
    <row r="34" spans="1:5" ht="12.75" customHeight="1" x14ac:dyDescent="0.35">
      <c r="A34" s="89" t="s">
        <v>217</v>
      </c>
      <c r="B34" s="91">
        <v>0</v>
      </c>
      <c r="C34" s="91">
        <v>0</v>
      </c>
      <c r="D34" s="91">
        <v>0</v>
      </c>
      <c r="E34" s="91">
        <v>0</v>
      </c>
    </row>
    <row r="35" spans="1:5" ht="12.75" customHeight="1" x14ac:dyDescent="0.35">
      <c r="A35" s="89" t="s">
        <v>218</v>
      </c>
      <c r="B35" s="90">
        <v>0</v>
      </c>
      <c r="C35" s="90">
        <v>0</v>
      </c>
      <c r="D35" s="90">
        <v>4.0543277281578898E-3</v>
      </c>
      <c r="E35" s="90">
        <v>0.15613575298000601</v>
      </c>
    </row>
    <row r="36" spans="1:5" ht="12.75" customHeight="1" x14ac:dyDescent="0.35">
      <c r="A36" s="92" t="s">
        <v>219</v>
      </c>
      <c r="B36" s="93">
        <v>2.5071779697492597E-2</v>
      </c>
      <c r="C36" s="93">
        <v>5.2438167706834703E-2</v>
      </c>
      <c r="D36" s="93">
        <v>3.0810666181375401E-2</v>
      </c>
      <c r="E36" s="93">
        <v>6.5745818626342503E-2</v>
      </c>
    </row>
    <row r="37" spans="1:5" ht="12.75" customHeight="1" x14ac:dyDescent="0.35">
      <c r="A37" s="92" t="s">
        <v>220</v>
      </c>
      <c r="B37" s="93">
        <v>2.9636272000498321E-3</v>
      </c>
      <c r="C37" s="93">
        <v>5.0152415825580002E-3</v>
      </c>
      <c r="D37" s="93">
        <v>4.0120940633494601E-3</v>
      </c>
      <c r="E37" s="93">
        <v>4.4999999999999997E-3</v>
      </c>
    </row>
    <row r="38" spans="1:5" ht="12.75" customHeight="1" x14ac:dyDescent="0.35">
      <c r="A38" s="92" t="s">
        <v>221</v>
      </c>
      <c r="B38" s="93">
        <v>3.04561127719149E-3</v>
      </c>
      <c r="C38" s="93">
        <v>7.7143315953117396E-3</v>
      </c>
      <c r="D38" s="93">
        <v>3.9240547655799299E-3</v>
      </c>
      <c r="E38" s="93">
        <v>7.2001249479502101E-3</v>
      </c>
    </row>
    <row r="39" spans="1:5" ht="12.75" customHeight="1" x14ac:dyDescent="0.35">
      <c r="A39" s="92" t="s">
        <v>222</v>
      </c>
      <c r="B39" s="93">
        <v>5.207937984081536E-3</v>
      </c>
      <c r="C39" s="93">
        <v>1.13901369352507E-2</v>
      </c>
      <c r="D39" s="93">
        <v>8.1206428069305007E-3</v>
      </c>
      <c r="E39" s="93">
        <v>9.4999999999999998E-3</v>
      </c>
    </row>
    <row r="40" spans="1:5" ht="12.75" customHeight="1" x14ac:dyDescent="0.35">
      <c r="A40" s="92" t="s">
        <v>223</v>
      </c>
      <c r="B40" s="93">
        <v>6.2427819028284766E-2</v>
      </c>
      <c r="C40" s="93">
        <v>0.10355391181110001</v>
      </c>
      <c r="D40" s="93">
        <v>7.1218793041904899E-2</v>
      </c>
      <c r="E40" s="93">
        <v>0.19566197100644001</v>
      </c>
    </row>
    <row r="41" spans="1:5" ht="12.75" customHeight="1" x14ac:dyDescent="0.35">
      <c r="A41" s="92" t="s">
        <v>224</v>
      </c>
      <c r="B41" s="93">
        <v>2.0366818167323098E-2</v>
      </c>
      <c r="C41" s="93">
        <v>3.5456451615967798E-2</v>
      </c>
      <c r="D41" s="93">
        <v>2.5789766803143498E-2</v>
      </c>
      <c r="E41" s="93">
        <v>4.3215413623260798E-2</v>
      </c>
    </row>
    <row r="42" spans="1:5" ht="12.75" customHeight="1" x14ac:dyDescent="0.35">
      <c r="A42" s="92" t="s">
        <v>225</v>
      </c>
      <c r="B42" s="93">
        <v>1.1816972683442598E-2</v>
      </c>
      <c r="C42" s="93">
        <v>2.9312075551319899E-2</v>
      </c>
      <c r="D42" s="93">
        <v>1.57969205005805E-2</v>
      </c>
      <c r="E42" s="93">
        <v>2.8299999999999999E-2</v>
      </c>
    </row>
    <row r="43" spans="1:5" ht="12.75" customHeight="1" x14ac:dyDescent="0.35">
      <c r="A43" s="92" t="s">
        <v>226</v>
      </c>
      <c r="B43" s="93">
        <v>4.4591019575037725E-3</v>
      </c>
      <c r="C43" s="93">
        <v>1.5652923861778301E-2</v>
      </c>
      <c r="D43" s="93">
        <v>5.9948465401860798E-3</v>
      </c>
      <c r="E43" s="93">
        <v>1.46611437950671E-2</v>
      </c>
    </row>
    <row r="44" spans="1:5" ht="12.75" customHeight="1" x14ac:dyDescent="0.35">
      <c r="A44" s="92" t="s">
        <v>227</v>
      </c>
      <c r="B44" s="93">
        <v>6.4756967520684262E-3</v>
      </c>
      <c r="C44" s="93">
        <v>4.3347698219165596E-3</v>
      </c>
      <c r="D44" s="93">
        <v>5.8696517146070298E-3</v>
      </c>
      <c r="E44" s="93">
        <v>4.25969478771418E-3</v>
      </c>
    </row>
    <row r="45" spans="1:5" ht="12.75" customHeight="1" x14ac:dyDescent="0.35">
      <c r="A45" s="92" t="s">
        <v>228</v>
      </c>
      <c r="B45" s="93">
        <v>4.0304820990206573E-3</v>
      </c>
      <c r="C45" s="93">
        <v>1.13912572434474E-2</v>
      </c>
      <c r="D45" s="93">
        <v>5.4928133198273998E-3</v>
      </c>
      <c r="E45" s="93">
        <v>1.0200000000000001E-2</v>
      </c>
    </row>
    <row r="46" spans="1:5" ht="12.75" customHeight="1" x14ac:dyDescent="0.35">
      <c r="A46" s="92" t="s">
        <v>229</v>
      </c>
      <c r="B46" s="93">
        <v>2.2797276097215571E-2</v>
      </c>
      <c r="C46" s="93">
        <v>4.8311164193384999E-2</v>
      </c>
      <c r="D46" s="93">
        <v>1.46581127700731E-2</v>
      </c>
      <c r="E46" s="93">
        <v>2.6716350536328801E-2</v>
      </c>
    </row>
    <row r="47" spans="1:5" ht="12.75" customHeight="1" x14ac:dyDescent="0.35">
      <c r="A47" s="92" t="s">
        <v>230</v>
      </c>
      <c r="B47" s="93">
        <v>5.8219144337389658E-2</v>
      </c>
      <c r="C47" s="93">
        <v>9.6615568022813195E-2</v>
      </c>
      <c r="D47" s="93">
        <v>8.0529074959882097E-2</v>
      </c>
      <c r="E47" s="93">
        <v>9.8599999999999993E-2</v>
      </c>
    </row>
    <row r="48" spans="1:5" ht="12.75" customHeight="1" x14ac:dyDescent="0.35">
      <c r="A48" s="92" t="s">
        <v>231</v>
      </c>
      <c r="B48" s="93">
        <v>1.0142232624145268E-3</v>
      </c>
      <c r="C48" s="93">
        <v>1.80831335104751E-3</v>
      </c>
      <c r="D48" s="93">
        <v>1.40004418521622E-3</v>
      </c>
      <c r="E48" s="93">
        <v>1.6000000000000001E-3</v>
      </c>
    </row>
    <row r="49" spans="1:5" ht="12.75" customHeight="1" x14ac:dyDescent="0.35">
      <c r="A49" s="92" t="s">
        <v>232</v>
      </c>
      <c r="B49" s="93">
        <v>7.1259206980224853E-3</v>
      </c>
      <c r="C49" s="93">
        <v>1.52031733180429E-2</v>
      </c>
      <c r="D49" s="93">
        <v>1.0333751485802499E-2</v>
      </c>
      <c r="E49" s="93">
        <v>1.32E-2</v>
      </c>
    </row>
    <row r="50" spans="1:5" ht="12.75" customHeight="1" x14ac:dyDescent="0.35">
      <c r="A50" s="92" t="s">
        <v>233</v>
      </c>
      <c r="B50" s="93">
        <v>2.9903569590531705E-2</v>
      </c>
      <c r="C50" s="93">
        <v>3.6122273094379598E-2</v>
      </c>
      <c r="D50" s="93">
        <v>3.6344390425852503E-2</v>
      </c>
      <c r="E50" s="93">
        <v>3.9303737831534E-2</v>
      </c>
    </row>
    <row r="51" spans="1:5" ht="13.5" customHeight="1" x14ac:dyDescent="0.35">
      <c r="A51" s="94" t="s">
        <v>234</v>
      </c>
      <c r="B51" s="95">
        <f>SUM(B33:B50)</f>
        <v>0.99999999481945978</v>
      </c>
      <c r="C51" s="95">
        <f>SUM(C33:C50)</f>
        <v>1.0000000013356032</v>
      </c>
      <c r="D51" s="95">
        <f>SUM(D33:D50)</f>
        <v>0.99999999939507689</v>
      </c>
      <c r="E51" s="95">
        <f>SUM(E33:E50)</f>
        <v>1.0000000081346436</v>
      </c>
    </row>
    <row r="52" spans="1:5" ht="27.75" customHeight="1" x14ac:dyDescent="0.35">
      <c r="A52" s="263" t="s">
        <v>235</v>
      </c>
      <c r="B52" s="263"/>
      <c r="C52" s="263"/>
      <c r="D52" s="263"/>
      <c r="E52" s="263"/>
    </row>
    <row r="54" spans="1:5" ht="15.75" customHeight="1" x14ac:dyDescent="0.35">
      <c r="A54" s="264" t="s">
        <v>236</v>
      </c>
      <c r="B54" s="264"/>
      <c r="C54" s="264"/>
      <c r="D54" s="264"/>
      <c r="E54" s="264"/>
    </row>
    <row r="55" spans="1:5" ht="13.5" customHeight="1" x14ac:dyDescent="0.35">
      <c r="A55" s="57" t="s">
        <v>237</v>
      </c>
      <c r="B55" s="64">
        <v>0.5</v>
      </c>
      <c r="C55" s="59" t="s">
        <v>238</v>
      </c>
    </row>
    <row r="56" spans="1:5" ht="13.5" customHeight="1" x14ac:dyDescent="0.35">
      <c r="A56" s="57" t="s">
        <v>239</v>
      </c>
      <c r="B56" s="80">
        <f>1-B55</f>
        <v>0.5</v>
      </c>
      <c r="C56" s="59" t="s">
        <v>240</v>
      </c>
    </row>
    <row r="59" spans="1:5" ht="15.75" customHeight="1" x14ac:dyDescent="0.35">
      <c r="A59" s="265" t="str">
        <f>"G.  GERAÇÃO "&amp;INDEX(PVSYST_Helexia!$A$5:$A$7,MATCH(Premissas!$B$13,PVSYST_Helexia!$B$5:$B$7,0))&amp;" P50 — PVSYST "&amp;Premissas!$B$13&amp;" (kWh/mês)"</f>
        <v>G.  GERAÇÃO HCS03 P50 — PVSYST Cassilândia 03 (kWh/mês)</v>
      </c>
      <c r="B59" s="265"/>
      <c r="C59" s="265"/>
      <c r="D59" s="265"/>
      <c r="E59" s="265"/>
    </row>
    <row r="60" spans="1:5" ht="15" customHeight="1" x14ac:dyDescent="0.35">
      <c r="A60" s="57" t="s">
        <v>241</v>
      </c>
      <c r="B60" s="96">
        <f>Premissas!$B$23</f>
        <v>5.0000000000000001E-3</v>
      </c>
      <c r="C60" s="59" t="s">
        <v>242</v>
      </c>
    </row>
    <row r="61" spans="1:5" ht="12.75" customHeight="1" x14ac:dyDescent="0.35">
      <c r="A61" s="57" t="s">
        <v>41</v>
      </c>
      <c r="B61" s="97">
        <f>INDEX(PVSYST_Helexia!$J$5:$U$7,MATCH(Premissas!$B$13,PVSYST_Helexia!$B$5:$B$7,0),6)*1000</f>
        <v>123990</v>
      </c>
      <c r="C61" s="59" t="s">
        <v>243</v>
      </c>
    </row>
    <row r="62" spans="1:5" ht="12.75" customHeight="1" x14ac:dyDescent="0.35">
      <c r="A62" s="57" t="s">
        <v>42</v>
      </c>
      <c r="B62" s="97">
        <f>INDEX(PVSYST_Helexia!$J$5:$U$7,MATCH(Premissas!$B$13,PVSYST_Helexia!$B$5:$B$7,0),7)*1000</f>
        <v>130509.99999999999</v>
      </c>
      <c r="C62" s="59" t="s">
        <v>244</v>
      </c>
    </row>
    <row r="63" spans="1:5" ht="12.75" customHeight="1" x14ac:dyDescent="0.35">
      <c r="A63" s="57" t="s">
        <v>43</v>
      </c>
      <c r="B63" s="97">
        <f>INDEX(PVSYST_Helexia!$J$5:$U$7,MATCH(Premissas!$B$13,PVSYST_Helexia!$B$5:$B$7,0),8)*1000</f>
        <v>156670</v>
      </c>
      <c r="C63" s="59" t="s">
        <v>245</v>
      </c>
    </row>
    <row r="64" spans="1:5" ht="12.75" customHeight="1" x14ac:dyDescent="0.35">
      <c r="A64" s="57" t="s">
        <v>44</v>
      </c>
      <c r="B64" s="97">
        <f>INDEX(PVSYST_Helexia!$J$5:$U$7,MATCH(Premissas!$B$13,PVSYST_Helexia!$B$5:$B$7,0),9)*1000</f>
        <v>147010</v>
      </c>
      <c r="C64" s="59" t="s">
        <v>246</v>
      </c>
    </row>
    <row r="65" spans="1:3" ht="12.75" customHeight="1" x14ac:dyDescent="0.35">
      <c r="A65" s="57" t="s">
        <v>45</v>
      </c>
      <c r="B65" s="97">
        <f>INDEX(PVSYST_Helexia!$J$5:$U$7,MATCH(Premissas!$B$13,PVSYST_Helexia!$B$5:$B$7,0),10)*1000</f>
        <v>151080</v>
      </c>
      <c r="C65" s="59" t="s">
        <v>247</v>
      </c>
    </row>
    <row r="66" spans="1:3" ht="12.75" customHeight="1" x14ac:dyDescent="0.35">
      <c r="A66" s="57" t="s">
        <v>46</v>
      </c>
      <c r="B66" s="97">
        <f>INDEX(PVSYST_Helexia!$J$5:$U$7,MATCH(Premissas!$B$13,PVSYST_Helexia!$B$5:$B$7,0),11)*1000</f>
        <v>146080</v>
      </c>
      <c r="C66" s="59" t="s">
        <v>248</v>
      </c>
    </row>
    <row r="67" spans="1:3" ht="12.75" customHeight="1" x14ac:dyDescent="0.35">
      <c r="A67" s="57" t="s">
        <v>47</v>
      </c>
      <c r="B67" s="97">
        <f>INDEX(PVSYST_Helexia!$J$5:$U$7,MATCH(Premissas!$B$13,PVSYST_Helexia!$B$5:$B$7,0),12)*1000</f>
        <v>138710</v>
      </c>
      <c r="C67" s="59" t="s">
        <v>249</v>
      </c>
    </row>
    <row r="68" spans="1:3" ht="12.75" customHeight="1" x14ac:dyDescent="0.35">
      <c r="A68" s="57" t="s">
        <v>48</v>
      </c>
      <c r="B68" s="97">
        <f>INDEX(PVSYST_Helexia!$J$5:$U$7,MATCH(Premissas!$B$13,PVSYST_Helexia!$B$5:$B$7,0),1)*1000*(1-Premissas!$B$23)</f>
        <v>142424.29999999999</v>
      </c>
      <c r="C68" s="59" t="s">
        <v>250</v>
      </c>
    </row>
    <row r="69" spans="1:3" ht="12.75" customHeight="1" x14ac:dyDescent="0.35">
      <c r="A69" s="57" t="s">
        <v>49</v>
      </c>
      <c r="B69" s="97">
        <f>INDEX(PVSYST_Helexia!$J$5:$U$7,MATCH(Premissas!$B$13,PVSYST_Helexia!$B$5:$B$7,0),2)*1000*(1-Premissas!$B$23)</f>
        <v>126912.25</v>
      </c>
      <c r="C69" s="59" t="s">
        <v>251</v>
      </c>
    </row>
    <row r="70" spans="1:3" ht="12.75" customHeight="1" x14ac:dyDescent="0.35">
      <c r="A70" s="57" t="s">
        <v>50</v>
      </c>
      <c r="B70" s="97">
        <f>INDEX(PVSYST_Helexia!$J$5:$U$7,MATCH(Premissas!$B$13,PVSYST_Helexia!$B$5:$B$7,0),3)*1000*(1-Premissas!$B$23)</f>
        <v>145568.5</v>
      </c>
      <c r="C70" s="59" t="s">
        <v>252</v>
      </c>
    </row>
    <row r="71" spans="1:3" ht="12.75" customHeight="1" x14ac:dyDescent="0.35">
      <c r="A71" s="57" t="s">
        <v>51</v>
      </c>
      <c r="B71" s="97">
        <f>INDEX(PVSYST_Helexia!$J$5:$U$7,MATCH(Premissas!$B$13,PVSYST_Helexia!$B$5:$B$7,0),4)*1000*(1-Premissas!$B$23)</f>
        <v>145250.1</v>
      </c>
      <c r="C71" s="59" t="s">
        <v>253</v>
      </c>
    </row>
    <row r="72" spans="1:3" ht="12.75" customHeight="1" x14ac:dyDescent="0.35">
      <c r="A72" s="57" t="s">
        <v>52</v>
      </c>
      <c r="B72" s="97">
        <f>INDEX(PVSYST_Helexia!$J$5:$U$7,MATCH(Premissas!$B$13,PVSYST_Helexia!$B$5:$B$7,0),5)*1000*(1-Premissas!$B$23)</f>
        <v>135936.9</v>
      </c>
      <c r="C72" s="59" t="s">
        <v>254</v>
      </c>
    </row>
    <row r="73" spans="1:3" ht="12.75" customHeight="1" x14ac:dyDescent="0.35">
      <c r="A73" s="57" t="s">
        <v>53</v>
      </c>
      <c r="B73" s="97">
        <f>INDEX(PVSYST_Helexia!$J$5:$U$7,MATCH(Premissas!$B$13,PVSYST_Helexia!$B$5:$B$7,0),6)*1000*(1-Premissas!$B$23)</f>
        <v>123370.05</v>
      </c>
      <c r="C73" s="59" t="s">
        <v>243</v>
      </c>
    </row>
    <row r="74" spans="1:3" ht="12.75" customHeight="1" x14ac:dyDescent="0.35">
      <c r="A74" s="57" t="s">
        <v>54</v>
      </c>
      <c r="B74" s="97">
        <f>INDEX(PVSYST_Helexia!$J$5:$U$7,MATCH(Premissas!$B$13,PVSYST_Helexia!$B$5:$B$7,0),7)*1000*(1-Premissas!$B$23)</f>
        <v>129857.44999999998</v>
      </c>
      <c r="C74" s="59" t="s">
        <v>244</v>
      </c>
    </row>
    <row r="75" spans="1:3" ht="12.75" customHeight="1" x14ac:dyDescent="0.35">
      <c r="A75" s="57" t="s">
        <v>55</v>
      </c>
      <c r="B75" s="97">
        <f>INDEX(PVSYST_Helexia!$J$5:$U$7,MATCH(Premissas!$B$13,PVSYST_Helexia!$B$5:$B$7,0),8)*1000*(1-Premissas!$B$23)</f>
        <v>155886.65</v>
      </c>
      <c r="C75" s="59" t="s">
        <v>245</v>
      </c>
    </row>
    <row r="76" spans="1:3" ht="12.75" customHeight="1" x14ac:dyDescent="0.35">
      <c r="A76" s="57" t="s">
        <v>56</v>
      </c>
      <c r="B76" s="97">
        <f>INDEX(PVSYST_Helexia!$J$5:$U$7,MATCH(Premissas!$B$13,PVSYST_Helexia!$B$5:$B$7,0),9)*1000*(1-Premissas!$B$23)</f>
        <v>146274.95000000001</v>
      </c>
      <c r="C76" s="59" t="s">
        <v>246</v>
      </c>
    </row>
    <row r="77" spans="1:3" ht="12.75" customHeight="1" x14ac:dyDescent="0.35">
      <c r="A77" s="57" t="s">
        <v>57</v>
      </c>
      <c r="B77" s="97">
        <f>INDEX(PVSYST_Helexia!$J$5:$U$7,MATCH(Premissas!$B$13,PVSYST_Helexia!$B$5:$B$7,0),10)*1000*(1-Premissas!$B$23)</f>
        <v>150324.6</v>
      </c>
      <c r="C77" s="59" t="s">
        <v>247</v>
      </c>
    </row>
    <row r="78" spans="1:3" ht="12.75" customHeight="1" x14ac:dyDescent="0.35">
      <c r="A78" s="57" t="s">
        <v>58</v>
      </c>
      <c r="B78" s="97">
        <f>INDEX(PVSYST_Helexia!$J$5:$U$7,MATCH(Premissas!$B$13,PVSYST_Helexia!$B$5:$B$7,0),11)*1000*(1-Premissas!$B$23)</f>
        <v>145349.6</v>
      </c>
      <c r="C78" s="59" t="s">
        <v>248</v>
      </c>
    </row>
    <row r="79" spans="1:3" ht="12.75" customHeight="1" x14ac:dyDescent="0.35">
      <c r="A79" s="57" t="s">
        <v>59</v>
      </c>
      <c r="B79" s="97">
        <f>INDEX(PVSYST_Helexia!$J$5:$U$7,MATCH(Premissas!$B$13,PVSYST_Helexia!$B$5:$B$7,0),12)*1000*(1-Premissas!$B$23)</f>
        <v>138016.45000000001</v>
      </c>
      <c r="C79" s="59" t="s">
        <v>249</v>
      </c>
    </row>
    <row r="80" spans="1:3" ht="12.75" customHeight="1" x14ac:dyDescent="0.35">
      <c r="A80" s="57" t="s">
        <v>60</v>
      </c>
      <c r="B80" s="97">
        <f>INDEX(PVSYST_Helexia!$J$5:$U$7,MATCH(Premissas!$B$13,PVSYST_Helexia!$B$5:$B$7,0),1)*1000*(1-Premissas!$B$23)</f>
        <v>142424.29999999999</v>
      </c>
      <c r="C80" s="59" t="s">
        <v>250</v>
      </c>
    </row>
    <row r="81" spans="1:3" ht="12.75" customHeight="1" x14ac:dyDescent="0.35">
      <c r="A81" s="57" t="s">
        <v>61</v>
      </c>
      <c r="B81" s="97">
        <f>INDEX(PVSYST_Helexia!$J$5:$U$7,MATCH(Premissas!$B$13,PVSYST_Helexia!$B$5:$B$7,0),2)*1000*(1-Premissas!$B$23)</f>
        <v>126912.25</v>
      </c>
      <c r="C81" s="59" t="s">
        <v>251</v>
      </c>
    </row>
    <row r="82" spans="1:3" ht="12.75" customHeight="1" x14ac:dyDescent="0.35">
      <c r="A82" s="57" t="s">
        <v>62</v>
      </c>
      <c r="B82" s="97">
        <f>INDEX(PVSYST_Helexia!$J$5:$U$7,MATCH(Premissas!$B$13,PVSYST_Helexia!$B$5:$B$7,0),3)*1000*(1-Premissas!$B$23)</f>
        <v>145568.5</v>
      </c>
      <c r="C82" s="59" t="s">
        <v>252</v>
      </c>
    </row>
    <row r="83" spans="1:3" ht="12.75" customHeight="1" x14ac:dyDescent="0.35">
      <c r="A83" s="57" t="s">
        <v>64</v>
      </c>
      <c r="B83" s="97">
        <f>INDEX(PVSYST_Helexia!$J$5:$U$7,MATCH(Premissas!$B$13,PVSYST_Helexia!$B$5:$B$7,0),4)*1000*(1-Premissas!$B$23)</f>
        <v>145250.1</v>
      </c>
      <c r="C83" s="59" t="s">
        <v>253</v>
      </c>
    </row>
    <row r="84" spans="1:3" ht="12.75" customHeight="1" x14ac:dyDescent="0.35">
      <c r="A84" s="57" t="s">
        <v>70</v>
      </c>
      <c r="B84" s="97">
        <f>INDEX(PVSYST_Helexia!$J$5:$U$7,MATCH(Premissas!$B$13,PVSYST_Helexia!$B$5:$B$7,0),5)*1000*(1-Premissas!$B$23)</f>
        <v>135936.9</v>
      </c>
      <c r="C84" s="59" t="s">
        <v>254</v>
      </c>
    </row>
  </sheetData>
  <mergeCells count="67">
    <mergeCell ref="A1:E1"/>
    <mergeCell ref="G1:M1"/>
    <mergeCell ref="A2:E2"/>
    <mergeCell ref="G2:M2"/>
    <mergeCell ref="A4:E4"/>
    <mergeCell ref="G4:I4"/>
    <mergeCell ref="L4:M4"/>
    <mergeCell ref="G5:I5"/>
    <mergeCell ref="L5:M5"/>
    <mergeCell ref="G7:H7"/>
    <mergeCell ref="I7:M7"/>
    <mergeCell ref="G8:H8"/>
    <mergeCell ref="I8:M8"/>
    <mergeCell ref="G9:H9"/>
    <mergeCell ref="I9:M9"/>
    <mergeCell ref="G10:H10"/>
    <mergeCell ref="I10:M10"/>
    <mergeCell ref="A12:E12"/>
    <mergeCell ref="G12:M12"/>
    <mergeCell ref="G13:H13"/>
    <mergeCell ref="J13:K13"/>
    <mergeCell ref="L13:M13"/>
    <mergeCell ref="G14:H14"/>
    <mergeCell ref="J14:K14"/>
    <mergeCell ref="L14:M14"/>
    <mergeCell ref="G15:H15"/>
    <mergeCell ref="J15:K15"/>
    <mergeCell ref="L15:M15"/>
    <mergeCell ref="G16:H16"/>
    <mergeCell ref="J16:K16"/>
    <mergeCell ref="L16:M16"/>
    <mergeCell ref="G17:H17"/>
    <mergeCell ref="J17:K17"/>
    <mergeCell ref="L17:M17"/>
    <mergeCell ref="G18:H18"/>
    <mergeCell ref="J18:K18"/>
    <mergeCell ref="L18:M18"/>
    <mergeCell ref="G19:H19"/>
    <mergeCell ref="J19:K19"/>
    <mergeCell ref="L19:M19"/>
    <mergeCell ref="A20:E20"/>
    <mergeCell ref="G20:H20"/>
    <mergeCell ref="J20:K20"/>
    <mergeCell ref="L20:M20"/>
    <mergeCell ref="G22:M22"/>
    <mergeCell ref="G23:H23"/>
    <mergeCell ref="J23:M23"/>
    <mergeCell ref="G24:H24"/>
    <mergeCell ref="J24:M24"/>
    <mergeCell ref="A25:E25"/>
    <mergeCell ref="G25:H25"/>
    <mergeCell ref="J25:M25"/>
    <mergeCell ref="G26:H26"/>
    <mergeCell ref="J26:M26"/>
    <mergeCell ref="K31:M31"/>
    <mergeCell ref="G32:I32"/>
    <mergeCell ref="K32:M32"/>
    <mergeCell ref="G27:H27"/>
    <mergeCell ref="J27:M27"/>
    <mergeCell ref="G29:M29"/>
    <mergeCell ref="G30:I30"/>
    <mergeCell ref="K30:M30"/>
    <mergeCell ref="A52:E52"/>
    <mergeCell ref="A54:E54"/>
    <mergeCell ref="A59:E59"/>
    <mergeCell ref="A31:E31"/>
    <mergeCell ref="G31:I31"/>
  </mergeCells>
  <dataValidations count="2">
    <dataValidation type="list" showErrorMessage="1" errorTitle="Valor inválido" error="Selecione &quot;Sim&quot; (proxy Batayporã) ou &quot;Não&quot; (dados reais Amandina)" sqref="B24" xr:uid="{00000000-0002-0000-0100-000000000000}">
      <formula1>"Sim,Não"</formula1>
      <formula2>0</formula2>
    </dataValidation>
    <dataValidation type="list" showErrorMessage="1" errorTitle="Valor inválido" error="Selecione &quot;Sim&quot; ou &quot;Não&quot;" sqref="B11 B19" xr:uid="{00000000-0002-0000-0100-000001000000}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</sheetPr>
  <dimension ref="A1:G17"/>
  <sheetViews>
    <sheetView showGridLines="0" zoomScaleNormal="100" workbookViewId="0">
      <selection activeCell="G4" sqref="G4"/>
    </sheetView>
  </sheetViews>
  <sheetFormatPr defaultColWidth="8.7265625" defaultRowHeight="14.5" x14ac:dyDescent="0.35"/>
  <cols>
    <col min="1" max="1" width="8" customWidth="1"/>
    <col min="2" max="7" width="16" customWidth="1"/>
  </cols>
  <sheetData>
    <row r="1" spans="1:7" ht="19.5" customHeight="1" x14ac:dyDescent="0.35">
      <c r="A1" s="297" t="s">
        <v>255</v>
      </c>
      <c r="B1" s="297"/>
      <c r="C1" s="297"/>
      <c r="D1" s="297"/>
      <c r="E1" s="297"/>
      <c r="F1" s="297"/>
    </row>
    <row r="2" spans="1:7" ht="12.75" customHeight="1" x14ac:dyDescent="0.35">
      <c r="A2" s="295" t="s">
        <v>256</v>
      </c>
      <c r="B2" s="295"/>
      <c r="C2" s="295"/>
      <c r="D2" s="295"/>
      <c r="E2" s="295"/>
      <c r="F2" s="295"/>
    </row>
    <row r="3" spans="1:7" ht="27.75" customHeight="1" x14ac:dyDescent="0.35">
      <c r="A3" s="87" t="s">
        <v>35</v>
      </c>
      <c r="B3" s="98" t="s">
        <v>257</v>
      </c>
      <c r="C3" s="98" t="s">
        <v>258</v>
      </c>
      <c r="D3" s="99" t="s">
        <v>259</v>
      </c>
      <c r="E3" s="99" t="s">
        <v>260</v>
      </c>
      <c r="F3" s="87" t="s">
        <v>261</v>
      </c>
      <c r="G3" s="87" t="s">
        <v>262</v>
      </c>
    </row>
    <row r="4" spans="1:7" ht="13.5" customHeight="1" x14ac:dyDescent="0.35">
      <c r="A4" s="100" t="s">
        <v>263</v>
      </c>
      <c r="B4" s="101">
        <v>70769.899999999994</v>
      </c>
      <c r="C4" s="101">
        <v>7863.3</v>
      </c>
      <c r="D4" s="102">
        <v>113967</v>
      </c>
      <c r="E4" s="102">
        <v>12663</v>
      </c>
      <c r="F4" s="103">
        <v>73973.399999999994</v>
      </c>
      <c r="G4" s="103">
        <v>8219.2999999999993</v>
      </c>
    </row>
    <row r="5" spans="1:7" ht="13.5" customHeight="1" x14ac:dyDescent="0.35">
      <c r="A5" s="100" t="s">
        <v>264</v>
      </c>
      <c r="B5" s="101">
        <v>243719.7</v>
      </c>
      <c r="C5" s="101">
        <v>27080</v>
      </c>
      <c r="D5" s="102">
        <v>125874</v>
      </c>
      <c r="E5" s="102">
        <v>13986</v>
      </c>
      <c r="F5" s="103">
        <v>209472.2</v>
      </c>
      <c r="G5" s="103">
        <v>23274.7</v>
      </c>
    </row>
    <row r="6" spans="1:7" ht="13.5" customHeight="1" x14ac:dyDescent="0.35">
      <c r="A6" s="100" t="s">
        <v>265</v>
      </c>
      <c r="B6" s="101">
        <v>331874.09999999998</v>
      </c>
      <c r="C6" s="101">
        <v>36874.9</v>
      </c>
      <c r="D6" s="102">
        <v>57499.199999999997</v>
      </c>
      <c r="E6" s="102">
        <v>6388.8</v>
      </c>
      <c r="F6" s="103">
        <v>173260.2</v>
      </c>
      <c r="G6" s="103">
        <v>19251.099999999999</v>
      </c>
    </row>
    <row r="7" spans="1:7" ht="13.5" customHeight="1" x14ac:dyDescent="0.35">
      <c r="A7" s="100" t="s">
        <v>266</v>
      </c>
      <c r="B7" s="101">
        <v>102778.3</v>
      </c>
      <c r="C7" s="101">
        <v>11419.8</v>
      </c>
      <c r="D7" s="102">
        <v>35640</v>
      </c>
      <c r="E7" s="102">
        <v>3960</v>
      </c>
      <c r="F7" s="103">
        <v>78448.399999999994</v>
      </c>
      <c r="G7" s="103">
        <v>8716.5</v>
      </c>
    </row>
    <row r="8" spans="1:7" ht="13.5" customHeight="1" x14ac:dyDescent="0.35">
      <c r="A8" s="100" t="s">
        <v>267</v>
      </c>
      <c r="B8" s="101">
        <v>62814.2</v>
      </c>
      <c r="C8" s="101">
        <v>6979.4</v>
      </c>
      <c r="D8" s="102">
        <v>79603.199999999997</v>
      </c>
      <c r="E8" s="102">
        <v>8844.7999999999993</v>
      </c>
      <c r="F8" s="103">
        <v>102629.5</v>
      </c>
      <c r="G8" s="103">
        <v>11403.3</v>
      </c>
    </row>
    <row r="9" spans="1:7" ht="13.5" customHeight="1" x14ac:dyDescent="0.35">
      <c r="A9" s="100" t="s">
        <v>268</v>
      </c>
      <c r="B9" s="101">
        <v>108694.9</v>
      </c>
      <c r="C9" s="101">
        <v>12077.2</v>
      </c>
      <c r="D9" s="102">
        <v>78336</v>
      </c>
      <c r="E9" s="102">
        <v>8704</v>
      </c>
      <c r="F9" s="103">
        <v>182444.7</v>
      </c>
      <c r="G9" s="103">
        <v>20271.599999999999</v>
      </c>
    </row>
    <row r="10" spans="1:7" ht="13.5" customHeight="1" x14ac:dyDescent="0.35">
      <c r="A10" s="100" t="s">
        <v>269</v>
      </c>
      <c r="B10" s="101">
        <v>328938.09999999998</v>
      </c>
      <c r="C10" s="101">
        <v>36548.699999999997</v>
      </c>
      <c r="D10" s="102">
        <v>115718.39999999999</v>
      </c>
      <c r="E10" s="102">
        <v>12857.6</v>
      </c>
      <c r="F10" s="103">
        <v>234799.2</v>
      </c>
      <c r="G10" s="103">
        <v>26088.799999999999</v>
      </c>
    </row>
    <row r="11" spans="1:7" ht="13.5" customHeight="1" x14ac:dyDescent="0.35">
      <c r="A11" s="100" t="s">
        <v>270</v>
      </c>
      <c r="B11" s="101">
        <v>190977.6</v>
      </c>
      <c r="C11" s="101">
        <v>21219.7</v>
      </c>
      <c r="D11" s="102">
        <v>23364</v>
      </c>
      <c r="E11" s="102">
        <v>2596</v>
      </c>
      <c r="F11" s="103">
        <v>134799.29999999999</v>
      </c>
      <c r="G11" s="103">
        <v>14977.7</v>
      </c>
    </row>
    <row r="12" spans="1:7" ht="13.5" customHeight="1" x14ac:dyDescent="0.35">
      <c r="A12" s="100" t="s">
        <v>271</v>
      </c>
      <c r="B12" s="101">
        <v>126478.8</v>
      </c>
      <c r="C12" s="101">
        <v>14053.2</v>
      </c>
      <c r="D12" s="102">
        <v>10800</v>
      </c>
      <c r="E12" s="102">
        <v>1200</v>
      </c>
      <c r="F12" s="103">
        <v>18637.2</v>
      </c>
      <c r="G12" s="103">
        <v>2070.8000000000002</v>
      </c>
    </row>
    <row r="13" spans="1:7" ht="13.5" customHeight="1" x14ac:dyDescent="0.35">
      <c r="A13" s="100" t="s">
        <v>272</v>
      </c>
      <c r="B13" s="101">
        <v>28215</v>
      </c>
      <c r="C13" s="101">
        <v>3135</v>
      </c>
      <c r="D13" s="102">
        <v>10800</v>
      </c>
      <c r="E13" s="102">
        <v>1200</v>
      </c>
      <c r="F13" s="103">
        <v>24382.799999999999</v>
      </c>
      <c r="G13" s="103">
        <v>2709.2</v>
      </c>
    </row>
    <row r="14" spans="1:7" ht="13.5" customHeight="1" x14ac:dyDescent="0.35">
      <c r="A14" s="100" t="s">
        <v>273</v>
      </c>
      <c r="B14" s="101">
        <v>42209.599999999999</v>
      </c>
      <c r="C14" s="101">
        <v>4690</v>
      </c>
      <c r="D14" s="102">
        <v>10800</v>
      </c>
      <c r="E14" s="102">
        <v>1200</v>
      </c>
      <c r="F14" s="103">
        <v>20225.7</v>
      </c>
      <c r="G14" s="103">
        <v>2247.3000000000002</v>
      </c>
    </row>
    <row r="15" spans="1:7" ht="13.5" customHeight="1" x14ac:dyDescent="0.35">
      <c r="A15" s="100" t="s">
        <v>274</v>
      </c>
      <c r="B15" s="101">
        <v>42209.599999999999</v>
      </c>
      <c r="C15" s="101">
        <v>4690</v>
      </c>
      <c r="D15" s="102">
        <v>3402</v>
      </c>
      <c r="E15" s="102">
        <v>378</v>
      </c>
      <c r="F15" s="103">
        <v>17142.3</v>
      </c>
      <c r="G15" s="103">
        <v>1904.7</v>
      </c>
    </row>
    <row r="17" spans="1:7" ht="19.5" customHeight="1" x14ac:dyDescent="0.35">
      <c r="A17" s="298" t="s">
        <v>275</v>
      </c>
      <c r="B17" s="298"/>
      <c r="C17" s="298"/>
      <c r="D17" s="298"/>
      <c r="E17" s="298"/>
      <c r="F17" s="298"/>
      <c r="G17" s="298"/>
    </row>
  </sheetData>
  <mergeCells count="3">
    <mergeCell ref="A1:F1"/>
    <mergeCell ref="A2:F2"/>
    <mergeCell ref="A17:G1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</sheetPr>
  <dimension ref="A1:AA288"/>
  <sheetViews>
    <sheetView showGridLines="0" tabSelected="1" zoomScaleNormal="100" workbookViewId="0">
      <pane xSplit="3" ySplit="4" topLeftCell="D223" activePane="bottomRight" state="frozen"/>
      <selection pane="topRight" activeCell="D1" sqref="D1"/>
      <selection pane="bottomLeft" activeCell="A5" sqref="A5"/>
      <selection pane="bottomRight" activeCell="E246" sqref="E246"/>
    </sheetView>
  </sheetViews>
  <sheetFormatPr defaultColWidth="8.7265625" defaultRowHeight="14.5" x14ac:dyDescent="0.35"/>
  <cols>
    <col min="1" max="1" width="62" customWidth="1"/>
    <col min="2" max="2" width="14" customWidth="1"/>
    <col min="3" max="3" width="10.7265625" customWidth="1"/>
    <col min="4" max="5" width="10.1796875" customWidth="1"/>
    <col min="6" max="27" width="10.7265625" customWidth="1"/>
  </cols>
  <sheetData>
    <row r="1" spans="1:27" ht="21.75" customHeight="1" x14ac:dyDescent="0.35">
      <c r="A1" s="301" t="str">
        <f>"SIMULAÇÃO RATEIO FIXO — "&amp;Premissas!$B$13&amp;" × COPASUL | 18 UCs | Jun/2026–Mai/2028"</f>
        <v>SIMULAÇÃO RATEIO FIXO — Cassilândia 03 × COPASUL | 18 UCs | Jun/2026–Mai/2028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</row>
    <row r="2" spans="1:27" ht="12.75" customHeight="1" x14ac:dyDescent="0.35">
      <c r="A2" s="302" t="s">
        <v>276</v>
      </c>
      <c r="B2" s="302"/>
      <c r="C2" s="302"/>
      <c r="D2" s="302"/>
      <c r="E2" s="302"/>
      <c r="F2" s="302"/>
      <c r="G2" s="302"/>
      <c r="H2" s="302"/>
      <c r="I2" s="302"/>
      <c r="J2" s="302"/>
      <c r="K2" s="302"/>
      <c r="L2" s="302"/>
      <c r="M2" s="302"/>
      <c r="N2" s="302"/>
      <c r="O2" s="302"/>
      <c r="P2" s="302"/>
      <c r="Q2" s="302"/>
      <c r="R2" s="302"/>
      <c r="S2" s="302"/>
      <c r="T2" s="302"/>
      <c r="U2" s="302"/>
      <c r="V2" s="302"/>
      <c r="W2" s="302"/>
      <c r="X2" s="302"/>
      <c r="Y2" s="302"/>
      <c r="Z2" s="302"/>
      <c r="AA2" s="302"/>
    </row>
    <row r="4" spans="1:27" ht="24" customHeight="1" x14ac:dyDescent="0.35">
      <c r="A4" s="3" t="s">
        <v>277</v>
      </c>
      <c r="B4" s="104" t="s">
        <v>278</v>
      </c>
      <c r="C4" s="104" t="s">
        <v>279</v>
      </c>
      <c r="D4" s="105" t="s">
        <v>41</v>
      </c>
      <c r="E4" s="105" t="s">
        <v>42</v>
      </c>
      <c r="F4" s="105" t="s">
        <v>43</v>
      </c>
      <c r="G4" s="105" t="s">
        <v>44</v>
      </c>
      <c r="H4" s="105" t="s">
        <v>45</v>
      </c>
      <c r="I4" s="105" t="s">
        <v>46</v>
      </c>
      <c r="J4" s="1" t="s">
        <v>47</v>
      </c>
      <c r="K4" s="1" t="s">
        <v>48</v>
      </c>
      <c r="L4" s="1" t="s">
        <v>49</v>
      </c>
      <c r="M4" s="1" t="s">
        <v>50</v>
      </c>
      <c r="N4" s="1" t="s">
        <v>51</v>
      </c>
      <c r="O4" s="1" t="s">
        <v>52</v>
      </c>
      <c r="P4" s="105" t="s">
        <v>53</v>
      </c>
      <c r="Q4" s="105" t="s">
        <v>54</v>
      </c>
      <c r="R4" s="105" t="s">
        <v>55</v>
      </c>
      <c r="S4" s="105" t="s">
        <v>56</v>
      </c>
      <c r="T4" s="105" t="s">
        <v>57</v>
      </c>
      <c r="U4" s="105" t="s">
        <v>58</v>
      </c>
      <c r="V4" s="1" t="s">
        <v>59</v>
      </c>
      <c r="W4" s="1" t="s">
        <v>60</v>
      </c>
      <c r="X4" s="1" t="s">
        <v>61</v>
      </c>
      <c r="Y4" s="1" t="s">
        <v>62</v>
      </c>
      <c r="Z4" s="1" t="s">
        <v>64</v>
      </c>
      <c r="AA4" s="1" t="s">
        <v>70</v>
      </c>
    </row>
    <row r="5" spans="1:27" ht="15" customHeight="1" x14ac:dyDescent="0.35">
      <c r="A5" s="265" t="str">
        <f>"0.  "&amp;Premissas!B13&amp;" — GERAÇÃO E CUSTO PPA"</f>
        <v>0.  Cassilândia 03 — GERAÇÃO E CUSTO PPA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  <c r="AA5" s="265"/>
    </row>
    <row r="6" spans="1:27" ht="13.5" customHeight="1" x14ac:dyDescent="0.35">
      <c r="A6" s="40" t="str">
        <f>INDEX(PVSYST_Helexia!$A$5:$A$7,MATCH(Premissas!$B$13,PVSYST_Helexia!$B$5:$B$7,0))&amp;" Geração P50 (kWh)"</f>
        <v>HCS03 Geração P50 (kWh)</v>
      </c>
      <c r="B6" s="42">
        <f>SUM(D6:AA6)</f>
        <v>3375313.8500000006</v>
      </c>
      <c r="C6" s="106">
        <f>B6/24</f>
        <v>140638.07708333337</v>
      </c>
      <c r="D6" s="107">
        <f>Premissas!$B$61</f>
        <v>123990</v>
      </c>
      <c r="E6" s="107">
        <f>Premissas!$B$62</f>
        <v>130509.99999999999</v>
      </c>
      <c r="F6" s="107">
        <f>Premissas!$B$63</f>
        <v>156670</v>
      </c>
      <c r="G6" s="107">
        <f>Premissas!$B$64</f>
        <v>147010</v>
      </c>
      <c r="H6" s="107">
        <f>Premissas!$B$65</f>
        <v>151080</v>
      </c>
      <c r="I6" s="107">
        <f>Premissas!$B$66</f>
        <v>146080</v>
      </c>
      <c r="J6" s="107">
        <f>Premissas!$B$67</f>
        <v>138710</v>
      </c>
      <c r="K6" s="107">
        <f>Premissas!$B$68</f>
        <v>142424.29999999999</v>
      </c>
      <c r="L6" s="107">
        <f>Premissas!$B$69</f>
        <v>126912.25</v>
      </c>
      <c r="M6" s="107">
        <f>Premissas!$B$70</f>
        <v>145568.5</v>
      </c>
      <c r="N6" s="107">
        <f>Premissas!$B$71</f>
        <v>145250.1</v>
      </c>
      <c r="O6" s="107">
        <f>Premissas!$B$72</f>
        <v>135936.9</v>
      </c>
      <c r="P6" s="107">
        <f>Premissas!$B$73</f>
        <v>123370.05</v>
      </c>
      <c r="Q6" s="107">
        <f>Premissas!$B$74</f>
        <v>129857.44999999998</v>
      </c>
      <c r="R6" s="107">
        <f>Premissas!$B$75</f>
        <v>155886.65</v>
      </c>
      <c r="S6" s="107">
        <f>Premissas!$B$76</f>
        <v>146274.95000000001</v>
      </c>
      <c r="T6" s="107">
        <f>Premissas!$B$77</f>
        <v>150324.6</v>
      </c>
      <c r="U6" s="107">
        <f>Premissas!$B$78</f>
        <v>145349.6</v>
      </c>
      <c r="V6" s="107">
        <f>Premissas!$B$79</f>
        <v>138016.45000000001</v>
      </c>
      <c r="W6" s="107">
        <f>Premissas!$B$80</f>
        <v>142424.29999999999</v>
      </c>
      <c r="X6" s="107">
        <f>Premissas!$B$81</f>
        <v>126912.25</v>
      </c>
      <c r="Y6" s="107">
        <f>Premissas!$B$82</f>
        <v>145568.5</v>
      </c>
      <c r="Z6" s="107">
        <f>Premissas!$B$83</f>
        <v>145250.1</v>
      </c>
      <c r="AA6" s="107">
        <f>Premissas!$B$84</f>
        <v>135936.9</v>
      </c>
    </row>
    <row r="7" spans="1:27" ht="12.75" customHeight="1" x14ac:dyDescent="0.35">
      <c r="A7" s="108" t="s">
        <v>280</v>
      </c>
      <c r="B7" s="109">
        <f>SUM(D7:AA7)</f>
        <v>1493576.3786250004</v>
      </c>
      <c r="C7" s="110">
        <f>B7/24</f>
        <v>62232.349109375013</v>
      </c>
      <c r="D7" s="109">
        <f>D6*Premissas!$B$17</f>
        <v>54865.574999999997</v>
      </c>
      <c r="E7" s="109">
        <f>E6*Premissas!$B$17</f>
        <v>57750.674999999996</v>
      </c>
      <c r="F7" s="109">
        <f>F6*Premissas!$B$17</f>
        <v>69326.475000000006</v>
      </c>
      <c r="G7" s="109">
        <f>G6*Premissas!$B$17</f>
        <v>65051.925000000003</v>
      </c>
      <c r="H7" s="109">
        <f>H6*Premissas!$B$17</f>
        <v>66852.899999999994</v>
      </c>
      <c r="I7" s="109">
        <f>I6*Premissas!$B$17</f>
        <v>64640.4</v>
      </c>
      <c r="J7" s="109">
        <f>J6*Premissas!$B$17</f>
        <v>61379.175000000003</v>
      </c>
      <c r="K7" s="109">
        <f>K6*Premissas!$B$17</f>
        <v>63022.752749999992</v>
      </c>
      <c r="L7" s="109">
        <f>L6*Premissas!$B$17</f>
        <v>56158.670624999999</v>
      </c>
      <c r="M7" s="109">
        <f>M6*Premissas!$B$17</f>
        <v>64414.061249999999</v>
      </c>
      <c r="N7" s="109">
        <f>N6*Premissas!$B$17</f>
        <v>64273.169250000006</v>
      </c>
      <c r="O7" s="109">
        <f>O6*Premissas!$B$17</f>
        <v>60152.078249999999</v>
      </c>
      <c r="P7" s="109">
        <f>P6*Premissas!$B$17</f>
        <v>54591.247125000002</v>
      </c>
      <c r="Q7" s="109">
        <f>Q6*Premissas!$B$17</f>
        <v>57461.921624999995</v>
      </c>
      <c r="R7" s="109">
        <f>R6*Premissas!$B$17</f>
        <v>68979.842625000005</v>
      </c>
      <c r="S7" s="109">
        <f>S6*Premissas!$B$17</f>
        <v>64726.665375000004</v>
      </c>
      <c r="T7" s="109">
        <f>T6*Premissas!$B$17</f>
        <v>66518.635500000004</v>
      </c>
      <c r="U7" s="109">
        <f>U6*Premissas!$B$17</f>
        <v>64317.198000000004</v>
      </c>
      <c r="V7" s="109">
        <f>V6*Premissas!$B$17</f>
        <v>61072.279125000008</v>
      </c>
      <c r="W7" s="109">
        <f>W6*Premissas!$B$17</f>
        <v>63022.752749999992</v>
      </c>
      <c r="X7" s="109">
        <f>X6*Premissas!$B$17</f>
        <v>56158.670624999999</v>
      </c>
      <c r="Y7" s="109">
        <f>Y6*Premissas!$B$17</f>
        <v>64414.061249999999</v>
      </c>
      <c r="Z7" s="109">
        <f>Z6*Premissas!$B$17</f>
        <v>64273.169250000006</v>
      </c>
      <c r="AA7" s="109">
        <f>AA6*Premissas!$B$17</f>
        <v>60152.078249999999</v>
      </c>
    </row>
    <row r="8" spans="1:27" ht="15" customHeight="1" x14ac:dyDescent="0.35">
      <c r="A8" s="303" t="s">
        <v>281</v>
      </c>
      <c r="B8" s="303"/>
      <c r="C8" s="303"/>
      <c r="D8" s="303"/>
      <c r="E8" s="303"/>
      <c r="F8" s="303"/>
      <c r="G8" s="303"/>
      <c r="H8" s="303"/>
      <c r="I8" s="303"/>
      <c r="J8" s="303"/>
      <c r="K8" s="303"/>
      <c r="L8" s="303"/>
      <c r="M8" s="303"/>
      <c r="N8" s="303"/>
      <c r="O8" s="303"/>
      <c r="P8" s="303"/>
      <c r="Q8" s="303"/>
      <c r="R8" s="303"/>
      <c r="S8" s="303"/>
      <c r="T8" s="303"/>
      <c r="U8" s="303"/>
      <c r="V8" s="303"/>
      <c r="W8" s="303"/>
      <c r="X8" s="303"/>
      <c r="Y8" s="303"/>
      <c r="Z8" s="303"/>
      <c r="AA8" s="303"/>
    </row>
    <row r="9" spans="1:27" ht="12.75" customHeight="1" x14ac:dyDescent="0.35">
      <c r="A9" s="71" t="s">
        <v>282</v>
      </c>
      <c r="B9" s="84">
        <f t="shared" ref="B9:B14" si="0">SUM(D9:AA9)</f>
        <v>2254432.4024774996</v>
      </c>
      <c r="C9" s="106">
        <f t="shared" ref="C9:C14" si="1">B9/24</f>
        <v>93934.683436562482</v>
      </c>
      <c r="D9" s="84">
        <f>+Batayporã!I8</f>
        <v>72286.89999999998</v>
      </c>
      <c r="E9" s="84">
        <f>+Batayporã!I9</f>
        <v>88336.8</v>
      </c>
      <c r="F9" s="84">
        <f>+Batayporã!I10</f>
        <v>93082.7</v>
      </c>
      <c r="G9" s="84">
        <f>+Batayporã!I11</f>
        <v>94433.400000000009</v>
      </c>
      <c r="H9" s="84">
        <f>+Batayporã!I12</f>
        <v>95906.799999999988</v>
      </c>
      <c r="I9" s="84">
        <f>+Batayporã!I13</f>
        <v>107980.59999999998</v>
      </c>
      <c r="J9" s="84">
        <f>+Batayporã!I14</f>
        <v>106603.90000000001</v>
      </c>
      <c r="K9" s="84">
        <f>+Batayporã!I3*(1-Premissas!$B$23)</f>
        <v>113687.70499999996</v>
      </c>
      <c r="L9" s="84">
        <f>+Batayporã!I4*(1-Premissas!$B$23)</f>
        <v>90676.240500000014</v>
      </c>
      <c r="M9" s="84">
        <f>+Batayporã!I5*(1-Premissas!$B$23)</f>
        <v>102546.59049999998</v>
      </c>
      <c r="N9" s="84">
        <f>+Batayporã!I6*(1-Premissas!$B$23)</f>
        <v>73341.151499999993</v>
      </c>
      <c r="O9" s="84">
        <f>+Batayporã!I7*(1-Premissas!$B$23)</f>
        <v>91158.516999999993</v>
      </c>
      <c r="P9" s="84">
        <f>D9*(1-Premissas!$B$23)</f>
        <v>71925.465499999977</v>
      </c>
      <c r="Q9" s="84">
        <f>E9*(1-Premissas!$B$23)</f>
        <v>87895.116000000009</v>
      </c>
      <c r="R9" s="84">
        <f>F9*(1-Premissas!$B$23)</f>
        <v>92617.286500000002</v>
      </c>
      <c r="S9" s="84">
        <f>G9*(1-Premissas!$B$23)</f>
        <v>93961.233000000007</v>
      </c>
      <c r="T9" s="84">
        <f>H9*(1-Premissas!$B$23)</f>
        <v>95427.265999999989</v>
      </c>
      <c r="U9" s="84">
        <f>I9*(1-Premissas!$B$23)</f>
        <v>107440.69699999997</v>
      </c>
      <c r="V9" s="84">
        <f>J9*(1-Premissas!$B$23)</f>
        <v>106070.88050000001</v>
      </c>
      <c r="W9" s="84">
        <f>K9*(1-Premissas!$B$23)</f>
        <v>113119.26647499995</v>
      </c>
      <c r="X9" s="84">
        <f>L9*(1-Premissas!$B$23)</f>
        <v>90222.859297500021</v>
      </c>
      <c r="Y9" s="84">
        <f>M9*(1-Premissas!$B$23)</f>
        <v>102033.85754749998</v>
      </c>
      <c r="Z9" s="84">
        <f>N9*(1-Premissas!$B$23)</f>
        <v>72974.445742499985</v>
      </c>
      <c r="AA9" s="84">
        <f>O9*(1-Premissas!$B$23)</f>
        <v>90702.72441499999</v>
      </c>
    </row>
    <row r="10" spans="1:27" ht="12.75" customHeight="1" x14ac:dyDescent="0.35">
      <c r="A10" s="111" t="s">
        <v>283</v>
      </c>
      <c r="B10" s="97">
        <f t="shared" si="0"/>
        <v>1358567.28</v>
      </c>
      <c r="C10" s="106">
        <f t="shared" si="1"/>
        <v>56606.97</v>
      </c>
      <c r="D10" s="97">
        <f>Input_Consumo_GrupoA!$D$9</f>
        <v>78336</v>
      </c>
      <c r="E10" s="97">
        <f>Input_Consumo_GrupoA!$D$10</f>
        <v>115718.39999999999</v>
      </c>
      <c r="F10" s="97">
        <f>Input_Consumo_GrupoA!$D$11</f>
        <v>23364</v>
      </c>
      <c r="G10" s="97">
        <f>Input_Consumo_GrupoA!$D$12</f>
        <v>10800</v>
      </c>
      <c r="H10" s="97">
        <f>Input_Consumo_GrupoA!$D$13</f>
        <v>10800</v>
      </c>
      <c r="I10" s="97">
        <f>Input_Consumo_GrupoA!$D$14</f>
        <v>10800</v>
      </c>
      <c r="J10" s="97">
        <f>Input_Consumo_GrupoA!$D$15</f>
        <v>3402</v>
      </c>
      <c r="K10" s="97">
        <f>Input_Consumo_GrupoA!$D$4*(1+Premissas!$B$21)</f>
        <v>116816.17499999999</v>
      </c>
      <c r="L10" s="97">
        <f>Input_Consumo_GrupoA!$D$5*(1+Premissas!$B$21)</f>
        <v>129020.84999999999</v>
      </c>
      <c r="M10" s="97">
        <f>Input_Consumo_GrupoA!$D$6*(1+Premissas!$B$21)</f>
        <v>58936.679999999993</v>
      </c>
      <c r="N10" s="97">
        <f>Input_Consumo_GrupoA!$D$7*(1+Premissas!$B$21)</f>
        <v>36531</v>
      </c>
      <c r="O10" s="97">
        <f>Input_Consumo_GrupoA!$D$8*(1+Premissas!$B$21)</f>
        <v>81593.279999999984</v>
      </c>
      <c r="P10" s="97">
        <f>Input_Consumo_GrupoA!$D$9*(1+Premissas!$B$21)</f>
        <v>80294.399999999994</v>
      </c>
      <c r="Q10" s="97">
        <f>Input_Consumo_GrupoA!$D$10*(1+Premissas!$B$21)</f>
        <v>118611.35999999999</v>
      </c>
      <c r="R10" s="97">
        <f>Input_Consumo_GrupoA!$D$11*(1+Premissas!$B$21)</f>
        <v>23948.1</v>
      </c>
      <c r="S10" s="97">
        <f>Input_Consumo_GrupoA!$D$12*(1+Premissas!$B$21)</f>
        <v>11069.999999999998</v>
      </c>
      <c r="T10" s="97">
        <f>Input_Consumo_GrupoA!$D$13*(1+Premissas!$B$21)</f>
        <v>11069.999999999998</v>
      </c>
      <c r="U10" s="97">
        <f>Input_Consumo_GrupoA!$D$14*(1+Premissas!$B$21)</f>
        <v>11069.999999999998</v>
      </c>
      <c r="V10" s="97">
        <f>Input_Consumo_GrupoA!$D$15*(1+Premissas!$B$21)</f>
        <v>3487.0499999999997</v>
      </c>
      <c r="W10" s="97">
        <f>Input_Consumo_GrupoA!$D$4*(1+Premissas!$B$21)</f>
        <v>116816.17499999999</v>
      </c>
      <c r="X10" s="97">
        <f>Input_Consumo_GrupoA!$D$5*(1+Premissas!$B$21)</f>
        <v>129020.84999999999</v>
      </c>
      <c r="Y10" s="97">
        <f>Input_Consumo_GrupoA!$D$6*(1+Premissas!$B$21)</f>
        <v>58936.679999999993</v>
      </c>
      <c r="Z10" s="97">
        <f>Input_Consumo_GrupoA!$D$7*(1+Premissas!$B$21)</f>
        <v>36531</v>
      </c>
      <c r="AA10" s="97">
        <f>Input_Consumo_GrupoA!$D$8*(1+Premissas!$B$21)</f>
        <v>81593.279999999984</v>
      </c>
    </row>
    <row r="11" spans="1:27" ht="12.75" customHeight="1" x14ac:dyDescent="0.35">
      <c r="A11" s="111" t="s">
        <v>284</v>
      </c>
      <c r="B11" s="97">
        <f t="shared" si="0"/>
        <v>150951.91999999998</v>
      </c>
      <c r="C11" s="106">
        <f t="shared" si="1"/>
        <v>6289.663333333333</v>
      </c>
      <c r="D11" s="97">
        <f>Input_Consumo_GrupoA!$E$9</f>
        <v>8704</v>
      </c>
      <c r="E11" s="97">
        <f>Input_Consumo_GrupoA!$E$10</f>
        <v>12857.6</v>
      </c>
      <c r="F11" s="97">
        <f>Input_Consumo_GrupoA!$E$11</f>
        <v>2596</v>
      </c>
      <c r="G11" s="97">
        <f>Input_Consumo_GrupoA!$E$12</f>
        <v>1200</v>
      </c>
      <c r="H11" s="97">
        <f>Input_Consumo_GrupoA!$E$13</f>
        <v>1200</v>
      </c>
      <c r="I11" s="97">
        <f>Input_Consumo_GrupoA!$E$14</f>
        <v>1200</v>
      </c>
      <c r="J11" s="97">
        <f>Input_Consumo_GrupoA!$E$15</f>
        <v>378</v>
      </c>
      <c r="K11" s="97">
        <f>Input_Consumo_GrupoA!$E$4*(1+Premissas!$B$21)</f>
        <v>12979.574999999999</v>
      </c>
      <c r="L11" s="97">
        <f>Input_Consumo_GrupoA!$E$5*(1+Premissas!$B$21)</f>
        <v>14335.65</v>
      </c>
      <c r="M11" s="97">
        <f>Input_Consumo_GrupoA!$E$6*(1+Premissas!$B$21)</f>
        <v>6548.5199999999995</v>
      </c>
      <c r="N11" s="97">
        <f>Input_Consumo_GrupoA!$E$7*(1+Premissas!$B$21)</f>
        <v>4058.9999999999995</v>
      </c>
      <c r="O11" s="97">
        <f>Input_Consumo_GrupoA!$E$8*(1+Premissas!$B$21)</f>
        <v>9065.9199999999983</v>
      </c>
      <c r="P11" s="97">
        <f>Input_Consumo_GrupoA!$E$9*(1+Premissas!$B$21)</f>
        <v>8921.5999999999985</v>
      </c>
      <c r="Q11" s="97">
        <f>Input_Consumo_GrupoA!$E$10*(1+Premissas!$B$21)</f>
        <v>13179.039999999999</v>
      </c>
      <c r="R11" s="97">
        <f>Input_Consumo_GrupoA!$E$11*(1+Premissas!$B$21)</f>
        <v>2660.8999999999996</v>
      </c>
      <c r="S11" s="97">
        <f>Input_Consumo_GrupoA!$E$12*(1+Premissas!$B$21)</f>
        <v>1230</v>
      </c>
      <c r="T11" s="97">
        <f>Input_Consumo_GrupoA!$E$13*(1+Premissas!$B$21)</f>
        <v>1230</v>
      </c>
      <c r="U11" s="97">
        <f>Input_Consumo_GrupoA!$E$14*(1+Premissas!$B$21)</f>
        <v>1230</v>
      </c>
      <c r="V11" s="97">
        <f>Input_Consumo_GrupoA!$E$15*(1+Premissas!$B$21)</f>
        <v>387.45</v>
      </c>
      <c r="W11" s="97">
        <f>Input_Consumo_GrupoA!$E$4*(1+Premissas!$B$21)</f>
        <v>12979.574999999999</v>
      </c>
      <c r="X11" s="97">
        <f>Input_Consumo_GrupoA!$E$5*(1+Premissas!$B$21)</f>
        <v>14335.65</v>
      </c>
      <c r="Y11" s="97">
        <f>Input_Consumo_GrupoA!$E$6*(1+Premissas!$B$21)</f>
        <v>6548.5199999999995</v>
      </c>
      <c r="Z11" s="97">
        <f>Input_Consumo_GrupoA!$E$7*(1+Premissas!$B$21)</f>
        <v>4058.9999999999995</v>
      </c>
      <c r="AA11" s="97">
        <f>Input_Consumo_GrupoA!$E$8*(1+Premissas!$B$21)</f>
        <v>9065.9199999999983</v>
      </c>
    </row>
    <row r="12" spans="1:27" ht="12.75" customHeight="1" x14ac:dyDescent="0.35">
      <c r="A12" s="112" t="s">
        <v>285</v>
      </c>
      <c r="B12" s="106">
        <f t="shared" si="0"/>
        <v>1202083.4227725</v>
      </c>
      <c r="C12" s="106">
        <f t="shared" si="1"/>
        <v>50086.809282187496</v>
      </c>
      <c r="D12" s="106">
        <f t="shared" ref="D12:AA12" si="2">MIN(D9,D10)</f>
        <v>72286.89999999998</v>
      </c>
      <c r="E12" s="106">
        <f t="shared" si="2"/>
        <v>88336.8</v>
      </c>
      <c r="F12" s="106">
        <f t="shared" si="2"/>
        <v>23364</v>
      </c>
      <c r="G12" s="106">
        <f t="shared" si="2"/>
        <v>10800</v>
      </c>
      <c r="H12" s="106">
        <f t="shared" si="2"/>
        <v>10800</v>
      </c>
      <c r="I12" s="106">
        <f t="shared" si="2"/>
        <v>10800</v>
      </c>
      <c r="J12" s="106">
        <f t="shared" si="2"/>
        <v>3402</v>
      </c>
      <c r="K12" s="106">
        <f t="shared" si="2"/>
        <v>113687.70499999996</v>
      </c>
      <c r="L12" s="106">
        <f t="shared" si="2"/>
        <v>90676.240500000014</v>
      </c>
      <c r="M12" s="106">
        <f t="shared" si="2"/>
        <v>58936.679999999993</v>
      </c>
      <c r="N12" s="106">
        <f t="shared" si="2"/>
        <v>36531</v>
      </c>
      <c r="O12" s="106">
        <f t="shared" si="2"/>
        <v>81593.279999999984</v>
      </c>
      <c r="P12" s="106">
        <f t="shared" si="2"/>
        <v>71925.465499999977</v>
      </c>
      <c r="Q12" s="106">
        <f t="shared" si="2"/>
        <v>87895.116000000009</v>
      </c>
      <c r="R12" s="106">
        <f t="shared" si="2"/>
        <v>23948.1</v>
      </c>
      <c r="S12" s="106">
        <f t="shared" si="2"/>
        <v>11069.999999999998</v>
      </c>
      <c r="T12" s="106">
        <f t="shared" si="2"/>
        <v>11069.999999999998</v>
      </c>
      <c r="U12" s="106">
        <f t="shared" si="2"/>
        <v>11069.999999999998</v>
      </c>
      <c r="V12" s="106">
        <f t="shared" si="2"/>
        <v>3487.0499999999997</v>
      </c>
      <c r="W12" s="106">
        <f t="shared" si="2"/>
        <v>113119.26647499995</v>
      </c>
      <c r="X12" s="106">
        <f t="shared" si="2"/>
        <v>90222.859297500021</v>
      </c>
      <c r="Y12" s="106">
        <f t="shared" si="2"/>
        <v>58936.679999999993</v>
      </c>
      <c r="Z12" s="106">
        <f t="shared" si="2"/>
        <v>36531</v>
      </c>
      <c r="AA12" s="106">
        <f t="shared" si="2"/>
        <v>81593.279999999984</v>
      </c>
    </row>
    <row r="13" spans="1:27" ht="12.75" customHeight="1" x14ac:dyDescent="0.35">
      <c r="A13" s="112" t="s">
        <v>286</v>
      </c>
      <c r="B13" s="106">
        <f t="shared" si="0"/>
        <v>45811.884632407295</v>
      </c>
      <c r="C13" s="106">
        <f t="shared" si="1"/>
        <v>1908.8285263503039</v>
      </c>
      <c r="D13" s="106">
        <f>MIN((D9-D12)*Premissas!$B$8,D11)</f>
        <v>0</v>
      </c>
      <c r="E13" s="106">
        <f>MIN((E9-E12)*Premissas!$B$8,E11)</f>
        <v>0</v>
      </c>
      <c r="F13" s="106">
        <f>MIN((F9-F12)*Premissas!$B$8,F11)</f>
        <v>2596</v>
      </c>
      <c r="G13" s="106">
        <f>MIN((G9-G12)*Premissas!$B$8,G11)</f>
        <v>1200</v>
      </c>
      <c r="H13" s="106">
        <f>MIN((H9-H12)*Premissas!$B$8,H11)</f>
        <v>1200</v>
      </c>
      <c r="I13" s="106">
        <f>MIN((I9-I12)*Premissas!$B$8,I11)</f>
        <v>1200</v>
      </c>
      <c r="J13" s="106">
        <f>MIN((J9-J12)*Premissas!$B$8,J11)</f>
        <v>378</v>
      </c>
      <c r="K13" s="106">
        <f>MIN((K9-K12)*Premissas!$B$8,K11)</f>
        <v>0</v>
      </c>
      <c r="L13" s="106">
        <f>MIN((L9-L12)*Premissas!$B$8,L11)</f>
        <v>0</v>
      </c>
      <c r="M13" s="106">
        <f>MIN((M9-M12)*Premissas!$B$8,M11)</f>
        <v>6548.5199999999995</v>
      </c>
      <c r="N13" s="106">
        <f>MIN((N9-N12)*Premissas!$B$8,N11)</f>
        <v>4058.9999999999995</v>
      </c>
      <c r="O13" s="106">
        <f>MIN((O9-O12)*Premissas!$B$8,O11)</f>
        <v>5779.9575363842241</v>
      </c>
      <c r="P13" s="106">
        <f>MIN((P9-P12)*Premissas!$B$8,P11)</f>
        <v>0</v>
      </c>
      <c r="Q13" s="106">
        <f>MIN((Q9-Q12)*Premissas!$B$8,Q11)</f>
        <v>0</v>
      </c>
      <c r="R13" s="106">
        <f>MIN((R9-R12)*Premissas!$B$8,R11)</f>
        <v>2660.8999999999996</v>
      </c>
      <c r="S13" s="106">
        <f>MIN((S9-S12)*Premissas!$B$8,S11)</f>
        <v>1230</v>
      </c>
      <c r="T13" s="106">
        <f>MIN((T9-T12)*Premissas!$B$8,T11)</f>
        <v>1230</v>
      </c>
      <c r="U13" s="106">
        <f>MIN((U9-U12)*Premissas!$B$8,U11)</f>
        <v>1230</v>
      </c>
      <c r="V13" s="106">
        <f>MIN((V9-V12)*Premissas!$B$8,V11)</f>
        <v>387.45</v>
      </c>
      <c r="W13" s="106">
        <f>MIN((W9-W12)*Premissas!$B$8,W11)</f>
        <v>0</v>
      </c>
      <c r="X13" s="106">
        <f>MIN((X9-X12)*Premissas!$B$8,X11)</f>
        <v>0</v>
      </c>
      <c r="Y13" s="106">
        <f>MIN((Y9-Y12)*Premissas!$B$8,Y11)</f>
        <v>6548.5199999999995</v>
      </c>
      <c r="Z13" s="106">
        <f>MIN((Z9-Z12)*Premissas!$B$8,Z11)</f>
        <v>4058.9999999999995</v>
      </c>
      <c r="AA13" s="106">
        <f>MIN((AA9-AA12)*Premissas!$B$8,AA11)</f>
        <v>5504.5370960230694</v>
      </c>
    </row>
    <row r="14" spans="1:27" ht="13.5" customHeight="1" x14ac:dyDescent="0.35">
      <c r="A14" s="40" t="s">
        <v>287</v>
      </c>
      <c r="B14" s="42">
        <f t="shared" si="0"/>
        <v>976535.00855258224</v>
      </c>
      <c r="C14" s="106">
        <f t="shared" si="1"/>
        <v>40688.958689690924</v>
      </c>
      <c r="D14" s="107">
        <f>MAX(D9-D12-D11/Premissas!$B$8,0)</f>
        <v>0</v>
      </c>
      <c r="E14" s="107">
        <f>MAX(E9-E12-E11/Premissas!$B$8,0)</f>
        <v>0</v>
      </c>
      <c r="F14" s="107">
        <f>MAX(F9-F12-F11/Premissas!$B$8,0)</f>
        <v>65422.586214442017</v>
      </c>
      <c r="G14" s="107">
        <f>MAX(G9-G12-G11/Premissas!$B$8,0)</f>
        <v>81647.523057523285</v>
      </c>
      <c r="H14" s="107">
        <f>MAX(H9-H12-H11/Premissas!$B$8,0)</f>
        <v>83120.923057523265</v>
      </c>
      <c r="I14" s="107">
        <f>MAX(I9-I12-I11/Premissas!$B$8,0)</f>
        <v>95194.723057523253</v>
      </c>
      <c r="J14" s="107">
        <f>MAX(J9-J12-J11/Premissas!$B$8,0)</f>
        <v>102576.34876311984</v>
      </c>
      <c r="K14" s="107">
        <f>MAX(K9-K12-K11/Premissas!$B$8,0)</f>
        <v>0</v>
      </c>
      <c r="L14" s="107">
        <f>MAX(L9-L12-L11/Premissas!$B$8,0)</f>
        <v>0</v>
      </c>
      <c r="M14" s="107">
        <f>MAX(M9-M12-M11/Premissas!$B$8,0)</f>
        <v>32772.781437210244</v>
      </c>
      <c r="N14" s="107">
        <f>MAX(N9-N12-N11/Premissas!$B$8,0)</f>
        <v>30092.922742072471</v>
      </c>
      <c r="O14" s="107">
        <f>MAX(O9-O12-O11/Premissas!$B$8,0)</f>
        <v>0</v>
      </c>
      <c r="P14" s="107">
        <f>MAX(P9-P12-P11/Premissas!$B$8,0)</f>
        <v>0</v>
      </c>
      <c r="Q14" s="107">
        <f>MAX(Q9-Q12-Q11/Premissas!$B$8,0)</f>
        <v>0</v>
      </c>
      <c r="R14" s="107">
        <f>MAX(R9-R12-R11/Premissas!$B$8,0)</f>
        <v>64265.669869803081</v>
      </c>
      <c r="S14" s="107">
        <f>MAX(S9-S12-S11/Premissas!$B$8,0)</f>
        <v>80855.709133961369</v>
      </c>
      <c r="T14" s="107">
        <f>MAX(T9-T12-T11/Premissas!$B$8,0)</f>
        <v>82321.74213396135</v>
      </c>
      <c r="U14" s="107">
        <f>MAX(U9-U12-U11/Premissas!$B$8,0)</f>
        <v>94335.173133961332</v>
      </c>
      <c r="V14" s="107">
        <f>MAX(V9-V12-V11/Premissas!$B$8,0)</f>
        <v>101942.64048219784</v>
      </c>
      <c r="W14" s="107">
        <f>MAX(W9-W12-W11/Premissas!$B$8,0)</f>
        <v>0</v>
      </c>
      <c r="X14" s="107">
        <f>MAX(X9-X12-X11/Premissas!$B$8,0)</f>
        <v>0</v>
      </c>
      <c r="Y14" s="107">
        <f>MAX(Y9-Y12-Y11/Premissas!$B$8,0)</f>
        <v>32260.048484710249</v>
      </c>
      <c r="Z14" s="107">
        <f>MAX(Z9-Z12-Z11/Premissas!$B$8,0)</f>
        <v>29726.216984572464</v>
      </c>
      <c r="AA14" s="107">
        <f>MAX(AA9-AA12-AA11/Premissas!$B$8,0)</f>
        <v>0</v>
      </c>
    </row>
    <row r="15" spans="1:27" ht="15" customHeight="1" x14ac:dyDescent="0.35">
      <c r="A15" s="304" t="s">
        <v>288</v>
      </c>
      <c r="B15" s="304"/>
      <c r="C15" s="304"/>
      <c r="D15" s="304"/>
      <c r="E15" s="304"/>
      <c r="F15" s="304"/>
      <c r="G15" s="304"/>
      <c r="H15" s="304"/>
      <c r="I15" s="304"/>
      <c r="J15" s="304"/>
      <c r="K15" s="304"/>
      <c r="L15" s="304"/>
      <c r="M15" s="304"/>
      <c r="N15" s="304"/>
      <c r="O15" s="304"/>
      <c r="P15" s="304"/>
      <c r="Q15" s="304"/>
      <c r="R15" s="304"/>
      <c r="S15" s="304"/>
      <c r="T15" s="304"/>
      <c r="U15" s="304"/>
      <c r="V15" s="304"/>
      <c r="W15" s="304"/>
      <c r="X15" s="304"/>
      <c r="Y15" s="304"/>
      <c r="Z15" s="304"/>
      <c r="AA15" s="304"/>
    </row>
    <row r="16" spans="1:27" ht="12.75" customHeight="1" x14ac:dyDescent="0.35">
      <c r="A16" s="113" t="s">
        <v>289</v>
      </c>
      <c r="B16" s="114">
        <f>AA16</f>
        <v>582152.889626374</v>
      </c>
      <c r="C16" s="106" t="s">
        <v>104</v>
      </c>
      <c r="D16" s="114">
        <f>Premissas!$B$27</f>
        <v>906739</v>
      </c>
      <c r="E16" s="114">
        <f t="shared" ref="E16:AA16" si="3">D18</f>
        <v>886285.6725772355</v>
      </c>
      <c r="F16" s="114">
        <f t="shared" si="3"/>
        <v>837626.06309757824</v>
      </c>
      <c r="G16" s="114">
        <f t="shared" si="3"/>
        <v>837626.06309757824</v>
      </c>
      <c r="H16" s="114">
        <f t="shared" si="3"/>
        <v>837626.06309757824</v>
      </c>
      <c r="I16" s="114">
        <f t="shared" si="3"/>
        <v>837626.06309757824</v>
      </c>
      <c r="J16" s="114">
        <f t="shared" si="3"/>
        <v>837626.06309757824</v>
      </c>
      <c r="K16" s="114">
        <f t="shared" si="3"/>
        <v>837626.06309757824</v>
      </c>
      <c r="L16" s="114">
        <f t="shared" si="3"/>
        <v>813017.7275012054</v>
      </c>
      <c r="M16" s="114">
        <f t="shared" si="3"/>
        <v>750949.08734252502</v>
      </c>
      <c r="N16" s="114">
        <f t="shared" si="3"/>
        <v>750949.08734252502</v>
      </c>
      <c r="O16" s="114">
        <f t="shared" si="3"/>
        <v>750949.08734252502</v>
      </c>
      <c r="P16" s="114">
        <f t="shared" si="3"/>
        <v>745511.15643390955</v>
      </c>
      <c r="Q16" s="114">
        <f t="shared" si="3"/>
        <v>722377.88882557594</v>
      </c>
      <c r="R16" s="114">
        <f t="shared" si="3"/>
        <v>669851.68510892719</v>
      </c>
      <c r="S16" s="114">
        <f t="shared" si="3"/>
        <v>669851.68510892719</v>
      </c>
      <c r="T16" s="114">
        <f t="shared" si="3"/>
        <v>669851.68510892719</v>
      </c>
      <c r="U16" s="114">
        <f t="shared" si="3"/>
        <v>669851.68510892719</v>
      </c>
      <c r="V16" s="114">
        <f t="shared" si="3"/>
        <v>669851.68510892719</v>
      </c>
      <c r="W16" s="114">
        <f t="shared" si="3"/>
        <v>669851.68510892719</v>
      </c>
      <c r="X16" s="114">
        <f t="shared" si="3"/>
        <v>644674.91098755435</v>
      </c>
      <c r="Y16" s="114">
        <f t="shared" si="3"/>
        <v>582152.889626374</v>
      </c>
      <c r="Z16" s="114">
        <f t="shared" si="3"/>
        <v>582152.889626374</v>
      </c>
      <c r="AA16" s="114">
        <f t="shared" si="3"/>
        <v>582152.889626374</v>
      </c>
    </row>
    <row r="17" spans="1:27" ht="12.75" customHeight="1" x14ac:dyDescent="0.35">
      <c r="A17" s="113" t="s">
        <v>290</v>
      </c>
      <c r="B17" s="114">
        <f>SUM(D17:AA17)</f>
        <v>330479.83386724151</v>
      </c>
      <c r="C17" s="106">
        <f>B17/24</f>
        <v>13769.99307780173</v>
      </c>
      <c r="D17" s="114">
        <f>MIN(D16,MAX(D10-D12,0)+IF(Premissas!$B$8=0,0,MAX(D11-D13,0)/Premissas!$B$8))</f>
        <v>20453.327422764538</v>
      </c>
      <c r="E17" s="114">
        <f>MIN(E16,MAX(E10-E12,0)+IF(Premissas!$B$8=0,0,MAX(E11-E13,0)/Premissas!$B$8))</f>
        <v>48659.60947965728</v>
      </c>
      <c r="F17" s="114">
        <f>MIN(F16,MAX(F10-F12,0)+IF(Premissas!$B$8=0,0,MAX(F11-F13,0)/Premissas!$B$8))</f>
        <v>0</v>
      </c>
      <c r="G17" s="114">
        <f>MIN(G16,MAX(G10-G12,0)+IF(Premissas!$B$8=0,0,MAX(G11-G13,0)/Premissas!$B$8))</f>
        <v>0</v>
      </c>
      <c r="H17" s="114">
        <f>MIN(H16,MAX(H10-H12,0)+IF(Premissas!$B$8=0,0,MAX(H11-H13,0)/Premissas!$B$8))</f>
        <v>0</v>
      </c>
      <c r="I17" s="114">
        <f>MIN(I16,MAX(I10-I12,0)+IF(Premissas!$B$8=0,0,MAX(I11-I13,0)/Premissas!$B$8))</f>
        <v>0</v>
      </c>
      <c r="J17" s="114">
        <f>MIN(J16,MAX(J10-J12,0)+IF(Premissas!$B$8=0,0,MAX(J11-J13,0)/Premissas!$B$8))</f>
        <v>0</v>
      </c>
      <c r="K17" s="114">
        <f>MIN(K16,MAX(K10-K12,0)+IF(Premissas!$B$8=0,0,MAX(K11-K13,0)/Premissas!$B$8))</f>
        <v>24608.335596372817</v>
      </c>
      <c r="L17" s="114">
        <f>MIN(L16,MAX(L10-L12,0)+IF(Premissas!$B$8=0,0,MAX(L11-L13,0)/Premissas!$B$8))</f>
        <v>62068.640158680369</v>
      </c>
      <c r="M17" s="114">
        <f>MIN(M16,MAX(M10-M12,0)+IF(Premissas!$B$8=0,0,MAX(M11-M13,0)/Premissas!$B$8))</f>
        <v>0</v>
      </c>
      <c r="N17" s="114">
        <f>MIN(N16,MAX(N10-N12,0)+IF(Premissas!$B$8=0,0,MAX(N11-N13,0)/Premissas!$B$8))</f>
        <v>0</v>
      </c>
      <c r="O17" s="114">
        <f>MIN(O16,MAX(O10-O12,0)+IF(Premissas!$B$8=0,0,MAX(O11-O13,0)/Premissas!$B$8))</f>
        <v>5437.9309086154854</v>
      </c>
      <c r="P17" s="114">
        <f>MIN(P16,MAX(P10-P12,0)+IF(Premissas!$B$8=0,0,MAX(P11-P13,0)/Premissas!$B$8))</f>
        <v>23133.267608333645</v>
      </c>
      <c r="Q17" s="114">
        <f>MIN(Q16,MAX(Q10-Q12,0)+IF(Premissas!$B$8=0,0,MAX(Q11-Q13,0)/Premissas!$B$8))</f>
        <v>52526.203716648699</v>
      </c>
      <c r="R17" s="114">
        <f>MIN(R16,MAX(R10-R12,0)+IF(Premissas!$B$8=0,0,MAX(R11-R13,0)/Premissas!$B$8))</f>
        <v>0</v>
      </c>
      <c r="S17" s="114">
        <f>MIN(S16,MAX(S10-S12,0)+IF(Premissas!$B$8=0,0,MAX(S11-S13,0)/Premissas!$B$8))</f>
        <v>0</v>
      </c>
      <c r="T17" s="114">
        <f>MIN(T16,MAX(T10-T12,0)+IF(Premissas!$B$8=0,0,MAX(T11-T13,0)/Premissas!$B$8))</f>
        <v>0</v>
      </c>
      <c r="U17" s="114">
        <f>MIN(U16,MAX(U10-U12,0)+IF(Premissas!$B$8=0,0,MAX(U11-U13,0)/Premissas!$B$8))</f>
        <v>0</v>
      </c>
      <c r="V17" s="114">
        <f>MIN(V16,MAX(V10-V12,0)+IF(Premissas!$B$8=0,0,MAX(V11-V13,0)/Premissas!$B$8))</f>
        <v>0</v>
      </c>
      <c r="W17" s="114">
        <f>MIN(W16,MAX(W10-W12,0)+IF(Premissas!$B$8=0,0,MAX(W11-W13,0)/Premissas!$B$8))</f>
        <v>25176.774121372822</v>
      </c>
      <c r="X17" s="114">
        <f>MIN(X16,MAX(X10-X12,0)+IF(Premissas!$B$8=0,0,MAX(X11-X13,0)/Premissas!$B$8))</f>
        <v>62522.021361180363</v>
      </c>
      <c r="Y17" s="114">
        <f>MIN(Y16,MAX(Y10-Y12,0)+IF(Premissas!$B$8=0,0,MAX(Y11-Y13,0)/Premissas!$B$8))</f>
        <v>0</v>
      </c>
      <c r="Z17" s="114">
        <f>MIN(Z16,MAX(Z10-Z12,0)+IF(Premissas!$B$8=0,0,MAX(Z11-Z13,0)/Premissas!$B$8))</f>
        <v>0</v>
      </c>
      <c r="AA17" s="114">
        <f>MIN(AA16,MAX(AA10-AA12,0)+IF(Premissas!$B$8=0,0,MAX(AA11-AA13,0)/Premissas!$B$8))</f>
        <v>5893.7234936154882</v>
      </c>
    </row>
    <row r="18" spans="1:27" ht="12.75" customHeight="1" x14ac:dyDescent="0.35">
      <c r="A18" s="113" t="s">
        <v>291</v>
      </c>
      <c r="B18" s="114">
        <f>AA18</f>
        <v>576259.16613275849</v>
      </c>
      <c r="C18" s="106" t="s">
        <v>104</v>
      </c>
      <c r="D18" s="114">
        <f t="shared" ref="D18:AA18" si="4">MAX(D16-D17,0)</f>
        <v>886285.6725772355</v>
      </c>
      <c r="E18" s="114">
        <f t="shared" si="4"/>
        <v>837626.06309757824</v>
      </c>
      <c r="F18" s="114">
        <f t="shared" si="4"/>
        <v>837626.06309757824</v>
      </c>
      <c r="G18" s="114">
        <f t="shared" si="4"/>
        <v>837626.06309757824</v>
      </c>
      <c r="H18" s="114">
        <f t="shared" si="4"/>
        <v>837626.06309757824</v>
      </c>
      <c r="I18" s="114">
        <f t="shared" si="4"/>
        <v>837626.06309757824</v>
      </c>
      <c r="J18" s="114">
        <f t="shared" si="4"/>
        <v>837626.06309757824</v>
      </c>
      <c r="K18" s="114">
        <f t="shared" si="4"/>
        <v>813017.7275012054</v>
      </c>
      <c r="L18" s="114">
        <f t="shared" si="4"/>
        <v>750949.08734252502</v>
      </c>
      <c r="M18" s="114">
        <f t="shared" si="4"/>
        <v>750949.08734252502</v>
      </c>
      <c r="N18" s="114">
        <f t="shared" si="4"/>
        <v>750949.08734252502</v>
      </c>
      <c r="O18" s="114">
        <f t="shared" si="4"/>
        <v>745511.15643390955</v>
      </c>
      <c r="P18" s="114">
        <f t="shared" si="4"/>
        <v>722377.88882557594</v>
      </c>
      <c r="Q18" s="114">
        <f t="shared" si="4"/>
        <v>669851.68510892719</v>
      </c>
      <c r="R18" s="114">
        <f t="shared" si="4"/>
        <v>669851.68510892719</v>
      </c>
      <c r="S18" s="114">
        <f t="shared" si="4"/>
        <v>669851.68510892719</v>
      </c>
      <c r="T18" s="114">
        <f t="shared" si="4"/>
        <v>669851.68510892719</v>
      </c>
      <c r="U18" s="114">
        <f t="shared" si="4"/>
        <v>669851.68510892719</v>
      </c>
      <c r="V18" s="114">
        <f t="shared" si="4"/>
        <v>669851.68510892719</v>
      </c>
      <c r="W18" s="114">
        <f t="shared" si="4"/>
        <v>644674.91098755435</v>
      </c>
      <c r="X18" s="114">
        <f t="shared" si="4"/>
        <v>582152.889626374</v>
      </c>
      <c r="Y18" s="114">
        <f t="shared" si="4"/>
        <v>582152.889626374</v>
      </c>
      <c r="Z18" s="114">
        <f t="shared" si="4"/>
        <v>582152.889626374</v>
      </c>
      <c r="AA18" s="114">
        <f t="shared" si="4"/>
        <v>576259.16613275849</v>
      </c>
    </row>
    <row r="19" spans="1:27" ht="12.75" customHeight="1" x14ac:dyDescent="0.35">
      <c r="A19" s="115" t="s">
        <v>292</v>
      </c>
      <c r="B19" s="116">
        <f>SUM(D19:AA19)</f>
        <v>488267.50427629112</v>
      </c>
      <c r="C19" s="106">
        <f>B19/24</f>
        <v>20344.479344845462</v>
      </c>
      <c r="D19" s="116">
        <f>0</f>
        <v>0</v>
      </c>
      <c r="E19" s="116">
        <f>D14*Premissas!$B$55</f>
        <v>0</v>
      </c>
      <c r="F19" s="116">
        <f>E14*Premissas!$B$55</f>
        <v>0</v>
      </c>
      <c r="G19" s="116">
        <f>F14*Premissas!$B$55</f>
        <v>32711.293107221009</v>
      </c>
      <c r="H19" s="116">
        <f>G14*Premissas!$B$55</f>
        <v>40823.761528761643</v>
      </c>
      <c r="I19" s="116">
        <f>H14*Premissas!$B$55</f>
        <v>41560.461528761633</v>
      </c>
      <c r="J19" s="116">
        <f>I14*Premissas!$B$55</f>
        <v>47597.361528761627</v>
      </c>
      <c r="K19" s="116">
        <f>J14*Premissas!$B$55</f>
        <v>51288.174381559918</v>
      </c>
      <c r="L19" s="116">
        <f>K14*Premissas!$B$55</f>
        <v>0</v>
      </c>
      <c r="M19" s="116">
        <f>L14*Premissas!$B$55</f>
        <v>0</v>
      </c>
      <c r="N19" s="116">
        <f>M14*Premissas!$B$55</f>
        <v>16386.390718605122</v>
      </c>
      <c r="O19" s="116">
        <f>N14*Premissas!$B$55</f>
        <v>15046.461371036236</v>
      </c>
      <c r="P19" s="116">
        <f>O14*Premissas!$B$55</f>
        <v>0</v>
      </c>
      <c r="Q19" s="116">
        <f>P14*Premissas!$B$55</f>
        <v>0</v>
      </c>
      <c r="R19" s="116">
        <f>Q14*Premissas!$B$55</f>
        <v>0</v>
      </c>
      <c r="S19" s="116">
        <f>R14*Premissas!$B$55</f>
        <v>32132.834934901541</v>
      </c>
      <c r="T19" s="116">
        <f>S14*Premissas!$B$55</f>
        <v>40427.854566980684</v>
      </c>
      <c r="U19" s="116">
        <f>T14*Premissas!$B$55</f>
        <v>41160.871066980675</v>
      </c>
      <c r="V19" s="116">
        <f>U14*Premissas!$B$55</f>
        <v>47167.586566980666</v>
      </c>
      <c r="W19" s="116">
        <f>V14*Premissas!$B$55</f>
        <v>50971.320241098918</v>
      </c>
      <c r="X19" s="116">
        <f>W14*Premissas!$B$55</f>
        <v>0</v>
      </c>
      <c r="Y19" s="116">
        <f>X14*Premissas!$B$55</f>
        <v>0</v>
      </c>
      <c r="Z19" s="116">
        <f>Y14*Premissas!$B$55</f>
        <v>16130.024242355124</v>
      </c>
      <c r="AA19" s="116">
        <f>Z14*Premissas!$B$55</f>
        <v>14863.108492286232</v>
      </c>
    </row>
    <row r="20" spans="1:27" ht="12.75" customHeight="1" x14ac:dyDescent="0.35">
      <c r="A20" s="117" t="s">
        <v>293</v>
      </c>
      <c r="B20" s="118">
        <f>SUM(D20:AA20)</f>
        <v>488267.50427629112</v>
      </c>
      <c r="C20" s="106">
        <f>B20/24</f>
        <v>20344.479344845462</v>
      </c>
      <c r="D20" s="118">
        <f>0</f>
        <v>0</v>
      </c>
      <c r="E20" s="118">
        <f>D14*Premissas!$B$56</f>
        <v>0</v>
      </c>
      <c r="F20" s="118">
        <f>E14*Premissas!$B$56</f>
        <v>0</v>
      </c>
      <c r="G20" s="118">
        <f>F14*Premissas!$B$56</f>
        <v>32711.293107221009</v>
      </c>
      <c r="H20" s="118">
        <f>G14*Premissas!$B$56</f>
        <v>40823.761528761643</v>
      </c>
      <c r="I20" s="118">
        <f>H14*Premissas!$B$56</f>
        <v>41560.461528761633</v>
      </c>
      <c r="J20" s="118">
        <f>I14*Premissas!$B$56</f>
        <v>47597.361528761627</v>
      </c>
      <c r="K20" s="118">
        <f>J14*Premissas!$B$56</f>
        <v>51288.174381559918</v>
      </c>
      <c r="L20" s="118">
        <f>K14*Premissas!$B$56</f>
        <v>0</v>
      </c>
      <c r="M20" s="118">
        <f>L14*Premissas!$B$56</f>
        <v>0</v>
      </c>
      <c r="N20" s="118">
        <f>M14*Premissas!$B$56</f>
        <v>16386.390718605122</v>
      </c>
      <c r="O20" s="118">
        <f>N14*Premissas!$B$56</f>
        <v>15046.461371036236</v>
      </c>
      <c r="P20" s="118">
        <f>O14*Premissas!$B$56</f>
        <v>0</v>
      </c>
      <c r="Q20" s="118">
        <f>P14*Premissas!$B$56</f>
        <v>0</v>
      </c>
      <c r="R20" s="118">
        <f>Q14*Premissas!$B$56</f>
        <v>0</v>
      </c>
      <c r="S20" s="118">
        <f>R14*Premissas!$B$56</f>
        <v>32132.834934901541</v>
      </c>
      <c r="T20" s="118">
        <f>S14*Premissas!$B$56</f>
        <v>40427.854566980684</v>
      </c>
      <c r="U20" s="118">
        <f>T14*Premissas!$B$56</f>
        <v>41160.871066980675</v>
      </c>
      <c r="V20" s="118">
        <f>U14*Premissas!$B$56</f>
        <v>47167.586566980666</v>
      </c>
      <c r="W20" s="118">
        <f>V14*Premissas!$B$56</f>
        <v>50971.320241098918</v>
      </c>
      <c r="X20" s="118">
        <f>W14*Premissas!$B$56</f>
        <v>0</v>
      </c>
      <c r="Y20" s="118">
        <f>X14*Premissas!$B$56</f>
        <v>0</v>
      </c>
      <c r="Z20" s="118">
        <f>Y14*Premissas!$B$56</f>
        <v>16130.024242355124</v>
      </c>
      <c r="AA20" s="118">
        <f>Z14*Premissas!$B$56</f>
        <v>14863.108492286232</v>
      </c>
    </row>
    <row r="21" spans="1:27" ht="15" customHeight="1" x14ac:dyDescent="0.35">
      <c r="A21" s="299" t="s">
        <v>294</v>
      </c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  <c r="P21" s="299"/>
      <c r="Q21" s="299"/>
      <c r="R21" s="299"/>
      <c r="S21" s="299"/>
      <c r="T21" s="299"/>
      <c r="U21" s="299"/>
      <c r="V21" s="299"/>
      <c r="W21" s="299"/>
      <c r="X21" s="299"/>
      <c r="Y21" s="299"/>
      <c r="Z21" s="299"/>
      <c r="AA21" s="299"/>
    </row>
    <row r="22" spans="1:27" ht="12.75" customHeight="1" x14ac:dyDescent="0.35">
      <c r="A22" s="120" t="s">
        <v>295</v>
      </c>
      <c r="B22" s="107">
        <f t="shared" ref="B22:B28" si="5">SUM(D22:AA22)</f>
        <v>3421650.4999999995</v>
      </c>
      <c r="C22" s="106">
        <f t="shared" ref="C22:C28" si="6">B22/24</f>
        <v>142568.77083333331</v>
      </c>
      <c r="D22" s="107">
        <f>Input_Consumo_GrupoA!$B$9</f>
        <v>108694.9</v>
      </c>
      <c r="E22" s="107">
        <f>Input_Consumo_GrupoA!$B$10</f>
        <v>328938.09999999998</v>
      </c>
      <c r="F22" s="107">
        <f>Input_Consumo_GrupoA!$B$11</f>
        <v>190977.6</v>
      </c>
      <c r="G22" s="107">
        <f>Input_Consumo_GrupoA!$B$12</f>
        <v>126478.8</v>
      </c>
      <c r="H22" s="107">
        <f>Input_Consumo_GrupoA!$B$13</f>
        <v>28215</v>
      </c>
      <c r="I22" s="107">
        <f>Input_Consumo_GrupoA!$B$14</f>
        <v>42209.599999999999</v>
      </c>
      <c r="J22" s="107">
        <f>Input_Consumo_GrupoA!$B$15</f>
        <v>42209.599999999999</v>
      </c>
      <c r="K22" s="107">
        <f>Input_Consumo_GrupoA!$B$4*(1+Premissas!$B$21)</f>
        <v>72539.147499999992</v>
      </c>
      <c r="L22" s="107">
        <f>Input_Consumo_GrupoA!$B$5*(1+Premissas!$B$21)</f>
        <v>249812.6925</v>
      </c>
      <c r="M22" s="107">
        <f>Input_Consumo_GrupoA!$B$6*(1+Premissas!$B$21)</f>
        <v>340170.95249999996</v>
      </c>
      <c r="N22" s="107">
        <f>Input_Consumo_GrupoA!$B$7*(1+Premissas!$B$21)</f>
        <v>105347.75749999999</v>
      </c>
      <c r="O22" s="107">
        <f>Input_Consumo_GrupoA!$B$8*(1+Premissas!$B$21)</f>
        <v>64384.554999999993</v>
      </c>
      <c r="P22" s="107">
        <f>Input_Consumo_GrupoA!$B$9*(1+Premissas!$B$21)</f>
        <v>111412.27249999998</v>
      </c>
      <c r="Q22" s="107">
        <f>Input_Consumo_GrupoA!$B$10*(1+Premissas!$B$21)</f>
        <v>337161.55249999993</v>
      </c>
      <c r="R22" s="107">
        <f>Input_Consumo_GrupoA!$B$11*(1+Premissas!$B$21)</f>
        <v>195752.03999999998</v>
      </c>
      <c r="S22" s="107">
        <f>Input_Consumo_GrupoA!$B$12*(1+Premissas!$B$21)</f>
        <v>129640.76999999999</v>
      </c>
      <c r="T22" s="107">
        <f>Input_Consumo_GrupoA!$B$13*(1+Premissas!$B$21)</f>
        <v>28920.374999999996</v>
      </c>
      <c r="U22" s="107">
        <f>Input_Consumo_GrupoA!$B$14*(1+Premissas!$B$21)</f>
        <v>43264.84</v>
      </c>
      <c r="V22" s="107">
        <f>Input_Consumo_GrupoA!$B$15*(1+Premissas!$B$21)</f>
        <v>43264.84</v>
      </c>
      <c r="W22" s="107">
        <f>Input_Consumo_GrupoA!$B$4*(1+Premissas!$B$21)</f>
        <v>72539.147499999992</v>
      </c>
      <c r="X22" s="107">
        <f>Input_Consumo_GrupoA!$B$5*(1+Premissas!$B$21)</f>
        <v>249812.6925</v>
      </c>
      <c r="Y22" s="107">
        <f>Input_Consumo_GrupoA!$B$6*(1+Premissas!$B$21)</f>
        <v>340170.95249999996</v>
      </c>
      <c r="Z22" s="107">
        <f>Input_Consumo_GrupoA!$B$7*(1+Premissas!$B$21)</f>
        <v>105347.75749999999</v>
      </c>
      <c r="AA22" s="107">
        <f>Input_Consumo_GrupoA!$B$8*(1+Premissas!$B$21)</f>
        <v>64384.554999999993</v>
      </c>
    </row>
    <row r="23" spans="1:27" ht="12.75" customHeight="1" x14ac:dyDescent="0.35">
      <c r="A23" s="120" t="s">
        <v>296</v>
      </c>
      <c r="B23" s="107">
        <f t="shared" si="5"/>
        <v>380183.61500000005</v>
      </c>
      <c r="C23" s="106">
        <f t="shared" si="6"/>
        <v>15840.983958333336</v>
      </c>
      <c r="D23" s="107">
        <f>Input_Consumo_GrupoA!$C$9</f>
        <v>12077.2</v>
      </c>
      <c r="E23" s="107">
        <f>Input_Consumo_GrupoA!$C$10</f>
        <v>36548.699999999997</v>
      </c>
      <c r="F23" s="107">
        <f>Input_Consumo_GrupoA!$C$11</f>
        <v>21219.7</v>
      </c>
      <c r="G23" s="107">
        <f>Input_Consumo_GrupoA!$C$12</f>
        <v>14053.2</v>
      </c>
      <c r="H23" s="107">
        <f>Input_Consumo_GrupoA!$C$13</f>
        <v>3135</v>
      </c>
      <c r="I23" s="107">
        <f>Input_Consumo_GrupoA!$C$14</f>
        <v>4690</v>
      </c>
      <c r="J23" s="107">
        <f>Input_Consumo_GrupoA!$C$15</f>
        <v>4690</v>
      </c>
      <c r="K23" s="107">
        <f>Input_Consumo_GrupoA!$C$4*(1+Premissas!$B$21)</f>
        <v>8059.8824999999997</v>
      </c>
      <c r="L23" s="107">
        <f>Input_Consumo_GrupoA!$C$5*(1+Premissas!$B$21)</f>
        <v>27756.999999999996</v>
      </c>
      <c r="M23" s="107">
        <f>Input_Consumo_GrupoA!$C$6*(1+Premissas!$B$21)</f>
        <v>37796.772499999999</v>
      </c>
      <c r="N23" s="107">
        <f>Input_Consumo_GrupoA!$C$7*(1+Premissas!$B$21)</f>
        <v>11705.294999999998</v>
      </c>
      <c r="O23" s="107">
        <f>Input_Consumo_GrupoA!$C$8*(1+Premissas!$B$21)</f>
        <v>7153.8849999999993</v>
      </c>
      <c r="P23" s="107">
        <f>Input_Consumo_GrupoA!$C$9*(1+Premissas!$B$21)</f>
        <v>12379.13</v>
      </c>
      <c r="Q23" s="107">
        <f>Input_Consumo_GrupoA!$C$10*(1+Premissas!$B$21)</f>
        <v>37462.417499999996</v>
      </c>
      <c r="R23" s="107">
        <f>Input_Consumo_GrupoA!$C$11*(1+Premissas!$B$21)</f>
        <v>21750.192499999997</v>
      </c>
      <c r="S23" s="107">
        <f>Input_Consumo_GrupoA!$C$12*(1+Premissas!$B$21)</f>
        <v>14404.529999999999</v>
      </c>
      <c r="T23" s="107">
        <f>Input_Consumo_GrupoA!$C$13*(1+Premissas!$B$21)</f>
        <v>3213.3749999999995</v>
      </c>
      <c r="U23" s="107">
        <f>Input_Consumo_GrupoA!$C$14*(1+Premissas!$B$21)</f>
        <v>4807.25</v>
      </c>
      <c r="V23" s="107">
        <f>Input_Consumo_GrupoA!$C$15*(1+Premissas!$B$21)</f>
        <v>4807.25</v>
      </c>
      <c r="W23" s="107">
        <f>Input_Consumo_GrupoA!$C$4*(1+Premissas!$B$21)</f>
        <v>8059.8824999999997</v>
      </c>
      <c r="X23" s="107">
        <f>Input_Consumo_GrupoA!$C$5*(1+Premissas!$B$21)</f>
        <v>27756.999999999996</v>
      </c>
      <c r="Y23" s="107">
        <f>Input_Consumo_GrupoA!$C$6*(1+Premissas!$B$21)</f>
        <v>37796.772499999999</v>
      </c>
      <c r="Z23" s="107">
        <f>Input_Consumo_GrupoA!$C$7*(1+Premissas!$B$21)</f>
        <v>11705.294999999998</v>
      </c>
      <c r="AA23" s="107">
        <f>Input_Consumo_GrupoA!$C$8*(1+Premissas!$B$21)</f>
        <v>7153.8849999999993</v>
      </c>
    </row>
    <row r="24" spans="1:27" ht="12.75" customHeight="1" x14ac:dyDescent="0.35">
      <c r="A24" s="71" t="s">
        <v>297</v>
      </c>
      <c r="B24" s="84">
        <f t="shared" si="5"/>
        <v>1867755.1354350001</v>
      </c>
      <c r="C24" s="106">
        <f t="shared" si="6"/>
        <v>77823.130643124998</v>
      </c>
      <c r="D24" s="84">
        <f>+'Novo Horizonte do Sul'!I8</f>
        <v>60380.599999999991</v>
      </c>
      <c r="E24" s="84">
        <f>+'Novo Horizonte do Sul'!I9</f>
        <v>76551.200000000012</v>
      </c>
      <c r="F24" s="84">
        <f>+'Novo Horizonte do Sul'!I10</f>
        <v>79815.599999999991</v>
      </c>
      <c r="G24" s="84">
        <f>+'Novo Horizonte do Sul'!I11</f>
        <v>78203.000000000015</v>
      </c>
      <c r="H24" s="84">
        <f>+'Novo Horizonte do Sul'!I12</f>
        <v>73160.099999999991</v>
      </c>
      <c r="I24" s="84">
        <f>+'Novo Horizonte do Sul'!I13</f>
        <v>91030.500000000015</v>
      </c>
      <c r="J24" s="84">
        <f>+'Novo Horizonte do Sul'!I14</f>
        <v>88631.699999999983</v>
      </c>
      <c r="K24" s="84">
        <f>+'Novo Horizonte do Sul'!I3*(1-Premissas!$B$23)</f>
        <v>83044.590499999977</v>
      </c>
      <c r="L24" s="84">
        <f>+'Novo Horizonte do Sul'!I4*(1-Premissas!$B$23)</f>
        <v>75743.777999999991</v>
      </c>
      <c r="M24" s="84">
        <f>+'Novo Horizonte do Sul'!I5*(1-Premissas!$B$23)</f>
        <v>89408.909</v>
      </c>
      <c r="N24" s="84">
        <f>+'Novo Horizonte do Sul'!I6*(1-Premissas!$B$23)</f>
        <v>62411.772999999994</v>
      </c>
      <c r="O24" s="84">
        <f>+'Novo Horizonte do Sul'!I7*(1-Premissas!$B$23)</f>
        <v>77836.362500000017</v>
      </c>
      <c r="P24" s="84">
        <f>D24*(1-Premissas!$B$23)</f>
        <v>60078.696999999993</v>
      </c>
      <c r="Q24" s="84">
        <f>E24*(1-Premissas!$B$23)</f>
        <v>76168.444000000018</v>
      </c>
      <c r="R24" s="84">
        <f>F24*(1-Premissas!$B$23)</f>
        <v>79416.521999999997</v>
      </c>
      <c r="S24" s="84">
        <f>G24*(1-Premissas!$B$23)</f>
        <v>77811.985000000015</v>
      </c>
      <c r="T24" s="84">
        <f>H24*(1-Premissas!$B$23)</f>
        <v>72794.299499999994</v>
      </c>
      <c r="U24" s="84">
        <f>I24*(1-Premissas!$B$23)</f>
        <v>90575.347500000018</v>
      </c>
      <c r="V24" s="84">
        <f>J24*(1-Premissas!$B$23)</f>
        <v>88188.541499999978</v>
      </c>
      <c r="W24" s="84">
        <f>K24*(1-Premissas!$B$23)</f>
        <v>82629.367547499976</v>
      </c>
      <c r="X24" s="84">
        <f>L24*(1-Premissas!$B$23)</f>
        <v>75365.059109999987</v>
      </c>
      <c r="Y24" s="84">
        <f>M24*(1-Premissas!$B$23)</f>
        <v>88961.864455000003</v>
      </c>
      <c r="Z24" s="84">
        <f>N24*(1-Premissas!$B$23)</f>
        <v>62099.714134999995</v>
      </c>
      <c r="AA24" s="84">
        <f>O24*(1-Premissas!$B$23)</f>
        <v>77447.180687500018</v>
      </c>
    </row>
    <row r="25" spans="1:27" ht="12.75" customHeight="1" x14ac:dyDescent="0.35">
      <c r="A25" s="112" t="s">
        <v>298</v>
      </c>
      <c r="B25" s="106">
        <f t="shared" si="5"/>
        <v>1544348.8057000001</v>
      </c>
      <c r="C25" s="106">
        <f t="shared" si="6"/>
        <v>64347.866904166673</v>
      </c>
      <c r="D25" s="106">
        <f t="shared" ref="D25:AA25" si="7">MIN(D24,D22)</f>
        <v>60380.599999999991</v>
      </c>
      <c r="E25" s="106">
        <f t="shared" si="7"/>
        <v>76551.200000000012</v>
      </c>
      <c r="F25" s="106">
        <f t="shared" si="7"/>
        <v>79815.599999999991</v>
      </c>
      <c r="G25" s="106">
        <f t="shared" si="7"/>
        <v>78203.000000000015</v>
      </c>
      <c r="H25" s="106">
        <f t="shared" si="7"/>
        <v>28215</v>
      </c>
      <c r="I25" s="106">
        <f t="shared" si="7"/>
        <v>42209.599999999999</v>
      </c>
      <c r="J25" s="106">
        <f t="shared" si="7"/>
        <v>42209.599999999999</v>
      </c>
      <c r="K25" s="106">
        <f t="shared" si="7"/>
        <v>72539.147499999992</v>
      </c>
      <c r="L25" s="106">
        <f t="shared" si="7"/>
        <v>75743.777999999991</v>
      </c>
      <c r="M25" s="106">
        <f t="shared" si="7"/>
        <v>89408.909</v>
      </c>
      <c r="N25" s="106">
        <f t="shared" si="7"/>
        <v>62411.772999999994</v>
      </c>
      <c r="O25" s="106">
        <f t="shared" si="7"/>
        <v>64384.554999999993</v>
      </c>
      <c r="P25" s="106">
        <f t="shared" si="7"/>
        <v>60078.696999999993</v>
      </c>
      <c r="Q25" s="106">
        <f t="shared" si="7"/>
        <v>76168.444000000018</v>
      </c>
      <c r="R25" s="106">
        <f t="shared" si="7"/>
        <v>79416.521999999997</v>
      </c>
      <c r="S25" s="106">
        <f t="shared" si="7"/>
        <v>77811.985000000015</v>
      </c>
      <c r="T25" s="106">
        <f t="shared" si="7"/>
        <v>28920.374999999996</v>
      </c>
      <c r="U25" s="106">
        <f t="shared" si="7"/>
        <v>43264.84</v>
      </c>
      <c r="V25" s="106">
        <f t="shared" si="7"/>
        <v>43264.84</v>
      </c>
      <c r="W25" s="106">
        <f t="shared" si="7"/>
        <v>72539.147499999992</v>
      </c>
      <c r="X25" s="106">
        <f t="shared" si="7"/>
        <v>75365.059109999987</v>
      </c>
      <c r="Y25" s="106">
        <f t="shared" si="7"/>
        <v>88961.864455000003</v>
      </c>
      <c r="Z25" s="106">
        <f t="shared" si="7"/>
        <v>62099.714134999995</v>
      </c>
      <c r="AA25" s="106">
        <f t="shared" si="7"/>
        <v>64384.554999999993</v>
      </c>
    </row>
    <row r="26" spans="1:27" ht="12.75" customHeight="1" x14ac:dyDescent="0.35">
      <c r="A26" s="112" t="s">
        <v>299</v>
      </c>
      <c r="B26" s="106">
        <f t="shared" si="5"/>
        <v>52095.925534944137</v>
      </c>
      <c r="C26" s="106">
        <f t="shared" si="6"/>
        <v>2170.6635639560059</v>
      </c>
      <c r="D26" s="106">
        <f>MIN((D24-D25)*Premissas!$B$8,D23)</f>
        <v>0</v>
      </c>
      <c r="E26" s="106">
        <f>MIN((E24-E25)*Premissas!$B$8,E23)</f>
        <v>0</v>
      </c>
      <c r="F26" s="106">
        <f>MIN((F24-F25)*Premissas!$B$8,F23)</f>
        <v>0</v>
      </c>
      <c r="G26" s="106">
        <f>MIN((G24-G25)*Premissas!$B$8,G23)</f>
        <v>0</v>
      </c>
      <c r="H26" s="106">
        <f>MIN((H24-H25)*Premissas!$B$8,H23)</f>
        <v>3135</v>
      </c>
      <c r="I26" s="106">
        <f>MIN((I24-I25)*Premissas!$B$8,I23)</f>
        <v>4690</v>
      </c>
      <c r="J26" s="106">
        <f>MIN((J24-J25)*Premissas!$B$8,J23)</f>
        <v>4690</v>
      </c>
      <c r="K26" s="106">
        <f>MIN((K24-K25)*Premissas!$B$8,K23)</f>
        <v>6348.0930415947614</v>
      </c>
      <c r="L26" s="106">
        <f>MIN((L24-L25)*Premissas!$B$8,L23)</f>
        <v>0</v>
      </c>
      <c r="M26" s="106">
        <f>MIN((M24-M25)*Premissas!$B$8,M23)</f>
        <v>0</v>
      </c>
      <c r="N26" s="106">
        <f>MIN((N24-N25)*Premissas!$B$8,N23)</f>
        <v>0</v>
      </c>
      <c r="O26" s="106">
        <f>MIN((O24-O25)*Premissas!$B$8,O23)</f>
        <v>7153.8849999999993</v>
      </c>
      <c r="P26" s="106">
        <f>MIN((P24-P25)*Premissas!$B$8,P23)</f>
        <v>0</v>
      </c>
      <c r="Q26" s="106">
        <f>MIN((Q24-Q25)*Premissas!$B$8,Q23)</f>
        <v>0</v>
      </c>
      <c r="R26" s="106">
        <f>MIN((R24-R25)*Premissas!$B$8,R23)</f>
        <v>0</v>
      </c>
      <c r="S26" s="106">
        <f>MIN((S24-S25)*Premissas!$B$8,S23)</f>
        <v>0</v>
      </c>
      <c r="T26" s="106">
        <f>MIN((T24-T25)*Premissas!$B$8,T23)</f>
        <v>3213.3749999999995</v>
      </c>
      <c r="U26" s="106">
        <f>MIN((U24-U25)*Premissas!$B$8,U23)</f>
        <v>4807.25</v>
      </c>
      <c r="V26" s="106">
        <f>MIN((V24-V25)*Premissas!$B$8,V23)</f>
        <v>4807.25</v>
      </c>
      <c r="W26" s="106">
        <f>MIN((W24-W25)*Premissas!$B$8,W23)</f>
        <v>6097.1874933493718</v>
      </c>
      <c r="X26" s="106">
        <f>MIN((X24-X25)*Premissas!$B$8,X23)</f>
        <v>0</v>
      </c>
      <c r="Y26" s="106">
        <f>MIN((Y24-Y25)*Premissas!$B$8,Y23)</f>
        <v>0</v>
      </c>
      <c r="Z26" s="106">
        <f>MIN((Z24-Z25)*Premissas!$B$8,Z23)</f>
        <v>0</v>
      </c>
      <c r="AA26" s="106">
        <f>MIN((AA24-AA25)*Premissas!$B$8,AA23)</f>
        <v>7153.8849999999993</v>
      </c>
    </row>
    <row r="27" spans="1:27" ht="12.75" customHeight="1" x14ac:dyDescent="0.35">
      <c r="A27" s="108" t="str">
        <f>"  "&amp;INDEX(PVSYST_Helexia!$A$5:$A$7,MATCH(Premissas!$B$13,PVSYST_Helexia!$B$5:$B$7,0))&amp;" créditos recebidos (kWh)"</f>
        <v xml:space="preserve">  HCS03 créditos recebidos (kWh)</v>
      </c>
      <c r="B27" s="121">
        <f t="shared" si="5"/>
        <v>1740466.8244311521</v>
      </c>
      <c r="C27" s="106">
        <f t="shared" si="6"/>
        <v>72519.451017964675</v>
      </c>
      <c r="D27" s="122">
        <f>D6*Premissas!$B$33</f>
        <v>91141.826994301053</v>
      </c>
      <c r="E27" s="122">
        <f>E6*Premissas!$B$33</f>
        <v>95934.509565499073</v>
      </c>
      <c r="F27" s="122">
        <f>F6*Premissas!$B$33</f>
        <v>115164.04577141016</v>
      </c>
      <c r="G27" s="122">
        <f>G6*Premissas!$B$33</f>
        <v>108063.23079629162</v>
      </c>
      <c r="H27" s="122">
        <f>H6*Premissas!$C$33</f>
        <v>79419.770905528392</v>
      </c>
      <c r="I27" s="122">
        <f>I6*Premissas!$C$33</f>
        <v>76791.36969737614</v>
      </c>
      <c r="J27" s="122">
        <f>J6*Premissas!$C$33</f>
        <v>72917.106316559715</v>
      </c>
      <c r="K27" s="122">
        <f>K6*Premissas!$C$33</f>
        <v>74869.640438047703</v>
      </c>
      <c r="L27" s="122">
        <f>L6*Premissas!$C$33</f>
        <v>66715.262245864084</v>
      </c>
      <c r="M27" s="122">
        <f>M6*Premissas!$C$33</f>
        <v>76522.484253782168</v>
      </c>
      <c r="N27" s="122">
        <f>N6*Premissas!$D$33</f>
        <v>98138.237051908625</v>
      </c>
      <c r="O27" s="122">
        <f>O6*Premissas!$D$33</f>
        <v>91845.773023919406</v>
      </c>
      <c r="P27" s="122">
        <f>P6*Premissas!$D$33</f>
        <v>83354.980216921147</v>
      </c>
      <c r="Q27" s="122">
        <f>Q6*Premissas!$D$33</f>
        <v>87738.192338982</v>
      </c>
      <c r="R27" s="122">
        <f>R6*Premissas!$D$33</f>
        <v>105324.82257105441</v>
      </c>
      <c r="S27" s="122">
        <f>S6*Premissas!$D$33</f>
        <v>98830.677003706587</v>
      </c>
      <c r="T27" s="122">
        <f>T6*Premissas!$E$33</f>
        <v>42271.277520000003</v>
      </c>
      <c r="U27" s="122">
        <f>U6*Premissas!$E$33</f>
        <v>40872.307520000002</v>
      </c>
      <c r="V27" s="122">
        <f>V6*Premissas!$E$33</f>
        <v>38810.225740000002</v>
      </c>
      <c r="W27" s="122">
        <f>W6*Premissas!$E$33</f>
        <v>40049.713159999999</v>
      </c>
      <c r="X27" s="122">
        <f>X6*Premissas!$E$33</f>
        <v>35687.724699999999</v>
      </c>
      <c r="Y27" s="122">
        <f>Y6*Premissas!$E$33</f>
        <v>40933.862200000003</v>
      </c>
      <c r="Z27" s="122">
        <f>Z6*Premissas!$E$33</f>
        <v>40844.328120000006</v>
      </c>
      <c r="AA27" s="122">
        <f>AA6*Premissas!$E$33</f>
        <v>38225.456279999999</v>
      </c>
    </row>
    <row r="28" spans="1:27" ht="12.75" customHeight="1" x14ac:dyDescent="0.35">
      <c r="A28" s="115" t="s">
        <v>300</v>
      </c>
      <c r="B28" s="116">
        <f t="shared" si="5"/>
        <v>488267.50427629112</v>
      </c>
      <c r="C28" s="106">
        <f t="shared" si="6"/>
        <v>20344.479344845462</v>
      </c>
      <c r="D28" s="116">
        <f t="shared" ref="D28:AA28" si="8">D19</f>
        <v>0</v>
      </c>
      <c r="E28" s="116">
        <f t="shared" si="8"/>
        <v>0</v>
      </c>
      <c r="F28" s="116">
        <f t="shared" si="8"/>
        <v>0</v>
      </c>
      <c r="G28" s="116">
        <f t="shared" si="8"/>
        <v>32711.293107221009</v>
      </c>
      <c r="H28" s="116">
        <f t="shared" si="8"/>
        <v>40823.761528761643</v>
      </c>
      <c r="I28" s="116">
        <f t="shared" si="8"/>
        <v>41560.461528761633</v>
      </c>
      <c r="J28" s="116">
        <f t="shared" si="8"/>
        <v>47597.361528761627</v>
      </c>
      <c r="K28" s="116">
        <f t="shared" si="8"/>
        <v>51288.174381559918</v>
      </c>
      <c r="L28" s="116">
        <f t="shared" si="8"/>
        <v>0</v>
      </c>
      <c r="M28" s="116">
        <f t="shared" si="8"/>
        <v>0</v>
      </c>
      <c r="N28" s="116">
        <f t="shared" si="8"/>
        <v>16386.390718605122</v>
      </c>
      <c r="O28" s="116">
        <f t="shared" si="8"/>
        <v>15046.461371036236</v>
      </c>
      <c r="P28" s="116">
        <f t="shared" si="8"/>
        <v>0</v>
      </c>
      <c r="Q28" s="116">
        <f t="shared" si="8"/>
        <v>0</v>
      </c>
      <c r="R28" s="116">
        <f t="shared" si="8"/>
        <v>0</v>
      </c>
      <c r="S28" s="116">
        <f t="shared" si="8"/>
        <v>32132.834934901541</v>
      </c>
      <c r="T28" s="116">
        <f t="shared" si="8"/>
        <v>40427.854566980684</v>
      </c>
      <c r="U28" s="116">
        <f t="shared" si="8"/>
        <v>41160.871066980675</v>
      </c>
      <c r="V28" s="116">
        <f t="shared" si="8"/>
        <v>47167.586566980666</v>
      </c>
      <c r="W28" s="116">
        <f t="shared" si="8"/>
        <v>50971.320241098918</v>
      </c>
      <c r="X28" s="116">
        <f t="shared" si="8"/>
        <v>0</v>
      </c>
      <c r="Y28" s="116">
        <f t="shared" si="8"/>
        <v>0</v>
      </c>
      <c r="Z28" s="116">
        <f t="shared" si="8"/>
        <v>16130.024242355124</v>
      </c>
      <c r="AA28" s="116">
        <f t="shared" si="8"/>
        <v>14863.108492286232</v>
      </c>
    </row>
    <row r="29" spans="1:27" ht="12.75" customHeight="1" x14ac:dyDescent="0.35">
      <c r="A29" s="112" t="s">
        <v>301</v>
      </c>
      <c r="B29" s="106">
        <f>AA29</f>
        <v>297241.60907744942</v>
      </c>
      <c r="C29" s="106" t="s">
        <v>104</v>
      </c>
      <c r="D29" s="106">
        <f>Premissas!$B$26</f>
        <v>148516</v>
      </c>
      <c r="E29" s="106">
        <f t="shared" ref="E29:AA29" si="9">D31</f>
        <v>171356.99948623445</v>
      </c>
      <c r="F29" s="106">
        <f t="shared" si="9"/>
        <v>0</v>
      </c>
      <c r="G29" s="106">
        <f t="shared" si="9"/>
        <v>4002.0457714101503</v>
      </c>
      <c r="H29" s="106">
        <f t="shared" si="9"/>
        <v>92498.72390351264</v>
      </c>
      <c r="I29" s="106">
        <f t="shared" si="9"/>
        <v>257687.35633780266</v>
      </c>
      <c r="J29" s="106">
        <f t="shared" si="9"/>
        <v>424860.08756394044</v>
      </c>
      <c r="K29" s="106">
        <f t="shared" si="9"/>
        <v>591796.6554092617</v>
      </c>
      <c r="L29" s="106">
        <f t="shared" si="9"/>
        <v>725627.07721568458</v>
      </c>
      <c r="M29" s="106">
        <f t="shared" si="9"/>
        <v>572338.4363846099</v>
      </c>
      <c r="N29" s="106">
        <f t="shared" si="9"/>
        <v>335549.09463190177</v>
      </c>
      <c r="O29" s="106">
        <f t="shared" si="9"/>
        <v>387766.67503125878</v>
      </c>
      <c r="P29" s="106">
        <f t="shared" si="9"/>
        <v>508110.7169262144</v>
      </c>
      <c r="Q29" s="106">
        <f t="shared" si="9"/>
        <v>519645.93094736728</v>
      </c>
      <c r="R29" s="106">
        <f t="shared" si="9"/>
        <v>284394.55551744392</v>
      </c>
      <c r="S29" s="106">
        <f t="shared" si="9"/>
        <v>237389.52193834819</v>
      </c>
      <c r="T29" s="106">
        <f t="shared" si="9"/>
        <v>292686.22888177779</v>
      </c>
      <c r="U29" s="106">
        <f t="shared" si="9"/>
        <v>419259.28546875843</v>
      </c>
      <c r="V29" s="106">
        <f t="shared" si="9"/>
        <v>548602.97155573918</v>
      </c>
      <c r="W29" s="106">
        <f t="shared" si="9"/>
        <v>679504.48536271986</v>
      </c>
      <c r="X29" s="106">
        <f t="shared" si="9"/>
        <v>776536.29281203507</v>
      </c>
      <c r="Y29" s="106">
        <f t="shared" si="9"/>
        <v>591841.39554509637</v>
      </c>
      <c r="Z29" s="106">
        <f t="shared" si="9"/>
        <v>319016.38719360612</v>
      </c>
      <c r="AA29" s="106">
        <f t="shared" si="9"/>
        <v>297241.60907744942</v>
      </c>
    </row>
    <row r="30" spans="1:27" ht="12.75" customHeight="1" x14ac:dyDescent="0.35">
      <c r="A30" s="112" t="s">
        <v>302</v>
      </c>
      <c r="B30" s="106">
        <f>SUM(D30:AA30)</f>
        <v>1433712.227910026</v>
      </c>
      <c r="C30" s="106">
        <f>B30/24</f>
        <v>59738.009496251085</v>
      </c>
      <c r="D30" s="106">
        <f>MIN(D29,MAX(D22-D24-D27+D28,0)+IF(Premissas!$B$8=0,0,MAX(D23-D26,0)/Premissas!$B$8))</f>
        <v>19986.527508066592</v>
      </c>
      <c r="E30" s="106">
        <f>MIN(E29,MAX(E22-E24-E27+E28,0)+IF(Premissas!$B$8=0,0,MAX(E23-E26,0)/Premissas!$B$8))</f>
        <v>171356.99948623445</v>
      </c>
      <c r="F30" s="106">
        <f>MIN(F29,MAX(F22-F24-F27+F28,0)+IF(Premissas!$B$8=0,0,MAX(F23-F26,0)/Premissas!$B$8))</f>
        <v>0</v>
      </c>
      <c r="G30" s="106">
        <f>MIN(G29,MAX(G22-G24-G27+G28,0)+IF(Premissas!$B$8=0,0,MAX(G23-G26,0)/Premissas!$B$8))</f>
        <v>4002.0457714101503</v>
      </c>
      <c r="H30" s="106">
        <f>MIN(H29,MAX(H22-H24-H27+H28,0)+IF(Premissas!$B$8=0,0,MAX(H23-H26,0)/Premissas!$B$8))</f>
        <v>0</v>
      </c>
      <c r="I30" s="106">
        <f>MIN(I29,MAX(I22-I24-I27+I28,0)+IF(Premissas!$B$8=0,0,MAX(I23-I26,0)/Premissas!$B$8))</f>
        <v>0</v>
      </c>
      <c r="J30" s="106">
        <f>MIN(J29,MAX(J22-J24-J27+J28,0)+IF(Premissas!$B$8=0,0,MAX(J23-J26,0)/Premissas!$B$8))</f>
        <v>0</v>
      </c>
      <c r="K30" s="106">
        <f>MIN(K29,MAX(K22-K24-K27+K28,0)+IF(Premissas!$B$8=0,0,MAX(K23-K26,0)/Premissas!$B$8))</f>
        <v>2832.8360131847371</v>
      </c>
      <c r="L30" s="106">
        <f>MIN(L29,MAX(L22-L24-L27+L28,0)+IF(Premissas!$B$8=0,0,MAX(L23-L26,0)/Premissas!$B$8))</f>
        <v>153288.64083107465</v>
      </c>
      <c r="M30" s="106">
        <f>MIN(M29,MAX(M22-M24-M27+M28,0)+IF(Premissas!$B$8=0,0,MAX(M23-M26,0)/Premissas!$B$8))</f>
        <v>236789.34175270813</v>
      </c>
      <c r="N30" s="106">
        <f>MIN(N29,MAX(N22-N24-N27+N28,0)+IF(Premissas!$B$8=0,0,MAX(N23-N26,0)/Premissas!$B$8))</f>
        <v>19371.062871156751</v>
      </c>
      <c r="O30" s="106">
        <f>MIN(O29,MAX(O22-O24-O27+O28,0)+IF(Premissas!$B$8=0,0,MAX(O23-O26,0)/Premissas!$B$8))</f>
        <v>0</v>
      </c>
      <c r="P30" s="106">
        <f>MIN(P29,MAX(P22-P24-P27+P28,0)+IF(Premissas!$B$8=0,0,MAX(P23-P26,0)/Premissas!$B$8))</f>
        <v>20486.190695768255</v>
      </c>
      <c r="Q30" s="106">
        <f>MIN(Q29,MAX(Q22-Q24-Q27+Q28,0)+IF(Premissas!$B$8=0,0,MAX(Q23-Q26,0)/Premissas!$B$8))</f>
        <v>235251.37542992338</v>
      </c>
      <c r="R30" s="106">
        <f>MIN(R29,MAX(R22-R24-R27+R28,0)+IF(Premissas!$B$8=0,0,MAX(R23-R26,0)/Premissas!$B$8))</f>
        <v>47005.033579095747</v>
      </c>
      <c r="S30" s="106">
        <f>MIN(S29,MAX(S22-S24-S27+S28,0)+IF(Premissas!$B$8=0,0,MAX(S23-S26,0)/Premissas!$B$8))</f>
        <v>23838.019995178554</v>
      </c>
      <c r="T30" s="106">
        <f>MIN(T29,MAX(T22-T24-T27+T28,0)+IF(Premissas!$B$8=0,0,MAX(T23-T26,0)/Premissas!$B$8))</f>
        <v>0</v>
      </c>
      <c r="U30" s="106">
        <f>MIN(U29,MAX(U22-U24-U27+U28,0)+IF(Premissas!$B$8=0,0,MAX(U23-U26,0)/Premissas!$B$8))</f>
        <v>0</v>
      </c>
      <c r="V30" s="106">
        <f>MIN(V29,MAX(V22-V24-V27+V28,0)+IF(Premissas!$B$8=0,0,MAX(V23-V26,0)/Premissas!$B$8))</f>
        <v>0</v>
      </c>
      <c r="W30" s="106">
        <f>MIN(W29,MAX(W22-W24-W27+W28,0)+IF(Premissas!$B$8=0,0,MAX(W23-W26,0)/Premissas!$B$8))</f>
        <v>4079.4459992836719</v>
      </c>
      <c r="X30" s="106">
        <f>MIN(X29,MAX(X22-X24-X27+X28,0)+IF(Premissas!$B$8=0,0,MAX(X23-X26,0)/Premissas!$B$8))</f>
        <v>184694.89726693876</v>
      </c>
      <c r="Y30" s="106">
        <f>MIN(Y29,MAX(Y22-Y24-Y27+Y28,0)+IF(Premissas!$B$8=0,0,MAX(Y23-Y26,0)/Premissas!$B$8))</f>
        <v>272825.00835149025</v>
      </c>
      <c r="Z30" s="106">
        <f>MIN(Z29,MAX(Z22-Z24-Z27+Z28,0)+IF(Premissas!$B$8=0,0,MAX(Z23-Z26,0)/Premissas!$B$8))</f>
        <v>37904.802358511864</v>
      </c>
      <c r="AA30" s="106">
        <f>MIN(AA29,MAX(AA22-AA24-AA27+AA28,0)+IF(Premissas!$B$8=0,0,MAX(AA23-AA26,0)/Premissas!$B$8))</f>
        <v>0</v>
      </c>
    </row>
    <row r="31" spans="1:27" ht="13.5" customHeight="1" x14ac:dyDescent="0.35">
      <c r="A31" s="40" t="s">
        <v>303</v>
      </c>
      <c r="B31" s="42">
        <f>AA31</f>
        <v>363392.79953723564</v>
      </c>
      <c r="C31" s="106" t="s">
        <v>104</v>
      </c>
      <c r="D31" s="123">
        <f t="shared" ref="D31:AA31" si="10">MAX(D29-D30,0)+D28+MAX(D27-MAX(D22-D24,0),0)+MAX(D24-D22,0)</f>
        <v>171356.99948623445</v>
      </c>
      <c r="E31" s="123">
        <f t="shared" si="10"/>
        <v>0</v>
      </c>
      <c r="F31" s="123">
        <f t="shared" si="10"/>
        <v>4002.0457714101503</v>
      </c>
      <c r="G31" s="123">
        <f t="shared" si="10"/>
        <v>92498.72390351264</v>
      </c>
      <c r="H31" s="123">
        <f t="shared" si="10"/>
        <v>257687.35633780266</v>
      </c>
      <c r="I31" s="123">
        <f t="shared" si="10"/>
        <v>424860.08756394044</v>
      </c>
      <c r="J31" s="123">
        <f t="shared" si="10"/>
        <v>591796.6554092617</v>
      </c>
      <c r="K31" s="123">
        <f t="shared" si="10"/>
        <v>725627.07721568458</v>
      </c>
      <c r="L31" s="123">
        <f t="shared" si="10"/>
        <v>572338.4363846099</v>
      </c>
      <c r="M31" s="123">
        <f t="shared" si="10"/>
        <v>335549.09463190177</v>
      </c>
      <c r="N31" s="123">
        <f t="shared" si="10"/>
        <v>387766.67503125878</v>
      </c>
      <c r="O31" s="123">
        <f t="shared" si="10"/>
        <v>508110.7169262144</v>
      </c>
      <c r="P31" s="123">
        <f t="shared" si="10"/>
        <v>519645.93094736728</v>
      </c>
      <c r="Q31" s="123">
        <f t="shared" si="10"/>
        <v>284394.55551744392</v>
      </c>
      <c r="R31" s="123">
        <f t="shared" si="10"/>
        <v>237389.52193834819</v>
      </c>
      <c r="S31" s="123">
        <f t="shared" si="10"/>
        <v>292686.22888177779</v>
      </c>
      <c r="T31" s="123">
        <f t="shared" si="10"/>
        <v>419259.28546875843</v>
      </c>
      <c r="U31" s="123">
        <f t="shared" si="10"/>
        <v>548602.97155573918</v>
      </c>
      <c r="V31" s="123">
        <f t="shared" si="10"/>
        <v>679504.48536271986</v>
      </c>
      <c r="W31" s="123">
        <f t="shared" si="10"/>
        <v>776536.29281203507</v>
      </c>
      <c r="X31" s="123">
        <f t="shared" si="10"/>
        <v>591841.39554509637</v>
      </c>
      <c r="Y31" s="123">
        <f t="shared" si="10"/>
        <v>319016.38719360612</v>
      </c>
      <c r="Z31" s="123">
        <f t="shared" si="10"/>
        <v>297241.60907744942</v>
      </c>
      <c r="AA31" s="123">
        <f t="shared" si="10"/>
        <v>363392.79953723564</v>
      </c>
    </row>
    <row r="32" spans="1:27" ht="12.75" customHeight="1" x14ac:dyDescent="0.35">
      <c r="A32" s="113" t="s">
        <v>304</v>
      </c>
      <c r="B32" s="114">
        <f>AA32</f>
        <v>16130.024242355124</v>
      </c>
      <c r="C32" s="106" t="s">
        <v>104</v>
      </c>
      <c r="D32" s="114">
        <f>Premissas!$B$26</f>
        <v>148516</v>
      </c>
      <c r="E32" s="114">
        <f t="shared" ref="E32:AA32" si="11">D34</f>
        <v>80215.172491933408</v>
      </c>
      <c r="F32" s="114">
        <f t="shared" si="11"/>
        <v>0</v>
      </c>
      <c r="G32" s="114">
        <f t="shared" si="11"/>
        <v>0</v>
      </c>
      <c r="H32" s="114">
        <f t="shared" si="11"/>
        <v>32711.293107221009</v>
      </c>
      <c r="I32" s="114">
        <f t="shared" si="11"/>
        <v>118480.15463598265</v>
      </c>
      <c r="J32" s="114">
        <f t="shared" si="11"/>
        <v>208861.5161647443</v>
      </c>
      <c r="K32" s="114">
        <f t="shared" si="11"/>
        <v>302880.97769350593</v>
      </c>
      <c r="L32" s="114">
        <f t="shared" si="11"/>
        <v>364674.59507506585</v>
      </c>
      <c r="M32" s="114">
        <f t="shared" si="11"/>
        <v>144670.69199812712</v>
      </c>
      <c r="N32" s="114">
        <f t="shared" si="11"/>
        <v>0</v>
      </c>
      <c r="O32" s="114">
        <f t="shared" si="11"/>
        <v>16386.390718605122</v>
      </c>
      <c r="P32" s="114">
        <f t="shared" si="11"/>
        <v>44884.659589641378</v>
      </c>
      <c r="Q32" s="114">
        <f t="shared" si="11"/>
        <v>0</v>
      </c>
      <c r="R32" s="114">
        <f t="shared" si="11"/>
        <v>0</v>
      </c>
      <c r="S32" s="114">
        <f t="shared" si="11"/>
        <v>0</v>
      </c>
      <c r="T32" s="114">
        <f t="shared" si="11"/>
        <v>32132.834934901541</v>
      </c>
      <c r="U32" s="114">
        <f t="shared" si="11"/>
        <v>116434.61400188222</v>
      </c>
      <c r="V32" s="114">
        <f t="shared" si="11"/>
        <v>204905.99256886292</v>
      </c>
      <c r="W32" s="114">
        <f t="shared" si="11"/>
        <v>296997.28063584358</v>
      </c>
      <c r="X32" s="114">
        <f t="shared" si="11"/>
        <v>358058.82092444249</v>
      </c>
      <c r="Y32" s="114">
        <f t="shared" si="11"/>
        <v>137676.19895750374</v>
      </c>
      <c r="Z32" s="114">
        <f t="shared" si="11"/>
        <v>0</v>
      </c>
      <c r="AA32" s="114">
        <f t="shared" si="11"/>
        <v>16130.024242355124</v>
      </c>
    </row>
    <row r="33" spans="1:27" ht="12.75" customHeight="1" x14ac:dyDescent="0.35">
      <c r="A33" s="113" t="s">
        <v>305</v>
      </c>
      <c r="B33" s="106">
        <f>SUM(D33:AA33)</f>
        <v>916134.07558914972</v>
      </c>
      <c r="C33" s="114">
        <f>B33/24</f>
        <v>38172.253149547905</v>
      </c>
      <c r="D33" s="106">
        <f>MIN(D32,MAX(D22-D24-D28,0)+IF(Premissas!$B$8=0,0,MAX(D23-D26-(IF(Premissas!$B$8&gt;0,MAX(D24-D22,0)*Premissas!$B$8,0)),0)/Premissas!$B$8))</f>
        <v>68300.827508066592</v>
      </c>
      <c r="E33" s="106">
        <f>MIN(E32,MAX(E22-E24-E28,0)+IF(Premissas!$B$8=0,0,MAX(E23-E26-(IF(Premissas!$B$8&gt;0,MAX(E24-E22,0)*Premissas!$B$8,0)),0)/Premissas!$B$8))</f>
        <v>80215.172491933408</v>
      </c>
      <c r="F33" s="106">
        <f>MIN(F32,MAX(F22-F24-F28,0)+IF(Premissas!$B$8=0,0,MAX(F23-F26-(IF(Premissas!$B$8&gt;0,MAX(F24-F22,0)*Premissas!$B$8,0)),0)/Premissas!$B$8))</f>
        <v>0</v>
      </c>
      <c r="G33" s="106">
        <f>MIN(G32,MAX(G22-G24-G28,0)+IF(Premissas!$B$8=0,0,MAX(G23-G26-(IF(Premissas!$B$8&gt;0,MAX(G24-G22,0)*Premissas!$B$8,0)),0)/Premissas!$B$8))</f>
        <v>0</v>
      </c>
      <c r="H33" s="106">
        <f>MIN(H32,MAX(H22-H24-H28,0)+IF(Premissas!$B$8=0,0,MAX(H23-H26-(IF(Premissas!$B$8&gt;0,MAX(H24-H22,0)*Premissas!$B$8,0)),0)/Premissas!$B$8))</f>
        <v>0</v>
      </c>
      <c r="I33" s="106">
        <f>MIN(I32,MAX(I22-I24-I28,0)+IF(Premissas!$B$8=0,0,MAX(I23-I26-(IF(Premissas!$B$8&gt;0,MAX(I24-I22,0)*Premissas!$B$8,0)),0)/Premissas!$B$8))</f>
        <v>0</v>
      </c>
      <c r="J33" s="106">
        <f>MIN(J32,MAX(J22-J24-J28,0)+IF(Premissas!$B$8=0,0,MAX(J23-J26-(IF(Premissas!$B$8&gt;0,MAX(J24-J22,0)*Premissas!$B$8,0)),0)/Premissas!$B$8))</f>
        <v>0</v>
      </c>
      <c r="K33" s="106">
        <f>MIN(K32,MAX(K22-K24-K28,0)+IF(Premissas!$B$8=0,0,MAX(K23-K26-(IF(Premissas!$B$8&gt;0,MAX(K24-K22,0)*Premissas!$B$8,0)),0)/Premissas!$B$8))</f>
        <v>0</v>
      </c>
      <c r="L33" s="106">
        <f>MIN(L32,MAX(L22-L24-L28,0)+IF(Premissas!$B$8=0,0,MAX(L23-L26-(IF(Premissas!$B$8&gt;0,MAX(L24-L22,0)*Premissas!$B$8,0)),0)/Premissas!$B$8))</f>
        <v>220003.90307693873</v>
      </c>
      <c r="M33" s="106">
        <f>MIN(M32,MAX(M22-M24-M28,0)+IF(Premissas!$B$8=0,0,MAX(M23-M26-(IF(Premissas!$B$8&gt;0,MAX(M24-M22,0)*Premissas!$B$8,0)),0)/Premissas!$B$8))</f>
        <v>144670.69199812712</v>
      </c>
      <c r="N33" s="106">
        <f>MIN(N32,MAX(N22-N24-N28,0)+IF(Premissas!$B$8=0,0,MAX(N23-N26-(IF(Premissas!$B$8&gt;0,MAX(N24-N22,0)*Premissas!$B$8,0)),0)/Premissas!$B$8))</f>
        <v>0</v>
      </c>
      <c r="O33" s="106">
        <f>MIN(O32,MAX(O22-O24-O28,0)+IF(Premissas!$B$8=0,0,MAX(O23-O26-(IF(Premissas!$B$8&gt;0,MAX(O24-O22,0)*Premissas!$B$8,0)),0)/Premissas!$B$8))</f>
        <v>0</v>
      </c>
      <c r="P33" s="106">
        <f>MIN(P32,MAX(P22-P24-P28,0)+IF(Premissas!$B$8=0,0,MAX(P23-P26-(IF(Premissas!$B$8&gt;0,MAX(P24-P22,0)*Premissas!$B$8,0)),0)/Premissas!$B$8))</f>
        <v>44884.659589641378</v>
      </c>
      <c r="Q33" s="106">
        <f>MIN(Q32,MAX(Q22-Q24-Q28,0)+IF(Premissas!$B$8=0,0,MAX(Q23-Q26-(IF(Premissas!$B$8&gt;0,MAX(Q24-Q22,0)*Premissas!$B$8,0)),0)/Premissas!$B$8))</f>
        <v>0</v>
      </c>
      <c r="R33" s="106">
        <f>MIN(R32,MAX(R22-R24-R28,0)+IF(Premissas!$B$8=0,0,MAX(R23-R26-(IF(Premissas!$B$8&gt;0,MAX(R24-R22,0)*Premissas!$B$8,0)),0)/Premissas!$B$8))</f>
        <v>0</v>
      </c>
      <c r="S33" s="106">
        <f>MIN(S32,MAX(S22-S24-S28,0)+IF(Premissas!$B$8=0,0,MAX(S23-S26-(IF(Premissas!$B$8&gt;0,MAX(S24-S22,0)*Premissas!$B$8,0)),0)/Premissas!$B$8))</f>
        <v>0</v>
      </c>
      <c r="T33" s="106">
        <f>MIN(T32,MAX(T22-T24-T28,0)+IF(Premissas!$B$8=0,0,MAX(T23-T26-(IF(Premissas!$B$8&gt;0,MAX(T24-T22,0)*Premissas!$B$8,0)),0)/Premissas!$B$8))</f>
        <v>0</v>
      </c>
      <c r="U33" s="106">
        <f>MIN(U32,MAX(U22-U24-U28,0)+IF(Premissas!$B$8=0,0,MAX(U23-U26-(IF(Premissas!$B$8&gt;0,MAX(U24-U22,0)*Premissas!$B$8,0)),0)/Premissas!$B$8))</f>
        <v>0</v>
      </c>
      <c r="V33" s="106">
        <f>MIN(V32,MAX(V22-V24-V28,0)+IF(Premissas!$B$8=0,0,MAX(V23-V26-(IF(Premissas!$B$8&gt;0,MAX(V24-V22,0)*Premissas!$B$8,0)),0)/Premissas!$B$8))</f>
        <v>0</v>
      </c>
      <c r="W33" s="106">
        <f>MIN(W32,MAX(W22-W24-W28,0)+IF(Premissas!$B$8=0,0,MAX(W23-W26-(IF(Premissas!$B$8&gt;0,MAX(W24-W22,0)*Premissas!$B$8,0)),0)/Premissas!$B$8))</f>
        <v>0</v>
      </c>
      <c r="X33" s="106">
        <f>MIN(X32,MAX(X22-X24-X28,0)+IF(Premissas!$B$8=0,0,MAX(X23-X26-(IF(Premissas!$B$8&gt;0,MAX(X24-X22,0)*Premissas!$B$8,0)),0)/Premissas!$B$8))</f>
        <v>220382.62196693875</v>
      </c>
      <c r="Y33" s="106">
        <f>MIN(Y32,MAX(Y22-Y24-Y28,0)+IF(Premissas!$B$8=0,0,MAX(Y23-Y26-(IF(Premissas!$B$8&gt;0,MAX(Y24-Y22,0)*Premissas!$B$8,0)),0)/Premissas!$B$8))</f>
        <v>137676.19895750374</v>
      </c>
      <c r="Z33" s="106">
        <f>MIN(Z32,MAX(Z22-Z24-Z28,0)+IF(Premissas!$B$8=0,0,MAX(Z23-Z26-(IF(Premissas!$B$8&gt;0,MAX(Z24-Z22,0)*Premissas!$B$8,0)),0)/Premissas!$B$8))</f>
        <v>0</v>
      </c>
      <c r="AA33" s="106">
        <f>MIN(AA32,MAX(AA22-AA24-AA28,0)+IF(Premissas!$B$8=0,0,MAX(AA23-AA26-(IF(Premissas!$B$8&gt;0,MAX(AA24-AA22,0)*Premissas!$B$8,0)),0)/Premissas!$B$8))</f>
        <v>0</v>
      </c>
    </row>
    <row r="34" spans="1:27" ht="12.75" customHeight="1" x14ac:dyDescent="0.35">
      <c r="A34" s="113" t="s">
        <v>306</v>
      </c>
      <c r="B34" s="124">
        <f>AA34</f>
        <v>44055.758422141385</v>
      </c>
      <c r="C34" s="114" t="s">
        <v>104</v>
      </c>
      <c r="D34" s="124">
        <f t="shared" ref="D34:AA34" si="12">MAX(D32-D33,0)+D28+MAX(D24-D22,0)</f>
        <v>80215.172491933408</v>
      </c>
      <c r="E34" s="124">
        <f t="shared" si="12"/>
        <v>0</v>
      </c>
      <c r="F34" s="124">
        <f t="shared" si="12"/>
        <v>0</v>
      </c>
      <c r="G34" s="124">
        <f t="shared" si="12"/>
        <v>32711.293107221009</v>
      </c>
      <c r="H34" s="124">
        <f t="shared" si="12"/>
        <v>118480.15463598265</v>
      </c>
      <c r="I34" s="124">
        <f t="shared" si="12"/>
        <v>208861.5161647443</v>
      </c>
      <c r="J34" s="124">
        <f t="shared" si="12"/>
        <v>302880.97769350593</v>
      </c>
      <c r="K34" s="124">
        <f t="shared" si="12"/>
        <v>364674.59507506585</v>
      </c>
      <c r="L34" s="124">
        <f t="shared" si="12"/>
        <v>144670.69199812712</v>
      </c>
      <c r="M34" s="124">
        <f t="shared" si="12"/>
        <v>0</v>
      </c>
      <c r="N34" s="124">
        <f t="shared" si="12"/>
        <v>16386.390718605122</v>
      </c>
      <c r="O34" s="124">
        <f t="shared" si="12"/>
        <v>44884.659589641378</v>
      </c>
      <c r="P34" s="124">
        <f t="shared" si="12"/>
        <v>0</v>
      </c>
      <c r="Q34" s="124">
        <f t="shared" si="12"/>
        <v>0</v>
      </c>
      <c r="R34" s="124">
        <f t="shared" si="12"/>
        <v>0</v>
      </c>
      <c r="S34" s="124">
        <f t="shared" si="12"/>
        <v>32132.834934901541</v>
      </c>
      <c r="T34" s="124">
        <f t="shared" si="12"/>
        <v>116434.61400188222</v>
      </c>
      <c r="U34" s="124">
        <f t="shared" si="12"/>
        <v>204905.99256886292</v>
      </c>
      <c r="V34" s="124">
        <f t="shared" si="12"/>
        <v>296997.28063584358</v>
      </c>
      <c r="W34" s="124">
        <f t="shared" si="12"/>
        <v>358058.82092444249</v>
      </c>
      <c r="X34" s="124">
        <f t="shared" si="12"/>
        <v>137676.19895750374</v>
      </c>
      <c r="Y34" s="124">
        <f t="shared" si="12"/>
        <v>0</v>
      </c>
      <c r="Z34" s="124">
        <f t="shared" si="12"/>
        <v>16130.024242355124</v>
      </c>
      <c r="AA34" s="124">
        <f t="shared" si="12"/>
        <v>44055.758422141385</v>
      </c>
    </row>
    <row r="35" spans="1:27" ht="12.75" customHeight="1" x14ac:dyDescent="0.35">
      <c r="A35" s="125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35" s="126">
        <f>SUM(D35:AA35)</f>
        <v>1076040.7415072036</v>
      </c>
      <c r="C35" s="127">
        <f>B35/24</f>
        <v>44835.030896133481</v>
      </c>
      <c r="D35" s="128">
        <f>IF(D34&gt;0,0,MAX(D22-D24-D28-D32,0)*Premissas!$B$5+MAX(D23-D26-(IF(Premissas!$B$8&gt;0,MAX(D24+D28+D32-D22,0)*Premissas!$B$8,0)),0)*Premissas!$B$6)</f>
        <v>0</v>
      </c>
      <c r="E35" s="128">
        <f>IF(E34&gt;0,0,MAX(E22-E24-E28-E32,0)*Premissas!$B$5+MAX(E23-E26-(IF(Premissas!$B$8&gt;0,MAX(E24+E28+E32-E22,0)*Premissas!$B$8,0)),0)*Premissas!$B$6)</f>
        <v>199280.04380232611</v>
      </c>
      <c r="F35" s="128">
        <f>IF(F34&gt;0,0,MAX(F22-F24-F28-F32,0)*Premissas!$B$5+MAX(F23-F26-(IF(Premissas!$B$8&gt;0,MAX(F24+F28+F32-F22,0)*Premissas!$B$8,0)),0)*Premissas!$B$6)</f>
        <v>121596.5808928443</v>
      </c>
      <c r="G35" s="128">
        <f>IF(G34&gt;0,0,MAX(G22-G24-G28-G32,0)*Premissas!$B$5+MAX(G23-G26-(IF(Premissas!$B$8&gt;0,MAX(G24+G28+G32-G22,0)*Premissas!$B$8,0)),0)*Premissas!$B$6)</f>
        <v>0</v>
      </c>
      <c r="H35" s="128">
        <f>IF(H34&gt;0,0,MAX(H22-H24-H28-H32,0)*Premissas!$B$5+MAX(H23-H26-(IF(Premissas!$B$8&gt;0,MAX(H24+H28+H32-H22,0)*Premissas!$B$8,0)),0)*Premissas!$B$6)</f>
        <v>0</v>
      </c>
      <c r="I35" s="128">
        <f>IF(I34&gt;0,0,MAX(I22-I24-I28-I32,0)*Premissas!$B$5+MAX(I23-I26-(IF(Premissas!$B$8&gt;0,MAX(I24+I28+I32-I22,0)*Premissas!$B$8,0)),0)*Premissas!$B$6)</f>
        <v>0</v>
      </c>
      <c r="J35" s="128">
        <f>IF(J34&gt;0,0,MAX(J22-J24-J28-J32,0)*Premissas!$B$5+MAX(J23-J26-(IF(Premissas!$B$8&gt;0,MAX(J24+J28+J32-J22,0)*Premissas!$B$8,0)),0)*Premissas!$B$6)</f>
        <v>0</v>
      </c>
      <c r="K35" s="128">
        <f>IF(K34&gt;0,0,MAX(K22-K24-K28-K32,0)*Premissas!$B$5+MAX(K23-K26-(IF(Premissas!$B$8&gt;0,MAX(K24+K28+K32-K22,0)*Premissas!$B$8,0)),0)*Premissas!$B$6)</f>
        <v>0</v>
      </c>
      <c r="L35" s="128">
        <f>IF(L34&gt;0,0,MAX(L22-L24-L28-L32,0)*Premissas!$B$5+MAX(L23-L26-(IF(Premissas!$B$8&gt;0,MAX(L24+L28+L32-L22,0)*Premissas!$B$8,0)),0)*Premissas!$B$6)</f>
        <v>0</v>
      </c>
      <c r="M35" s="128">
        <f>IF(M34&gt;0,0,MAX(M22-M24-M28-M32,0)*Premissas!$B$5+MAX(M23-M26-(IF(Premissas!$B$8&gt;0,MAX(M24+M28+M32-M22,0)*Premissas!$B$8,0)),0)*Premissas!$B$6)</f>
        <v>168200.37980042226</v>
      </c>
      <c r="N35" s="128">
        <f>IF(N34&gt;0,0,MAX(N22-N24-N28-N32,0)*Premissas!$B$5+MAX(N23-N26-(IF(Premissas!$B$8&gt;0,MAX(N24+N28+N32-N22,0)*Premissas!$B$8,0)),0)*Premissas!$B$6)</f>
        <v>0</v>
      </c>
      <c r="O35" s="128">
        <f>IF(O34&gt;0,0,MAX(O22-O24-O28-O32,0)*Premissas!$B$5+MAX(O23-O26-(IF(Premissas!$B$8&gt;0,MAX(O24+O28+O32-O22,0)*Premissas!$B$8,0)),0)*Premissas!$B$6)</f>
        <v>0</v>
      </c>
      <c r="P35" s="128">
        <f>IF(P34&gt;0,0,MAX(P22-P24-P28-P32,0)*Premissas!$B$5+MAX(P23-P26-(IF(Premissas!$B$8&gt;0,MAX(P24+P28+P32-P22,0)*Premissas!$B$8,0)),0)*Premissas!$B$6)</f>
        <v>40190.638962812554</v>
      </c>
      <c r="Q35" s="128">
        <f>IF(Q34&gt;0,0,MAX(Q22-Q24-Q28-Q32,0)*Premissas!$B$5+MAX(Q23-Q26-(IF(Premissas!$B$8&gt;0,MAX(Q24+Q28+Q32-Q22,0)*Premissas!$B$8,0)),0)*Premissas!$B$6)</f>
        <v>248757.85004134869</v>
      </c>
      <c r="R35" s="128">
        <f>IF(R34&gt;0,0,MAX(R22-R24-R28-R32,0)*Premissas!$B$5+MAX(R23-R26-(IF(Premissas!$B$8&gt;0,MAX(R24+R28+R32-R22,0)*Premissas!$B$8,0)),0)*Premissas!$B$6)</f>
        <v>125897.11364420621</v>
      </c>
      <c r="S35" s="128">
        <f>IF(S34&gt;0,0,MAX(S22-S24-S28-S32,0)*Premissas!$B$5+MAX(S23-S26-(IF(Premissas!$B$8&gt;0,MAX(S24+S28+S32-S22,0)*Premissas!$B$8,0)),0)*Premissas!$B$6)</f>
        <v>0</v>
      </c>
      <c r="T35" s="128">
        <f>IF(T34&gt;0,0,MAX(T22-T24-T28-T32,0)*Premissas!$B$5+MAX(T23-T26-(IF(Premissas!$B$8&gt;0,MAX(T24+T28+T32-T22,0)*Premissas!$B$8,0)),0)*Premissas!$B$6)</f>
        <v>0</v>
      </c>
      <c r="U35" s="128">
        <f>IF(U34&gt;0,0,MAX(U22-U24-U28-U32,0)*Premissas!$B$5+MAX(U23-U26-(IF(Premissas!$B$8&gt;0,MAX(U24+U28+U32-U22,0)*Premissas!$B$8,0)),0)*Premissas!$B$6)</f>
        <v>0</v>
      </c>
      <c r="V35" s="128">
        <f>IF(V34&gt;0,0,MAX(V22-V24-V28-V32,0)*Premissas!$B$5+MAX(V23-V26-(IF(Premissas!$B$8&gt;0,MAX(V24+V28+V32-V22,0)*Premissas!$B$8,0)),0)*Premissas!$B$6)</f>
        <v>0</v>
      </c>
      <c r="W35" s="128">
        <f>IF(W34&gt;0,0,MAX(W22-W24-W28-W32,0)*Premissas!$B$5+MAX(W23-W26-(IF(Premissas!$B$8&gt;0,MAX(W24+W28+W32-W22,0)*Premissas!$B$8,0)),0)*Premissas!$B$6)</f>
        <v>0</v>
      </c>
      <c r="X35" s="128">
        <f>IF(X34&gt;0,0,MAX(X22-X24-X28-X32,0)*Premissas!$B$5+MAX(X23-X26-(IF(Premissas!$B$8&gt;0,MAX(X24+X28+X32-X22,0)*Premissas!$B$8,0)),0)*Premissas!$B$6)</f>
        <v>0</v>
      </c>
      <c r="Y35" s="128">
        <f>IF(Y34&gt;0,0,MAX(Y22-Y24-Y28-Y32,0)*Premissas!$B$5+MAX(Y23-Y26-(IF(Premissas!$B$8&gt;0,MAX(Y24+Y28+Y32-Y22,0)*Premissas!$B$8,0)),0)*Premissas!$B$6)</f>
        <v>172118.13436324341</v>
      </c>
      <c r="Z35" s="128">
        <f>IF(Z34&gt;0,0,MAX(Z22-Z24-Z28-Z32,0)*Premissas!$B$5+MAX(Z23-Z26-(IF(Premissas!$B$8&gt;0,MAX(Z24+Z28+Z32-Z22,0)*Premissas!$B$8,0)),0)*Premissas!$B$6)</f>
        <v>0</v>
      </c>
      <c r="AA35" s="128">
        <f>IF(AA34&gt;0,0,MAX(AA22-AA24-AA28-AA32,0)*Premissas!$B$5+MAX(AA23-AA26-(IF(Premissas!$B$8&gt;0,MAX(AA24+AA28+AA32-AA22,0)*Premissas!$B$8,0)),0)*Premissas!$B$6)</f>
        <v>0</v>
      </c>
    </row>
    <row r="36" spans="1:27" ht="12.75" customHeight="1" x14ac:dyDescent="0.35">
      <c r="A36" s="129" t="s">
        <v>307</v>
      </c>
      <c r="B36" s="130">
        <f>SUM(D36:AA36)</f>
        <v>81866.271843688461</v>
      </c>
      <c r="C36" s="110">
        <f>B36/24</f>
        <v>3411.0946601536857</v>
      </c>
      <c r="D36" s="130">
        <f>IF(D31&gt;0,0,MAX(D22-D24-D27+D28-D29,0)*Premissas!$B$5+MAX(D23-D26-(IF(Premissas!$B$8&gt;0,MAX(D24+D27+D28+D29-D22,0)*Premissas!$B$8,0)),0)*Premissas!$B$6)</f>
        <v>0</v>
      </c>
      <c r="E36" s="130">
        <f>IF(E31&gt;0,0,MAX(E22-E24-E27+E28-E29,0)*Premissas!$B$5+MAX(E23-E26-(IF(Premissas!$B$8&gt;0,MAX(E24+E27+E28+E29-E22,0)*Premissas!$B$8,0)),0)*Premissas!$B$6)</f>
        <v>81866.271843688461</v>
      </c>
      <c r="F36" s="130">
        <f>IF(F31&gt;0,0,MAX(F22-F24-F27+F28-F29,0)*Premissas!$B$5+MAX(F23-F26-(IF(Premissas!$B$8&gt;0,MAX(F24+F27+F28+F29-F22,0)*Premissas!$B$8,0)),0)*Premissas!$B$6)</f>
        <v>0</v>
      </c>
      <c r="G36" s="130">
        <f>IF(G31&gt;0,0,MAX(G22-G24-G27+G28-G29,0)*Premissas!$B$5+MAX(G23-G26-(IF(Premissas!$B$8&gt;0,MAX(G24+G27+G28+G29-G22,0)*Premissas!$B$8,0)),0)*Premissas!$B$6)</f>
        <v>0</v>
      </c>
      <c r="H36" s="130">
        <f>IF(H31&gt;0,0,MAX(H22-H24-H27+H28-H29,0)*Premissas!$B$5+MAX(H23-H26-(IF(Premissas!$B$8&gt;0,MAX(H24+H27+H28+H29-H22,0)*Premissas!$B$8,0)),0)*Premissas!$B$6)</f>
        <v>0</v>
      </c>
      <c r="I36" s="130">
        <f>IF(I31&gt;0,0,MAX(I22-I24-I27+I28-I29,0)*Premissas!$B$5+MAX(I23-I26-(IF(Premissas!$B$8&gt;0,MAX(I24+I27+I28+I29-I22,0)*Premissas!$B$8,0)),0)*Premissas!$B$6)</f>
        <v>0</v>
      </c>
      <c r="J36" s="130">
        <f>IF(J31&gt;0,0,MAX(J22-J24-J27+J28-J29,0)*Premissas!$B$5+MAX(J23-J26-(IF(Premissas!$B$8&gt;0,MAX(J24+J27+J28+J29-J22,0)*Premissas!$B$8,0)),0)*Premissas!$B$6)</f>
        <v>0</v>
      </c>
      <c r="K36" s="130">
        <f>IF(K31&gt;0,0,MAX(K22-K24-K27+K28-K29,0)*Premissas!$B$5+MAX(K23-K26-(IF(Premissas!$B$8&gt;0,MAX(K24+K27+K28+K29-K22,0)*Premissas!$B$8,0)),0)*Premissas!$B$6)</f>
        <v>0</v>
      </c>
      <c r="L36" s="130">
        <f>IF(L31&gt;0,0,MAX(L22-L24-L27+L28-L29,0)*Premissas!$B$5+MAX(L23-L26-(IF(Premissas!$B$8&gt;0,MAX(L24+L27+L28+L29-L22,0)*Premissas!$B$8,0)),0)*Premissas!$B$6)</f>
        <v>0</v>
      </c>
      <c r="M36" s="130">
        <f>IF(M31&gt;0,0,MAX(M22-M24-M27+M28-M29,0)*Premissas!$B$5+MAX(M23-M26-(IF(Premissas!$B$8&gt;0,MAX(M24+M27+M28+M29-M22,0)*Premissas!$B$8,0)),0)*Premissas!$B$6)</f>
        <v>0</v>
      </c>
      <c r="N36" s="130">
        <f>IF(N31&gt;0,0,MAX(N22-N24-N27+N28-N29,0)*Premissas!$B$5+MAX(N23-N26-(IF(Premissas!$B$8&gt;0,MAX(N24+N27+N28+N29-N22,0)*Premissas!$B$8,0)),0)*Premissas!$B$6)</f>
        <v>0</v>
      </c>
      <c r="O36" s="130">
        <f>IF(O31&gt;0,0,MAX(O22-O24-O27+O28-O29,0)*Premissas!$B$5+MAX(O23-O26-(IF(Premissas!$B$8&gt;0,MAX(O24+O27+O28+O29-O22,0)*Premissas!$B$8,0)),0)*Premissas!$B$6)</f>
        <v>0</v>
      </c>
      <c r="P36" s="130">
        <f>IF(P31&gt;0,0,MAX(P22-P24-P27+P28-P29,0)*Premissas!$B$5+MAX(P23-P26-(IF(Premissas!$B$8&gt;0,MAX(P24+P27+P28+P29-P22,0)*Premissas!$B$8,0)),0)*Premissas!$B$6)</f>
        <v>0</v>
      </c>
      <c r="Q36" s="130">
        <f>IF(Q31&gt;0,0,MAX(Q22-Q24-Q27+Q28-Q29,0)*Premissas!$B$5+MAX(Q23-Q26-(IF(Premissas!$B$8&gt;0,MAX(Q24+Q27+Q28+Q29-Q22,0)*Premissas!$B$8,0)),0)*Premissas!$B$6)</f>
        <v>0</v>
      </c>
      <c r="R36" s="130">
        <f>IF(R31&gt;0,0,MAX(R22-R24-R27+R28-R29,0)*Premissas!$B$5+MAX(R23-R26-(IF(Premissas!$B$8&gt;0,MAX(R24+R27+R28+R29-R22,0)*Premissas!$B$8,0)),0)*Premissas!$B$6)</f>
        <v>0</v>
      </c>
      <c r="S36" s="130">
        <f>IF(S31&gt;0,0,MAX(S22-S24-S27+S28-S29,0)*Premissas!$B$5+MAX(S23-S26-(IF(Premissas!$B$8&gt;0,MAX(S24+S27+S28+S29-S22,0)*Premissas!$B$8,0)),0)*Premissas!$B$6)</f>
        <v>0</v>
      </c>
      <c r="T36" s="130">
        <f>IF(T31&gt;0,0,MAX(T22-T24-T27+T28-T29,0)*Premissas!$B$5+MAX(T23-T26-(IF(Premissas!$B$8&gt;0,MAX(T24+T27+T28+T29-T22,0)*Premissas!$B$8,0)),0)*Premissas!$B$6)</f>
        <v>0</v>
      </c>
      <c r="U36" s="130">
        <f>IF(U31&gt;0,0,MAX(U22-U24-U27+U28-U29,0)*Premissas!$B$5+MAX(U23-U26-(IF(Premissas!$B$8&gt;0,MAX(U24+U27+U28+U29-U22,0)*Premissas!$B$8,0)),0)*Premissas!$B$6)</f>
        <v>0</v>
      </c>
      <c r="V36" s="130">
        <f>IF(V31&gt;0,0,MAX(V22-V24-V27+V28-V29,0)*Premissas!$B$5+MAX(V23-V26-(IF(Premissas!$B$8&gt;0,MAX(V24+V27+V28+V29-V22,0)*Premissas!$B$8,0)),0)*Premissas!$B$6)</f>
        <v>0</v>
      </c>
      <c r="W36" s="130">
        <f>IF(W31&gt;0,0,MAX(W22-W24-W27+W28-W29,0)*Premissas!$B$5+MAX(W23-W26-(IF(Premissas!$B$8&gt;0,MAX(W24+W27+W28+W29-W22,0)*Premissas!$B$8,0)),0)*Premissas!$B$6)</f>
        <v>0</v>
      </c>
      <c r="X36" s="130">
        <f>IF(X31&gt;0,0,MAX(X22-X24-X27+X28-X29,0)*Premissas!$B$5+MAX(X23-X26-(IF(Premissas!$B$8&gt;0,MAX(X24+X27+X28+X29-X22,0)*Premissas!$B$8,0)),0)*Premissas!$B$6)</f>
        <v>0</v>
      </c>
      <c r="Y36" s="130">
        <f>IF(Y31&gt;0,0,MAX(Y22-Y24-Y27+Y28-Y29,0)*Premissas!$B$5+MAX(Y23-Y26-(IF(Premissas!$B$8&gt;0,MAX(Y24+Y27+Y28+Y29-Y22,0)*Premissas!$B$8,0)),0)*Premissas!$B$6)</f>
        <v>0</v>
      </c>
      <c r="Z36" s="130">
        <f>IF(Z31&gt;0,0,MAX(Z22-Z24-Z27+Z28-Z29,0)*Premissas!$B$5+MAX(Z23-Z26-(IF(Premissas!$B$8&gt;0,MAX(Z24+Z27+Z28+Z29-Z22,0)*Premissas!$B$8,0)),0)*Premissas!$B$6)</f>
        <v>0</v>
      </c>
      <c r="AA36" s="130">
        <f>IF(AA31&gt;0,0,MAX(AA22-AA24-AA27+AA28-AA29,0)*Premissas!$B$5+MAX(AA23-AA26-(IF(Premissas!$B$8&gt;0,MAX(AA24+AA27+AA28+AA29-AA22,0)*Premissas!$B$8,0)),0)*Premissas!$B$6)</f>
        <v>0</v>
      </c>
    </row>
    <row r="37" spans="1:27" ht="13.5" customHeight="1" x14ac:dyDescent="0.35">
      <c r="A37" s="40" t="s">
        <v>308</v>
      </c>
      <c r="B37" s="43">
        <f>SUM(D37:AA37)</f>
        <v>994174.46966351499</v>
      </c>
      <c r="C37" s="110">
        <f>B37/24</f>
        <v>41423.936235979789</v>
      </c>
      <c r="D37" s="131">
        <f t="shared" ref="D37:AA37" si="13">MAX(D35-D36,0)</f>
        <v>0</v>
      </c>
      <c r="E37" s="131">
        <f t="shared" si="13"/>
        <v>117413.77195863765</v>
      </c>
      <c r="F37" s="131">
        <f t="shared" si="13"/>
        <v>121596.5808928443</v>
      </c>
      <c r="G37" s="131">
        <f t="shared" si="13"/>
        <v>0</v>
      </c>
      <c r="H37" s="131">
        <f t="shared" si="13"/>
        <v>0</v>
      </c>
      <c r="I37" s="131">
        <f t="shared" si="13"/>
        <v>0</v>
      </c>
      <c r="J37" s="131">
        <f t="shared" si="13"/>
        <v>0</v>
      </c>
      <c r="K37" s="131">
        <f t="shared" si="13"/>
        <v>0</v>
      </c>
      <c r="L37" s="131">
        <f t="shared" si="13"/>
        <v>0</v>
      </c>
      <c r="M37" s="131">
        <f t="shared" si="13"/>
        <v>168200.37980042226</v>
      </c>
      <c r="N37" s="131">
        <f t="shared" si="13"/>
        <v>0</v>
      </c>
      <c r="O37" s="131">
        <f t="shared" si="13"/>
        <v>0</v>
      </c>
      <c r="P37" s="131">
        <f t="shared" si="13"/>
        <v>40190.638962812554</v>
      </c>
      <c r="Q37" s="131">
        <f t="shared" si="13"/>
        <v>248757.85004134869</v>
      </c>
      <c r="R37" s="131">
        <f t="shared" si="13"/>
        <v>125897.11364420621</v>
      </c>
      <c r="S37" s="131">
        <f t="shared" si="13"/>
        <v>0</v>
      </c>
      <c r="T37" s="131">
        <f t="shared" si="13"/>
        <v>0</v>
      </c>
      <c r="U37" s="131">
        <f t="shared" si="13"/>
        <v>0</v>
      </c>
      <c r="V37" s="131">
        <f t="shared" si="13"/>
        <v>0</v>
      </c>
      <c r="W37" s="131">
        <f t="shared" si="13"/>
        <v>0</v>
      </c>
      <c r="X37" s="131">
        <f t="shared" si="13"/>
        <v>0</v>
      </c>
      <c r="Y37" s="131">
        <f t="shared" si="13"/>
        <v>172118.13436324341</v>
      </c>
      <c r="Z37" s="131">
        <f t="shared" si="13"/>
        <v>0</v>
      </c>
      <c r="AA37" s="131">
        <f t="shared" si="13"/>
        <v>0</v>
      </c>
    </row>
    <row r="39" spans="1:27" ht="15" customHeight="1" x14ac:dyDescent="0.35">
      <c r="A39" s="300" t="s">
        <v>309</v>
      </c>
      <c r="B39" s="300"/>
      <c r="C39" s="300"/>
      <c r="D39" s="300"/>
      <c r="E39" s="300"/>
      <c r="F39" s="300"/>
      <c r="G39" s="300"/>
      <c r="H39" s="300"/>
      <c r="I39" s="300"/>
      <c r="J39" s="300"/>
      <c r="K39" s="300"/>
      <c r="L39" s="300"/>
      <c r="M39" s="300"/>
      <c r="N39" s="300"/>
      <c r="O39" s="300"/>
      <c r="P39" s="300"/>
      <c r="Q39" s="300"/>
      <c r="R39" s="300"/>
      <c r="S39" s="300"/>
      <c r="T39" s="300"/>
      <c r="U39" s="300"/>
      <c r="V39" s="300"/>
      <c r="W39" s="300"/>
      <c r="X39" s="300"/>
      <c r="Y39" s="300"/>
      <c r="Z39" s="300"/>
      <c r="AA39" s="300"/>
    </row>
    <row r="40" spans="1:27" ht="12.75" customHeight="1" x14ac:dyDescent="0.35">
      <c r="A40" s="120" t="s">
        <v>295</v>
      </c>
      <c r="B40" s="107">
        <f t="shared" ref="B40:B46" si="14">SUM(D40:AA40)</f>
        <v>2588129.7649999997</v>
      </c>
      <c r="C40" s="106">
        <f t="shared" ref="C40:C46" si="15">B40/24</f>
        <v>107838.74020833331</v>
      </c>
      <c r="D40" s="107">
        <f>Input_Consumo_GrupoA!$F$9</f>
        <v>182444.7</v>
      </c>
      <c r="E40" s="107">
        <f>Input_Consumo_GrupoA!$F$10</f>
        <v>234799.2</v>
      </c>
      <c r="F40" s="107">
        <f>Input_Consumo_GrupoA!$F$11</f>
        <v>134799.29999999999</v>
      </c>
      <c r="G40" s="107">
        <f>Input_Consumo_GrupoA!$F$12</f>
        <v>18637.2</v>
      </c>
      <c r="H40" s="107">
        <f>Input_Consumo_GrupoA!$F$13</f>
        <v>24382.799999999999</v>
      </c>
      <c r="I40" s="107">
        <f>Input_Consumo_GrupoA!$F$14</f>
        <v>20225.7</v>
      </c>
      <c r="J40" s="107">
        <f>Input_Consumo_GrupoA!$F$15</f>
        <v>17142.3</v>
      </c>
      <c r="K40" s="107">
        <f>Input_Consumo_GrupoA!$F$4*(1+Premissas!$B$21)</f>
        <v>75822.734999999986</v>
      </c>
      <c r="L40" s="107">
        <f>Input_Consumo_GrupoA!$F$5*(1+Premissas!$B$21)</f>
        <v>214709.005</v>
      </c>
      <c r="M40" s="107">
        <f>Input_Consumo_GrupoA!$F$6*(1+Premissas!$B$21)</f>
        <v>177591.70499999999</v>
      </c>
      <c r="N40" s="107">
        <f>Input_Consumo_GrupoA!$F$7*(1+Premissas!$B$21)</f>
        <v>80409.609999999986</v>
      </c>
      <c r="O40" s="107">
        <f>Input_Consumo_GrupoA!$F$8*(1+Premissas!$B$21)</f>
        <v>105195.23749999999</v>
      </c>
      <c r="P40" s="107">
        <f>Input_Consumo_GrupoA!$F$9*(1+Premissas!$B$21)</f>
        <v>187005.8175</v>
      </c>
      <c r="Q40" s="107">
        <f>Input_Consumo_GrupoA!$F$10*(1+Premissas!$B$21)</f>
        <v>240669.18</v>
      </c>
      <c r="R40" s="107">
        <f>Input_Consumo_GrupoA!$F$11*(1+Premissas!$B$21)</f>
        <v>138169.28249999997</v>
      </c>
      <c r="S40" s="107">
        <f>Input_Consumo_GrupoA!$F$12*(1+Premissas!$B$21)</f>
        <v>19103.129999999997</v>
      </c>
      <c r="T40" s="107">
        <f>Input_Consumo_GrupoA!$F$13*(1+Premissas!$B$21)</f>
        <v>24992.369999999995</v>
      </c>
      <c r="U40" s="107">
        <f>Input_Consumo_GrupoA!$F$14*(1+Premissas!$B$21)</f>
        <v>20731.342499999999</v>
      </c>
      <c r="V40" s="107">
        <f>Input_Consumo_GrupoA!$F$15*(1+Premissas!$B$21)</f>
        <v>17570.857499999998</v>
      </c>
      <c r="W40" s="107">
        <f>Input_Consumo_GrupoA!$F$4*(1+Premissas!$B$21)</f>
        <v>75822.734999999986</v>
      </c>
      <c r="X40" s="107">
        <f>Input_Consumo_GrupoA!$F$5*(1+Premissas!$B$21)</f>
        <v>214709.005</v>
      </c>
      <c r="Y40" s="107">
        <f>Input_Consumo_GrupoA!$F$6*(1+Premissas!$B$21)</f>
        <v>177591.70499999999</v>
      </c>
      <c r="Z40" s="107">
        <f>Input_Consumo_GrupoA!$F$7*(1+Premissas!$B$21)</f>
        <v>80409.609999999986</v>
      </c>
      <c r="AA40" s="107">
        <f>Input_Consumo_GrupoA!$F$8*(1+Premissas!$B$21)</f>
        <v>105195.23749999999</v>
      </c>
    </row>
    <row r="41" spans="1:27" ht="12.75" customHeight="1" x14ac:dyDescent="0.35">
      <c r="A41" s="120" t="s">
        <v>296</v>
      </c>
      <c r="B41" s="107">
        <f t="shared" si="14"/>
        <v>287569.99749999994</v>
      </c>
      <c r="C41" s="106">
        <f t="shared" si="15"/>
        <v>11982.083229166665</v>
      </c>
      <c r="D41" s="107">
        <f>Input_Consumo_GrupoA!$G$9</f>
        <v>20271.599999999999</v>
      </c>
      <c r="E41" s="107">
        <f>Input_Consumo_GrupoA!$G$10</f>
        <v>26088.799999999999</v>
      </c>
      <c r="F41" s="107">
        <f>Input_Consumo_GrupoA!$G$11</f>
        <v>14977.7</v>
      </c>
      <c r="G41" s="107">
        <f>Input_Consumo_GrupoA!$G$12</f>
        <v>2070.8000000000002</v>
      </c>
      <c r="H41" s="107">
        <f>Input_Consumo_GrupoA!$G$13</f>
        <v>2709.2</v>
      </c>
      <c r="I41" s="107">
        <f>Input_Consumo_GrupoA!$G$14</f>
        <v>2247.3000000000002</v>
      </c>
      <c r="J41" s="107">
        <f>Input_Consumo_GrupoA!$G$15</f>
        <v>1904.7</v>
      </c>
      <c r="K41" s="107">
        <f>Input_Consumo_GrupoA!$G$4*(1+Premissas!$B$21)</f>
        <v>8424.7824999999993</v>
      </c>
      <c r="L41" s="107">
        <f>Input_Consumo_GrupoA!$G$5*(1+Premissas!$B$21)</f>
        <v>23856.567499999997</v>
      </c>
      <c r="M41" s="107">
        <f>Input_Consumo_GrupoA!$G$6*(1+Premissas!$B$21)</f>
        <v>19732.377499999995</v>
      </c>
      <c r="N41" s="107">
        <f>Input_Consumo_GrupoA!$G$7*(1+Premissas!$B$21)</f>
        <v>8934.4124999999985</v>
      </c>
      <c r="O41" s="107">
        <f>Input_Consumo_GrupoA!$G$8*(1+Premissas!$B$21)</f>
        <v>11688.382499999998</v>
      </c>
      <c r="P41" s="107">
        <f>Input_Consumo_GrupoA!$G$9*(1+Premissas!$B$21)</f>
        <v>20778.389999999996</v>
      </c>
      <c r="Q41" s="107">
        <f>Input_Consumo_GrupoA!$G$10*(1+Premissas!$B$21)</f>
        <v>26741.019999999997</v>
      </c>
      <c r="R41" s="107">
        <f>Input_Consumo_GrupoA!$G$11*(1+Premissas!$B$21)</f>
        <v>15352.1425</v>
      </c>
      <c r="S41" s="107">
        <f>Input_Consumo_GrupoA!$G$12*(1+Premissas!$B$21)</f>
        <v>2122.5700000000002</v>
      </c>
      <c r="T41" s="107">
        <f>Input_Consumo_GrupoA!$G$13*(1+Premissas!$B$21)</f>
        <v>2776.9299999999994</v>
      </c>
      <c r="U41" s="107">
        <f>Input_Consumo_GrupoA!$G$14*(1+Premissas!$B$21)</f>
        <v>2303.4825000000001</v>
      </c>
      <c r="V41" s="107">
        <f>Input_Consumo_GrupoA!$G$15*(1+Premissas!$B$21)</f>
        <v>1952.3174999999999</v>
      </c>
      <c r="W41" s="107">
        <f>Input_Consumo_GrupoA!$G$4*(1+Premissas!$B$21)</f>
        <v>8424.7824999999993</v>
      </c>
      <c r="X41" s="107">
        <f>Input_Consumo_GrupoA!$G$5*(1+Premissas!$B$21)</f>
        <v>23856.567499999997</v>
      </c>
      <c r="Y41" s="107">
        <f>Input_Consumo_GrupoA!$G$6*(1+Premissas!$B$21)</f>
        <v>19732.377499999995</v>
      </c>
      <c r="Z41" s="107">
        <f>Input_Consumo_GrupoA!$G$7*(1+Premissas!$B$21)</f>
        <v>8934.4124999999985</v>
      </c>
      <c r="AA41" s="107">
        <f>Input_Consumo_GrupoA!$G$8*(1+Premissas!$B$21)</f>
        <v>11688.382499999998</v>
      </c>
    </row>
    <row r="42" spans="1:27" ht="12.75" customHeight="1" x14ac:dyDescent="0.35">
      <c r="A42" s="71" t="s">
        <v>297</v>
      </c>
      <c r="B42" s="84">
        <f t="shared" si="14"/>
        <v>1805431.5627999997</v>
      </c>
      <c r="C42" s="106">
        <f t="shared" si="15"/>
        <v>75226.31511666665</v>
      </c>
      <c r="D42" s="84">
        <f>IF(Premissas!$B$24="Sim",Amandina!$L$8*1000,Amandina!$I$8)</f>
        <v>57829.519999999982</v>
      </c>
      <c r="E42" s="84">
        <f>IF(Premissas!$B$24="Sim",Amandina!$L$9*1000,Amandina!$I$9)</f>
        <v>70669.439999999988</v>
      </c>
      <c r="F42" s="84">
        <f>IF(Premissas!$B$24="Sim",Amandina!$L$10*1000,Amandina!$I$10)</f>
        <v>74466.16</v>
      </c>
      <c r="G42" s="84">
        <f>IF(Premissas!$B$24="Sim",Amandina!$L$11*1000,Amandina!$I$11)</f>
        <v>75546.720000000001</v>
      </c>
      <c r="H42" s="84">
        <f>IF(Premissas!$B$24="Sim",Amandina!$L$12*1000,Amandina!$I$12)</f>
        <v>76725.439999999988</v>
      </c>
      <c r="I42" s="84">
        <f>IF(Premissas!$B$24="Sim",Amandina!$L$13*1000,Amandina!$I$13)</f>
        <v>86384.48</v>
      </c>
      <c r="J42" s="84">
        <f>IF(Premissas!$B$24="Sim",Amandina!$L$14*1000,Amandina!$I$14)</f>
        <v>85283.12000000001</v>
      </c>
      <c r="K42" s="84">
        <f>IF(Premissas!$B$24="Sim",Amandina!$L$3*1000*(1-Premissas!$B$23),Amandina!$I$3*(1-Premissas!$B$23))</f>
        <v>90950.163999999961</v>
      </c>
      <c r="L42" s="84">
        <f>IF(Premissas!$B$24="Sim",Amandina!$L$4*1000*(1-Premissas!$B$23),Amandina!$I$4*(1-Premissas!$B$23))</f>
        <v>72540.992400000003</v>
      </c>
      <c r="M42" s="84">
        <f>IF(Premissas!$B$24="Sim",Amandina!$L$5*1000*(1-Premissas!$B$23),Amandina!$I$5*(1-Premissas!$B$23))</f>
        <v>82037.272399999987</v>
      </c>
      <c r="N42" s="84">
        <f>IF(Premissas!$B$24="Sim",Amandina!$L$6*1000*(1-Premissas!$B$23),Amandina!$I$6*(1-Premissas!$B$23))</f>
        <v>58672.921199999997</v>
      </c>
      <c r="O42" s="84">
        <f>IF(Premissas!$B$24="Sim",Amandina!$L$7*1000*(1-Premissas!$B$23),Amandina!$I$7*(1-Premissas!$B$23))</f>
        <v>72926.813599999994</v>
      </c>
      <c r="P42" s="84">
        <f>IF(Premissas!$B$24="Sim",Amandina!$L$8*1000*(1-Premissas!$B$23),Amandina!$I$8*(1-Premissas!$B$23))</f>
        <v>57540.372399999986</v>
      </c>
      <c r="Q42" s="84">
        <f>IF(Premissas!$B$24="Sim",Amandina!$L$9*1000*(1-Premissas!$B$23),Amandina!$I$9*(1-Premissas!$B$23))</f>
        <v>70316.092799999984</v>
      </c>
      <c r="R42" s="84">
        <f>IF(Premissas!$B$24="Sim",Amandina!$L$10*1000*(1-Premissas!$B$23),Amandina!$I$10*(1-Premissas!$B$23))</f>
        <v>74093.829200000007</v>
      </c>
      <c r="S42" s="84">
        <f>IF(Premissas!$B$24="Sim",Amandina!$L$11*1000*(1-Premissas!$B$23),Amandina!$I$11*(1-Premissas!$B$23))</f>
        <v>75168.986399999994</v>
      </c>
      <c r="T42" s="84">
        <f>IF(Premissas!$B$24="Sim",Amandina!$L$12*1000*(1-Premissas!$B$23),Amandina!$I$12*(1-Premissas!$B$23))</f>
        <v>76341.812799999985</v>
      </c>
      <c r="U42" s="84">
        <f>IF(Premissas!$B$24="Sim",Amandina!$L$13*1000*(1-Premissas!$B$23),Amandina!$I$13*(1-Premissas!$B$23))</f>
        <v>85952.5576</v>
      </c>
      <c r="V42" s="84">
        <f>IF(Premissas!$B$24="Sim",Amandina!$L$14*1000*(1-Premissas!$B$23),Amandina!$I$14*(1-Premissas!$B$23))</f>
        <v>84856.704400000002</v>
      </c>
      <c r="W42" s="84">
        <f>IF(Premissas!$B$24="Sim",Amandina!$L$3*1000*(1-Premissas!$B$23),Amandina!$I$3*(1-Premissas!$B$23))</f>
        <v>90950.163999999961</v>
      </c>
      <c r="X42" s="84">
        <f>IF(Premissas!$B$24="Sim",Amandina!$L$4*1000*(1-Premissas!$B$23),Amandina!$I$4*(1-Premissas!$B$23))</f>
        <v>72540.992400000003</v>
      </c>
      <c r="Y42" s="84">
        <f>IF(Premissas!$B$24="Sim",Amandina!$L$5*1000*(1-Premissas!$B$23),Amandina!$I$5*(1-Premissas!$B$23))</f>
        <v>82037.272399999987</v>
      </c>
      <c r="Z42" s="84">
        <f>IF(Premissas!$B$24="Sim",Amandina!$L$6*1000*(1-Premissas!$B$23),Amandina!$I$6*(1-Premissas!$B$23))</f>
        <v>58672.921199999997</v>
      </c>
      <c r="AA42" s="84">
        <f>IF(Premissas!$B$24="Sim",Amandina!$L$7*1000*(1-Premissas!$B$23),Amandina!$I$7*(1-Premissas!$B$23))</f>
        <v>72926.813599999994</v>
      </c>
    </row>
    <row r="43" spans="1:27" ht="12.75" customHeight="1" x14ac:dyDescent="0.35">
      <c r="A43" s="112" t="s">
        <v>298</v>
      </c>
      <c r="B43" s="106">
        <f t="shared" si="14"/>
        <v>1291702.5835999998</v>
      </c>
      <c r="C43" s="106">
        <f t="shared" si="15"/>
        <v>53820.940983333327</v>
      </c>
      <c r="D43" s="106">
        <f t="shared" ref="D43:AA43" si="16">MIN(D42,D40)</f>
        <v>57829.519999999982</v>
      </c>
      <c r="E43" s="106">
        <f t="shared" si="16"/>
        <v>70669.439999999988</v>
      </c>
      <c r="F43" s="106">
        <f t="shared" si="16"/>
        <v>74466.16</v>
      </c>
      <c r="G43" s="106">
        <f t="shared" si="16"/>
        <v>18637.2</v>
      </c>
      <c r="H43" s="106">
        <f t="shared" si="16"/>
        <v>24382.799999999999</v>
      </c>
      <c r="I43" s="106">
        <f t="shared" si="16"/>
        <v>20225.7</v>
      </c>
      <c r="J43" s="106">
        <f t="shared" si="16"/>
        <v>17142.3</v>
      </c>
      <c r="K43" s="106">
        <f t="shared" si="16"/>
        <v>75822.734999999986</v>
      </c>
      <c r="L43" s="106">
        <f t="shared" si="16"/>
        <v>72540.992400000003</v>
      </c>
      <c r="M43" s="106">
        <f t="shared" si="16"/>
        <v>82037.272399999987</v>
      </c>
      <c r="N43" s="106">
        <f t="shared" si="16"/>
        <v>58672.921199999997</v>
      </c>
      <c r="O43" s="106">
        <f t="shared" si="16"/>
        <v>72926.813599999994</v>
      </c>
      <c r="P43" s="106">
        <f t="shared" si="16"/>
        <v>57540.372399999986</v>
      </c>
      <c r="Q43" s="106">
        <f t="shared" si="16"/>
        <v>70316.092799999984</v>
      </c>
      <c r="R43" s="106">
        <f t="shared" si="16"/>
        <v>74093.829200000007</v>
      </c>
      <c r="S43" s="106">
        <f t="shared" si="16"/>
        <v>19103.129999999997</v>
      </c>
      <c r="T43" s="106">
        <f t="shared" si="16"/>
        <v>24992.369999999995</v>
      </c>
      <c r="U43" s="106">
        <f t="shared" si="16"/>
        <v>20731.342499999999</v>
      </c>
      <c r="V43" s="106">
        <f t="shared" si="16"/>
        <v>17570.857499999998</v>
      </c>
      <c r="W43" s="106">
        <f t="shared" si="16"/>
        <v>75822.734999999986</v>
      </c>
      <c r="X43" s="106">
        <f t="shared" si="16"/>
        <v>72540.992400000003</v>
      </c>
      <c r="Y43" s="106">
        <f t="shared" si="16"/>
        <v>82037.272399999987</v>
      </c>
      <c r="Z43" s="106">
        <f t="shared" si="16"/>
        <v>58672.921199999997</v>
      </c>
      <c r="AA43" s="106">
        <f t="shared" si="16"/>
        <v>72926.813599999994</v>
      </c>
    </row>
    <row r="44" spans="1:27" ht="12.75" customHeight="1" x14ac:dyDescent="0.35">
      <c r="A44" s="112" t="s">
        <v>299</v>
      </c>
      <c r="B44" s="106">
        <f t="shared" si="14"/>
        <v>34936.864999999998</v>
      </c>
      <c r="C44" s="106">
        <f t="shared" si="15"/>
        <v>1455.7027083333332</v>
      </c>
      <c r="D44" s="106">
        <f>MIN((D42-D43)*Premissas!$B$8,D41)</f>
        <v>0</v>
      </c>
      <c r="E44" s="106">
        <f>MIN((E42-E43)*Premissas!$B$8,E41)</f>
        <v>0</v>
      </c>
      <c r="F44" s="106">
        <f>MIN((F42-F43)*Premissas!$B$8,F41)</f>
        <v>0</v>
      </c>
      <c r="G44" s="106">
        <f>MIN((G42-G43)*Premissas!$B$8,G41)</f>
        <v>2070.8000000000002</v>
      </c>
      <c r="H44" s="106">
        <f>MIN((H42-H43)*Premissas!$B$8,H41)</f>
        <v>2709.2</v>
      </c>
      <c r="I44" s="106">
        <f>MIN((I42-I43)*Premissas!$B$8,I41)</f>
        <v>2247.3000000000002</v>
      </c>
      <c r="J44" s="106">
        <f>MIN((J42-J43)*Premissas!$B$8,J41)</f>
        <v>1904.7</v>
      </c>
      <c r="K44" s="106">
        <f>MIN((K42-K43)*Premissas!$B$8,K41)</f>
        <v>8424.7824999999993</v>
      </c>
      <c r="L44" s="106">
        <f>MIN((L42-L43)*Premissas!$B$8,L41)</f>
        <v>0</v>
      </c>
      <c r="M44" s="106">
        <f>MIN((M42-M43)*Premissas!$B$8,M41)</f>
        <v>0</v>
      </c>
      <c r="N44" s="106">
        <f>MIN((N42-N43)*Premissas!$B$8,N41)</f>
        <v>0</v>
      </c>
      <c r="O44" s="106">
        <f>MIN((O42-O43)*Premissas!$B$8,O41)</f>
        <v>0</v>
      </c>
      <c r="P44" s="106">
        <f>MIN((P42-P43)*Premissas!$B$8,P41)</f>
        <v>0</v>
      </c>
      <c r="Q44" s="106">
        <f>MIN((Q42-Q43)*Premissas!$B$8,Q41)</f>
        <v>0</v>
      </c>
      <c r="R44" s="106">
        <f>MIN((R42-R43)*Premissas!$B$8,R41)</f>
        <v>0</v>
      </c>
      <c r="S44" s="106">
        <f>MIN((S42-S43)*Premissas!$B$8,S41)</f>
        <v>2122.5700000000002</v>
      </c>
      <c r="T44" s="106">
        <f>MIN((T42-T43)*Premissas!$B$8,T41)</f>
        <v>2776.9299999999994</v>
      </c>
      <c r="U44" s="106">
        <f>MIN((U42-U43)*Premissas!$B$8,U41)</f>
        <v>2303.4825000000001</v>
      </c>
      <c r="V44" s="106">
        <f>MIN((V42-V43)*Premissas!$B$8,V41)</f>
        <v>1952.3174999999999</v>
      </c>
      <c r="W44" s="106">
        <f>MIN((W42-W43)*Premissas!$B$8,W41)</f>
        <v>8424.7824999999993</v>
      </c>
      <c r="X44" s="106">
        <f>MIN((X42-X43)*Premissas!$B$8,X41)</f>
        <v>0</v>
      </c>
      <c r="Y44" s="106">
        <f>MIN((Y42-Y43)*Premissas!$B$8,Y41)</f>
        <v>0</v>
      </c>
      <c r="Z44" s="106">
        <f>MIN((Z42-Z43)*Premissas!$B$8,Z41)</f>
        <v>0</v>
      </c>
      <c r="AA44" s="106">
        <f>MIN((AA42-AA43)*Premissas!$B$8,AA41)</f>
        <v>0</v>
      </c>
    </row>
    <row r="45" spans="1:27" ht="12.75" customHeight="1" x14ac:dyDescent="0.35">
      <c r="A45" s="108" t="str">
        <f>"  "&amp;INDEX(PVSYST_Helexia!$A$5:$A$7,MATCH(Premissas!$B$13,PVSYST_Helexia!$B$5:$B$7,0))&amp;" créditos recebidos (kWh)"</f>
        <v xml:space="preserve">  HCS03 créditos recebidos (kWh)</v>
      </c>
      <c r="B45" s="121">
        <f t="shared" si="14"/>
        <v>179791.22624722845</v>
      </c>
      <c r="C45" s="106">
        <f t="shared" si="15"/>
        <v>7491.301093634519</v>
      </c>
      <c r="D45" s="122">
        <f>D6*Premissas!$B$35</f>
        <v>0</v>
      </c>
      <c r="E45" s="122">
        <f>E6*Premissas!$B$35</f>
        <v>0</v>
      </c>
      <c r="F45" s="122">
        <f>F6*Premissas!$B$35</f>
        <v>0</v>
      </c>
      <c r="G45" s="122">
        <f>G6*Premissas!$B$35</f>
        <v>0</v>
      </c>
      <c r="H45" s="122">
        <f>H6*Premissas!$C$35</f>
        <v>0</v>
      </c>
      <c r="I45" s="122">
        <f>I6*Premissas!$C$35</f>
        <v>0</v>
      </c>
      <c r="J45" s="122">
        <f>J6*Premissas!$C$35</f>
        <v>0</v>
      </c>
      <c r="K45" s="122">
        <f>K6*Premissas!$C$35</f>
        <v>0</v>
      </c>
      <c r="L45" s="122">
        <f>L6*Premissas!$C$35</f>
        <v>0</v>
      </c>
      <c r="M45" s="122">
        <f>M6*Premissas!$C$35</f>
        <v>0</v>
      </c>
      <c r="N45" s="122">
        <f>N6*Premissas!$D$35</f>
        <v>588.89150794770637</v>
      </c>
      <c r="O45" s="122">
        <f>O6*Premissas!$D$35</f>
        <v>551.13274294982625</v>
      </c>
      <c r="P45" s="122">
        <f>P6*Premissas!$D$35</f>
        <v>500.18261453922531</v>
      </c>
      <c r="Q45" s="122">
        <f>Q6*Premissas!$D$35</f>
        <v>526.48466024287666</v>
      </c>
      <c r="R45" s="122">
        <f>R6*Premissas!$D$35</f>
        <v>632.01556754464411</v>
      </c>
      <c r="S45" s="122">
        <f>S6*Premissas!$D$35</f>
        <v>593.04658571990899</v>
      </c>
      <c r="T45" s="122">
        <f>T6*Premissas!$E$35</f>
        <v>23471.044612418213</v>
      </c>
      <c r="U45" s="122">
        <f>U6*Premissas!$E$35</f>
        <v>22694.269241342681</v>
      </c>
      <c r="V45" s="122">
        <f>V6*Premissas!$E$35</f>
        <v>21549.302344377353</v>
      </c>
      <c r="W45" s="122">
        <f>W6*Premissas!$E$35</f>
        <v>22237.525323150268</v>
      </c>
      <c r="X45" s="122">
        <f>X6*Premissas!$E$35</f>
        <v>19815.539716136769</v>
      </c>
      <c r="Y45" s="122">
        <f>Y6*Premissas!$E$35</f>
        <v>22728.447357670004</v>
      </c>
      <c r="Z45" s="122">
        <f>Z6*Premissas!$E$35</f>
        <v>22678.733733921174</v>
      </c>
      <c r="AA45" s="122">
        <f>AA6*Premissas!$E$35</f>
        <v>21224.610239267779</v>
      </c>
    </row>
    <row r="46" spans="1:27" ht="12.75" customHeight="1" x14ac:dyDescent="0.35">
      <c r="A46" s="117" t="s">
        <v>310</v>
      </c>
      <c r="B46" s="118">
        <f t="shared" si="14"/>
        <v>488267.50427629112</v>
      </c>
      <c r="C46" s="106">
        <f t="shared" si="15"/>
        <v>20344.479344845462</v>
      </c>
      <c r="D46" s="118">
        <f t="shared" ref="D46:AA46" si="17">D20</f>
        <v>0</v>
      </c>
      <c r="E46" s="118">
        <f t="shared" si="17"/>
        <v>0</v>
      </c>
      <c r="F46" s="118">
        <f t="shared" si="17"/>
        <v>0</v>
      </c>
      <c r="G46" s="118">
        <f t="shared" si="17"/>
        <v>32711.293107221009</v>
      </c>
      <c r="H46" s="118">
        <f t="shared" si="17"/>
        <v>40823.761528761643</v>
      </c>
      <c r="I46" s="118">
        <f t="shared" si="17"/>
        <v>41560.461528761633</v>
      </c>
      <c r="J46" s="118">
        <f t="shared" si="17"/>
        <v>47597.361528761627</v>
      </c>
      <c r="K46" s="118">
        <f t="shared" si="17"/>
        <v>51288.174381559918</v>
      </c>
      <c r="L46" s="118">
        <f t="shared" si="17"/>
        <v>0</v>
      </c>
      <c r="M46" s="118">
        <f t="shared" si="17"/>
        <v>0</v>
      </c>
      <c r="N46" s="118">
        <f t="shared" si="17"/>
        <v>16386.390718605122</v>
      </c>
      <c r="O46" s="118">
        <f t="shared" si="17"/>
        <v>15046.461371036236</v>
      </c>
      <c r="P46" s="118">
        <f t="shared" si="17"/>
        <v>0</v>
      </c>
      <c r="Q46" s="118">
        <f t="shared" si="17"/>
        <v>0</v>
      </c>
      <c r="R46" s="118">
        <f t="shared" si="17"/>
        <v>0</v>
      </c>
      <c r="S46" s="118">
        <f t="shared" si="17"/>
        <v>32132.834934901541</v>
      </c>
      <c r="T46" s="118">
        <f t="shared" si="17"/>
        <v>40427.854566980684</v>
      </c>
      <c r="U46" s="118">
        <f t="shared" si="17"/>
        <v>41160.871066980675</v>
      </c>
      <c r="V46" s="118">
        <f t="shared" si="17"/>
        <v>47167.586566980666</v>
      </c>
      <c r="W46" s="118">
        <f t="shared" si="17"/>
        <v>50971.320241098918</v>
      </c>
      <c r="X46" s="118">
        <f t="shared" si="17"/>
        <v>0</v>
      </c>
      <c r="Y46" s="118">
        <f t="shared" si="17"/>
        <v>0</v>
      </c>
      <c r="Z46" s="118">
        <f t="shared" si="17"/>
        <v>16130.024242355124</v>
      </c>
      <c r="AA46" s="118">
        <f t="shared" si="17"/>
        <v>14863.108492286232</v>
      </c>
    </row>
    <row r="47" spans="1:27" ht="12.75" customHeight="1" x14ac:dyDescent="0.35">
      <c r="A47" s="112" t="s">
        <v>301</v>
      </c>
      <c r="B47" s="106">
        <f>AA47</f>
        <v>377443.43793119898</v>
      </c>
      <c r="C47" s="106" t="s">
        <v>104</v>
      </c>
      <c r="D47" s="106">
        <f>Premissas!$B$28</f>
        <v>991029</v>
      </c>
      <c r="E47" s="106">
        <f t="shared" ref="E47:AA47" si="18">D49</f>
        <v>832866.40081074066</v>
      </c>
      <c r="F47" s="106">
        <f t="shared" si="18"/>
        <v>625562.35216333496</v>
      </c>
      <c r="G47" s="106">
        <f t="shared" si="18"/>
        <v>540442.6545955569</v>
      </c>
      <c r="H47" s="106">
        <f t="shared" si="18"/>
        <v>630063.46770277794</v>
      </c>
      <c r="I47" s="106">
        <f t="shared" si="18"/>
        <v>723229.86923153955</v>
      </c>
      <c r="J47" s="106">
        <f t="shared" si="18"/>
        <v>830949.11076030124</v>
      </c>
      <c r="K47" s="106">
        <f t="shared" si="18"/>
        <v>946687.29228906287</v>
      </c>
      <c r="L47" s="106">
        <f t="shared" si="18"/>
        <v>976942.15028906288</v>
      </c>
      <c r="M47" s="106">
        <f t="shared" si="18"/>
        <v>795293.96491832146</v>
      </c>
      <c r="N47" s="106">
        <f t="shared" si="18"/>
        <v>667084.47107040766</v>
      </c>
      <c r="O47" s="106">
        <f t="shared" si="18"/>
        <v>631151.13729641715</v>
      </c>
      <c r="P47" s="106">
        <f t="shared" si="18"/>
        <v>580090.77172136831</v>
      </c>
      <c r="Q47" s="106">
        <f t="shared" si="18"/>
        <v>416739.40456691675</v>
      </c>
      <c r="R47" s="106">
        <f t="shared" si="18"/>
        <v>202659.15616356884</v>
      </c>
      <c r="S47" s="106">
        <f t="shared" si="18"/>
        <v>113809.49692414103</v>
      </c>
      <c r="T47" s="106">
        <f t="shared" si="18"/>
        <v>202601.23484476248</v>
      </c>
      <c r="U47" s="106">
        <f t="shared" si="18"/>
        <v>317849.57682416134</v>
      </c>
      <c r="V47" s="106">
        <f t="shared" si="18"/>
        <v>446925.93223248469</v>
      </c>
      <c r="W47" s="106">
        <f t="shared" si="18"/>
        <v>582928.66804384277</v>
      </c>
      <c r="X47" s="106">
        <f t="shared" si="18"/>
        <v>657658.57669014321</v>
      </c>
      <c r="Y47" s="106">
        <f t="shared" si="18"/>
        <v>495825.93103553861</v>
      </c>
      <c r="Z47" s="106">
        <f t="shared" si="18"/>
        <v>390344.8845452948</v>
      </c>
      <c r="AA47" s="106">
        <f t="shared" si="18"/>
        <v>377443.43793119898</v>
      </c>
    </row>
    <row r="48" spans="1:27" ht="12.75" customHeight="1" x14ac:dyDescent="0.35">
      <c r="A48" s="112" t="s">
        <v>302</v>
      </c>
      <c r="B48" s="106">
        <f>SUM(D48:AA48)</f>
        <v>1737456.1666647529</v>
      </c>
      <c r="C48" s="106">
        <f>B48/24</f>
        <v>72394.006944364708</v>
      </c>
      <c r="D48" s="106">
        <f>MIN(D47,MAX(D40-D42-D45+D46,0)+IF(Premissas!$B$8=0,0,MAX(D41-D44,0)/Premissas!$B$8))</f>
        <v>158162.59918925934</v>
      </c>
      <c r="E48" s="106">
        <f>MIN(E47,MAX(E40-E42-E45+E46,0)+IF(Premissas!$B$8=0,0,MAX(E41-E44,0)/Premissas!$B$8))</f>
        <v>207304.04864740567</v>
      </c>
      <c r="F48" s="106">
        <f>MIN(F47,MAX(F40-F42-F45+F46,0)+IF(Premissas!$B$8=0,0,MAX(F41-F44,0)/Premissas!$B$8))</f>
        <v>85119.697567778028</v>
      </c>
      <c r="G48" s="106">
        <f>MIN(G47,MAX(G40-G42-G45+G46,0)+IF(Premissas!$B$8=0,0,MAX(G41-G44,0)/Premissas!$B$8))</f>
        <v>0</v>
      </c>
      <c r="H48" s="106">
        <f>MIN(H47,MAX(H40-H42-H45+H46,0)+IF(Premissas!$B$8=0,0,MAX(H41-H44,0)/Premissas!$B$8))</f>
        <v>0</v>
      </c>
      <c r="I48" s="106">
        <f>MIN(I47,MAX(I40-I42-I45+I46,0)+IF(Premissas!$B$8=0,0,MAX(I41-I44,0)/Premissas!$B$8))</f>
        <v>0</v>
      </c>
      <c r="J48" s="106">
        <f>MIN(J47,MAX(J40-J42-J45+J46,0)+IF(Premissas!$B$8=0,0,MAX(J41-J44,0)/Premissas!$B$8))</f>
        <v>0</v>
      </c>
      <c r="K48" s="106">
        <f>MIN(K47,MAX(K40-K42-K45+K46,0)+IF(Premissas!$B$8=0,0,MAX(K41-K44,0)/Premissas!$B$8))</f>
        <v>36160.745381559944</v>
      </c>
      <c r="L48" s="106">
        <f>MIN(L47,MAX(L40-L42-L45+L46,0)+IF(Premissas!$B$8=0,0,MAX(L41-L44,0)/Premissas!$B$8))</f>
        <v>181648.18537074135</v>
      </c>
      <c r="M48" s="106">
        <f>MIN(M47,MAX(M40-M42-M45+M46,0)+IF(Premissas!$B$8=0,0,MAX(M41-M44,0)/Premissas!$B$8))</f>
        <v>128209.49384791378</v>
      </c>
      <c r="N48" s="106">
        <f>MIN(N47,MAX(N40-N42-N45+N46,0)+IF(Premissas!$B$8=0,0,MAX(N41-N44,0)/Premissas!$B$8))</f>
        <v>52319.724492595604</v>
      </c>
      <c r="O48" s="106">
        <f>MIN(O47,MAX(O40-O42-O45+O46,0)+IF(Premissas!$B$8=0,0,MAX(O41-O44,0)/Premissas!$B$8))</f>
        <v>66106.82694608513</v>
      </c>
      <c r="P48" s="106">
        <f>MIN(P47,MAX(P40-P42-P45+P46,0)+IF(Premissas!$B$8=0,0,MAX(P41-P44,0)/Premissas!$B$8))</f>
        <v>163351.36715445158</v>
      </c>
      <c r="Q48" s="106">
        <f>MIN(Q47,MAX(Q40-Q42-Q45+Q46,0)+IF(Premissas!$B$8=0,0,MAX(Q41-Q44,0)/Premissas!$B$8))</f>
        <v>214080.24840334791</v>
      </c>
      <c r="R48" s="106">
        <f>MIN(R47,MAX(R40-R42-R45+R46,0)+IF(Premissas!$B$8=0,0,MAX(R41-R44,0)/Premissas!$B$8))</f>
        <v>88849.659239427812</v>
      </c>
      <c r="S48" s="106">
        <f>MIN(S47,MAX(S40-S42-S45+S46,0)+IF(Premissas!$B$8=0,0,MAX(S41-S44,0)/Premissas!$B$8))</f>
        <v>0</v>
      </c>
      <c r="T48" s="106">
        <f>MIN(T47,MAX(T40-T42-T45+T46,0)+IF(Premissas!$B$8=0,0,MAX(T41-T44,0)/Premissas!$B$8))</f>
        <v>0</v>
      </c>
      <c r="U48" s="106">
        <f>MIN(U47,MAX(U40-U42-U45+U46,0)+IF(Premissas!$B$8=0,0,MAX(U41-U44,0)/Premissas!$B$8))</f>
        <v>0</v>
      </c>
      <c r="V48" s="106">
        <f>MIN(V47,MAX(V40-V42-V45+V46,0)+IF(Premissas!$B$8=0,0,MAX(V41-V44,0)/Premissas!$B$8))</f>
        <v>0</v>
      </c>
      <c r="W48" s="106">
        <f>MIN(W47,MAX(W40-W42-W45+W46,0)+IF(Premissas!$B$8=0,0,MAX(W41-W44,0)/Premissas!$B$8))</f>
        <v>13606.365917948671</v>
      </c>
      <c r="X48" s="106">
        <f>MIN(X47,MAX(X40-X42-X45+X46,0)+IF(Premissas!$B$8=0,0,MAX(X41-X44,0)/Premissas!$B$8))</f>
        <v>161832.6456546046</v>
      </c>
      <c r="Y48" s="106">
        <f>MIN(Y47,MAX(Y40-Y42-Y45+Y46,0)+IF(Premissas!$B$8=0,0,MAX(Y41-Y44,0)/Premissas!$B$8))</f>
        <v>105481.04649024378</v>
      </c>
      <c r="Z48" s="106">
        <f>MIN(Z47,MAX(Z40-Z42-Z45+Z46,0)+IF(Premissas!$B$8=0,0,MAX(Z41-Z44,0)/Premissas!$B$8))</f>
        <v>29973.515790372134</v>
      </c>
      <c r="AA48" s="106">
        <f>MIN(AA47,MAX(AA40-AA42-AA45+AA46,0)+IF(Premissas!$B$8=0,0,MAX(AA41-AA44,0)/Premissas!$B$8))</f>
        <v>45249.996571017167</v>
      </c>
    </row>
    <row r="49" spans="1:27" ht="13.5" customHeight="1" x14ac:dyDescent="0.35">
      <c r="A49" s="40" t="s">
        <v>303</v>
      </c>
      <c r="B49" s="42">
        <f>AA49</f>
        <v>347056.54985246802</v>
      </c>
      <c r="C49" s="106" t="s">
        <v>104</v>
      </c>
      <c r="D49" s="123">
        <f t="shared" ref="D49:AA49" si="19">MAX(D47-D48,0)+D46+MAX(D45-MAX(D40-D42,0),0)+MAX(D42-D40,0)</f>
        <v>832866.40081074066</v>
      </c>
      <c r="E49" s="123">
        <f t="shared" si="19"/>
        <v>625562.35216333496</v>
      </c>
      <c r="F49" s="123">
        <f t="shared" si="19"/>
        <v>540442.6545955569</v>
      </c>
      <c r="G49" s="123">
        <f t="shared" si="19"/>
        <v>630063.46770277794</v>
      </c>
      <c r="H49" s="123">
        <f t="shared" si="19"/>
        <v>723229.86923153955</v>
      </c>
      <c r="I49" s="123">
        <f t="shared" si="19"/>
        <v>830949.11076030124</v>
      </c>
      <c r="J49" s="123">
        <f t="shared" si="19"/>
        <v>946687.29228906287</v>
      </c>
      <c r="K49" s="123">
        <f t="shared" si="19"/>
        <v>976942.15028906288</v>
      </c>
      <c r="L49" s="123">
        <f t="shared" si="19"/>
        <v>795293.96491832146</v>
      </c>
      <c r="M49" s="123">
        <f t="shared" si="19"/>
        <v>667084.47107040766</v>
      </c>
      <c r="N49" s="123">
        <f t="shared" si="19"/>
        <v>631151.13729641715</v>
      </c>
      <c r="O49" s="123">
        <f t="shared" si="19"/>
        <v>580090.77172136831</v>
      </c>
      <c r="P49" s="123">
        <f t="shared" si="19"/>
        <v>416739.40456691675</v>
      </c>
      <c r="Q49" s="123">
        <f t="shared" si="19"/>
        <v>202659.15616356884</v>
      </c>
      <c r="R49" s="123">
        <f t="shared" si="19"/>
        <v>113809.49692414103</v>
      </c>
      <c r="S49" s="123">
        <f t="shared" si="19"/>
        <v>202601.23484476248</v>
      </c>
      <c r="T49" s="123">
        <f t="shared" si="19"/>
        <v>317849.57682416134</v>
      </c>
      <c r="U49" s="123">
        <f t="shared" si="19"/>
        <v>446925.93223248469</v>
      </c>
      <c r="V49" s="123">
        <f t="shared" si="19"/>
        <v>582928.66804384277</v>
      </c>
      <c r="W49" s="123">
        <f t="shared" si="19"/>
        <v>657658.57669014321</v>
      </c>
      <c r="X49" s="123">
        <f t="shared" si="19"/>
        <v>495825.93103553861</v>
      </c>
      <c r="Y49" s="123">
        <f t="shared" si="19"/>
        <v>390344.8845452948</v>
      </c>
      <c r="Z49" s="123">
        <f t="shared" si="19"/>
        <v>377443.43793119898</v>
      </c>
      <c r="AA49" s="123">
        <f t="shared" si="19"/>
        <v>347056.54985246802</v>
      </c>
    </row>
    <row r="50" spans="1:27" ht="12.75" customHeight="1" x14ac:dyDescent="0.35">
      <c r="A50" s="113" t="s">
        <v>304</v>
      </c>
      <c r="B50" s="114">
        <f>AA50</f>
        <v>362827.64095281879</v>
      </c>
      <c r="C50" s="106" t="s">
        <v>104</v>
      </c>
      <c r="D50" s="114">
        <f>Premissas!$B$28</f>
        <v>991029</v>
      </c>
      <c r="E50" s="114">
        <f t="shared" ref="E50:AA50" si="20">D52</f>
        <v>832866.40081074066</v>
      </c>
      <c r="F50" s="114">
        <f t="shared" si="20"/>
        <v>625562.35216333496</v>
      </c>
      <c r="G50" s="114">
        <f t="shared" si="20"/>
        <v>540442.6545955569</v>
      </c>
      <c r="H50" s="114">
        <f t="shared" si="20"/>
        <v>630063.46770277794</v>
      </c>
      <c r="I50" s="114">
        <f t="shared" si="20"/>
        <v>723229.86923153955</v>
      </c>
      <c r="J50" s="114">
        <f t="shared" si="20"/>
        <v>830949.11076030124</v>
      </c>
      <c r="K50" s="114">
        <f t="shared" si="20"/>
        <v>946687.29228906287</v>
      </c>
      <c r="L50" s="114">
        <f t="shared" si="20"/>
        <v>1013102.8956706228</v>
      </c>
      <c r="M50" s="114">
        <f t="shared" si="20"/>
        <v>831454.71029988141</v>
      </c>
      <c r="N50" s="114">
        <f t="shared" si="20"/>
        <v>703245.2164519676</v>
      </c>
      <c r="O50" s="114">
        <f t="shared" si="20"/>
        <v>699495.77260723966</v>
      </c>
      <c r="P50" s="114">
        <f t="shared" si="20"/>
        <v>677977.19703131344</v>
      </c>
      <c r="Q50" s="114">
        <f t="shared" si="20"/>
        <v>514125.6472623226</v>
      </c>
      <c r="R50" s="114">
        <f t="shared" si="20"/>
        <v>299518.91419873177</v>
      </c>
      <c r="S50" s="114">
        <f t="shared" si="20"/>
        <v>210037.23939175933</v>
      </c>
      <c r="T50" s="114">
        <f t="shared" si="20"/>
        <v>298235.93072666088</v>
      </c>
      <c r="U50" s="114">
        <f t="shared" si="20"/>
        <v>390013.22809364158</v>
      </c>
      <c r="V50" s="114">
        <f t="shared" si="20"/>
        <v>496395.31426062225</v>
      </c>
      <c r="W50" s="114">
        <f t="shared" si="20"/>
        <v>610848.74772760295</v>
      </c>
      <c r="X50" s="114">
        <f t="shared" si="20"/>
        <v>676947.49696870183</v>
      </c>
      <c r="Y50" s="114">
        <f t="shared" si="20"/>
        <v>495299.31159796048</v>
      </c>
      <c r="Z50" s="114">
        <f t="shared" si="20"/>
        <v>367089.81775004673</v>
      </c>
      <c r="AA50" s="114">
        <f t="shared" si="20"/>
        <v>362827.64095281879</v>
      </c>
    </row>
    <row r="51" spans="1:27" ht="12.75" customHeight="1" x14ac:dyDescent="0.35">
      <c r="A51" s="113" t="s">
        <v>305</v>
      </c>
      <c r="B51" s="106">
        <f>SUM(D51:AA51)</f>
        <v>1652083.1238568986</v>
      </c>
      <c r="C51" s="114">
        <f>B51/24</f>
        <v>68836.796827370781</v>
      </c>
      <c r="D51" s="106">
        <f>MIN(D50,MAX(D40-D42-D46,0)+IF(Premissas!$B$8=0,0,MAX(D41-D44-(IF(Premissas!$B$8&gt;0,MAX(D42-D40,0)*Premissas!$B$8,0)),0)/Premissas!$B$8))</f>
        <v>158162.59918925934</v>
      </c>
      <c r="E51" s="106">
        <f>MIN(E50,MAX(E40-E42-E46,0)+IF(Premissas!$B$8=0,0,MAX(E41-E44-(IF(Premissas!$B$8&gt;0,MAX(E42-E40,0)*Premissas!$B$8,0)),0)/Premissas!$B$8))</f>
        <v>207304.04864740567</v>
      </c>
      <c r="F51" s="106">
        <f>MIN(F50,MAX(F40-F42-F46,0)+IF(Premissas!$B$8=0,0,MAX(F41-F44-(IF(Premissas!$B$8&gt;0,MAX(F42-F40,0)*Premissas!$B$8,0)),0)/Premissas!$B$8))</f>
        <v>85119.697567778028</v>
      </c>
      <c r="G51" s="106">
        <f>MIN(G50,MAX(G40-G42-G46,0)+IF(Premissas!$B$8=0,0,MAX(G41-G44-(IF(Premissas!$B$8&gt;0,MAX(G42-G40,0)*Premissas!$B$8,0)),0)/Premissas!$B$8))</f>
        <v>0</v>
      </c>
      <c r="H51" s="106">
        <f>MIN(H50,MAX(H40-H42-H46,0)+IF(Premissas!$B$8=0,0,MAX(H41-H44-(IF(Premissas!$B$8&gt;0,MAX(H42-H40,0)*Premissas!$B$8,0)),0)/Premissas!$B$8))</f>
        <v>0</v>
      </c>
      <c r="I51" s="106">
        <f>MIN(I50,MAX(I40-I42-I46,0)+IF(Premissas!$B$8=0,0,MAX(I41-I44-(IF(Premissas!$B$8&gt;0,MAX(I42-I40,0)*Premissas!$B$8,0)),0)/Premissas!$B$8))</f>
        <v>0</v>
      </c>
      <c r="J51" s="106">
        <f>MIN(J50,MAX(J40-J42-J46,0)+IF(Premissas!$B$8=0,0,MAX(J41-J44-(IF(Premissas!$B$8&gt;0,MAX(J42-J40,0)*Premissas!$B$8,0)),0)/Premissas!$B$8))</f>
        <v>0</v>
      </c>
      <c r="K51" s="106">
        <f>MIN(K50,MAX(K40-K42-K46,0)+IF(Premissas!$B$8=0,0,MAX(K41-K44-(IF(Premissas!$B$8&gt;0,MAX(K42-K40,0)*Premissas!$B$8,0)),0)/Premissas!$B$8))</f>
        <v>0</v>
      </c>
      <c r="L51" s="106">
        <f>MIN(L50,MAX(L40-L42-L46,0)+IF(Premissas!$B$8=0,0,MAX(L41-L44-(IF(Premissas!$B$8&gt;0,MAX(L42-L40,0)*Premissas!$B$8,0)),0)/Premissas!$B$8))</f>
        <v>181648.18537074135</v>
      </c>
      <c r="M51" s="106">
        <f>MIN(M50,MAX(M40-M42-M46,0)+IF(Premissas!$B$8=0,0,MAX(M41-M44-(IF(Premissas!$B$8&gt;0,MAX(M42-M40,0)*Premissas!$B$8,0)),0)/Premissas!$B$8))</f>
        <v>128209.49384791378</v>
      </c>
      <c r="N51" s="106">
        <f>MIN(N50,MAX(N40-N42-N46,0)+IF(Premissas!$B$8=0,0,MAX(N41-N44-(IF(Premissas!$B$8&gt;0,MAX(N42-N40,0)*Premissas!$B$8,0)),0)/Premissas!$B$8))</f>
        <v>20135.834563333061</v>
      </c>
      <c r="O51" s="106">
        <f>MIN(O50,MAX(O40-O42-O46,0)+IF(Premissas!$B$8=0,0,MAX(O41-O44-(IF(Premissas!$B$8&gt;0,MAX(O42-O40,0)*Premissas!$B$8,0)),0)/Premissas!$B$8))</f>
        <v>36565.036946962478</v>
      </c>
      <c r="P51" s="106">
        <f>MIN(P50,MAX(P40-P42-P46,0)+IF(Premissas!$B$8=0,0,MAX(P41-P44-(IF(Premissas!$B$8&gt;0,MAX(P42-P40,0)*Premissas!$B$8,0)),0)/Premissas!$B$8))</f>
        <v>163851.54976899081</v>
      </c>
      <c r="Q51" s="106">
        <f>MIN(Q50,MAX(Q40-Q42-Q46,0)+IF(Premissas!$B$8=0,0,MAX(Q41-Q44-(IF(Premissas!$B$8&gt;0,MAX(Q42-Q40,0)*Premissas!$B$8,0)),0)/Premissas!$B$8))</f>
        <v>214606.73306359083</v>
      </c>
      <c r="R51" s="106">
        <f>MIN(R50,MAX(R40-R42-R46,0)+IF(Premissas!$B$8=0,0,MAX(R41-R44-(IF(Premissas!$B$8&gt;0,MAX(R42-R40,0)*Premissas!$B$8,0)),0)/Premissas!$B$8))</f>
        <v>89481.674806972456</v>
      </c>
      <c r="S51" s="106">
        <f>MIN(S50,MAX(S40-S42-S46,0)+IF(Premissas!$B$8=0,0,MAX(S41-S44-(IF(Premissas!$B$8&gt;0,MAX(S42-S40,0)*Premissas!$B$8,0)),0)/Premissas!$B$8))</f>
        <v>0</v>
      </c>
      <c r="T51" s="106">
        <f>MIN(T50,MAX(T40-T42-T46,0)+IF(Premissas!$B$8=0,0,MAX(T41-T44-(IF(Premissas!$B$8&gt;0,MAX(T42-T40,0)*Premissas!$B$8,0)),0)/Premissas!$B$8))</f>
        <v>0</v>
      </c>
      <c r="U51" s="106">
        <f>MIN(U50,MAX(U40-U42-U46,0)+IF(Premissas!$B$8=0,0,MAX(U41-U44-(IF(Premissas!$B$8&gt;0,MAX(U42-U40,0)*Premissas!$B$8,0)),0)/Premissas!$B$8))</f>
        <v>0</v>
      </c>
      <c r="V51" s="106">
        <f>MIN(V50,MAX(V40-V42-V46,0)+IF(Premissas!$B$8=0,0,MAX(V41-V44-(IF(Premissas!$B$8&gt;0,MAX(V42-V40,0)*Premissas!$B$8,0)),0)/Premissas!$B$8))</f>
        <v>0</v>
      </c>
      <c r="W51" s="106">
        <f>MIN(W50,MAX(W40-W42-W46,0)+IF(Premissas!$B$8=0,0,MAX(W41-W44-(IF(Premissas!$B$8&gt;0,MAX(W42-W40,0)*Premissas!$B$8,0)),0)/Premissas!$B$8))</f>
        <v>0</v>
      </c>
      <c r="X51" s="106">
        <f>MIN(X50,MAX(X40-X42-X46,0)+IF(Premissas!$B$8=0,0,MAX(X41-X44-(IF(Premissas!$B$8&gt;0,MAX(X42-X40,0)*Premissas!$B$8,0)),0)/Premissas!$B$8))</f>
        <v>181648.18537074135</v>
      </c>
      <c r="Y51" s="106">
        <f>MIN(Y50,MAX(Y40-Y42-Y46,0)+IF(Premissas!$B$8=0,0,MAX(Y41-Y44-(IF(Premissas!$B$8&gt;0,MAX(Y42-Y40,0)*Premissas!$B$8,0)),0)/Premissas!$B$8))</f>
        <v>128209.49384791378</v>
      </c>
      <c r="Z51" s="106">
        <f>MIN(Z50,MAX(Z40-Z42-Z46,0)+IF(Premissas!$B$8=0,0,MAX(Z41-Z44-(IF(Premissas!$B$8&gt;0,MAX(Z42-Z40,0)*Premissas!$B$8,0)),0)/Premissas!$B$8))</f>
        <v>20392.201039583058</v>
      </c>
      <c r="AA51" s="106">
        <f>MIN(AA50,MAX(AA40-AA42-AA46,0)+IF(Premissas!$B$8=0,0,MAX(AA41-AA44-(IF(Premissas!$B$8&gt;0,MAX(AA42-AA40,0)*Premissas!$B$8,0)),0)/Premissas!$B$8))</f>
        <v>36748.389825712482</v>
      </c>
    </row>
    <row r="52" spans="1:27" ht="12.75" customHeight="1" x14ac:dyDescent="0.35">
      <c r="A52" s="113" t="s">
        <v>306</v>
      </c>
      <c r="B52" s="124">
        <f>AA52</f>
        <v>340942.35961939255</v>
      </c>
      <c r="C52" s="114" t="s">
        <v>104</v>
      </c>
      <c r="D52" s="124">
        <f t="shared" ref="D52:AA52" si="21">MAX(D50-D51,0)+D46+MAX(D42-D40,0)</f>
        <v>832866.40081074066</v>
      </c>
      <c r="E52" s="124">
        <f t="shared" si="21"/>
        <v>625562.35216333496</v>
      </c>
      <c r="F52" s="124">
        <f t="shared" si="21"/>
        <v>540442.6545955569</v>
      </c>
      <c r="G52" s="124">
        <f t="shared" si="21"/>
        <v>630063.46770277794</v>
      </c>
      <c r="H52" s="124">
        <f t="shared" si="21"/>
        <v>723229.86923153955</v>
      </c>
      <c r="I52" s="124">
        <f t="shared" si="21"/>
        <v>830949.11076030124</v>
      </c>
      <c r="J52" s="124">
        <f t="shared" si="21"/>
        <v>946687.29228906287</v>
      </c>
      <c r="K52" s="124">
        <f t="shared" si="21"/>
        <v>1013102.8956706228</v>
      </c>
      <c r="L52" s="124">
        <f t="shared" si="21"/>
        <v>831454.71029988141</v>
      </c>
      <c r="M52" s="124">
        <f t="shared" si="21"/>
        <v>703245.2164519676</v>
      </c>
      <c r="N52" s="124">
        <f t="shared" si="21"/>
        <v>699495.77260723966</v>
      </c>
      <c r="O52" s="124">
        <f t="shared" si="21"/>
        <v>677977.19703131344</v>
      </c>
      <c r="P52" s="124">
        <f t="shared" si="21"/>
        <v>514125.6472623226</v>
      </c>
      <c r="Q52" s="124">
        <f t="shared" si="21"/>
        <v>299518.91419873177</v>
      </c>
      <c r="R52" s="124">
        <f t="shared" si="21"/>
        <v>210037.23939175933</v>
      </c>
      <c r="S52" s="124">
        <f t="shared" si="21"/>
        <v>298235.93072666088</v>
      </c>
      <c r="T52" s="124">
        <f t="shared" si="21"/>
        <v>390013.22809364158</v>
      </c>
      <c r="U52" s="124">
        <f t="shared" si="21"/>
        <v>496395.31426062225</v>
      </c>
      <c r="V52" s="124">
        <f t="shared" si="21"/>
        <v>610848.74772760295</v>
      </c>
      <c r="W52" s="124">
        <f t="shared" si="21"/>
        <v>676947.49696870183</v>
      </c>
      <c r="X52" s="124">
        <f t="shared" si="21"/>
        <v>495299.31159796048</v>
      </c>
      <c r="Y52" s="124">
        <f t="shared" si="21"/>
        <v>367089.81775004673</v>
      </c>
      <c r="Z52" s="124">
        <f t="shared" si="21"/>
        <v>362827.64095281879</v>
      </c>
      <c r="AA52" s="124">
        <f t="shared" si="21"/>
        <v>340942.35961939255</v>
      </c>
    </row>
    <row r="53" spans="1:27" ht="12.75" customHeight="1" x14ac:dyDescent="0.35">
      <c r="A53" s="125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53" s="126">
        <f>SUM(D53:AA53)</f>
        <v>0</v>
      </c>
      <c r="C53" s="127">
        <f>B53/24</f>
        <v>0</v>
      </c>
      <c r="D53" s="128">
        <f>IF(D52&gt;0,0,MAX(D40-D42-D46-D50,0)*Premissas!$B$5+MAX(D41-D44-(IF(Premissas!$B$8&gt;0,MAX(D42+D46+D50-D40,0)*Premissas!$B$8,0)),0)*Premissas!$B$6)</f>
        <v>0</v>
      </c>
      <c r="E53" s="128">
        <f>IF(E52&gt;0,0,MAX(E40-E42-E46-E50,0)*Premissas!$B$5+MAX(E41-E44-(IF(Premissas!$B$8&gt;0,MAX(E42+E46+E50-E40,0)*Premissas!$B$8,0)),0)*Premissas!$B$6)</f>
        <v>0</v>
      </c>
      <c r="F53" s="128">
        <f>IF(F52&gt;0,0,MAX(F40-F42-F46-F50,0)*Premissas!$B$5+MAX(F41-F44-(IF(Premissas!$B$8&gt;0,MAX(F42+F46+F50-F40,0)*Premissas!$B$8,0)),0)*Premissas!$B$6)</f>
        <v>0</v>
      </c>
      <c r="G53" s="128">
        <f>IF(G52&gt;0,0,MAX(G40-G42-G46-G50,0)*Premissas!$B$5+MAX(G41-G44-(IF(Premissas!$B$8&gt;0,MAX(G42+G46+G50-G40,0)*Premissas!$B$8,0)),0)*Premissas!$B$6)</f>
        <v>0</v>
      </c>
      <c r="H53" s="128">
        <f>IF(H52&gt;0,0,MAX(H40-H42-H46-H50,0)*Premissas!$B$5+MAX(H41-H44-(IF(Premissas!$B$8&gt;0,MAX(H42+H46+H50-H40,0)*Premissas!$B$8,0)),0)*Premissas!$B$6)</f>
        <v>0</v>
      </c>
      <c r="I53" s="128">
        <f>IF(I52&gt;0,0,MAX(I40-I42-I46-I50,0)*Premissas!$B$5+MAX(I41-I44-(IF(Premissas!$B$8&gt;0,MAX(I42+I46+I50-I40,0)*Premissas!$B$8,0)),0)*Premissas!$B$6)</f>
        <v>0</v>
      </c>
      <c r="J53" s="128">
        <f>IF(J52&gt;0,0,MAX(J40-J42-J46-J50,0)*Premissas!$B$5+MAX(J41-J44-(IF(Premissas!$B$8&gt;0,MAX(J42+J46+J50-J40,0)*Premissas!$B$8,0)),0)*Premissas!$B$6)</f>
        <v>0</v>
      </c>
      <c r="K53" s="128">
        <f>IF(K52&gt;0,0,MAX(K40-K42-K46-K50,0)*Premissas!$B$5+MAX(K41-K44-(IF(Premissas!$B$8&gt;0,MAX(K42+K46+K50-K40,0)*Premissas!$B$8,0)),0)*Premissas!$B$6)</f>
        <v>0</v>
      </c>
      <c r="L53" s="128">
        <f>IF(L52&gt;0,0,MAX(L40-L42-L46-L50,0)*Premissas!$B$5+MAX(L41-L44-(IF(Premissas!$B$8&gt;0,MAX(L42+L46+L50-L40,0)*Premissas!$B$8,0)),0)*Premissas!$B$6)</f>
        <v>0</v>
      </c>
      <c r="M53" s="128">
        <f>IF(M52&gt;0,0,MAX(M40-M42-M46-M50,0)*Premissas!$B$5+MAX(M41-M44-(IF(Premissas!$B$8&gt;0,MAX(M42+M46+M50-M40,0)*Premissas!$B$8,0)),0)*Premissas!$B$6)</f>
        <v>0</v>
      </c>
      <c r="N53" s="128">
        <f>IF(N52&gt;0,0,MAX(N40-N42-N46-N50,0)*Premissas!$B$5+MAX(N41-N44-(IF(Premissas!$B$8&gt;0,MAX(N42+N46+N50-N40,0)*Premissas!$B$8,0)),0)*Premissas!$B$6)</f>
        <v>0</v>
      </c>
      <c r="O53" s="128">
        <f>IF(O52&gt;0,0,MAX(O40-O42-O46-O50,0)*Premissas!$B$5+MAX(O41-O44-(IF(Premissas!$B$8&gt;0,MAX(O42+O46+O50-O40,0)*Premissas!$B$8,0)),0)*Premissas!$B$6)</f>
        <v>0</v>
      </c>
      <c r="P53" s="128">
        <f>IF(P52&gt;0,0,MAX(P40-P42-P46-P50,0)*Premissas!$B$5+MAX(P41-P44-(IF(Premissas!$B$8&gt;0,MAX(P42+P46+P50-P40,0)*Premissas!$B$8,0)),0)*Premissas!$B$6)</f>
        <v>0</v>
      </c>
      <c r="Q53" s="128">
        <f>IF(Q52&gt;0,0,MAX(Q40-Q42-Q46-Q50,0)*Premissas!$B$5+MAX(Q41-Q44-(IF(Premissas!$B$8&gt;0,MAX(Q42+Q46+Q50-Q40,0)*Premissas!$B$8,0)),0)*Premissas!$B$6)</f>
        <v>0</v>
      </c>
      <c r="R53" s="128">
        <f>IF(R52&gt;0,0,MAX(R40-R42-R46-R50,0)*Premissas!$B$5+MAX(R41-R44-(IF(Premissas!$B$8&gt;0,MAX(R42+R46+R50-R40,0)*Premissas!$B$8,0)),0)*Premissas!$B$6)</f>
        <v>0</v>
      </c>
      <c r="S53" s="128">
        <f>IF(S52&gt;0,0,MAX(S40-S42-S46-S50,0)*Premissas!$B$5+MAX(S41-S44-(IF(Premissas!$B$8&gt;0,MAX(S42+S46+S50-S40,0)*Premissas!$B$8,0)),0)*Premissas!$B$6)</f>
        <v>0</v>
      </c>
      <c r="T53" s="128">
        <f>IF(T52&gt;0,0,MAX(T40-T42-T46-T50,0)*Premissas!$B$5+MAX(T41-T44-(IF(Premissas!$B$8&gt;0,MAX(T42+T46+T50-T40,0)*Premissas!$B$8,0)),0)*Premissas!$B$6)</f>
        <v>0</v>
      </c>
      <c r="U53" s="128">
        <f>IF(U52&gt;0,0,MAX(U40-U42-U46-U50,0)*Premissas!$B$5+MAX(U41-U44-(IF(Premissas!$B$8&gt;0,MAX(U42+U46+U50-U40,0)*Premissas!$B$8,0)),0)*Premissas!$B$6)</f>
        <v>0</v>
      </c>
      <c r="V53" s="128">
        <f>IF(V52&gt;0,0,MAX(V40-V42-V46-V50,0)*Premissas!$B$5+MAX(V41-V44-(IF(Premissas!$B$8&gt;0,MAX(V42+V46+V50-V40,0)*Premissas!$B$8,0)),0)*Premissas!$B$6)</f>
        <v>0</v>
      </c>
      <c r="W53" s="128">
        <f>IF(W52&gt;0,0,MAX(W40-W42-W46-W50,0)*Premissas!$B$5+MAX(W41-W44-(IF(Premissas!$B$8&gt;0,MAX(W42+W46+W50-W40,0)*Premissas!$B$8,0)),0)*Premissas!$B$6)</f>
        <v>0</v>
      </c>
      <c r="X53" s="128">
        <f>IF(X52&gt;0,0,MAX(X40-X42-X46-X50,0)*Premissas!$B$5+MAX(X41-X44-(IF(Premissas!$B$8&gt;0,MAX(X42+X46+X50-X40,0)*Premissas!$B$8,0)),0)*Premissas!$B$6)</f>
        <v>0</v>
      </c>
      <c r="Y53" s="128">
        <f>IF(Y52&gt;0,0,MAX(Y40-Y42-Y46-Y50,0)*Premissas!$B$5+MAX(Y41-Y44-(IF(Premissas!$B$8&gt;0,MAX(Y42+Y46+Y50-Y40,0)*Premissas!$B$8,0)),0)*Premissas!$B$6)</f>
        <v>0</v>
      </c>
      <c r="Z53" s="128">
        <f>IF(Z52&gt;0,0,MAX(Z40-Z42-Z46-Z50,0)*Premissas!$B$5+MAX(Z41-Z44-(IF(Premissas!$B$8&gt;0,MAX(Z42+Z46+Z50-Z40,0)*Premissas!$B$8,0)),0)*Premissas!$B$6)</f>
        <v>0</v>
      </c>
      <c r="AA53" s="128">
        <f>IF(AA52&gt;0,0,MAX(AA40-AA42-AA46-AA50,0)*Premissas!$B$5+MAX(AA41-AA44-(IF(Premissas!$B$8&gt;0,MAX(AA42+AA46+AA50-AA40,0)*Premissas!$B$8,0)),0)*Premissas!$B$6)</f>
        <v>0</v>
      </c>
    </row>
    <row r="54" spans="1:27" ht="12.75" customHeight="1" x14ac:dyDescent="0.35">
      <c r="A54" s="129" t="s">
        <v>307</v>
      </c>
      <c r="B54" s="130">
        <f>SUM(D54:AA54)</f>
        <v>0</v>
      </c>
      <c r="C54" s="110">
        <f>B54/24</f>
        <v>0</v>
      </c>
      <c r="D54" s="130">
        <f>IF(D49&gt;0,0,MAX(D40-D42-D45+D46-D47,0)*Premissas!$B$5+MAX(D41-D44-(IF(Premissas!$B$8&gt;0,MAX(D42+D45+D46+D47-D40,0)*Premissas!$B$8,0)),0)*Premissas!$B$6)</f>
        <v>0</v>
      </c>
      <c r="E54" s="130">
        <f>IF(E49&gt;0,0,MAX(E40-E42-E45+E46-E47,0)*Premissas!$B$5+MAX(E41-E44-(IF(Premissas!$B$8&gt;0,MAX(E42+E45+E46+E47-E40,0)*Premissas!$B$8,0)),0)*Premissas!$B$6)</f>
        <v>0</v>
      </c>
      <c r="F54" s="130">
        <f>IF(F49&gt;0,0,MAX(F40-F42-F45+F46-F47,0)*Premissas!$B$5+MAX(F41-F44-(IF(Premissas!$B$8&gt;0,MAX(F42+F45+F46+F47-F40,0)*Premissas!$B$8,0)),0)*Premissas!$B$6)</f>
        <v>0</v>
      </c>
      <c r="G54" s="130">
        <f>IF(G49&gt;0,0,MAX(G40-G42-G45+G46-G47,0)*Premissas!$B$5+MAX(G41-G44-(IF(Premissas!$B$8&gt;0,MAX(G42+G45+G46+G47-G40,0)*Premissas!$B$8,0)),0)*Premissas!$B$6)</f>
        <v>0</v>
      </c>
      <c r="H54" s="130">
        <f>IF(H49&gt;0,0,MAX(H40-H42-H45+H46-H47,0)*Premissas!$B$5+MAX(H41-H44-(IF(Premissas!$B$8&gt;0,MAX(H42+H45+H46+H47-H40,0)*Premissas!$B$8,0)),0)*Premissas!$B$6)</f>
        <v>0</v>
      </c>
      <c r="I54" s="130">
        <f>IF(I49&gt;0,0,MAX(I40-I42-I45+I46-I47,0)*Premissas!$B$5+MAX(I41-I44-(IF(Premissas!$B$8&gt;0,MAX(I42+I45+I46+I47-I40,0)*Premissas!$B$8,0)),0)*Premissas!$B$6)</f>
        <v>0</v>
      </c>
      <c r="J54" s="130">
        <f>IF(J49&gt;0,0,MAX(J40-J42-J45+J46-J47,0)*Premissas!$B$5+MAX(J41-J44-(IF(Premissas!$B$8&gt;0,MAX(J42+J45+J46+J47-J40,0)*Premissas!$B$8,0)),0)*Premissas!$B$6)</f>
        <v>0</v>
      </c>
      <c r="K54" s="130">
        <f>IF(K49&gt;0,0,MAX(K40-K42-K45+K46-K47,0)*Premissas!$B$5+MAX(K41-K44-(IF(Premissas!$B$8&gt;0,MAX(K42+K45+K46+K47-K40,0)*Premissas!$B$8,0)),0)*Premissas!$B$6)</f>
        <v>0</v>
      </c>
      <c r="L54" s="130">
        <f>IF(L49&gt;0,0,MAX(L40-L42-L45+L46-L47,0)*Premissas!$B$5+MAX(L41-L44-(IF(Premissas!$B$8&gt;0,MAX(L42+L45+L46+L47-L40,0)*Premissas!$B$8,0)),0)*Premissas!$B$6)</f>
        <v>0</v>
      </c>
      <c r="M54" s="130">
        <f>IF(M49&gt;0,0,MAX(M40-M42-M45+M46-M47,0)*Premissas!$B$5+MAX(M41-M44-(IF(Premissas!$B$8&gt;0,MAX(M42+M45+M46+M47-M40,0)*Premissas!$B$8,0)),0)*Premissas!$B$6)</f>
        <v>0</v>
      </c>
      <c r="N54" s="130">
        <f>IF(N49&gt;0,0,MAX(N40-N42-N45+N46-N47,0)*Premissas!$B$5+MAX(N41-N44-(IF(Premissas!$B$8&gt;0,MAX(N42+N45+N46+N47-N40,0)*Premissas!$B$8,0)),0)*Premissas!$B$6)</f>
        <v>0</v>
      </c>
      <c r="O54" s="130">
        <f>IF(O49&gt;0,0,MAX(O40-O42-O45+O46-O47,0)*Premissas!$B$5+MAX(O41-O44-(IF(Premissas!$B$8&gt;0,MAX(O42+O45+O46+O47-O40,0)*Premissas!$B$8,0)),0)*Premissas!$B$6)</f>
        <v>0</v>
      </c>
      <c r="P54" s="130">
        <f>IF(P49&gt;0,0,MAX(P40-P42-P45+P46-P47,0)*Premissas!$B$5+MAX(P41-P44-(IF(Premissas!$B$8&gt;0,MAX(P42+P45+P46+P47-P40,0)*Premissas!$B$8,0)),0)*Premissas!$B$6)</f>
        <v>0</v>
      </c>
      <c r="Q54" s="130">
        <f>IF(Q49&gt;0,0,MAX(Q40-Q42-Q45+Q46-Q47,0)*Premissas!$B$5+MAX(Q41-Q44-(IF(Premissas!$B$8&gt;0,MAX(Q42+Q45+Q46+Q47-Q40,0)*Premissas!$B$8,0)),0)*Premissas!$B$6)</f>
        <v>0</v>
      </c>
      <c r="R54" s="130">
        <f>IF(R49&gt;0,0,MAX(R40-R42-R45+R46-R47,0)*Premissas!$B$5+MAX(R41-R44-(IF(Premissas!$B$8&gt;0,MAX(R42+R45+R46+R47-R40,0)*Premissas!$B$8,0)),0)*Premissas!$B$6)</f>
        <v>0</v>
      </c>
      <c r="S54" s="130">
        <f>IF(S49&gt;0,0,MAX(S40-S42-S45+S46-S47,0)*Premissas!$B$5+MAX(S41-S44-(IF(Premissas!$B$8&gt;0,MAX(S42+S45+S46+S47-S40,0)*Premissas!$B$8,0)),0)*Premissas!$B$6)</f>
        <v>0</v>
      </c>
      <c r="T54" s="130">
        <f>IF(T49&gt;0,0,MAX(T40-T42-T45+T46-T47,0)*Premissas!$B$5+MAX(T41-T44-(IF(Premissas!$B$8&gt;0,MAX(T42+T45+T46+T47-T40,0)*Premissas!$B$8,0)),0)*Premissas!$B$6)</f>
        <v>0</v>
      </c>
      <c r="U54" s="130">
        <f>IF(U49&gt;0,0,MAX(U40-U42-U45+U46-U47,0)*Premissas!$B$5+MAX(U41-U44-(IF(Premissas!$B$8&gt;0,MAX(U42+U45+U46+U47-U40,0)*Premissas!$B$8,0)),0)*Premissas!$B$6)</f>
        <v>0</v>
      </c>
      <c r="V54" s="130">
        <f>IF(V49&gt;0,0,MAX(V40-V42-V45+V46-V47,0)*Premissas!$B$5+MAX(V41-V44-(IF(Premissas!$B$8&gt;0,MAX(V42+V45+V46+V47-V40,0)*Premissas!$B$8,0)),0)*Premissas!$B$6)</f>
        <v>0</v>
      </c>
      <c r="W54" s="130">
        <f>IF(W49&gt;0,0,MAX(W40-W42-W45+W46-W47,0)*Premissas!$B$5+MAX(W41-W44-(IF(Premissas!$B$8&gt;0,MAX(W42+W45+W46+W47-W40,0)*Premissas!$B$8,0)),0)*Premissas!$B$6)</f>
        <v>0</v>
      </c>
      <c r="X54" s="130">
        <f>IF(X49&gt;0,0,MAX(X40-X42-X45+X46-X47,0)*Premissas!$B$5+MAX(X41-X44-(IF(Premissas!$B$8&gt;0,MAX(X42+X45+X46+X47-X40,0)*Premissas!$B$8,0)),0)*Premissas!$B$6)</f>
        <v>0</v>
      </c>
      <c r="Y54" s="130">
        <f>IF(Y49&gt;0,0,MAX(Y40-Y42-Y45+Y46-Y47,0)*Premissas!$B$5+MAX(Y41-Y44-(IF(Premissas!$B$8&gt;0,MAX(Y42+Y45+Y46+Y47-Y40,0)*Premissas!$B$8,0)),0)*Premissas!$B$6)</f>
        <v>0</v>
      </c>
      <c r="Z54" s="130">
        <f>IF(Z49&gt;0,0,MAX(Z40-Z42-Z45+Z46-Z47,0)*Premissas!$B$5+MAX(Z41-Z44-(IF(Premissas!$B$8&gt;0,MAX(Z42+Z45+Z46+Z47-Z40,0)*Premissas!$B$8,0)),0)*Premissas!$B$6)</f>
        <v>0</v>
      </c>
      <c r="AA54" s="130">
        <f>IF(AA49&gt;0,0,MAX(AA40-AA42-AA45+AA46-AA47,0)*Premissas!$B$5+MAX(AA41-AA44-(IF(Premissas!$B$8&gt;0,MAX(AA42+AA45+AA46+AA47-AA40,0)*Premissas!$B$8,0)),0)*Premissas!$B$6)</f>
        <v>0</v>
      </c>
    </row>
    <row r="55" spans="1:27" ht="13.5" customHeight="1" x14ac:dyDescent="0.35">
      <c r="A55" s="40" t="s">
        <v>308</v>
      </c>
      <c r="B55" s="43">
        <f>SUM(D55:AA55)</f>
        <v>0</v>
      </c>
      <c r="C55" s="110">
        <f>B55/24</f>
        <v>0</v>
      </c>
      <c r="D55" s="131">
        <f t="shared" ref="D55:AA55" si="22">MAX(D53-D54,0)</f>
        <v>0</v>
      </c>
      <c r="E55" s="131">
        <f t="shared" si="22"/>
        <v>0</v>
      </c>
      <c r="F55" s="131">
        <f t="shared" si="22"/>
        <v>0</v>
      </c>
      <c r="G55" s="131">
        <f t="shared" si="22"/>
        <v>0</v>
      </c>
      <c r="H55" s="131">
        <f t="shared" si="22"/>
        <v>0</v>
      </c>
      <c r="I55" s="131">
        <f t="shared" si="22"/>
        <v>0</v>
      </c>
      <c r="J55" s="131">
        <f t="shared" si="22"/>
        <v>0</v>
      </c>
      <c r="K55" s="131">
        <f t="shared" si="22"/>
        <v>0</v>
      </c>
      <c r="L55" s="131">
        <f t="shared" si="22"/>
        <v>0</v>
      </c>
      <c r="M55" s="131">
        <f t="shared" si="22"/>
        <v>0</v>
      </c>
      <c r="N55" s="131">
        <f t="shared" si="22"/>
        <v>0</v>
      </c>
      <c r="O55" s="131">
        <f t="shared" si="22"/>
        <v>0</v>
      </c>
      <c r="P55" s="131">
        <f t="shared" si="22"/>
        <v>0</v>
      </c>
      <c r="Q55" s="131">
        <f t="shared" si="22"/>
        <v>0</v>
      </c>
      <c r="R55" s="131">
        <f t="shared" si="22"/>
        <v>0</v>
      </c>
      <c r="S55" s="131">
        <f t="shared" si="22"/>
        <v>0</v>
      </c>
      <c r="T55" s="131">
        <f t="shared" si="22"/>
        <v>0</v>
      </c>
      <c r="U55" s="131">
        <f t="shared" si="22"/>
        <v>0</v>
      </c>
      <c r="V55" s="131">
        <f t="shared" si="22"/>
        <v>0</v>
      </c>
      <c r="W55" s="131">
        <f t="shared" si="22"/>
        <v>0</v>
      </c>
      <c r="X55" s="131">
        <f t="shared" si="22"/>
        <v>0</v>
      </c>
      <c r="Y55" s="131">
        <f t="shared" si="22"/>
        <v>0</v>
      </c>
      <c r="Z55" s="131">
        <f t="shared" si="22"/>
        <v>0</v>
      </c>
      <c r="AA55" s="131">
        <f t="shared" si="22"/>
        <v>0</v>
      </c>
    </row>
    <row r="57" spans="1:27" ht="15" customHeight="1" x14ac:dyDescent="0.35">
      <c r="A57" s="229" t="s">
        <v>311</v>
      </c>
      <c r="B57" s="229"/>
      <c r="C57" s="229"/>
      <c r="D57" s="229"/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</row>
    <row r="58" spans="1:27" ht="12.75" customHeight="1" x14ac:dyDescent="0.35">
      <c r="A58" s="132" t="s">
        <v>295</v>
      </c>
      <c r="B58" s="133">
        <f>SUM(D58:AA58)</f>
        <v>111161.61250000002</v>
      </c>
      <c r="C58" s="106">
        <f>B58/24</f>
        <v>4631.7338541666677</v>
      </c>
      <c r="D58" s="133">
        <v>3657.4</v>
      </c>
      <c r="E58" s="133">
        <v>3450.6</v>
      </c>
      <c r="F58" s="133">
        <v>3408.8</v>
      </c>
      <c r="G58" s="133">
        <v>4205</v>
      </c>
      <c r="H58" s="133">
        <v>5428</v>
      </c>
      <c r="I58" s="133">
        <v>6374</v>
      </c>
      <c r="J58" s="133">
        <v>6073.1</v>
      </c>
      <c r="K58" s="133">
        <f>4121.3*(1+Premissas!$B$21)</f>
        <v>4224.3324999999995</v>
      </c>
      <c r="L58" s="133">
        <f>4332.7*(1+Premissas!$B$21)</f>
        <v>4441.017499999999</v>
      </c>
      <c r="M58" s="133">
        <f>5075.6*(1+Premissas!$B$21)</f>
        <v>5202.49</v>
      </c>
      <c r="N58" s="133">
        <f>4416*(1+Premissas!$B$21)</f>
        <v>4526.3999999999996</v>
      </c>
      <c r="O58" s="133">
        <f>4080.2*(1+Premissas!$B$21)</f>
        <v>4182.204999999999</v>
      </c>
      <c r="P58" s="133">
        <f>3657.4*(1+Premissas!$B$21)</f>
        <v>3748.8349999999996</v>
      </c>
      <c r="Q58" s="133">
        <f>3450.6*(1+Premissas!$B$21)</f>
        <v>3536.8649999999998</v>
      </c>
      <c r="R58" s="133">
        <f>3408.8*(1+Premissas!$B$21)</f>
        <v>3494.02</v>
      </c>
      <c r="S58" s="133">
        <f>4205*(1+Premissas!$B$21)</f>
        <v>4310.125</v>
      </c>
      <c r="T58" s="133">
        <f>5428*(1+Premissas!$B$21)</f>
        <v>5563.7</v>
      </c>
      <c r="U58" s="133">
        <f>6374*(1+Premissas!$B$21)</f>
        <v>6533.3499999999995</v>
      </c>
      <c r="V58" s="133">
        <f>6073.1*(1+Premissas!$B$21)</f>
        <v>6224.9274999999998</v>
      </c>
      <c r="W58" s="133">
        <f>4121.3*(1+Premissas!$B$21)</f>
        <v>4224.3324999999995</v>
      </c>
      <c r="X58" s="133">
        <f>4332.7*(1+Premissas!$B$21)</f>
        <v>4441.017499999999</v>
      </c>
      <c r="Y58" s="133">
        <f>5075.6*(1+Premissas!$B$21)</f>
        <v>5202.49</v>
      </c>
      <c r="Z58" s="133">
        <f>4416*(1+Premissas!$B$21)</f>
        <v>4526.3999999999996</v>
      </c>
      <c r="AA58" s="133">
        <f>4080.2*(1+Premissas!$B$21)</f>
        <v>4182.204999999999</v>
      </c>
    </row>
    <row r="59" spans="1:27" ht="12.75" customHeight="1" x14ac:dyDescent="0.35">
      <c r="A59" s="108" t="str">
        <f>"  "&amp;INDEX(PVSYST_Helexia!$A$5:$A$7,MATCH(Premissas!$B$13,PVSYST_Helexia!$B$5:$B$7,0))&amp;" créditos recebidos (kWh)"</f>
        <v xml:space="preserve">  HCS03 créditos recebidos (kWh)</v>
      </c>
      <c r="B59" s="121">
        <f>SUM(D59:AA59)</f>
        <v>158661.60617803351</v>
      </c>
      <c r="C59" s="106">
        <f>B59/24</f>
        <v>6610.9002574180631</v>
      </c>
      <c r="D59" s="122">
        <f>D6*Premissas!$B$36</f>
        <v>3108.649964692107</v>
      </c>
      <c r="E59" s="122">
        <f>E6*Premissas!$B$36</f>
        <v>3272.1179683197583</v>
      </c>
      <c r="F59" s="122">
        <f>F6*Premissas!$B$36</f>
        <v>3927.9957252061654</v>
      </c>
      <c r="G59" s="122">
        <f>G6*Premissas!$B$36</f>
        <v>3685.8023333283868</v>
      </c>
      <c r="H59" s="122">
        <f>H6*Premissas!$C$36</f>
        <v>7922.3583771485864</v>
      </c>
      <c r="I59" s="122">
        <f>I6*Premissas!$C$36</f>
        <v>7660.1675386144134</v>
      </c>
      <c r="J59" s="122">
        <f>J6*Premissas!$C$36</f>
        <v>7273.6982426150416</v>
      </c>
      <c r="K59" s="122">
        <f>K6*Premissas!$C$36</f>
        <v>7468.4693289285369</v>
      </c>
      <c r="L59" s="122">
        <f>L6*Premissas!$C$36</f>
        <v>6655.0458495517323</v>
      </c>
      <c r="M59" s="122">
        <f>M6*Premissas!$C$36</f>
        <v>7633.3454158323675</v>
      </c>
      <c r="N59" s="122">
        <f>N6*Premissas!$D$36</f>
        <v>4475.2523439113957</v>
      </c>
      <c r="O59" s="122">
        <f>O6*Premissas!$D$36</f>
        <v>4188.3064476310092</v>
      </c>
      <c r="P59" s="122">
        <f>P6*Premissas!$D$36</f>
        <v>3801.1134273295925</v>
      </c>
      <c r="Q59" s="122">
        <f>Q6*Premissas!$D$36</f>
        <v>4000.9945431146466</v>
      </c>
      <c r="R59" s="122">
        <f>R6*Premissas!$D$36</f>
        <v>4802.9715352829035</v>
      </c>
      <c r="S59" s="122">
        <f>S6*Premissas!$D$36</f>
        <v>4506.8286551473784</v>
      </c>
      <c r="T59" s="122">
        <f>T6*Premissas!$E$36</f>
        <v>9883.2138866774858</v>
      </c>
      <c r="U59" s="122">
        <f>U6*Premissas!$E$36</f>
        <v>9556.1284390114324</v>
      </c>
      <c r="V59" s="122">
        <f>V6*Premissas!$E$36</f>
        <v>9074.00448915167</v>
      </c>
      <c r="W59" s="122">
        <f>W6*Premissas!$E$36</f>
        <v>9363.8021957837918</v>
      </c>
      <c r="X59" s="122">
        <f>X6*Premissas!$E$36</f>
        <v>8343.9497699610365</v>
      </c>
      <c r="Y59" s="122">
        <f>Y6*Premissas!$E$36</f>
        <v>9570.5201987087385</v>
      </c>
      <c r="Z59" s="122">
        <f>Z6*Premissas!$E$36</f>
        <v>9549.5867300581122</v>
      </c>
      <c r="AA59" s="122">
        <f>AA6*Premissas!$E$36</f>
        <v>8937.282772027258</v>
      </c>
    </row>
    <row r="60" spans="1:27" ht="12.75" customHeight="1" x14ac:dyDescent="0.35">
      <c r="A60" s="112" t="s">
        <v>301</v>
      </c>
      <c r="B60" s="106">
        <f>AA60</f>
        <v>43472.149914459878</v>
      </c>
      <c r="C60" s="106" t="s">
        <v>104</v>
      </c>
      <c r="D60" s="106">
        <f>0</f>
        <v>0</v>
      </c>
      <c r="E60" s="106">
        <f t="shared" ref="E60:AA60" si="23">D62</f>
        <v>0</v>
      </c>
      <c r="F60" s="106">
        <f t="shared" si="23"/>
        <v>0</v>
      </c>
      <c r="G60" s="106">
        <f t="shared" si="23"/>
        <v>519.19572520616521</v>
      </c>
      <c r="H60" s="106">
        <f t="shared" si="23"/>
        <v>0</v>
      </c>
      <c r="I60" s="106">
        <f t="shared" si="23"/>
        <v>2494.3583771485864</v>
      </c>
      <c r="J60" s="106">
        <f t="shared" si="23"/>
        <v>3780.5259157629998</v>
      </c>
      <c r="K60" s="106">
        <f t="shared" si="23"/>
        <v>4981.1241583780411</v>
      </c>
      <c r="L60" s="106">
        <f t="shared" si="23"/>
        <v>8225.2609873065776</v>
      </c>
      <c r="M60" s="106">
        <f t="shared" si="23"/>
        <v>10439.28933685831</v>
      </c>
      <c r="N60" s="106">
        <f t="shared" si="23"/>
        <v>12870.144752690678</v>
      </c>
      <c r="O60" s="106">
        <f t="shared" si="23"/>
        <v>12818.997096602074</v>
      </c>
      <c r="P60" s="106">
        <f t="shared" si="23"/>
        <v>12825.098544233084</v>
      </c>
      <c r="Q60" s="106">
        <f t="shared" si="23"/>
        <v>12877.376971562677</v>
      </c>
      <c r="R60" s="106">
        <f t="shared" si="23"/>
        <v>13341.506514677323</v>
      </c>
      <c r="S60" s="106">
        <f t="shared" si="23"/>
        <v>14650.458049960227</v>
      </c>
      <c r="T60" s="106">
        <f t="shared" si="23"/>
        <v>14847.161705107606</v>
      </c>
      <c r="U60" s="106">
        <f t="shared" si="23"/>
        <v>19166.675591785093</v>
      </c>
      <c r="V60" s="106">
        <f t="shared" si="23"/>
        <v>22189.454030796525</v>
      </c>
      <c r="W60" s="106">
        <f t="shared" si="23"/>
        <v>25038.531019948197</v>
      </c>
      <c r="X60" s="106">
        <f t="shared" si="23"/>
        <v>30178.000715731989</v>
      </c>
      <c r="Y60" s="106">
        <f t="shared" si="23"/>
        <v>34080.932985693027</v>
      </c>
      <c r="Z60" s="106">
        <f t="shared" si="23"/>
        <v>38448.963184401764</v>
      </c>
      <c r="AA60" s="106">
        <f t="shared" si="23"/>
        <v>43472.149914459878</v>
      </c>
    </row>
    <row r="61" spans="1:27" ht="12.75" customHeight="1" x14ac:dyDescent="0.35">
      <c r="A61" s="112" t="s">
        <v>302</v>
      </c>
      <c r="B61" s="106">
        <f>SUM(D61:AA61)</f>
        <v>570.34338129476919</v>
      </c>
      <c r="C61" s="106">
        <f>B61/24</f>
        <v>23.764307553948715</v>
      </c>
      <c r="D61" s="106">
        <f t="shared" ref="D61:AA61" si="24">MIN(D60,MAX(D58-D59,0))</f>
        <v>0</v>
      </c>
      <c r="E61" s="106">
        <f t="shared" si="24"/>
        <v>0</v>
      </c>
      <c r="F61" s="106">
        <f t="shared" si="24"/>
        <v>0</v>
      </c>
      <c r="G61" s="106">
        <f t="shared" si="24"/>
        <v>519.19572520616521</v>
      </c>
      <c r="H61" s="106">
        <f t="shared" si="24"/>
        <v>0</v>
      </c>
      <c r="I61" s="106">
        <f t="shared" si="24"/>
        <v>0</v>
      </c>
      <c r="J61" s="106">
        <f t="shared" si="24"/>
        <v>0</v>
      </c>
      <c r="K61" s="106">
        <f t="shared" si="24"/>
        <v>0</v>
      </c>
      <c r="L61" s="106">
        <f t="shared" si="24"/>
        <v>0</v>
      </c>
      <c r="M61" s="106">
        <f t="shared" si="24"/>
        <v>0</v>
      </c>
      <c r="N61" s="106">
        <f t="shared" si="24"/>
        <v>51.147656088603981</v>
      </c>
      <c r="O61" s="106">
        <f t="shared" si="24"/>
        <v>0</v>
      </c>
      <c r="P61" s="106">
        <f t="shared" si="24"/>
        <v>0</v>
      </c>
      <c r="Q61" s="106">
        <f t="shared" si="24"/>
        <v>0</v>
      </c>
      <c r="R61" s="106">
        <f t="shared" si="24"/>
        <v>0</v>
      </c>
      <c r="S61" s="106">
        <f t="shared" si="24"/>
        <v>0</v>
      </c>
      <c r="T61" s="106">
        <f t="shared" si="24"/>
        <v>0</v>
      </c>
      <c r="U61" s="106">
        <f t="shared" si="24"/>
        <v>0</v>
      </c>
      <c r="V61" s="106">
        <f t="shared" si="24"/>
        <v>0</v>
      </c>
      <c r="W61" s="106">
        <f t="shared" si="24"/>
        <v>0</v>
      </c>
      <c r="X61" s="106">
        <f t="shared" si="24"/>
        <v>0</v>
      </c>
      <c r="Y61" s="106">
        <f t="shared" si="24"/>
        <v>0</v>
      </c>
      <c r="Z61" s="106">
        <f t="shared" si="24"/>
        <v>0</v>
      </c>
      <c r="AA61" s="106">
        <f t="shared" si="24"/>
        <v>0</v>
      </c>
    </row>
    <row r="62" spans="1:27" ht="13.5" customHeight="1" x14ac:dyDescent="0.35">
      <c r="A62" s="40" t="s">
        <v>303</v>
      </c>
      <c r="B62" s="42">
        <f>AA62</f>
        <v>48227.227686487138</v>
      </c>
      <c r="C62" s="106" t="s">
        <v>104</v>
      </c>
      <c r="D62" s="123">
        <f t="shared" ref="D62:AA62" si="25">MAX(D60-D61,0)+MAX(D59-D58,0)</f>
        <v>0</v>
      </c>
      <c r="E62" s="123">
        <f t="shared" si="25"/>
        <v>0</v>
      </c>
      <c r="F62" s="123">
        <f t="shared" si="25"/>
        <v>519.19572520616521</v>
      </c>
      <c r="G62" s="123">
        <f t="shared" si="25"/>
        <v>0</v>
      </c>
      <c r="H62" s="123">
        <f t="shared" si="25"/>
        <v>2494.3583771485864</v>
      </c>
      <c r="I62" s="123">
        <f t="shared" si="25"/>
        <v>3780.5259157629998</v>
      </c>
      <c r="J62" s="123">
        <f t="shared" si="25"/>
        <v>4981.1241583780411</v>
      </c>
      <c r="K62" s="123">
        <f t="shared" si="25"/>
        <v>8225.2609873065776</v>
      </c>
      <c r="L62" s="123">
        <f t="shared" si="25"/>
        <v>10439.28933685831</v>
      </c>
      <c r="M62" s="123">
        <f t="shared" si="25"/>
        <v>12870.144752690678</v>
      </c>
      <c r="N62" s="123">
        <f t="shared" si="25"/>
        <v>12818.997096602074</v>
      </c>
      <c r="O62" s="123">
        <f t="shared" si="25"/>
        <v>12825.098544233084</v>
      </c>
      <c r="P62" s="123">
        <f t="shared" si="25"/>
        <v>12877.376971562677</v>
      </c>
      <c r="Q62" s="123">
        <f t="shared" si="25"/>
        <v>13341.506514677323</v>
      </c>
      <c r="R62" s="123">
        <f t="shared" si="25"/>
        <v>14650.458049960227</v>
      </c>
      <c r="S62" s="123">
        <f t="shared" si="25"/>
        <v>14847.161705107606</v>
      </c>
      <c r="T62" s="123">
        <f t="shared" si="25"/>
        <v>19166.675591785093</v>
      </c>
      <c r="U62" s="123">
        <f t="shared" si="25"/>
        <v>22189.454030796525</v>
      </c>
      <c r="V62" s="123">
        <f t="shared" si="25"/>
        <v>25038.531019948197</v>
      </c>
      <c r="W62" s="123">
        <f t="shared" si="25"/>
        <v>30178.000715731989</v>
      </c>
      <c r="X62" s="123">
        <f t="shared" si="25"/>
        <v>34080.932985693027</v>
      </c>
      <c r="Y62" s="123">
        <f t="shared" si="25"/>
        <v>38448.963184401764</v>
      </c>
      <c r="Z62" s="123">
        <f t="shared" si="25"/>
        <v>43472.149914459878</v>
      </c>
      <c r="AA62" s="123">
        <f t="shared" si="25"/>
        <v>48227.227686487138</v>
      </c>
    </row>
    <row r="63" spans="1:27" ht="12.75" customHeight="1" x14ac:dyDescent="0.35">
      <c r="A63" s="113" t="s">
        <v>304</v>
      </c>
      <c r="B63" s="114">
        <f>AA63</f>
        <v>0</v>
      </c>
      <c r="C63" s="106" t="s">
        <v>104</v>
      </c>
      <c r="D63" s="114">
        <f>0</f>
        <v>0</v>
      </c>
      <c r="E63" s="114">
        <f t="shared" ref="E63:AA63" si="26">D65</f>
        <v>0</v>
      </c>
      <c r="F63" s="114">
        <f t="shared" si="26"/>
        <v>0</v>
      </c>
      <c r="G63" s="114">
        <f t="shared" si="26"/>
        <v>0</v>
      </c>
      <c r="H63" s="114">
        <f t="shared" si="26"/>
        <v>0</v>
      </c>
      <c r="I63" s="114">
        <f t="shared" si="26"/>
        <v>0</v>
      </c>
      <c r="J63" s="114">
        <f t="shared" si="26"/>
        <v>0</v>
      </c>
      <c r="K63" s="114">
        <f t="shared" si="26"/>
        <v>0</v>
      </c>
      <c r="L63" s="114">
        <f t="shared" si="26"/>
        <v>0</v>
      </c>
      <c r="M63" s="114">
        <f t="shared" si="26"/>
        <v>0</v>
      </c>
      <c r="N63" s="114">
        <f t="shared" si="26"/>
        <v>0</v>
      </c>
      <c r="O63" s="114">
        <f t="shared" si="26"/>
        <v>0</v>
      </c>
      <c r="P63" s="114">
        <f t="shared" si="26"/>
        <v>0</v>
      </c>
      <c r="Q63" s="114">
        <f t="shared" si="26"/>
        <v>0</v>
      </c>
      <c r="R63" s="114">
        <f t="shared" si="26"/>
        <v>0</v>
      </c>
      <c r="S63" s="114">
        <f t="shared" si="26"/>
        <v>0</v>
      </c>
      <c r="T63" s="114">
        <f t="shared" si="26"/>
        <v>0</v>
      </c>
      <c r="U63" s="114">
        <f t="shared" si="26"/>
        <v>0</v>
      </c>
      <c r="V63" s="114">
        <f t="shared" si="26"/>
        <v>0</v>
      </c>
      <c r="W63" s="114">
        <f t="shared" si="26"/>
        <v>0</v>
      </c>
      <c r="X63" s="114">
        <f t="shared" si="26"/>
        <v>0</v>
      </c>
      <c r="Y63" s="114">
        <f t="shared" si="26"/>
        <v>0</v>
      </c>
      <c r="Z63" s="114">
        <f t="shared" si="26"/>
        <v>0</v>
      </c>
      <c r="AA63" s="114">
        <f t="shared" si="26"/>
        <v>0</v>
      </c>
    </row>
    <row r="64" spans="1:27" ht="12.75" customHeight="1" x14ac:dyDescent="0.35">
      <c r="A64" s="113" t="s">
        <v>312</v>
      </c>
      <c r="B64" s="114">
        <f>SUM(D64:AA64)</f>
        <v>0</v>
      </c>
      <c r="C64" s="106">
        <f>B64/24</f>
        <v>0</v>
      </c>
      <c r="D64" s="114">
        <f t="shared" ref="D64:AA64" si="27">MIN(D63,D58)</f>
        <v>0</v>
      </c>
      <c r="E64" s="114">
        <f t="shared" si="27"/>
        <v>0</v>
      </c>
      <c r="F64" s="114">
        <f t="shared" si="27"/>
        <v>0</v>
      </c>
      <c r="G64" s="114">
        <f t="shared" si="27"/>
        <v>0</v>
      </c>
      <c r="H64" s="114">
        <f t="shared" si="27"/>
        <v>0</v>
      </c>
      <c r="I64" s="114">
        <f t="shared" si="27"/>
        <v>0</v>
      </c>
      <c r="J64" s="114">
        <f t="shared" si="27"/>
        <v>0</v>
      </c>
      <c r="K64" s="114">
        <f t="shared" si="27"/>
        <v>0</v>
      </c>
      <c r="L64" s="114">
        <f t="shared" si="27"/>
        <v>0</v>
      </c>
      <c r="M64" s="114">
        <f t="shared" si="27"/>
        <v>0</v>
      </c>
      <c r="N64" s="114">
        <f t="shared" si="27"/>
        <v>0</v>
      </c>
      <c r="O64" s="114">
        <f t="shared" si="27"/>
        <v>0</v>
      </c>
      <c r="P64" s="114">
        <f t="shared" si="27"/>
        <v>0</v>
      </c>
      <c r="Q64" s="114">
        <f t="shared" si="27"/>
        <v>0</v>
      </c>
      <c r="R64" s="114">
        <f t="shared" si="27"/>
        <v>0</v>
      </c>
      <c r="S64" s="114">
        <f t="shared" si="27"/>
        <v>0</v>
      </c>
      <c r="T64" s="114">
        <f t="shared" si="27"/>
        <v>0</v>
      </c>
      <c r="U64" s="114">
        <f t="shared" si="27"/>
        <v>0</v>
      </c>
      <c r="V64" s="114">
        <f t="shared" si="27"/>
        <v>0</v>
      </c>
      <c r="W64" s="114">
        <f t="shared" si="27"/>
        <v>0</v>
      </c>
      <c r="X64" s="114">
        <f t="shared" si="27"/>
        <v>0</v>
      </c>
      <c r="Y64" s="114">
        <f t="shared" si="27"/>
        <v>0</v>
      </c>
      <c r="Z64" s="114">
        <f t="shared" si="27"/>
        <v>0</v>
      </c>
      <c r="AA64" s="114">
        <f t="shared" si="27"/>
        <v>0</v>
      </c>
    </row>
    <row r="65" spans="1:27" ht="12.75" customHeight="1" x14ac:dyDescent="0.35">
      <c r="A65" s="113" t="s">
        <v>313</v>
      </c>
      <c r="B65" s="114">
        <f>AA65</f>
        <v>0</v>
      </c>
      <c r="C65" s="106" t="s">
        <v>104</v>
      </c>
      <c r="D65" s="134">
        <f t="shared" ref="D65:AA65" si="28">MAX(D63-D64,0)</f>
        <v>0</v>
      </c>
      <c r="E65" s="134">
        <f t="shared" si="28"/>
        <v>0</v>
      </c>
      <c r="F65" s="134">
        <f t="shared" si="28"/>
        <v>0</v>
      </c>
      <c r="G65" s="134">
        <f t="shared" si="28"/>
        <v>0</v>
      </c>
      <c r="H65" s="134">
        <f t="shared" si="28"/>
        <v>0</v>
      </c>
      <c r="I65" s="134">
        <f t="shared" si="28"/>
        <v>0</v>
      </c>
      <c r="J65" s="134">
        <f t="shared" si="28"/>
        <v>0</v>
      </c>
      <c r="K65" s="134">
        <f t="shared" si="28"/>
        <v>0</v>
      </c>
      <c r="L65" s="134">
        <f t="shared" si="28"/>
        <v>0</v>
      </c>
      <c r="M65" s="134">
        <f t="shared" si="28"/>
        <v>0</v>
      </c>
      <c r="N65" s="134">
        <f t="shared" si="28"/>
        <v>0</v>
      </c>
      <c r="O65" s="134">
        <f t="shared" si="28"/>
        <v>0</v>
      </c>
      <c r="P65" s="134">
        <f t="shared" si="28"/>
        <v>0</v>
      </c>
      <c r="Q65" s="134">
        <f t="shared" si="28"/>
        <v>0</v>
      </c>
      <c r="R65" s="134">
        <f t="shared" si="28"/>
        <v>0</v>
      </c>
      <c r="S65" s="134">
        <f t="shared" si="28"/>
        <v>0</v>
      </c>
      <c r="T65" s="134">
        <f t="shared" si="28"/>
        <v>0</v>
      </c>
      <c r="U65" s="134">
        <f t="shared" si="28"/>
        <v>0</v>
      </c>
      <c r="V65" s="134">
        <f t="shared" si="28"/>
        <v>0</v>
      </c>
      <c r="W65" s="134">
        <f t="shared" si="28"/>
        <v>0</v>
      </c>
      <c r="X65" s="134">
        <f t="shared" si="28"/>
        <v>0</v>
      </c>
      <c r="Y65" s="134">
        <f t="shared" si="28"/>
        <v>0</v>
      </c>
      <c r="Z65" s="134">
        <f t="shared" si="28"/>
        <v>0</v>
      </c>
      <c r="AA65" s="134">
        <f t="shared" si="28"/>
        <v>0</v>
      </c>
    </row>
    <row r="66" spans="1:27" ht="12.75" customHeight="1" x14ac:dyDescent="0.35">
      <c r="A66" s="125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66" s="128">
        <f>SUM(D66:AA66)</f>
        <v>102879.06295361908</v>
      </c>
      <c r="C66" s="110">
        <f>B66/24</f>
        <v>4286.6276230674621</v>
      </c>
      <c r="D66" s="128">
        <f>D58*Premissas!$F$19</f>
        <v>3384.890488580907</v>
      </c>
      <c r="E66" s="128">
        <f>E58*Premissas!$F$19</f>
        <v>3193.4989664508334</v>
      </c>
      <c r="F66" s="128">
        <f>F58*Premissas!$F$19</f>
        <v>3154.8134460202868</v>
      </c>
      <c r="G66" s="128">
        <f>G58*Premissas!$F$19</f>
        <v>3891.6893160394579</v>
      </c>
      <c r="H66" s="128">
        <f>H58*Premissas!$F$19</f>
        <v>5023.5647104547397</v>
      </c>
      <c r="I66" s="128">
        <f>I58*Premissas!$F$19</f>
        <v>5899.0791201986931</v>
      </c>
      <c r="J66" s="128">
        <f>J58*Premissas!$F$19</f>
        <v>5620.5989025539202</v>
      </c>
      <c r="K66" s="128">
        <f>K58*Premissas!$F$19</f>
        <v>3909.5813692385855</v>
      </c>
      <c r="L66" s="128">
        <f>L58*Premissas!$F$19</f>
        <v>4110.1213691068397</v>
      </c>
      <c r="M66" s="128">
        <f>M58*Premissas!$F$19</f>
        <v>4814.8572532228582</v>
      </c>
      <c r="N66" s="128">
        <f>N58*Premissas!$F$19</f>
        <v>4189.1420975317487</v>
      </c>
      <c r="O66" s="128">
        <f>O58*Premissas!$F$19</f>
        <v>3870.5927505319378</v>
      </c>
      <c r="P66" s="128">
        <f>P58*Premissas!$F$19</f>
        <v>3469.5127507954294</v>
      </c>
      <c r="Q66" s="128">
        <f>Q58*Premissas!$F$19</f>
        <v>3273.3364406121041</v>
      </c>
      <c r="R66" s="128">
        <f>R58*Premissas!$F$19</f>
        <v>3233.6837821707936</v>
      </c>
      <c r="S66" s="128">
        <f>S58*Premissas!$F$19</f>
        <v>3988.9815489404446</v>
      </c>
      <c r="T66" s="128">
        <f>T58*Premissas!$F$19</f>
        <v>5149.1538282161073</v>
      </c>
      <c r="U66" s="128">
        <f>U58*Premissas!$F$19</f>
        <v>6046.5560982036604</v>
      </c>
      <c r="V66" s="128">
        <f>V58*Premissas!$F$19</f>
        <v>5761.1138751177677</v>
      </c>
      <c r="W66" s="128">
        <f>W58*Premissas!$F$19</f>
        <v>3909.5813692385855</v>
      </c>
      <c r="X66" s="128">
        <f>X58*Premissas!$F$19</f>
        <v>4110.1213691068397</v>
      </c>
      <c r="Y66" s="128">
        <f>Y58*Premissas!$F$19</f>
        <v>4814.8572532228582</v>
      </c>
      <c r="Z66" s="128">
        <f>Z58*Premissas!$F$19</f>
        <v>4189.1420975317487</v>
      </c>
      <c r="AA66" s="128">
        <f>AA58*Premissas!$F$19</f>
        <v>3870.5927505319378</v>
      </c>
    </row>
    <row r="67" spans="1:27" ht="12.75" customHeight="1" x14ac:dyDescent="0.35">
      <c r="A67" s="129" t="s">
        <v>307</v>
      </c>
      <c r="B67" s="130">
        <f>SUM(D67:AA67)</f>
        <v>841.31058887020095</v>
      </c>
      <c r="C67" s="110">
        <f>B67/24</f>
        <v>35.054607869591706</v>
      </c>
      <c r="D67" s="130">
        <f>IF(D62&gt;0,0,MAX(D58-D59-D60,0)*Premissas!$B$7)</f>
        <v>634.82896836623149</v>
      </c>
      <c r="E67" s="130">
        <f>IF(E62&gt;0,0,MAX(E58-E59-E60,0)*Premissas!$B$7)</f>
        <v>206.47937449316649</v>
      </c>
      <c r="F67" s="130">
        <f>IF(F62&gt;0,0,MAX(F58-F59-F60,0)*Premissas!$B$7)</f>
        <v>0</v>
      </c>
      <c r="G67" s="130">
        <f>IF(G62&gt;0,0,MAX(G58-G59-G60,0)*Premissas!$B$7)</f>
        <v>2.2460108030429881E-3</v>
      </c>
      <c r="H67" s="130">
        <f>IF(H62&gt;0,0,MAX(H58-H59-H60,0)*Premissas!$B$7)</f>
        <v>0</v>
      </c>
      <c r="I67" s="130">
        <f>IF(I62&gt;0,0,MAX(I58-I59-I60,0)*Premissas!$B$7)</f>
        <v>0</v>
      </c>
      <c r="J67" s="130">
        <f>IF(J62&gt;0,0,MAX(J58-J59-J60,0)*Premissas!$B$7)</f>
        <v>0</v>
      </c>
      <c r="K67" s="130">
        <f>IF(K62&gt;0,0,MAX(K58-K59-K60,0)*Premissas!$B$7)</f>
        <v>0</v>
      </c>
      <c r="L67" s="130">
        <f>IF(L62&gt;0,0,MAX(L58-L59-L60,0)*Premissas!$B$7)</f>
        <v>0</v>
      </c>
      <c r="M67" s="130">
        <f>IF(M62&gt;0,0,MAX(M58-M59-M60,0)*Premissas!$B$7)</f>
        <v>0</v>
      </c>
      <c r="N67" s="130">
        <f>IF(N62&gt;0,0,MAX(N58-N59-N60,0)*Premissas!$B$7)</f>
        <v>0</v>
      </c>
      <c r="O67" s="130">
        <f>IF(O62&gt;0,0,MAX(O58-O59-O60,0)*Premissas!$B$7)</f>
        <v>0</v>
      </c>
      <c r="P67" s="130">
        <f>IF(P62&gt;0,0,MAX(P58-P59-P60,0)*Premissas!$B$7)</f>
        <v>0</v>
      </c>
      <c r="Q67" s="130">
        <f>IF(Q62&gt;0,0,MAX(Q58-Q59-Q60,0)*Premissas!$B$7)</f>
        <v>0</v>
      </c>
      <c r="R67" s="130">
        <f>IF(R62&gt;0,0,MAX(R58-R59-R60,0)*Premissas!$B$7)</f>
        <v>0</v>
      </c>
      <c r="S67" s="130">
        <f>IF(S62&gt;0,0,MAX(S58-S59-S60,0)*Premissas!$B$7)</f>
        <v>0</v>
      </c>
      <c r="T67" s="130">
        <f>IF(T62&gt;0,0,MAX(T58-T59-T60,0)*Premissas!$B$7)</f>
        <v>0</v>
      </c>
      <c r="U67" s="130">
        <f>IF(U62&gt;0,0,MAX(U58-U59-U60,0)*Premissas!$B$7)</f>
        <v>0</v>
      </c>
      <c r="V67" s="130">
        <f>IF(V62&gt;0,0,MAX(V58-V59-V60,0)*Premissas!$B$7)</f>
        <v>0</v>
      </c>
      <c r="W67" s="130">
        <f>IF(W62&gt;0,0,MAX(W58-W59-W60,0)*Premissas!$B$7)</f>
        <v>0</v>
      </c>
      <c r="X67" s="130">
        <f>IF(X62&gt;0,0,MAX(X58-X59-X60,0)*Premissas!$B$7)</f>
        <v>0</v>
      </c>
      <c r="Y67" s="130">
        <f>IF(Y62&gt;0,0,MAX(Y58-Y59-Y60,0)*Premissas!$B$7)</f>
        <v>0</v>
      </c>
      <c r="Z67" s="130">
        <f>IF(Z62&gt;0,0,MAX(Z58-Z59-Z60,0)*Premissas!$B$7)</f>
        <v>0</v>
      </c>
      <c r="AA67" s="130">
        <f>IF(AA62&gt;0,0,MAX(AA58-AA59-AA60,0)*Premissas!$B$7)</f>
        <v>0</v>
      </c>
    </row>
    <row r="68" spans="1:27" ht="13.5" customHeight="1" x14ac:dyDescent="0.35">
      <c r="A68" s="40" t="s">
        <v>308</v>
      </c>
      <c r="B68" s="43">
        <f>SUM(D68:AA68)</f>
        <v>102037.75236474887</v>
      </c>
      <c r="C68" s="110">
        <f>B68/24</f>
        <v>4251.5730151978696</v>
      </c>
      <c r="D68" s="131">
        <f t="shared" ref="D68:AA68" si="29">MAX(D66-D67,0)</f>
        <v>2750.0615202146755</v>
      </c>
      <c r="E68" s="131">
        <f t="shared" si="29"/>
        <v>2987.0195919576668</v>
      </c>
      <c r="F68" s="131">
        <f t="shared" si="29"/>
        <v>3154.8134460202868</v>
      </c>
      <c r="G68" s="131">
        <f t="shared" si="29"/>
        <v>3891.6870700286549</v>
      </c>
      <c r="H68" s="131">
        <f t="shared" si="29"/>
        <v>5023.5647104547397</v>
      </c>
      <c r="I68" s="131">
        <f t="shared" si="29"/>
        <v>5899.0791201986931</v>
      </c>
      <c r="J68" s="131">
        <f t="shared" si="29"/>
        <v>5620.5989025539202</v>
      </c>
      <c r="K68" s="131">
        <f t="shared" si="29"/>
        <v>3909.5813692385855</v>
      </c>
      <c r="L68" s="131">
        <f t="shared" si="29"/>
        <v>4110.1213691068397</v>
      </c>
      <c r="M68" s="131">
        <f t="shared" si="29"/>
        <v>4814.8572532228582</v>
      </c>
      <c r="N68" s="131">
        <f t="shared" si="29"/>
        <v>4189.1420975317487</v>
      </c>
      <c r="O68" s="131">
        <f t="shared" si="29"/>
        <v>3870.5927505319378</v>
      </c>
      <c r="P68" s="131">
        <f t="shared" si="29"/>
        <v>3469.5127507954294</v>
      </c>
      <c r="Q68" s="131">
        <f t="shared" si="29"/>
        <v>3273.3364406121041</v>
      </c>
      <c r="R68" s="131">
        <f t="shared" si="29"/>
        <v>3233.6837821707936</v>
      </c>
      <c r="S68" s="131">
        <f t="shared" si="29"/>
        <v>3988.9815489404446</v>
      </c>
      <c r="T68" s="131">
        <f t="shared" si="29"/>
        <v>5149.1538282161073</v>
      </c>
      <c r="U68" s="131">
        <f t="shared" si="29"/>
        <v>6046.5560982036604</v>
      </c>
      <c r="V68" s="131">
        <f t="shared" si="29"/>
        <v>5761.1138751177677</v>
      </c>
      <c r="W68" s="131">
        <f t="shared" si="29"/>
        <v>3909.5813692385855</v>
      </c>
      <c r="X68" s="131">
        <f t="shared" si="29"/>
        <v>4110.1213691068397</v>
      </c>
      <c r="Y68" s="131">
        <f t="shared" si="29"/>
        <v>4814.8572532228582</v>
      </c>
      <c r="Z68" s="131">
        <f t="shared" si="29"/>
        <v>4189.1420975317487</v>
      </c>
      <c r="AA68" s="131">
        <f t="shared" si="29"/>
        <v>3870.5927505319378</v>
      </c>
    </row>
    <row r="70" spans="1:27" ht="15" customHeight="1" x14ac:dyDescent="0.35">
      <c r="A70" s="229" t="s">
        <v>314</v>
      </c>
      <c r="B70" s="229"/>
      <c r="C70" s="229"/>
      <c r="D70" s="229"/>
      <c r="E70" s="229"/>
      <c r="F70" s="229"/>
      <c r="G70" s="229"/>
      <c r="H70" s="229"/>
      <c r="I70" s="229"/>
      <c r="J70" s="229"/>
      <c r="K70" s="229"/>
      <c r="L70" s="229"/>
      <c r="M70" s="229"/>
      <c r="N70" s="229"/>
      <c r="O70" s="229"/>
      <c r="P70" s="229"/>
      <c r="Q70" s="229"/>
      <c r="R70" s="229"/>
      <c r="S70" s="229"/>
      <c r="T70" s="229"/>
      <c r="U70" s="229"/>
      <c r="V70" s="229"/>
      <c r="W70" s="229"/>
      <c r="X70" s="229"/>
      <c r="Y70" s="229"/>
      <c r="Z70" s="229"/>
      <c r="AA70" s="229"/>
    </row>
    <row r="71" spans="1:27" ht="12.75" customHeight="1" x14ac:dyDescent="0.35">
      <c r="A71" s="132" t="s">
        <v>295</v>
      </c>
      <c r="B71" s="133">
        <f>SUM(D71:AA71)</f>
        <v>10991.25</v>
      </c>
      <c r="C71" s="106">
        <f>B71/24</f>
        <v>457.96875</v>
      </c>
      <c r="D71" s="133">
        <v>450</v>
      </c>
      <c r="E71" s="133">
        <v>450</v>
      </c>
      <c r="F71" s="133">
        <v>450</v>
      </c>
      <c r="G71" s="133">
        <v>450</v>
      </c>
      <c r="H71" s="133">
        <v>450</v>
      </c>
      <c r="I71" s="133">
        <v>450</v>
      </c>
      <c r="J71" s="133">
        <v>450</v>
      </c>
      <c r="K71" s="133">
        <f>450*(1+Premissas!$B$21)</f>
        <v>461.24999999999994</v>
      </c>
      <c r="L71" s="133">
        <f>450*(1+Premissas!$B$21)</f>
        <v>461.24999999999994</v>
      </c>
      <c r="M71" s="133">
        <f>450*(1+Premissas!$B$21)</f>
        <v>461.24999999999994</v>
      </c>
      <c r="N71" s="133">
        <f>450*(1+Premissas!$B$21)</f>
        <v>461.24999999999994</v>
      </c>
      <c r="O71" s="133">
        <f>450*(1+Premissas!$B$21)</f>
        <v>461.24999999999994</v>
      </c>
      <c r="P71" s="133">
        <f>450*(1+Premissas!$B$21)</f>
        <v>461.24999999999994</v>
      </c>
      <c r="Q71" s="133">
        <f>450*(1+Premissas!$B$21)</f>
        <v>461.24999999999994</v>
      </c>
      <c r="R71" s="133">
        <f>450*(1+Premissas!$B$21)</f>
        <v>461.24999999999994</v>
      </c>
      <c r="S71" s="133">
        <f>450*(1+Premissas!$B$21)</f>
        <v>461.24999999999994</v>
      </c>
      <c r="T71" s="133">
        <f>450*(1+Premissas!$B$21)</f>
        <v>461.24999999999994</v>
      </c>
      <c r="U71" s="133">
        <f>450*(1+Premissas!$B$21)</f>
        <v>461.24999999999994</v>
      </c>
      <c r="V71" s="133">
        <f>450*(1+Premissas!$B$21)</f>
        <v>461.24999999999994</v>
      </c>
      <c r="W71" s="133">
        <f>450*(1+Premissas!$B$21)</f>
        <v>461.24999999999994</v>
      </c>
      <c r="X71" s="133">
        <f>450*(1+Premissas!$B$21)</f>
        <v>461.24999999999994</v>
      </c>
      <c r="Y71" s="133">
        <f>450*(1+Premissas!$B$21)</f>
        <v>461.24999999999994</v>
      </c>
      <c r="Z71" s="133">
        <f>450*(1+Premissas!$B$21)</f>
        <v>461.24999999999994</v>
      </c>
      <c r="AA71" s="133">
        <f>450*(1+Premissas!$B$21)</f>
        <v>461.24999999999994</v>
      </c>
    </row>
    <row r="72" spans="1:27" ht="12.75" customHeight="1" x14ac:dyDescent="0.35">
      <c r="A72" s="108" t="str">
        <f>"  "&amp;INDEX(PVSYST_Helexia!$A$5:$A$7,MATCH(Premissas!$B$13,PVSYST_Helexia!$B$5:$B$7,0))&amp;" créditos recebidos (kWh)"</f>
        <v xml:space="preserve">  HCS03 créditos recebidos (kWh)</v>
      </c>
      <c r="B72" s="121">
        <f>SUM(D72:AA72)</f>
        <v>14361.523993036721</v>
      </c>
      <c r="C72" s="106">
        <f>B72/24</f>
        <v>598.39683304319669</v>
      </c>
      <c r="D72" s="122">
        <f>D6*Premissas!$B$37</f>
        <v>367.46013653417867</v>
      </c>
      <c r="E72" s="122">
        <f>E6*Premissas!$B$37</f>
        <v>386.78298587850355</v>
      </c>
      <c r="F72" s="122">
        <f>F6*Premissas!$B$37</f>
        <v>464.3114734318072</v>
      </c>
      <c r="G72" s="122">
        <f>G6*Premissas!$B$37</f>
        <v>435.68283467932582</v>
      </c>
      <c r="H72" s="122">
        <f>H6*Premissas!$C$37</f>
        <v>757.70269829286269</v>
      </c>
      <c r="I72" s="122">
        <f>I6*Premissas!$C$37</f>
        <v>732.62649038007271</v>
      </c>
      <c r="J72" s="122">
        <f>J6*Premissas!$C$37</f>
        <v>695.66415991662018</v>
      </c>
      <c r="K72" s="122">
        <f>K6*Premissas!$C$37</f>
        <v>714.29227172671528</v>
      </c>
      <c r="L72" s="122">
        <f>L6*Premissas!$C$37</f>
        <v>636.49559353599659</v>
      </c>
      <c r="M72" s="122">
        <f>M6*Premissas!$C$37</f>
        <v>730.06119431059426</v>
      </c>
      <c r="N72" s="122">
        <f>N6*Premissas!$D$37</f>
        <v>582.75706391091546</v>
      </c>
      <c r="O72" s="122">
        <f>O6*Premissas!$D$37</f>
        <v>545.39162948012915</v>
      </c>
      <c r="P72" s="122">
        <f>P6*Premissas!$D$37</f>
        <v>494.97224520012605</v>
      </c>
      <c r="Q72" s="122">
        <f>Q6*Premissas!$D$37</f>
        <v>521.00030422669931</v>
      </c>
      <c r="R72" s="122">
        <f>R6*Premissas!$D$37</f>
        <v>625.43190302043513</v>
      </c>
      <c r="S72" s="122">
        <f>S6*Premissas!$D$37</f>
        <v>586.86885851173918</v>
      </c>
      <c r="T72" s="122">
        <f>T6*Premissas!$E$37</f>
        <v>676.46069999999997</v>
      </c>
      <c r="U72" s="122">
        <f>U6*Premissas!$E$37</f>
        <v>654.07319999999993</v>
      </c>
      <c r="V72" s="122">
        <f>V6*Premissas!$E$37</f>
        <v>621.07402500000001</v>
      </c>
      <c r="W72" s="122">
        <f>W6*Premissas!$E$37</f>
        <v>640.9093499999999</v>
      </c>
      <c r="X72" s="122">
        <f>X6*Premissas!$E$37</f>
        <v>571.10512499999993</v>
      </c>
      <c r="Y72" s="122">
        <f>Y6*Premissas!$E$37</f>
        <v>655.05824999999993</v>
      </c>
      <c r="Z72" s="122">
        <f>Z6*Premissas!$E$37</f>
        <v>653.62545</v>
      </c>
      <c r="AA72" s="122">
        <f>AA6*Premissas!$E$37</f>
        <v>611.71604999999988</v>
      </c>
    </row>
    <row r="73" spans="1:27" ht="12.75" customHeight="1" x14ac:dyDescent="0.35">
      <c r="A73" s="112" t="s">
        <v>301</v>
      </c>
      <c r="B73" s="106">
        <f>AA73</f>
        <v>3365.5705125129066</v>
      </c>
      <c r="C73" s="106" t="s">
        <v>104</v>
      </c>
      <c r="D73" s="106">
        <f>0</f>
        <v>0</v>
      </c>
      <c r="E73" s="106">
        <f t="shared" ref="E73:AA73" si="30">D75</f>
        <v>0</v>
      </c>
      <c r="F73" s="106">
        <f t="shared" si="30"/>
        <v>0</v>
      </c>
      <c r="G73" s="106">
        <f t="shared" si="30"/>
        <v>14.311473431807201</v>
      </c>
      <c r="H73" s="106">
        <f t="shared" si="30"/>
        <v>0</v>
      </c>
      <c r="I73" s="106">
        <f t="shared" si="30"/>
        <v>307.70269829286269</v>
      </c>
      <c r="J73" s="106">
        <f t="shared" si="30"/>
        <v>590.3291886729354</v>
      </c>
      <c r="K73" s="106">
        <f t="shared" si="30"/>
        <v>835.99334858955558</v>
      </c>
      <c r="L73" s="106">
        <f t="shared" si="30"/>
        <v>1089.035620316271</v>
      </c>
      <c r="M73" s="106">
        <f t="shared" si="30"/>
        <v>1264.2812138522677</v>
      </c>
      <c r="N73" s="106">
        <f t="shared" si="30"/>
        <v>1533.0924081628621</v>
      </c>
      <c r="O73" s="106">
        <f t="shared" si="30"/>
        <v>1654.5994720737776</v>
      </c>
      <c r="P73" s="106">
        <f t="shared" si="30"/>
        <v>1738.7411015539069</v>
      </c>
      <c r="Q73" s="106">
        <f t="shared" si="30"/>
        <v>1772.463346754033</v>
      </c>
      <c r="R73" s="106">
        <f t="shared" si="30"/>
        <v>1832.2136509807324</v>
      </c>
      <c r="S73" s="106">
        <f t="shared" si="30"/>
        <v>1996.3955540011675</v>
      </c>
      <c r="T73" s="106">
        <f t="shared" si="30"/>
        <v>2122.0144125129068</v>
      </c>
      <c r="U73" s="106">
        <f t="shared" si="30"/>
        <v>2337.2251125129069</v>
      </c>
      <c r="V73" s="106">
        <f t="shared" si="30"/>
        <v>2530.0483125129067</v>
      </c>
      <c r="W73" s="106">
        <f t="shared" si="30"/>
        <v>2689.8723375129066</v>
      </c>
      <c r="X73" s="106">
        <f t="shared" si="30"/>
        <v>2869.5316875129065</v>
      </c>
      <c r="Y73" s="106">
        <f t="shared" si="30"/>
        <v>2979.3868125129065</v>
      </c>
      <c r="Z73" s="106">
        <f t="shared" si="30"/>
        <v>3173.1950625129066</v>
      </c>
      <c r="AA73" s="106">
        <f t="shared" si="30"/>
        <v>3365.5705125129066</v>
      </c>
    </row>
    <row r="74" spans="1:27" ht="12.75" customHeight="1" x14ac:dyDescent="0.35">
      <c r="A74" s="112" t="s">
        <v>302</v>
      </c>
      <c r="B74" s="106">
        <f>SUM(D74:AA74)</f>
        <v>14.311473431807201</v>
      </c>
      <c r="C74" s="106">
        <f>B74/24</f>
        <v>0.59631139299196667</v>
      </c>
      <c r="D74" s="106">
        <f t="shared" ref="D74:AA74" si="31">MIN(D73,MAX(D71-D72,0))</f>
        <v>0</v>
      </c>
      <c r="E74" s="106">
        <f t="shared" si="31"/>
        <v>0</v>
      </c>
      <c r="F74" s="106">
        <f t="shared" si="31"/>
        <v>0</v>
      </c>
      <c r="G74" s="106">
        <f t="shared" si="31"/>
        <v>14.311473431807201</v>
      </c>
      <c r="H74" s="106">
        <f t="shared" si="31"/>
        <v>0</v>
      </c>
      <c r="I74" s="106">
        <f t="shared" si="31"/>
        <v>0</v>
      </c>
      <c r="J74" s="106">
        <f t="shared" si="31"/>
        <v>0</v>
      </c>
      <c r="K74" s="106">
        <f t="shared" si="31"/>
        <v>0</v>
      </c>
      <c r="L74" s="106">
        <f t="shared" si="31"/>
        <v>0</v>
      </c>
      <c r="M74" s="106">
        <f t="shared" si="31"/>
        <v>0</v>
      </c>
      <c r="N74" s="106">
        <f t="shared" si="31"/>
        <v>0</v>
      </c>
      <c r="O74" s="106">
        <f t="shared" si="31"/>
        <v>0</v>
      </c>
      <c r="P74" s="106">
        <f t="shared" si="31"/>
        <v>0</v>
      </c>
      <c r="Q74" s="106">
        <f t="shared" si="31"/>
        <v>0</v>
      </c>
      <c r="R74" s="106">
        <f t="shared" si="31"/>
        <v>0</v>
      </c>
      <c r="S74" s="106">
        <f t="shared" si="31"/>
        <v>0</v>
      </c>
      <c r="T74" s="106">
        <f t="shared" si="31"/>
        <v>0</v>
      </c>
      <c r="U74" s="106">
        <f t="shared" si="31"/>
        <v>0</v>
      </c>
      <c r="V74" s="106">
        <f t="shared" si="31"/>
        <v>0</v>
      </c>
      <c r="W74" s="106">
        <f t="shared" si="31"/>
        <v>0</v>
      </c>
      <c r="X74" s="106">
        <f t="shared" si="31"/>
        <v>0</v>
      </c>
      <c r="Y74" s="106">
        <f t="shared" si="31"/>
        <v>0</v>
      </c>
      <c r="Z74" s="106">
        <f t="shared" si="31"/>
        <v>0</v>
      </c>
      <c r="AA74" s="106">
        <f t="shared" si="31"/>
        <v>0</v>
      </c>
    </row>
    <row r="75" spans="1:27" ht="13.5" customHeight="1" x14ac:dyDescent="0.35">
      <c r="A75" s="40" t="s">
        <v>303</v>
      </c>
      <c r="B75" s="42">
        <f>AA75</f>
        <v>3516.0365625129066</v>
      </c>
      <c r="C75" s="106" t="s">
        <v>104</v>
      </c>
      <c r="D75" s="123">
        <f t="shared" ref="D75:AA75" si="32">MAX(D73-D74,0)+MAX(D72-D71,0)</f>
        <v>0</v>
      </c>
      <c r="E75" s="123">
        <f t="shared" si="32"/>
        <v>0</v>
      </c>
      <c r="F75" s="123">
        <f t="shared" si="32"/>
        <v>14.311473431807201</v>
      </c>
      <c r="G75" s="123">
        <f t="shared" si="32"/>
        <v>0</v>
      </c>
      <c r="H75" s="123">
        <f t="shared" si="32"/>
        <v>307.70269829286269</v>
      </c>
      <c r="I75" s="123">
        <f t="shared" si="32"/>
        <v>590.3291886729354</v>
      </c>
      <c r="J75" s="123">
        <f t="shared" si="32"/>
        <v>835.99334858955558</v>
      </c>
      <c r="K75" s="123">
        <f t="shared" si="32"/>
        <v>1089.035620316271</v>
      </c>
      <c r="L75" s="123">
        <f t="shared" si="32"/>
        <v>1264.2812138522677</v>
      </c>
      <c r="M75" s="123">
        <f t="shared" si="32"/>
        <v>1533.0924081628621</v>
      </c>
      <c r="N75" s="123">
        <f t="shared" si="32"/>
        <v>1654.5994720737776</v>
      </c>
      <c r="O75" s="123">
        <f t="shared" si="32"/>
        <v>1738.7411015539069</v>
      </c>
      <c r="P75" s="123">
        <f t="shared" si="32"/>
        <v>1772.463346754033</v>
      </c>
      <c r="Q75" s="123">
        <f t="shared" si="32"/>
        <v>1832.2136509807324</v>
      </c>
      <c r="R75" s="123">
        <f t="shared" si="32"/>
        <v>1996.3955540011675</v>
      </c>
      <c r="S75" s="123">
        <f t="shared" si="32"/>
        <v>2122.0144125129068</v>
      </c>
      <c r="T75" s="123">
        <f t="shared" si="32"/>
        <v>2337.2251125129069</v>
      </c>
      <c r="U75" s="123">
        <f t="shared" si="32"/>
        <v>2530.0483125129067</v>
      </c>
      <c r="V75" s="123">
        <f t="shared" si="32"/>
        <v>2689.8723375129066</v>
      </c>
      <c r="W75" s="123">
        <f t="shared" si="32"/>
        <v>2869.5316875129065</v>
      </c>
      <c r="X75" s="123">
        <f t="shared" si="32"/>
        <v>2979.3868125129065</v>
      </c>
      <c r="Y75" s="123">
        <f t="shared" si="32"/>
        <v>3173.1950625129066</v>
      </c>
      <c r="Z75" s="123">
        <f t="shared" si="32"/>
        <v>3365.5705125129066</v>
      </c>
      <c r="AA75" s="123">
        <f t="shared" si="32"/>
        <v>3516.0365625129066</v>
      </c>
    </row>
    <row r="76" spans="1:27" ht="12.75" customHeight="1" x14ac:dyDescent="0.35">
      <c r="A76" s="113" t="s">
        <v>304</v>
      </c>
      <c r="B76" s="114">
        <f>AA76</f>
        <v>0</v>
      </c>
      <c r="C76" s="106" t="s">
        <v>104</v>
      </c>
      <c r="D76" s="114">
        <f>0</f>
        <v>0</v>
      </c>
      <c r="E76" s="114">
        <f t="shared" ref="E76:AA76" si="33">D78</f>
        <v>0</v>
      </c>
      <c r="F76" s="114">
        <f t="shared" si="33"/>
        <v>0</v>
      </c>
      <c r="G76" s="114">
        <f t="shared" si="33"/>
        <v>0</v>
      </c>
      <c r="H76" s="114">
        <f t="shared" si="33"/>
        <v>0</v>
      </c>
      <c r="I76" s="114">
        <f t="shared" si="33"/>
        <v>0</v>
      </c>
      <c r="J76" s="114">
        <f t="shared" si="33"/>
        <v>0</v>
      </c>
      <c r="K76" s="114">
        <f t="shared" si="33"/>
        <v>0</v>
      </c>
      <c r="L76" s="114">
        <f t="shared" si="33"/>
        <v>0</v>
      </c>
      <c r="M76" s="114">
        <f t="shared" si="33"/>
        <v>0</v>
      </c>
      <c r="N76" s="114">
        <f t="shared" si="33"/>
        <v>0</v>
      </c>
      <c r="O76" s="114">
        <f t="shared" si="33"/>
        <v>0</v>
      </c>
      <c r="P76" s="114">
        <f t="shared" si="33"/>
        <v>0</v>
      </c>
      <c r="Q76" s="114">
        <f t="shared" si="33"/>
        <v>0</v>
      </c>
      <c r="R76" s="114">
        <f t="shared" si="33"/>
        <v>0</v>
      </c>
      <c r="S76" s="114">
        <f t="shared" si="33"/>
        <v>0</v>
      </c>
      <c r="T76" s="114">
        <f t="shared" si="33"/>
        <v>0</v>
      </c>
      <c r="U76" s="114">
        <f t="shared" si="33"/>
        <v>0</v>
      </c>
      <c r="V76" s="114">
        <f t="shared" si="33"/>
        <v>0</v>
      </c>
      <c r="W76" s="114">
        <f t="shared" si="33"/>
        <v>0</v>
      </c>
      <c r="X76" s="114">
        <f t="shared" si="33"/>
        <v>0</v>
      </c>
      <c r="Y76" s="114">
        <f t="shared" si="33"/>
        <v>0</v>
      </c>
      <c r="Z76" s="114">
        <f t="shared" si="33"/>
        <v>0</v>
      </c>
      <c r="AA76" s="114">
        <f t="shared" si="33"/>
        <v>0</v>
      </c>
    </row>
    <row r="77" spans="1:27" ht="12.75" customHeight="1" x14ac:dyDescent="0.35">
      <c r="A77" s="113" t="s">
        <v>312</v>
      </c>
      <c r="B77" s="114">
        <f>SUM(D77:AA77)</f>
        <v>0</v>
      </c>
      <c r="C77" s="106">
        <f>B77/24</f>
        <v>0</v>
      </c>
      <c r="D77" s="114">
        <f t="shared" ref="D77:AA77" si="34">MIN(D76,D71)</f>
        <v>0</v>
      </c>
      <c r="E77" s="114">
        <f t="shared" si="34"/>
        <v>0</v>
      </c>
      <c r="F77" s="114">
        <f t="shared" si="34"/>
        <v>0</v>
      </c>
      <c r="G77" s="114">
        <f t="shared" si="34"/>
        <v>0</v>
      </c>
      <c r="H77" s="114">
        <f t="shared" si="34"/>
        <v>0</v>
      </c>
      <c r="I77" s="114">
        <f t="shared" si="34"/>
        <v>0</v>
      </c>
      <c r="J77" s="114">
        <f t="shared" si="34"/>
        <v>0</v>
      </c>
      <c r="K77" s="114">
        <f t="shared" si="34"/>
        <v>0</v>
      </c>
      <c r="L77" s="114">
        <f t="shared" si="34"/>
        <v>0</v>
      </c>
      <c r="M77" s="114">
        <f t="shared" si="34"/>
        <v>0</v>
      </c>
      <c r="N77" s="114">
        <f t="shared" si="34"/>
        <v>0</v>
      </c>
      <c r="O77" s="114">
        <f t="shared" si="34"/>
        <v>0</v>
      </c>
      <c r="P77" s="114">
        <f t="shared" si="34"/>
        <v>0</v>
      </c>
      <c r="Q77" s="114">
        <f t="shared" si="34"/>
        <v>0</v>
      </c>
      <c r="R77" s="114">
        <f t="shared" si="34"/>
        <v>0</v>
      </c>
      <c r="S77" s="114">
        <f t="shared" si="34"/>
        <v>0</v>
      </c>
      <c r="T77" s="114">
        <f t="shared" si="34"/>
        <v>0</v>
      </c>
      <c r="U77" s="114">
        <f t="shared" si="34"/>
        <v>0</v>
      </c>
      <c r="V77" s="114">
        <f t="shared" si="34"/>
        <v>0</v>
      </c>
      <c r="W77" s="114">
        <f t="shared" si="34"/>
        <v>0</v>
      </c>
      <c r="X77" s="114">
        <f t="shared" si="34"/>
        <v>0</v>
      </c>
      <c r="Y77" s="114">
        <f t="shared" si="34"/>
        <v>0</v>
      </c>
      <c r="Z77" s="114">
        <f t="shared" si="34"/>
        <v>0</v>
      </c>
      <c r="AA77" s="114">
        <f t="shared" si="34"/>
        <v>0</v>
      </c>
    </row>
    <row r="78" spans="1:27" ht="12.75" customHeight="1" x14ac:dyDescent="0.35">
      <c r="A78" s="113" t="s">
        <v>313</v>
      </c>
      <c r="B78" s="114">
        <f>AA78</f>
        <v>0</v>
      </c>
      <c r="C78" s="106" t="s">
        <v>104</v>
      </c>
      <c r="D78" s="134">
        <f t="shared" ref="D78:AA78" si="35">MAX(D76-D77,0)</f>
        <v>0</v>
      </c>
      <c r="E78" s="134">
        <f t="shared" si="35"/>
        <v>0</v>
      </c>
      <c r="F78" s="134">
        <f t="shared" si="35"/>
        <v>0</v>
      </c>
      <c r="G78" s="134">
        <f t="shared" si="35"/>
        <v>0</v>
      </c>
      <c r="H78" s="134">
        <f t="shared" si="35"/>
        <v>0</v>
      </c>
      <c r="I78" s="134">
        <f t="shared" si="35"/>
        <v>0</v>
      </c>
      <c r="J78" s="134">
        <f t="shared" si="35"/>
        <v>0</v>
      </c>
      <c r="K78" s="134">
        <f t="shared" si="35"/>
        <v>0</v>
      </c>
      <c r="L78" s="134">
        <f t="shared" si="35"/>
        <v>0</v>
      </c>
      <c r="M78" s="134">
        <f t="shared" si="35"/>
        <v>0</v>
      </c>
      <c r="N78" s="134">
        <f t="shared" si="35"/>
        <v>0</v>
      </c>
      <c r="O78" s="134">
        <f t="shared" si="35"/>
        <v>0</v>
      </c>
      <c r="P78" s="134">
        <f t="shared" si="35"/>
        <v>0</v>
      </c>
      <c r="Q78" s="134">
        <f t="shared" si="35"/>
        <v>0</v>
      </c>
      <c r="R78" s="134">
        <f t="shared" si="35"/>
        <v>0</v>
      </c>
      <c r="S78" s="134">
        <f t="shared" si="35"/>
        <v>0</v>
      </c>
      <c r="T78" s="134">
        <f t="shared" si="35"/>
        <v>0</v>
      </c>
      <c r="U78" s="134">
        <f t="shared" si="35"/>
        <v>0</v>
      </c>
      <c r="V78" s="134">
        <f t="shared" si="35"/>
        <v>0</v>
      </c>
      <c r="W78" s="134">
        <f t="shared" si="35"/>
        <v>0</v>
      </c>
      <c r="X78" s="134">
        <f t="shared" si="35"/>
        <v>0</v>
      </c>
      <c r="Y78" s="134">
        <f t="shared" si="35"/>
        <v>0</v>
      </c>
      <c r="Z78" s="134">
        <f t="shared" si="35"/>
        <v>0</v>
      </c>
      <c r="AA78" s="134">
        <f t="shared" si="35"/>
        <v>0</v>
      </c>
    </row>
    <row r="79" spans="1:27" ht="12.75" customHeight="1" x14ac:dyDescent="0.35">
      <c r="A79" s="125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79" s="128">
        <f>SUM(D79:AA79)</f>
        <v>10172.302067757117</v>
      </c>
      <c r="C79" s="110">
        <f>B79/24</f>
        <v>423.84591948987986</v>
      </c>
      <c r="D79" s="128">
        <f>D71*Premissas!$F$19</f>
        <v>416.47091372598243</v>
      </c>
      <c r="E79" s="128">
        <f>E71*Premissas!$F$19</f>
        <v>416.47091372598243</v>
      </c>
      <c r="F79" s="128">
        <f>F71*Premissas!$F$19</f>
        <v>416.47091372598243</v>
      </c>
      <c r="G79" s="128">
        <f>G71*Premissas!$F$19</f>
        <v>416.47091372598243</v>
      </c>
      <c r="H79" s="128">
        <f>H71*Premissas!$F$19</f>
        <v>416.47091372598243</v>
      </c>
      <c r="I79" s="128">
        <f>I71*Premissas!$F$19</f>
        <v>416.47091372598243</v>
      </c>
      <c r="J79" s="128">
        <f>J71*Premissas!$F$19</f>
        <v>416.47091372598243</v>
      </c>
      <c r="K79" s="128">
        <f>K71*Premissas!$F$19</f>
        <v>426.88268656913192</v>
      </c>
      <c r="L79" s="128">
        <f>L71*Premissas!$F$19</f>
        <v>426.88268656913192</v>
      </c>
      <c r="M79" s="128">
        <f>M71*Premissas!$F$19</f>
        <v>426.88268656913192</v>
      </c>
      <c r="N79" s="128">
        <f>N71*Premissas!$F$19</f>
        <v>426.88268656913192</v>
      </c>
      <c r="O79" s="128">
        <f>O71*Premissas!$F$19</f>
        <v>426.88268656913192</v>
      </c>
      <c r="P79" s="128">
        <f>P71*Premissas!$F$19</f>
        <v>426.88268656913192</v>
      </c>
      <c r="Q79" s="128">
        <f>Q71*Premissas!$F$19</f>
        <v>426.88268656913192</v>
      </c>
      <c r="R79" s="128">
        <f>R71*Premissas!$F$19</f>
        <v>426.88268656913192</v>
      </c>
      <c r="S79" s="128">
        <f>S71*Premissas!$F$19</f>
        <v>426.88268656913192</v>
      </c>
      <c r="T79" s="128">
        <f>T71*Premissas!$F$19</f>
        <v>426.88268656913192</v>
      </c>
      <c r="U79" s="128">
        <f>U71*Premissas!$F$19</f>
        <v>426.88268656913192</v>
      </c>
      <c r="V79" s="128">
        <f>V71*Premissas!$F$19</f>
        <v>426.88268656913192</v>
      </c>
      <c r="W79" s="128">
        <f>W71*Premissas!$F$19</f>
        <v>426.88268656913192</v>
      </c>
      <c r="X79" s="128">
        <f>X71*Premissas!$F$19</f>
        <v>426.88268656913192</v>
      </c>
      <c r="Y79" s="128">
        <f>Y71*Premissas!$F$19</f>
        <v>426.88268656913192</v>
      </c>
      <c r="Z79" s="128">
        <f>Z71*Premissas!$F$19</f>
        <v>426.88268656913192</v>
      </c>
      <c r="AA79" s="128">
        <f>AA71*Premissas!$F$19</f>
        <v>426.88268656913192</v>
      </c>
    </row>
    <row r="80" spans="1:27" ht="12.75" customHeight="1" x14ac:dyDescent="0.35">
      <c r="A80" s="129" t="s">
        <v>307</v>
      </c>
      <c r="B80" s="130">
        <f>SUM(D80:AA80)</f>
        <v>168.62741804664904</v>
      </c>
      <c r="C80" s="110">
        <f>B80/24</f>
        <v>7.0261424186103767</v>
      </c>
      <c r="D80" s="130">
        <f>IF(D75&gt;0,0,MAX(D71-D72-D73,0)*Premissas!$B$7)</f>
        <v>95.487367656745661</v>
      </c>
      <c r="E80" s="130">
        <f>IF(E75&gt;0,0,MAX(E71-E72-E73,0)*Premissas!$B$7)</f>
        <v>73.133465650577662</v>
      </c>
      <c r="F80" s="130">
        <f>IF(F75&gt;0,0,MAX(F71-F72-F73,0)*Premissas!$B$7)</f>
        <v>0</v>
      </c>
      <c r="G80" s="130">
        <f>IF(G75&gt;0,0,MAX(G71-G72-G73,0)*Premissas!$B$7)</f>
        <v>6.5847393257129662E-3</v>
      </c>
      <c r="H80" s="130">
        <f>IF(H75&gt;0,0,MAX(H71-H72-H73,0)*Premissas!$B$7)</f>
        <v>0</v>
      </c>
      <c r="I80" s="130">
        <f>IF(I75&gt;0,0,MAX(I71-I72-I73,0)*Premissas!$B$7)</f>
        <v>0</v>
      </c>
      <c r="J80" s="130">
        <f>IF(J75&gt;0,0,MAX(J71-J72-J73,0)*Premissas!$B$7)</f>
        <v>0</v>
      </c>
      <c r="K80" s="130">
        <f>IF(K75&gt;0,0,MAX(K71-K72-K73,0)*Premissas!$B$7)</f>
        <v>0</v>
      </c>
      <c r="L80" s="130">
        <f>IF(L75&gt;0,0,MAX(L71-L72-L73,0)*Premissas!$B$7)</f>
        <v>0</v>
      </c>
      <c r="M80" s="130">
        <f>IF(M75&gt;0,0,MAX(M71-M72-M73,0)*Premissas!$B$7)</f>
        <v>0</v>
      </c>
      <c r="N80" s="130">
        <f>IF(N75&gt;0,0,MAX(N71-N72-N73,0)*Premissas!$B$7)</f>
        <v>0</v>
      </c>
      <c r="O80" s="130">
        <f>IF(O75&gt;0,0,MAX(O71-O72-O73,0)*Premissas!$B$7)</f>
        <v>0</v>
      </c>
      <c r="P80" s="130">
        <f>IF(P75&gt;0,0,MAX(P71-P72-P73,0)*Premissas!$B$7)</f>
        <v>0</v>
      </c>
      <c r="Q80" s="130">
        <f>IF(Q75&gt;0,0,MAX(Q71-Q72-Q73,0)*Premissas!$B$7)</f>
        <v>0</v>
      </c>
      <c r="R80" s="130">
        <f>IF(R75&gt;0,0,MAX(R71-R72-R73,0)*Premissas!$B$7)</f>
        <v>0</v>
      </c>
      <c r="S80" s="130">
        <f>IF(S75&gt;0,0,MAX(S71-S72-S73,0)*Premissas!$B$7)</f>
        <v>0</v>
      </c>
      <c r="T80" s="130">
        <f>IF(T75&gt;0,0,MAX(T71-T72-T73,0)*Premissas!$B$7)</f>
        <v>0</v>
      </c>
      <c r="U80" s="130">
        <f>IF(U75&gt;0,0,MAX(U71-U72-U73,0)*Premissas!$B$7)</f>
        <v>0</v>
      </c>
      <c r="V80" s="130">
        <f>IF(V75&gt;0,0,MAX(V71-V72-V73,0)*Premissas!$B$7)</f>
        <v>0</v>
      </c>
      <c r="W80" s="130">
        <f>IF(W75&gt;0,0,MAX(W71-W72-W73,0)*Premissas!$B$7)</f>
        <v>0</v>
      </c>
      <c r="X80" s="130">
        <f>IF(X75&gt;0,0,MAX(X71-X72-X73,0)*Premissas!$B$7)</f>
        <v>0</v>
      </c>
      <c r="Y80" s="130">
        <f>IF(Y75&gt;0,0,MAX(Y71-Y72-Y73,0)*Premissas!$B$7)</f>
        <v>0</v>
      </c>
      <c r="Z80" s="130">
        <f>IF(Z75&gt;0,0,MAX(Z71-Z72-Z73,0)*Premissas!$B$7)</f>
        <v>0</v>
      </c>
      <c r="AA80" s="130">
        <f>IF(AA75&gt;0,0,MAX(AA71-AA72-AA73,0)*Premissas!$B$7)</f>
        <v>0</v>
      </c>
    </row>
    <row r="81" spans="1:27" ht="13.5" customHeight="1" x14ac:dyDescent="0.35">
      <c r="A81" s="40" t="s">
        <v>308</v>
      </c>
      <c r="B81" s="43">
        <f>SUM(D81:AA81)</f>
        <v>10003.674649710467</v>
      </c>
      <c r="C81" s="110">
        <f>B81/24</f>
        <v>416.81977707126947</v>
      </c>
      <c r="D81" s="131">
        <f t="shared" ref="D81:AA81" si="36">MAX(D79-D80,0)</f>
        <v>320.98354606923675</v>
      </c>
      <c r="E81" s="131">
        <f t="shared" si="36"/>
        <v>343.33744807540478</v>
      </c>
      <c r="F81" s="131">
        <f t="shared" si="36"/>
        <v>416.47091372598243</v>
      </c>
      <c r="G81" s="131">
        <f t="shared" si="36"/>
        <v>416.46432898665671</v>
      </c>
      <c r="H81" s="131">
        <f t="shared" si="36"/>
        <v>416.47091372598243</v>
      </c>
      <c r="I81" s="131">
        <f t="shared" si="36"/>
        <v>416.47091372598243</v>
      </c>
      <c r="J81" s="131">
        <f t="shared" si="36"/>
        <v>416.47091372598243</v>
      </c>
      <c r="K81" s="131">
        <f t="shared" si="36"/>
        <v>426.88268656913192</v>
      </c>
      <c r="L81" s="131">
        <f t="shared" si="36"/>
        <v>426.88268656913192</v>
      </c>
      <c r="M81" s="131">
        <f t="shared" si="36"/>
        <v>426.88268656913192</v>
      </c>
      <c r="N81" s="131">
        <f t="shared" si="36"/>
        <v>426.88268656913192</v>
      </c>
      <c r="O81" s="131">
        <f t="shared" si="36"/>
        <v>426.88268656913192</v>
      </c>
      <c r="P81" s="131">
        <f t="shared" si="36"/>
        <v>426.88268656913192</v>
      </c>
      <c r="Q81" s="131">
        <f t="shared" si="36"/>
        <v>426.88268656913192</v>
      </c>
      <c r="R81" s="131">
        <f t="shared" si="36"/>
        <v>426.88268656913192</v>
      </c>
      <c r="S81" s="131">
        <f t="shared" si="36"/>
        <v>426.88268656913192</v>
      </c>
      <c r="T81" s="131">
        <f t="shared" si="36"/>
        <v>426.88268656913192</v>
      </c>
      <c r="U81" s="131">
        <f t="shared" si="36"/>
        <v>426.88268656913192</v>
      </c>
      <c r="V81" s="131">
        <f t="shared" si="36"/>
        <v>426.88268656913192</v>
      </c>
      <c r="W81" s="131">
        <f t="shared" si="36"/>
        <v>426.88268656913192</v>
      </c>
      <c r="X81" s="131">
        <f t="shared" si="36"/>
        <v>426.88268656913192</v>
      </c>
      <c r="Y81" s="131">
        <f t="shared" si="36"/>
        <v>426.88268656913192</v>
      </c>
      <c r="Z81" s="131">
        <f t="shared" si="36"/>
        <v>426.88268656913192</v>
      </c>
      <c r="AA81" s="131">
        <f t="shared" si="36"/>
        <v>426.88268656913192</v>
      </c>
    </row>
    <row r="83" spans="1:27" ht="15" customHeight="1" x14ac:dyDescent="0.35">
      <c r="A83" s="229" t="s">
        <v>315</v>
      </c>
      <c r="B83" s="229"/>
      <c r="C83" s="229"/>
      <c r="D83" s="229"/>
      <c r="E83" s="229"/>
      <c r="F83" s="229"/>
      <c r="G83" s="229"/>
      <c r="H83" s="229"/>
      <c r="I83" s="229"/>
      <c r="J83" s="229"/>
      <c r="K83" s="229"/>
      <c r="L83" s="229"/>
      <c r="M83" s="229"/>
      <c r="N83" s="229"/>
      <c r="O83" s="229"/>
      <c r="P83" s="229"/>
      <c r="Q83" s="229"/>
      <c r="R83" s="229"/>
      <c r="S83" s="229"/>
      <c r="T83" s="229"/>
      <c r="U83" s="229"/>
      <c r="V83" s="229"/>
      <c r="W83" s="229"/>
      <c r="X83" s="229"/>
      <c r="Y83" s="229"/>
      <c r="Z83" s="229"/>
      <c r="AA83" s="229"/>
    </row>
    <row r="84" spans="1:27" ht="12.75" customHeight="1" x14ac:dyDescent="0.35">
      <c r="A84" s="132" t="s">
        <v>295</v>
      </c>
      <c r="B84" s="133">
        <f>SUM(D84:AA84)</f>
        <v>14748.825000000003</v>
      </c>
      <c r="C84" s="106">
        <f>B84/24</f>
        <v>614.53437500000007</v>
      </c>
      <c r="D84" s="133">
        <v>364</v>
      </c>
      <c r="E84" s="133">
        <v>293</v>
      </c>
      <c r="F84" s="133">
        <v>369</v>
      </c>
      <c r="G84" s="133">
        <v>674</v>
      </c>
      <c r="H84" s="133">
        <v>752</v>
      </c>
      <c r="I84" s="133">
        <v>769</v>
      </c>
      <c r="J84" s="133">
        <v>670</v>
      </c>
      <c r="K84" s="133">
        <f>389*(1+Premissas!$B$21)</f>
        <v>398.72499999999997</v>
      </c>
      <c r="L84" s="133">
        <f>895*(1+Premissas!$B$21)</f>
        <v>917.37499999999989</v>
      </c>
      <c r="M84" s="133">
        <f>944*(1+Premissas!$B$21)</f>
        <v>967.59999999999991</v>
      </c>
      <c r="N84" s="133">
        <f>528*(1+Premissas!$B$21)</f>
        <v>541.19999999999993</v>
      </c>
      <c r="O84" s="133">
        <f>595*(1+Premissas!$B$21)</f>
        <v>609.875</v>
      </c>
      <c r="P84" s="133">
        <f>364*(1+Premissas!$B$21)</f>
        <v>373.09999999999997</v>
      </c>
      <c r="Q84" s="133">
        <f>293*(1+Premissas!$B$21)</f>
        <v>300.32499999999999</v>
      </c>
      <c r="R84" s="133">
        <f>369*(1+Premissas!$B$21)</f>
        <v>378.22499999999997</v>
      </c>
      <c r="S84" s="133">
        <f>674*(1+Premissas!$B$21)</f>
        <v>690.84999999999991</v>
      </c>
      <c r="T84" s="133">
        <f>752*(1+Premissas!$B$21)</f>
        <v>770.8</v>
      </c>
      <c r="U84" s="133">
        <f>769*(1+Premissas!$B$21)</f>
        <v>788.22499999999991</v>
      </c>
      <c r="V84" s="133">
        <f>670*(1+Premissas!$B$21)</f>
        <v>686.74999999999989</v>
      </c>
      <c r="W84" s="133">
        <f>389*(1+Premissas!$B$21)</f>
        <v>398.72499999999997</v>
      </c>
      <c r="X84" s="133">
        <f>895*(1+Premissas!$B$21)</f>
        <v>917.37499999999989</v>
      </c>
      <c r="Y84" s="133">
        <f>944*(1+Premissas!$B$21)</f>
        <v>967.59999999999991</v>
      </c>
      <c r="Z84" s="133">
        <f>528*(1+Premissas!$B$21)</f>
        <v>541.19999999999993</v>
      </c>
      <c r="AA84" s="133">
        <f>595*(1+Premissas!$B$21)</f>
        <v>609.875</v>
      </c>
    </row>
    <row r="85" spans="1:27" ht="12.75" customHeight="1" x14ac:dyDescent="0.35">
      <c r="A85" s="108" t="str">
        <f>"  "&amp;INDEX(PVSYST_Helexia!$A$5:$A$7,MATCH(Premissas!$B$13,PVSYST_Helexia!$B$5:$B$7,0))&amp;" créditos recebidos (kWh)"</f>
        <v xml:space="preserve">  HCS03 créditos recebidos (kWh)</v>
      </c>
      <c r="B85" s="121">
        <f>SUM(D85:AA85)</f>
        <v>19680.507187428488</v>
      </c>
      <c r="C85" s="106">
        <f>B85/24</f>
        <v>820.02113280952028</v>
      </c>
      <c r="D85" s="122">
        <f>D6*Premissas!$B$38</f>
        <v>377.62534225897286</v>
      </c>
      <c r="E85" s="122">
        <f>E6*Premissas!$B$38</f>
        <v>397.48272778626131</v>
      </c>
      <c r="F85" s="122">
        <f>F6*Premissas!$B$38</f>
        <v>477.15591879759074</v>
      </c>
      <c r="G85" s="122">
        <f>G6*Premissas!$B$38</f>
        <v>447.73531385992095</v>
      </c>
      <c r="H85" s="122">
        <f>H6*Premissas!$C$38</f>
        <v>1165.4812174196977</v>
      </c>
      <c r="I85" s="122">
        <f>I6*Premissas!$C$38</f>
        <v>1126.909559443139</v>
      </c>
      <c r="J85" s="122">
        <f>J6*Premissas!$C$38</f>
        <v>1070.0549355856915</v>
      </c>
      <c r="K85" s="122">
        <f>K6*Premissas!$C$38</f>
        <v>1098.7082774301578</v>
      </c>
      <c r="L85" s="122">
        <f>L6*Premissas!$C$38</f>
        <v>979.04318000710236</v>
      </c>
      <c r="M85" s="122">
        <f>M6*Premissas!$C$38</f>
        <v>1122.963678832137</v>
      </c>
      <c r="N85" s="122">
        <f>N6*Premissas!$D$38</f>
        <v>569.96934710596145</v>
      </c>
      <c r="O85" s="122">
        <f>O6*Premissas!$D$38</f>
        <v>533.42384026316233</v>
      </c>
      <c r="P85" s="122">
        <f>P6*Premissas!$D$38</f>
        <v>484.11083263233422</v>
      </c>
      <c r="Q85" s="122">
        <f>Q6*Premissas!$D$38</f>
        <v>509.56774551855739</v>
      </c>
      <c r="R85" s="122">
        <f>R6*Premissas!$D$38</f>
        <v>611.70775182279056</v>
      </c>
      <c r="S85" s="122">
        <f>S6*Premissas!$D$38</f>
        <v>573.990914632466</v>
      </c>
      <c r="T85" s="122">
        <f>T6*Premissas!$E$38</f>
        <v>1082.3559027506362</v>
      </c>
      <c r="U85" s="122">
        <f>U6*Premissas!$E$38</f>
        <v>1046.535281134584</v>
      </c>
      <c r="V85" s="122">
        <f>V6*Premissas!$E$38</f>
        <v>993.73568487252282</v>
      </c>
      <c r="W85" s="122">
        <f>W6*Premissas!$E$38</f>
        <v>1025.4727556243449</v>
      </c>
      <c r="X85" s="122">
        <f>X6*Premissas!$E$38</f>
        <v>913.7840574254941</v>
      </c>
      <c r="Y85" s="122">
        <f>Y6*Premissas!$E$38</f>
        <v>1048.1113884856902</v>
      </c>
      <c r="Z85" s="122">
        <f>Z6*Premissas!$E$38</f>
        <v>1045.8188687022628</v>
      </c>
      <c r="AA85" s="122">
        <f>AA6*Premissas!$E$38</f>
        <v>978.76266503701288</v>
      </c>
    </row>
    <row r="86" spans="1:27" ht="12.75" customHeight="1" x14ac:dyDescent="0.35">
      <c r="A86" s="112" t="s">
        <v>301</v>
      </c>
      <c r="B86" s="106">
        <f>AA86</f>
        <v>4562.7952196887336</v>
      </c>
      <c r="C86" s="106" t="s">
        <v>104</v>
      </c>
      <c r="D86" s="106">
        <f>0</f>
        <v>0</v>
      </c>
      <c r="E86" s="106">
        <f t="shared" ref="E86:AA86" si="37">D88</f>
        <v>13.625342258972864</v>
      </c>
      <c r="F86" s="106">
        <f t="shared" si="37"/>
        <v>118.10807004523417</v>
      </c>
      <c r="G86" s="106">
        <f t="shared" si="37"/>
        <v>226.26398884282492</v>
      </c>
      <c r="H86" s="106">
        <f t="shared" si="37"/>
        <v>0</v>
      </c>
      <c r="I86" s="106">
        <f t="shared" si="37"/>
        <v>413.48121741969771</v>
      </c>
      <c r="J86" s="106">
        <f t="shared" si="37"/>
        <v>771.39077686283667</v>
      </c>
      <c r="K86" s="106">
        <f t="shared" si="37"/>
        <v>1171.4457124485282</v>
      </c>
      <c r="L86" s="106">
        <f t="shared" si="37"/>
        <v>1871.428989878686</v>
      </c>
      <c r="M86" s="106">
        <f t="shared" si="37"/>
        <v>1933.0971698857884</v>
      </c>
      <c r="N86" s="106">
        <f t="shared" si="37"/>
        <v>2088.4608487179257</v>
      </c>
      <c r="O86" s="106">
        <f t="shared" si="37"/>
        <v>2117.2301958238872</v>
      </c>
      <c r="P86" s="106">
        <f t="shared" si="37"/>
        <v>2040.7790360870495</v>
      </c>
      <c r="Q86" s="106">
        <f t="shared" si="37"/>
        <v>2151.7898687193838</v>
      </c>
      <c r="R86" s="106">
        <f t="shared" si="37"/>
        <v>2361.0326142379413</v>
      </c>
      <c r="S86" s="106">
        <f t="shared" si="37"/>
        <v>2594.515366060732</v>
      </c>
      <c r="T86" s="106">
        <f t="shared" si="37"/>
        <v>2477.6562806931979</v>
      </c>
      <c r="U86" s="106">
        <f t="shared" si="37"/>
        <v>2789.212183443834</v>
      </c>
      <c r="V86" s="106">
        <f t="shared" si="37"/>
        <v>3047.5224645784183</v>
      </c>
      <c r="W86" s="106">
        <f t="shared" si="37"/>
        <v>3354.5081494509413</v>
      </c>
      <c r="X86" s="106">
        <f t="shared" si="37"/>
        <v>3981.2559050752861</v>
      </c>
      <c r="Y86" s="106">
        <f t="shared" si="37"/>
        <v>3977.6649625007803</v>
      </c>
      <c r="Z86" s="106">
        <f t="shared" si="37"/>
        <v>4058.1763509864704</v>
      </c>
      <c r="AA86" s="106">
        <f t="shared" si="37"/>
        <v>4562.7952196887336</v>
      </c>
    </row>
    <row r="87" spans="1:27" ht="12.75" customHeight="1" x14ac:dyDescent="0.35">
      <c r="A87" s="112" t="s">
        <v>302</v>
      </c>
      <c r="B87" s="106">
        <f>SUM(D87:AA87)</f>
        <v>423.16517652170228</v>
      </c>
      <c r="C87" s="106">
        <f>B87/24</f>
        <v>17.631882355070928</v>
      </c>
      <c r="D87" s="106">
        <f t="shared" ref="D87:AA87" si="38">MIN(D86,MAX(D84-D85,0))</f>
        <v>0</v>
      </c>
      <c r="E87" s="106">
        <f t="shared" si="38"/>
        <v>0</v>
      </c>
      <c r="F87" s="106">
        <f t="shared" si="38"/>
        <v>0</v>
      </c>
      <c r="G87" s="106">
        <f t="shared" si="38"/>
        <v>226.26398884282492</v>
      </c>
      <c r="H87" s="106">
        <f t="shared" si="38"/>
        <v>0</v>
      </c>
      <c r="I87" s="106">
        <f t="shared" si="38"/>
        <v>0</v>
      </c>
      <c r="J87" s="106">
        <f t="shared" si="38"/>
        <v>0</v>
      </c>
      <c r="K87" s="106">
        <f t="shared" si="38"/>
        <v>0</v>
      </c>
      <c r="L87" s="106">
        <f t="shared" si="38"/>
        <v>0</v>
      </c>
      <c r="M87" s="106">
        <f t="shared" si="38"/>
        <v>0</v>
      </c>
      <c r="N87" s="106">
        <f t="shared" si="38"/>
        <v>0</v>
      </c>
      <c r="O87" s="106">
        <f t="shared" si="38"/>
        <v>76.451159736837667</v>
      </c>
      <c r="P87" s="106">
        <f t="shared" si="38"/>
        <v>0</v>
      </c>
      <c r="Q87" s="106">
        <f t="shared" si="38"/>
        <v>0</v>
      </c>
      <c r="R87" s="106">
        <f t="shared" si="38"/>
        <v>0</v>
      </c>
      <c r="S87" s="106">
        <f t="shared" si="38"/>
        <v>116.85908536753391</v>
      </c>
      <c r="T87" s="106">
        <f t="shared" si="38"/>
        <v>0</v>
      </c>
      <c r="U87" s="106">
        <f t="shared" si="38"/>
        <v>0</v>
      </c>
      <c r="V87" s="106">
        <f t="shared" si="38"/>
        <v>0</v>
      </c>
      <c r="W87" s="106">
        <f t="shared" si="38"/>
        <v>0</v>
      </c>
      <c r="X87" s="106">
        <f t="shared" si="38"/>
        <v>3.5909425745057888</v>
      </c>
      <c r="Y87" s="106">
        <f t="shared" si="38"/>
        <v>0</v>
      </c>
      <c r="Z87" s="106">
        <f t="shared" si="38"/>
        <v>0</v>
      </c>
      <c r="AA87" s="106">
        <f t="shared" si="38"/>
        <v>0</v>
      </c>
    </row>
    <row r="88" spans="1:27" ht="13.5" customHeight="1" x14ac:dyDescent="0.35">
      <c r="A88" s="40" t="s">
        <v>303</v>
      </c>
      <c r="B88" s="42">
        <f>AA88</f>
        <v>4931.6828847257466</v>
      </c>
      <c r="C88" s="106" t="s">
        <v>104</v>
      </c>
      <c r="D88" s="123">
        <f t="shared" ref="D88:AA88" si="39">MAX(D86-D87,0)+MAX(D85-D84,0)</f>
        <v>13.625342258972864</v>
      </c>
      <c r="E88" s="123">
        <f t="shared" si="39"/>
        <v>118.10807004523417</v>
      </c>
      <c r="F88" s="123">
        <f t="shared" si="39"/>
        <v>226.26398884282492</v>
      </c>
      <c r="G88" s="123">
        <f t="shared" si="39"/>
        <v>0</v>
      </c>
      <c r="H88" s="123">
        <f t="shared" si="39"/>
        <v>413.48121741969771</v>
      </c>
      <c r="I88" s="123">
        <f t="shared" si="39"/>
        <v>771.39077686283667</v>
      </c>
      <c r="J88" s="123">
        <f t="shared" si="39"/>
        <v>1171.4457124485282</v>
      </c>
      <c r="K88" s="123">
        <f t="shared" si="39"/>
        <v>1871.428989878686</v>
      </c>
      <c r="L88" s="123">
        <f t="shared" si="39"/>
        <v>1933.0971698857884</v>
      </c>
      <c r="M88" s="123">
        <f t="shared" si="39"/>
        <v>2088.4608487179257</v>
      </c>
      <c r="N88" s="123">
        <f t="shared" si="39"/>
        <v>2117.2301958238872</v>
      </c>
      <c r="O88" s="123">
        <f t="shared" si="39"/>
        <v>2040.7790360870495</v>
      </c>
      <c r="P88" s="123">
        <f t="shared" si="39"/>
        <v>2151.7898687193838</v>
      </c>
      <c r="Q88" s="123">
        <f t="shared" si="39"/>
        <v>2361.0326142379413</v>
      </c>
      <c r="R88" s="123">
        <f t="shared" si="39"/>
        <v>2594.515366060732</v>
      </c>
      <c r="S88" s="123">
        <f t="shared" si="39"/>
        <v>2477.6562806931979</v>
      </c>
      <c r="T88" s="123">
        <f t="shared" si="39"/>
        <v>2789.212183443834</v>
      </c>
      <c r="U88" s="123">
        <f t="shared" si="39"/>
        <v>3047.5224645784183</v>
      </c>
      <c r="V88" s="123">
        <f t="shared" si="39"/>
        <v>3354.5081494509413</v>
      </c>
      <c r="W88" s="123">
        <f t="shared" si="39"/>
        <v>3981.2559050752861</v>
      </c>
      <c r="X88" s="123">
        <f t="shared" si="39"/>
        <v>3977.6649625007803</v>
      </c>
      <c r="Y88" s="123">
        <f t="shared" si="39"/>
        <v>4058.1763509864704</v>
      </c>
      <c r="Z88" s="123">
        <f t="shared" si="39"/>
        <v>4562.7952196887336</v>
      </c>
      <c r="AA88" s="123">
        <f t="shared" si="39"/>
        <v>4931.6828847257466</v>
      </c>
    </row>
    <row r="89" spans="1:27" ht="12.75" customHeight="1" x14ac:dyDescent="0.35">
      <c r="A89" s="113" t="s">
        <v>304</v>
      </c>
      <c r="B89" s="114">
        <f>AA89</f>
        <v>0</v>
      </c>
      <c r="C89" s="106" t="s">
        <v>104</v>
      </c>
      <c r="D89" s="114">
        <f>0</f>
        <v>0</v>
      </c>
      <c r="E89" s="114">
        <f t="shared" ref="E89:AA89" si="40">D91</f>
        <v>0</v>
      </c>
      <c r="F89" s="114">
        <f t="shared" si="40"/>
        <v>0</v>
      </c>
      <c r="G89" s="114">
        <f t="shared" si="40"/>
        <v>0</v>
      </c>
      <c r="H89" s="114">
        <f t="shared" si="40"/>
        <v>0</v>
      </c>
      <c r="I89" s="114">
        <f t="shared" si="40"/>
        <v>0</v>
      </c>
      <c r="J89" s="114">
        <f t="shared" si="40"/>
        <v>0</v>
      </c>
      <c r="K89" s="114">
        <f t="shared" si="40"/>
        <v>0</v>
      </c>
      <c r="L89" s="114">
        <f t="shared" si="40"/>
        <v>0</v>
      </c>
      <c r="M89" s="114">
        <f t="shared" si="40"/>
        <v>0</v>
      </c>
      <c r="N89" s="114">
        <f t="shared" si="40"/>
        <v>0</v>
      </c>
      <c r="O89" s="114">
        <f t="shared" si="40"/>
        <v>0</v>
      </c>
      <c r="P89" s="114">
        <f t="shared" si="40"/>
        <v>0</v>
      </c>
      <c r="Q89" s="114">
        <f t="shared" si="40"/>
        <v>0</v>
      </c>
      <c r="R89" s="114">
        <f t="shared" si="40"/>
        <v>0</v>
      </c>
      <c r="S89" s="114">
        <f t="shared" si="40"/>
        <v>0</v>
      </c>
      <c r="T89" s="114">
        <f t="shared" si="40"/>
        <v>0</v>
      </c>
      <c r="U89" s="114">
        <f t="shared" si="40"/>
        <v>0</v>
      </c>
      <c r="V89" s="114">
        <f t="shared" si="40"/>
        <v>0</v>
      </c>
      <c r="W89" s="114">
        <f t="shared" si="40"/>
        <v>0</v>
      </c>
      <c r="X89" s="114">
        <f t="shared" si="40"/>
        <v>0</v>
      </c>
      <c r="Y89" s="114">
        <f t="shared" si="40"/>
        <v>0</v>
      </c>
      <c r="Z89" s="114">
        <f t="shared" si="40"/>
        <v>0</v>
      </c>
      <c r="AA89" s="114">
        <f t="shared" si="40"/>
        <v>0</v>
      </c>
    </row>
    <row r="90" spans="1:27" ht="12.75" customHeight="1" x14ac:dyDescent="0.35">
      <c r="A90" s="113" t="s">
        <v>312</v>
      </c>
      <c r="B90" s="114">
        <f>SUM(D90:AA90)</f>
        <v>0</v>
      </c>
      <c r="C90" s="106">
        <f>B90/24</f>
        <v>0</v>
      </c>
      <c r="D90" s="114">
        <f t="shared" ref="D90:AA90" si="41">MIN(D89,D84)</f>
        <v>0</v>
      </c>
      <c r="E90" s="114">
        <f t="shared" si="41"/>
        <v>0</v>
      </c>
      <c r="F90" s="114">
        <f t="shared" si="41"/>
        <v>0</v>
      </c>
      <c r="G90" s="114">
        <f t="shared" si="41"/>
        <v>0</v>
      </c>
      <c r="H90" s="114">
        <f t="shared" si="41"/>
        <v>0</v>
      </c>
      <c r="I90" s="114">
        <f t="shared" si="41"/>
        <v>0</v>
      </c>
      <c r="J90" s="114">
        <f t="shared" si="41"/>
        <v>0</v>
      </c>
      <c r="K90" s="114">
        <f t="shared" si="41"/>
        <v>0</v>
      </c>
      <c r="L90" s="114">
        <f t="shared" si="41"/>
        <v>0</v>
      </c>
      <c r="M90" s="114">
        <f t="shared" si="41"/>
        <v>0</v>
      </c>
      <c r="N90" s="114">
        <f t="shared" si="41"/>
        <v>0</v>
      </c>
      <c r="O90" s="114">
        <f t="shared" si="41"/>
        <v>0</v>
      </c>
      <c r="P90" s="114">
        <f t="shared" si="41"/>
        <v>0</v>
      </c>
      <c r="Q90" s="114">
        <f t="shared" si="41"/>
        <v>0</v>
      </c>
      <c r="R90" s="114">
        <f t="shared" si="41"/>
        <v>0</v>
      </c>
      <c r="S90" s="114">
        <f t="shared" si="41"/>
        <v>0</v>
      </c>
      <c r="T90" s="114">
        <f t="shared" si="41"/>
        <v>0</v>
      </c>
      <c r="U90" s="114">
        <f t="shared" si="41"/>
        <v>0</v>
      </c>
      <c r="V90" s="114">
        <f t="shared" si="41"/>
        <v>0</v>
      </c>
      <c r="W90" s="114">
        <f t="shared" si="41"/>
        <v>0</v>
      </c>
      <c r="X90" s="114">
        <f t="shared" si="41"/>
        <v>0</v>
      </c>
      <c r="Y90" s="114">
        <f t="shared" si="41"/>
        <v>0</v>
      </c>
      <c r="Z90" s="114">
        <f t="shared" si="41"/>
        <v>0</v>
      </c>
      <c r="AA90" s="114">
        <f t="shared" si="41"/>
        <v>0</v>
      </c>
    </row>
    <row r="91" spans="1:27" ht="12.75" customHeight="1" x14ac:dyDescent="0.35">
      <c r="A91" s="113" t="s">
        <v>313</v>
      </c>
      <c r="B91" s="114">
        <f>AA91</f>
        <v>0</v>
      </c>
      <c r="C91" s="106" t="s">
        <v>104</v>
      </c>
      <c r="D91" s="134">
        <f t="shared" ref="D91:AA91" si="42">MAX(D89-D90,0)</f>
        <v>0</v>
      </c>
      <c r="E91" s="134">
        <f t="shared" si="42"/>
        <v>0</v>
      </c>
      <c r="F91" s="134">
        <f t="shared" si="42"/>
        <v>0</v>
      </c>
      <c r="G91" s="134">
        <f t="shared" si="42"/>
        <v>0</v>
      </c>
      <c r="H91" s="134">
        <f t="shared" si="42"/>
        <v>0</v>
      </c>
      <c r="I91" s="134">
        <f t="shared" si="42"/>
        <v>0</v>
      </c>
      <c r="J91" s="134">
        <f t="shared" si="42"/>
        <v>0</v>
      </c>
      <c r="K91" s="134">
        <f t="shared" si="42"/>
        <v>0</v>
      </c>
      <c r="L91" s="134">
        <f t="shared" si="42"/>
        <v>0</v>
      </c>
      <c r="M91" s="134">
        <f t="shared" si="42"/>
        <v>0</v>
      </c>
      <c r="N91" s="134">
        <f t="shared" si="42"/>
        <v>0</v>
      </c>
      <c r="O91" s="134">
        <f t="shared" si="42"/>
        <v>0</v>
      </c>
      <c r="P91" s="134">
        <f t="shared" si="42"/>
        <v>0</v>
      </c>
      <c r="Q91" s="134">
        <f t="shared" si="42"/>
        <v>0</v>
      </c>
      <c r="R91" s="134">
        <f t="shared" si="42"/>
        <v>0</v>
      </c>
      <c r="S91" s="134">
        <f t="shared" si="42"/>
        <v>0</v>
      </c>
      <c r="T91" s="134">
        <f t="shared" si="42"/>
        <v>0</v>
      </c>
      <c r="U91" s="134">
        <f t="shared" si="42"/>
        <v>0</v>
      </c>
      <c r="V91" s="134">
        <f t="shared" si="42"/>
        <v>0</v>
      </c>
      <c r="W91" s="134">
        <f t="shared" si="42"/>
        <v>0</v>
      </c>
      <c r="X91" s="134">
        <f t="shared" si="42"/>
        <v>0</v>
      </c>
      <c r="Y91" s="134">
        <f t="shared" si="42"/>
        <v>0</v>
      </c>
      <c r="Z91" s="134">
        <f t="shared" si="42"/>
        <v>0</v>
      </c>
      <c r="AA91" s="134">
        <f t="shared" si="42"/>
        <v>0</v>
      </c>
    </row>
    <row r="92" spans="1:27" ht="12.75" customHeight="1" x14ac:dyDescent="0.35">
      <c r="A92" s="125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92" s="128">
        <f>SUM(D92:AA92)</f>
        <v>13649.90360918803</v>
      </c>
      <c r="C92" s="110">
        <f>B92/24</f>
        <v>568.74598371616787</v>
      </c>
      <c r="D92" s="128">
        <f>D84*Premissas!$F$19</f>
        <v>336.87869465835024</v>
      </c>
      <c r="E92" s="128">
        <f>E84*Premissas!$F$19</f>
        <v>271.16883938158412</v>
      </c>
      <c r="F92" s="128">
        <f>F84*Premissas!$F$19</f>
        <v>341.50614925530562</v>
      </c>
      <c r="G92" s="128">
        <f>G84*Premissas!$F$19</f>
        <v>623.78087966958253</v>
      </c>
      <c r="H92" s="128">
        <f>H84*Premissas!$F$19</f>
        <v>695.96917138208619</v>
      </c>
      <c r="I92" s="128">
        <f>I84*Premissas!$F$19</f>
        <v>711.70251701173447</v>
      </c>
      <c r="J92" s="128">
        <f>J84*Premissas!$F$19</f>
        <v>620.07891599201832</v>
      </c>
      <c r="K92" s="128">
        <f>K84*Premissas!$F$19</f>
        <v>369.0163668342052</v>
      </c>
      <c r="L92" s="128">
        <f>L84*Premissas!$F$19</f>
        <v>849.0222321763847</v>
      </c>
      <c r="M92" s="128">
        <f>M84*Premissas!$F$19</f>
        <v>895.50501360280123</v>
      </c>
      <c r="N92" s="128">
        <f>N84*Premissas!$F$19</f>
        <v>500.87568557444814</v>
      </c>
      <c r="O92" s="128">
        <f>O84*Premissas!$F$19</f>
        <v>564.43377446363013</v>
      </c>
      <c r="P92" s="128">
        <f>P84*Premissas!$F$19</f>
        <v>345.30066202480896</v>
      </c>
      <c r="Q92" s="128">
        <f>Q84*Premissas!$F$19</f>
        <v>277.94806036612374</v>
      </c>
      <c r="R92" s="128">
        <f>R84*Premissas!$F$19</f>
        <v>350.04380298668821</v>
      </c>
      <c r="S92" s="128">
        <f>S84*Premissas!$F$19</f>
        <v>639.37540166132203</v>
      </c>
      <c r="T92" s="128">
        <f>T84*Premissas!$F$19</f>
        <v>713.36840066663831</v>
      </c>
      <c r="U92" s="128">
        <f>U84*Premissas!$F$19</f>
        <v>729.49507993702775</v>
      </c>
      <c r="V92" s="128">
        <f>V84*Premissas!$F$19</f>
        <v>635.58088889181863</v>
      </c>
      <c r="W92" s="128">
        <f>W84*Premissas!$F$19</f>
        <v>369.0163668342052</v>
      </c>
      <c r="X92" s="128">
        <f>X84*Premissas!$F$19</f>
        <v>849.0222321763847</v>
      </c>
      <c r="Y92" s="128">
        <f>Y84*Premissas!$F$19</f>
        <v>895.50501360280123</v>
      </c>
      <c r="Z92" s="128">
        <f>Z84*Premissas!$F$19</f>
        <v>500.87568557444814</v>
      </c>
      <c r="AA92" s="128">
        <f>AA84*Premissas!$F$19</f>
        <v>564.43377446363013</v>
      </c>
    </row>
    <row r="93" spans="1:27" ht="12.75" customHeight="1" x14ac:dyDescent="0.35">
      <c r="A93" s="129" t="s">
        <v>307</v>
      </c>
      <c r="B93" s="130">
        <f>SUM(D93:AA93)</f>
        <v>8.0667784602261904E-4</v>
      </c>
      <c r="C93" s="110">
        <f>B93/24</f>
        <v>3.3611576917609124E-5</v>
      </c>
      <c r="D93" s="130">
        <f>IF(D88&gt;0,0,MAX(D84-D85-D86,0)*Premissas!$B$7)</f>
        <v>0</v>
      </c>
      <c r="E93" s="130">
        <f>IF(E88&gt;0,0,MAX(E84-E85-E86,0)*Premissas!$B$7)</f>
        <v>0</v>
      </c>
      <c r="F93" s="130">
        <f>IF(F88&gt;0,0,MAX(F84-F85-F86,0)*Premissas!$B$7)</f>
        <v>0</v>
      </c>
      <c r="G93" s="130">
        <f>IF(G88&gt;0,0,MAX(G84-G85-G86,0)*Premissas!$B$7)</f>
        <v>8.0667784602261904E-4</v>
      </c>
      <c r="H93" s="130">
        <f>IF(H88&gt;0,0,MAX(H84-H85-H86,0)*Premissas!$B$7)</f>
        <v>0</v>
      </c>
      <c r="I93" s="130">
        <f>IF(I88&gt;0,0,MAX(I84-I85-I86,0)*Premissas!$B$7)</f>
        <v>0</v>
      </c>
      <c r="J93" s="130">
        <f>IF(J88&gt;0,0,MAX(J84-J85-J86,0)*Premissas!$B$7)</f>
        <v>0</v>
      </c>
      <c r="K93" s="130">
        <f>IF(K88&gt;0,0,MAX(K84-K85-K86,0)*Premissas!$B$7)</f>
        <v>0</v>
      </c>
      <c r="L93" s="130">
        <f>IF(L88&gt;0,0,MAX(L84-L85-L86,0)*Premissas!$B$7)</f>
        <v>0</v>
      </c>
      <c r="M93" s="130">
        <f>IF(M88&gt;0,0,MAX(M84-M85-M86,0)*Premissas!$B$7)</f>
        <v>0</v>
      </c>
      <c r="N93" s="130">
        <f>IF(N88&gt;0,0,MAX(N84-N85-N86,0)*Premissas!$B$7)</f>
        <v>0</v>
      </c>
      <c r="O93" s="130">
        <f>IF(O88&gt;0,0,MAX(O84-O85-O86,0)*Premissas!$B$7)</f>
        <v>0</v>
      </c>
      <c r="P93" s="130">
        <f>IF(P88&gt;0,0,MAX(P84-P85-P86,0)*Premissas!$B$7)</f>
        <v>0</v>
      </c>
      <c r="Q93" s="130">
        <f>IF(Q88&gt;0,0,MAX(Q84-Q85-Q86,0)*Premissas!$B$7)</f>
        <v>0</v>
      </c>
      <c r="R93" s="130">
        <f>IF(R88&gt;0,0,MAX(R84-R85-R86,0)*Premissas!$B$7)</f>
        <v>0</v>
      </c>
      <c r="S93" s="130">
        <f>IF(S88&gt;0,0,MAX(S84-S85-S86,0)*Premissas!$B$7)</f>
        <v>0</v>
      </c>
      <c r="T93" s="130">
        <f>IF(T88&gt;0,0,MAX(T84-T85-T86,0)*Premissas!$B$7)</f>
        <v>0</v>
      </c>
      <c r="U93" s="130">
        <f>IF(U88&gt;0,0,MAX(U84-U85-U86,0)*Premissas!$B$7)</f>
        <v>0</v>
      </c>
      <c r="V93" s="130">
        <f>IF(V88&gt;0,0,MAX(V84-V85-V86,0)*Premissas!$B$7)</f>
        <v>0</v>
      </c>
      <c r="W93" s="130">
        <f>IF(W88&gt;0,0,MAX(W84-W85-W86,0)*Premissas!$B$7)</f>
        <v>0</v>
      </c>
      <c r="X93" s="130">
        <f>IF(X88&gt;0,0,MAX(X84-X85-X86,0)*Premissas!$B$7)</f>
        <v>0</v>
      </c>
      <c r="Y93" s="130">
        <f>IF(Y88&gt;0,0,MAX(Y84-Y85-Y86,0)*Premissas!$B$7)</f>
        <v>0</v>
      </c>
      <c r="Z93" s="130">
        <f>IF(Z88&gt;0,0,MAX(Z84-Z85-Z86,0)*Premissas!$B$7)</f>
        <v>0</v>
      </c>
      <c r="AA93" s="130">
        <f>IF(AA88&gt;0,0,MAX(AA84-AA85-AA86,0)*Premissas!$B$7)</f>
        <v>0</v>
      </c>
    </row>
    <row r="94" spans="1:27" ht="13.5" customHeight="1" x14ac:dyDescent="0.35">
      <c r="A94" s="40" t="s">
        <v>308</v>
      </c>
      <c r="B94" s="43">
        <f>SUM(D94:AA94)</f>
        <v>13649.902802510183</v>
      </c>
      <c r="C94" s="110">
        <f>B94/24</f>
        <v>568.74595010459097</v>
      </c>
      <c r="D94" s="131">
        <f t="shared" ref="D94:AA94" si="43">MAX(D92-D93,0)</f>
        <v>336.87869465835024</v>
      </c>
      <c r="E94" s="131">
        <f t="shared" si="43"/>
        <v>271.16883938158412</v>
      </c>
      <c r="F94" s="131">
        <f t="shared" si="43"/>
        <v>341.50614925530562</v>
      </c>
      <c r="G94" s="131">
        <f t="shared" si="43"/>
        <v>623.78007299173646</v>
      </c>
      <c r="H94" s="131">
        <f t="shared" si="43"/>
        <v>695.96917138208619</v>
      </c>
      <c r="I94" s="131">
        <f t="shared" si="43"/>
        <v>711.70251701173447</v>
      </c>
      <c r="J94" s="131">
        <f t="shared" si="43"/>
        <v>620.07891599201832</v>
      </c>
      <c r="K94" s="131">
        <f t="shared" si="43"/>
        <v>369.0163668342052</v>
      </c>
      <c r="L94" s="131">
        <f t="shared" si="43"/>
        <v>849.0222321763847</v>
      </c>
      <c r="M94" s="131">
        <f t="shared" si="43"/>
        <v>895.50501360280123</v>
      </c>
      <c r="N94" s="131">
        <f t="shared" si="43"/>
        <v>500.87568557444814</v>
      </c>
      <c r="O94" s="131">
        <f t="shared" si="43"/>
        <v>564.43377446363013</v>
      </c>
      <c r="P94" s="131">
        <f t="shared" si="43"/>
        <v>345.30066202480896</v>
      </c>
      <c r="Q94" s="131">
        <f t="shared" si="43"/>
        <v>277.94806036612374</v>
      </c>
      <c r="R94" s="131">
        <f t="shared" si="43"/>
        <v>350.04380298668821</v>
      </c>
      <c r="S94" s="131">
        <f t="shared" si="43"/>
        <v>639.37540166132203</v>
      </c>
      <c r="T94" s="131">
        <f t="shared" si="43"/>
        <v>713.36840066663831</v>
      </c>
      <c r="U94" s="131">
        <f t="shared" si="43"/>
        <v>729.49507993702775</v>
      </c>
      <c r="V94" s="131">
        <f t="shared" si="43"/>
        <v>635.58088889181863</v>
      </c>
      <c r="W94" s="131">
        <f t="shared" si="43"/>
        <v>369.0163668342052</v>
      </c>
      <c r="X94" s="131">
        <f t="shared" si="43"/>
        <v>849.0222321763847</v>
      </c>
      <c r="Y94" s="131">
        <f t="shared" si="43"/>
        <v>895.50501360280123</v>
      </c>
      <c r="Z94" s="131">
        <f t="shared" si="43"/>
        <v>500.87568557444814</v>
      </c>
      <c r="AA94" s="131">
        <f t="shared" si="43"/>
        <v>564.43377446363013</v>
      </c>
    </row>
    <row r="96" spans="1:27" ht="15" customHeight="1" x14ac:dyDescent="0.35">
      <c r="A96" s="229" t="s">
        <v>316</v>
      </c>
      <c r="B96" s="229"/>
      <c r="C96" s="229"/>
      <c r="D96" s="229"/>
      <c r="E96" s="229"/>
      <c r="F96" s="229"/>
      <c r="G96" s="229"/>
      <c r="H96" s="229"/>
      <c r="I96" s="229"/>
      <c r="J96" s="229"/>
      <c r="K96" s="229"/>
      <c r="L96" s="229"/>
      <c r="M96" s="229"/>
      <c r="N96" s="229"/>
      <c r="O96" s="229"/>
      <c r="P96" s="229"/>
      <c r="Q96" s="229"/>
      <c r="R96" s="229"/>
      <c r="S96" s="229"/>
      <c r="T96" s="229"/>
      <c r="U96" s="229"/>
      <c r="V96" s="229"/>
      <c r="W96" s="229"/>
      <c r="X96" s="229"/>
      <c r="Y96" s="229"/>
      <c r="Z96" s="229"/>
      <c r="AA96" s="229"/>
    </row>
    <row r="97" spans="1:27" ht="12.75" customHeight="1" x14ac:dyDescent="0.35">
      <c r="A97" s="132" t="s">
        <v>295</v>
      </c>
      <c r="B97" s="133">
        <f>SUM(D97:AA97)</f>
        <v>22747.425000000003</v>
      </c>
      <c r="C97" s="106">
        <f>B97/24</f>
        <v>947.80937500000016</v>
      </c>
      <c r="D97" s="133">
        <v>1067</v>
      </c>
      <c r="E97" s="133">
        <v>899</v>
      </c>
      <c r="F97" s="133">
        <v>816</v>
      </c>
      <c r="G97" s="133">
        <v>719</v>
      </c>
      <c r="H97" s="133">
        <v>943</v>
      </c>
      <c r="I97" s="133">
        <v>925</v>
      </c>
      <c r="J97" s="133">
        <v>838</v>
      </c>
      <c r="K97" s="133">
        <f>876*(1+Premissas!$B$21)</f>
        <v>897.9</v>
      </c>
      <c r="L97" s="133">
        <f>887*(1+Premissas!$B$21)</f>
        <v>909.17499999999995</v>
      </c>
      <c r="M97" s="133">
        <f>1030*(1+Premissas!$B$21)</f>
        <v>1055.75</v>
      </c>
      <c r="N97" s="133">
        <f>1026*(1+Premissas!$B$21)</f>
        <v>1051.6499999999999</v>
      </c>
      <c r="O97" s="133">
        <f>1146*(1+Premissas!$B$21)</f>
        <v>1174.6499999999999</v>
      </c>
      <c r="P97" s="133">
        <f>1067*(1+Premissas!$B$21)</f>
        <v>1093.675</v>
      </c>
      <c r="Q97" s="133">
        <f>899*(1+Premissas!$B$21)</f>
        <v>921.47499999999991</v>
      </c>
      <c r="R97" s="133">
        <f>816*(1+Premissas!$B$21)</f>
        <v>836.4</v>
      </c>
      <c r="S97" s="133">
        <f>719*(1+Premissas!$B$21)</f>
        <v>736.97499999999991</v>
      </c>
      <c r="T97" s="133">
        <f>943*(1+Premissas!$B$21)</f>
        <v>966.57499999999993</v>
      </c>
      <c r="U97" s="133">
        <f>925*(1+Premissas!$B$21)</f>
        <v>948.12499999999989</v>
      </c>
      <c r="V97" s="133">
        <f>838*(1+Premissas!$B$21)</f>
        <v>858.94999999999993</v>
      </c>
      <c r="W97" s="133">
        <f>876*(1+Premissas!$B$21)</f>
        <v>897.9</v>
      </c>
      <c r="X97" s="133">
        <f>887*(1+Premissas!$B$21)</f>
        <v>909.17499999999995</v>
      </c>
      <c r="Y97" s="133">
        <f>1030*(1+Premissas!$B$21)</f>
        <v>1055.75</v>
      </c>
      <c r="Z97" s="133">
        <f>1026*(1+Premissas!$B$21)</f>
        <v>1051.6499999999999</v>
      </c>
      <c r="AA97" s="133">
        <f>1146*(1+Premissas!$B$21)</f>
        <v>1174.6499999999999</v>
      </c>
    </row>
    <row r="98" spans="1:27" ht="12.75" customHeight="1" x14ac:dyDescent="0.35">
      <c r="A98" s="108" t="str">
        <f>"  "&amp;INDEX(PVSYST_Helexia!$A$5:$A$7,MATCH(Premissas!$B$13,PVSYST_Helexia!$B$5:$B$7,0))&amp;" créditos recebidos (kWh)"</f>
        <v xml:space="preserve">  HCS03 créditos recebidos (kWh)</v>
      </c>
      <c r="B98" s="121">
        <f>SUM(D98:AA98)</f>
        <v>30123.882483464364</v>
      </c>
      <c r="C98" s="106">
        <f>B98/24</f>
        <v>1255.1617701443486</v>
      </c>
      <c r="D98" s="122">
        <f>D6*Premissas!$B$39</f>
        <v>645.73223064626961</v>
      </c>
      <c r="E98" s="122">
        <f>E6*Premissas!$B$39</f>
        <v>679.68798630248114</v>
      </c>
      <c r="F98" s="122">
        <f>F6*Premissas!$B$39</f>
        <v>815.92764396605423</v>
      </c>
      <c r="G98" s="122">
        <f>G6*Premissas!$B$39</f>
        <v>765.61896303982667</v>
      </c>
      <c r="H98" s="122">
        <f>H6*Premissas!$C$39</f>
        <v>1720.8218881776759</v>
      </c>
      <c r="I98" s="122">
        <f>I6*Premissas!$C$39</f>
        <v>1663.8712035014223</v>
      </c>
      <c r="J98" s="122">
        <f>J6*Premissas!$C$39</f>
        <v>1579.9258942886247</v>
      </c>
      <c r="K98" s="122">
        <f>K6*Premissas!$C$39</f>
        <v>1622.2322799072263</v>
      </c>
      <c r="L98" s="122">
        <f>L6*Premissas!$C$39</f>
        <v>1445.5479062607706</v>
      </c>
      <c r="M98" s="122">
        <f>M6*Premissas!$C$39</f>
        <v>1658.0451484590415</v>
      </c>
      <c r="N98" s="122">
        <f>N6*Premissas!$D$39</f>
        <v>1179.5241797709359</v>
      </c>
      <c r="O98" s="122">
        <f>O6*Premissas!$D$39</f>
        <v>1103.8950091814306</v>
      </c>
      <c r="P98" s="122">
        <f>P6*Premissas!$D$39</f>
        <v>1001.8441091231563</v>
      </c>
      <c r="Q98" s="122">
        <f>Q6*Premissas!$D$39</f>
        <v>1054.5259672688369</v>
      </c>
      <c r="R98" s="122">
        <f>R6*Premissas!$D$39</f>
        <v>1265.8998030189925</v>
      </c>
      <c r="S98" s="122">
        <f>S6*Premissas!$D$39</f>
        <v>1187.8466205516188</v>
      </c>
      <c r="T98" s="122">
        <f>T6*Premissas!$E$39</f>
        <v>1428.0836999999999</v>
      </c>
      <c r="U98" s="122">
        <f>U6*Premissas!$E$39</f>
        <v>1380.8212000000001</v>
      </c>
      <c r="V98" s="122">
        <f>V6*Premissas!$E$39</f>
        <v>1311.1562750000001</v>
      </c>
      <c r="W98" s="122">
        <f>W6*Premissas!$E$39</f>
        <v>1353.0308499999999</v>
      </c>
      <c r="X98" s="122">
        <f>X6*Premissas!$E$39</f>
        <v>1205.666375</v>
      </c>
      <c r="Y98" s="122">
        <f>Y6*Premissas!$E$39</f>
        <v>1382.90075</v>
      </c>
      <c r="Z98" s="122">
        <f>Z6*Premissas!$E$39</f>
        <v>1379.8759500000001</v>
      </c>
      <c r="AA98" s="122">
        <f>AA6*Premissas!$E$39</f>
        <v>1291.4005499999998</v>
      </c>
    </row>
    <row r="99" spans="1:27" ht="12.75" customHeight="1" x14ac:dyDescent="0.35">
      <c r="A99" s="112" t="s">
        <v>301</v>
      </c>
      <c r="B99" s="106">
        <f>AA99</f>
        <v>7900.3590725495587</v>
      </c>
      <c r="C99" s="106" t="s">
        <v>104</v>
      </c>
      <c r="D99" s="106">
        <f>0</f>
        <v>0</v>
      </c>
      <c r="E99" s="106">
        <f t="shared" ref="E99:AA99" si="44">D101</f>
        <v>0</v>
      </c>
      <c r="F99" s="106">
        <f t="shared" si="44"/>
        <v>0</v>
      </c>
      <c r="G99" s="106">
        <f t="shared" si="44"/>
        <v>0</v>
      </c>
      <c r="H99" s="106">
        <f t="shared" si="44"/>
        <v>46.618963039826667</v>
      </c>
      <c r="I99" s="106">
        <f t="shared" si="44"/>
        <v>824.44085121750254</v>
      </c>
      <c r="J99" s="106">
        <f t="shared" si="44"/>
        <v>1563.3120547189249</v>
      </c>
      <c r="K99" s="106">
        <f t="shared" si="44"/>
        <v>2305.2379490075496</v>
      </c>
      <c r="L99" s="106">
        <f t="shared" si="44"/>
        <v>3029.5702289147757</v>
      </c>
      <c r="M99" s="106">
        <f t="shared" si="44"/>
        <v>3565.9431351755466</v>
      </c>
      <c r="N99" s="106">
        <f t="shared" si="44"/>
        <v>4168.2382836345878</v>
      </c>
      <c r="O99" s="106">
        <f t="shared" si="44"/>
        <v>4296.1124634055241</v>
      </c>
      <c r="P99" s="106">
        <f t="shared" si="44"/>
        <v>4225.3574725869548</v>
      </c>
      <c r="Q99" s="106">
        <f t="shared" si="44"/>
        <v>4133.5265817101108</v>
      </c>
      <c r="R99" s="106">
        <f t="shared" si="44"/>
        <v>4266.5775489789476</v>
      </c>
      <c r="S99" s="106">
        <f t="shared" si="44"/>
        <v>4696.0773519979402</v>
      </c>
      <c r="T99" s="106">
        <f t="shared" si="44"/>
        <v>5146.9489725495587</v>
      </c>
      <c r="U99" s="106">
        <f t="shared" si="44"/>
        <v>5608.457672549559</v>
      </c>
      <c r="V99" s="106">
        <f t="shared" si="44"/>
        <v>6041.1538725495593</v>
      </c>
      <c r="W99" s="106">
        <f t="shared" si="44"/>
        <v>6493.3601475495598</v>
      </c>
      <c r="X99" s="106">
        <f t="shared" si="44"/>
        <v>6948.4909975495593</v>
      </c>
      <c r="Y99" s="106">
        <f t="shared" si="44"/>
        <v>7244.9823725495589</v>
      </c>
      <c r="Z99" s="106">
        <f t="shared" si="44"/>
        <v>7572.1331225495587</v>
      </c>
      <c r="AA99" s="106">
        <f t="shared" si="44"/>
        <v>7900.3590725495587</v>
      </c>
    </row>
    <row r="100" spans="1:27" ht="12.75" customHeight="1" x14ac:dyDescent="0.35">
      <c r="A100" s="112" t="s">
        <v>302</v>
      </c>
      <c r="B100" s="106">
        <f>SUM(D100:AA100)</f>
        <v>162.58588169541292</v>
      </c>
      <c r="C100" s="106">
        <f>B100/24</f>
        <v>6.7744117373088715</v>
      </c>
      <c r="D100" s="106">
        <f t="shared" ref="D100:AA100" si="45">MIN(D99,MAX(D97-D98,0))</f>
        <v>0</v>
      </c>
      <c r="E100" s="106">
        <f t="shared" si="45"/>
        <v>0</v>
      </c>
      <c r="F100" s="106">
        <f t="shared" si="45"/>
        <v>0</v>
      </c>
      <c r="G100" s="106">
        <f t="shared" si="45"/>
        <v>0</v>
      </c>
      <c r="H100" s="106">
        <f t="shared" si="45"/>
        <v>0</v>
      </c>
      <c r="I100" s="106">
        <f t="shared" si="45"/>
        <v>0</v>
      </c>
      <c r="J100" s="106">
        <f t="shared" si="45"/>
        <v>0</v>
      </c>
      <c r="K100" s="106">
        <f t="shared" si="45"/>
        <v>0</v>
      </c>
      <c r="L100" s="106">
        <f t="shared" si="45"/>
        <v>0</v>
      </c>
      <c r="M100" s="106">
        <f t="shared" si="45"/>
        <v>0</v>
      </c>
      <c r="N100" s="106">
        <f t="shared" si="45"/>
        <v>0</v>
      </c>
      <c r="O100" s="106">
        <f t="shared" si="45"/>
        <v>70.75499081856924</v>
      </c>
      <c r="P100" s="106">
        <f t="shared" si="45"/>
        <v>91.830890876843682</v>
      </c>
      <c r="Q100" s="106">
        <f t="shared" si="45"/>
        <v>0</v>
      </c>
      <c r="R100" s="106">
        <f t="shared" si="45"/>
        <v>0</v>
      </c>
      <c r="S100" s="106">
        <f t="shared" si="45"/>
        <v>0</v>
      </c>
      <c r="T100" s="106">
        <f t="shared" si="45"/>
        <v>0</v>
      </c>
      <c r="U100" s="106">
        <f t="shared" si="45"/>
        <v>0</v>
      </c>
      <c r="V100" s="106">
        <f t="shared" si="45"/>
        <v>0</v>
      </c>
      <c r="W100" s="106">
        <f t="shared" si="45"/>
        <v>0</v>
      </c>
      <c r="X100" s="106">
        <f t="shared" si="45"/>
        <v>0</v>
      </c>
      <c r="Y100" s="106">
        <f t="shared" si="45"/>
        <v>0</v>
      </c>
      <c r="Z100" s="106">
        <f t="shared" si="45"/>
        <v>0</v>
      </c>
      <c r="AA100" s="106">
        <f t="shared" si="45"/>
        <v>0</v>
      </c>
    </row>
    <row r="101" spans="1:27" ht="13.5" customHeight="1" x14ac:dyDescent="0.35">
      <c r="A101" s="40" t="s">
        <v>303</v>
      </c>
      <c r="B101" s="42">
        <f>AA101</f>
        <v>8017.1096225495585</v>
      </c>
      <c r="C101" s="106" t="s">
        <v>104</v>
      </c>
      <c r="D101" s="123">
        <f t="shared" ref="D101:AA101" si="46">MAX(D99-D100,0)+MAX(D98-D97,0)</f>
        <v>0</v>
      </c>
      <c r="E101" s="123">
        <f t="shared" si="46"/>
        <v>0</v>
      </c>
      <c r="F101" s="123">
        <f t="shared" si="46"/>
        <v>0</v>
      </c>
      <c r="G101" s="123">
        <f t="shared" si="46"/>
        <v>46.618963039826667</v>
      </c>
      <c r="H101" s="123">
        <f t="shared" si="46"/>
        <v>824.44085121750254</v>
      </c>
      <c r="I101" s="123">
        <f t="shared" si="46"/>
        <v>1563.3120547189249</v>
      </c>
      <c r="J101" s="123">
        <f t="shared" si="46"/>
        <v>2305.2379490075496</v>
      </c>
      <c r="K101" s="123">
        <f t="shared" si="46"/>
        <v>3029.5702289147757</v>
      </c>
      <c r="L101" s="123">
        <f t="shared" si="46"/>
        <v>3565.9431351755466</v>
      </c>
      <c r="M101" s="123">
        <f t="shared" si="46"/>
        <v>4168.2382836345878</v>
      </c>
      <c r="N101" s="123">
        <f t="shared" si="46"/>
        <v>4296.1124634055241</v>
      </c>
      <c r="O101" s="123">
        <f t="shared" si="46"/>
        <v>4225.3574725869548</v>
      </c>
      <c r="P101" s="123">
        <f t="shared" si="46"/>
        <v>4133.5265817101108</v>
      </c>
      <c r="Q101" s="123">
        <f t="shared" si="46"/>
        <v>4266.5775489789476</v>
      </c>
      <c r="R101" s="123">
        <f t="shared" si="46"/>
        <v>4696.0773519979402</v>
      </c>
      <c r="S101" s="123">
        <f t="shared" si="46"/>
        <v>5146.9489725495587</v>
      </c>
      <c r="T101" s="123">
        <f t="shared" si="46"/>
        <v>5608.457672549559</v>
      </c>
      <c r="U101" s="123">
        <f t="shared" si="46"/>
        <v>6041.1538725495593</v>
      </c>
      <c r="V101" s="123">
        <f t="shared" si="46"/>
        <v>6493.3601475495598</v>
      </c>
      <c r="W101" s="123">
        <f t="shared" si="46"/>
        <v>6948.4909975495593</v>
      </c>
      <c r="X101" s="123">
        <f t="shared" si="46"/>
        <v>7244.9823725495589</v>
      </c>
      <c r="Y101" s="123">
        <f t="shared" si="46"/>
        <v>7572.1331225495587</v>
      </c>
      <c r="Z101" s="123">
        <f t="shared" si="46"/>
        <v>7900.3590725495587</v>
      </c>
      <c r="AA101" s="123">
        <f t="shared" si="46"/>
        <v>8017.1096225495585</v>
      </c>
    </row>
    <row r="102" spans="1:27" ht="12.75" customHeight="1" x14ac:dyDescent="0.35">
      <c r="A102" s="113" t="s">
        <v>304</v>
      </c>
      <c r="B102" s="114">
        <f>AA102</f>
        <v>0</v>
      </c>
      <c r="C102" s="106" t="s">
        <v>104</v>
      </c>
      <c r="D102" s="114">
        <f>0</f>
        <v>0</v>
      </c>
      <c r="E102" s="114">
        <f t="shared" ref="E102:AA102" si="47">D104</f>
        <v>0</v>
      </c>
      <c r="F102" s="114">
        <f t="shared" si="47"/>
        <v>0</v>
      </c>
      <c r="G102" s="114">
        <f t="shared" si="47"/>
        <v>0</v>
      </c>
      <c r="H102" s="114">
        <f t="shared" si="47"/>
        <v>0</v>
      </c>
      <c r="I102" s="114">
        <f t="shared" si="47"/>
        <v>0</v>
      </c>
      <c r="J102" s="114">
        <f t="shared" si="47"/>
        <v>0</v>
      </c>
      <c r="K102" s="114">
        <f t="shared" si="47"/>
        <v>0</v>
      </c>
      <c r="L102" s="114">
        <f t="shared" si="47"/>
        <v>0</v>
      </c>
      <c r="M102" s="114">
        <f t="shared" si="47"/>
        <v>0</v>
      </c>
      <c r="N102" s="114">
        <f t="shared" si="47"/>
        <v>0</v>
      </c>
      <c r="O102" s="114">
        <f t="shared" si="47"/>
        <v>0</v>
      </c>
      <c r="P102" s="114">
        <f t="shared" si="47"/>
        <v>0</v>
      </c>
      <c r="Q102" s="114">
        <f t="shared" si="47"/>
        <v>0</v>
      </c>
      <c r="R102" s="114">
        <f t="shared" si="47"/>
        <v>0</v>
      </c>
      <c r="S102" s="114">
        <f t="shared" si="47"/>
        <v>0</v>
      </c>
      <c r="T102" s="114">
        <f t="shared" si="47"/>
        <v>0</v>
      </c>
      <c r="U102" s="114">
        <f t="shared" si="47"/>
        <v>0</v>
      </c>
      <c r="V102" s="114">
        <f t="shared" si="47"/>
        <v>0</v>
      </c>
      <c r="W102" s="114">
        <f t="shared" si="47"/>
        <v>0</v>
      </c>
      <c r="X102" s="114">
        <f t="shared" si="47"/>
        <v>0</v>
      </c>
      <c r="Y102" s="114">
        <f t="shared" si="47"/>
        <v>0</v>
      </c>
      <c r="Z102" s="114">
        <f t="shared" si="47"/>
        <v>0</v>
      </c>
      <c r="AA102" s="114">
        <f t="shared" si="47"/>
        <v>0</v>
      </c>
    </row>
    <row r="103" spans="1:27" ht="12.75" customHeight="1" x14ac:dyDescent="0.35">
      <c r="A103" s="113" t="s">
        <v>312</v>
      </c>
      <c r="B103" s="114">
        <f>SUM(D103:AA103)</f>
        <v>0</v>
      </c>
      <c r="C103" s="106">
        <f>B103/24</f>
        <v>0</v>
      </c>
      <c r="D103" s="114">
        <f t="shared" ref="D103:AA103" si="48">MIN(D102,D97)</f>
        <v>0</v>
      </c>
      <c r="E103" s="114">
        <f t="shared" si="48"/>
        <v>0</v>
      </c>
      <c r="F103" s="114">
        <f t="shared" si="48"/>
        <v>0</v>
      </c>
      <c r="G103" s="114">
        <f t="shared" si="48"/>
        <v>0</v>
      </c>
      <c r="H103" s="114">
        <f t="shared" si="48"/>
        <v>0</v>
      </c>
      <c r="I103" s="114">
        <f t="shared" si="48"/>
        <v>0</v>
      </c>
      <c r="J103" s="114">
        <f t="shared" si="48"/>
        <v>0</v>
      </c>
      <c r="K103" s="114">
        <f t="shared" si="48"/>
        <v>0</v>
      </c>
      <c r="L103" s="114">
        <f t="shared" si="48"/>
        <v>0</v>
      </c>
      <c r="M103" s="114">
        <f t="shared" si="48"/>
        <v>0</v>
      </c>
      <c r="N103" s="114">
        <f t="shared" si="48"/>
        <v>0</v>
      </c>
      <c r="O103" s="114">
        <f t="shared" si="48"/>
        <v>0</v>
      </c>
      <c r="P103" s="114">
        <f t="shared" si="48"/>
        <v>0</v>
      </c>
      <c r="Q103" s="114">
        <f t="shared" si="48"/>
        <v>0</v>
      </c>
      <c r="R103" s="114">
        <f t="shared" si="48"/>
        <v>0</v>
      </c>
      <c r="S103" s="114">
        <f t="shared" si="48"/>
        <v>0</v>
      </c>
      <c r="T103" s="114">
        <f t="shared" si="48"/>
        <v>0</v>
      </c>
      <c r="U103" s="114">
        <f t="shared" si="48"/>
        <v>0</v>
      </c>
      <c r="V103" s="114">
        <f t="shared" si="48"/>
        <v>0</v>
      </c>
      <c r="W103" s="114">
        <f t="shared" si="48"/>
        <v>0</v>
      </c>
      <c r="X103" s="114">
        <f t="shared" si="48"/>
        <v>0</v>
      </c>
      <c r="Y103" s="114">
        <f t="shared" si="48"/>
        <v>0</v>
      </c>
      <c r="Z103" s="114">
        <f t="shared" si="48"/>
        <v>0</v>
      </c>
      <c r="AA103" s="114">
        <f t="shared" si="48"/>
        <v>0</v>
      </c>
    </row>
    <row r="104" spans="1:27" ht="12.75" customHeight="1" x14ac:dyDescent="0.35">
      <c r="A104" s="113" t="s">
        <v>313</v>
      </c>
      <c r="B104" s="114">
        <f>AA104</f>
        <v>0</v>
      </c>
      <c r="C104" s="106" t="s">
        <v>104</v>
      </c>
      <c r="D104" s="134">
        <f t="shared" ref="D104:AA104" si="49">MAX(D102-D103,0)</f>
        <v>0</v>
      </c>
      <c r="E104" s="134">
        <f t="shared" si="49"/>
        <v>0</v>
      </c>
      <c r="F104" s="134">
        <f t="shared" si="49"/>
        <v>0</v>
      </c>
      <c r="G104" s="134">
        <f t="shared" si="49"/>
        <v>0</v>
      </c>
      <c r="H104" s="134">
        <f t="shared" si="49"/>
        <v>0</v>
      </c>
      <c r="I104" s="134">
        <f t="shared" si="49"/>
        <v>0</v>
      </c>
      <c r="J104" s="134">
        <f t="shared" si="49"/>
        <v>0</v>
      </c>
      <c r="K104" s="134">
        <f t="shared" si="49"/>
        <v>0</v>
      </c>
      <c r="L104" s="134">
        <f t="shared" si="49"/>
        <v>0</v>
      </c>
      <c r="M104" s="134">
        <f t="shared" si="49"/>
        <v>0</v>
      </c>
      <c r="N104" s="134">
        <f t="shared" si="49"/>
        <v>0</v>
      </c>
      <c r="O104" s="134">
        <f t="shared" si="49"/>
        <v>0</v>
      </c>
      <c r="P104" s="134">
        <f t="shared" si="49"/>
        <v>0</v>
      </c>
      <c r="Q104" s="134">
        <f t="shared" si="49"/>
        <v>0</v>
      </c>
      <c r="R104" s="134">
        <f t="shared" si="49"/>
        <v>0</v>
      </c>
      <c r="S104" s="134">
        <f t="shared" si="49"/>
        <v>0</v>
      </c>
      <c r="T104" s="134">
        <f t="shared" si="49"/>
        <v>0</v>
      </c>
      <c r="U104" s="134">
        <f t="shared" si="49"/>
        <v>0</v>
      </c>
      <c r="V104" s="134">
        <f t="shared" si="49"/>
        <v>0</v>
      </c>
      <c r="W104" s="134">
        <f t="shared" si="49"/>
        <v>0</v>
      </c>
      <c r="X104" s="134">
        <f t="shared" si="49"/>
        <v>0</v>
      </c>
      <c r="Y104" s="134">
        <f t="shared" si="49"/>
        <v>0</v>
      </c>
      <c r="Z104" s="134">
        <f t="shared" si="49"/>
        <v>0</v>
      </c>
      <c r="AA104" s="134">
        <f t="shared" si="49"/>
        <v>0</v>
      </c>
    </row>
    <row r="105" spans="1:27" ht="12.75" customHeight="1" x14ac:dyDescent="0.35">
      <c r="A105" s="125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05" s="128">
        <f>SUM(D105:AA105)</f>
        <v>21052.535277029459</v>
      </c>
      <c r="C105" s="110">
        <f>B105/24</f>
        <v>877.18896987622747</v>
      </c>
      <c r="D105" s="128">
        <f>D97*Premissas!$F$19</f>
        <v>987.49881099027391</v>
      </c>
      <c r="E105" s="128">
        <f>E97*Premissas!$F$19</f>
        <v>832.01633653257386</v>
      </c>
      <c r="F105" s="128">
        <f>F97*Premissas!$F$19</f>
        <v>755.20059022311477</v>
      </c>
      <c r="G105" s="128">
        <f>G97*Premissas!$F$19</f>
        <v>665.42797104218084</v>
      </c>
      <c r="H105" s="128">
        <f>H97*Premissas!$F$19</f>
        <v>872.73793698578095</v>
      </c>
      <c r="I105" s="128">
        <f>I97*Premissas!$F$19</f>
        <v>856.07910043674167</v>
      </c>
      <c r="J105" s="128">
        <f>J97*Premissas!$F$19</f>
        <v>775.56139044971837</v>
      </c>
      <c r="K105" s="128">
        <f>K97*Premissas!$F$19</f>
        <v>830.99829652124356</v>
      </c>
      <c r="L105" s="128">
        <f>L97*Premissas!$F$19</f>
        <v>841.43320663737791</v>
      </c>
      <c r="M105" s="128">
        <f>M97*Premissas!$F$19</f>
        <v>977.0870381471243</v>
      </c>
      <c r="N105" s="128">
        <f>N97*Premissas!$F$19</f>
        <v>973.29252537762079</v>
      </c>
      <c r="O105" s="128">
        <f>O97*Premissas!$F$19</f>
        <v>1087.1279084627226</v>
      </c>
      <c r="P105" s="128">
        <f>P97*Premissas!$F$19</f>
        <v>1012.1862812650307</v>
      </c>
      <c r="Q105" s="128">
        <f>Q97*Premissas!$F$19</f>
        <v>852.8167449458881</v>
      </c>
      <c r="R105" s="128">
        <f>R97*Premissas!$F$19</f>
        <v>774.08060497869269</v>
      </c>
      <c r="S105" s="128">
        <f>S97*Premissas!$F$19</f>
        <v>682.06367031823527</v>
      </c>
      <c r="T105" s="128">
        <f>T97*Premissas!$F$19</f>
        <v>894.55638541042549</v>
      </c>
      <c r="U105" s="128">
        <f>U97*Premissas!$F$19</f>
        <v>877.48107794766008</v>
      </c>
      <c r="V105" s="128">
        <f>V97*Premissas!$F$19</f>
        <v>794.95042521096127</v>
      </c>
      <c r="W105" s="128">
        <f>W97*Premissas!$F$19</f>
        <v>830.99829652124356</v>
      </c>
      <c r="X105" s="128">
        <f>X97*Premissas!$F$19</f>
        <v>841.43320663737791</v>
      </c>
      <c r="Y105" s="128">
        <f>Y97*Premissas!$F$19</f>
        <v>977.0870381471243</v>
      </c>
      <c r="Z105" s="128">
        <f>Z97*Premissas!$F$19</f>
        <v>973.29252537762079</v>
      </c>
      <c r="AA105" s="128">
        <f>AA97*Premissas!$F$19</f>
        <v>1087.1279084627226</v>
      </c>
    </row>
    <row r="106" spans="1:27" ht="12.75" customHeight="1" x14ac:dyDescent="0.35">
      <c r="A106" s="129" t="s">
        <v>307</v>
      </c>
      <c r="B106" s="130">
        <f>SUM(D106:AA106)</f>
        <v>741.14717151476759</v>
      </c>
      <c r="C106" s="110">
        <f>B106/24</f>
        <v>30.88113214644865</v>
      </c>
      <c r="D106" s="130">
        <f>IF(D101&gt;0,0,MAX(D97-D98-D99,0)*Premissas!$B$7)</f>
        <v>487.34936896126248</v>
      </c>
      <c r="E106" s="130">
        <f>IF(E101&gt;0,0,MAX(E97-E98-E99,0)*Premissas!$B$7)</f>
        <v>253.71409648803012</v>
      </c>
      <c r="F106" s="130">
        <f>IF(F101&gt;0,0,MAX(F97-F98-F99,0)*Premissas!$B$7)</f>
        <v>8.3706065474948563E-2</v>
      </c>
      <c r="G106" s="130">
        <f>IF(G101&gt;0,0,MAX(G97-G98-G99,0)*Premissas!$B$7)</f>
        <v>0</v>
      </c>
      <c r="H106" s="130">
        <f>IF(H101&gt;0,0,MAX(H97-H98-H99,0)*Premissas!$B$7)</f>
        <v>0</v>
      </c>
      <c r="I106" s="130">
        <f>IF(I101&gt;0,0,MAX(I97-I98-I99,0)*Premissas!$B$7)</f>
        <v>0</v>
      </c>
      <c r="J106" s="130">
        <f>IF(J101&gt;0,0,MAX(J97-J98-J99,0)*Premissas!$B$7)</f>
        <v>0</v>
      </c>
      <c r="K106" s="130">
        <f>IF(K101&gt;0,0,MAX(K97-K98-K99,0)*Premissas!$B$7)</f>
        <v>0</v>
      </c>
      <c r="L106" s="130">
        <f>IF(L101&gt;0,0,MAX(L97-L98-L99,0)*Premissas!$B$7)</f>
        <v>0</v>
      </c>
      <c r="M106" s="130">
        <f>IF(M101&gt;0,0,MAX(M97-M98-M99,0)*Premissas!$B$7)</f>
        <v>0</v>
      </c>
      <c r="N106" s="130">
        <f>IF(N101&gt;0,0,MAX(N97-N98-N99,0)*Premissas!$B$7)</f>
        <v>0</v>
      </c>
      <c r="O106" s="130">
        <f>IF(O101&gt;0,0,MAX(O97-O98-O99,0)*Premissas!$B$7)</f>
        <v>0</v>
      </c>
      <c r="P106" s="130">
        <f>IF(P101&gt;0,0,MAX(P97-P98-P99,0)*Premissas!$B$7)</f>
        <v>0</v>
      </c>
      <c r="Q106" s="130">
        <f>IF(Q101&gt;0,0,MAX(Q97-Q98-Q99,0)*Premissas!$B$7)</f>
        <v>0</v>
      </c>
      <c r="R106" s="130">
        <f>IF(R101&gt;0,0,MAX(R97-R98-R99,0)*Premissas!$B$7)</f>
        <v>0</v>
      </c>
      <c r="S106" s="130">
        <f>IF(S101&gt;0,0,MAX(S97-S98-S99,0)*Premissas!$B$7)</f>
        <v>0</v>
      </c>
      <c r="T106" s="130">
        <f>IF(T101&gt;0,0,MAX(T97-T98-T99,0)*Premissas!$B$7)</f>
        <v>0</v>
      </c>
      <c r="U106" s="130">
        <f>IF(U101&gt;0,0,MAX(U97-U98-U99,0)*Premissas!$B$7)</f>
        <v>0</v>
      </c>
      <c r="V106" s="130">
        <f>IF(V101&gt;0,0,MAX(V97-V98-V99,0)*Premissas!$B$7)</f>
        <v>0</v>
      </c>
      <c r="W106" s="130">
        <f>IF(W101&gt;0,0,MAX(W97-W98-W99,0)*Premissas!$B$7)</f>
        <v>0</v>
      </c>
      <c r="X106" s="130">
        <f>IF(X101&gt;0,0,MAX(X97-X98-X99,0)*Premissas!$B$7)</f>
        <v>0</v>
      </c>
      <c r="Y106" s="130">
        <f>IF(Y101&gt;0,0,MAX(Y97-Y98-Y99,0)*Premissas!$B$7)</f>
        <v>0</v>
      </c>
      <c r="Z106" s="130">
        <f>IF(Z101&gt;0,0,MAX(Z97-Z98-Z99,0)*Premissas!$B$7)</f>
        <v>0</v>
      </c>
      <c r="AA106" s="130">
        <f>IF(AA101&gt;0,0,MAX(AA97-AA98-AA99,0)*Premissas!$B$7)</f>
        <v>0</v>
      </c>
    </row>
    <row r="107" spans="1:27" ht="13.5" customHeight="1" x14ac:dyDescent="0.35">
      <c r="A107" s="40" t="s">
        <v>308</v>
      </c>
      <c r="B107" s="43">
        <f>SUM(D107:AA107)</f>
        <v>20311.388105514692</v>
      </c>
      <c r="C107" s="110">
        <f>B107/24</f>
        <v>846.30783772977884</v>
      </c>
      <c r="D107" s="131">
        <f t="shared" ref="D107:AA107" si="50">MAX(D105-D106,0)</f>
        <v>500.14944202901142</v>
      </c>
      <c r="E107" s="131">
        <f t="shared" si="50"/>
        <v>578.30224004454374</v>
      </c>
      <c r="F107" s="131">
        <f t="shared" si="50"/>
        <v>755.11688415763979</v>
      </c>
      <c r="G107" s="131">
        <f t="shared" si="50"/>
        <v>665.42797104218084</v>
      </c>
      <c r="H107" s="131">
        <f t="shared" si="50"/>
        <v>872.73793698578095</v>
      </c>
      <c r="I107" s="131">
        <f t="shared" si="50"/>
        <v>856.07910043674167</v>
      </c>
      <c r="J107" s="131">
        <f t="shared" si="50"/>
        <v>775.56139044971837</v>
      </c>
      <c r="K107" s="131">
        <f t="shared" si="50"/>
        <v>830.99829652124356</v>
      </c>
      <c r="L107" s="131">
        <f t="shared" si="50"/>
        <v>841.43320663737791</v>
      </c>
      <c r="M107" s="131">
        <f t="shared" si="50"/>
        <v>977.0870381471243</v>
      </c>
      <c r="N107" s="131">
        <f t="shared" si="50"/>
        <v>973.29252537762079</v>
      </c>
      <c r="O107" s="131">
        <f t="shared" si="50"/>
        <v>1087.1279084627226</v>
      </c>
      <c r="P107" s="131">
        <f t="shared" si="50"/>
        <v>1012.1862812650307</v>
      </c>
      <c r="Q107" s="131">
        <f t="shared" si="50"/>
        <v>852.8167449458881</v>
      </c>
      <c r="R107" s="131">
        <f t="shared" si="50"/>
        <v>774.08060497869269</v>
      </c>
      <c r="S107" s="131">
        <f t="shared" si="50"/>
        <v>682.06367031823527</v>
      </c>
      <c r="T107" s="131">
        <f t="shared" si="50"/>
        <v>894.55638541042549</v>
      </c>
      <c r="U107" s="131">
        <f t="shared" si="50"/>
        <v>877.48107794766008</v>
      </c>
      <c r="V107" s="131">
        <f t="shared" si="50"/>
        <v>794.95042521096127</v>
      </c>
      <c r="W107" s="131">
        <f t="shared" si="50"/>
        <v>830.99829652124356</v>
      </c>
      <c r="X107" s="131">
        <f t="shared" si="50"/>
        <v>841.43320663737791</v>
      </c>
      <c r="Y107" s="131">
        <f t="shared" si="50"/>
        <v>977.0870381471243</v>
      </c>
      <c r="Z107" s="131">
        <f t="shared" si="50"/>
        <v>973.29252537762079</v>
      </c>
      <c r="AA107" s="131">
        <f t="shared" si="50"/>
        <v>1087.1279084627226</v>
      </c>
    </row>
    <row r="109" spans="1:27" ht="15" customHeight="1" x14ac:dyDescent="0.35">
      <c r="A109" s="229" t="s">
        <v>317</v>
      </c>
      <c r="B109" s="229"/>
      <c r="C109" s="229"/>
      <c r="D109" s="229"/>
      <c r="E109" s="229"/>
      <c r="F109" s="229"/>
      <c r="G109" s="229"/>
      <c r="H109" s="229"/>
      <c r="I109" s="229"/>
      <c r="J109" s="229"/>
      <c r="K109" s="229"/>
      <c r="L109" s="229"/>
      <c r="M109" s="229"/>
      <c r="N109" s="229"/>
      <c r="O109" s="229"/>
      <c r="P109" s="229"/>
      <c r="Q109" s="229"/>
      <c r="R109" s="229"/>
      <c r="S109" s="229"/>
      <c r="T109" s="229"/>
      <c r="U109" s="229"/>
      <c r="V109" s="229"/>
      <c r="W109" s="229"/>
      <c r="X109" s="229"/>
      <c r="Y109" s="229"/>
      <c r="Z109" s="229"/>
      <c r="AA109" s="229"/>
    </row>
    <row r="110" spans="1:27" ht="12.75" customHeight="1" x14ac:dyDescent="0.35">
      <c r="A110" s="132" t="s">
        <v>295</v>
      </c>
      <c r="B110" s="133">
        <f>SUM(D110:AA110)</f>
        <v>228913.32499999998</v>
      </c>
      <c r="C110" s="106">
        <f>B110/24</f>
        <v>9538.0552083333332</v>
      </c>
      <c r="D110" s="133">
        <v>6483</v>
      </c>
      <c r="E110" s="133">
        <v>8738</v>
      </c>
      <c r="F110" s="133">
        <v>8554</v>
      </c>
      <c r="G110" s="133">
        <v>11071</v>
      </c>
      <c r="H110" s="133">
        <v>10947</v>
      </c>
      <c r="I110" s="133">
        <v>12098</v>
      </c>
      <c r="J110" s="133">
        <v>11642</v>
      </c>
      <c r="K110" s="133">
        <f>10042*(1+Premissas!$B$21)</f>
        <v>10293.049999999999</v>
      </c>
      <c r="L110" s="133">
        <f>10825*(1+Premissas!$B$21)</f>
        <v>11095.624999999998</v>
      </c>
      <c r="M110" s="133">
        <f>8490*(1+Premissas!$B$21)</f>
        <v>8702.25</v>
      </c>
      <c r="N110" s="133">
        <f>7229*(1+Premissas!$B$21)</f>
        <v>7409.7249999999995</v>
      </c>
      <c r="O110" s="133">
        <f>6394*(1+Premissas!$B$21)</f>
        <v>6553.8499999999995</v>
      </c>
      <c r="P110" s="133">
        <f>6483*(1+Premissas!$B$21)</f>
        <v>6645.0749999999998</v>
      </c>
      <c r="Q110" s="133">
        <f>8738*(1+Premissas!$B$21)</f>
        <v>8956.4499999999989</v>
      </c>
      <c r="R110" s="133">
        <f>8554*(1+Premissas!$B$21)</f>
        <v>8767.8499999999985</v>
      </c>
      <c r="S110" s="133">
        <f>11071*(1+Premissas!$B$21)</f>
        <v>11347.775</v>
      </c>
      <c r="T110" s="133">
        <f>10947*(1+Premissas!$B$21)</f>
        <v>11220.674999999999</v>
      </c>
      <c r="U110" s="133">
        <f>12098*(1+Premissas!$B$21)</f>
        <v>12400.449999999999</v>
      </c>
      <c r="V110" s="133">
        <f>11642*(1+Premissas!$B$21)</f>
        <v>11933.05</v>
      </c>
      <c r="W110" s="133">
        <f>10042*(1+Premissas!$B$21)</f>
        <v>10293.049999999999</v>
      </c>
      <c r="X110" s="133">
        <f>10825*(1+Premissas!$B$21)</f>
        <v>11095.624999999998</v>
      </c>
      <c r="Y110" s="133">
        <f>8490*(1+Premissas!$B$21)</f>
        <v>8702.25</v>
      </c>
      <c r="Z110" s="133">
        <f>7229*(1+Premissas!$B$21)</f>
        <v>7409.7249999999995</v>
      </c>
      <c r="AA110" s="133">
        <f>6394*(1+Premissas!$B$21)</f>
        <v>6553.8499999999995</v>
      </c>
    </row>
    <row r="111" spans="1:27" ht="12.75" customHeight="1" x14ac:dyDescent="0.35">
      <c r="A111" s="108" t="str">
        <f>"  "&amp;INDEX(PVSYST_Helexia!$A$5:$A$7,MATCH(Premissas!$B$13,PVSYST_Helexia!$B$5:$B$7,0))&amp;" créditos recebidos (kWh)"</f>
        <v xml:space="preserve">  HCS03 créditos recebidos (kWh)</v>
      </c>
      <c r="B111" s="121">
        <f>SUM(D111:AA111)</f>
        <v>403582.49454467365</v>
      </c>
      <c r="C111" s="106">
        <f>B111/24</f>
        <v>16815.937272694737</v>
      </c>
      <c r="D111" s="122">
        <f>D6*Premissas!$B$40</f>
        <v>7740.4252813170278</v>
      </c>
      <c r="E111" s="122">
        <f>E6*Premissas!$B$40</f>
        <v>8147.4546613814437</v>
      </c>
      <c r="F111" s="122">
        <f>F6*Premissas!$B$40</f>
        <v>9780.5664071613737</v>
      </c>
      <c r="G111" s="122">
        <f>G6*Premissas!$B$40</f>
        <v>9177.5136753481438</v>
      </c>
      <c r="H111" s="122">
        <f>H6*Premissas!$C$40</f>
        <v>15644.924996420988</v>
      </c>
      <c r="I111" s="122">
        <f>I6*Premissas!$C$40</f>
        <v>15127.155437365489</v>
      </c>
      <c r="J111" s="122">
        <f>J6*Premissas!$C$40</f>
        <v>14363.963107317682</v>
      </c>
      <c r="K111" s="122">
        <f>K6*Premissas!$C$40</f>
        <v>14748.593401957649</v>
      </c>
      <c r="L111" s="122">
        <f>L6*Premissas!$C$40</f>
        <v>13142.259944248277</v>
      </c>
      <c r="M111" s="122">
        <f>M6*Premissas!$C$40</f>
        <v>15074.187611474112</v>
      </c>
      <c r="N111" s="122">
        <f>N6*Premissas!$D$40</f>
        <v>10344.53681121599</v>
      </c>
      <c r="O111" s="122">
        <f>O6*Premissas!$D$40</f>
        <v>9681.2619478581219</v>
      </c>
      <c r="P111" s="122">
        <f>P6*Premissas!$D$40</f>
        <v>8786.266058519459</v>
      </c>
      <c r="Q111" s="122">
        <f>Q6*Premissas!$D$40</f>
        <v>9248.2908564995123</v>
      </c>
      <c r="R111" s="122">
        <f>R6*Premissas!$D$40</f>
        <v>11102.059064345864</v>
      </c>
      <c r="S111" s="122">
        <f>S6*Premissas!$D$40</f>
        <v>10417.525391264988</v>
      </c>
      <c r="T111" s="122">
        <f>T6*Premissas!$E$40</f>
        <v>29412.807526754692</v>
      </c>
      <c r="U111" s="122">
        <f>U6*Premissas!$E$40</f>
        <v>28439.389220997655</v>
      </c>
      <c r="V111" s="122">
        <f>V6*Premissas!$E$40</f>
        <v>27004.570638311779</v>
      </c>
      <c r="W111" s="122">
        <f>W6*Premissas!$E$40</f>
        <v>27867.019257212512</v>
      </c>
      <c r="X111" s="122">
        <f>X6*Premissas!$E$40</f>
        <v>24831.900979862065</v>
      </c>
      <c r="Y111" s="122">
        <f>Y6*Premissas!$E$40</f>
        <v>28482.219626450962</v>
      </c>
      <c r="Z111" s="122">
        <f>Z6*Premissas!$E$40</f>
        <v>28419.920854882512</v>
      </c>
      <c r="AA111" s="122">
        <f>AA6*Premissas!$E$40</f>
        <v>26597.681786505334</v>
      </c>
    </row>
    <row r="112" spans="1:27" ht="12.75" customHeight="1" x14ac:dyDescent="0.35">
      <c r="A112" s="112" t="s">
        <v>301</v>
      </c>
      <c r="B112" s="106">
        <f>AA112</f>
        <v>154625.3777329603</v>
      </c>
      <c r="C112" s="106" t="s">
        <v>104</v>
      </c>
      <c r="D112" s="106">
        <f>0</f>
        <v>0</v>
      </c>
      <c r="E112" s="106">
        <f t="shared" ref="E112:AA112" si="51">D114</f>
        <v>1257.4252813170278</v>
      </c>
      <c r="F112" s="106">
        <f t="shared" si="51"/>
        <v>666.8799426984715</v>
      </c>
      <c r="G112" s="106">
        <f t="shared" si="51"/>
        <v>1893.4463498598452</v>
      </c>
      <c r="H112" s="106">
        <f t="shared" si="51"/>
        <v>0</v>
      </c>
      <c r="I112" s="106">
        <f t="shared" si="51"/>
        <v>4697.9249964209885</v>
      </c>
      <c r="J112" s="106">
        <f t="shared" si="51"/>
        <v>7727.0804337864774</v>
      </c>
      <c r="K112" s="106">
        <f t="shared" si="51"/>
        <v>10449.04354110416</v>
      </c>
      <c r="L112" s="106">
        <f t="shared" si="51"/>
        <v>14904.58694306181</v>
      </c>
      <c r="M112" s="106">
        <f t="shared" si="51"/>
        <v>16951.221887310086</v>
      </c>
      <c r="N112" s="106">
        <f t="shared" si="51"/>
        <v>23323.159498784196</v>
      </c>
      <c r="O112" s="106">
        <f t="shared" si="51"/>
        <v>26257.971310000186</v>
      </c>
      <c r="P112" s="106">
        <f t="shared" si="51"/>
        <v>29385.38325785831</v>
      </c>
      <c r="Q112" s="106">
        <f t="shared" si="51"/>
        <v>31526.57431637777</v>
      </c>
      <c r="R112" s="106">
        <f t="shared" si="51"/>
        <v>31818.415172877285</v>
      </c>
      <c r="S112" s="106">
        <f t="shared" si="51"/>
        <v>34152.62423722315</v>
      </c>
      <c r="T112" s="106">
        <f t="shared" si="51"/>
        <v>33222.374628488134</v>
      </c>
      <c r="U112" s="106">
        <f t="shared" si="51"/>
        <v>51414.507155242827</v>
      </c>
      <c r="V112" s="106">
        <f t="shared" si="51"/>
        <v>67453.446376240478</v>
      </c>
      <c r="W112" s="106">
        <f t="shared" si="51"/>
        <v>82524.967014552254</v>
      </c>
      <c r="X112" s="106">
        <f t="shared" si="51"/>
        <v>100098.93627176477</v>
      </c>
      <c r="Y112" s="106">
        <f t="shared" si="51"/>
        <v>113835.21225162684</v>
      </c>
      <c r="Z112" s="106">
        <f t="shared" si="51"/>
        <v>133615.1818780778</v>
      </c>
      <c r="AA112" s="106">
        <f t="shared" si="51"/>
        <v>154625.3777329603</v>
      </c>
    </row>
    <row r="113" spans="1:27" ht="12.75" customHeight="1" x14ac:dyDescent="0.35">
      <c r="A113" s="112" t="s">
        <v>302</v>
      </c>
      <c r="B113" s="106">
        <f>SUM(D113:AA113)</f>
        <v>3414.2412972134134</v>
      </c>
      <c r="C113" s="106">
        <f>B113/24</f>
        <v>142.26005405055889</v>
      </c>
      <c r="D113" s="106">
        <f t="shared" ref="D113:AA113" si="52">MIN(D112,MAX(D110-D111,0))</f>
        <v>0</v>
      </c>
      <c r="E113" s="106">
        <f t="shared" si="52"/>
        <v>590.54533861855634</v>
      </c>
      <c r="F113" s="106">
        <f t="shared" si="52"/>
        <v>0</v>
      </c>
      <c r="G113" s="106">
        <f t="shared" si="52"/>
        <v>1893.4463498598452</v>
      </c>
      <c r="H113" s="106">
        <f t="shared" si="52"/>
        <v>0</v>
      </c>
      <c r="I113" s="106">
        <f t="shared" si="52"/>
        <v>0</v>
      </c>
      <c r="J113" s="106">
        <f t="shared" si="52"/>
        <v>0</v>
      </c>
      <c r="K113" s="106">
        <f t="shared" si="52"/>
        <v>0</v>
      </c>
      <c r="L113" s="106">
        <f t="shared" si="52"/>
        <v>0</v>
      </c>
      <c r="M113" s="106">
        <f t="shared" si="52"/>
        <v>0</v>
      </c>
      <c r="N113" s="106">
        <f t="shared" si="52"/>
        <v>0</v>
      </c>
      <c r="O113" s="106">
        <f t="shared" si="52"/>
        <v>0</v>
      </c>
      <c r="P113" s="106">
        <f t="shared" si="52"/>
        <v>0</v>
      </c>
      <c r="Q113" s="106">
        <f t="shared" si="52"/>
        <v>0</v>
      </c>
      <c r="R113" s="106">
        <f t="shared" si="52"/>
        <v>0</v>
      </c>
      <c r="S113" s="106">
        <f t="shared" si="52"/>
        <v>930.24960873501186</v>
      </c>
      <c r="T113" s="106">
        <f t="shared" si="52"/>
        <v>0</v>
      </c>
      <c r="U113" s="106">
        <f t="shared" si="52"/>
        <v>0</v>
      </c>
      <c r="V113" s="106">
        <f t="shared" si="52"/>
        <v>0</v>
      </c>
      <c r="W113" s="106">
        <f t="shared" si="52"/>
        <v>0</v>
      </c>
      <c r="X113" s="106">
        <f t="shared" si="52"/>
        <v>0</v>
      </c>
      <c r="Y113" s="106">
        <f t="shared" si="52"/>
        <v>0</v>
      </c>
      <c r="Z113" s="106">
        <f t="shared" si="52"/>
        <v>0</v>
      </c>
      <c r="AA113" s="106">
        <f t="shared" si="52"/>
        <v>0</v>
      </c>
    </row>
    <row r="114" spans="1:27" ht="13.5" customHeight="1" x14ac:dyDescent="0.35">
      <c r="A114" s="40" t="s">
        <v>303</v>
      </c>
      <c r="B114" s="42">
        <f>AA114</f>
        <v>174669.20951946563</v>
      </c>
      <c r="C114" s="106" t="s">
        <v>104</v>
      </c>
      <c r="D114" s="123">
        <f t="shared" ref="D114:AA114" si="53">MAX(D112-D113,0)+MAX(D111-D110,0)</f>
        <v>1257.4252813170278</v>
      </c>
      <c r="E114" s="123">
        <f t="shared" si="53"/>
        <v>666.8799426984715</v>
      </c>
      <c r="F114" s="123">
        <f t="shared" si="53"/>
        <v>1893.4463498598452</v>
      </c>
      <c r="G114" s="123">
        <f t="shared" si="53"/>
        <v>0</v>
      </c>
      <c r="H114" s="123">
        <f t="shared" si="53"/>
        <v>4697.9249964209885</v>
      </c>
      <c r="I114" s="123">
        <f t="shared" si="53"/>
        <v>7727.0804337864774</v>
      </c>
      <c r="J114" s="123">
        <f t="shared" si="53"/>
        <v>10449.04354110416</v>
      </c>
      <c r="K114" s="123">
        <f t="shared" si="53"/>
        <v>14904.58694306181</v>
      </c>
      <c r="L114" s="123">
        <f t="shared" si="53"/>
        <v>16951.221887310086</v>
      </c>
      <c r="M114" s="123">
        <f t="shared" si="53"/>
        <v>23323.159498784196</v>
      </c>
      <c r="N114" s="123">
        <f t="shared" si="53"/>
        <v>26257.971310000186</v>
      </c>
      <c r="O114" s="123">
        <f t="shared" si="53"/>
        <v>29385.38325785831</v>
      </c>
      <c r="P114" s="123">
        <f t="shared" si="53"/>
        <v>31526.57431637777</v>
      </c>
      <c r="Q114" s="123">
        <f t="shared" si="53"/>
        <v>31818.415172877285</v>
      </c>
      <c r="R114" s="123">
        <f t="shared" si="53"/>
        <v>34152.62423722315</v>
      </c>
      <c r="S114" s="123">
        <f t="shared" si="53"/>
        <v>33222.374628488134</v>
      </c>
      <c r="T114" s="123">
        <f t="shared" si="53"/>
        <v>51414.507155242827</v>
      </c>
      <c r="U114" s="123">
        <f t="shared" si="53"/>
        <v>67453.446376240478</v>
      </c>
      <c r="V114" s="123">
        <f t="shared" si="53"/>
        <v>82524.967014552254</v>
      </c>
      <c r="W114" s="123">
        <f t="shared" si="53"/>
        <v>100098.93627176477</v>
      </c>
      <c r="X114" s="123">
        <f t="shared" si="53"/>
        <v>113835.21225162684</v>
      </c>
      <c r="Y114" s="123">
        <f t="shared" si="53"/>
        <v>133615.1818780778</v>
      </c>
      <c r="Z114" s="123">
        <f t="shared" si="53"/>
        <v>154625.3777329603</v>
      </c>
      <c r="AA114" s="123">
        <f t="shared" si="53"/>
        <v>174669.20951946563</v>
      </c>
    </row>
    <row r="115" spans="1:27" ht="12.75" customHeight="1" x14ac:dyDescent="0.35">
      <c r="A115" s="113" t="s">
        <v>304</v>
      </c>
      <c r="B115" s="114">
        <f>AA115</f>
        <v>0</v>
      </c>
      <c r="C115" s="106" t="s">
        <v>104</v>
      </c>
      <c r="D115" s="114">
        <f>0</f>
        <v>0</v>
      </c>
      <c r="E115" s="114">
        <f t="shared" ref="E115:AA115" si="54">D117</f>
        <v>0</v>
      </c>
      <c r="F115" s="114">
        <f t="shared" si="54"/>
        <v>0</v>
      </c>
      <c r="G115" s="114">
        <f t="shared" si="54"/>
        <v>0</v>
      </c>
      <c r="H115" s="114">
        <f t="shared" si="54"/>
        <v>0</v>
      </c>
      <c r="I115" s="114">
        <f t="shared" si="54"/>
        <v>0</v>
      </c>
      <c r="J115" s="114">
        <f t="shared" si="54"/>
        <v>0</v>
      </c>
      <c r="K115" s="114">
        <f t="shared" si="54"/>
        <v>0</v>
      </c>
      <c r="L115" s="114">
        <f t="shared" si="54"/>
        <v>0</v>
      </c>
      <c r="M115" s="114">
        <f t="shared" si="54"/>
        <v>0</v>
      </c>
      <c r="N115" s="114">
        <f t="shared" si="54"/>
        <v>0</v>
      </c>
      <c r="O115" s="114">
        <f t="shared" si="54"/>
        <v>0</v>
      </c>
      <c r="P115" s="114">
        <f t="shared" si="54"/>
        <v>0</v>
      </c>
      <c r="Q115" s="114">
        <f t="shared" si="54"/>
        <v>0</v>
      </c>
      <c r="R115" s="114">
        <f t="shared" si="54"/>
        <v>0</v>
      </c>
      <c r="S115" s="114">
        <f t="shared" si="54"/>
        <v>0</v>
      </c>
      <c r="T115" s="114">
        <f t="shared" si="54"/>
        <v>0</v>
      </c>
      <c r="U115" s="114">
        <f t="shared" si="54"/>
        <v>0</v>
      </c>
      <c r="V115" s="114">
        <f t="shared" si="54"/>
        <v>0</v>
      </c>
      <c r="W115" s="114">
        <f t="shared" si="54"/>
        <v>0</v>
      </c>
      <c r="X115" s="114">
        <f t="shared" si="54"/>
        <v>0</v>
      </c>
      <c r="Y115" s="114">
        <f t="shared" si="54"/>
        <v>0</v>
      </c>
      <c r="Z115" s="114">
        <f t="shared" si="54"/>
        <v>0</v>
      </c>
      <c r="AA115" s="114">
        <f t="shared" si="54"/>
        <v>0</v>
      </c>
    </row>
    <row r="116" spans="1:27" ht="12.75" customHeight="1" x14ac:dyDescent="0.35">
      <c r="A116" s="113" t="s">
        <v>312</v>
      </c>
      <c r="B116" s="114">
        <f>SUM(D116:AA116)</f>
        <v>0</v>
      </c>
      <c r="C116" s="106">
        <f>B116/24</f>
        <v>0</v>
      </c>
      <c r="D116" s="114">
        <f t="shared" ref="D116:AA116" si="55">MIN(D115,D110)</f>
        <v>0</v>
      </c>
      <c r="E116" s="114">
        <f t="shared" si="55"/>
        <v>0</v>
      </c>
      <c r="F116" s="114">
        <f t="shared" si="55"/>
        <v>0</v>
      </c>
      <c r="G116" s="114">
        <f t="shared" si="55"/>
        <v>0</v>
      </c>
      <c r="H116" s="114">
        <f t="shared" si="55"/>
        <v>0</v>
      </c>
      <c r="I116" s="114">
        <f t="shared" si="55"/>
        <v>0</v>
      </c>
      <c r="J116" s="114">
        <f t="shared" si="55"/>
        <v>0</v>
      </c>
      <c r="K116" s="114">
        <f t="shared" si="55"/>
        <v>0</v>
      </c>
      <c r="L116" s="114">
        <f t="shared" si="55"/>
        <v>0</v>
      </c>
      <c r="M116" s="114">
        <f t="shared" si="55"/>
        <v>0</v>
      </c>
      <c r="N116" s="114">
        <f t="shared" si="55"/>
        <v>0</v>
      </c>
      <c r="O116" s="114">
        <f t="shared" si="55"/>
        <v>0</v>
      </c>
      <c r="P116" s="114">
        <f t="shared" si="55"/>
        <v>0</v>
      </c>
      <c r="Q116" s="114">
        <f t="shared" si="55"/>
        <v>0</v>
      </c>
      <c r="R116" s="114">
        <f t="shared" si="55"/>
        <v>0</v>
      </c>
      <c r="S116" s="114">
        <f t="shared" si="55"/>
        <v>0</v>
      </c>
      <c r="T116" s="114">
        <f t="shared" si="55"/>
        <v>0</v>
      </c>
      <c r="U116" s="114">
        <f t="shared" si="55"/>
        <v>0</v>
      </c>
      <c r="V116" s="114">
        <f t="shared" si="55"/>
        <v>0</v>
      </c>
      <c r="W116" s="114">
        <f t="shared" si="55"/>
        <v>0</v>
      </c>
      <c r="X116" s="114">
        <f t="shared" si="55"/>
        <v>0</v>
      </c>
      <c r="Y116" s="114">
        <f t="shared" si="55"/>
        <v>0</v>
      </c>
      <c r="Z116" s="114">
        <f t="shared" si="55"/>
        <v>0</v>
      </c>
      <c r="AA116" s="114">
        <f t="shared" si="55"/>
        <v>0</v>
      </c>
    </row>
    <row r="117" spans="1:27" ht="12.75" customHeight="1" x14ac:dyDescent="0.35">
      <c r="A117" s="113" t="s">
        <v>313</v>
      </c>
      <c r="B117" s="114">
        <f>AA117</f>
        <v>0</v>
      </c>
      <c r="C117" s="106" t="s">
        <v>104</v>
      </c>
      <c r="D117" s="134">
        <f t="shared" ref="D117:AA117" si="56">MAX(D115-D116,0)</f>
        <v>0</v>
      </c>
      <c r="E117" s="134">
        <f t="shared" si="56"/>
        <v>0</v>
      </c>
      <c r="F117" s="134">
        <f t="shared" si="56"/>
        <v>0</v>
      </c>
      <c r="G117" s="134">
        <f t="shared" si="56"/>
        <v>0</v>
      </c>
      <c r="H117" s="134">
        <f t="shared" si="56"/>
        <v>0</v>
      </c>
      <c r="I117" s="134">
        <f t="shared" si="56"/>
        <v>0</v>
      </c>
      <c r="J117" s="134">
        <f t="shared" si="56"/>
        <v>0</v>
      </c>
      <c r="K117" s="134">
        <f t="shared" si="56"/>
        <v>0</v>
      </c>
      <c r="L117" s="134">
        <f t="shared" si="56"/>
        <v>0</v>
      </c>
      <c r="M117" s="134">
        <f t="shared" si="56"/>
        <v>0</v>
      </c>
      <c r="N117" s="134">
        <f t="shared" si="56"/>
        <v>0</v>
      </c>
      <c r="O117" s="134">
        <f t="shared" si="56"/>
        <v>0</v>
      </c>
      <c r="P117" s="134">
        <f t="shared" si="56"/>
        <v>0</v>
      </c>
      <c r="Q117" s="134">
        <f t="shared" si="56"/>
        <v>0</v>
      </c>
      <c r="R117" s="134">
        <f t="shared" si="56"/>
        <v>0</v>
      </c>
      <c r="S117" s="134">
        <f t="shared" si="56"/>
        <v>0</v>
      </c>
      <c r="T117" s="134">
        <f t="shared" si="56"/>
        <v>0</v>
      </c>
      <c r="U117" s="134">
        <f t="shared" si="56"/>
        <v>0</v>
      </c>
      <c r="V117" s="134">
        <f t="shared" si="56"/>
        <v>0</v>
      </c>
      <c r="W117" s="134">
        <f t="shared" si="56"/>
        <v>0</v>
      </c>
      <c r="X117" s="134">
        <f t="shared" si="56"/>
        <v>0</v>
      </c>
      <c r="Y117" s="134">
        <f t="shared" si="56"/>
        <v>0</v>
      </c>
      <c r="Z117" s="134">
        <f t="shared" si="56"/>
        <v>0</v>
      </c>
      <c r="AA117" s="134">
        <f t="shared" si="56"/>
        <v>0</v>
      </c>
    </row>
    <row r="118" spans="1:27" ht="12.75" customHeight="1" x14ac:dyDescent="0.35">
      <c r="A118" s="125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18" s="128">
        <f>SUM(D118:AA118)</f>
        <v>211857.20361511729</v>
      </c>
      <c r="C118" s="110">
        <f>B118/24</f>
        <v>8827.38348396322</v>
      </c>
      <c r="D118" s="128">
        <f>D110*Premissas!$F$19</f>
        <v>5999.9576304123202</v>
      </c>
      <c r="E118" s="128">
        <f>E110*Premissas!$F$19</f>
        <v>8086.9396536391878</v>
      </c>
      <c r="F118" s="128">
        <f>F110*Premissas!$F$19</f>
        <v>7916.649324471231</v>
      </c>
      <c r="G118" s="128">
        <f>G110*Premissas!$F$19</f>
        <v>10246.109968578559</v>
      </c>
      <c r="H118" s="128">
        <f>H110*Premissas!$F$19</f>
        <v>10131.349094574067</v>
      </c>
      <c r="I118" s="128">
        <f>I110*Premissas!$F$19</f>
        <v>11196.589142793189</v>
      </c>
      <c r="J118" s="128">
        <f>J110*Premissas!$F$19</f>
        <v>10774.565283550861</v>
      </c>
      <c r="K118" s="128">
        <f>K110*Premissas!$F$19</f>
        <v>9526.124307838274</v>
      </c>
      <c r="L118" s="128">
        <f>L110*Premissas!$F$19</f>
        <v>10268.900182468562</v>
      </c>
      <c r="M118" s="128">
        <f>M110*Premissas!$F$19</f>
        <v>8053.8533532709571</v>
      </c>
      <c r="N118" s="128">
        <f>N110*Premissas!$F$19</f>
        <v>6857.6332026850114</v>
      </c>
      <c r="O118" s="128">
        <f>O110*Premissas!$F$19</f>
        <v>6065.528662051177</v>
      </c>
      <c r="P118" s="128">
        <f>P110*Premissas!$F$19</f>
        <v>6149.9565711726282</v>
      </c>
      <c r="Q118" s="128">
        <f>Q110*Premissas!$F$19</f>
        <v>8289.1131449801669</v>
      </c>
      <c r="R118" s="128">
        <f>R110*Premissas!$F$19</f>
        <v>8114.5655575830096</v>
      </c>
      <c r="S118" s="128">
        <f>S110*Premissas!$F$19</f>
        <v>10502.262717793023</v>
      </c>
      <c r="T118" s="128">
        <f>T110*Premissas!$F$19</f>
        <v>10384.632821938418</v>
      </c>
      <c r="U118" s="128">
        <f>U110*Premissas!$F$19</f>
        <v>11476.503871363018</v>
      </c>
      <c r="V118" s="128">
        <f>V110*Premissas!$F$19</f>
        <v>11043.929415639632</v>
      </c>
      <c r="W118" s="128">
        <f>W110*Premissas!$F$19</f>
        <v>9526.124307838274</v>
      </c>
      <c r="X118" s="128">
        <f>X110*Premissas!$F$19</f>
        <v>10268.900182468562</v>
      </c>
      <c r="Y118" s="128">
        <f>Y110*Premissas!$F$19</f>
        <v>8053.8533532709571</v>
      </c>
      <c r="Z118" s="128">
        <f>Z110*Premissas!$F$19</f>
        <v>6857.6332026850114</v>
      </c>
      <c r="AA118" s="128">
        <f>AA110*Premissas!$F$19</f>
        <v>6065.528662051177</v>
      </c>
    </row>
    <row r="119" spans="1:27" ht="12.75" customHeight="1" x14ac:dyDescent="0.35">
      <c r="A119" s="129" t="s">
        <v>307</v>
      </c>
      <c r="B119" s="130">
        <f>SUM(D119:AA119)</f>
        <v>4.6245383763386307E-2</v>
      </c>
      <c r="C119" s="110">
        <f>B119/24</f>
        <v>1.9268909901410962E-3</v>
      </c>
      <c r="D119" s="130">
        <f>IF(D114&gt;0,0,MAX(D110-D111-D112,0)*Premissas!$B$7)</f>
        <v>0</v>
      </c>
      <c r="E119" s="130">
        <f>IF(E114&gt;0,0,MAX(E110-E111-E112,0)*Premissas!$B$7)</f>
        <v>0</v>
      </c>
      <c r="F119" s="130">
        <f>IF(F114&gt;0,0,MAX(F110-F111-F112,0)*Premissas!$B$7)</f>
        <v>0</v>
      </c>
      <c r="G119" s="130">
        <f>IF(G114&gt;0,0,MAX(G110-G111-G112,0)*Premissas!$B$7)</f>
        <v>4.6245383763386307E-2</v>
      </c>
      <c r="H119" s="130">
        <f>IF(H114&gt;0,0,MAX(H110-H111-H112,0)*Premissas!$B$7)</f>
        <v>0</v>
      </c>
      <c r="I119" s="130">
        <f>IF(I114&gt;0,0,MAX(I110-I111-I112,0)*Premissas!$B$7)</f>
        <v>0</v>
      </c>
      <c r="J119" s="130">
        <f>IF(J114&gt;0,0,MAX(J110-J111-J112,0)*Premissas!$B$7)</f>
        <v>0</v>
      </c>
      <c r="K119" s="130">
        <f>IF(K114&gt;0,0,MAX(K110-K111-K112,0)*Premissas!$B$7)</f>
        <v>0</v>
      </c>
      <c r="L119" s="130">
        <f>IF(L114&gt;0,0,MAX(L110-L111-L112,0)*Premissas!$B$7)</f>
        <v>0</v>
      </c>
      <c r="M119" s="130">
        <f>IF(M114&gt;0,0,MAX(M110-M111-M112,0)*Premissas!$B$7)</f>
        <v>0</v>
      </c>
      <c r="N119" s="130">
        <f>IF(N114&gt;0,0,MAX(N110-N111-N112,0)*Premissas!$B$7)</f>
        <v>0</v>
      </c>
      <c r="O119" s="130">
        <f>IF(O114&gt;0,0,MAX(O110-O111-O112,0)*Premissas!$B$7)</f>
        <v>0</v>
      </c>
      <c r="P119" s="130">
        <f>IF(P114&gt;0,0,MAX(P110-P111-P112,0)*Premissas!$B$7)</f>
        <v>0</v>
      </c>
      <c r="Q119" s="130">
        <f>IF(Q114&gt;0,0,MAX(Q110-Q111-Q112,0)*Premissas!$B$7)</f>
        <v>0</v>
      </c>
      <c r="R119" s="130">
        <f>IF(R114&gt;0,0,MAX(R110-R111-R112,0)*Premissas!$B$7)</f>
        <v>0</v>
      </c>
      <c r="S119" s="130">
        <f>IF(S114&gt;0,0,MAX(S110-S111-S112,0)*Premissas!$B$7)</f>
        <v>0</v>
      </c>
      <c r="T119" s="130">
        <f>IF(T114&gt;0,0,MAX(T110-T111-T112,0)*Premissas!$B$7)</f>
        <v>0</v>
      </c>
      <c r="U119" s="130">
        <f>IF(U114&gt;0,0,MAX(U110-U111-U112,0)*Premissas!$B$7)</f>
        <v>0</v>
      </c>
      <c r="V119" s="130">
        <f>IF(V114&gt;0,0,MAX(V110-V111-V112,0)*Premissas!$B$7)</f>
        <v>0</v>
      </c>
      <c r="W119" s="130">
        <f>IF(W114&gt;0,0,MAX(W110-W111-W112,0)*Premissas!$B$7)</f>
        <v>0</v>
      </c>
      <c r="X119" s="130">
        <f>IF(X114&gt;0,0,MAX(X110-X111-X112,0)*Premissas!$B$7)</f>
        <v>0</v>
      </c>
      <c r="Y119" s="130">
        <f>IF(Y114&gt;0,0,MAX(Y110-Y111-Y112,0)*Premissas!$B$7)</f>
        <v>0</v>
      </c>
      <c r="Z119" s="130">
        <f>IF(Z114&gt;0,0,MAX(Z110-Z111-Z112,0)*Premissas!$B$7)</f>
        <v>0</v>
      </c>
      <c r="AA119" s="130">
        <f>IF(AA114&gt;0,0,MAX(AA110-AA111-AA112,0)*Premissas!$B$7)</f>
        <v>0</v>
      </c>
    </row>
    <row r="120" spans="1:27" ht="13.5" customHeight="1" x14ac:dyDescent="0.35">
      <c r="A120" s="40" t="s">
        <v>308</v>
      </c>
      <c r="B120" s="43">
        <f>SUM(D120:AA120)</f>
        <v>211857.15736973353</v>
      </c>
      <c r="C120" s="110">
        <f>B120/24</f>
        <v>8827.3815570722309</v>
      </c>
      <c r="D120" s="131">
        <f t="shared" ref="D120:AA120" si="57">MAX(D118-D119,0)</f>
        <v>5999.9576304123202</v>
      </c>
      <c r="E120" s="131">
        <f t="shared" si="57"/>
        <v>8086.9396536391878</v>
      </c>
      <c r="F120" s="131">
        <f t="shared" si="57"/>
        <v>7916.649324471231</v>
      </c>
      <c r="G120" s="131">
        <f t="shared" si="57"/>
        <v>10246.063723194797</v>
      </c>
      <c r="H120" s="131">
        <f t="shared" si="57"/>
        <v>10131.349094574067</v>
      </c>
      <c r="I120" s="131">
        <f t="shared" si="57"/>
        <v>11196.589142793189</v>
      </c>
      <c r="J120" s="131">
        <f t="shared" si="57"/>
        <v>10774.565283550861</v>
      </c>
      <c r="K120" s="131">
        <f t="shared" si="57"/>
        <v>9526.124307838274</v>
      </c>
      <c r="L120" s="131">
        <f t="shared" si="57"/>
        <v>10268.900182468562</v>
      </c>
      <c r="M120" s="131">
        <f t="shared" si="57"/>
        <v>8053.8533532709571</v>
      </c>
      <c r="N120" s="131">
        <f t="shared" si="57"/>
        <v>6857.6332026850114</v>
      </c>
      <c r="O120" s="131">
        <f t="shared" si="57"/>
        <v>6065.528662051177</v>
      </c>
      <c r="P120" s="131">
        <f t="shared" si="57"/>
        <v>6149.9565711726282</v>
      </c>
      <c r="Q120" s="131">
        <f t="shared" si="57"/>
        <v>8289.1131449801669</v>
      </c>
      <c r="R120" s="131">
        <f t="shared" si="57"/>
        <v>8114.5655575830096</v>
      </c>
      <c r="S120" s="131">
        <f t="shared" si="57"/>
        <v>10502.262717793023</v>
      </c>
      <c r="T120" s="131">
        <f t="shared" si="57"/>
        <v>10384.632821938418</v>
      </c>
      <c r="U120" s="131">
        <f t="shared" si="57"/>
        <v>11476.503871363018</v>
      </c>
      <c r="V120" s="131">
        <f t="shared" si="57"/>
        <v>11043.929415639632</v>
      </c>
      <c r="W120" s="131">
        <f t="shared" si="57"/>
        <v>9526.124307838274</v>
      </c>
      <c r="X120" s="131">
        <f t="shared" si="57"/>
        <v>10268.900182468562</v>
      </c>
      <c r="Y120" s="131">
        <f t="shared" si="57"/>
        <v>8053.8533532709571</v>
      </c>
      <c r="Z120" s="131">
        <f t="shared" si="57"/>
        <v>6857.6332026850114</v>
      </c>
      <c r="AA120" s="131">
        <f t="shared" si="57"/>
        <v>6065.528662051177</v>
      </c>
    </row>
    <row r="122" spans="1:27" ht="15" customHeight="1" x14ac:dyDescent="0.35">
      <c r="A122" s="229" t="s">
        <v>318</v>
      </c>
      <c r="B122" s="229"/>
      <c r="C122" s="229"/>
      <c r="D122" s="229"/>
      <c r="E122" s="229"/>
      <c r="F122" s="229"/>
      <c r="G122" s="229"/>
      <c r="H122" s="229"/>
      <c r="I122" s="229"/>
      <c r="J122" s="229"/>
      <c r="K122" s="229"/>
      <c r="L122" s="229"/>
      <c r="M122" s="229"/>
      <c r="N122" s="229"/>
      <c r="O122" s="229"/>
      <c r="P122" s="229"/>
      <c r="Q122" s="229"/>
      <c r="R122" s="229"/>
      <c r="S122" s="229"/>
      <c r="T122" s="229"/>
      <c r="U122" s="229"/>
      <c r="V122" s="229"/>
      <c r="W122" s="229"/>
      <c r="X122" s="229"/>
      <c r="Y122" s="229"/>
      <c r="Z122" s="229"/>
      <c r="AA122" s="229"/>
    </row>
    <row r="123" spans="1:27" ht="12.75" customHeight="1" x14ac:dyDescent="0.35">
      <c r="A123" s="132" t="s">
        <v>295</v>
      </c>
      <c r="B123" s="133">
        <f>SUM(D123:AA123)</f>
        <v>81448.425000000003</v>
      </c>
      <c r="C123" s="106">
        <f>B123/24</f>
        <v>3393.6843750000003</v>
      </c>
      <c r="D123" s="133">
        <v>2632</v>
      </c>
      <c r="E123" s="133">
        <v>2764</v>
      </c>
      <c r="F123" s="133">
        <v>3150</v>
      </c>
      <c r="G123" s="133">
        <v>3035</v>
      </c>
      <c r="H123" s="133">
        <v>3101</v>
      </c>
      <c r="I123" s="133">
        <v>3722</v>
      </c>
      <c r="J123" s="133">
        <v>3167</v>
      </c>
      <c r="K123" s="133">
        <f>4423*(1+Premissas!$B$21)</f>
        <v>4533.5749999999998</v>
      </c>
      <c r="L123" s="133">
        <f>4767*(1+Premissas!$B$21)</f>
        <v>4886.1749999999993</v>
      </c>
      <c r="M123" s="133">
        <f>3538*(1+Premissas!$B$21)</f>
        <v>3626.45</v>
      </c>
      <c r="N123" s="133">
        <f>3021*(1+Premissas!$B$21)</f>
        <v>3096.5249999999996</v>
      </c>
      <c r="O123" s="133">
        <f>2674*(1+Premissas!$B$21)</f>
        <v>2740.85</v>
      </c>
      <c r="P123" s="133">
        <f>2632*(1+Premissas!$B$21)</f>
        <v>2697.7999999999997</v>
      </c>
      <c r="Q123" s="133">
        <f>2764*(1+Premissas!$B$21)</f>
        <v>2833.1</v>
      </c>
      <c r="R123" s="133">
        <f>3150*(1+Premissas!$B$21)</f>
        <v>3228.7499999999995</v>
      </c>
      <c r="S123" s="133">
        <f>3035*(1+Premissas!$B$21)</f>
        <v>3110.8749999999995</v>
      </c>
      <c r="T123" s="133">
        <f>3101*(1+Premissas!$B$21)</f>
        <v>3178.5249999999996</v>
      </c>
      <c r="U123" s="133">
        <f>3722*(1+Premissas!$B$21)</f>
        <v>3815.0499999999997</v>
      </c>
      <c r="V123" s="133">
        <f>3167*(1+Premissas!$B$21)</f>
        <v>3246.1749999999997</v>
      </c>
      <c r="W123" s="133">
        <f>4423*(1+Premissas!$B$21)</f>
        <v>4533.5749999999998</v>
      </c>
      <c r="X123" s="133">
        <f>4767*(1+Premissas!$B$21)</f>
        <v>4886.1749999999993</v>
      </c>
      <c r="Y123" s="133">
        <f>3538*(1+Premissas!$B$21)</f>
        <v>3626.45</v>
      </c>
      <c r="Z123" s="133">
        <f>3021*(1+Premissas!$B$21)</f>
        <v>3096.5249999999996</v>
      </c>
      <c r="AA123" s="133">
        <f>2674*(1+Premissas!$B$21)</f>
        <v>2740.85</v>
      </c>
    </row>
    <row r="124" spans="1:27" ht="12.75" customHeight="1" x14ac:dyDescent="0.35">
      <c r="A124" s="108" t="str">
        <f>"  "&amp;INDEX(PVSYST_Helexia!$A$5:$A$7,MATCH(Premissas!$B$13,PVSYST_Helexia!$B$5:$B$7,0))&amp;" créditos recebidos (kWh)"</f>
        <v xml:space="preserve">  HCS03 créditos recebidos (kWh)</v>
      </c>
      <c r="B124" s="121">
        <f>SUM(D124:AA124)</f>
        <v>111932.9441780216</v>
      </c>
      <c r="C124" s="106">
        <f>B124/24</f>
        <v>4663.872674084233</v>
      </c>
      <c r="D124" s="122">
        <f>D6*Premissas!$B$41</f>
        <v>2525.2817845663908</v>
      </c>
      <c r="E124" s="122">
        <f>E6*Premissas!$B$41</f>
        <v>2658.073439017337</v>
      </c>
      <c r="F124" s="122">
        <f>F6*Premissas!$B$41</f>
        <v>3190.8694022745099</v>
      </c>
      <c r="G124" s="122">
        <f>G6*Premissas!$B$41</f>
        <v>2994.1259387781688</v>
      </c>
      <c r="H124" s="122">
        <f>H6*Premissas!$C$41</f>
        <v>5356.7607101404146</v>
      </c>
      <c r="I124" s="122">
        <f>I6*Premissas!$C$41</f>
        <v>5179.4784520605763</v>
      </c>
      <c r="J124" s="122">
        <f>J6*Premissas!$C$41</f>
        <v>4918.1644036508933</v>
      </c>
      <c r="K124" s="122">
        <f>K6*Premissas!$C$41</f>
        <v>5049.8603018880822</v>
      </c>
      <c r="L124" s="122">
        <f>L6*Premissas!$C$41</f>
        <v>4499.8580515986096</v>
      </c>
      <c r="M124" s="122">
        <f>M6*Premissas!$C$41</f>
        <v>5161.3424770590082</v>
      </c>
      <c r="N124" s="122">
        <f>N6*Premissas!$D$41</f>
        <v>3745.9662071332737</v>
      </c>
      <c r="O124" s="122">
        <f>O6*Premissas!$D$41</f>
        <v>3505.7809509422373</v>
      </c>
      <c r="P124" s="122">
        <f>P6*Premissas!$D$41</f>
        <v>3181.6848199921537</v>
      </c>
      <c r="Q124" s="122">
        <f>Q6*Premissas!$D$41</f>
        <v>3348.9933531508664</v>
      </c>
      <c r="R124" s="122">
        <f>R6*Premissas!$D$41</f>
        <v>4020.2803512232495</v>
      </c>
      <c r="S124" s="122">
        <f>S6*Premissas!$D$41</f>
        <v>3772.3968496414755</v>
      </c>
      <c r="T124" s="122">
        <f>T6*Premissas!$E$41</f>
        <v>6496.3397667512309</v>
      </c>
      <c r="U124" s="122">
        <f>U6*Premissas!$E$41</f>
        <v>6281.3430839755083</v>
      </c>
      <c r="V124" s="122">
        <f>V6*Premissas!$E$41</f>
        <v>5964.4379735640932</v>
      </c>
      <c r="W124" s="122">
        <f>W6*Premissas!$E$41</f>
        <v>6154.9250345033824</v>
      </c>
      <c r="X124" s="122">
        <f>X6*Premissas!$E$41</f>
        <v>5484.5653776086801</v>
      </c>
      <c r="Y124" s="122">
        <f>Y6*Premissas!$E$41</f>
        <v>6290.8029380176395</v>
      </c>
      <c r="Z124" s="122">
        <f>Z6*Premissas!$E$41</f>
        <v>6277.0431503199934</v>
      </c>
      <c r="AA124" s="122">
        <f>AA6*Premissas!$E$41</f>
        <v>5874.5693601638404</v>
      </c>
    </row>
    <row r="125" spans="1:27" ht="12.75" customHeight="1" x14ac:dyDescent="0.35">
      <c r="A125" s="112" t="s">
        <v>301</v>
      </c>
      <c r="B125" s="106">
        <f>AA125</f>
        <v>27563.449253221377</v>
      </c>
      <c r="C125" s="106" t="s">
        <v>104</v>
      </c>
      <c r="D125" s="106">
        <f>0</f>
        <v>0</v>
      </c>
      <c r="E125" s="106">
        <f t="shared" ref="E125:AA125" si="58">D127</f>
        <v>0</v>
      </c>
      <c r="F125" s="106">
        <f t="shared" si="58"/>
        <v>0</v>
      </c>
      <c r="G125" s="106">
        <f t="shared" si="58"/>
        <v>40.869402274509866</v>
      </c>
      <c r="H125" s="106">
        <f t="shared" si="58"/>
        <v>0</v>
      </c>
      <c r="I125" s="106">
        <f t="shared" si="58"/>
        <v>2255.7607101404146</v>
      </c>
      <c r="J125" s="106">
        <f t="shared" si="58"/>
        <v>3713.2391622009909</v>
      </c>
      <c r="K125" s="106">
        <f t="shared" si="58"/>
        <v>5464.4035658518842</v>
      </c>
      <c r="L125" s="106">
        <f t="shared" si="58"/>
        <v>5980.6888677399666</v>
      </c>
      <c r="M125" s="106">
        <f t="shared" si="58"/>
        <v>5594.3719193385768</v>
      </c>
      <c r="N125" s="106">
        <f t="shared" si="58"/>
        <v>7129.2643963975852</v>
      </c>
      <c r="O125" s="106">
        <f t="shared" si="58"/>
        <v>7778.7056035308597</v>
      </c>
      <c r="P125" s="106">
        <f t="shared" si="58"/>
        <v>8543.6365544730979</v>
      </c>
      <c r="Q125" s="106">
        <f t="shared" si="58"/>
        <v>9027.5213744652519</v>
      </c>
      <c r="R125" s="106">
        <f t="shared" si="58"/>
        <v>9543.4147276161184</v>
      </c>
      <c r="S125" s="106">
        <f t="shared" si="58"/>
        <v>10334.945078839368</v>
      </c>
      <c r="T125" s="106">
        <f t="shared" si="58"/>
        <v>10996.466928480844</v>
      </c>
      <c r="U125" s="106">
        <f t="shared" si="58"/>
        <v>14314.281695232075</v>
      </c>
      <c r="V125" s="106">
        <f t="shared" si="58"/>
        <v>16780.574779207585</v>
      </c>
      <c r="W125" s="106">
        <f t="shared" si="58"/>
        <v>19498.83775277168</v>
      </c>
      <c r="X125" s="106">
        <f t="shared" si="58"/>
        <v>21120.187787275063</v>
      </c>
      <c r="Y125" s="106">
        <f t="shared" si="58"/>
        <v>21718.578164883744</v>
      </c>
      <c r="Z125" s="106">
        <f t="shared" si="58"/>
        <v>24382.931102901384</v>
      </c>
      <c r="AA125" s="106">
        <f t="shared" si="58"/>
        <v>27563.449253221377</v>
      </c>
    </row>
    <row r="126" spans="1:27" ht="12.75" customHeight="1" x14ac:dyDescent="0.35">
      <c r="A126" s="112" t="s">
        <v>302</v>
      </c>
      <c r="B126" s="106">
        <f>SUM(D126:AA126)</f>
        <v>427.18635067589958</v>
      </c>
      <c r="C126" s="106">
        <f>B126/24</f>
        <v>17.799431278162483</v>
      </c>
      <c r="D126" s="106">
        <f t="shared" ref="D126:AA126" si="59">MIN(D125,MAX(D123-D124,0))</f>
        <v>0</v>
      </c>
      <c r="E126" s="106">
        <f t="shared" si="59"/>
        <v>0</v>
      </c>
      <c r="F126" s="106">
        <f t="shared" si="59"/>
        <v>0</v>
      </c>
      <c r="G126" s="106">
        <f t="shared" si="59"/>
        <v>40.869402274509866</v>
      </c>
      <c r="H126" s="106">
        <f t="shared" si="59"/>
        <v>0</v>
      </c>
      <c r="I126" s="106">
        <f t="shared" si="59"/>
        <v>0</v>
      </c>
      <c r="J126" s="106">
        <f t="shared" si="59"/>
        <v>0</v>
      </c>
      <c r="K126" s="106">
        <f t="shared" si="59"/>
        <v>0</v>
      </c>
      <c r="L126" s="106">
        <f t="shared" si="59"/>
        <v>386.31694840138971</v>
      </c>
      <c r="M126" s="106">
        <f t="shared" si="59"/>
        <v>0</v>
      </c>
      <c r="N126" s="106">
        <f t="shared" si="59"/>
        <v>0</v>
      </c>
      <c r="O126" s="106">
        <f t="shared" si="59"/>
        <v>0</v>
      </c>
      <c r="P126" s="106">
        <f t="shared" si="59"/>
        <v>0</v>
      </c>
      <c r="Q126" s="106">
        <f t="shared" si="59"/>
        <v>0</v>
      </c>
      <c r="R126" s="106">
        <f t="shared" si="59"/>
        <v>0</v>
      </c>
      <c r="S126" s="106">
        <f t="shared" si="59"/>
        <v>0</v>
      </c>
      <c r="T126" s="106">
        <f t="shared" si="59"/>
        <v>0</v>
      </c>
      <c r="U126" s="106">
        <f t="shared" si="59"/>
        <v>0</v>
      </c>
      <c r="V126" s="106">
        <f t="shared" si="59"/>
        <v>0</v>
      </c>
      <c r="W126" s="106">
        <f t="shared" si="59"/>
        <v>0</v>
      </c>
      <c r="X126" s="106">
        <f t="shared" si="59"/>
        <v>0</v>
      </c>
      <c r="Y126" s="106">
        <f t="shared" si="59"/>
        <v>0</v>
      </c>
      <c r="Z126" s="106">
        <f t="shared" si="59"/>
        <v>0</v>
      </c>
      <c r="AA126" s="106">
        <f t="shared" si="59"/>
        <v>0</v>
      </c>
    </row>
    <row r="127" spans="1:27" ht="13.5" customHeight="1" x14ac:dyDescent="0.35">
      <c r="A127" s="40" t="s">
        <v>303</v>
      </c>
      <c r="B127" s="42">
        <f>AA127</f>
        <v>30697.168613385216</v>
      </c>
      <c r="C127" s="106" t="s">
        <v>104</v>
      </c>
      <c r="D127" s="123">
        <f t="shared" ref="D127:AA127" si="60">MAX(D125-D126,0)+MAX(D124-D123,0)</f>
        <v>0</v>
      </c>
      <c r="E127" s="123">
        <f t="shared" si="60"/>
        <v>0</v>
      </c>
      <c r="F127" s="123">
        <f t="shared" si="60"/>
        <v>40.869402274509866</v>
      </c>
      <c r="G127" s="123">
        <f t="shared" si="60"/>
        <v>0</v>
      </c>
      <c r="H127" s="123">
        <f t="shared" si="60"/>
        <v>2255.7607101404146</v>
      </c>
      <c r="I127" s="123">
        <f t="shared" si="60"/>
        <v>3713.2391622009909</v>
      </c>
      <c r="J127" s="123">
        <f t="shared" si="60"/>
        <v>5464.4035658518842</v>
      </c>
      <c r="K127" s="123">
        <f t="shared" si="60"/>
        <v>5980.6888677399666</v>
      </c>
      <c r="L127" s="123">
        <f t="shared" si="60"/>
        <v>5594.3719193385768</v>
      </c>
      <c r="M127" s="123">
        <f t="shared" si="60"/>
        <v>7129.2643963975852</v>
      </c>
      <c r="N127" s="123">
        <f t="shared" si="60"/>
        <v>7778.7056035308597</v>
      </c>
      <c r="O127" s="123">
        <f t="shared" si="60"/>
        <v>8543.6365544730979</v>
      </c>
      <c r="P127" s="123">
        <f t="shared" si="60"/>
        <v>9027.5213744652519</v>
      </c>
      <c r="Q127" s="123">
        <f t="shared" si="60"/>
        <v>9543.4147276161184</v>
      </c>
      <c r="R127" s="123">
        <f t="shared" si="60"/>
        <v>10334.945078839368</v>
      </c>
      <c r="S127" s="123">
        <f t="shared" si="60"/>
        <v>10996.466928480844</v>
      </c>
      <c r="T127" s="123">
        <f t="shared" si="60"/>
        <v>14314.281695232075</v>
      </c>
      <c r="U127" s="123">
        <f t="shared" si="60"/>
        <v>16780.574779207585</v>
      </c>
      <c r="V127" s="123">
        <f t="shared" si="60"/>
        <v>19498.83775277168</v>
      </c>
      <c r="W127" s="123">
        <f t="shared" si="60"/>
        <v>21120.187787275063</v>
      </c>
      <c r="X127" s="123">
        <f t="shared" si="60"/>
        <v>21718.578164883744</v>
      </c>
      <c r="Y127" s="123">
        <f t="shared" si="60"/>
        <v>24382.931102901384</v>
      </c>
      <c r="Z127" s="123">
        <f t="shared" si="60"/>
        <v>27563.449253221377</v>
      </c>
      <c r="AA127" s="123">
        <f t="shared" si="60"/>
        <v>30697.168613385216</v>
      </c>
    </row>
    <row r="128" spans="1:27" ht="12.75" customHeight="1" x14ac:dyDescent="0.35">
      <c r="A128" s="113" t="s">
        <v>304</v>
      </c>
      <c r="B128" s="114">
        <f>AA128</f>
        <v>0</v>
      </c>
      <c r="C128" s="106" t="s">
        <v>104</v>
      </c>
      <c r="D128" s="114">
        <f>0</f>
        <v>0</v>
      </c>
      <c r="E128" s="114">
        <f t="shared" ref="E128:AA128" si="61">D130</f>
        <v>0</v>
      </c>
      <c r="F128" s="114">
        <f t="shared" si="61"/>
        <v>0</v>
      </c>
      <c r="G128" s="114">
        <f t="shared" si="61"/>
        <v>0</v>
      </c>
      <c r="H128" s="114">
        <f t="shared" si="61"/>
        <v>0</v>
      </c>
      <c r="I128" s="114">
        <f t="shared" si="61"/>
        <v>0</v>
      </c>
      <c r="J128" s="114">
        <f t="shared" si="61"/>
        <v>0</v>
      </c>
      <c r="K128" s="114">
        <f t="shared" si="61"/>
        <v>0</v>
      </c>
      <c r="L128" s="114">
        <f t="shared" si="61"/>
        <v>0</v>
      </c>
      <c r="M128" s="114">
        <f t="shared" si="61"/>
        <v>0</v>
      </c>
      <c r="N128" s="114">
        <f t="shared" si="61"/>
        <v>0</v>
      </c>
      <c r="O128" s="114">
        <f t="shared" si="61"/>
        <v>0</v>
      </c>
      <c r="P128" s="114">
        <f t="shared" si="61"/>
        <v>0</v>
      </c>
      <c r="Q128" s="114">
        <f t="shared" si="61"/>
        <v>0</v>
      </c>
      <c r="R128" s="114">
        <f t="shared" si="61"/>
        <v>0</v>
      </c>
      <c r="S128" s="114">
        <f t="shared" si="61"/>
        <v>0</v>
      </c>
      <c r="T128" s="114">
        <f t="shared" si="61"/>
        <v>0</v>
      </c>
      <c r="U128" s="114">
        <f t="shared" si="61"/>
        <v>0</v>
      </c>
      <c r="V128" s="114">
        <f t="shared" si="61"/>
        <v>0</v>
      </c>
      <c r="W128" s="114">
        <f t="shared" si="61"/>
        <v>0</v>
      </c>
      <c r="X128" s="114">
        <f t="shared" si="61"/>
        <v>0</v>
      </c>
      <c r="Y128" s="114">
        <f t="shared" si="61"/>
        <v>0</v>
      </c>
      <c r="Z128" s="114">
        <f t="shared" si="61"/>
        <v>0</v>
      </c>
      <c r="AA128" s="114">
        <f t="shared" si="61"/>
        <v>0</v>
      </c>
    </row>
    <row r="129" spans="1:27" ht="12.75" customHeight="1" x14ac:dyDescent="0.35">
      <c r="A129" s="113" t="s">
        <v>312</v>
      </c>
      <c r="B129" s="114">
        <f>SUM(D129:AA129)</f>
        <v>0</v>
      </c>
      <c r="C129" s="106">
        <f>B129/24</f>
        <v>0</v>
      </c>
      <c r="D129" s="114">
        <f t="shared" ref="D129:AA129" si="62">MIN(D128,D123)</f>
        <v>0</v>
      </c>
      <c r="E129" s="114">
        <f t="shared" si="62"/>
        <v>0</v>
      </c>
      <c r="F129" s="114">
        <f t="shared" si="62"/>
        <v>0</v>
      </c>
      <c r="G129" s="114">
        <f t="shared" si="62"/>
        <v>0</v>
      </c>
      <c r="H129" s="114">
        <f t="shared" si="62"/>
        <v>0</v>
      </c>
      <c r="I129" s="114">
        <f t="shared" si="62"/>
        <v>0</v>
      </c>
      <c r="J129" s="114">
        <f t="shared" si="62"/>
        <v>0</v>
      </c>
      <c r="K129" s="114">
        <f t="shared" si="62"/>
        <v>0</v>
      </c>
      <c r="L129" s="114">
        <f t="shared" si="62"/>
        <v>0</v>
      </c>
      <c r="M129" s="114">
        <f t="shared" si="62"/>
        <v>0</v>
      </c>
      <c r="N129" s="114">
        <f t="shared" si="62"/>
        <v>0</v>
      </c>
      <c r="O129" s="114">
        <f t="shared" si="62"/>
        <v>0</v>
      </c>
      <c r="P129" s="114">
        <f t="shared" si="62"/>
        <v>0</v>
      </c>
      <c r="Q129" s="114">
        <f t="shared" si="62"/>
        <v>0</v>
      </c>
      <c r="R129" s="114">
        <f t="shared" si="62"/>
        <v>0</v>
      </c>
      <c r="S129" s="114">
        <f t="shared" si="62"/>
        <v>0</v>
      </c>
      <c r="T129" s="114">
        <f t="shared" si="62"/>
        <v>0</v>
      </c>
      <c r="U129" s="114">
        <f t="shared" si="62"/>
        <v>0</v>
      </c>
      <c r="V129" s="114">
        <f t="shared" si="62"/>
        <v>0</v>
      </c>
      <c r="W129" s="114">
        <f t="shared" si="62"/>
        <v>0</v>
      </c>
      <c r="X129" s="114">
        <f t="shared" si="62"/>
        <v>0</v>
      </c>
      <c r="Y129" s="114">
        <f t="shared" si="62"/>
        <v>0</v>
      </c>
      <c r="Z129" s="114">
        <f t="shared" si="62"/>
        <v>0</v>
      </c>
      <c r="AA129" s="114">
        <f t="shared" si="62"/>
        <v>0</v>
      </c>
    </row>
    <row r="130" spans="1:27" ht="12.75" customHeight="1" x14ac:dyDescent="0.35">
      <c r="A130" s="113" t="s">
        <v>313</v>
      </c>
      <c r="B130" s="114">
        <f>AA130</f>
        <v>0</v>
      </c>
      <c r="C130" s="106" t="s">
        <v>104</v>
      </c>
      <c r="D130" s="134">
        <f t="shared" ref="D130:AA130" si="63">MAX(D128-D129,0)</f>
        <v>0</v>
      </c>
      <c r="E130" s="134">
        <f t="shared" si="63"/>
        <v>0</v>
      </c>
      <c r="F130" s="134">
        <f t="shared" si="63"/>
        <v>0</v>
      </c>
      <c r="G130" s="134">
        <f t="shared" si="63"/>
        <v>0</v>
      </c>
      <c r="H130" s="134">
        <f t="shared" si="63"/>
        <v>0</v>
      </c>
      <c r="I130" s="134">
        <f t="shared" si="63"/>
        <v>0</v>
      </c>
      <c r="J130" s="134">
        <f t="shared" si="63"/>
        <v>0</v>
      </c>
      <c r="K130" s="134">
        <f t="shared" si="63"/>
        <v>0</v>
      </c>
      <c r="L130" s="134">
        <f t="shared" si="63"/>
        <v>0</v>
      </c>
      <c r="M130" s="134">
        <f t="shared" si="63"/>
        <v>0</v>
      </c>
      <c r="N130" s="134">
        <f t="shared" si="63"/>
        <v>0</v>
      </c>
      <c r="O130" s="134">
        <f t="shared" si="63"/>
        <v>0</v>
      </c>
      <c r="P130" s="134">
        <f t="shared" si="63"/>
        <v>0</v>
      </c>
      <c r="Q130" s="134">
        <f t="shared" si="63"/>
        <v>0</v>
      </c>
      <c r="R130" s="134">
        <f t="shared" si="63"/>
        <v>0</v>
      </c>
      <c r="S130" s="134">
        <f t="shared" si="63"/>
        <v>0</v>
      </c>
      <c r="T130" s="134">
        <f t="shared" si="63"/>
        <v>0</v>
      </c>
      <c r="U130" s="134">
        <f t="shared" si="63"/>
        <v>0</v>
      </c>
      <c r="V130" s="134">
        <f t="shared" si="63"/>
        <v>0</v>
      </c>
      <c r="W130" s="134">
        <f t="shared" si="63"/>
        <v>0</v>
      </c>
      <c r="X130" s="134">
        <f t="shared" si="63"/>
        <v>0</v>
      </c>
      <c r="Y130" s="134">
        <f t="shared" si="63"/>
        <v>0</v>
      </c>
      <c r="Z130" s="134">
        <f t="shared" si="63"/>
        <v>0</v>
      </c>
      <c r="AA130" s="134">
        <f t="shared" si="63"/>
        <v>0</v>
      </c>
    </row>
    <row r="131" spans="1:27" ht="12.75" customHeight="1" x14ac:dyDescent="0.35">
      <c r="A131" s="125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31" s="128">
        <f>SUM(D131:AA131)</f>
        <v>75379.777736204778</v>
      </c>
      <c r="C131" s="110">
        <f>B131/24</f>
        <v>3140.8240723418658</v>
      </c>
      <c r="D131" s="128">
        <f>D123*Premissas!$F$19</f>
        <v>2435.8920998373019</v>
      </c>
      <c r="E131" s="128">
        <f>E123*Premissas!$F$19</f>
        <v>2558.0569011969233</v>
      </c>
      <c r="F131" s="128">
        <f>F123*Premissas!$F$19</f>
        <v>2915.296396081877</v>
      </c>
      <c r="G131" s="128">
        <f>G123*Premissas!$F$19</f>
        <v>2808.8649403519039</v>
      </c>
      <c r="H131" s="128">
        <f>H123*Premissas!$F$19</f>
        <v>2869.9473410317146</v>
      </c>
      <c r="I131" s="128">
        <f>I123*Premissas!$F$19</f>
        <v>3444.6772019735704</v>
      </c>
      <c r="J131" s="128">
        <f>J123*Premissas!$F$19</f>
        <v>2931.0297417115253</v>
      </c>
      <c r="K131" s="128">
        <f>K123*Premissas!$F$19</f>
        <v>4195.7824948783791</v>
      </c>
      <c r="L131" s="128">
        <f>L123*Premissas!$F$19</f>
        <v>4522.1105930556714</v>
      </c>
      <c r="M131" s="128">
        <f>M123*Premissas!$F$19</f>
        <v>3356.2465446257534</v>
      </c>
      <c r="N131" s="128">
        <f>N123*Premissas!$F$19</f>
        <v>2865.8057691674389</v>
      </c>
      <c r="O131" s="128">
        <f>O123*Premissas!$F$19</f>
        <v>2536.6317864130197</v>
      </c>
      <c r="P131" s="128">
        <f>P123*Premissas!$F$19</f>
        <v>2496.7894023332342</v>
      </c>
      <c r="Q131" s="128">
        <f>Q123*Premissas!$F$19</f>
        <v>2622.0083237268464</v>
      </c>
      <c r="R131" s="128">
        <f>R123*Premissas!$F$19</f>
        <v>2988.1788059839237</v>
      </c>
      <c r="S131" s="128">
        <f>S123*Premissas!$F$19</f>
        <v>2879.0865638607011</v>
      </c>
      <c r="T131" s="128">
        <f>T123*Premissas!$F$19</f>
        <v>2941.6960245575069</v>
      </c>
      <c r="U131" s="128">
        <f>U123*Premissas!$F$19</f>
        <v>3530.7941320229093</v>
      </c>
      <c r="V131" s="128">
        <f>V123*Premissas!$F$19</f>
        <v>3004.3054852543132</v>
      </c>
      <c r="W131" s="128">
        <f>W123*Premissas!$F$19</f>
        <v>4195.7824948783791</v>
      </c>
      <c r="X131" s="128">
        <f>X123*Premissas!$F$19</f>
        <v>4522.1105930556714</v>
      </c>
      <c r="Y131" s="128">
        <f>Y123*Premissas!$F$19</f>
        <v>3356.2465446257534</v>
      </c>
      <c r="Z131" s="128">
        <f>Z123*Premissas!$F$19</f>
        <v>2865.8057691674389</v>
      </c>
      <c r="AA131" s="128">
        <f>AA123*Premissas!$F$19</f>
        <v>2536.6317864130197</v>
      </c>
    </row>
    <row r="132" spans="1:27" ht="12.75" customHeight="1" x14ac:dyDescent="0.35">
      <c r="A132" s="129" t="s">
        <v>307</v>
      </c>
      <c r="B132" s="130">
        <f>SUM(D132:AA132)</f>
        <v>246.00640180330564</v>
      </c>
      <c r="C132" s="110">
        <f>B132/24</f>
        <v>10.250266741804401</v>
      </c>
      <c r="D132" s="130">
        <f>IF(D127&gt;0,0,MAX(D123-D124-D125,0)*Premissas!$B$7)</f>
        <v>123.45842414678184</v>
      </c>
      <c r="E132" s="130">
        <f>IF(E127&gt;0,0,MAX(E123-E124-E125,0)*Premissas!$B$7)</f>
        <v>122.54258788972402</v>
      </c>
      <c r="F132" s="130">
        <f>IF(F127&gt;0,0,MAX(F123-F124-F125,0)*Premissas!$B$7)</f>
        <v>0</v>
      </c>
      <c r="G132" s="130">
        <f>IF(G127&gt;0,0,MAX(G123-G124-G125,0)*Premissas!$B$7)</f>
        <v>5.389766799767254E-3</v>
      </c>
      <c r="H132" s="130">
        <f>IF(H127&gt;0,0,MAX(H123-H124-H125,0)*Premissas!$B$7)</f>
        <v>0</v>
      </c>
      <c r="I132" s="130">
        <f>IF(I127&gt;0,0,MAX(I123-I124-I125,0)*Premissas!$B$7)</f>
        <v>0</v>
      </c>
      <c r="J132" s="130">
        <f>IF(J127&gt;0,0,MAX(J123-J124-J125,0)*Premissas!$B$7)</f>
        <v>0</v>
      </c>
      <c r="K132" s="130">
        <f>IF(K127&gt;0,0,MAX(K123-K124-K125,0)*Premissas!$B$7)</f>
        <v>0</v>
      </c>
      <c r="L132" s="130">
        <f>IF(L127&gt;0,0,MAX(L123-L124-L125,0)*Premissas!$B$7)</f>
        <v>0</v>
      </c>
      <c r="M132" s="130">
        <f>IF(M127&gt;0,0,MAX(M123-M124-M125,0)*Premissas!$B$7)</f>
        <v>0</v>
      </c>
      <c r="N132" s="130">
        <f>IF(N127&gt;0,0,MAX(N123-N124-N125,0)*Premissas!$B$7)</f>
        <v>0</v>
      </c>
      <c r="O132" s="130">
        <f>IF(O127&gt;0,0,MAX(O123-O124-O125,0)*Premissas!$B$7)</f>
        <v>0</v>
      </c>
      <c r="P132" s="130">
        <f>IF(P127&gt;0,0,MAX(P123-P124-P125,0)*Premissas!$B$7)</f>
        <v>0</v>
      </c>
      <c r="Q132" s="130">
        <f>IF(Q127&gt;0,0,MAX(Q123-Q124-Q125,0)*Premissas!$B$7)</f>
        <v>0</v>
      </c>
      <c r="R132" s="130">
        <f>IF(R127&gt;0,0,MAX(R123-R124-R125,0)*Premissas!$B$7)</f>
        <v>0</v>
      </c>
      <c r="S132" s="130">
        <f>IF(S127&gt;0,0,MAX(S123-S124-S125,0)*Premissas!$B$7)</f>
        <v>0</v>
      </c>
      <c r="T132" s="130">
        <f>IF(T127&gt;0,0,MAX(T123-T124-T125,0)*Premissas!$B$7)</f>
        <v>0</v>
      </c>
      <c r="U132" s="130">
        <f>IF(U127&gt;0,0,MAX(U123-U124-U125,0)*Premissas!$B$7)</f>
        <v>0</v>
      </c>
      <c r="V132" s="130">
        <f>IF(V127&gt;0,0,MAX(V123-V124-V125,0)*Premissas!$B$7)</f>
        <v>0</v>
      </c>
      <c r="W132" s="130">
        <f>IF(W127&gt;0,0,MAX(W123-W124-W125,0)*Premissas!$B$7)</f>
        <v>0</v>
      </c>
      <c r="X132" s="130">
        <f>IF(X127&gt;0,0,MAX(X123-X124-X125,0)*Premissas!$B$7)</f>
        <v>0</v>
      </c>
      <c r="Y132" s="130">
        <f>IF(Y127&gt;0,0,MAX(Y123-Y124-Y125,0)*Premissas!$B$7)</f>
        <v>0</v>
      </c>
      <c r="Z132" s="130">
        <f>IF(Z127&gt;0,0,MAX(Z123-Z124-Z125,0)*Premissas!$B$7)</f>
        <v>0</v>
      </c>
      <c r="AA132" s="130">
        <f>IF(AA127&gt;0,0,MAX(AA123-AA124-AA125,0)*Premissas!$B$7)</f>
        <v>0</v>
      </c>
    </row>
    <row r="133" spans="1:27" ht="13.5" customHeight="1" x14ac:dyDescent="0.35">
      <c r="A133" s="40" t="s">
        <v>308</v>
      </c>
      <c r="B133" s="43">
        <f>SUM(D133:AA133)</f>
        <v>75133.771334401463</v>
      </c>
      <c r="C133" s="110">
        <f>B133/24</f>
        <v>3130.573805600061</v>
      </c>
      <c r="D133" s="131">
        <f t="shared" ref="D133:AA133" si="64">MAX(D131-D132,0)</f>
        <v>2312.43367569052</v>
      </c>
      <c r="E133" s="131">
        <f t="shared" si="64"/>
        <v>2435.5143133071992</v>
      </c>
      <c r="F133" s="131">
        <f t="shared" si="64"/>
        <v>2915.296396081877</v>
      </c>
      <c r="G133" s="131">
        <f t="shared" si="64"/>
        <v>2808.859550585104</v>
      </c>
      <c r="H133" s="131">
        <f t="shared" si="64"/>
        <v>2869.9473410317146</v>
      </c>
      <c r="I133" s="131">
        <f t="shared" si="64"/>
        <v>3444.6772019735704</v>
      </c>
      <c r="J133" s="131">
        <f t="shared" si="64"/>
        <v>2931.0297417115253</v>
      </c>
      <c r="K133" s="131">
        <f t="shared" si="64"/>
        <v>4195.7824948783791</v>
      </c>
      <c r="L133" s="131">
        <f t="shared" si="64"/>
        <v>4522.1105930556714</v>
      </c>
      <c r="M133" s="131">
        <f t="shared" si="64"/>
        <v>3356.2465446257534</v>
      </c>
      <c r="N133" s="131">
        <f t="shared" si="64"/>
        <v>2865.8057691674389</v>
      </c>
      <c r="O133" s="131">
        <f t="shared" si="64"/>
        <v>2536.6317864130197</v>
      </c>
      <c r="P133" s="131">
        <f t="shared" si="64"/>
        <v>2496.7894023332342</v>
      </c>
      <c r="Q133" s="131">
        <f t="shared" si="64"/>
        <v>2622.0083237268464</v>
      </c>
      <c r="R133" s="131">
        <f t="shared" si="64"/>
        <v>2988.1788059839237</v>
      </c>
      <c r="S133" s="131">
        <f t="shared" si="64"/>
        <v>2879.0865638607011</v>
      </c>
      <c r="T133" s="131">
        <f t="shared" si="64"/>
        <v>2941.6960245575069</v>
      </c>
      <c r="U133" s="131">
        <f t="shared" si="64"/>
        <v>3530.7941320229093</v>
      </c>
      <c r="V133" s="131">
        <f t="shared" si="64"/>
        <v>3004.3054852543132</v>
      </c>
      <c r="W133" s="131">
        <f t="shared" si="64"/>
        <v>4195.7824948783791</v>
      </c>
      <c r="X133" s="131">
        <f t="shared" si="64"/>
        <v>4522.1105930556714</v>
      </c>
      <c r="Y133" s="131">
        <f t="shared" si="64"/>
        <v>3356.2465446257534</v>
      </c>
      <c r="Z133" s="131">
        <f t="shared" si="64"/>
        <v>2865.8057691674389</v>
      </c>
      <c r="AA133" s="131">
        <f t="shared" si="64"/>
        <v>2536.6317864130197</v>
      </c>
    </row>
    <row r="135" spans="1:27" ht="15" customHeight="1" x14ac:dyDescent="0.35">
      <c r="A135" s="229" t="s">
        <v>319</v>
      </c>
      <c r="B135" s="229"/>
      <c r="C135" s="229"/>
      <c r="D135" s="229"/>
      <c r="E135" s="229"/>
      <c r="F135" s="229"/>
      <c r="G135" s="229"/>
      <c r="H135" s="229"/>
      <c r="I135" s="229"/>
      <c r="J135" s="229"/>
      <c r="K135" s="229"/>
      <c r="L135" s="229"/>
      <c r="M135" s="229"/>
      <c r="N135" s="229"/>
      <c r="O135" s="229"/>
      <c r="P135" s="229"/>
      <c r="Q135" s="229"/>
      <c r="R135" s="229"/>
      <c r="S135" s="229"/>
      <c r="T135" s="229"/>
      <c r="U135" s="229"/>
      <c r="V135" s="229"/>
      <c r="W135" s="229"/>
      <c r="X135" s="229"/>
      <c r="Y135" s="229"/>
      <c r="Z135" s="229"/>
      <c r="AA135" s="229"/>
    </row>
    <row r="136" spans="1:27" ht="12.75" customHeight="1" x14ac:dyDescent="0.35">
      <c r="A136" s="132" t="s">
        <v>295</v>
      </c>
      <c r="B136" s="133">
        <f>SUM(D136:AA136)</f>
        <v>59702.35</v>
      </c>
      <c r="C136" s="106">
        <f>B136/24</f>
        <v>2487.5979166666666</v>
      </c>
      <c r="D136" s="133">
        <v>1362</v>
      </c>
      <c r="E136" s="133">
        <v>1317</v>
      </c>
      <c r="F136" s="133">
        <v>1448</v>
      </c>
      <c r="G136" s="133">
        <v>2469</v>
      </c>
      <c r="H136" s="133">
        <v>2593</v>
      </c>
      <c r="I136" s="133">
        <v>2090</v>
      </c>
      <c r="J136" s="133">
        <v>3227</v>
      </c>
      <c r="K136" s="133">
        <f>3370*(1+Premissas!$B$21)</f>
        <v>3454.2499999999995</v>
      </c>
      <c r="L136" s="133">
        <f>3394*(1+Premissas!$B$21)</f>
        <v>3478.85</v>
      </c>
      <c r="M136" s="133">
        <f>3281*(1+Premissas!$B$21)</f>
        <v>3363.0249999999996</v>
      </c>
      <c r="N136" s="133">
        <f>2511*(1+Premissas!$B$21)</f>
        <v>2573.7749999999996</v>
      </c>
      <c r="O136" s="133">
        <f>2238*(1+Premissas!$B$21)</f>
        <v>2293.9499999999998</v>
      </c>
      <c r="P136" s="133">
        <f>1362*(1+Premissas!$B$21)</f>
        <v>1396.05</v>
      </c>
      <c r="Q136" s="133">
        <f>1317*(1+Premissas!$B$21)</f>
        <v>1349.925</v>
      </c>
      <c r="R136" s="133">
        <f>1448*(1+Premissas!$B$21)</f>
        <v>1484.1999999999998</v>
      </c>
      <c r="S136" s="133">
        <f>2469*(1+Premissas!$B$21)</f>
        <v>2530.7249999999999</v>
      </c>
      <c r="T136" s="133">
        <f>2593*(1+Premissas!$B$21)</f>
        <v>2657.8249999999998</v>
      </c>
      <c r="U136" s="133">
        <f>2090*(1+Premissas!$B$21)</f>
        <v>2142.25</v>
      </c>
      <c r="V136" s="133">
        <f>3227*(1+Premissas!$B$21)</f>
        <v>3307.6749999999997</v>
      </c>
      <c r="W136" s="133">
        <f>3370*(1+Premissas!$B$21)</f>
        <v>3454.2499999999995</v>
      </c>
      <c r="X136" s="133">
        <f>3394*(1+Premissas!$B$21)</f>
        <v>3478.85</v>
      </c>
      <c r="Y136" s="133">
        <f>3281*(1+Premissas!$B$21)</f>
        <v>3363.0249999999996</v>
      </c>
      <c r="Z136" s="133">
        <f>2511*(1+Premissas!$B$21)</f>
        <v>2573.7749999999996</v>
      </c>
      <c r="AA136" s="133">
        <f>2238*(1+Premissas!$B$21)</f>
        <v>2293.9499999999998</v>
      </c>
    </row>
    <row r="137" spans="1:27" ht="12.75" customHeight="1" x14ac:dyDescent="0.35">
      <c r="A137" s="108" t="str">
        <f>"  "&amp;INDEX(PVSYST_Helexia!$A$5:$A$7,MATCH(Premissas!$B$13,PVSYST_Helexia!$B$5:$B$7,0))&amp;" créditos recebidos (kWh)"</f>
        <v xml:space="preserve">  HCS03 créditos recebidos (kWh)</v>
      </c>
      <c r="B137" s="121">
        <f>SUM(D137:AA137)</f>
        <v>76722.156909607613</v>
      </c>
      <c r="C137" s="106">
        <f>B137/24</f>
        <v>3196.7565379003172</v>
      </c>
      <c r="D137" s="122">
        <f>D6*Premissas!$B$42</f>
        <v>1465.1864430200478</v>
      </c>
      <c r="E137" s="122">
        <f>E6*Premissas!$B$42</f>
        <v>1542.2331049160932</v>
      </c>
      <c r="F137" s="122">
        <f>F6*Premissas!$B$42</f>
        <v>1851.3651103149518</v>
      </c>
      <c r="G137" s="122">
        <f>G6*Premissas!$B$42</f>
        <v>1737.2131541928964</v>
      </c>
      <c r="H137" s="122">
        <f>H6*Premissas!$C$42</f>
        <v>4428.4683742934103</v>
      </c>
      <c r="I137" s="122">
        <f>I6*Premissas!$C$42</f>
        <v>4281.907996536811</v>
      </c>
      <c r="J137" s="122">
        <f>J6*Premissas!$C$42</f>
        <v>4065.8779997235833</v>
      </c>
      <c r="K137" s="122">
        <f>K6*Premissas!$C$42</f>
        <v>4174.7518419438502</v>
      </c>
      <c r="L137" s="122">
        <f>L6*Premissas!$C$42</f>
        <v>3720.061460387999</v>
      </c>
      <c r="M137" s="122">
        <f>M6*Premissas!$C$42</f>
        <v>4266.9148698923109</v>
      </c>
      <c r="N137" s="122">
        <f>N6*Premissas!$D$42</f>
        <v>2294.5042824013676</v>
      </c>
      <c r="O137" s="122">
        <f>O6*Premissas!$D$42</f>
        <v>2147.3844023953611</v>
      </c>
      <c r="P137" s="122">
        <f>P6*Premissas!$D$42</f>
        <v>1948.8668720026412</v>
      </c>
      <c r="Q137" s="122">
        <f>Q6*Premissas!$D$42</f>
        <v>2051.3478140581069</v>
      </c>
      <c r="R137" s="122">
        <f>R6*Premissas!$D$42</f>
        <v>2462.5290171518172</v>
      </c>
      <c r="S137" s="122">
        <f>S6*Premissas!$D$42</f>
        <v>2310.6937563763877</v>
      </c>
      <c r="T137" s="122">
        <f>T6*Premissas!$E$42</f>
        <v>4254.1861799999997</v>
      </c>
      <c r="U137" s="122">
        <f>U6*Premissas!$E$42</f>
        <v>4113.3936800000001</v>
      </c>
      <c r="V137" s="122">
        <f>V6*Premissas!$E$42</f>
        <v>3905.8655350000004</v>
      </c>
      <c r="W137" s="122">
        <f>W6*Premissas!$E$42</f>
        <v>4030.6076899999994</v>
      </c>
      <c r="X137" s="122">
        <f>X6*Premissas!$E$42</f>
        <v>3591.6166749999998</v>
      </c>
      <c r="Y137" s="122">
        <f>Y6*Premissas!$E$42</f>
        <v>4119.5885499999995</v>
      </c>
      <c r="Z137" s="122">
        <f>Z6*Premissas!$E$42</f>
        <v>4110.5778300000002</v>
      </c>
      <c r="AA137" s="122">
        <f>AA6*Premissas!$E$42</f>
        <v>3847.0142699999997</v>
      </c>
    </row>
    <row r="138" spans="1:27" ht="12.75" customHeight="1" x14ac:dyDescent="0.35">
      <c r="A138" s="112" t="s">
        <v>301</v>
      </c>
      <c r="B138" s="106">
        <f>AA138</f>
        <v>15466.744827163649</v>
      </c>
      <c r="C138" s="106" t="s">
        <v>104</v>
      </c>
      <c r="D138" s="106">
        <f>0</f>
        <v>0</v>
      </c>
      <c r="E138" s="106">
        <f t="shared" ref="E138:AA138" si="65">D140</f>
        <v>103.18644302004782</v>
      </c>
      <c r="F138" s="106">
        <f t="shared" si="65"/>
        <v>328.41954793614104</v>
      </c>
      <c r="G138" s="106">
        <f t="shared" si="65"/>
        <v>731.78465825109288</v>
      </c>
      <c r="H138" s="106">
        <f t="shared" si="65"/>
        <v>0</v>
      </c>
      <c r="I138" s="106">
        <f t="shared" si="65"/>
        <v>1835.4683742934103</v>
      </c>
      <c r="J138" s="106">
        <f t="shared" si="65"/>
        <v>4027.3763708302213</v>
      </c>
      <c r="K138" s="106">
        <f t="shared" si="65"/>
        <v>4866.2543705538046</v>
      </c>
      <c r="L138" s="106">
        <f t="shared" si="65"/>
        <v>5586.7562124976557</v>
      </c>
      <c r="M138" s="106">
        <f t="shared" si="65"/>
        <v>5827.9676728856548</v>
      </c>
      <c r="N138" s="106">
        <f t="shared" si="65"/>
        <v>6731.857542777966</v>
      </c>
      <c r="O138" s="106">
        <f t="shared" si="65"/>
        <v>6452.5868251793345</v>
      </c>
      <c r="P138" s="106">
        <f t="shared" si="65"/>
        <v>6306.0212275746962</v>
      </c>
      <c r="Q138" s="106">
        <f t="shared" si="65"/>
        <v>6858.8380995773377</v>
      </c>
      <c r="R138" s="106">
        <f t="shared" si="65"/>
        <v>7560.2609136354449</v>
      </c>
      <c r="S138" s="106">
        <f t="shared" si="65"/>
        <v>8538.5899307872623</v>
      </c>
      <c r="T138" s="106">
        <f t="shared" si="65"/>
        <v>8318.5586871636497</v>
      </c>
      <c r="U138" s="106">
        <f t="shared" si="65"/>
        <v>9914.9198671636495</v>
      </c>
      <c r="V138" s="106">
        <f t="shared" si="65"/>
        <v>11886.063547163649</v>
      </c>
      <c r="W138" s="106">
        <f t="shared" si="65"/>
        <v>12484.25408216365</v>
      </c>
      <c r="X138" s="106">
        <f t="shared" si="65"/>
        <v>13060.611772163651</v>
      </c>
      <c r="Y138" s="106">
        <f t="shared" si="65"/>
        <v>13173.37844716365</v>
      </c>
      <c r="Z138" s="106">
        <f t="shared" si="65"/>
        <v>13929.941997163649</v>
      </c>
      <c r="AA138" s="106">
        <f t="shared" si="65"/>
        <v>15466.744827163649</v>
      </c>
    </row>
    <row r="139" spans="1:27" ht="12.75" customHeight="1" x14ac:dyDescent="0.35">
      <c r="A139" s="112" t="s">
        <v>302</v>
      </c>
      <c r="B139" s="106">
        <f>SUM(D139:AA139)</f>
        <v>1377.6522170779758</v>
      </c>
      <c r="C139" s="106">
        <f>B139/24</f>
        <v>57.402175711582323</v>
      </c>
      <c r="D139" s="106">
        <f t="shared" ref="D139:AA139" si="66">MIN(D138,MAX(D136-D137,0))</f>
        <v>0</v>
      </c>
      <c r="E139" s="106">
        <f t="shared" si="66"/>
        <v>0</v>
      </c>
      <c r="F139" s="106">
        <f t="shared" si="66"/>
        <v>0</v>
      </c>
      <c r="G139" s="106">
        <f t="shared" si="66"/>
        <v>731.78465825109288</v>
      </c>
      <c r="H139" s="106">
        <f t="shared" si="66"/>
        <v>0</v>
      </c>
      <c r="I139" s="106">
        <f t="shared" si="66"/>
        <v>0</v>
      </c>
      <c r="J139" s="106">
        <f t="shared" si="66"/>
        <v>0</v>
      </c>
      <c r="K139" s="106">
        <f t="shared" si="66"/>
        <v>0</v>
      </c>
      <c r="L139" s="106">
        <f t="shared" si="66"/>
        <v>0</v>
      </c>
      <c r="M139" s="106">
        <f t="shared" si="66"/>
        <v>0</v>
      </c>
      <c r="N139" s="106">
        <f t="shared" si="66"/>
        <v>279.27071759863202</v>
      </c>
      <c r="O139" s="106">
        <f t="shared" si="66"/>
        <v>146.5655976046387</v>
      </c>
      <c r="P139" s="106">
        <f t="shared" si="66"/>
        <v>0</v>
      </c>
      <c r="Q139" s="106">
        <f t="shared" si="66"/>
        <v>0</v>
      </c>
      <c r="R139" s="106">
        <f t="shared" si="66"/>
        <v>0</v>
      </c>
      <c r="S139" s="106">
        <f t="shared" si="66"/>
        <v>220.03124362361223</v>
      </c>
      <c r="T139" s="106">
        <f t="shared" si="66"/>
        <v>0</v>
      </c>
      <c r="U139" s="106">
        <f t="shared" si="66"/>
        <v>0</v>
      </c>
      <c r="V139" s="106">
        <f t="shared" si="66"/>
        <v>0</v>
      </c>
      <c r="W139" s="106">
        <f t="shared" si="66"/>
        <v>0</v>
      </c>
      <c r="X139" s="106">
        <f t="shared" si="66"/>
        <v>0</v>
      </c>
      <c r="Y139" s="106">
        <f t="shared" si="66"/>
        <v>0</v>
      </c>
      <c r="Z139" s="106">
        <f t="shared" si="66"/>
        <v>0</v>
      </c>
      <c r="AA139" s="106">
        <f t="shared" si="66"/>
        <v>0</v>
      </c>
    </row>
    <row r="140" spans="1:27" ht="13.5" customHeight="1" x14ac:dyDescent="0.35">
      <c r="A140" s="40" t="s">
        <v>303</v>
      </c>
      <c r="B140" s="42">
        <f>AA140</f>
        <v>17019.809097163648</v>
      </c>
      <c r="C140" s="106" t="s">
        <v>104</v>
      </c>
      <c r="D140" s="123">
        <f t="shared" ref="D140:AA140" si="67">MAX(D138-D139,0)+MAX(D137-D136,0)</f>
        <v>103.18644302004782</v>
      </c>
      <c r="E140" s="123">
        <f t="shared" si="67"/>
        <v>328.41954793614104</v>
      </c>
      <c r="F140" s="123">
        <f t="shared" si="67"/>
        <v>731.78465825109288</v>
      </c>
      <c r="G140" s="123">
        <f t="shared" si="67"/>
        <v>0</v>
      </c>
      <c r="H140" s="123">
        <f t="shared" si="67"/>
        <v>1835.4683742934103</v>
      </c>
      <c r="I140" s="123">
        <f t="shared" si="67"/>
        <v>4027.3763708302213</v>
      </c>
      <c r="J140" s="123">
        <f t="shared" si="67"/>
        <v>4866.2543705538046</v>
      </c>
      <c r="K140" s="123">
        <f t="shared" si="67"/>
        <v>5586.7562124976557</v>
      </c>
      <c r="L140" s="123">
        <f t="shared" si="67"/>
        <v>5827.9676728856548</v>
      </c>
      <c r="M140" s="123">
        <f t="shared" si="67"/>
        <v>6731.857542777966</v>
      </c>
      <c r="N140" s="123">
        <f t="shared" si="67"/>
        <v>6452.5868251793345</v>
      </c>
      <c r="O140" s="123">
        <f t="shared" si="67"/>
        <v>6306.0212275746962</v>
      </c>
      <c r="P140" s="123">
        <f t="shared" si="67"/>
        <v>6858.8380995773377</v>
      </c>
      <c r="Q140" s="123">
        <f t="shared" si="67"/>
        <v>7560.2609136354449</v>
      </c>
      <c r="R140" s="123">
        <f t="shared" si="67"/>
        <v>8538.5899307872623</v>
      </c>
      <c r="S140" s="123">
        <f t="shared" si="67"/>
        <v>8318.5586871636497</v>
      </c>
      <c r="T140" s="123">
        <f t="shared" si="67"/>
        <v>9914.9198671636495</v>
      </c>
      <c r="U140" s="123">
        <f t="shared" si="67"/>
        <v>11886.063547163649</v>
      </c>
      <c r="V140" s="123">
        <f t="shared" si="67"/>
        <v>12484.25408216365</v>
      </c>
      <c r="W140" s="123">
        <f t="shared" si="67"/>
        <v>13060.611772163651</v>
      </c>
      <c r="X140" s="123">
        <f t="shared" si="67"/>
        <v>13173.37844716365</v>
      </c>
      <c r="Y140" s="123">
        <f t="shared" si="67"/>
        <v>13929.941997163649</v>
      </c>
      <c r="Z140" s="123">
        <f t="shared" si="67"/>
        <v>15466.744827163649</v>
      </c>
      <c r="AA140" s="123">
        <f t="shared" si="67"/>
        <v>17019.809097163648</v>
      </c>
    </row>
    <row r="141" spans="1:27" ht="12.75" customHeight="1" x14ac:dyDescent="0.35">
      <c r="A141" s="113" t="s">
        <v>304</v>
      </c>
      <c r="B141" s="114">
        <f>AA141</f>
        <v>0</v>
      </c>
      <c r="C141" s="106" t="s">
        <v>104</v>
      </c>
      <c r="D141" s="114">
        <f>0</f>
        <v>0</v>
      </c>
      <c r="E141" s="114">
        <f t="shared" ref="E141:AA141" si="68">D143</f>
        <v>0</v>
      </c>
      <c r="F141" s="114">
        <f t="shared" si="68"/>
        <v>0</v>
      </c>
      <c r="G141" s="114">
        <f t="shared" si="68"/>
        <v>0</v>
      </c>
      <c r="H141" s="114">
        <f t="shared" si="68"/>
        <v>0</v>
      </c>
      <c r="I141" s="114">
        <f t="shared" si="68"/>
        <v>0</v>
      </c>
      <c r="J141" s="114">
        <f t="shared" si="68"/>
        <v>0</v>
      </c>
      <c r="K141" s="114">
        <f t="shared" si="68"/>
        <v>0</v>
      </c>
      <c r="L141" s="114">
        <f t="shared" si="68"/>
        <v>0</v>
      </c>
      <c r="M141" s="114">
        <f t="shared" si="68"/>
        <v>0</v>
      </c>
      <c r="N141" s="114">
        <f t="shared" si="68"/>
        <v>0</v>
      </c>
      <c r="O141" s="114">
        <f t="shared" si="68"/>
        <v>0</v>
      </c>
      <c r="P141" s="114">
        <f t="shared" si="68"/>
        <v>0</v>
      </c>
      <c r="Q141" s="114">
        <f t="shared" si="68"/>
        <v>0</v>
      </c>
      <c r="R141" s="114">
        <f t="shared" si="68"/>
        <v>0</v>
      </c>
      <c r="S141" s="114">
        <f t="shared" si="68"/>
        <v>0</v>
      </c>
      <c r="T141" s="114">
        <f t="shared" si="68"/>
        <v>0</v>
      </c>
      <c r="U141" s="114">
        <f t="shared" si="68"/>
        <v>0</v>
      </c>
      <c r="V141" s="114">
        <f t="shared" si="68"/>
        <v>0</v>
      </c>
      <c r="W141" s="114">
        <f t="shared" si="68"/>
        <v>0</v>
      </c>
      <c r="X141" s="114">
        <f t="shared" si="68"/>
        <v>0</v>
      </c>
      <c r="Y141" s="114">
        <f t="shared" si="68"/>
        <v>0</v>
      </c>
      <c r="Z141" s="114">
        <f t="shared" si="68"/>
        <v>0</v>
      </c>
      <c r="AA141" s="114">
        <f t="shared" si="68"/>
        <v>0</v>
      </c>
    </row>
    <row r="142" spans="1:27" ht="12.75" customHeight="1" x14ac:dyDescent="0.35">
      <c r="A142" s="113" t="s">
        <v>312</v>
      </c>
      <c r="B142" s="114">
        <f>SUM(D142:AA142)</f>
        <v>0</v>
      </c>
      <c r="C142" s="106">
        <f>B142/24</f>
        <v>0</v>
      </c>
      <c r="D142" s="114">
        <f t="shared" ref="D142:AA142" si="69">MIN(D141,D136)</f>
        <v>0</v>
      </c>
      <c r="E142" s="114">
        <f t="shared" si="69"/>
        <v>0</v>
      </c>
      <c r="F142" s="114">
        <f t="shared" si="69"/>
        <v>0</v>
      </c>
      <c r="G142" s="114">
        <f t="shared" si="69"/>
        <v>0</v>
      </c>
      <c r="H142" s="114">
        <f t="shared" si="69"/>
        <v>0</v>
      </c>
      <c r="I142" s="114">
        <f t="shared" si="69"/>
        <v>0</v>
      </c>
      <c r="J142" s="114">
        <f t="shared" si="69"/>
        <v>0</v>
      </c>
      <c r="K142" s="114">
        <f t="shared" si="69"/>
        <v>0</v>
      </c>
      <c r="L142" s="114">
        <f t="shared" si="69"/>
        <v>0</v>
      </c>
      <c r="M142" s="114">
        <f t="shared" si="69"/>
        <v>0</v>
      </c>
      <c r="N142" s="114">
        <f t="shared" si="69"/>
        <v>0</v>
      </c>
      <c r="O142" s="114">
        <f t="shared" si="69"/>
        <v>0</v>
      </c>
      <c r="P142" s="114">
        <f t="shared" si="69"/>
        <v>0</v>
      </c>
      <c r="Q142" s="114">
        <f t="shared" si="69"/>
        <v>0</v>
      </c>
      <c r="R142" s="114">
        <f t="shared" si="69"/>
        <v>0</v>
      </c>
      <c r="S142" s="114">
        <f t="shared" si="69"/>
        <v>0</v>
      </c>
      <c r="T142" s="114">
        <f t="shared" si="69"/>
        <v>0</v>
      </c>
      <c r="U142" s="114">
        <f t="shared" si="69"/>
        <v>0</v>
      </c>
      <c r="V142" s="114">
        <f t="shared" si="69"/>
        <v>0</v>
      </c>
      <c r="W142" s="114">
        <f t="shared" si="69"/>
        <v>0</v>
      </c>
      <c r="X142" s="114">
        <f t="shared" si="69"/>
        <v>0</v>
      </c>
      <c r="Y142" s="114">
        <f t="shared" si="69"/>
        <v>0</v>
      </c>
      <c r="Z142" s="114">
        <f t="shared" si="69"/>
        <v>0</v>
      </c>
      <c r="AA142" s="114">
        <f t="shared" si="69"/>
        <v>0</v>
      </c>
    </row>
    <row r="143" spans="1:27" ht="12.75" customHeight="1" x14ac:dyDescent="0.35">
      <c r="A143" s="113" t="s">
        <v>313</v>
      </c>
      <c r="B143" s="114">
        <f>AA143</f>
        <v>0</v>
      </c>
      <c r="C143" s="106" t="s">
        <v>104</v>
      </c>
      <c r="D143" s="134">
        <f t="shared" ref="D143:AA143" si="70">MAX(D141-D142,0)</f>
        <v>0</v>
      </c>
      <c r="E143" s="134">
        <f t="shared" si="70"/>
        <v>0</v>
      </c>
      <c r="F143" s="134">
        <f t="shared" si="70"/>
        <v>0</v>
      </c>
      <c r="G143" s="134">
        <f t="shared" si="70"/>
        <v>0</v>
      </c>
      <c r="H143" s="134">
        <f t="shared" si="70"/>
        <v>0</v>
      </c>
      <c r="I143" s="134">
        <f t="shared" si="70"/>
        <v>0</v>
      </c>
      <c r="J143" s="134">
        <f t="shared" si="70"/>
        <v>0</v>
      </c>
      <c r="K143" s="134">
        <f t="shared" si="70"/>
        <v>0</v>
      </c>
      <c r="L143" s="134">
        <f t="shared" si="70"/>
        <v>0</v>
      </c>
      <c r="M143" s="134">
        <f t="shared" si="70"/>
        <v>0</v>
      </c>
      <c r="N143" s="134">
        <f t="shared" si="70"/>
        <v>0</v>
      </c>
      <c r="O143" s="134">
        <f t="shared" si="70"/>
        <v>0</v>
      </c>
      <c r="P143" s="134">
        <f t="shared" si="70"/>
        <v>0</v>
      </c>
      <c r="Q143" s="134">
        <f t="shared" si="70"/>
        <v>0</v>
      </c>
      <c r="R143" s="134">
        <f t="shared" si="70"/>
        <v>0</v>
      </c>
      <c r="S143" s="134">
        <f t="shared" si="70"/>
        <v>0</v>
      </c>
      <c r="T143" s="134">
        <f t="shared" si="70"/>
        <v>0</v>
      </c>
      <c r="U143" s="134">
        <f t="shared" si="70"/>
        <v>0</v>
      </c>
      <c r="V143" s="134">
        <f t="shared" si="70"/>
        <v>0</v>
      </c>
      <c r="W143" s="134">
        <f t="shared" si="70"/>
        <v>0</v>
      </c>
      <c r="X143" s="134">
        <f t="shared" si="70"/>
        <v>0</v>
      </c>
      <c r="Y143" s="134">
        <f t="shared" si="70"/>
        <v>0</v>
      </c>
      <c r="Z143" s="134">
        <f t="shared" si="70"/>
        <v>0</v>
      </c>
      <c r="AA143" s="134">
        <f t="shared" si="70"/>
        <v>0</v>
      </c>
    </row>
    <row r="144" spans="1:27" ht="12.75" customHeight="1" x14ac:dyDescent="0.35">
      <c r="A144" s="125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44" s="128">
        <f>SUM(D144:AA144)</f>
        <v>55253.982791307564</v>
      </c>
      <c r="C144" s="110">
        <f>B144/24</f>
        <v>2302.2492829711487</v>
      </c>
      <c r="D144" s="128">
        <f>D136*Premissas!$F$19</f>
        <v>1260.5186322106401</v>
      </c>
      <c r="E144" s="128">
        <f>E136*Premissas!$F$19</f>
        <v>1218.8715408380419</v>
      </c>
      <c r="F144" s="128">
        <f>F136*Premissas!$F$19</f>
        <v>1340.1108512782723</v>
      </c>
      <c r="G144" s="128">
        <f>G136*Premissas!$F$19</f>
        <v>2285.0370799765569</v>
      </c>
      <c r="H144" s="128">
        <f>H136*Premissas!$F$19</f>
        <v>2399.7979539810499</v>
      </c>
      <c r="I144" s="128">
        <f>I136*Premissas!$F$19</f>
        <v>1934.2760215273406</v>
      </c>
      <c r="J144" s="128">
        <f>J136*Premissas!$F$19</f>
        <v>2986.5591968749895</v>
      </c>
      <c r="K144" s="128">
        <f>K136*Premissas!$F$19</f>
        <v>3196.8770083066102</v>
      </c>
      <c r="L144" s="128">
        <f>L136*Premissas!$F$19</f>
        <v>3219.644084923631</v>
      </c>
      <c r="M144" s="128">
        <f>M136*Premissas!$F$19</f>
        <v>3112.4490991851599</v>
      </c>
      <c r="N144" s="128">
        <f>N136*Premissas!$F$19</f>
        <v>2382.0053910557563</v>
      </c>
      <c r="O144" s="128">
        <f>O136*Premissas!$F$19</f>
        <v>2123.0298945371496</v>
      </c>
      <c r="P144" s="128">
        <f>P136*Premissas!$F$19</f>
        <v>1292.0315980159062</v>
      </c>
      <c r="Q144" s="128">
        <f>Q136*Premissas!$F$19</f>
        <v>1249.3433293589928</v>
      </c>
      <c r="R144" s="128">
        <f>R136*Premissas!$F$19</f>
        <v>1373.613622560229</v>
      </c>
      <c r="S144" s="128">
        <f>S136*Premissas!$F$19</f>
        <v>2342.1630069759708</v>
      </c>
      <c r="T144" s="128">
        <f>T136*Premissas!$F$19</f>
        <v>2459.7929028305762</v>
      </c>
      <c r="U144" s="128">
        <f>U136*Premissas!$F$19</f>
        <v>1982.6329220655241</v>
      </c>
      <c r="V144" s="128">
        <f>V136*Premissas!$F$19</f>
        <v>3061.2231767968642</v>
      </c>
      <c r="W144" s="128">
        <f>W136*Premissas!$F$19</f>
        <v>3196.8770083066102</v>
      </c>
      <c r="X144" s="128">
        <f>X136*Premissas!$F$19</f>
        <v>3219.644084923631</v>
      </c>
      <c r="Y144" s="128">
        <f>Y136*Premissas!$F$19</f>
        <v>3112.4490991851599</v>
      </c>
      <c r="Z144" s="128">
        <f>Z136*Premissas!$F$19</f>
        <v>2382.0053910557563</v>
      </c>
      <c r="AA144" s="128">
        <f>AA136*Premissas!$F$19</f>
        <v>2123.0298945371496</v>
      </c>
    </row>
    <row r="145" spans="1:27" ht="12.75" customHeight="1" x14ac:dyDescent="0.35">
      <c r="A145" s="129" t="s">
        <v>307</v>
      </c>
      <c r="B145" s="130">
        <f>SUM(D145:AA145)</f>
        <v>2.5307040295306947E-3</v>
      </c>
      <c r="C145" s="110">
        <f>B145/24</f>
        <v>1.0544600123044562E-4</v>
      </c>
      <c r="D145" s="130">
        <f>IF(D140&gt;0,0,MAX(D136-D137-D138,0)*Premissas!$B$7)</f>
        <v>0</v>
      </c>
      <c r="E145" s="130">
        <f>IF(E140&gt;0,0,MAX(E136-E137-E138,0)*Premissas!$B$7)</f>
        <v>0</v>
      </c>
      <c r="F145" s="130">
        <f>IF(F140&gt;0,0,MAX(F136-F137-F138,0)*Premissas!$B$7)</f>
        <v>0</v>
      </c>
      <c r="G145" s="130">
        <f>IF(G140&gt;0,0,MAX(G136-G137-G138,0)*Premissas!$B$7)</f>
        <v>2.5307040295306947E-3</v>
      </c>
      <c r="H145" s="130">
        <f>IF(H140&gt;0,0,MAX(H136-H137-H138,0)*Premissas!$B$7)</f>
        <v>0</v>
      </c>
      <c r="I145" s="130">
        <f>IF(I140&gt;0,0,MAX(I136-I137-I138,0)*Premissas!$B$7)</f>
        <v>0</v>
      </c>
      <c r="J145" s="130">
        <f>IF(J140&gt;0,0,MAX(J136-J137-J138,0)*Premissas!$B$7)</f>
        <v>0</v>
      </c>
      <c r="K145" s="130">
        <f>IF(K140&gt;0,0,MAX(K136-K137-K138,0)*Premissas!$B$7)</f>
        <v>0</v>
      </c>
      <c r="L145" s="130">
        <f>IF(L140&gt;0,0,MAX(L136-L137-L138,0)*Premissas!$B$7)</f>
        <v>0</v>
      </c>
      <c r="M145" s="130">
        <f>IF(M140&gt;0,0,MAX(M136-M137-M138,0)*Premissas!$B$7)</f>
        <v>0</v>
      </c>
      <c r="N145" s="130">
        <f>IF(N140&gt;0,0,MAX(N136-N137-N138,0)*Premissas!$B$7)</f>
        <v>0</v>
      </c>
      <c r="O145" s="130">
        <f>IF(O140&gt;0,0,MAX(O136-O137-O138,0)*Premissas!$B$7)</f>
        <v>0</v>
      </c>
      <c r="P145" s="130">
        <f>IF(P140&gt;0,0,MAX(P136-P137-P138,0)*Premissas!$B$7)</f>
        <v>0</v>
      </c>
      <c r="Q145" s="130">
        <f>IF(Q140&gt;0,0,MAX(Q136-Q137-Q138,0)*Premissas!$B$7)</f>
        <v>0</v>
      </c>
      <c r="R145" s="130">
        <f>IF(R140&gt;0,0,MAX(R136-R137-R138,0)*Premissas!$B$7)</f>
        <v>0</v>
      </c>
      <c r="S145" s="130">
        <f>IF(S140&gt;0,0,MAX(S136-S137-S138,0)*Premissas!$B$7)</f>
        <v>0</v>
      </c>
      <c r="T145" s="130">
        <f>IF(T140&gt;0,0,MAX(T136-T137-T138,0)*Premissas!$B$7)</f>
        <v>0</v>
      </c>
      <c r="U145" s="130">
        <f>IF(U140&gt;0,0,MAX(U136-U137-U138,0)*Premissas!$B$7)</f>
        <v>0</v>
      </c>
      <c r="V145" s="130">
        <f>IF(V140&gt;0,0,MAX(V136-V137-V138,0)*Premissas!$B$7)</f>
        <v>0</v>
      </c>
      <c r="W145" s="130">
        <f>IF(W140&gt;0,0,MAX(W136-W137-W138,0)*Premissas!$B$7)</f>
        <v>0</v>
      </c>
      <c r="X145" s="130">
        <f>IF(X140&gt;0,0,MAX(X136-X137-X138,0)*Premissas!$B$7)</f>
        <v>0</v>
      </c>
      <c r="Y145" s="130">
        <f>IF(Y140&gt;0,0,MAX(Y136-Y137-Y138,0)*Premissas!$B$7)</f>
        <v>0</v>
      </c>
      <c r="Z145" s="130">
        <f>IF(Z140&gt;0,0,MAX(Z136-Z137-Z138,0)*Premissas!$B$7)</f>
        <v>0</v>
      </c>
      <c r="AA145" s="130">
        <f>IF(AA140&gt;0,0,MAX(AA136-AA137-AA138,0)*Premissas!$B$7)</f>
        <v>0</v>
      </c>
    </row>
    <row r="146" spans="1:27" ht="13.5" customHeight="1" x14ac:dyDescent="0.35">
      <c r="A146" s="40" t="s">
        <v>308</v>
      </c>
      <c r="B146" s="43">
        <f>SUM(D146:AA146)</f>
        <v>55253.98026060353</v>
      </c>
      <c r="C146" s="110">
        <f>B146/24</f>
        <v>2302.2491775251469</v>
      </c>
      <c r="D146" s="131">
        <f t="shared" ref="D146:AA146" si="71">MAX(D144-D145,0)</f>
        <v>1260.5186322106401</v>
      </c>
      <c r="E146" s="131">
        <f t="shared" si="71"/>
        <v>1218.8715408380419</v>
      </c>
      <c r="F146" s="131">
        <f t="shared" si="71"/>
        <v>1340.1108512782723</v>
      </c>
      <c r="G146" s="131">
        <f t="shared" si="71"/>
        <v>2285.0345492725273</v>
      </c>
      <c r="H146" s="131">
        <f t="shared" si="71"/>
        <v>2399.7979539810499</v>
      </c>
      <c r="I146" s="131">
        <f t="shared" si="71"/>
        <v>1934.2760215273406</v>
      </c>
      <c r="J146" s="131">
        <f t="shared" si="71"/>
        <v>2986.5591968749895</v>
      </c>
      <c r="K146" s="131">
        <f t="shared" si="71"/>
        <v>3196.8770083066102</v>
      </c>
      <c r="L146" s="131">
        <f t="shared" si="71"/>
        <v>3219.644084923631</v>
      </c>
      <c r="M146" s="131">
        <f t="shared" si="71"/>
        <v>3112.4490991851599</v>
      </c>
      <c r="N146" s="131">
        <f t="shared" si="71"/>
        <v>2382.0053910557563</v>
      </c>
      <c r="O146" s="131">
        <f t="shared" si="71"/>
        <v>2123.0298945371496</v>
      </c>
      <c r="P146" s="131">
        <f t="shared" si="71"/>
        <v>1292.0315980159062</v>
      </c>
      <c r="Q146" s="131">
        <f t="shared" si="71"/>
        <v>1249.3433293589928</v>
      </c>
      <c r="R146" s="131">
        <f t="shared" si="71"/>
        <v>1373.613622560229</v>
      </c>
      <c r="S146" s="131">
        <f t="shared" si="71"/>
        <v>2342.1630069759708</v>
      </c>
      <c r="T146" s="131">
        <f t="shared" si="71"/>
        <v>2459.7929028305762</v>
      </c>
      <c r="U146" s="131">
        <f t="shared" si="71"/>
        <v>1982.6329220655241</v>
      </c>
      <c r="V146" s="131">
        <f t="shared" si="71"/>
        <v>3061.2231767968642</v>
      </c>
      <c r="W146" s="131">
        <f t="shared" si="71"/>
        <v>3196.8770083066102</v>
      </c>
      <c r="X146" s="131">
        <f t="shared" si="71"/>
        <v>3219.644084923631</v>
      </c>
      <c r="Y146" s="131">
        <f t="shared" si="71"/>
        <v>3112.4490991851599</v>
      </c>
      <c r="Z146" s="131">
        <f t="shared" si="71"/>
        <v>2382.0053910557563</v>
      </c>
      <c r="AA146" s="131">
        <f t="shared" si="71"/>
        <v>2123.0298945371496</v>
      </c>
    </row>
    <row r="148" spans="1:27" ht="15" customHeight="1" x14ac:dyDescent="0.35">
      <c r="A148" s="229" t="s">
        <v>320</v>
      </c>
      <c r="B148" s="229"/>
      <c r="C148" s="229"/>
      <c r="D148" s="229"/>
      <c r="E148" s="229"/>
      <c r="F148" s="229"/>
      <c r="G148" s="229"/>
      <c r="H148" s="229"/>
      <c r="I148" s="229"/>
      <c r="J148" s="229"/>
      <c r="K148" s="229"/>
      <c r="L148" s="229"/>
      <c r="M148" s="229"/>
      <c r="N148" s="229"/>
      <c r="O148" s="229"/>
      <c r="P148" s="229"/>
      <c r="Q148" s="229"/>
      <c r="R148" s="229"/>
      <c r="S148" s="229"/>
      <c r="T148" s="229"/>
      <c r="U148" s="229"/>
      <c r="V148" s="229"/>
      <c r="W148" s="229"/>
      <c r="X148" s="229"/>
      <c r="Y148" s="229"/>
      <c r="Z148" s="229"/>
      <c r="AA148" s="229"/>
    </row>
    <row r="149" spans="1:27" ht="12.75" customHeight="1" x14ac:dyDescent="0.35">
      <c r="A149" s="132" t="s">
        <v>295</v>
      </c>
      <c r="B149" s="133">
        <f>SUM(D149:AA149)</f>
        <v>26275.200000000001</v>
      </c>
      <c r="C149" s="106">
        <f>B149/24</f>
        <v>1094.8</v>
      </c>
      <c r="D149" s="133">
        <v>500</v>
      </c>
      <c r="E149" s="133">
        <v>392</v>
      </c>
      <c r="F149" s="133">
        <v>608</v>
      </c>
      <c r="G149" s="133">
        <v>989</v>
      </c>
      <c r="H149" s="133">
        <v>934</v>
      </c>
      <c r="I149" s="133">
        <v>1294</v>
      </c>
      <c r="J149" s="133">
        <v>1255</v>
      </c>
      <c r="K149" s="133">
        <f>1933*(1+Premissas!$B$21)</f>
        <v>1981.3249999999998</v>
      </c>
      <c r="L149" s="133">
        <f>1676*(1+Premissas!$B$21)</f>
        <v>1717.8999999999999</v>
      </c>
      <c r="M149" s="133">
        <f>1511*(1+Premissas!$B$21)</f>
        <v>1548.7749999999999</v>
      </c>
      <c r="N149" s="133">
        <f>1029*(1+Premissas!$B$21)</f>
        <v>1054.7249999999999</v>
      </c>
      <c r="O149" s="133">
        <f>769*(1+Premissas!$B$21)</f>
        <v>788.22499999999991</v>
      </c>
      <c r="P149" s="133">
        <f>500*(1+Premissas!$B$21)</f>
        <v>512.5</v>
      </c>
      <c r="Q149" s="133">
        <f>392*(1+Premissas!$B$21)</f>
        <v>401.79999999999995</v>
      </c>
      <c r="R149" s="133">
        <f>608*(1+Premissas!$B$21)</f>
        <v>623.19999999999993</v>
      </c>
      <c r="S149" s="133">
        <f>989*(1+Premissas!$B$21)</f>
        <v>1013.7249999999999</v>
      </c>
      <c r="T149" s="133">
        <f>934*(1+Premissas!$B$21)</f>
        <v>957.34999999999991</v>
      </c>
      <c r="U149" s="133">
        <f>1294*(1+Premissas!$B$21)</f>
        <v>1326.35</v>
      </c>
      <c r="V149" s="133">
        <f>1255*(1+Premissas!$B$21)</f>
        <v>1286.375</v>
      </c>
      <c r="W149" s="133">
        <f>1933*(1+Premissas!$B$21)</f>
        <v>1981.3249999999998</v>
      </c>
      <c r="X149" s="133">
        <f>1676*(1+Premissas!$B$21)</f>
        <v>1717.8999999999999</v>
      </c>
      <c r="Y149" s="133">
        <f>1511*(1+Premissas!$B$21)</f>
        <v>1548.7749999999999</v>
      </c>
      <c r="Z149" s="133">
        <f>1029*(1+Premissas!$B$21)</f>
        <v>1054.7249999999999</v>
      </c>
      <c r="AA149" s="133">
        <f>769*(1+Premissas!$B$21)</f>
        <v>788.22499999999991</v>
      </c>
    </row>
    <row r="150" spans="1:27" ht="12.75" customHeight="1" x14ac:dyDescent="0.35">
      <c r="A150" s="108" t="str">
        <f>"  "&amp;INDEX(PVSYST_Helexia!$A$5:$A$7,MATCH(Premissas!$B$13,PVSYST_Helexia!$B$5:$B$7,0))&amp;" créditos recebidos (kWh)"</f>
        <v xml:space="preserve">  HCS03 créditos recebidos (kWh)</v>
      </c>
      <c r="B150" s="121">
        <f>SUM(D150:AA150)</f>
        <v>37385.150572356601</v>
      </c>
      <c r="C150" s="106">
        <f>B150/24</f>
        <v>1557.714607181525</v>
      </c>
      <c r="D150" s="122">
        <f>D6*Premissas!$B$43</f>
        <v>552.88405171089278</v>
      </c>
      <c r="E150" s="122">
        <f>E6*Premissas!$B$43</f>
        <v>581.95739647381731</v>
      </c>
      <c r="F150" s="122">
        <f>F6*Premissas!$B$43</f>
        <v>698.60750368211609</v>
      </c>
      <c r="G150" s="122">
        <f>G6*Premissas!$B$43</f>
        <v>655.53257877262956</v>
      </c>
      <c r="H150" s="122">
        <f>H6*Premissas!$C$43</f>
        <v>2364.8437370374659</v>
      </c>
      <c r="I150" s="122">
        <f>I6*Premissas!$C$43</f>
        <v>2286.5791177285741</v>
      </c>
      <c r="J150" s="122">
        <f>J6*Premissas!$C$43</f>
        <v>2171.2170688672682</v>
      </c>
      <c r="K150" s="122">
        <f>K6*Premissas!$C$43</f>
        <v>2229.356723967071</v>
      </c>
      <c r="L150" s="122">
        <f>L6*Premissas!$C$43</f>
        <v>1986.5477863769731</v>
      </c>
      <c r="M150" s="122">
        <f>M6*Premissas!$C$43</f>
        <v>2278.5726471732746</v>
      </c>
      <c r="N150" s="122">
        <f>N6*Premissas!$D$43</f>
        <v>870.7520594466821</v>
      </c>
      <c r="O150" s="122">
        <f>O6*Premissas!$D$43</f>
        <v>814.92085464862112</v>
      </c>
      <c r="P150" s="122">
        <f>P6*Premissas!$D$43</f>
        <v>739.58451740508372</v>
      </c>
      <c r="Q150" s="122">
        <f>Q6*Premissas!$D$43</f>
        <v>778.4754848498867</v>
      </c>
      <c r="R150" s="122">
        <f>R6*Premissas!$D$43</f>
        <v>934.51654441369828</v>
      </c>
      <c r="S150" s="122">
        <f>S6*Premissas!$D$43</f>
        <v>876.89587792339182</v>
      </c>
      <c r="T150" s="122">
        <f>T6*Premissas!$E$43</f>
        <v>2203.9305765359441</v>
      </c>
      <c r="U150" s="122">
        <f>U6*Premissas!$E$43</f>
        <v>2130.9913861554851</v>
      </c>
      <c r="V150" s="122">
        <f>V6*Premissas!$E$43</f>
        <v>2023.4790195346889</v>
      </c>
      <c r="W150" s="122">
        <f>W6*Premissas!$E$43</f>
        <v>2088.1031422117749</v>
      </c>
      <c r="X150" s="122">
        <f>X6*Premissas!$E$43</f>
        <v>1860.6787466055046</v>
      </c>
      <c r="Y150" s="122">
        <f>Y6*Premissas!$E$43</f>
        <v>2134.200710532225</v>
      </c>
      <c r="Z150" s="122">
        <f>Z6*Premissas!$E$43</f>
        <v>2129.532602347876</v>
      </c>
      <c r="AA150" s="122">
        <f>AA6*Premissas!$E$43</f>
        <v>1992.9904379556569</v>
      </c>
    </row>
    <row r="151" spans="1:27" ht="12.75" customHeight="1" x14ac:dyDescent="0.35">
      <c r="A151" s="112" t="s">
        <v>301</v>
      </c>
      <c r="B151" s="106">
        <f>AA151</f>
        <v>9905.2036037614889</v>
      </c>
      <c r="C151" s="106" t="s">
        <v>104</v>
      </c>
      <c r="D151" s="106">
        <f>0</f>
        <v>0</v>
      </c>
      <c r="E151" s="106">
        <f t="shared" ref="E151:AA151" si="72">D153</f>
        <v>52.884051710892777</v>
      </c>
      <c r="F151" s="106">
        <f t="shared" si="72"/>
        <v>242.84144818471009</v>
      </c>
      <c r="G151" s="106">
        <f t="shared" si="72"/>
        <v>333.44895186682618</v>
      </c>
      <c r="H151" s="106">
        <f t="shared" si="72"/>
        <v>0</v>
      </c>
      <c r="I151" s="106">
        <f t="shared" si="72"/>
        <v>1430.8437370374659</v>
      </c>
      <c r="J151" s="106">
        <f t="shared" si="72"/>
        <v>2423.42285476604</v>
      </c>
      <c r="K151" s="106">
        <f t="shared" si="72"/>
        <v>3339.6399236333082</v>
      </c>
      <c r="L151" s="106">
        <f t="shared" si="72"/>
        <v>3587.6716476003794</v>
      </c>
      <c r="M151" s="106">
        <f t="shared" si="72"/>
        <v>3856.3194339773527</v>
      </c>
      <c r="N151" s="106">
        <f t="shared" si="72"/>
        <v>4586.1170811506272</v>
      </c>
      <c r="O151" s="106">
        <f t="shared" si="72"/>
        <v>4402.1441405973092</v>
      </c>
      <c r="P151" s="106">
        <f t="shared" si="72"/>
        <v>4428.8399952459304</v>
      </c>
      <c r="Q151" s="106">
        <f t="shared" si="72"/>
        <v>4655.9245126510141</v>
      </c>
      <c r="R151" s="106">
        <f t="shared" si="72"/>
        <v>5032.5999975009008</v>
      </c>
      <c r="S151" s="106">
        <f t="shared" si="72"/>
        <v>5343.9165419145993</v>
      </c>
      <c r="T151" s="106">
        <f t="shared" si="72"/>
        <v>5207.0874198379915</v>
      </c>
      <c r="U151" s="106">
        <f t="shared" si="72"/>
        <v>6453.6679963739352</v>
      </c>
      <c r="V151" s="106">
        <f t="shared" si="72"/>
        <v>7258.30938252942</v>
      </c>
      <c r="W151" s="106">
        <f t="shared" si="72"/>
        <v>7995.4134020641086</v>
      </c>
      <c r="X151" s="106">
        <f t="shared" si="72"/>
        <v>8102.1915442758836</v>
      </c>
      <c r="Y151" s="106">
        <f t="shared" si="72"/>
        <v>8244.9702908813888</v>
      </c>
      <c r="Z151" s="106">
        <f t="shared" si="72"/>
        <v>8830.3960014136137</v>
      </c>
      <c r="AA151" s="106">
        <f t="shared" si="72"/>
        <v>9905.2036037614889</v>
      </c>
    </row>
    <row r="152" spans="1:27" ht="12.75" customHeight="1" x14ac:dyDescent="0.35">
      <c r="A152" s="112" t="s">
        <v>302</v>
      </c>
      <c r="B152" s="106">
        <f>SUM(D152:AA152)</f>
        <v>654.25101449675208</v>
      </c>
      <c r="C152" s="106">
        <f>B152/24</f>
        <v>27.260458937364671</v>
      </c>
      <c r="D152" s="106">
        <f t="shared" ref="D152:AA152" si="73">MIN(D151,MAX(D149-D150,0))</f>
        <v>0</v>
      </c>
      <c r="E152" s="106">
        <f t="shared" si="73"/>
        <v>0</v>
      </c>
      <c r="F152" s="106">
        <f t="shared" si="73"/>
        <v>0</v>
      </c>
      <c r="G152" s="106">
        <f t="shared" si="73"/>
        <v>333.44895186682618</v>
      </c>
      <c r="H152" s="106">
        <f t="shared" si="73"/>
        <v>0</v>
      </c>
      <c r="I152" s="106">
        <f t="shared" si="73"/>
        <v>0</v>
      </c>
      <c r="J152" s="106">
        <f t="shared" si="73"/>
        <v>0</v>
      </c>
      <c r="K152" s="106">
        <f t="shared" si="73"/>
        <v>0</v>
      </c>
      <c r="L152" s="106">
        <f t="shared" si="73"/>
        <v>0</v>
      </c>
      <c r="M152" s="106">
        <f t="shared" si="73"/>
        <v>0</v>
      </c>
      <c r="N152" s="106">
        <f t="shared" si="73"/>
        <v>183.97294055331781</v>
      </c>
      <c r="O152" s="106">
        <f t="shared" si="73"/>
        <v>0</v>
      </c>
      <c r="P152" s="106">
        <f t="shared" si="73"/>
        <v>0</v>
      </c>
      <c r="Q152" s="106">
        <f t="shared" si="73"/>
        <v>0</v>
      </c>
      <c r="R152" s="106">
        <f t="shared" si="73"/>
        <v>0</v>
      </c>
      <c r="S152" s="106">
        <f t="shared" si="73"/>
        <v>136.82912207660809</v>
      </c>
      <c r="T152" s="106">
        <f t="shared" si="73"/>
        <v>0</v>
      </c>
      <c r="U152" s="106">
        <f t="shared" si="73"/>
        <v>0</v>
      </c>
      <c r="V152" s="106">
        <f t="shared" si="73"/>
        <v>0</v>
      </c>
      <c r="W152" s="106">
        <f t="shared" si="73"/>
        <v>0</v>
      </c>
      <c r="X152" s="106">
        <f t="shared" si="73"/>
        <v>0</v>
      </c>
      <c r="Y152" s="106">
        <f t="shared" si="73"/>
        <v>0</v>
      </c>
      <c r="Z152" s="106">
        <f t="shared" si="73"/>
        <v>0</v>
      </c>
      <c r="AA152" s="106">
        <f t="shared" si="73"/>
        <v>0</v>
      </c>
    </row>
    <row r="153" spans="1:27" ht="13.5" customHeight="1" x14ac:dyDescent="0.35">
      <c r="A153" s="40" t="s">
        <v>303</v>
      </c>
      <c r="B153" s="42">
        <f>AA153</f>
        <v>11109.969041717146</v>
      </c>
      <c r="C153" s="106" t="s">
        <v>104</v>
      </c>
      <c r="D153" s="123">
        <f t="shared" ref="D153:AA153" si="74">MAX(D151-D152,0)+MAX(D150-D149,0)</f>
        <v>52.884051710892777</v>
      </c>
      <c r="E153" s="123">
        <f t="shared" si="74"/>
        <v>242.84144818471009</v>
      </c>
      <c r="F153" s="123">
        <f t="shared" si="74"/>
        <v>333.44895186682618</v>
      </c>
      <c r="G153" s="123">
        <f t="shared" si="74"/>
        <v>0</v>
      </c>
      <c r="H153" s="123">
        <f t="shared" si="74"/>
        <v>1430.8437370374659</v>
      </c>
      <c r="I153" s="123">
        <f t="shared" si="74"/>
        <v>2423.42285476604</v>
      </c>
      <c r="J153" s="123">
        <f t="shared" si="74"/>
        <v>3339.6399236333082</v>
      </c>
      <c r="K153" s="123">
        <f t="shared" si="74"/>
        <v>3587.6716476003794</v>
      </c>
      <c r="L153" s="123">
        <f t="shared" si="74"/>
        <v>3856.3194339773527</v>
      </c>
      <c r="M153" s="123">
        <f t="shared" si="74"/>
        <v>4586.1170811506272</v>
      </c>
      <c r="N153" s="123">
        <f t="shared" si="74"/>
        <v>4402.1441405973092</v>
      </c>
      <c r="O153" s="123">
        <f t="shared" si="74"/>
        <v>4428.8399952459304</v>
      </c>
      <c r="P153" s="123">
        <f t="shared" si="74"/>
        <v>4655.9245126510141</v>
      </c>
      <c r="Q153" s="123">
        <f t="shared" si="74"/>
        <v>5032.5999975009008</v>
      </c>
      <c r="R153" s="123">
        <f t="shared" si="74"/>
        <v>5343.9165419145993</v>
      </c>
      <c r="S153" s="123">
        <f t="shared" si="74"/>
        <v>5207.0874198379915</v>
      </c>
      <c r="T153" s="123">
        <f t="shared" si="74"/>
        <v>6453.6679963739352</v>
      </c>
      <c r="U153" s="123">
        <f t="shared" si="74"/>
        <v>7258.30938252942</v>
      </c>
      <c r="V153" s="123">
        <f t="shared" si="74"/>
        <v>7995.4134020641086</v>
      </c>
      <c r="W153" s="123">
        <f t="shared" si="74"/>
        <v>8102.1915442758836</v>
      </c>
      <c r="X153" s="123">
        <f t="shared" si="74"/>
        <v>8244.9702908813888</v>
      </c>
      <c r="Y153" s="123">
        <f t="shared" si="74"/>
        <v>8830.3960014136137</v>
      </c>
      <c r="Z153" s="123">
        <f t="shared" si="74"/>
        <v>9905.2036037614889</v>
      </c>
      <c r="AA153" s="123">
        <f t="shared" si="74"/>
        <v>11109.969041717146</v>
      </c>
    </row>
    <row r="154" spans="1:27" ht="12.75" customHeight="1" x14ac:dyDescent="0.35">
      <c r="A154" s="113" t="s">
        <v>304</v>
      </c>
      <c r="B154" s="114">
        <f>AA154</f>
        <v>0</v>
      </c>
      <c r="C154" s="106" t="s">
        <v>104</v>
      </c>
      <c r="D154" s="114">
        <f>0</f>
        <v>0</v>
      </c>
      <c r="E154" s="114">
        <f t="shared" ref="E154:AA154" si="75">D156</f>
        <v>0</v>
      </c>
      <c r="F154" s="114">
        <f t="shared" si="75"/>
        <v>0</v>
      </c>
      <c r="G154" s="114">
        <f t="shared" si="75"/>
        <v>0</v>
      </c>
      <c r="H154" s="114">
        <f t="shared" si="75"/>
        <v>0</v>
      </c>
      <c r="I154" s="114">
        <f t="shared" si="75"/>
        <v>0</v>
      </c>
      <c r="J154" s="114">
        <f t="shared" si="75"/>
        <v>0</v>
      </c>
      <c r="K154" s="114">
        <f t="shared" si="75"/>
        <v>0</v>
      </c>
      <c r="L154" s="114">
        <f t="shared" si="75"/>
        <v>0</v>
      </c>
      <c r="M154" s="114">
        <f t="shared" si="75"/>
        <v>0</v>
      </c>
      <c r="N154" s="114">
        <f t="shared" si="75"/>
        <v>0</v>
      </c>
      <c r="O154" s="114">
        <f t="shared" si="75"/>
        <v>0</v>
      </c>
      <c r="P154" s="114">
        <f t="shared" si="75"/>
        <v>0</v>
      </c>
      <c r="Q154" s="114">
        <f t="shared" si="75"/>
        <v>0</v>
      </c>
      <c r="R154" s="114">
        <f t="shared" si="75"/>
        <v>0</v>
      </c>
      <c r="S154" s="114">
        <f t="shared" si="75"/>
        <v>0</v>
      </c>
      <c r="T154" s="114">
        <f t="shared" si="75"/>
        <v>0</v>
      </c>
      <c r="U154" s="114">
        <f t="shared" si="75"/>
        <v>0</v>
      </c>
      <c r="V154" s="114">
        <f t="shared" si="75"/>
        <v>0</v>
      </c>
      <c r="W154" s="114">
        <f t="shared" si="75"/>
        <v>0</v>
      </c>
      <c r="X154" s="114">
        <f t="shared" si="75"/>
        <v>0</v>
      </c>
      <c r="Y154" s="114">
        <f t="shared" si="75"/>
        <v>0</v>
      </c>
      <c r="Z154" s="114">
        <f t="shared" si="75"/>
        <v>0</v>
      </c>
      <c r="AA154" s="114">
        <f t="shared" si="75"/>
        <v>0</v>
      </c>
    </row>
    <row r="155" spans="1:27" ht="12.75" customHeight="1" x14ac:dyDescent="0.35">
      <c r="A155" s="113" t="s">
        <v>312</v>
      </c>
      <c r="B155" s="114">
        <f>SUM(D155:AA155)</f>
        <v>0</v>
      </c>
      <c r="C155" s="106">
        <f>B155/24</f>
        <v>0</v>
      </c>
      <c r="D155" s="114">
        <f t="shared" ref="D155:AA155" si="76">MIN(D154,D149)</f>
        <v>0</v>
      </c>
      <c r="E155" s="114">
        <f t="shared" si="76"/>
        <v>0</v>
      </c>
      <c r="F155" s="114">
        <f t="shared" si="76"/>
        <v>0</v>
      </c>
      <c r="G155" s="114">
        <f t="shared" si="76"/>
        <v>0</v>
      </c>
      <c r="H155" s="114">
        <f t="shared" si="76"/>
        <v>0</v>
      </c>
      <c r="I155" s="114">
        <f t="shared" si="76"/>
        <v>0</v>
      </c>
      <c r="J155" s="114">
        <f t="shared" si="76"/>
        <v>0</v>
      </c>
      <c r="K155" s="114">
        <f t="shared" si="76"/>
        <v>0</v>
      </c>
      <c r="L155" s="114">
        <f t="shared" si="76"/>
        <v>0</v>
      </c>
      <c r="M155" s="114">
        <f t="shared" si="76"/>
        <v>0</v>
      </c>
      <c r="N155" s="114">
        <f t="shared" si="76"/>
        <v>0</v>
      </c>
      <c r="O155" s="114">
        <f t="shared" si="76"/>
        <v>0</v>
      </c>
      <c r="P155" s="114">
        <f t="shared" si="76"/>
        <v>0</v>
      </c>
      <c r="Q155" s="114">
        <f t="shared" si="76"/>
        <v>0</v>
      </c>
      <c r="R155" s="114">
        <f t="shared" si="76"/>
        <v>0</v>
      </c>
      <c r="S155" s="114">
        <f t="shared" si="76"/>
        <v>0</v>
      </c>
      <c r="T155" s="114">
        <f t="shared" si="76"/>
        <v>0</v>
      </c>
      <c r="U155" s="114">
        <f t="shared" si="76"/>
        <v>0</v>
      </c>
      <c r="V155" s="114">
        <f t="shared" si="76"/>
        <v>0</v>
      </c>
      <c r="W155" s="114">
        <f t="shared" si="76"/>
        <v>0</v>
      </c>
      <c r="X155" s="114">
        <f t="shared" si="76"/>
        <v>0</v>
      </c>
      <c r="Y155" s="114">
        <f t="shared" si="76"/>
        <v>0</v>
      </c>
      <c r="Z155" s="114">
        <f t="shared" si="76"/>
        <v>0</v>
      </c>
      <c r="AA155" s="114">
        <f t="shared" si="76"/>
        <v>0</v>
      </c>
    </row>
    <row r="156" spans="1:27" ht="12.75" customHeight="1" x14ac:dyDescent="0.35">
      <c r="A156" s="113" t="s">
        <v>313</v>
      </c>
      <c r="B156" s="114">
        <f>AA156</f>
        <v>0</v>
      </c>
      <c r="C156" s="106" t="s">
        <v>104</v>
      </c>
      <c r="D156" s="134">
        <f t="shared" ref="D156:AA156" si="77">MAX(D154-D155,0)</f>
        <v>0</v>
      </c>
      <c r="E156" s="134">
        <f t="shared" si="77"/>
        <v>0</v>
      </c>
      <c r="F156" s="134">
        <f t="shared" si="77"/>
        <v>0</v>
      </c>
      <c r="G156" s="134">
        <f t="shared" si="77"/>
        <v>0</v>
      </c>
      <c r="H156" s="134">
        <f t="shared" si="77"/>
        <v>0</v>
      </c>
      <c r="I156" s="134">
        <f t="shared" si="77"/>
        <v>0</v>
      </c>
      <c r="J156" s="134">
        <f t="shared" si="77"/>
        <v>0</v>
      </c>
      <c r="K156" s="134">
        <f t="shared" si="77"/>
        <v>0</v>
      </c>
      <c r="L156" s="134">
        <f t="shared" si="77"/>
        <v>0</v>
      </c>
      <c r="M156" s="134">
        <f t="shared" si="77"/>
        <v>0</v>
      </c>
      <c r="N156" s="134">
        <f t="shared" si="77"/>
        <v>0</v>
      </c>
      <c r="O156" s="134">
        <f t="shared" si="77"/>
        <v>0</v>
      </c>
      <c r="P156" s="134">
        <f t="shared" si="77"/>
        <v>0</v>
      </c>
      <c r="Q156" s="134">
        <f t="shared" si="77"/>
        <v>0</v>
      </c>
      <c r="R156" s="134">
        <f t="shared" si="77"/>
        <v>0</v>
      </c>
      <c r="S156" s="134">
        <f t="shared" si="77"/>
        <v>0</v>
      </c>
      <c r="T156" s="134">
        <f t="shared" si="77"/>
        <v>0</v>
      </c>
      <c r="U156" s="134">
        <f t="shared" si="77"/>
        <v>0</v>
      </c>
      <c r="V156" s="134">
        <f t="shared" si="77"/>
        <v>0</v>
      </c>
      <c r="W156" s="134">
        <f t="shared" si="77"/>
        <v>0</v>
      </c>
      <c r="X156" s="134">
        <f t="shared" si="77"/>
        <v>0</v>
      </c>
      <c r="Y156" s="134">
        <f t="shared" si="77"/>
        <v>0</v>
      </c>
      <c r="Z156" s="134">
        <f t="shared" si="77"/>
        <v>0</v>
      </c>
      <c r="AA156" s="134">
        <f t="shared" si="77"/>
        <v>0</v>
      </c>
    </row>
    <row r="157" spans="1:27" ht="12.75" customHeight="1" x14ac:dyDescent="0.35">
      <c r="A157" s="125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57" s="128">
        <f>SUM(D157:AA157)</f>
        <v>24317.459005184293</v>
      </c>
      <c r="C157" s="110">
        <f>B157/24</f>
        <v>1013.2274585493456</v>
      </c>
      <c r="D157" s="128">
        <f>D149*Premissas!$F$19</f>
        <v>462.74545969553606</v>
      </c>
      <c r="E157" s="128">
        <f>E149*Premissas!$F$19</f>
        <v>362.79244040130027</v>
      </c>
      <c r="F157" s="128">
        <f>F149*Premissas!$F$19</f>
        <v>562.69847898977184</v>
      </c>
      <c r="G157" s="128">
        <f>G149*Premissas!$F$19</f>
        <v>915.31051927777025</v>
      </c>
      <c r="H157" s="128">
        <f>H149*Premissas!$F$19</f>
        <v>864.40851871126131</v>
      </c>
      <c r="I157" s="128">
        <f>I149*Premissas!$F$19</f>
        <v>1197.5852496920472</v>
      </c>
      <c r="J157" s="128">
        <f>J149*Premissas!$F$19</f>
        <v>1161.4911038357955</v>
      </c>
      <c r="K157" s="128">
        <f>K149*Premissas!$F$19</f>
        <v>1833.6982958625158</v>
      </c>
      <c r="L157" s="128">
        <f>L149*Premissas!$F$19</f>
        <v>1589.9008504219225</v>
      </c>
      <c r="M157" s="128">
        <f>M149*Premissas!$F$19</f>
        <v>1433.3771986799075</v>
      </c>
      <c r="N157" s="128">
        <f>N149*Premissas!$F$19</f>
        <v>976.13840995474845</v>
      </c>
      <c r="O157" s="128">
        <f>O149*Premissas!$F$19</f>
        <v>729.49507993702775</v>
      </c>
      <c r="P157" s="128">
        <f>P149*Premissas!$F$19</f>
        <v>474.31409618792446</v>
      </c>
      <c r="Q157" s="128">
        <f>Q149*Premissas!$F$19</f>
        <v>371.86225141133275</v>
      </c>
      <c r="R157" s="128">
        <f>R149*Premissas!$F$19</f>
        <v>576.76594096451606</v>
      </c>
      <c r="S157" s="128">
        <f>S149*Premissas!$F$19</f>
        <v>938.19328225971446</v>
      </c>
      <c r="T157" s="128">
        <f>T149*Premissas!$F$19</f>
        <v>886.01873167904273</v>
      </c>
      <c r="U157" s="128">
        <f>U149*Premissas!$F$19</f>
        <v>1227.5248809343484</v>
      </c>
      <c r="V157" s="128">
        <f>V149*Premissas!$F$19</f>
        <v>1190.5283814316904</v>
      </c>
      <c r="W157" s="128">
        <f>W149*Premissas!$F$19</f>
        <v>1833.6982958625158</v>
      </c>
      <c r="X157" s="128">
        <f>X149*Premissas!$F$19</f>
        <v>1589.9008504219225</v>
      </c>
      <c r="Y157" s="128">
        <f>Y149*Premissas!$F$19</f>
        <v>1433.3771986799075</v>
      </c>
      <c r="Z157" s="128">
        <f>Z149*Premissas!$F$19</f>
        <v>976.13840995474845</v>
      </c>
      <c r="AA157" s="128">
        <f>AA149*Premissas!$F$19</f>
        <v>729.49507993702775</v>
      </c>
    </row>
    <row r="158" spans="1:27" ht="12.75" customHeight="1" x14ac:dyDescent="0.35">
      <c r="A158" s="129" t="s">
        <v>307</v>
      </c>
      <c r="B158" s="130">
        <f>SUM(D158:AA158)</f>
        <v>2.1366531838339271E-2</v>
      </c>
      <c r="C158" s="110">
        <f>B158/24</f>
        <v>8.9027215993080298E-4</v>
      </c>
      <c r="D158" s="130">
        <f>IF(D153&gt;0,0,MAX(D149-D150-D151,0)*Premissas!$B$7)</f>
        <v>0</v>
      </c>
      <c r="E158" s="130">
        <f>IF(E153&gt;0,0,MAX(E149-E150-E151,0)*Premissas!$B$7)</f>
        <v>0</v>
      </c>
      <c r="F158" s="130">
        <f>IF(F153&gt;0,0,MAX(F149-F150-F151,0)*Premissas!$B$7)</f>
        <v>0</v>
      </c>
      <c r="G158" s="130">
        <f>IF(G153&gt;0,0,MAX(G149-G150-G151,0)*Premissas!$B$7)</f>
        <v>2.1366531838339271E-2</v>
      </c>
      <c r="H158" s="130">
        <f>IF(H153&gt;0,0,MAX(H149-H150-H151,0)*Premissas!$B$7)</f>
        <v>0</v>
      </c>
      <c r="I158" s="130">
        <f>IF(I153&gt;0,0,MAX(I149-I150-I151,0)*Premissas!$B$7)</f>
        <v>0</v>
      </c>
      <c r="J158" s="130">
        <f>IF(J153&gt;0,0,MAX(J149-J150-J151,0)*Premissas!$B$7)</f>
        <v>0</v>
      </c>
      <c r="K158" s="130">
        <f>IF(K153&gt;0,0,MAX(K149-K150-K151,0)*Premissas!$B$7)</f>
        <v>0</v>
      </c>
      <c r="L158" s="130">
        <f>IF(L153&gt;0,0,MAX(L149-L150-L151,0)*Premissas!$B$7)</f>
        <v>0</v>
      </c>
      <c r="M158" s="130">
        <f>IF(M153&gt;0,0,MAX(M149-M150-M151,0)*Premissas!$B$7)</f>
        <v>0</v>
      </c>
      <c r="N158" s="130">
        <f>IF(N153&gt;0,0,MAX(N149-N150-N151,0)*Premissas!$B$7)</f>
        <v>0</v>
      </c>
      <c r="O158" s="130">
        <f>IF(O153&gt;0,0,MAX(O149-O150-O151,0)*Premissas!$B$7)</f>
        <v>0</v>
      </c>
      <c r="P158" s="130">
        <f>IF(P153&gt;0,0,MAX(P149-P150-P151,0)*Premissas!$B$7)</f>
        <v>0</v>
      </c>
      <c r="Q158" s="130">
        <f>IF(Q153&gt;0,0,MAX(Q149-Q150-Q151,0)*Premissas!$B$7)</f>
        <v>0</v>
      </c>
      <c r="R158" s="130">
        <f>IF(R153&gt;0,0,MAX(R149-R150-R151,0)*Premissas!$B$7)</f>
        <v>0</v>
      </c>
      <c r="S158" s="130">
        <f>IF(S153&gt;0,0,MAX(S149-S150-S151,0)*Premissas!$B$7)</f>
        <v>0</v>
      </c>
      <c r="T158" s="130">
        <f>IF(T153&gt;0,0,MAX(T149-T150-T151,0)*Premissas!$B$7)</f>
        <v>0</v>
      </c>
      <c r="U158" s="130">
        <f>IF(U153&gt;0,0,MAX(U149-U150-U151,0)*Premissas!$B$7)</f>
        <v>0</v>
      </c>
      <c r="V158" s="130">
        <f>IF(V153&gt;0,0,MAX(V149-V150-V151,0)*Premissas!$B$7)</f>
        <v>0</v>
      </c>
      <c r="W158" s="130">
        <f>IF(W153&gt;0,0,MAX(W149-W150-W151,0)*Premissas!$B$7)</f>
        <v>0</v>
      </c>
      <c r="X158" s="130">
        <f>IF(X153&gt;0,0,MAX(X149-X150-X151,0)*Premissas!$B$7)</f>
        <v>0</v>
      </c>
      <c r="Y158" s="130">
        <f>IF(Y153&gt;0,0,MAX(Y149-Y150-Y151,0)*Premissas!$B$7)</f>
        <v>0</v>
      </c>
      <c r="Z158" s="130">
        <f>IF(Z153&gt;0,0,MAX(Z149-Z150-Z151,0)*Premissas!$B$7)</f>
        <v>0</v>
      </c>
      <c r="AA158" s="130">
        <f>IF(AA153&gt;0,0,MAX(AA149-AA150-AA151,0)*Premissas!$B$7)</f>
        <v>0</v>
      </c>
    </row>
    <row r="159" spans="1:27" ht="13.5" customHeight="1" x14ac:dyDescent="0.35">
      <c r="A159" s="40" t="s">
        <v>308</v>
      </c>
      <c r="B159" s="43">
        <f>SUM(D159:AA159)</f>
        <v>24317.437638652456</v>
      </c>
      <c r="C159" s="110">
        <f>B159/24</f>
        <v>1013.2265682771857</v>
      </c>
      <c r="D159" s="131">
        <f t="shared" ref="D159:AA159" si="78">MAX(D157-D158,0)</f>
        <v>462.74545969553606</v>
      </c>
      <c r="E159" s="131">
        <f t="shared" si="78"/>
        <v>362.79244040130027</v>
      </c>
      <c r="F159" s="131">
        <f t="shared" si="78"/>
        <v>562.69847898977184</v>
      </c>
      <c r="G159" s="131">
        <f t="shared" si="78"/>
        <v>915.28915274593191</v>
      </c>
      <c r="H159" s="131">
        <f t="shared" si="78"/>
        <v>864.40851871126131</v>
      </c>
      <c r="I159" s="131">
        <f t="shared" si="78"/>
        <v>1197.5852496920472</v>
      </c>
      <c r="J159" s="131">
        <f t="shared" si="78"/>
        <v>1161.4911038357955</v>
      </c>
      <c r="K159" s="131">
        <f t="shared" si="78"/>
        <v>1833.6982958625158</v>
      </c>
      <c r="L159" s="131">
        <f t="shared" si="78"/>
        <v>1589.9008504219225</v>
      </c>
      <c r="M159" s="131">
        <f t="shared" si="78"/>
        <v>1433.3771986799075</v>
      </c>
      <c r="N159" s="131">
        <f t="shared" si="78"/>
        <v>976.13840995474845</v>
      </c>
      <c r="O159" s="131">
        <f t="shared" si="78"/>
        <v>729.49507993702775</v>
      </c>
      <c r="P159" s="131">
        <f t="shared" si="78"/>
        <v>474.31409618792446</v>
      </c>
      <c r="Q159" s="131">
        <f t="shared" si="78"/>
        <v>371.86225141133275</v>
      </c>
      <c r="R159" s="131">
        <f t="shared" si="78"/>
        <v>576.76594096451606</v>
      </c>
      <c r="S159" s="131">
        <f t="shared" si="78"/>
        <v>938.19328225971446</v>
      </c>
      <c r="T159" s="131">
        <f t="shared" si="78"/>
        <v>886.01873167904273</v>
      </c>
      <c r="U159" s="131">
        <f t="shared" si="78"/>
        <v>1227.5248809343484</v>
      </c>
      <c r="V159" s="131">
        <f t="shared" si="78"/>
        <v>1190.5283814316904</v>
      </c>
      <c r="W159" s="131">
        <f t="shared" si="78"/>
        <v>1833.6982958625158</v>
      </c>
      <c r="X159" s="131">
        <f t="shared" si="78"/>
        <v>1589.9008504219225</v>
      </c>
      <c r="Y159" s="131">
        <f t="shared" si="78"/>
        <v>1433.3771986799075</v>
      </c>
      <c r="Z159" s="131">
        <f t="shared" si="78"/>
        <v>976.13840995474845</v>
      </c>
      <c r="AA159" s="131">
        <f t="shared" si="78"/>
        <v>729.49507993702775</v>
      </c>
    </row>
    <row r="161" spans="1:27" ht="15" customHeight="1" x14ac:dyDescent="0.35">
      <c r="A161" s="229" t="s">
        <v>321</v>
      </c>
      <c r="B161" s="229"/>
      <c r="C161" s="229"/>
      <c r="D161" s="229"/>
      <c r="E161" s="229"/>
      <c r="F161" s="229"/>
      <c r="G161" s="229"/>
      <c r="H161" s="229"/>
      <c r="I161" s="229"/>
      <c r="J161" s="229"/>
      <c r="K161" s="229"/>
      <c r="L161" s="229"/>
      <c r="M161" s="229"/>
      <c r="N161" s="229"/>
      <c r="O161" s="229"/>
      <c r="P161" s="229"/>
      <c r="Q161" s="229"/>
      <c r="R161" s="229"/>
      <c r="S161" s="229"/>
      <c r="T161" s="229"/>
      <c r="U161" s="229"/>
      <c r="V161" s="229"/>
      <c r="W161" s="229"/>
      <c r="X161" s="229"/>
      <c r="Y161" s="229"/>
      <c r="Z161" s="229"/>
      <c r="AA161" s="229"/>
    </row>
    <row r="162" spans="1:27" ht="12.75" customHeight="1" x14ac:dyDescent="0.35">
      <c r="A162" s="132" t="s">
        <v>295</v>
      </c>
      <c r="B162" s="133">
        <f>SUM(D162:AA162)</f>
        <v>12437.075000000003</v>
      </c>
      <c r="C162" s="106">
        <f>B162/24</f>
        <v>518.21145833333344</v>
      </c>
      <c r="D162" s="133">
        <v>275</v>
      </c>
      <c r="E162" s="133">
        <v>1194</v>
      </c>
      <c r="F162" s="133">
        <v>1194</v>
      </c>
      <c r="G162" s="133">
        <v>523</v>
      </c>
      <c r="H162" s="133">
        <v>596</v>
      </c>
      <c r="I162" s="133">
        <v>467</v>
      </c>
      <c r="J162" s="133">
        <v>518</v>
      </c>
      <c r="K162" s="133">
        <f>264*(1+Premissas!$B$21)</f>
        <v>270.59999999999997</v>
      </c>
      <c r="L162" s="133">
        <f>305*(1+Premissas!$B$21)</f>
        <v>312.625</v>
      </c>
      <c r="M162" s="133">
        <f>258*(1+Premissas!$B$21)</f>
        <v>264.45</v>
      </c>
      <c r="N162" s="133">
        <f>259*(1+Premissas!$B$21)</f>
        <v>265.47499999999997</v>
      </c>
      <c r="O162" s="133">
        <f>272*(1+Premissas!$B$21)</f>
        <v>278.79999999999995</v>
      </c>
      <c r="P162" s="133">
        <f>275*(1+Premissas!$B$21)</f>
        <v>281.875</v>
      </c>
      <c r="Q162" s="133">
        <f>1194*(1+Premissas!$B$21)</f>
        <v>1223.8499999999999</v>
      </c>
      <c r="R162" s="133">
        <f>1194*(1+Premissas!$B$21)</f>
        <v>1223.8499999999999</v>
      </c>
      <c r="S162" s="133">
        <f>523*(1+Premissas!$B$21)</f>
        <v>536.07499999999993</v>
      </c>
      <c r="T162" s="133">
        <f>596*(1+Premissas!$B$21)</f>
        <v>610.9</v>
      </c>
      <c r="U162" s="133">
        <f>467*(1+Premissas!$B$21)</f>
        <v>478.67499999999995</v>
      </c>
      <c r="V162" s="133">
        <f>518*(1+Premissas!$B$21)</f>
        <v>530.94999999999993</v>
      </c>
      <c r="W162" s="133">
        <f>264*(1+Premissas!$B$21)</f>
        <v>270.59999999999997</v>
      </c>
      <c r="X162" s="133">
        <f>305*(1+Premissas!$B$21)</f>
        <v>312.625</v>
      </c>
      <c r="Y162" s="133">
        <f>258*(1+Premissas!$B$21)</f>
        <v>264.45</v>
      </c>
      <c r="Z162" s="133">
        <f>259*(1+Premissas!$B$21)</f>
        <v>265.47499999999997</v>
      </c>
      <c r="AA162" s="133">
        <f>272*(1+Premissas!$B$21)</f>
        <v>278.79999999999995</v>
      </c>
    </row>
    <row r="163" spans="1:27" ht="12.75" customHeight="1" x14ac:dyDescent="0.35">
      <c r="A163" s="108" t="str">
        <f>"  "&amp;INDEX(PVSYST_Helexia!$A$5:$A$7,MATCH(Premissas!$B$13,PVSYST_Helexia!$B$5:$B$7,0))&amp;" créditos recebidos (kWh)"</f>
        <v xml:space="preserve">  HCS03 créditos recebidos (kWh)</v>
      </c>
      <c r="B163" s="121">
        <f>SUM(D163:AA163)</f>
        <v>17025.458243253019</v>
      </c>
      <c r="C163" s="106">
        <f>B163/24</f>
        <v>709.39409346887578</v>
      </c>
      <c r="D163" s="122">
        <f>D6*Premissas!$B$44</f>
        <v>802.92164028896411</v>
      </c>
      <c r="E163" s="122">
        <f>E6*Premissas!$B$44</f>
        <v>845.14318311245017</v>
      </c>
      <c r="F163" s="122">
        <f>F6*Premissas!$B$44</f>
        <v>1014.5474101465603</v>
      </c>
      <c r="G163" s="122">
        <f>G6*Premissas!$B$44</f>
        <v>951.99217952157937</v>
      </c>
      <c r="H163" s="122">
        <f>H6*Premissas!$C$44</f>
        <v>654.89702469515385</v>
      </c>
      <c r="I163" s="122">
        <f>I6*Premissas!$C$44</f>
        <v>633.22317558557097</v>
      </c>
      <c r="J163" s="122">
        <f>J6*Premissas!$C$44</f>
        <v>601.27592199804599</v>
      </c>
      <c r="K163" s="122">
        <f>K6*Premissas!$C$44</f>
        <v>617.37655754759055</v>
      </c>
      <c r="L163" s="122">
        <f>L6*Premissas!$C$44</f>
        <v>550.13539133152995</v>
      </c>
      <c r="M163" s="122">
        <f>M6*Premissas!$C$44</f>
        <v>631.00594082166072</v>
      </c>
      <c r="N163" s="122">
        <f>N6*Premissas!$D$44</f>
        <v>852.56749851184259</v>
      </c>
      <c r="O163" s="122">
        <f>O6*Premissas!$D$44</f>
        <v>797.90225816336431</v>
      </c>
      <c r="P163" s="122">
        <f>P6*Premissas!$D$44</f>
        <v>724.13922551365499</v>
      </c>
      <c r="Q163" s="122">
        <f>Q6*Premissas!$D$44</f>
        <v>762.2180040469965</v>
      </c>
      <c r="R163" s="122">
        <f>R6*Premissas!$D$44</f>
        <v>915.00034245684594</v>
      </c>
      <c r="S163" s="122">
        <f>S6*Premissas!$D$44</f>
        <v>858.58301107155762</v>
      </c>
      <c r="T163" s="122">
        <f>T6*Premissas!$E$44</f>
        <v>640.33691508521906</v>
      </c>
      <c r="U163" s="122">
        <f>U6*Premissas!$E$44</f>
        <v>619.14493351634098</v>
      </c>
      <c r="V163" s="122">
        <f>V6*Premissas!$E$44</f>
        <v>587.90795268381476</v>
      </c>
      <c r="W163" s="122">
        <f>W6*Premissas!$E$44</f>
        <v>606.68404835384058</v>
      </c>
      <c r="X163" s="122">
        <f>X6*Premissas!$E$44</f>
        <v>540.60744982207893</v>
      </c>
      <c r="Y163" s="122">
        <f>Y6*Premissas!$E$44</f>
        <v>620.07738070537164</v>
      </c>
      <c r="Z163" s="122">
        <f>Z6*Premissas!$E$44</f>
        <v>618.72109388496347</v>
      </c>
      <c r="AA163" s="122">
        <f>AA6*Premissas!$E$44</f>
        <v>579.04970438802366</v>
      </c>
    </row>
    <row r="164" spans="1:27" ht="12.75" customHeight="1" x14ac:dyDescent="0.35">
      <c r="A164" s="112" t="s">
        <v>301</v>
      </c>
      <c r="B164" s="106">
        <f>AA164</f>
        <v>4288.5213053170228</v>
      </c>
      <c r="C164" s="106" t="s">
        <v>104</v>
      </c>
      <c r="D164" s="106">
        <f>0</f>
        <v>0</v>
      </c>
      <c r="E164" s="106">
        <f t="shared" ref="E164:AA164" si="79">D166</f>
        <v>527.92164028896411</v>
      </c>
      <c r="F164" s="106">
        <f t="shared" si="79"/>
        <v>179.06482340141429</v>
      </c>
      <c r="G164" s="106">
        <f t="shared" si="79"/>
        <v>0</v>
      </c>
      <c r="H164" s="106">
        <f t="shared" si="79"/>
        <v>428.99217952157937</v>
      </c>
      <c r="I164" s="106">
        <f t="shared" si="79"/>
        <v>487.88920421673322</v>
      </c>
      <c r="J164" s="106">
        <f t="shared" si="79"/>
        <v>654.11237980230419</v>
      </c>
      <c r="K164" s="106">
        <f t="shared" si="79"/>
        <v>737.38830180035018</v>
      </c>
      <c r="L164" s="106">
        <f t="shared" si="79"/>
        <v>1084.1648593479408</v>
      </c>
      <c r="M164" s="106">
        <f t="shared" si="79"/>
        <v>1321.6752506794708</v>
      </c>
      <c r="N164" s="106">
        <f t="shared" si="79"/>
        <v>1688.2311915011314</v>
      </c>
      <c r="O164" s="106">
        <f t="shared" si="79"/>
        <v>2275.3236900129741</v>
      </c>
      <c r="P164" s="106">
        <f t="shared" si="79"/>
        <v>2794.4259481763384</v>
      </c>
      <c r="Q164" s="106">
        <f t="shared" si="79"/>
        <v>3236.6901736899936</v>
      </c>
      <c r="R164" s="106">
        <f t="shared" si="79"/>
        <v>2775.0581777369903</v>
      </c>
      <c r="S164" s="106">
        <f t="shared" si="79"/>
        <v>2466.2085201938362</v>
      </c>
      <c r="T164" s="106">
        <f t="shared" si="79"/>
        <v>2788.7165312653938</v>
      </c>
      <c r="U164" s="106">
        <f t="shared" si="79"/>
        <v>2818.1534463506127</v>
      </c>
      <c r="V164" s="106">
        <f t="shared" si="79"/>
        <v>2958.6233798669537</v>
      </c>
      <c r="W164" s="106">
        <f t="shared" si="79"/>
        <v>3015.5813325507684</v>
      </c>
      <c r="X164" s="106">
        <f t="shared" si="79"/>
        <v>3351.6653809046088</v>
      </c>
      <c r="Y164" s="106">
        <f t="shared" si="79"/>
        <v>3579.647830726688</v>
      </c>
      <c r="Z164" s="106">
        <f t="shared" si="79"/>
        <v>3935.2752114320597</v>
      </c>
      <c r="AA164" s="106">
        <f t="shared" si="79"/>
        <v>4288.5213053170228</v>
      </c>
    </row>
    <row r="165" spans="1:27" ht="12.75" customHeight="1" x14ac:dyDescent="0.35">
      <c r="A165" s="112" t="s">
        <v>302</v>
      </c>
      <c r="B165" s="106">
        <f>SUM(D165:AA165)</f>
        <v>1298.4032937851216</v>
      </c>
      <c r="C165" s="106">
        <f>B165/24</f>
        <v>54.100137241046731</v>
      </c>
      <c r="D165" s="106">
        <f t="shared" ref="D165:AA165" si="80">MIN(D164,MAX(D162-D163,0))</f>
        <v>0</v>
      </c>
      <c r="E165" s="106">
        <f t="shared" si="80"/>
        <v>348.85681688754983</v>
      </c>
      <c r="F165" s="106">
        <f t="shared" si="80"/>
        <v>179.06482340141429</v>
      </c>
      <c r="G165" s="106">
        <f t="shared" si="80"/>
        <v>0</v>
      </c>
      <c r="H165" s="106">
        <f t="shared" si="80"/>
        <v>0</v>
      </c>
      <c r="I165" s="106">
        <f t="shared" si="80"/>
        <v>0</v>
      </c>
      <c r="J165" s="106">
        <f t="shared" si="80"/>
        <v>0</v>
      </c>
      <c r="K165" s="106">
        <f t="shared" si="80"/>
        <v>0</v>
      </c>
      <c r="L165" s="106">
        <f t="shared" si="80"/>
        <v>0</v>
      </c>
      <c r="M165" s="106">
        <f t="shared" si="80"/>
        <v>0</v>
      </c>
      <c r="N165" s="106">
        <f t="shared" si="80"/>
        <v>0</v>
      </c>
      <c r="O165" s="106">
        <f t="shared" si="80"/>
        <v>0</v>
      </c>
      <c r="P165" s="106">
        <f t="shared" si="80"/>
        <v>0</v>
      </c>
      <c r="Q165" s="106">
        <f t="shared" si="80"/>
        <v>461.63199595300341</v>
      </c>
      <c r="R165" s="106">
        <f t="shared" si="80"/>
        <v>308.84965754315397</v>
      </c>
      <c r="S165" s="106">
        <f t="shared" si="80"/>
        <v>0</v>
      </c>
      <c r="T165" s="106">
        <f t="shared" si="80"/>
        <v>0</v>
      </c>
      <c r="U165" s="106">
        <f t="shared" si="80"/>
        <v>0</v>
      </c>
      <c r="V165" s="106">
        <f t="shared" si="80"/>
        <v>0</v>
      </c>
      <c r="W165" s="106">
        <f t="shared" si="80"/>
        <v>0</v>
      </c>
      <c r="X165" s="106">
        <f t="shared" si="80"/>
        <v>0</v>
      </c>
      <c r="Y165" s="106">
        <f t="shared" si="80"/>
        <v>0</v>
      </c>
      <c r="Z165" s="106">
        <f t="shared" si="80"/>
        <v>0</v>
      </c>
      <c r="AA165" s="106">
        <f t="shared" si="80"/>
        <v>0</v>
      </c>
    </row>
    <row r="166" spans="1:27" ht="13.5" customHeight="1" x14ac:dyDescent="0.35">
      <c r="A166" s="40" t="s">
        <v>303</v>
      </c>
      <c r="B166" s="42">
        <f>AA166</f>
        <v>4588.7710097050467</v>
      </c>
      <c r="C166" s="106" t="s">
        <v>104</v>
      </c>
      <c r="D166" s="123">
        <f t="shared" ref="D166:AA166" si="81">MAX(D164-D165,0)+MAX(D163-D162,0)</f>
        <v>527.92164028896411</v>
      </c>
      <c r="E166" s="123">
        <f t="shared" si="81"/>
        <v>179.06482340141429</v>
      </c>
      <c r="F166" s="123">
        <f t="shared" si="81"/>
        <v>0</v>
      </c>
      <c r="G166" s="123">
        <f t="shared" si="81"/>
        <v>428.99217952157937</v>
      </c>
      <c r="H166" s="123">
        <f t="shared" si="81"/>
        <v>487.88920421673322</v>
      </c>
      <c r="I166" s="123">
        <f t="shared" si="81"/>
        <v>654.11237980230419</v>
      </c>
      <c r="J166" s="123">
        <f t="shared" si="81"/>
        <v>737.38830180035018</v>
      </c>
      <c r="K166" s="123">
        <f t="shared" si="81"/>
        <v>1084.1648593479408</v>
      </c>
      <c r="L166" s="123">
        <f t="shared" si="81"/>
        <v>1321.6752506794708</v>
      </c>
      <c r="M166" s="123">
        <f t="shared" si="81"/>
        <v>1688.2311915011314</v>
      </c>
      <c r="N166" s="123">
        <f t="shared" si="81"/>
        <v>2275.3236900129741</v>
      </c>
      <c r="O166" s="123">
        <f t="shared" si="81"/>
        <v>2794.4259481763384</v>
      </c>
      <c r="P166" s="123">
        <f t="shared" si="81"/>
        <v>3236.6901736899936</v>
      </c>
      <c r="Q166" s="123">
        <f t="shared" si="81"/>
        <v>2775.0581777369903</v>
      </c>
      <c r="R166" s="123">
        <f t="shared" si="81"/>
        <v>2466.2085201938362</v>
      </c>
      <c r="S166" s="123">
        <f t="shared" si="81"/>
        <v>2788.7165312653938</v>
      </c>
      <c r="T166" s="123">
        <f t="shared" si="81"/>
        <v>2818.1534463506127</v>
      </c>
      <c r="U166" s="123">
        <f t="shared" si="81"/>
        <v>2958.6233798669537</v>
      </c>
      <c r="V166" s="123">
        <f t="shared" si="81"/>
        <v>3015.5813325507684</v>
      </c>
      <c r="W166" s="123">
        <f t="shared" si="81"/>
        <v>3351.6653809046088</v>
      </c>
      <c r="X166" s="123">
        <f t="shared" si="81"/>
        <v>3579.647830726688</v>
      </c>
      <c r="Y166" s="123">
        <f t="shared" si="81"/>
        <v>3935.2752114320597</v>
      </c>
      <c r="Z166" s="123">
        <f t="shared" si="81"/>
        <v>4288.5213053170228</v>
      </c>
      <c r="AA166" s="123">
        <f t="shared" si="81"/>
        <v>4588.7710097050467</v>
      </c>
    </row>
    <row r="167" spans="1:27" ht="12.75" customHeight="1" x14ac:dyDescent="0.35">
      <c r="A167" s="113" t="s">
        <v>304</v>
      </c>
      <c r="B167" s="114">
        <f>AA167</f>
        <v>0</v>
      </c>
      <c r="C167" s="106" t="s">
        <v>104</v>
      </c>
      <c r="D167" s="114">
        <f>0</f>
        <v>0</v>
      </c>
      <c r="E167" s="114">
        <f t="shared" ref="E167:AA167" si="82">D169</f>
        <v>0</v>
      </c>
      <c r="F167" s="114">
        <f t="shared" si="82"/>
        <v>0</v>
      </c>
      <c r="G167" s="114">
        <f t="shared" si="82"/>
        <v>0</v>
      </c>
      <c r="H167" s="114">
        <f t="shared" si="82"/>
        <v>0</v>
      </c>
      <c r="I167" s="114">
        <f t="shared" si="82"/>
        <v>0</v>
      </c>
      <c r="J167" s="114">
        <f t="shared" si="82"/>
        <v>0</v>
      </c>
      <c r="K167" s="114">
        <f t="shared" si="82"/>
        <v>0</v>
      </c>
      <c r="L167" s="114">
        <f t="shared" si="82"/>
        <v>0</v>
      </c>
      <c r="M167" s="114">
        <f t="shared" si="82"/>
        <v>0</v>
      </c>
      <c r="N167" s="114">
        <f t="shared" si="82"/>
        <v>0</v>
      </c>
      <c r="O167" s="114">
        <f t="shared" si="82"/>
        <v>0</v>
      </c>
      <c r="P167" s="114">
        <f t="shared" si="82"/>
        <v>0</v>
      </c>
      <c r="Q167" s="114">
        <f t="shared" si="82"/>
        <v>0</v>
      </c>
      <c r="R167" s="114">
        <f t="shared" si="82"/>
        <v>0</v>
      </c>
      <c r="S167" s="114">
        <f t="shared" si="82"/>
        <v>0</v>
      </c>
      <c r="T167" s="114">
        <f t="shared" si="82"/>
        <v>0</v>
      </c>
      <c r="U167" s="114">
        <f t="shared" si="82"/>
        <v>0</v>
      </c>
      <c r="V167" s="114">
        <f t="shared" si="82"/>
        <v>0</v>
      </c>
      <c r="W167" s="114">
        <f t="shared" si="82"/>
        <v>0</v>
      </c>
      <c r="X167" s="114">
        <f t="shared" si="82"/>
        <v>0</v>
      </c>
      <c r="Y167" s="114">
        <f t="shared" si="82"/>
        <v>0</v>
      </c>
      <c r="Z167" s="114">
        <f t="shared" si="82"/>
        <v>0</v>
      </c>
      <c r="AA167" s="114">
        <f t="shared" si="82"/>
        <v>0</v>
      </c>
    </row>
    <row r="168" spans="1:27" ht="12.75" customHeight="1" x14ac:dyDescent="0.35">
      <c r="A168" s="113" t="s">
        <v>312</v>
      </c>
      <c r="B168" s="114">
        <f>SUM(D168:AA168)</f>
        <v>0</v>
      </c>
      <c r="C168" s="106">
        <f>B168/24</f>
        <v>0</v>
      </c>
      <c r="D168" s="114">
        <f t="shared" ref="D168:AA168" si="83">MIN(D167,D162)</f>
        <v>0</v>
      </c>
      <c r="E168" s="114">
        <f t="shared" si="83"/>
        <v>0</v>
      </c>
      <c r="F168" s="114">
        <f t="shared" si="83"/>
        <v>0</v>
      </c>
      <c r="G168" s="114">
        <f t="shared" si="83"/>
        <v>0</v>
      </c>
      <c r="H168" s="114">
        <f t="shared" si="83"/>
        <v>0</v>
      </c>
      <c r="I168" s="114">
        <f t="shared" si="83"/>
        <v>0</v>
      </c>
      <c r="J168" s="114">
        <f t="shared" si="83"/>
        <v>0</v>
      </c>
      <c r="K168" s="114">
        <f t="shared" si="83"/>
        <v>0</v>
      </c>
      <c r="L168" s="114">
        <f t="shared" si="83"/>
        <v>0</v>
      </c>
      <c r="M168" s="114">
        <f t="shared" si="83"/>
        <v>0</v>
      </c>
      <c r="N168" s="114">
        <f t="shared" si="83"/>
        <v>0</v>
      </c>
      <c r="O168" s="114">
        <f t="shared" si="83"/>
        <v>0</v>
      </c>
      <c r="P168" s="114">
        <f t="shared" si="83"/>
        <v>0</v>
      </c>
      <c r="Q168" s="114">
        <f t="shared" si="83"/>
        <v>0</v>
      </c>
      <c r="R168" s="114">
        <f t="shared" si="83"/>
        <v>0</v>
      </c>
      <c r="S168" s="114">
        <f t="shared" si="83"/>
        <v>0</v>
      </c>
      <c r="T168" s="114">
        <f t="shared" si="83"/>
        <v>0</v>
      </c>
      <c r="U168" s="114">
        <f t="shared" si="83"/>
        <v>0</v>
      </c>
      <c r="V168" s="114">
        <f t="shared" si="83"/>
        <v>0</v>
      </c>
      <c r="W168" s="114">
        <f t="shared" si="83"/>
        <v>0</v>
      </c>
      <c r="X168" s="114">
        <f t="shared" si="83"/>
        <v>0</v>
      </c>
      <c r="Y168" s="114">
        <f t="shared" si="83"/>
        <v>0</v>
      </c>
      <c r="Z168" s="114">
        <f t="shared" si="83"/>
        <v>0</v>
      </c>
      <c r="AA168" s="114">
        <f t="shared" si="83"/>
        <v>0</v>
      </c>
    </row>
    <row r="169" spans="1:27" ht="12.75" customHeight="1" x14ac:dyDescent="0.35">
      <c r="A169" s="113" t="s">
        <v>313</v>
      </c>
      <c r="B169" s="114">
        <f>AA169</f>
        <v>0</v>
      </c>
      <c r="C169" s="106" t="s">
        <v>104</v>
      </c>
      <c r="D169" s="134">
        <f t="shared" ref="D169:AA169" si="84">MAX(D167-D168,0)</f>
        <v>0</v>
      </c>
      <c r="E169" s="134">
        <f t="shared" si="84"/>
        <v>0</v>
      </c>
      <c r="F169" s="134">
        <f t="shared" si="84"/>
        <v>0</v>
      </c>
      <c r="G169" s="134">
        <f t="shared" si="84"/>
        <v>0</v>
      </c>
      <c r="H169" s="134">
        <f t="shared" si="84"/>
        <v>0</v>
      </c>
      <c r="I169" s="134">
        <f t="shared" si="84"/>
        <v>0</v>
      </c>
      <c r="J169" s="134">
        <f t="shared" si="84"/>
        <v>0</v>
      </c>
      <c r="K169" s="134">
        <f t="shared" si="84"/>
        <v>0</v>
      </c>
      <c r="L169" s="134">
        <f t="shared" si="84"/>
        <v>0</v>
      </c>
      <c r="M169" s="134">
        <f t="shared" si="84"/>
        <v>0</v>
      </c>
      <c r="N169" s="134">
        <f t="shared" si="84"/>
        <v>0</v>
      </c>
      <c r="O169" s="134">
        <f t="shared" si="84"/>
        <v>0</v>
      </c>
      <c r="P169" s="134">
        <f t="shared" si="84"/>
        <v>0</v>
      </c>
      <c r="Q169" s="134">
        <f t="shared" si="84"/>
        <v>0</v>
      </c>
      <c r="R169" s="134">
        <f t="shared" si="84"/>
        <v>0</v>
      </c>
      <c r="S169" s="134">
        <f t="shared" si="84"/>
        <v>0</v>
      </c>
      <c r="T169" s="134">
        <f t="shared" si="84"/>
        <v>0</v>
      </c>
      <c r="U169" s="134">
        <f t="shared" si="84"/>
        <v>0</v>
      </c>
      <c r="V169" s="134">
        <f t="shared" si="84"/>
        <v>0</v>
      </c>
      <c r="W169" s="134">
        <f t="shared" si="84"/>
        <v>0</v>
      </c>
      <c r="X169" s="134">
        <f t="shared" si="84"/>
        <v>0</v>
      </c>
      <c r="Y169" s="134">
        <f t="shared" si="84"/>
        <v>0</v>
      </c>
      <c r="Z169" s="134">
        <f t="shared" si="84"/>
        <v>0</v>
      </c>
      <c r="AA169" s="134">
        <f t="shared" si="84"/>
        <v>0</v>
      </c>
    </row>
    <row r="170" spans="1:27" ht="12.75" customHeight="1" x14ac:dyDescent="0.35">
      <c r="A170" s="125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70" s="128">
        <f>SUM(D170:AA170)</f>
        <v>11510.399976285717</v>
      </c>
      <c r="C170" s="110">
        <f>B170/24</f>
        <v>479.59999901190486</v>
      </c>
      <c r="D170" s="128">
        <f>D162*Premissas!$F$19</f>
        <v>254.51000283254481</v>
      </c>
      <c r="E170" s="128">
        <f>E162*Premissas!$F$19</f>
        <v>1105.03615775294</v>
      </c>
      <c r="F170" s="128">
        <f>F162*Premissas!$F$19</f>
        <v>1105.03615775294</v>
      </c>
      <c r="G170" s="128">
        <f>G162*Premissas!$F$19</f>
        <v>484.03175084153071</v>
      </c>
      <c r="H170" s="128">
        <f>H162*Premissas!$F$19</f>
        <v>551.59258795707899</v>
      </c>
      <c r="I170" s="128">
        <f>I162*Premissas!$F$19</f>
        <v>432.20425935563065</v>
      </c>
      <c r="J170" s="128">
        <f>J162*Premissas!$F$19</f>
        <v>479.40429624457533</v>
      </c>
      <c r="K170" s="128">
        <f>K162*Premissas!$F$19</f>
        <v>250.43784278722407</v>
      </c>
      <c r="L170" s="128">
        <f>L162*Premissas!$F$19</f>
        <v>289.33159867463394</v>
      </c>
      <c r="M170" s="128">
        <f>M162*Premissas!$F$19</f>
        <v>244.746073632969</v>
      </c>
      <c r="N170" s="128">
        <f>N162*Premissas!$F$19</f>
        <v>245.69470182534482</v>
      </c>
      <c r="O170" s="128">
        <f>O162*Premissas!$F$19</f>
        <v>258.02686832623084</v>
      </c>
      <c r="P170" s="128">
        <f>P162*Premissas!$F$19</f>
        <v>260.87275290335845</v>
      </c>
      <c r="Q170" s="128">
        <f>Q162*Premissas!$F$19</f>
        <v>1132.6620616967634</v>
      </c>
      <c r="R170" s="128">
        <f>R162*Premissas!$F$19</f>
        <v>1132.6620616967634</v>
      </c>
      <c r="S170" s="128">
        <f>S162*Premissas!$F$19</f>
        <v>496.13254461256889</v>
      </c>
      <c r="T170" s="128">
        <f>T162*Premissas!$F$19</f>
        <v>565.38240265600587</v>
      </c>
      <c r="U170" s="128">
        <f>U162*Premissas!$F$19</f>
        <v>443.00936583952137</v>
      </c>
      <c r="V170" s="128">
        <f>V162*Premissas!$F$19</f>
        <v>491.38940365068964</v>
      </c>
      <c r="W170" s="128">
        <f>W162*Premissas!$F$19</f>
        <v>250.43784278722407</v>
      </c>
      <c r="X170" s="128">
        <f>X162*Premissas!$F$19</f>
        <v>289.33159867463394</v>
      </c>
      <c r="Y170" s="128">
        <f>Y162*Premissas!$F$19</f>
        <v>244.746073632969</v>
      </c>
      <c r="Z170" s="128">
        <f>Z162*Premissas!$F$19</f>
        <v>245.69470182534482</v>
      </c>
      <c r="AA170" s="128">
        <f>AA162*Premissas!$F$19</f>
        <v>258.02686832623084</v>
      </c>
    </row>
    <row r="171" spans="1:27" ht="12.75" customHeight="1" x14ac:dyDescent="0.35">
      <c r="A171" s="129" t="s">
        <v>307</v>
      </c>
      <c r="B171" s="130">
        <f>SUM(D171:AA171)</f>
        <v>0.44859291274250523</v>
      </c>
      <c r="C171" s="110">
        <f>B171/24</f>
        <v>1.8691371364271053E-2</v>
      </c>
      <c r="D171" s="130">
        <f>IF(D166&gt;0,0,MAX(D162-D163-D164,0)*Premissas!$B$7)</f>
        <v>0</v>
      </c>
      <c r="E171" s="130">
        <f>IF(E166&gt;0,0,MAX(E162-E163-E164,0)*Premissas!$B$7)</f>
        <v>0</v>
      </c>
      <c r="F171" s="130">
        <f>IF(F166&gt;0,0,MAX(F162-F163-F164,0)*Premissas!$B$7)</f>
        <v>0.44859291274250523</v>
      </c>
      <c r="G171" s="130">
        <f>IF(G166&gt;0,0,MAX(G162-G163-G164,0)*Premissas!$B$7)</f>
        <v>0</v>
      </c>
      <c r="H171" s="130">
        <f>IF(H166&gt;0,0,MAX(H162-H163-H164,0)*Premissas!$B$7)</f>
        <v>0</v>
      </c>
      <c r="I171" s="130">
        <f>IF(I166&gt;0,0,MAX(I162-I163-I164,0)*Premissas!$B$7)</f>
        <v>0</v>
      </c>
      <c r="J171" s="130">
        <f>IF(J166&gt;0,0,MAX(J162-J163-J164,0)*Premissas!$B$7)</f>
        <v>0</v>
      </c>
      <c r="K171" s="130">
        <f>IF(K166&gt;0,0,MAX(K162-K163-K164,0)*Premissas!$B$7)</f>
        <v>0</v>
      </c>
      <c r="L171" s="130">
        <f>IF(L166&gt;0,0,MAX(L162-L163-L164,0)*Premissas!$B$7)</f>
        <v>0</v>
      </c>
      <c r="M171" s="130">
        <f>IF(M166&gt;0,0,MAX(M162-M163-M164,0)*Premissas!$B$7)</f>
        <v>0</v>
      </c>
      <c r="N171" s="130">
        <f>IF(N166&gt;0,0,MAX(N162-N163-N164,0)*Premissas!$B$7)</f>
        <v>0</v>
      </c>
      <c r="O171" s="130">
        <f>IF(O166&gt;0,0,MAX(O162-O163-O164,0)*Premissas!$B$7)</f>
        <v>0</v>
      </c>
      <c r="P171" s="130">
        <f>IF(P166&gt;0,0,MAX(P162-P163-P164,0)*Premissas!$B$7)</f>
        <v>0</v>
      </c>
      <c r="Q171" s="130">
        <f>IF(Q166&gt;0,0,MAX(Q162-Q163-Q164,0)*Premissas!$B$7)</f>
        <v>0</v>
      </c>
      <c r="R171" s="130">
        <f>IF(R166&gt;0,0,MAX(R162-R163-R164,0)*Premissas!$B$7)</f>
        <v>0</v>
      </c>
      <c r="S171" s="130">
        <f>IF(S166&gt;0,0,MAX(S162-S163-S164,0)*Premissas!$B$7)</f>
        <v>0</v>
      </c>
      <c r="T171" s="130">
        <f>IF(T166&gt;0,0,MAX(T162-T163-T164,0)*Premissas!$B$7)</f>
        <v>0</v>
      </c>
      <c r="U171" s="130">
        <f>IF(U166&gt;0,0,MAX(U162-U163-U164,0)*Premissas!$B$7)</f>
        <v>0</v>
      </c>
      <c r="V171" s="130">
        <f>IF(V166&gt;0,0,MAX(V162-V163-V164,0)*Premissas!$B$7)</f>
        <v>0</v>
      </c>
      <c r="W171" s="130">
        <f>IF(W166&gt;0,0,MAX(W162-W163-W164,0)*Premissas!$B$7)</f>
        <v>0</v>
      </c>
      <c r="X171" s="130">
        <f>IF(X166&gt;0,0,MAX(X162-X163-X164,0)*Premissas!$B$7)</f>
        <v>0</v>
      </c>
      <c r="Y171" s="130">
        <f>IF(Y166&gt;0,0,MAX(Y162-Y163-Y164,0)*Premissas!$B$7)</f>
        <v>0</v>
      </c>
      <c r="Z171" s="130">
        <f>IF(Z166&gt;0,0,MAX(Z162-Z163-Z164,0)*Premissas!$B$7)</f>
        <v>0</v>
      </c>
      <c r="AA171" s="130">
        <f>IF(AA166&gt;0,0,MAX(AA162-AA163-AA164,0)*Premissas!$B$7)</f>
        <v>0</v>
      </c>
    </row>
    <row r="172" spans="1:27" ht="13.5" customHeight="1" x14ac:dyDescent="0.35">
      <c r="A172" s="40" t="s">
        <v>308</v>
      </c>
      <c r="B172" s="43">
        <f>SUM(D172:AA172)</f>
        <v>11509.951383372974</v>
      </c>
      <c r="C172" s="110">
        <f>B172/24</f>
        <v>479.58130764054062</v>
      </c>
      <c r="D172" s="131">
        <f t="shared" ref="D172:AA172" si="85">MAX(D170-D171,0)</f>
        <v>254.51000283254481</v>
      </c>
      <c r="E172" s="131">
        <f t="shared" si="85"/>
        <v>1105.03615775294</v>
      </c>
      <c r="F172" s="131">
        <f t="shared" si="85"/>
        <v>1104.5875648401975</v>
      </c>
      <c r="G172" s="131">
        <f t="shared" si="85"/>
        <v>484.03175084153071</v>
      </c>
      <c r="H172" s="131">
        <f t="shared" si="85"/>
        <v>551.59258795707899</v>
      </c>
      <c r="I172" s="131">
        <f t="shared" si="85"/>
        <v>432.20425935563065</v>
      </c>
      <c r="J172" s="131">
        <f t="shared" si="85"/>
        <v>479.40429624457533</v>
      </c>
      <c r="K172" s="131">
        <f t="shared" si="85"/>
        <v>250.43784278722407</v>
      </c>
      <c r="L172" s="131">
        <f t="shared" si="85"/>
        <v>289.33159867463394</v>
      </c>
      <c r="M172" s="131">
        <f t="shared" si="85"/>
        <v>244.746073632969</v>
      </c>
      <c r="N172" s="131">
        <f t="shared" si="85"/>
        <v>245.69470182534482</v>
      </c>
      <c r="O172" s="131">
        <f t="shared" si="85"/>
        <v>258.02686832623084</v>
      </c>
      <c r="P172" s="131">
        <f t="shared" si="85"/>
        <v>260.87275290335845</v>
      </c>
      <c r="Q172" s="131">
        <f t="shared" si="85"/>
        <v>1132.6620616967634</v>
      </c>
      <c r="R172" s="131">
        <f t="shared" si="85"/>
        <v>1132.6620616967634</v>
      </c>
      <c r="S172" s="131">
        <f t="shared" si="85"/>
        <v>496.13254461256889</v>
      </c>
      <c r="T172" s="131">
        <f t="shared" si="85"/>
        <v>565.38240265600587</v>
      </c>
      <c r="U172" s="131">
        <f t="shared" si="85"/>
        <v>443.00936583952137</v>
      </c>
      <c r="V172" s="131">
        <f t="shared" si="85"/>
        <v>491.38940365068964</v>
      </c>
      <c r="W172" s="131">
        <f t="shared" si="85"/>
        <v>250.43784278722407</v>
      </c>
      <c r="X172" s="131">
        <f t="shared" si="85"/>
        <v>289.33159867463394</v>
      </c>
      <c r="Y172" s="131">
        <f t="shared" si="85"/>
        <v>244.746073632969</v>
      </c>
      <c r="Z172" s="131">
        <f t="shared" si="85"/>
        <v>245.69470182534482</v>
      </c>
      <c r="AA172" s="131">
        <f t="shared" si="85"/>
        <v>258.02686832623084</v>
      </c>
    </row>
    <row r="174" spans="1:27" ht="15" customHeight="1" x14ac:dyDescent="0.35">
      <c r="A174" s="229" t="s">
        <v>322</v>
      </c>
      <c r="B174" s="229"/>
      <c r="C174" s="229"/>
      <c r="D174" s="229"/>
      <c r="E174" s="229"/>
      <c r="F174" s="229"/>
      <c r="G174" s="229"/>
      <c r="H174" s="229"/>
      <c r="I174" s="229"/>
      <c r="J174" s="229"/>
      <c r="K174" s="229"/>
      <c r="L174" s="229"/>
      <c r="M174" s="229"/>
      <c r="N174" s="229"/>
      <c r="O174" s="229"/>
      <c r="P174" s="229"/>
      <c r="Q174" s="229"/>
      <c r="R174" s="229"/>
      <c r="S174" s="229"/>
      <c r="T174" s="229"/>
      <c r="U174" s="229"/>
      <c r="V174" s="229"/>
      <c r="W174" s="229"/>
      <c r="X174" s="229"/>
      <c r="Y174" s="229"/>
      <c r="Z174" s="229"/>
      <c r="AA174" s="229"/>
    </row>
    <row r="175" spans="1:27" ht="12.75" customHeight="1" x14ac:dyDescent="0.35">
      <c r="A175" s="132" t="s">
        <v>295</v>
      </c>
      <c r="B175" s="133">
        <f>SUM(D175:AA175)</f>
        <v>21330.475000000002</v>
      </c>
      <c r="C175" s="106">
        <f>B175/24</f>
        <v>888.76979166666672</v>
      </c>
      <c r="D175" s="133">
        <v>554</v>
      </c>
      <c r="E175" s="133">
        <v>475</v>
      </c>
      <c r="F175" s="133">
        <v>525</v>
      </c>
      <c r="G175" s="133">
        <v>750</v>
      </c>
      <c r="H175" s="133">
        <v>939</v>
      </c>
      <c r="I175" s="133">
        <v>900</v>
      </c>
      <c r="J175" s="133">
        <v>1260</v>
      </c>
      <c r="K175" s="133">
        <f>1140*(1+Premissas!$B$21)</f>
        <v>1168.5</v>
      </c>
      <c r="L175" s="133">
        <f>1100*(1+Premissas!$B$21)</f>
        <v>1127.5</v>
      </c>
      <c r="M175" s="133">
        <f>1180*(1+Premissas!$B$21)</f>
        <v>1209.5</v>
      </c>
      <c r="N175" s="133">
        <f>915*(1+Premissas!$B$21)</f>
        <v>937.87499999999989</v>
      </c>
      <c r="O175" s="133">
        <f>733*(1+Premissas!$B$21)</f>
        <v>751.32499999999993</v>
      </c>
      <c r="P175" s="133">
        <f>554*(1+Premissas!$B$21)</f>
        <v>567.84999999999991</v>
      </c>
      <c r="Q175" s="133">
        <f>475*(1+Premissas!$B$21)</f>
        <v>486.87499999999994</v>
      </c>
      <c r="R175" s="133">
        <f>525*(1+Premissas!$B$21)</f>
        <v>538.125</v>
      </c>
      <c r="S175" s="133">
        <f>750*(1+Premissas!$B$21)</f>
        <v>768.74999999999989</v>
      </c>
      <c r="T175" s="133">
        <f>939*(1+Premissas!$B$21)</f>
        <v>962.47499999999991</v>
      </c>
      <c r="U175" s="133">
        <f>900*(1+Premissas!$B$21)</f>
        <v>922.49999999999989</v>
      </c>
      <c r="V175" s="133">
        <f>1260*(1+Premissas!$B$21)</f>
        <v>1291.5</v>
      </c>
      <c r="W175" s="133">
        <f>1140*(1+Premissas!$B$21)</f>
        <v>1168.5</v>
      </c>
      <c r="X175" s="133">
        <f>1100*(1+Premissas!$B$21)</f>
        <v>1127.5</v>
      </c>
      <c r="Y175" s="133">
        <f>1180*(1+Premissas!$B$21)</f>
        <v>1209.5</v>
      </c>
      <c r="Z175" s="133">
        <f>915*(1+Premissas!$B$21)</f>
        <v>937.87499999999989</v>
      </c>
      <c r="AA175" s="133">
        <f>733*(1+Premissas!$B$21)</f>
        <v>751.32499999999993</v>
      </c>
    </row>
    <row r="176" spans="1:27" ht="12.75" customHeight="1" x14ac:dyDescent="0.35">
      <c r="A176" s="108" t="str">
        <f>"  "&amp;INDEX(PVSYST_Helexia!$A$5:$A$7,MATCH(Premissas!$B$13,PVSYST_Helexia!$B$5:$B$7,0))&amp;" créditos recebidos (kWh)"</f>
        <v xml:space="preserve">  HCS03 créditos recebidos (kWh)</v>
      </c>
      <c r="B176" s="121">
        <f>SUM(D176:AA176)</f>
        <v>28060.071834017428</v>
      </c>
      <c r="C176" s="106">
        <f>B176/24</f>
        <v>1169.1696597507262</v>
      </c>
      <c r="D176" s="122">
        <f>D6*Premissas!$B$45</f>
        <v>499.7394754575713</v>
      </c>
      <c r="E176" s="122">
        <f>E6*Premissas!$B$45</f>
        <v>526.01821874318591</v>
      </c>
      <c r="F176" s="122">
        <f>F6*Premissas!$B$45</f>
        <v>631.45563045356641</v>
      </c>
      <c r="G176" s="122">
        <f>G6*Premissas!$B$45</f>
        <v>592.5211733770268</v>
      </c>
      <c r="H176" s="122">
        <f>H6*Premissas!$C$45</f>
        <v>1720.9911443400331</v>
      </c>
      <c r="I176" s="122">
        <f>I6*Premissas!$C$45</f>
        <v>1664.0348581227961</v>
      </c>
      <c r="J176" s="122">
        <f>J6*Premissas!$C$45</f>
        <v>1580.0812922385887</v>
      </c>
      <c r="K176" s="122">
        <f>K6*Premissas!$C$45</f>
        <v>1622.3918390179253</v>
      </c>
      <c r="L176" s="122">
        <f>L6*Premissas!$C$45</f>
        <v>1445.6900870947072</v>
      </c>
      <c r="M176" s="122">
        <f>M6*Premissas!$C$45</f>
        <v>1658.2082300427728</v>
      </c>
      <c r="N176" s="122">
        <f>N6*Premissas!$D$45</f>
        <v>797.83168398626185</v>
      </c>
      <c r="O176" s="122">
        <f>O6*Premissas!$D$45</f>
        <v>746.67601497604528</v>
      </c>
      <c r="P176" s="122">
        <f>P6*Premissas!$D$45</f>
        <v>677.64865390777231</v>
      </c>
      <c r="Q176" s="122">
        <f>Q6*Premissas!$D$45</f>
        <v>713.28273103882054</v>
      </c>
      <c r="R176" s="122">
        <f>R6*Premissas!$D$45</f>
        <v>856.25626750327194</v>
      </c>
      <c r="S176" s="122">
        <f>S6*Premissas!$D$45</f>
        <v>803.46099371708704</v>
      </c>
      <c r="T176" s="122">
        <f>T6*Premissas!$E$45</f>
        <v>1533.3109200000001</v>
      </c>
      <c r="U176" s="122">
        <f>U6*Premissas!$E$45</f>
        <v>1482.5659200000002</v>
      </c>
      <c r="V176" s="122">
        <f>V6*Premissas!$E$45</f>
        <v>1407.7677900000003</v>
      </c>
      <c r="W176" s="122">
        <f>W6*Premissas!$E$45</f>
        <v>1452.72786</v>
      </c>
      <c r="X176" s="122">
        <f>X6*Premissas!$E$45</f>
        <v>1294.50495</v>
      </c>
      <c r="Y176" s="122">
        <f>Y6*Premissas!$E$45</f>
        <v>1484.7987000000001</v>
      </c>
      <c r="Z176" s="122">
        <f>Z6*Premissas!$E$45</f>
        <v>1481.5510200000001</v>
      </c>
      <c r="AA176" s="122">
        <f>AA6*Premissas!$E$45</f>
        <v>1386.55638</v>
      </c>
    </row>
    <row r="177" spans="1:27" ht="12.75" customHeight="1" x14ac:dyDescent="0.35">
      <c r="A177" s="112" t="s">
        <v>301</v>
      </c>
      <c r="B177" s="106">
        <f>AA177</f>
        <v>6148.6309559860838</v>
      </c>
      <c r="C177" s="106" t="s">
        <v>104</v>
      </c>
      <c r="D177" s="106">
        <f>0</f>
        <v>0</v>
      </c>
      <c r="E177" s="106">
        <f t="shared" ref="E177:AA177" si="86">D179</f>
        <v>0</v>
      </c>
      <c r="F177" s="106">
        <f t="shared" si="86"/>
        <v>51.018218743185912</v>
      </c>
      <c r="G177" s="106">
        <f t="shared" si="86"/>
        <v>157.47384919675233</v>
      </c>
      <c r="H177" s="106">
        <f t="shared" si="86"/>
        <v>0</v>
      </c>
      <c r="I177" s="106">
        <f t="shared" si="86"/>
        <v>781.99114434003309</v>
      </c>
      <c r="J177" s="106">
        <f t="shared" si="86"/>
        <v>1546.0260024628292</v>
      </c>
      <c r="K177" s="106">
        <f t="shared" si="86"/>
        <v>1866.1072947014179</v>
      </c>
      <c r="L177" s="106">
        <f t="shared" si="86"/>
        <v>2319.9991337193433</v>
      </c>
      <c r="M177" s="106">
        <f t="shared" si="86"/>
        <v>2638.1892208140507</v>
      </c>
      <c r="N177" s="106">
        <f t="shared" si="86"/>
        <v>3086.8974508568235</v>
      </c>
      <c r="O177" s="106">
        <f t="shared" si="86"/>
        <v>2946.8541348430854</v>
      </c>
      <c r="P177" s="106">
        <f t="shared" si="86"/>
        <v>2942.2051498191308</v>
      </c>
      <c r="Q177" s="106">
        <f t="shared" si="86"/>
        <v>3052.0038037269032</v>
      </c>
      <c r="R177" s="106">
        <f t="shared" si="86"/>
        <v>3278.4115347657239</v>
      </c>
      <c r="S177" s="106">
        <f t="shared" si="86"/>
        <v>3596.5428022689957</v>
      </c>
      <c r="T177" s="106">
        <f t="shared" si="86"/>
        <v>3631.2537959860829</v>
      </c>
      <c r="U177" s="106">
        <f t="shared" si="86"/>
        <v>4202.0897159860833</v>
      </c>
      <c r="V177" s="106">
        <f t="shared" si="86"/>
        <v>4762.1556359860833</v>
      </c>
      <c r="W177" s="106">
        <f t="shared" si="86"/>
        <v>4878.4234259860841</v>
      </c>
      <c r="X177" s="106">
        <f t="shared" si="86"/>
        <v>5162.6512859860841</v>
      </c>
      <c r="Y177" s="106">
        <f t="shared" si="86"/>
        <v>5329.6562359860836</v>
      </c>
      <c r="Z177" s="106">
        <f t="shared" si="86"/>
        <v>5604.9549359860839</v>
      </c>
      <c r="AA177" s="106">
        <f t="shared" si="86"/>
        <v>6148.6309559860838</v>
      </c>
    </row>
    <row r="178" spans="1:27" ht="12.75" customHeight="1" x14ac:dyDescent="0.35">
      <c r="A178" s="112" t="s">
        <v>302</v>
      </c>
      <c r="B178" s="106">
        <f>SUM(D178:AA178)</f>
        <v>302.16615023444501</v>
      </c>
      <c r="C178" s="106">
        <f>B178/24</f>
        <v>12.590256259768543</v>
      </c>
      <c r="D178" s="106">
        <f t="shared" ref="D178:AA178" si="87">MIN(D177,MAX(D175-D176,0))</f>
        <v>0</v>
      </c>
      <c r="E178" s="106">
        <f t="shared" si="87"/>
        <v>0</v>
      </c>
      <c r="F178" s="106">
        <f t="shared" si="87"/>
        <v>0</v>
      </c>
      <c r="G178" s="106">
        <f t="shared" si="87"/>
        <v>157.47384919675233</v>
      </c>
      <c r="H178" s="106">
        <f t="shared" si="87"/>
        <v>0</v>
      </c>
      <c r="I178" s="106">
        <f t="shared" si="87"/>
        <v>0</v>
      </c>
      <c r="J178" s="106">
        <f t="shared" si="87"/>
        <v>0</v>
      </c>
      <c r="K178" s="106">
        <f t="shared" si="87"/>
        <v>0</v>
      </c>
      <c r="L178" s="106">
        <f t="shared" si="87"/>
        <v>0</v>
      </c>
      <c r="M178" s="106">
        <f t="shared" si="87"/>
        <v>0</v>
      </c>
      <c r="N178" s="106">
        <f t="shared" si="87"/>
        <v>140.04331601373804</v>
      </c>
      <c r="O178" s="106">
        <f t="shared" si="87"/>
        <v>4.6489850239546513</v>
      </c>
      <c r="P178" s="106">
        <f t="shared" si="87"/>
        <v>0</v>
      </c>
      <c r="Q178" s="106">
        <f t="shared" si="87"/>
        <v>0</v>
      </c>
      <c r="R178" s="106">
        <f t="shared" si="87"/>
        <v>0</v>
      </c>
      <c r="S178" s="106">
        <f t="shared" si="87"/>
        <v>0</v>
      </c>
      <c r="T178" s="106">
        <f t="shared" si="87"/>
        <v>0</v>
      </c>
      <c r="U178" s="106">
        <f t="shared" si="87"/>
        <v>0</v>
      </c>
      <c r="V178" s="106">
        <f t="shared" si="87"/>
        <v>0</v>
      </c>
      <c r="W178" s="106">
        <f t="shared" si="87"/>
        <v>0</v>
      </c>
      <c r="X178" s="106">
        <f t="shared" si="87"/>
        <v>0</v>
      </c>
      <c r="Y178" s="106">
        <f t="shared" si="87"/>
        <v>0</v>
      </c>
      <c r="Z178" s="106">
        <f t="shared" si="87"/>
        <v>0</v>
      </c>
      <c r="AA178" s="106">
        <f t="shared" si="87"/>
        <v>0</v>
      </c>
    </row>
    <row r="179" spans="1:27" ht="13.5" customHeight="1" x14ac:dyDescent="0.35">
      <c r="A179" s="40" t="s">
        <v>303</v>
      </c>
      <c r="B179" s="42">
        <f>AA179</f>
        <v>6783.862335986084</v>
      </c>
      <c r="C179" s="106" t="s">
        <v>104</v>
      </c>
      <c r="D179" s="123">
        <f t="shared" ref="D179:AA179" si="88">MAX(D177-D178,0)+MAX(D176-D175,0)</f>
        <v>0</v>
      </c>
      <c r="E179" s="123">
        <f t="shared" si="88"/>
        <v>51.018218743185912</v>
      </c>
      <c r="F179" s="123">
        <f t="shared" si="88"/>
        <v>157.47384919675233</v>
      </c>
      <c r="G179" s="123">
        <f t="shared" si="88"/>
        <v>0</v>
      </c>
      <c r="H179" s="123">
        <f t="shared" si="88"/>
        <v>781.99114434003309</v>
      </c>
      <c r="I179" s="123">
        <f t="shared" si="88"/>
        <v>1546.0260024628292</v>
      </c>
      <c r="J179" s="123">
        <f t="shared" si="88"/>
        <v>1866.1072947014179</v>
      </c>
      <c r="K179" s="123">
        <f t="shared" si="88"/>
        <v>2319.9991337193433</v>
      </c>
      <c r="L179" s="123">
        <f t="shared" si="88"/>
        <v>2638.1892208140507</v>
      </c>
      <c r="M179" s="123">
        <f t="shared" si="88"/>
        <v>3086.8974508568235</v>
      </c>
      <c r="N179" s="123">
        <f t="shared" si="88"/>
        <v>2946.8541348430854</v>
      </c>
      <c r="O179" s="123">
        <f t="shared" si="88"/>
        <v>2942.2051498191308</v>
      </c>
      <c r="P179" s="123">
        <f t="shared" si="88"/>
        <v>3052.0038037269032</v>
      </c>
      <c r="Q179" s="123">
        <f t="shared" si="88"/>
        <v>3278.4115347657239</v>
      </c>
      <c r="R179" s="123">
        <f t="shared" si="88"/>
        <v>3596.5428022689957</v>
      </c>
      <c r="S179" s="123">
        <f t="shared" si="88"/>
        <v>3631.2537959860829</v>
      </c>
      <c r="T179" s="123">
        <f t="shared" si="88"/>
        <v>4202.0897159860833</v>
      </c>
      <c r="U179" s="123">
        <f t="shared" si="88"/>
        <v>4762.1556359860833</v>
      </c>
      <c r="V179" s="123">
        <f t="shared" si="88"/>
        <v>4878.4234259860841</v>
      </c>
      <c r="W179" s="123">
        <f t="shared" si="88"/>
        <v>5162.6512859860841</v>
      </c>
      <c r="X179" s="123">
        <f t="shared" si="88"/>
        <v>5329.6562359860836</v>
      </c>
      <c r="Y179" s="123">
        <f t="shared" si="88"/>
        <v>5604.9549359860839</v>
      </c>
      <c r="Z179" s="123">
        <f t="shared" si="88"/>
        <v>6148.6309559860838</v>
      </c>
      <c r="AA179" s="123">
        <f t="shared" si="88"/>
        <v>6783.862335986084</v>
      </c>
    </row>
    <row r="180" spans="1:27" ht="12.75" customHeight="1" x14ac:dyDescent="0.35">
      <c r="A180" s="113" t="s">
        <v>304</v>
      </c>
      <c r="B180" s="114">
        <f>AA180</f>
        <v>0</v>
      </c>
      <c r="C180" s="106" t="s">
        <v>104</v>
      </c>
      <c r="D180" s="114">
        <f>0</f>
        <v>0</v>
      </c>
      <c r="E180" s="114">
        <f t="shared" ref="E180:AA180" si="89">D182</f>
        <v>0</v>
      </c>
      <c r="F180" s="114">
        <f t="shared" si="89"/>
        <v>0</v>
      </c>
      <c r="G180" s="114">
        <f t="shared" si="89"/>
        <v>0</v>
      </c>
      <c r="H180" s="114">
        <f t="shared" si="89"/>
        <v>0</v>
      </c>
      <c r="I180" s="114">
        <f t="shared" si="89"/>
        <v>0</v>
      </c>
      <c r="J180" s="114">
        <f t="shared" si="89"/>
        <v>0</v>
      </c>
      <c r="K180" s="114">
        <f t="shared" si="89"/>
        <v>0</v>
      </c>
      <c r="L180" s="114">
        <f t="shared" si="89"/>
        <v>0</v>
      </c>
      <c r="M180" s="114">
        <f t="shared" si="89"/>
        <v>0</v>
      </c>
      <c r="N180" s="114">
        <f t="shared" si="89"/>
        <v>0</v>
      </c>
      <c r="O180" s="114">
        <f t="shared" si="89"/>
        <v>0</v>
      </c>
      <c r="P180" s="114">
        <f t="shared" si="89"/>
        <v>0</v>
      </c>
      <c r="Q180" s="114">
        <f t="shared" si="89"/>
        <v>0</v>
      </c>
      <c r="R180" s="114">
        <f t="shared" si="89"/>
        <v>0</v>
      </c>
      <c r="S180" s="114">
        <f t="shared" si="89"/>
        <v>0</v>
      </c>
      <c r="T180" s="114">
        <f t="shared" si="89"/>
        <v>0</v>
      </c>
      <c r="U180" s="114">
        <f t="shared" si="89"/>
        <v>0</v>
      </c>
      <c r="V180" s="114">
        <f t="shared" si="89"/>
        <v>0</v>
      </c>
      <c r="W180" s="114">
        <f t="shared" si="89"/>
        <v>0</v>
      </c>
      <c r="X180" s="114">
        <f t="shared" si="89"/>
        <v>0</v>
      </c>
      <c r="Y180" s="114">
        <f t="shared" si="89"/>
        <v>0</v>
      </c>
      <c r="Z180" s="114">
        <f t="shared" si="89"/>
        <v>0</v>
      </c>
      <c r="AA180" s="114">
        <f t="shared" si="89"/>
        <v>0</v>
      </c>
    </row>
    <row r="181" spans="1:27" ht="12.75" customHeight="1" x14ac:dyDescent="0.35">
      <c r="A181" s="113" t="s">
        <v>312</v>
      </c>
      <c r="B181" s="114">
        <f>SUM(D181:AA181)</f>
        <v>0</v>
      </c>
      <c r="C181" s="106">
        <f>B181/24</f>
        <v>0</v>
      </c>
      <c r="D181" s="114">
        <f t="shared" ref="D181:AA181" si="90">MIN(D180,D175)</f>
        <v>0</v>
      </c>
      <c r="E181" s="114">
        <f t="shared" si="90"/>
        <v>0</v>
      </c>
      <c r="F181" s="114">
        <f t="shared" si="90"/>
        <v>0</v>
      </c>
      <c r="G181" s="114">
        <f t="shared" si="90"/>
        <v>0</v>
      </c>
      <c r="H181" s="114">
        <f t="shared" si="90"/>
        <v>0</v>
      </c>
      <c r="I181" s="114">
        <f t="shared" si="90"/>
        <v>0</v>
      </c>
      <c r="J181" s="114">
        <f t="shared" si="90"/>
        <v>0</v>
      </c>
      <c r="K181" s="114">
        <f t="shared" si="90"/>
        <v>0</v>
      </c>
      <c r="L181" s="114">
        <f t="shared" si="90"/>
        <v>0</v>
      </c>
      <c r="M181" s="114">
        <f t="shared" si="90"/>
        <v>0</v>
      </c>
      <c r="N181" s="114">
        <f t="shared" si="90"/>
        <v>0</v>
      </c>
      <c r="O181" s="114">
        <f t="shared" si="90"/>
        <v>0</v>
      </c>
      <c r="P181" s="114">
        <f t="shared" si="90"/>
        <v>0</v>
      </c>
      <c r="Q181" s="114">
        <f t="shared" si="90"/>
        <v>0</v>
      </c>
      <c r="R181" s="114">
        <f t="shared" si="90"/>
        <v>0</v>
      </c>
      <c r="S181" s="114">
        <f t="shared" si="90"/>
        <v>0</v>
      </c>
      <c r="T181" s="114">
        <f t="shared" si="90"/>
        <v>0</v>
      </c>
      <c r="U181" s="114">
        <f t="shared" si="90"/>
        <v>0</v>
      </c>
      <c r="V181" s="114">
        <f t="shared" si="90"/>
        <v>0</v>
      </c>
      <c r="W181" s="114">
        <f t="shared" si="90"/>
        <v>0</v>
      </c>
      <c r="X181" s="114">
        <f t="shared" si="90"/>
        <v>0</v>
      </c>
      <c r="Y181" s="114">
        <f t="shared" si="90"/>
        <v>0</v>
      </c>
      <c r="Z181" s="114">
        <f t="shared" si="90"/>
        <v>0</v>
      </c>
      <c r="AA181" s="114">
        <f t="shared" si="90"/>
        <v>0</v>
      </c>
    </row>
    <row r="182" spans="1:27" ht="12.75" customHeight="1" x14ac:dyDescent="0.35">
      <c r="A182" s="113" t="s">
        <v>313</v>
      </c>
      <c r="B182" s="114">
        <f>AA182</f>
        <v>0</v>
      </c>
      <c r="C182" s="106" t="s">
        <v>104</v>
      </c>
      <c r="D182" s="134">
        <f t="shared" ref="D182:AA182" si="91">MAX(D180-D181,0)</f>
        <v>0</v>
      </c>
      <c r="E182" s="134">
        <f t="shared" si="91"/>
        <v>0</v>
      </c>
      <c r="F182" s="134">
        <f t="shared" si="91"/>
        <v>0</v>
      </c>
      <c r="G182" s="134">
        <f t="shared" si="91"/>
        <v>0</v>
      </c>
      <c r="H182" s="134">
        <f t="shared" si="91"/>
        <v>0</v>
      </c>
      <c r="I182" s="134">
        <f t="shared" si="91"/>
        <v>0</v>
      </c>
      <c r="J182" s="134">
        <f t="shared" si="91"/>
        <v>0</v>
      </c>
      <c r="K182" s="134">
        <f t="shared" si="91"/>
        <v>0</v>
      </c>
      <c r="L182" s="134">
        <f t="shared" si="91"/>
        <v>0</v>
      </c>
      <c r="M182" s="134">
        <f t="shared" si="91"/>
        <v>0</v>
      </c>
      <c r="N182" s="134">
        <f t="shared" si="91"/>
        <v>0</v>
      </c>
      <c r="O182" s="134">
        <f t="shared" si="91"/>
        <v>0</v>
      </c>
      <c r="P182" s="134">
        <f t="shared" si="91"/>
        <v>0</v>
      </c>
      <c r="Q182" s="134">
        <f t="shared" si="91"/>
        <v>0</v>
      </c>
      <c r="R182" s="134">
        <f t="shared" si="91"/>
        <v>0</v>
      </c>
      <c r="S182" s="134">
        <f t="shared" si="91"/>
        <v>0</v>
      </c>
      <c r="T182" s="134">
        <f t="shared" si="91"/>
        <v>0</v>
      </c>
      <c r="U182" s="134">
        <f t="shared" si="91"/>
        <v>0</v>
      </c>
      <c r="V182" s="134">
        <f t="shared" si="91"/>
        <v>0</v>
      </c>
      <c r="W182" s="134">
        <f t="shared" si="91"/>
        <v>0</v>
      </c>
      <c r="X182" s="134">
        <f t="shared" si="91"/>
        <v>0</v>
      </c>
      <c r="Y182" s="134">
        <f t="shared" si="91"/>
        <v>0</v>
      </c>
      <c r="Z182" s="134">
        <f t="shared" si="91"/>
        <v>0</v>
      </c>
      <c r="AA182" s="134">
        <f t="shared" si="91"/>
        <v>0</v>
      </c>
    </row>
    <row r="183" spans="1:27" ht="12.75" customHeight="1" x14ac:dyDescent="0.35">
      <c r="A183" s="125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83" s="128">
        <f>SUM(D183:AA183)</f>
        <v>19741.160918798279</v>
      </c>
      <c r="C183" s="110">
        <f>B183/24</f>
        <v>822.54837161659498</v>
      </c>
      <c r="D183" s="128">
        <f>D175*Premissas!$F$19</f>
        <v>512.72196934265389</v>
      </c>
      <c r="E183" s="128">
        <f>E175*Premissas!$F$19</f>
        <v>439.60818671075924</v>
      </c>
      <c r="F183" s="128">
        <f>F175*Premissas!$F$19</f>
        <v>485.88273268031287</v>
      </c>
      <c r="G183" s="128">
        <f>G175*Premissas!$F$19</f>
        <v>694.11818954330408</v>
      </c>
      <c r="H183" s="128">
        <f>H175*Premissas!$F$19</f>
        <v>869.03597330821674</v>
      </c>
      <c r="I183" s="128">
        <f>I175*Premissas!$F$19</f>
        <v>832.94182745196485</v>
      </c>
      <c r="J183" s="128">
        <f>J175*Premissas!$F$19</f>
        <v>1166.1185584327509</v>
      </c>
      <c r="K183" s="128">
        <f>K175*Premissas!$F$19</f>
        <v>1081.4361393084678</v>
      </c>
      <c r="L183" s="128">
        <f>L175*Premissas!$F$19</f>
        <v>1043.4910116134338</v>
      </c>
      <c r="M183" s="128">
        <f>M175*Premissas!$F$19</f>
        <v>1119.3812670035018</v>
      </c>
      <c r="N183" s="128">
        <f>N175*Premissas!$F$19</f>
        <v>867.99479602390159</v>
      </c>
      <c r="O183" s="128">
        <f>O175*Premissas!$F$19</f>
        <v>695.34446501149716</v>
      </c>
      <c r="P183" s="128">
        <f>P175*Premissas!$F$19</f>
        <v>525.54001857622018</v>
      </c>
      <c r="Q183" s="128">
        <f>Q175*Premissas!$F$19</f>
        <v>450.59839137852816</v>
      </c>
      <c r="R183" s="128">
        <f>R175*Premissas!$F$19</f>
        <v>498.02980099732065</v>
      </c>
      <c r="S183" s="128">
        <f>S175*Premissas!$F$19</f>
        <v>711.47114428188661</v>
      </c>
      <c r="T183" s="128">
        <f>T175*Premissas!$F$19</f>
        <v>890.76187264092198</v>
      </c>
      <c r="U183" s="128">
        <f>U175*Premissas!$F$19</f>
        <v>853.76537313826384</v>
      </c>
      <c r="V183" s="128">
        <f>V175*Premissas!$F$19</f>
        <v>1195.2715223935695</v>
      </c>
      <c r="W183" s="128">
        <f>W175*Premissas!$F$19</f>
        <v>1081.4361393084678</v>
      </c>
      <c r="X183" s="128">
        <f>X175*Premissas!$F$19</f>
        <v>1043.4910116134338</v>
      </c>
      <c r="Y183" s="128">
        <f>Y175*Premissas!$F$19</f>
        <v>1119.3812670035018</v>
      </c>
      <c r="Z183" s="128">
        <f>Z175*Premissas!$F$19</f>
        <v>867.99479602390159</v>
      </c>
      <c r="AA183" s="128">
        <f>AA175*Premissas!$F$19</f>
        <v>695.34446501149716</v>
      </c>
    </row>
    <row r="184" spans="1:27" ht="12.75" customHeight="1" x14ac:dyDescent="0.35">
      <c r="A184" s="129" t="s">
        <v>307</v>
      </c>
      <c r="B184" s="130">
        <f>SUM(D184:AA184)</f>
        <v>62.777786635229404</v>
      </c>
      <c r="C184" s="110">
        <f>B184/24</f>
        <v>2.6157411098012253</v>
      </c>
      <c r="D184" s="130">
        <f>IF(D179&gt;0,0,MAX(D175-D176-D177,0)*Premissas!$B$7)</f>
        <v>62.772028431767701</v>
      </c>
      <c r="E184" s="130">
        <f>IF(E179&gt;0,0,MAX(E175-E176-E177,0)*Premissas!$B$7)</f>
        <v>0</v>
      </c>
      <c r="F184" s="130">
        <f>IF(F179&gt;0,0,MAX(F175-F176-F177,0)*Premissas!$B$7)</f>
        <v>0</v>
      </c>
      <c r="G184" s="130">
        <f>IF(G179&gt;0,0,MAX(G175-G176-G177,0)*Premissas!$B$7)</f>
        <v>5.7582034616993662E-3</v>
      </c>
      <c r="H184" s="130">
        <f>IF(H179&gt;0,0,MAX(H175-H176-H177,0)*Premissas!$B$7)</f>
        <v>0</v>
      </c>
      <c r="I184" s="130">
        <f>IF(I179&gt;0,0,MAX(I175-I176-I177,0)*Premissas!$B$7)</f>
        <v>0</v>
      </c>
      <c r="J184" s="130">
        <f>IF(J179&gt;0,0,MAX(J175-J176-J177,0)*Premissas!$B$7)</f>
        <v>0</v>
      </c>
      <c r="K184" s="130">
        <f>IF(K179&gt;0,0,MAX(K175-K176-K177,0)*Premissas!$B$7)</f>
        <v>0</v>
      </c>
      <c r="L184" s="130">
        <f>IF(L179&gt;0,0,MAX(L175-L176-L177,0)*Premissas!$B$7)</f>
        <v>0</v>
      </c>
      <c r="M184" s="130">
        <f>IF(M179&gt;0,0,MAX(M175-M176-M177,0)*Premissas!$B$7)</f>
        <v>0</v>
      </c>
      <c r="N184" s="130">
        <f>IF(N179&gt;0,0,MAX(N175-N176-N177,0)*Premissas!$B$7)</f>
        <v>0</v>
      </c>
      <c r="O184" s="130">
        <f>IF(O179&gt;0,0,MAX(O175-O176-O177,0)*Premissas!$B$7)</f>
        <v>0</v>
      </c>
      <c r="P184" s="130">
        <f>IF(P179&gt;0,0,MAX(P175-P176-P177,0)*Premissas!$B$7)</f>
        <v>0</v>
      </c>
      <c r="Q184" s="130">
        <f>IF(Q179&gt;0,0,MAX(Q175-Q176-Q177,0)*Premissas!$B$7)</f>
        <v>0</v>
      </c>
      <c r="R184" s="130">
        <f>IF(R179&gt;0,0,MAX(R175-R176-R177,0)*Premissas!$B$7)</f>
        <v>0</v>
      </c>
      <c r="S184" s="130">
        <f>IF(S179&gt;0,0,MAX(S175-S176-S177,0)*Premissas!$B$7)</f>
        <v>0</v>
      </c>
      <c r="T184" s="130">
        <f>IF(T179&gt;0,0,MAX(T175-T176-T177,0)*Premissas!$B$7)</f>
        <v>0</v>
      </c>
      <c r="U184" s="130">
        <f>IF(U179&gt;0,0,MAX(U175-U176-U177,0)*Premissas!$B$7)</f>
        <v>0</v>
      </c>
      <c r="V184" s="130">
        <f>IF(V179&gt;0,0,MAX(V175-V176-V177,0)*Premissas!$B$7)</f>
        <v>0</v>
      </c>
      <c r="W184" s="130">
        <f>IF(W179&gt;0,0,MAX(W175-W176-W177,0)*Premissas!$B$7)</f>
        <v>0</v>
      </c>
      <c r="X184" s="130">
        <f>IF(X179&gt;0,0,MAX(X175-X176-X177,0)*Premissas!$B$7)</f>
        <v>0</v>
      </c>
      <c r="Y184" s="130">
        <f>IF(Y179&gt;0,0,MAX(Y175-Y176-Y177,0)*Premissas!$B$7)</f>
        <v>0</v>
      </c>
      <c r="Z184" s="130">
        <f>IF(Z179&gt;0,0,MAX(Z175-Z176-Z177,0)*Premissas!$B$7)</f>
        <v>0</v>
      </c>
      <c r="AA184" s="130">
        <f>IF(AA179&gt;0,0,MAX(AA175-AA176-AA177,0)*Premissas!$B$7)</f>
        <v>0</v>
      </c>
    </row>
    <row r="185" spans="1:27" ht="13.5" customHeight="1" x14ac:dyDescent="0.35">
      <c r="A185" s="40" t="s">
        <v>308</v>
      </c>
      <c r="B185" s="43">
        <f>SUM(D185:AA185)</f>
        <v>19678.38313216305</v>
      </c>
      <c r="C185" s="110">
        <f>B185/24</f>
        <v>819.93263050679377</v>
      </c>
      <c r="D185" s="131">
        <f t="shared" ref="D185:AA185" si="92">MAX(D183-D184,0)</f>
        <v>449.9499409108862</v>
      </c>
      <c r="E185" s="131">
        <f t="shared" si="92"/>
        <v>439.60818671075924</v>
      </c>
      <c r="F185" s="131">
        <f t="shared" si="92"/>
        <v>485.88273268031287</v>
      </c>
      <c r="G185" s="131">
        <f t="shared" si="92"/>
        <v>694.11243133984237</v>
      </c>
      <c r="H185" s="131">
        <f t="shared" si="92"/>
        <v>869.03597330821674</v>
      </c>
      <c r="I185" s="131">
        <f t="shared" si="92"/>
        <v>832.94182745196485</v>
      </c>
      <c r="J185" s="131">
        <f t="shared" si="92"/>
        <v>1166.1185584327509</v>
      </c>
      <c r="K185" s="131">
        <f t="shared" si="92"/>
        <v>1081.4361393084678</v>
      </c>
      <c r="L185" s="131">
        <f t="shared" si="92"/>
        <v>1043.4910116134338</v>
      </c>
      <c r="M185" s="131">
        <f t="shared" si="92"/>
        <v>1119.3812670035018</v>
      </c>
      <c r="N185" s="131">
        <f t="shared" si="92"/>
        <v>867.99479602390159</v>
      </c>
      <c r="O185" s="131">
        <f t="shared" si="92"/>
        <v>695.34446501149716</v>
      </c>
      <c r="P185" s="131">
        <f t="shared" si="92"/>
        <v>525.54001857622018</v>
      </c>
      <c r="Q185" s="131">
        <f t="shared" si="92"/>
        <v>450.59839137852816</v>
      </c>
      <c r="R185" s="131">
        <f t="shared" si="92"/>
        <v>498.02980099732065</v>
      </c>
      <c r="S185" s="131">
        <f t="shared" si="92"/>
        <v>711.47114428188661</v>
      </c>
      <c r="T185" s="131">
        <f t="shared" si="92"/>
        <v>890.76187264092198</v>
      </c>
      <c r="U185" s="131">
        <f t="shared" si="92"/>
        <v>853.76537313826384</v>
      </c>
      <c r="V185" s="131">
        <f t="shared" si="92"/>
        <v>1195.2715223935695</v>
      </c>
      <c r="W185" s="131">
        <f t="shared" si="92"/>
        <v>1081.4361393084678</v>
      </c>
      <c r="X185" s="131">
        <f t="shared" si="92"/>
        <v>1043.4910116134338</v>
      </c>
      <c r="Y185" s="131">
        <f t="shared" si="92"/>
        <v>1119.3812670035018</v>
      </c>
      <c r="Z185" s="131">
        <f t="shared" si="92"/>
        <v>867.99479602390159</v>
      </c>
      <c r="AA185" s="131">
        <f t="shared" si="92"/>
        <v>695.34446501149716</v>
      </c>
    </row>
    <row r="187" spans="1:27" ht="15" customHeight="1" x14ac:dyDescent="0.35">
      <c r="A187" s="229" t="s">
        <v>323</v>
      </c>
      <c r="B187" s="229"/>
      <c r="C187" s="229"/>
      <c r="D187" s="229"/>
      <c r="E187" s="229"/>
      <c r="F187" s="229"/>
      <c r="G187" s="229"/>
      <c r="H187" s="229"/>
      <c r="I187" s="229"/>
      <c r="J187" s="229"/>
      <c r="K187" s="229"/>
      <c r="L187" s="229"/>
      <c r="M187" s="229"/>
      <c r="N187" s="229"/>
      <c r="O187" s="229"/>
      <c r="P187" s="229"/>
      <c r="Q187" s="229"/>
      <c r="R187" s="229"/>
      <c r="S187" s="229"/>
      <c r="T187" s="229"/>
      <c r="U187" s="229"/>
      <c r="V187" s="229"/>
      <c r="W187" s="229"/>
      <c r="X187" s="229"/>
      <c r="Y187" s="229"/>
      <c r="Z187" s="229"/>
      <c r="AA187" s="229"/>
    </row>
    <row r="188" spans="1:27" ht="12.75" customHeight="1" x14ac:dyDescent="0.35">
      <c r="A188" s="132" t="s">
        <v>295</v>
      </c>
      <c r="B188" s="133">
        <f>SUM(D188:AA188)</f>
        <v>63381.225000000006</v>
      </c>
      <c r="C188" s="106">
        <f>B188/24</f>
        <v>2640.8843750000001</v>
      </c>
      <c r="D188" s="133">
        <v>1737</v>
      </c>
      <c r="E188" s="133">
        <v>1294</v>
      </c>
      <c r="F188" s="133">
        <v>2459</v>
      </c>
      <c r="G188" s="133">
        <v>7235</v>
      </c>
      <c r="H188" s="133">
        <v>5439</v>
      </c>
      <c r="I188" s="133">
        <v>4046</v>
      </c>
      <c r="J188" s="133">
        <v>4877</v>
      </c>
      <c r="K188" s="133">
        <f>0*(1+Premissas!$B$21)</f>
        <v>0</v>
      </c>
      <c r="L188" s="133">
        <f>875*(1+Premissas!$B$21)</f>
        <v>896.87499999999989</v>
      </c>
      <c r="M188" s="133">
        <f>1347*(1+Premissas!$B$21)</f>
        <v>1380.675</v>
      </c>
      <c r="N188" s="133">
        <f>1107*(1+Premissas!$B$21)</f>
        <v>1134.675</v>
      </c>
      <c r="O188" s="133">
        <f>832*(1+Premissas!$B$21)</f>
        <v>852.8</v>
      </c>
      <c r="P188" s="133">
        <f>1737*(1+Premissas!$B$21)</f>
        <v>1780.425</v>
      </c>
      <c r="Q188" s="133">
        <f>1294*(1+Premissas!$B$21)</f>
        <v>1326.35</v>
      </c>
      <c r="R188" s="133">
        <f>2459*(1+Premissas!$B$21)</f>
        <v>2520.4749999999999</v>
      </c>
      <c r="S188" s="133">
        <f>7235*(1+Premissas!$B$21)</f>
        <v>7415.8749999999991</v>
      </c>
      <c r="T188" s="133">
        <f>5439*(1+Premissas!$B$21)</f>
        <v>5574.9749999999995</v>
      </c>
      <c r="U188" s="133">
        <f>4046*(1+Premissas!$B$21)</f>
        <v>4147.1499999999996</v>
      </c>
      <c r="V188" s="133">
        <f>4877*(1+Premissas!$B$21)</f>
        <v>4998.9249999999993</v>
      </c>
      <c r="W188" s="133">
        <f>0*(1+Premissas!$B$21)</f>
        <v>0</v>
      </c>
      <c r="X188" s="133">
        <f>875*(1+Premissas!$B$21)</f>
        <v>896.87499999999989</v>
      </c>
      <c r="Y188" s="133">
        <f>1347*(1+Premissas!$B$21)</f>
        <v>1380.675</v>
      </c>
      <c r="Z188" s="133">
        <f>1107*(1+Premissas!$B$21)</f>
        <v>1134.675</v>
      </c>
      <c r="AA188" s="133">
        <f>832*(1+Premissas!$B$21)</f>
        <v>852.8</v>
      </c>
    </row>
    <row r="189" spans="1:27" ht="12.75" customHeight="1" x14ac:dyDescent="0.35">
      <c r="A189" s="108" t="str">
        <f>"  "&amp;INDEX(PVSYST_Helexia!$A$5:$A$7,MATCH(Premissas!$B$13,PVSYST_Helexia!$B$5:$B$7,0))&amp;" créditos recebidos (kWh)"</f>
        <v xml:space="preserve">  HCS03 créditos recebidos (kWh)</v>
      </c>
      <c r="B189" s="121">
        <f>SUM(D189:AA189)</f>
        <v>96273.21416175706</v>
      </c>
      <c r="C189" s="106">
        <f>B189/24</f>
        <v>4011.383923406544</v>
      </c>
      <c r="D189" s="122">
        <f>D6*Premissas!$B$46</f>
        <v>2826.6342632937585</v>
      </c>
      <c r="E189" s="122">
        <f>E6*Premissas!$B$46</f>
        <v>2975.2725034476039</v>
      </c>
      <c r="F189" s="122">
        <f>F6*Premissas!$B$46</f>
        <v>3571.6492461507632</v>
      </c>
      <c r="G189" s="122">
        <f>G6*Premissas!$B$46</f>
        <v>3351.4275590516609</v>
      </c>
      <c r="H189" s="122">
        <f>H6*Premissas!$C$46</f>
        <v>7298.8506863366056</v>
      </c>
      <c r="I189" s="122">
        <f>I6*Premissas!$C$46</f>
        <v>7057.2948653696803</v>
      </c>
      <c r="J189" s="122">
        <f>J6*Premissas!$C$46</f>
        <v>6701.2415852644335</v>
      </c>
      <c r="K189" s="122">
        <f>K6*Premissas!$C$46</f>
        <v>6880.6837424279229</v>
      </c>
      <c r="L189" s="122">
        <f>L6*Premissas!$C$46</f>
        <v>6131.2785479019258</v>
      </c>
      <c r="M189" s="122">
        <f>M6*Premissas!$C$46</f>
        <v>7032.5837048847643</v>
      </c>
      <c r="N189" s="122">
        <f>N6*Premissas!$D$46</f>
        <v>2129.092345664395</v>
      </c>
      <c r="O189" s="122">
        <f>O6*Premissas!$D$46</f>
        <v>1992.5784098141498</v>
      </c>
      <c r="P189" s="122">
        <f>P6*Premissas!$D$46</f>
        <v>1808.3721053495569</v>
      </c>
      <c r="Q189" s="122">
        <f>Q6*Premissas!$D$46</f>
        <v>1903.4651461341289</v>
      </c>
      <c r="R189" s="122">
        <f>R6*Premissas!$D$46</f>
        <v>2285.0040950489156</v>
      </c>
      <c r="S189" s="122">
        <f>S6*Premissas!$D$46</f>
        <v>2144.1147125368043</v>
      </c>
      <c r="T189" s="122">
        <f>T6*Premissas!$E$46</f>
        <v>4016.1247078334127</v>
      </c>
      <c r="U189" s="122">
        <f>U6*Premissas!$E$46</f>
        <v>3883.210863915177</v>
      </c>
      <c r="V189" s="122">
        <f>V6*Premissas!$E$46</f>
        <v>3687.2958579796973</v>
      </c>
      <c r="W189" s="122">
        <f>W6*Premissas!$E$46</f>
        <v>3805.0575236912537</v>
      </c>
      <c r="X189" s="122">
        <f>X6*Premissas!$E$46</f>
        <v>3390.6321583541949</v>
      </c>
      <c r="Y189" s="122">
        <f>Y6*Premissas!$E$46</f>
        <v>3889.0590730475792</v>
      </c>
      <c r="Z189" s="122">
        <f>Z6*Premissas!$E$46</f>
        <v>3880.5525870368119</v>
      </c>
      <c r="AA189" s="122">
        <f>AA6*Premissas!$E$46</f>
        <v>3631.7378712218742</v>
      </c>
    </row>
    <row r="190" spans="1:27" ht="12.75" customHeight="1" x14ac:dyDescent="0.35">
      <c r="A190" s="112" t="s">
        <v>301</v>
      </c>
      <c r="B190" s="106">
        <f>AA190</f>
        <v>30113.06771859141</v>
      </c>
      <c r="C190" s="106" t="s">
        <v>104</v>
      </c>
      <c r="D190" s="106">
        <f>0</f>
        <v>0</v>
      </c>
      <c r="E190" s="106">
        <f t="shared" ref="E190:AA190" si="93">D192</f>
        <v>1089.6342632937585</v>
      </c>
      <c r="F190" s="106">
        <f t="shared" si="93"/>
        <v>2770.9067667413624</v>
      </c>
      <c r="G190" s="106">
        <f t="shared" si="93"/>
        <v>3883.5560128921256</v>
      </c>
      <c r="H190" s="106">
        <f t="shared" si="93"/>
        <v>0</v>
      </c>
      <c r="I190" s="106">
        <f t="shared" si="93"/>
        <v>1859.8506863366056</v>
      </c>
      <c r="J190" s="106">
        <f t="shared" si="93"/>
        <v>4871.1455517062859</v>
      </c>
      <c r="K190" s="106">
        <f t="shared" si="93"/>
        <v>6695.3871369707194</v>
      </c>
      <c r="L190" s="106">
        <f t="shared" si="93"/>
        <v>13576.070879398641</v>
      </c>
      <c r="M190" s="106">
        <f t="shared" si="93"/>
        <v>18810.474427300567</v>
      </c>
      <c r="N190" s="106">
        <f t="shared" si="93"/>
        <v>24462.383132185332</v>
      </c>
      <c r="O190" s="106">
        <f t="shared" si="93"/>
        <v>25456.800477849727</v>
      </c>
      <c r="P190" s="106">
        <f t="shared" si="93"/>
        <v>26596.578887663876</v>
      </c>
      <c r="Q190" s="106">
        <f t="shared" si="93"/>
        <v>26624.525993013434</v>
      </c>
      <c r="R190" s="106">
        <f t="shared" si="93"/>
        <v>27201.641139147563</v>
      </c>
      <c r="S190" s="106">
        <f t="shared" si="93"/>
        <v>26966.170234196477</v>
      </c>
      <c r="T190" s="106">
        <f t="shared" si="93"/>
        <v>21694.409946733282</v>
      </c>
      <c r="U190" s="106">
        <f t="shared" si="93"/>
        <v>20135.559654566696</v>
      </c>
      <c r="V190" s="106">
        <f t="shared" si="93"/>
        <v>19871.620518481872</v>
      </c>
      <c r="W190" s="106">
        <f t="shared" si="93"/>
        <v>18559.99137646157</v>
      </c>
      <c r="X190" s="106">
        <f t="shared" si="93"/>
        <v>22365.048900152826</v>
      </c>
      <c r="Y190" s="106">
        <f t="shared" si="93"/>
        <v>24858.80605850702</v>
      </c>
      <c r="Z190" s="106">
        <f t="shared" si="93"/>
        <v>27367.190131554598</v>
      </c>
      <c r="AA190" s="106">
        <f t="shared" si="93"/>
        <v>30113.06771859141</v>
      </c>
    </row>
    <row r="191" spans="1:27" ht="12.75" customHeight="1" x14ac:dyDescent="0.35">
      <c r="A191" s="112" t="s">
        <v>302</v>
      </c>
      <c r="B191" s="106">
        <f>SUM(D191:AA191)</f>
        <v>12525.205775578115</v>
      </c>
      <c r="C191" s="106">
        <f>B191/24</f>
        <v>521.88357398242147</v>
      </c>
      <c r="D191" s="106">
        <f t="shared" ref="D191:AA191" si="94">MIN(D190,MAX(D188-D189,0))</f>
        <v>0</v>
      </c>
      <c r="E191" s="106">
        <f t="shared" si="94"/>
        <v>0</v>
      </c>
      <c r="F191" s="106">
        <f t="shared" si="94"/>
        <v>0</v>
      </c>
      <c r="G191" s="106">
        <f t="shared" si="94"/>
        <v>3883.5560128921256</v>
      </c>
      <c r="H191" s="106">
        <f t="shared" si="94"/>
        <v>0</v>
      </c>
      <c r="I191" s="106">
        <f t="shared" si="94"/>
        <v>0</v>
      </c>
      <c r="J191" s="106">
        <f t="shared" si="94"/>
        <v>0</v>
      </c>
      <c r="K191" s="106">
        <f t="shared" si="94"/>
        <v>0</v>
      </c>
      <c r="L191" s="106">
        <f t="shared" si="94"/>
        <v>0</v>
      </c>
      <c r="M191" s="106">
        <f t="shared" si="94"/>
        <v>0</v>
      </c>
      <c r="N191" s="106">
        <f t="shared" si="94"/>
        <v>0</v>
      </c>
      <c r="O191" s="106">
        <f t="shared" si="94"/>
        <v>0</v>
      </c>
      <c r="P191" s="106">
        <f t="shared" si="94"/>
        <v>0</v>
      </c>
      <c r="Q191" s="106">
        <f t="shared" si="94"/>
        <v>0</v>
      </c>
      <c r="R191" s="106">
        <f t="shared" si="94"/>
        <v>235.47090495108432</v>
      </c>
      <c r="S191" s="106">
        <f t="shared" si="94"/>
        <v>5271.7602874631948</v>
      </c>
      <c r="T191" s="106">
        <f t="shared" si="94"/>
        <v>1558.8502921665868</v>
      </c>
      <c r="U191" s="106">
        <f t="shared" si="94"/>
        <v>263.93913608482262</v>
      </c>
      <c r="V191" s="106">
        <f t="shared" si="94"/>
        <v>1311.629142020302</v>
      </c>
      <c r="W191" s="106">
        <f t="shared" si="94"/>
        <v>0</v>
      </c>
      <c r="X191" s="106">
        <f t="shared" si="94"/>
        <v>0</v>
      </c>
      <c r="Y191" s="106">
        <f t="shared" si="94"/>
        <v>0</v>
      </c>
      <c r="Z191" s="106">
        <f t="shared" si="94"/>
        <v>0</v>
      </c>
      <c r="AA191" s="106">
        <f t="shared" si="94"/>
        <v>0</v>
      </c>
    </row>
    <row r="192" spans="1:27" ht="13.5" customHeight="1" x14ac:dyDescent="0.35">
      <c r="A192" s="40" t="s">
        <v>303</v>
      </c>
      <c r="B192" s="42">
        <f>AA192</f>
        <v>32892.005589813285</v>
      </c>
      <c r="C192" s="106" t="s">
        <v>104</v>
      </c>
      <c r="D192" s="123">
        <f t="shared" ref="D192:AA192" si="95">MAX(D190-D191,0)+MAX(D189-D188,0)</f>
        <v>1089.6342632937585</v>
      </c>
      <c r="E192" s="123">
        <f t="shared" si="95"/>
        <v>2770.9067667413624</v>
      </c>
      <c r="F192" s="123">
        <f t="shared" si="95"/>
        <v>3883.5560128921256</v>
      </c>
      <c r="G192" s="123">
        <f t="shared" si="95"/>
        <v>0</v>
      </c>
      <c r="H192" s="123">
        <f t="shared" si="95"/>
        <v>1859.8506863366056</v>
      </c>
      <c r="I192" s="123">
        <f t="shared" si="95"/>
        <v>4871.1455517062859</v>
      </c>
      <c r="J192" s="123">
        <f t="shared" si="95"/>
        <v>6695.3871369707194</v>
      </c>
      <c r="K192" s="123">
        <f t="shared" si="95"/>
        <v>13576.070879398641</v>
      </c>
      <c r="L192" s="123">
        <f t="shared" si="95"/>
        <v>18810.474427300567</v>
      </c>
      <c r="M192" s="123">
        <f t="shared" si="95"/>
        <v>24462.383132185332</v>
      </c>
      <c r="N192" s="123">
        <f t="shared" si="95"/>
        <v>25456.800477849727</v>
      </c>
      <c r="O192" s="123">
        <f t="shared" si="95"/>
        <v>26596.578887663876</v>
      </c>
      <c r="P192" s="123">
        <f t="shared" si="95"/>
        <v>26624.525993013434</v>
      </c>
      <c r="Q192" s="123">
        <f t="shared" si="95"/>
        <v>27201.641139147563</v>
      </c>
      <c r="R192" s="123">
        <f t="shared" si="95"/>
        <v>26966.170234196477</v>
      </c>
      <c r="S192" s="123">
        <f t="shared" si="95"/>
        <v>21694.409946733282</v>
      </c>
      <c r="T192" s="123">
        <f t="shared" si="95"/>
        <v>20135.559654566696</v>
      </c>
      <c r="U192" s="123">
        <f t="shared" si="95"/>
        <v>19871.620518481872</v>
      </c>
      <c r="V192" s="123">
        <f t="shared" si="95"/>
        <v>18559.99137646157</v>
      </c>
      <c r="W192" s="123">
        <f t="shared" si="95"/>
        <v>22365.048900152826</v>
      </c>
      <c r="X192" s="123">
        <f t="shared" si="95"/>
        <v>24858.80605850702</v>
      </c>
      <c r="Y192" s="123">
        <f t="shared" si="95"/>
        <v>27367.190131554598</v>
      </c>
      <c r="Z192" s="123">
        <f t="shared" si="95"/>
        <v>30113.06771859141</v>
      </c>
      <c r="AA192" s="123">
        <f t="shared" si="95"/>
        <v>32892.005589813285</v>
      </c>
    </row>
    <row r="193" spans="1:27" ht="12.75" customHeight="1" x14ac:dyDescent="0.35">
      <c r="A193" s="113" t="s">
        <v>304</v>
      </c>
      <c r="B193" s="114">
        <f>AA193</f>
        <v>0</v>
      </c>
      <c r="C193" s="106" t="s">
        <v>104</v>
      </c>
      <c r="D193" s="114">
        <f>0</f>
        <v>0</v>
      </c>
      <c r="E193" s="114">
        <f t="shared" ref="E193:AA193" si="96">D195</f>
        <v>0</v>
      </c>
      <c r="F193" s="114">
        <f t="shared" si="96"/>
        <v>0</v>
      </c>
      <c r="G193" s="114">
        <f t="shared" si="96"/>
        <v>0</v>
      </c>
      <c r="H193" s="114">
        <f t="shared" si="96"/>
        <v>0</v>
      </c>
      <c r="I193" s="114">
        <f t="shared" si="96"/>
        <v>0</v>
      </c>
      <c r="J193" s="114">
        <f t="shared" si="96"/>
        <v>0</v>
      </c>
      <c r="K193" s="114">
        <f t="shared" si="96"/>
        <v>0</v>
      </c>
      <c r="L193" s="114">
        <f t="shared" si="96"/>
        <v>0</v>
      </c>
      <c r="M193" s="114">
        <f t="shared" si="96"/>
        <v>0</v>
      </c>
      <c r="N193" s="114">
        <f t="shared" si="96"/>
        <v>0</v>
      </c>
      <c r="O193" s="114">
        <f t="shared" si="96"/>
        <v>0</v>
      </c>
      <c r="P193" s="114">
        <f t="shared" si="96"/>
        <v>0</v>
      </c>
      <c r="Q193" s="114">
        <f t="shared" si="96"/>
        <v>0</v>
      </c>
      <c r="R193" s="114">
        <f t="shared" si="96"/>
        <v>0</v>
      </c>
      <c r="S193" s="114">
        <f t="shared" si="96"/>
        <v>0</v>
      </c>
      <c r="T193" s="114">
        <f t="shared" si="96"/>
        <v>0</v>
      </c>
      <c r="U193" s="114">
        <f t="shared" si="96"/>
        <v>0</v>
      </c>
      <c r="V193" s="114">
        <f t="shared" si="96"/>
        <v>0</v>
      </c>
      <c r="W193" s="114">
        <f t="shared" si="96"/>
        <v>0</v>
      </c>
      <c r="X193" s="114">
        <f t="shared" si="96"/>
        <v>0</v>
      </c>
      <c r="Y193" s="114">
        <f t="shared" si="96"/>
        <v>0</v>
      </c>
      <c r="Z193" s="114">
        <f t="shared" si="96"/>
        <v>0</v>
      </c>
      <c r="AA193" s="114">
        <f t="shared" si="96"/>
        <v>0</v>
      </c>
    </row>
    <row r="194" spans="1:27" ht="12.75" customHeight="1" x14ac:dyDescent="0.35">
      <c r="A194" s="113" t="s">
        <v>312</v>
      </c>
      <c r="B194" s="114">
        <f>SUM(D194:AA194)</f>
        <v>0</v>
      </c>
      <c r="C194" s="106">
        <f>B194/24</f>
        <v>0</v>
      </c>
      <c r="D194" s="114">
        <f t="shared" ref="D194:AA194" si="97">MIN(D193,D188)</f>
        <v>0</v>
      </c>
      <c r="E194" s="114">
        <f t="shared" si="97"/>
        <v>0</v>
      </c>
      <c r="F194" s="114">
        <f t="shared" si="97"/>
        <v>0</v>
      </c>
      <c r="G194" s="114">
        <f t="shared" si="97"/>
        <v>0</v>
      </c>
      <c r="H194" s="114">
        <f t="shared" si="97"/>
        <v>0</v>
      </c>
      <c r="I194" s="114">
        <f t="shared" si="97"/>
        <v>0</v>
      </c>
      <c r="J194" s="114">
        <f t="shared" si="97"/>
        <v>0</v>
      </c>
      <c r="K194" s="114">
        <f t="shared" si="97"/>
        <v>0</v>
      </c>
      <c r="L194" s="114">
        <f t="shared" si="97"/>
        <v>0</v>
      </c>
      <c r="M194" s="114">
        <f t="shared" si="97"/>
        <v>0</v>
      </c>
      <c r="N194" s="114">
        <f t="shared" si="97"/>
        <v>0</v>
      </c>
      <c r="O194" s="114">
        <f t="shared" si="97"/>
        <v>0</v>
      </c>
      <c r="P194" s="114">
        <f t="shared" si="97"/>
        <v>0</v>
      </c>
      <c r="Q194" s="114">
        <f t="shared" si="97"/>
        <v>0</v>
      </c>
      <c r="R194" s="114">
        <f t="shared" si="97"/>
        <v>0</v>
      </c>
      <c r="S194" s="114">
        <f t="shared" si="97"/>
        <v>0</v>
      </c>
      <c r="T194" s="114">
        <f t="shared" si="97"/>
        <v>0</v>
      </c>
      <c r="U194" s="114">
        <f t="shared" si="97"/>
        <v>0</v>
      </c>
      <c r="V194" s="114">
        <f t="shared" si="97"/>
        <v>0</v>
      </c>
      <c r="W194" s="114">
        <f t="shared" si="97"/>
        <v>0</v>
      </c>
      <c r="X194" s="114">
        <f t="shared" si="97"/>
        <v>0</v>
      </c>
      <c r="Y194" s="114">
        <f t="shared" si="97"/>
        <v>0</v>
      </c>
      <c r="Z194" s="114">
        <f t="shared" si="97"/>
        <v>0</v>
      </c>
      <c r="AA194" s="114">
        <f t="shared" si="97"/>
        <v>0</v>
      </c>
    </row>
    <row r="195" spans="1:27" ht="12.75" customHeight="1" x14ac:dyDescent="0.35">
      <c r="A195" s="113" t="s">
        <v>313</v>
      </c>
      <c r="B195" s="114">
        <f>AA195</f>
        <v>0</v>
      </c>
      <c r="C195" s="106" t="s">
        <v>104</v>
      </c>
      <c r="D195" s="134">
        <f t="shared" ref="D195:AA195" si="98">MAX(D193-D194,0)</f>
        <v>0</v>
      </c>
      <c r="E195" s="134">
        <f t="shared" si="98"/>
        <v>0</v>
      </c>
      <c r="F195" s="134">
        <f t="shared" si="98"/>
        <v>0</v>
      </c>
      <c r="G195" s="134">
        <f t="shared" si="98"/>
        <v>0</v>
      </c>
      <c r="H195" s="134">
        <f t="shared" si="98"/>
        <v>0</v>
      </c>
      <c r="I195" s="134">
        <f t="shared" si="98"/>
        <v>0</v>
      </c>
      <c r="J195" s="134">
        <f t="shared" si="98"/>
        <v>0</v>
      </c>
      <c r="K195" s="134">
        <f t="shared" si="98"/>
        <v>0</v>
      </c>
      <c r="L195" s="134">
        <f t="shared" si="98"/>
        <v>0</v>
      </c>
      <c r="M195" s="134">
        <f t="shared" si="98"/>
        <v>0</v>
      </c>
      <c r="N195" s="134">
        <f t="shared" si="98"/>
        <v>0</v>
      </c>
      <c r="O195" s="134">
        <f t="shared" si="98"/>
        <v>0</v>
      </c>
      <c r="P195" s="134">
        <f t="shared" si="98"/>
        <v>0</v>
      </c>
      <c r="Q195" s="134">
        <f t="shared" si="98"/>
        <v>0</v>
      </c>
      <c r="R195" s="134">
        <f t="shared" si="98"/>
        <v>0</v>
      </c>
      <c r="S195" s="134">
        <f t="shared" si="98"/>
        <v>0</v>
      </c>
      <c r="T195" s="134">
        <f t="shared" si="98"/>
        <v>0</v>
      </c>
      <c r="U195" s="134">
        <f t="shared" si="98"/>
        <v>0</v>
      </c>
      <c r="V195" s="134">
        <f t="shared" si="98"/>
        <v>0</v>
      </c>
      <c r="W195" s="134">
        <f t="shared" si="98"/>
        <v>0</v>
      </c>
      <c r="X195" s="134">
        <f t="shared" si="98"/>
        <v>0</v>
      </c>
      <c r="Y195" s="134">
        <f t="shared" si="98"/>
        <v>0</v>
      </c>
      <c r="Z195" s="134">
        <f t="shared" si="98"/>
        <v>0</v>
      </c>
      <c r="AA195" s="134">
        <f t="shared" si="98"/>
        <v>0</v>
      </c>
    </row>
    <row r="196" spans="1:27" ht="12.75" customHeight="1" x14ac:dyDescent="0.35">
      <c r="A196" s="125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96" s="128">
        <f>SUM(D196:AA196)</f>
        <v>58658.748197382403</v>
      </c>
      <c r="C196" s="110">
        <f>B196/24</f>
        <v>2444.114508224267</v>
      </c>
      <c r="D196" s="128">
        <f>D188*Premissas!$F$19</f>
        <v>1607.5777269822922</v>
      </c>
      <c r="E196" s="128">
        <f>E188*Premissas!$F$19</f>
        <v>1197.5852496920472</v>
      </c>
      <c r="F196" s="128">
        <f>F188*Premissas!$F$19</f>
        <v>2275.7821707826461</v>
      </c>
      <c r="G196" s="128">
        <f>G188*Premissas!$F$19</f>
        <v>6695.9268017944069</v>
      </c>
      <c r="H196" s="128">
        <f>H188*Premissas!$F$19</f>
        <v>5033.7451105680411</v>
      </c>
      <c r="I196" s="128">
        <f>I188*Premissas!$F$19</f>
        <v>3744.5362598562779</v>
      </c>
      <c r="J196" s="128">
        <f>J188*Premissas!$F$19</f>
        <v>4513.6192138702581</v>
      </c>
      <c r="K196" s="128">
        <f>K188*Premissas!$F$19</f>
        <v>0</v>
      </c>
      <c r="L196" s="128">
        <f>L188*Premissas!$F$19</f>
        <v>830.04966832886771</v>
      </c>
      <c r="M196" s="128">
        <f>M188*Premissas!$F$19</f>
        <v>1277.8021751302683</v>
      </c>
      <c r="N196" s="128">
        <f>N188*Premissas!$F$19</f>
        <v>1050.1314089600646</v>
      </c>
      <c r="O196" s="128">
        <f>O188*Premissas!$F$19</f>
        <v>789.25865605670629</v>
      </c>
      <c r="P196" s="128">
        <f>P188*Premissas!$F$19</f>
        <v>1647.7671701568495</v>
      </c>
      <c r="Q196" s="128">
        <f>Q188*Premissas!$F$19</f>
        <v>1227.5248809343484</v>
      </c>
      <c r="R196" s="128">
        <f>R188*Premissas!$F$19</f>
        <v>2332.6767250522125</v>
      </c>
      <c r="S196" s="128">
        <f>S188*Premissas!$F$19</f>
        <v>6863.3249718392663</v>
      </c>
      <c r="T196" s="128">
        <f>T188*Premissas!$F$19</f>
        <v>5159.5887383322415</v>
      </c>
      <c r="U196" s="128">
        <f>U188*Premissas!$F$19</f>
        <v>3838.1496663526841</v>
      </c>
      <c r="V196" s="128">
        <f>V188*Premissas!$F$19</f>
        <v>4626.4596942170147</v>
      </c>
      <c r="W196" s="128">
        <f>W188*Premissas!$F$19</f>
        <v>0</v>
      </c>
      <c r="X196" s="128">
        <f>X188*Premissas!$F$19</f>
        <v>830.04966832886771</v>
      </c>
      <c r="Y196" s="128">
        <f>Y188*Premissas!$F$19</f>
        <v>1277.8021751302683</v>
      </c>
      <c r="Z196" s="128">
        <f>Z188*Premissas!$F$19</f>
        <v>1050.1314089600646</v>
      </c>
      <c r="AA196" s="128">
        <f>AA188*Premissas!$F$19</f>
        <v>789.25865605670629</v>
      </c>
    </row>
    <row r="197" spans="1:27" ht="12.75" customHeight="1" x14ac:dyDescent="0.35">
      <c r="A197" s="129" t="s">
        <v>307</v>
      </c>
      <c r="B197" s="130">
        <f>SUM(D197:AA197)</f>
        <v>1.900502106104934E-2</v>
      </c>
      <c r="C197" s="110">
        <f>B197/24</f>
        <v>7.9187587754372252E-4</v>
      </c>
      <c r="D197" s="130">
        <f>IF(D192&gt;0,0,MAX(D188-D189-D190,0)*Premissas!$B$7)</f>
        <v>0</v>
      </c>
      <c r="E197" s="130">
        <f>IF(E192&gt;0,0,MAX(E188-E189-E190,0)*Premissas!$B$7)</f>
        <v>0</v>
      </c>
      <c r="F197" s="130">
        <f>IF(F192&gt;0,0,MAX(F188-F189-F190,0)*Premissas!$B$7)</f>
        <v>0</v>
      </c>
      <c r="G197" s="130">
        <f>IF(G192&gt;0,0,MAX(G188-G189-G190,0)*Premissas!$B$7)</f>
        <v>1.900502106104934E-2</v>
      </c>
      <c r="H197" s="130">
        <f>IF(H192&gt;0,0,MAX(H188-H189-H190,0)*Premissas!$B$7)</f>
        <v>0</v>
      </c>
      <c r="I197" s="130">
        <f>IF(I192&gt;0,0,MAX(I188-I189-I190,0)*Premissas!$B$7)</f>
        <v>0</v>
      </c>
      <c r="J197" s="130">
        <f>IF(J192&gt;0,0,MAX(J188-J189-J190,0)*Premissas!$B$7)</f>
        <v>0</v>
      </c>
      <c r="K197" s="130">
        <f>IF(K192&gt;0,0,MAX(K188-K189-K190,0)*Premissas!$B$7)</f>
        <v>0</v>
      </c>
      <c r="L197" s="130">
        <f>IF(L192&gt;0,0,MAX(L188-L189-L190,0)*Premissas!$B$7)</f>
        <v>0</v>
      </c>
      <c r="M197" s="130">
        <f>IF(M192&gt;0,0,MAX(M188-M189-M190,0)*Premissas!$B$7)</f>
        <v>0</v>
      </c>
      <c r="N197" s="130">
        <f>IF(N192&gt;0,0,MAX(N188-N189-N190,0)*Premissas!$B$7)</f>
        <v>0</v>
      </c>
      <c r="O197" s="130">
        <f>IF(O192&gt;0,0,MAX(O188-O189-O190,0)*Premissas!$B$7)</f>
        <v>0</v>
      </c>
      <c r="P197" s="130">
        <f>IF(P192&gt;0,0,MAX(P188-P189-P190,0)*Premissas!$B$7)</f>
        <v>0</v>
      </c>
      <c r="Q197" s="130">
        <f>IF(Q192&gt;0,0,MAX(Q188-Q189-Q190,0)*Premissas!$B$7)</f>
        <v>0</v>
      </c>
      <c r="R197" s="130">
        <f>IF(R192&gt;0,0,MAX(R188-R189-R190,0)*Premissas!$B$7)</f>
        <v>0</v>
      </c>
      <c r="S197" s="130">
        <f>IF(S192&gt;0,0,MAX(S188-S189-S190,0)*Premissas!$B$7)</f>
        <v>0</v>
      </c>
      <c r="T197" s="130">
        <f>IF(T192&gt;0,0,MAX(T188-T189-T190,0)*Premissas!$B$7)</f>
        <v>0</v>
      </c>
      <c r="U197" s="130">
        <f>IF(U192&gt;0,0,MAX(U188-U189-U190,0)*Premissas!$B$7)</f>
        <v>0</v>
      </c>
      <c r="V197" s="130">
        <f>IF(V192&gt;0,0,MAX(V188-V189-V190,0)*Premissas!$B$7)</f>
        <v>0</v>
      </c>
      <c r="W197" s="130">
        <f>IF(W192&gt;0,0,MAX(W188-W189-W190,0)*Premissas!$B$7)</f>
        <v>0</v>
      </c>
      <c r="X197" s="130">
        <f>IF(X192&gt;0,0,MAX(X188-X189-X190,0)*Premissas!$B$7)</f>
        <v>0</v>
      </c>
      <c r="Y197" s="130">
        <f>IF(Y192&gt;0,0,MAX(Y188-Y189-Y190,0)*Premissas!$B$7)</f>
        <v>0</v>
      </c>
      <c r="Z197" s="130">
        <f>IF(Z192&gt;0,0,MAX(Z188-Z189-Z190,0)*Premissas!$B$7)</f>
        <v>0</v>
      </c>
      <c r="AA197" s="130">
        <f>IF(AA192&gt;0,0,MAX(AA188-AA189-AA190,0)*Premissas!$B$7)</f>
        <v>0</v>
      </c>
    </row>
    <row r="198" spans="1:27" ht="13.5" customHeight="1" x14ac:dyDescent="0.35">
      <c r="A198" s="40" t="s">
        <v>308</v>
      </c>
      <c r="B198" s="43">
        <f>SUM(D198:AA198)</f>
        <v>58658.729192361337</v>
      </c>
      <c r="C198" s="110">
        <f>B198/24</f>
        <v>2444.1137163483891</v>
      </c>
      <c r="D198" s="131">
        <f t="shared" ref="D198:AA198" si="99">MAX(D196-D197,0)</f>
        <v>1607.5777269822922</v>
      </c>
      <c r="E198" s="131">
        <f t="shared" si="99"/>
        <v>1197.5852496920472</v>
      </c>
      <c r="F198" s="131">
        <f t="shared" si="99"/>
        <v>2275.7821707826461</v>
      </c>
      <c r="G198" s="131">
        <f t="shared" si="99"/>
        <v>6695.9077967733456</v>
      </c>
      <c r="H198" s="131">
        <f t="shared" si="99"/>
        <v>5033.7451105680411</v>
      </c>
      <c r="I198" s="131">
        <f t="shared" si="99"/>
        <v>3744.5362598562779</v>
      </c>
      <c r="J198" s="131">
        <f t="shared" si="99"/>
        <v>4513.6192138702581</v>
      </c>
      <c r="K198" s="131">
        <f t="shared" si="99"/>
        <v>0</v>
      </c>
      <c r="L198" s="131">
        <f t="shared" si="99"/>
        <v>830.04966832886771</v>
      </c>
      <c r="M198" s="131">
        <f t="shared" si="99"/>
        <v>1277.8021751302683</v>
      </c>
      <c r="N198" s="131">
        <f t="shared" si="99"/>
        <v>1050.1314089600646</v>
      </c>
      <c r="O198" s="131">
        <f t="shared" si="99"/>
        <v>789.25865605670629</v>
      </c>
      <c r="P198" s="131">
        <f t="shared" si="99"/>
        <v>1647.7671701568495</v>
      </c>
      <c r="Q198" s="131">
        <f t="shared" si="99"/>
        <v>1227.5248809343484</v>
      </c>
      <c r="R198" s="131">
        <f t="shared" si="99"/>
        <v>2332.6767250522125</v>
      </c>
      <c r="S198" s="131">
        <f t="shared" si="99"/>
        <v>6863.3249718392663</v>
      </c>
      <c r="T198" s="131">
        <f t="shared" si="99"/>
        <v>5159.5887383322415</v>
      </c>
      <c r="U198" s="131">
        <f t="shared" si="99"/>
        <v>3838.1496663526841</v>
      </c>
      <c r="V198" s="131">
        <f t="shared" si="99"/>
        <v>4626.4596942170147</v>
      </c>
      <c r="W198" s="131">
        <f t="shared" si="99"/>
        <v>0</v>
      </c>
      <c r="X198" s="131">
        <f t="shared" si="99"/>
        <v>830.04966832886771</v>
      </c>
      <c r="Y198" s="131">
        <f t="shared" si="99"/>
        <v>1277.8021751302683</v>
      </c>
      <c r="Z198" s="131">
        <f t="shared" si="99"/>
        <v>1050.1314089600646</v>
      </c>
      <c r="AA198" s="131">
        <f t="shared" si="99"/>
        <v>789.25865605670629</v>
      </c>
    </row>
    <row r="200" spans="1:27" ht="15" customHeight="1" x14ac:dyDescent="0.35">
      <c r="A200" s="229" t="s">
        <v>324</v>
      </c>
      <c r="B200" s="229"/>
      <c r="C200" s="229"/>
      <c r="D200" s="229"/>
      <c r="E200" s="229"/>
      <c r="F200" s="229"/>
      <c r="G200" s="229"/>
      <c r="H200" s="229"/>
      <c r="I200" s="229"/>
      <c r="J200" s="229"/>
      <c r="K200" s="229"/>
      <c r="L200" s="229"/>
      <c r="M200" s="229"/>
      <c r="N200" s="229"/>
      <c r="O200" s="229"/>
      <c r="P200" s="229"/>
      <c r="Q200" s="229"/>
      <c r="R200" s="229"/>
      <c r="S200" s="229"/>
      <c r="T200" s="229"/>
      <c r="U200" s="229"/>
      <c r="V200" s="229"/>
      <c r="W200" s="229"/>
      <c r="X200" s="229"/>
      <c r="Y200" s="229"/>
      <c r="Z200" s="229"/>
      <c r="AA200" s="229"/>
    </row>
    <row r="201" spans="1:27" ht="12.75" customHeight="1" x14ac:dyDescent="0.35">
      <c r="A201" s="132" t="s">
        <v>295</v>
      </c>
      <c r="B201" s="133">
        <f>SUM(D201:AA201)</f>
        <v>229145</v>
      </c>
      <c r="C201" s="106">
        <f>B201/24</f>
        <v>9547.7083333333339</v>
      </c>
      <c r="D201" s="133">
        <v>8000</v>
      </c>
      <c r="E201" s="133">
        <v>7600</v>
      </c>
      <c r="F201" s="133">
        <v>8880</v>
      </c>
      <c r="G201" s="133">
        <v>8800</v>
      </c>
      <c r="H201" s="133">
        <v>9480</v>
      </c>
      <c r="I201" s="133">
        <v>8920</v>
      </c>
      <c r="J201" s="133">
        <v>9160</v>
      </c>
      <c r="K201" s="133">
        <f>11760*(1+Premissas!$B$21)</f>
        <v>12053.999999999998</v>
      </c>
      <c r="L201" s="133">
        <f>11640*(1+Premissas!$B$21)</f>
        <v>11930.999999999998</v>
      </c>
      <c r="M201" s="133">
        <f>10000*(1+Premissas!$B$21)</f>
        <v>10250</v>
      </c>
      <c r="N201" s="133">
        <f>9400*(1+Premissas!$B$21)</f>
        <v>9635</v>
      </c>
      <c r="O201" s="133">
        <f>8880*(1+Premissas!$B$21)</f>
        <v>9102</v>
      </c>
      <c r="P201" s="133">
        <f>8000*(1+Premissas!$B$21)</f>
        <v>8200</v>
      </c>
      <c r="Q201" s="133">
        <f>7600*(1+Premissas!$B$21)</f>
        <v>7789.9999999999991</v>
      </c>
      <c r="R201" s="133">
        <f>8880*(1+Premissas!$B$21)</f>
        <v>9102</v>
      </c>
      <c r="S201" s="133">
        <f>8800*(1+Premissas!$B$21)</f>
        <v>9020</v>
      </c>
      <c r="T201" s="133">
        <f>9480*(1+Premissas!$B$21)</f>
        <v>9717</v>
      </c>
      <c r="U201" s="133">
        <f>8920*(1+Premissas!$B$21)</f>
        <v>9143</v>
      </c>
      <c r="V201" s="133">
        <f>9160*(1+Premissas!$B$21)</f>
        <v>9389</v>
      </c>
      <c r="W201" s="133">
        <f>11760*(1+Premissas!$B$21)</f>
        <v>12053.999999999998</v>
      </c>
      <c r="X201" s="133">
        <f>11640*(1+Premissas!$B$21)</f>
        <v>11930.999999999998</v>
      </c>
      <c r="Y201" s="133">
        <f>10000*(1+Premissas!$B$21)</f>
        <v>10250</v>
      </c>
      <c r="Z201" s="133">
        <f>9400*(1+Premissas!$B$21)</f>
        <v>9635</v>
      </c>
      <c r="AA201" s="133">
        <f>8880*(1+Premissas!$B$21)</f>
        <v>9102</v>
      </c>
    </row>
    <row r="202" spans="1:27" ht="12.75" customHeight="1" x14ac:dyDescent="0.35">
      <c r="A202" s="108" t="str">
        <f>"  "&amp;INDEX(PVSYST_Helexia!$A$5:$A$7,MATCH(Premissas!$B$13,PVSYST_Helexia!$B$5:$B$7,0))&amp;" créditos recebidos (kWh)"</f>
        <v xml:space="preserve">  HCS03 créditos recebidos (kWh)</v>
      </c>
      <c r="B202" s="121">
        <f>SUM(D202:AA202)</f>
        <v>293460.15038817725</v>
      </c>
      <c r="C202" s="106">
        <f>B202/24</f>
        <v>12227.506266174052</v>
      </c>
      <c r="D202" s="122">
        <f>D6*Premissas!$B$47</f>
        <v>7218.5917063929437</v>
      </c>
      <c r="E202" s="122">
        <f>E6*Premissas!$B$47</f>
        <v>7598.180527472723</v>
      </c>
      <c r="F202" s="122">
        <f>F6*Premissas!$B$47</f>
        <v>9121.1933433388385</v>
      </c>
      <c r="G202" s="122">
        <f>G6*Premissas!$B$47</f>
        <v>8558.7964090396545</v>
      </c>
      <c r="H202" s="122">
        <f>H6*Premissas!$C$47</f>
        <v>14596.680016886618</v>
      </c>
      <c r="I202" s="122">
        <f>I6*Premissas!$C$47</f>
        <v>14113.602176772551</v>
      </c>
      <c r="J202" s="122">
        <f>J6*Premissas!$C$47</f>
        <v>13401.545440444419</v>
      </c>
      <c r="K202" s="122">
        <f>K6*Premissas!$C$47</f>
        <v>13760.404644751552</v>
      </c>
      <c r="L202" s="122">
        <f>L6*Premissas!$C$47</f>
        <v>12261.699122803273</v>
      </c>
      <c r="M202" s="122">
        <f>M6*Premissas!$C$47</f>
        <v>14064.183313728883</v>
      </c>
      <c r="N202" s="122">
        <f>N6*Premissas!$D$47</f>
        <v>11696.856190830371</v>
      </c>
      <c r="O202" s="122">
        <f>O6*Premissas!$D$47</f>
        <v>10946.872809913995</v>
      </c>
      <c r="P202" s="122">
        <f>P6*Premissas!$D$47</f>
        <v>9934.8760042544018</v>
      </c>
      <c r="Q202" s="122">
        <f>Q6*Premissas!$D$47</f>
        <v>10457.300325149139</v>
      </c>
      <c r="R202" s="122">
        <f>R6*Premissas!$D$47</f>
        <v>12553.407723094904</v>
      </c>
      <c r="S202" s="122">
        <f>S6*Premissas!$D$47</f>
        <v>11779.386413303007</v>
      </c>
      <c r="T202" s="122">
        <f>T6*Premissas!$E$47</f>
        <v>14822.00556</v>
      </c>
      <c r="U202" s="122">
        <f>U6*Premissas!$E$47</f>
        <v>14331.47056</v>
      </c>
      <c r="V202" s="122">
        <f>V6*Premissas!$E$47</f>
        <v>13608.421969999999</v>
      </c>
      <c r="W202" s="122">
        <f>W6*Premissas!$E$47</f>
        <v>14043.035979999999</v>
      </c>
      <c r="X202" s="122">
        <f>X6*Premissas!$E$47</f>
        <v>12513.547849999999</v>
      </c>
      <c r="Y202" s="122">
        <f>Y6*Premissas!$E$47</f>
        <v>14353.054099999999</v>
      </c>
      <c r="Z202" s="122">
        <f>Z6*Premissas!$E$47</f>
        <v>14321.65986</v>
      </c>
      <c r="AA202" s="122">
        <f>AA6*Premissas!$E$47</f>
        <v>13403.378339999999</v>
      </c>
    </row>
    <row r="203" spans="1:27" ht="12.75" customHeight="1" x14ac:dyDescent="0.35">
      <c r="A203" s="112" t="s">
        <v>301</v>
      </c>
      <c r="B203" s="106">
        <f>AA203</f>
        <v>60797.010061933128</v>
      </c>
      <c r="C203" s="106" t="s">
        <v>104</v>
      </c>
      <c r="D203" s="106">
        <f>0</f>
        <v>0</v>
      </c>
      <c r="E203" s="106">
        <f t="shared" ref="E203:AA203" si="100">D205</f>
        <v>0</v>
      </c>
      <c r="F203" s="106">
        <f t="shared" si="100"/>
        <v>0</v>
      </c>
      <c r="G203" s="106">
        <f t="shared" si="100"/>
        <v>241.19334333883853</v>
      </c>
      <c r="H203" s="106">
        <f t="shared" si="100"/>
        <v>0</v>
      </c>
      <c r="I203" s="106">
        <f t="shared" si="100"/>
        <v>5116.6800168866175</v>
      </c>
      <c r="J203" s="106">
        <f t="shared" si="100"/>
        <v>10310.282193659168</v>
      </c>
      <c r="K203" s="106">
        <f t="shared" si="100"/>
        <v>14551.827634103587</v>
      </c>
      <c r="L203" s="106">
        <f t="shared" si="100"/>
        <v>16258.232278855141</v>
      </c>
      <c r="M203" s="106">
        <f t="shared" si="100"/>
        <v>16588.931401658418</v>
      </c>
      <c r="N203" s="106">
        <f t="shared" si="100"/>
        <v>20403.114715387303</v>
      </c>
      <c r="O203" s="106">
        <f t="shared" si="100"/>
        <v>22464.970906217673</v>
      </c>
      <c r="P203" s="106">
        <f t="shared" si="100"/>
        <v>24309.843716131669</v>
      </c>
      <c r="Q203" s="106">
        <f t="shared" si="100"/>
        <v>26044.719720386071</v>
      </c>
      <c r="R203" s="106">
        <f t="shared" si="100"/>
        <v>28712.02004553521</v>
      </c>
      <c r="S203" s="106">
        <f t="shared" si="100"/>
        <v>32163.427768630114</v>
      </c>
      <c r="T203" s="106">
        <f t="shared" si="100"/>
        <v>34922.814181933121</v>
      </c>
      <c r="U203" s="106">
        <f t="shared" si="100"/>
        <v>40027.819741933119</v>
      </c>
      <c r="V203" s="106">
        <f t="shared" si="100"/>
        <v>45216.290301933121</v>
      </c>
      <c r="W203" s="106">
        <f t="shared" si="100"/>
        <v>49435.712271933124</v>
      </c>
      <c r="X203" s="106">
        <f t="shared" si="100"/>
        <v>51424.748251933124</v>
      </c>
      <c r="Y203" s="106">
        <f t="shared" si="100"/>
        <v>52007.296101933127</v>
      </c>
      <c r="Z203" s="106">
        <f t="shared" si="100"/>
        <v>56110.350201933128</v>
      </c>
      <c r="AA203" s="106">
        <f t="shared" si="100"/>
        <v>60797.010061933128</v>
      </c>
    </row>
    <row r="204" spans="1:27" ht="12.75" customHeight="1" x14ac:dyDescent="0.35">
      <c r="A204" s="112" t="s">
        <v>302</v>
      </c>
      <c r="B204" s="106">
        <f>SUM(D204:AA204)</f>
        <v>241.19334333883853</v>
      </c>
      <c r="C204" s="106">
        <f>B204/24</f>
        <v>10.049722639118272</v>
      </c>
      <c r="D204" s="106">
        <f t="shared" ref="D204:AA204" si="101">MIN(D203,MAX(D201-D202,0))</f>
        <v>0</v>
      </c>
      <c r="E204" s="106">
        <f t="shared" si="101"/>
        <v>0</v>
      </c>
      <c r="F204" s="106">
        <f t="shared" si="101"/>
        <v>0</v>
      </c>
      <c r="G204" s="106">
        <f t="shared" si="101"/>
        <v>241.19334333883853</v>
      </c>
      <c r="H204" s="106">
        <f t="shared" si="101"/>
        <v>0</v>
      </c>
      <c r="I204" s="106">
        <f t="shared" si="101"/>
        <v>0</v>
      </c>
      <c r="J204" s="106">
        <f t="shared" si="101"/>
        <v>0</v>
      </c>
      <c r="K204" s="106">
        <f t="shared" si="101"/>
        <v>0</v>
      </c>
      <c r="L204" s="106">
        <f t="shared" si="101"/>
        <v>0</v>
      </c>
      <c r="M204" s="106">
        <f t="shared" si="101"/>
        <v>0</v>
      </c>
      <c r="N204" s="106">
        <f t="shared" si="101"/>
        <v>0</v>
      </c>
      <c r="O204" s="106">
        <f t="shared" si="101"/>
        <v>0</v>
      </c>
      <c r="P204" s="106">
        <f t="shared" si="101"/>
        <v>0</v>
      </c>
      <c r="Q204" s="106">
        <f t="shared" si="101"/>
        <v>0</v>
      </c>
      <c r="R204" s="106">
        <f t="shared" si="101"/>
        <v>0</v>
      </c>
      <c r="S204" s="106">
        <f t="shared" si="101"/>
        <v>0</v>
      </c>
      <c r="T204" s="106">
        <f t="shared" si="101"/>
        <v>0</v>
      </c>
      <c r="U204" s="106">
        <f t="shared" si="101"/>
        <v>0</v>
      </c>
      <c r="V204" s="106">
        <f t="shared" si="101"/>
        <v>0</v>
      </c>
      <c r="W204" s="106">
        <f t="shared" si="101"/>
        <v>0</v>
      </c>
      <c r="X204" s="106">
        <f t="shared" si="101"/>
        <v>0</v>
      </c>
      <c r="Y204" s="106">
        <f t="shared" si="101"/>
        <v>0</v>
      </c>
      <c r="Z204" s="106">
        <f t="shared" si="101"/>
        <v>0</v>
      </c>
      <c r="AA204" s="106">
        <f t="shared" si="101"/>
        <v>0</v>
      </c>
    </row>
    <row r="205" spans="1:27" ht="13.5" customHeight="1" x14ac:dyDescent="0.35">
      <c r="A205" s="40" t="s">
        <v>303</v>
      </c>
      <c r="B205" s="42">
        <f>AA205</f>
        <v>65098.388401933131</v>
      </c>
      <c r="C205" s="106" t="s">
        <v>104</v>
      </c>
      <c r="D205" s="123">
        <f t="shared" ref="D205:AA205" si="102">MAX(D203-D204,0)+MAX(D202-D201,0)</f>
        <v>0</v>
      </c>
      <c r="E205" s="123">
        <f t="shared" si="102"/>
        <v>0</v>
      </c>
      <c r="F205" s="123">
        <f t="shared" si="102"/>
        <v>241.19334333883853</v>
      </c>
      <c r="G205" s="123">
        <f t="shared" si="102"/>
        <v>0</v>
      </c>
      <c r="H205" s="123">
        <f t="shared" si="102"/>
        <v>5116.6800168866175</v>
      </c>
      <c r="I205" s="123">
        <f t="shared" si="102"/>
        <v>10310.282193659168</v>
      </c>
      <c r="J205" s="123">
        <f t="shared" si="102"/>
        <v>14551.827634103587</v>
      </c>
      <c r="K205" s="123">
        <f t="shared" si="102"/>
        <v>16258.232278855141</v>
      </c>
      <c r="L205" s="123">
        <f t="shared" si="102"/>
        <v>16588.931401658418</v>
      </c>
      <c r="M205" s="123">
        <f t="shared" si="102"/>
        <v>20403.114715387303</v>
      </c>
      <c r="N205" s="123">
        <f t="shared" si="102"/>
        <v>22464.970906217673</v>
      </c>
      <c r="O205" s="123">
        <f t="shared" si="102"/>
        <v>24309.843716131669</v>
      </c>
      <c r="P205" s="123">
        <f t="shared" si="102"/>
        <v>26044.719720386071</v>
      </c>
      <c r="Q205" s="123">
        <f t="shared" si="102"/>
        <v>28712.02004553521</v>
      </c>
      <c r="R205" s="123">
        <f t="shared" si="102"/>
        <v>32163.427768630114</v>
      </c>
      <c r="S205" s="123">
        <f t="shared" si="102"/>
        <v>34922.814181933121</v>
      </c>
      <c r="T205" s="123">
        <f t="shared" si="102"/>
        <v>40027.819741933119</v>
      </c>
      <c r="U205" s="123">
        <f t="shared" si="102"/>
        <v>45216.290301933121</v>
      </c>
      <c r="V205" s="123">
        <f t="shared" si="102"/>
        <v>49435.712271933124</v>
      </c>
      <c r="W205" s="123">
        <f t="shared" si="102"/>
        <v>51424.748251933124</v>
      </c>
      <c r="X205" s="123">
        <f t="shared" si="102"/>
        <v>52007.296101933127</v>
      </c>
      <c r="Y205" s="123">
        <f t="shared" si="102"/>
        <v>56110.350201933128</v>
      </c>
      <c r="Z205" s="123">
        <f t="shared" si="102"/>
        <v>60797.010061933128</v>
      </c>
      <c r="AA205" s="123">
        <f t="shared" si="102"/>
        <v>65098.388401933131</v>
      </c>
    </row>
    <row r="206" spans="1:27" ht="12.75" customHeight="1" x14ac:dyDescent="0.35">
      <c r="A206" s="113" t="s">
        <v>304</v>
      </c>
      <c r="B206" s="114">
        <f>AA206</f>
        <v>0</v>
      </c>
      <c r="C206" s="106" t="s">
        <v>104</v>
      </c>
      <c r="D206" s="114">
        <f>0</f>
        <v>0</v>
      </c>
      <c r="E206" s="114">
        <f t="shared" ref="E206:AA206" si="103">D208</f>
        <v>0</v>
      </c>
      <c r="F206" s="114">
        <f t="shared" si="103"/>
        <v>0</v>
      </c>
      <c r="G206" s="114">
        <f t="shared" si="103"/>
        <v>0</v>
      </c>
      <c r="H206" s="114">
        <f t="shared" si="103"/>
        <v>0</v>
      </c>
      <c r="I206" s="114">
        <f t="shared" si="103"/>
        <v>0</v>
      </c>
      <c r="J206" s="114">
        <f t="shared" si="103"/>
        <v>0</v>
      </c>
      <c r="K206" s="114">
        <f t="shared" si="103"/>
        <v>0</v>
      </c>
      <c r="L206" s="114">
        <f t="shared" si="103"/>
        <v>0</v>
      </c>
      <c r="M206" s="114">
        <f t="shared" si="103"/>
        <v>0</v>
      </c>
      <c r="N206" s="114">
        <f t="shared" si="103"/>
        <v>0</v>
      </c>
      <c r="O206" s="114">
        <f t="shared" si="103"/>
        <v>0</v>
      </c>
      <c r="P206" s="114">
        <f t="shared" si="103"/>
        <v>0</v>
      </c>
      <c r="Q206" s="114">
        <f t="shared" si="103"/>
        <v>0</v>
      </c>
      <c r="R206" s="114">
        <f t="shared" si="103"/>
        <v>0</v>
      </c>
      <c r="S206" s="114">
        <f t="shared" si="103"/>
        <v>0</v>
      </c>
      <c r="T206" s="114">
        <f t="shared" si="103"/>
        <v>0</v>
      </c>
      <c r="U206" s="114">
        <f t="shared" si="103"/>
        <v>0</v>
      </c>
      <c r="V206" s="114">
        <f t="shared" si="103"/>
        <v>0</v>
      </c>
      <c r="W206" s="114">
        <f t="shared" si="103"/>
        <v>0</v>
      </c>
      <c r="X206" s="114">
        <f t="shared" si="103"/>
        <v>0</v>
      </c>
      <c r="Y206" s="114">
        <f t="shared" si="103"/>
        <v>0</v>
      </c>
      <c r="Z206" s="114">
        <f t="shared" si="103"/>
        <v>0</v>
      </c>
      <c r="AA206" s="114">
        <f t="shared" si="103"/>
        <v>0</v>
      </c>
    </row>
    <row r="207" spans="1:27" ht="12.75" customHeight="1" x14ac:dyDescent="0.35">
      <c r="A207" s="113" t="s">
        <v>312</v>
      </c>
      <c r="B207" s="114">
        <f>SUM(D207:AA207)</f>
        <v>0</v>
      </c>
      <c r="C207" s="106">
        <f>B207/24</f>
        <v>0</v>
      </c>
      <c r="D207" s="114">
        <f t="shared" ref="D207:AA207" si="104">MIN(D206,D201)</f>
        <v>0</v>
      </c>
      <c r="E207" s="114">
        <f t="shared" si="104"/>
        <v>0</v>
      </c>
      <c r="F207" s="114">
        <f t="shared" si="104"/>
        <v>0</v>
      </c>
      <c r="G207" s="114">
        <f t="shared" si="104"/>
        <v>0</v>
      </c>
      <c r="H207" s="114">
        <f t="shared" si="104"/>
        <v>0</v>
      </c>
      <c r="I207" s="114">
        <f t="shared" si="104"/>
        <v>0</v>
      </c>
      <c r="J207" s="114">
        <f t="shared" si="104"/>
        <v>0</v>
      </c>
      <c r="K207" s="114">
        <f t="shared" si="104"/>
        <v>0</v>
      </c>
      <c r="L207" s="114">
        <f t="shared" si="104"/>
        <v>0</v>
      </c>
      <c r="M207" s="114">
        <f t="shared" si="104"/>
        <v>0</v>
      </c>
      <c r="N207" s="114">
        <f t="shared" si="104"/>
        <v>0</v>
      </c>
      <c r="O207" s="114">
        <f t="shared" si="104"/>
        <v>0</v>
      </c>
      <c r="P207" s="114">
        <f t="shared" si="104"/>
        <v>0</v>
      </c>
      <c r="Q207" s="114">
        <f t="shared" si="104"/>
        <v>0</v>
      </c>
      <c r="R207" s="114">
        <f t="shared" si="104"/>
        <v>0</v>
      </c>
      <c r="S207" s="114">
        <f t="shared" si="104"/>
        <v>0</v>
      </c>
      <c r="T207" s="114">
        <f t="shared" si="104"/>
        <v>0</v>
      </c>
      <c r="U207" s="114">
        <f t="shared" si="104"/>
        <v>0</v>
      </c>
      <c r="V207" s="114">
        <f t="shared" si="104"/>
        <v>0</v>
      </c>
      <c r="W207" s="114">
        <f t="shared" si="104"/>
        <v>0</v>
      </c>
      <c r="X207" s="114">
        <f t="shared" si="104"/>
        <v>0</v>
      </c>
      <c r="Y207" s="114">
        <f t="shared" si="104"/>
        <v>0</v>
      </c>
      <c r="Z207" s="114">
        <f t="shared" si="104"/>
        <v>0</v>
      </c>
      <c r="AA207" s="114">
        <f t="shared" si="104"/>
        <v>0</v>
      </c>
    </row>
    <row r="208" spans="1:27" ht="12.75" customHeight="1" x14ac:dyDescent="0.35">
      <c r="A208" s="113" t="s">
        <v>313</v>
      </c>
      <c r="B208" s="114">
        <f>AA208</f>
        <v>0</v>
      </c>
      <c r="C208" s="106" t="s">
        <v>104</v>
      </c>
      <c r="D208" s="134">
        <f t="shared" ref="D208:AA208" si="105">MAX(D206-D207,0)</f>
        <v>0</v>
      </c>
      <c r="E208" s="134">
        <f t="shared" si="105"/>
        <v>0</v>
      </c>
      <c r="F208" s="134">
        <f t="shared" si="105"/>
        <v>0</v>
      </c>
      <c r="G208" s="134">
        <f t="shared" si="105"/>
        <v>0</v>
      </c>
      <c r="H208" s="134">
        <f t="shared" si="105"/>
        <v>0</v>
      </c>
      <c r="I208" s="134">
        <f t="shared" si="105"/>
        <v>0</v>
      </c>
      <c r="J208" s="134">
        <f t="shared" si="105"/>
        <v>0</v>
      </c>
      <c r="K208" s="134">
        <f t="shared" si="105"/>
        <v>0</v>
      </c>
      <c r="L208" s="134">
        <f t="shared" si="105"/>
        <v>0</v>
      </c>
      <c r="M208" s="134">
        <f t="shared" si="105"/>
        <v>0</v>
      </c>
      <c r="N208" s="134">
        <f t="shared" si="105"/>
        <v>0</v>
      </c>
      <c r="O208" s="134">
        <f t="shared" si="105"/>
        <v>0</v>
      </c>
      <c r="P208" s="134">
        <f t="shared" si="105"/>
        <v>0</v>
      </c>
      <c r="Q208" s="134">
        <f t="shared" si="105"/>
        <v>0</v>
      </c>
      <c r="R208" s="134">
        <f t="shared" si="105"/>
        <v>0</v>
      </c>
      <c r="S208" s="134">
        <f t="shared" si="105"/>
        <v>0</v>
      </c>
      <c r="T208" s="134">
        <f t="shared" si="105"/>
        <v>0</v>
      </c>
      <c r="U208" s="134">
        <f t="shared" si="105"/>
        <v>0</v>
      </c>
      <c r="V208" s="134">
        <f t="shared" si="105"/>
        <v>0</v>
      </c>
      <c r="W208" s="134">
        <f t="shared" si="105"/>
        <v>0</v>
      </c>
      <c r="X208" s="134">
        <f t="shared" si="105"/>
        <v>0</v>
      </c>
      <c r="Y208" s="134">
        <f t="shared" si="105"/>
        <v>0</v>
      </c>
      <c r="Z208" s="134">
        <f t="shared" si="105"/>
        <v>0</v>
      </c>
      <c r="AA208" s="134">
        <f t="shared" si="105"/>
        <v>0</v>
      </c>
    </row>
    <row r="209" spans="1:27" ht="12.75" customHeight="1" x14ac:dyDescent="0.35">
      <c r="A209" s="125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209" s="128">
        <f>SUM(D209:AA209)</f>
        <v>212071.61672386722</v>
      </c>
      <c r="C209" s="110">
        <f>B209/24</f>
        <v>8836.3173634944669</v>
      </c>
      <c r="D209" s="128">
        <f>D201*Premissas!$F$19</f>
        <v>7403.9273551285769</v>
      </c>
      <c r="E209" s="128">
        <f>E201*Premissas!$F$19</f>
        <v>7033.7309873721479</v>
      </c>
      <c r="F209" s="128">
        <f>F201*Premissas!$F$19</f>
        <v>8218.35936419272</v>
      </c>
      <c r="G209" s="128">
        <f>G201*Premissas!$F$19</f>
        <v>8144.320090641434</v>
      </c>
      <c r="H209" s="128">
        <f>H201*Premissas!$F$19</f>
        <v>8773.6539158273627</v>
      </c>
      <c r="I209" s="128">
        <f>I201*Premissas!$F$19</f>
        <v>8255.3790009683635</v>
      </c>
      <c r="J209" s="128">
        <f>J201*Premissas!$F$19</f>
        <v>8477.4968216222205</v>
      </c>
      <c r="K209" s="128">
        <f>K201*Premissas!$F$19</f>
        <v>11155.867542339982</v>
      </c>
      <c r="L209" s="128">
        <f>L201*Premissas!$F$19</f>
        <v>11042.032159254879</v>
      </c>
      <c r="M209" s="128">
        <f>M201*Premissas!$F$19</f>
        <v>9486.2819237584881</v>
      </c>
      <c r="N209" s="128">
        <f>N201*Premissas!$F$19</f>
        <v>8917.1050083329792</v>
      </c>
      <c r="O209" s="128">
        <f>O201*Premissas!$F$19</f>
        <v>8423.8183482975383</v>
      </c>
      <c r="P209" s="128">
        <f>P201*Premissas!$F$19</f>
        <v>7589.0255390067914</v>
      </c>
      <c r="Q209" s="128">
        <f>Q201*Premissas!$F$19</f>
        <v>7209.5742620564506</v>
      </c>
      <c r="R209" s="128">
        <f>R201*Premissas!$F$19</f>
        <v>8423.8183482975383</v>
      </c>
      <c r="S209" s="128">
        <f>S201*Premissas!$F$19</f>
        <v>8347.9280929074703</v>
      </c>
      <c r="T209" s="128">
        <f>T201*Premissas!$F$19</f>
        <v>8992.9952637230472</v>
      </c>
      <c r="U209" s="128">
        <f>U201*Premissas!$F$19</f>
        <v>8461.7634759925713</v>
      </c>
      <c r="V209" s="128">
        <f>V201*Premissas!$F$19</f>
        <v>8689.4342421627753</v>
      </c>
      <c r="W209" s="128">
        <f>W201*Premissas!$F$19</f>
        <v>11155.867542339982</v>
      </c>
      <c r="X209" s="128">
        <f>X201*Premissas!$F$19</f>
        <v>11042.032159254879</v>
      </c>
      <c r="Y209" s="128">
        <f>Y201*Premissas!$F$19</f>
        <v>9486.2819237584881</v>
      </c>
      <c r="Z209" s="128">
        <f>Z201*Premissas!$F$19</f>
        <v>8917.1050083329792</v>
      </c>
      <c r="AA209" s="128">
        <f>AA201*Premissas!$F$19</f>
        <v>8423.8183482975383</v>
      </c>
    </row>
    <row r="210" spans="1:27" ht="12.75" customHeight="1" x14ac:dyDescent="0.35">
      <c r="A210" s="129" t="s">
        <v>307</v>
      </c>
      <c r="B210" s="130">
        <f>SUM(D210:AA210)</f>
        <v>906.09958681616206</v>
      </c>
      <c r="C210" s="110">
        <f>B210/24</f>
        <v>37.754149450673417</v>
      </c>
      <c r="D210" s="130">
        <f>IF(D205&gt;0,0,MAX(D201-D202-D203,0)*Premissas!$B$7)</f>
        <v>903.98285008775406</v>
      </c>
      <c r="E210" s="130">
        <f>IF(E205&gt;0,0,MAX(E201-E202-E203,0)*Premissas!$B$7)</f>
        <v>2.1048816275954358</v>
      </c>
      <c r="F210" s="130">
        <f>IF(F205&gt;0,0,MAX(F201-F202-F203,0)*Premissas!$B$7)</f>
        <v>0</v>
      </c>
      <c r="G210" s="130">
        <f>IF(G205&gt;0,0,MAX(G201-G202-G203,0)*Premissas!$B$7)</f>
        <v>1.1855100812612842E-2</v>
      </c>
      <c r="H210" s="130">
        <f>IF(H205&gt;0,0,MAX(H201-H202-H203,0)*Premissas!$B$7)</f>
        <v>0</v>
      </c>
      <c r="I210" s="130">
        <f>IF(I205&gt;0,0,MAX(I201-I202-I203,0)*Premissas!$B$7)</f>
        <v>0</v>
      </c>
      <c r="J210" s="130">
        <f>IF(J205&gt;0,0,MAX(J201-J202-J203,0)*Premissas!$B$7)</f>
        <v>0</v>
      </c>
      <c r="K210" s="130">
        <f>IF(K205&gt;0,0,MAX(K201-K202-K203,0)*Premissas!$B$7)</f>
        <v>0</v>
      </c>
      <c r="L210" s="130">
        <f>IF(L205&gt;0,0,MAX(L201-L202-L203,0)*Premissas!$B$7)</f>
        <v>0</v>
      </c>
      <c r="M210" s="130">
        <f>IF(M205&gt;0,0,MAX(M201-M202-M203,0)*Premissas!$B$7)</f>
        <v>0</v>
      </c>
      <c r="N210" s="130">
        <f>IF(N205&gt;0,0,MAX(N201-N202-N203,0)*Premissas!$B$7)</f>
        <v>0</v>
      </c>
      <c r="O210" s="130">
        <f>IF(O205&gt;0,0,MAX(O201-O202-O203,0)*Premissas!$B$7)</f>
        <v>0</v>
      </c>
      <c r="P210" s="130">
        <f>IF(P205&gt;0,0,MAX(P201-P202-P203,0)*Premissas!$B$7)</f>
        <v>0</v>
      </c>
      <c r="Q210" s="130">
        <f>IF(Q205&gt;0,0,MAX(Q201-Q202-Q203,0)*Premissas!$B$7)</f>
        <v>0</v>
      </c>
      <c r="R210" s="130">
        <f>IF(R205&gt;0,0,MAX(R201-R202-R203,0)*Premissas!$B$7)</f>
        <v>0</v>
      </c>
      <c r="S210" s="130">
        <f>IF(S205&gt;0,0,MAX(S201-S202-S203,0)*Premissas!$B$7)</f>
        <v>0</v>
      </c>
      <c r="T210" s="130">
        <f>IF(T205&gt;0,0,MAX(T201-T202-T203,0)*Premissas!$B$7)</f>
        <v>0</v>
      </c>
      <c r="U210" s="130">
        <f>IF(U205&gt;0,0,MAX(U201-U202-U203,0)*Premissas!$B$7)</f>
        <v>0</v>
      </c>
      <c r="V210" s="130">
        <f>IF(V205&gt;0,0,MAX(V201-V202-V203,0)*Premissas!$B$7)</f>
        <v>0</v>
      </c>
      <c r="W210" s="130">
        <f>IF(W205&gt;0,0,MAX(W201-W202-W203,0)*Premissas!$B$7)</f>
        <v>0</v>
      </c>
      <c r="X210" s="130">
        <f>IF(X205&gt;0,0,MAX(X201-X202-X203,0)*Premissas!$B$7)</f>
        <v>0</v>
      </c>
      <c r="Y210" s="130">
        <f>IF(Y205&gt;0,0,MAX(Y201-Y202-Y203,0)*Premissas!$B$7)</f>
        <v>0</v>
      </c>
      <c r="Z210" s="130">
        <f>IF(Z205&gt;0,0,MAX(Z201-Z202-Z203,0)*Premissas!$B$7)</f>
        <v>0</v>
      </c>
      <c r="AA210" s="130">
        <f>IF(AA205&gt;0,0,MAX(AA201-AA202-AA203,0)*Premissas!$B$7)</f>
        <v>0</v>
      </c>
    </row>
    <row r="211" spans="1:27" ht="13.5" customHeight="1" x14ac:dyDescent="0.35">
      <c r="A211" s="40" t="s">
        <v>308</v>
      </c>
      <c r="B211" s="43">
        <f>SUM(D211:AA211)</f>
        <v>211165.51713705104</v>
      </c>
      <c r="C211" s="110">
        <f>B211/24</f>
        <v>8798.5632140437938</v>
      </c>
      <c r="D211" s="131">
        <f t="shared" ref="D211:AA211" si="106">MAX(D209-D210,0)</f>
        <v>6499.9445050408231</v>
      </c>
      <c r="E211" s="131">
        <f t="shared" si="106"/>
        <v>7031.6261057445527</v>
      </c>
      <c r="F211" s="131">
        <f t="shared" si="106"/>
        <v>8218.35936419272</v>
      </c>
      <c r="G211" s="131">
        <f t="shared" si="106"/>
        <v>8144.3082355406214</v>
      </c>
      <c r="H211" s="131">
        <f t="shared" si="106"/>
        <v>8773.6539158273627</v>
      </c>
      <c r="I211" s="131">
        <f t="shared" si="106"/>
        <v>8255.3790009683635</v>
      </c>
      <c r="J211" s="131">
        <f t="shared" si="106"/>
        <v>8477.4968216222205</v>
      </c>
      <c r="K211" s="131">
        <f t="shared" si="106"/>
        <v>11155.867542339982</v>
      </c>
      <c r="L211" s="131">
        <f t="shared" si="106"/>
        <v>11042.032159254879</v>
      </c>
      <c r="M211" s="131">
        <f t="shared" si="106"/>
        <v>9486.2819237584881</v>
      </c>
      <c r="N211" s="131">
        <f t="shared" si="106"/>
        <v>8917.1050083329792</v>
      </c>
      <c r="O211" s="131">
        <f t="shared" si="106"/>
        <v>8423.8183482975383</v>
      </c>
      <c r="P211" s="131">
        <f t="shared" si="106"/>
        <v>7589.0255390067914</v>
      </c>
      <c r="Q211" s="131">
        <f t="shared" si="106"/>
        <v>7209.5742620564506</v>
      </c>
      <c r="R211" s="131">
        <f t="shared" si="106"/>
        <v>8423.8183482975383</v>
      </c>
      <c r="S211" s="131">
        <f t="shared" si="106"/>
        <v>8347.9280929074703</v>
      </c>
      <c r="T211" s="131">
        <f t="shared" si="106"/>
        <v>8992.9952637230472</v>
      </c>
      <c r="U211" s="131">
        <f t="shared" si="106"/>
        <v>8461.7634759925713</v>
      </c>
      <c r="V211" s="131">
        <f t="shared" si="106"/>
        <v>8689.4342421627753</v>
      </c>
      <c r="W211" s="131">
        <f t="shared" si="106"/>
        <v>11155.867542339982</v>
      </c>
      <c r="X211" s="131">
        <f t="shared" si="106"/>
        <v>11042.032159254879</v>
      </c>
      <c r="Y211" s="131">
        <f t="shared" si="106"/>
        <v>9486.2819237584881</v>
      </c>
      <c r="Z211" s="131">
        <f t="shared" si="106"/>
        <v>8917.1050083329792</v>
      </c>
      <c r="AA211" s="131">
        <f t="shared" si="106"/>
        <v>8423.8183482975383</v>
      </c>
    </row>
    <row r="213" spans="1:27" ht="15" customHeight="1" x14ac:dyDescent="0.35">
      <c r="A213" s="229" t="s">
        <v>325</v>
      </c>
      <c r="B213" s="229"/>
      <c r="C213" s="229"/>
      <c r="D213" s="229"/>
      <c r="E213" s="229"/>
      <c r="F213" s="229"/>
      <c r="G213" s="229"/>
      <c r="H213" s="229"/>
      <c r="I213" s="229"/>
      <c r="J213" s="229"/>
      <c r="K213" s="229"/>
      <c r="L213" s="229"/>
      <c r="M213" s="229"/>
      <c r="N213" s="229"/>
      <c r="O213" s="229"/>
      <c r="P213" s="229"/>
      <c r="Q213" s="229"/>
      <c r="R213" s="229"/>
      <c r="S213" s="229"/>
      <c r="T213" s="229"/>
      <c r="U213" s="229"/>
      <c r="V213" s="229"/>
      <c r="W213" s="229"/>
      <c r="X213" s="229"/>
      <c r="Y213" s="229"/>
      <c r="Z213" s="229"/>
      <c r="AA213" s="229"/>
    </row>
    <row r="214" spans="1:27" ht="12.75" customHeight="1" x14ac:dyDescent="0.35">
      <c r="A214" s="71" t="s">
        <v>295</v>
      </c>
      <c r="B214" s="84">
        <f>SUM(D214:AA214)</f>
        <v>3819.0249999999996</v>
      </c>
      <c r="C214" s="135">
        <f>B214/24</f>
        <v>159.12604166666665</v>
      </c>
      <c r="D214" s="84">
        <f>158</f>
        <v>158</v>
      </c>
      <c r="E214" s="84">
        <f>156</f>
        <v>156</v>
      </c>
      <c r="F214" s="84">
        <f>155</f>
        <v>155</v>
      </c>
      <c r="G214" s="84">
        <f>153</f>
        <v>153</v>
      </c>
      <c r="H214" s="84">
        <f>151</f>
        <v>151</v>
      </c>
      <c r="I214" s="84">
        <f>150</f>
        <v>150</v>
      </c>
      <c r="J214" s="84">
        <f>148</f>
        <v>148</v>
      </c>
      <c r="K214" s="84">
        <f>163*(1+Premissas!$B$21)</f>
        <v>167.07499999999999</v>
      </c>
      <c r="L214" s="84">
        <f>162*(1+Premissas!$B$21)</f>
        <v>166.04999999999998</v>
      </c>
      <c r="M214" s="84">
        <f>161*(1+Premissas!$B$21)</f>
        <v>165.02499999999998</v>
      </c>
      <c r="N214" s="84">
        <f>160*(1+Premissas!$B$21)</f>
        <v>164</v>
      </c>
      <c r="O214" s="84">
        <f>159*(1+Premissas!$B$21)</f>
        <v>162.97499999999999</v>
      </c>
      <c r="P214" s="84">
        <f>158*(1+Premissas!$B$21)</f>
        <v>161.94999999999999</v>
      </c>
      <c r="Q214" s="84">
        <f>156*(1+Premissas!$B$21)</f>
        <v>159.89999999999998</v>
      </c>
      <c r="R214" s="84">
        <f>155*(1+Premissas!$B$21)</f>
        <v>158.875</v>
      </c>
      <c r="S214" s="84">
        <f>153*(1+Premissas!$B$21)</f>
        <v>156.82499999999999</v>
      </c>
      <c r="T214" s="84">
        <f>151*(1+Premissas!$B$21)</f>
        <v>154.77499999999998</v>
      </c>
      <c r="U214" s="84">
        <f>150*(1+Premissas!$B$21)</f>
        <v>153.75</v>
      </c>
      <c r="V214" s="84">
        <f>148*(1+Premissas!$B$21)</f>
        <v>151.69999999999999</v>
      </c>
      <c r="W214" s="84">
        <f>163*(1+Premissas!$B$21)</f>
        <v>167.07499999999999</v>
      </c>
      <c r="X214" s="84">
        <f>162*(1+Premissas!$B$21)</f>
        <v>166.04999999999998</v>
      </c>
      <c r="Y214" s="84">
        <f>161*(1+Premissas!$B$21)</f>
        <v>165.02499999999998</v>
      </c>
      <c r="Z214" s="84">
        <f>160*(1+Premissas!$B$21)</f>
        <v>164</v>
      </c>
      <c r="AA214" s="84">
        <f>159*(1+Premissas!$B$21)</f>
        <v>162.97499999999999</v>
      </c>
    </row>
    <row r="215" spans="1:27" ht="12.75" customHeight="1" x14ac:dyDescent="0.35">
      <c r="A215" s="136" t="str">
        <f>"  "&amp;INDEX(PVSYST_Helexia!$A$5:$A$7,MATCH(Premissas!$B$13,PVSYST_Helexia!$B$5:$B$7,0))&amp;" créditos recebidos (kWh)"</f>
        <v xml:space="preserve">  HCS03 créditos recebidos (kWh)</v>
      </c>
      <c r="B215" s="137">
        <f>SUM(D215:AA215)</f>
        <v>5083.4828465635164</v>
      </c>
      <c r="C215" s="135">
        <f>B215/24</f>
        <v>211.81178527347984</v>
      </c>
      <c r="D215" s="138">
        <f>D6*Premissas!$B$48</f>
        <v>125.75354230677718</v>
      </c>
      <c r="E215" s="138">
        <f>E6*Premissas!$B$48</f>
        <v>132.36627797771988</v>
      </c>
      <c r="F215" s="138">
        <f>F6*Premissas!$B$48</f>
        <v>158.8983585224839</v>
      </c>
      <c r="G215" s="138">
        <f>G6*Premissas!$B$48</f>
        <v>149.1009618075596</v>
      </c>
      <c r="H215" s="138">
        <f>H6*Premissas!$C$48</f>
        <v>273.19998107625781</v>
      </c>
      <c r="I215" s="138">
        <f>I6*Premissas!$C$48</f>
        <v>264.15841432102025</v>
      </c>
      <c r="J215" s="138">
        <f>J6*Premissas!$C$48</f>
        <v>250.83114492380011</v>
      </c>
      <c r="K215" s="138">
        <f>K6*Premissas!$C$48</f>
        <v>257.54776320359588</v>
      </c>
      <c r="L215" s="138">
        <f>L6*Premissas!$C$48</f>
        <v>229.49711608647937</v>
      </c>
      <c r="M215" s="138">
        <f>M6*Premissas!$C$48</f>
        <v>263.23346204195946</v>
      </c>
      <c r="N215" s="138">
        <f>N6*Premissas!$D$48</f>
        <v>203.35655790707449</v>
      </c>
      <c r="O215" s="138">
        <f>O6*Premissas!$D$48</f>
        <v>190.31766640131877</v>
      </c>
      <c r="P215" s="138">
        <f>P6*Premissas!$D$48</f>
        <v>172.72352113233433</v>
      </c>
      <c r="Q215" s="138">
        <f>Q6*Premissas!$D$48</f>
        <v>181.80616777950601</v>
      </c>
      <c r="R215" s="138">
        <f>R6*Premissas!$D$48</f>
        <v>218.24819788533605</v>
      </c>
      <c r="S215" s="138">
        <f>S6*Premissas!$D$48</f>
        <v>204.79139319029335</v>
      </c>
      <c r="T215" s="138">
        <f>T6*Premissas!$E$48</f>
        <v>240.51936000000003</v>
      </c>
      <c r="U215" s="138">
        <f>U6*Premissas!$E$48</f>
        <v>232.55936000000003</v>
      </c>
      <c r="V215" s="138">
        <f>V6*Premissas!$E$48</f>
        <v>220.82632000000004</v>
      </c>
      <c r="W215" s="138">
        <f>W6*Premissas!$E$48</f>
        <v>227.87887999999998</v>
      </c>
      <c r="X215" s="138">
        <f>X6*Premissas!$E$48</f>
        <v>203.05960000000002</v>
      </c>
      <c r="Y215" s="138">
        <f>Y6*Premissas!$E$48</f>
        <v>232.90960000000001</v>
      </c>
      <c r="Z215" s="138">
        <f>Z6*Premissas!$E$48</f>
        <v>232.40016000000003</v>
      </c>
      <c r="AA215" s="138">
        <f>AA6*Premissas!$E$48</f>
        <v>217.49904000000001</v>
      </c>
    </row>
    <row r="216" spans="1:27" ht="12.75" customHeight="1" x14ac:dyDescent="0.35">
      <c r="A216" s="112" t="s">
        <v>326</v>
      </c>
      <c r="B216" s="135">
        <f>AA216</f>
        <v>1265.8146659489762</v>
      </c>
      <c r="C216" s="135" t="s">
        <v>104</v>
      </c>
      <c r="D216" s="106">
        <f>0</f>
        <v>0</v>
      </c>
      <c r="E216" s="106">
        <f t="shared" ref="E216:AA216" si="107">D218</f>
        <v>0</v>
      </c>
      <c r="F216" s="106">
        <f t="shared" si="107"/>
        <v>0</v>
      </c>
      <c r="G216" s="106">
        <f t="shared" si="107"/>
        <v>3.8983585224839032</v>
      </c>
      <c r="H216" s="106">
        <f t="shared" si="107"/>
        <v>0</v>
      </c>
      <c r="I216" s="106">
        <f t="shared" si="107"/>
        <v>122.19998107625781</v>
      </c>
      <c r="J216" s="106">
        <f t="shared" si="107"/>
        <v>236.35839539727806</v>
      </c>
      <c r="K216" s="106">
        <f t="shared" si="107"/>
        <v>339.1895403210782</v>
      </c>
      <c r="L216" s="106">
        <f t="shared" si="107"/>
        <v>429.66230352467409</v>
      </c>
      <c r="M216" s="106">
        <f t="shared" si="107"/>
        <v>493.1094196111535</v>
      </c>
      <c r="N216" s="106">
        <f t="shared" si="107"/>
        <v>591.31788165311298</v>
      </c>
      <c r="O216" s="106">
        <f t="shared" si="107"/>
        <v>630.67443956018747</v>
      </c>
      <c r="P216" s="106">
        <f t="shared" si="107"/>
        <v>658.01710596150622</v>
      </c>
      <c r="Q216" s="106">
        <f t="shared" si="107"/>
        <v>668.79062709384061</v>
      </c>
      <c r="R216" s="106">
        <f t="shared" si="107"/>
        <v>690.69679487334668</v>
      </c>
      <c r="S216" s="106">
        <f t="shared" si="107"/>
        <v>750.0699927586827</v>
      </c>
      <c r="T216" s="106">
        <f t="shared" si="107"/>
        <v>798.03638594897609</v>
      </c>
      <c r="U216" s="106">
        <f t="shared" si="107"/>
        <v>883.78074594897612</v>
      </c>
      <c r="V216" s="106">
        <f t="shared" si="107"/>
        <v>962.59010594897609</v>
      </c>
      <c r="W216" s="106">
        <f t="shared" si="107"/>
        <v>1031.7164259489762</v>
      </c>
      <c r="X216" s="106">
        <f t="shared" si="107"/>
        <v>1092.5203059489761</v>
      </c>
      <c r="Y216" s="106">
        <f t="shared" si="107"/>
        <v>1129.5299059489762</v>
      </c>
      <c r="Z216" s="106">
        <f t="shared" si="107"/>
        <v>1197.4145059489763</v>
      </c>
      <c r="AA216" s="106">
        <f t="shared" si="107"/>
        <v>1265.8146659489762</v>
      </c>
    </row>
    <row r="217" spans="1:27" ht="12.75" customHeight="1" x14ac:dyDescent="0.35">
      <c r="A217" s="112" t="s">
        <v>327</v>
      </c>
      <c r="B217" s="135">
        <f>SUM(D217:AA217)</f>
        <v>3.8983585224839032</v>
      </c>
      <c r="C217" s="135">
        <f>B217/24</f>
        <v>0.16243160510349597</v>
      </c>
      <c r="D217" s="106">
        <f t="shared" ref="D217:AA217" si="108">MIN(D216,MAX(D214-D215,0))</f>
        <v>0</v>
      </c>
      <c r="E217" s="106">
        <f t="shared" si="108"/>
        <v>0</v>
      </c>
      <c r="F217" s="106">
        <f t="shared" si="108"/>
        <v>0</v>
      </c>
      <c r="G217" s="106">
        <f t="shared" si="108"/>
        <v>3.8983585224839032</v>
      </c>
      <c r="H217" s="106">
        <f t="shared" si="108"/>
        <v>0</v>
      </c>
      <c r="I217" s="106">
        <f t="shared" si="108"/>
        <v>0</v>
      </c>
      <c r="J217" s="106">
        <f t="shared" si="108"/>
        <v>0</v>
      </c>
      <c r="K217" s="106">
        <f t="shared" si="108"/>
        <v>0</v>
      </c>
      <c r="L217" s="106">
        <f t="shared" si="108"/>
        <v>0</v>
      </c>
      <c r="M217" s="106">
        <f t="shared" si="108"/>
        <v>0</v>
      </c>
      <c r="N217" s="106">
        <f t="shared" si="108"/>
        <v>0</v>
      </c>
      <c r="O217" s="106">
        <f t="shared" si="108"/>
        <v>0</v>
      </c>
      <c r="P217" s="106">
        <f t="shared" si="108"/>
        <v>0</v>
      </c>
      <c r="Q217" s="106">
        <f t="shared" si="108"/>
        <v>0</v>
      </c>
      <c r="R217" s="106">
        <f t="shared" si="108"/>
        <v>0</v>
      </c>
      <c r="S217" s="106">
        <f t="shared" si="108"/>
        <v>0</v>
      </c>
      <c r="T217" s="106">
        <f t="shared" si="108"/>
        <v>0</v>
      </c>
      <c r="U217" s="106">
        <f t="shared" si="108"/>
        <v>0</v>
      </c>
      <c r="V217" s="106">
        <f t="shared" si="108"/>
        <v>0</v>
      </c>
      <c r="W217" s="106">
        <f t="shared" si="108"/>
        <v>0</v>
      </c>
      <c r="X217" s="106">
        <f t="shared" si="108"/>
        <v>0</v>
      </c>
      <c r="Y217" s="106">
        <f t="shared" si="108"/>
        <v>0</v>
      </c>
      <c r="Z217" s="106">
        <f t="shared" si="108"/>
        <v>0</v>
      </c>
      <c r="AA217" s="106">
        <f t="shared" si="108"/>
        <v>0</v>
      </c>
    </row>
    <row r="218" spans="1:27" ht="12.75" customHeight="1" x14ac:dyDescent="0.35">
      <c r="A218" s="139" t="s">
        <v>328</v>
      </c>
      <c r="B218" s="123">
        <f>AA218</f>
        <v>1320.3387059489762</v>
      </c>
      <c r="C218" s="135" t="s">
        <v>104</v>
      </c>
      <c r="D218" s="123">
        <f t="shared" ref="D218:AA218" si="109">MAX(D216-D217,0)+MAX(D215-D214,0)</f>
        <v>0</v>
      </c>
      <c r="E218" s="123">
        <f t="shared" si="109"/>
        <v>0</v>
      </c>
      <c r="F218" s="123">
        <f t="shared" si="109"/>
        <v>3.8983585224839032</v>
      </c>
      <c r="G218" s="123">
        <f t="shared" si="109"/>
        <v>0</v>
      </c>
      <c r="H218" s="123">
        <f t="shared" si="109"/>
        <v>122.19998107625781</v>
      </c>
      <c r="I218" s="123">
        <f t="shared" si="109"/>
        <v>236.35839539727806</v>
      </c>
      <c r="J218" s="123">
        <f t="shared" si="109"/>
        <v>339.1895403210782</v>
      </c>
      <c r="K218" s="123">
        <f t="shared" si="109"/>
        <v>429.66230352467409</v>
      </c>
      <c r="L218" s="123">
        <f t="shared" si="109"/>
        <v>493.1094196111535</v>
      </c>
      <c r="M218" s="123">
        <f t="shared" si="109"/>
        <v>591.31788165311298</v>
      </c>
      <c r="N218" s="123">
        <f t="shared" si="109"/>
        <v>630.67443956018747</v>
      </c>
      <c r="O218" s="123">
        <f t="shared" si="109"/>
        <v>658.01710596150622</v>
      </c>
      <c r="P218" s="123">
        <f t="shared" si="109"/>
        <v>668.79062709384061</v>
      </c>
      <c r="Q218" s="123">
        <f t="shared" si="109"/>
        <v>690.69679487334668</v>
      </c>
      <c r="R218" s="123">
        <f t="shared" si="109"/>
        <v>750.0699927586827</v>
      </c>
      <c r="S218" s="123">
        <f t="shared" si="109"/>
        <v>798.03638594897609</v>
      </c>
      <c r="T218" s="123">
        <f t="shared" si="109"/>
        <v>883.78074594897612</v>
      </c>
      <c r="U218" s="123">
        <f t="shared" si="109"/>
        <v>962.59010594897609</v>
      </c>
      <c r="V218" s="123">
        <f t="shared" si="109"/>
        <v>1031.7164259489762</v>
      </c>
      <c r="W218" s="123">
        <f t="shared" si="109"/>
        <v>1092.5203059489761</v>
      </c>
      <c r="X218" s="123">
        <f t="shared" si="109"/>
        <v>1129.5299059489762</v>
      </c>
      <c r="Y218" s="123">
        <f t="shared" si="109"/>
        <v>1197.4145059489763</v>
      </c>
      <c r="Z218" s="123">
        <f t="shared" si="109"/>
        <v>1265.8146659489762</v>
      </c>
      <c r="AA218" s="123">
        <f t="shared" si="109"/>
        <v>1320.3387059489762</v>
      </c>
    </row>
    <row r="219" spans="1:27" ht="12.75" customHeight="1" x14ac:dyDescent="0.35">
      <c r="A219" s="112" t="s">
        <v>329</v>
      </c>
      <c r="B219" s="135">
        <f>AA219</f>
        <v>0</v>
      </c>
      <c r="C219" s="135" t="s">
        <v>104</v>
      </c>
      <c r="D219" s="106">
        <f>0</f>
        <v>0</v>
      </c>
      <c r="E219" s="106">
        <f>0</f>
        <v>0</v>
      </c>
      <c r="F219" s="106">
        <f>0</f>
        <v>0</v>
      </c>
      <c r="G219" s="106">
        <f>0</f>
        <v>0</v>
      </c>
      <c r="H219" s="106">
        <f>0</f>
        <v>0</v>
      </c>
      <c r="I219" s="106">
        <f>0</f>
        <v>0</v>
      </c>
      <c r="J219" s="106">
        <f>0</f>
        <v>0</v>
      </c>
      <c r="K219" s="106">
        <f>0</f>
        <v>0</v>
      </c>
      <c r="L219" s="106">
        <f>0</f>
        <v>0</v>
      </c>
      <c r="M219" s="106">
        <f>0</f>
        <v>0</v>
      </c>
      <c r="N219" s="106">
        <f>0</f>
        <v>0</v>
      </c>
      <c r="O219" s="106">
        <f>0</f>
        <v>0</v>
      </c>
      <c r="P219" s="106">
        <f>0</f>
        <v>0</v>
      </c>
      <c r="Q219" s="106">
        <f>0</f>
        <v>0</v>
      </c>
      <c r="R219" s="106">
        <f>0</f>
        <v>0</v>
      </c>
      <c r="S219" s="106">
        <f>0</f>
        <v>0</v>
      </c>
      <c r="T219" s="106">
        <f>0</f>
        <v>0</v>
      </c>
      <c r="U219" s="106">
        <f>0</f>
        <v>0</v>
      </c>
      <c r="V219" s="106">
        <f>0</f>
        <v>0</v>
      </c>
      <c r="W219" s="106">
        <f>0</f>
        <v>0</v>
      </c>
      <c r="X219" s="106">
        <f>0</f>
        <v>0</v>
      </c>
      <c r="Y219" s="106">
        <f>0</f>
        <v>0</v>
      </c>
      <c r="Z219" s="106">
        <f>0</f>
        <v>0</v>
      </c>
      <c r="AA219" s="106">
        <f>0</f>
        <v>0</v>
      </c>
    </row>
    <row r="220" spans="1:27" ht="12.75" customHeight="1" x14ac:dyDescent="0.35">
      <c r="A220" s="112" t="s">
        <v>330</v>
      </c>
      <c r="B220" s="135">
        <f>SUM(D220:AA220)</f>
        <v>0</v>
      </c>
      <c r="C220" s="135">
        <f>B220/24</f>
        <v>0</v>
      </c>
      <c r="D220" s="106">
        <f>0</f>
        <v>0</v>
      </c>
      <c r="E220" s="106">
        <f>0</f>
        <v>0</v>
      </c>
      <c r="F220" s="106">
        <f>0</f>
        <v>0</v>
      </c>
      <c r="G220" s="106">
        <f>0</f>
        <v>0</v>
      </c>
      <c r="H220" s="106">
        <f>0</f>
        <v>0</v>
      </c>
      <c r="I220" s="106">
        <f>0</f>
        <v>0</v>
      </c>
      <c r="J220" s="106">
        <f>0</f>
        <v>0</v>
      </c>
      <c r="K220" s="106">
        <f>0</f>
        <v>0</v>
      </c>
      <c r="L220" s="106">
        <f>0</f>
        <v>0</v>
      </c>
      <c r="M220" s="106">
        <f>0</f>
        <v>0</v>
      </c>
      <c r="N220" s="106">
        <f>0</f>
        <v>0</v>
      </c>
      <c r="O220" s="106">
        <f>0</f>
        <v>0</v>
      </c>
      <c r="P220" s="106">
        <f>0</f>
        <v>0</v>
      </c>
      <c r="Q220" s="106">
        <f>0</f>
        <v>0</v>
      </c>
      <c r="R220" s="106">
        <f>0</f>
        <v>0</v>
      </c>
      <c r="S220" s="106">
        <f>0</f>
        <v>0</v>
      </c>
      <c r="T220" s="106">
        <f>0</f>
        <v>0</v>
      </c>
      <c r="U220" s="106">
        <f>0</f>
        <v>0</v>
      </c>
      <c r="V220" s="106">
        <f>0</f>
        <v>0</v>
      </c>
      <c r="W220" s="106">
        <f>0</f>
        <v>0</v>
      </c>
      <c r="X220" s="106">
        <f>0</f>
        <v>0</v>
      </c>
      <c r="Y220" s="106">
        <f>0</f>
        <v>0</v>
      </c>
      <c r="Z220" s="106">
        <f>0</f>
        <v>0</v>
      </c>
      <c r="AA220" s="106">
        <f>0</f>
        <v>0</v>
      </c>
    </row>
    <row r="221" spans="1:27" ht="12.75" customHeight="1" x14ac:dyDescent="0.35">
      <c r="A221" s="140" t="s">
        <v>331</v>
      </c>
      <c r="B221" s="137">
        <f>AA221</f>
        <v>0</v>
      </c>
      <c r="C221" s="135" t="s">
        <v>104</v>
      </c>
      <c r="D221" s="141">
        <f>0</f>
        <v>0</v>
      </c>
      <c r="E221" s="141">
        <f>0</f>
        <v>0</v>
      </c>
      <c r="F221" s="141">
        <f>0</f>
        <v>0</v>
      </c>
      <c r="G221" s="141">
        <f>0</f>
        <v>0</v>
      </c>
      <c r="H221" s="141">
        <f>0</f>
        <v>0</v>
      </c>
      <c r="I221" s="141">
        <f>0</f>
        <v>0</v>
      </c>
      <c r="J221" s="141">
        <f>0</f>
        <v>0</v>
      </c>
      <c r="K221" s="141">
        <f>0</f>
        <v>0</v>
      </c>
      <c r="L221" s="141">
        <f>0</f>
        <v>0</v>
      </c>
      <c r="M221" s="141">
        <f>0</f>
        <v>0</v>
      </c>
      <c r="N221" s="141">
        <f>0</f>
        <v>0</v>
      </c>
      <c r="O221" s="141">
        <f>0</f>
        <v>0</v>
      </c>
      <c r="P221" s="141">
        <f>0</f>
        <v>0</v>
      </c>
      <c r="Q221" s="141">
        <f>0</f>
        <v>0</v>
      </c>
      <c r="R221" s="141">
        <f>0</f>
        <v>0</v>
      </c>
      <c r="S221" s="141">
        <f>0</f>
        <v>0</v>
      </c>
      <c r="T221" s="141">
        <f>0</f>
        <v>0</v>
      </c>
      <c r="U221" s="141">
        <f>0</f>
        <v>0</v>
      </c>
      <c r="V221" s="141">
        <f>0</f>
        <v>0</v>
      </c>
      <c r="W221" s="141">
        <f>0</f>
        <v>0</v>
      </c>
      <c r="X221" s="141">
        <f>0</f>
        <v>0</v>
      </c>
      <c r="Y221" s="141">
        <f>0</f>
        <v>0</v>
      </c>
      <c r="Z221" s="141">
        <f>0</f>
        <v>0</v>
      </c>
      <c r="AA221" s="141">
        <f>0</f>
        <v>0</v>
      </c>
    </row>
    <row r="222" spans="1:27" ht="12.75" customHeight="1" x14ac:dyDescent="0.35">
      <c r="A222" s="125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222" s="128">
        <f>SUM(D222:AA222)</f>
        <v>3534.4729584274883</v>
      </c>
      <c r="C222" s="142">
        <f>B222/24</f>
        <v>147.26970660114534</v>
      </c>
      <c r="D222" s="128">
        <f>D214*Premissas!$F$19</f>
        <v>146.22756526378939</v>
      </c>
      <c r="E222" s="128">
        <f>E214*Premissas!$F$19</f>
        <v>144.37658342500725</v>
      </c>
      <c r="F222" s="128">
        <f>F214*Premissas!$F$19</f>
        <v>143.45109250561617</v>
      </c>
      <c r="G222" s="128">
        <f>G214*Premissas!$F$19</f>
        <v>141.60011066683404</v>
      </c>
      <c r="H222" s="128">
        <f>H214*Premissas!$F$19</f>
        <v>139.74912882805188</v>
      </c>
      <c r="I222" s="128">
        <f>I214*Premissas!$F$19</f>
        <v>138.8236379086608</v>
      </c>
      <c r="J222" s="128">
        <f>J214*Premissas!$F$19</f>
        <v>136.97265606987867</v>
      </c>
      <c r="K222" s="128">
        <f>K214*Premissas!$F$19</f>
        <v>154.62639535726336</v>
      </c>
      <c r="L222" s="128">
        <f>L214*Premissas!$F$19</f>
        <v>153.67776716488751</v>
      </c>
      <c r="M222" s="128">
        <f>M214*Premissas!$F$19</f>
        <v>152.72913897251166</v>
      </c>
      <c r="N222" s="128">
        <f>N214*Premissas!$F$19</f>
        <v>151.78051078013581</v>
      </c>
      <c r="O222" s="128">
        <f>O214*Premissas!$F$19</f>
        <v>150.83188258775996</v>
      </c>
      <c r="P222" s="128">
        <f>P214*Premissas!$F$19</f>
        <v>149.88325439538411</v>
      </c>
      <c r="Q222" s="128">
        <f>Q214*Premissas!$F$19</f>
        <v>147.98599801063241</v>
      </c>
      <c r="R222" s="128">
        <f>R214*Premissas!$F$19</f>
        <v>147.03736981825656</v>
      </c>
      <c r="S222" s="128">
        <f>S214*Premissas!$F$19</f>
        <v>145.14011343350487</v>
      </c>
      <c r="T222" s="128">
        <f>T214*Premissas!$F$19</f>
        <v>143.24285704875317</v>
      </c>
      <c r="U222" s="128">
        <f>U214*Premissas!$F$19</f>
        <v>142.29422885637734</v>
      </c>
      <c r="V222" s="128">
        <f>V214*Premissas!$F$19</f>
        <v>140.39697247162562</v>
      </c>
      <c r="W222" s="128">
        <f>W214*Premissas!$F$19</f>
        <v>154.62639535726336</v>
      </c>
      <c r="X222" s="128">
        <f>X214*Premissas!$F$19</f>
        <v>153.67776716488751</v>
      </c>
      <c r="Y222" s="128">
        <f>Y214*Premissas!$F$19</f>
        <v>152.72913897251166</v>
      </c>
      <c r="Z222" s="128">
        <f>Z214*Premissas!$F$19</f>
        <v>151.78051078013581</v>
      </c>
      <c r="AA222" s="128">
        <f>AA214*Premissas!$F$19</f>
        <v>150.83188258775996</v>
      </c>
    </row>
    <row r="223" spans="1:27" ht="12.75" customHeight="1" x14ac:dyDescent="0.35">
      <c r="A223" s="143" t="s">
        <v>307</v>
      </c>
      <c r="B223" s="130">
        <f>SUM(D223:AA223)</f>
        <v>64.646534911265093</v>
      </c>
      <c r="C223" s="142">
        <f>B223/24</f>
        <v>2.6936056213027122</v>
      </c>
      <c r="D223" s="130">
        <f>IF(D218&gt;0,0,MAX(D214-D215-D216,0)*Premissas!$B$7)</f>
        <v>37.304754722007623</v>
      </c>
      <c r="E223" s="130">
        <f>IF(E218&gt;0,0,MAX(E214-E215-E216,0)*Premissas!$B$7)</f>
        <v>27.340993903791322</v>
      </c>
      <c r="F223" s="130">
        <f>IF(F218&gt;0,0,MAX(F214-F215-F216,0)*Premissas!$B$7)</f>
        <v>0</v>
      </c>
      <c r="G223" s="130">
        <f>IF(G218&gt;0,0,MAX(G214-G215-G216,0)*Premissas!$B$7)</f>
        <v>7.8628546615142861E-4</v>
      </c>
      <c r="H223" s="130">
        <f>IF(H218&gt;0,0,MAX(H214-H215-H216,0)*Premissas!$B$7)</f>
        <v>0</v>
      </c>
      <c r="I223" s="130">
        <f>IF(I218&gt;0,0,MAX(I214-I215-I216,0)*Premissas!$B$7)</f>
        <v>0</v>
      </c>
      <c r="J223" s="130">
        <f>IF(J218&gt;0,0,MAX(J214-J215-J216,0)*Premissas!$B$7)</f>
        <v>0</v>
      </c>
      <c r="K223" s="130">
        <f>IF(K218&gt;0,0,MAX(K214-K215-K216,0)*Premissas!$B$7)</f>
        <v>0</v>
      </c>
      <c r="L223" s="130">
        <f>IF(L218&gt;0,0,MAX(L214-L215-L216,0)*Premissas!$B$7)</f>
        <v>0</v>
      </c>
      <c r="M223" s="130">
        <f>IF(M218&gt;0,0,MAX(M214-M215-M216,0)*Premissas!$B$7)</f>
        <v>0</v>
      </c>
      <c r="N223" s="130">
        <f>IF(N218&gt;0,0,MAX(N214-N215-N216,0)*Premissas!$B$7)</f>
        <v>0</v>
      </c>
      <c r="O223" s="130">
        <f>IF(O218&gt;0,0,MAX(O214-O215-O216,0)*Premissas!$B$7)</f>
        <v>0</v>
      </c>
      <c r="P223" s="130">
        <f>IF(P218&gt;0,0,MAX(P214-P215-P216,0)*Premissas!$B$7)</f>
        <v>0</v>
      </c>
      <c r="Q223" s="130">
        <f>IF(Q218&gt;0,0,MAX(Q214-Q215-Q216,0)*Premissas!$B$7)</f>
        <v>0</v>
      </c>
      <c r="R223" s="130">
        <f>IF(R218&gt;0,0,MAX(R214-R215-R216,0)*Premissas!$B$7)</f>
        <v>0</v>
      </c>
      <c r="S223" s="130">
        <f>IF(S218&gt;0,0,MAX(S214-S215-S216,0)*Premissas!$B$7)</f>
        <v>0</v>
      </c>
      <c r="T223" s="130">
        <f>IF(T218&gt;0,0,MAX(T214-T215-T216,0)*Premissas!$B$7)</f>
        <v>0</v>
      </c>
      <c r="U223" s="130">
        <f>IF(U218&gt;0,0,MAX(U214-U215-U216,0)*Premissas!$B$7)</f>
        <v>0</v>
      </c>
      <c r="V223" s="130">
        <f>IF(V218&gt;0,0,MAX(V214-V215-V216,0)*Premissas!$B$7)</f>
        <v>0</v>
      </c>
      <c r="W223" s="130">
        <f>IF(W218&gt;0,0,MAX(W214-W215-W216,0)*Premissas!$B$7)</f>
        <v>0</v>
      </c>
      <c r="X223" s="130">
        <f>IF(X218&gt;0,0,MAX(X214-X215-X216,0)*Premissas!$B$7)</f>
        <v>0</v>
      </c>
      <c r="Y223" s="130">
        <f>IF(Y218&gt;0,0,MAX(Y214-Y215-Y216,0)*Premissas!$B$7)</f>
        <v>0</v>
      </c>
      <c r="Z223" s="130">
        <f>IF(Z218&gt;0,0,MAX(Z214-Z215-Z216,0)*Premissas!$B$7)</f>
        <v>0</v>
      </c>
      <c r="AA223" s="130">
        <f>IF(AA218&gt;0,0,MAX(AA214-AA215-AA216,0)*Premissas!$B$7)</f>
        <v>0</v>
      </c>
    </row>
    <row r="224" spans="1:27" ht="13.5" customHeight="1" x14ac:dyDescent="0.35">
      <c r="A224" s="139" t="s">
        <v>308</v>
      </c>
      <c r="B224" s="131">
        <f>SUM(D224:AA224)</f>
        <v>3469.8264235162233</v>
      </c>
      <c r="C224" s="142">
        <f>B224/24</f>
        <v>144.57610097984264</v>
      </c>
      <c r="D224" s="131">
        <f t="shared" ref="D224:AA224" si="110">MAX(D222-D223,0)</f>
        <v>108.92281054178176</v>
      </c>
      <c r="E224" s="131">
        <f t="shared" si="110"/>
        <v>117.03558952121594</v>
      </c>
      <c r="F224" s="131">
        <f t="shared" si="110"/>
        <v>143.45109250561617</v>
      </c>
      <c r="G224" s="131">
        <f t="shared" si="110"/>
        <v>141.59932438136789</v>
      </c>
      <c r="H224" s="131">
        <f t="shared" si="110"/>
        <v>139.74912882805188</v>
      </c>
      <c r="I224" s="131">
        <f t="shared" si="110"/>
        <v>138.8236379086608</v>
      </c>
      <c r="J224" s="131">
        <f t="shared" si="110"/>
        <v>136.97265606987867</v>
      </c>
      <c r="K224" s="131">
        <f t="shared" si="110"/>
        <v>154.62639535726336</v>
      </c>
      <c r="L224" s="131">
        <f t="shared" si="110"/>
        <v>153.67776716488751</v>
      </c>
      <c r="M224" s="131">
        <f t="shared" si="110"/>
        <v>152.72913897251166</v>
      </c>
      <c r="N224" s="131">
        <f t="shared" si="110"/>
        <v>151.78051078013581</v>
      </c>
      <c r="O224" s="131">
        <f t="shared" si="110"/>
        <v>150.83188258775996</v>
      </c>
      <c r="P224" s="131">
        <f t="shared" si="110"/>
        <v>149.88325439538411</v>
      </c>
      <c r="Q224" s="131">
        <f t="shared" si="110"/>
        <v>147.98599801063241</v>
      </c>
      <c r="R224" s="131">
        <f t="shared" si="110"/>
        <v>147.03736981825656</v>
      </c>
      <c r="S224" s="131">
        <f t="shared" si="110"/>
        <v>145.14011343350487</v>
      </c>
      <c r="T224" s="131">
        <f t="shared" si="110"/>
        <v>143.24285704875317</v>
      </c>
      <c r="U224" s="131">
        <f t="shared" si="110"/>
        <v>142.29422885637734</v>
      </c>
      <c r="V224" s="131">
        <f t="shared" si="110"/>
        <v>140.39697247162562</v>
      </c>
      <c r="W224" s="131">
        <f t="shared" si="110"/>
        <v>154.62639535726336</v>
      </c>
      <c r="X224" s="131">
        <f t="shared" si="110"/>
        <v>153.67776716488751</v>
      </c>
      <c r="Y224" s="131">
        <f t="shared" si="110"/>
        <v>152.72913897251166</v>
      </c>
      <c r="Z224" s="131">
        <f t="shared" si="110"/>
        <v>151.78051078013581</v>
      </c>
      <c r="AA224" s="131">
        <f t="shared" si="110"/>
        <v>150.83188258775996</v>
      </c>
    </row>
    <row r="225" spans="1:27" ht="15" customHeight="1" x14ac:dyDescent="0.35">
      <c r="A225" s="229" t="s">
        <v>332</v>
      </c>
      <c r="B225" s="229"/>
      <c r="C225" s="229"/>
      <c r="D225" s="229"/>
      <c r="E225" s="229"/>
      <c r="F225" s="229"/>
      <c r="G225" s="229"/>
      <c r="H225" s="229"/>
      <c r="I225" s="229"/>
      <c r="J225" s="229"/>
      <c r="K225" s="229"/>
      <c r="L225" s="229"/>
      <c r="M225" s="229"/>
      <c r="N225" s="229"/>
      <c r="O225" s="229"/>
      <c r="P225" s="229"/>
      <c r="Q225" s="229"/>
      <c r="R225" s="229"/>
      <c r="S225" s="229"/>
      <c r="T225" s="229"/>
      <c r="U225" s="229"/>
      <c r="V225" s="229"/>
      <c r="W225" s="229"/>
      <c r="X225" s="229"/>
      <c r="Y225" s="229"/>
      <c r="Z225" s="229"/>
      <c r="AA225" s="229"/>
    </row>
    <row r="226" spans="1:27" ht="12.75" customHeight="1" x14ac:dyDescent="0.35">
      <c r="A226" s="71" t="s">
        <v>295</v>
      </c>
      <c r="B226" s="133">
        <f>SUM(D226:AA226)</f>
        <v>31114.474999999999</v>
      </c>
      <c r="C226" s="135">
        <f>B226/24</f>
        <v>1296.4364583333333</v>
      </c>
      <c r="D226" s="133">
        <v>1131</v>
      </c>
      <c r="E226" s="133">
        <v>1337</v>
      </c>
      <c r="F226" s="133">
        <v>1063</v>
      </c>
      <c r="G226" s="133">
        <v>1101</v>
      </c>
      <c r="H226" s="133">
        <v>1129</v>
      </c>
      <c r="I226" s="133">
        <v>870</v>
      </c>
      <c r="J226" s="133">
        <v>1422</v>
      </c>
      <c r="K226" s="133">
        <f>1554*(1+Premissas!$B$21)</f>
        <v>1592.85</v>
      </c>
      <c r="L226" s="133">
        <f>1553*(1+Premissas!$B$21)</f>
        <v>1591.8249999999998</v>
      </c>
      <c r="M226" s="133">
        <f>1522*(1+Premissas!$B$21)</f>
        <v>1560.05</v>
      </c>
      <c r="N226" s="133">
        <f>1211*(1+Premissas!$B$21)</f>
        <v>1241.2749999999999</v>
      </c>
      <c r="O226" s="133">
        <f>1383*(1+Premissas!$B$21)</f>
        <v>1417.5749999999998</v>
      </c>
      <c r="P226" s="133">
        <f>1131*(1+Premissas!$B$21)</f>
        <v>1159.2749999999999</v>
      </c>
      <c r="Q226" s="133">
        <f>1337*(1+Premissas!$B$21)</f>
        <v>1370.425</v>
      </c>
      <c r="R226" s="133">
        <f>1063*(1+Premissas!$B$21)</f>
        <v>1089.5749999999998</v>
      </c>
      <c r="S226" s="133">
        <f>1101*(1+Premissas!$B$21)</f>
        <v>1128.5249999999999</v>
      </c>
      <c r="T226" s="133">
        <f>1129*(1+Premissas!$B$21)</f>
        <v>1157.2249999999999</v>
      </c>
      <c r="U226" s="133">
        <f>870*(1+Premissas!$B$21)</f>
        <v>891.74999999999989</v>
      </c>
      <c r="V226" s="133">
        <f>1422*(1+Premissas!$B$21)</f>
        <v>1457.55</v>
      </c>
      <c r="W226" s="133">
        <f>1554*(1+Premissas!$B$21)</f>
        <v>1592.85</v>
      </c>
      <c r="X226" s="133">
        <f>1553*(1+Premissas!$B$21)</f>
        <v>1591.8249999999998</v>
      </c>
      <c r="Y226" s="133">
        <f>1522*(1+Premissas!$B$21)</f>
        <v>1560.05</v>
      </c>
      <c r="Z226" s="133">
        <f>1211*(1+Premissas!$B$21)</f>
        <v>1241.2749999999999</v>
      </c>
      <c r="AA226" s="133">
        <f>1383*(1+Premissas!$B$21)</f>
        <v>1417.5749999999998</v>
      </c>
    </row>
    <row r="227" spans="1:27" ht="12.75" customHeight="1" x14ac:dyDescent="0.35">
      <c r="A227" s="108" t="str">
        <f>"  "&amp;INDEX(PVSYST_Helexia!$A$5:$A$7,MATCH(Premissas!$B$13,PVSYST_Helexia!$B$5:$B$7,0))&amp;" créditos recebidos (kWh)"</f>
        <v xml:space="preserve">  HCS03 créditos recebidos (kWh)</v>
      </c>
      <c r="B227" s="97">
        <f>SUM(D227:AA227)</f>
        <v>40470.128111400671</v>
      </c>
      <c r="C227" s="135">
        <f>B227/24</f>
        <v>1686.2553379750279</v>
      </c>
      <c r="D227" s="144">
        <f>D6*Premissas!$B$49</f>
        <v>883.54290734780795</v>
      </c>
      <c r="E227" s="144">
        <f>E6*Premissas!$B$49</f>
        <v>930.00391029891443</v>
      </c>
      <c r="F227" s="144">
        <f>F6*Premissas!$B$49</f>
        <v>1116.4179957591828</v>
      </c>
      <c r="G227" s="144">
        <f>G6*Premissas!$B$49</f>
        <v>1047.5816018162855</v>
      </c>
      <c r="H227" s="144">
        <f>H6*Premissas!$C$49</f>
        <v>2296.8954248899213</v>
      </c>
      <c r="I227" s="144">
        <f>I6*Premissas!$C$49</f>
        <v>2220.8795582997068</v>
      </c>
      <c r="J227" s="144">
        <f>J6*Premissas!$C$49</f>
        <v>2108.8321709457305</v>
      </c>
      <c r="K227" s="144">
        <f>K6*Premissas!$C$49</f>
        <v>2165.3013176009372</v>
      </c>
      <c r="L227" s="144">
        <f>L6*Premissas!$C$49</f>
        <v>1929.46893293279</v>
      </c>
      <c r="M227" s="144">
        <f>M6*Premissas!$C$49</f>
        <v>2213.1031351475281</v>
      </c>
      <c r="N227" s="144">
        <f>N6*Premissas!$D$49</f>
        <v>1500.9784366879617</v>
      </c>
      <c r="O227" s="144">
        <f>O6*Premissas!$D$49</f>
        <v>1404.7381423503857</v>
      </c>
      <c r="P227" s="144">
        <f>P6*Premissas!$D$49</f>
        <v>1274.8754374910286</v>
      </c>
      <c r="Q227" s="144">
        <f>Q6*Premissas!$D$49</f>
        <v>1341.9146168800237</v>
      </c>
      <c r="R227" s="144">
        <f>R6*Premissas!$D$49</f>
        <v>1610.893901054274</v>
      </c>
      <c r="S227" s="144">
        <f>S6*Premissas!$D$49</f>
        <v>1511.5689818981864</v>
      </c>
      <c r="T227" s="144">
        <f>T6*Premissas!$E$49</f>
        <v>1984.2847200000001</v>
      </c>
      <c r="U227" s="144">
        <f>U6*Premissas!$E$49</f>
        <v>1918.61472</v>
      </c>
      <c r="V227" s="144">
        <f>V6*Premissas!$E$49</f>
        <v>1821.8171400000001</v>
      </c>
      <c r="W227" s="144">
        <f>W6*Premissas!$E$49</f>
        <v>1880.0007599999999</v>
      </c>
      <c r="X227" s="144">
        <f>X6*Premissas!$E$49</f>
        <v>1675.2417</v>
      </c>
      <c r="Y227" s="144">
        <f>Y6*Premissas!$E$49</f>
        <v>1921.5042000000001</v>
      </c>
      <c r="Z227" s="144">
        <f>Z6*Premissas!$E$49</f>
        <v>1917.30132</v>
      </c>
      <c r="AA227" s="144">
        <f>AA6*Premissas!$E$49</f>
        <v>1794.36708</v>
      </c>
    </row>
    <row r="228" spans="1:27" ht="12.75" customHeight="1" x14ac:dyDescent="0.35">
      <c r="A228" s="112" t="s">
        <v>326</v>
      </c>
      <c r="B228" s="135">
        <f>AA228</f>
        <v>9633.3146161784771</v>
      </c>
      <c r="C228" s="135" t="s">
        <v>104</v>
      </c>
      <c r="D228" s="135">
        <f>0</f>
        <v>0</v>
      </c>
      <c r="E228" s="135">
        <f t="shared" ref="E228:AA228" si="111">D230</f>
        <v>0</v>
      </c>
      <c r="F228" s="135">
        <f t="shared" si="111"/>
        <v>0</v>
      </c>
      <c r="G228" s="135">
        <f t="shared" si="111"/>
        <v>53.417995759182759</v>
      </c>
      <c r="H228" s="135">
        <f t="shared" si="111"/>
        <v>0</v>
      </c>
      <c r="I228" s="135">
        <f t="shared" si="111"/>
        <v>1167.8954248899213</v>
      </c>
      <c r="J228" s="135">
        <f t="shared" si="111"/>
        <v>2518.7749831896281</v>
      </c>
      <c r="K228" s="135">
        <f t="shared" si="111"/>
        <v>3205.6071541353585</v>
      </c>
      <c r="L228" s="135">
        <f t="shared" si="111"/>
        <v>3778.0584717362958</v>
      </c>
      <c r="M228" s="135">
        <f t="shared" si="111"/>
        <v>4115.7024046690858</v>
      </c>
      <c r="N228" s="135">
        <f t="shared" si="111"/>
        <v>4768.7555398166141</v>
      </c>
      <c r="O228" s="135">
        <f t="shared" si="111"/>
        <v>5028.4589765045757</v>
      </c>
      <c r="P228" s="135">
        <f t="shared" si="111"/>
        <v>5015.6221188549616</v>
      </c>
      <c r="Q228" s="135">
        <f t="shared" si="111"/>
        <v>5131.2225563459906</v>
      </c>
      <c r="R228" s="135">
        <f t="shared" si="111"/>
        <v>5102.7121732260148</v>
      </c>
      <c r="S228" s="135">
        <f t="shared" si="111"/>
        <v>5624.0310742802885</v>
      </c>
      <c r="T228" s="135">
        <f t="shared" si="111"/>
        <v>6007.0750561784753</v>
      </c>
      <c r="U228" s="135">
        <f t="shared" si="111"/>
        <v>6834.1347761784755</v>
      </c>
      <c r="V228" s="135">
        <f t="shared" si="111"/>
        <v>7860.999496178476</v>
      </c>
      <c r="W228" s="135">
        <f t="shared" si="111"/>
        <v>8225.2666361784759</v>
      </c>
      <c r="X228" s="135">
        <f t="shared" si="111"/>
        <v>8512.4173961784763</v>
      </c>
      <c r="Y228" s="135">
        <f t="shared" si="111"/>
        <v>8595.8340961784761</v>
      </c>
      <c r="Z228" s="135">
        <f t="shared" si="111"/>
        <v>8957.2882961784762</v>
      </c>
      <c r="AA228" s="135">
        <f t="shared" si="111"/>
        <v>9633.3146161784771</v>
      </c>
    </row>
    <row r="229" spans="1:27" ht="12.75" customHeight="1" x14ac:dyDescent="0.35">
      <c r="A229" s="112" t="s">
        <v>327</v>
      </c>
      <c r="B229" s="135">
        <f>SUM(D229:AA229)</f>
        <v>94.76523652877313</v>
      </c>
      <c r="C229" s="135">
        <f>B229/24</f>
        <v>3.9485515220322136</v>
      </c>
      <c r="D229" s="106">
        <f t="shared" ref="D229:AA229" si="112">MIN(D228,MAX(D226-D227,0))</f>
        <v>0</v>
      </c>
      <c r="E229" s="106">
        <f t="shared" si="112"/>
        <v>0</v>
      </c>
      <c r="F229" s="106">
        <f t="shared" si="112"/>
        <v>0</v>
      </c>
      <c r="G229" s="106">
        <f t="shared" si="112"/>
        <v>53.417995759182759</v>
      </c>
      <c r="H229" s="106">
        <f t="shared" si="112"/>
        <v>0</v>
      </c>
      <c r="I229" s="106">
        <f t="shared" si="112"/>
        <v>0</v>
      </c>
      <c r="J229" s="106">
        <f t="shared" si="112"/>
        <v>0</v>
      </c>
      <c r="K229" s="106">
        <f t="shared" si="112"/>
        <v>0</v>
      </c>
      <c r="L229" s="106">
        <f t="shared" si="112"/>
        <v>0</v>
      </c>
      <c r="M229" s="106">
        <f t="shared" si="112"/>
        <v>0</v>
      </c>
      <c r="N229" s="106">
        <f t="shared" si="112"/>
        <v>0</v>
      </c>
      <c r="O229" s="106">
        <f t="shared" si="112"/>
        <v>12.836857649614103</v>
      </c>
      <c r="P229" s="106">
        <f t="shared" si="112"/>
        <v>0</v>
      </c>
      <c r="Q229" s="106">
        <f t="shared" si="112"/>
        <v>28.510383119976268</v>
      </c>
      <c r="R229" s="106">
        <f t="shared" si="112"/>
        <v>0</v>
      </c>
      <c r="S229" s="106">
        <f t="shared" si="112"/>
        <v>0</v>
      </c>
      <c r="T229" s="106">
        <f t="shared" si="112"/>
        <v>0</v>
      </c>
      <c r="U229" s="106">
        <f t="shared" si="112"/>
        <v>0</v>
      </c>
      <c r="V229" s="106">
        <f t="shared" si="112"/>
        <v>0</v>
      </c>
      <c r="W229" s="106">
        <f t="shared" si="112"/>
        <v>0</v>
      </c>
      <c r="X229" s="106">
        <f t="shared" si="112"/>
        <v>0</v>
      </c>
      <c r="Y229" s="106">
        <f t="shared" si="112"/>
        <v>0</v>
      </c>
      <c r="Z229" s="106">
        <f t="shared" si="112"/>
        <v>0</v>
      </c>
      <c r="AA229" s="106">
        <f t="shared" si="112"/>
        <v>0</v>
      </c>
    </row>
    <row r="230" spans="1:27" ht="12.75" customHeight="1" x14ac:dyDescent="0.35">
      <c r="A230" s="139" t="s">
        <v>328</v>
      </c>
      <c r="B230" s="123">
        <f>AA230</f>
        <v>10010.106696178478</v>
      </c>
      <c r="C230" s="135" t="s">
        <v>104</v>
      </c>
      <c r="D230" s="123">
        <f t="shared" ref="D230:AA230" si="113">MAX(D228-D229,0)+MAX(D227-D226,0)</f>
        <v>0</v>
      </c>
      <c r="E230" s="123">
        <f t="shared" si="113"/>
        <v>0</v>
      </c>
      <c r="F230" s="123">
        <f t="shared" si="113"/>
        <v>53.417995759182759</v>
      </c>
      <c r="G230" s="123">
        <f t="shared" si="113"/>
        <v>0</v>
      </c>
      <c r="H230" s="123">
        <f t="shared" si="113"/>
        <v>1167.8954248899213</v>
      </c>
      <c r="I230" s="123">
        <f t="shared" si="113"/>
        <v>2518.7749831896281</v>
      </c>
      <c r="J230" s="123">
        <f t="shared" si="113"/>
        <v>3205.6071541353585</v>
      </c>
      <c r="K230" s="123">
        <f t="shared" si="113"/>
        <v>3778.0584717362958</v>
      </c>
      <c r="L230" s="123">
        <f t="shared" si="113"/>
        <v>4115.7024046690858</v>
      </c>
      <c r="M230" s="123">
        <f t="shared" si="113"/>
        <v>4768.7555398166141</v>
      </c>
      <c r="N230" s="123">
        <f t="shared" si="113"/>
        <v>5028.4589765045757</v>
      </c>
      <c r="O230" s="123">
        <f t="shared" si="113"/>
        <v>5015.6221188549616</v>
      </c>
      <c r="P230" s="123">
        <f t="shared" si="113"/>
        <v>5131.2225563459906</v>
      </c>
      <c r="Q230" s="123">
        <f t="shared" si="113"/>
        <v>5102.7121732260148</v>
      </c>
      <c r="R230" s="123">
        <f t="shared" si="113"/>
        <v>5624.0310742802885</v>
      </c>
      <c r="S230" s="123">
        <f t="shared" si="113"/>
        <v>6007.0750561784753</v>
      </c>
      <c r="T230" s="123">
        <f t="shared" si="113"/>
        <v>6834.1347761784755</v>
      </c>
      <c r="U230" s="123">
        <f t="shared" si="113"/>
        <v>7860.999496178476</v>
      </c>
      <c r="V230" s="123">
        <f t="shared" si="113"/>
        <v>8225.2666361784759</v>
      </c>
      <c r="W230" s="123">
        <f t="shared" si="113"/>
        <v>8512.4173961784763</v>
      </c>
      <c r="X230" s="123">
        <f t="shared" si="113"/>
        <v>8595.8340961784761</v>
      </c>
      <c r="Y230" s="123">
        <f t="shared" si="113"/>
        <v>8957.2882961784762</v>
      </c>
      <c r="Z230" s="123">
        <f t="shared" si="113"/>
        <v>9633.3146161784771</v>
      </c>
      <c r="AA230" s="123">
        <f t="shared" si="113"/>
        <v>10010.106696178478</v>
      </c>
    </row>
    <row r="231" spans="1:27" ht="12.75" customHeight="1" x14ac:dyDescent="0.35">
      <c r="A231" s="112" t="s">
        <v>329</v>
      </c>
      <c r="B231" s="135">
        <f>AA231</f>
        <v>0</v>
      </c>
      <c r="C231" s="135" t="s">
        <v>104</v>
      </c>
      <c r="D231" s="106">
        <f>0</f>
        <v>0</v>
      </c>
      <c r="E231" s="106">
        <f>0</f>
        <v>0</v>
      </c>
      <c r="F231" s="106">
        <f>0</f>
        <v>0</v>
      </c>
      <c r="G231" s="106">
        <f>0</f>
        <v>0</v>
      </c>
      <c r="H231" s="106">
        <f>0</f>
        <v>0</v>
      </c>
      <c r="I231" s="106">
        <f>0</f>
        <v>0</v>
      </c>
      <c r="J231" s="106">
        <f>0</f>
        <v>0</v>
      </c>
      <c r="K231" s="106">
        <f>0</f>
        <v>0</v>
      </c>
      <c r="L231" s="106">
        <f>0</f>
        <v>0</v>
      </c>
      <c r="M231" s="106">
        <f>0</f>
        <v>0</v>
      </c>
      <c r="N231" s="106">
        <f>0</f>
        <v>0</v>
      </c>
      <c r="O231" s="106">
        <f>0</f>
        <v>0</v>
      </c>
      <c r="P231" s="106">
        <f>0</f>
        <v>0</v>
      </c>
      <c r="Q231" s="106">
        <f>0</f>
        <v>0</v>
      </c>
      <c r="R231" s="106">
        <f>0</f>
        <v>0</v>
      </c>
      <c r="S231" s="106">
        <f>0</f>
        <v>0</v>
      </c>
      <c r="T231" s="106">
        <f>0</f>
        <v>0</v>
      </c>
      <c r="U231" s="106">
        <f>0</f>
        <v>0</v>
      </c>
      <c r="V231" s="106">
        <f>0</f>
        <v>0</v>
      </c>
      <c r="W231" s="106">
        <f>0</f>
        <v>0</v>
      </c>
      <c r="X231" s="106">
        <f>0</f>
        <v>0</v>
      </c>
      <c r="Y231" s="106">
        <f>0</f>
        <v>0</v>
      </c>
      <c r="Z231" s="106">
        <f>0</f>
        <v>0</v>
      </c>
      <c r="AA231" s="106">
        <f>0</f>
        <v>0</v>
      </c>
    </row>
    <row r="232" spans="1:27" ht="12.75" customHeight="1" x14ac:dyDescent="0.35">
      <c r="A232" s="112" t="s">
        <v>330</v>
      </c>
      <c r="B232" s="135">
        <f>SUM(D232:AA232)</f>
        <v>0</v>
      </c>
      <c r="C232" s="135">
        <f>B232/24</f>
        <v>0</v>
      </c>
      <c r="D232" s="106">
        <f>0</f>
        <v>0</v>
      </c>
      <c r="E232" s="106">
        <f>0</f>
        <v>0</v>
      </c>
      <c r="F232" s="106">
        <f>0</f>
        <v>0</v>
      </c>
      <c r="G232" s="106">
        <f>0</f>
        <v>0</v>
      </c>
      <c r="H232" s="106">
        <f>0</f>
        <v>0</v>
      </c>
      <c r="I232" s="106">
        <f>0</f>
        <v>0</v>
      </c>
      <c r="J232" s="106">
        <f>0</f>
        <v>0</v>
      </c>
      <c r="K232" s="106">
        <f>0</f>
        <v>0</v>
      </c>
      <c r="L232" s="106">
        <f>0</f>
        <v>0</v>
      </c>
      <c r="M232" s="106">
        <f>0</f>
        <v>0</v>
      </c>
      <c r="N232" s="106">
        <f>0</f>
        <v>0</v>
      </c>
      <c r="O232" s="106">
        <f>0</f>
        <v>0</v>
      </c>
      <c r="P232" s="106">
        <f>0</f>
        <v>0</v>
      </c>
      <c r="Q232" s="106">
        <f>0</f>
        <v>0</v>
      </c>
      <c r="R232" s="106">
        <f>0</f>
        <v>0</v>
      </c>
      <c r="S232" s="106">
        <f>0</f>
        <v>0</v>
      </c>
      <c r="T232" s="106">
        <f>0</f>
        <v>0</v>
      </c>
      <c r="U232" s="106">
        <f>0</f>
        <v>0</v>
      </c>
      <c r="V232" s="106">
        <f>0</f>
        <v>0</v>
      </c>
      <c r="W232" s="106">
        <f>0</f>
        <v>0</v>
      </c>
      <c r="X232" s="106">
        <f>0</f>
        <v>0</v>
      </c>
      <c r="Y232" s="106">
        <f>0</f>
        <v>0</v>
      </c>
      <c r="Z232" s="106">
        <f>0</f>
        <v>0</v>
      </c>
      <c r="AA232" s="106">
        <f>0</f>
        <v>0</v>
      </c>
    </row>
    <row r="233" spans="1:27" ht="12.75" customHeight="1" x14ac:dyDescent="0.35">
      <c r="A233" s="112" t="s">
        <v>331</v>
      </c>
      <c r="B233" s="135">
        <f>AA233</f>
        <v>0</v>
      </c>
      <c r="C233" s="135" t="s">
        <v>104</v>
      </c>
      <c r="D233" s="106">
        <f>0</f>
        <v>0</v>
      </c>
      <c r="E233" s="106">
        <f>0</f>
        <v>0</v>
      </c>
      <c r="F233" s="106">
        <f>0</f>
        <v>0</v>
      </c>
      <c r="G233" s="106">
        <f>0</f>
        <v>0</v>
      </c>
      <c r="H233" s="106">
        <f>0</f>
        <v>0</v>
      </c>
      <c r="I233" s="106">
        <f>0</f>
        <v>0</v>
      </c>
      <c r="J233" s="106">
        <f>0</f>
        <v>0</v>
      </c>
      <c r="K233" s="106">
        <f>0</f>
        <v>0</v>
      </c>
      <c r="L233" s="106">
        <f>0</f>
        <v>0</v>
      </c>
      <c r="M233" s="106">
        <f>0</f>
        <v>0</v>
      </c>
      <c r="N233" s="106">
        <f>0</f>
        <v>0</v>
      </c>
      <c r="O233" s="106">
        <f>0</f>
        <v>0</v>
      </c>
      <c r="P233" s="106">
        <f>0</f>
        <v>0</v>
      </c>
      <c r="Q233" s="106">
        <f>0</f>
        <v>0</v>
      </c>
      <c r="R233" s="106">
        <f>0</f>
        <v>0</v>
      </c>
      <c r="S233" s="106">
        <f>0</f>
        <v>0</v>
      </c>
      <c r="T233" s="106">
        <f>0</f>
        <v>0</v>
      </c>
      <c r="U233" s="106">
        <f>0</f>
        <v>0</v>
      </c>
      <c r="V233" s="106">
        <f>0</f>
        <v>0</v>
      </c>
      <c r="W233" s="106">
        <f>0</f>
        <v>0</v>
      </c>
      <c r="X233" s="106">
        <f>0</f>
        <v>0</v>
      </c>
      <c r="Y233" s="106">
        <f>0</f>
        <v>0</v>
      </c>
      <c r="Z233" s="106">
        <f>0</f>
        <v>0</v>
      </c>
      <c r="AA233" s="106">
        <f>0</f>
        <v>0</v>
      </c>
    </row>
    <row r="234" spans="1:27" ht="12.75" customHeight="1" x14ac:dyDescent="0.35">
      <c r="A234" s="125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234" s="128">
        <f>SUM(D234:AA234)</f>
        <v>28796.16407412053</v>
      </c>
      <c r="C234" s="142">
        <f>B234/24</f>
        <v>1199.8401697550221</v>
      </c>
      <c r="D234" s="128">
        <f>D226*Premissas!$F$19</f>
        <v>1046.7302298313025</v>
      </c>
      <c r="E234" s="128">
        <f>E226*Premissas!$F$19</f>
        <v>1237.3813592258634</v>
      </c>
      <c r="F234" s="128">
        <f>F226*Premissas!$F$19</f>
        <v>983.79684731270959</v>
      </c>
      <c r="G234" s="128">
        <f>G226*Premissas!$F$19</f>
        <v>1018.9655022495704</v>
      </c>
      <c r="H234" s="128">
        <f>H226*Premissas!$F$19</f>
        <v>1044.8792479925203</v>
      </c>
      <c r="I234" s="128">
        <f>I226*Premissas!$F$19</f>
        <v>805.17709987023272</v>
      </c>
      <c r="J234" s="128">
        <f>J226*Premissas!$F$19</f>
        <v>1316.0480873741044</v>
      </c>
      <c r="K234" s="128">
        <f>K226*Premissas!$F$19</f>
        <v>1474.1682109520691</v>
      </c>
      <c r="L234" s="128">
        <f>L226*Premissas!$F$19</f>
        <v>1473.2195827596931</v>
      </c>
      <c r="M234" s="128">
        <f>M226*Premissas!$F$19</f>
        <v>1443.8121087960419</v>
      </c>
      <c r="N234" s="128">
        <f>N226*Premissas!$F$19</f>
        <v>1148.788740967153</v>
      </c>
      <c r="O234" s="128">
        <f>O226*Premissas!$F$19</f>
        <v>1311.9527900557989</v>
      </c>
      <c r="P234" s="128">
        <f>P226*Premissas!$F$19</f>
        <v>1072.898485577085</v>
      </c>
      <c r="Q234" s="128">
        <f>Q226*Premissas!$F$19</f>
        <v>1268.3158932065098</v>
      </c>
      <c r="R234" s="128">
        <f>R226*Premissas!$F$19</f>
        <v>1008.3917684955272</v>
      </c>
      <c r="S234" s="128">
        <f>S226*Premissas!$F$19</f>
        <v>1044.4396398058095</v>
      </c>
      <c r="T234" s="128">
        <f>T226*Premissas!$F$19</f>
        <v>1071.0012291923333</v>
      </c>
      <c r="U234" s="128">
        <f>U226*Premissas!$F$19</f>
        <v>825.30652736698846</v>
      </c>
      <c r="V234" s="128">
        <f>V226*Premissas!$F$19</f>
        <v>1348.9492895584572</v>
      </c>
      <c r="W234" s="128">
        <f>W226*Premissas!$F$19</f>
        <v>1474.1682109520691</v>
      </c>
      <c r="X234" s="128">
        <f>X226*Premissas!$F$19</f>
        <v>1473.2195827596931</v>
      </c>
      <c r="Y234" s="128">
        <f>Y226*Premissas!$F$19</f>
        <v>1443.8121087960419</v>
      </c>
      <c r="Z234" s="128">
        <f>Z226*Premissas!$F$19</f>
        <v>1148.788740967153</v>
      </c>
      <c r="AA234" s="128">
        <f>AA226*Premissas!$F$19</f>
        <v>1311.9527900557989</v>
      </c>
    </row>
    <row r="235" spans="1:27" ht="12.75" customHeight="1" x14ac:dyDescent="0.35">
      <c r="A235" s="129" t="s">
        <v>307</v>
      </c>
      <c r="B235" s="130">
        <f>SUM(D235:AA235)</f>
        <v>757.11356234349705</v>
      </c>
      <c r="C235" s="142">
        <f>B235/24</f>
        <v>31.546398430979043</v>
      </c>
      <c r="D235" s="130">
        <f>IF(D230&gt;0,0,MAX(D226-D227-D228,0)*Premissas!$B$7)</f>
        <v>286.27411523564865</v>
      </c>
      <c r="E235" s="130">
        <f>IF(E230&gt;0,0,MAX(E226-E227-E228,0)*Premissas!$B$7)</f>
        <v>470.8389815575361</v>
      </c>
      <c r="F235" s="130">
        <f>IF(F230&gt;0,0,MAX(F226-F227-F228,0)*Premissas!$B$7)</f>
        <v>0</v>
      </c>
      <c r="G235" s="130">
        <f>IF(G230&gt;0,0,MAX(G226-G227-G228,0)*Premissas!$B$7)</f>
        <v>4.6555031238411083E-4</v>
      </c>
      <c r="H235" s="130">
        <f>IF(H230&gt;0,0,MAX(H226-H227-H228,0)*Premissas!$B$7)</f>
        <v>0</v>
      </c>
      <c r="I235" s="130">
        <f>IF(I230&gt;0,0,MAX(I226-I227-I228,0)*Premissas!$B$7)</f>
        <v>0</v>
      </c>
      <c r="J235" s="130">
        <f>IF(J230&gt;0,0,MAX(J226-J227-J228,0)*Premissas!$B$7)</f>
        <v>0</v>
      </c>
      <c r="K235" s="130">
        <f>IF(K230&gt;0,0,MAX(K226-K227-K228,0)*Premissas!$B$7)</f>
        <v>0</v>
      </c>
      <c r="L235" s="130">
        <f>IF(L230&gt;0,0,MAX(L226-L227-L228,0)*Premissas!$B$7)</f>
        <v>0</v>
      </c>
      <c r="M235" s="130">
        <f>IF(M230&gt;0,0,MAX(M226-M227-M228,0)*Premissas!$B$7)</f>
        <v>0</v>
      </c>
      <c r="N235" s="130">
        <f>IF(N230&gt;0,0,MAX(N226-N227-N228,0)*Premissas!$B$7)</f>
        <v>0</v>
      </c>
      <c r="O235" s="130">
        <f>IF(O230&gt;0,0,MAX(O226-O227-O228,0)*Premissas!$B$7)</f>
        <v>0</v>
      </c>
      <c r="P235" s="130">
        <f>IF(P230&gt;0,0,MAX(P226-P227-P228,0)*Premissas!$B$7)</f>
        <v>0</v>
      </c>
      <c r="Q235" s="130">
        <f>IF(Q230&gt;0,0,MAX(Q226-Q227-Q228,0)*Premissas!$B$7)</f>
        <v>0</v>
      </c>
      <c r="R235" s="130">
        <f>IF(R230&gt;0,0,MAX(R226-R227-R228,0)*Premissas!$B$7)</f>
        <v>0</v>
      </c>
      <c r="S235" s="130">
        <f>IF(S230&gt;0,0,MAX(S226-S227-S228,0)*Premissas!$B$7)</f>
        <v>0</v>
      </c>
      <c r="T235" s="130">
        <f>IF(T230&gt;0,0,MAX(T226-T227-T228,0)*Premissas!$B$7)</f>
        <v>0</v>
      </c>
      <c r="U235" s="130">
        <f>IF(U230&gt;0,0,MAX(U226-U227-U228,0)*Premissas!$B$7)</f>
        <v>0</v>
      </c>
      <c r="V235" s="130">
        <f>IF(V230&gt;0,0,MAX(V226-V227-V228,0)*Premissas!$B$7)</f>
        <v>0</v>
      </c>
      <c r="W235" s="130">
        <f>IF(W230&gt;0,0,MAX(W226-W227-W228,0)*Premissas!$B$7)</f>
        <v>0</v>
      </c>
      <c r="X235" s="130">
        <f>IF(X230&gt;0,0,MAX(X226-X227-X228,0)*Premissas!$B$7)</f>
        <v>0</v>
      </c>
      <c r="Y235" s="130">
        <f>IF(Y230&gt;0,0,MAX(Y226-Y227-Y228,0)*Premissas!$B$7)</f>
        <v>0</v>
      </c>
      <c r="Z235" s="130">
        <f>IF(Z230&gt;0,0,MAX(Z226-Z227-Z228,0)*Premissas!$B$7)</f>
        <v>0</v>
      </c>
      <c r="AA235" s="130">
        <f>IF(AA230&gt;0,0,MAX(AA226-AA227-AA228,0)*Premissas!$B$7)</f>
        <v>0</v>
      </c>
    </row>
    <row r="236" spans="1:27" ht="13.5" customHeight="1" x14ac:dyDescent="0.35">
      <c r="A236" s="139" t="s">
        <v>308</v>
      </c>
      <c r="B236" s="131">
        <f>SUM(D236:AA236)</f>
        <v>28039.050511777026</v>
      </c>
      <c r="C236" s="142">
        <f>B236/24</f>
        <v>1168.2937713240428</v>
      </c>
      <c r="D236" s="131">
        <f t="shared" ref="D236:AA236" si="114">MAX(D234-D235,0)</f>
        <v>760.45611459565384</v>
      </c>
      <c r="E236" s="131">
        <f t="shared" si="114"/>
        <v>766.54237766832739</v>
      </c>
      <c r="F236" s="131">
        <f t="shared" si="114"/>
        <v>983.79684731270959</v>
      </c>
      <c r="G236" s="131">
        <f t="shared" si="114"/>
        <v>1018.965036699258</v>
      </c>
      <c r="H236" s="131">
        <f t="shared" si="114"/>
        <v>1044.8792479925203</v>
      </c>
      <c r="I236" s="131">
        <f t="shared" si="114"/>
        <v>805.17709987023272</v>
      </c>
      <c r="J236" s="131">
        <f t="shared" si="114"/>
        <v>1316.0480873741044</v>
      </c>
      <c r="K236" s="131">
        <f t="shared" si="114"/>
        <v>1474.1682109520691</v>
      </c>
      <c r="L236" s="131">
        <f t="shared" si="114"/>
        <v>1473.2195827596931</v>
      </c>
      <c r="M236" s="131">
        <f t="shared" si="114"/>
        <v>1443.8121087960419</v>
      </c>
      <c r="N236" s="131">
        <f t="shared" si="114"/>
        <v>1148.788740967153</v>
      </c>
      <c r="O236" s="131">
        <f t="shared" si="114"/>
        <v>1311.9527900557989</v>
      </c>
      <c r="P236" s="131">
        <f t="shared" si="114"/>
        <v>1072.898485577085</v>
      </c>
      <c r="Q236" s="131">
        <f t="shared" si="114"/>
        <v>1268.3158932065098</v>
      </c>
      <c r="R236" s="131">
        <f t="shared" si="114"/>
        <v>1008.3917684955272</v>
      </c>
      <c r="S236" s="131">
        <f t="shared" si="114"/>
        <v>1044.4396398058095</v>
      </c>
      <c r="T236" s="131">
        <f t="shared" si="114"/>
        <v>1071.0012291923333</v>
      </c>
      <c r="U236" s="131">
        <f t="shared" si="114"/>
        <v>825.30652736698846</v>
      </c>
      <c r="V236" s="131">
        <f t="shared" si="114"/>
        <v>1348.9492895584572</v>
      </c>
      <c r="W236" s="131">
        <f t="shared" si="114"/>
        <v>1474.1682109520691</v>
      </c>
      <c r="X236" s="131">
        <f t="shared" si="114"/>
        <v>1473.2195827596931</v>
      </c>
      <c r="Y236" s="131">
        <f t="shared" si="114"/>
        <v>1443.8121087960419</v>
      </c>
      <c r="Z236" s="131">
        <f t="shared" si="114"/>
        <v>1148.788740967153</v>
      </c>
      <c r="AA236" s="131">
        <f t="shared" si="114"/>
        <v>1311.9527900557989</v>
      </c>
    </row>
    <row r="237" spans="1:27" ht="15" customHeight="1" x14ac:dyDescent="0.35">
      <c r="A237" s="229" t="s">
        <v>333</v>
      </c>
      <c r="B237" s="229"/>
      <c r="C237" s="229"/>
      <c r="D237" s="229"/>
      <c r="E237" s="229"/>
      <c r="F237" s="229"/>
      <c r="G237" s="229"/>
      <c r="H237" s="229"/>
      <c r="I237" s="229"/>
      <c r="J237" s="229"/>
      <c r="K237" s="229"/>
      <c r="L237" s="229"/>
      <c r="M237" s="229"/>
      <c r="N237" s="229"/>
      <c r="O237" s="229"/>
      <c r="P237" s="229"/>
      <c r="Q237" s="229"/>
      <c r="R237" s="229"/>
      <c r="S237" s="229"/>
      <c r="T237" s="229"/>
      <c r="U237" s="229"/>
      <c r="V237" s="229"/>
      <c r="W237" s="229"/>
      <c r="X237" s="229"/>
      <c r="Y237" s="229"/>
      <c r="Z237" s="229"/>
      <c r="AA237" s="229"/>
    </row>
    <row r="238" spans="1:27" ht="12.75" customHeight="1" x14ac:dyDescent="0.35">
      <c r="A238" s="71" t="s">
        <v>295</v>
      </c>
      <c r="B238" s="84">
        <f>SUM(D238:AA238)</f>
        <v>98334.224999999991</v>
      </c>
      <c r="C238" s="135">
        <f>B238/24</f>
        <v>4097.2593749999996</v>
      </c>
      <c r="D238" s="84">
        <f>3953</f>
        <v>3953</v>
      </c>
      <c r="E238" s="84">
        <f>4336</f>
        <v>4336</v>
      </c>
      <c r="F238" s="84">
        <f>4685</f>
        <v>4685</v>
      </c>
      <c r="G238" s="84">
        <f>3873</f>
        <v>3873</v>
      </c>
      <c r="H238" s="84">
        <f>3961</f>
        <v>3961</v>
      </c>
      <c r="I238" s="84">
        <f>3614</f>
        <v>3614</v>
      </c>
      <c r="J238" s="84">
        <f>3547</f>
        <v>3547</v>
      </c>
      <c r="K238" s="84">
        <f>4300*(1+Premissas!$B$21)</f>
        <v>4407.5</v>
      </c>
      <c r="L238" s="84">
        <f>4609*(1+Premissas!$B$21)</f>
        <v>4724.2249999999995</v>
      </c>
      <c r="M238" s="84">
        <f>3733*(1+Premissas!$B$21)</f>
        <v>3826.3249999999998</v>
      </c>
      <c r="N238" s="84">
        <f>3810*(1+Premissas!$B$21)</f>
        <v>3905.2499999999995</v>
      </c>
      <c r="O238" s="84">
        <f>3888*(1+Premissas!$B$21)</f>
        <v>3985.2</v>
      </c>
      <c r="P238" s="84">
        <f>3953*(1+Premissas!$B$21)</f>
        <v>4051.8249999999998</v>
      </c>
      <c r="Q238" s="84">
        <f>4336*(1+Premissas!$B$21)</f>
        <v>4444.3999999999996</v>
      </c>
      <c r="R238" s="84">
        <f>4685*(1+Premissas!$B$21)</f>
        <v>4802.125</v>
      </c>
      <c r="S238" s="84">
        <f>3873*(1+Premissas!$B$21)</f>
        <v>3969.8249999999998</v>
      </c>
      <c r="T238" s="84">
        <f>3961*(1+Premissas!$B$21)</f>
        <v>4060.0249999999996</v>
      </c>
      <c r="U238" s="84">
        <f>3614*(1+Premissas!$B$21)</f>
        <v>3704.3499999999995</v>
      </c>
      <c r="V238" s="84">
        <f>3547*(1+Premissas!$B$21)</f>
        <v>3635.6749999999997</v>
      </c>
      <c r="W238" s="84">
        <f>4300*(1+Premissas!$B$21)</f>
        <v>4407.5</v>
      </c>
      <c r="X238" s="84">
        <f>4609*(1+Premissas!$B$21)</f>
        <v>4724.2249999999995</v>
      </c>
      <c r="Y238" s="84">
        <f>3733*(1+Premissas!$B$21)</f>
        <v>3826.3249999999998</v>
      </c>
      <c r="Z238" s="84">
        <f>3810*(1+Premissas!$B$21)</f>
        <v>3905.2499999999995</v>
      </c>
      <c r="AA238" s="84">
        <f>3888*(1+Premissas!$B$21)</f>
        <v>3985.2</v>
      </c>
    </row>
    <row r="239" spans="1:27" ht="12.75" customHeight="1" x14ac:dyDescent="0.35">
      <c r="A239" s="108" t="str">
        <f>"  "&amp;INDEX(PVSYST_Helexia!$A$5:$A$7,MATCH(Premissas!$B$13,PVSYST_Helexia!$B$5:$B$7,0))&amp;" créditos recebidos (kWh)"</f>
        <v xml:space="preserve">  HCS03 créditos recebidos (kWh)</v>
      </c>
      <c r="B239" s="121">
        <f>SUM(D239:AA239)</f>
        <v>122233.03461876709</v>
      </c>
      <c r="C239" s="135">
        <f>B239/24</f>
        <v>5093.0431091152959</v>
      </c>
      <c r="D239" s="122">
        <f>D6*Premissas!$B$50</f>
        <v>3707.7435935300259</v>
      </c>
      <c r="E239" s="122">
        <f>E6*Premissas!$B$50</f>
        <v>3902.7148672602925</v>
      </c>
      <c r="F239" s="122">
        <f>F6*Premissas!$B$50</f>
        <v>4684.9922477486025</v>
      </c>
      <c r="G239" s="122">
        <f>G6*Premissas!$B$50</f>
        <v>4396.1237655040659</v>
      </c>
      <c r="H239" s="122">
        <f>H6*Premissas!$C$50</f>
        <v>5457.3530190988695</v>
      </c>
      <c r="I239" s="122">
        <f>I6*Premissas!$C$50</f>
        <v>5276.741653626972</v>
      </c>
      <c r="J239" s="122">
        <f>J6*Premissas!$C$50</f>
        <v>5010.5205009213942</v>
      </c>
      <c r="K239" s="122">
        <f>K6*Premissas!$C$50</f>
        <v>5144.6894598758481</v>
      </c>
      <c r="L239" s="122">
        <f>L6*Premissas!$C$50</f>
        <v>4584.3589535221772</v>
      </c>
      <c r="M239" s="122">
        <f>M6*Premissas!$C$50</f>
        <v>5258.2651109391963</v>
      </c>
      <c r="N239" s="122">
        <f>N6*Premissas!$D$50</f>
        <v>5279.0263437941185</v>
      </c>
      <c r="O239" s="122">
        <f>O6*Premissas!$D$50</f>
        <v>4940.5437668800687</v>
      </c>
      <c r="P239" s="122">
        <f>P6*Premissas!$D$50</f>
        <v>4483.8092640569448</v>
      </c>
      <c r="Q239" s="122">
        <f>Q6*Premissas!$D$50</f>
        <v>4719.5898625056197</v>
      </c>
      <c r="R239" s="122">
        <f>R6*Premissas!$D$50</f>
        <v>5665.6052697782197</v>
      </c>
      <c r="S239" s="122">
        <f>S6*Premissas!$D$50</f>
        <v>5316.2738923220541</v>
      </c>
      <c r="T239" s="122">
        <f>T6*Premissas!$E$50</f>
        <v>5908.318668030216</v>
      </c>
      <c r="U239" s="122">
        <f>U6*Premissas!$E$50</f>
        <v>5712.7825723183341</v>
      </c>
      <c r="V239" s="122">
        <f>V6*Premissas!$E$50</f>
        <v>5424.5623672390211</v>
      </c>
      <c r="W239" s="122">
        <f>W6*Premissas!$E$50</f>
        <v>5597.807348039747</v>
      </c>
      <c r="X239" s="122">
        <f>X6*Premissas!$E$50</f>
        <v>4988.125801610101</v>
      </c>
      <c r="Y239" s="122">
        <f>Y6*Premissas!$E$50</f>
        <v>5721.386160529657</v>
      </c>
      <c r="Z239" s="122">
        <f>Z6*Premissas!$E$50</f>
        <v>5708.8718504040971</v>
      </c>
      <c r="AA239" s="122">
        <f>AA6*Premissas!$E$50</f>
        <v>5342.828279231454</v>
      </c>
    </row>
    <row r="240" spans="1:27" ht="12.75" customHeight="1" x14ac:dyDescent="0.35">
      <c r="A240" s="112" t="s">
        <v>326</v>
      </c>
      <c r="B240" s="135">
        <f>AA240</f>
        <v>23219.730630996728</v>
      </c>
      <c r="C240" s="135" t="s">
        <v>104</v>
      </c>
      <c r="D240" s="135">
        <f>0</f>
        <v>0</v>
      </c>
      <c r="E240" s="135">
        <f t="shared" ref="E240:AA240" si="115">D242</f>
        <v>0</v>
      </c>
      <c r="F240" s="135">
        <f t="shared" si="115"/>
        <v>0</v>
      </c>
      <c r="G240" s="135">
        <f t="shared" si="115"/>
        <v>0</v>
      </c>
      <c r="H240" s="135">
        <f t="shared" si="115"/>
        <v>523.12376550406589</v>
      </c>
      <c r="I240" s="135">
        <f t="shared" si="115"/>
        <v>2019.4767846029354</v>
      </c>
      <c r="J240" s="135">
        <f t="shared" si="115"/>
        <v>3682.2184382299074</v>
      </c>
      <c r="K240" s="135">
        <f t="shared" si="115"/>
        <v>5145.7389391513016</v>
      </c>
      <c r="L240" s="135">
        <f t="shared" si="115"/>
        <v>5882.9283990271497</v>
      </c>
      <c r="M240" s="135">
        <f t="shared" si="115"/>
        <v>5743.0623525493274</v>
      </c>
      <c r="N240" s="135">
        <f t="shared" si="115"/>
        <v>7175.002463488524</v>
      </c>
      <c r="O240" s="135">
        <f t="shared" si="115"/>
        <v>8548.7788072826424</v>
      </c>
      <c r="P240" s="135">
        <f t="shared" si="115"/>
        <v>9504.1225741627113</v>
      </c>
      <c r="Q240" s="135">
        <f t="shared" si="115"/>
        <v>9936.1068382196572</v>
      </c>
      <c r="R240" s="135">
        <f t="shared" si="115"/>
        <v>10211.296700725277</v>
      </c>
      <c r="S240" s="135">
        <f t="shared" si="115"/>
        <v>11074.776970503497</v>
      </c>
      <c r="T240" s="135">
        <f t="shared" si="115"/>
        <v>12421.225862825551</v>
      </c>
      <c r="U240" s="135">
        <f t="shared" si="115"/>
        <v>14269.519530855767</v>
      </c>
      <c r="V240" s="135">
        <f t="shared" si="115"/>
        <v>16277.952103174102</v>
      </c>
      <c r="W240" s="135">
        <f t="shared" si="115"/>
        <v>18066.839470413124</v>
      </c>
      <c r="X240" s="135">
        <f t="shared" si="115"/>
        <v>19257.146818452871</v>
      </c>
      <c r="Y240" s="135">
        <f t="shared" si="115"/>
        <v>19521.047620062971</v>
      </c>
      <c r="Z240" s="135">
        <f t="shared" si="115"/>
        <v>21416.108780592629</v>
      </c>
      <c r="AA240" s="135">
        <f t="shared" si="115"/>
        <v>23219.730630996728</v>
      </c>
    </row>
    <row r="241" spans="1:27" ht="12.75" customHeight="1" x14ac:dyDescent="0.35">
      <c r="A241" s="112" t="s">
        <v>327</v>
      </c>
      <c r="B241" s="135">
        <f>SUM(D241:AA241)</f>
        <v>139.86604647782224</v>
      </c>
      <c r="C241" s="135">
        <f>B241/24</f>
        <v>5.8277519365759263</v>
      </c>
      <c r="D241" s="106">
        <f t="shared" ref="D241:AA241" si="116">MIN(D240,MAX(D238-D239,0))</f>
        <v>0</v>
      </c>
      <c r="E241" s="106">
        <f t="shared" si="116"/>
        <v>0</v>
      </c>
      <c r="F241" s="106">
        <f t="shared" si="116"/>
        <v>0</v>
      </c>
      <c r="G241" s="106">
        <f t="shared" si="116"/>
        <v>0</v>
      </c>
      <c r="H241" s="106">
        <f t="shared" si="116"/>
        <v>0</v>
      </c>
      <c r="I241" s="106">
        <f t="shared" si="116"/>
        <v>0</v>
      </c>
      <c r="J241" s="106">
        <f t="shared" si="116"/>
        <v>0</v>
      </c>
      <c r="K241" s="106">
        <f t="shared" si="116"/>
        <v>0</v>
      </c>
      <c r="L241" s="106">
        <f t="shared" si="116"/>
        <v>139.86604647782224</v>
      </c>
      <c r="M241" s="106">
        <f t="shared" si="116"/>
        <v>0</v>
      </c>
      <c r="N241" s="106">
        <f t="shared" si="116"/>
        <v>0</v>
      </c>
      <c r="O241" s="106">
        <f t="shared" si="116"/>
        <v>0</v>
      </c>
      <c r="P241" s="106">
        <f t="shared" si="116"/>
        <v>0</v>
      </c>
      <c r="Q241" s="106">
        <f t="shared" si="116"/>
        <v>0</v>
      </c>
      <c r="R241" s="106">
        <f t="shared" si="116"/>
        <v>0</v>
      </c>
      <c r="S241" s="106">
        <f t="shared" si="116"/>
        <v>0</v>
      </c>
      <c r="T241" s="106">
        <f t="shared" si="116"/>
        <v>0</v>
      </c>
      <c r="U241" s="106">
        <f t="shared" si="116"/>
        <v>0</v>
      </c>
      <c r="V241" s="106">
        <f t="shared" si="116"/>
        <v>0</v>
      </c>
      <c r="W241" s="106">
        <f t="shared" si="116"/>
        <v>0</v>
      </c>
      <c r="X241" s="106">
        <f t="shared" si="116"/>
        <v>0</v>
      </c>
      <c r="Y241" s="106">
        <f t="shared" si="116"/>
        <v>0</v>
      </c>
      <c r="Z241" s="106">
        <f t="shared" si="116"/>
        <v>0</v>
      </c>
      <c r="AA241" s="106">
        <f t="shared" si="116"/>
        <v>0</v>
      </c>
    </row>
    <row r="242" spans="1:27" ht="12.75" customHeight="1" x14ac:dyDescent="0.35">
      <c r="A242" s="139" t="s">
        <v>328</v>
      </c>
      <c r="B242" s="123">
        <f>AA242</f>
        <v>24577.358910228184</v>
      </c>
      <c r="C242" s="135" t="s">
        <v>104</v>
      </c>
      <c r="D242" s="123">
        <f t="shared" ref="D242:AA242" si="117">MAX(D240-D241,0)+MAX(D239-D238,0)</f>
        <v>0</v>
      </c>
      <c r="E242" s="123">
        <f t="shared" si="117"/>
        <v>0</v>
      </c>
      <c r="F242" s="123">
        <f t="shared" si="117"/>
        <v>0</v>
      </c>
      <c r="G242" s="123">
        <f t="shared" si="117"/>
        <v>523.12376550406589</v>
      </c>
      <c r="H242" s="123">
        <f t="shared" si="117"/>
        <v>2019.4767846029354</v>
      </c>
      <c r="I242" s="123">
        <f t="shared" si="117"/>
        <v>3682.2184382299074</v>
      </c>
      <c r="J242" s="123">
        <f t="shared" si="117"/>
        <v>5145.7389391513016</v>
      </c>
      <c r="K242" s="123">
        <f t="shared" si="117"/>
        <v>5882.9283990271497</v>
      </c>
      <c r="L242" s="123">
        <f t="shared" si="117"/>
        <v>5743.0623525493274</v>
      </c>
      <c r="M242" s="123">
        <f t="shared" si="117"/>
        <v>7175.002463488524</v>
      </c>
      <c r="N242" s="123">
        <f t="shared" si="117"/>
        <v>8548.7788072826424</v>
      </c>
      <c r="O242" s="123">
        <f t="shared" si="117"/>
        <v>9504.1225741627113</v>
      </c>
      <c r="P242" s="123">
        <f t="shared" si="117"/>
        <v>9936.1068382196572</v>
      </c>
      <c r="Q242" s="123">
        <f t="shared" si="117"/>
        <v>10211.296700725277</v>
      </c>
      <c r="R242" s="123">
        <f t="shared" si="117"/>
        <v>11074.776970503497</v>
      </c>
      <c r="S242" s="123">
        <f t="shared" si="117"/>
        <v>12421.225862825551</v>
      </c>
      <c r="T242" s="123">
        <f t="shared" si="117"/>
        <v>14269.519530855767</v>
      </c>
      <c r="U242" s="123">
        <f t="shared" si="117"/>
        <v>16277.952103174102</v>
      </c>
      <c r="V242" s="123">
        <f t="shared" si="117"/>
        <v>18066.839470413124</v>
      </c>
      <c r="W242" s="123">
        <f t="shared" si="117"/>
        <v>19257.146818452871</v>
      </c>
      <c r="X242" s="123">
        <f t="shared" si="117"/>
        <v>19521.047620062971</v>
      </c>
      <c r="Y242" s="123">
        <f t="shared" si="117"/>
        <v>21416.108780592629</v>
      </c>
      <c r="Z242" s="123">
        <f t="shared" si="117"/>
        <v>23219.730630996728</v>
      </c>
      <c r="AA242" s="123">
        <f t="shared" si="117"/>
        <v>24577.358910228184</v>
      </c>
    </row>
    <row r="243" spans="1:27" ht="12.75" customHeight="1" x14ac:dyDescent="0.35">
      <c r="A243" s="112" t="s">
        <v>329</v>
      </c>
      <c r="B243" s="135">
        <f>AA243</f>
        <v>0</v>
      </c>
      <c r="C243" s="135" t="s">
        <v>104</v>
      </c>
      <c r="D243" s="106">
        <f>0</f>
        <v>0</v>
      </c>
      <c r="E243" s="106">
        <f>0</f>
        <v>0</v>
      </c>
      <c r="F243" s="106">
        <f>0</f>
        <v>0</v>
      </c>
      <c r="G243" s="106">
        <f>0</f>
        <v>0</v>
      </c>
      <c r="H243" s="106">
        <f>0</f>
        <v>0</v>
      </c>
      <c r="I243" s="106">
        <f>0</f>
        <v>0</v>
      </c>
      <c r="J243" s="106">
        <f>0</f>
        <v>0</v>
      </c>
      <c r="K243" s="106">
        <f>0</f>
        <v>0</v>
      </c>
      <c r="L243" s="106">
        <f>0</f>
        <v>0</v>
      </c>
      <c r="M243" s="106">
        <f>0</f>
        <v>0</v>
      </c>
      <c r="N243" s="106">
        <f>0</f>
        <v>0</v>
      </c>
      <c r="O243" s="106">
        <f>0</f>
        <v>0</v>
      </c>
      <c r="P243" s="106">
        <f>0</f>
        <v>0</v>
      </c>
      <c r="Q243" s="106">
        <f>0</f>
        <v>0</v>
      </c>
      <c r="R243" s="106">
        <f>0</f>
        <v>0</v>
      </c>
      <c r="S243" s="106">
        <f>0</f>
        <v>0</v>
      </c>
      <c r="T243" s="106">
        <f>0</f>
        <v>0</v>
      </c>
      <c r="U243" s="106">
        <f>0</f>
        <v>0</v>
      </c>
      <c r="V243" s="106">
        <f>0</f>
        <v>0</v>
      </c>
      <c r="W243" s="106">
        <f>0</f>
        <v>0</v>
      </c>
      <c r="X243" s="106">
        <f>0</f>
        <v>0</v>
      </c>
      <c r="Y243" s="106">
        <f>0</f>
        <v>0</v>
      </c>
      <c r="Z243" s="106">
        <f>0</f>
        <v>0</v>
      </c>
      <c r="AA243" s="106">
        <f>0</f>
        <v>0</v>
      </c>
    </row>
    <row r="244" spans="1:27" ht="12.75" customHeight="1" x14ac:dyDescent="0.35">
      <c r="A244" s="112" t="s">
        <v>330</v>
      </c>
      <c r="B244" s="135">
        <f>SUM(D244:AA244)</f>
        <v>0</v>
      </c>
      <c r="C244" s="135">
        <f>B244/24</f>
        <v>0</v>
      </c>
      <c r="D244" s="106">
        <f>0</f>
        <v>0</v>
      </c>
      <c r="E244" s="106">
        <f>0</f>
        <v>0</v>
      </c>
      <c r="F244" s="106">
        <f>0</f>
        <v>0</v>
      </c>
      <c r="G244" s="106">
        <f>0</f>
        <v>0</v>
      </c>
      <c r="H244" s="106">
        <f>0</f>
        <v>0</v>
      </c>
      <c r="I244" s="106">
        <f>0</f>
        <v>0</v>
      </c>
      <c r="J244" s="106">
        <f>0</f>
        <v>0</v>
      </c>
      <c r="K244" s="106">
        <f>0</f>
        <v>0</v>
      </c>
      <c r="L244" s="106">
        <f>0</f>
        <v>0</v>
      </c>
      <c r="M244" s="106">
        <f>0</f>
        <v>0</v>
      </c>
      <c r="N244" s="106">
        <f>0</f>
        <v>0</v>
      </c>
      <c r="O244" s="106">
        <f>0</f>
        <v>0</v>
      </c>
      <c r="P244" s="106">
        <f>0</f>
        <v>0</v>
      </c>
      <c r="Q244" s="106">
        <f>0</f>
        <v>0</v>
      </c>
      <c r="R244" s="106">
        <f>0</f>
        <v>0</v>
      </c>
      <c r="S244" s="106">
        <f>0</f>
        <v>0</v>
      </c>
      <c r="T244" s="106">
        <f>0</f>
        <v>0</v>
      </c>
      <c r="U244" s="106">
        <f>0</f>
        <v>0</v>
      </c>
      <c r="V244" s="106">
        <f>0</f>
        <v>0</v>
      </c>
      <c r="W244" s="106">
        <f>0</f>
        <v>0</v>
      </c>
      <c r="X244" s="106">
        <f>0</f>
        <v>0</v>
      </c>
      <c r="Y244" s="106">
        <f>0</f>
        <v>0</v>
      </c>
      <c r="Z244" s="106">
        <f>0</f>
        <v>0</v>
      </c>
      <c r="AA244" s="106">
        <f>0</f>
        <v>0</v>
      </c>
    </row>
    <row r="245" spans="1:27" ht="12.75" customHeight="1" x14ac:dyDescent="0.35">
      <c r="A245" s="112" t="s">
        <v>331</v>
      </c>
      <c r="B245" s="135">
        <f>AA245</f>
        <v>0</v>
      </c>
      <c r="C245" s="135" t="s">
        <v>104</v>
      </c>
      <c r="D245" s="106">
        <f>0</f>
        <v>0</v>
      </c>
      <c r="E245" s="106">
        <f>0</f>
        <v>0</v>
      </c>
      <c r="F245" s="106">
        <f>0</f>
        <v>0</v>
      </c>
      <c r="G245" s="106">
        <f>0</f>
        <v>0</v>
      </c>
      <c r="H245" s="106">
        <f>0</f>
        <v>0</v>
      </c>
      <c r="I245" s="106">
        <f>0</f>
        <v>0</v>
      </c>
      <c r="J245" s="106">
        <f>0</f>
        <v>0</v>
      </c>
      <c r="K245" s="106">
        <f>0</f>
        <v>0</v>
      </c>
      <c r="L245" s="106">
        <f>0</f>
        <v>0</v>
      </c>
      <c r="M245" s="106">
        <f>0</f>
        <v>0</v>
      </c>
      <c r="N245" s="106">
        <f>0</f>
        <v>0</v>
      </c>
      <c r="O245" s="106">
        <f>0</f>
        <v>0</v>
      </c>
      <c r="P245" s="106">
        <f>0</f>
        <v>0</v>
      </c>
      <c r="Q245" s="106">
        <f>0</f>
        <v>0</v>
      </c>
      <c r="R245" s="106">
        <f>0</f>
        <v>0</v>
      </c>
      <c r="S245" s="106">
        <f>0</f>
        <v>0</v>
      </c>
      <c r="T245" s="106">
        <f>0</f>
        <v>0</v>
      </c>
      <c r="U245" s="106">
        <f>0</f>
        <v>0</v>
      </c>
      <c r="V245" s="106">
        <f>0</f>
        <v>0</v>
      </c>
      <c r="W245" s="106">
        <f>0</f>
        <v>0</v>
      </c>
      <c r="X245" s="106">
        <f>0</f>
        <v>0</v>
      </c>
      <c r="Y245" s="106">
        <f>0</f>
        <v>0</v>
      </c>
      <c r="Z245" s="106">
        <f>0</f>
        <v>0</v>
      </c>
      <c r="AA245" s="106">
        <f>0</f>
        <v>0</v>
      </c>
    </row>
    <row r="246" spans="1:27" ht="12.75" customHeight="1" x14ac:dyDescent="0.35">
      <c r="A246" s="125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246" s="128">
        <f t="shared" ref="B246:B253" si="118">SUM(D246:AA246)</f>
        <v>91007.43230285855</v>
      </c>
      <c r="C246" s="142">
        <f t="shared" ref="C246:C252" si="119">B246/24</f>
        <v>3791.9763459524397</v>
      </c>
      <c r="D246" s="128">
        <f>D238*Premissas!$F$19</f>
        <v>3658.465604352908</v>
      </c>
      <c r="E246" s="128">
        <f>E238*Premissas!$F$19</f>
        <v>4012.9286264796888</v>
      </c>
      <c r="F246" s="128">
        <f>F238*Premissas!$F$19</f>
        <v>4335.9249573471725</v>
      </c>
      <c r="G246" s="128">
        <f>G238*Premissas!$F$19</f>
        <v>3584.426330801622</v>
      </c>
      <c r="H246" s="128">
        <f>H238*Premissas!$F$19</f>
        <v>3665.8695317080364</v>
      </c>
      <c r="I246" s="128">
        <f>I238*Premissas!$F$19</f>
        <v>3344.7241826793347</v>
      </c>
      <c r="J246" s="128">
        <f>J238*Premissas!$F$19</f>
        <v>3282.7162910801326</v>
      </c>
      <c r="K246" s="128">
        <f>K238*Premissas!$F$19</f>
        <v>4079.1012272161502</v>
      </c>
      <c r="L246" s="128">
        <f>L238*Premissas!$F$19</f>
        <v>4372.2273386602874</v>
      </c>
      <c r="M246" s="128">
        <f>M238*Premissas!$F$19</f>
        <v>3541.2290421390439</v>
      </c>
      <c r="N246" s="128">
        <f>N238*Premissas!$F$19</f>
        <v>3614.273412951984</v>
      </c>
      <c r="O246" s="128">
        <f>O238*Premissas!$F$19</f>
        <v>3688.2664119573005</v>
      </c>
      <c r="P246" s="128">
        <f>P238*Premissas!$F$19</f>
        <v>3749.9272444617304</v>
      </c>
      <c r="Q246" s="128">
        <f>Q238*Premissas!$F$19</f>
        <v>4113.2518421416808</v>
      </c>
      <c r="R246" s="128">
        <f>R238*Premissas!$F$19</f>
        <v>4444.3230812808524</v>
      </c>
      <c r="S246" s="128">
        <f>S238*Premissas!$F$19</f>
        <v>3674.0369890716624</v>
      </c>
      <c r="T246" s="128">
        <f>T238*Premissas!$F$19</f>
        <v>3757.5162700007372</v>
      </c>
      <c r="U246" s="128">
        <f>U238*Premissas!$F$19</f>
        <v>3428.3422872463175</v>
      </c>
      <c r="V246" s="128">
        <f>V238*Premissas!$F$19</f>
        <v>3364.7841983571357</v>
      </c>
      <c r="W246" s="128">
        <f>W238*Premissas!$F$19</f>
        <v>4079.1012272161502</v>
      </c>
      <c r="X246" s="128">
        <f>X238*Premissas!$F$19</f>
        <v>4372.2273386602874</v>
      </c>
      <c r="Y246" s="128">
        <f>Y238*Premissas!$F$19</f>
        <v>3541.2290421390439</v>
      </c>
      <c r="Z246" s="128">
        <f>Z238*Premissas!$F$19</f>
        <v>3614.273412951984</v>
      </c>
      <c r="AA246" s="128">
        <f>AA238*Premissas!$F$19</f>
        <v>3688.2664119573005</v>
      </c>
    </row>
    <row r="247" spans="1:27" ht="12.75" customHeight="1" x14ac:dyDescent="0.35">
      <c r="A247" s="129" t="s">
        <v>307</v>
      </c>
      <c r="B247" s="130">
        <f t="shared" si="118"/>
        <v>784.98900950809309</v>
      </c>
      <c r="C247" s="142">
        <f t="shared" si="119"/>
        <v>32.707875396170543</v>
      </c>
      <c r="D247" s="130">
        <f>IF(D242&gt;0,0,MAX(D238-D239-D240,0)*Premissas!$B$7)</f>
        <v>283.72822138805844</v>
      </c>
      <c r="E247" s="130">
        <f>IF(E242&gt;0,0,MAX(E238-E239-E240,0)*Premissas!$B$7)</f>
        <v>501.25181982219317</v>
      </c>
      <c r="F247" s="130">
        <f>IF(F242&gt;0,0,MAX(F238-F239-F240,0)*Premissas!$B$7)</f>
        <v>8.9682978415350639E-3</v>
      </c>
      <c r="G247" s="130">
        <f>IF(G242&gt;0,0,MAX(G238-G239-G240,0)*Premissas!$B$7)</f>
        <v>0</v>
      </c>
      <c r="H247" s="130">
        <f>IF(H242&gt;0,0,MAX(H238-H239-H240,0)*Premissas!$B$7)</f>
        <v>0</v>
      </c>
      <c r="I247" s="130">
        <f>IF(I242&gt;0,0,MAX(I238-I239-I240,0)*Premissas!$B$7)</f>
        <v>0</v>
      </c>
      <c r="J247" s="130">
        <f>IF(J242&gt;0,0,MAX(J238-J239-J240,0)*Premissas!$B$7)</f>
        <v>0</v>
      </c>
      <c r="K247" s="130">
        <f>IF(K242&gt;0,0,MAX(K238-K239-K240,0)*Premissas!$B$7)</f>
        <v>0</v>
      </c>
      <c r="L247" s="130">
        <f>IF(L242&gt;0,0,MAX(L238-L239-L240,0)*Premissas!$B$7)</f>
        <v>0</v>
      </c>
      <c r="M247" s="130">
        <f>IF(M242&gt;0,0,MAX(M238-M239-M240,0)*Premissas!$B$7)</f>
        <v>0</v>
      </c>
      <c r="N247" s="130">
        <f>IF(N242&gt;0,0,MAX(N238-N239-N240,0)*Premissas!$B$7)</f>
        <v>0</v>
      </c>
      <c r="O247" s="130">
        <f>IF(O242&gt;0,0,MAX(O238-O239-O240,0)*Premissas!$B$7)</f>
        <v>0</v>
      </c>
      <c r="P247" s="130">
        <f>IF(P242&gt;0,0,MAX(P238-P239-P240,0)*Premissas!$B$7)</f>
        <v>0</v>
      </c>
      <c r="Q247" s="130">
        <f>IF(Q242&gt;0,0,MAX(Q238-Q239-Q240,0)*Premissas!$B$7)</f>
        <v>0</v>
      </c>
      <c r="R247" s="130">
        <f>IF(R242&gt;0,0,MAX(R238-R239-R240,0)*Premissas!$B$7)</f>
        <v>0</v>
      </c>
      <c r="S247" s="130">
        <f>IF(S242&gt;0,0,MAX(S238-S239-S240,0)*Premissas!$B$7)</f>
        <v>0</v>
      </c>
      <c r="T247" s="130">
        <f>IF(T242&gt;0,0,MAX(T238-T239-T240,0)*Premissas!$B$7)</f>
        <v>0</v>
      </c>
      <c r="U247" s="130">
        <f>IF(U242&gt;0,0,MAX(U238-U239-U240,0)*Premissas!$B$7)</f>
        <v>0</v>
      </c>
      <c r="V247" s="130">
        <f>IF(V242&gt;0,0,MAX(V238-V239-V240,0)*Premissas!$B$7)</f>
        <v>0</v>
      </c>
      <c r="W247" s="130">
        <f>IF(W242&gt;0,0,MAX(W238-W239-W240,0)*Premissas!$B$7)</f>
        <v>0</v>
      </c>
      <c r="X247" s="130">
        <f>IF(X242&gt;0,0,MAX(X238-X239-X240,0)*Premissas!$B$7)</f>
        <v>0</v>
      </c>
      <c r="Y247" s="130">
        <f>IF(Y242&gt;0,0,MAX(Y238-Y239-Y240,0)*Premissas!$B$7)</f>
        <v>0</v>
      </c>
      <c r="Z247" s="130">
        <f>IF(Z242&gt;0,0,MAX(Z238-Z239-Z240,0)*Premissas!$B$7)</f>
        <v>0</v>
      </c>
      <c r="AA247" s="130">
        <f>IF(AA242&gt;0,0,MAX(AA238-AA239-AA240,0)*Premissas!$B$7)</f>
        <v>0</v>
      </c>
    </row>
    <row r="248" spans="1:27" ht="13.5" customHeight="1" x14ac:dyDescent="0.35">
      <c r="A248" s="139" t="s">
        <v>308</v>
      </c>
      <c r="B248" s="131">
        <f t="shared" si="118"/>
        <v>90222.443293350458</v>
      </c>
      <c r="C248" s="142">
        <f t="shared" si="119"/>
        <v>3759.2684705562692</v>
      </c>
      <c r="D248" s="131">
        <f t="shared" ref="D248:AA248" si="120">MAX(D246-D247,0)</f>
        <v>3374.7373829648495</v>
      </c>
      <c r="E248" s="131">
        <f t="shared" si="120"/>
        <v>3511.6768066574955</v>
      </c>
      <c r="F248" s="131">
        <f t="shared" si="120"/>
        <v>4335.9159890493311</v>
      </c>
      <c r="G248" s="131">
        <f t="shared" si="120"/>
        <v>3584.426330801622</v>
      </c>
      <c r="H248" s="131">
        <f t="shared" si="120"/>
        <v>3665.8695317080364</v>
      </c>
      <c r="I248" s="131">
        <f t="shared" si="120"/>
        <v>3344.7241826793347</v>
      </c>
      <c r="J248" s="131">
        <f t="shared" si="120"/>
        <v>3282.7162910801326</v>
      </c>
      <c r="K248" s="131">
        <f t="shared" si="120"/>
        <v>4079.1012272161502</v>
      </c>
      <c r="L248" s="131">
        <f t="shared" si="120"/>
        <v>4372.2273386602874</v>
      </c>
      <c r="M248" s="131">
        <f t="shared" si="120"/>
        <v>3541.2290421390439</v>
      </c>
      <c r="N248" s="131">
        <f t="shared" si="120"/>
        <v>3614.273412951984</v>
      </c>
      <c r="O248" s="131">
        <f t="shared" si="120"/>
        <v>3688.2664119573005</v>
      </c>
      <c r="P248" s="131">
        <f t="shared" si="120"/>
        <v>3749.9272444617304</v>
      </c>
      <c r="Q248" s="131">
        <f t="shared" si="120"/>
        <v>4113.2518421416808</v>
      </c>
      <c r="R248" s="131">
        <f t="shared" si="120"/>
        <v>4444.3230812808524</v>
      </c>
      <c r="S248" s="131">
        <f t="shared" si="120"/>
        <v>3674.0369890716624</v>
      </c>
      <c r="T248" s="131">
        <f t="shared" si="120"/>
        <v>3757.5162700007372</v>
      </c>
      <c r="U248" s="131">
        <f t="shared" si="120"/>
        <v>3428.3422872463175</v>
      </c>
      <c r="V248" s="131">
        <f t="shared" si="120"/>
        <v>3364.7841983571357</v>
      </c>
      <c r="W248" s="131">
        <f t="shared" si="120"/>
        <v>4079.1012272161502</v>
      </c>
      <c r="X248" s="131">
        <f t="shared" si="120"/>
        <v>4372.2273386602874</v>
      </c>
      <c r="Y248" s="131">
        <f t="shared" si="120"/>
        <v>3541.2290421390439</v>
      </c>
      <c r="Z248" s="131">
        <f t="shared" si="120"/>
        <v>3614.273412951984</v>
      </c>
      <c r="AA248" s="131">
        <f t="shared" si="120"/>
        <v>3688.2664119573005</v>
      </c>
    </row>
    <row r="249" spans="1:27" ht="15" customHeight="1" x14ac:dyDescent="0.35">
      <c r="A249" s="145" t="s">
        <v>334</v>
      </c>
      <c r="B249" s="146">
        <f t="shared" si="118"/>
        <v>2015922.9637143514</v>
      </c>
      <c r="C249" s="142">
        <f t="shared" si="119"/>
        <v>83996.790154764647</v>
      </c>
      <c r="D249" s="146">
        <f t="shared" ref="D249:AA249" si="121">D35+D53+D66+D79+D92+D105+D118+D131+D144+D157+D170+D183+D196+D209+D222+D234+D246</f>
        <v>29915.013183845378</v>
      </c>
      <c r="E249" s="146">
        <f t="shared" si="121"/>
        <v>231390.506545151</v>
      </c>
      <c r="F249" s="146">
        <f t="shared" si="121"/>
        <v>156547.56036546425</v>
      </c>
      <c r="G249" s="146">
        <f t="shared" si="121"/>
        <v>42616.080365200702</v>
      </c>
      <c r="H249" s="146">
        <f t="shared" si="121"/>
        <v>43352.771137035983</v>
      </c>
      <c r="I249" s="146">
        <f t="shared" si="121"/>
        <v>43210.245535449765</v>
      </c>
      <c r="J249" s="146">
        <f t="shared" si="121"/>
        <v>44658.731373388728</v>
      </c>
      <c r="K249" s="146">
        <f t="shared" si="121"/>
        <v>42484.598184010109</v>
      </c>
      <c r="L249" s="146">
        <f t="shared" si="121"/>
        <v>45032.044331816214</v>
      </c>
      <c r="M249" s="146">
        <f t="shared" si="121"/>
        <v>208536.61971715876</v>
      </c>
      <c r="N249" s="146">
        <f t="shared" si="121"/>
        <v>35167.544347757459</v>
      </c>
      <c r="O249" s="146">
        <f t="shared" si="121"/>
        <v>32721.221965258628</v>
      </c>
      <c r="P249" s="146">
        <f t="shared" si="121"/>
        <v>70853.527476254065</v>
      </c>
      <c r="Q249" s="146">
        <f t="shared" si="121"/>
        <v>281671.07435274409</v>
      </c>
      <c r="R249" s="146">
        <f t="shared" si="121"/>
        <v>161721.86760364164</v>
      </c>
      <c r="S249" s="146">
        <f t="shared" si="121"/>
        <v>43681.482374330706</v>
      </c>
      <c r="T249" s="146">
        <f t="shared" si="121"/>
        <v>44436.590415461891</v>
      </c>
      <c r="U249" s="146">
        <f t="shared" si="121"/>
        <v>44290.501673835999</v>
      </c>
      <c r="V249" s="146">
        <f t="shared" si="121"/>
        <v>45775.199657723439</v>
      </c>
      <c r="W249" s="146">
        <f t="shared" si="121"/>
        <v>42484.598184010109</v>
      </c>
      <c r="X249" s="146">
        <f t="shared" si="121"/>
        <v>45032.044331816214</v>
      </c>
      <c r="Y249" s="146">
        <f t="shared" si="121"/>
        <v>212454.37427997991</v>
      </c>
      <c r="Z249" s="146">
        <f t="shared" si="121"/>
        <v>35167.544347757459</v>
      </c>
      <c r="AA249" s="146">
        <f t="shared" si="121"/>
        <v>32721.221965258628</v>
      </c>
    </row>
    <row r="250" spans="1:27" ht="13.5" customHeight="1" x14ac:dyDescent="0.35">
      <c r="A250" s="139" t="s">
        <v>335</v>
      </c>
      <c r="B250" s="131">
        <f t="shared" si="118"/>
        <v>86439.528451368911</v>
      </c>
      <c r="C250" s="142">
        <f t="shared" si="119"/>
        <v>3601.647018807038</v>
      </c>
      <c r="D250" s="131">
        <f t="shared" ref="D250:AA250" si="122">D36+D54+D67+D80+D93+D106+D119+D132+D145+D158+D171+D184+D197+D210+D223+D235+D247</f>
        <v>2915.1860989962584</v>
      </c>
      <c r="E250" s="131">
        <f t="shared" si="122"/>
        <v>83523.67804512108</v>
      </c>
      <c r="F250" s="131">
        <f t="shared" si="122"/>
        <v>0.54126727605898883</v>
      </c>
      <c r="G250" s="131">
        <f t="shared" si="122"/>
        <v>0.1230399755196992</v>
      </c>
      <c r="H250" s="131">
        <f t="shared" si="122"/>
        <v>0</v>
      </c>
      <c r="I250" s="131">
        <f t="shared" si="122"/>
        <v>0</v>
      </c>
      <c r="J250" s="131">
        <f t="shared" si="122"/>
        <v>0</v>
      </c>
      <c r="K250" s="131">
        <f t="shared" si="122"/>
        <v>0</v>
      </c>
      <c r="L250" s="131">
        <f t="shared" si="122"/>
        <v>0</v>
      </c>
      <c r="M250" s="131">
        <f t="shared" si="122"/>
        <v>0</v>
      </c>
      <c r="N250" s="131">
        <f t="shared" si="122"/>
        <v>0</v>
      </c>
      <c r="O250" s="131">
        <f t="shared" si="122"/>
        <v>0</v>
      </c>
      <c r="P250" s="131">
        <f t="shared" si="122"/>
        <v>0</v>
      </c>
      <c r="Q250" s="131">
        <f t="shared" si="122"/>
        <v>0</v>
      </c>
      <c r="R250" s="131">
        <f t="shared" si="122"/>
        <v>0</v>
      </c>
      <c r="S250" s="131">
        <f t="shared" si="122"/>
        <v>0</v>
      </c>
      <c r="T250" s="131">
        <f t="shared" si="122"/>
        <v>0</v>
      </c>
      <c r="U250" s="131">
        <f t="shared" si="122"/>
        <v>0</v>
      </c>
      <c r="V250" s="131">
        <f t="shared" si="122"/>
        <v>0</v>
      </c>
      <c r="W250" s="131">
        <f t="shared" si="122"/>
        <v>0</v>
      </c>
      <c r="X250" s="131">
        <f t="shared" si="122"/>
        <v>0</v>
      </c>
      <c r="Y250" s="131">
        <f t="shared" si="122"/>
        <v>0</v>
      </c>
      <c r="Z250" s="131">
        <f t="shared" si="122"/>
        <v>0</v>
      </c>
      <c r="AA250" s="131">
        <f t="shared" si="122"/>
        <v>0</v>
      </c>
    </row>
    <row r="251" spans="1:27" ht="15" customHeight="1" x14ac:dyDescent="0.35">
      <c r="A251" s="147" t="s">
        <v>336</v>
      </c>
      <c r="B251" s="148">
        <f t="shared" si="118"/>
        <v>1580015.9070763695</v>
      </c>
      <c r="C251" s="142">
        <f t="shared" si="119"/>
        <v>65833.996128182058</v>
      </c>
      <c r="D251" s="148">
        <f t="shared" ref="D251:AA251" si="123">D250+D7</f>
        <v>57780.761098996256</v>
      </c>
      <c r="E251" s="148">
        <f t="shared" si="123"/>
        <v>141274.35304512107</v>
      </c>
      <c r="F251" s="148">
        <f t="shared" si="123"/>
        <v>69327.016267276063</v>
      </c>
      <c r="G251" s="148">
        <f t="shared" si="123"/>
        <v>65052.048039975525</v>
      </c>
      <c r="H251" s="148">
        <f t="shared" si="123"/>
        <v>66852.899999999994</v>
      </c>
      <c r="I251" s="148">
        <f t="shared" si="123"/>
        <v>64640.4</v>
      </c>
      <c r="J251" s="148">
        <f t="shared" si="123"/>
        <v>61379.175000000003</v>
      </c>
      <c r="K251" s="148">
        <f t="shared" si="123"/>
        <v>63022.752749999992</v>
      </c>
      <c r="L251" s="148">
        <f t="shared" si="123"/>
        <v>56158.670624999999</v>
      </c>
      <c r="M251" s="148">
        <f t="shared" si="123"/>
        <v>64414.061249999999</v>
      </c>
      <c r="N251" s="148">
        <f t="shared" si="123"/>
        <v>64273.169250000006</v>
      </c>
      <c r="O251" s="148">
        <f t="shared" si="123"/>
        <v>60152.078249999999</v>
      </c>
      <c r="P251" s="148">
        <f t="shared" si="123"/>
        <v>54591.247125000002</v>
      </c>
      <c r="Q251" s="148">
        <f t="shared" si="123"/>
        <v>57461.921624999995</v>
      </c>
      <c r="R251" s="148">
        <f t="shared" si="123"/>
        <v>68979.842625000005</v>
      </c>
      <c r="S251" s="148">
        <f t="shared" si="123"/>
        <v>64726.665375000004</v>
      </c>
      <c r="T251" s="148">
        <f t="shared" si="123"/>
        <v>66518.635500000004</v>
      </c>
      <c r="U251" s="148">
        <f t="shared" si="123"/>
        <v>64317.198000000004</v>
      </c>
      <c r="V251" s="148">
        <f t="shared" si="123"/>
        <v>61072.279125000008</v>
      </c>
      <c r="W251" s="148">
        <f t="shared" si="123"/>
        <v>63022.752749999992</v>
      </c>
      <c r="X251" s="148">
        <f t="shared" si="123"/>
        <v>56158.670624999999</v>
      </c>
      <c r="Y251" s="148">
        <f t="shared" si="123"/>
        <v>64414.061249999999</v>
      </c>
      <c r="Z251" s="148">
        <f t="shared" si="123"/>
        <v>64273.169250000006</v>
      </c>
      <c r="AA251" s="148">
        <f t="shared" si="123"/>
        <v>60152.078249999999</v>
      </c>
    </row>
    <row r="252" spans="1:27" ht="15.75" customHeight="1" x14ac:dyDescent="0.35">
      <c r="A252" s="40" t="s">
        <v>337</v>
      </c>
      <c r="B252" s="43">
        <f t="shared" si="118"/>
        <v>435907.05663798231</v>
      </c>
      <c r="C252" s="110">
        <f t="shared" si="119"/>
        <v>18162.794026582596</v>
      </c>
      <c r="D252" s="43">
        <f t="shared" ref="D252:AA252" si="124">D249-D251-D253</f>
        <v>-27865.747915150878</v>
      </c>
      <c r="E252" s="43">
        <f t="shared" si="124"/>
        <v>90116.153500029934</v>
      </c>
      <c r="F252" s="43">
        <f t="shared" si="124"/>
        <v>87220.544098188184</v>
      </c>
      <c r="G252" s="43">
        <f t="shared" si="124"/>
        <v>-22435.967674774824</v>
      </c>
      <c r="H252" s="43">
        <f t="shared" si="124"/>
        <v>-23500.128862964011</v>
      </c>
      <c r="I252" s="43">
        <f t="shared" si="124"/>
        <v>-21430.154464550236</v>
      </c>
      <c r="J252" s="43">
        <f t="shared" si="124"/>
        <v>-16720.443626611275</v>
      </c>
      <c r="K252" s="43">
        <f t="shared" si="124"/>
        <v>-20538.154565989884</v>
      </c>
      <c r="L252" s="43">
        <f t="shared" si="124"/>
        <v>-11126.626293183785</v>
      </c>
      <c r="M252" s="43">
        <f t="shared" si="124"/>
        <v>144122.55846715876</v>
      </c>
      <c r="N252" s="43">
        <f t="shared" si="124"/>
        <v>-29105.624902242547</v>
      </c>
      <c r="O252" s="43">
        <f t="shared" si="124"/>
        <v>-27430.85628474137</v>
      </c>
      <c r="P252" s="43">
        <f t="shared" si="124"/>
        <v>16262.280351254063</v>
      </c>
      <c r="Q252" s="43">
        <f t="shared" si="124"/>
        <v>224209.15272774411</v>
      </c>
      <c r="R252" s="43">
        <f t="shared" si="124"/>
        <v>92742.024978641639</v>
      </c>
      <c r="S252" s="43">
        <f t="shared" si="124"/>
        <v>-21045.183000669298</v>
      </c>
      <c r="T252" s="43">
        <f t="shared" si="124"/>
        <v>-22082.045084538113</v>
      </c>
      <c r="U252" s="43">
        <f t="shared" si="124"/>
        <v>-20026.696326164005</v>
      </c>
      <c r="V252" s="43">
        <f t="shared" si="124"/>
        <v>-15297.07946727657</v>
      </c>
      <c r="W252" s="43">
        <f t="shared" si="124"/>
        <v>-20538.154565989884</v>
      </c>
      <c r="X252" s="43">
        <f t="shared" si="124"/>
        <v>-11126.626293183785</v>
      </c>
      <c r="Y252" s="43">
        <f t="shared" si="124"/>
        <v>148040.31302997991</v>
      </c>
      <c r="Z252" s="43">
        <f t="shared" si="124"/>
        <v>-29105.624902242547</v>
      </c>
      <c r="AA252" s="43">
        <f t="shared" si="124"/>
        <v>-27430.85628474137</v>
      </c>
    </row>
    <row r="253" spans="1:27" ht="18" customHeight="1" x14ac:dyDescent="0.35">
      <c r="A253" s="149" t="s">
        <v>338</v>
      </c>
      <c r="B253" s="150">
        <f t="shared" si="118"/>
        <v>0</v>
      </c>
      <c r="C253" s="151" t="s">
        <v>339</v>
      </c>
      <c r="D253" s="152">
        <f>((D27+D45)*Premissas!$C$11+(D59+D72+D85+D98+D111+D124+D137+D150+D163+D176+D189+D202+D215+D227+D239)*Premissas!$E$11)</f>
        <v>0</v>
      </c>
      <c r="E253" s="152">
        <f>((E27+E45)*Premissas!$C$11+(E59+E72+E85+E98+E111+E124+E137+E150+E163+E176+E189+E202+E215+E227+E239)*Premissas!$E$11)</f>
        <v>0</v>
      </c>
      <c r="F253" s="152">
        <f>((F27+F45)*Premissas!$C$11+(F59+F72+F85+F98+F111+F124+F137+F150+F163+F176+F189+F202+F215+F227+F239)*Premissas!$E$11)</f>
        <v>0</v>
      </c>
      <c r="G253" s="152">
        <f>((G27+G45)*Premissas!$C$11+(G59+G72+G85+G98+G111+G124+G137+G150+G163+G176+G189+G202+G215+G227+G239)*Premissas!$E$11)</f>
        <v>0</v>
      </c>
      <c r="H253" s="152">
        <f>((H27+H45)*Premissas!$C$11+(H59+H72+H85+H98+H111+H124+H137+H150+H163+H176+H189+H202+H215+H227+H239)*Premissas!$E$11)</f>
        <v>0</v>
      </c>
      <c r="I253" s="152">
        <f>((I27+I45)*Premissas!$C$11+(I59+I72+I85+I98+I111+I124+I137+I150+I163+I176+I189+I202+I215+I227+I239)*Premissas!$E$11)</f>
        <v>0</v>
      </c>
      <c r="J253" s="152">
        <f>((J27+J45)*Premissas!$C$11+(J59+J72+J85+J98+J111+J124+J137+J150+J163+J176+J189+J202+J215+J227+J239)*Premissas!$E$11)</f>
        <v>0</v>
      </c>
      <c r="K253" s="152">
        <f>((K27+K45)*Premissas!$C$11+(K59+K72+K85+K98+K111+K124+K137+K150+K163+K176+K189+K202+K215+K227+K239)*Premissas!$E$11)</f>
        <v>0</v>
      </c>
      <c r="L253" s="152">
        <f>((L27+L45)*Premissas!$C$11+(L59+L72+L85+L98+L111+L124+L137+L150+L163+L176+L189+L202+L215+L227+L239)*Premissas!$E$11)</f>
        <v>0</v>
      </c>
      <c r="M253" s="152">
        <f>((M27+M45)*Premissas!$C$11+(M59+M72+M85+M98+M111+M124+M137+M150+M163+M176+M189+M202+M215+M227+M239)*Premissas!$E$11)</f>
        <v>0</v>
      </c>
      <c r="N253" s="152">
        <f>((N27+N45)*Premissas!$C$11+(N59+N72+N85+N98+N111+N124+N137+N150+N163+N176+N189+N202+N215+N227+N239)*Premissas!$E$11)</f>
        <v>0</v>
      </c>
      <c r="O253" s="152">
        <f>((O27+O45)*Premissas!$C$11+(O59+O72+O85+O98+O111+O124+O137+O150+O163+O176+O189+O202+O215+O227+O239)*Premissas!$E$11)</f>
        <v>0</v>
      </c>
      <c r="P253" s="152">
        <f>((P27+P45)*Premissas!$C$11+(P59+P72+P85+P98+P111+P124+P137+P150+P163+P176+P189+P202+P215+P227+P239)*Premissas!$E$11)</f>
        <v>0</v>
      </c>
      <c r="Q253" s="152">
        <f>((Q27+Q45)*Premissas!$C$11+(Q59+Q72+Q85+Q98+Q111+Q124+Q137+Q150+Q163+Q176+Q189+Q202+Q215+Q227+Q239)*Premissas!$E$11)</f>
        <v>0</v>
      </c>
      <c r="R253" s="152">
        <f>((R27+R45)*Premissas!$C$11+(R59+R72+R85+R98+R111+R124+R137+R150+R163+R176+R189+R202+R215+R227+R239)*Premissas!$E$11)</f>
        <v>0</v>
      </c>
      <c r="S253" s="152">
        <f>((S27+S45)*Premissas!$C$11+(S59+S72+S85+S98+S111+S124+S137+S150+S163+S176+S189+S202+S215+S227+S239)*Premissas!$E$11)</f>
        <v>0</v>
      </c>
      <c r="T253" s="152">
        <f>((T27+T45)*Premissas!$C$11+(T59+T72+T85+T98+T111+T124+T137+T150+T163+T176+T189+T202+T215+T227+T239)*Premissas!$E$11)</f>
        <v>0</v>
      </c>
      <c r="U253" s="152">
        <f>((U27+U45)*Premissas!$C$11+(U59+U72+U85+U98+U111+U124+U137+U150+U163+U176+U189+U202+U215+U227+U239)*Premissas!$E$11)</f>
        <v>0</v>
      </c>
      <c r="V253" s="152">
        <f>((V27+V45)*Premissas!$C$11+(V59+V72+V85+V98+V111+V124+V137+V150+V163+V176+V189+V202+V215+V227+V239)*Premissas!$E$11)</f>
        <v>0</v>
      </c>
      <c r="W253" s="152">
        <f>((W27+W45)*Premissas!$C$11+(W59+W72+W85+W98+W111+W124+W137+W150+W163+W176+W189+W202+W215+W227+W239)*Premissas!$E$11)</f>
        <v>0</v>
      </c>
      <c r="X253" s="152">
        <f>((X27+X45)*Premissas!$C$11+(X59+X72+X85+X98+X111+X124+X137+X150+X163+X176+X189+X202+X215+X227+X239)*Premissas!$E$11)</f>
        <v>0</v>
      </c>
      <c r="Y253" s="152">
        <f>((Y27+Y45)*Premissas!$C$11+(Y59+Y72+Y85+Y98+Y111+Y124+Y137+Y150+Y163+Y176+Y189+Y202+Y215+Y227+Y239)*Premissas!$E$11)</f>
        <v>0</v>
      </c>
      <c r="Z253" s="152">
        <f>((Z27+Z45)*Premissas!$C$11+(Z59+Z72+Z85+Z98+Z111+Z124+Z137+Z150+Z163+Z176+Z189+Z202+Z215+Z227+Z239)*Premissas!$E$11)</f>
        <v>0</v>
      </c>
      <c r="AA253" s="152">
        <f>((AA27+AA45)*Premissas!$C$11+(AA59+AA72+AA85+AA98+AA111+AA124+AA137+AA150+AA163+AA176+AA189+AA202+AA215+AA227+AA239)*Premissas!$E$11)</f>
        <v>0</v>
      </c>
    </row>
    <row r="254" spans="1:27" ht="15" customHeight="1" x14ac:dyDescent="0.35">
      <c r="A254" s="119" t="s">
        <v>340</v>
      </c>
      <c r="B254" s="119" t="s">
        <v>341</v>
      </c>
      <c r="C254" s="119" t="s">
        <v>13</v>
      </c>
    </row>
    <row r="255" spans="1:27" ht="15" customHeight="1" x14ac:dyDescent="0.35">
      <c r="A255" s="153" t="s">
        <v>294</v>
      </c>
      <c r="B255" s="107">
        <f>AA31</f>
        <v>363392.79953723564</v>
      </c>
      <c r="C255" s="154">
        <f>+B255*Premissas!$B$17</f>
        <v>160801.31379522677</v>
      </c>
    </row>
    <row r="256" spans="1:27" ht="15.75" customHeight="1" x14ac:dyDescent="0.35">
      <c r="A256" s="153" t="s">
        <v>309</v>
      </c>
      <c r="B256" s="107">
        <f>AA49</f>
        <v>347056.54985246802</v>
      </c>
      <c r="C256" s="154">
        <f>+B256*Premissas!$B$17</f>
        <v>153572.5233097171</v>
      </c>
    </row>
    <row r="257" spans="1:27" ht="15" customHeight="1" x14ac:dyDescent="0.35">
      <c r="A257" s="57" t="s">
        <v>311</v>
      </c>
      <c r="B257" s="97">
        <f>AA62</f>
        <v>48227.227686487138</v>
      </c>
      <c r="C257" s="130">
        <f>+B257*Premissas!$B$17</f>
        <v>21340.54825127056</v>
      </c>
    </row>
    <row r="258" spans="1:27" ht="15" customHeight="1" x14ac:dyDescent="0.35">
      <c r="A258" s="155" t="s">
        <v>314</v>
      </c>
      <c r="B258" s="97">
        <f>+AA75</f>
        <v>3516.0365625129066</v>
      </c>
      <c r="C258" s="130">
        <f>+B258*Premissas!$B$17</f>
        <v>1555.8461789119613</v>
      </c>
      <c r="E258" s="155"/>
      <c r="F258" s="155"/>
      <c r="G258" s="155"/>
      <c r="H258" s="155"/>
      <c r="I258" s="155"/>
      <c r="J258" s="155"/>
      <c r="K258" s="155"/>
      <c r="L258" s="155"/>
      <c r="M258" s="155"/>
      <c r="N258" s="155"/>
      <c r="O258" s="155"/>
      <c r="P258" s="155"/>
      <c r="Q258" s="155"/>
      <c r="R258" s="155"/>
      <c r="S258" s="155"/>
      <c r="T258" s="155"/>
      <c r="U258" s="155"/>
      <c r="V258" s="155"/>
      <c r="W258" s="155"/>
      <c r="X258" s="155"/>
      <c r="Y258" s="155"/>
      <c r="Z258" s="155"/>
      <c r="AA258" s="155"/>
    </row>
    <row r="259" spans="1:27" ht="12.75" customHeight="1" x14ac:dyDescent="0.35">
      <c r="A259" s="57" t="s">
        <v>315</v>
      </c>
      <c r="B259" s="97">
        <f>+AA88</f>
        <v>4931.6828847257466</v>
      </c>
      <c r="C259" s="130">
        <f>+B259*Premissas!$B$17</f>
        <v>2182.2696764911429</v>
      </c>
    </row>
    <row r="260" spans="1:27" ht="12.75" customHeight="1" x14ac:dyDescent="0.35">
      <c r="A260" s="57" t="s">
        <v>316</v>
      </c>
      <c r="B260" s="97">
        <f>AA101</f>
        <v>8017.1096225495585</v>
      </c>
      <c r="C260" s="130">
        <f>+B260*Premissas!$B$17</f>
        <v>3547.5710079781798</v>
      </c>
    </row>
    <row r="261" spans="1:27" ht="12.75" customHeight="1" x14ac:dyDescent="0.35">
      <c r="A261" s="57" t="s">
        <v>317</v>
      </c>
      <c r="B261" s="97">
        <f>AA114</f>
        <v>174669.20951946563</v>
      </c>
      <c r="C261" s="130">
        <f>+B261*Premissas!$B$17</f>
        <v>77291.125212363535</v>
      </c>
    </row>
    <row r="262" spans="1:27" ht="12.75" customHeight="1" x14ac:dyDescent="0.35">
      <c r="A262" s="57" t="s">
        <v>318</v>
      </c>
      <c r="B262" s="97">
        <f>AA127</f>
        <v>30697.168613385216</v>
      </c>
      <c r="C262" s="130">
        <f>+B262*Premissas!$B$17</f>
        <v>13583.497111422957</v>
      </c>
    </row>
    <row r="263" spans="1:27" ht="12.75" customHeight="1" x14ac:dyDescent="0.35">
      <c r="A263" s="57" t="s">
        <v>319</v>
      </c>
      <c r="B263" s="97">
        <f>AA140</f>
        <v>17019.809097163648</v>
      </c>
      <c r="C263" s="130">
        <f>+B263*Premissas!$B$17</f>
        <v>7531.2655254949141</v>
      </c>
    </row>
    <row r="264" spans="1:27" ht="12.75" customHeight="1" x14ac:dyDescent="0.35">
      <c r="A264" s="57" t="s">
        <v>320</v>
      </c>
      <c r="B264" s="97">
        <f>+AA153</f>
        <v>11109.969041717146</v>
      </c>
      <c r="C264" s="130">
        <f>+B264*Premissas!$B$17</f>
        <v>4916.1613009598368</v>
      </c>
    </row>
    <row r="265" spans="1:27" ht="12.75" customHeight="1" x14ac:dyDescent="0.35">
      <c r="A265" s="57" t="s">
        <v>321</v>
      </c>
      <c r="B265" s="97">
        <f>AA166</f>
        <v>4588.7710097050467</v>
      </c>
      <c r="C265" s="130">
        <f>+B265*Premissas!$B$17</f>
        <v>2030.5311717944833</v>
      </c>
    </row>
    <row r="266" spans="1:27" ht="12.75" customHeight="1" x14ac:dyDescent="0.35">
      <c r="A266" s="57" t="s">
        <v>322</v>
      </c>
      <c r="B266" s="97">
        <f>AA179</f>
        <v>6783.862335986084</v>
      </c>
      <c r="C266" s="130">
        <f>+B266*Premissas!$B$17</f>
        <v>3001.8590836738422</v>
      </c>
    </row>
    <row r="267" spans="1:27" ht="12.75" customHeight="1" x14ac:dyDescent="0.35">
      <c r="A267" s="57" t="s">
        <v>323</v>
      </c>
      <c r="B267" s="97">
        <f>AA192</f>
        <v>32892.005589813285</v>
      </c>
      <c r="C267" s="130">
        <f>+B267*Premissas!$B$17</f>
        <v>14554.712473492378</v>
      </c>
    </row>
    <row r="268" spans="1:27" ht="12.75" customHeight="1" x14ac:dyDescent="0.35">
      <c r="A268" s="57" t="s">
        <v>324</v>
      </c>
      <c r="B268" s="97">
        <f>+AA205</f>
        <v>65098.388401933131</v>
      </c>
      <c r="C268" s="130">
        <f>+B268*Premissas!$B$17</f>
        <v>28806.036867855411</v>
      </c>
    </row>
    <row r="269" spans="1:27" ht="12.75" customHeight="1" x14ac:dyDescent="0.35">
      <c r="A269" s="57" t="s">
        <v>325</v>
      </c>
      <c r="B269" s="97">
        <f>AA218</f>
        <v>1320.3387059489762</v>
      </c>
      <c r="C269" s="130">
        <f>+B269*Premissas!$B$17</f>
        <v>584.24987738242203</v>
      </c>
    </row>
    <row r="270" spans="1:27" ht="12.75" customHeight="1" x14ac:dyDescent="0.35">
      <c r="A270" s="57" t="str">
        <f>+A225</f>
        <v xml:space="preserve">  Subest. Fiação (B3)</v>
      </c>
      <c r="B270" s="97">
        <f>AA230</f>
        <v>10010.106696178478</v>
      </c>
      <c r="C270" s="130">
        <f>+B270*Premissas!$B$17</f>
        <v>4429.4722130589762</v>
      </c>
    </row>
    <row r="271" spans="1:27" ht="12.75" customHeight="1" x14ac:dyDescent="0.35">
      <c r="A271" s="57" t="str">
        <f>+A237</f>
        <v xml:space="preserve">  TRR Maracaju (B3)</v>
      </c>
      <c r="B271" s="97">
        <f>+B242</f>
        <v>24577.358910228184</v>
      </c>
      <c r="C271" s="130">
        <f>+B271*Premissas!$B$17</f>
        <v>10875.481317775972</v>
      </c>
    </row>
    <row r="272" spans="1:27" ht="12.75" customHeight="1" x14ac:dyDescent="0.35">
      <c r="A272" s="113" t="s">
        <v>342</v>
      </c>
      <c r="B272" s="114">
        <f>AA18</f>
        <v>576259.16613275849</v>
      </c>
      <c r="C272" s="127">
        <f>B272*Premissas!$B$17</f>
        <v>254994.68101374563</v>
      </c>
    </row>
    <row r="273" spans="1:3" ht="12.75" customHeight="1" x14ac:dyDescent="0.35">
      <c r="A273" s="40" t="s">
        <v>343</v>
      </c>
      <c r="B273" s="42">
        <f>AA31+AA49+AA62+AA75+AA88+AA101+AA114+AA127+AA140+AA153+AA166+AA179+AA192+AA205+AA218+AA230+AA242</f>
        <v>1153908.3940675037</v>
      </c>
      <c r="C273" s="43">
        <f>B273*Premissas!$B$17</f>
        <v>510604.46437487041</v>
      </c>
    </row>
    <row r="274" spans="1:3" ht="12.75" customHeight="1" x14ac:dyDescent="0.35"/>
    <row r="275" spans="1:3" ht="12.75" customHeight="1" x14ac:dyDescent="0.35">
      <c r="A275" s="28" t="s">
        <v>344</v>
      </c>
    </row>
    <row r="276" spans="1:3" ht="12.75" customHeight="1" x14ac:dyDescent="0.35">
      <c r="A276" s="156" t="s">
        <v>345</v>
      </c>
      <c r="B276" s="154">
        <f>B252</f>
        <v>435907.05663798231</v>
      </c>
    </row>
    <row r="277" spans="1:3" ht="12.75" customHeight="1" x14ac:dyDescent="0.35">
      <c r="A277" s="157" t="s">
        <v>346</v>
      </c>
      <c r="B277" s="158">
        <f>B273*Premissas!$B$17</f>
        <v>510604.46437487041</v>
      </c>
      <c r="C277" s="159" t="s">
        <v>104</v>
      </c>
    </row>
    <row r="278" spans="1:3" ht="15" customHeight="1" x14ac:dyDescent="0.35">
      <c r="A278" s="28" t="s">
        <v>347</v>
      </c>
      <c r="B278" s="160">
        <f>B252+B285</f>
        <v>776149.85377947404</v>
      </c>
      <c r="C278" s="161" t="s">
        <v>104</v>
      </c>
    </row>
    <row r="279" spans="1:3" ht="15" customHeight="1" x14ac:dyDescent="0.35">
      <c r="A279" s="161"/>
      <c r="B279" s="161"/>
      <c r="C279" s="161" t="s">
        <v>104</v>
      </c>
    </row>
    <row r="280" spans="1:3" ht="12.75" customHeight="1" x14ac:dyDescent="0.35">
      <c r="A280" s="224" t="s">
        <v>348</v>
      </c>
      <c r="B280" s="224"/>
      <c r="C280" s="159"/>
    </row>
    <row r="281" spans="1:3" ht="12.75" customHeight="1" x14ac:dyDescent="0.35">
      <c r="A281" s="157" t="s">
        <v>349</v>
      </c>
      <c r="B281" s="114">
        <f>AA31-AA34</f>
        <v>319337.04111509427</v>
      </c>
      <c r="C281" s="159" t="s">
        <v>104</v>
      </c>
    </row>
    <row r="282" spans="1:3" ht="12.75" customHeight="1" x14ac:dyDescent="0.35">
      <c r="A282" s="157" t="s">
        <v>350</v>
      </c>
      <c r="B282" s="114">
        <f>AA49-AA52</f>
        <v>6114.1902330754674</v>
      </c>
      <c r="C282" s="159" t="s">
        <v>104</v>
      </c>
    </row>
    <row r="283" spans="1:3" ht="12.75" customHeight="1" x14ac:dyDescent="0.35">
      <c r="A283" s="157" t="s">
        <v>351</v>
      </c>
      <c r="B283" s="114">
        <f>AA62+AA75+AA88+AA101+AA114+AA127+AA140+AA153+AA166+AA179+AA192+AA205+AA218+AA230+AA242</f>
        <v>443459.04467780021</v>
      </c>
      <c r="C283" s="159" t="s">
        <v>104</v>
      </c>
    </row>
    <row r="284" spans="1:3" ht="12.75" customHeight="1" x14ac:dyDescent="0.35">
      <c r="A284" s="162" t="s">
        <v>352</v>
      </c>
      <c r="B284" s="223">
        <f>B281+B282+B283</f>
        <v>768910.27602597</v>
      </c>
      <c r="C284" s="161" t="s">
        <v>104</v>
      </c>
    </row>
    <row r="285" spans="1:3" ht="12.75" customHeight="1" x14ac:dyDescent="0.35">
      <c r="A285" s="28" t="s">
        <v>353</v>
      </c>
      <c r="B285" s="43">
        <f>B284*Premissas!$B$17</f>
        <v>340242.79714149173</v>
      </c>
      <c r="C285" s="161" t="s">
        <v>104</v>
      </c>
    </row>
    <row r="288" spans="1:3" x14ac:dyDescent="0.35">
      <c r="B288" s="225">
        <f>+B277+B276</f>
        <v>946511.52101285267</v>
      </c>
    </row>
  </sheetData>
  <mergeCells count="22">
    <mergeCell ref="A1:AA1"/>
    <mergeCell ref="A2:AA2"/>
    <mergeCell ref="A5:AA5"/>
    <mergeCell ref="A8:AA8"/>
    <mergeCell ref="A15:AA15"/>
    <mergeCell ref="A21:AA21"/>
    <mergeCell ref="A39:AA39"/>
    <mergeCell ref="A57:AA57"/>
    <mergeCell ref="A70:AA70"/>
    <mergeCell ref="A83:AA83"/>
    <mergeCell ref="A96:AA96"/>
    <mergeCell ref="A109:AA109"/>
    <mergeCell ref="A122:AA122"/>
    <mergeCell ref="A135:AA135"/>
    <mergeCell ref="A148:AA148"/>
    <mergeCell ref="A225:AA225"/>
    <mergeCell ref="A237:AA237"/>
    <mergeCell ref="A161:AA161"/>
    <mergeCell ref="A174:AA174"/>
    <mergeCell ref="A187:AA187"/>
    <mergeCell ref="A200:AA200"/>
    <mergeCell ref="A213:AA21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77E3E"/>
  </sheetPr>
  <dimension ref="A1"/>
  <sheetViews>
    <sheetView zoomScaleNormal="100" workbookViewId="0">
      <selection activeCell="M24" sqref="M24"/>
    </sheetView>
  </sheetViews>
  <sheetFormatPr defaultColWidth="8.54296875" defaultRowHeight="12.5" x14ac:dyDescent="0.25"/>
  <cols>
    <col min="1" max="16384" width="8.54296875" style="163"/>
  </cols>
  <sheetData/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3F1DB"/>
  </sheetPr>
  <dimension ref="A1:Q358"/>
  <sheetViews>
    <sheetView zoomScaleNormal="100" workbookViewId="0">
      <selection activeCell="M12" sqref="M12"/>
    </sheetView>
  </sheetViews>
  <sheetFormatPr defaultColWidth="12.54296875" defaultRowHeight="13" outlineLevelCol="1" x14ac:dyDescent="0.3"/>
  <cols>
    <col min="1" max="1" width="17.54296875" style="164" customWidth="1"/>
    <col min="2" max="2" width="12.54296875" style="164"/>
    <col min="3" max="3" width="15.26953125" style="164" customWidth="1"/>
    <col min="4" max="4" width="19.26953125" style="164" customWidth="1"/>
    <col min="5" max="5" width="12.54296875" style="164"/>
    <col min="6" max="7" width="11.54296875" style="164" hidden="1" customWidth="1" outlineLevel="1"/>
    <col min="8" max="8" width="12.54296875" style="164" collapsed="1"/>
    <col min="9" max="16384" width="12.54296875" style="164"/>
  </cols>
  <sheetData>
    <row r="1" spans="1:17" ht="15.75" customHeight="1" x14ac:dyDescent="0.3">
      <c r="A1" s="165" t="s">
        <v>354</v>
      </c>
      <c r="B1" s="165" t="s">
        <v>355</v>
      </c>
      <c r="C1" s="166" t="s">
        <v>356</v>
      </c>
      <c r="D1" s="165" t="s">
        <v>357</v>
      </c>
    </row>
    <row r="2" spans="1:17" ht="15.75" customHeight="1" x14ac:dyDescent="0.3">
      <c r="A2" s="167" t="s">
        <v>358</v>
      </c>
      <c r="B2" s="168">
        <v>45716</v>
      </c>
      <c r="C2" s="169">
        <v>190.1</v>
      </c>
      <c r="D2" s="170">
        <f>IFERROR(C2/VLOOKUP(A2,Usinas!$A:$B,2,FALSE()),"")</f>
        <v>0.27274031563845047</v>
      </c>
      <c r="F2" s="171" t="s">
        <v>359</v>
      </c>
      <c r="G2" s="171"/>
      <c r="H2" s="171" t="s">
        <v>35</v>
      </c>
      <c r="I2" s="171" t="s">
        <v>360</v>
      </c>
      <c r="J2" s="171" t="s">
        <v>361</v>
      </c>
      <c r="L2" s="172" t="s">
        <v>362</v>
      </c>
      <c r="P2" s="164" t="s">
        <v>363</v>
      </c>
      <c r="Q2" s="173">
        <v>0.8</v>
      </c>
    </row>
    <row r="3" spans="1:17" ht="15.75" customHeight="1" x14ac:dyDescent="0.3">
      <c r="A3" s="167" t="s">
        <v>358</v>
      </c>
      <c r="B3" s="168">
        <v>45717</v>
      </c>
      <c r="C3" s="169">
        <v>249.5</v>
      </c>
      <c r="D3" s="170">
        <f>IFERROR(C3/VLOOKUP(A3,Usinas!$A:$B,2,FALSE()),"")</f>
        <v>0.35796269727403157</v>
      </c>
      <c r="F3" s="174">
        <v>45658</v>
      </c>
      <c r="G3" s="174">
        <f>+F3+30</f>
        <v>45688</v>
      </c>
      <c r="H3" s="175">
        <f t="shared" ref="H3:H14" si="0">+F3</f>
        <v>45658</v>
      </c>
      <c r="I3" s="171">
        <v>0</v>
      </c>
      <c r="J3" s="171">
        <v>0</v>
      </c>
      <c r="L3" s="176">
        <f>+Batayporã!J3*Amandina!$Q$2</f>
        <v>91.407199999999975</v>
      </c>
    </row>
    <row r="4" spans="1:17" ht="15.75" customHeight="1" x14ac:dyDescent="0.3">
      <c r="A4" s="167" t="s">
        <v>358</v>
      </c>
      <c r="B4" s="168">
        <v>45718</v>
      </c>
      <c r="C4" s="169">
        <v>295.89999999999998</v>
      </c>
      <c r="D4" s="170">
        <f>IFERROR(C4/VLOOKUP(A4,Usinas!$A:$B,2,FALSE()),"")</f>
        <v>0.42453371592539452</v>
      </c>
      <c r="F4" s="174">
        <f>+B2</f>
        <v>45716</v>
      </c>
      <c r="G4" s="174">
        <f>+F4</f>
        <v>45716</v>
      </c>
      <c r="H4" s="175">
        <f t="shared" si="0"/>
        <v>45716</v>
      </c>
      <c r="I4" s="176">
        <f t="shared" ref="I4:I14" si="1">SUMIFS($C$1:$C$366, $B$1:$B$366, "&gt;="&amp;F4, $B$1:$B$366, "&lt;="&amp;G4)</f>
        <v>190.1</v>
      </c>
      <c r="J4" s="177">
        <f t="shared" ref="J4:J14" si="2">+I4/1000</f>
        <v>0.19009999999999999</v>
      </c>
      <c r="L4" s="176">
        <f>+Batayporã!J4*Amandina!$Q$2</f>
        <v>72.90552000000001</v>
      </c>
    </row>
    <row r="5" spans="1:17" ht="15.75" customHeight="1" x14ac:dyDescent="0.3">
      <c r="A5" s="167" t="s">
        <v>358</v>
      </c>
      <c r="B5" s="168">
        <v>45719</v>
      </c>
      <c r="C5" s="169">
        <v>250.2</v>
      </c>
      <c r="D5" s="170">
        <f>IFERROR(C5/VLOOKUP(A5,Usinas!$A:$B,2,FALSE()),"")</f>
        <v>0.35896700143472021</v>
      </c>
      <c r="F5" s="174">
        <f t="shared" ref="F5:F14" si="3">+G4+1</f>
        <v>45717</v>
      </c>
      <c r="G5" s="174">
        <f>+F5+30</f>
        <v>45747</v>
      </c>
      <c r="H5" s="175">
        <f t="shared" si="0"/>
        <v>45717</v>
      </c>
      <c r="I5" s="176">
        <f t="shared" si="1"/>
        <v>7913.8</v>
      </c>
      <c r="J5" s="177">
        <f t="shared" si="2"/>
        <v>7.9138000000000002</v>
      </c>
      <c r="L5" s="176">
        <f>+Batayporã!J5*Amandina!$Q$2</f>
        <v>82.449519999999993</v>
      </c>
    </row>
    <row r="6" spans="1:17" ht="15.75" customHeight="1" x14ac:dyDescent="0.3">
      <c r="A6" s="167" t="s">
        <v>358</v>
      </c>
      <c r="B6" s="168">
        <v>45720</v>
      </c>
      <c r="C6" s="169">
        <v>256.60000000000002</v>
      </c>
      <c r="D6" s="170">
        <f>IFERROR(C6/VLOOKUP(A6,Usinas!$A:$B,2,FALSE()),"")</f>
        <v>0.36814921090387376</v>
      </c>
      <c r="F6" s="174">
        <f t="shared" si="3"/>
        <v>45748</v>
      </c>
      <c r="G6" s="174">
        <f>+F6+29</f>
        <v>45777</v>
      </c>
      <c r="H6" s="175">
        <f t="shared" si="0"/>
        <v>45748</v>
      </c>
      <c r="I6" s="176">
        <f t="shared" si="1"/>
        <v>23902.799999999999</v>
      </c>
      <c r="J6" s="177">
        <f t="shared" si="2"/>
        <v>23.902799999999999</v>
      </c>
      <c r="L6" s="176">
        <f>+Batayporã!J6*Amandina!$Q$2</f>
        <v>58.967759999999998</v>
      </c>
    </row>
    <row r="7" spans="1:17" ht="15.75" customHeight="1" x14ac:dyDescent="0.3">
      <c r="A7" s="167" t="s">
        <v>358</v>
      </c>
      <c r="B7" s="168">
        <v>45721</v>
      </c>
      <c r="C7" s="169">
        <v>241</v>
      </c>
      <c r="D7" s="170">
        <f>IFERROR(C7/VLOOKUP(A7,Usinas!$A:$B,2,FALSE()),"")</f>
        <v>0.34576757532281205</v>
      </c>
      <c r="F7" s="174">
        <f t="shared" si="3"/>
        <v>45778</v>
      </c>
      <c r="G7" s="174">
        <f>+F7+30</f>
        <v>45808</v>
      </c>
      <c r="H7" s="175">
        <f t="shared" si="0"/>
        <v>45778</v>
      </c>
      <c r="I7" s="176">
        <f t="shared" si="1"/>
        <v>28781.699999999997</v>
      </c>
      <c r="J7" s="177">
        <f t="shared" si="2"/>
        <v>28.781699999999997</v>
      </c>
      <c r="L7" s="176">
        <f>+Batayporã!J7*Amandina!$Q$2</f>
        <v>73.293279999999996</v>
      </c>
    </row>
    <row r="8" spans="1:17" ht="15.75" customHeight="1" x14ac:dyDescent="0.3">
      <c r="A8" s="167" t="s">
        <v>358</v>
      </c>
      <c r="B8" s="168">
        <v>45722</v>
      </c>
      <c r="C8" s="169">
        <v>194.3</v>
      </c>
      <c r="D8" s="170">
        <f>IFERROR(C8/VLOOKUP(A8,Usinas!$A:$B,2,FALSE()),"")</f>
        <v>0.27876614060258254</v>
      </c>
      <c r="F8" s="174">
        <f t="shared" si="3"/>
        <v>45809</v>
      </c>
      <c r="G8" s="174">
        <f>+F8+29</f>
        <v>45838</v>
      </c>
      <c r="H8" s="175">
        <f t="shared" si="0"/>
        <v>45809</v>
      </c>
      <c r="I8" s="176">
        <f t="shared" si="1"/>
        <v>20798.200000000004</v>
      </c>
      <c r="J8" s="177">
        <f t="shared" si="2"/>
        <v>20.798200000000005</v>
      </c>
      <c r="L8" s="176">
        <f>+Batayporã!J8*Amandina!$Q$2</f>
        <v>57.829519999999981</v>
      </c>
    </row>
    <row r="9" spans="1:17" ht="15.75" customHeight="1" x14ac:dyDescent="0.3">
      <c r="A9" s="167" t="s">
        <v>358</v>
      </c>
      <c r="B9" s="168">
        <v>45723</v>
      </c>
      <c r="C9" s="169">
        <v>89.9</v>
      </c>
      <c r="D9" s="170">
        <f>IFERROR(C9/VLOOKUP(A9,Usinas!$A:$B,2,FALSE()),"")</f>
        <v>0.1289813486370158</v>
      </c>
      <c r="F9" s="174">
        <f t="shared" si="3"/>
        <v>45839</v>
      </c>
      <c r="G9" s="174">
        <f>+F9+30</f>
        <v>45869</v>
      </c>
      <c r="H9" s="175">
        <f t="shared" si="0"/>
        <v>45839</v>
      </c>
      <c r="I9" s="176">
        <f t="shared" si="1"/>
        <v>37317.800000000003</v>
      </c>
      <c r="J9" s="177">
        <f t="shared" si="2"/>
        <v>37.317800000000005</v>
      </c>
      <c r="L9" s="176">
        <f>+Batayporã!J9*Amandina!$Q$2</f>
        <v>70.669439999999994</v>
      </c>
    </row>
    <row r="10" spans="1:17" ht="15.75" customHeight="1" x14ac:dyDescent="0.3">
      <c r="A10" s="167" t="s">
        <v>358</v>
      </c>
      <c r="B10" s="168">
        <v>45724</v>
      </c>
      <c r="C10" s="169">
        <v>357.6</v>
      </c>
      <c r="D10" s="170">
        <f>IFERROR(C10/VLOOKUP(A10,Usinas!$A:$B,2,FALSE()),"")</f>
        <v>0.51305595408895266</v>
      </c>
      <c r="F10" s="174">
        <f t="shared" si="3"/>
        <v>45870</v>
      </c>
      <c r="G10" s="174">
        <f>+F10+30</f>
        <v>45900</v>
      </c>
      <c r="H10" s="175">
        <f t="shared" si="0"/>
        <v>45870</v>
      </c>
      <c r="I10" s="176">
        <f t="shared" si="1"/>
        <v>16177.900000000003</v>
      </c>
      <c r="J10" s="177">
        <f t="shared" si="2"/>
        <v>16.177900000000005</v>
      </c>
      <c r="L10" s="176">
        <f>+Batayporã!J10*Amandina!$Q$2</f>
        <v>74.466160000000002</v>
      </c>
    </row>
    <row r="11" spans="1:17" ht="15.75" customHeight="1" x14ac:dyDescent="0.3">
      <c r="A11" s="167" t="s">
        <v>358</v>
      </c>
      <c r="B11" s="168">
        <v>45725</v>
      </c>
      <c r="C11" s="169">
        <v>287</v>
      </c>
      <c r="D11" s="170">
        <f>IFERROR(C11/VLOOKUP(A11,Usinas!$A:$B,2,FALSE()),"")</f>
        <v>0.41176470588235292</v>
      </c>
      <c r="F11" s="174">
        <f t="shared" si="3"/>
        <v>45901</v>
      </c>
      <c r="G11" s="174">
        <f>+F11+29</f>
        <v>45930</v>
      </c>
      <c r="H11" s="175">
        <f t="shared" si="0"/>
        <v>45901</v>
      </c>
      <c r="I11" s="176">
        <f t="shared" si="1"/>
        <v>37738.800000000003</v>
      </c>
      <c r="J11" s="177">
        <f t="shared" si="2"/>
        <v>37.738800000000005</v>
      </c>
      <c r="L11" s="176">
        <f>+Batayporã!J11*Amandina!$Q$2</f>
        <v>75.546720000000008</v>
      </c>
    </row>
    <row r="12" spans="1:17" ht="15.75" customHeight="1" x14ac:dyDescent="0.3">
      <c r="A12" s="167" t="s">
        <v>358</v>
      </c>
      <c r="B12" s="168">
        <v>45726</v>
      </c>
      <c r="C12" s="169">
        <v>248.1</v>
      </c>
      <c r="D12" s="170">
        <f>IFERROR(C12/VLOOKUP(A12,Usinas!$A:$B,2,FALSE()),"")</f>
        <v>0.35595408895265424</v>
      </c>
      <c r="F12" s="174">
        <f t="shared" si="3"/>
        <v>45931</v>
      </c>
      <c r="G12" s="174">
        <f>+F12+30</f>
        <v>45961</v>
      </c>
      <c r="H12" s="175">
        <f t="shared" si="0"/>
        <v>45931</v>
      </c>
      <c r="I12" s="176">
        <f t="shared" si="1"/>
        <v>40322</v>
      </c>
      <c r="J12" s="177">
        <f t="shared" si="2"/>
        <v>40.322000000000003</v>
      </c>
      <c r="L12" s="176">
        <f>+Batayporã!J12*Amandina!$Q$2</f>
        <v>76.725439999999992</v>
      </c>
    </row>
    <row r="13" spans="1:17" ht="15.75" customHeight="1" x14ac:dyDescent="0.3">
      <c r="A13" s="167" t="s">
        <v>358</v>
      </c>
      <c r="B13" s="168">
        <v>45727</v>
      </c>
      <c r="C13" s="169">
        <v>142.1</v>
      </c>
      <c r="D13" s="170">
        <f>IFERROR(C13/VLOOKUP(A13,Usinas!$A:$B,2,FALSE()),"")</f>
        <v>0.20387374461979912</v>
      </c>
      <c r="F13" s="174">
        <f t="shared" si="3"/>
        <v>45962</v>
      </c>
      <c r="G13" s="174">
        <f>+F13+29</f>
        <v>45991</v>
      </c>
      <c r="H13" s="175">
        <f t="shared" si="0"/>
        <v>45962</v>
      </c>
      <c r="I13" s="176">
        <f t="shared" si="1"/>
        <v>36462.9</v>
      </c>
      <c r="J13" s="177">
        <f t="shared" si="2"/>
        <v>36.462900000000005</v>
      </c>
      <c r="L13" s="176">
        <f>+Batayporã!J13*Amandina!$Q$2</f>
        <v>86.384479999999996</v>
      </c>
    </row>
    <row r="14" spans="1:17" ht="15.75" customHeight="1" x14ac:dyDescent="0.3">
      <c r="A14" s="167" t="s">
        <v>358</v>
      </c>
      <c r="B14" s="168">
        <v>45728</v>
      </c>
      <c r="C14" s="169">
        <v>224.8</v>
      </c>
      <c r="D14" s="170">
        <f>IFERROR(C14/VLOOKUP(A14,Usinas!$A:$B,2,FALSE()),"")</f>
        <v>0.32252510760401726</v>
      </c>
      <c r="F14" s="174">
        <f t="shared" si="3"/>
        <v>45992</v>
      </c>
      <c r="G14" s="174">
        <f>+F14+30</f>
        <v>46022</v>
      </c>
      <c r="H14" s="175">
        <f t="shared" si="0"/>
        <v>45992</v>
      </c>
      <c r="I14" s="176">
        <f t="shared" si="1"/>
        <v>19968.100000000006</v>
      </c>
      <c r="J14" s="177">
        <f t="shared" si="2"/>
        <v>19.968100000000007</v>
      </c>
      <c r="L14" s="176">
        <f>+Batayporã!J14*Amandina!$Q$2</f>
        <v>85.283120000000011</v>
      </c>
    </row>
    <row r="15" spans="1:17" ht="15.75" customHeight="1" x14ac:dyDescent="0.3">
      <c r="A15" s="167" t="s">
        <v>358</v>
      </c>
      <c r="B15" s="168">
        <v>45729</v>
      </c>
      <c r="C15" s="169">
        <v>242.3</v>
      </c>
      <c r="D15" s="170">
        <f>IFERROR(C15/VLOOKUP(A15,Usinas!$A:$B,2,FALSE()),"")</f>
        <v>0.34763271162123388</v>
      </c>
    </row>
    <row r="16" spans="1:17" ht="15.75" customHeight="1" x14ac:dyDescent="0.3">
      <c r="A16" s="167" t="s">
        <v>358</v>
      </c>
      <c r="B16" s="168">
        <v>45730</v>
      </c>
      <c r="C16" s="169">
        <v>288.39999999999998</v>
      </c>
      <c r="D16" s="170">
        <f>IFERROR(C16/VLOOKUP(A16,Usinas!$A:$B,2,FALSE()),"")</f>
        <v>0.41377331420373026</v>
      </c>
    </row>
    <row r="17" spans="1:12" ht="15.75" customHeight="1" x14ac:dyDescent="0.3">
      <c r="A17" s="167" t="s">
        <v>358</v>
      </c>
      <c r="B17" s="168">
        <v>45731</v>
      </c>
      <c r="C17" s="169">
        <v>347.5</v>
      </c>
      <c r="D17" s="170">
        <f>IFERROR(C17/VLOOKUP(A17,Usinas!$A:$B,2,FALSE()),"")</f>
        <v>0.49856527977044474</v>
      </c>
      <c r="L17" s="172">
        <f>+SUM(L2:L14)</f>
        <v>905.92815999999993</v>
      </c>
    </row>
    <row r="18" spans="1:12" ht="12" customHeight="1" x14ac:dyDescent="0.3">
      <c r="A18" s="167" t="s">
        <v>358</v>
      </c>
      <c r="B18" s="168">
        <v>45732</v>
      </c>
      <c r="C18" s="169">
        <v>310.39999999999998</v>
      </c>
      <c r="D18" s="170">
        <f>IFERROR(C18/VLOOKUP(A18,Usinas!$A:$B,2,FALSE()),"")</f>
        <v>0.44533715925394546</v>
      </c>
    </row>
    <row r="19" spans="1:12" ht="12" customHeight="1" x14ac:dyDescent="0.3">
      <c r="A19" s="167" t="s">
        <v>358</v>
      </c>
      <c r="B19" s="168">
        <v>45733</v>
      </c>
      <c r="C19" s="169">
        <v>278</v>
      </c>
      <c r="D19" s="170">
        <f>IFERROR(C19/VLOOKUP(A19,Usinas!$A:$B,2,FALSE()),"")</f>
        <v>0.39885222381635582</v>
      </c>
    </row>
    <row r="20" spans="1:12" ht="12" customHeight="1" x14ac:dyDescent="0.3">
      <c r="A20" s="167" t="s">
        <v>358</v>
      </c>
      <c r="B20" s="168">
        <v>45734</v>
      </c>
      <c r="C20" s="169">
        <v>222.1</v>
      </c>
      <c r="D20" s="170">
        <f>IFERROR(C20/VLOOKUP(A20,Usinas!$A:$B,2,FALSE()),"")</f>
        <v>0.31865136298421809</v>
      </c>
    </row>
    <row r="21" spans="1:12" ht="12" customHeight="1" x14ac:dyDescent="0.3">
      <c r="A21" s="167" t="s">
        <v>358</v>
      </c>
      <c r="B21" s="168">
        <v>45735</v>
      </c>
      <c r="C21" s="169">
        <v>332.3</v>
      </c>
      <c r="D21" s="170">
        <f>IFERROR(C21/VLOOKUP(A21,Usinas!$A:$B,2,FALSE()),"")</f>
        <v>0.47675753228120515</v>
      </c>
    </row>
    <row r="22" spans="1:12" ht="12" customHeight="1" x14ac:dyDescent="0.3">
      <c r="A22" s="167" t="s">
        <v>358</v>
      </c>
      <c r="B22" s="168">
        <v>45736</v>
      </c>
      <c r="C22" s="169">
        <v>318.3</v>
      </c>
      <c r="D22" s="170">
        <f>IFERROR(C22/VLOOKUP(A22,Usinas!$A:$B,2,FALSE()),"")</f>
        <v>0.45667144906743184</v>
      </c>
    </row>
    <row r="23" spans="1:12" ht="12" customHeight="1" x14ac:dyDescent="0.3">
      <c r="A23" s="167" t="s">
        <v>358</v>
      </c>
      <c r="B23" s="168">
        <v>45737</v>
      </c>
      <c r="C23" s="169">
        <v>321.39999999999998</v>
      </c>
      <c r="D23" s="170">
        <f>IFERROR(C23/VLOOKUP(A23,Usinas!$A:$B,2,FALSE()),"")</f>
        <v>0.46111908177905303</v>
      </c>
    </row>
    <row r="24" spans="1:12" ht="12" customHeight="1" x14ac:dyDescent="0.3">
      <c r="A24" s="167" t="s">
        <v>358</v>
      </c>
      <c r="B24" s="168">
        <v>45738</v>
      </c>
      <c r="C24" s="169">
        <v>272.8</v>
      </c>
      <c r="D24" s="170">
        <f>IFERROR(C24/VLOOKUP(A24,Usinas!$A:$B,2,FALSE()),"")</f>
        <v>0.3913916786226686</v>
      </c>
    </row>
    <row r="25" spans="1:12" ht="12" customHeight="1" x14ac:dyDescent="0.3">
      <c r="A25" s="167" t="s">
        <v>358</v>
      </c>
      <c r="B25" s="168">
        <v>45739</v>
      </c>
      <c r="C25" s="169">
        <v>250.5</v>
      </c>
      <c r="D25" s="170">
        <f>IFERROR(C25/VLOOKUP(A25,Usinas!$A:$B,2,FALSE()),"")</f>
        <v>0.35939741750358678</v>
      </c>
    </row>
    <row r="26" spans="1:12" ht="12" customHeight="1" x14ac:dyDescent="0.3">
      <c r="A26" s="167" t="s">
        <v>358</v>
      </c>
      <c r="B26" s="168">
        <v>45740</v>
      </c>
      <c r="C26" s="169">
        <v>281.2</v>
      </c>
      <c r="D26" s="170">
        <f>IFERROR(C26/VLOOKUP(A26,Usinas!$A:$B,2,FALSE()),"")</f>
        <v>0.40344332855093257</v>
      </c>
    </row>
    <row r="27" spans="1:12" ht="12" customHeight="1" x14ac:dyDescent="0.3">
      <c r="A27" s="167" t="s">
        <v>358</v>
      </c>
      <c r="B27" s="168">
        <v>45741</v>
      </c>
      <c r="C27" s="169">
        <v>264.2</v>
      </c>
      <c r="D27" s="170">
        <f>IFERROR(C27/VLOOKUP(A27,Usinas!$A:$B,2,FALSE()),"")</f>
        <v>0.37905308464849352</v>
      </c>
    </row>
    <row r="28" spans="1:12" ht="12" customHeight="1" x14ac:dyDescent="0.3">
      <c r="A28" s="167" t="s">
        <v>358</v>
      </c>
      <c r="B28" s="168">
        <v>45742</v>
      </c>
      <c r="C28" s="169">
        <v>275</v>
      </c>
      <c r="D28" s="170">
        <f>IFERROR(C28/VLOOKUP(A28,Usinas!$A:$B,2,FALSE()),"")</f>
        <v>0.39454806312769009</v>
      </c>
    </row>
    <row r="29" spans="1:12" ht="12" customHeight="1" x14ac:dyDescent="0.3">
      <c r="A29" s="167" t="s">
        <v>358</v>
      </c>
      <c r="B29" s="168">
        <v>45743</v>
      </c>
      <c r="C29" s="169">
        <v>297</v>
      </c>
      <c r="D29" s="170">
        <f>IFERROR(C29/VLOOKUP(A29,Usinas!$A:$B,2,FALSE()),"")</f>
        <v>0.42611190817790529</v>
      </c>
    </row>
    <row r="30" spans="1:12" ht="12" customHeight="1" x14ac:dyDescent="0.3">
      <c r="A30" s="167" t="s">
        <v>358</v>
      </c>
      <c r="B30" s="168">
        <v>45744</v>
      </c>
      <c r="C30" s="169">
        <v>287.8</v>
      </c>
      <c r="D30" s="170">
        <f>IFERROR(C30/VLOOKUP(A30,Usinas!$A:$B,2,FALSE()),"")</f>
        <v>0.41291248206599712</v>
      </c>
    </row>
    <row r="31" spans="1:12" ht="12" customHeight="1" x14ac:dyDescent="0.3">
      <c r="A31" s="167" t="s">
        <v>358</v>
      </c>
      <c r="B31" s="168">
        <v>45745</v>
      </c>
      <c r="C31" s="169">
        <v>120.4</v>
      </c>
      <c r="D31" s="170">
        <f>IFERROR(C31/VLOOKUP(A31,Usinas!$A:$B,2,FALSE()),"")</f>
        <v>0.17274031563845052</v>
      </c>
    </row>
    <row r="32" spans="1:12" ht="12" customHeight="1" x14ac:dyDescent="0.3">
      <c r="A32" s="167" t="s">
        <v>358</v>
      </c>
      <c r="B32" s="168">
        <v>45746</v>
      </c>
      <c r="C32" s="169">
        <v>168.4</v>
      </c>
      <c r="D32" s="170">
        <f>IFERROR(C32/VLOOKUP(A32,Usinas!$A:$B,2,FALSE()),"")</f>
        <v>0.24160688665710187</v>
      </c>
    </row>
    <row r="33" spans="1:4" ht="12" customHeight="1" x14ac:dyDescent="0.3">
      <c r="A33" s="167" t="s">
        <v>358</v>
      </c>
      <c r="B33" s="168">
        <v>45747</v>
      </c>
      <c r="C33" s="169">
        <v>198.8</v>
      </c>
      <c r="D33" s="170">
        <f>IFERROR(C33/VLOOKUP(A33,Usinas!$A:$B,2,FALSE()),"")</f>
        <v>0.28522238163558106</v>
      </c>
    </row>
    <row r="34" spans="1:4" ht="12" customHeight="1" x14ac:dyDescent="0.3">
      <c r="A34" s="167" t="s">
        <v>358</v>
      </c>
      <c r="B34" s="168">
        <v>45748</v>
      </c>
      <c r="C34" s="169">
        <v>242.4</v>
      </c>
      <c r="D34" s="170">
        <f>IFERROR(C34/VLOOKUP(A34,Usinas!$A:$B,2,FALSE()),"")</f>
        <v>0.34777618364418939</v>
      </c>
    </row>
    <row r="35" spans="1:4" ht="12" customHeight="1" x14ac:dyDescent="0.3">
      <c r="A35" s="167" t="s">
        <v>358</v>
      </c>
      <c r="B35" s="168">
        <v>45749</v>
      </c>
      <c r="C35" s="169">
        <v>784.3</v>
      </c>
      <c r="D35" s="170">
        <f>IFERROR(C35/VLOOKUP(A35,Usinas!$A:$B,2,FALSE()),"")</f>
        <v>1.1252510760401722</v>
      </c>
    </row>
    <row r="36" spans="1:4" ht="12" customHeight="1" x14ac:dyDescent="0.3">
      <c r="A36" s="167" t="s">
        <v>358</v>
      </c>
      <c r="B36" s="168">
        <v>45750</v>
      </c>
      <c r="C36" s="169">
        <v>1039.0999999999999</v>
      </c>
      <c r="D36" s="170">
        <f>IFERROR(C36/VLOOKUP(A36,Usinas!$A:$B,2,FALSE()),"")</f>
        <v>1.4908177905308464</v>
      </c>
    </row>
    <row r="37" spans="1:4" ht="12" customHeight="1" x14ac:dyDescent="0.3">
      <c r="A37" s="167" t="s">
        <v>358</v>
      </c>
      <c r="B37" s="168">
        <v>45751</v>
      </c>
      <c r="C37" s="169">
        <v>1170</v>
      </c>
      <c r="D37" s="170">
        <f>IFERROR(C37/VLOOKUP(A37,Usinas!$A:$B,2,FALSE()),"")</f>
        <v>1.6786226685796271</v>
      </c>
    </row>
    <row r="38" spans="1:4" ht="12" customHeight="1" x14ac:dyDescent="0.3">
      <c r="A38" s="167" t="s">
        <v>358</v>
      </c>
      <c r="B38" s="168">
        <v>45752</v>
      </c>
      <c r="C38" s="169">
        <v>1141.7</v>
      </c>
      <c r="D38" s="170">
        <f>IFERROR(C38/VLOOKUP(A38,Usinas!$A:$B,2,FALSE()),"")</f>
        <v>1.6380200860832139</v>
      </c>
    </row>
    <row r="39" spans="1:4" ht="12" customHeight="1" x14ac:dyDescent="0.3">
      <c r="A39" s="167" t="s">
        <v>358</v>
      </c>
      <c r="B39" s="168">
        <v>45753</v>
      </c>
      <c r="C39" s="169">
        <v>1359</v>
      </c>
      <c r="D39" s="170">
        <f>IFERROR(C39/VLOOKUP(A39,Usinas!$A:$B,2,FALSE()),"")</f>
        <v>1.9497847919655666</v>
      </c>
    </row>
    <row r="40" spans="1:4" ht="12" customHeight="1" x14ac:dyDescent="0.3">
      <c r="A40" s="167" t="s">
        <v>358</v>
      </c>
      <c r="B40" s="168">
        <v>45754</v>
      </c>
      <c r="C40" s="169">
        <v>1249.5</v>
      </c>
      <c r="D40" s="170">
        <f>IFERROR(C40/VLOOKUP(A40,Usinas!$A:$B,2,FALSE()),"")</f>
        <v>1.7926829268292683</v>
      </c>
    </row>
    <row r="41" spans="1:4" ht="12" customHeight="1" x14ac:dyDescent="0.3">
      <c r="A41" s="167" t="s">
        <v>358</v>
      </c>
      <c r="B41" s="168">
        <v>45755</v>
      </c>
      <c r="C41" s="169">
        <v>937</v>
      </c>
      <c r="D41" s="170">
        <f>IFERROR(C41/VLOOKUP(A41,Usinas!$A:$B,2,FALSE()),"")</f>
        <v>1.3443328550932567</v>
      </c>
    </row>
    <row r="42" spans="1:4" ht="12" customHeight="1" x14ac:dyDescent="0.3">
      <c r="A42" s="167" t="s">
        <v>358</v>
      </c>
      <c r="B42" s="168">
        <v>45756</v>
      </c>
      <c r="C42" s="169">
        <v>722.3</v>
      </c>
      <c r="D42" s="170">
        <f>IFERROR(C42/VLOOKUP(A42,Usinas!$A:$B,2,FALSE()),"")</f>
        <v>1.0362984218077473</v>
      </c>
    </row>
    <row r="43" spans="1:4" ht="12" customHeight="1" x14ac:dyDescent="0.3">
      <c r="A43" s="167" t="s">
        <v>358</v>
      </c>
      <c r="B43" s="168">
        <v>45757</v>
      </c>
      <c r="C43" s="169">
        <v>954.7</v>
      </c>
      <c r="D43" s="170">
        <f>IFERROR(C43/VLOOKUP(A43,Usinas!$A:$B,2,FALSE()),"")</f>
        <v>1.3697274031563846</v>
      </c>
    </row>
    <row r="44" spans="1:4" ht="12" customHeight="1" x14ac:dyDescent="0.3">
      <c r="A44" s="167" t="s">
        <v>358</v>
      </c>
      <c r="B44" s="168">
        <v>45758</v>
      </c>
      <c r="C44" s="169">
        <v>1027</v>
      </c>
      <c r="D44" s="170">
        <f>IFERROR(C44/VLOOKUP(A44,Usinas!$A:$B,2,FALSE()),"")</f>
        <v>1.4734576757532281</v>
      </c>
    </row>
    <row r="45" spans="1:4" ht="12" customHeight="1" x14ac:dyDescent="0.3">
      <c r="A45" s="167" t="s">
        <v>358</v>
      </c>
      <c r="B45" s="168">
        <v>45759</v>
      </c>
      <c r="C45" s="169">
        <v>406.2</v>
      </c>
      <c r="D45" s="170">
        <f>IFERROR(C45/VLOOKUP(A45,Usinas!$A:$B,2,FALSE()),"")</f>
        <v>0.58278335724533714</v>
      </c>
    </row>
    <row r="46" spans="1:4" ht="12" customHeight="1" x14ac:dyDescent="0.3">
      <c r="A46" s="167" t="s">
        <v>358</v>
      </c>
      <c r="B46" s="168">
        <v>45760</v>
      </c>
      <c r="C46" s="169">
        <v>612.5</v>
      </c>
      <c r="D46" s="170">
        <f>IFERROR(C46/VLOOKUP(A46,Usinas!$A:$B,2,FALSE()),"")</f>
        <v>0.87876614060258251</v>
      </c>
    </row>
    <row r="47" spans="1:4" ht="12" customHeight="1" x14ac:dyDescent="0.3">
      <c r="A47" s="167" t="s">
        <v>358</v>
      </c>
      <c r="B47" s="168">
        <v>45761</v>
      </c>
      <c r="C47" s="169">
        <v>799.3</v>
      </c>
      <c r="D47" s="170">
        <f>IFERROR(C47/VLOOKUP(A47,Usinas!$A:$B,2,FALSE()),"")</f>
        <v>1.1467718794835007</v>
      </c>
    </row>
    <row r="48" spans="1:4" ht="12" customHeight="1" x14ac:dyDescent="0.3">
      <c r="A48" s="167" t="s">
        <v>358</v>
      </c>
      <c r="B48" s="168">
        <v>45762</v>
      </c>
      <c r="C48" s="169">
        <v>653.4</v>
      </c>
      <c r="D48" s="170">
        <f>IFERROR(C48/VLOOKUP(A48,Usinas!$A:$B,2,FALSE()),"")</f>
        <v>0.93744619799139162</v>
      </c>
    </row>
    <row r="49" spans="1:4" ht="12" customHeight="1" x14ac:dyDescent="0.3">
      <c r="A49" s="167" t="s">
        <v>358</v>
      </c>
      <c r="B49" s="168">
        <v>45763</v>
      </c>
      <c r="C49" s="169">
        <v>410.2</v>
      </c>
      <c r="D49" s="170">
        <f>IFERROR(C49/VLOOKUP(A49,Usinas!$A:$B,2,FALSE()),"")</f>
        <v>0.58852223816355809</v>
      </c>
    </row>
    <row r="50" spans="1:4" ht="12" customHeight="1" x14ac:dyDescent="0.3">
      <c r="A50" s="167" t="s">
        <v>358</v>
      </c>
      <c r="B50" s="168">
        <v>45764</v>
      </c>
      <c r="C50" s="169">
        <v>685.7</v>
      </c>
      <c r="D50" s="170">
        <f>IFERROR(C50/VLOOKUP(A50,Usinas!$A:$B,2,FALSE()),"")</f>
        <v>0.98378766140602592</v>
      </c>
    </row>
    <row r="51" spans="1:4" ht="12" customHeight="1" x14ac:dyDescent="0.3">
      <c r="A51" s="167" t="s">
        <v>358</v>
      </c>
      <c r="B51" s="168">
        <v>45765</v>
      </c>
      <c r="C51" s="169">
        <v>111.3</v>
      </c>
      <c r="D51" s="170">
        <f>IFERROR(C51/VLOOKUP(A51,Usinas!$A:$B,2,FALSE()),"")</f>
        <v>0.15968436154949783</v>
      </c>
    </row>
    <row r="52" spans="1:4" ht="12" customHeight="1" x14ac:dyDescent="0.3">
      <c r="A52" s="167" t="s">
        <v>358</v>
      </c>
      <c r="B52" s="168">
        <v>45766</v>
      </c>
      <c r="C52" s="169">
        <v>285.7</v>
      </c>
      <c r="D52" s="170">
        <f>IFERROR(C52/VLOOKUP(A52,Usinas!$A:$B,2,FALSE()),"")</f>
        <v>0.40989956958393114</v>
      </c>
    </row>
    <row r="53" spans="1:4" ht="12" customHeight="1" x14ac:dyDescent="0.3">
      <c r="A53" s="167" t="s">
        <v>358</v>
      </c>
      <c r="B53" s="168">
        <v>45767</v>
      </c>
      <c r="C53" s="169">
        <v>770.3</v>
      </c>
      <c r="D53" s="170">
        <f>IFERROR(C53/VLOOKUP(A53,Usinas!$A:$B,2,FALSE()),"")</f>
        <v>1.1051649928263987</v>
      </c>
    </row>
    <row r="54" spans="1:4" ht="12" customHeight="1" x14ac:dyDescent="0.3">
      <c r="A54" s="167" t="s">
        <v>358</v>
      </c>
      <c r="B54" s="168">
        <v>45768</v>
      </c>
      <c r="C54" s="169">
        <v>1144.3</v>
      </c>
      <c r="D54" s="170">
        <f>IFERROR(C54/VLOOKUP(A54,Usinas!$A:$B,2,FALSE()),"")</f>
        <v>1.6417503586800573</v>
      </c>
    </row>
    <row r="55" spans="1:4" ht="12" customHeight="1" x14ac:dyDescent="0.3">
      <c r="A55" s="167" t="s">
        <v>358</v>
      </c>
      <c r="B55" s="168">
        <v>45769</v>
      </c>
      <c r="C55" s="169">
        <v>1210.3</v>
      </c>
      <c r="D55" s="170">
        <f>IFERROR(C55/VLOOKUP(A55,Usinas!$A:$B,2,FALSE()),"")</f>
        <v>1.7364418938307029</v>
      </c>
    </row>
    <row r="56" spans="1:4" ht="12" customHeight="1" x14ac:dyDescent="0.3">
      <c r="A56" s="167" t="s">
        <v>358</v>
      </c>
      <c r="B56" s="168">
        <v>45770</v>
      </c>
      <c r="C56" s="169">
        <v>1046.3</v>
      </c>
      <c r="D56" s="170">
        <f>IFERROR(C56/VLOOKUP(A56,Usinas!$A:$B,2,FALSE()),"")</f>
        <v>1.501147776183644</v>
      </c>
    </row>
    <row r="57" spans="1:4" ht="12" customHeight="1" x14ac:dyDescent="0.3">
      <c r="A57" s="167" t="s">
        <v>358</v>
      </c>
      <c r="B57" s="168">
        <v>45771</v>
      </c>
      <c r="C57" s="169">
        <v>166.9</v>
      </c>
      <c r="D57" s="170">
        <f>IFERROR(C57/VLOOKUP(A57,Usinas!$A:$B,2,FALSE()),"")</f>
        <v>0.23945480631276903</v>
      </c>
    </row>
    <row r="58" spans="1:4" ht="12" customHeight="1" x14ac:dyDescent="0.3">
      <c r="A58" s="167" t="s">
        <v>358</v>
      </c>
      <c r="B58" s="168">
        <v>45772</v>
      </c>
      <c r="C58" s="169">
        <v>444.7</v>
      </c>
      <c r="D58" s="170">
        <f>IFERROR(C58/VLOOKUP(A58,Usinas!$A:$B,2,FALSE()),"")</f>
        <v>0.63802008608321381</v>
      </c>
    </row>
    <row r="59" spans="1:4" ht="12" customHeight="1" x14ac:dyDescent="0.3">
      <c r="A59" s="167" t="s">
        <v>358</v>
      </c>
      <c r="B59" s="168">
        <v>45773</v>
      </c>
      <c r="C59" s="169">
        <v>718.2</v>
      </c>
      <c r="D59" s="170">
        <f>IFERROR(C59/VLOOKUP(A59,Usinas!$A:$B,2,FALSE()),"")</f>
        <v>1.0304160688665711</v>
      </c>
    </row>
    <row r="60" spans="1:4" ht="12" customHeight="1" x14ac:dyDescent="0.3">
      <c r="A60" s="167" t="s">
        <v>358</v>
      </c>
      <c r="B60" s="168">
        <v>45774</v>
      </c>
      <c r="C60" s="169">
        <v>458.1</v>
      </c>
      <c r="D60" s="170">
        <f>IFERROR(C60/VLOOKUP(A60,Usinas!$A:$B,2,FALSE()),"")</f>
        <v>0.65724533715925393</v>
      </c>
    </row>
    <row r="61" spans="1:4" ht="12" customHeight="1" x14ac:dyDescent="0.3">
      <c r="A61" s="167" t="s">
        <v>358</v>
      </c>
      <c r="B61" s="168">
        <v>45775</v>
      </c>
      <c r="C61" s="169">
        <v>713.3</v>
      </c>
      <c r="D61" s="170">
        <f>IFERROR(C61/VLOOKUP(A61,Usinas!$A:$B,2,FALSE()),"")</f>
        <v>1.0233859397417502</v>
      </c>
    </row>
    <row r="62" spans="1:4" ht="12" customHeight="1" x14ac:dyDescent="0.3">
      <c r="A62" s="167" t="s">
        <v>358</v>
      </c>
      <c r="B62" s="168">
        <v>45776</v>
      </c>
      <c r="C62" s="169">
        <v>1328.6</v>
      </c>
      <c r="D62" s="170">
        <f>IFERROR(C62/VLOOKUP(A62,Usinas!$A:$B,2,FALSE()),"")</f>
        <v>1.9061692969870874</v>
      </c>
    </row>
    <row r="63" spans="1:4" ht="12" customHeight="1" x14ac:dyDescent="0.3">
      <c r="A63" s="167" t="s">
        <v>358</v>
      </c>
      <c r="B63" s="168">
        <v>45777</v>
      </c>
      <c r="C63" s="169">
        <v>1310.5</v>
      </c>
      <c r="D63" s="170">
        <f>IFERROR(C63/VLOOKUP(A63,Usinas!$A:$B,2,FALSE()),"")</f>
        <v>1.8802008608321377</v>
      </c>
    </row>
    <row r="64" spans="1:4" ht="12" customHeight="1" x14ac:dyDescent="0.3">
      <c r="A64" s="167" t="s">
        <v>358</v>
      </c>
      <c r="B64" s="168">
        <v>45778</v>
      </c>
      <c r="C64" s="169">
        <v>1329.1</v>
      </c>
      <c r="D64" s="170">
        <f>IFERROR(C64/VLOOKUP(A64,Usinas!$A:$B,2,FALSE()),"")</f>
        <v>1.906886657101865</v>
      </c>
    </row>
    <row r="65" spans="1:4" ht="12" customHeight="1" x14ac:dyDescent="0.3">
      <c r="A65" s="167" t="s">
        <v>358</v>
      </c>
      <c r="B65" s="168">
        <v>45779</v>
      </c>
      <c r="C65" s="169">
        <v>1263</v>
      </c>
      <c r="D65" s="170">
        <f>IFERROR(C65/VLOOKUP(A65,Usinas!$A:$B,2,FALSE()),"")</f>
        <v>1.812051649928264</v>
      </c>
    </row>
    <row r="66" spans="1:4" ht="12" customHeight="1" x14ac:dyDescent="0.3">
      <c r="A66" s="167" t="s">
        <v>358</v>
      </c>
      <c r="B66" s="168">
        <v>45780</v>
      </c>
      <c r="C66" s="169">
        <v>867.4</v>
      </c>
      <c r="D66" s="170">
        <f>IFERROR(C66/VLOOKUP(A66,Usinas!$A:$B,2,FALSE()),"")</f>
        <v>1.2444763271162123</v>
      </c>
    </row>
    <row r="67" spans="1:4" ht="12" customHeight="1" x14ac:dyDescent="0.3">
      <c r="A67" s="167" t="s">
        <v>358</v>
      </c>
      <c r="B67" s="168">
        <v>45781</v>
      </c>
      <c r="C67" s="169">
        <v>1083.4000000000001</v>
      </c>
      <c r="D67" s="170">
        <f>IFERROR(C67/VLOOKUP(A67,Usinas!$A:$B,2,FALSE()),"")</f>
        <v>1.5543758967001435</v>
      </c>
    </row>
    <row r="68" spans="1:4" ht="12" customHeight="1" x14ac:dyDescent="0.3">
      <c r="A68" s="167" t="s">
        <v>358</v>
      </c>
      <c r="B68" s="168">
        <v>45782</v>
      </c>
      <c r="C68" s="169">
        <v>942.2</v>
      </c>
      <c r="D68" s="170">
        <f>IFERROR(C68/VLOOKUP(A68,Usinas!$A:$B,2,FALSE()),"")</f>
        <v>1.3517934002869441</v>
      </c>
    </row>
    <row r="69" spans="1:4" ht="12" customHeight="1" x14ac:dyDescent="0.3">
      <c r="A69" s="167" t="s">
        <v>358</v>
      </c>
      <c r="B69" s="168">
        <v>45783</v>
      </c>
      <c r="C69" s="169">
        <v>651.6</v>
      </c>
      <c r="D69" s="170">
        <f>IFERROR(C69/VLOOKUP(A69,Usinas!$A:$B,2,FALSE()),"")</f>
        <v>0.93486370157819232</v>
      </c>
    </row>
    <row r="70" spans="1:4" ht="12" customHeight="1" x14ac:dyDescent="0.3">
      <c r="A70" s="167" t="s">
        <v>358</v>
      </c>
      <c r="B70" s="168">
        <v>45784</v>
      </c>
      <c r="C70" s="169">
        <v>831.4</v>
      </c>
      <c r="D70" s="170">
        <f>IFERROR(C70/VLOOKUP(A70,Usinas!$A:$B,2,FALSE()),"")</f>
        <v>1.1928263988522239</v>
      </c>
    </row>
    <row r="71" spans="1:4" ht="12" customHeight="1" x14ac:dyDescent="0.3">
      <c r="A71" s="167" t="s">
        <v>358</v>
      </c>
      <c r="B71" s="168">
        <v>45785</v>
      </c>
      <c r="C71" s="169">
        <v>456.1</v>
      </c>
      <c r="D71" s="170">
        <f>IFERROR(C71/VLOOKUP(A71,Usinas!$A:$B,2,FALSE()),"")</f>
        <v>0.65437589670014351</v>
      </c>
    </row>
    <row r="72" spans="1:4" ht="12" customHeight="1" x14ac:dyDescent="0.3">
      <c r="A72" s="167" t="s">
        <v>358</v>
      </c>
      <c r="B72" s="168">
        <v>45786</v>
      </c>
      <c r="C72" s="169">
        <v>761.6</v>
      </c>
      <c r="D72" s="170">
        <f>IFERROR(C72/VLOOKUP(A72,Usinas!$A:$B,2,FALSE()),"")</f>
        <v>1.0926829268292684</v>
      </c>
    </row>
    <row r="73" spans="1:4" ht="12" customHeight="1" x14ac:dyDescent="0.3">
      <c r="A73" s="167" t="s">
        <v>358</v>
      </c>
      <c r="B73" s="168">
        <v>45787</v>
      </c>
      <c r="C73" s="169">
        <v>629.6</v>
      </c>
      <c r="D73" s="170">
        <f>IFERROR(C73/VLOOKUP(A73,Usinas!$A:$B,2,FALSE()),"")</f>
        <v>0.90329985652797706</v>
      </c>
    </row>
    <row r="74" spans="1:4" ht="12" customHeight="1" x14ac:dyDescent="0.3">
      <c r="A74" s="167" t="s">
        <v>358</v>
      </c>
      <c r="B74" s="168">
        <v>45788</v>
      </c>
      <c r="C74" s="169">
        <v>653.29999999999995</v>
      </c>
      <c r="D74" s="170">
        <f>IFERROR(C74/VLOOKUP(A74,Usinas!$A:$B,2,FALSE()),"")</f>
        <v>0.93730272596843611</v>
      </c>
    </row>
    <row r="75" spans="1:4" ht="12" customHeight="1" x14ac:dyDescent="0.3">
      <c r="A75" s="167" t="s">
        <v>358</v>
      </c>
      <c r="B75" s="168">
        <v>45789</v>
      </c>
      <c r="C75" s="169">
        <v>1102.0999999999999</v>
      </c>
      <c r="D75" s="170">
        <f>IFERROR(C75/VLOOKUP(A75,Usinas!$A:$B,2,FALSE()),"")</f>
        <v>1.5812051649928263</v>
      </c>
    </row>
    <row r="76" spans="1:4" ht="12" customHeight="1" x14ac:dyDescent="0.3">
      <c r="A76" s="167" t="s">
        <v>358</v>
      </c>
      <c r="B76" s="168">
        <v>45790</v>
      </c>
      <c r="C76" s="169">
        <v>1033.3</v>
      </c>
      <c r="D76" s="170">
        <f>IFERROR(C76/VLOOKUP(A76,Usinas!$A:$B,2,FALSE()),"")</f>
        <v>1.482496413199426</v>
      </c>
    </row>
    <row r="77" spans="1:4" ht="12" customHeight="1" x14ac:dyDescent="0.3">
      <c r="A77" s="167" t="s">
        <v>358</v>
      </c>
      <c r="B77" s="168">
        <v>45791</v>
      </c>
      <c r="C77" s="169">
        <v>1078.5999999999999</v>
      </c>
      <c r="D77" s="170">
        <f>IFERROR(C77/VLOOKUP(A77,Usinas!$A:$B,2,FALSE()),"")</f>
        <v>1.5474892395982782</v>
      </c>
    </row>
    <row r="78" spans="1:4" ht="12" customHeight="1" x14ac:dyDescent="0.3">
      <c r="A78" s="167" t="s">
        <v>358</v>
      </c>
      <c r="B78" s="168">
        <v>45792</v>
      </c>
      <c r="C78" s="169">
        <v>1063.5999999999999</v>
      </c>
      <c r="D78" s="170">
        <f>IFERROR(C78/VLOOKUP(A78,Usinas!$A:$B,2,FALSE()),"")</f>
        <v>1.5259684361549497</v>
      </c>
    </row>
    <row r="79" spans="1:4" ht="12" customHeight="1" x14ac:dyDescent="0.3">
      <c r="A79" s="167" t="s">
        <v>358</v>
      </c>
      <c r="B79" s="168">
        <v>45793</v>
      </c>
      <c r="C79" s="169">
        <v>897.1</v>
      </c>
      <c r="D79" s="170">
        <f>IFERROR(C79/VLOOKUP(A79,Usinas!$A:$B,2,FALSE()),"")</f>
        <v>1.2870875179340029</v>
      </c>
    </row>
    <row r="80" spans="1:4" ht="12" customHeight="1" x14ac:dyDescent="0.3">
      <c r="A80" s="167" t="s">
        <v>358</v>
      </c>
      <c r="B80" s="168">
        <v>45794</v>
      </c>
      <c r="C80" s="169">
        <v>956.8</v>
      </c>
      <c r="D80" s="170">
        <f>IFERROR(C80/VLOOKUP(A80,Usinas!$A:$B,2,FALSE()),"")</f>
        <v>1.3727403156384503</v>
      </c>
    </row>
    <row r="81" spans="1:4" ht="12" customHeight="1" x14ac:dyDescent="0.3">
      <c r="A81" s="167" t="s">
        <v>358</v>
      </c>
      <c r="B81" s="168">
        <v>45795</v>
      </c>
      <c r="C81" s="169">
        <v>783.8</v>
      </c>
      <c r="D81" s="170">
        <f>IFERROR(C81/VLOOKUP(A81,Usinas!$A:$B,2,FALSE()),"")</f>
        <v>1.1245337159253945</v>
      </c>
    </row>
    <row r="82" spans="1:4" ht="12" customHeight="1" x14ac:dyDescent="0.3">
      <c r="A82" s="167" t="s">
        <v>358</v>
      </c>
      <c r="B82" s="168">
        <v>45796</v>
      </c>
      <c r="C82" s="169">
        <v>1045.7</v>
      </c>
      <c r="D82" s="170">
        <f>IFERROR(C82/VLOOKUP(A82,Usinas!$A:$B,2,FALSE()),"")</f>
        <v>1.500286944045911</v>
      </c>
    </row>
    <row r="83" spans="1:4" ht="12" customHeight="1" x14ac:dyDescent="0.3">
      <c r="A83" s="167" t="s">
        <v>358</v>
      </c>
      <c r="B83" s="168">
        <v>45797</v>
      </c>
      <c r="C83" s="169">
        <v>815.2</v>
      </c>
      <c r="D83" s="170">
        <f>IFERROR(C83/VLOOKUP(A83,Usinas!$A:$B,2,FALSE()),"")</f>
        <v>1.1695839311334291</v>
      </c>
    </row>
    <row r="84" spans="1:4" ht="12" customHeight="1" x14ac:dyDescent="0.3">
      <c r="A84" s="167" t="s">
        <v>358</v>
      </c>
      <c r="B84" s="168">
        <v>45798</v>
      </c>
      <c r="C84" s="169">
        <v>759.3</v>
      </c>
      <c r="D84" s="170">
        <f>IFERROR(C84/VLOOKUP(A84,Usinas!$A:$B,2,FALSE()),"")</f>
        <v>1.0893830703012912</v>
      </c>
    </row>
    <row r="85" spans="1:4" ht="12" customHeight="1" x14ac:dyDescent="0.3">
      <c r="A85" s="167" t="s">
        <v>358</v>
      </c>
      <c r="B85" s="168">
        <v>45799</v>
      </c>
      <c r="C85" s="169">
        <v>24.8</v>
      </c>
      <c r="D85" s="170">
        <f>IFERROR(C85/VLOOKUP(A85,Usinas!$A:$B,2,FALSE()),"")</f>
        <v>3.5581061692969873E-2</v>
      </c>
    </row>
    <row r="86" spans="1:4" ht="12" customHeight="1" x14ac:dyDescent="0.3">
      <c r="A86" s="167" t="s">
        <v>358</v>
      </c>
      <c r="B86" s="168">
        <v>45800</v>
      </c>
      <c r="C86" s="169">
        <v>886.3</v>
      </c>
      <c r="D86" s="170">
        <f>IFERROR(C86/VLOOKUP(A86,Usinas!$A:$B,2,FALSE()),"")</f>
        <v>1.2715925394548062</v>
      </c>
    </row>
    <row r="87" spans="1:4" ht="12" customHeight="1" x14ac:dyDescent="0.3">
      <c r="A87" s="167" t="s">
        <v>358</v>
      </c>
      <c r="B87" s="168">
        <v>45801</v>
      </c>
      <c r="C87" s="169">
        <v>1355.2</v>
      </c>
      <c r="D87" s="170">
        <f>IFERROR(C87/VLOOKUP(A87,Usinas!$A:$B,2,FALSE()),"")</f>
        <v>1.9443328550932568</v>
      </c>
    </row>
    <row r="88" spans="1:4" ht="12" customHeight="1" x14ac:dyDescent="0.3">
      <c r="A88" s="167" t="s">
        <v>358</v>
      </c>
      <c r="B88" s="168">
        <v>45802</v>
      </c>
      <c r="C88" s="169">
        <v>1350.3</v>
      </c>
      <c r="D88" s="170">
        <f>IFERROR(C88/VLOOKUP(A88,Usinas!$A:$B,2,FALSE()),"")</f>
        <v>1.9373027259684361</v>
      </c>
    </row>
    <row r="89" spans="1:4" ht="12" customHeight="1" x14ac:dyDescent="0.3">
      <c r="A89" s="167" t="s">
        <v>358</v>
      </c>
      <c r="B89" s="168">
        <v>45803</v>
      </c>
      <c r="C89" s="169">
        <v>1156.3</v>
      </c>
      <c r="D89" s="170">
        <f>IFERROR(C89/VLOOKUP(A89,Usinas!$A:$B,2,FALSE()),"")</f>
        <v>1.6589670014347202</v>
      </c>
    </row>
    <row r="90" spans="1:4" ht="12" customHeight="1" x14ac:dyDescent="0.3">
      <c r="A90" s="167" t="s">
        <v>358</v>
      </c>
      <c r="B90" s="168">
        <v>45804</v>
      </c>
      <c r="C90" s="169">
        <v>872.4</v>
      </c>
      <c r="D90" s="170">
        <f>IFERROR(C90/VLOOKUP(A90,Usinas!$A:$B,2,FALSE()),"")</f>
        <v>1.2516499282639886</v>
      </c>
    </row>
    <row r="91" spans="1:4" ht="12" customHeight="1" x14ac:dyDescent="0.3">
      <c r="A91" s="167" t="s">
        <v>358</v>
      </c>
      <c r="B91" s="168">
        <v>45805</v>
      </c>
      <c r="C91" s="169">
        <v>371.2</v>
      </c>
      <c r="D91" s="170">
        <f>IFERROR(C91/VLOOKUP(A91,Usinas!$A:$B,2,FALSE()),"")</f>
        <v>0.5325681492109039</v>
      </c>
    </row>
    <row r="92" spans="1:4" ht="12" customHeight="1" x14ac:dyDescent="0.3">
      <c r="A92" s="167" t="s">
        <v>358</v>
      </c>
      <c r="B92" s="168">
        <v>45806</v>
      </c>
      <c r="C92" s="169">
        <v>1310.8</v>
      </c>
      <c r="D92" s="170">
        <f>IFERROR(C92/VLOOKUP(A92,Usinas!$A:$B,2,FALSE()),"")</f>
        <v>1.8806312769010043</v>
      </c>
    </row>
    <row r="93" spans="1:4" ht="12" customHeight="1" x14ac:dyDescent="0.3">
      <c r="A93" s="167" t="s">
        <v>358</v>
      </c>
      <c r="B93" s="168">
        <v>45807</v>
      </c>
      <c r="C93" s="169">
        <v>1578.2</v>
      </c>
      <c r="D93" s="170">
        <f>IFERROR(C93/VLOOKUP(A93,Usinas!$A:$B,2,FALSE()),"")</f>
        <v>2.2642754662840745</v>
      </c>
    </row>
    <row r="94" spans="1:4" ht="12" customHeight="1" x14ac:dyDescent="0.3">
      <c r="A94" s="167" t="s">
        <v>358</v>
      </c>
      <c r="B94" s="168">
        <v>45808</v>
      </c>
      <c r="C94" s="169">
        <v>872</v>
      </c>
      <c r="D94" s="170">
        <f>IFERROR(C94/VLOOKUP(A94,Usinas!$A:$B,2,FALSE()),"")</f>
        <v>1.2510760401721663</v>
      </c>
    </row>
    <row r="95" spans="1:4" ht="12" customHeight="1" x14ac:dyDescent="0.3">
      <c r="A95" s="167" t="s">
        <v>358</v>
      </c>
      <c r="B95" s="168">
        <v>45809</v>
      </c>
      <c r="C95" s="169">
        <v>1234.8</v>
      </c>
      <c r="D95" s="170">
        <f>IFERROR(C95/VLOOKUP(A95,Usinas!$A:$B,2,FALSE()),"")</f>
        <v>1.7715925394548062</v>
      </c>
    </row>
    <row r="96" spans="1:4" ht="12" customHeight="1" x14ac:dyDescent="0.3">
      <c r="A96" s="167" t="s">
        <v>358</v>
      </c>
      <c r="B96" s="168">
        <v>45810</v>
      </c>
      <c r="C96" s="169">
        <v>1149.7</v>
      </c>
      <c r="D96" s="170">
        <f>IFERROR(C96/VLOOKUP(A96,Usinas!$A:$B,2,FALSE()),"")</f>
        <v>1.6494978479196558</v>
      </c>
    </row>
    <row r="97" spans="1:4" ht="12" customHeight="1" x14ac:dyDescent="0.3">
      <c r="A97" s="167" t="s">
        <v>358</v>
      </c>
      <c r="B97" s="168">
        <v>45811</v>
      </c>
      <c r="C97" s="169">
        <v>1228.0999999999999</v>
      </c>
      <c r="D97" s="170">
        <f>IFERROR(C97/VLOOKUP(A97,Usinas!$A:$B,2,FALSE()),"")</f>
        <v>1.761979913916786</v>
      </c>
    </row>
    <row r="98" spans="1:4" ht="12" customHeight="1" x14ac:dyDescent="0.3">
      <c r="A98" s="167" t="s">
        <v>358</v>
      </c>
      <c r="B98" s="168">
        <v>45812</v>
      </c>
      <c r="C98" s="169">
        <v>1169.2</v>
      </c>
      <c r="D98" s="170">
        <f>IFERROR(C98/VLOOKUP(A98,Usinas!$A:$B,2,FALSE()),"")</f>
        <v>1.6774748923959828</v>
      </c>
    </row>
    <row r="99" spans="1:4" ht="12" customHeight="1" x14ac:dyDescent="0.3">
      <c r="A99" s="167" t="s">
        <v>358</v>
      </c>
      <c r="B99" s="168">
        <v>45813</v>
      </c>
      <c r="C99" s="169">
        <v>802.3</v>
      </c>
      <c r="D99" s="170">
        <f>IFERROR(C99/VLOOKUP(A99,Usinas!$A:$B,2,FALSE()),"")</f>
        <v>1.1510760401721665</v>
      </c>
    </row>
    <row r="100" spans="1:4" ht="12" customHeight="1" x14ac:dyDescent="0.3">
      <c r="A100" s="167" t="s">
        <v>358</v>
      </c>
      <c r="B100" s="168">
        <v>45814</v>
      </c>
      <c r="C100" s="169">
        <v>1167.5999999999999</v>
      </c>
      <c r="D100" s="170">
        <f>IFERROR(C100/VLOOKUP(A100,Usinas!$A:$B,2,FALSE()),"")</f>
        <v>1.6751793400286943</v>
      </c>
    </row>
    <row r="101" spans="1:4" ht="12" customHeight="1" x14ac:dyDescent="0.3">
      <c r="A101" s="167" t="s">
        <v>358</v>
      </c>
      <c r="B101" s="168">
        <v>45815</v>
      </c>
      <c r="C101" s="169">
        <v>1235.0999999999999</v>
      </c>
      <c r="D101" s="170">
        <f>IFERROR(C101/VLOOKUP(A101,Usinas!$A:$B,2,FALSE()),"")</f>
        <v>1.7720229555236728</v>
      </c>
    </row>
    <row r="102" spans="1:4" ht="12" customHeight="1" x14ac:dyDescent="0.3">
      <c r="A102" s="167" t="s">
        <v>358</v>
      </c>
      <c r="B102" s="168">
        <v>45825</v>
      </c>
      <c r="C102" s="169">
        <v>1195.0999999999999</v>
      </c>
      <c r="D102" s="170">
        <f>IFERROR(C102/VLOOKUP(A102,Usinas!$A:$B,2,FALSE()),"")</f>
        <v>1.7146341463414634</v>
      </c>
    </row>
    <row r="103" spans="1:4" ht="12" customHeight="1" x14ac:dyDescent="0.3">
      <c r="A103" s="167" t="s">
        <v>358</v>
      </c>
      <c r="B103" s="168">
        <v>45826</v>
      </c>
      <c r="C103" s="169">
        <v>1332.9</v>
      </c>
      <c r="D103" s="170">
        <f>IFERROR(C103/VLOOKUP(A103,Usinas!$A:$B,2,FALSE()),"")</f>
        <v>1.9123385939741753</v>
      </c>
    </row>
    <row r="104" spans="1:4" ht="12" customHeight="1" x14ac:dyDescent="0.3">
      <c r="A104" s="167" t="s">
        <v>358</v>
      </c>
      <c r="B104" s="168">
        <v>45827</v>
      </c>
      <c r="C104" s="169">
        <v>1298.9000000000001</v>
      </c>
      <c r="D104" s="170">
        <f>IFERROR(C104/VLOOKUP(A104,Usinas!$A:$B,2,FALSE()),"")</f>
        <v>1.8635581061692972</v>
      </c>
    </row>
    <row r="105" spans="1:4" ht="12" customHeight="1" x14ac:dyDescent="0.3">
      <c r="A105" s="167" t="s">
        <v>358</v>
      </c>
      <c r="B105" s="168">
        <v>45828</v>
      </c>
      <c r="C105" s="169">
        <v>1018</v>
      </c>
      <c r="D105" s="170">
        <f>IFERROR(C105/VLOOKUP(A105,Usinas!$A:$B,2,FALSE()),"")</f>
        <v>1.4605451936872309</v>
      </c>
    </row>
    <row r="106" spans="1:4" ht="12" customHeight="1" x14ac:dyDescent="0.3">
      <c r="A106" s="167" t="s">
        <v>358</v>
      </c>
      <c r="B106" s="168">
        <v>45829</v>
      </c>
      <c r="C106" s="169">
        <v>464.7</v>
      </c>
      <c r="D106" s="170">
        <f>IFERROR(C106/VLOOKUP(A106,Usinas!$A:$B,2,FALSE()),"")</f>
        <v>0.66671449067431854</v>
      </c>
    </row>
    <row r="107" spans="1:4" ht="12" customHeight="1" x14ac:dyDescent="0.3">
      <c r="A107" s="167" t="s">
        <v>358</v>
      </c>
      <c r="B107" s="168">
        <v>45830</v>
      </c>
      <c r="C107" s="169">
        <v>645.20000000000005</v>
      </c>
      <c r="D107" s="170">
        <f>IFERROR(C107/VLOOKUP(A107,Usinas!$A:$B,2,FALSE()),"")</f>
        <v>0.92568149210903883</v>
      </c>
    </row>
    <row r="108" spans="1:4" ht="12" customHeight="1" x14ac:dyDescent="0.3">
      <c r="A108" s="167" t="s">
        <v>358</v>
      </c>
      <c r="B108" s="168">
        <v>45831</v>
      </c>
      <c r="C108" s="169">
        <v>255</v>
      </c>
      <c r="D108" s="170">
        <f>IFERROR(C108/VLOOKUP(A108,Usinas!$A:$B,2,FALSE()),"")</f>
        <v>0.36585365853658536</v>
      </c>
    </row>
    <row r="109" spans="1:4" ht="12" customHeight="1" x14ac:dyDescent="0.3">
      <c r="A109" s="167" t="s">
        <v>358</v>
      </c>
      <c r="B109" s="168">
        <v>45832</v>
      </c>
      <c r="C109" s="169">
        <v>1604.9</v>
      </c>
      <c r="D109" s="170">
        <f>IFERROR(C109/VLOOKUP(A109,Usinas!$A:$B,2,FALSE()),"")</f>
        <v>2.3025824964131996</v>
      </c>
    </row>
    <row r="110" spans="1:4" ht="12" customHeight="1" x14ac:dyDescent="0.3">
      <c r="A110" s="167" t="s">
        <v>358</v>
      </c>
      <c r="B110" s="168">
        <v>45833</v>
      </c>
      <c r="C110" s="169">
        <v>1484.1</v>
      </c>
      <c r="D110" s="170">
        <f>IFERROR(C110/VLOOKUP(A110,Usinas!$A:$B,2,FALSE()),"")</f>
        <v>2.1292682926829265</v>
      </c>
    </row>
    <row r="111" spans="1:4" ht="12" customHeight="1" x14ac:dyDescent="0.3">
      <c r="A111" s="167" t="s">
        <v>358</v>
      </c>
      <c r="B111" s="168">
        <v>45834</v>
      </c>
      <c r="C111" s="169">
        <v>541.9</v>
      </c>
      <c r="D111" s="170">
        <f>IFERROR(C111/VLOOKUP(A111,Usinas!$A:$B,2,FALSE()),"")</f>
        <v>0.77747489239598278</v>
      </c>
    </row>
    <row r="112" spans="1:4" ht="12" customHeight="1" x14ac:dyDescent="0.3">
      <c r="A112" s="167" t="s">
        <v>358</v>
      </c>
      <c r="B112" s="168">
        <v>45835</v>
      </c>
      <c r="C112" s="169">
        <v>551.70000000000005</v>
      </c>
      <c r="D112" s="170">
        <f>IFERROR(C112/VLOOKUP(A112,Usinas!$A:$B,2,FALSE()),"")</f>
        <v>0.79153515064562419</v>
      </c>
    </row>
    <row r="113" spans="1:4" ht="12" customHeight="1" x14ac:dyDescent="0.3">
      <c r="A113" s="167" t="s">
        <v>358</v>
      </c>
      <c r="B113" s="168">
        <v>45836</v>
      </c>
      <c r="C113" s="169">
        <v>1010</v>
      </c>
      <c r="D113" s="170">
        <f>IFERROR(C113/VLOOKUP(A113,Usinas!$A:$B,2,FALSE()),"")</f>
        <v>1.449067431850789</v>
      </c>
    </row>
    <row r="114" spans="1:4" ht="12" customHeight="1" x14ac:dyDescent="0.3">
      <c r="A114" s="167" t="s">
        <v>358</v>
      </c>
      <c r="B114" s="168">
        <v>45837</v>
      </c>
      <c r="C114" s="169">
        <v>1035.4000000000001</v>
      </c>
      <c r="D114" s="170">
        <f>IFERROR(C114/VLOOKUP(A114,Usinas!$A:$B,2,FALSE()),"")</f>
        <v>1.4855093256814922</v>
      </c>
    </row>
    <row r="115" spans="1:4" ht="12" customHeight="1" x14ac:dyDescent="0.3">
      <c r="A115" s="167" t="s">
        <v>358</v>
      </c>
      <c r="B115" s="168">
        <v>45838</v>
      </c>
      <c r="C115" s="169">
        <v>373.6</v>
      </c>
      <c r="D115" s="170">
        <f>IFERROR(C115/VLOOKUP(A115,Usinas!$A:$B,2,FALSE()),"")</f>
        <v>0.53601147776183644</v>
      </c>
    </row>
    <row r="116" spans="1:4" ht="12" customHeight="1" x14ac:dyDescent="0.3">
      <c r="A116" s="167" t="s">
        <v>358</v>
      </c>
      <c r="B116" s="168">
        <v>45839</v>
      </c>
      <c r="C116" s="169">
        <v>850.6</v>
      </c>
      <c r="D116" s="170">
        <f>IFERROR(C116/VLOOKUP(A116,Usinas!$A:$B,2,FALSE()),"")</f>
        <v>1.2203730272596844</v>
      </c>
    </row>
    <row r="117" spans="1:4" ht="12" customHeight="1" x14ac:dyDescent="0.3">
      <c r="A117" s="167" t="s">
        <v>358</v>
      </c>
      <c r="B117" s="168">
        <v>45840</v>
      </c>
      <c r="C117" s="169">
        <v>816.4</v>
      </c>
      <c r="D117" s="170">
        <f>IFERROR(C117/VLOOKUP(A117,Usinas!$A:$B,2,FALSE()),"")</f>
        <v>1.1713055954088953</v>
      </c>
    </row>
    <row r="118" spans="1:4" ht="12" customHeight="1" x14ac:dyDescent="0.3">
      <c r="A118" s="167" t="s">
        <v>358</v>
      </c>
      <c r="B118" s="168">
        <v>45841</v>
      </c>
      <c r="C118" s="169">
        <v>1073.9000000000001</v>
      </c>
      <c r="D118" s="170">
        <f>IFERROR(C118/VLOOKUP(A118,Usinas!$A:$B,2,FALSE()),"")</f>
        <v>1.5407460545193687</v>
      </c>
    </row>
    <row r="119" spans="1:4" ht="12" customHeight="1" x14ac:dyDescent="0.3">
      <c r="A119" s="167" t="s">
        <v>358</v>
      </c>
      <c r="B119" s="168">
        <v>45842</v>
      </c>
      <c r="C119" s="169">
        <v>1231.7</v>
      </c>
      <c r="D119" s="170">
        <f>IFERROR(C119/VLOOKUP(A119,Usinas!$A:$B,2,FALSE()),"")</f>
        <v>1.7671449067431853</v>
      </c>
    </row>
    <row r="120" spans="1:4" ht="12" customHeight="1" x14ac:dyDescent="0.3">
      <c r="A120" s="167" t="s">
        <v>358</v>
      </c>
      <c r="B120" s="168">
        <v>45843</v>
      </c>
      <c r="C120" s="169">
        <v>1178.8</v>
      </c>
      <c r="D120" s="170">
        <f>IFERROR(C120/VLOOKUP(A120,Usinas!$A:$B,2,FALSE()),"")</f>
        <v>1.691248206599713</v>
      </c>
    </row>
    <row r="121" spans="1:4" ht="12" customHeight="1" x14ac:dyDescent="0.3">
      <c r="A121" s="167" t="s">
        <v>358</v>
      </c>
      <c r="B121" s="168">
        <v>45844</v>
      </c>
      <c r="C121" s="169">
        <v>1219</v>
      </c>
      <c r="D121" s="170">
        <f>IFERROR(C121/VLOOKUP(A121,Usinas!$A:$B,2,FALSE()),"")</f>
        <v>1.7489239598278337</v>
      </c>
    </row>
    <row r="122" spans="1:4" ht="12" customHeight="1" x14ac:dyDescent="0.3">
      <c r="A122" s="167" t="s">
        <v>358</v>
      </c>
      <c r="B122" s="168">
        <v>45845</v>
      </c>
      <c r="C122" s="169">
        <v>1309.2</v>
      </c>
      <c r="D122" s="170">
        <f>IFERROR(C122/VLOOKUP(A122,Usinas!$A:$B,2,FALSE()),"")</f>
        <v>1.878335724533716</v>
      </c>
    </row>
    <row r="123" spans="1:4" ht="12" customHeight="1" x14ac:dyDescent="0.3">
      <c r="A123" s="167" t="s">
        <v>358</v>
      </c>
      <c r="B123" s="168">
        <v>45846</v>
      </c>
      <c r="C123" s="169">
        <v>1346.7</v>
      </c>
      <c r="D123" s="170">
        <f>IFERROR(C123/VLOOKUP(A123,Usinas!$A:$B,2,FALSE()),"")</f>
        <v>1.9321377331420373</v>
      </c>
    </row>
    <row r="124" spans="1:4" ht="12" customHeight="1" x14ac:dyDescent="0.3">
      <c r="A124" s="167" t="s">
        <v>358</v>
      </c>
      <c r="B124" s="168">
        <v>45847</v>
      </c>
      <c r="C124" s="169">
        <v>1371.2</v>
      </c>
      <c r="D124" s="170">
        <f>IFERROR(C124/VLOOKUP(A124,Usinas!$A:$B,2,FALSE()),"")</f>
        <v>1.9672883787661406</v>
      </c>
    </row>
    <row r="125" spans="1:4" ht="12" customHeight="1" x14ac:dyDescent="0.3">
      <c r="A125" s="167" t="s">
        <v>358</v>
      </c>
      <c r="B125" s="168">
        <v>45848</v>
      </c>
      <c r="C125" s="169">
        <v>1273.9000000000001</v>
      </c>
      <c r="D125" s="170">
        <f>IFERROR(C125/VLOOKUP(A125,Usinas!$A:$B,2,FALSE()),"")</f>
        <v>1.8276901004304162</v>
      </c>
    </row>
    <row r="126" spans="1:4" ht="12" customHeight="1" x14ac:dyDescent="0.3">
      <c r="A126" s="167" t="s">
        <v>358</v>
      </c>
      <c r="B126" s="168">
        <v>45849</v>
      </c>
      <c r="C126" s="169">
        <v>1038.2</v>
      </c>
      <c r="D126" s="170">
        <f>IFERROR(C126/VLOOKUP(A126,Usinas!$A:$B,2,FALSE()),"")</f>
        <v>1.4895265423242467</v>
      </c>
    </row>
    <row r="127" spans="1:4" ht="12" customHeight="1" x14ac:dyDescent="0.3">
      <c r="A127" s="167" t="s">
        <v>358</v>
      </c>
      <c r="B127" s="168">
        <v>45850</v>
      </c>
      <c r="C127" s="169">
        <v>1195.5</v>
      </c>
      <c r="D127" s="170">
        <f>IFERROR(C127/VLOOKUP(A127,Usinas!$A:$B,2,FALSE()),"")</f>
        <v>1.7152080344332854</v>
      </c>
    </row>
    <row r="128" spans="1:4" ht="12" customHeight="1" x14ac:dyDescent="0.3">
      <c r="A128" s="167" t="s">
        <v>358</v>
      </c>
      <c r="B128" s="168">
        <v>45851</v>
      </c>
      <c r="C128" s="169">
        <v>1086.0999999999999</v>
      </c>
      <c r="D128" s="170">
        <f>IFERROR(C128/VLOOKUP(A128,Usinas!$A:$B,2,FALSE()),"")</f>
        <v>1.5582496413199425</v>
      </c>
    </row>
    <row r="129" spans="1:4" ht="12" customHeight="1" x14ac:dyDescent="0.3">
      <c r="A129" s="167" t="s">
        <v>358</v>
      </c>
      <c r="B129" s="168">
        <v>45852</v>
      </c>
      <c r="C129" s="169">
        <v>1165.4000000000001</v>
      </c>
      <c r="D129" s="170">
        <f>IFERROR(C129/VLOOKUP(A129,Usinas!$A:$B,2,FALSE()),"")</f>
        <v>1.672022955523673</v>
      </c>
    </row>
    <row r="130" spans="1:4" ht="12" customHeight="1" x14ac:dyDescent="0.3">
      <c r="A130" s="167" t="s">
        <v>358</v>
      </c>
      <c r="B130" s="168">
        <v>45853</v>
      </c>
      <c r="C130" s="169">
        <v>1245.4000000000001</v>
      </c>
      <c r="D130" s="170">
        <f>IFERROR(C130/VLOOKUP(A130,Usinas!$A:$B,2,FALSE()),"")</f>
        <v>1.7868005738880919</v>
      </c>
    </row>
    <row r="131" spans="1:4" ht="12" customHeight="1" x14ac:dyDescent="0.3">
      <c r="A131" s="167" t="s">
        <v>358</v>
      </c>
      <c r="B131" s="168">
        <v>45854</v>
      </c>
      <c r="C131" s="169">
        <v>1301.9000000000001</v>
      </c>
      <c r="D131" s="170">
        <f>IFERROR(C131/VLOOKUP(A131,Usinas!$A:$B,2,FALSE()),"")</f>
        <v>1.8678622668579627</v>
      </c>
    </row>
    <row r="132" spans="1:4" ht="12" customHeight="1" x14ac:dyDescent="0.3">
      <c r="A132" s="167" t="s">
        <v>358</v>
      </c>
      <c r="B132" s="168">
        <v>45855</v>
      </c>
      <c r="C132" s="169">
        <v>1072</v>
      </c>
      <c r="D132" s="170">
        <f>IFERROR(C132/VLOOKUP(A132,Usinas!$A:$B,2,FALSE()),"")</f>
        <v>1.5380200860832138</v>
      </c>
    </row>
    <row r="133" spans="1:4" ht="12" customHeight="1" x14ac:dyDescent="0.3">
      <c r="A133" s="167" t="s">
        <v>358</v>
      </c>
      <c r="B133" s="168">
        <v>45856</v>
      </c>
      <c r="C133" s="169">
        <v>1363.1</v>
      </c>
      <c r="D133" s="170">
        <f>IFERROR(C133/VLOOKUP(A133,Usinas!$A:$B,2,FALSE()),"")</f>
        <v>1.9556671449067431</v>
      </c>
    </row>
    <row r="134" spans="1:4" ht="12" customHeight="1" x14ac:dyDescent="0.3">
      <c r="A134" s="167" t="s">
        <v>358</v>
      </c>
      <c r="B134" s="168">
        <v>45857</v>
      </c>
      <c r="C134" s="169">
        <v>1337.3</v>
      </c>
      <c r="D134" s="170">
        <f>IFERROR(C134/VLOOKUP(A134,Usinas!$A:$B,2,FALSE()),"")</f>
        <v>1.9186513629842181</v>
      </c>
    </row>
    <row r="135" spans="1:4" ht="12" customHeight="1" x14ac:dyDescent="0.3">
      <c r="A135" s="167" t="s">
        <v>358</v>
      </c>
      <c r="B135" s="168">
        <v>45858</v>
      </c>
      <c r="C135" s="169">
        <v>854.6</v>
      </c>
      <c r="D135" s="170">
        <f>IFERROR(C135/VLOOKUP(A135,Usinas!$A:$B,2,FALSE()),"")</f>
        <v>1.2261119081779053</v>
      </c>
    </row>
    <row r="136" spans="1:4" ht="12" customHeight="1" x14ac:dyDescent="0.3">
      <c r="A136" s="167" t="s">
        <v>358</v>
      </c>
      <c r="B136" s="168">
        <v>45859</v>
      </c>
      <c r="C136" s="169">
        <v>1215.5</v>
      </c>
      <c r="D136" s="170">
        <f>IFERROR(C136/VLOOKUP(A136,Usinas!$A:$B,2,FALSE()),"")</f>
        <v>1.7439024390243902</v>
      </c>
    </row>
    <row r="137" spans="1:4" ht="12" customHeight="1" x14ac:dyDescent="0.3">
      <c r="A137" s="167" t="s">
        <v>358</v>
      </c>
      <c r="B137" s="168">
        <v>45860</v>
      </c>
      <c r="C137" s="169">
        <v>1216.4000000000001</v>
      </c>
      <c r="D137" s="170">
        <f>IFERROR(C137/VLOOKUP(A137,Usinas!$A:$B,2,FALSE()),"")</f>
        <v>1.7451936872309901</v>
      </c>
    </row>
    <row r="138" spans="1:4" ht="12" customHeight="1" x14ac:dyDescent="0.3">
      <c r="A138" s="167" t="s">
        <v>358</v>
      </c>
      <c r="B138" s="168">
        <v>45861</v>
      </c>
      <c r="C138" s="169">
        <v>1263</v>
      </c>
      <c r="D138" s="170">
        <f>IFERROR(C138/VLOOKUP(A138,Usinas!$A:$B,2,FALSE()),"")</f>
        <v>1.812051649928264</v>
      </c>
    </row>
    <row r="139" spans="1:4" ht="12" customHeight="1" x14ac:dyDescent="0.3">
      <c r="A139" s="167" t="s">
        <v>358</v>
      </c>
      <c r="B139" s="168">
        <v>45862</v>
      </c>
      <c r="C139" s="169">
        <v>1127.2</v>
      </c>
      <c r="D139" s="170">
        <f>IFERROR(C139/VLOOKUP(A139,Usinas!$A:$B,2,FALSE()),"")</f>
        <v>1.6172166427546628</v>
      </c>
    </row>
    <row r="140" spans="1:4" ht="12" customHeight="1" x14ac:dyDescent="0.3">
      <c r="A140" s="167" t="s">
        <v>358</v>
      </c>
      <c r="B140" s="168">
        <v>45863</v>
      </c>
      <c r="C140" s="169">
        <v>1289.7</v>
      </c>
      <c r="D140" s="170">
        <f>IFERROR(C140/VLOOKUP(A140,Usinas!$A:$B,2,FALSE()),"")</f>
        <v>1.8503586800573888</v>
      </c>
    </row>
    <row r="141" spans="1:4" ht="12" customHeight="1" x14ac:dyDescent="0.3">
      <c r="A141" s="167" t="s">
        <v>358</v>
      </c>
      <c r="B141" s="168">
        <v>45864</v>
      </c>
      <c r="C141" s="169">
        <v>1184.3</v>
      </c>
      <c r="D141" s="170">
        <f>IFERROR(C141/VLOOKUP(A141,Usinas!$A:$B,2,FALSE()),"")</f>
        <v>1.6991391678622667</v>
      </c>
    </row>
    <row r="142" spans="1:4" ht="12" customHeight="1" x14ac:dyDescent="0.3">
      <c r="A142" s="167" t="s">
        <v>358</v>
      </c>
      <c r="B142" s="168">
        <v>45865</v>
      </c>
      <c r="C142" s="169">
        <v>1069.8</v>
      </c>
      <c r="D142" s="170">
        <f>IFERROR(C142/VLOOKUP(A142,Usinas!$A:$B,2,FALSE()),"")</f>
        <v>1.5348637015781923</v>
      </c>
    </row>
    <row r="143" spans="1:4" ht="12" customHeight="1" x14ac:dyDescent="0.3">
      <c r="A143" s="167" t="s">
        <v>358</v>
      </c>
      <c r="B143" s="168">
        <v>45866</v>
      </c>
      <c r="C143" s="169">
        <v>835.5</v>
      </c>
      <c r="D143" s="170">
        <f>IFERROR(C143/VLOOKUP(A143,Usinas!$A:$B,2,FALSE()),"")</f>
        <v>1.1987087517934003</v>
      </c>
    </row>
    <row r="144" spans="1:4" ht="12" customHeight="1" x14ac:dyDescent="0.3">
      <c r="A144" s="167" t="s">
        <v>358</v>
      </c>
      <c r="B144" s="168">
        <v>45867</v>
      </c>
      <c r="C144" s="169">
        <v>1624.3</v>
      </c>
      <c r="D144" s="170">
        <f>IFERROR(C144/VLOOKUP(A144,Usinas!$A:$B,2,FALSE()),"")</f>
        <v>2.3304160688665712</v>
      </c>
    </row>
    <row r="145" spans="1:4" ht="12" customHeight="1" x14ac:dyDescent="0.3">
      <c r="A145" s="167" t="s">
        <v>358</v>
      </c>
      <c r="B145" s="168">
        <v>45868</v>
      </c>
      <c r="C145" s="169">
        <v>1585.2</v>
      </c>
      <c r="D145" s="170">
        <f>IFERROR(C145/VLOOKUP(A145,Usinas!$A:$B,2,FALSE()),"")</f>
        <v>2.2743185078909613</v>
      </c>
    </row>
    <row r="146" spans="1:4" ht="12" customHeight="1" x14ac:dyDescent="0.3">
      <c r="A146" s="167" t="s">
        <v>358</v>
      </c>
      <c r="B146" s="168">
        <v>45869</v>
      </c>
      <c r="C146" s="169">
        <v>1576</v>
      </c>
      <c r="D146" s="170">
        <f>IFERROR(C146/VLOOKUP(A146,Usinas!$A:$B,2,FALSE()),"")</f>
        <v>2.2611190817790532</v>
      </c>
    </row>
    <row r="147" spans="1:4" ht="12" customHeight="1" x14ac:dyDescent="0.3">
      <c r="A147" s="167" t="s">
        <v>358</v>
      </c>
      <c r="B147" s="168">
        <v>45870</v>
      </c>
      <c r="C147" s="169">
        <v>1466.2</v>
      </c>
      <c r="D147" s="170">
        <f>IFERROR(C147/VLOOKUP(A147,Usinas!$A:$B,2,FALSE()),"")</f>
        <v>2.103586800573888</v>
      </c>
    </row>
    <row r="148" spans="1:4" ht="12" customHeight="1" x14ac:dyDescent="0.3">
      <c r="A148" s="167" t="s">
        <v>358</v>
      </c>
      <c r="B148" s="168">
        <v>45871</v>
      </c>
      <c r="C148" s="169">
        <v>1183.0999999999999</v>
      </c>
      <c r="D148" s="170">
        <f>IFERROR(C148/VLOOKUP(A148,Usinas!$A:$B,2,FALSE()),"")</f>
        <v>1.6974175035868004</v>
      </c>
    </row>
    <row r="149" spans="1:4" ht="12" customHeight="1" x14ac:dyDescent="0.3">
      <c r="A149" s="167" t="s">
        <v>358</v>
      </c>
      <c r="B149" s="168">
        <v>45872</v>
      </c>
      <c r="C149" s="169">
        <v>1138</v>
      </c>
      <c r="D149" s="170">
        <f>IFERROR(C149/VLOOKUP(A149,Usinas!$A:$B,2,FALSE()),"")</f>
        <v>1.6327116212338595</v>
      </c>
    </row>
    <row r="150" spans="1:4" ht="12" customHeight="1" x14ac:dyDescent="0.3">
      <c r="A150" s="167" t="s">
        <v>358</v>
      </c>
      <c r="B150" s="168">
        <v>45873</v>
      </c>
      <c r="C150" s="169">
        <v>194.5</v>
      </c>
      <c r="D150" s="170">
        <f>IFERROR(C150/VLOOKUP(A150,Usinas!$A:$B,2,FALSE()),"")</f>
        <v>0.27905308464849354</v>
      </c>
    </row>
    <row r="151" spans="1:4" ht="12" customHeight="1" x14ac:dyDescent="0.3">
      <c r="A151" s="167" t="s">
        <v>358</v>
      </c>
      <c r="B151" s="168">
        <v>45874</v>
      </c>
      <c r="C151" s="169">
        <v>958.7</v>
      </c>
      <c r="D151" s="170">
        <f>IFERROR(C151/VLOOKUP(A151,Usinas!$A:$B,2,FALSE()),"")</f>
        <v>1.3754662840746055</v>
      </c>
    </row>
    <row r="152" spans="1:4" ht="12" customHeight="1" x14ac:dyDescent="0.3">
      <c r="A152" s="167" t="s">
        <v>358</v>
      </c>
      <c r="B152" s="168">
        <v>45875</v>
      </c>
      <c r="C152" s="169">
        <v>1479.9</v>
      </c>
      <c r="D152" s="170">
        <f>IFERROR(C152/VLOOKUP(A152,Usinas!$A:$B,2,FALSE()),"")</f>
        <v>2.1232424677187951</v>
      </c>
    </row>
    <row r="153" spans="1:4" ht="12" customHeight="1" x14ac:dyDescent="0.3">
      <c r="A153" s="167" t="s">
        <v>358</v>
      </c>
      <c r="B153" s="168">
        <v>45876</v>
      </c>
      <c r="C153" s="169">
        <v>1109.0999999999999</v>
      </c>
      <c r="D153" s="170">
        <f>IFERROR(C153/VLOOKUP(A153,Usinas!$A:$B,2,FALSE()),"")</f>
        <v>1.5912482065997129</v>
      </c>
    </row>
    <row r="154" spans="1:4" ht="12" customHeight="1" x14ac:dyDescent="0.3">
      <c r="A154" s="167" t="s">
        <v>358</v>
      </c>
      <c r="B154" s="168">
        <v>45877</v>
      </c>
      <c r="C154" s="169">
        <v>633.20000000000005</v>
      </c>
      <c r="D154" s="170">
        <f>IFERROR(C154/VLOOKUP(A154,Usinas!$A:$B,2,FALSE()),"")</f>
        <v>0.90846484935437599</v>
      </c>
    </row>
    <row r="155" spans="1:4" ht="12" customHeight="1" x14ac:dyDescent="0.3">
      <c r="A155" s="167" t="s">
        <v>358</v>
      </c>
      <c r="B155" s="168">
        <v>45878</v>
      </c>
      <c r="C155" s="169">
        <v>1578.2</v>
      </c>
      <c r="D155" s="170">
        <f>IFERROR(C155/VLOOKUP(A155,Usinas!$A:$B,2,FALSE()),"")</f>
        <v>2.2642754662840745</v>
      </c>
    </row>
    <row r="156" spans="1:4" ht="12" customHeight="1" x14ac:dyDescent="0.3">
      <c r="A156" s="167" t="s">
        <v>358</v>
      </c>
      <c r="B156" s="168">
        <v>45879</v>
      </c>
      <c r="C156" s="169">
        <v>1637.7</v>
      </c>
      <c r="D156" s="170">
        <f>IFERROR(C156/VLOOKUP(A156,Usinas!$A:$B,2,FALSE()),"")</f>
        <v>2.3496413199426112</v>
      </c>
    </row>
    <row r="157" spans="1:4" ht="12" customHeight="1" x14ac:dyDescent="0.3">
      <c r="A157" s="167" t="s">
        <v>358</v>
      </c>
      <c r="B157" s="168">
        <v>45880</v>
      </c>
      <c r="C157" s="169">
        <v>707.3</v>
      </c>
      <c r="D157" s="170">
        <f>IFERROR(C157/VLOOKUP(A157,Usinas!$A:$B,2,FALSE()),"")</f>
        <v>1.0147776183644188</v>
      </c>
    </row>
    <row r="158" spans="1:4" ht="12" customHeight="1" x14ac:dyDescent="0.3">
      <c r="A158" s="167" t="s">
        <v>358</v>
      </c>
      <c r="B158" s="168">
        <v>45884</v>
      </c>
      <c r="C158" s="169">
        <v>337.1</v>
      </c>
      <c r="D158" s="170">
        <f>IFERROR(C158/VLOOKUP(A158,Usinas!$A:$B,2,FALSE()),"")</f>
        <v>0.48364418938307036</v>
      </c>
    </row>
    <row r="159" spans="1:4" ht="12" customHeight="1" x14ac:dyDescent="0.3">
      <c r="A159" s="167" t="s">
        <v>358</v>
      </c>
      <c r="B159" s="168">
        <v>45885</v>
      </c>
      <c r="C159" s="169">
        <v>596.1</v>
      </c>
      <c r="D159" s="170">
        <f>IFERROR(C159/VLOOKUP(A159,Usinas!$A:$B,2,FALSE()),"")</f>
        <v>0.8552367288378766</v>
      </c>
    </row>
    <row r="160" spans="1:4" ht="12" customHeight="1" x14ac:dyDescent="0.3">
      <c r="A160" s="167" t="s">
        <v>358</v>
      </c>
      <c r="B160" s="168">
        <v>45886</v>
      </c>
      <c r="C160" s="169">
        <v>577.6</v>
      </c>
      <c r="D160" s="170">
        <f>IFERROR(C160/VLOOKUP(A160,Usinas!$A:$B,2,FALSE()),"")</f>
        <v>0.82869440459110477</v>
      </c>
    </row>
    <row r="161" spans="1:4" ht="12" customHeight="1" x14ac:dyDescent="0.3">
      <c r="A161" s="167" t="s">
        <v>358</v>
      </c>
      <c r="B161" s="168">
        <v>45889</v>
      </c>
      <c r="C161" s="169">
        <v>454.5</v>
      </c>
      <c r="D161" s="170">
        <f>IFERROR(C161/VLOOKUP(A161,Usinas!$A:$B,2,FALSE()),"")</f>
        <v>0.65208034433285511</v>
      </c>
    </row>
    <row r="162" spans="1:4" ht="12" customHeight="1" x14ac:dyDescent="0.3">
      <c r="A162" s="167" t="s">
        <v>358</v>
      </c>
      <c r="B162" s="168">
        <v>45890</v>
      </c>
      <c r="C162" s="169">
        <v>291.89999999999998</v>
      </c>
      <c r="D162" s="170">
        <f>IFERROR(C162/VLOOKUP(A162,Usinas!$A:$B,2,FALSE()),"")</f>
        <v>0.41879483500717357</v>
      </c>
    </row>
    <row r="163" spans="1:4" ht="12" customHeight="1" x14ac:dyDescent="0.3">
      <c r="A163" s="167" t="s">
        <v>358</v>
      </c>
      <c r="B163" s="168">
        <v>45891</v>
      </c>
      <c r="C163" s="169">
        <v>506.2</v>
      </c>
      <c r="D163" s="170">
        <f>IFERROR(C163/VLOOKUP(A163,Usinas!$A:$B,2,FALSE()),"")</f>
        <v>0.72625538020086078</v>
      </c>
    </row>
    <row r="164" spans="1:4" ht="12" customHeight="1" x14ac:dyDescent="0.3">
      <c r="A164" s="167" t="s">
        <v>358</v>
      </c>
      <c r="B164" s="168">
        <v>45897</v>
      </c>
      <c r="C164" s="169">
        <v>59.1</v>
      </c>
      <c r="D164" s="170">
        <f>IFERROR(C164/VLOOKUP(A164,Usinas!$A:$B,2,FALSE()),"")</f>
        <v>8.4791965566714492E-2</v>
      </c>
    </row>
    <row r="165" spans="1:4" ht="12" customHeight="1" x14ac:dyDescent="0.3">
      <c r="A165" s="167" t="s">
        <v>358</v>
      </c>
      <c r="B165" s="168">
        <v>45898</v>
      </c>
      <c r="C165" s="169">
        <v>435.1</v>
      </c>
      <c r="D165" s="170">
        <f>IFERROR(C165/VLOOKUP(A165,Usinas!$A:$B,2,FALSE()),"")</f>
        <v>0.62424677187948352</v>
      </c>
    </row>
    <row r="166" spans="1:4" ht="12" customHeight="1" x14ac:dyDescent="0.3">
      <c r="A166" s="167" t="s">
        <v>358</v>
      </c>
      <c r="B166" s="168">
        <v>45899</v>
      </c>
      <c r="C166" s="169">
        <v>450.7</v>
      </c>
      <c r="D166" s="170">
        <f>IFERROR(C166/VLOOKUP(A166,Usinas!$A:$B,2,FALSE()),"")</f>
        <v>0.64662840746054517</v>
      </c>
    </row>
    <row r="167" spans="1:4" ht="12" customHeight="1" x14ac:dyDescent="0.3">
      <c r="A167" s="167" t="s">
        <v>358</v>
      </c>
      <c r="B167" s="168">
        <v>45900</v>
      </c>
      <c r="C167" s="169">
        <v>383.7</v>
      </c>
      <c r="D167" s="170">
        <f>IFERROR(C167/VLOOKUP(A167,Usinas!$A:$B,2,FALSE()),"")</f>
        <v>0.55050215208034436</v>
      </c>
    </row>
    <row r="168" spans="1:4" ht="12" customHeight="1" x14ac:dyDescent="0.3">
      <c r="A168" s="167" t="s">
        <v>358</v>
      </c>
      <c r="B168" s="168">
        <v>45901</v>
      </c>
      <c r="C168" s="169">
        <v>235.3</v>
      </c>
      <c r="D168" s="170">
        <f>IFERROR(C168/VLOOKUP(A168,Usinas!$A:$B,2,FALSE()),"")</f>
        <v>0.3375896700143472</v>
      </c>
    </row>
    <row r="169" spans="1:4" ht="12" customHeight="1" x14ac:dyDescent="0.3">
      <c r="A169" s="167" t="s">
        <v>358</v>
      </c>
      <c r="B169" s="168">
        <v>45902</v>
      </c>
      <c r="C169" s="169">
        <v>380.5</v>
      </c>
      <c r="D169" s="170">
        <f>IFERROR(C169/VLOOKUP(A169,Usinas!$A:$B,2,FALSE()),"")</f>
        <v>0.54591104734576756</v>
      </c>
    </row>
    <row r="170" spans="1:4" ht="12" customHeight="1" x14ac:dyDescent="0.3">
      <c r="A170" s="167" t="s">
        <v>358</v>
      </c>
      <c r="B170" s="168">
        <v>45903</v>
      </c>
      <c r="C170" s="169">
        <v>474.2</v>
      </c>
      <c r="D170" s="170">
        <f>IFERROR(C170/VLOOKUP(A170,Usinas!$A:$B,2,FALSE()),"")</f>
        <v>0.68034433285509321</v>
      </c>
    </row>
    <row r="171" spans="1:4" ht="12" customHeight="1" x14ac:dyDescent="0.3">
      <c r="A171" s="167" t="s">
        <v>358</v>
      </c>
      <c r="B171" s="168">
        <v>45904</v>
      </c>
      <c r="C171" s="169">
        <v>975</v>
      </c>
      <c r="D171" s="170">
        <f>IFERROR(C171/VLOOKUP(A171,Usinas!$A:$B,2,FALSE()),"")</f>
        <v>1.3988522238163559</v>
      </c>
    </row>
    <row r="172" spans="1:4" ht="12" customHeight="1" x14ac:dyDescent="0.3">
      <c r="A172" s="167" t="s">
        <v>358</v>
      </c>
      <c r="B172" s="168">
        <v>45905</v>
      </c>
      <c r="C172" s="169">
        <v>1179.5</v>
      </c>
      <c r="D172" s="170">
        <f>IFERROR(C172/VLOOKUP(A172,Usinas!$A:$B,2,FALSE()),"")</f>
        <v>1.6922525107604016</v>
      </c>
    </row>
    <row r="173" spans="1:4" ht="12" customHeight="1" x14ac:dyDescent="0.3">
      <c r="A173" s="167" t="s">
        <v>358</v>
      </c>
      <c r="B173" s="168">
        <v>45906</v>
      </c>
      <c r="C173" s="169">
        <v>958</v>
      </c>
      <c r="D173" s="170">
        <f>IFERROR(C173/VLOOKUP(A173,Usinas!$A:$B,2,FALSE()),"")</f>
        <v>1.3744619799139168</v>
      </c>
    </row>
    <row r="174" spans="1:4" ht="12" customHeight="1" x14ac:dyDescent="0.3">
      <c r="A174" s="167" t="s">
        <v>358</v>
      </c>
      <c r="B174" s="168">
        <v>45907</v>
      </c>
      <c r="C174" s="169">
        <v>981.6</v>
      </c>
      <c r="D174" s="170">
        <f>IFERROR(C174/VLOOKUP(A174,Usinas!$A:$B,2,FALSE()),"")</f>
        <v>1.4083213773314205</v>
      </c>
    </row>
    <row r="175" spans="1:4" ht="12" customHeight="1" x14ac:dyDescent="0.3">
      <c r="A175" s="167" t="s">
        <v>358</v>
      </c>
      <c r="B175" s="168">
        <v>45908</v>
      </c>
      <c r="C175" s="169">
        <v>1081</v>
      </c>
      <c r="D175" s="170">
        <f>IFERROR(C175/VLOOKUP(A175,Usinas!$A:$B,2,FALSE()),"")</f>
        <v>1.550932568149211</v>
      </c>
    </row>
    <row r="176" spans="1:4" ht="12" customHeight="1" x14ac:dyDescent="0.3">
      <c r="A176" s="167" t="s">
        <v>358</v>
      </c>
      <c r="B176" s="168">
        <v>45909</v>
      </c>
      <c r="C176" s="169">
        <v>1441.6</v>
      </c>
      <c r="D176" s="170">
        <f>IFERROR(C176/VLOOKUP(A176,Usinas!$A:$B,2,FALSE()),"")</f>
        <v>2.0682926829268293</v>
      </c>
    </row>
    <row r="177" spans="1:4" ht="12" customHeight="1" x14ac:dyDescent="0.3">
      <c r="A177" s="167" t="s">
        <v>358</v>
      </c>
      <c r="B177" s="168">
        <v>45910</v>
      </c>
      <c r="C177" s="169">
        <v>1477.5</v>
      </c>
      <c r="D177" s="170">
        <f>IFERROR(C177/VLOOKUP(A177,Usinas!$A:$B,2,FALSE()),"")</f>
        <v>2.1197991391678621</v>
      </c>
    </row>
    <row r="178" spans="1:4" ht="12" customHeight="1" x14ac:dyDescent="0.3">
      <c r="A178" s="167" t="s">
        <v>358</v>
      </c>
      <c r="B178" s="168">
        <v>45911</v>
      </c>
      <c r="C178" s="169">
        <v>1275.4000000000001</v>
      </c>
      <c r="D178" s="170">
        <f>IFERROR(C178/VLOOKUP(A178,Usinas!$A:$B,2,FALSE()),"")</f>
        <v>1.8298421807747491</v>
      </c>
    </row>
    <row r="179" spans="1:4" ht="12" customHeight="1" x14ac:dyDescent="0.3">
      <c r="A179" s="167" t="s">
        <v>358</v>
      </c>
      <c r="B179" s="168">
        <v>45912</v>
      </c>
      <c r="C179" s="169">
        <v>583.9</v>
      </c>
      <c r="D179" s="170">
        <f>IFERROR(C179/VLOOKUP(A179,Usinas!$A:$B,2,FALSE()),"")</f>
        <v>0.83773314203730265</v>
      </c>
    </row>
    <row r="180" spans="1:4" ht="12" customHeight="1" x14ac:dyDescent="0.3">
      <c r="A180" s="167" t="s">
        <v>358</v>
      </c>
      <c r="B180" s="168">
        <v>45913</v>
      </c>
      <c r="C180" s="169">
        <v>632.9</v>
      </c>
      <c r="D180" s="170">
        <f>IFERROR(C180/VLOOKUP(A180,Usinas!$A:$B,2,FALSE()),"")</f>
        <v>0.90803443328550926</v>
      </c>
    </row>
    <row r="181" spans="1:4" ht="12" customHeight="1" x14ac:dyDescent="0.3">
      <c r="A181" s="167" t="s">
        <v>358</v>
      </c>
      <c r="B181" s="168">
        <v>45914</v>
      </c>
      <c r="C181" s="169">
        <v>549.20000000000005</v>
      </c>
      <c r="D181" s="170">
        <f>IFERROR(C181/VLOOKUP(A181,Usinas!$A:$B,2,FALSE()),"")</f>
        <v>0.78794835007173603</v>
      </c>
    </row>
    <row r="182" spans="1:4" ht="12" customHeight="1" x14ac:dyDescent="0.3">
      <c r="A182" s="167" t="s">
        <v>358</v>
      </c>
      <c r="B182" s="168">
        <v>45915</v>
      </c>
      <c r="C182" s="169">
        <v>826.6</v>
      </c>
      <c r="D182" s="170">
        <f>IFERROR(C182/VLOOKUP(A182,Usinas!$A:$B,2,FALSE()),"")</f>
        <v>1.1859397417503588</v>
      </c>
    </row>
    <row r="183" spans="1:4" ht="12" customHeight="1" x14ac:dyDescent="0.3">
      <c r="A183" s="167" t="s">
        <v>358</v>
      </c>
      <c r="B183" s="168">
        <v>45916</v>
      </c>
      <c r="C183" s="169">
        <v>931.6</v>
      </c>
      <c r="D183" s="170">
        <f>IFERROR(C183/VLOOKUP(A183,Usinas!$A:$B,2,FALSE()),"")</f>
        <v>1.3365853658536586</v>
      </c>
    </row>
    <row r="184" spans="1:4" ht="12" customHeight="1" x14ac:dyDescent="0.3">
      <c r="A184" s="167" t="s">
        <v>358</v>
      </c>
      <c r="B184" s="168">
        <v>45917</v>
      </c>
      <c r="C184" s="169">
        <v>1336.4</v>
      </c>
      <c r="D184" s="170">
        <f>IFERROR(C184/VLOOKUP(A184,Usinas!$A:$B,2,FALSE()),"")</f>
        <v>1.9173601147776185</v>
      </c>
    </row>
    <row r="185" spans="1:4" ht="12" customHeight="1" x14ac:dyDescent="0.3">
      <c r="A185" s="167" t="s">
        <v>358</v>
      </c>
      <c r="B185" s="168">
        <v>45918</v>
      </c>
      <c r="C185" s="169">
        <v>757</v>
      </c>
      <c r="D185" s="170">
        <f>IFERROR(C185/VLOOKUP(A185,Usinas!$A:$B,2,FALSE()),"")</f>
        <v>1.0860832137733143</v>
      </c>
    </row>
    <row r="186" spans="1:4" ht="12" customHeight="1" x14ac:dyDescent="0.3">
      <c r="A186" s="167" t="s">
        <v>358</v>
      </c>
      <c r="B186" s="168">
        <v>45918</v>
      </c>
      <c r="C186" s="169">
        <v>1451.3</v>
      </c>
      <c r="D186" s="170">
        <f>IFERROR(C186/VLOOKUP(A186,Usinas!$A:$B,2,FALSE()),"")</f>
        <v>2.0822094691535149</v>
      </c>
    </row>
    <row r="187" spans="1:4" ht="12" customHeight="1" x14ac:dyDescent="0.3">
      <c r="A187" s="167" t="s">
        <v>358</v>
      </c>
      <c r="B187" s="168">
        <v>45919</v>
      </c>
      <c r="C187" s="169">
        <v>648</v>
      </c>
      <c r="D187" s="170">
        <f>IFERROR(C187/VLOOKUP(A187,Usinas!$A:$B,2,FALSE()),"")</f>
        <v>0.92969870875179339</v>
      </c>
    </row>
    <row r="188" spans="1:4" ht="12" customHeight="1" x14ac:dyDescent="0.3">
      <c r="A188" s="167" t="s">
        <v>358</v>
      </c>
      <c r="B188" s="168">
        <v>45919</v>
      </c>
      <c r="C188" s="169">
        <v>1349.7</v>
      </c>
      <c r="D188" s="170">
        <f>IFERROR(C188/VLOOKUP(A188,Usinas!$A:$B,2,FALSE()),"")</f>
        <v>1.9364418938307031</v>
      </c>
    </row>
    <row r="189" spans="1:4" ht="12" customHeight="1" x14ac:dyDescent="0.3">
      <c r="A189" s="167" t="s">
        <v>358</v>
      </c>
      <c r="B189" s="168">
        <v>45920</v>
      </c>
      <c r="C189" s="169">
        <v>329</v>
      </c>
      <c r="D189" s="170">
        <f>IFERROR(C189/VLOOKUP(A189,Usinas!$A:$B,2,FALSE()),"")</f>
        <v>0.4720229555236729</v>
      </c>
    </row>
    <row r="190" spans="1:4" ht="12" customHeight="1" x14ac:dyDescent="0.3">
      <c r="A190" s="167" t="s">
        <v>358</v>
      </c>
      <c r="B190" s="168">
        <v>45920</v>
      </c>
      <c r="C190" s="169">
        <v>1143.3</v>
      </c>
      <c r="D190" s="170">
        <f>IFERROR(C190/VLOOKUP(A190,Usinas!$A:$B,2,FALSE()),"")</f>
        <v>1.640315638450502</v>
      </c>
    </row>
    <row r="191" spans="1:4" ht="12" customHeight="1" x14ac:dyDescent="0.3">
      <c r="A191" s="167" t="s">
        <v>358</v>
      </c>
      <c r="B191" s="168">
        <v>45921</v>
      </c>
      <c r="C191" s="169">
        <v>506</v>
      </c>
      <c r="D191" s="170">
        <f>IFERROR(C191/VLOOKUP(A191,Usinas!$A:$B,2,FALSE()),"")</f>
        <v>0.72596843615494977</v>
      </c>
    </row>
    <row r="192" spans="1:4" ht="12" customHeight="1" x14ac:dyDescent="0.3">
      <c r="A192" s="167" t="s">
        <v>358</v>
      </c>
      <c r="B192" s="168">
        <v>45921</v>
      </c>
      <c r="C192" s="169">
        <v>814.4</v>
      </c>
      <c r="D192" s="170">
        <f>IFERROR(C192/VLOOKUP(A192,Usinas!$A:$B,2,FALSE()),"")</f>
        <v>1.1684361549497848</v>
      </c>
    </row>
    <row r="193" spans="1:4" ht="12" customHeight="1" x14ac:dyDescent="0.3">
      <c r="A193" s="167" t="s">
        <v>358</v>
      </c>
      <c r="B193" s="168">
        <v>45922</v>
      </c>
      <c r="C193" s="169">
        <v>138</v>
      </c>
      <c r="D193" s="170">
        <f>IFERROR(C193/VLOOKUP(A193,Usinas!$A:$B,2,FALSE()),"")</f>
        <v>0.19799139167862267</v>
      </c>
    </row>
    <row r="194" spans="1:4" ht="12" customHeight="1" x14ac:dyDescent="0.3">
      <c r="A194" s="167" t="s">
        <v>358</v>
      </c>
      <c r="B194" s="168">
        <v>45922</v>
      </c>
      <c r="C194" s="169">
        <v>116.7</v>
      </c>
      <c r="D194" s="170">
        <f>IFERROR(C194/VLOOKUP(A194,Usinas!$A:$B,2,FALSE()),"")</f>
        <v>0.16743185078909614</v>
      </c>
    </row>
    <row r="195" spans="1:4" ht="12" customHeight="1" x14ac:dyDescent="0.3">
      <c r="A195" s="167" t="s">
        <v>358</v>
      </c>
      <c r="B195" s="168">
        <v>45923</v>
      </c>
      <c r="C195" s="169">
        <v>1217</v>
      </c>
      <c r="D195" s="170">
        <f>IFERROR(C195/VLOOKUP(A195,Usinas!$A:$B,2,FALSE()),"")</f>
        <v>1.7460545193687231</v>
      </c>
    </row>
    <row r="196" spans="1:4" ht="12" customHeight="1" x14ac:dyDescent="0.3">
      <c r="A196" s="167" t="s">
        <v>358</v>
      </c>
      <c r="B196" s="168">
        <v>45923</v>
      </c>
      <c r="C196" s="169">
        <v>1710.9</v>
      </c>
      <c r="D196" s="170">
        <f>IFERROR(C196/VLOOKUP(A196,Usinas!$A:$B,2,FALSE()),"")</f>
        <v>2.4546628407460545</v>
      </c>
    </row>
    <row r="197" spans="1:4" ht="12" customHeight="1" x14ac:dyDescent="0.3">
      <c r="A197" s="167" t="s">
        <v>358</v>
      </c>
      <c r="B197" s="168">
        <v>45924</v>
      </c>
      <c r="C197" s="169">
        <v>38</v>
      </c>
      <c r="D197" s="170">
        <f>IFERROR(C197/VLOOKUP(A197,Usinas!$A:$B,2,FALSE()),"")</f>
        <v>5.4519368723098996E-2</v>
      </c>
    </row>
    <row r="198" spans="1:4" ht="12" customHeight="1" x14ac:dyDescent="0.3">
      <c r="A198" s="167" t="s">
        <v>358</v>
      </c>
      <c r="B198" s="168">
        <v>45924</v>
      </c>
      <c r="C198" s="169">
        <v>1635.2</v>
      </c>
      <c r="D198" s="170">
        <f>IFERROR(C198/VLOOKUP(A198,Usinas!$A:$B,2,FALSE()),"")</f>
        <v>2.3460545193687232</v>
      </c>
    </row>
    <row r="199" spans="1:4" ht="12" customHeight="1" x14ac:dyDescent="0.3">
      <c r="A199" s="167" t="s">
        <v>358</v>
      </c>
      <c r="B199" s="168">
        <v>45925</v>
      </c>
      <c r="C199" s="169">
        <v>95</v>
      </c>
      <c r="D199" s="170">
        <f>IFERROR(C199/VLOOKUP(A199,Usinas!$A:$B,2,FALSE()),"")</f>
        <v>0.13629842180774748</v>
      </c>
    </row>
    <row r="200" spans="1:4" ht="12" customHeight="1" x14ac:dyDescent="0.3">
      <c r="A200" s="167" t="s">
        <v>358</v>
      </c>
      <c r="B200" s="168">
        <v>45925</v>
      </c>
      <c r="C200" s="169">
        <v>1612</v>
      </c>
      <c r="D200" s="170">
        <f>IFERROR(C200/VLOOKUP(A200,Usinas!$A:$B,2,FALSE()),"")</f>
        <v>2.3127690100430418</v>
      </c>
    </row>
    <row r="201" spans="1:4" ht="12" customHeight="1" x14ac:dyDescent="0.3">
      <c r="A201" s="167" t="s">
        <v>358</v>
      </c>
      <c r="B201" s="168">
        <v>45926</v>
      </c>
      <c r="C201" s="169">
        <v>975</v>
      </c>
      <c r="D201" s="170">
        <f>IFERROR(C201/VLOOKUP(A201,Usinas!$A:$B,2,FALSE()),"")</f>
        <v>1.3988522238163559</v>
      </c>
    </row>
    <row r="202" spans="1:4" ht="12" customHeight="1" x14ac:dyDescent="0.3">
      <c r="A202" s="167" t="s">
        <v>358</v>
      </c>
      <c r="B202" s="168">
        <v>45926</v>
      </c>
      <c r="C202" s="169">
        <v>1577.1</v>
      </c>
      <c r="D202" s="170">
        <f>IFERROR(C202/VLOOKUP(A202,Usinas!$A:$B,2,FALSE()),"")</f>
        <v>2.2626972740315638</v>
      </c>
    </row>
    <row r="203" spans="1:4" ht="12" customHeight="1" x14ac:dyDescent="0.3">
      <c r="A203" s="167" t="s">
        <v>358</v>
      </c>
      <c r="B203" s="168">
        <v>45927</v>
      </c>
      <c r="C203" s="169">
        <v>1041</v>
      </c>
      <c r="D203" s="170">
        <f>IFERROR(C203/VLOOKUP(A203,Usinas!$A:$B,2,FALSE()),"")</f>
        <v>1.4935437589670015</v>
      </c>
    </row>
    <row r="204" spans="1:4" ht="12" customHeight="1" x14ac:dyDescent="0.3">
      <c r="A204" s="167" t="s">
        <v>358</v>
      </c>
      <c r="B204" s="168">
        <v>45927</v>
      </c>
      <c r="C204" s="169">
        <v>1536</v>
      </c>
      <c r="D204" s="170">
        <f>IFERROR(C204/VLOOKUP(A204,Usinas!$A:$B,2,FALSE()),"")</f>
        <v>2.2037302725968435</v>
      </c>
    </row>
    <row r="205" spans="1:4" ht="12" customHeight="1" x14ac:dyDescent="0.3">
      <c r="A205" s="167" t="s">
        <v>358</v>
      </c>
      <c r="B205" s="168">
        <v>45928</v>
      </c>
      <c r="C205" s="169">
        <v>474</v>
      </c>
      <c r="D205" s="170">
        <f>IFERROR(C205/VLOOKUP(A205,Usinas!$A:$B,2,FALSE()),"")</f>
        <v>0.68005738880918221</v>
      </c>
    </row>
    <row r="206" spans="1:4" ht="12" customHeight="1" x14ac:dyDescent="0.3">
      <c r="A206" s="167" t="s">
        <v>358</v>
      </c>
      <c r="B206" s="168">
        <v>45928</v>
      </c>
      <c r="C206" s="169">
        <v>797</v>
      </c>
      <c r="D206" s="170">
        <f>IFERROR(C206/VLOOKUP(A206,Usinas!$A:$B,2,FALSE()),"")</f>
        <v>1.1434720229555237</v>
      </c>
    </row>
    <row r="207" spans="1:4" ht="12" customHeight="1" x14ac:dyDescent="0.3">
      <c r="A207" s="167" t="s">
        <v>358</v>
      </c>
      <c r="B207" s="168">
        <v>45929</v>
      </c>
      <c r="C207" s="169">
        <v>519</v>
      </c>
      <c r="D207" s="170">
        <f>IFERROR(C207/VLOOKUP(A207,Usinas!$A:$B,2,FALSE()),"")</f>
        <v>0.74461979913916787</v>
      </c>
    </row>
    <row r="208" spans="1:4" ht="12" customHeight="1" x14ac:dyDescent="0.3">
      <c r="A208" s="167" t="s">
        <v>358</v>
      </c>
      <c r="B208" s="168">
        <v>45929</v>
      </c>
      <c r="C208" s="169">
        <v>897.3</v>
      </c>
      <c r="D208" s="170">
        <f>IFERROR(C208/VLOOKUP(A208,Usinas!$A:$B,2,FALSE()),"")</f>
        <v>1.2873744619799139</v>
      </c>
    </row>
    <row r="209" spans="1:4" ht="12" customHeight="1" x14ac:dyDescent="0.3">
      <c r="A209" s="167" t="s">
        <v>358</v>
      </c>
      <c r="B209" s="168">
        <v>45930</v>
      </c>
      <c r="C209" s="169">
        <v>263</v>
      </c>
      <c r="D209" s="170">
        <f>IFERROR(C209/VLOOKUP(A209,Usinas!$A:$B,2,FALSE()),"")</f>
        <v>0.37733142037302725</v>
      </c>
    </row>
    <row r="210" spans="1:4" ht="12" customHeight="1" x14ac:dyDescent="0.3">
      <c r="A210" s="167" t="s">
        <v>358</v>
      </c>
      <c r="B210" s="168">
        <v>45930</v>
      </c>
      <c r="C210" s="169">
        <v>777.7</v>
      </c>
      <c r="D210" s="170">
        <f>IFERROR(C210/VLOOKUP(A210,Usinas!$A:$B,2,FALSE()),"")</f>
        <v>1.1157819225251078</v>
      </c>
    </row>
    <row r="211" spans="1:4" ht="12" customHeight="1" x14ac:dyDescent="0.3">
      <c r="A211" s="167" t="s">
        <v>358</v>
      </c>
      <c r="B211" s="168">
        <v>45931</v>
      </c>
      <c r="C211" s="169">
        <v>150</v>
      </c>
      <c r="D211" s="170">
        <f>IFERROR(C211/VLOOKUP(A211,Usinas!$A:$B,2,FALSE()),"")</f>
        <v>0.21520803443328551</v>
      </c>
    </row>
    <row r="212" spans="1:4" ht="12" customHeight="1" x14ac:dyDescent="0.3">
      <c r="A212" s="167" t="s">
        <v>358</v>
      </c>
      <c r="B212" s="168">
        <v>45931</v>
      </c>
      <c r="C212" s="169">
        <v>290.3</v>
      </c>
      <c r="D212" s="170">
        <f>IFERROR(C212/VLOOKUP(A212,Usinas!$A:$B,2,FALSE()),"")</f>
        <v>0.41649928263988523</v>
      </c>
    </row>
    <row r="213" spans="1:4" ht="12" customHeight="1" x14ac:dyDescent="0.3">
      <c r="A213" s="167" t="s">
        <v>358</v>
      </c>
      <c r="B213" s="168">
        <v>45932</v>
      </c>
      <c r="C213" s="169">
        <v>467</v>
      </c>
      <c r="D213" s="170">
        <f>IFERROR(C213/VLOOKUP(A213,Usinas!$A:$B,2,FALSE()),"")</f>
        <v>0.67001434720229558</v>
      </c>
    </row>
    <row r="214" spans="1:4" ht="12" customHeight="1" x14ac:dyDescent="0.3">
      <c r="A214" s="167" t="s">
        <v>358</v>
      </c>
      <c r="B214" s="168">
        <v>45932</v>
      </c>
      <c r="C214" s="169">
        <v>725.2</v>
      </c>
      <c r="D214" s="170">
        <f>IFERROR(C214/VLOOKUP(A214,Usinas!$A:$B,2,FALSE()),"")</f>
        <v>1.0404591104734577</v>
      </c>
    </row>
    <row r="215" spans="1:4" ht="12" customHeight="1" x14ac:dyDescent="0.3">
      <c r="A215" s="167" t="s">
        <v>358</v>
      </c>
      <c r="B215" s="168">
        <v>45933</v>
      </c>
      <c r="C215" s="169">
        <v>380</v>
      </c>
      <c r="D215" s="170">
        <f>IFERROR(C215/VLOOKUP(A215,Usinas!$A:$B,2,FALSE()),"")</f>
        <v>0.54519368723098993</v>
      </c>
    </row>
    <row r="216" spans="1:4" ht="12" customHeight="1" x14ac:dyDescent="0.3">
      <c r="A216" s="167" t="s">
        <v>358</v>
      </c>
      <c r="B216" s="168">
        <v>45933</v>
      </c>
      <c r="C216" s="169">
        <v>440.9</v>
      </c>
      <c r="D216" s="170">
        <f>IFERROR(C216/VLOOKUP(A216,Usinas!$A:$B,2,FALSE()),"")</f>
        <v>0.63256814921090387</v>
      </c>
    </row>
    <row r="217" spans="1:4" ht="12" customHeight="1" x14ac:dyDescent="0.3">
      <c r="A217" s="167" t="s">
        <v>358</v>
      </c>
      <c r="B217" s="168">
        <v>45934</v>
      </c>
      <c r="C217" s="169">
        <v>901</v>
      </c>
      <c r="D217" s="170">
        <f>IFERROR(C217/VLOOKUP(A217,Usinas!$A:$B,2,FALSE()),"")</f>
        <v>1.2926829268292683</v>
      </c>
    </row>
    <row r="218" spans="1:4" ht="12" customHeight="1" x14ac:dyDescent="0.3">
      <c r="A218" s="167" t="s">
        <v>358</v>
      </c>
      <c r="B218" s="168">
        <v>45934</v>
      </c>
      <c r="C218" s="169">
        <v>970.8</v>
      </c>
      <c r="D218" s="170">
        <f>IFERROR(C218/VLOOKUP(A218,Usinas!$A:$B,2,FALSE()),"")</f>
        <v>1.3928263988522238</v>
      </c>
    </row>
    <row r="219" spans="1:4" ht="12" customHeight="1" x14ac:dyDescent="0.3">
      <c r="A219" s="167" t="s">
        <v>358</v>
      </c>
      <c r="B219" s="168">
        <v>45935</v>
      </c>
      <c r="C219" s="169">
        <v>755</v>
      </c>
      <c r="D219" s="170">
        <f>IFERROR(C219/VLOOKUP(A219,Usinas!$A:$B,2,FALSE()),"")</f>
        <v>1.0832137733142038</v>
      </c>
    </row>
    <row r="220" spans="1:4" ht="12" customHeight="1" x14ac:dyDescent="0.3">
      <c r="A220" s="167" t="s">
        <v>358</v>
      </c>
      <c r="B220" s="168">
        <v>45935</v>
      </c>
      <c r="C220" s="169">
        <v>608.5</v>
      </c>
      <c r="D220" s="170">
        <f>IFERROR(C220/VLOOKUP(A220,Usinas!$A:$B,2,FALSE()),"")</f>
        <v>0.87302725968436157</v>
      </c>
    </row>
    <row r="221" spans="1:4" ht="12" customHeight="1" x14ac:dyDescent="0.3">
      <c r="A221" s="167" t="s">
        <v>358</v>
      </c>
      <c r="B221" s="168">
        <v>45936</v>
      </c>
      <c r="C221" s="169">
        <v>45</v>
      </c>
      <c r="D221" s="170">
        <f>IFERROR(C221/VLOOKUP(A221,Usinas!$A:$B,2,FALSE()),"")</f>
        <v>6.4562410329985651E-2</v>
      </c>
    </row>
    <row r="222" spans="1:4" ht="12" customHeight="1" x14ac:dyDescent="0.3">
      <c r="A222" s="167" t="s">
        <v>358</v>
      </c>
      <c r="B222" s="168">
        <v>45936</v>
      </c>
      <c r="C222" s="169">
        <v>269.3</v>
      </c>
      <c r="D222" s="170">
        <f>IFERROR(C222/VLOOKUP(A222,Usinas!$A:$B,2,FALSE()),"")</f>
        <v>0.38637015781922529</v>
      </c>
    </row>
    <row r="223" spans="1:4" ht="12" customHeight="1" x14ac:dyDescent="0.3">
      <c r="A223" s="167" t="s">
        <v>358</v>
      </c>
      <c r="B223" s="168">
        <v>45937</v>
      </c>
      <c r="C223" s="169">
        <v>704</v>
      </c>
      <c r="D223" s="170">
        <f>IFERROR(C223/VLOOKUP(A223,Usinas!$A:$B,2,FALSE()),"")</f>
        <v>1.0100430416068866</v>
      </c>
    </row>
    <row r="224" spans="1:4" ht="12" customHeight="1" x14ac:dyDescent="0.3">
      <c r="A224" s="167" t="s">
        <v>358</v>
      </c>
      <c r="B224" s="168">
        <v>45937</v>
      </c>
      <c r="C224" s="169">
        <v>809.6</v>
      </c>
      <c r="D224" s="170">
        <f>IFERROR(C224/VLOOKUP(A224,Usinas!$A:$B,2,FALSE()),"")</f>
        <v>1.1615494978479197</v>
      </c>
    </row>
    <row r="225" spans="1:4" ht="12" customHeight="1" x14ac:dyDescent="0.3">
      <c r="A225" s="167" t="s">
        <v>358</v>
      </c>
      <c r="B225" s="168">
        <v>45938</v>
      </c>
      <c r="C225" s="169">
        <v>1045</v>
      </c>
      <c r="D225" s="170">
        <f>IFERROR(C225/VLOOKUP(A225,Usinas!$A:$B,2,FALSE()),"")</f>
        <v>1.4992826398852224</v>
      </c>
    </row>
    <row r="226" spans="1:4" ht="12" customHeight="1" x14ac:dyDescent="0.3">
      <c r="A226" s="167" t="s">
        <v>358</v>
      </c>
      <c r="B226" s="168">
        <v>45938</v>
      </c>
      <c r="C226" s="169">
        <v>1294.3</v>
      </c>
      <c r="D226" s="170">
        <f>IFERROR(C226/VLOOKUP(A226,Usinas!$A:$B,2,FALSE()),"")</f>
        <v>1.8569583931133429</v>
      </c>
    </row>
    <row r="227" spans="1:4" ht="12" customHeight="1" x14ac:dyDescent="0.3">
      <c r="A227" s="167" t="s">
        <v>358</v>
      </c>
      <c r="B227" s="168">
        <v>45939</v>
      </c>
      <c r="C227" s="169">
        <v>717</v>
      </c>
      <c r="D227" s="170">
        <f>IFERROR(C227/VLOOKUP(A227,Usinas!$A:$B,2,FALSE()),"")</f>
        <v>1.0286944045911048</v>
      </c>
    </row>
    <row r="228" spans="1:4" ht="12" customHeight="1" x14ac:dyDescent="0.3">
      <c r="A228" s="167" t="s">
        <v>358</v>
      </c>
      <c r="B228" s="168">
        <v>45939</v>
      </c>
      <c r="C228" s="169">
        <v>1311.2</v>
      </c>
      <c r="D228" s="170">
        <f>IFERROR(C228/VLOOKUP(A228,Usinas!$A:$B,2,FALSE()),"")</f>
        <v>1.8812051649928265</v>
      </c>
    </row>
    <row r="229" spans="1:4" ht="12" customHeight="1" x14ac:dyDescent="0.3">
      <c r="A229" s="167" t="s">
        <v>358</v>
      </c>
      <c r="B229" s="168">
        <v>45940</v>
      </c>
      <c r="C229" s="169">
        <v>834</v>
      </c>
      <c r="D229" s="170">
        <f>IFERROR(C229/VLOOKUP(A229,Usinas!$A:$B,2,FALSE()),"")</f>
        <v>1.1965566714490674</v>
      </c>
    </row>
    <row r="230" spans="1:4" ht="12" customHeight="1" x14ac:dyDescent="0.3">
      <c r="A230" s="167" t="s">
        <v>358</v>
      </c>
      <c r="B230" s="168">
        <v>45940</v>
      </c>
      <c r="C230" s="169">
        <v>1468.7</v>
      </c>
      <c r="D230" s="170">
        <f>IFERROR(C230/VLOOKUP(A230,Usinas!$A:$B,2,FALSE()),"")</f>
        <v>2.1071736011477764</v>
      </c>
    </row>
    <row r="231" spans="1:4" ht="12" customHeight="1" x14ac:dyDescent="0.3">
      <c r="A231" s="167" t="s">
        <v>358</v>
      </c>
      <c r="B231" s="168">
        <v>45941</v>
      </c>
      <c r="C231" s="169">
        <v>497</v>
      </c>
      <c r="D231" s="170">
        <f>IFERROR(C231/VLOOKUP(A231,Usinas!$A:$B,2,FALSE()),"")</f>
        <v>0.71305595408895261</v>
      </c>
    </row>
    <row r="232" spans="1:4" ht="12" customHeight="1" x14ac:dyDescent="0.3">
      <c r="A232" s="167" t="s">
        <v>358</v>
      </c>
      <c r="B232" s="168">
        <v>45941</v>
      </c>
      <c r="C232" s="169">
        <v>1006.1</v>
      </c>
      <c r="D232" s="170">
        <f>IFERROR(C232/VLOOKUP(A232,Usinas!$A:$B,2,FALSE()),"")</f>
        <v>1.4434720229555238</v>
      </c>
    </row>
    <row r="233" spans="1:4" ht="12" customHeight="1" x14ac:dyDescent="0.3">
      <c r="A233" s="167" t="s">
        <v>358</v>
      </c>
      <c r="B233" s="168">
        <v>45942</v>
      </c>
      <c r="C233" s="169">
        <v>580</v>
      </c>
      <c r="D233" s="170">
        <f>IFERROR(C233/VLOOKUP(A233,Usinas!$A:$B,2,FALSE()),"")</f>
        <v>0.83213773314203732</v>
      </c>
    </row>
    <row r="234" spans="1:4" ht="12" customHeight="1" x14ac:dyDescent="0.3">
      <c r="A234" s="167" t="s">
        <v>358</v>
      </c>
      <c r="B234" s="168">
        <v>45942</v>
      </c>
      <c r="C234" s="169">
        <v>303.8</v>
      </c>
      <c r="D234" s="170">
        <f>IFERROR(C234/VLOOKUP(A234,Usinas!$A:$B,2,FALSE()),"")</f>
        <v>0.43586800573888096</v>
      </c>
    </row>
    <row r="235" spans="1:4" ht="12" customHeight="1" x14ac:dyDescent="0.3">
      <c r="A235" s="167" t="s">
        <v>358</v>
      </c>
      <c r="B235" s="168">
        <v>45943</v>
      </c>
      <c r="C235" s="169">
        <v>219</v>
      </c>
      <c r="D235" s="170">
        <f>IFERROR(C235/VLOOKUP(A235,Usinas!$A:$B,2,FALSE()),"")</f>
        <v>0.31420373027259685</v>
      </c>
    </row>
    <row r="236" spans="1:4" ht="12" customHeight="1" x14ac:dyDescent="0.3">
      <c r="A236" s="167" t="s">
        <v>358</v>
      </c>
      <c r="B236" s="168">
        <v>45943</v>
      </c>
      <c r="C236" s="169">
        <v>209.4</v>
      </c>
      <c r="D236" s="170">
        <f>IFERROR(C236/VLOOKUP(A236,Usinas!$A:$B,2,FALSE()),"")</f>
        <v>0.30043041606886656</v>
      </c>
    </row>
    <row r="237" spans="1:4" ht="12" customHeight="1" x14ac:dyDescent="0.3">
      <c r="A237" s="167" t="s">
        <v>358</v>
      </c>
      <c r="B237" s="168">
        <v>45944</v>
      </c>
      <c r="C237" s="169">
        <v>1065</v>
      </c>
      <c r="D237" s="170">
        <f>IFERROR(C237/VLOOKUP(A237,Usinas!$A:$B,2,FALSE()),"")</f>
        <v>1.5279770444763272</v>
      </c>
    </row>
    <row r="238" spans="1:4" ht="12" customHeight="1" x14ac:dyDescent="0.3">
      <c r="A238" s="167" t="s">
        <v>358</v>
      </c>
      <c r="B238" s="168">
        <v>45944</v>
      </c>
      <c r="C238" s="169">
        <v>1573.1</v>
      </c>
      <c r="D238" s="170">
        <f>IFERROR(C238/VLOOKUP(A238,Usinas!$A:$B,2,FALSE()),"")</f>
        <v>2.2569583931133428</v>
      </c>
    </row>
    <row r="239" spans="1:4" ht="12" customHeight="1" x14ac:dyDescent="0.3">
      <c r="A239" s="167" t="s">
        <v>358</v>
      </c>
      <c r="B239" s="168">
        <v>45945</v>
      </c>
      <c r="C239" s="169">
        <v>713</v>
      </c>
      <c r="D239" s="170">
        <f>IFERROR(C239/VLOOKUP(A239,Usinas!$A:$B,2,FALSE()),"")</f>
        <v>1.0229555236728838</v>
      </c>
    </row>
    <row r="240" spans="1:4" ht="12" customHeight="1" x14ac:dyDescent="0.3">
      <c r="A240" s="167" t="s">
        <v>358</v>
      </c>
      <c r="B240" s="168">
        <v>45945</v>
      </c>
      <c r="C240" s="169">
        <v>682.3</v>
      </c>
      <c r="D240" s="170">
        <f>IFERROR(C240/VLOOKUP(A240,Usinas!$A:$B,2,FALSE()),"")</f>
        <v>0.97890961262553799</v>
      </c>
    </row>
    <row r="241" spans="1:4" ht="12" customHeight="1" x14ac:dyDescent="0.3">
      <c r="A241" s="167" t="s">
        <v>358</v>
      </c>
      <c r="B241" s="168">
        <v>45946</v>
      </c>
      <c r="C241" s="169">
        <v>549</v>
      </c>
      <c r="D241" s="170">
        <f>IFERROR(C241/VLOOKUP(A241,Usinas!$A:$B,2,FALSE()),"")</f>
        <v>0.78766140602582502</v>
      </c>
    </row>
    <row r="242" spans="1:4" ht="12" customHeight="1" x14ac:dyDescent="0.3">
      <c r="A242" s="167" t="s">
        <v>358</v>
      </c>
      <c r="B242" s="168">
        <v>45946</v>
      </c>
      <c r="C242" s="169">
        <v>693.6</v>
      </c>
      <c r="D242" s="170">
        <f>IFERROR(C242/VLOOKUP(A242,Usinas!$A:$B,2,FALSE()),"")</f>
        <v>0.99512195121951219</v>
      </c>
    </row>
    <row r="243" spans="1:4" ht="12" customHeight="1" x14ac:dyDescent="0.3">
      <c r="A243" s="167" t="s">
        <v>358</v>
      </c>
      <c r="B243" s="168">
        <v>45947</v>
      </c>
      <c r="C243" s="169">
        <v>668</v>
      </c>
      <c r="D243" s="170">
        <f>IFERROR(C243/VLOOKUP(A243,Usinas!$A:$B,2,FALSE()),"")</f>
        <v>0.95839311334289812</v>
      </c>
    </row>
    <row r="244" spans="1:4" ht="12" customHeight="1" x14ac:dyDescent="0.3">
      <c r="A244" s="167" t="s">
        <v>358</v>
      </c>
      <c r="B244" s="168">
        <v>45947</v>
      </c>
      <c r="C244" s="169">
        <v>530.4</v>
      </c>
      <c r="D244" s="170">
        <f>IFERROR(C244/VLOOKUP(A244,Usinas!$A:$B,2,FALSE()),"")</f>
        <v>0.76097560975609757</v>
      </c>
    </row>
    <row r="245" spans="1:4" ht="12" customHeight="1" x14ac:dyDescent="0.3">
      <c r="A245" s="167" t="s">
        <v>358</v>
      </c>
      <c r="B245" s="168">
        <v>45948</v>
      </c>
      <c r="C245" s="169">
        <v>401</v>
      </c>
      <c r="D245" s="170">
        <f>IFERROR(C245/VLOOKUP(A245,Usinas!$A:$B,2,FALSE()),"")</f>
        <v>0.57532281205164992</v>
      </c>
    </row>
    <row r="246" spans="1:4" ht="12" customHeight="1" x14ac:dyDescent="0.3">
      <c r="A246" s="167" t="s">
        <v>358</v>
      </c>
      <c r="B246" s="168">
        <v>45948</v>
      </c>
      <c r="C246" s="169">
        <v>210.5</v>
      </c>
      <c r="D246" s="170">
        <f>IFERROR(C246/VLOOKUP(A246,Usinas!$A:$B,2,FALSE()),"")</f>
        <v>0.30200860832137733</v>
      </c>
    </row>
    <row r="247" spans="1:4" ht="12" customHeight="1" x14ac:dyDescent="0.3">
      <c r="A247" s="167" t="s">
        <v>358</v>
      </c>
      <c r="B247" s="168">
        <v>45949</v>
      </c>
      <c r="C247" s="169">
        <v>1031</v>
      </c>
      <c r="D247" s="170">
        <f>IFERROR(C247/VLOOKUP(A247,Usinas!$A:$B,2,FALSE()),"")</f>
        <v>1.4791965566714491</v>
      </c>
    </row>
    <row r="248" spans="1:4" ht="12" customHeight="1" x14ac:dyDescent="0.3">
      <c r="A248" s="167" t="s">
        <v>358</v>
      </c>
      <c r="B248" s="168">
        <v>45949</v>
      </c>
      <c r="C248" s="169">
        <v>735.9</v>
      </c>
      <c r="D248" s="170">
        <f>IFERROR(C248/VLOOKUP(A248,Usinas!$A:$B,2,FALSE()),"")</f>
        <v>1.0558106169296986</v>
      </c>
    </row>
    <row r="249" spans="1:4" ht="12" customHeight="1" x14ac:dyDescent="0.3">
      <c r="A249" s="167" t="s">
        <v>358</v>
      </c>
      <c r="B249" s="168">
        <v>45950</v>
      </c>
      <c r="C249" s="169">
        <v>1662</v>
      </c>
      <c r="D249" s="170">
        <f>IFERROR(C249/VLOOKUP(A249,Usinas!$A:$B,2,FALSE()),"")</f>
        <v>2.3845050215208032</v>
      </c>
    </row>
    <row r="250" spans="1:4" ht="12" customHeight="1" x14ac:dyDescent="0.3">
      <c r="A250" s="167" t="s">
        <v>358</v>
      </c>
      <c r="B250" s="168">
        <v>45950</v>
      </c>
      <c r="C250" s="169">
        <v>854.5</v>
      </c>
      <c r="D250" s="170">
        <f>IFERROR(C250/VLOOKUP(A250,Usinas!$A:$B,2,FALSE()),"")</f>
        <v>1.2259684361549499</v>
      </c>
    </row>
    <row r="251" spans="1:4" ht="12" customHeight="1" x14ac:dyDescent="0.3">
      <c r="A251" s="167" t="s">
        <v>358</v>
      </c>
      <c r="B251" s="168">
        <v>45951</v>
      </c>
      <c r="C251" s="169">
        <v>1284</v>
      </c>
      <c r="D251" s="170">
        <f>IFERROR(C251/VLOOKUP(A251,Usinas!$A:$B,2,FALSE()),"")</f>
        <v>1.8421807747489241</v>
      </c>
    </row>
    <row r="252" spans="1:4" ht="12" customHeight="1" x14ac:dyDescent="0.3">
      <c r="A252" s="167" t="s">
        <v>358</v>
      </c>
      <c r="B252" s="168">
        <v>45951</v>
      </c>
      <c r="C252" s="169">
        <v>765.2</v>
      </c>
      <c r="D252" s="170">
        <f>IFERROR(C252/VLOOKUP(A252,Usinas!$A:$B,2,FALSE()),"")</f>
        <v>1.0978479196556672</v>
      </c>
    </row>
    <row r="253" spans="1:4" ht="12" customHeight="1" x14ac:dyDescent="0.3">
      <c r="A253" s="167" t="s">
        <v>358</v>
      </c>
      <c r="B253" s="168">
        <v>45952</v>
      </c>
      <c r="C253" s="169">
        <v>605</v>
      </c>
      <c r="D253" s="170">
        <f>IFERROR(C253/VLOOKUP(A253,Usinas!$A:$B,2,FALSE()),"")</f>
        <v>0.86800573888091825</v>
      </c>
    </row>
    <row r="254" spans="1:4" ht="12" customHeight="1" x14ac:dyDescent="0.3">
      <c r="A254" s="167" t="s">
        <v>358</v>
      </c>
      <c r="B254" s="168">
        <v>45952</v>
      </c>
      <c r="C254" s="169">
        <v>792.7</v>
      </c>
      <c r="D254" s="170">
        <f>IFERROR(C254/VLOOKUP(A254,Usinas!$A:$B,2,FALSE()),"")</f>
        <v>1.1373027259684363</v>
      </c>
    </row>
    <row r="255" spans="1:4" ht="12" customHeight="1" x14ac:dyDescent="0.3">
      <c r="A255" s="167" t="s">
        <v>358</v>
      </c>
      <c r="B255" s="168">
        <v>45953</v>
      </c>
      <c r="C255" s="169">
        <v>899</v>
      </c>
      <c r="D255" s="170">
        <f>IFERROR(C255/VLOOKUP(A255,Usinas!$A:$B,2,FALSE()),"")</f>
        <v>1.2898134863701578</v>
      </c>
    </row>
    <row r="256" spans="1:4" ht="12" customHeight="1" x14ac:dyDescent="0.3">
      <c r="A256" s="167" t="s">
        <v>358</v>
      </c>
      <c r="B256" s="168">
        <v>45953</v>
      </c>
      <c r="C256" s="169">
        <v>669.5</v>
      </c>
      <c r="D256" s="170">
        <f>IFERROR(C256/VLOOKUP(A256,Usinas!$A:$B,2,FALSE()),"")</f>
        <v>0.96054519368723101</v>
      </c>
    </row>
    <row r="257" spans="1:4" ht="12" customHeight="1" x14ac:dyDescent="0.3">
      <c r="A257" s="167" t="s">
        <v>358</v>
      </c>
      <c r="B257" s="168">
        <v>45954</v>
      </c>
      <c r="C257" s="169">
        <v>40</v>
      </c>
      <c r="D257" s="170">
        <f>IFERROR(C257/VLOOKUP(A257,Usinas!$A:$B,2,FALSE()),"")</f>
        <v>5.7388809182209469E-2</v>
      </c>
    </row>
    <row r="258" spans="1:4" ht="12" customHeight="1" x14ac:dyDescent="0.3">
      <c r="A258" s="167" t="s">
        <v>358</v>
      </c>
      <c r="B258" s="168">
        <v>45954</v>
      </c>
      <c r="C258" s="169">
        <v>810</v>
      </c>
      <c r="D258" s="170">
        <f>IFERROR(C258/VLOOKUP(A258,Usinas!$A:$B,2,FALSE()),"")</f>
        <v>1.1621233859397417</v>
      </c>
    </row>
    <row r="259" spans="1:4" ht="12" customHeight="1" x14ac:dyDescent="0.3">
      <c r="A259" s="167" t="s">
        <v>358</v>
      </c>
      <c r="B259" s="168">
        <v>45955</v>
      </c>
      <c r="C259" s="169">
        <v>682</v>
      </c>
      <c r="D259" s="170">
        <f>IFERROR(C259/VLOOKUP(A259,Usinas!$A:$B,2,FALSE()),"")</f>
        <v>0.97847919655667148</v>
      </c>
    </row>
    <row r="260" spans="1:4" ht="12" customHeight="1" x14ac:dyDescent="0.3">
      <c r="A260" s="167" t="s">
        <v>358</v>
      </c>
      <c r="B260" s="168">
        <v>45955</v>
      </c>
      <c r="C260" s="169">
        <v>558</v>
      </c>
      <c r="D260" s="170">
        <f>IFERROR(C260/VLOOKUP(A260,Usinas!$A:$B,2,FALSE()),"")</f>
        <v>0.80057388809182206</v>
      </c>
    </row>
    <row r="261" spans="1:4" ht="12" customHeight="1" x14ac:dyDescent="0.3">
      <c r="A261" s="167" t="s">
        <v>358</v>
      </c>
      <c r="B261" s="168">
        <v>45956</v>
      </c>
      <c r="C261" s="169">
        <v>57</v>
      </c>
      <c r="D261" s="170">
        <f>IFERROR(C261/VLOOKUP(A261,Usinas!$A:$B,2,FALSE()),"")</f>
        <v>8.1779053084648487E-2</v>
      </c>
    </row>
    <row r="262" spans="1:4" ht="12" customHeight="1" x14ac:dyDescent="0.3">
      <c r="A262" s="167" t="s">
        <v>358</v>
      </c>
      <c r="B262" s="168">
        <v>45956</v>
      </c>
      <c r="C262" s="169">
        <v>58.2</v>
      </c>
      <c r="D262" s="170">
        <f>IFERROR(C262/VLOOKUP(A262,Usinas!$A:$B,2,FALSE()),"")</f>
        <v>8.3500717360114787E-2</v>
      </c>
    </row>
    <row r="263" spans="1:4" ht="12" customHeight="1" x14ac:dyDescent="0.3">
      <c r="A263" s="167" t="s">
        <v>358</v>
      </c>
      <c r="B263" s="168">
        <v>45957</v>
      </c>
      <c r="C263" s="169">
        <v>498</v>
      </c>
      <c r="D263" s="170">
        <f>IFERROR(C263/VLOOKUP(A263,Usinas!$A:$B,2,FALSE()),"")</f>
        <v>0.71449067431850788</v>
      </c>
    </row>
    <row r="264" spans="1:4" ht="12" customHeight="1" x14ac:dyDescent="0.3">
      <c r="A264" s="167" t="s">
        <v>358</v>
      </c>
      <c r="B264" s="168">
        <v>45957</v>
      </c>
      <c r="C264" s="169">
        <v>536.29999999999995</v>
      </c>
      <c r="D264" s="170">
        <f>IFERROR(C264/VLOOKUP(A264,Usinas!$A:$B,2,FALSE()),"")</f>
        <v>0.76944045911047343</v>
      </c>
    </row>
    <row r="265" spans="1:4" ht="12" customHeight="1" x14ac:dyDescent="0.3">
      <c r="A265" s="167" t="s">
        <v>358</v>
      </c>
      <c r="B265" s="168">
        <v>45958</v>
      </c>
      <c r="C265" s="169">
        <v>121</v>
      </c>
      <c r="D265" s="170">
        <f>IFERROR(C265/VLOOKUP(A265,Usinas!$A:$B,2,FALSE()),"")</f>
        <v>0.17360114777618366</v>
      </c>
    </row>
    <row r="266" spans="1:4" ht="12" customHeight="1" x14ac:dyDescent="0.3">
      <c r="A266" s="167" t="s">
        <v>358</v>
      </c>
      <c r="B266" s="168">
        <v>45958</v>
      </c>
      <c r="C266" s="169">
        <v>348.9</v>
      </c>
      <c r="D266" s="170">
        <f>IFERROR(C266/VLOOKUP(A266,Usinas!$A:$B,2,FALSE()),"")</f>
        <v>0.50057388809182202</v>
      </c>
    </row>
    <row r="267" spans="1:4" ht="12" customHeight="1" x14ac:dyDescent="0.3">
      <c r="A267" s="167" t="s">
        <v>358</v>
      </c>
      <c r="B267" s="168">
        <v>45959</v>
      </c>
      <c r="C267" s="169">
        <v>584</v>
      </c>
      <c r="D267" s="170">
        <f>IFERROR(C267/VLOOKUP(A267,Usinas!$A:$B,2,FALSE()),"")</f>
        <v>0.83787661406025826</v>
      </c>
    </row>
    <row r="268" spans="1:4" ht="12" customHeight="1" x14ac:dyDescent="0.3">
      <c r="A268" s="167" t="s">
        <v>358</v>
      </c>
      <c r="B268" s="168">
        <v>45959</v>
      </c>
      <c r="C268" s="169">
        <v>459</v>
      </c>
      <c r="D268" s="170">
        <f>IFERROR(C268/VLOOKUP(A268,Usinas!$A:$B,2,FALSE()),"")</f>
        <v>0.65853658536585369</v>
      </c>
    </row>
    <row r="269" spans="1:4" ht="12" customHeight="1" x14ac:dyDescent="0.3">
      <c r="A269" s="167" t="s">
        <v>358</v>
      </c>
      <c r="B269" s="168">
        <v>45960</v>
      </c>
      <c r="C269" s="169">
        <v>393</v>
      </c>
      <c r="D269" s="170">
        <f>IFERROR(C269/VLOOKUP(A269,Usinas!$A:$B,2,FALSE()),"")</f>
        <v>0.56384505021520803</v>
      </c>
    </row>
    <row r="270" spans="1:4" ht="12" customHeight="1" x14ac:dyDescent="0.3">
      <c r="A270" s="167" t="s">
        <v>358</v>
      </c>
      <c r="B270" s="168">
        <v>45960</v>
      </c>
      <c r="C270" s="169">
        <v>438.1</v>
      </c>
      <c r="D270" s="170">
        <f>IFERROR(C270/VLOOKUP(A270,Usinas!$A:$B,2,FALSE()),"")</f>
        <v>0.6285509325681492</v>
      </c>
    </row>
    <row r="271" spans="1:4" ht="12" customHeight="1" x14ac:dyDescent="0.3">
      <c r="A271" s="167" t="s">
        <v>358</v>
      </c>
      <c r="B271" s="168">
        <v>45961</v>
      </c>
      <c r="C271" s="169">
        <v>516</v>
      </c>
      <c r="D271" s="170">
        <f>IFERROR(C271/VLOOKUP(A271,Usinas!$A:$B,2,FALSE()),"")</f>
        <v>0.74031563845050219</v>
      </c>
    </row>
    <row r="272" spans="1:4" ht="12" customHeight="1" x14ac:dyDescent="0.3">
      <c r="A272" s="167" t="s">
        <v>358</v>
      </c>
      <c r="B272" s="168">
        <v>45961</v>
      </c>
      <c r="C272" s="169">
        <v>835.7</v>
      </c>
      <c r="D272" s="170">
        <f>IFERROR(C272/VLOOKUP(A272,Usinas!$A:$B,2,FALSE()),"")</f>
        <v>1.1989956958393113</v>
      </c>
    </row>
    <row r="273" spans="1:4" ht="12" customHeight="1" x14ac:dyDescent="0.3">
      <c r="A273" s="167" t="s">
        <v>358</v>
      </c>
      <c r="B273" s="168">
        <v>45962</v>
      </c>
      <c r="C273" s="169">
        <v>662</v>
      </c>
      <c r="D273" s="170">
        <f>IFERROR(C273/VLOOKUP(A273,Usinas!$A:$B,2,FALSE()),"")</f>
        <v>0.94978479196556675</v>
      </c>
    </row>
    <row r="274" spans="1:4" ht="12" customHeight="1" x14ac:dyDescent="0.3">
      <c r="A274" s="167" t="s">
        <v>358</v>
      </c>
      <c r="B274" s="168">
        <v>45962</v>
      </c>
      <c r="C274" s="169">
        <v>899.4</v>
      </c>
      <c r="D274" s="170">
        <f>IFERROR(C274/VLOOKUP(A274,Usinas!$A:$B,2,FALSE()),"")</f>
        <v>1.2903873744619798</v>
      </c>
    </row>
    <row r="275" spans="1:4" ht="12" customHeight="1" x14ac:dyDescent="0.3">
      <c r="A275" s="167" t="s">
        <v>358</v>
      </c>
      <c r="B275" s="168">
        <v>45963</v>
      </c>
      <c r="C275" s="169">
        <v>463</v>
      </c>
      <c r="D275" s="170">
        <f>IFERROR(C275/VLOOKUP(A275,Usinas!$A:$B,2,FALSE()),"")</f>
        <v>0.66427546628407463</v>
      </c>
    </row>
    <row r="276" spans="1:4" ht="12" customHeight="1" x14ac:dyDescent="0.3">
      <c r="A276" s="167" t="s">
        <v>358</v>
      </c>
      <c r="B276" s="168">
        <v>45963</v>
      </c>
      <c r="C276" s="169">
        <v>478.6</v>
      </c>
      <c r="D276" s="170">
        <f>IFERROR(C276/VLOOKUP(A276,Usinas!$A:$B,2,FALSE()),"")</f>
        <v>0.68665710186513629</v>
      </c>
    </row>
    <row r="277" spans="1:4" ht="12" customHeight="1" x14ac:dyDescent="0.3">
      <c r="A277" s="167" t="s">
        <v>358</v>
      </c>
      <c r="B277" s="168">
        <v>45964</v>
      </c>
      <c r="C277" s="169">
        <v>531</v>
      </c>
      <c r="D277" s="170">
        <f>IFERROR(C277/VLOOKUP(A277,Usinas!$A:$B,2,FALSE()),"")</f>
        <v>0.76183644189383071</v>
      </c>
    </row>
    <row r="278" spans="1:4" ht="12" customHeight="1" x14ac:dyDescent="0.3">
      <c r="A278" s="167" t="s">
        <v>358</v>
      </c>
      <c r="B278" s="168">
        <v>45964</v>
      </c>
      <c r="C278" s="169">
        <v>911.3</v>
      </c>
      <c r="D278" s="170">
        <f>IFERROR(C278/VLOOKUP(A278,Usinas!$A:$B,2,FALSE()),"")</f>
        <v>1.3074605451936872</v>
      </c>
    </row>
    <row r="279" spans="1:4" ht="12" customHeight="1" x14ac:dyDescent="0.3">
      <c r="A279" s="167" t="s">
        <v>358</v>
      </c>
      <c r="B279" s="168">
        <v>45965</v>
      </c>
      <c r="C279" s="169">
        <v>415</v>
      </c>
      <c r="D279" s="170">
        <f>IFERROR(C279/VLOOKUP(A279,Usinas!$A:$B,2,FALSE()),"")</f>
        <v>0.59540889526542329</v>
      </c>
    </row>
    <row r="280" spans="1:4" ht="12" customHeight="1" x14ac:dyDescent="0.3">
      <c r="A280" s="167" t="s">
        <v>358</v>
      </c>
      <c r="B280" s="168">
        <v>45965</v>
      </c>
      <c r="C280" s="169">
        <v>1062</v>
      </c>
      <c r="D280" s="170">
        <f>IFERROR(C280/VLOOKUP(A280,Usinas!$A:$B,2,FALSE()),"")</f>
        <v>1.5236728837876614</v>
      </c>
    </row>
    <row r="281" spans="1:4" ht="12" customHeight="1" x14ac:dyDescent="0.3">
      <c r="A281" s="167" t="s">
        <v>358</v>
      </c>
      <c r="B281" s="168">
        <v>45966</v>
      </c>
      <c r="C281" s="169">
        <v>257</v>
      </c>
      <c r="D281" s="170">
        <f>IFERROR(C281/VLOOKUP(A281,Usinas!$A:$B,2,FALSE()),"")</f>
        <v>0.36872309899569583</v>
      </c>
    </row>
    <row r="282" spans="1:4" ht="12" customHeight="1" x14ac:dyDescent="0.3">
      <c r="A282" s="167" t="s">
        <v>358</v>
      </c>
      <c r="B282" s="168">
        <v>45966</v>
      </c>
      <c r="C282" s="169">
        <v>291.5</v>
      </c>
      <c r="D282" s="170">
        <f>IFERROR(C282/VLOOKUP(A282,Usinas!$A:$B,2,FALSE()),"")</f>
        <v>0.4182209469153515</v>
      </c>
    </row>
    <row r="283" spans="1:4" ht="12" customHeight="1" x14ac:dyDescent="0.3">
      <c r="A283" s="167" t="s">
        <v>358</v>
      </c>
      <c r="B283" s="168">
        <v>45967</v>
      </c>
      <c r="C283" s="169">
        <v>943</v>
      </c>
      <c r="D283" s="170">
        <f>IFERROR(C283/VLOOKUP(A283,Usinas!$A:$B,2,FALSE()),"")</f>
        <v>1.3529411764705883</v>
      </c>
    </row>
    <row r="284" spans="1:4" ht="12" customHeight="1" x14ac:dyDescent="0.3">
      <c r="A284" s="167" t="s">
        <v>358</v>
      </c>
      <c r="B284" s="168">
        <v>45967</v>
      </c>
      <c r="C284" s="169">
        <v>1209.4000000000001</v>
      </c>
      <c r="D284" s="170">
        <f>IFERROR(C284/VLOOKUP(A284,Usinas!$A:$B,2,FALSE()),"")</f>
        <v>1.7351506456241035</v>
      </c>
    </row>
    <row r="285" spans="1:4" ht="12" customHeight="1" x14ac:dyDescent="0.3">
      <c r="A285" s="167" t="s">
        <v>358</v>
      </c>
      <c r="B285" s="168">
        <v>45968</v>
      </c>
      <c r="C285" s="169">
        <v>458</v>
      </c>
      <c r="D285" s="170">
        <f>IFERROR(C285/VLOOKUP(A285,Usinas!$A:$B,2,FALSE()),"")</f>
        <v>0.65710186513629842</v>
      </c>
    </row>
    <row r="286" spans="1:4" ht="12" customHeight="1" x14ac:dyDescent="0.3">
      <c r="A286" s="167" t="s">
        <v>358</v>
      </c>
      <c r="B286" s="168">
        <v>45968</v>
      </c>
      <c r="C286" s="169">
        <v>1153.8</v>
      </c>
      <c r="D286" s="170">
        <f>IFERROR(C286/VLOOKUP(A286,Usinas!$A:$B,2,FALSE()),"")</f>
        <v>1.655380200860832</v>
      </c>
    </row>
    <row r="287" spans="1:4" ht="12" customHeight="1" x14ac:dyDescent="0.3">
      <c r="A287" s="167" t="s">
        <v>358</v>
      </c>
      <c r="B287" s="168">
        <v>45969</v>
      </c>
      <c r="C287" s="169">
        <v>733</v>
      </c>
      <c r="D287" s="170">
        <f>IFERROR(C287/VLOOKUP(A287,Usinas!$A:$B,2,FALSE()),"")</f>
        <v>1.0516499282639886</v>
      </c>
    </row>
    <row r="288" spans="1:4" ht="12" customHeight="1" x14ac:dyDescent="0.3">
      <c r="A288" s="167" t="s">
        <v>358</v>
      </c>
      <c r="B288" s="168">
        <v>45969</v>
      </c>
      <c r="C288" s="169">
        <v>892.3</v>
      </c>
      <c r="D288" s="170">
        <f>IFERROR(C288/VLOOKUP(A288,Usinas!$A:$B,2,FALSE()),"")</f>
        <v>1.2802008608321376</v>
      </c>
    </row>
    <row r="289" spans="1:4" ht="12" customHeight="1" x14ac:dyDescent="0.3">
      <c r="A289" s="167" t="s">
        <v>358</v>
      </c>
      <c r="B289" s="168">
        <v>45970</v>
      </c>
      <c r="C289" s="169">
        <v>533</v>
      </c>
      <c r="D289" s="170">
        <f>IFERROR(C289/VLOOKUP(A289,Usinas!$A:$B,2,FALSE()),"")</f>
        <v>0.76470588235294112</v>
      </c>
    </row>
    <row r="290" spans="1:4" ht="12" customHeight="1" x14ac:dyDescent="0.3">
      <c r="A290" s="167" t="s">
        <v>358</v>
      </c>
      <c r="B290" s="168">
        <v>45970</v>
      </c>
      <c r="C290" s="169">
        <v>1368.3</v>
      </c>
      <c r="D290" s="170">
        <f>IFERROR(C290/VLOOKUP(A290,Usinas!$A:$B,2,FALSE()),"")</f>
        <v>1.9631276901004304</v>
      </c>
    </row>
    <row r="291" spans="1:4" ht="12" customHeight="1" x14ac:dyDescent="0.3">
      <c r="A291" s="167" t="s">
        <v>358</v>
      </c>
      <c r="B291" s="168">
        <v>45971</v>
      </c>
      <c r="C291" s="169">
        <v>1217</v>
      </c>
      <c r="D291" s="170">
        <f>IFERROR(C291/VLOOKUP(A291,Usinas!$A:$B,2,FALSE()),"")</f>
        <v>1.7460545193687231</v>
      </c>
    </row>
    <row r="292" spans="1:4" ht="12" customHeight="1" x14ac:dyDescent="0.3">
      <c r="A292" s="167" t="s">
        <v>358</v>
      </c>
      <c r="B292" s="168">
        <v>45971</v>
      </c>
      <c r="C292" s="169">
        <v>1341.5</v>
      </c>
      <c r="D292" s="170">
        <f>IFERROR(C292/VLOOKUP(A292,Usinas!$A:$B,2,FALSE()),"")</f>
        <v>1.92467718794835</v>
      </c>
    </row>
    <row r="293" spans="1:4" ht="12" customHeight="1" x14ac:dyDescent="0.3">
      <c r="A293" s="167" t="s">
        <v>358</v>
      </c>
      <c r="B293" s="168">
        <v>45972</v>
      </c>
      <c r="C293" s="169">
        <v>796</v>
      </c>
      <c r="D293" s="170">
        <f>IFERROR(C293/VLOOKUP(A293,Usinas!$A:$B,2,FALSE()),"")</f>
        <v>1.1420373027259685</v>
      </c>
    </row>
    <row r="294" spans="1:4" ht="12" customHeight="1" x14ac:dyDescent="0.3">
      <c r="A294" s="167" t="s">
        <v>358</v>
      </c>
      <c r="B294" s="168">
        <v>45972</v>
      </c>
      <c r="C294" s="169">
        <v>1305.2</v>
      </c>
      <c r="D294" s="170">
        <f>IFERROR(C294/VLOOKUP(A294,Usinas!$A:$B,2,FALSE()),"")</f>
        <v>1.8725968436154949</v>
      </c>
    </row>
    <row r="295" spans="1:4" ht="12" customHeight="1" x14ac:dyDescent="0.3">
      <c r="A295" s="167" t="s">
        <v>358</v>
      </c>
      <c r="B295" s="168">
        <v>45973</v>
      </c>
      <c r="C295" s="169">
        <v>395</v>
      </c>
      <c r="D295" s="170">
        <f>IFERROR(C295/VLOOKUP(A295,Usinas!$A:$B,2,FALSE()),"")</f>
        <v>0.56671449067431856</v>
      </c>
    </row>
    <row r="296" spans="1:4" ht="12" customHeight="1" x14ac:dyDescent="0.3">
      <c r="A296" s="167" t="s">
        <v>358</v>
      </c>
      <c r="B296" s="168">
        <v>45973</v>
      </c>
      <c r="C296" s="169">
        <v>1108.8</v>
      </c>
      <c r="D296" s="170">
        <f>IFERROR(C296/VLOOKUP(A296,Usinas!$A:$B,2,FALSE()),"")</f>
        <v>1.5908177905308465</v>
      </c>
    </row>
    <row r="297" spans="1:4" ht="12" customHeight="1" x14ac:dyDescent="0.3">
      <c r="A297" s="167" t="s">
        <v>358</v>
      </c>
      <c r="B297" s="168">
        <v>45974</v>
      </c>
      <c r="C297" s="169">
        <v>303</v>
      </c>
      <c r="D297" s="170">
        <f>IFERROR(C297/VLOOKUP(A297,Usinas!$A:$B,2,FALSE()),"")</f>
        <v>0.4347202295552367</v>
      </c>
    </row>
    <row r="298" spans="1:4" ht="12" customHeight="1" x14ac:dyDescent="0.3">
      <c r="A298" s="167" t="s">
        <v>358</v>
      </c>
      <c r="B298" s="168">
        <v>45974</v>
      </c>
      <c r="C298" s="169">
        <v>359.5</v>
      </c>
      <c r="D298" s="170">
        <f>IFERROR(C298/VLOOKUP(A298,Usinas!$A:$B,2,FALSE()),"")</f>
        <v>0.51578192252510757</v>
      </c>
    </row>
    <row r="299" spans="1:4" ht="12" customHeight="1" x14ac:dyDescent="0.3">
      <c r="A299" s="167" t="s">
        <v>358</v>
      </c>
      <c r="B299" s="168">
        <v>45975</v>
      </c>
      <c r="C299" s="169">
        <v>584</v>
      </c>
      <c r="D299" s="170">
        <f>IFERROR(C299/VLOOKUP(A299,Usinas!$A:$B,2,FALSE()),"")</f>
        <v>0.83787661406025826</v>
      </c>
    </row>
    <row r="300" spans="1:4" ht="12" customHeight="1" x14ac:dyDescent="0.3">
      <c r="A300" s="167" t="s">
        <v>358</v>
      </c>
      <c r="B300" s="168">
        <v>45975</v>
      </c>
      <c r="C300" s="169">
        <v>558.9</v>
      </c>
      <c r="D300" s="170">
        <f>IFERROR(C300/VLOOKUP(A300,Usinas!$A:$B,2,FALSE()),"")</f>
        <v>0.80186513629842182</v>
      </c>
    </row>
    <row r="301" spans="1:4" ht="12" customHeight="1" x14ac:dyDescent="0.3">
      <c r="A301" s="167" t="s">
        <v>358</v>
      </c>
      <c r="B301" s="168">
        <v>45976</v>
      </c>
      <c r="C301" s="169">
        <v>253</v>
      </c>
      <c r="D301" s="170">
        <f>IFERROR(C301/VLOOKUP(A301,Usinas!$A:$B,2,FALSE()),"")</f>
        <v>0.36298421807747488</v>
      </c>
    </row>
    <row r="302" spans="1:4" ht="12" customHeight="1" x14ac:dyDescent="0.3">
      <c r="A302" s="167" t="s">
        <v>358</v>
      </c>
      <c r="B302" s="168">
        <v>45976</v>
      </c>
      <c r="C302" s="169">
        <v>311</v>
      </c>
      <c r="D302" s="170">
        <f>IFERROR(C302/VLOOKUP(A302,Usinas!$A:$B,2,FALSE()),"")</f>
        <v>0.44619799139167865</v>
      </c>
    </row>
    <row r="303" spans="1:4" ht="12" customHeight="1" x14ac:dyDescent="0.3">
      <c r="A303" s="167" t="s">
        <v>358</v>
      </c>
      <c r="B303" s="168">
        <v>45977</v>
      </c>
      <c r="C303" s="169">
        <v>67</v>
      </c>
      <c r="D303" s="170">
        <f>IFERROR(C303/VLOOKUP(A303,Usinas!$A:$B,2,FALSE()),"")</f>
        <v>9.6126255380200865E-2</v>
      </c>
    </row>
    <row r="304" spans="1:4" ht="12" customHeight="1" x14ac:dyDescent="0.3">
      <c r="A304" s="167" t="s">
        <v>358</v>
      </c>
      <c r="B304" s="168">
        <v>45977</v>
      </c>
      <c r="C304" s="169">
        <v>769.2</v>
      </c>
      <c r="D304" s="170">
        <f>IFERROR(C304/VLOOKUP(A304,Usinas!$A:$B,2,FALSE()),"")</f>
        <v>1.1035868005738882</v>
      </c>
    </row>
    <row r="305" spans="1:4" ht="12" customHeight="1" x14ac:dyDescent="0.3">
      <c r="A305" s="167" t="s">
        <v>358</v>
      </c>
      <c r="B305" s="168">
        <v>45978</v>
      </c>
      <c r="C305" s="169">
        <v>437</v>
      </c>
      <c r="D305" s="170">
        <f>IFERROR(C305/VLOOKUP(A305,Usinas!$A:$B,2,FALSE()),"")</f>
        <v>0.62697274031563843</v>
      </c>
    </row>
    <row r="306" spans="1:4" ht="12" customHeight="1" x14ac:dyDescent="0.3">
      <c r="A306" s="167" t="s">
        <v>358</v>
      </c>
      <c r="B306" s="168">
        <v>45978</v>
      </c>
      <c r="C306" s="169">
        <v>428.8</v>
      </c>
      <c r="D306" s="170">
        <f>IFERROR(C306/VLOOKUP(A306,Usinas!$A:$B,2,FALSE()),"")</f>
        <v>0.61520803443328553</v>
      </c>
    </row>
    <row r="307" spans="1:4" ht="12" customHeight="1" x14ac:dyDescent="0.3">
      <c r="A307" s="167" t="s">
        <v>358</v>
      </c>
      <c r="B307" s="168">
        <v>45979</v>
      </c>
      <c r="C307" s="169">
        <v>50</v>
      </c>
      <c r="D307" s="170">
        <f>IFERROR(C307/VLOOKUP(A307,Usinas!$A:$B,2,FALSE()),"")</f>
        <v>7.1736011477761832E-2</v>
      </c>
    </row>
    <row r="308" spans="1:4" ht="12" customHeight="1" x14ac:dyDescent="0.3">
      <c r="A308" s="167" t="s">
        <v>358</v>
      </c>
      <c r="B308" s="168">
        <v>45979</v>
      </c>
      <c r="C308" s="169">
        <v>178.6</v>
      </c>
      <c r="D308" s="170">
        <f>IFERROR(C308/VLOOKUP(A308,Usinas!$A:$B,2,FALSE()),"")</f>
        <v>0.25624103299856527</v>
      </c>
    </row>
    <row r="309" spans="1:4" ht="12" customHeight="1" x14ac:dyDescent="0.3">
      <c r="A309" s="167" t="s">
        <v>358</v>
      </c>
      <c r="B309" s="168">
        <v>45980</v>
      </c>
      <c r="C309" s="169">
        <v>995</v>
      </c>
      <c r="D309" s="170">
        <f>IFERROR(C309/VLOOKUP(A309,Usinas!$A:$B,2,FALSE()),"")</f>
        <v>1.4275466284074605</v>
      </c>
    </row>
    <row r="310" spans="1:4" ht="12" customHeight="1" x14ac:dyDescent="0.3">
      <c r="A310" s="167" t="s">
        <v>358</v>
      </c>
      <c r="B310" s="168">
        <v>45980</v>
      </c>
      <c r="C310" s="169">
        <v>1321</v>
      </c>
      <c r="D310" s="170">
        <f>IFERROR(C310/VLOOKUP(A310,Usinas!$A:$B,2,FALSE()),"")</f>
        <v>1.8952654232424677</v>
      </c>
    </row>
    <row r="311" spans="1:4" ht="12" customHeight="1" x14ac:dyDescent="0.3">
      <c r="A311" s="167" t="s">
        <v>358</v>
      </c>
      <c r="B311" s="168">
        <v>45981</v>
      </c>
      <c r="C311" s="169">
        <v>877</v>
      </c>
      <c r="D311" s="170">
        <f>IFERROR(C311/VLOOKUP(A311,Usinas!$A:$B,2,FALSE()),"")</f>
        <v>1.2582496413199427</v>
      </c>
    </row>
    <row r="312" spans="1:4" ht="12" customHeight="1" x14ac:dyDescent="0.3">
      <c r="A312" s="167" t="s">
        <v>358</v>
      </c>
      <c r="B312" s="168">
        <v>45981</v>
      </c>
      <c r="C312" s="169">
        <v>1309.4000000000001</v>
      </c>
      <c r="D312" s="170">
        <f>IFERROR(C312/VLOOKUP(A312,Usinas!$A:$B,2,FALSE()),"")</f>
        <v>1.878622668579627</v>
      </c>
    </row>
    <row r="313" spans="1:4" ht="12" customHeight="1" x14ac:dyDescent="0.3">
      <c r="A313" s="167" t="s">
        <v>358</v>
      </c>
      <c r="B313" s="168">
        <v>45982</v>
      </c>
      <c r="C313" s="169">
        <v>712</v>
      </c>
      <c r="D313" s="170">
        <f>IFERROR(C313/VLOOKUP(A313,Usinas!$A:$B,2,FALSE()),"")</f>
        <v>1.0215208034433285</v>
      </c>
    </row>
    <row r="314" spans="1:4" ht="12" customHeight="1" x14ac:dyDescent="0.3">
      <c r="A314" s="167" t="s">
        <v>358</v>
      </c>
      <c r="B314" s="168">
        <v>45982</v>
      </c>
      <c r="C314" s="169">
        <v>1242</v>
      </c>
      <c r="D314" s="170">
        <f>IFERROR(C314/VLOOKUP(A314,Usinas!$A:$B,2,FALSE()),"")</f>
        <v>1.7819225251076041</v>
      </c>
    </row>
    <row r="315" spans="1:4" ht="12" customHeight="1" x14ac:dyDescent="0.3">
      <c r="A315" s="167" t="s">
        <v>358</v>
      </c>
      <c r="B315" s="168">
        <v>45983</v>
      </c>
      <c r="C315" s="169">
        <v>732</v>
      </c>
      <c r="D315" s="170">
        <f>IFERROR(C315/VLOOKUP(A315,Usinas!$A:$B,2,FALSE()),"")</f>
        <v>1.0502152080344334</v>
      </c>
    </row>
    <row r="316" spans="1:4" ht="12" customHeight="1" x14ac:dyDescent="0.3">
      <c r="A316" s="167" t="s">
        <v>358</v>
      </c>
      <c r="B316" s="168">
        <v>45983</v>
      </c>
      <c r="C316" s="169">
        <v>1150.5</v>
      </c>
      <c r="D316" s="170">
        <f>IFERROR(C316/VLOOKUP(A316,Usinas!$A:$B,2,FALSE()),"")</f>
        <v>1.6506456241032998</v>
      </c>
    </row>
    <row r="317" spans="1:4" ht="12" customHeight="1" x14ac:dyDescent="0.3">
      <c r="A317" s="167" t="s">
        <v>358</v>
      </c>
      <c r="B317" s="168">
        <v>45988</v>
      </c>
      <c r="C317" s="169">
        <v>12</v>
      </c>
      <c r="D317" s="170">
        <f>IFERROR(C317/VLOOKUP(A317,Usinas!$A:$B,2,FALSE()),"")</f>
        <v>1.721664275466284E-2</v>
      </c>
    </row>
    <row r="318" spans="1:4" ht="12" customHeight="1" x14ac:dyDescent="0.3">
      <c r="A318" s="167" t="s">
        <v>358</v>
      </c>
      <c r="B318" s="168">
        <v>45988</v>
      </c>
      <c r="C318" s="169">
        <v>216.9</v>
      </c>
      <c r="D318" s="170">
        <f>IFERROR(C318/VLOOKUP(A318,Usinas!$A:$B,2,FALSE()),"")</f>
        <v>0.31119081779053087</v>
      </c>
    </row>
    <row r="319" spans="1:4" ht="12" customHeight="1" x14ac:dyDescent="0.3">
      <c r="A319" s="167" t="s">
        <v>358</v>
      </c>
      <c r="B319" s="168">
        <v>45989</v>
      </c>
      <c r="C319" s="169">
        <v>174</v>
      </c>
      <c r="D319" s="170">
        <f>IFERROR(C319/VLOOKUP(A319,Usinas!$A:$B,2,FALSE()),"")</f>
        <v>0.24964131994261118</v>
      </c>
    </row>
    <row r="320" spans="1:4" ht="12" customHeight="1" x14ac:dyDescent="0.3">
      <c r="A320" s="167" t="s">
        <v>358</v>
      </c>
      <c r="B320" s="168">
        <v>45989</v>
      </c>
      <c r="C320" s="169">
        <v>1216.2</v>
      </c>
      <c r="D320" s="170">
        <f>IFERROR(C320/VLOOKUP(A320,Usinas!$A:$B,2,FALSE()),"")</f>
        <v>1.7449067431850789</v>
      </c>
    </row>
    <row r="321" spans="1:4" ht="12" customHeight="1" x14ac:dyDescent="0.3">
      <c r="A321" s="167" t="s">
        <v>358</v>
      </c>
      <c r="B321" s="168">
        <v>45990</v>
      </c>
      <c r="C321" s="169">
        <v>42</v>
      </c>
      <c r="D321" s="170">
        <f>IFERROR(C321/VLOOKUP(A321,Usinas!$A:$B,2,FALSE()),"")</f>
        <v>6.0258249641319941E-2</v>
      </c>
    </row>
    <row r="322" spans="1:4" ht="12" customHeight="1" x14ac:dyDescent="0.3">
      <c r="A322" s="167" t="s">
        <v>358</v>
      </c>
      <c r="B322" s="168">
        <v>45990</v>
      </c>
      <c r="C322" s="169">
        <v>1176.9000000000001</v>
      </c>
      <c r="D322" s="170">
        <f>IFERROR(C322/VLOOKUP(A322,Usinas!$A:$B,2,FALSE()),"")</f>
        <v>1.6885222381635583</v>
      </c>
    </row>
    <row r="323" spans="1:4" ht="12" customHeight="1" x14ac:dyDescent="0.3">
      <c r="A323" s="167" t="s">
        <v>358</v>
      </c>
      <c r="B323" s="168">
        <v>45991</v>
      </c>
      <c r="C323" s="169">
        <v>416</v>
      </c>
      <c r="D323" s="170">
        <f>IFERROR(C323/VLOOKUP(A323,Usinas!$A:$B,2,FALSE()),"")</f>
        <v>0.59684361549497844</v>
      </c>
    </row>
    <row r="324" spans="1:4" ht="12" customHeight="1" x14ac:dyDescent="0.3">
      <c r="A324" s="167" t="s">
        <v>358</v>
      </c>
      <c r="B324" s="168">
        <v>45991</v>
      </c>
      <c r="C324" s="169">
        <v>1144.9000000000001</v>
      </c>
      <c r="D324" s="170">
        <f>IFERROR(C324/VLOOKUP(A324,Usinas!$A:$B,2,FALSE()),"")</f>
        <v>1.6426111908177907</v>
      </c>
    </row>
    <row r="325" spans="1:4" ht="12" customHeight="1" x14ac:dyDescent="0.3">
      <c r="A325" s="167" t="s">
        <v>358</v>
      </c>
      <c r="B325" s="168">
        <v>45992</v>
      </c>
      <c r="C325" s="169">
        <v>391.2</v>
      </c>
      <c r="D325" s="170">
        <f>IFERROR(C325/VLOOKUP(A325,Usinas!$A:$B,2,FALSE()),"")</f>
        <v>0.56126255380200862</v>
      </c>
    </row>
    <row r="326" spans="1:4" ht="12" customHeight="1" x14ac:dyDescent="0.3">
      <c r="A326" s="167" t="s">
        <v>358</v>
      </c>
      <c r="B326" s="168">
        <v>45992</v>
      </c>
      <c r="C326" s="169">
        <v>462.5</v>
      </c>
      <c r="D326" s="170">
        <f>IFERROR(C326/VLOOKUP(A326,Usinas!$A:$B,2,FALSE()),"")</f>
        <v>0.663558106169297</v>
      </c>
    </row>
    <row r="327" spans="1:4" ht="12" customHeight="1" x14ac:dyDescent="0.3">
      <c r="A327" s="167" t="s">
        <v>358</v>
      </c>
      <c r="B327" s="168">
        <v>45993</v>
      </c>
      <c r="C327" s="169">
        <v>789.2</v>
      </c>
      <c r="D327" s="170">
        <f>IFERROR(C327/VLOOKUP(A327,Usinas!$A:$B,2,FALSE()),"")</f>
        <v>1.1322812051649929</v>
      </c>
    </row>
    <row r="328" spans="1:4" ht="12" customHeight="1" x14ac:dyDescent="0.3">
      <c r="A328" s="167" t="s">
        <v>358</v>
      </c>
      <c r="B328" s="168">
        <v>45993</v>
      </c>
      <c r="C328" s="169">
        <v>965.7</v>
      </c>
      <c r="D328" s="170">
        <f>IFERROR(C328/VLOOKUP(A328,Usinas!$A:$B,2,FALSE()),"")</f>
        <v>1.3855093256814921</v>
      </c>
    </row>
    <row r="329" spans="1:4" ht="12" customHeight="1" x14ac:dyDescent="0.3">
      <c r="A329" s="167" t="s">
        <v>358</v>
      </c>
      <c r="B329" s="168">
        <v>45994</v>
      </c>
      <c r="C329" s="169">
        <v>4.5999999999999996</v>
      </c>
      <c r="D329" s="170">
        <f>IFERROR(C329/VLOOKUP(A329,Usinas!$A:$B,2,FALSE()),"")</f>
        <v>6.5997130559540887E-3</v>
      </c>
    </row>
    <row r="330" spans="1:4" ht="12" customHeight="1" x14ac:dyDescent="0.3">
      <c r="A330" s="167" t="s">
        <v>358</v>
      </c>
      <c r="B330" s="168">
        <v>45994</v>
      </c>
      <c r="C330" s="169">
        <v>17.8</v>
      </c>
      <c r="D330" s="170">
        <f>IFERROR(C330/VLOOKUP(A330,Usinas!$A:$B,2,FALSE()),"")</f>
        <v>2.5538020086083215E-2</v>
      </c>
    </row>
    <row r="331" spans="1:4" ht="12" customHeight="1" x14ac:dyDescent="0.3">
      <c r="A331" s="167" t="s">
        <v>358</v>
      </c>
      <c r="B331" s="168">
        <v>46010</v>
      </c>
      <c r="C331" s="169">
        <v>358</v>
      </c>
      <c r="D331" s="170">
        <f>IFERROR(C331/VLOOKUP(A331,Usinas!$A:$B,2,FALSE()),"")</f>
        <v>0.51362984218077479</v>
      </c>
    </row>
    <row r="332" spans="1:4" ht="12" customHeight="1" x14ac:dyDescent="0.3">
      <c r="A332" s="167" t="s">
        <v>358</v>
      </c>
      <c r="B332" s="168">
        <v>46010</v>
      </c>
      <c r="C332" s="169">
        <v>594.70000000000005</v>
      </c>
      <c r="D332" s="170">
        <f>IFERROR(C332/VLOOKUP(A332,Usinas!$A:$B,2,FALSE()),"")</f>
        <v>0.85322812051649932</v>
      </c>
    </row>
    <row r="333" spans="1:4" ht="12" customHeight="1" x14ac:dyDescent="0.3">
      <c r="A333" s="167" t="s">
        <v>358</v>
      </c>
      <c r="B333" s="168">
        <v>46011</v>
      </c>
      <c r="C333" s="169">
        <v>547.79999999999995</v>
      </c>
      <c r="D333" s="170">
        <f>IFERROR(C333/VLOOKUP(A333,Usinas!$A:$B,2,FALSE()),"")</f>
        <v>0.78593974175035863</v>
      </c>
    </row>
    <row r="334" spans="1:4" ht="12" customHeight="1" x14ac:dyDescent="0.3">
      <c r="A334" s="167" t="s">
        <v>358</v>
      </c>
      <c r="B334" s="168">
        <v>46011</v>
      </c>
      <c r="C334" s="169">
        <v>1094.9000000000001</v>
      </c>
      <c r="D334" s="170">
        <f>IFERROR(C334/VLOOKUP(A334,Usinas!$A:$B,2,FALSE()),"")</f>
        <v>1.5708751793400288</v>
      </c>
    </row>
    <row r="335" spans="1:4" ht="12" customHeight="1" x14ac:dyDescent="0.3">
      <c r="A335" s="167" t="s">
        <v>358</v>
      </c>
      <c r="B335" s="168">
        <v>46012</v>
      </c>
      <c r="C335" s="169">
        <v>807.7</v>
      </c>
      <c r="D335" s="170">
        <f>IFERROR(C335/VLOOKUP(A335,Usinas!$A:$B,2,FALSE()),"")</f>
        <v>1.1588235294117648</v>
      </c>
    </row>
    <row r="336" spans="1:4" ht="12" customHeight="1" x14ac:dyDescent="0.3">
      <c r="A336" s="167" t="s">
        <v>358</v>
      </c>
      <c r="B336" s="168">
        <v>46012</v>
      </c>
      <c r="C336" s="169">
        <v>974.5</v>
      </c>
      <c r="D336" s="170">
        <f>IFERROR(C336/VLOOKUP(A336,Usinas!$A:$B,2,FALSE()),"")</f>
        <v>1.3981348637015782</v>
      </c>
    </row>
    <row r="337" spans="1:4" ht="12" customHeight="1" x14ac:dyDescent="0.3">
      <c r="A337" s="167" t="s">
        <v>358</v>
      </c>
      <c r="B337" s="168">
        <v>46013</v>
      </c>
      <c r="C337" s="169">
        <v>221.2</v>
      </c>
      <c r="D337" s="170">
        <f>IFERROR(C337/VLOOKUP(A337,Usinas!$A:$B,2,FALSE()),"")</f>
        <v>0.31736011477761833</v>
      </c>
    </row>
    <row r="338" spans="1:4" ht="12" customHeight="1" x14ac:dyDescent="0.3">
      <c r="A338" s="167" t="s">
        <v>358</v>
      </c>
      <c r="B338" s="168">
        <v>46013</v>
      </c>
      <c r="C338" s="169">
        <v>1138.0999999999999</v>
      </c>
      <c r="D338" s="170">
        <f>IFERROR(C338/VLOOKUP(A338,Usinas!$A:$B,2,FALSE()),"")</f>
        <v>1.6328550932568149</v>
      </c>
    </row>
    <row r="339" spans="1:4" ht="12" customHeight="1" x14ac:dyDescent="0.3">
      <c r="A339" s="167" t="s">
        <v>358</v>
      </c>
      <c r="B339" s="168">
        <v>46014</v>
      </c>
      <c r="C339" s="169">
        <v>611.20000000000005</v>
      </c>
      <c r="D339" s="170">
        <f>IFERROR(C339/VLOOKUP(A339,Usinas!$A:$B,2,FALSE()),"")</f>
        <v>0.87690100430416074</v>
      </c>
    </row>
    <row r="340" spans="1:4" ht="12" customHeight="1" x14ac:dyDescent="0.3">
      <c r="A340" s="167" t="s">
        <v>358</v>
      </c>
      <c r="B340" s="168">
        <v>46014</v>
      </c>
      <c r="C340" s="169">
        <v>1085.5</v>
      </c>
      <c r="D340" s="170">
        <f>IFERROR(C340/VLOOKUP(A340,Usinas!$A:$B,2,FALSE()),"")</f>
        <v>1.5573888091822095</v>
      </c>
    </row>
    <row r="341" spans="1:4" ht="12" customHeight="1" x14ac:dyDescent="0.3">
      <c r="A341" s="167" t="s">
        <v>358</v>
      </c>
      <c r="B341" s="168">
        <v>46015</v>
      </c>
      <c r="C341" s="169">
        <v>477.5</v>
      </c>
      <c r="D341" s="170">
        <f>IFERROR(C341/VLOOKUP(A341,Usinas!$A:$B,2,FALSE()),"")</f>
        <v>0.68507890961262552</v>
      </c>
    </row>
    <row r="342" spans="1:4" ht="12" customHeight="1" x14ac:dyDescent="0.3">
      <c r="A342" s="167" t="s">
        <v>358</v>
      </c>
      <c r="B342" s="168">
        <v>46015</v>
      </c>
      <c r="C342" s="169">
        <v>1153.5</v>
      </c>
      <c r="D342" s="170">
        <f>IFERROR(C342/VLOOKUP(A342,Usinas!$A:$B,2,FALSE()),"")</f>
        <v>1.6549497847919656</v>
      </c>
    </row>
    <row r="343" spans="1:4" ht="12" customHeight="1" x14ac:dyDescent="0.3">
      <c r="A343" s="167" t="s">
        <v>358</v>
      </c>
      <c r="B343" s="168">
        <v>46016</v>
      </c>
      <c r="C343" s="169">
        <v>579.20000000000005</v>
      </c>
      <c r="D343" s="170">
        <f>IFERROR(C343/VLOOKUP(A343,Usinas!$A:$B,2,FALSE()),"")</f>
        <v>0.83098995695839317</v>
      </c>
    </row>
    <row r="344" spans="1:4" ht="12" customHeight="1" x14ac:dyDescent="0.3">
      <c r="A344" s="167" t="s">
        <v>358</v>
      </c>
      <c r="B344" s="168">
        <v>46016</v>
      </c>
      <c r="C344" s="169">
        <v>1123.2</v>
      </c>
      <c r="D344" s="170">
        <f>IFERROR(C344/VLOOKUP(A344,Usinas!$A:$B,2,FALSE()),"")</f>
        <v>1.611477761836442</v>
      </c>
    </row>
    <row r="345" spans="1:4" ht="12" customHeight="1" x14ac:dyDescent="0.3">
      <c r="A345" s="167" t="s">
        <v>358</v>
      </c>
      <c r="B345" s="168">
        <v>46017</v>
      </c>
      <c r="C345" s="169">
        <v>158.69999999999999</v>
      </c>
      <c r="D345" s="170">
        <f>IFERROR(C345/VLOOKUP(A345,Usinas!$A:$B,2,FALSE()),"")</f>
        <v>0.22769010043041604</v>
      </c>
    </row>
    <row r="346" spans="1:4" ht="12" customHeight="1" x14ac:dyDescent="0.3">
      <c r="A346" s="167" t="s">
        <v>358</v>
      </c>
      <c r="B346" s="168">
        <v>46017</v>
      </c>
      <c r="C346" s="169">
        <v>837.3</v>
      </c>
      <c r="D346" s="170">
        <f>IFERROR(C346/VLOOKUP(A346,Usinas!$A:$B,2,FALSE()),"")</f>
        <v>1.2012912482065996</v>
      </c>
    </row>
    <row r="347" spans="1:4" ht="12" customHeight="1" x14ac:dyDescent="0.3">
      <c r="A347" s="167" t="s">
        <v>358</v>
      </c>
      <c r="B347" s="168">
        <v>46018</v>
      </c>
      <c r="C347" s="169">
        <v>525</v>
      </c>
      <c r="D347" s="170">
        <f>IFERROR(C347/VLOOKUP(A347,Usinas!$A:$B,2,FALSE()),"")</f>
        <v>0.75322812051649923</v>
      </c>
    </row>
    <row r="348" spans="1:4" ht="12" customHeight="1" x14ac:dyDescent="0.3">
      <c r="A348" s="167" t="s">
        <v>358</v>
      </c>
      <c r="B348" s="168">
        <v>46018</v>
      </c>
      <c r="C348" s="169">
        <v>981.8</v>
      </c>
      <c r="D348" s="170">
        <f>IFERROR(C348/VLOOKUP(A348,Usinas!$A:$B,2,FALSE()),"")</f>
        <v>1.4086083213773313</v>
      </c>
    </row>
    <row r="349" spans="1:4" ht="12" customHeight="1" x14ac:dyDescent="0.3">
      <c r="A349" s="167" t="s">
        <v>358</v>
      </c>
      <c r="B349" s="168">
        <v>46019</v>
      </c>
      <c r="C349" s="169">
        <v>469.2</v>
      </c>
      <c r="D349" s="170">
        <f>IFERROR(C349/VLOOKUP(A349,Usinas!$A:$B,2,FALSE()),"")</f>
        <v>0.673170731707317</v>
      </c>
    </row>
    <row r="350" spans="1:4" ht="12" customHeight="1" x14ac:dyDescent="0.3">
      <c r="A350" s="167" t="s">
        <v>358</v>
      </c>
      <c r="B350" s="168">
        <v>46019</v>
      </c>
      <c r="C350" s="169">
        <v>113.9</v>
      </c>
      <c r="D350" s="170">
        <f>IFERROR(C350/VLOOKUP(A350,Usinas!$A:$B,2,FALSE()),"")</f>
        <v>0.16341463414634147</v>
      </c>
    </row>
    <row r="351" spans="1:4" ht="12" customHeight="1" x14ac:dyDescent="0.3">
      <c r="A351" s="167" t="s">
        <v>358</v>
      </c>
      <c r="B351" s="168">
        <v>46020</v>
      </c>
      <c r="C351" s="169">
        <v>259.5</v>
      </c>
      <c r="D351" s="170">
        <f>IFERROR(C351/VLOOKUP(A351,Usinas!$A:$B,2,FALSE()),"")</f>
        <v>0.37230989956958394</v>
      </c>
    </row>
    <row r="352" spans="1:4" ht="12" customHeight="1" x14ac:dyDescent="0.3">
      <c r="A352" s="167" t="s">
        <v>358</v>
      </c>
      <c r="B352" s="168">
        <v>46020</v>
      </c>
      <c r="C352" s="169">
        <v>935.7</v>
      </c>
      <c r="D352" s="170">
        <f>IFERROR(C352/VLOOKUP(A352,Usinas!$A:$B,2,FALSE()),"")</f>
        <v>1.3424677187948351</v>
      </c>
    </row>
    <row r="353" spans="1:4" ht="12" customHeight="1" x14ac:dyDescent="0.3">
      <c r="A353" s="167" t="s">
        <v>358</v>
      </c>
      <c r="B353" s="168">
        <v>46021</v>
      </c>
      <c r="C353" s="169">
        <v>386.8</v>
      </c>
      <c r="D353" s="170">
        <f>IFERROR(C353/VLOOKUP(A353,Usinas!$A:$B,2,FALSE()),"")</f>
        <v>0.55494978479196555</v>
      </c>
    </row>
    <row r="354" spans="1:4" ht="12" customHeight="1" x14ac:dyDescent="0.3">
      <c r="A354" s="167" t="s">
        <v>358</v>
      </c>
      <c r="B354" s="168">
        <v>46021</v>
      </c>
      <c r="C354" s="169">
        <v>867.7</v>
      </c>
      <c r="D354" s="170">
        <f>IFERROR(C354/VLOOKUP(A354,Usinas!$A:$B,2,FALSE()),"")</f>
        <v>1.2449067431850789</v>
      </c>
    </row>
    <row r="355" spans="1:4" ht="12" customHeight="1" x14ac:dyDescent="0.3">
      <c r="A355" s="167" t="s">
        <v>358</v>
      </c>
      <c r="B355" s="168">
        <v>46022</v>
      </c>
      <c r="C355" s="169">
        <v>43.6</v>
      </c>
      <c r="D355" s="170">
        <f>IFERROR(C355/VLOOKUP(A355,Usinas!$A:$B,2,FALSE()),"")</f>
        <v>6.2553802008608328E-2</v>
      </c>
    </row>
    <row r="356" spans="1:4" ht="12" customHeight="1" x14ac:dyDescent="0.3">
      <c r="A356" s="167" t="s">
        <v>358</v>
      </c>
      <c r="B356" s="168">
        <v>46022</v>
      </c>
      <c r="C356" s="169">
        <v>990.9</v>
      </c>
      <c r="D356" s="170">
        <f>IFERROR(C356/VLOOKUP(A356,Usinas!$A:$B,2,FALSE()),"")</f>
        <v>1.421664275466284</v>
      </c>
    </row>
    <row r="357" spans="1:4" ht="12" customHeight="1" x14ac:dyDescent="0.3">
      <c r="A357" s="167"/>
      <c r="B357" s="168"/>
      <c r="C357" s="169"/>
      <c r="D357" s="170"/>
    </row>
    <row r="358" spans="1:4" ht="12" customHeight="1" x14ac:dyDescent="0.3">
      <c r="A358" s="167"/>
      <c r="B358" s="168"/>
      <c r="C358" s="169"/>
      <c r="D358" s="170"/>
    </row>
  </sheetData>
  <autoFilter ref="A1:D356" xr:uid="{00000000-0009-0000-0000-000005000000}"/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3F1DB"/>
  </sheetPr>
  <dimension ref="A1:AH366"/>
  <sheetViews>
    <sheetView zoomScaleNormal="100" workbookViewId="0">
      <selection activeCell="M24" sqref="M24"/>
    </sheetView>
  </sheetViews>
  <sheetFormatPr defaultColWidth="12.54296875" defaultRowHeight="13" outlineLevelCol="1" x14ac:dyDescent="0.3"/>
  <cols>
    <col min="1" max="1" width="20.453125" style="164" customWidth="1"/>
    <col min="2" max="2" width="10.1796875" style="164" customWidth="1"/>
    <col min="3" max="3" width="15.26953125" style="164" customWidth="1"/>
    <col min="4" max="4" width="19.453125" style="164" customWidth="1"/>
    <col min="5" max="5" width="12.54296875" style="164"/>
    <col min="6" max="6" width="16.453125" style="164" hidden="1" customWidth="1" outlineLevel="1"/>
    <col min="7" max="7" width="11.54296875" style="164" hidden="1" customWidth="1" outlineLevel="1"/>
    <col min="8" max="8" width="11.54296875" style="164" customWidth="1" collapsed="1"/>
    <col min="9" max="16384" width="12.54296875" style="164"/>
  </cols>
  <sheetData>
    <row r="1" spans="1:10" ht="15.75" customHeight="1" x14ac:dyDescent="0.3">
      <c r="A1" s="165" t="s">
        <v>354</v>
      </c>
      <c r="B1" s="165" t="s">
        <v>355</v>
      </c>
      <c r="C1" s="166" t="s">
        <v>356</v>
      </c>
      <c r="D1" s="165" t="s">
        <v>357</v>
      </c>
    </row>
    <row r="2" spans="1:10" ht="15.75" customHeight="1" x14ac:dyDescent="0.3">
      <c r="A2" s="167" t="s">
        <v>364</v>
      </c>
      <c r="B2" s="168">
        <v>45658</v>
      </c>
      <c r="C2" s="178">
        <v>3715.4</v>
      </c>
      <c r="D2" s="170">
        <f>IFERROR(C2/VLOOKUP(A2,Usinas!$A:$B,2,FALSE()),"")</f>
        <v>5.2925925925925927</v>
      </c>
      <c r="F2" s="171" t="s">
        <v>359</v>
      </c>
      <c r="G2" s="171"/>
      <c r="H2" s="171" t="s">
        <v>35</v>
      </c>
      <c r="I2" s="171" t="s">
        <v>360</v>
      </c>
      <c r="J2" s="171" t="s">
        <v>361</v>
      </c>
    </row>
    <row r="3" spans="1:10" ht="15.75" customHeight="1" x14ac:dyDescent="0.3">
      <c r="A3" s="167" t="s">
        <v>364</v>
      </c>
      <c r="B3" s="168">
        <v>45659</v>
      </c>
      <c r="C3" s="178">
        <v>2498.6</v>
      </c>
      <c r="D3" s="170">
        <f>IFERROR(C3/VLOOKUP(A3,Usinas!$A:$B,2,FALSE()),"")</f>
        <v>3.5592592592592593</v>
      </c>
      <c r="F3" s="174">
        <f>+B2</f>
        <v>45658</v>
      </c>
      <c r="G3" s="174">
        <f>+B32</f>
        <v>45688</v>
      </c>
      <c r="H3" s="175">
        <f t="shared" ref="H3:H14" si="0">+F3</f>
        <v>45658</v>
      </c>
      <c r="I3" s="176">
        <f t="shared" ref="I3:I14" si="1">SUMIFS($C$1:$C$366, $B$1:$B$366, "&gt;="&amp;F3, $B$1:$B$366, "&lt;="&amp;G3)</f>
        <v>114258.99999999996</v>
      </c>
      <c r="J3" s="176">
        <f t="shared" ref="J3:J14" si="2">+I3/1000</f>
        <v>114.25899999999996</v>
      </c>
    </row>
    <row r="4" spans="1:10" ht="15.75" customHeight="1" x14ac:dyDescent="0.3">
      <c r="A4" s="167" t="s">
        <v>364</v>
      </c>
      <c r="B4" s="168">
        <v>45660</v>
      </c>
      <c r="C4" s="178">
        <v>4061.9</v>
      </c>
      <c r="D4" s="170">
        <f>IFERROR(C4/VLOOKUP(A4,Usinas!$A:$B,2,FALSE()),"")</f>
        <v>5.7861823361823363</v>
      </c>
      <c r="F4" s="174">
        <f>+B33</f>
        <v>45689</v>
      </c>
      <c r="G4" s="174">
        <f>+F4+27</f>
        <v>45716</v>
      </c>
      <c r="H4" s="175">
        <f t="shared" si="0"/>
        <v>45689</v>
      </c>
      <c r="I4" s="176">
        <f t="shared" si="1"/>
        <v>91131.900000000009</v>
      </c>
      <c r="J4" s="176">
        <f t="shared" si="2"/>
        <v>91.131900000000002</v>
      </c>
    </row>
    <row r="5" spans="1:10" ht="15.75" customHeight="1" x14ac:dyDescent="0.3">
      <c r="A5" s="167" t="s">
        <v>364</v>
      </c>
      <c r="B5" s="168">
        <v>45661</v>
      </c>
      <c r="C5" s="178">
        <v>3262.5</v>
      </c>
      <c r="D5" s="170">
        <f>IFERROR(C5/VLOOKUP(A5,Usinas!$A:$B,2,FALSE()),"")</f>
        <v>4.6474358974358978</v>
      </c>
      <c r="F5" s="174">
        <f t="shared" ref="F5:F14" si="3">+G4+1</f>
        <v>45717</v>
      </c>
      <c r="G5" s="174">
        <f>+F5+30</f>
        <v>45747</v>
      </c>
      <c r="H5" s="175">
        <f t="shared" si="0"/>
        <v>45717</v>
      </c>
      <c r="I5" s="176">
        <f t="shared" si="1"/>
        <v>103061.89999999998</v>
      </c>
      <c r="J5" s="176">
        <f t="shared" si="2"/>
        <v>103.06189999999998</v>
      </c>
    </row>
    <row r="6" spans="1:10" ht="15.75" customHeight="1" x14ac:dyDescent="0.3">
      <c r="A6" s="167" t="s">
        <v>364</v>
      </c>
      <c r="B6" s="168">
        <v>45662</v>
      </c>
      <c r="C6" s="178">
        <v>4061</v>
      </c>
      <c r="D6" s="170">
        <f>IFERROR(C6/VLOOKUP(A6,Usinas!$A:$B,2,FALSE()),"")</f>
        <v>5.7849002849002851</v>
      </c>
      <c r="F6" s="174">
        <f t="shared" si="3"/>
        <v>45748</v>
      </c>
      <c r="G6" s="174">
        <f>+F6+29</f>
        <v>45777</v>
      </c>
      <c r="H6" s="175">
        <f t="shared" si="0"/>
        <v>45748</v>
      </c>
      <c r="I6" s="176">
        <f t="shared" si="1"/>
        <v>73709.7</v>
      </c>
      <c r="J6" s="176">
        <f t="shared" si="2"/>
        <v>73.709699999999998</v>
      </c>
    </row>
    <row r="7" spans="1:10" ht="15.75" customHeight="1" x14ac:dyDescent="0.3">
      <c r="A7" s="167" t="s">
        <v>364</v>
      </c>
      <c r="B7" s="168">
        <v>45663</v>
      </c>
      <c r="C7" s="178">
        <v>4431.8999999999996</v>
      </c>
      <c r="D7" s="170">
        <f>IFERROR(C7/VLOOKUP(A7,Usinas!$A:$B,2,FALSE()),"")</f>
        <v>6.313247863247863</v>
      </c>
      <c r="F7" s="174">
        <f t="shared" si="3"/>
        <v>45778</v>
      </c>
      <c r="G7" s="174">
        <f>+F7+30</f>
        <v>45808</v>
      </c>
      <c r="H7" s="175">
        <f t="shared" si="0"/>
        <v>45778</v>
      </c>
      <c r="I7" s="176">
        <f t="shared" si="1"/>
        <v>91616.599999999991</v>
      </c>
      <c r="J7" s="176">
        <f t="shared" si="2"/>
        <v>91.616599999999991</v>
      </c>
    </row>
    <row r="8" spans="1:10" ht="15.75" customHeight="1" x14ac:dyDescent="0.3">
      <c r="A8" s="167" t="s">
        <v>364</v>
      </c>
      <c r="B8" s="168">
        <v>45664</v>
      </c>
      <c r="C8" s="178">
        <v>4460</v>
      </c>
      <c r="D8" s="170">
        <f>IFERROR(C8/VLOOKUP(A8,Usinas!$A:$B,2,FALSE()),"")</f>
        <v>6.3532763532763532</v>
      </c>
      <c r="F8" s="174">
        <f t="shared" si="3"/>
        <v>45809</v>
      </c>
      <c r="G8" s="174">
        <f>+F8+29</f>
        <v>45838</v>
      </c>
      <c r="H8" s="175">
        <f t="shared" si="0"/>
        <v>45809</v>
      </c>
      <c r="I8" s="176">
        <f t="shared" si="1"/>
        <v>72286.89999999998</v>
      </c>
      <c r="J8" s="176">
        <f t="shared" si="2"/>
        <v>72.286899999999974</v>
      </c>
    </row>
    <row r="9" spans="1:10" ht="15.75" customHeight="1" x14ac:dyDescent="0.3">
      <c r="A9" s="167" t="s">
        <v>364</v>
      </c>
      <c r="B9" s="168">
        <v>45665</v>
      </c>
      <c r="C9" s="178">
        <v>3524.3</v>
      </c>
      <c r="D9" s="170">
        <f>IFERROR(C9/VLOOKUP(A9,Usinas!$A:$B,2,FALSE()),"")</f>
        <v>5.0203703703703706</v>
      </c>
      <c r="F9" s="174">
        <f t="shared" si="3"/>
        <v>45839</v>
      </c>
      <c r="G9" s="174">
        <f>+F9+30</f>
        <v>45869</v>
      </c>
      <c r="H9" s="175">
        <f t="shared" si="0"/>
        <v>45839</v>
      </c>
      <c r="I9" s="176">
        <f t="shared" si="1"/>
        <v>88336.8</v>
      </c>
      <c r="J9" s="176">
        <f t="shared" si="2"/>
        <v>88.336799999999997</v>
      </c>
    </row>
    <row r="10" spans="1:10" ht="15.75" customHeight="1" x14ac:dyDescent="0.3">
      <c r="A10" s="167" t="s">
        <v>364</v>
      </c>
      <c r="B10" s="168">
        <v>45666</v>
      </c>
      <c r="C10" s="178">
        <v>4744.5</v>
      </c>
      <c r="D10" s="170">
        <f>IFERROR(C10/VLOOKUP(A10,Usinas!$A:$B,2,FALSE()),"")</f>
        <v>6.7585470085470085</v>
      </c>
      <c r="F10" s="174">
        <f t="shared" si="3"/>
        <v>45870</v>
      </c>
      <c r="G10" s="174">
        <f>+F10+30</f>
        <v>45900</v>
      </c>
      <c r="H10" s="175">
        <f t="shared" si="0"/>
        <v>45870</v>
      </c>
      <c r="I10" s="176">
        <f t="shared" si="1"/>
        <v>93082.7</v>
      </c>
      <c r="J10" s="176">
        <f t="shared" si="2"/>
        <v>93.082700000000003</v>
      </c>
    </row>
    <row r="11" spans="1:10" ht="15.75" customHeight="1" x14ac:dyDescent="0.3">
      <c r="A11" s="167" t="s">
        <v>364</v>
      </c>
      <c r="B11" s="168">
        <v>45667</v>
      </c>
      <c r="C11" s="178">
        <v>3305</v>
      </c>
      <c r="D11" s="170">
        <f>IFERROR(C11/VLOOKUP(A11,Usinas!$A:$B,2,FALSE()),"")</f>
        <v>4.7079772079772075</v>
      </c>
      <c r="F11" s="174">
        <f t="shared" si="3"/>
        <v>45901</v>
      </c>
      <c r="G11" s="174">
        <f>+F11+29</f>
        <v>45930</v>
      </c>
      <c r="H11" s="175">
        <f t="shared" si="0"/>
        <v>45901</v>
      </c>
      <c r="I11" s="176">
        <f t="shared" si="1"/>
        <v>94433.400000000009</v>
      </c>
      <c r="J11" s="176">
        <f t="shared" si="2"/>
        <v>94.433400000000006</v>
      </c>
    </row>
    <row r="12" spans="1:10" ht="15.75" customHeight="1" x14ac:dyDescent="0.3">
      <c r="A12" s="167" t="s">
        <v>364</v>
      </c>
      <c r="B12" s="168">
        <v>45668</v>
      </c>
      <c r="C12" s="178">
        <v>4671.1000000000004</v>
      </c>
      <c r="D12" s="170">
        <f>IFERROR(C12/VLOOKUP(A12,Usinas!$A:$B,2,FALSE()),"")</f>
        <v>6.6539886039886049</v>
      </c>
      <c r="F12" s="174">
        <f t="shared" si="3"/>
        <v>45931</v>
      </c>
      <c r="G12" s="174">
        <f>+F12+30</f>
        <v>45961</v>
      </c>
      <c r="H12" s="175">
        <f t="shared" si="0"/>
        <v>45931</v>
      </c>
      <c r="I12" s="176">
        <f t="shared" si="1"/>
        <v>95906.799999999988</v>
      </c>
      <c r="J12" s="176">
        <f t="shared" si="2"/>
        <v>95.90679999999999</v>
      </c>
    </row>
    <row r="13" spans="1:10" ht="15.75" customHeight="1" x14ac:dyDescent="0.3">
      <c r="A13" s="167" t="s">
        <v>364</v>
      </c>
      <c r="B13" s="168">
        <v>45669</v>
      </c>
      <c r="C13" s="178">
        <v>4211.8999999999996</v>
      </c>
      <c r="D13" s="170">
        <f>IFERROR(C13/VLOOKUP(A13,Usinas!$A:$B,2,FALSE()),"")</f>
        <v>5.9998575498575493</v>
      </c>
      <c r="F13" s="174">
        <f t="shared" si="3"/>
        <v>45962</v>
      </c>
      <c r="G13" s="174">
        <f>+F13+29</f>
        <v>45991</v>
      </c>
      <c r="H13" s="175">
        <f t="shared" si="0"/>
        <v>45962</v>
      </c>
      <c r="I13" s="176">
        <f t="shared" si="1"/>
        <v>107980.59999999998</v>
      </c>
      <c r="J13" s="176">
        <f t="shared" si="2"/>
        <v>107.98059999999998</v>
      </c>
    </row>
    <row r="14" spans="1:10" ht="15.75" customHeight="1" x14ac:dyDescent="0.3">
      <c r="A14" s="167" t="s">
        <v>364</v>
      </c>
      <c r="B14" s="168">
        <v>45670</v>
      </c>
      <c r="C14" s="178">
        <v>4327.1000000000004</v>
      </c>
      <c r="D14" s="170">
        <f>IFERROR(C14/VLOOKUP(A14,Usinas!$A:$B,2,FALSE()),"")</f>
        <v>6.1639601139601146</v>
      </c>
      <c r="F14" s="174">
        <f t="shared" si="3"/>
        <v>45992</v>
      </c>
      <c r="G14" s="174">
        <f>+F14+30</f>
        <v>46022</v>
      </c>
      <c r="H14" s="175">
        <f t="shared" si="0"/>
        <v>45992</v>
      </c>
      <c r="I14" s="176">
        <f t="shared" si="1"/>
        <v>106603.90000000001</v>
      </c>
      <c r="J14" s="176">
        <f t="shared" si="2"/>
        <v>106.60390000000001</v>
      </c>
    </row>
    <row r="15" spans="1:10" ht="15.75" customHeight="1" x14ac:dyDescent="0.3">
      <c r="A15" s="167" t="s">
        <v>364</v>
      </c>
      <c r="B15" s="168">
        <v>45671</v>
      </c>
      <c r="C15" s="178">
        <v>4370</v>
      </c>
      <c r="D15" s="170">
        <f>IFERROR(C15/VLOOKUP(A15,Usinas!$A:$B,2,FALSE()),"")</f>
        <v>6.2250712250712255</v>
      </c>
    </row>
    <row r="16" spans="1:10" ht="15.75" customHeight="1" x14ac:dyDescent="0.3">
      <c r="A16" s="167" t="s">
        <v>364</v>
      </c>
      <c r="B16" s="168">
        <v>45672</v>
      </c>
      <c r="C16" s="178">
        <v>4324</v>
      </c>
      <c r="D16" s="170">
        <f>IFERROR(C16/VLOOKUP(A16,Usinas!$A:$B,2,FALSE()),"")</f>
        <v>6.1595441595441596</v>
      </c>
    </row>
    <row r="17" spans="1:10" ht="15.75" customHeight="1" x14ac:dyDescent="0.3">
      <c r="A17" s="167" t="s">
        <v>364</v>
      </c>
      <c r="B17" s="168">
        <v>45673</v>
      </c>
      <c r="C17" s="178">
        <v>4173.6000000000004</v>
      </c>
      <c r="D17" s="170">
        <f>IFERROR(C17/VLOOKUP(A17,Usinas!$A:$B,2,FALSE()),"")</f>
        <v>5.9452991452991455</v>
      </c>
      <c r="J17" s="172"/>
    </row>
    <row r="18" spans="1:10" ht="12" customHeight="1" x14ac:dyDescent="0.3">
      <c r="A18" s="167" t="s">
        <v>364</v>
      </c>
      <c r="B18" s="168">
        <v>45674</v>
      </c>
      <c r="C18" s="178">
        <v>2490.4</v>
      </c>
      <c r="D18" s="170">
        <f>IFERROR(C18/VLOOKUP(A18,Usinas!$A:$B,2,FALSE()),"")</f>
        <v>3.5475783475783476</v>
      </c>
    </row>
    <row r="19" spans="1:10" ht="12" customHeight="1" x14ac:dyDescent="0.3">
      <c r="A19" s="167" t="s">
        <v>364</v>
      </c>
      <c r="B19" s="168">
        <v>45675</v>
      </c>
      <c r="C19" s="178">
        <v>2419.1</v>
      </c>
      <c r="D19" s="170">
        <f>IFERROR(C19/VLOOKUP(A19,Usinas!$A:$B,2,FALSE()),"")</f>
        <v>3.4460113960113961</v>
      </c>
    </row>
    <row r="20" spans="1:10" ht="12" customHeight="1" x14ac:dyDescent="0.3">
      <c r="A20" s="167" t="s">
        <v>364</v>
      </c>
      <c r="B20" s="168">
        <v>45676</v>
      </c>
      <c r="C20" s="178">
        <v>3206.2</v>
      </c>
      <c r="D20" s="170">
        <f>IFERROR(C20/VLOOKUP(A20,Usinas!$A:$B,2,FALSE()),"")</f>
        <v>4.5672364672364667</v>
      </c>
    </row>
    <row r="21" spans="1:10" ht="12" customHeight="1" x14ac:dyDescent="0.3">
      <c r="A21" s="167" t="s">
        <v>364</v>
      </c>
      <c r="B21" s="168">
        <v>45677</v>
      </c>
      <c r="C21" s="178">
        <v>2768</v>
      </c>
      <c r="D21" s="170">
        <f>IFERROR(C21/VLOOKUP(A21,Usinas!$A:$B,2,FALSE()),"")</f>
        <v>3.9430199430199431</v>
      </c>
    </row>
    <row r="22" spans="1:10" ht="12" customHeight="1" x14ac:dyDescent="0.3">
      <c r="A22" s="167" t="s">
        <v>364</v>
      </c>
      <c r="B22" s="168">
        <v>45678</v>
      </c>
      <c r="C22" s="178">
        <v>3998.4</v>
      </c>
      <c r="D22" s="170">
        <f>IFERROR(C22/VLOOKUP(A22,Usinas!$A:$B,2,FALSE()),"")</f>
        <v>5.6957264957264959</v>
      </c>
    </row>
    <row r="23" spans="1:10" ht="12" customHeight="1" x14ac:dyDescent="0.3">
      <c r="A23" s="167" t="s">
        <v>364</v>
      </c>
      <c r="B23" s="168">
        <v>45679</v>
      </c>
      <c r="C23" s="178">
        <v>2927.9</v>
      </c>
      <c r="D23" s="170">
        <f>IFERROR(C23/VLOOKUP(A23,Usinas!$A:$B,2,FALSE()),"")</f>
        <v>4.1707977207977205</v>
      </c>
    </row>
    <row r="24" spans="1:10" ht="12" customHeight="1" x14ac:dyDescent="0.3">
      <c r="A24" s="167" t="s">
        <v>364</v>
      </c>
      <c r="B24" s="168">
        <v>45680</v>
      </c>
      <c r="C24" s="178">
        <v>3035.9</v>
      </c>
      <c r="D24" s="170">
        <f>IFERROR(C24/VLOOKUP(A24,Usinas!$A:$B,2,FALSE()),"")</f>
        <v>4.3246438746438747</v>
      </c>
    </row>
    <row r="25" spans="1:10" ht="12" customHeight="1" x14ac:dyDescent="0.3">
      <c r="A25" s="167" t="s">
        <v>364</v>
      </c>
      <c r="B25" s="168">
        <v>45681</v>
      </c>
      <c r="C25" s="178">
        <v>4013.7</v>
      </c>
      <c r="D25" s="170">
        <f>IFERROR(C25/VLOOKUP(A25,Usinas!$A:$B,2,FALSE()),"")</f>
        <v>5.7175213675213676</v>
      </c>
    </row>
    <row r="26" spans="1:10" ht="12" customHeight="1" x14ac:dyDescent="0.3">
      <c r="A26" s="167" t="s">
        <v>364</v>
      </c>
      <c r="B26" s="168">
        <v>45682</v>
      </c>
      <c r="C26" s="178">
        <v>3852.9</v>
      </c>
      <c r="D26" s="170">
        <f>IFERROR(C26/VLOOKUP(A26,Usinas!$A:$B,2,FALSE()),"")</f>
        <v>5.4884615384615385</v>
      </c>
    </row>
    <row r="27" spans="1:10" ht="12" customHeight="1" x14ac:dyDescent="0.3">
      <c r="A27" s="167" t="s">
        <v>364</v>
      </c>
      <c r="B27" s="168">
        <v>45683</v>
      </c>
      <c r="C27" s="178">
        <v>4282.3999999999996</v>
      </c>
      <c r="D27" s="170">
        <f>IFERROR(C27/VLOOKUP(A27,Usinas!$A:$B,2,FALSE()),"")</f>
        <v>6.1002849002848993</v>
      </c>
    </row>
    <row r="28" spans="1:10" ht="12" customHeight="1" x14ac:dyDescent="0.3">
      <c r="A28" s="167" t="s">
        <v>364</v>
      </c>
      <c r="B28" s="168">
        <v>45684</v>
      </c>
      <c r="C28" s="178">
        <v>3431.7</v>
      </c>
      <c r="D28" s="170">
        <f>IFERROR(C28/VLOOKUP(A28,Usinas!$A:$B,2,FALSE()),"")</f>
        <v>4.888461538461538</v>
      </c>
    </row>
    <row r="29" spans="1:10" ht="12" customHeight="1" x14ac:dyDescent="0.3">
      <c r="A29" s="167" t="s">
        <v>364</v>
      </c>
      <c r="B29" s="168">
        <v>45685</v>
      </c>
      <c r="C29" s="178">
        <v>3218.8</v>
      </c>
      <c r="D29" s="170">
        <f>IFERROR(C29/VLOOKUP(A29,Usinas!$A:$B,2,FALSE()),"")</f>
        <v>4.5851851851851855</v>
      </c>
    </row>
    <row r="30" spans="1:10" ht="12" customHeight="1" x14ac:dyDescent="0.3">
      <c r="A30" s="167" t="s">
        <v>364</v>
      </c>
      <c r="B30" s="168">
        <v>45686</v>
      </c>
      <c r="C30" s="178">
        <v>3626.5</v>
      </c>
      <c r="D30" s="170">
        <f>IFERROR(C30/VLOOKUP(A30,Usinas!$A:$B,2,FALSE()),"")</f>
        <v>5.165954415954416</v>
      </c>
    </row>
    <row r="31" spans="1:10" ht="12" customHeight="1" x14ac:dyDescent="0.3">
      <c r="A31" s="167" t="s">
        <v>364</v>
      </c>
      <c r="B31" s="168">
        <v>45687</v>
      </c>
      <c r="C31" s="178">
        <v>3186.4</v>
      </c>
      <c r="D31" s="170">
        <f>IFERROR(C31/VLOOKUP(A31,Usinas!$A:$B,2,FALSE()),"")</f>
        <v>4.5390313390313395</v>
      </c>
    </row>
    <row r="32" spans="1:10" ht="12" customHeight="1" x14ac:dyDescent="0.3">
      <c r="A32" s="167" t="s">
        <v>364</v>
      </c>
      <c r="B32" s="168">
        <v>45688</v>
      </c>
      <c r="C32" s="178">
        <v>3657.9</v>
      </c>
      <c r="D32" s="170">
        <f>IFERROR(C32/VLOOKUP(A32,Usinas!$A:$B,2,FALSE()),"")</f>
        <v>5.2106837606837608</v>
      </c>
    </row>
    <row r="33" spans="1:31" ht="12" customHeight="1" x14ac:dyDescent="0.3">
      <c r="A33" s="167" t="s">
        <v>364</v>
      </c>
      <c r="B33" s="168">
        <v>45689</v>
      </c>
      <c r="C33" s="178">
        <v>3855.5</v>
      </c>
      <c r="D33" s="170">
        <f>IFERROR(C33/VLOOKUP(A33,Usinas!$A:$B,2,FALSE()),"")</f>
        <v>5.4921652421652425</v>
      </c>
      <c r="E33" s="179"/>
      <c r="F33" s="179"/>
      <c r="G33" s="179"/>
      <c r="H33" s="179"/>
      <c r="I33" s="179"/>
      <c r="J33" s="179"/>
      <c r="K33" s="179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9"/>
      <c r="X33" s="179"/>
      <c r="Y33" s="179"/>
      <c r="Z33" s="179"/>
      <c r="AA33" s="179"/>
      <c r="AB33" s="179"/>
      <c r="AC33" s="179"/>
      <c r="AD33" s="179"/>
      <c r="AE33" s="179"/>
    </row>
    <row r="34" spans="1:31" ht="12" customHeight="1" x14ac:dyDescent="0.3">
      <c r="A34" s="167" t="s">
        <v>364</v>
      </c>
      <c r="B34" s="168">
        <v>45690</v>
      </c>
      <c r="C34" s="178">
        <v>3846</v>
      </c>
      <c r="D34" s="170">
        <f>IFERROR(C34/VLOOKUP(A34,Usinas!$A:$B,2,FALSE()),"")</f>
        <v>5.4786324786324787</v>
      </c>
    </row>
    <row r="35" spans="1:31" ht="12" customHeight="1" x14ac:dyDescent="0.3">
      <c r="A35" s="167" t="s">
        <v>364</v>
      </c>
      <c r="B35" s="168">
        <v>45691</v>
      </c>
      <c r="C35" s="178">
        <v>3078.7</v>
      </c>
      <c r="D35" s="170">
        <f>IFERROR(C35/VLOOKUP(A35,Usinas!$A:$B,2,FALSE()),"")</f>
        <v>4.3856125356125357</v>
      </c>
    </row>
    <row r="36" spans="1:31" ht="12" customHeight="1" x14ac:dyDescent="0.3">
      <c r="A36" s="167" t="s">
        <v>364</v>
      </c>
      <c r="B36" s="168">
        <v>45692</v>
      </c>
      <c r="C36" s="178">
        <v>3740.2</v>
      </c>
      <c r="D36" s="170">
        <f>IFERROR(C36/VLOOKUP(A36,Usinas!$A:$B,2,FALSE()),"")</f>
        <v>5.3279202279202273</v>
      </c>
    </row>
    <row r="37" spans="1:31" ht="12" customHeight="1" x14ac:dyDescent="0.3">
      <c r="A37" s="167" t="s">
        <v>364</v>
      </c>
      <c r="B37" s="168">
        <v>45693</v>
      </c>
      <c r="C37" s="178">
        <v>2541.9</v>
      </c>
      <c r="D37" s="170">
        <f>IFERROR(C37/VLOOKUP(A37,Usinas!$A:$B,2,FALSE()),"")</f>
        <v>3.620940170940171</v>
      </c>
    </row>
    <row r="38" spans="1:31" ht="12" customHeight="1" x14ac:dyDescent="0.3">
      <c r="A38" s="167" t="s">
        <v>364</v>
      </c>
      <c r="B38" s="168">
        <v>45694</v>
      </c>
      <c r="C38" s="178">
        <v>2646.8</v>
      </c>
      <c r="D38" s="170">
        <f>IFERROR(C38/VLOOKUP(A38,Usinas!$A:$B,2,FALSE()),"")</f>
        <v>3.7703703703703706</v>
      </c>
    </row>
    <row r="39" spans="1:31" ht="12" customHeight="1" x14ac:dyDescent="0.3">
      <c r="A39" s="167" t="s">
        <v>364</v>
      </c>
      <c r="B39" s="168">
        <v>45695</v>
      </c>
      <c r="C39" s="178">
        <v>3204.3</v>
      </c>
      <c r="D39" s="170">
        <f>IFERROR(C39/VLOOKUP(A39,Usinas!$A:$B,2,FALSE()),"")</f>
        <v>4.5645299145299152</v>
      </c>
    </row>
    <row r="40" spans="1:31" ht="12" customHeight="1" x14ac:dyDescent="0.3">
      <c r="A40" s="167" t="s">
        <v>364</v>
      </c>
      <c r="B40" s="168">
        <v>45696</v>
      </c>
      <c r="C40" s="178">
        <v>4377.7</v>
      </c>
      <c r="D40" s="170">
        <f>IFERROR(C40/VLOOKUP(A40,Usinas!$A:$B,2,FALSE()),"")</f>
        <v>6.2360398860398858</v>
      </c>
    </row>
    <row r="41" spans="1:31" ht="12" customHeight="1" x14ac:dyDescent="0.3">
      <c r="A41" s="167" t="s">
        <v>364</v>
      </c>
      <c r="B41" s="168">
        <v>45697</v>
      </c>
      <c r="C41" s="178">
        <v>4464.1000000000004</v>
      </c>
      <c r="D41" s="170">
        <f>IFERROR(C41/VLOOKUP(A41,Usinas!$A:$B,2,FALSE()),"")</f>
        <v>6.3591168091168093</v>
      </c>
    </row>
    <row r="42" spans="1:31" ht="12" customHeight="1" x14ac:dyDescent="0.3">
      <c r="A42" s="167" t="s">
        <v>364</v>
      </c>
      <c r="B42" s="168">
        <v>45698</v>
      </c>
      <c r="C42" s="178">
        <v>4095</v>
      </c>
      <c r="D42" s="170">
        <f>IFERROR(C42/VLOOKUP(A42,Usinas!$A:$B,2,FALSE()),"")</f>
        <v>5.833333333333333</v>
      </c>
    </row>
    <row r="43" spans="1:31" ht="12" customHeight="1" x14ac:dyDescent="0.3">
      <c r="A43" s="167" t="s">
        <v>364</v>
      </c>
      <c r="B43" s="168">
        <v>45699</v>
      </c>
      <c r="C43" s="178">
        <v>4250.8999999999996</v>
      </c>
      <c r="D43" s="170">
        <f>IFERROR(C43/VLOOKUP(A43,Usinas!$A:$B,2,FALSE()),"")</f>
        <v>6.0554131054131046</v>
      </c>
    </row>
    <row r="44" spans="1:31" ht="12" customHeight="1" x14ac:dyDescent="0.3">
      <c r="A44" s="167" t="s">
        <v>364</v>
      </c>
      <c r="B44" s="168">
        <v>45700</v>
      </c>
      <c r="C44" s="178">
        <v>3496.6</v>
      </c>
      <c r="D44" s="170">
        <f>IFERROR(C44/VLOOKUP(A44,Usinas!$A:$B,2,FALSE()),"")</f>
        <v>4.9809116809116807</v>
      </c>
    </row>
    <row r="45" spans="1:31" ht="12" customHeight="1" x14ac:dyDescent="0.3">
      <c r="A45" s="167" t="s">
        <v>364</v>
      </c>
      <c r="B45" s="168">
        <v>45701</v>
      </c>
      <c r="C45" s="178">
        <v>3138.7</v>
      </c>
      <c r="D45" s="170">
        <f>IFERROR(C45/VLOOKUP(A45,Usinas!$A:$B,2,FALSE()),"")</f>
        <v>4.4710826210826209</v>
      </c>
    </row>
    <row r="46" spans="1:31" ht="12" customHeight="1" x14ac:dyDescent="0.3">
      <c r="A46" s="167" t="s">
        <v>364</v>
      </c>
      <c r="B46" s="168">
        <v>45702</v>
      </c>
      <c r="C46" s="178">
        <v>2945.6</v>
      </c>
      <c r="D46" s="170">
        <f>IFERROR(C46/VLOOKUP(A46,Usinas!$A:$B,2,FALSE()),"")</f>
        <v>4.1960113960113956</v>
      </c>
    </row>
    <row r="47" spans="1:31" ht="12" customHeight="1" x14ac:dyDescent="0.3">
      <c r="A47" s="167" t="s">
        <v>364</v>
      </c>
      <c r="B47" s="168">
        <v>45703</v>
      </c>
      <c r="C47" s="178">
        <v>3153.2</v>
      </c>
      <c r="D47" s="170">
        <f>IFERROR(C47/VLOOKUP(A47,Usinas!$A:$B,2,FALSE()),"")</f>
        <v>4.4917378917378912</v>
      </c>
    </row>
    <row r="48" spans="1:31" ht="12" customHeight="1" x14ac:dyDescent="0.3">
      <c r="A48" s="167" t="s">
        <v>364</v>
      </c>
      <c r="B48" s="168">
        <v>45704</v>
      </c>
      <c r="C48" s="178">
        <v>2817.5</v>
      </c>
      <c r="D48" s="170">
        <f>IFERROR(C48/VLOOKUP(A48,Usinas!$A:$B,2,FALSE()),"")</f>
        <v>4.0135327635327638</v>
      </c>
    </row>
    <row r="49" spans="1:34" ht="12" customHeight="1" x14ac:dyDescent="0.3">
      <c r="A49" s="167" t="s">
        <v>364</v>
      </c>
      <c r="B49" s="168">
        <v>45705</v>
      </c>
      <c r="C49" s="178">
        <v>4114.6000000000004</v>
      </c>
      <c r="D49" s="170">
        <f>IFERROR(C49/VLOOKUP(A49,Usinas!$A:$B,2,FALSE()),"")</f>
        <v>5.8612535612535615</v>
      </c>
    </row>
    <row r="50" spans="1:34" ht="12" customHeight="1" x14ac:dyDescent="0.3">
      <c r="A50" s="167" t="s">
        <v>364</v>
      </c>
      <c r="B50" s="168">
        <v>45706</v>
      </c>
      <c r="C50" s="178">
        <v>1056.3</v>
      </c>
      <c r="D50" s="170">
        <f>IFERROR(C50/VLOOKUP(A50,Usinas!$A:$B,2,FALSE()),"")</f>
        <v>1.5047008547008547</v>
      </c>
    </row>
    <row r="51" spans="1:34" ht="12" customHeight="1" x14ac:dyDescent="0.3">
      <c r="A51" s="167" t="s">
        <v>364</v>
      </c>
      <c r="B51" s="168">
        <v>45707</v>
      </c>
      <c r="C51" s="178">
        <v>3654.3</v>
      </c>
      <c r="D51" s="170">
        <f>IFERROR(C51/VLOOKUP(A51,Usinas!$A:$B,2,FALSE()),"")</f>
        <v>5.2055555555555557</v>
      </c>
    </row>
    <row r="52" spans="1:34" ht="12" customHeight="1" x14ac:dyDescent="0.3">
      <c r="A52" s="167" t="s">
        <v>364</v>
      </c>
      <c r="B52" s="168">
        <v>45708</v>
      </c>
      <c r="C52" s="178">
        <v>3036.9</v>
      </c>
      <c r="D52" s="170">
        <f>IFERROR(C52/VLOOKUP(A52,Usinas!$A:$B,2,FALSE()),"")</f>
        <v>4.3260683760683758</v>
      </c>
    </row>
    <row r="53" spans="1:34" ht="12" customHeight="1" x14ac:dyDescent="0.3">
      <c r="A53" s="167" t="s">
        <v>364</v>
      </c>
      <c r="B53" s="168">
        <v>45709</v>
      </c>
      <c r="C53" s="178">
        <v>3928.6</v>
      </c>
      <c r="D53" s="170">
        <f>IFERROR(C53/VLOOKUP(A53,Usinas!$A:$B,2,FALSE()),"")</f>
        <v>5.5962962962962965</v>
      </c>
    </row>
    <row r="54" spans="1:34" ht="12" customHeight="1" x14ac:dyDescent="0.3">
      <c r="A54" s="167" t="s">
        <v>364</v>
      </c>
      <c r="B54" s="168">
        <v>45710</v>
      </c>
      <c r="C54" s="178">
        <v>2911.3</v>
      </c>
      <c r="D54" s="170">
        <f>IFERROR(C54/VLOOKUP(A54,Usinas!$A:$B,2,FALSE()),"")</f>
        <v>4.1471509971509972</v>
      </c>
    </row>
    <row r="55" spans="1:34" ht="12" customHeight="1" x14ac:dyDescent="0.3">
      <c r="A55" s="167" t="s">
        <v>364</v>
      </c>
      <c r="B55" s="168">
        <v>45711</v>
      </c>
      <c r="C55" s="178">
        <v>3237.7</v>
      </c>
      <c r="D55" s="170">
        <f>IFERROR(C55/VLOOKUP(A55,Usinas!$A:$B,2,FALSE()),"")</f>
        <v>4.6121082621082614</v>
      </c>
    </row>
    <row r="56" spans="1:34" ht="12" customHeight="1" x14ac:dyDescent="0.3">
      <c r="A56" s="167" t="s">
        <v>364</v>
      </c>
      <c r="B56" s="168">
        <v>45712</v>
      </c>
      <c r="C56" s="178">
        <v>3049.2</v>
      </c>
      <c r="D56" s="170">
        <f>IFERROR(C56/VLOOKUP(A56,Usinas!$A:$B,2,FALSE()),"")</f>
        <v>4.3435897435897433</v>
      </c>
    </row>
    <row r="57" spans="1:34" ht="12" customHeight="1" x14ac:dyDescent="0.3">
      <c r="A57" s="167" t="s">
        <v>364</v>
      </c>
      <c r="B57" s="168">
        <v>45713</v>
      </c>
      <c r="C57" s="178">
        <v>2395.6</v>
      </c>
      <c r="D57" s="170">
        <f>IFERROR(C57/VLOOKUP(A57,Usinas!$A:$B,2,FALSE()),"")</f>
        <v>3.4125356125356126</v>
      </c>
    </row>
    <row r="58" spans="1:34" ht="12" customHeight="1" x14ac:dyDescent="0.3">
      <c r="A58" s="167" t="s">
        <v>364</v>
      </c>
      <c r="B58" s="168">
        <v>45714</v>
      </c>
      <c r="C58" s="178">
        <v>2219.8000000000002</v>
      </c>
      <c r="D58" s="170">
        <f>IFERROR(C58/VLOOKUP(A58,Usinas!$A:$B,2,FALSE()),"")</f>
        <v>3.1621082621082626</v>
      </c>
    </row>
    <row r="59" spans="1:34" ht="12" customHeight="1" x14ac:dyDescent="0.3">
      <c r="A59" s="167" t="s">
        <v>364</v>
      </c>
      <c r="B59" s="168">
        <v>45715</v>
      </c>
      <c r="C59" s="178">
        <v>2579.6999999999998</v>
      </c>
      <c r="D59" s="170">
        <f>IFERROR(C59/VLOOKUP(A59,Usinas!$A:$B,2,FALSE()),"")</f>
        <v>3.6747863247863246</v>
      </c>
    </row>
    <row r="60" spans="1:34" ht="12" customHeight="1" x14ac:dyDescent="0.3">
      <c r="A60" s="167" t="s">
        <v>364</v>
      </c>
      <c r="B60" s="168">
        <v>45716</v>
      </c>
      <c r="C60" s="178">
        <v>3295.2</v>
      </c>
      <c r="D60" s="170">
        <f>IFERROR(C60/VLOOKUP(A60,Usinas!$A:$B,2,FALSE()),"")</f>
        <v>4.6940170940170933</v>
      </c>
    </row>
    <row r="61" spans="1:34" ht="12" customHeight="1" x14ac:dyDescent="0.3">
      <c r="A61" s="167" t="s">
        <v>364</v>
      </c>
      <c r="B61" s="168">
        <v>45717</v>
      </c>
      <c r="C61" s="178">
        <v>4203.8</v>
      </c>
      <c r="D61" s="170">
        <f>IFERROR(C61/VLOOKUP(A61,Usinas!$A:$B,2,FALSE()),"")</f>
        <v>5.9883190883190887</v>
      </c>
      <c r="E61" s="179"/>
      <c r="F61" s="179"/>
      <c r="G61" s="179"/>
      <c r="H61" s="179"/>
      <c r="I61" s="179"/>
      <c r="J61" s="179"/>
      <c r="K61" s="179"/>
      <c r="L61" s="179"/>
      <c r="M61" s="179"/>
      <c r="N61" s="179"/>
      <c r="O61" s="179"/>
      <c r="P61" s="179"/>
      <c r="Q61" s="179"/>
      <c r="R61" s="179"/>
      <c r="S61" s="179"/>
      <c r="T61" s="179"/>
      <c r="U61" s="179"/>
      <c r="V61" s="179"/>
      <c r="W61" s="179"/>
      <c r="X61" s="179"/>
      <c r="Y61" s="179"/>
      <c r="Z61" s="179"/>
      <c r="AA61" s="179"/>
      <c r="AB61" s="179"/>
      <c r="AC61" s="179"/>
      <c r="AD61" s="179"/>
      <c r="AE61" s="179"/>
      <c r="AF61" s="179"/>
      <c r="AG61" s="179"/>
      <c r="AH61" s="179"/>
    </row>
    <row r="62" spans="1:34" ht="12" customHeight="1" x14ac:dyDescent="0.3">
      <c r="A62" s="167" t="s">
        <v>364</v>
      </c>
      <c r="B62" s="168">
        <v>45718</v>
      </c>
      <c r="C62" s="178">
        <v>3958.9</v>
      </c>
      <c r="D62" s="170">
        <f>IFERROR(C62/VLOOKUP(A62,Usinas!$A:$B,2,FALSE()),"")</f>
        <v>5.6394586894586896</v>
      </c>
    </row>
    <row r="63" spans="1:34" ht="12" customHeight="1" x14ac:dyDescent="0.3">
      <c r="A63" s="167" t="s">
        <v>364</v>
      </c>
      <c r="B63" s="168">
        <v>45719</v>
      </c>
      <c r="C63" s="178">
        <v>3609.2</v>
      </c>
      <c r="D63" s="170">
        <f>IFERROR(C63/VLOOKUP(A63,Usinas!$A:$B,2,FALSE()),"")</f>
        <v>5.1413105413105411</v>
      </c>
    </row>
    <row r="64" spans="1:34" ht="12" customHeight="1" x14ac:dyDescent="0.3">
      <c r="A64" s="167" t="s">
        <v>364</v>
      </c>
      <c r="B64" s="168">
        <v>45720</v>
      </c>
      <c r="C64" s="178">
        <v>4119.1000000000004</v>
      </c>
      <c r="D64" s="170">
        <f>IFERROR(C64/VLOOKUP(A64,Usinas!$A:$B,2,FALSE()),"")</f>
        <v>5.8676638176638178</v>
      </c>
    </row>
    <row r="65" spans="1:4" ht="12" customHeight="1" x14ac:dyDescent="0.3">
      <c r="A65" s="167" t="s">
        <v>364</v>
      </c>
      <c r="B65" s="168">
        <v>45721</v>
      </c>
      <c r="C65" s="178">
        <v>2576.9</v>
      </c>
      <c r="D65" s="170">
        <f>IFERROR(C65/VLOOKUP(A65,Usinas!$A:$B,2,FALSE()),"")</f>
        <v>3.6707977207977209</v>
      </c>
    </row>
    <row r="66" spans="1:4" ht="12" customHeight="1" x14ac:dyDescent="0.3">
      <c r="A66" s="167" t="s">
        <v>364</v>
      </c>
      <c r="B66" s="168">
        <v>45722</v>
      </c>
      <c r="C66" s="178">
        <v>2442.3000000000002</v>
      </c>
      <c r="D66" s="170">
        <f>IFERROR(C66/VLOOKUP(A66,Usinas!$A:$B,2,FALSE()),"")</f>
        <v>3.4790598290598291</v>
      </c>
    </row>
    <row r="67" spans="1:4" ht="12" customHeight="1" x14ac:dyDescent="0.3">
      <c r="A67" s="167" t="s">
        <v>364</v>
      </c>
      <c r="B67" s="168">
        <v>45723</v>
      </c>
      <c r="C67" s="178">
        <v>3737.1</v>
      </c>
      <c r="D67" s="170">
        <f>IFERROR(C67/VLOOKUP(A67,Usinas!$A:$B,2,FALSE()),"")</f>
        <v>5.3235042735042732</v>
      </c>
    </row>
    <row r="68" spans="1:4" ht="12" customHeight="1" x14ac:dyDescent="0.3">
      <c r="A68" s="167" t="s">
        <v>364</v>
      </c>
      <c r="B68" s="168">
        <v>45724</v>
      </c>
      <c r="C68" s="178">
        <v>4121.2</v>
      </c>
      <c r="D68" s="170">
        <f>IFERROR(C68/VLOOKUP(A68,Usinas!$A:$B,2,FALSE()),"")</f>
        <v>5.8706552706552708</v>
      </c>
    </row>
    <row r="69" spans="1:4" ht="12" customHeight="1" x14ac:dyDescent="0.3">
      <c r="A69" s="167" t="s">
        <v>364</v>
      </c>
      <c r="B69" s="168">
        <v>45725</v>
      </c>
      <c r="C69" s="178">
        <v>4111</v>
      </c>
      <c r="D69" s="170">
        <f>IFERROR(C69/VLOOKUP(A69,Usinas!$A:$B,2,FALSE()),"")</f>
        <v>5.8561253561253563</v>
      </c>
    </row>
    <row r="70" spans="1:4" ht="12" customHeight="1" x14ac:dyDescent="0.3">
      <c r="A70" s="167" t="s">
        <v>364</v>
      </c>
      <c r="B70" s="168">
        <v>45726</v>
      </c>
      <c r="C70" s="178">
        <v>3726.1</v>
      </c>
      <c r="D70" s="170">
        <f>IFERROR(C70/VLOOKUP(A70,Usinas!$A:$B,2,FALSE()),"")</f>
        <v>5.3078347578347573</v>
      </c>
    </row>
    <row r="71" spans="1:4" ht="12" customHeight="1" x14ac:dyDescent="0.3">
      <c r="A71" s="167" t="s">
        <v>364</v>
      </c>
      <c r="B71" s="168">
        <v>45727</v>
      </c>
      <c r="C71" s="178">
        <v>1349.2</v>
      </c>
      <c r="D71" s="170">
        <f>IFERROR(C71/VLOOKUP(A71,Usinas!$A:$B,2,FALSE()),"")</f>
        <v>1.9219373219373219</v>
      </c>
    </row>
    <row r="72" spans="1:4" ht="12" customHeight="1" x14ac:dyDescent="0.3">
      <c r="A72" s="167" t="s">
        <v>364</v>
      </c>
      <c r="B72" s="168">
        <v>45728</v>
      </c>
      <c r="C72" s="178">
        <v>2562.3000000000002</v>
      </c>
      <c r="D72" s="170">
        <f>IFERROR(C72/VLOOKUP(A72,Usinas!$A:$B,2,FALSE()),"")</f>
        <v>3.6500000000000004</v>
      </c>
    </row>
    <row r="73" spans="1:4" ht="12" customHeight="1" x14ac:dyDescent="0.3">
      <c r="A73" s="167" t="s">
        <v>364</v>
      </c>
      <c r="B73" s="168">
        <v>45729</v>
      </c>
      <c r="C73" s="178">
        <v>3111.8</v>
      </c>
      <c r="D73" s="170">
        <f>IFERROR(C73/VLOOKUP(A73,Usinas!$A:$B,2,FALSE()),"")</f>
        <v>4.4327635327635333</v>
      </c>
    </row>
    <row r="74" spans="1:4" ht="12" customHeight="1" x14ac:dyDescent="0.3">
      <c r="A74" s="167" t="s">
        <v>364</v>
      </c>
      <c r="B74" s="168">
        <v>45730</v>
      </c>
      <c r="C74" s="178">
        <v>3930.7</v>
      </c>
      <c r="D74" s="170">
        <f>IFERROR(C74/VLOOKUP(A74,Usinas!$A:$B,2,FALSE()),"")</f>
        <v>5.5992877492877486</v>
      </c>
    </row>
    <row r="75" spans="1:4" ht="12" customHeight="1" x14ac:dyDescent="0.3">
      <c r="A75" s="167" t="s">
        <v>364</v>
      </c>
      <c r="B75" s="168">
        <v>45731</v>
      </c>
      <c r="C75" s="178">
        <v>3917.5</v>
      </c>
      <c r="D75" s="170">
        <f>IFERROR(C75/VLOOKUP(A75,Usinas!$A:$B,2,FALSE()),"")</f>
        <v>5.5804843304843308</v>
      </c>
    </row>
    <row r="76" spans="1:4" ht="12" customHeight="1" x14ac:dyDescent="0.3">
      <c r="A76" s="167" t="s">
        <v>364</v>
      </c>
      <c r="B76" s="168">
        <v>45732</v>
      </c>
      <c r="C76" s="178">
        <v>3963.9</v>
      </c>
      <c r="D76" s="170">
        <f>IFERROR(C76/VLOOKUP(A76,Usinas!$A:$B,2,FALSE()),"")</f>
        <v>5.6465811965811969</v>
      </c>
    </row>
    <row r="77" spans="1:4" ht="12" customHeight="1" x14ac:dyDescent="0.3">
      <c r="A77" s="167" t="s">
        <v>364</v>
      </c>
      <c r="B77" s="168">
        <v>45733</v>
      </c>
      <c r="C77" s="178">
        <v>3910.4</v>
      </c>
      <c r="D77" s="170">
        <f>IFERROR(C77/VLOOKUP(A77,Usinas!$A:$B,2,FALSE()),"")</f>
        <v>5.5703703703703704</v>
      </c>
    </row>
    <row r="78" spans="1:4" ht="12" customHeight="1" x14ac:dyDescent="0.3">
      <c r="A78" s="167" t="s">
        <v>364</v>
      </c>
      <c r="B78" s="168">
        <v>45734</v>
      </c>
      <c r="C78" s="178">
        <v>2651.6</v>
      </c>
      <c r="D78" s="170">
        <f>IFERROR(C78/VLOOKUP(A78,Usinas!$A:$B,2,FALSE()),"")</f>
        <v>3.777207977207977</v>
      </c>
    </row>
    <row r="79" spans="1:4" ht="12" customHeight="1" x14ac:dyDescent="0.3">
      <c r="A79" s="167" t="s">
        <v>364</v>
      </c>
      <c r="B79" s="168">
        <v>45735</v>
      </c>
      <c r="C79" s="178">
        <v>3971.5</v>
      </c>
      <c r="D79" s="170">
        <f>IFERROR(C79/VLOOKUP(A79,Usinas!$A:$B,2,FALSE()),"")</f>
        <v>5.6574074074074074</v>
      </c>
    </row>
    <row r="80" spans="1:4" ht="12" customHeight="1" x14ac:dyDescent="0.3">
      <c r="A80" s="167" t="s">
        <v>364</v>
      </c>
      <c r="B80" s="168">
        <v>45736</v>
      </c>
      <c r="C80" s="178">
        <v>4129.2</v>
      </c>
      <c r="D80" s="170">
        <f>IFERROR(C80/VLOOKUP(A80,Usinas!$A:$B,2,FALSE()),"")</f>
        <v>5.8820512820512816</v>
      </c>
    </row>
    <row r="81" spans="1:33" ht="12" customHeight="1" x14ac:dyDescent="0.3">
      <c r="A81" s="167" t="s">
        <v>364</v>
      </c>
      <c r="B81" s="168">
        <v>45737</v>
      </c>
      <c r="C81" s="178">
        <v>4286.5</v>
      </c>
      <c r="D81" s="170">
        <f>IFERROR(C81/VLOOKUP(A81,Usinas!$A:$B,2,FALSE()),"")</f>
        <v>6.1061253561253563</v>
      </c>
    </row>
    <row r="82" spans="1:33" ht="12" customHeight="1" x14ac:dyDescent="0.3">
      <c r="A82" s="167" t="s">
        <v>364</v>
      </c>
      <c r="B82" s="168">
        <v>45738</v>
      </c>
      <c r="C82" s="178">
        <v>3255.5</v>
      </c>
      <c r="D82" s="170">
        <f>IFERROR(C82/VLOOKUP(A82,Usinas!$A:$B,2,FALSE()),"")</f>
        <v>4.6374643874643873</v>
      </c>
    </row>
    <row r="83" spans="1:33" ht="12" customHeight="1" x14ac:dyDescent="0.3">
      <c r="A83" s="167" t="s">
        <v>364</v>
      </c>
      <c r="B83" s="168">
        <v>45739</v>
      </c>
      <c r="C83" s="178">
        <v>2573.9</v>
      </c>
      <c r="D83" s="170">
        <f>IFERROR(C83/VLOOKUP(A83,Usinas!$A:$B,2,FALSE()),"")</f>
        <v>3.6665242165242167</v>
      </c>
    </row>
    <row r="84" spans="1:33" ht="12" customHeight="1" x14ac:dyDescent="0.3">
      <c r="A84" s="167" t="s">
        <v>364</v>
      </c>
      <c r="B84" s="168">
        <v>45740</v>
      </c>
      <c r="C84" s="178">
        <v>3596.5</v>
      </c>
      <c r="D84" s="170">
        <f>IFERROR(C84/VLOOKUP(A84,Usinas!$A:$B,2,FALSE()),"")</f>
        <v>5.1232193732193734</v>
      </c>
    </row>
    <row r="85" spans="1:33" ht="12" customHeight="1" x14ac:dyDescent="0.3">
      <c r="A85" s="167" t="s">
        <v>364</v>
      </c>
      <c r="B85" s="168">
        <v>45741</v>
      </c>
      <c r="C85" s="178">
        <v>3226.1</v>
      </c>
      <c r="D85" s="170">
        <f>IFERROR(C85/VLOOKUP(A85,Usinas!$A:$B,2,FALSE()),"")</f>
        <v>4.5955840455840455</v>
      </c>
    </row>
    <row r="86" spans="1:33" ht="12" customHeight="1" x14ac:dyDescent="0.3">
      <c r="A86" s="167" t="s">
        <v>364</v>
      </c>
      <c r="B86" s="168">
        <v>45742</v>
      </c>
      <c r="C86" s="178">
        <v>3460.2</v>
      </c>
      <c r="D86" s="170">
        <f>IFERROR(C86/VLOOKUP(A86,Usinas!$A:$B,2,FALSE()),"")</f>
        <v>4.9290598290598284</v>
      </c>
    </row>
    <row r="87" spans="1:33" ht="12" customHeight="1" x14ac:dyDescent="0.3">
      <c r="A87" s="167" t="s">
        <v>364</v>
      </c>
      <c r="B87" s="168">
        <v>45743</v>
      </c>
      <c r="C87" s="178">
        <v>3792</v>
      </c>
      <c r="D87" s="170">
        <f>IFERROR(C87/VLOOKUP(A87,Usinas!$A:$B,2,FALSE()),"")</f>
        <v>5.4017094017094021</v>
      </c>
    </row>
    <row r="88" spans="1:33" ht="12" customHeight="1" x14ac:dyDescent="0.3">
      <c r="A88" s="167" t="s">
        <v>364</v>
      </c>
      <c r="B88" s="168">
        <v>45744</v>
      </c>
      <c r="C88" s="178">
        <v>3459.4</v>
      </c>
      <c r="D88" s="170">
        <f>IFERROR(C88/VLOOKUP(A88,Usinas!$A:$B,2,FALSE()),"")</f>
        <v>4.9279202279202279</v>
      </c>
    </row>
    <row r="89" spans="1:33" ht="12" customHeight="1" x14ac:dyDescent="0.3">
      <c r="A89" s="167" t="s">
        <v>364</v>
      </c>
      <c r="B89" s="168">
        <v>45745</v>
      </c>
      <c r="C89" s="178">
        <v>1523.2</v>
      </c>
      <c r="D89" s="170">
        <f>IFERROR(C89/VLOOKUP(A89,Usinas!$A:$B,2,FALSE()),"")</f>
        <v>2.1698005698005698</v>
      </c>
    </row>
    <row r="90" spans="1:33" ht="12" customHeight="1" x14ac:dyDescent="0.3">
      <c r="A90" s="167" t="s">
        <v>364</v>
      </c>
      <c r="B90" s="168">
        <v>45746</v>
      </c>
      <c r="C90" s="178">
        <v>1812.9</v>
      </c>
      <c r="D90" s="170">
        <f>IFERROR(C90/VLOOKUP(A90,Usinas!$A:$B,2,FALSE()),"")</f>
        <v>2.5824786324786326</v>
      </c>
    </row>
    <row r="91" spans="1:33" ht="12" customHeight="1" x14ac:dyDescent="0.3">
      <c r="A91" s="167" t="s">
        <v>364</v>
      </c>
      <c r="B91" s="168">
        <v>45747</v>
      </c>
      <c r="C91" s="178">
        <v>1972</v>
      </c>
      <c r="D91" s="170">
        <f>IFERROR(C91/VLOOKUP(A91,Usinas!$A:$B,2,FALSE()),"")</f>
        <v>2.8091168091168091</v>
      </c>
    </row>
    <row r="92" spans="1:33" ht="12" customHeight="1" x14ac:dyDescent="0.3">
      <c r="A92" s="167" t="s">
        <v>364</v>
      </c>
      <c r="B92" s="168">
        <v>45748</v>
      </c>
      <c r="C92" s="178">
        <v>2652</v>
      </c>
      <c r="D92" s="170">
        <f>IFERROR(C92/VLOOKUP(A92,Usinas!$A:$B,2,FALSE()),"")</f>
        <v>3.7777777777777777</v>
      </c>
      <c r="E92" s="179"/>
      <c r="F92" s="179"/>
      <c r="G92" s="179"/>
      <c r="H92" s="179"/>
      <c r="I92" s="179"/>
      <c r="J92" s="179"/>
      <c r="K92" s="179"/>
      <c r="L92" s="179"/>
      <c r="M92" s="179"/>
      <c r="N92" s="179"/>
      <c r="O92" s="179"/>
      <c r="P92" s="179"/>
      <c r="Q92" s="179"/>
      <c r="R92" s="179"/>
      <c r="S92" s="179"/>
      <c r="T92" s="179"/>
      <c r="U92" s="179"/>
      <c r="V92" s="179"/>
      <c r="W92" s="179"/>
      <c r="X92" s="179"/>
      <c r="Y92" s="179"/>
      <c r="Z92" s="179"/>
      <c r="AA92" s="179"/>
      <c r="AB92" s="179"/>
      <c r="AC92" s="179"/>
      <c r="AD92" s="179"/>
      <c r="AE92" s="179"/>
      <c r="AF92" s="179"/>
      <c r="AG92" s="179"/>
    </row>
    <row r="93" spans="1:33" ht="12" customHeight="1" x14ac:dyDescent="0.3">
      <c r="A93" s="167" t="s">
        <v>364</v>
      </c>
      <c r="B93" s="168">
        <v>45749</v>
      </c>
      <c r="C93" s="178">
        <v>2475</v>
      </c>
      <c r="D93" s="170">
        <f>IFERROR(C93/VLOOKUP(A93,Usinas!$A:$B,2,FALSE()),"")</f>
        <v>3.5256410256410255</v>
      </c>
    </row>
    <row r="94" spans="1:33" ht="12" customHeight="1" x14ac:dyDescent="0.3">
      <c r="A94" s="167" t="s">
        <v>364</v>
      </c>
      <c r="B94" s="168">
        <v>45750</v>
      </c>
      <c r="C94" s="178">
        <v>3413.1</v>
      </c>
      <c r="D94" s="170">
        <f>IFERROR(C94/VLOOKUP(A94,Usinas!$A:$B,2,FALSE()),"")</f>
        <v>4.8619658119658116</v>
      </c>
    </row>
    <row r="95" spans="1:33" ht="12" customHeight="1" x14ac:dyDescent="0.3">
      <c r="A95" s="167" t="s">
        <v>364</v>
      </c>
      <c r="B95" s="168">
        <v>45751</v>
      </c>
      <c r="C95" s="178">
        <v>3680.4</v>
      </c>
      <c r="D95" s="170">
        <f>IFERROR(C95/VLOOKUP(A95,Usinas!$A:$B,2,FALSE()),"")</f>
        <v>5.2427350427350428</v>
      </c>
    </row>
    <row r="96" spans="1:33" ht="12" customHeight="1" x14ac:dyDescent="0.3">
      <c r="A96" s="167" t="s">
        <v>364</v>
      </c>
      <c r="B96" s="168">
        <v>45752</v>
      </c>
      <c r="C96" s="178">
        <v>3348.1</v>
      </c>
      <c r="D96" s="170">
        <f>IFERROR(C96/VLOOKUP(A96,Usinas!$A:$B,2,FALSE()),"")</f>
        <v>4.769373219373219</v>
      </c>
    </row>
    <row r="97" spans="1:4" ht="12" customHeight="1" x14ac:dyDescent="0.3">
      <c r="A97" s="167" t="s">
        <v>364</v>
      </c>
      <c r="B97" s="168">
        <v>45753</v>
      </c>
      <c r="C97" s="178">
        <v>4070.8</v>
      </c>
      <c r="D97" s="170">
        <f>IFERROR(C97/VLOOKUP(A97,Usinas!$A:$B,2,FALSE()),"")</f>
        <v>5.7988603988603993</v>
      </c>
    </row>
    <row r="98" spans="1:4" ht="12" customHeight="1" x14ac:dyDescent="0.3">
      <c r="A98" s="167" t="s">
        <v>364</v>
      </c>
      <c r="B98" s="168">
        <v>45754</v>
      </c>
      <c r="C98" s="178">
        <v>3669.5</v>
      </c>
      <c r="D98" s="170">
        <f>IFERROR(C98/VLOOKUP(A98,Usinas!$A:$B,2,FALSE()),"")</f>
        <v>5.2272079772079776</v>
      </c>
    </row>
    <row r="99" spans="1:4" ht="12" customHeight="1" x14ac:dyDescent="0.3">
      <c r="A99" s="167" t="s">
        <v>364</v>
      </c>
      <c r="B99" s="168">
        <v>45755</v>
      </c>
      <c r="C99" s="178">
        <v>3131.1</v>
      </c>
      <c r="D99" s="170">
        <f>IFERROR(C99/VLOOKUP(A99,Usinas!$A:$B,2,FALSE()),"")</f>
        <v>4.4602564102564104</v>
      </c>
    </row>
    <row r="100" spans="1:4" ht="12" customHeight="1" x14ac:dyDescent="0.3">
      <c r="A100" s="167" t="s">
        <v>364</v>
      </c>
      <c r="B100" s="168">
        <v>45756</v>
      </c>
      <c r="C100" s="178">
        <v>1914.9</v>
      </c>
      <c r="D100" s="170">
        <f>IFERROR(C100/VLOOKUP(A100,Usinas!$A:$B,2,FALSE()),"")</f>
        <v>2.7277777777777779</v>
      </c>
    </row>
    <row r="101" spans="1:4" ht="12" customHeight="1" x14ac:dyDescent="0.3">
      <c r="A101" s="167" t="s">
        <v>364</v>
      </c>
      <c r="B101" s="168">
        <v>45757</v>
      </c>
      <c r="C101" s="178">
        <v>3132</v>
      </c>
      <c r="D101" s="170">
        <f>IFERROR(C101/VLOOKUP(A101,Usinas!$A:$B,2,FALSE()),"")</f>
        <v>4.4615384615384617</v>
      </c>
    </row>
    <row r="102" spans="1:4" ht="12" customHeight="1" x14ac:dyDescent="0.3">
      <c r="A102" s="167" t="s">
        <v>364</v>
      </c>
      <c r="B102" s="168">
        <v>45758</v>
      </c>
      <c r="C102" s="178">
        <v>3136.8</v>
      </c>
      <c r="D102" s="170">
        <f>IFERROR(C102/VLOOKUP(A102,Usinas!$A:$B,2,FALSE()),"")</f>
        <v>4.4683760683760685</v>
      </c>
    </row>
    <row r="103" spans="1:4" ht="12" customHeight="1" x14ac:dyDescent="0.3">
      <c r="A103" s="167" t="s">
        <v>364</v>
      </c>
      <c r="B103" s="168">
        <v>45759</v>
      </c>
      <c r="C103" s="178">
        <v>1323.1</v>
      </c>
      <c r="D103" s="170">
        <f>IFERROR(C103/VLOOKUP(A103,Usinas!$A:$B,2,FALSE()),"")</f>
        <v>1.8847578347578346</v>
      </c>
    </row>
    <row r="104" spans="1:4" ht="12" customHeight="1" x14ac:dyDescent="0.3">
      <c r="A104" s="167" t="s">
        <v>364</v>
      </c>
      <c r="B104" s="168">
        <v>45760</v>
      </c>
      <c r="C104" s="178">
        <v>1943.3</v>
      </c>
      <c r="D104" s="170">
        <f>IFERROR(C104/VLOOKUP(A104,Usinas!$A:$B,2,FALSE()),"")</f>
        <v>2.768233618233618</v>
      </c>
    </row>
    <row r="105" spans="1:4" ht="12" customHeight="1" x14ac:dyDescent="0.3">
      <c r="A105" s="167" t="s">
        <v>364</v>
      </c>
      <c r="B105" s="168">
        <v>45761</v>
      </c>
      <c r="C105" s="178">
        <v>2349</v>
      </c>
      <c r="D105" s="170">
        <f>IFERROR(C105/VLOOKUP(A105,Usinas!$A:$B,2,FALSE()),"")</f>
        <v>3.3461538461538463</v>
      </c>
    </row>
    <row r="106" spans="1:4" ht="12" customHeight="1" x14ac:dyDescent="0.3">
      <c r="A106" s="167" t="s">
        <v>364</v>
      </c>
      <c r="B106" s="168">
        <v>45762</v>
      </c>
      <c r="C106" s="178">
        <v>1817.5</v>
      </c>
      <c r="D106" s="170">
        <f>IFERROR(C106/VLOOKUP(A106,Usinas!$A:$B,2,FALSE()),"")</f>
        <v>2.5890313390313389</v>
      </c>
    </row>
    <row r="107" spans="1:4" ht="12" customHeight="1" x14ac:dyDescent="0.3">
      <c r="A107" s="167" t="s">
        <v>364</v>
      </c>
      <c r="B107" s="168">
        <v>45763</v>
      </c>
      <c r="C107" s="178">
        <v>1499.7</v>
      </c>
      <c r="D107" s="170">
        <f>IFERROR(C107/VLOOKUP(A107,Usinas!$A:$B,2,FALSE()),"")</f>
        <v>2.1363247863247863</v>
      </c>
    </row>
    <row r="108" spans="1:4" ht="12" customHeight="1" x14ac:dyDescent="0.3">
      <c r="A108" s="167" t="s">
        <v>364</v>
      </c>
      <c r="B108" s="168">
        <v>45764</v>
      </c>
      <c r="C108" s="178">
        <v>1911.2</v>
      </c>
      <c r="D108" s="170">
        <f>IFERROR(C108/VLOOKUP(A108,Usinas!$A:$B,2,FALSE()),"")</f>
        <v>2.7225071225071225</v>
      </c>
    </row>
    <row r="109" spans="1:4" ht="12" customHeight="1" x14ac:dyDescent="0.3">
      <c r="A109" s="167" t="s">
        <v>364</v>
      </c>
      <c r="B109" s="168">
        <v>45765</v>
      </c>
      <c r="C109" s="178">
        <v>696.1</v>
      </c>
      <c r="D109" s="170">
        <f>IFERROR(C109/VLOOKUP(A109,Usinas!$A:$B,2,FALSE()),"")</f>
        <v>0.99159544159544166</v>
      </c>
    </row>
    <row r="110" spans="1:4" ht="12" customHeight="1" x14ac:dyDescent="0.3">
      <c r="A110" s="167" t="s">
        <v>364</v>
      </c>
      <c r="B110" s="168">
        <v>45766</v>
      </c>
      <c r="C110" s="178">
        <v>1301.3</v>
      </c>
      <c r="D110" s="170">
        <f>IFERROR(C110/VLOOKUP(A110,Usinas!$A:$B,2,FALSE()),"")</f>
        <v>1.8537037037037036</v>
      </c>
    </row>
    <row r="111" spans="1:4" ht="12" customHeight="1" x14ac:dyDescent="0.3">
      <c r="A111" s="167" t="s">
        <v>364</v>
      </c>
      <c r="B111" s="168">
        <v>45767</v>
      </c>
      <c r="C111" s="178">
        <v>1834.3</v>
      </c>
      <c r="D111" s="170">
        <f>IFERROR(C111/VLOOKUP(A111,Usinas!$A:$B,2,FALSE()),"")</f>
        <v>2.6129629629629627</v>
      </c>
    </row>
    <row r="112" spans="1:4" ht="12" customHeight="1" x14ac:dyDescent="0.3">
      <c r="A112" s="167" t="s">
        <v>364</v>
      </c>
      <c r="B112" s="168">
        <v>45768</v>
      </c>
      <c r="C112" s="178">
        <v>3301.1</v>
      </c>
      <c r="D112" s="170">
        <f>IFERROR(C112/VLOOKUP(A112,Usinas!$A:$B,2,FALSE()),"")</f>
        <v>4.702421652421652</v>
      </c>
    </row>
    <row r="113" spans="1:34" ht="12" customHeight="1" x14ac:dyDescent="0.3">
      <c r="A113" s="167" t="s">
        <v>364</v>
      </c>
      <c r="B113" s="168">
        <v>45769</v>
      </c>
      <c r="C113" s="178">
        <v>3274.9</v>
      </c>
      <c r="D113" s="170">
        <f>IFERROR(C113/VLOOKUP(A113,Usinas!$A:$B,2,FALSE()),"")</f>
        <v>4.6650997150997151</v>
      </c>
    </row>
    <row r="114" spans="1:34" ht="12" customHeight="1" x14ac:dyDescent="0.3">
      <c r="A114" s="167" t="s">
        <v>364</v>
      </c>
      <c r="B114" s="168">
        <v>45770</v>
      </c>
      <c r="C114" s="178">
        <v>3091.6</v>
      </c>
      <c r="D114" s="170">
        <f>IFERROR(C114/VLOOKUP(A114,Usinas!$A:$B,2,FALSE()),"")</f>
        <v>4.403988603988604</v>
      </c>
    </row>
    <row r="115" spans="1:34" ht="12" customHeight="1" x14ac:dyDescent="0.3">
      <c r="A115" s="167" t="s">
        <v>364</v>
      </c>
      <c r="B115" s="168">
        <v>45771</v>
      </c>
      <c r="C115" s="178">
        <v>445.1</v>
      </c>
      <c r="D115" s="170">
        <f>IFERROR(C115/VLOOKUP(A115,Usinas!$A:$B,2,FALSE()),"")</f>
        <v>0.63404558404558409</v>
      </c>
    </row>
    <row r="116" spans="1:34" ht="12" customHeight="1" x14ac:dyDescent="0.3">
      <c r="A116" s="167" t="s">
        <v>364</v>
      </c>
      <c r="B116" s="168">
        <v>45772</v>
      </c>
      <c r="C116" s="178">
        <v>1551.6</v>
      </c>
      <c r="D116" s="170">
        <f>IFERROR(C116/VLOOKUP(A116,Usinas!$A:$B,2,FALSE()),"")</f>
        <v>2.21025641025641</v>
      </c>
    </row>
    <row r="117" spans="1:34" ht="12" customHeight="1" x14ac:dyDescent="0.3">
      <c r="A117" s="167" t="s">
        <v>364</v>
      </c>
      <c r="B117" s="168">
        <v>45773</v>
      </c>
      <c r="C117" s="178">
        <v>2181.8000000000002</v>
      </c>
      <c r="D117" s="170">
        <f>IFERROR(C117/VLOOKUP(A117,Usinas!$A:$B,2,FALSE()),"")</f>
        <v>3.1079772079772083</v>
      </c>
    </row>
    <row r="118" spans="1:34" ht="12" customHeight="1" x14ac:dyDescent="0.3">
      <c r="A118" s="167" t="s">
        <v>364</v>
      </c>
      <c r="B118" s="168">
        <v>45774</v>
      </c>
      <c r="C118" s="178">
        <v>1594.1</v>
      </c>
      <c r="D118" s="170">
        <f>IFERROR(C118/VLOOKUP(A118,Usinas!$A:$B,2,FALSE()),"")</f>
        <v>2.2707977207977206</v>
      </c>
    </row>
    <row r="119" spans="1:34" ht="12" customHeight="1" x14ac:dyDescent="0.3">
      <c r="A119" s="167" t="s">
        <v>364</v>
      </c>
      <c r="B119" s="168">
        <v>45775</v>
      </c>
      <c r="C119" s="178">
        <v>1632.6</v>
      </c>
      <c r="D119" s="170">
        <f>IFERROR(C119/VLOOKUP(A119,Usinas!$A:$B,2,FALSE()),"")</f>
        <v>2.3256410256410254</v>
      </c>
    </row>
    <row r="120" spans="1:34" ht="12" customHeight="1" x14ac:dyDescent="0.3">
      <c r="A120" s="167" t="s">
        <v>364</v>
      </c>
      <c r="B120" s="168">
        <v>45776</v>
      </c>
      <c r="C120" s="178">
        <v>3937.7</v>
      </c>
      <c r="D120" s="170">
        <f>IFERROR(C120/VLOOKUP(A120,Usinas!$A:$B,2,FALSE()),"")</f>
        <v>5.6092592592592592</v>
      </c>
    </row>
    <row r="121" spans="1:34" ht="12" customHeight="1" x14ac:dyDescent="0.3">
      <c r="A121" s="167" t="s">
        <v>364</v>
      </c>
      <c r="B121" s="168">
        <v>45777</v>
      </c>
      <c r="C121" s="178">
        <v>3400</v>
      </c>
      <c r="D121" s="170">
        <f>IFERROR(C121/VLOOKUP(A121,Usinas!$A:$B,2,FALSE()),"")</f>
        <v>4.8433048433048436</v>
      </c>
    </row>
    <row r="122" spans="1:34" ht="12" customHeight="1" x14ac:dyDescent="0.3">
      <c r="A122" s="167" t="s">
        <v>364</v>
      </c>
      <c r="B122" s="168">
        <v>45778</v>
      </c>
      <c r="C122" s="178">
        <v>3839.7</v>
      </c>
      <c r="D122" s="170">
        <f>IFERROR(C122/VLOOKUP(A122,Usinas!$A:$B,2,FALSE()),"")</f>
        <v>5.4696581196581198</v>
      </c>
      <c r="E122" s="179"/>
      <c r="F122" s="179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179"/>
      <c r="Z122" s="179"/>
      <c r="AA122" s="179"/>
      <c r="AB122" s="179"/>
      <c r="AC122" s="179"/>
      <c r="AD122" s="179"/>
      <c r="AE122" s="179"/>
      <c r="AF122" s="179"/>
      <c r="AG122" s="179"/>
      <c r="AH122" s="179"/>
    </row>
    <row r="123" spans="1:34" ht="12" customHeight="1" x14ac:dyDescent="0.3">
      <c r="A123" s="167" t="s">
        <v>364</v>
      </c>
      <c r="B123" s="168">
        <v>45779</v>
      </c>
      <c r="C123" s="178">
        <v>3601.4</v>
      </c>
      <c r="D123" s="170">
        <f>IFERROR(C123/VLOOKUP(A123,Usinas!$A:$B,2,FALSE()),"")</f>
        <v>5.13019943019943</v>
      </c>
    </row>
    <row r="124" spans="1:34" ht="12" customHeight="1" x14ac:dyDescent="0.3">
      <c r="A124" s="167" t="s">
        <v>364</v>
      </c>
      <c r="B124" s="168">
        <v>45780</v>
      </c>
      <c r="C124" s="178">
        <v>2338.6</v>
      </c>
      <c r="D124" s="170">
        <f>IFERROR(C124/VLOOKUP(A124,Usinas!$A:$B,2,FALSE()),"")</f>
        <v>3.3313390313390312</v>
      </c>
    </row>
    <row r="125" spans="1:34" ht="12" customHeight="1" x14ac:dyDescent="0.3">
      <c r="A125" s="167" t="s">
        <v>364</v>
      </c>
      <c r="B125" s="168">
        <v>45781</v>
      </c>
      <c r="C125" s="178">
        <v>3654.9</v>
      </c>
      <c r="D125" s="170">
        <f>IFERROR(C125/VLOOKUP(A125,Usinas!$A:$B,2,FALSE()),"")</f>
        <v>5.2064102564102566</v>
      </c>
    </row>
    <row r="126" spans="1:34" ht="12" customHeight="1" x14ac:dyDescent="0.3">
      <c r="A126" s="167" t="s">
        <v>364</v>
      </c>
      <c r="B126" s="168">
        <v>45782</v>
      </c>
      <c r="C126" s="178">
        <v>2196.6</v>
      </c>
      <c r="D126" s="170">
        <f>IFERROR(C126/VLOOKUP(A126,Usinas!$A:$B,2,FALSE()),"")</f>
        <v>3.129059829059829</v>
      </c>
    </row>
    <row r="127" spans="1:34" ht="12" customHeight="1" x14ac:dyDescent="0.3">
      <c r="A127" s="167" t="s">
        <v>364</v>
      </c>
      <c r="B127" s="168">
        <v>45783</v>
      </c>
      <c r="C127" s="178">
        <v>3133.7</v>
      </c>
      <c r="D127" s="170">
        <f>IFERROR(C127/VLOOKUP(A127,Usinas!$A:$B,2,FALSE()),"")</f>
        <v>4.4639601139601135</v>
      </c>
    </row>
    <row r="128" spans="1:34" ht="12" customHeight="1" x14ac:dyDescent="0.3">
      <c r="A128" s="167" t="s">
        <v>364</v>
      </c>
      <c r="B128" s="168">
        <v>45784</v>
      </c>
      <c r="C128" s="178">
        <v>2426.1999999999998</v>
      </c>
      <c r="D128" s="170">
        <f>IFERROR(C128/VLOOKUP(A128,Usinas!$A:$B,2,FALSE()),"")</f>
        <v>3.456125356125356</v>
      </c>
    </row>
    <row r="129" spans="1:4" ht="12" customHeight="1" x14ac:dyDescent="0.3">
      <c r="A129" s="167" t="s">
        <v>364</v>
      </c>
      <c r="B129" s="168">
        <v>45785</v>
      </c>
      <c r="C129" s="178">
        <v>3420.1</v>
      </c>
      <c r="D129" s="170">
        <f>IFERROR(C129/VLOOKUP(A129,Usinas!$A:$B,2,FALSE()),"")</f>
        <v>4.8719373219373221</v>
      </c>
    </row>
    <row r="130" spans="1:4" ht="12" customHeight="1" x14ac:dyDescent="0.3">
      <c r="A130" s="167" t="s">
        <v>364</v>
      </c>
      <c r="B130" s="168">
        <v>45786</v>
      </c>
      <c r="C130" s="178">
        <v>3099.1</v>
      </c>
      <c r="D130" s="170">
        <f>IFERROR(C130/VLOOKUP(A130,Usinas!$A:$B,2,FALSE()),"")</f>
        <v>4.4146723646723647</v>
      </c>
    </row>
    <row r="131" spans="1:4" ht="12" customHeight="1" x14ac:dyDescent="0.3">
      <c r="A131" s="167" t="s">
        <v>364</v>
      </c>
      <c r="B131" s="168">
        <v>45787</v>
      </c>
      <c r="C131" s="178">
        <v>2070.9</v>
      </c>
      <c r="D131" s="170">
        <f>IFERROR(C131/VLOOKUP(A131,Usinas!$A:$B,2,FALSE()),"")</f>
        <v>2.95</v>
      </c>
    </row>
    <row r="132" spans="1:4" ht="12" customHeight="1" x14ac:dyDescent="0.3">
      <c r="A132" s="167" t="s">
        <v>364</v>
      </c>
      <c r="B132" s="168">
        <v>45788</v>
      </c>
      <c r="C132" s="178">
        <v>1936</v>
      </c>
      <c r="D132" s="170">
        <f>IFERROR(C132/VLOOKUP(A132,Usinas!$A:$B,2,FALSE()),"")</f>
        <v>2.757834757834758</v>
      </c>
    </row>
    <row r="133" spans="1:4" ht="12" customHeight="1" x14ac:dyDescent="0.3">
      <c r="A133" s="167" t="s">
        <v>364</v>
      </c>
      <c r="B133" s="168">
        <v>45789</v>
      </c>
      <c r="C133" s="178">
        <v>3439.2</v>
      </c>
      <c r="D133" s="170">
        <f>IFERROR(C133/VLOOKUP(A133,Usinas!$A:$B,2,FALSE()),"")</f>
        <v>4.8991452991452986</v>
      </c>
    </row>
    <row r="134" spans="1:4" ht="12" customHeight="1" x14ac:dyDescent="0.3">
      <c r="A134" s="167" t="s">
        <v>364</v>
      </c>
      <c r="B134" s="168">
        <v>45790</v>
      </c>
      <c r="C134" s="178">
        <v>3355.4</v>
      </c>
      <c r="D134" s="170">
        <f>IFERROR(C134/VLOOKUP(A134,Usinas!$A:$B,2,FALSE()),"")</f>
        <v>4.77977207977208</v>
      </c>
    </row>
    <row r="135" spans="1:4" ht="12" customHeight="1" x14ac:dyDescent="0.3">
      <c r="A135" s="167" t="s">
        <v>364</v>
      </c>
      <c r="B135" s="168">
        <v>45791</v>
      </c>
      <c r="C135" s="178">
        <v>3397.6</v>
      </c>
      <c r="D135" s="170">
        <f>IFERROR(C135/VLOOKUP(A135,Usinas!$A:$B,2,FALSE()),"")</f>
        <v>4.8398860398860402</v>
      </c>
    </row>
    <row r="136" spans="1:4" ht="12" customHeight="1" x14ac:dyDescent="0.3">
      <c r="A136" s="167" t="s">
        <v>364</v>
      </c>
      <c r="B136" s="168">
        <v>45792</v>
      </c>
      <c r="C136" s="178">
        <v>3376.6</v>
      </c>
      <c r="D136" s="170">
        <f>IFERROR(C136/VLOOKUP(A136,Usinas!$A:$B,2,FALSE()),"")</f>
        <v>4.8099715099715095</v>
      </c>
    </row>
    <row r="137" spans="1:4" ht="12" customHeight="1" x14ac:dyDescent="0.3">
      <c r="A137" s="167" t="s">
        <v>364</v>
      </c>
      <c r="B137" s="168">
        <v>45793</v>
      </c>
      <c r="C137" s="178">
        <v>3190.5</v>
      </c>
      <c r="D137" s="170">
        <f>IFERROR(C137/VLOOKUP(A137,Usinas!$A:$B,2,FALSE()),"")</f>
        <v>4.5448717948717947</v>
      </c>
    </row>
    <row r="138" spans="1:4" ht="12" customHeight="1" x14ac:dyDescent="0.3">
      <c r="A138" s="167" t="s">
        <v>364</v>
      </c>
      <c r="B138" s="168">
        <v>45794</v>
      </c>
      <c r="C138" s="178">
        <v>3019.2</v>
      </c>
      <c r="D138" s="170">
        <f>IFERROR(C138/VLOOKUP(A138,Usinas!$A:$B,2,FALSE()),"")</f>
        <v>4.3008547008547007</v>
      </c>
    </row>
    <row r="139" spans="1:4" ht="12" customHeight="1" x14ac:dyDescent="0.3">
      <c r="A139" s="167" t="s">
        <v>364</v>
      </c>
      <c r="B139" s="168">
        <v>45795</v>
      </c>
      <c r="C139" s="178">
        <v>3025.2</v>
      </c>
      <c r="D139" s="170">
        <f>IFERROR(C139/VLOOKUP(A139,Usinas!$A:$B,2,FALSE()),"")</f>
        <v>4.3094017094017092</v>
      </c>
    </row>
    <row r="140" spans="1:4" ht="12" customHeight="1" x14ac:dyDescent="0.3">
      <c r="A140" s="167" t="s">
        <v>364</v>
      </c>
      <c r="B140" s="168">
        <v>45796</v>
      </c>
      <c r="C140" s="178">
        <v>3298.4</v>
      </c>
      <c r="D140" s="170">
        <f>IFERROR(C140/VLOOKUP(A140,Usinas!$A:$B,2,FALSE()),"")</f>
        <v>4.6985754985754991</v>
      </c>
    </row>
    <row r="141" spans="1:4" ht="12" customHeight="1" x14ac:dyDescent="0.3">
      <c r="A141" s="167" t="s">
        <v>364</v>
      </c>
      <c r="B141" s="168">
        <v>45797</v>
      </c>
      <c r="C141" s="178">
        <v>2855.7</v>
      </c>
      <c r="D141" s="170">
        <f>IFERROR(C141/VLOOKUP(A141,Usinas!$A:$B,2,FALSE()),"")</f>
        <v>4.0679487179487177</v>
      </c>
    </row>
    <row r="142" spans="1:4" ht="12" customHeight="1" x14ac:dyDescent="0.3">
      <c r="A142" s="167" t="s">
        <v>364</v>
      </c>
      <c r="B142" s="168">
        <v>45798</v>
      </c>
      <c r="C142" s="178">
        <v>3046.7</v>
      </c>
      <c r="D142" s="170">
        <f>IFERROR(C142/VLOOKUP(A142,Usinas!$A:$B,2,FALSE()),"")</f>
        <v>4.34002849002849</v>
      </c>
    </row>
    <row r="143" spans="1:4" ht="12" customHeight="1" x14ac:dyDescent="0.3">
      <c r="A143" s="167" t="s">
        <v>364</v>
      </c>
      <c r="B143" s="168">
        <v>45799</v>
      </c>
      <c r="C143" s="178">
        <v>3090.6</v>
      </c>
      <c r="D143" s="170">
        <f>IFERROR(C143/VLOOKUP(A143,Usinas!$A:$B,2,FALSE()),"")</f>
        <v>4.402564102564102</v>
      </c>
    </row>
    <row r="144" spans="1:4" ht="12" customHeight="1" x14ac:dyDescent="0.3">
      <c r="A144" s="167" t="s">
        <v>364</v>
      </c>
      <c r="B144" s="168">
        <v>45800</v>
      </c>
      <c r="C144" s="178">
        <v>3059.5</v>
      </c>
      <c r="D144" s="170">
        <f>IFERROR(C144/VLOOKUP(A144,Usinas!$A:$B,2,FALSE()),"")</f>
        <v>4.3582621082621085</v>
      </c>
    </row>
    <row r="145" spans="1:33" ht="12" customHeight="1" x14ac:dyDescent="0.3">
      <c r="A145" s="167" t="s">
        <v>364</v>
      </c>
      <c r="B145" s="168">
        <v>45801</v>
      </c>
      <c r="C145" s="178">
        <v>3186.4</v>
      </c>
      <c r="D145" s="170">
        <f>IFERROR(C145/VLOOKUP(A145,Usinas!$A:$B,2,FALSE()),"")</f>
        <v>4.5390313390313395</v>
      </c>
    </row>
    <row r="146" spans="1:33" ht="12" customHeight="1" x14ac:dyDescent="0.3">
      <c r="A146" s="167" t="s">
        <v>364</v>
      </c>
      <c r="B146" s="168">
        <v>45802</v>
      </c>
      <c r="C146" s="178">
        <v>3220.5</v>
      </c>
      <c r="D146" s="170">
        <f>IFERROR(C146/VLOOKUP(A146,Usinas!$A:$B,2,FALSE()),"")</f>
        <v>4.5876068376068373</v>
      </c>
    </row>
    <row r="147" spans="1:33" ht="12" customHeight="1" x14ac:dyDescent="0.3">
      <c r="A147" s="167" t="s">
        <v>364</v>
      </c>
      <c r="B147" s="168">
        <v>45803</v>
      </c>
      <c r="C147" s="178">
        <v>2749.7</v>
      </c>
      <c r="D147" s="170">
        <f>IFERROR(C147/VLOOKUP(A147,Usinas!$A:$B,2,FALSE()),"")</f>
        <v>3.9169515669515667</v>
      </c>
    </row>
    <row r="148" spans="1:33" ht="12" customHeight="1" x14ac:dyDescent="0.3">
      <c r="A148" s="167" t="s">
        <v>364</v>
      </c>
      <c r="B148" s="168">
        <v>45804</v>
      </c>
      <c r="C148" s="178">
        <v>2407.1</v>
      </c>
      <c r="D148" s="170">
        <f>IFERROR(C148/VLOOKUP(A148,Usinas!$A:$B,2,FALSE()),"")</f>
        <v>3.4289173789173786</v>
      </c>
    </row>
    <row r="149" spans="1:33" ht="12" customHeight="1" x14ac:dyDescent="0.3">
      <c r="A149" s="167" t="s">
        <v>364</v>
      </c>
      <c r="B149" s="168">
        <v>45805</v>
      </c>
      <c r="C149" s="178">
        <v>810</v>
      </c>
      <c r="D149" s="170">
        <f>IFERROR(C149/VLOOKUP(A149,Usinas!$A:$B,2,FALSE()),"")</f>
        <v>1.1538461538461537</v>
      </c>
    </row>
    <row r="150" spans="1:33" ht="12" customHeight="1" x14ac:dyDescent="0.3">
      <c r="A150" s="167" t="s">
        <v>364</v>
      </c>
      <c r="B150" s="168">
        <v>45806</v>
      </c>
      <c r="C150" s="178">
        <v>3279.2</v>
      </c>
      <c r="D150" s="170">
        <f>IFERROR(C150/VLOOKUP(A150,Usinas!$A:$B,2,FALSE()),"")</f>
        <v>4.6712250712250709</v>
      </c>
    </row>
    <row r="151" spans="1:33" ht="12" customHeight="1" x14ac:dyDescent="0.3">
      <c r="A151" s="167" t="s">
        <v>364</v>
      </c>
      <c r="B151" s="168">
        <v>45807</v>
      </c>
      <c r="C151" s="178">
        <v>3583.1</v>
      </c>
      <c r="D151" s="170">
        <f>IFERROR(C151/VLOOKUP(A151,Usinas!$A:$B,2,FALSE()),"")</f>
        <v>5.1041310541310541</v>
      </c>
    </row>
    <row r="152" spans="1:33" ht="12" customHeight="1" x14ac:dyDescent="0.3">
      <c r="A152" s="167" t="s">
        <v>364</v>
      </c>
      <c r="B152" s="168">
        <v>45808</v>
      </c>
      <c r="C152" s="178">
        <v>2508.8000000000002</v>
      </c>
      <c r="D152" s="170">
        <f>IFERROR(C152/VLOOKUP(A152,Usinas!$A:$B,2,FALSE()),"")</f>
        <v>3.5737891737891743</v>
      </c>
    </row>
    <row r="153" spans="1:33" ht="12" customHeight="1" x14ac:dyDescent="0.3">
      <c r="A153" s="167" t="s">
        <v>364</v>
      </c>
      <c r="B153" s="168">
        <v>45809</v>
      </c>
      <c r="C153" s="178">
        <v>2980.4</v>
      </c>
      <c r="D153" s="170">
        <f>IFERROR(C153/VLOOKUP(A153,Usinas!$A:$B,2,FALSE()),"")</f>
        <v>4.2455840455840459</v>
      </c>
      <c r="E153" s="179"/>
      <c r="F153" s="179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79"/>
      <c r="V153" s="179"/>
      <c r="W153" s="179"/>
      <c r="X153" s="179"/>
      <c r="Y153" s="179"/>
      <c r="Z153" s="179"/>
      <c r="AA153" s="179"/>
      <c r="AB153" s="179"/>
      <c r="AC153" s="179"/>
      <c r="AD153" s="179"/>
      <c r="AE153" s="179"/>
      <c r="AF153" s="179"/>
      <c r="AG153" s="179"/>
    </row>
    <row r="154" spans="1:33" ht="12" customHeight="1" x14ac:dyDescent="0.3">
      <c r="A154" s="167" t="s">
        <v>364</v>
      </c>
      <c r="B154" s="168">
        <v>45810</v>
      </c>
      <c r="C154" s="178">
        <v>2796</v>
      </c>
      <c r="D154" s="170">
        <f>IFERROR(C154/VLOOKUP(A154,Usinas!$A:$B,2,FALSE()),"")</f>
        <v>3.982905982905983</v>
      </c>
    </row>
    <row r="155" spans="1:33" ht="12" customHeight="1" x14ac:dyDescent="0.3">
      <c r="A155" s="167" t="s">
        <v>364</v>
      </c>
      <c r="B155" s="168">
        <v>45811</v>
      </c>
      <c r="C155" s="178">
        <v>2937.4</v>
      </c>
      <c r="D155" s="170">
        <f>IFERROR(C155/VLOOKUP(A155,Usinas!$A:$B,2,FALSE()),"")</f>
        <v>4.1843304843304843</v>
      </c>
    </row>
    <row r="156" spans="1:33" ht="12" customHeight="1" x14ac:dyDescent="0.3">
      <c r="A156" s="167" t="s">
        <v>364</v>
      </c>
      <c r="B156" s="168">
        <v>45812</v>
      </c>
      <c r="C156" s="178">
        <v>2795.8</v>
      </c>
      <c r="D156" s="170">
        <f>IFERROR(C156/VLOOKUP(A156,Usinas!$A:$B,2,FALSE()),"")</f>
        <v>3.9826210826210828</v>
      </c>
    </row>
    <row r="157" spans="1:33" ht="12" customHeight="1" x14ac:dyDescent="0.3">
      <c r="A157" s="167" t="s">
        <v>364</v>
      </c>
      <c r="B157" s="168">
        <v>45813</v>
      </c>
      <c r="C157" s="178">
        <v>1843.8</v>
      </c>
      <c r="D157" s="170">
        <f>IFERROR(C157/VLOOKUP(A157,Usinas!$A:$B,2,FALSE()),"")</f>
        <v>2.6264957264957265</v>
      </c>
    </row>
    <row r="158" spans="1:33" ht="12" customHeight="1" x14ac:dyDescent="0.3">
      <c r="A158" s="167" t="s">
        <v>364</v>
      </c>
      <c r="B158" s="168">
        <v>45814</v>
      </c>
      <c r="C158" s="178">
        <v>2559.3000000000002</v>
      </c>
      <c r="D158" s="170">
        <f>IFERROR(C158/VLOOKUP(A158,Usinas!$A:$B,2,FALSE()),"")</f>
        <v>3.6457264957264961</v>
      </c>
    </row>
    <row r="159" spans="1:33" ht="12" customHeight="1" x14ac:dyDescent="0.3">
      <c r="A159" s="167" t="s">
        <v>364</v>
      </c>
      <c r="B159" s="168">
        <v>45815</v>
      </c>
      <c r="C159" s="178">
        <v>2978.3</v>
      </c>
      <c r="D159" s="170">
        <f>IFERROR(C159/VLOOKUP(A159,Usinas!$A:$B,2,FALSE()),"")</f>
        <v>4.2425925925925929</v>
      </c>
    </row>
    <row r="160" spans="1:33" ht="12" customHeight="1" x14ac:dyDescent="0.3">
      <c r="A160" s="167" t="s">
        <v>364</v>
      </c>
      <c r="B160" s="168">
        <v>45816</v>
      </c>
      <c r="C160" s="178">
        <v>765.5</v>
      </c>
      <c r="D160" s="170">
        <f>IFERROR(C160/VLOOKUP(A160,Usinas!$A:$B,2,FALSE()),"")</f>
        <v>1.0904558404558404</v>
      </c>
    </row>
    <row r="161" spans="1:4" ht="12" customHeight="1" x14ac:dyDescent="0.3">
      <c r="A161" s="167" t="s">
        <v>364</v>
      </c>
      <c r="B161" s="168">
        <v>45817</v>
      </c>
      <c r="C161" s="178">
        <v>2892.6</v>
      </c>
      <c r="D161" s="170">
        <f>IFERROR(C161/VLOOKUP(A161,Usinas!$A:$B,2,FALSE()),"")</f>
        <v>4.1205128205128201</v>
      </c>
    </row>
    <row r="162" spans="1:4" ht="12" customHeight="1" x14ac:dyDescent="0.3">
      <c r="A162" s="167" t="s">
        <v>364</v>
      </c>
      <c r="B162" s="168">
        <v>45818</v>
      </c>
      <c r="C162" s="178">
        <v>1838.9</v>
      </c>
      <c r="D162" s="170">
        <f>IFERROR(C162/VLOOKUP(A162,Usinas!$A:$B,2,FALSE()),"")</f>
        <v>2.6195156695156698</v>
      </c>
    </row>
    <row r="163" spans="1:4" ht="12" customHeight="1" x14ac:dyDescent="0.3">
      <c r="A163" s="167" t="s">
        <v>364</v>
      </c>
      <c r="B163" s="168">
        <v>45819</v>
      </c>
      <c r="C163" s="178">
        <v>3240.3</v>
      </c>
      <c r="D163" s="170">
        <f>IFERROR(C163/VLOOKUP(A163,Usinas!$A:$B,2,FALSE()),"")</f>
        <v>4.6158119658119663</v>
      </c>
    </row>
    <row r="164" spans="1:4" ht="12" customHeight="1" x14ac:dyDescent="0.3">
      <c r="A164" s="167" t="s">
        <v>364</v>
      </c>
      <c r="B164" s="168">
        <v>45820</v>
      </c>
      <c r="C164" s="178">
        <v>3314.9</v>
      </c>
      <c r="D164" s="170">
        <f>IFERROR(C164/VLOOKUP(A164,Usinas!$A:$B,2,FALSE()),"")</f>
        <v>4.7220797720797725</v>
      </c>
    </row>
    <row r="165" spans="1:4" ht="12" customHeight="1" x14ac:dyDescent="0.3">
      <c r="A165" s="167" t="s">
        <v>364</v>
      </c>
      <c r="B165" s="168">
        <v>45821</v>
      </c>
      <c r="C165" s="178">
        <v>2449.3000000000002</v>
      </c>
      <c r="D165" s="170">
        <f>IFERROR(C165/VLOOKUP(A165,Usinas!$A:$B,2,FALSE()),"")</f>
        <v>3.4890313390313392</v>
      </c>
    </row>
    <row r="166" spans="1:4" ht="12" customHeight="1" x14ac:dyDescent="0.3">
      <c r="A166" s="167" t="s">
        <v>364</v>
      </c>
      <c r="B166" s="168">
        <v>45822</v>
      </c>
      <c r="C166" s="178">
        <v>2137.6</v>
      </c>
      <c r="D166" s="170">
        <f>IFERROR(C166/VLOOKUP(A166,Usinas!$A:$B,2,FALSE()),"")</f>
        <v>3.045014245014245</v>
      </c>
    </row>
    <row r="167" spans="1:4" ht="12" customHeight="1" x14ac:dyDescent="0.3">
      <c r="A167" s="167" t="s">
        <v>364</v>
      </c>
      <c r="B167" s="168">
        <v>45823</v>
      </c>
      <c r="C167" s="178">
        <v>2434.3000000000002</v>
      </c>
      <c r="D167" s="170">
        <f>IFERROR(C167/VLOOKUP(A167,Usinas!$A:$B,2,FALSE()),"")</f>
        <v>3.4676638176638179</v>
      </c>
    </row>
    <row r="168" spans="1:4" ht="12" customHeight="1" x14ac:dyDescent="0.3">
      <c r="A168" s="167" t="s">
        <v>364</v>
      </c>
      <c r="B168" s="168">
        <v>45824</v>
      </c>
      <c r="C168" s="178">
        <v>3062.8</v>
      </c>
      <c r="D168" s="170">
        <f>IFERROR(C168/VLOOKUP(A168,Usinas!$A:$B,2,FALSE()),"")</f>
        <v>4.3629629629629632</v>
      </c>
    </row>
    <row r="169" spans="1:4" ht="12" customHeight="1" x14ac:dyDescent="0.3">
      <c r="A169" s="167" t="s">
        <v>364</v>
      </c>
      <c r="B169" s="168">
        <v>45825</v>
      </c>
      <c r="C169" s="178">
        <v>3067.7</v>
      </c>
      <c r="D169" s="170">
        <f>IFERROR(C169/VLOOKUP(A169,Usinas!$A:$B,2,FALSE()),"")</f>
        <v>4.3699430199430198</v>
      </c>
    </row>
    <row r="170" spans="1:4" ht="12" customHeight="1" x14ac:dyDescent="0.3">
      <c r="A170" s="167" t="s">
        <v>364</v>
      </c>
      <c r="B170" s="168">
        <v>45826</v>
      </c>
      <c r="C170" s="178">
        <v>3139.4</v>
      </c>
      <c r="D170" s="170">
        <f>IFERROR(C170/VLOOKUP(A170,Usinas!$A:$B,2,FALSE()),"")</f>
        <v>4.4720797720797725</v>
      </c>
    </row>
    <row r="171" spans="1:4" ht="12" customHeight="1" x14ac:dyDescent="0.3">
      <c r="A171" s="167" t="s">
        <v>364</v>
      </c>
      <c r="B171" s="168">
        <v>45827</v>
      </c>
      <c r="C171" s="178">
        <v>3108.7</v>
      </c>
      <c r="D171" s="170">
        <f>IFERROR(C171/VLOOKUP(A171,Usinas!$A:$B,2,FALSE()),"")</f>
        <v>4.4283475783475783</v>
      </c>
    </row>
    <row r="172" spans="1:4" ht="12" customHeight="1" x14ac:dyDescent="0.3">
      <c r="A172" s="167" t="s">
        <v>364</v>
      </c>
      <c r="B172" s="168">
        <v>45828</v>
      </c>
      <c r="C172" s="178">
        <v>2643</v>
      </c>
      <c r="D172" s="170">
        <f>IFERROR(C172/VLOOKUP(A172,Usinas!$A:$B,2,FALSE()),"")</f>
        <v>3.7649572649572649</v>
      </c>
    </row>
    <row r="173" spans="1:4" ht="12" customHeight="1" x14ac:dyDescent="0.3">
      <c r="A173" s="167" t="s">
        <v>364</v>
      </c>
      <c r="B173" s="168">
        <v>45829</v>
      </c>
      <c r="C173" s="178">
        <v>1109.5999999999999</v>
      </c>
      <c r="D173" s="170">
        <f>IFERROR(C173/VLOOKUP(A173,Usinas!$A:$B,2,FALSE()),"")</f>
        <v>1.5806267806267804</v>
      </c>
    </row>
    <row r="174" spans="1:4" ht="12" customHeight="1" x14ac:dyDescent="0.3">
      <c r="A174" s="167" t="s">
        <v>364</v>
      </c>
      <c r="B174" s="168">
        <v>45830</v>
      </c>
      <c r="C174" s="178">
        <v>1633.4</v>
      </c>
      <c r="D174" s="170">
        <f>IFERROR(C174/VLOOKUP(A174,Usinas!$A:$B,2,FALSE()),"")</f>
        <v>2.3267806267806268</v>
      </c>
    </row>
    <row r="175" spans="1:4" ht="12" customHeight="1" x14ac:dyDescent="0.3">
      <c r="A175" s="167" t="s">
        <v>364</v>
      </c>
      <c r="B175" s="168">
        <v>45831</v>
      </c>
      <c r="C175" s="178">
        <v>579.70000000000005</v>
      </c>
      <c r="D175" s="170">
        <f>IFERROR(C175/VLOOKUP(A175,Usinas!$A:$B,2,FALSE()),"")</f>
        <v>0.82578347578347588</v>
      </c>
    </row>
    <row r="176" spans="1:4" ht="12" customHeight="1" x14ac:dyDescent="0.3">
      <c r="A176" s="167" t="s">
        <v>364</v>
      </c>
      <c r="B176" s="168">
        <v>45832</v>
      </c>
      <c r="C176" s="178">
        <v>3661</v>
      </c>
      <c r="D176" s="170">
        <f>IFERROR(C176/VLOOKUP(A176,Usinas!$A:$B,2,FALSE()),"")</f>
        <v>5.2150997150997149</v>
      </c>
    </row>
    <row r="177" spans="1:34" ht="12" customHeight="1" x14ac:dyDescent="0.3">
      <c r="A177" s="167" t="s">
        <v>364</v>
      </c>
      <c r="B177" s="168">
        <v>45833</v>
      </c>
      <c r="C177" s="178">
        <v>2997.7</v>
      </c>
      <c r="D177" s="170">
        <f>IFERROR(C177/VLOOKUP(A177,Usinas!$A:$B,2,FALSE()),"")</f>
        <v>4.2702279202279199</v>
      </c>
    </row>
    <row r="178" spans="1:34" ht="12" customHeight="1" x14ac:dyDescent="0.3">
      <c r="A178" s="167" t="s">
        <v>364</v>
      </c>
      <c r="B178" s="168">
        <v>45834</v>
      </c>
      <c r="C178" s="178">
        <v>1670.4</v>
      </c>
      <c r="D178" s="170">
        <f>IFERROR(C178/VLOOKUP(A178,Usinas!$A:$B,2,FALSE()),"")</f>
        <v>2.3794871794871795</v>
      </c>
    </row>
    <row r="179" spans="1:34" ht="12" customHeight="1" x14ac:dyDescent="0.3">
      <c r="A179" s="167" t="s">
        <v>364</v>
      </c>
      <c r="B179" s="168">
        <v>45835</v>
      </c>
      <c r="C179" s="178">
        <v>1251</v>
      </c>
      <c r="D179" s="170">
        <f>IFERROR(C179/VLOOKUP(A179,Usinas!$A:$B,2,FALSE()),"")</f>
        <v>1.7820512820512822</v>
      </c>
    </row>
    <row r="180" spans="1:34" ht="12" customHeight="1" x14ac:dyDescent="0.3">
      <c r="A180" s="167" t="s">
        <v>364</v>
      </c>
      <c r="B180" s="168">
        <v>45836</v>
      </c>
      <c r="C180" s="178">
        <v>2953.2</v>
      </c>
      <c r="D180" s="170">
        <f>IFERROR(C180/VLOOKUP(A180,Usinas!$A:$B,2,FALSE()),"")</f>
        <v>4.206837606837607</v>
      </c>
    </row>
    <row r="181" spans="1:34" ht="12" customHeight="1" x14ac:dyDescent="0.3">
      <c r="A181" s="167" t="s">
        <v>364</v>
      </c>
      <c r="B181" s="168">
        <v>45837</v>
      </c>
      <c r="C181" s="178">
        <v>2652.4</v>
      </c>
      <c r="D181" s="170">
        <f>IFERROR(C181/VLOOKUP(A181,Usinas!$A:$B,2,FALSE()),"")</f>
        <v>3.7783475783475784</v>
      </c>
    </row>
    <row r="182" spans="1:34" ht="12" customHeight="1" x14ac:dyDescent="0.3">
      <c r="A182" s="167" t="s">
        <v>364</v>
      </c>
      <c r="B182" s="168">
        <v>45838</v>
      </c>
      <c r="C182" s="178">
        <v>792.5</v>
      </c>
      <c r="D182" s="170">
        <f>IFERROR(C182/VLOOKUP(A182,Usinas!$A:$B,2,FALSE()),"")</f>
        <v>1.128917378917379</v>
      </c>
    </row>
    <row r="183" spans="1:34" ht="12" customHeight="1" x14ac:dyDescent="0.3">
      <c r="A183" s="167" t="s">
        <v>364</v>
      </c>
      <c r="B183" s="168">
        <v>45839</v>
      </c>
      <c r="C183" s="178">
        <v>2040.9</v>
      </c>
      <c r="D183" s="170">
        <f>IFERROR(C183/VLOOKUP(A183,Usinas!$A:$B,2,FALSE()),"")</f>
        <v>2.9072649572649576</v>
      </c>
      <c r="E183" s="179"/>
      <c r="F183" s="179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79"/>
      <c r="V183" s="179"/>
      <c r="W183" s="179"/>
      <c r="X183" s="179"/>
      <c r="Y183" s="179"/>
      <c r="Z183" s="179"/>
      <c r="AA183" s="179"/>
      <c r="AB183" s="179"/>
      <c r="AC183" s="179"/>
      <c r="AD183" s="179"/>
      <c r="AE183" s="179"/>
      <c r="AF183" s="179"/>
      <c r="AG183" s="179"/>
      <c r="AH183" s="179"/>
    </row>
    <row r="184" spans="1:34" ht="12" customHeight="1" x14ac:dyDescent="0.3">
      <c r="A184" s="167" t="s">
        <v>364</v>
      </c>
      <c r="B184" s="168">
        <v>45840</v>
      </c>
      <c r="C184" s="178">
        <v>985.9</v>
      </c>
      <c r="D184" s="170">
        <f>IFERROR(C184/VLOOKUP(A184,Usinas!$A:$B,2,FALSE()),"")</f>
        <v>1.4044159544159545</v>
      </c>
    </row>
    <row r="185" spans="1:34" ht="12" customHeight="1" x14ac:dyDescent="0.3">
      <c r="A185" s="167" t="s">
        <v>364</v>
      </c>
      <c r="B185" s="168">
        <v>45841</v>
      </c>
      <c r="C185" s="178">
        <v>2848.3</v>
      </c>
      <c r="D185" s="170">
        <f>IFERROR(C185/VLOOKUP(A185,Usinas!$A:$B,2,FALSE()),"")</f>
        <v>4.0574074074074078</v>
      </c>
    </row>
    <row r="186" spans="1:34" ht="12" customHeight="1" x14ac:dyDescent="0.3">
      <c r="A186" s="167" t="s">
        <v>364</v>
      </c>
      <c r="B186" s="168">
        <v>45842</v>
      </c>
      <c r="C186" s="178">
        <v>2420.6999999999998</v>
      </c>
      <c r="D186" s="170">
        <f>IFERROR(C186/VLOOKUP(A186,Usinas!$A:$B,2,FALSE()),"")</f>
        <v>3.448290598290598</v>
      </c>
    </row>
    <row r="187" spans="1:34" ht="12" customHeight="1" x14ac:dyDescent="0.3">
      <c r="A187" s="167" t="s">
        <v>364</v>
      </c>
      <c r="B187" s="168">
        <v>45843</v>
      </c>
      <c r="C187" s="178">
        <v>3374.5</v>
      </c>
      <c r="D187" s="170">
        <f>IFERROR(C187/VLOOKUP(A187,Usinas!$A:$B,2,FALSE()),"")</f>
        <v>4.8069800569800574</v>
      </c>
    </row>
    <row r="188" spans="1:34" ht="12" customHeight="1" x14ac:dyDescent="0.3">
      <c r="A188" s="167" t="s">
        <v>364</v>
      </c>
      <c r="B188" s="168">
        <v>45844</v>
      </c>
      <c r="C188" s="178">
        <v>3429.6</v>
      </c>
      <c r="D188" s="170">
        <f>IFERROR(C188/VLOOKUP(A188,Usinas!$A:$B,2,FALSE()),"")</f>
        <v>4.885470085470085</v>
      </c>
    </row>
    <row r="189" spans="1:34" ht="12" customHeight="1" x14ac:dyDescent="0.3">
      <c r="A189" s="167" t="s">
        <v>364</v>
      </c>
      <c r="B189" s="168">
        <v>45845</v>
      </c>
      <c r="C189" s="178">
        <v>3200.8</v>
      </c>
      <c r="D189" s="170">
        <f>IFERROR(C189/VLOOKUP(A189,Usinas!$A:$B,2,FALSE()),"")</f>
        <v>4.5595441595441599</v>
      </c>
    </row>
    <row r="190" spans="1:34" ht="12" customHeight="1" x14ac:dyDescent="0.3">
      <c r="A190" s="167" t="s">
        <v>364</v>
      </c>
      <c r="B190" s="168">
        <v>45846</v>
      </c>
      <c r="C190" s="178">
        <v>3194.5</v>
      </c>
      <c r="D190" s="170">
        <f>IFERROR(C190/VLOOKUP(A190,Usinas!$A:$B,2,FALSE()),"")</f>
        <v>4.550569800569801</v>
      </c>
    </row>
    <row r="191" spans="1:34" ht="12" customHeight="1" x14ac:dyDescent="0.3">
      <c r="A191" s="167" t="s">
        <v>364</v>
      </c>
      <c r="B191" s="168">
        <v>45847</v>
      </c>
      <c r="C191" s="178">
        <v>3280.7</v>
      </c>
      <c r="D191" s="170">
        <f>IFERROR(C191/VLOOKUP(A191,Usinas!$A:$B,2,FALSE()),"")</f>
        <v>4.673361823361823</v>
      </c>
    </row>
    <row r="192" spans="1:34" ht="12" customHeight="1" x14ac:dyDescent="0.3">
      <c r="A192" s="167" t="s">
        <v>364</v>
      </c>
      <c r="B192" s="168">
        <v>45848</v>
      </c>
      <c r="C192" s="178">
        <v>3073.3</v>
      </c>
      <c r="D192" s="170">
        <f>IFERROR(C192/VLOOKUP(A192,Usinas!$A:$B,2,FALSE()),"")</f>
        <v>4.3779202279202281</v>
      </c>
    </row>
    <row r="193" spans="1:4" ht="12" customHeight="1" x14ac:dyDescent="0.3">
      <c r="A193" s="167" t="s">
        <v>364</v>
      </c>
      <c r="B193" s="168">
        <v>45849</v>
      </c>
      <c r="C193" s="178">
        <v>2183.9</v>
      </c>
      <c r="D193" s="170">
        <f>IFERROR(C193/VLOOKUP(A193,Usinas!$A:$B,2,FALSE()),"")</f>
        <v>3.1109686609686613</v>
      </c>
    </row>
    <row r="194" spans="1:4" ht="12" customHeight="1" x14ac:dyDescent="0.3">
      <c r="A194" s="167" t="s">
        <v>364</v>
      </c>
      <c r="B194" s="168">
        <v>45850</v>
      </c>
      <c r="C194" s="178">
        <v>2880.1</v>
      </c>
      <c r="D194" s="170">
        <f>IFERROR(C194/VLOOKUP(A194,Usinas!$A:$B,2,FALSE()),"")</f>
        <v>4.1027065527065529</v>
      </c>
    </row>
    <row r="195" spans="1:4" ht="12" customHeight="1" x14ac:dyDescent="0.3">
      <c r="A195" s="167" t="s">
        <v>364</v>
      </c>
      <c r="B195" s="168">
        <v>45851</v>
      </c>
      <c r="C195" s="178">
        <v>2478.1999999999998</v>
      </c>
      <c r="D195" s="170">
        <f>IFERROR(C195/VLOOKUP(A195,Usinas!$A:$B,2,FALSE()),"")</f>
        <v>3.5301994301994299</v>
      </c>
    </row>
    <row r="196" spans="1:4" ht="12" customHeight="1" x14ac:dyDescent="0.3">
      <c r="A196" s="167" t="s">
        <v>364</v>
      </c>
      <c r="B196" s="168">
        <v>45852</v>
      </c>
      <c r="C196" s="178">
        <v>2389.4</v>
      </c>
      <c r="D196" s="170">
        <f>IFERROR(C196/VLOOKUP(A196,Usinas!$A:$B,2,FALSE()),"")</f>
        <v>3.4037037037037039</v>
      </c>
    </row>
    <row r="197" spans="1:4" ht="12" customHeight="1" x14ac:dyDescent="0.3">
      <c r="A197" s="167" t="s">
        <v>364</v>
      </c>
      <c r="B197" s="168">
        <v>45853</v>
      </c>
      <c r="C197" s="178">
        <v>2792.3</v>
      </c>
      <c r="D197" s="170">
        <f>IFERROR(C197/VLOOKUP(A197,Usinas!$A:$B,2,FALSE()),"")</f>
        <v>3.977635327635328</v>
      </c>
    </row>
    <row r="198" spans="1:4" ht="12" customHeight="1" x14ac:dyDescent="0.3">
      <c r="A198" s="167" t="s">
        <v>364</v>
      </c>
      <c r="B198" s="168">
        <v>45854</v>
      </c>
      <c r="C198" s="178">
        <v>3045.8</v>
      </c>
      <c r="D198" s="170">
        <f>IFERROR(C198/VLOOKUP(A198,Usinas!$A:$B,2,FALSE()),"")</f>
        <v>4.3387464387464387</v>
      </c>
    </row>
    <row r="199" spans="1:4" ht="12" customHeight="1" x14ac:dyDescent="0.3">
      <c r="A199" s="167" t="s">
        <v>364</v>
      </c>
      <c r="B199" s="168">
        <v>45855</v>
      </c>
      <c r="C199" s="178">
        <v>2678.3</v>
      </c>
      <c r="D199" s="170">
        <f>IFERROR(C199/VLOOKUP(A199,Usinas!$A:$B,2,FALSE()),"")</f>
        <v>3.8152421652421653</v>
      </c>
    </row>
    <row r="200" spans="1:4" ht="12" customHeight="1" x14ac:dyDescent="0.3">
      <c r="A200" s="167" t="s">
        <v>364</v>
      </c>
      <c r="B200" s="168">
        <v>45856</v>
      </c>
      <c r="C200" s="178">
        <v>3381.8</v>
      </c>
      <c r="D200" s="170">
        <f>IFERROR(C200/VLOOKUP(A200,Usinas!$A:$B,2,FALSE()),"")</f>
        <v>4.8173789173789174</v>
      </c>
    </row>
    <row r="201" spans="1:4" ht="12" customHeight="1" x14ac:dyDescent="0.3">
      <c r="A201" s="167" t="s">
        <v>364</v>
      </c>
      <c r="B201" s="168">
        <v>45857</v>
      </c>
      <c r="C201" s="178">
        <v>3130.5</v>
      </c>
      <c r="D201" s="170">
        <f>IFERROR(C201/VLOOKUP(A201,Usinas!$A:$B,2,FALSE()),"")</f>
        <v>4.4594017094017095</v>
      </c>
    </row>
    <row r="202" spans="1:4" ht="12" customHeight="1" x14ac:dyDescent="0.3">
      <c r="A202" s="167" t="s">
        <v>364</v>
      </c>
      <c r="B202" s="168">
        <v>45858</v>
      </c>
      <c r="C202" s="178">
        <v>2421.1</v>
      </c>
      <c r="D202" s="170">
        <f>IFERROR(C202/VLOOKUP(A202,Usinas!$A:$B,2,FALSE()),"")</f>
        <v>3.4488603988603987</v>
      </c>
    </row>
    <row r="203" spans="1:4" ht="12" customHeight="1" x14ac:dyDescent="0.3">
      <c r="A203" s="167" t="s">
        <v>364</v>
      </c>
      <c r="B203" s="168">
        <v>45859</v>
      </c>
      <c r="C203" s="178">
        <v>2748.2</v>
      </c>
      <c r="D203" s="170">
        <f>IFERROR(C203/VLOOKUP(A203,Usinas!$A:$B,2,FALSE()),"")</f>
        <v>3.9148148148148145</v>
      </c>
    </row>
    <row r="204" spans="1:4" ht="12" customHeight="1" x14ac:dyDescent="0.3">
      <c r="A204" s="167" t="s">
        <v>364</v>
      </c>
      <c r="B204" s="168">
        <v>45860</v>
      </c>
      <c r="C204" s="178">
        <v>3098.2</v>
      </c>
      <c r="D204" s="170">
        <f>IFERROR(C204/VLOOKUP(A204,Usinas!$A:$B,2,FALSE()),"")</f>
        <v>4.4133903133903134</v>
      </c>
    </row>
    <row r="205" spans="1:4" ht="12" customHeight="1" x14ac:dyDescent="0.3">
      <c r="A205" s="167" t="s">
        <v>364</v>
      </c>
      <c r="B205" s="168">
        <v>45861</v>
      </c>
      <c r="C205" s="178">
        <v>2927.2</v>
      </c>
      <c r="D205" s="170">
        <f>IFERROR(C205/VLOOKUP(A205,Usinas!$A:$B,2,FALSE()),"")</f>
        <v>4.1698005698005698</v>
      </c>
    </row>
    <row r="206" spans="1:4" ht="12" customHeight="1" x14ac:dyDescent="0.3">
      <c r="A206" s="167" t="s">
        <v>364</v>
      </c>
      <c r="B206" s="168">
        <v>45862</v>
      </c>
      <c r="C206" s="178">
        <v>2676.8</v>
      </c>
      <c r="D206" s="170">
        <f>IFERROR(C206/VLOOKUP(A206,Usinas!$A:$B,2,FALSE()),"")</f>
        <v>3.8131054131054132</v>
      </c>
    </row>
    <row r="207" spans="1:4" ht="12" customHeight="1" x14ac:dyDescent="0.3">
      <c r="A207" s="167" t="s">
        <v>364</v>
      </c>
      <c r="B207" s="168">
        <v>45863</v>
      </c>
      <c r="C207" s="178">
        <v>3175.2</v>
      </c>
      <c r="D207" s="170">
        <f>IFERROR(C207/VLOOKUP(A207,Usinas!$A:$B,2,FALSE()),"")</f>
        <v>4.523076923076923</v>
      </c>
    </row>
    <row r="208" spans="1:4" ht="12" customHeight="1" x14ac:dyDescent="0.3">
      <c r="A208" s="167" t="s">
        <v>364</v>
      </c>
      <c r="B208" s="168">
        <v>45864</v>
      </c>
      <c r="C208" s="178">
        <v>2648.3</v>
      </c>
      <c r="D208" s="170">
        <f>IFERROR(C208/VLOOKUP(A208,Usinas!$A:$B,2,FALSE()),"")</f>
        <v>3.7725071225071227</v>
      </c>
    </row>
    <row r="209" spans="1:34" ht="12" customHeight="1" x14ac:dyDescent="0.3">
      <c r="A209" s="167" t="s">
        <v>364</v>
      </c>
      <c r="B209" s="168">
        <v>45865</v>
      </c>
      <c r="C209" s="178">
        <v>2719.5</v>
      </c>
      <c r="D209" s="170">
        <f>IFERROR(C209/VLOOKUP(A209,Usinas!$A:$B,2,FALSE()),"")</f>
        <v>3.8739316239316239</v>
      </c>
    </row>
    <row r="210" spans="1:34" ht="12" customHeight="1" x14ac:dyDescent="0.3">
      <c r="A210" s="167" t="s">
        <v>364</v>
      </c>
      <c r="B210" s="168">
        <v>45866</v>
      </c>
      <c r="C210" s="178">
        <v>2290.8000000000002</v>
      </c>
      <c r="D210" s="170">
        <f>IFERROR(C210/VLOOKUP(A210,Usinas!$A:$B,2,FALSE()),"")</f>
        <v>3.2632478632478636</v>
      </c>
    </row>
    <row r="211" spans="1:34" ht="12" customHeight="1" x14ac:dyDescent="0.3">
      <c r="A211" s="167" t="s">
        <v>364</v>
      </c>
      <c r="B211" s="168">
        <v>45867</v>
      </c>
      <c r="C211" s="178">
        <v>3621.8</v>
      </c>
      <c r="D211" s="170">
        <f>IFERROR(C211/VLOOKUP(A211,Usinas!$A:$B,2,FALSE()),"")</f>
        <v>5.1592592592592599</v>
      </c>
    </row>
    <row r="212" spans="1:34" ht="12" customHeight="1" x14ac:dyDescent="0.3">
      <c r="A212" s="167" t="s">
        <v>364</v>
      </c>
      <c r="B212" s="168">
        <v>45868</v>
      </c>
      <c r="C212" s="178">
        <v>3562.4</v>
      </c>
      <c r="D212" s="170">
        <f>IFERROR(C212/VLOOKUP(A212,Usinas!$A:$B,2,FALSE()),"")</f>
        <v>5.0746438746438747</v>
      </c>
    </row>
    <row r="213" spans="1:34" ht="12" customHeight="1" x14ac:dyDescent="0.3">
      <c r="A213" s="167" t="s">
        <v>364</v>
      </c>
      <c r="B213" s="168">
        <v>45869</v>
      </c>
      <c r="C213" s="178">
        <v>3637.8</v>
      </c>
      <c r="D213" s="170">
        <f>IFERROR(C213/VLOOKUP(A213,Usinas!$A:$B,2,FALSE()),"")</f>
        <v>5.1820512820512823</v>
      </c>
    </row>
    <row r="214" spans="1:34" ht="12" customHeight="1" x14ac:dyDescent="0.3">
      <c r="A214" s="167" t="s">
        <v>364</v>
      </c>
      <c r="B214" s="168">
        <v>45870</v>
      </c>
      <c r="C214" s="178">
        <v>3448.3</v>
      </c>
      <c r="D214" s="170">
        <f>IFERROR(C214/VLOOKUP(A214,Usinas!$A:$B,2,FALSE()),"")</f>
        <v>4.9121082621082621</v>
      </c>
      <c r="E214" s="179"/>
      <c r="F214" s="179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79"/>
      <c r="V214" s="179"/>
      <c r="W214" s="179"/>
      <c r="X214" s="179"/>
      <c r="Y214" s="179"/>
      <c r="Z214" s="179"/>
      <c r="AA214" s="179"/>
      <c r="AB214" s="179"/>
      <c r="AC214" s="179"/>
      <c r="AD214" s="179"/>
      <c r="AE214" s="179"/>
      <c r="AF214" s="179"/>
      <c r="AG214" s="179"/>
      <c r="AH214" s="179"/>
    </row>
    <row r="215" spans="1:34" ht="12" customHeight="1" x14ac:dyDescent="0.3">
      <c r="A215" s="167" t="s">
        <v>364</v>
      </c>
      <c r="B215" s="168">
        <v>45871</v>
      </c>
      <c r="C215" s="178">
        <v>2994</v>
      </c>
      <c r="D215" s="170">
        <f>IFERROR(C215/VLOOKUP(A215,Usinas!$A:$B,2,FALSE()),"")</f>
        <v>4.2649572649572649</v>
      </c>
    </row>
    <row r="216" spans="1:34" ht="12" customHeight="1" x14ac:dyDescent="0.3">
      <c r="A216" s="167" t="s">
        <v>364</v>
      </c>
      <c r="B216" s="168">
        <v>45872</v>
      </c>
      <c r="C216" s="178">
        <v>2814.4</v>
      </c>
      <c r="D216" s="170">
        <f>IFERROR(C216/VLOOKUP(A216,Usinas!$A:$B,2,FALSE()),"")</f>
        <v>4.0091168091168097</v>
      </c>
    </row>
    <row r="217" spans="1:34" ht="12" customHeight="1" x14ac:dyDescent="0.3">
      <c r="A217" s="167" t="s">
        <v>364</v>
      </c>
      <c r="B217" s="168">
        <v>45873</v>
      </c>
      <c r="C217" s="178">
        <v>551.79999999999995</v>
      </c>
      <c r="D217" s="170">
        <f>IFERROR(C217/VLOOKUP(A217,Usinas!$A:$B,2,FALSE()),"")</f>
        <v>0.78603988603988595</v>
      </c>
    </row>
    <row r="218" spans="1:34" ht="12" customHeight="1" x14ac:dyDescent="0.3">
      <c r="A218" s="167" t="s">
        <v>364</v>
      </c>
      <c r="B218" s="168">
        <v>45874</v>
      </c>
      <c r="C218" s="178">
        <v>2052.1</v>
      </c>
      <c r="D218" s="170">
        <f>IFERROR(C218/VLOOKUP(A218,Usinas!$A:$B,2,FALSE()),"")</f>
        <v>2.9232193732193732</v>
      </c>
    </row>
    <row r="219" spans="1:34" ht="12" customHeight="1" x14ac:dyDescent="0.3">
      <c r="A219" s="167" t="s">
        <v>364</v>
      </c>
      <c r="B219" s="168">
        <v>45875</v>
      </c>
      <c r="C219" s="178">
        <v>3638.1</v>
      </c>
      <c r="D219" s="170">
        <f>IFERROR(C219/VLOOKUP(A219,Usinas!$A:$B,2,FALSE()),"")</f>
        <v>5.1824786324786327</v>
      </c>
    </row>
    <row r="220" spans="1:34" ht="12" customHeight="1" x14ac:dyDescent="0.3">
      <c r="A220" s="167" t="s">
        <v>364</v>
      </c>
      <c r="B220" s="168">
        <v>45876</v>
      </c>
      <c r="C220" s="178">
        <v>2905.4</v>
      </c>
      <c r="D220" s="170">
        <f>IFERROR(C220/VLOOKUP(A220,Usinas!$A:$B,2,FALSE()),"")</f>
        <v>4.1387464387464385</v>
      </c>
    </row>
    <row r="221" spans="1:34" ht="12" customHeight="1" x14ac:dyDescent="0.3">
      <c r="A221" s="167" t="s">
        <v>364</v>
      </c>
      <c r="B221" s="168">
        <v>45877</v>
      </c>
      <c r="C221" s="178">
        <v>1482.9</v>
      </c>
      <c r="D221" s="170">
        <f>IFERROR(C221/VLOOKUP(A221,Usinas!$A:$B,2,FALSE()),"")</f>
        <v>2.1123931623931624</v>
      </c>
    </row>
    <row r="222" spans="1:34" ht="12" customHeight="1" x14ac:dyDescent="0.3">
      <c r="A222" s="167" t="s">
        <v>364</v>
      </c>
      <c r="B222" s="168">
        <v>45878</v>
      </c>
      <c r="C222" s="178">
        <v>3676.3</v>
      </c>
      <c r="D222" s="170">
        <f>IFERROR(C222/VLOOKUP(A222,Usinas!$A:$B,2,FALSE()),"")</f>
        <v>5.2368945868945875</v>
      </c>
    </row>
    <row r="223" spans="1:34" ht="12" customHeight="1" x14ac:dyDescent="0.3">
      <c r="A223" s="167" t="s">
        <v>364</v>
      </c>
      <c r="B223" s="168">
        <v>45879</v>
      </c>
      <c r="C223" s="178">
        <v>3831.4</v>
      </c>
      <c r="D223" s="170">
        <f>IFERROR(C223/VLOOKUP(A223,Usinas!$A:$B,2,FALSE()),"")</f>
        <v>5.4578347578347577</v>
      </c>
    </row>
    <row r="224" spans="1:34" ht="12" customHeight="1" x14ac:dyDescent="0.3">
      <c r="A224" s="167" t="s">
        <v>364</v>
      </c>
      <c r="B224" s="168">
        <v>45880</v>
      </c>
      <c r="C224" s="178">
        <v>3732.4</v>
      </c>
      <c r="D224" s="170">
        <f>IFERROR(C224/VLOOKUP(A224,Usinas!$A:$B,2,FALSE()),"")</f>
        <v>5.3168091168091172</v>
      </c>
    </row>
    <row r="225" spans="1:4" ht="12" customHeight="1" x14ac:dyDescent="0.3">
      <c r="A225" s="167" t="s">
        <v>364</v>
      </c>
      <c r="B225" s="168">
        <v>45881</v>
      </c>
      <c r="C225" s="178">
        <v>3738.9</v>
      </c>
      <c r="D225" s="170">
        <f>IFERROR(C225/VLOOKUP(A225,Usinas!$A:$B,2,FALSE()),"")</f>
        <v>5.3260683760683758</v>
      </c>
    </row>
    <row r="226" spans="1:4" ht="12" customHeight="1" x14ac:dyDescent="0.3">
      <c r="A226" s="167" t="s">
        <v>364</v>
      </c>
      <c r="B226" s="168">
        <v>45882</v>
      </c>
      <c r="C226" s="178">
        <v>3670.4</v>
      </c>
      <c r="D226" s="170">
        <f>IFERROR(C226/VLOOKUP(A226,Usinas!$A:$B,2,FALSE()),"")</f>
        <v>5.2284900284900289</v>
      </c>
    </row>
    <row r="227" spans="1:4" ht="12" customHeight="1" x14ac:dyDescent="0.3">
      <c r="A227" s="167" t="s">
        <v>364</v>
      </c>
      <c r="B227" s="168">
        <v>45883</v>
      </c>
      <c r="C227" s="178">
        <v>3640.5</v>
      </c>
      <c r="D227" s="170">
        <f>IFERROR(C227/VLOOKUP(A227,Usinas!$A:$B,2,FALSE()),"")</f>
        <v>5.1858974358974361</v>
      </c>
    </row>
    <row r="228" spans="1:4" ht="12" customHeight="1" x14ac:dyDescent="0.3">
      <c r="A228" s="167" t="s">
        <v>364</v>
      </c>
      <c r="B228" s="168">
        <v>45884</v>
      </c>
      <c r="C228" s="178">
        <v>3643</v>
      </c>
      <c r="D228" s="170">
        <f>IFERROR(C228/VLOOKUP(A228,Usinas!$A:$B,2,FALSE()),"")</f>
        <v>5.1894586894586894</v>
      </c>
    </row>
    <row r="229" spans="1:4" ht="12" customHeight="1" x14ac:dyDescent="0.3">
      <c r="A229" s="167" t="s">
        <v>364</v>
      </c>
      <c r="B229" s="168">
        <v>45885</v>
      </c>
      <c r="C229" s="178">
        <v>3505.9</v>
      </c>
      <c r="D229" s="170">
        <f>IFERROR(C229/VLOOKUP(A229,Usinas!$A:$B,2,FALSE()),"")</f>
        <v>4.9941595441595439</v>
      </c>
    </row>
    <row r="230" spans="1:4" ht="12" customHeight="1" x14ac:dyDescent="0.3">
      <c r="A230" s="167" t="s">
        <v>364</v>
      </c>
      <c r="B230" s="168">
        <v>45886</v>
      </c>
      <c r="C230" s="178">
        <v>3315.4</v>
      </c>
      <c r="D230" s="170">
        <f>IFERROR(C230/VLOOKUP(A230,Usinas!$A:$B,2,FALSE()),"")</f>
        <v>4.7227920227920226</v>
      </c>
    </row>
    <row r="231" spans="1:4" ht="12" customHeight="1" x14ac:dyDescent="0.3">
      <c r="A231" s="167" t="s">
        <v>364</v>
      </c>
      <c r="B231" s="168">
        <v>45887</v>
      </c>
      <c r="C231" s="178">
        <v>3384.3</v>
      </c>
      <c r="D231" s="170">
        <f>IFERROR(C231/VLOOKUP(A231,Usinas!$A:$B,2,FALSE()),"")</f>
        <v>4.8209401709401716</v>
      </c>
    </row>
    <row r="232" spans="1:4" ht="12" customHeight="1" x14ac:dyDescent="0.3">
      <c r="A232" s="167" t="s">
        <v>364</v>
      </c>
      <c r="B232" s="168">
        <v>45888</v>
      </c>
      <c r="C232" s="178">
        <v>2497</v>
      </c>
      <c r="D232" s="170">
        <f>IFERROR(C232/VLOOKUP(A232,Usinas!$A:$B,2,FALSE()),"")</f>
        <v>3.5569800569800569</v>
      </c>
    </row>
    <row r="233" spans="1:4" ht="12" customHeight="1" x14ac:dyDescent="0.3">
      <c r="A233" s="167" t="s">
        <v>364</v>
      </c>
      <c r="B233" s="168">
        <v>45889</v>
      </c>
      <c r="C233" s="178">
        <v>1839.9</v>
      </c>
      <c r="D233" s="170">
        <f>IFERROR(C233/VLOOKUP(A233,Usinas!$A:$B,2,FALSE()),"")</f>
        <v>2.620940170940171</v>
      </c>
    </row>
    <row r="234" spans="1:4" ht="12" customHeight="1" x14ac:dyDescent="0.3">
      <c r="A234" s="167" t="s">
        <v>364</v>
      </c>
      <c r="B234" s="168">
        <v>45890</v>
      </c>
      <c r="C234" s="178">
        <v>2901.5</v>
      </c>
      <c r="D234" s="170">
        <f>IFERROR(C234/VLOOKUP(A234,Usinas!$A:$B,2,FALSE()),"")</f>
        <v>4.133190883190883</v>
      </c>
    </row>
    <row r="235" spans="1:4" ht="12" customHeight="1" x14ac:dyDescent="0.3">
      <c r="A235" s="167" t="s">
        <v>364</v>
      </c>
      <c r="B235" s="168">
        <v>45891</v>
      </c>
      <c r="C235" s="178">
        <v>3320.7</v>
      </c>
      <c r="D235" s="170">
        <f>IFERROR(C235/VLOOKUP(A235,Usinas!$A:$B,2,FALSE()),"")</f>
        <v>4.7303418803418804</v>
      </c>
    </row>
    <row r="236" spans="1:4" ht="12" customHeight="1" x14ac:dyDescent="0.3">
      <c r="A236" s="167" t="s">
        <v>364</v>
      </c>
      <c r="B236" s="168">
        <v>45892</v>
      </c>
      <c r="C236" s="178">
        <v>3247.7</v>
      </c>
      <c r="D236" s="170">
        <f>IFERROR(C236/VLOOKUP(A236,Usinas!$A:$B,2,FALSE()),"")</f>
        <v>4.6263532763532762</v>
      </c>
    </row>
    <row r="237" spans="1:4" ht="12" customHeight="1" x14ac:dyDescent="0.3">
      <c r="A237" s="167" t="s">
        <v>364</v>
      </c>
      <c r="B237" s="168">
        <v>45893</v>
      </c>
      <c r="C237" s="178">
        <v>1173.4000000000001</v>
      </c>
      <c r="D237" s="170">
        <f>IFERROR(C237/VLOOKUP(A237,Usinas!$A:$B,2,FALSE()),"")</f>
        <v>1.6715099715099717</v>
      </c>
    </row>
    <row r="238" spans="1:4" ht="12" customHeight="1" x14ac:dyDescent="0.3">
      <c r="A238" s="167" t="s">
        <v>364</v>
      </c>
      <c r="B238" s="168">
        <v>45894</v>
      </c>
      <c r="C238" s="178">
        <v>2172.4</v>
      </c>
      <c r="D238" s="170">
        <f>IFERROR(C238/VLOOKUP(A238,Usinas!$A:$B,2,FALSE()),"")</f>
        <v>3.0945868945868948</v>
      </c>
    </row>
    <row r="239" spans="1:4" ht="12" customHeight="1" x14ac:dyDescent="0.3">
      <c r="A239" s="167" t="s">
        <v>364</v>
      </c>
      <c r="B239" s="168">
        <v>45895</v>
      </c>
      <c r="C239" s="178">
        <v>3333.9</v>
      </c>
      <c r="D239" s="170">
        <f>IFERROR(C239/VLOOKUP(A239,Usinas!$A:$B,2,FALSE()),"")</f>
        <v>4.7491452991452991</v>
      </c>
    </row>
    <row r="240" spans="1:4" ht="12" customHeight="1" x14ac:dyDescent="0.3">
      <c r="A240" s="167" t="s">
        <v>364</v>
      </c>
      <c r="B240" s="168">
        <v>45896</v>
      </c>
      <c r="C240" s="178">
        <v>3710.3</v>
      </c>
      <c r="D240" s="170">
        <f>IFERROR(C240/VLOOKUP(A240,Usinas!$A:$B,2,FALSE()),"")</f>
        <v>5.2853276353276355</v>
      </c>
    </row>
    <row r="241" spans="1:33" ht="12" customHeight="1" x14ac:dyDescent="0.3">
      <c r="A241" s="167" t="s">
        <v>364</v>
      </c>
      <c r="B241" s="168">
        <v>45897</v>
      </c>
      <c r="C241" s="178">
        <v>1843.9</v>
      </c>
      <c r="D241" s="170">
        <f>IFERROR(C241/VLOOKUP(A241,Usinas!$A:$B,2,FALSE()),"")</f>
        <v>2.6266381766381768</v>
      </c>
    </row>
    <row r="242" spans="1:33" ht="12" customHeight="1" x14ac:dyDescent="0.3">
      <c r="A242" s="167" t="s">
        <v>364</v>
      </c>
      <c r="B242" s="168">
        <v>45898</v>
      </c>
      <c r="C242" s="178">
        <v>3617.3</v>
      </c>
      <c r="D242" s="170">
        <f>IFERROR(C242/VLOOKUP(A242,Usinas!$A:$B,2,FALSE()),"")</f>
        <v>5.1528490028490035</v>
      </c>
    </row>
    <row r="243" spans="1:33" ht="12" customHeight="1" x14ac:dyDescent="0.3">
      <c r="A243" s="167" t="s">
        <v>364</v>
      </c>
      <c r="B243" s="168">
        <v>45899</v>
      </c>
      <c r="C243" s="178">
        <v>3692.8</v>
      </c>
      <c r="D243" s="170">
        <f>IFERROR(C243/VLOOKUP(A243,Usinas!$A:$B,2,FALSE()),"")</f>
        <v>5.260398860398861</v>
      </c>
    </row>
    <row r="244" spans="1:33" ht="12" customHeight="1" x14ac:dyDescent="0.3">
      <c r="A244" s="167" t="s">
        <v>364</v>
      </c>
      <c r="B244" s="168">
        <v>45900</v>
      </c>
      <c r="C244" s="178">
        <v>3706.4</v>
      </c>
      <c r="D244" s="170">
        <f>IFERROR(C244/VLOOKUP(A244,Usinas!$A:$B,2,FALSE()),"")</f>
        <v>5.27977207977208</v>
      </c>
    </row>
    <row r="245" spans="1:33" ht="12" customHeight="1" x14ac:dyDescent="0.3">
      <c r="A245" s="167" t="s">
        <v>364</v>
      </c>
      <c r="B245" s="168">
        <v>45901</v>
      </c>
      <c r="C245" s="178">
        <v>1311</v>
      </c>
      <c r="D245" s="170">
        <f>IFERROR(C245/VLOOKUP(A245,Usinas!$A:$B,2,FALSE()),"")</f>
        <v>1.8675213675213675</v>
      </c>
      <c r="E245" s="179"/>
      <c r="F245" s="179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79"/>
      <c r="V245" s="179"/>
      <c r="W245" s="179"/>
      <c r="X245" s="179"/>
      <c r="Y245" s="179"/>
      <c r="Z245" s="179"/>
      <c r="AA245" s="179"/>
      <c r="AB245" s="179"/>
      <c r="AC245" s="179"/>
      <c r="AD245" s="179"/>
      <c r="AE245" s="179"/>
      <c r="AF245" s="179"/>
      <c r="AG245" s="179"/>
    </row>
    <row r="246" spans="1:33" ht="12" customHeight="1" x14ac:dyDescent="0.3">
      <c r="A246" s="167" t="s">
        <v>364</v>
      </c>
      <c r="B246" s="168">
        <v>45902</v>
      </c>
      <c r="C246" s="178">
        <v>3613</v>
      </c>
      <c r="D246" s="170">
        <f>IFERROR(C246/VLOOKUP(A246,Usinas!$A:$B,2,FALSE()),"")</f>
        <v>5.1467236467236468</v>
      </c>
    </row>
    <row r="247" spans="1:33" ht="12" customHeight="1" x14ac:dyDescent="0.3">
      <c r="A247" s="167" t="s">
        <v>364</v>
      </c>
      <c r="B247" s="168">
        <v>45903</v>
      </c>
      <c r="C247" s="178">
        <v>3570</v>
      </c>
      <c r="D247" s="170">
        <f>IFERROR(C247/VLOOKUP(A247,Usinas!$A:$B,2,FALSE()),"")</f>
        <v>5.0854700854700852</v>
      </c>
    </row>
    <row r="248" spans="1:33" ht="12" customHeight="1" x14ac:dyDescent="0.3">
      <c r="A248" s="167" t="s">
        <v>364</v>
      </c>
      <c r="B248" s="168">
        <v>45904</v>
      </c>
      <c r="C248" s="178">
        <v>3276</v>
      </c>
      <c r="D248" s="170">
        <f>IFERROR(C248/VLOOKUP(A248,Usinas!$A:$B,2,FALSE()),"")</f>
        <v>4.666666666666667</v>
      </c>
    </row>
    <row r="249" spans="1:33" ht="12" customHeight="1" x14ac:dyDescent="0.3">
      <c r="A249" s="167" t="s">
        <v>364</v>
      </c>
      <c r="B249" s="168">
        <v>45905</v>
      </c>
      <c r="C249" s="178">
        <v>3330.7</v>
      </c>
      <c r="D249" s="170">
        <f>IFERROR(C249/VLOOKUP(A249,Usinas!$A:$B,2,FALSE()),"")</f>
        <v>4.7445868945868943</v>
      </c>
    </row>
    <row r="250" spans="1:33" ht="12" customHeight="1" x14ac:dyDescent="0.3">
      <c r="A250" s="167" t="s">
        <v>364</v>
      </c>
      <c r="B250" s="168">
        <v>45906</v>
      </c>
      <c r="C250" s="178">
        <v>2273.8000000000002</v>
      </c>
      <c r="D250" s="170">
        <f>IFERROR(C250/VLOOKUP(A250,Usinas!$A:$B,2,FALSE()),"")</f>
        <v>3.2390313390313392</v>
      </c>
    </row>
    <row r="251" spans="1:33" ht="12" customHeight="1" x14ac:dyDescent="0.3">
      <c r="A251" s="167" t="s">
        <v>364</v>
      </c>
      <c r="B251" s="168">
        <v>45907</v>
      </c>
      <c r="C251" s="178">
        <v>2261.4</v>
      </c>
      <c r="D251" s="170">
        <f>IFERROR(C251/VLOOKUP(A251,Usinas!$A:$B,2,FALSE()),"")</f>
        <v>3.2213675213675215</v>
      </c>
    </row>
    <row r="252" spans="1:33" ht="12" customHeight="1" x14ac:dyDescent="0.3">
      <c r="A252" s="167" t="s">
        <v>364</v>
      </c>
      <c r="B252" s="168">
        <v>45908</v>
      </c>
      <c r="C252" s="178">
        <v>3032.9</v>
      </c>
      <c r="D252" s="170">
        <f>IFERROR(C252/VLOOKUP(A252,Usinas!$A:$B,2,FALSE()),"")</f>
        <v>4.3203703703703704</v>
      </c>
    </row>
    <row r="253" spans="1:33" ht="12" customHeight="1" x14ac:dyDescent="0.3">
      <c r="A253" s="167" t="s">
        <v>364</v>
      </c>
      <c r="B253" s="168">
        <v>45909</v>
      </c>
      <c r="C253" s="178">
        <v>3529.1</v>
      </c>
      <c r="D253" s="170">
        <f>IFERROR(C253/VLOOKUP(A253,Usinas!$A:$B,2,FALSE()),"")</f>
        <v>5.0272079772079774</v>
      </c>
    </row>
    <row r="254" spans="1:33" ht="12" customHeight="1" x14ac:dyDescent="0.3">
      <c r="A254" s="167" t="s">
        <v>364</v>
      </c>
      <c r="B254" s="168">
        <v>45910</v>
      </c>
      <c r="C254" s="178">
        <v>3962.5</v>
      </c>
      <c r="D254" s="170">
        <f>IFERROR(C254/VLOOKUP(A254,Usinas!$A:$B,2,FALSE()),"")</f>
        <v>5.6445868945868947</v>
      </c>
    </row>
    <row r="255" spans="1:33" ht="12" customHeight="1" x14ac:dyDescent="0.3">
      <c r="A255" s="167" t="s">
        <v>364</v>
      </c>
      <c r="B255" s="168">
        <v>45911</v>
      </c>
      <c r="C255" s="178">
        <v>3433.7</v>
      </c>
      <c r="D255" s="170">
        <f>IFERROR(C255/VLOOKUP(A255,Usinas!$A:$B,2,FALSE()),"")</f>
        <v>4.8913105413105411</v>
      </c>
    </row>
    <row r="256" spans="1:33" ht="12" customHeight="1" x14ac:dyDescent="0.3">
      <c r="A256" s="167" t="s">
        <v>364</v>
      </c>
      <c r="B256" s="168">
        <v>45912</v>
      </c>
      <c r="C256" s="178">
        <v>2190.9</v>
      </c>
      <c r="D256" s="170">
        <f>IFERROR(C256/VLOOKUP(A256,Usinas!$A:$B,2,FALSE()),"")</f>
        <v>3.120940170940171</v>
      </c>
    </row>
    <row r="257" spans="1:4" ht="12" customHeight="1" x14ac:dyDescent="0.3">
      <c r="A257" s="167" t="s">
        <v>364</v>
      </c>
      <c r="B257" s="168">
        <v>45913</v>
      </c>
      <c r="C257" s="178">
        <v>2895.8</v>
      </c>
      <c r="D257" s="170">
        <f>IFERROR(C257/VLOOKUP(A257,Usinas!$A:$B,2,FALSE()),"")</f>
        <v>4.1250712250712249</v>
      </c>
    </row>
    <row r="258" spans="1:4" ht="12" customHeight="1" x14ac:dyDescent="0.3">
      <c r="A258" s="167" t="s">
        <v>364</v>
      </c>
      <c r="B258" s="168">
        <v>45914</v>
      </c>
      <c r="C258" s="178">
        <v>3613</v>
      </c>
      <c r="D258" s="170">
        <f>IFERROR(C258/VLOOKUP(A258,Usinas!$A:$B,2,FALSE()),"")</f>
        <v>5.1467236467236468</v>
      </c>
    </row>
    <row r="259" spans="1:4" ht="12" customHeight="1" x14ac:dyDescent="0.3">
      <c r="A259" s="167" t="s">
        <v>364</v>
      </c>
      <c r="B259" s="168">
        <v>45915</v>
      </c>
      <c r="C259" s="178">
        <v>3276.6</v>
      </c>
      <c r="D259" s="170">
        <f>IFERROR(C259/VLOOKUP(A259,Usinas!$A:$B,2,FALSE()),"")</f>
        <v>4.6675213675213678</v>
      </c>
    </row>
    <row r="260" spans="1:4" ht="12" customHeight="1" x14ac:dyDescent="0.3">
      <c r="A260" s="167" t="s">
        <v>364</v>
      </c>
      <c r="B260" s="168">
        <v>45916</v>
      </c>
      <c r="C260" s="178">
        <v>2253.6</v>
      </c>
      <c r="D260" s="170">
        <f>IFERROR(C260/VLOOKUP(A260,Usinas!$A:$B,2,FALSE()),"")</f>
        <v>3.21025641025641</v>
      </c>
    </row>
    <row r="261" spans="1:4" ht="12" customHeight="1" x14ac:dyDescent="0.3">
      <c r="A261" s="167" t="s">
        <v>364</v>
      </c>
      <c r="B261" s="168">
        <v>45917</v>
      </c>
      <c r="C261" s="178">
        <v>3792.6</v>
      </c>
      <c r="D261" s="170">
        <f>IFERROR(C261/VLOOKUP(A261,Usinas!$A:$B,2,FALSE()),"")</f>
        <v>5.402564102564102</v>
      </c>
    </row>
    <row r="262" spans="1:4" ht="12" customHeight="1" x14ac:dyDescent="0.3">
      <c r="A262" s="167" t="s">
        <v>364</v>
      </c>
      <c r="B262" s="168">
        <v>45918</v>
      </c>
      <c r="C262" s="178">
        <v>3981</v>
      </c>
      <c r="D262" s="170">
        <f>IFERROR(C262/VLOOKUP(A262,Usinas!$A:$B,2,FALSE()),"")</f>
        <v>5.6709401709401712</v>
      </c>
    </row>
    <row r="263" spans="1:4" ht="12" customHeight="1" x14ac:dyDescent="0.3">
      <c r="A263" s="167" t="s">
        <v>364</v>
      </c>
      <c r="B263" s="168">
        <v>45919</v>
      </c>
      <c r="C263" s="178">
        <v>3728.6</v>
      </c>
      <c r="D263" s="170">
        <f>IFERROR(C263/VLOOKUP(A263,Usinas!$A:$B,2,FALSE()),"")</f>
        <v>5.3113960113960115</v>
      </c>
    </row>
    <row r="264" spans="1:4" ht="12" customHeight="1" x14ac:dyDescent="0.3">
      <c r="A264" s="167" t="s">
        <v>364</v>
      </c>
      <c r="B264" s="168">
        <v>45920</v>
      </c>
      <c r="C264" s="178">
        <v>3497.5</v>
      </c>
      <c r="D264" s="170">
        <f>IFERROR(C264/VLOOKUP(A264,Usinas!$A:$B,2,FALSE()),"")</f>
        <v>4.982193732193732</v>
      </c>
    </row>
    <row r="265" spans="1:4" ht="12" customHeight="1" x14ac:dyDescent="0.3">
      <c r="A265" s="167" t="s">
        <v>364</v>
      </c>
      <c r="B265" s="168">
        <v>45921</v>
      </c>
      <c r="C265" s="178">
        <v>3221.9</v>
      </c>
      <c r="D265" s="170">
        <f>IFERROR(C265/VLOOKUP(A265,Usinas!$A:$B,2,FALSE()),"")</f>
        <v>4.5896011396011396</v>
      </c>
    </row>
    <row r="266" spans="1:4" ht="12" customHeight="1" x14ac:dyDescent="0.3">
      <c r="A266" s="167" t="s">
        <v>364</v>
      </c>
      <c r="B266" s="168">
        <v>45922</v>
      </c>
      <c r="C266" s="178">
        <v>688.4</v>
      </c>
      <c r="D266" s="170">
        <f>IFERROR(C266/VLOOKUP(A266,Usinas!$A:$B,2,FALSE()),"")</f>
        <v>0.98062678062678055</v>
      </c>
    </row>
    <row r="267" spans="1:4" ht="12" customHeight="1" x14ac:dyDescent="0.3">
      <c r="A267" s="167" t="s">
        <v>364</v>
      </c>
      <c r="B267" s="168">
        <v>45923</v>
      </c>
      <c r="C267" s="178">
        <v>4291.5</v>
      </c>
      <c r="D267" s="170">
        <f>IFERROR(C267/VLOOKUP(A267,Usinas!$A:$B,2,FALSE()),"")</f>
        <v>6.1132478632478628</v>
      </c>
    </row>
    <row r="268" spans="1:4" ht="12" customHeight="1" x14ac:dyDescent="0.3">
      <c r="A268" s="167" t="s">
        <v>364</v>
      </c>
      <c r="B268" s="168">
        <v>45924</v>
      </c>
      <c r="C268" s="178">
        <v>4037.1</v>
      </c>
      <c r="D268" s="170">
        <f>IFERROR(C268/VLOOKUP(A268,Usinas!$A:$B,2,FALSE()),"")</f>
        <v>5.7508547008547009</v>
      </c>
    </row>
    <row r="269" spans="1:4" ht="12" customHeight="1" x14ac:dyDescent="0.3">
      <c r="A269" s="167" t="s">
        <v>364</v>
      </c>
      <c r="B269" s="168">
        <v>45925</v>
      </c>
      <c r="C269" s="178">
        <v>4141.6000000000004</v>
      </c>
      <c r="D269" s="170">
        <f>IFERROR(C269/VLOOKUP(A269,Usinas!$A:$B,2,FALSE()),"")</f>
        <v>5.8997150997151007</v>
      </c>
    </row>
    <row r="270" spans="1:4" ht="12" customHeight="1" x14ac:dyDescent="0.3">
      <c r="A270" s="167" t="s">
        <v>364</v>
      </c>
      <c r="B270" s="168">
        <v>45926</v>
      </c>
      <c r="C270" s="178">
        <v>4230.6000000000004</v>
      </c>
      <c r="D270" s="170">
        <f>IFERROR(C270/VLOOKUP(A270,Usinas!$A:$B,2,FALSE()),"")</f>
        <v>6.0264957264957273</v>
      </c>
    </row>
    <row r="271" spans="1:4" ht="12" customHeight="1" x14ac:dyDescent="0.3">
      <c r="A271" s="167" t="s">
        <v>364</v>
      </c>
      <c r="B271" s="168">
        <v>45927</v>
      </c>
      <c r="C271" s="178">
        <v>4126.7</v>
      </c>
      <c r="D271" s="170">
        <f>IFERROR(C271/VLOOKUP(A271,Usinas!$A:$B,2,FALSE()),"")</f>
        <v>5.8784900284900283</v>
      </c>
    </row>
    <row r="272" spans="1:4" ht="12" customHeight="1" x14ac:dyDescent="0.3">
      <c r="A272" s="167" t="s">
        <v>364</v>
      </c>
      <c r="B272" s="168">
        <v>45928</v>
      </c>
      <c r="C272" s="178">
        <v>1686.5</v>
      </c>
      <c r="D272" s="170">
        <f>IFERROR(C272/VLOOKUP(A272,Usinas!$A:$B,2,FALSE()),"")</f>
        <v>2.4024216524216526</v>
      </c>
    </row>
    <row r="273" spans="1:34" ht="12" customHeight="1" x14ac:dyDescent="0.3">
      <c r="A273" s="167" t="s">
        <v>364</v>
      </c>
      <c r="B273" s="168">
        <v>45929</v>
      </c>
      <c r="C273" s="178">
        <v>3238.8</v>
      </c>
      <c r="D273" s="170">
        <f>IFERROR(C273/VLOOKUP(A273,Usinas!$A:$B,2,FALSE()),"")</f>
        <v>4.6136752136752142</v>
      </c>
    </row>
    <row r="274" spans="1:34" ht="12" customHeight="1" x14ac:dyDescent="0.3">
      <c r="A274" s="167" t="s">
        <v>364</v>
      </c>
      <c r="B274" s="168">
        <v>45930</v>
      </c>
      <c r="C274" s="178">
        <v>1946.6</v>
      </c>
      <c r="D274" s="170">
        <f>IFERROR(C274/VLOOKUP(A274,Usinas!$A:$B,2,FALSE()),"")</f>
        <v>2.7729344729344727</v>
      </c>
    </row>
    <row r="275" spans="1:34" ht="12" customHeight="1" x14ac:dyDescent="0.3">
      <c r="A275" s="167" t="s">
        <v>364</v>
      </c>
      <c r="B275" s="168">
        <v>45931</v>
      </c>
      <c r="C275" s="178">
        <v>494.8</v>
      </c>
      <c r="D275" s="170">
        <f>IFERROR(C275/VLOOKUP(A275,Usinas!$A:$B,2,FALSE()),"")</f>
        <v>0.70484330484330482</v>
      </c>
      <c r="E275" s="179"/>
      <c r="F275" s="179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79"/>
      <c r="V275" s="179"/>
      <c r="W275" s="179"/>
      <c r="X275" s="179"/>
      <c r="Y275" s="179"/>
      <c r="Z275" s="179"/>
      <c r="AA275" s="179"/>
      <c r="AB275" s="179"/>
      <c r="AC275" s="179"/>
      <c r="AD275" s="179"/>
      <c r="AE275" s="179"/>
      <c r="AF275" s="179"/>
      <c r="AG275" s="179"/>
      <c r="AH275" s="179"/>
    </row>
    <row r="276" spans="1:34" ht="12" customHeight="1" x14ac:dyDescent="0.3">
      <c r="A276" s="167" t="s">
        <v>364</v>
      </c>
      <c r="B276" s="168">
        <v>45932</v>
      </c>
      <c r="C276" s="178">
        <v>1739.5</v>
      </c>
      <c r="D276" s="170">
        <f>IFERROR(C276/VLOOKUP(A276,Usinas!$A:$B,2,FALSE()),"")</f>
        <v>2.4779202279202277</v>
      </c>
    </row>
    <row r="277" spans="1:34" ht="12" customHeight="1" x14ac:dyDescent="0.3">
      <c r="A277" s="167" t="s">
        <v>364</v>
      </c>
      <c r="B277" s="168">
        <v>45933</v>
      </c>
      <c r="C277" s="178">
        <v>1243.3</v>
      </c>
      <c r="D277" s="170">
        <f>IFERROR(C277/VLOOKUP(A277,Usinas!$A:$B,2,FALSE()),"")</f>
        <v>1.7710826210826209</v>
      </c>
    </row>
    <row r="278" spans="1:34" ht="12" customHeight="1" x14ac:dyDescent="0.3">
      <c r="A278" s="167" t="s">
        <v>364</v>
      </c>
      <c r="B278" s="168">
        <v>45934</v>
      </c>
      <c r="C278" s="178">
        <v>4002.4</v>
      </c>
      <c r="D278" s="170">
        <f>IFERROR(C278/VLOOKUP(A278,Usinas!$A:$B,2,FALSE()),"")</f>
        <v>5.7014245014245013</v>
      </c>
    </row>
    <row r="279" spans="1:34" ht="12" customHeight="1" x14ac:dyDescent="0.3">
      <c r="A279" s="167" t="s">
        <v>364</v>
      </c>
      <c r="B279" s="168">
        <v>45935</v>
      </c>
      <c r="C279" s="178">
        <v>3940.7</v>
      </c>
      <c r="D279" s="170">
        <f>IFERROR(C279/VLOOKUP(A279,Usinas!$A:$B,2,FALSE()),"")</f>
        <v>5.6135327635327634</v>
      </c>
    </row>
    <row r="280" spans="1:34" ht="12" customHeight="1" x14ac:dyDescent="0.3">
      <c r="A280" s="167" t="s">
        <v>364</v>
      </c>
      <c r="B280" s="168">
        <v>45936</v>
      </c>
      <c r="C280" s="178">
        <v>1506.2</v>
      </c>
      <c r="D280" s="170">
        <f>IFERROR(C280/VLOOKUP(A280,Usinas!$A:$B,2,FALSE()),"")</f>
        <v>2.1455840455840458</v>
      </c>
    </row>
    <row r="281" spans="1:34" ht="12" customHeight="1" x14ac:dyDescent="0.3">
      <c r="A281" s="167" t="s">
        <v>364</v>
      </c>
      <c r="B281" s="168">
        <v>45937</v>
      </c>
      <c r="C281" s="178">
        <v>2358.9</v>
      </c>
      <c r="D281" s="170">
        <f>IFERROR(C281/VLOOKUP(A281,Usinas!$A:$B,2,FALSE()),"")</f>
        <v>3.3602564102564103</v>
      </c>
    </row>
    <row r="282" spans="1:34" ht="12" customHeight="1" x14ac:dyDescent="0.3">
      <c r="A282" s="167" t="s">
        <v>364</v>
      </c>
      <c r="B282" s="168">
        <v>45938</v>
      </c>
      <c r="C282" s="178">
        <v>3358.6</v>
      </c>
      <c r="D282" s="170">
        <f>IFERROR(C282/VLOOKUP(A282,Usinas!$A:$B,2,FALSE()),"")</f>
        <v>4.7843304843304839</v>
      </c>
    </row>
    <row r="283" spans="1:34" ht="12" customHeight="1" x14ac:dyDescent="0.3">
      <c r="A283" s="167" t="s">
        <v>364</v>
      </c>
      <c r="B283" s="168">
        <v>45939</v>
      </c>
      <c r="C283" s="178">
        <v>4042.7</v>
      </c>
      <c r="D283" s="170">
        <f>IFERROR(C283/VLOOKUP(A283,Usinas!$A:$B,2,FALSE()),"")</f>
        <v>5.7588319088319082</v>
      </c>
    </row>
    <row r="284" spans="1:34" ht="12" customHeight="1" x14ac:dyDescent="0.3">
      <c r="A284" s="167" t="s">
        <v>364</v>
      </c>
      <c r="B284" s="168">
        <v>45940</v>
      </c>
      <c r="C284" s="178">
        <v>4041.8</v>
      </c>
      <c r="D284" s="170">
        <f>IFERROR(C284/VLOOKUP(A284,Usinas!$A:$B,2,FALSE()),"")</f>
        <v>5.7575498575498578</v>
      </c>
    </row>
    <row r="285" spans="1:34" ht="12" customHeight="1" x14ac:dyDescent="0.3">
      <c r="A285" s="167" t="s">
        <v>364</v>
      </c>
      <c r="B285" s="168">
        <v>45941</v>
      </c>
      <c r="C285" s="178">
        <v>4257.8</v>
      </c>
      <c r="D285" s="170">
        <f>IFERROR(C285/VLOOKUP(A285,Usinas!$A:$B,2,FALSE()),"")</f>
        <v>6.0652421652421653</v>
      </c>
    </row>
    <row r="286" spans="1:34" ht="12" customHeight="1" x14ac:dyDescent="0.3">
      <c r="A286" s="167" t="s">
        <v>364</v>
      </c>
      <c r="B286" s="168">
        <v>45942</v>
      </c>
      <c r="C286" s="178">
        <v>1562.1</v>
      </c>
      <c r="D286" s="170">
        <f>IFERROR(C286/VLOOKUP(A286,Usinas!$A:$B,2,FALSE()),"")</f>
        <v>2.2252136752136753</v>
      </c>
    </row>
    <row r="287" spans="1:34" ht="12" customHeight="1" x14ac:dyDescent="0.3">
      <c r="A287" s="167" t="s">
        <v>364</v>
      </c>
      <c r="B287" s="168">
        <v>45943</v>
      </c>
      <c r="C287" s="178">
        <v>1022</v>
      </c>
      <c r="D287" s="170">
        <f>IFERROR(C287/VLOOKUP(A287,Usinas!$A:$B,2,FALSE()),"")</f>
        <v>1.4558404558404558</v>
      </c>
    </row>
    <row r="288" spans="1:34" ht="12" customHeight="1" x14ac:dyDescent="0.3">
      <c r="A288" s="167" t="s">
        <v>364</v>
      </c>
      <c r="B288" s="168">
        <v>45944</v>
      </c>
      <c r="C288" s="178">
        <v>4034.9</v>
      </c>
      <c r="D288" s="170">
        <f>IFERROR(C288/VLOOKUP(A288,Usinas!$A:$B,2,FALSE()),"")</f>
        <v>5.747720797720798</v>
      </c>
    </row>
    <row r="289" spans="1:4" ht="12" customHeight="1" x14ac:dyDescent="0.3">
      <c r="A289" s="167" t="s">
        <v>364</v>
      </c>
      <c r="B289" s="168">
        <v>45945</v>
      </c>
      <c r="C289" s="178">
        <v>4376.2</v>
      </c>
      <c r="D289" s="170">
        <f>IFERROR(C289/VLOOKUP(A289,Usinas!$A:$B,2,FALSE()),"")</f>
        <v>6.2339031339031337</v>
      </c>
    </row>
    <row r="290" spans="1:4" ht="12" customHeight="1" x14ac:dyDescent="0.3">
      <c r="A290" s="167" t="s">
        <v>364</v>
      </c>
      <c r="B290" s="168">
        <v>45946</v>
      </c>
      <c r="C290" s="178">
        <v>3838.3</v>
      </c>
      <c r="D290" s="170">
        <f>IFERROR(C290/VLOOKUP(A290,Usinas!$A:$B,2,FALSE()),"")</f>
        <v>5.4676638176638175</v>
      </c>
    </row>
    <row r="291" spans="1:4" ht="12" customHeight="1" x14ac:dyDescent="0.3">
      <c r="A291" s="167" t="s">
        <v>364</v>
      </c>
      <c r="B291" s="168">
        <v>45947</v>
      </c>
      <c r="C291" s="178">
        <v>3372.5</v>
      </c>
      <c r="D291" s="170">
        <f>IFERROR(C291/VLOOKUP(A291,Usinas!$A:$B,2,FALSE()),"")</f>
        <v>4.8041310541310542</v>
      </c>
    </row>
    <row r="292" spans="1:4" ht="12" customHeight="1" x14ac:dyDescent="0.3">
      <c r="A292" s="167" t="s">
        <v>364</v>
      </c>
      <c r="B292" s="168">
        <v>45948</v>
      </c>
      <c r="C292" s="178">
        <v>879.9</v>
      </c>
      <c r="D292" s="170">
        <f>IFERROR(C292/VLOOKUP(A292,Usinas!$A:$B,2,FALSE()),"")</f>
        <v>1.2534188034188034</v>
      </c>
    </row>
    <row r="293" spans="1:4" ht="12" customHeight="1" x14ac:dyDescent="0.3">
      <c r="A293" s="167" t="s">
        <v>364</v>
      </c>
      <c r="B293" s="168">
        <v>45949</v>
      </c>
      <c r="C293" s="178">
        <v>4260.1000000000004</v>
      </c>
      <c r="D293" s="170">
        <f>IFERROR(C293/VLOOKUP(A293,Usinas!$A:$B,2,FALSE()),"")</f>
        <v>6.0685185185185189</v>
      </c>
    </row>
    <row r="294" spans="1:4" ht="12" customHeight="1" x14ac:dyDescent="0.3">
      <c r="A294" s="167" t="s">
        <v>364</v>
      </c>
      <c r="B294" s="168">
        <v>45950</v>
      </c>
      <c r="C294" s="178">
        <v>4844.2</v>
      </c>
      <c r="D294" s="170">
        <f>IFERROR(C294/VLOOKUP(A294,Usinas!$A:$B,2,FALSE()),"")</f>
        <v>6.9005698005698006</v>
      </c>
    </row>
    <row r="295" spans="1:4" ht="12" customHeight="1" x14ac:dyDescent="0.3">
      <c r="A295" s="167" t="s">
        <v>364</v>
      </c>
      <c r="B295" s="168">
        <v>45951</v>
      </c>
      <c r="C295" s="178">
        <v>4654.5</v>
      </c>
      <c r="D295" s="170">
        <f>IFERROR(C295/VLOOKUP(A295,Usinas!$A:$B,2,FALSE()),"")</f>
        <v>6.6303418803418808</v>
      </c>
    </row>
    <row r="296" spans="1:4" ht="12" customHeight="1" x14ac:dyDescent="0.3">
      <c r="A296" s="167" t="s">
        <v>364</v>
      </c>
      <c r="B296" s="168">
        <v>45952</v>
      </c>
      <c r="C296" s="178">
        <v>4761.8</v>
      </c>
      <c r="D296" s="170">
        <f>IFERROR(C296/VLOOKUP(A296,Usinas!$A:$B,2,FALSE()),"")</f>
        <v>6.7831908831908834</v>
      </c>
    </row>
    <row r="297" spans="1:4" ht="12" customHeight="1" x14ac:dyDescent="0.3">
      <c r="A297" s="167" t="s">
        <v>364</v>
      </c>
      <c r="B297" s="168">
        <v>45953</v>
      </c>
      <c r="C297" s="178">
        <v>4158.1000000000004</v>
      </c>
      <c r="D297" s="170">
        <f>IFERROR(C297/VLOOKUP(A297,Usinas!$A:$B,2,FALSE()),"")</f>
        <v>5.9232193732193741</v>
      </c>
    </row>
    <row r="298" spans="1:4" ht="12" customHeight="1" x14ac:dyDescent="0.3">
      <c r="A298" s="167" t="s">
        <v>364</v>
      </c>
      <c r="B298" s="168">
        <v>45954</v>
      </c>
      <c r="C298" s="178">
        <v>4620.7</v>
      </c>
      <c r="D298" s="170">
        <f>IFERROR(C298/VLOOKUP(A298,Usinas!$A:$B,2,FALSE()),"")</f>
        <v>6.5821937321937316</v>
      </c>
    </row>
    <row r="299" spans="1:4" ht="12" customHeight="1" x14ac:dyDescent="0.3">
      <c r="A299" s="167" t="s">
        <v>364</v>
      </c>
      <c r="B299" s="168">
        <v>45955</v>
      </c>
      <c r="C299" s="178">
        <v>3693.6</v>
      </c>
      <c r="D299" s="170">
        <f>IFERROR(C299/VLOOKUP(A299,Usinas!$A:$B,2,FALSE()),"")</f>
        <v>5.2615384615384615</v>
      </c>
    </row>
    <row r="300" spans="1:4" ht="12" customHeight="1" x14ac:dyDescent="0.3">
      <c r="A300" s="167" t="s">
        <v>364</v>
      </c>
      <c r="B300" s="168">
        <v>45956</v>
      </c>
      <c r="C300" s="178">
        <v>416.4</v>
      </c>
      <c r="D300" s="170">
        <f>IFERROR(C300/VLOOKUP(A300,Usinas!$A:$B,2,FALSE()),"")</f>
        <v>0.59316239316239316</v>
      </c>
    </row>
    <row r="301" spans="1:4" ht="12" customHeight="1" x14ac:dyDescent="0.3">
      <c r="A301" s="167" t="s">
        <v>364</v>
      </c>
      <c r="B301" s="168">
        <v>45957</v>
      </c>
      <c r="C301" s="178">
        <v>3121.4</v>
      </c>
      <c r="D301" s="170">
        <f>IFERROR(C301/VLOOKUP(A301,Usinas!$A:$B,2,FALSE()),"")</f>
        <v>4.4464387464387469</v>
      </c>
    </row>
    <row r="302" spans="1:4" ht="12" customHeight="1" x14ac:dyDescent="0.3">
      <c r="A302" s="167" t="s">
        <v>364</v>
      </c>
      <c r="B302" s="168">
        <v>45958</v>
      </c>
      <c r="C302" s="178">
        <v>1641.4</v>
      </c>
      <c r="D302" s="170">
        <f>IFERROR(C302/VLOOKUP(A302,Usinas!$A:$B,2,FALSE()),"")</f>
        <v>2.3381766381766385</v>
      </c>
    </row>
    <row r="303" spans="1:4" ht="12" customHeight="1" x14ac:dyDescent="0.3">
      <c r="A303" s="167" t="s">
        <v>364</v>
      </c>
      <c r="B303" s="168">
        <v>45959</v>
      </c>
      <c r="C303" s="178">
        <v>2758.5</v>
      </c>
      <c r="D303" s="170">
        <f>IFERROR(C303/VLOOKUP(A303,Usinas!$A:$B,2,FALSE()),"")</f>
        <v>3.9294871794871793</v>
      </c>
    </row>
    <row r="304" spans="1:4" ht="12" customHeight="1" x14ac:dyDescent="0.3">
      <c r="A304" s="167" t="s">
        <v>364</v>
      </c>
      <c r="B304" s="168">
        <v>45960</v>
      </c>
      <c r="C304" s="178">
        <v>3091.4</v>
      </c>
      <c r="D304" s="170">
        <f>IFERROR(C304/VLOOKUP(A304,Usinas!$A:$B,2,FALSE()),"")</f>
        <v>4.4037037037037035</v>
      </c>
    </row>
    <row r="305" spans="1:33" ht="12" customHeight="1" x14ac:dyDescent="0.3">
      <c r="A305" s="167" t="s">
        <v>364</v>
      </c>
      <c r="B305" s="168">
        <v>45961</v>
      </c>
      <c r="C305" s="178">
        <v>3812.1</v>
      </c>
      <c r="D305" s="170">
        <f>IFERROR(C305/VLOOKUP(A305,Usinas!$A:$B,2,FALSE()),"")</f>
        <v>5.4303418803418806</v>
      </c>
    </row>
    <row r="306" spans="1:33" ht="12" customHeight="1" x14ac:dyDescent="0.3">
      <c r="A306" s="167" t="s">
        <v>364</v>
      </c>
      <c r="B306" s="168">
        <v>45962</v>
      </c>
      <c r="C306" s="178">
        <v>3153.3</v>
      </c>
      <c r="D306" s="170">
        <f>IFERROR(C306/VLOOKUP(A306,Usinas!$A:$B,2,FALSE()),"")</f>
        <v>4.4918803418803419</v>
      </c>
      <c r="E306" s="179"/>
      <c r="F306" s="179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79"/>
      <c r="V306" s="179"/>
      <c r="W306" s="179"/>
      <c r="X306" s="179"/>
      <c r="Y306" s="179"/>
      <c r="Z306" s="179"/>
      <c r="AA306" s="179"/>
      <c r="AB306" s="179"/>
      <c r="AC306" s="179"/>
      <c r="AD306" s="179"/>
      <c r="AE306" s="179"/>
      <c r="AF306" s="179"/>
      <c r="AG306" s="179"/>
    </row>
    <row r="307" spans="1:33" ht="12" customHeight="1" x14ac:dyDescent="0.3">
      <c r="A307" s="167" t="s">
        <v>364</v>
      </c>
      <c r="B307" s="168">
        <v>45963</v>
      </c>
      <c r="C307" s="178">
        <v>2718.2</v>
      </c>
      <c r="D307" s="170">
        <f>IFERROR(C307/VLOOKUP(A307,Usinas!$A:$B,2,FALSE()),"")</f>
        <v>3.8720797720797719</v>
      </c>
    </row>
    <row r="308" spans="1:33" ht="12" customHeight="1" x14ac:dyDescent="0.3">
      <c r="A308" s="167" t="s">
        <v>364</v>
      </c>
      <c r="B308" s="168">
        <v>45964</v>
      </c>
      <c r="C308" s="178">
        <v>3118.6</v>
      </c>
      <c r="D308" s="170">
        <f>IFERROR(C308/VLOOKUP(A308,Usinas!$A:$B,2,FALSE()),"")</f>
        <v>4.4424501424501424</v>
      </c>
    </row>
    <row r="309" spans="1:33" ht="12" customHeight="1" x14ac:dyDescent="0.3">
      <c r="A309" s="167" t="s">
        <v>364</v>
      </c>
      <c r="B309" s="168">
        <v>45965</v>
      </c>
      <c r="C309" s="178">
        <v>3888.5</v>
      </c>
      <c r="D309" s="170">
        <f>IFERROR(C309/VLOOKUP(A309,Usinas!$A:$B,2,FALSE()),"")</f>
        <v>5.5391737891737893</v>
      </c>
    </row>
    <row r="310" spans="1:33" ht="12" customHeight="1" x14ac:dyDescent="0.3">
      <c r="A310" s="167" t="s">
        <v>364</v>
      </c>
      <c r="B310" s="168">
        <v>45966</v>
      </c>
      <c r="C310" s="178">
        <v>3065.9</v>
      </c>
      <c r="D310" s="170">
        <f>IFERROR(C310/VLOOKUP(A310,Usinas!$A:$B,2,FALSE()),"")</f>
        <v>4.3673789173789173</v>
      </c>
    </row>
    <row r="311" spans="1:33" ht="12" customHeight="1" x14ac:dyDescent="0.3">
      <c r="A311" s="167" t="s">
        <v>364</v>
      </c>
      <c r="B311" s="168">
        <v>45967</v>
      </c>
      <c r="C311" s="178">
        <v>4363.6000000000004</v>
      </c>
      <c r="D311" s="170">
        <f>IFERROR(C311/VLOOKUP(A311,Usinas!$A:$B,2,FALSE()),"")</f>
        <v>6.2159544159544167</v>
      </c>
    </row>
    <row r="312" spans="1:33" ht="12" customHeight="1" x14ac:dyDescent="0.3">
      <c r="A312" s="167" t="s">
        <v>364</v>
      </c>
      <c r="B312" s="168">
        <v>45968</v>
      </c>
      <c r="C312" s="178">
        <v>4156.6000000000004</v>
      </c>
      <c r="D312" s="170">
        <f>IFERROR(C312/VLOOKUP(A312,Usinas!$A:$B,2,FALSE()),"")</f>
        <v>5.921082621082622</v>
      </c>
    </row>
    <row r="313" spans="1:33" ht="12" customHeight="1" x14ac:dyDescent="0.3">
      <c r="A313" s="167" t="s">
        <v>364</v>
      </c>
      <c r="B313" s="168">
        <v>45969</v>
      </c>
      <c r="C313" s="178">
        <v>3276.9</v>
      </c>
      <c r="D313" s="170">
        <f>IFERROR(C313/VLOOKUP(A313,Usinas!$A:$B,2,FALSE()),"")</f>
        <v>4.6679487179487182</v>
      </c>
    </row>
    <row r="314" spans="1:33" ht="12" customHeight="1" x14ac:dyDescent="0.3">
      <c r="A314" s="167" t="s">
        <v>364</v>
      </c>
      <c r="B314" s="168">
        <v>45970</v>
      </c>
      <c r="C314" s="178">
        <v>4420.8999999999996</v>
      </c>
      <c r="D314" s="170">
        <f>IFERROR(C314/VLOOKUP(A314,Usinas!$A:$B,2,FALSE()),"")</f>
        <v>6.2975783475783471</v>
      </c>
    </row>
    <row r="315" spans="1:33" ht="12" customHeight="1" x14ac:dyDescent="0.3">
      <c r="A315" s="167" t="s">
        <v>364</v>
      </c>
      <c r="B315" s="168">
        <v>45971</v>
      </c>
      <c r="C315" s="178">
        <v>4620.6000000000004</v>
      </c>
      <c r="D315" s="170">
        <f>IFERROR(C315/VLOOKUP(A315,Usinas!$A:$B,2,FALSE()),"")</f>
        <v>6.5820512820512826</v>
      </c>
    </row>
    <row r="316" spans="1:33" ht="12" customHeight="1" x14ac:dyDescent="0.3">
      <c r="A316" s="167" t="s">
        <v>364</v>
      </c>
      <c r="B316" s="168">
        <v>45972</v>
      </c>
      <c r="C316" s="178">
        <v>4748.1000000000004</v>
      </c>
      <c r="D316" s="170">
        <f>IFERROR(C316/VLOOKUP(A316,Usinas!$A:$B,2,FALSE()),"")</f>
        <v>6.7636752136752145</v>
      </c>
    </row>
    <row r="317" spans="1:33" ht="12" customHeight="1" x14ac:dyDescent="0.3">
      <c r="A317" s="167" t="s">
        <v>364</v>
      </c>
      <c r="B317" s="168">
        <v>45973</v>
      </c>
      <c r="C317" s="178">
        <v>3887.5</v>
      </c>
      <c r="D317" s="170">
        <f>IFERROR(C317/VLOOKUP(A317,Usinas!$A:$B,2,FALSE()),"")</f>
        <v>5.5377492877492873</v>
      </c>
    </row>
    <row r="318" spans="1:33" ht="12" customHeight="1" x14ac:dyDescent="0.3">
      <c r="A318" s="167" t="s">
        <v>364</v>
      </c>
      <c r="B318" s="168">
        <v>45974</v>
      </c>
      <c r="C318" s="178">
        <v>1724.1</v>
      </c>
      <c r="D318" s="170">
        <f>IFERROR(C318/VLOOKUP(A318,Usinas!$A:$B,2,FALSE()),"")</f>
        <v>2.4559829059829057</v>
      </c>
    </row>
    <row r="319" spans="1:33" ht="12" customHeight="1" x14ac:dyDescent="0.3">
      <c r="A319" s="167" t="s">
        <v>364</v>
      </c>
      <c r="B319" s="168">
        <v>45975</v>
      </c>
      <c r="C319" s="178">
        <v>2259</v>
      </c>
      <c r="D319" s="170">
        <f>IFERROR(C319/VLOOKUP(A319,Usinas!$A:$B,2,FALSE()),"")</f>
        <v>3.2179487179487181</v>
      </c>
    </row>
    <row r="320" spans="1:33" ht="12" customHeight="1" x14ac:dyDescent="0.3">
      <c r="A320" s="167" t="s">
        <v>364</v>
      </c>
      <c r="B320" s="168">
        <v>45976</v>
      </c>
      <c r="C320" s="178">
        <v>865.6</v>
      </c>
      <c r="D320" s="170">
        <f>IFERROR(C320/VLOOKUP(A320,Usinas!$A:$B,2,FALSE()),"")</f>
        <v>1.233048433048433</v>
      </c>
    </row>
    <row r="321" spans="1:34" ht="12" customHeight="1" x14ac:dyDescent="0.3">
      <c r="A321" s="167" t="s">
        <v>364</v>
      </c>
      <c r="B321" s="168">
        <v>45977</v>
      </c>
      <c r="C321" s="178">
        <v>783.7</v>
      </c>
      <c r="D321" s="170">
        <f>IFERROR(C321/VLOOKUP(A321,Usinas!$A:$B,2,FALSE()),"")</f>
        <v>1.1163817663817663</v>
      </c>
    </row>
    <row r="322" spans="1:34" ht="12" customHeight="1" x14ac:dyDescent="0.3">
      <c r="A322" s="167" t="s">
        <v>364</v>
      </c>
      <c r="B322" s="168">
        <v>45978</v>
      </c>
      <c r="C322" s="178">
        <v>1828.2</v>
      </c>
      <c r="D322" s="170">
        <f>IFERROR(C322/VLOOKUP(A322,Usinas!$A:$B,2,FALSE()),"")</f>
        <v>2.6042735042735043</v>
      </c>
    </row>
    <row r="323" spans="1:34" ht="12" customHeight="1" x14ac:dyDescent="0.3">
      <c r="A323" s="167" t="s">
        <v>364</v>
      </c>
      <c r="B323" s="168">
        <v>45979</v>
      </c>
      <c r="C323" s="178">
        <v>4120.5</v>
      </c>
      <c r="D323" s="170">
        <f>IFERROR(C323/VLOOKUP(A323,Usinas!$A:$B,2,FALSE()),"")</f>
        <v>5.8696581196581192</v>
      </c>
    </row>
    <row r="324" spans="1:34" ht="12" customHeight="1" x14ac:dyDescent="0.3">
      <c r="A324" s="167" t="s">
        <v>364</v>
      </c>
      <c r="B324" s="168">
        <v>45980</v>
      </c>
      <c r="C324" s="178">
        <v>4446.1000000000004</v>
      </c>
      <c r="D324" s="170">
        <f>IFERROR(C324/VLOOKUP(A324,Usinas!$A:$B,2,FALSE()),"")</f>
        <v>6.3334757834757838</v>
      </c>
    </row>
    <row r="325" spans="1:34" ht="12" customHeight="1" x14ac:dyDescent="0.3">
      <c r="A325" s="167" t="s">
        <v>364</v>
      </c>
      <c r="B325" s="168">
        <v>45981</v>
      </c>
      <c r="C325" s="178">
        <v>4406.6000000000004</v>
      </c>
      <c r="D325" s="170">
        <f>IFERROR(C325/VLOOKUP(A325,Usinas!$A:$B,2,FALSE()),"")</f>
        <v>6.2772079772079774</v>
      </c>
    </row>
    <row r="326" spans="1:34" ht="12" customHeight="1" x14ac:dyDescent="0.3">
      <c r="A326" s="167" t="s">
        <v>364</v>
      </c>
      <c r="B326" s="168">
        <v>45982</v>
      </c>
      <c r="C326" s="178">
        <v>4592.3999999999996</v>
      </c>
      <c r="D326" s="170">
        <f>IFERROR(C326/VLOOKUP(A326,Usinas!$A:$B,2,FALSE()),"")</f>
        <v>6.5418803418803417</v>
      </c>
    </row>
    <row r="327" spans="1:34" ht="12" customHeight="1" x14ac:dyDescent="0.3">
      <c r="A327" s="167" t="s">
        <v>364</v>
      </c>
      <c r="B327" s="168">
        <v>45983</v>
      </c>
      <c r="C327" s="178">
        <v>4246.8999999999996</v>
      </c>
      <c r="D327" s="170">
        <f>IFERROR(C327/VLOOKUP(A327,Usinas!$A:$B,2,FALSE()),"")</f>
        <v>6.0497150997150992</v>
      </c>
    </row>
    <row r="328" spans="1:34" ht="12" customHeight="1" x14ac:dyDescent="0.3">
      <c r="A328" s="167" t="s">
        <v>364</v>
      </c>
      <c r="B328" s="168">
        <v>45984</v>
      </c>
      <c r="C328" s="178">
        <v>2273.6999999999998</v>
      </c>
      <c r="D328" s="170">
        <f>IFERROR(C328/VLOOKUP(A328,Usinas!$A:$B,2,FALSE()),"")</f>
        <v>3.2388888888888885</v>
      </c>
    </row>
    <row r="329" spans="1:34" ht="12" customHeight="1" x14ac:dyDescent="0.3">
      <c r="A329" s="167" t="s">
        <v>364</v>
      </c>
      <c r="B329" s="168">
        <v>45985</v>
      </c>
      <c r="C329" s="178">
        <v>3627.3</v>
      </c>
      <c r="D329" s="170">
        <f>IFERROR(C329/VLOOKUP(A329,Usinas!$A:$B,2,FALSE()),"")</f>
        <v>5.1670940170940174</v>
      </c>
    </row>
    <row r="330" spans="1:34" ht="12" customHeight="1" x14ac:dyDescent="0.3">
      <c r="A330" s="167" t="s">
        <v>364</v>
      </c>
      <c r="B330" s="168">
        <v>45986</v>
      </c>
      <c r="C330" s="178">
        <v>4713.5</v>
      </c>
      <c r="D330" s="170">
        <f>IFERROR(C330/VLOOKUP(A330,Usinas!$A:$B,2,FALSE()),"")</f>
        <v>6.7143874643874648</v>
      </c>
    </row>
    <row r="331" spans="1:34" ht="12" customHeight="1" x14ac:dyDescent="0.3">
      <c r="A331" s="167" t="s">
        <v>364</v>
      </c>
      <c r="B331" s="168">
        <v>45987</v>
      </c>
      <c r="C331" s="178">
        <v>4726.2</v>
      </c>
      <c r="D331" s="170">
        <f>IFERROR(C331/VLOOKUP(A331,Usinas!$A:$B,2,FALSE()),"")</f>
        <v>6.7324786324786325</v>
      </c>
    </row>
    <row r="332" spans="1:34" ht="12" customHeight="1" x14ac:dyDescent="0.3">
      <c r="A332" s="167" t="s">
        <v>364</v>
      </c>
      <c r="B332" s="168">
        <v>45988</v>
      </c>
      <c r="C332" s="178">
        <v>4660.2</v>
      </c>
      <c r="D332" s="170">
        <f>IFERROR(C332/VLOOKUP(A332,Usinas!$A:$B,2,FALSE()),"")</f>
        <v>6.638461538461538</v>
      </c>
    </row>
    <row r="333" spans="1:34" ht="12" customHeight="1" x14ac:dyDescent="0.3">
      <c r="A333" s="167" t="s">
        <v>364</v>
      </c>
      <c r="B333" s="168">
        <v>45989</v>
      </c>
      <c r="C333" s="178">
        <v>4557.1000000000004</v>
      </c>
      <c r="D333" s="170">
        <f>IFERROR(C333/VLOOKUP(A333,Usinas!$A:$B,2,FALSE()),"")</f>
        <v>6.4915954415954422</v>
      </c>
    </row>
    <row r="334" spans="1:34" ht="12" customHeight="1" x14ac:dyDescent="0.3">
      <c r="A334" s="167" t="s">
        <v>364</v>
      </c>
      <c r="B334" s="168">
        <v>45990</v>
      </c>
      <c r="C334" s="178">
        <v>4467</v>
      </c>
      <c r="D334" s="170">
        <f>IFERROR(C334/VLOOKUP(A334,Usinas!$A:$B,2,FALSE()),"")</f>
        <v>6.3632478632478628</v>
      </c>
    </row>
    <row r="335" spans="1:34" ht="12" customHeight="1" x14ac:dyDescent="0.3">
      <c r="A335" s="167" t="s">
        <v>364</v>
      </c>
      <c r="B335" s="168">
        <v>45991</v>
      </c>
      <c r="C335" s="178">
        <v>4263.8</v>
      </c>
      <c r="D335" s="170">
        <f>IFERROR(C335/VLOOKUP(A335,Usinas!$A:$B,2,FALSE()),"")</f>
        <v>6.0737891737891738</v>
      </c>
    </row>
    <row r="336" spans="1:34" ht="12" customHeight="1" x14ac:dyDescent="0.3">
      <c r="A336" s="167" t="s">
        <v>364</v>
      </c>
      <c r="B336" s="168">
        <v>45992</v>
      </c>
      <c r="C336" s="178">
        <v>1639.3</v>
      </c>
      <c r="D336" s="170">
        <f>IFERROR(C336/VLOOKUP(A336,Usinas!$A:$B,2,FALSE()),"")</f>
        <v>2.335185185185185</v>
      </c>
      <c r="E336" s="179"/>
      <c r="F336" s="179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79"/>
      <c r="V336" s="179"/>
      <c r="W336" s="179"/>
      <c r="X336" s="179"/>
      <c r="Y336" s="179"/>
      <c r="Z336" s="179"/>
      <c r="AA336" s="179"/>
      <c r="AB336" s="179"/>
      <c r="AC336" s="179"/>
      <c r="AD336" s="179"/>
      <c r="AE336" s="179"/>
      <c r="AF336" s="179"/>
      <c r="AG336" s="179"/>
      <c r="AH336" s="179"/>
    </row>
    <row r="337" spans="1:4" ht="12" customHeight="1" x14ac:dyDescent="0.3">
      <c r="A337" s="167" t="s">
        <v>364</v>
      </c>
      <c r="B337" s="168">
        <v>45993</v>
      </c>
      <c r="C337" s="178">
        <v>3332</v>
      </c>
      <c r="D337" s="170">
        <f>IFERROR(C337/VLOOKUP(A337,Usinas!$A:$B,2,FALSE()),"")</f>
        <v>4.7464387464387467</v>
      </c>
    </row>
    <row r="338" spans="1:4" ht="12" customHeight="1" x14ac:dyDescent="0.3">
      <c r="A338" s="167" t="s">
        <v>364</v>
      </c>
      <c r="B338" s="168">
        <v>45994</v>
      </c>
      <c r="C338" s="178">
        <v>3990.4</v>
      </c>
      <c r="D338" s="170">
        <f>IFERROR(C338/VLOOKUP(A338,Usinas!$A:$B,2,FALSE()),"")</f>
        <v>5.6843304843304843</v>
      </c>
    </row>
    <row r="339" spans="1:4" ht="12" customHeight="1" x14ac:dyDescent="0.3">
      <c r="A339" s="167" t="s">
        <v>364</v>
      </c>
      <c r="B339" s="168">
        <v>45995</v>
      </c>
      <c r="C339" s="178">
        <v>4579.6000000000004</v>
      </c>
      <c r="D339" s="170">
        <f>IFERROR(C339/VLOOKUP(A339,Usinas!$A:$B,2,FALSE()),"")</f>
        <v>6.5236467236467242</v>
      </c>
    </row>
    <row r="340" spans="1:4" ht="12" customHeight="1" x14ac:dyDescent="0.3">
      <c r="A340" s="167" t="s">
        <v>364</v>
      </c>
      <c r="B340" s="168">
        <v>45996</v>
      </c>
      <c r="C340" s="178">
        <v>4274.5</v>
      </c>
      <c r="D340" s="170">
        <f>IFERROR(C340/VLOOKUP(A340,Usinas!$A:$B,2,FALSE()),"")</f>
        <v>6.0890313390313393</v>
      </c>
    </row>
    <row r="341" spans="1:4" ht="12" customHeight="1" x14ac:dyDescent="0.3">
      <c r="A341" s="167" t="s">
        <v>364</v>
      </c>
      <c r="B341" s="168">
        <v>45997</v>
      </c>
      <c r="C341" s="178">
        <v>4022.1</v>
      </c>
      <c r="D341" s="170">
        <f>IFERROR(C341/VLOOKUP(A341,Usinas!$A:$B,2,FALSE()),"")</f>
        <v>5.7294871794871796</v>
      </c>
    </row>
    <row r="342" spans="1:4" ht="12" customHeight="1" x14ac:dyDescent="0.3">
      <c r="A342" s="167" t="s">
        <v>364</v>
      </c>
      <c r="B342" s="168">
        <v>45998</v>
      </c>
      <c r="C342" s="178">
        <v>2537.4</v>
      </c>
      <c r="D342" s="170">
        <f>IFERROR(C342/VLOOKUP(A342,Usinas!$A:$B,2,FALSE()),"")</f>
        <v>3.6145299145299146</v>
      </c>
    </row>
    <row r="343" spans="1:4" ht="12" customHeight="1" x14ac:dyDescent="0.3">
      <c r="A343" s="167" t="s">
        <v>364</v>
      </c>
      <c r="B343" s="168">
        <v>45999</v>
      </c>
      <c r="C343" s="178">
        <v>2576.6999999999998</v>
      </c>
      <c r="D343" s="170">
        <f>IFERROR(C343/VLOOKUP(A343,Usinas!$A:$B,2,FALSE()),"")</f>
        <v>3.6705128205128204</v>
      </c>
    </row>
    <row r="344" spans="1:4" ht="12" customHeight="1" x14ac:dyDescent="0.3">
      <c r="A344" s="167" t="s">
        <v>364</v>
      </c>
      <c r="B344" s="168">
        <v>46000</v>
      </c>
      <c r="C344" s="178">
        <v>3103.7</v>
      </c>
      <c r="D344" s="170">
        <f>IFERROR(C344/VLOOKUP(A344,Usinas!$A:$B,2,FALSE()),"")</f>
        <v>4.4212250712250709</v>
      </c>
    </row>
    <row r="345" spans="1:4" ht="12" customHeight="1" x14ac:dyDescent="0.3">
      <c r="A345" s="167" t="s">
        <v>364</v>
      </c>
      <c r="B345" s="168">
        <v>46001</v>
      </c>
      <c r="C345" s="178">
        <v>4667</v>
      </c>
      <c r="D345" s="170">
        <f>IFERROR(C345/VLOOKUP(A345,Usinas!$A:$B,2,FALSE()),"")</f>
        <v>6.6481481481481479</v>
      </c>
    </row>
    <row r="346" spans="1:4" ht="12" customHeight="1" x14ac:dyDescent="0.3">
      <c r="A346" s="167" t="s">
        <v>364</v>
      </c>
      <c r="B346" s="168">
        <v>46002</v>
      </c>
      <c r="C346" s="178">
        <v>4382.6000000000004</v>
      </c>
      <c r="D346" s="170">
        <f>IFERROR(C346/VLOOKUP(A346,Usinas!$A:$B,2,FALSE()),"")</f>
        <v>6.2430199430199433</v>
      </c>
    </row>
    <row r="347" spans="1:4" ht="12" customHeight="1" x14ac:dyDescent="0.3">
      <c r="A347" s="167" t="s">
        <v>364</v>
      </c>
      <c r="B347" s="168">
        <v>46003</v>
      </c>
      <c r="C347" s="178">
        <v>2108.4</v>
      </c>
      <c r="D347" s="170">
        <f>IFERROR(C347/VLOOKUP(A347,Usinas!$A:$B,2,FALSE()),"")</f>
        <v>3.0034188034188034</v>
      </c>
    </row>
    <row r="348" spans="1:4" ht="12" customHeight="1" x14ac:dyDescent="0.3">
      <c r="A348" s="167" t="s">
        <v>364</v>
      </c>
      <c r="B348" s="168">
        <v>46004</v>
      </c>
      <c r="C348" s="178">
        <v>2402.5</v>
      </c>
      <c r="D348" s="170">
        <f>IFERROR(C348/VLOOKUP(A348,Usinas!$A:$B,2,FALSE()),"")</f>
        <v>3.4223646723646723</v>
      </c>
    </row>
    <row r="349" spans="1:4" ht="12" customHeight="1" x14ac:dyDescent="0.3">
      <c r="A349" s="167" t="s">
        <v>364</v>
      </c>
      <c r="B349" s="168">
        <v>46005</v>
      </c>
      <c r="C349" s="178">
        <v>2688</v>
      </c>
      <c r="D349" s="170">
        <f>IFERROR(C349/VLOOKUP(A349,Usinas!$A:$B,2,FALSE()),"")</f>
        <v>3.8290598290598292</v>
      </c>
    </row>
    <row r="350" spans="1:4" ht="12" customHeight="1" x14ac:dyDescent="0.3">
      <c r="A350" s="167" t="s">
        <v>364</v>
      </c>
      <c r="B350" s="168">
        <v>46006</v>
      </c>
      <c r="C350" s="178">
        <v>1916.8</v>
      </c>
      <c r="D350" s="170">
        <f>IFERROR(C350/VLOOKUP(A350,Usinas!$A:$B,2,FALSE()),"")</f>
        <v>2.7304843304843303</v>
      </c>
    </row>
    <row r="351" spans="1:4" ht="12" customHeight="1" x14ac:dyDescent="0.3">
      <c r="A351" s="167" t="s">
        <v>364</v>
      </c>
      <c r="B351" s="168">
        <v>46007</v>
      </c>
      <c r="C351" s="178">
        <v>2499.5</v>
      </c>
      <c r="D351" s="170">
        <f>IFERROR(C351/VLOOKUP(A351,Usinas!$A:$B,2,FALSE()),"")</f>
        <v>3.5605413105413106</v>
      </c>
    </row>
    <row r="352" spans="1:4" ht="12" customHeight="1" x14ac:dyDescent="0.3">
      <c r="A352" s="167" t="s">
        <v>364</v>
      </c>
      <c r="B352" s="168">
        <v>46008</v>
      </c>
      <c r="C352" s="178">
        <v>3247.7</v>
      </c>
      <c r="D352" s="170">
        <f>IFERROR(C352/VLOOKUP(A352,Usinas!$A:$B,2,FALSE()),"")</f>
        <v>4.6263532763532762</v>
      </c>
    </row>
    <row r="353" spans="1:4" ht="12" customHeight="1" x14ac:dyDescent="0.3">
      <c r="A353" s="167" t="s">
        <v>364</v>
      </c>
      <c r="B353" s="168">
        <v>46009</v>
      </c>
      <c r="C353" s="178">
        <v>4662.7</v>
      </c>
      <c r="D353" s="170">
        <f>IFERROR(C353/VLOOKUP(A353,Usinas!$A:$B,2,FALSE()),"")</f>
        <v>6.6420227920227921</v>
      </c>
    </row>
    <row r="354" spans="1:4" ht="12" customHeight="1" x14ac:dyDescent="0.3">
      <c r="A354" s="167" t="s">
        <v>364</v>
      </c>
      <c r="B354" s="168">
        <v>46010</v>
      </c>
      <c r="C354" s="178">
        <v>4222.6000000000004</v>
      </c>
      <c r="D354" s="170">
        <f>IFERROR(C354/VLOOKUP(A354,Usinas!$A:$B,2,FALSE()),"")</f>
        <v>6.0150997150997156</v>
      </c>
    </row>
    <row r="355" spans="1:4" ht="12" customHeight="1" x14ac:dyDescent="0.3">
      <c r="A355" s="167" t="s">
        <v>364</v>
      </c>
      <c r="B355" s="168">
        <v>46011</v>
      </c>
      <c r="C355" s="178">
        <v>3624.9</v>
      </c>
      <c r="D355" s="170">
        <f>IFERROR(C355/VLOOKUP(A355,Usinas!$A:$B,2,FALSE()),"")</f>
        <v>5.163675213675214</v>
      </c>
    </row>
    <row r="356" spans="1:4" ht="12" customHeight="1" x14ac:dyDescent="0.3">
      <c r="A356" s="167" t="s">
        <v>364</v>
      </c>
      <c r="B356" s="168">
        <v>46012</v>
      </c>
      <c r="C356" s="178">
        <v>3667.5</v>
      </c>
      <c r="D356" s="170">
        <f>IFERROR(C356/VLOOKUP(A356,Usinas!$A:$B,2,FALSE()),"")</f>
        <v>5.2243589743589745</v>
      </c>
    </row>
    <row r="357" spans="1:4" ht="12" customHeight="1" x14ac:dyDescent="0.3">
      <c r="A357" s="167" t="s">
        <v>364</v>
      </c>
      <c r="B357" s="168">
        <v>46013</v>
      </c>
      <c r="C357" s="178">
        <v>3785</v>
      </c>
      <c r="D357" s="170">
        <f>IFERROR(C357/VLOOKUP(A357,Usinas!$A:$B,2,FALSE()),"")</f>
        <v>5.3917378917378915</v>
      </c>
    </row>
    <row r="358" spans="1:4" ht="12" customHeight="1" x14ac:dyDescent="0.3">
      <c r="A358" s="167" t="s">
        <v>364</v>
      </c>
      <c r="B358" s="168">
        <v>46014</v>
      </c>
      <c r="C358" s="178">
        <v>3731.5</v>
      </c>
      <c r="D358" s="170">
        <f>IFERROR(C358/VLOOKUP(A358,Usinas!$A:$B,2,FALSE()),"")</f>
        <v>5.3155270655270659</v>
      </c>
    </row>
    <row r="359" spans="1:4" ht="12" customHeight="1" x14ac:dyDescent="0.3">
      <c r="A359" s="167" t="s">
        <v>364</v>
      </c>
      <c r="B359" s="168">
        <v>46015</v>
      </c>
      <c r="C359" s="178">
        <v>3650</v>
      </c>
      <c r="D359" s="170">
        <f>IFERROR(C359/VLOOKUP(A359,Usinas!$A:$B,2,FALSE()),"")</f>
        <v>5.199430199430199</v>
      </c>
    </row>
    <row r="360" spans="1:4" ht="12" customHeight="1" x14ac:dyDescent="0.3">
      <c r="A360" s="167" t="s">
        <v>364</v>
      </c>
      <c r="B360" s="168">
        <v>46016</v>
      </c>
      <c r="C360" s="178">
        <v>4109.6000000000004</v>
      </c>
      <c r="D360" s="170">
        <f>IFERROR(C360/VLOOKUP(A360,Usinas!$A:$B,2,FALSE()),"")</f>
        <v>5.8541310541310549</v>
      </c>
    </row>
    <row r="361" spans="1:4" ht="12" customHeight="1" x14ac:dyDescent="0.3">
      <c r="A361" s="167" t="s">
        <v>364</v>
      </c>
      <c r="B361" s="168">
        <v>46017</v>
      </c>
      <c r="C361" s="178">
        <v>3091.6</v>
      </c>
      <c r="D361" s="170">
        <f>IFERROR(C361/VLOOKUP(A361,Usinas!$A:$B,2,FALSE()),"")</f>
        <v>4.403988603988604</v>
      </c>
    </row>
    <row r="362" spans="1:4" ht="12" customHeight="1" x14ac:dyDescent="0.3">
      <c r="A362" s="167" t="s">
        <v>364</v>
      </c>
      <c r="B362" s="168">
        <v>46018</v>
      </c>
      <c r="C362" s="178">
        <v>4278.1000000000004</v>
      </c>
      <c r="D362" s="170">
        <f>IFERROR(C362/VLOOKUP(A362,Usinas!$A:$B,2,FALSE()),"")</f>
        <v>6.0941595441595444</v>
      </c>
    </row>
    <row r="363" spans="1:4" ht="12" customHeight="1" x14ac:dyDescent="0.3">
      <c r="A363" s="167" t="s">
        <v>364</v>
      </c>
      <c r="B363" s="168">
        <v>46019</v>
      </c>
      <c r="C363" s="178">
        <v>3286.4</v>
      </c>
      <c r="D363" s="170">
        <f>IFERROR(C363/VLOOKUP(A363,Usinas!$A:$B,2,FALSE()),"")</f>
        <v>4.681481481481482</v>
      </c>
    </row>
    <row r="364" spans="1:4" ht="12" customHeight="1" x14ac:dyDescent="0.3">
      <c r="A364" s="167" t="s">
        <v>364</v>
      </c>
      <c r="B364" s="168">
        <v>46020</v>
      </c>
      <c r="C364" s="178">
        <v>3456.6</v>
      </c>
      <c r="D364" s="170">
        <f>IFERROR(C364/VLOOKUP(A364,Usinas!$A:$B,2,FALSE()),"")</f>
        <v>4.9239316239316242</v>
      </c>
    </row>
    <row r="365" spans="1:4" ht="12" customHeight="1" x14ac:dyDescent="0.3">
      <c r="A365" s="167" t="s">
        <v>364</v>
      </c>
      <c r="B365" s="168">
        <v>46021</v>
      </c>
      <c r="C365" s="178">
        <v>3375</v>
      </c>
      <c r="D365" s="170">
        <f>IFERROR(C365/VLOOKUP(A365,Usinas!$A:$B,2,FALSE()),"")</f>
        <v>4.8076923076923075</v>
      </c>
    </row>
    <row r="366" spans="1:4" ht="12" customHeight="1" x14ac:dyDescent="0.3">
      <c r="A366" s="167" t="s">
        <v>364</v>
      </c>
      <c r="B366" s="168">
        <v>46022</v>
      </c>
      <c r="C366" s="178">
        <v>3694.2</v>
      </c>
      <c r="D366" s="170">
        <f>IFERROR(C366/VLOOKUP(A366,Usinas!$A:$B,2,FALSE()),"")</f>
        <v>5.2623931623931623</v>
      </c>
    </row>
  </sheetData>
  <autoFilter ref="A1:D366" xr:uid="{00000000-0009-0000-0000-000006000000}"/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3F1DB"/>
  </sheetPr>
  <dimension ref="A1:J364"/>
  <sheetViews>
    <sheetView zoomScaleNormal="100" workbookViewId="0">
      <selection activeCell="I8" sqref="I8"/>
    </sheetView>
  </sheetViews>
  <sheetFormatPr defaultColWidth="12.54296875" defaultRowHeight="13" x14ac:dyDescent="0.3"/>
  <cols>
    <col min="1" max="1" width="20.453125" style="164" customWidth="1"/>
    <col min="2" max="2" width="10.1796875" style="164" customWidth="1"/>
    <col min="3" max="3" width="15.26953125" style="164" customWidth="1"/>
    <col min="4" max="4" width="20.26953125" style="164" customWidth="1"/>
    <col min="5" max="16384" width="12.54296875" style="164"/>
  </cols>
  <sheetData>
    <row r="1" spans="1:10" ht="15.75" customHeight="1" x14ac:dyDescent="0.3">
      <c r="A1" s="165" t="s">
        <v>354</v>
      </c>
      <c r="B1" s="165" t="s">
        <v>355</v>
      </c>
      <c r="C1" s="166" t="s">
        <v>356</v>
      </c>
      <c r="D1" s="165" t="s">
        <v>357</v>
      </c>
    </row>
    <row r="2" spans="1:10" ht="15.75" customHeight="1" x14ac:dyDescent="0.3">
      <c r="A2" s="167" t="s">
        <v>365</v>
      </c>
      <c r="B2" s="168">
        <v>45659</v>
      </c>
      <c r="C2" s="178">
        <v>1838.7</v>
      </c>
      <c r="D2" s="170">
        <f>IFERROR(C2/VLOOKUP(A2,Usinas!$A:$B,2,FALSE()),"")</f>
        <v>2.9608695652173913</v>
      </c>
      <c r="F2" s="171" t="s">
        <v>359</v>
      </c>
      <c r="G2" s="171"/>
      <c r="H2" s="171" t="s">
        <v>35</v>
      </c>
      <c r="I2" s="171" t="s">
        <v>360</v>
      </c>
      <c r="J2" s="171" t="s">
        <v>361</v>
      </c>
    </row>
    <row r="3" spans="1:10" ht="15.75" customHeight="1" x14ac:dyDescent="0.3">
      <c r="A3" s="167" t="s">
        <v>365</v>
      </c>
      <c r="B3" s="168">
        <v>45660</v>
      </c>
      <c r="C3" s="178">
        <v>2731.7</v>
      </c>
      <c r="D3" s="170">
        <f>IFERROR(C3/VLOOKUP(A3,Usinas!$A:$B,2,FALSE()),"")</f>
        <v>4.3988727858293073</v>
      </c>
      <c r="F3" s="174">
        <f>+B2</f>
        <v>45659</v>
      </c>
      <c r="G3" s="174">
        <f>+F3+29</f>
        <v>45688</v>
      </c>
      <c r="H3" s="175">
        <f t="shared" ref="H3:H14" si="0">+F3</f>
        <v>45659</v>
      </c>
      <c r="I3" s="176">
        <f t="shared" ref="I3:I14" si="1">SUMIFS($C$1:$C$366, $B$1:$B$366, "&gt;="&amp;F3, $B$1:$B$366, "&lt;="&amp;G3)</f>
        <v>83461.89999999998</v>
      </c>
      <c r="J3" s="176">
        <f t="shared" ref="J3:J14" si="2">+I3/1000</f>
        <v>83.461899999999986</v>
      </c>
    </row>
    <row r="4" spans="1:10" ht="15.75" customHeight="1" x14ac:dyDescent="0.3">
      <c r="A4" s="167" t="s">
        <v>365</v>
      </c>
      <c r="B4" s="168">
        <v>45661</v>
      </c>
      <c r="C4" s="178">
        <v>3144</v>
      </c>
      <c r="D4" s="170">
        <f>IFERROR(C4/VLOOKUP(A4,Usinas!$A:$B,2,FALSE()),"")</f>
        <v>5.06280193236715</v>
      </c>
      <c r="F4" s="174">
        <f t="shared" ref="F4:F14" si="3">+G3+1</f>
        <v>45689</v>
      </c>
      <c r="G4" s="174">
        <f>+F4+27</f>
        <v>45716</v>
      </c>
      <c r="H4" s="175">
        <f t="shared" si="0"/>
        <v>45689</v>
      </c>
      <c r="I4" s="176">
        <f t="shared" si="1"/>
        <v>76124.399999999994</v>
      </c>
      <c r="J4" s="176">
        <f t="shared" si="2"/>
        <v>76.124399999999994</v>
      </c>
    </row>
    <row r="5" spans="1:10" ht="15.75" customHeight="1" x14ac:dyDescent="0.3">
      <c r="A5" s="167" t="s">
        <v>365</v>
      </c>
      <c r="B5" s="168">
        <v>45662</v>
      </c>
      <c r="C5" s="178">
        <v>3472.1</v>
      </c>
      <c r="D5" s="170">
        <f>IFERROR(C5/VLOOKUP(A5,Usinas!$A:$B,2,FALSE()),"")</f>
        <v>5.5911433172302738</v>
      </c>
      <c r="F5" s="174">
        <f t="shared" si="3"/>
        <v>45717</v>
      </c>
      <c r="G5" s="174">
        <f>+F5+30</f>
        <v>45747</v>
      </c>
      <c r="H5" s="175">
        <f t="shared" si="0"/>
        <v>45717</v>
      </c>
      <c r="I5" s="176">
        <f t="shared" si="1"/>
        <v>89858.2</v>
      </c>
      <c r="J5" s="176">
        <f t="shared" si="2"/>
        <v>89.858199999999997</v>
      </c>
    </row>
    <row r="6" spans="1:10" ht="15.75" customHeight="1" x14ac:dyDescent="0.3">
      <c r="A6" s="167" t="s">
        <v>365</v>
      </c>
      <c r="B6" s="168">
        <v>45663</v>
      </c>
      <c r="C6" s="178">
        <v>3397.4</v>
      </c>
      <c r="D6" s="170">
        <f>IFERROR(C6/VLOOKUP(A6,Usinas!$A:$B,2,FALSE()),"")</f>
        <v>5.4708534621578098</v>
      </c>
      <c r="F6" s="174">
        <f t="shared" si="3"/>
        <v>45748</v>
      </c>
      <c r="G6" s="174">
        <f>+F6+29</f>
        <v>45777</v>
      </c>
      <c r="H6" s="175">
        <f t="shared" si="0"/>
        <v>45748</v>
      </c>
      <c r="I6" s="176">
        <f t="shared" si="1"/>
        <v>62725.399999999994</v>
      </c>
      <c r="J6" s="176">
        <f t="shared" si="2"/>
        <v>62.725399999999993</v>
      </c>
    </row>
    <row r="7" spans="1:10" ht="15.75" customHeight="1" x14ac:dyDescent="0.3">
      <c r="A7" s="167" t="s">
        <v>365</v>
      </c>
      <c r="B7" s="168">
        <v>45664</v>
      </c>
      <c r="C7" s="178">
        <v>3375.8</v>
      </c>
      <c r="D7" s="170">
        <f>IFERROR(C7/VLOOKUP(A7,Usinas!$A:$B,2,FALSE()),"")</f>
        <v>5.4360708534621578</v>
      </c>
      <c r="F7" s="174">
        <f t="shared" si="3"/>
        <v>45778</v>
      </c>
      <c r="G7" s="174">
        <f>+F7+30</f>
        <v>45808</v>
      </c>
      <c r="H7" s="175">
        <f t="shared" si="0"/>
        <v>45778</v>
      </c>
      <c r="I7" s="176">
        <f t="shared" si="1"/>
        <v>78227.500000000015</v>
      </c>
      <c r="J7" s="176">
        <f t="shared" si="2"/>
        <v>78.22750000000002</v>
      </c>
    </row>
    <row r="8" spans="1:10" ht="15.75" customHeight="1" x14ac:dyDescent="0.3">
      <c r="A8" s="167" t="s">
        <v>365</v>
      </c>
      <c r="B8" s="168">
        <v>45665</v>
      </c>
      <c r="C8" s="178">
        <v>3146.5</v>
      </c>
      <c r="D8" s="170">
        <f>IFERROR(C8/VLOOKUP(A8,Usinas!$A:$B,2,FALSE()),"")</f>
        <v>5.0668276972624797</v>
      </c>
      <c r="F8" s="174">
        <f t="shared" si="3"/>
        <v>45809</v>
      </c>
      <c r="G8" s="174">
        <f>+F8+29</f>
        <v>45838</v>
      </c>
      <c r="H8" s="175">
        <f t="shared" si="0"/>
        <v>45809</v>
      </c>
      <c r="I8" s="176">
        <f t="shared" si="1"/>
        <v>60380.599999999991</v>
      </c>
      <c r="J8" s="176">
        <f t="shared" si="2"/>
        <v>60.380599999999994</v>
      </c>
    </row>
    <row r="9" spans="1:10" ht="15.75" customHeight="1" x14ac:dyDescent="0.3">
      <c r="A9" s="167" t="s">
        <v>365</v>
      </c>
      <c r="B9" s="168">
        <v>45666</v>
      </c>
      <c r="C9" s="178">
        <v>3235.6</v>
      </c>
      <c r="D9" s="170">
        <f>IFERROR(C9/VLOOKUP(A9,Usinas!$A:$B,2,FALSE()),"")</f>
        <v>5.2103059581320448</v>
      </c>
      <c r="F9" s="174">
        <f t="shared" si="3"/>
        <v>45839</v>
      </c>
      <c r="G9" s="174">
        <f>+F9+30</f>
        <v>45869</v>
      </c>
      <c r="H9" s="175">
        <f t="shared" si="0"/>
        <v>45839</v>
      </c>
      <c r="I9" s="176">
        <f t="shared" si="1"/>
        <v>76551.200000000012</v>
      </c>
      <c r="J9" s="176">
        <f t="shared" si="2"/>
        <v>76.551200000000009</v>
      </c>
    </row>
    <row r="10" spans="1:10" ht="15.75" customHeight="1" x14ac:dyDescent="0.3">
      <c r="A10" s="167" t="s">
        <v>365</v>
      </c>
      <c r="B10" s="168">
        <v>45667</v>
      </c>
      <c r="C10" s="178">
        <v>2990.9</v>
      </c>
      <c r="D10" s="170">
        <f>IFERROR(C10/VLOOKUP(A10,Usinas!$A:$B,2,FALSE()),"")</f>
        <v>4.8162640901771336</v>
      </c>
      <c r="F10" s="174">
        <f t="shared" si="3"/>
        <v>45870</v>
      </c>
      <c r="G10" s="174">
        <f>+F10+30</f>
        <v>45900</v>
      </c>
      <c r="H10" s="175">
        <f t="shared" si="0"/>
        <v>45870</v>
      </c>
      <c r="I10" s="176">
        <f t="shared" si="1"/>
        <v>79815.599999999991</v>
      </c>
      <c r="J10" s="176">
        <f t="shared" si="2"/>
        <v>79.815599999999989</v>
      </c>
    </row>
    <row r="11" spans="1:10" ht="15.75" customHeight="1" x14ac:dyDescent="0.3">
      <c r="A11" s="167" t="s">
        <v>365</v>
      </c>
      <c r="B11" s="168">
        <v>45668</v>
      </c>
      <c r="C11" s="178">
        <v>3034</v>
      </c>
      <c r="D11" s="170">
        <f>IFERROR(C11/VLOOKUP(A11,Usinas!$A:$B,2,FALSE()),"")</f>
        <v>4.8856682769726252</v>
      </c>
      <c r="F11" s="174">
        <f t="shared" si="3"/>
        <v>45901</v>
      </c>
      <c r="G11" s="174">
        <f>+F11+29</f>
        <v>45930</v>
      </c>
      <c r="H11" s="175">
        <f t="shared" si="0"/>
        <v>45901</v>
      </c>
      <c r="I11" s="176">
        <f t="shared" si="1"/>
        <v>78203.000000000015</v>
      </c>
      <c r="J11" s="176">
        <f t="shared" si="2"/>
        <v>78.203000000000017</v>
      </c>
    </row>
    <row r="12" spans="1:10" ht="15.75" customHeight="1" x14ac:dyDescent="0.3">
      <c r="A12" s="167" t="s">
        <v>365</v>
      </c>
      <c r="B12" s="168">
        <v>45669</v>
      </c>
      <c r="C12" s="178">
        <v>3316.5</v>
      </c>
      <c r="D12" s="170">
        <f>IFERROR(C12/VLOOKUP(A12,Usinas!$A:$B,2,FALSE()),"")</f>
        <v>5.3405797101449277</v>
      </c>
      <c r="F12" s="174">
        <f t="shared" si="3"/>
        <v>45931</v>
      </c>
      <c r="G12" s="174">
        <f>+F12+30</f>
        <v>45961</v>
      </c>
      <c r="H12" s="175">
        <f t="shared" si="0"/>
        <v>45931</v>
      </c>
      <c r="I12" s="176">
        <f t="shared" si="1"/>
        <v>73160.099999999991</v>
      </c>
      <c r="J12" s="176">
        <f t="shared" si="2"/>
        <v>73.160099999999986</v>
      </c>
    </row>
    <row r="13" spans="1:10" ht="15.75" customHeight="1" x14ac:dyDescent="0.3">
      <c r="A13" s="167" t="s">
        <v>365</v>
      </c>
      <c r="B13" s="168">
        <v>45670</v>
      </c>
      <c r="C13" s="178">
        <v>3271.8</v>
      </c>
      <c r="D13" s="170">
        <f>IFERROR(C13/VLOOKUP(A13,Usinas!$A:$B,2,FALSE()),"")</f>
        <v>5.2685990338164252</v>
      </c>
      <c r="F13" s="174">
        <f t="shared" si="3"/>
        <v>45962</v>
      </c>
      <c r="G13" s="174">
        <f>+F13+29</f>
        <v>45991</v>
      </c>
      <c r="H13" s="175">
        <f t="shared" si="0"/>
        <v>45962</v>
      </c>
      <c r="I13" s="176">
        <f t="shared" si="1"/>
        <v>91030.500000000015</v>
      </c>
      <c r="J13" s="176">
        <f t="shared" si="2"/>
        <v>91.030500000000018</v>
      </c>
    </row>
    <row r="14" spans="1:10" ht="15.75" customHeight="1" x14ac:dyDescent="0.3">
      <c r="A14" s="167" t="s">
        <v>365</v>
      </c>
      <c r="B14" s="168">
        <v>45671</v>
      </c>
      <c r="C14" s="178">
        <v>2991</v>
      </c>
      <c r="D14" s="170">
        <f>IFERROR(C14/VLOOKUP(A14,Usinas!$A:$B,2,FALSE()),"")</f>
        <v>4.8164251207729469</v>
      </c>
      <c r="F14" s="174">
        <f t="shared" si="3"/>
        <v>45992</v>
      </c>
      <c r="G14" s="174">
        <f>+F14+30</f>
        <v>46022</v>
      </c>
      <c r="H14" s="175">
        <f t="shared" si="0"/>
        <v>45992</v>
      </c>
      <c r="I14" s="176">
        <f t="shared" si="1"/>
        <v>88631.699999999983</v>
      </c>
      <c r="J14" s="176">
        <f t="shared" si="2"/>
        <v>88.631699999999981</v>
      </c>
    </row>
    <row r="15" spans="1:10" ht="15.75" customHeight="1" x14ac:dyDescent="0.3">
      <c r="A15" s="167" t="s">
        <v>365</v>
      </c>
      <c r="B15" s="168">
        <v>45672</v>
      </c>
      <c r="C15" s="178">
        <v>3157.2</v>
      </c>
      <c r="D15" s="170">
        <f>IFERROR(C15/VLOOKUP(A15,Usinas!$A:$B,2,FALSE()),"")</f>
        <v>5.0840579710144924</v>
      </c>
    </row>
    <row r="16" spans="1:10" ht="15.75" customHeight="1" x14ac:dyDescent="0.3">
      <c r="A16" s="167" t="s">
        <v>365</v>
      </c>
      <c r="B16" s="168">
        <v>45673</v>
      </c>
      <c r="C16" s="178">
        <v>3240.1</v>
      </c>
      <c r="D16" s="170">
        <f>IFERROR(C16/VLOOKUP(A16,Usinas!$A:$B,2,FALSE()),"")</f>
        <v>5.2175523349436395</v>
      </c>
    </row>
    <row r="17" spans="1:10" ht="15.75" customHeight="1" x14ac:dyDescent="0.3">
      <c r="A17" s="167" t="s">
        <v>365</v>
      </c>
      <c r="B17" s="168">
        <v>45674</v>
      </c>
      <c r="C17" s="178">
        <v>2894.7</v>
      </c>
      <c r="D17" s="170">
        <f>IFERROR(C17/VLOOKUP(A17,Usinas!$A:$B,2,FALSE()),"")</f>
        <v>4.6613526570048309</v>
      </c>
      <c r="J17" s="172">
        <f>+SUM(J3:J14)</f>
        <v>938.17009999999993</v>
      </c>
    </row>
    <row r="18" spans="1:10" ht="15.75" customHeight="1" x14ac:dyDescent="0.3">
      <c r="A18" s="167" t="s">
        <v>365</v>
      </c>
      <c r="B18" s="168">
        <v>45675</v>
      </c>
      <c r="C18" s="178">
        <v>1963.6</v>
      </c>
      <c r="D18" s="170">
        <f>IFERROR(C18/VLOOKUP(A18,Usinas!$A:$B,2,FALSE()),"")</f>
        <v>3.1619967793880837</v>
      </c>
    </row>
    <row r="19" spans="1:10" ht="15.75" customHeight="1" x14ac:dyDescent="0.3">
      <c r="A19" s="167" t="s">
        <v>365</v>
      </c>
      <c r="B19" s="168">
        <v>45676</v>
      </c>
      <c r="C19" s="178">
        <v>2656</v>
      </c>
      <c r="D19" s="170">
        <f>IFERROR(C19/VLOOKUP(A19,Usinas!$A:$B,2,FALSE()),"")</f>
        <v>4.2769726247987121</v>
      </c>
    </row>
    <row r="20" spans="1:10" ht="12" customHeight="1" x14ac:dyDescent="0.3">
      <c r="A20" s="167" t="s">
        <v>365</v>
      </c>
      <c r="B20" s="168">
        <v>45677</v>
      </c>
      <c r="C20" s="178">
        <v>1379.4</v>
      </c>
      <c r="D20" s="170">
        <f>IFERROR(C20/VLOOKUP(A20,Usinas!$A:$B,2,FALSE()),"")</f>
        <v>2.221256038647343</v>
      </c>
    </row>
    <row r="21" spans="1:10" ht="12" customHeight="1" x14ac:dyDescent="0.3">
      <c r="A21" s="167" t="s">
        <v>365</v>
      </c>
      <c r="B21" s="168">
        <v>45678</v>
      </c>
      <c r="C21" s="178">
        <v>2442.6999999999998</v>
      </c>
      <c r="D21" s="170">
        <f>IFERROR(C21/VLOOKUP(A21,Usinas!$A:$B,2,FALSE()),"")</f>
        <v>3.9334943639291464</v>
      </c>
    </row>
    <row r="22" spans="1:10" ht="12" customHeight="1" x14ac:dyDescent="0.3">
      <c r="A22" s="167" t="s">
        <v>365</v>
      </c>
      <c r="B22" s="168">
        <v>45679</v>
      </c>
      <c r="C22" s="178">
        <v>2855.3</v>
      </c>
      <c r="D22" s="170">
        <f>IFERROR(C22/VLOOKUP(A22,Usinas!$A:$B,2,FALSE()),"")</f>
        <v>4.5979066022544286</v>
      </c>
    </row>
    <row r="23" spans="1:10" ht="12" customHeight="1" x14ac:dyDescent="0.3">
      <c r="A23" s="167" t="s">
        <v>365</v>
      </c>
      <c r="B23" s="168">
        <v>45680</v>
      </c>
      <c r="C23" s="178">
        <v>1825.6</v>
      </c>
      <c r="D23" s="170">
        <f>IFERROR(C23/VLOOKUP(A23,Usinas!$A:$B,2,FALSE()),"")</f>
        <v>2.9397745571658613</v>
      </c>
    </row>
    <row r="24" spans="1:10" ht="12" customHeight="1" x14ac:dyDescent="0.3">
      <c r="A24" s="167" t="s">
        <v>365</v>
      </c>
      <c r="B24" s="168">
        <v>45681</v>
      </c>
      <c r="C24" s="178">
        <v>3219.2</v>
      </c>
      <c r="D24" s="170">
        <f>IFERROR(C24/VLOOKUP(A24,Usinas!$A:$B,2,FALSE()),"")</f>
        <v>5.1838969404186797</v>
      </c>
    </row>
    <row r="25" spans="1:10" ht="12" customHeight="1" x14ac:dyDescent="0.3">
      <c r="A25" s="167" t="s">
        <v>365</v>
      </c>
      <c r="B25" s="168">
        <v>45682</v>
      </c>
      <c r="C25" s="178">
        <v>2932.2</v>
      </c>
      <c r="D25" s="170">
        <f>IFERROR(C25/VLOOKUP(A25,Usinas!$A:$B,2,FALSE()),"")</f>
        <v>4.7217391304347824</v>
      </c>
    </row>
    <row r="26" spans="1:10" ht="12" customHeight="1" x14ac:dyDescent="0.3">
      <c r="A26" s="167" t="s">
        <v>365</v>
      </c>
      <c r="B26" s="168">
        <v>45683</v>
      </c>
      <c r="C26" s="178">
        <v>2721.4</v>
      </c>
      <c r="D26" s="170">
        <f>IFERROR(C26/VLOOKUP(A26,Usinas!$A:$B,2,FALSE()),"")</f>
        <v>4.3822866344605478</v>
      </c>
    </row>
    <row r="27" spans="1:10" ht="12" customHeight="1" x14ac:dyDescent="0.3">
      <c r="A27" s="167" t="s">
        <v>365</v>
      </c>
      <c r="B27" s="168">
        <v>45684</v>
      </c>
      <c r="C27" s="178">
        <v>2272</v>
      </c>
      <c r="D27" s="170">
        <f>IFERROR(C27/VLOOKUP(A27,Usinas!$A:$B,2,FALSE()),"")</f>
        <v>3.6586151368760063</v>
      </c>
    </row>
    <row r="28" spans="1:10" ht="12" customHeight="1" x14ac:dyDescent="0.3">
      <c r="A28" s="167" t="s">
        <v>365</v>
      </c>
      <c r="B28" s="168">
        <v>45685</v>
      </c>
      <c r="C28" s="178">
        <v>2223.6</v>
      </c>
      <c r="D28" s="170">
        <f>IFERROR(C28/VLOOKUP(A28,Usinas!$A:$B,2,FALSE()),"")</f>
        <v>3.5806763285024155</v>
      </c>
    </row>
    <row r="29" spans="1:10" ht="12" customHeight="1" x14ac:dyDescent="0.3">
      <c r="A29" s="167" t="s">
        <v>365</v>
      </c>
      <c r="B29" s="168">
        <v>45686</v>
      </c>
      <c r="C29" s="178">
        <v>2824.9</v>
      </c>
      <c r="D29" s="170">
        <f>IFERROR(C29/VLOOKUP(A29,Usinas!$A:$B,2,FALSE()),"")</f>
        <v>4.5489533011272147</v>
      </c>
    </row>
    <row r="30" spans="1:10" ht="12" customHeight="1" x14ac:dyDescent="0.3">
      <c r="A30" s="167" t="s">
        <v>365</v>
      </c>
      <c r="B30" s="168">
        <v>45687</v>
      </c>
      <c r="C30" s="178">
        <v>2192.6</v>
      </c>
      <c r="D30" s="170">
        <f>IFERROR(C30/VLOOKUP(A30,Usinas!$A:$B,2,FALSE()),"")</f>
        <v>3.5307568438003218</v>
      </c>
    </row>
    <row r="31" spans="1:10" ht="12" customHeight="1" x14ac:dyDescent="0.3">
      <c r="A31" s="167" t="s">
        <v>365</v>
      </c>
      <c r="B31" s="168">
        <v>45688</v>
      </c>
      <c r="C31" s="178">
        <v>2715.4</v>
      </c>
      <c r="D31" s="170">
        <f>IFERROR(C31/VLOOKUP(A31,Usinas!$A:$B,2,FALSE()),"")</f>
        <v>4.3726247987117555</v>
      </c>
    </row>
    <row r="32" spans="1:10" ht="12" customHeight="1" x14ac:dyDescent="0.3">
      <c r="A32" s="167" t="s">
        <v>365</v>
      </c>
      <c r="B32" s="168">
        <v>45689</v>
      </c>
      <c r="C32" s="178">
        <v>2525.6999999999998</v>
      </c>
      <c r="D32" s="170">
        <f>IFERROR(C32/VLOOKUP(A32,Usinas!$A:$B,2,FALSE()),"")</f>
        <v>4.0671497584541063</v>
      </c>
    </row>
    <row r="33" spans="1:4" ht="12" customHeight="1" x14ac:dyDescent="0.3">
      <c r="A33" s="167" t="s">
        <v>365</v>
      </c>
      <c r="B33" s="168">
        <v>45690</v>
      </c>
      <c r="C33" s="178">
        <v>3430.9</v>
      </c>
      <c r="D33" s="170">
        <f>IFERROR(C33/VLOOKUP(A33,Usinas!$A:$B,2,FALSE()),"")</f>
        <v>5.524798711755234</v>
      </c>
    </row>
    <row r="34" spans="1:4" ht="12" customHeight="1" x14ac:dyDescent="0.3">
      <c r="A34" s="167" t="s">
        <v>365</v>
      </c>
      <c r="B34" s="168">
        <v>45691</v>
      </c>
      <c r="C34" s="178">
        <v>3301.6</v>
      </c>
      <c r="D34" s="170">
        <f>IFERROR(C34/VLOOKUP(A34,Usinas!$A:$B,2,FALSE()),"")</f>
        <v>5.3165861513687602</v>
      </c>
    </row>
    <row r="35" spans="1:4" ht="12" customHeight="1" x14ac:dyDescent="0.3">
      <c r="A35" s="167" t="s">
        <v>365</v>
      </c>
      <c r="B35" s="168">
        <v>45692</v>
      </c>
      <c r="C35" s="178">
        <v>3316.8</v>
      </c>
      <c r="D35" s="170">
        <f>IFERROR(C35/VLOOKUP(A35,Usinas!$A:$B,2,FALSE()),"")</f>
        <v>5.3410628019323676</v>
      </c>
    </row>
    <row r="36" spans="1:4" ht="12" customHeight="1" x14ac:dyDescent="0.3">
      <c r="A36" s="167" t="s">
        <v>365</v>
      </c>
      <c r="B36" s="168">
        <v>45693</v>
      </c>
      <c r="C36" s="178">
        <v>2023</v>
      </c>
      <c r="D36" s="170">
        <f>IFERROR(C36/VLOOKUP(A36,Usinas!$A:$B,2,FALSE()),"")</f>
        <v>3.257648953301127</v>
      </c>
    </row>
    <row r="37" spans="1:4" ht="12" customHeight="1" x14ac:dyDescent="0.3">
      <c r="A37" s="167" t="s">
        <v>365</v>
      </c>
      <c r="B37" s="168">
        <v>45694</v>
      </c>
      <c r="C37" s="178">
        <v>1776.7</v>
      </c>
      <c r="D37" s="170">
        <f>IFERROR(C37/VLOOKUP(A37,Usinas!$A:$B,2,FALSE()),"")</f>
        <v>2.8610305958132045</v>
      </c>
    </row>
    <row r="38" spans="1:4" ht="12" customHeight="1" x14ac:dyDescent="0.3">
      <c r="A38" s="167" t="s">
        <v>365</v>
      </c>
      <c r="B38" s="168">
        <v>45695</v>
      </c>
      <c r="C38" s="178">
        <v>1531.7</v>
      </c>
      <c r="D38" s="170">
        <f>IFERROR(C38/VLOOKUP(A38,Usinas!$A:$B,2,FALSE()),"")</f>
        <v>2.4665056360708535</v>
      </c>
    </row>
    <row r="39" spans="1:4" ht="12" customHeight="1" x14ac:dyDescent="0.3">
      <c r="A39" s="167" t="s">
        <v>365</v>
      </c>
      <c r="B39" s="168">
        <v>45696</v>
      </c>
      <c r="C39" s="178">
        <v>3120.2</v>
      </c>
      <c r="D39" s="170">
        <f>IFERROR(C39/VLOOKUP(A39,Usinas!$A:$B,2,FALSE()),"")</f>
        <v>5.0244766505636065</v>
      </c>
    </row>
    <row r="40" spans="1:4" ht="12" customHeight="1" x14ac:dyDescent="0.3">
      <c r="A40" s="167" t="s">
        <v>365</v>
      </c>
      <c r="B40" s="168">
        <v>45697</v>
      </c>
      <c r="C40" s="178">
        <v>3053</v>
      </c>
      <c r="D40" s="170">
        <f>IFERROR(C40/VLOOKUP(A40,Usinas!$A:$B,2,FALSE()),"")</f>
        <v>4.9162640901771333</v>
      </c>
    </row>
    <row r="41" spans="1:4" ht="12" customHeight="1" x14ac:dyDescent="0.3">
      <c r="A41" s="167" t="s">
        <v>365</v>
      </c>
      <c r="B41" s="168">
        <v>45698</v>
      </c>
      <c r="C41" s="178">
        <v>3457.7</v>
      </c>
      <c r="D41" s="170">
        <f>IFERROR(C41/VLOOKUP(A41,Usinas!$A:$B,2,FALSE()),"")</f>
        <v>5.5679549114331719</v>
      </c>
    </row>
    <row r="42" spans="1:4" ht="12" customHeight="1" x14ac:dyDescent="0.3">
      <c r="A42" s="167" t="s">
        <v>365</v>
      </c>
      <c r="B42" s="168">
        <v>45699</v>
      </c>
      <c r="C42" s="178">
        <v>3497.8</v>
      </c>
      <c r="D42" s="170">
        <f>IFERROR(C42/VLOOKUP(A42,Usinas!$A:$B,2,FALSE()),"")</f>
        <v>5.6325281803542673</v>
      </c>
    </row>
    <row r="43" spans="1:4" ht="12" customHeight="1" x14ac:dyDescent="0.3">
      <c r="A43" s="167" t="s">
        <v>365</v>
      </c>
      <c r="B43" s="168">
        <v>45700</v>
      </c>
      <c r="C43" s="178">
        <v>3154.5</v>
      </c>
      <c r="D43" s="170">
        <f>IFERROR(C43/VLOOKUP(A43,Usinas!$A:$B,2,FALSE()),"")</f>
        <v>5.0797101449275361</v>
      </c>
    </row>
    <row r="44" spans="1:4" ht="12" customHeight="1" x14ac:dyDescent="0.3">
      <c r="A44" s="167" t="s">
        <v>365</v>
      </c>
      <c r="B44" s="168">
        <v>45701</v>
      </c>
      <c r="C44" s="178">
        <v>2566.9</v>
      </c>
      <c r="D44" s="170">
        <f>IFERROR(C44/VLOOKUP(A44,Usinas!$A:$B,2,FALSE()),"")</f>
        <v>4.133494363929147</v>
      </c>
    </row>
    <row r="45" spans="1:4" ht="12" customHeight="1" x14ac:dyDescent="0.3">
      <c r="A45" s="167" t="s">
        <v>365</v>
      </c>
      <c r="B45" s="168">
        <v>45702</v>
      </c>
      <c r="C45" s="178">
        <v>2730.5</v>
      </c>
      <c r="D45" s="170">
        <f>IFERROR(C45/VLOOKUP(A45,Usinas!$A:$B,2,FALSE()),"")</f>
        <v>4.3969404186795495</v>
      </c>
    </row>
    <row r="46" spans="1:4" ht="12" customHeight="1" x14ac:dyDescent="0.3">
      <c r="A46" s="167" t="s">
        <v>365</v>
      </c>
      <c r="B46" s="168">
        <v>45703</v>
      </c>
      <c r="C46" s="178">
        <v>3417.5</v>
      </c>
      <c r="D46" s="170">
        <f>IFERROR(C46/VLOOKUP(A46,Usinas!$A:$B,2,FALSE()),"")</f>
        <v>5.5032206119162641</v>
      </c>
    </row>
    <row r="47" spans="1:4" ht="12" customHeight="1" x14ac:dyDescent="0.3">
      <c r="A47" s="167" t="s">
        <v>365</v>
      </c>
      <c r="B47" s="168">
        <v>45704</v>
      </c>
      <c r="C47" s="178">
        <v>2203.1</v>
      </c>
      <c r="D47" s="170">
        <f>IFERROR(C47/VLOOKUP(A47,Usinas!$A:$B,2,FALSE()),"")</f>
        <v>3.5476650563607084</v>
      </c>
    </row>
    <row r="48" spans="1:4" ht="12" customHeight="1" x14ac:dyDescent="0.3">
      <c r="A48" s="167" t="s">
        <v>365</v>
      </c>
      <c r="B48" s="168">
        <v>45705</v>
      </c>
      <c r="C48" s="178">
        <v>3502.6</v>
      </c>
      <c r="D48" s="170">
        <f>IFERROR(C48/VLOOKUP(A48,Usinas!$A:$B,2,FALSE()),"")</f>
        <v>5.640257648953301</v>
      </c>
    </row>
    <row r="49" spans="1:4" ht="12" customHeight="1" x14ac:dyDescent="0.3">
      <c r="A49" s="167" t="s">
        <v>365</v>
      </c>
      <c r="B49" s="168">
        <v>45706</v>
      </c>
      <c r="C49" s="178">
        <v>1487.5</v>
      </c>
      <c r="D49" s="170">
        <f>IFERROR(C49/VLOOKUP(A49,Usinas!$A:$B,2,FALSE()),"")</f>
        <v>2.395330112721417</v>
      </c>
    </row>
    <row r="50" spans="1:4" ht="12" customHeight="1" x14ac:dyDescent="0.3">
      <c r="A50" s="167" t="s">
        <v>365</v>
      </c>
      <c r="B50" s="168">
        <v>45707</v>
      </c>
      <c r="C50" s="178">
        <v>2470.6999999999998</v>
      </c>
      <c r="D50" s="170">
        <f>IFERROR(C50/VLOOKUP(A50,Usinas!$A:$B,2,FALSE()),"")</f>
        <v>3.9785829307568434</v>
      </c>
    </row>
    <row r="51" spans="1:4" ht="12" customHeight="1" x14ac:dyDescent="0.3">
      <c r="A51" s="167" t="s">
        <v>365</v>
      </c>
      <c r="B51" s="168">
        <v>45708</v>
      </c>
      <c r="C51" s="178">
        <v>3137.4</v>
      </c>
      <c r="D51" s="170">
        <f>IFERROR(C51/VLOOKUP(A51,Usinas!$A:$B,2,FALSE()),"")</f>
        <v>5.0521739130434788</v>
      </c>
    </row>
    <row r="52" spans="1:4" ht="12" customHeight="1" x14ac:dyDescent="0.3">
      <c r="A52" s="167" t="s">
        <v>365</v>
      </c>
      <c r="B52" s="168">
        <v>45709</v>
      </c>
      <c r="C52" s="178">
        <v>2924.4</v>
      </c>
      <c r="D52" s="170">
        <f>IFERROR(C52/VLOOKUP(A52,Usinas!$A:$B,2,FALSE()),"")</f>
        <v>4.7091787439613526</v>
      </c>
    </row>
    <row r="53" spans="1:4" ht="12" customHeight="1" x14ac:dyDescent="0.3">
      <c r="A53" s="167" t="s">
        <v>365</v>
      </c>
      <c r="B53" s="168">
        <v>45710</v>
      </c>
      <c r="C53" s="178">
        <v>1896.9</v>
      </c>
      <c r="D53" s="170">
        <f>IFERROR(C53/VLOOKUP(A53,Usinas!$A:$B,2,FALSE()),"")</f>
        <v>3.0545893719806765</v>
      </c>
    </row>
    <row r="54" spans="1:4" ht="12" customHeight="1" x14ac:dyDescent="0.3">
      <c r="A54" s="167" t="s">
        <v>365</v>
      </c>
      <c r="B54" s="168">
        <v>45711</v>
      </c>
      <c r="C54" s="178">
        <v>3489.2</v>
      </c>
      <c r="D54" s="170">
        <f>IFERROR(C54/VLOOKUP(A54,Usinas!$A:$B,2,FALSE()),"")</f>
        <v>5.6186795491143311</v>
      </c>
    </row>
    <row r="55" spans="1:4" ht="12" customHeight="1" x14ac:dyDescent="0.3">
      <c r="A55" s="167" t="s">
        <v>365</v>
      </c>
      <c r="B55" s="168">
        <v>45712</v>
      </c>
      <c r="C55" s="178">
        <v>2258.9</v>
      </c>
      <c r="D55" s="170">
        <f>IFERROR(C55/VLOOKUP(A55,Usinas!$A:$B,2,FALSE()),"")</f>
        <v>3.6375201288244767</v>
      </c>
    </row>
    <row r="56" spans="1:4" ht="12" customHeight="1" x14ac:dyDescent="0.3">
      <c r="A56" s="167" t="s">
        <v>365</v>
      </c>
      <c r="B56" s="168">
        <v>45713</v>
      </c>
      <c r="C56" s="178">
        <v>2399.9</v>
      </c>
      <c r="D56" s="170">
        <f>IFERROR(C56/VLOOKUP(A56,Usinas!$A:$B,2,FALSE()),"")</f>
        <v>3.8645732689210952</v>
      </c>
    </row>
    <row r="57" spans="1:4" ht="12" customHeight="1" x14ac:dyDescent="0.3">
      <c r="A57" s="167" t="s">
        <v>365</v>
      </c>
      <c r="B57" s="168">
        <v>45714</v>
      </c>
      <c r="C57" s="178">
        <v>2194.9</v>
      </c>
      <c r="D57" s="170">
        <f>IFERROR(C57/VLOOKUP(A57,Usinas!$A:$B,2,FALSE()),"")</f>
        <v>3.5344605475040258</v>
      </c>
    </row>
    <row r="58" spans="1:4" ht="12" customHeight="1" x14ac:dyDescent="0.3">
      <c r="A58" s="167" t="s">
        <v>365</v>
      </c>
      <c r="B58" s="168">
        <v>45715</v>
      </c>
      <c r="C58" s="178">
        <v>2023.6</v>
      </c>
      <c r="D58" s="170">
        <f>IFERROR(C58/VLOOKUP(A58,Usinas!$A:$B,2,FALSE()),"")</f>
        <v>3.2586151368760063</v>
      </c>
    </row>
    <row r="59" spans="1:4" ht="12" customHeight="1" x14ac:dyDescent="0.3">
      <c r="A59" s="167" t="s">
        <v>365</v>
      </c>
      <c r="B59" s="168">
        <v>45716</v>
      </c>
      <c r="C59" s="178">
        <v>3230.8</v>
      </c>
      <c r="D59" s="170">
        <f>IFERROR(C59/VLOOKUP(A59,Usinas!$A:$B,2,FALSE()),"")</f>
        <v>5.202576489533012</v>
      </c>
    </row>
    <row r="60" spans="1:4" ht="12" customHeight="1" x14ac:dyDescent="0.3">
      <c r="A60" s="167" t="s">
        <v>365</v>
      </c>
      <c r="B60" s="168">
        <v>45717</v>
      </c>
      <c r="C60" s="178">
        <v>3356.1</v>
      </c>
      <c r="D60" s="170">
        <f>IFERROR(C60/VLOOKUP(A60,Usinas!$A:$B,2,FALSE()),"")</f>
        <v>5.4043478260869566</v>
      </c>
    </row>
    <row r="61" spans="1:4" ht="12" customHeight="1" x14ac:dyDescent="0.3">
      <c r="A61" s="167" t="s">
        <v>365</v>
      </c>
      <c r="B61" s="168">
        <v>45718</v>
      </c>
      <c r="C61" s="178">
        <v>3508.4</v>
      </c>
      <c r="D61" s="170">
        <f>IFERROR(C61/VLOOKUP(A61,Usinas!$A:$B,2,FALSE()),"")</f>
        <v>5.6495974235104676</v>
      </c>
    </row>
    <row r="62" spans="1:4" ht="12" customHeight="1" x14ac:dyDescent="0.3">
      <c r="A62" s="167" t="s">
        <v>365</v>
      </c>
      <c r="B62" s="168">
        <v>45719</v>
      </c>
      <c r="C62" s="178">
        <v>3183.6</v>
      </c>
      <c r="D62" s="170">
        <f>IFERROR(C62/VLOOKUP(A62,Usinas!$A:$B,2,FALSE()),"")</f>
        <v>5.126570048309179</v>
      </c>
    </row>
    <row r="63" spans="1:4" ht="12" customHeight="1" x14ac:dyDescent="0.3">
      <c r="A63" s="167" t="s">
        <v>365</v>
      </c>
      <c r="B63" s="168">
        <v>45720</v>
      </c>
      <c r="C63" s="178">
        <v>3478.6</v>
      </c>
      <c r="D63" s="170">
        <f>IFERROR(C63/VLOOKUP(A63,Usinas!$A:$B,2,FALSE()),"")</f>
        <v>5.6016103059581317</v>
      </c>
    </row>
    <row r="64" spans="1:4" ht="12" customHeight="1" x14ac:dyDescent="0.3">
      <c r="A64" s="167" t="s">
        <v>365</v>
      </c>
      <c r="B64" s="168">
        <v>45721</v>
      </c>
      <c r="C64" s="178">
        <v>2706.8</v>
      </c>
      <c r="D64" s="170">
        <f>IFERROR(C64/VLOOKUP(A64,Usinas!$A:$B,2,FALSE()),"")</f>
        <v>4.3587761674718202</v>
      </c>
    </row>
    <row r="65" spans="1:4" ht="12" customHeight="1" x14ac:dyDescent="0.3">
      <c r="A65" s="167" t="s">
        <v>365</v>
      </c>
      <c r="B65" s="168">
        <v>45722</v>
      </c>
      <c r="C65" s="178">
        <v>2858.8</v>
      </c>
      <c r="D65" s="170">
        <f>IFERROR(C65/VLOOKUP(A65,Usinas!$A:$B,2,FALSE()),"")</f>
        <v>4.6035426731078912</v>
      </c>
    </row>
    <row r="66" spans="1:4" ht="12" customHeight="1" x14ac:dyDescent="0.3">
      <c r="A66" s="167" t="s">
        <v>365</v>
      </c>
      <c r="B66" s="168">
        <v>45723</v>
      </c>
      <c r="C66" s="178">
        <v>3445.2</v>
      </c>
      <c r="D66" s="170">
        <f>IFERROR(C66/VLOOKUP(A66,Usinas!$A:$B,2,FALSE()),"")</f>
        <v>5.5478260869565217</v>
      </c>
    </row>
    <row r="67" spans="1:4" ht="12" customHeight="1" x14ac:dyDescent="0.3">
      <c r="A67" s="167" t="s">
        <v>365</v>
      </c>
      <c r="B67" s="168">
        <v>45724</v>
      </c>
      <c r="C67" s="178">
        <v>3251.1</v>
      </c>
      <c r="D67" s="170">
        <f>IFERROR(C67/VLOOKUP(A67,Usinas!$A:$B,2,FALSE()),"")</f>
        <v>5.235265700483092</v>
      </c>
    </row>
    <row r="68" spans="1:4" ht="12" customHeight="1" x14ac:dyDescent="0.3">
      <c r="A68" s="167" t="s">
        <v>365</v>
      </c>
      <c r="B68" s="168">
        <v>45725</v>
      </c>
      <c r="C68" s="178">
        <v>3379.1</v>
      </c>
      <c r="D68" s="170">
        <f>IFERROR(C68/VLOOKUP(A68,Usinas!$A:$B,2,FALSE()),"")</f>
        <v>5.4413848631239938</v>
      </c>
    </row>
    <row r="69" spans="1:4" ht="12" customHeight="1" x14ac:dyDescent="0.3">
      <c r="A69" s="167" t="s">
        <v>365</v>
      </c>
      <c r="B69" s="168">
        <v>45726</v>
      </c>
      <c r="C69" s="178">
        <v>3060.9</v>
      </c>
      <c r="D69" s="170">
        <f>IFERROR(C69/VLOOKUP(A69,Usinas!$A:$B,2,FALSE()),"")</f>
        <v>4.9289855072463773</v>
      </c>
    </row>
    <row r="70" spans="1:4" ht="12" customHeight="1" x14ac:dyDescent="0.3">
      <c r="A70" s="167" t="s">
        <v>365</v>
      </c>
      <c r="B70" s="168">
        <v>45727</v>
      </c>
      <c r="C70" s="178">
        <v>968.4</v>
      </c>
      <c r="D70" s="170">
        <f>IFERROR(C70/VLOOKUP(A70,Usinas!$A:$B,2,FALSE()),"")</f>
        <v>1.5594202898550724</v>
      </c>
    </row>
    <row r="71" spans="1:4" ht="12" customHeight="1" x14ac:dyDescent="0.3">
      <c r="A71" s="167" t="s">
        <v>365</v>
      </c>
      <c r="B71" s="168">
        <v>45728</v>
      </c>
      <c r="C71" s="178">
        <v>2186.6</v>
      </c>
      <c r="D71" s="170">
        <f>IFERROR(C71/VLOOKUP(A71,Usinas!$A:$B,2,FALSE()),"")</f>
        <v>3.5210950080515295</v>
      </c>
    </row>
    <row r="72" spans="1:4" ht="12" customHeight="1" x14ac:dyDescent="0.3">
      <c r="A72" s="167" t="s">
        <v>365</v>
      </c>
      <c r="B72" s="168">
        <v>45729</v>
      </c>
      <c r="C72" s="178">
        <v>2228.1999999999998</v>
      </c>
      <c r="D72" s="170">
        <f>IFERROR(C72/VLOOKUP(A72,Usinas!$A:$B,2,FALSE()),"")</f>
        <v>3.5880837359098225</v>
      </c>
    </row>
    <row r="73" spans="1:4" ht="12" customHeight="1" x14ac:dyDescent="0.3">
      <c r="A73" s="167" t="s">
        <v>365</v>
      </c>
      <c r="B73" s="168">
        <v>45730</v>
      </c>
      <c r="C73" s="178">
        <v>3206.8</v>
      </c>
      <c r="D73" s="170">
        <f>IFERROR(C73/VLOOKUP(A73,Usinas!$A:$B,2,FALSE()),"")</f>
        <v>5.1639291465378427</v>
      </c>
    </row>
    <row r="74" spans="1:4" ht="12" customHeight="1" x14ac:dyDescent="0.3">
      <c r="A74" s="167" t="s">
        <v>365</v>
      </c>
      <c r="B74" s="168">
        <v>45731</v>
      </c>
      <c r="C74" s="178">
        <v>3154.3</v>
      </c>
      <c r="D74" s="170">
        <f>IFERROR(C74/VLOOKUP(A74,Usinas!$A:$B,2,FALSE()),"")</f>
        <v>5.0793880837359104</v>
      </c>
    </row>
    <row r="75" spans="1:4" ht="12" customHeight="1" x14ac:dyDescent="0.3">
      <c r="A75" s="167" t="s">
        <v>365</v>
      </c>
      <c r="B75" s="168">
        <v>45732</v>
      </c>
      <c r="C75" s="178">
        <v>3230.2</v>
      </c>
      <c r="D75" s="170">
        <f>IFERROR(C75/VLOOKUP(A75,Usinas!$A:$B,2,FALSE()),"")</f>
        <v>5.2016103059581313</v>
      </c>
    </row>
    <row r="76" spans="1:4" ht="12" customHeight="1" x14ac:dyDescent="0.3">
      <c r="A76" s="167" t="s">
        <v>365</v>
      </c>
      <c r="B76" s="168">
        <v>45733</v>
      </c>
      <c r="C76" s="178">
        <v>3306.2</v>
      </c>
      <c r="D76" s="170">
        <f>IFERROR(C76/VLOOKUP(A76,Usinas!$A:$B,2,FALSE()),"")</f>
        <v>5.3239935587761673</v>
      </c>
    </row>
    <row r="77" spans="1:4" ht="12" customHeight="1" x14ac:dyDescent="0.3">
      <c r="A77" s="167" t="s">
        <v>365</v>
      </c>
      <c r="B77" s="168">
        <v>45734</v>
      </c>
      <c r="C77" s="178">
        <v>2660.2</v>
      </c>
      <c r="D77" s="170">
        <f>IFERROR(C77/VLOOKUP(A77,Usinas!$A:$B,2,FALSE()),"")</f>
        <v>4.283735909822866</v>
      </c>
    </row>
    <row r="78" spans="1:4" ht="12" customHeight="1" x14ac:dyDescent="0.3">
      <c r="A78" s="167" t="s">
        <v>365</v>
      </c>
      <c r="B78" s="168">
        <v>45735</v>
      </c>
      <c r="C78" s="178">
        <v>3358</v>
      </c>
      <c r="D78" s="170">
        <f>IFERROR(C78/VLOOKUP(A78,Usinas!$A:$B,2,FALSE()),"")</f>
        <v>5.4074074074074074</v>
      </c>
    </row>
    <row r="79" spans="1:4" ht="12" customHeight="1" x14ac:dyDescent="0.3">
      <c r="A79" s="167" t="s">
        <v>365</v>
      </c>
      <c r="B79" s="168">
        <v>45736</v>
      </c>
      <c r="C79" s="178">
        <v>3608</v>
      </c>
      <c r="D79" s="170">
        <f>IFERROR(C79/VLOOKUP(A79,Usinas!$A:$B,2,FALSE()),"")</f>
        <v>5.8099838969404187</v>
      </c>
    </row>
    <row r="80" spans="1:4" ht="12" customHeight="1" x14ac:dyDescent="0.3">
      <c r="A80" s="167" t="s">
        <v>365</v>
      </c>
      <c r="B80" s="168">
        <v>45737</v>
      </c>
      <c r="C80" s="178">
        <v>3588.6</v>
      </c>
      <c r="D80" s="170">
        <f>IFERROR(C80/VLOOKUP(A80,Usinas!$A:$B,2,FALSE()),"")</f>
        <v>5.7787439613526566</v>
      </c>
    </row>
    <row r="81" spans="1:4" ht="12" customHeight="1" x14ac:dyDescent="0.3">
      <c r="A81" s="167" t="s">
        <v>365</v>
      </c>
      <c r="B81" s="168">
        <v>45738</v>
      </c>
      <c r="C81" s="178">
        <v>2853.7</v>
      </c>
      <c r="D81" s="170">
        <f>IFERROR(C81/VLOOKUP(A81,Usinas!$A:$B,2,FALSE()),"")</f>
        <v>4.5953301127214168</v>
      </c>
    </row>
    <row r="82" spans="1:4" ht="12" customHeight="1" x14ac:dyDescent="0.3">
      <c r="A82" s="167" t="s">
        <v>365</v>
      </c>
      <c r="B82" s="168">
        <v>45739</v>
      </c>
      <c r="C82" s="178">
        <v>2424.6</v>
      </c>
      <c r="D82" s="170">
        <f>IFERROR(C82/VLOOKUP(A82,Usinas!$A:$B,2,FALSE()),"")</f>
        <v>3.9043478260869562</v>
      </c>
    </row>
    <row r="83" spans="1:4" ht="12" customHeight="1" x14ac:dyDescent="0.3">
      <c r="A83" s="167" t="s">
        <v>365</v>
      </c>
      <c r="B83" s="168">
        <v>45740</v>
      </c>
      <c r="C83" s="178">
        <v>3014.2</v>
      </c>
      <c r="D83" s="170">
        <f>IFERROR(C83/VLOOKUP(A83,Usinas!$A:$B,2,FALSE()),"")</f>
        <v>4.8537842190016098</v>
      </c>
    </row>
    <row r="84" spans="1:4" ht="12" customHeight="1" x14ac:dyDescent="0.3">
      <c r="A84" s="167" t="s">
        <v>365</v>
      </c>
      <c r="B84" s="168">
        <v>45741</v>
      </c>
      <c r="C84" s="178">
        <v>2921.4</v>
      </c>
      <c r="D84" s="170">
        <f>IFERROR(C84/VLOOKUP(A84,Usinas!$A:$B,2,FALSE()),"")</f>
        <v>4.7043478260869565</v>
      </c>
    </row>
    <row r="85" spans="1:4" ht="12" customHeight="1" x14ac:dyDescent="0.3">
      <c r="A85" s="167" t="s">
        <v>365</v>
      </c>
      <c r="B85" s="168">
        <v>45742</v>
      </c>
      <c r="C85" s="178">
        <v>2917.5</v>
      </c>
      <c r="D85" s="170">
        <f>IFERROR(C85/VLOOKUP(A85,Usinas!$A:$B,2,FALSE()),"")</f>
        <v>4.6980676328502415</v>
      </c>
    </row>
    <row r="86" spans="1:4" ht="12" customHeight="1" x14ac:dyDescent="0.3">
      <c r="A86" s="167" t="s">
        <v>365</v>
      </c>
      <c r="B86" s="168">
        <v>45743</v>
      </c>
      <c r="C86" s="178">
        <v>2949.4</v>
      </c>
      <c r="D86" s="170">
        <f>IFERROR(C86/VLOOKUP(A86,Usinas!$A:$B,2,FALSE()),"")</f>
        <v>4.7494363929146539</v>
      </c>
    </row>
    <row r="87" spans="1:4" ht="12" customHeight="1" x14ac:dyDescent="0.3">
      <c r="A87" s="167" t="s">
        <v>365</v>
      </c>
      <c r="B87" s="168">
        <v>45744</v>
      </c>
      <c r="C87" s="178">
        <v>3277.6</v>
      </c>
      <c r="D87" s="170">
        <f>IFERROR(C87/VLOOKUP(A87,Usinas!$A:$B,2,FALSE()),"")</f>
        <v>5.277938808373591</v>
      </c>
    </row>
    <row r="88" spans="1:4" ht="12" customHeight="1" x14ac:dyDescent="0.3">
      <c r="A88" s="167" t="s">
        <v>365</v>
      </c>
      <c r="B88" s="168">
        <v>45745</v>
      </c>
      <c r="C88" s="178">
        <v>1952.1</v>
      </c>
      <c r="D88" s="170">
        <f>IFERROR(C88/VLOOKUP(A88,Usinas!$A:$B,2,FALSE()),"")</f>
        <v>3.1434782608695651</v>
      </c>
    </row>
    <row r="89" spans="1:4" ht="12" customHeight="1" x14ac:dyDescent="0.3">
      <c r="A89" s="167" t="s">
        <v>365</v>
      </c>
      <c r="B89" s="168">
        <v>45746</v>
      </c>
      <c r="C89" s="178">
        <v>1952.1</v>
      </c>
      <c r="D89" s="170">
        <f>IFERROR(C89/VLOOKUP(A89,Usinas!$A:$B,2,FALSE()),"")</f>
        <v>3.1434782608695651</v>
      </c>
    </row>
    <row r="90" spans="1:4" ht="12" customHeight="1" x14ac:dyDescent="0.3">
      <c r="A90" s="167" t="s">
        <v>365</v>
      </c>
      <c r="B90" s="168">
        <v>45747</v>
      </c>
      <c r="C90" s="178">
        <v>1871.5</v>
      </c>
      <c r="D90" s="170">
        <f>IFERROR(C90/VLOOKUP(A90,Usinas!$A:$B,2,FALSE()),"")</f>
        <v>3.0136876006441224</v>
      </c>
    </row>
    <row r="91" spans="1:4" ht="12" customHeight="1" x14ac:dyDescent="0.3">
      <c r="A91" s="167" t="s">
        <v>365</v>
      </c>
      <c r="B91" s="168">
        <v>45748</v>
      </c>
      <c r="C91" s="178">
        <v>2241.4</v>
      </c>
      <c r="D91" s="170">
        <f>IFERROR(C91/VLOOKUP(A91,Usinas!$A:$B,2,FALSE()),"")</f>
        <v>3.6093397745571658</v>
      </c>
    </row>
    <row r="92" spans="1:4" ht="12" customHeight="1" x14ac:dyDescent="0.3">
      <c r="A92" s="167" t="s">
        <v>365</v>
      </c>
      <c r="B92" s="168">
        <v>45749</v>
      </c>
      <c r="C92" s="178">
        <v>2809.3</v>
      </c>
      <c r="D92" s="170">
        <f>IFERROR(C92/VLOOKUP(A92,Usinas!$A:$B,2,FALSE()),"")</f>
        <v>4.5238325281803542</v>
      </c>
    </row>
    <row r="93" spans="1:4" ht="12" customHeight="1" x14ac:dyDescent="0.3">
      <c r="A93" s="167" t="s">
        <v>365</v>
      </c>
      <c r="B93" s="168">
        <v>45750</v>
      </c>
      <c r="C93" s="178">
        <v>2698.4</v>
      </c>
      <c r="D93" s="170">
        <f>IFERROR(C93/VLOOKUP(A93,Usinas!$A:$B,2,FALSE()),"")</f>
        <v>4.3452495974235106</v>
      </c>
    </row>
    <row r="94" spans="1:4" ht="12" customHeight="1" x14ac:dyDescent="0.3">
      <c r="A94" s="167" t="s">
        <v>365</v>
      </c>
      <c r="B94" s="168">
        <v>45751</v>
      </c>
      <c r="C94" s="178">
        <v>2618.3000000000002</v>
      </c>
      <c r="D94" s="170">
        <f>IFERROR(C94/VLOOKUP(A94,Usinas!$A:$B,2,FALSE()),"")</f>
        <v>4.216264090177134</v>
      </c>
    </row>
    <row r="95" spans="1:4" ht="12" customHeight="1" x14ac:dyDescent="0.3">
      <c r="A95" s="167" t="s">
        <v>365</v>
      </c>
      <c r="B95" s="168">
        <v>45752</v>
      </c>
      <c r="C95" s="178">
        <v>2786.8</v>
      </c>
      <c r="D95" s="170">
        <f>IFERROR(C95/VLOOKUP(A95,Usinas!$A:$B,2,FALSE()),"")</f>
        <v>4.4876006441223835</v>
      </c>
    </row>
    <row r="96" spans="1:4" ht="12" customHeight="1" x14ac:dyDescent="0.3">
      <c r="A96" s="167" t="s">
        <v>365</v>
      </c>
      <c r="B96" s="168">
        <v>45753</v>
      </c>
      <c r="C96" s="178">
        <v>3359.5</v>
      </c>
      <c r="D96" s="170">
        <f>IFERROR(C96/VLOOKUP(A96,Usinas!$A:$B,2,FALSE()),"")</f>
        <v>5.4098228663446051</v>
      </c>
    </row>
    <row r="97" spans="1:4" ht="12" customHeight="1" x14ac:dyDescent="0.3">
      <c r="A97" s="167" t="s">
        <v>365</v>
      </c>
      <c r="B97" s="168">
        <v>45754</v>
      </c>
      <c r="C97" s="178">
        <v>3244.2</v>
      </c>
      <c r="D97" s="170">
        <f>IFERROR(C97/VLOOKUP(A97,Usinas!$A:$B,2,FALSE()),"")</f>
        <v>5.2241545893719801</v>
      </c>
    </row>
    <row r="98" spans="1:4" ht="12" customHeight="1" x14ac:dyDescent="0.3">
      <c r="A98" s="167" t="s">
        <v>365</v>
      </c>
      <c r="B98" s="168">
        <v>45755</v>
      </c>
      <c r="C98" s="178">
        <v>1944</v>
      </c>
      <c r="D98" s="170">
        <f>IFERROR(C98/VLOOKUP(A98,Usinas!$A:$B,2,FALSE()),"")</f>
        <v>3.1304347826086958</v>
      </c>
    </row>
    <row r="99" spans="1:4" ht="12" customHeight="1" x14ac:dyDescent="0.3">
      <c r="A99" s="167" t="s">
        <v>365</v>
      </c>
      <c r="B99" s="168">
        <v>45756</v>
      </c>
      <c r="C99" s="178">
        <v>2174.9</v>
      </c>
      <c r="D99" s="170">
        <f>IFERROR(C99/VLOOKUP(A99,Usinas!$A:$B,2,FALSE()),"")</f>
        <v>3.5022544283413852</v>
      </c>
    </row>
    <row r="100" spans="1:4" ht="12" customHeight="1" x14ac:dyDescent="0.3">
      <c r="A100" s="167" t="s">
        <v>365</v>
      </c>
      <c r="B100" s="168">
        <v>45757</v>
      </c>
      <c r="C100" s="178">
        <v>2170.6999999999998</v>
      </c>
      <c r="D100" s="170">
        <f>IFERROR(C100/VLOOKUP(A100,Usinas!$A:$B,2,FALSE()),"")</f>
        <v>3.49549114331723</v>
      </c>
    </row>
    <row r="101" spans="1:4" ht="12" customHeight="1" x14ac:dyDescent="0.3">
      <c r="A101" s="167" t="s">
        <v>365</v>
      </c>
      <c r="B101" s="168">
        <v>45758</v>
      </c>
      <c r="C101" s="178">
        <v>2539.6999999999998</v>
      </c>
      <c r="D101" s="170">
        <f>IFERROR(C101/VLOOKUP(A101,Usinas!$A:$B,2,FALSE()),"")</f>
        <v>4.089694041867955</v>
      </c>
    </row>
    <row r="102" spans="1:4" ht="12" customHeight="1" x14ac:dyDescent="0.3">
      <c r="A102" s="167" t="s">
        <v>365</v>
      </c>
      <c r="B102" s="168">
        <v>45759</v>
      </c>
      <c r="C102" s="178">
        <v>719.1</v>
      </c>
      <c r="D102" s="170">
        <f>IFERROR(C102/VLOOKUP(A102,Usinas!$A:$B,2,FALSE()),"")</f>
        <v>1.1579710144927537</v>
      </c>
    </row>
    <row r="103" spans="1:4" ht="12" customHeight="1" x14ac:dyDescent="0.3">
      <c r="A103" s="167" t="s">
        <v>365</v>
      </c>
      <c r="B103" s="168">
        <v>45760</v>
      </c>
      <c r="C103" s="178">
        <v>2008.9</v>
      </c>
      <c r="D103" s="170">
        <f>IFERROR(C103/VLOOKUP(A103,Usinas!$A:$B,2,FALSE()),"")</f>
        <v>3.2349436392914654</v>
      </c>
    </row>
    <row r="104" spans="1:4" ht="12" customHeight="1" x14ac:dyDescent="0.3">
      <c r="A104" s="167" t="s">
        <v>365</v>
      </c>
      <c r="B104" s="168">
        <v>45761</v>
      </c>
      <c r="C104" s="178">
        <v>2630.8</v>
      </c>
      <c r="D104" s="170">
        <f>IFERROR(C104/VLOOKUP(A104,Usinas!$A:$B,2,FALSE()),"")</f>
        <v>4.2363929146537842</v>
      </c>
    </row>
    <row r="105" spans="1:4" ht="12" customHeight="1" x14ac:dyDescent="0.3">
      <c r="A105" s="167" t="s">
        <v>365</v>
      </c>
      <c r="B105" s="168">
        <v>45762</v>
      </c>
      <c r="C105" s="178">
        <v>1519.9</v>
      </c>
      <c r="D105" s="170">
        <f>IFERROR(C105/VLOOKUP(A105,Usinas!$A:$B,2,FALSE()),"")</f>
        <v>2.4475040257648955</v>
      </c>
    </row>
    <row r="106" spans="1:4" ht="12" customHeight="1" x14ac:dyDescent="0.3">
      <c r="A106" s="167" t="s">
        <v>365</v>
      </c>
      <c r="B106" s="168">
        <v>45763</v>
      </c>
      <c r="C106" s="178">
        <v>1036.7</v>
      </c>
      <c r="D106" s="170">
        <f>IFERROR(C106/VLOOKUP(A106,Usinas!$A:$B,2,FALSE()),"")</f>
        <v>1.6694041867954912</v>
      </c>
    </row>
    <row r="107" spans="1:4" ht="12" customHeight="1" x14ac:dyDescent="0.3">
      <c r="A107" s="167" t="s">
        <v>365</v>
      </c>
      <c r="B107" s="168">
        <v>45764</v>
      </c>
      <c r="C107" s="178">
        <v>1464.1</v>
      </c>
      <c r="D107" s="170">
        <f>IFERROR(C107/VLOOKUP(A107,Usinas!$A:$B,2,FALSE()),"")</f>
        <v>2.3576489533011271</v>
      </c>
    </row>
    <row r="108" spans="1:4" ht="12" customHeight="1" x14ac:dyDescent="0.3">
      <c r="A108" s="167" t="s">
        <v>365</v>
      </c>
      <c r="B108" s="168">
        <v>45765</v>
      </c>
      <c r="C108" s="178">
        <v>365.2</v>
      </c>
      <c r="D108" s="170">
        <f>IFERROR(C108/VLOOKUP(A108,Usinas!$A:$B,2,FALSE()),"")</f>
        <v>0.58808373590982288</v>
      </c>
    </row>
    <row r="109" spans="1:4" ht="12" customHeight="1" x14ac:dyDescent="0.3">
      <c r="A109" s="167" t="s">
        <v>365</v>
      </c>
      <c r="B109" s="168">
        <v>45766</v>
      </c>
      <c r="C109" s="178">
        <v>927.1</v>
      </c>
      <c r="D109" s="170">
        <f>IFERROR(C109/VLOOKUP(A109,Usinas!$A:$B,2,FALSE()),"")</f>
        <v>1.4929146537842191</v>
      </c>
    </row>
    <row r="110" spans="1:4" ht="12" customHeight="1" x14ac:dyDescent="0.3">
      <c r="A110" s="167" t="s">
        <v>365</v>
      </c>
      <c r="B110" s="168">
        <v>45767</v>
      </c>
      <c r="C110" s="178">
        <v>1555.3</v>
      </c>
      <c r="D110" s="170">
        <f>IFERROR(C110/VLOOKUP(A110,Usinas!$A:$B,2,FALSE()),"")</f>
        <v>2.5045088566827696</v>
      </c>
    </row>
    <row r="111" spans="1:4" ht="12" customHeight="1" x14ac:dyDescent="0.3">
      <c r="A111" s="167" t="s">
        <v>365</v>
      </c>
      <c r="B111" s="168">
        <v>45768</v>
      </c>
      <c r="C111" s="178">
        <v>2909.2</v>
      </c>
      <c r="D111" s="170">
        <f>IFERROR(C111/VLOOKUP(A111,Usinas!$A:$B,2,FALSE()),"")</f>
        <v>4.6847020933977452</v>
      </c>
    </row>
    <row r="112" spans="1:4" ht="12" customHeight="1" x14ac:dyDescent="0.3">
      <c r="A112" s="167" t="s">
        <v>365</v>
      </c>
      <c r="B112" s="168">
        <v>45769</v>
      </c>
      <c r="C112" s="178">
        <v>3253.6</v>
      </c>
      <c r="D112" s="170">
        <f>IFERROR(C112/VLOOKUP(A112,Usinas!$A:$B,2,FALSE()),"")</f>
        <v>5.2392914653784217</v>
      </c>
    </row>
    <row r="113" spans="1:4" ht="12" customHeight="1" x14ac:dyDescent="0.3">
      <c r="A113" s="167" t="s">
        <v>365</v>
      </c>
      <c r="B113" s="168">
        <v>45770</v>
      </c>
      <c r="C113" s="178">
        <v>2767.8</v>
      </c>
      <c r="D113" s="170">
        <f>IFERROR(C113/VLOOKUP(A113,Usinas!$A:$B,2,FALSE()),"")</f>
        <v>4.4570048309178745</v>
      </c>
    </row>
    <row r="114" spans="1:4" ht="12" customHeight="1" x14ac:dyDescent="0.3">
      <c r="A114" s="167" t="s">
        <v>365</v>
      </c>
      <c r="B114" s="168">
        <v>45771</v>
      </c>
      <c r="C114" s="178">
        <v>455.1</v>
      </c>
      <c r="D114" s="170">
        <f>IFERROR(C114/VLOOKUP(A114,Usinas!$A:$B,2,FALSE()),"")</f>
        <v>0.73285024154589373</v>
      </c>
    </row>
    <row r="115" spans="1:4" ht="12" customHeight="1" x14ac:dyDescent="0.3">
      <c r="A115" s="167" t="s">
        <v>365</v>
      </c>
      <c r="B115" s="168">
        <v>45772</v>
      </c>
      <c r="C115" s="178">
        <v>1078.9000000000001</v>
      </c>
      <c r="D115" s="170">
        <f>IFERROR(C115/VLOOKUP(A115,Usinas!$A:$B,2,FALSE()),"")</f>
        <v>1.7373590982286635</v>
      </c>
    </row>
    <row r="116" spans="1:4" ht="12" customHeight="1" x14ac:dyDescent="0.3">
      <c r="A116" s="167" t="s">
        <v>365</v>
      </c>
      <c r="B116" s="168">
        <v>45773</v>
      </c>
      <c r="C116" s="178">
        <v>1874.6</v>
      </c>
      <c r="D116" s="170">
        <f>IFERROR(C116/VLOOKUP(A116,Usinas!$A:$B,2,FALSE()),"")</f>
        <v>3.0186795491143315</v>
      </c>
    </row>
    <row r="117" spans="1:4" ht="12" customHeight="1" x14ac:dyDescent="0.3">
      <c r="A117" s="167" t="s">
        <v>365</v>
      </c>
      <c r="B117" s="168">
        <v>45774</v>
      </c>
      <c r="C117" s="178">
        <v>818.6</v>
      </c>
      <c r="D117" s="170">
        <f>IFERROR(C117/VLOOKUP(A117,Usinas!$A:$B,2,FALSE()),"")</f>
        <v>1.3181964573268921</v>
      </c>
    </row>
    <row r="118" spans="1:4" ht="12" customHeight="1" x14ac:dyDescent="0.3">
      <c r="A118" s="167" t="s">
        <v>365</v>
      </c>
      <c r="B118" s="168">
        <v>45775</v>
      </c>
      <c r="C118" s="178">
        <v>1807.6</v>
      </c>
      <c r="D118" s="170">
        <f>IFERROR(C118/VLOOKUP(A118,Usinas!$A:$B,2,FALSE()),"")</f>
        <v>2.9107890499194844</v>
      </c>
    </row>
    <row r="119" spans="1:4" ht="12" customHeight="1" x14ac:dyDescent="0.3">
      <c r="A119" s="167" t="s">
        <v>365</v>
      </c>
      <c r="B119" s="168">
        <v>45776</v>
      </c>
      <c r="C119" s="178">
        <v>3520.7</v>
      </c>
      <c r="D119" s="170">
        <f>IFERROR(C119/VLOOKUP(A119,Usinas!$A:$B,2,FALSE()),"")</f>
        <v>5.6694041867954912</v>
      </c>
    </row>
    <row r="120" spans="1:4" ht="12" customHeight="1" x14ac:dyDescent="0.3">
      <c r="A120" s="167" t="s">
        <v>365</v>
      </c>
      <c r="B120" s="168">
        <v>45777</v>
      </c>
      <c r="C120" s="178">
        <v>3425</v>
      </c>
      <c r="D120" s="170">
        <f>IFERROR(C120/VLOOKUP(A120,Usinas!$A:$B,2,FALSE()),"")</f>
        <v>5.5152979066022541</v>
      </c>
    </row>
    <row r="121" spans="1:4" ht="12" customHeight="1" x14ac:dyDescent="0.3">
      <c r="A121" s="167" t="s">
        <v>365</v>
      </c>
      <c r="B121" s="168">
        <v>45778</v>
      </c>
      <c r="C121" s="178">
        <v>3410</v>
      </c>
      <c r="D121" s="170">
        <f>IFERROR(C121/VLOOKUP(A121,Usinas!$A:$B,2,FALSE()),"")</f>
        <v>5.4911433172302742</v>
      </c>
    </row>
    <row r="122" spans="1:4" ht="12" customHeight="1" x14ac:dyDescent="0.3">
      <c r="A122" s="167" t="s">
        <v>365</v>
      </c>
      <c r="B122" s="168">
        <v>45779</v>
      </c>
      <c r="C122" s="178">
        <v>3202.7</v>
      </c>
      <c r="D122" s="170">
        <f>IFERROR(C122/VLOOKUP(A122,Usinas!$A:$B,2,FALSE()),"")</f>
        <v>5.1573268921095003</v>
      </c>
    </row>
    <row r="123" spans="1:4" ht="12" customHeight="1" x14ac:dyDescent="0.3">
      <c r="A123" s="167" t="s">
        <v>365</v>
      </c>
      <c r="B123" s="168">
        <v>45780</v>
      </c>
      <c r="C123" s="178">
        <v>2071.4</v>
      </c>
      <c r="D123" s="170">
        <f>IFERROR(C123/VLOOKUP(A123,Usinas!$A:$B,2,FALSE()),"")</f>
        <v>3.3355877616747183</v>
      </c>
    </row>
    <row r="124" spans="1:4" ht="12" customHeight="1" x14ac:dyDescent="0.3">
      <c r="A124" s="167" t="s">
        <v>365</v>
      </c>
      <c r="B124" s="168">
        <v>45782</v>
      </c>
      <c r="C124" s="178">
        <v>2599.9</v>
      </c>
      <c r="D124" s="170">
        <f>IFERROR(C124/VLOOKUP(A124,Usinas!$A:$B,2,FALSE()),"")</f>
        <v>4.1866344605475039</v>
      </c>
    </row>
    <row r="125" spans="1:4" ht="12" customHeight="1" x14ac:dyDescent="0.3">
      <c r="A125" s="167" t="s">
        <v>365</v>
      </c>
      <c r="B125" s="168">
        <v>45783</v>
      </c>
      <c r="C125" s="178">
        <v>2675.5</v>
      </c>
      <c r="D125" s="170">
        <f>IFERROR(C125/VLOOKUP(A125,Usinas!$A:$B,2,FALSE()),"")</f>
        <v>4.3083735909822867</v>
      </c>
    </row>
    <row r="126" spans="1:4" ht="12" customHeight="1" x14ac:dyDescent="0.3">
      <c r="A126" s="167" t="s">
        <v>365</v>
      </c>
      <c r="B126" s="168">
        <v>45784</v>
      </c>
      <c r="C126" s="178">
        <v>2048.3000000000002</v>
      </c>
      <c r="D126" s="170">
        <f>IFERROR(C126/VLOOKUP(A126,Usinas!$A:$B,2,FALSE()),"")</f>
        <v>3.2983896940418682</v>
      </c>
    </row>
    <row r="127" spans="1:4" ht="12" customHeight="1" x14ac:dyDescent="0.3">
      <c r="A127" s="167" t="s">
        <v>365</v>
      </c>
      <c r="B127" s="168">
        <v>45785</v>
      </c>
      <c r="C127" s="178">
        <v>3093.3</v>
      </c>
      <c r="D127" s="170">
        <f>IFERROR(C127/VLOOKUP(A127,Usinas!$A:$B,2,FALSE()),"")</f>
        <v>4.9811594202898553</v>
      </c>
    </row>
    <row r="128" spans="1:4" ht="12" customHeight="1" x14ac:dyDescent="0.3">
      <c r="A128" s="167" t="s">
        <v>365</v>
      </c>
      <c r="B128" s="168">
        <v>45786</v>
      </c>
      <c r="C128" s="178">
        <v>2564.5</v>
      </c>
      <c r="D128" s="170">
        <f>IFERROR(C128/VLOOKUP(A128,Usinas!$A:$B,2,FALSE()),"")</f>
        <v>4.1296296296296298</v>
      </c>
    </row>
    <row r="129" spans="1:4" ht="12" customHeight="1" x14ac:dyDescent="0.3">
      <c r="A129" s="167" t="s">
        <v>365</v>
      </c>
      <c r="B129" s="168">
        <v>45787</v>
      </c>
      <c r="C129" s="178">
        <v>2034.4</v>
      </c>
      <c r="D129" s="170">
        <f>IFERROR(C129/VLOOKUP(A129,Usinas!$A:$B,2,FALSE()),"")</f>
        <v>3.2760064412238328</v>
      </c>
    </row>
    <row r="130" spans="1:4" ht="12" customHeight="1" x14ac:dyDescent="0.3">
      <c r="A130" s="167" t="s">
        <v>365</v>
      </c>
      <c r="B130" s="168">
        <v>45788</v>
      </c>
      <c r="C130" s="178">
        <v>2275.4</v>
      </c>
      <c r="D130" s="170">
        <f>IFERROR(C130/VLOOKUP(A130,Usinas!$A:$B,2,FALSE()),"")</f>
        <v>3.6640901771336556</v>
      </c>
    </row>
    <row r="131" spans="1:4" ht="12" customHeight="1" x14ac:dyDescent="0.3">
      <c r="A131" s="167" t="s">
        <v>365</v>
      </c>
      <c r="B131" s="168">
        <v>45789</v>
      </c>
      <c r="C131" s="178">
        <v>3205.5</v>
      </c>
      <c r="D131" s="170">
        <f>IFERROR(C131/VLOOKUP(A131,Usinas!$A:$B,2,FALSE()),"")</f>
        <v>5.1618357487922708</v>
      </c>
    </row>
    <row r="132" spans="1:4" ht="12" customHeight="1" x14ac:dyDescent="0.3">
      <c r="A132" s="167" t="s">
        <v>365</v>
      </c>
      <c r="B132" s="168">
        <v>45790</v>
      </c>
      <c r="C132" s="178">
        <v>2711.9</v>
      </c>
      <c r="D132" s="170">
        <f>IFERROR(C132/VLOOKUP(A132,Usinas!$A:$B,2,FALSE()),"")</f>
        <v>4.3669887278582928</v>
      </c>
    </row>
    <row r="133" spans="1:4" ht="12" customHeight="1" x14ac:dyDescent="0.3">
      <c r="A133" s="167" t="s">
        <v>365</v>
      </c>
      <c r="B133" s="168">
        <v>45791</v>
      </c>
      <c r="C133" s="178">
        <v>3158</v>
      </c>
      <c r="D133" s="170">
        <f>IFERROR(C133/VLOOKUP(A133,Usinas!$A:$B,2,FALSE()),"")</f>
        <v>5.0853462157809988</v>
      </c>
    </row>
    <row r="134" spans="1:4" ht="12" customHeight="1" x14ac:dyDescent="0.3">
      <c r="A134" s="167" t="s">
        <v>365</v>
      </c>
      <c r="B134" s="168">
        <v>45792</v>
      </c>
      <c r="C134" s="178">
        <v>3202.4</v>
      </c>
      <c r="D134" s="170">
        <f>IFERROR(C134/VLOOKUP(A134,Usinas!$A:$B,2,FALSE()),"")</f>
        <v>5.1568438003220614</v>
      </c>
    </row>
    <row r="135" spans="1:4" ht="12" customHeight="1" x14ac:dyDescent="0.3">
      <c r="A135" s="167" t="s">
        <v>365</v>
      </c>
      <c r="B135" s="168">
        <v>45793</v>
      </c>
      <c r="C135" s="178">
        <v>2910.5</v>
      </c>
      <c r="D135" s="170">
        <f>IFERROR(C135/VLOOKUP(A135,Usinas!$A:$B,2,FALSE()),"")</f>
        <v>4.6867954911433172</v>
      </c>
    </row>
    <row r="136" spans="1:4" ht="12" customHeight="1" x14ac:dyDescent="0.3">
      <c r="A136" s="167" t="s">
        <v>365</v>
      </c>
      <c r="B136" s="168">
        <v>45794</v>
      </c>
      <c r="C136" s="178">
        <v>2611.4</v>
      </c>
      <c r="D136" s="170">
        <f>IFERROR(C136/VLOOKUP(A136,Usinas!$A:$B,2,FALSE()),"")</f>
        <v>4.2051529790660229</v>
      </c>
    </row>
    <row r="137" spans="1:4" ht="12" customHeight="1" x14ac:dyDescent="0.3">
      <c r="A137" s="167" t="s">
        <v>365</v>
      </c>
      <c r="B137" s="168">
        <v>45795</v>
      </c>
      <c r="C137" s="178">
        <v>2358.1</v>
      </c>
      <c r="D137" s="170">
        <f>IFERROR(C137/VLOOKUP(A137,Usinas!$A:$B,2,FALSE()),"")</f>
        <v>3.7972624798711752</v>
      </c>
    </row>
    <row r="138" spans="1:4" ht="12" customHeight="1" x14ac:dyDescent="0.3">
      <c r="A138" s="167" t="s">
        <v>365</v>
      </c>
      <c r="B138" s="168">
        <v>45796</v>
      </c>
      <c r="C138" s="178">
        <v>2920.1</v>
      </c>
      <c r="D138" s="170">
        <f>IFERROR(C138/VLOOKUP(A138,Usinas!$A:$B,2,FALSE()),"")</f>
        <v>4.7022544283413845</v>
      </c>
    </row>
    <row r="139" spans="1:4" ht="12" customHeight="1" x14ac:dyDescent="0.3">
      <c r="A139" s="167" t="s">
        <v>365</v>
      </c>
      <c r="B139" s="168">
        <v>45797</v>
      </c>
      <c r="C139" s="178">
        <v>2488.1999999999998</v>
      </c>
      <c r="D139" s="170">
        <f>IFERROR(C139/VLOOKUP(A139,Usinas!$A:$B,2,FALSE()),"")</f>
        <v>4.0067632850241539</v>
      </c>
    </row>
    <row r="140" spans="1:4" ht="12" customHeight="1" x14ac:dyDescent="0.3">
      <c r="A140" s="167" t="s">
        <v>365</v>
      </c>
      <c r="B140" s="168">
        <v>45798</v>
      </c>
      <c r="C140" s="178">
        <v>2810</v>
      </c>
      <c r="D140" s="170">
        <f>IFERROR(C140/VLOOKUP(A140,Usinas!$A:$B,2,FALSE()),"")</f>
        <v>4.5249597423510464</v>
      </c>
    </row>
    <row r="141" spans="1:4" ht="12" customHeight="1" x14ac:dyDescent="0.3">
      <c r="A141" s="167" t="s">
        <v>365</v>
      </c>
      <c r="B141" s="168">
        <v>45799</v>
      </c>
      <c r="C141" s="178">
        <v>2772.9</v>
      </c>
      <c r="D141" s="170">
        <f>IFERROR(C141/VLOOKUP(A141,Usinas!$A:$B,2,FALSE()),"")</f>
        <v>4.465217391304348</v>
      </c>
    </row>
    <row r="142" spans="1:4" ht="12" customHeight="1" x14ac:dyDescent="0.3">
      <c r="A142" s="167" t="s">
        <v>365</v>
      </c>
      <c r="B142" s="168">
        <v>45800</v>
      </c>
      <c r="C142" s="178">
        <v>2873.4</v>
      </c>
      <c r="D142" s="170">
        <f>IFERROR(C142/VLOOKUP(A142,Usinas!$A:$B,2,FALSE()),"")</f>
        <v>4.6270531400966188</v>
      </c>
    </row>
    <row r="143" spans="1:4" ht="12" customHeight="1" x14ac:dyDescent="0.3">
      <c r="A143" s="167" t="s">
        <v>365</v>
      </c>
      <c r="B143" s="168">
        <v>45801</v>
      </c>
      <c r="C143" s="178">
        <v>2873.3</v>
      </c>
      <c r="D143" s="170">
        <f>IFERROR(C143/VLOOKUP(A143,Usinas!$A:$B,2,FALSE()),"")</f>
        <v>4.6268921095008055</v>
      </c>
    </row>
    <row r="144" spans="1:4" ht="12" customHeight="1" x14ac:dyDescent="0.3">
      <c r="A144" s="167" t="s">
        <v>365</v>
      </c>
      <c r="B144" s="168">
        <v>45802</v>
      </c>
      <c r="C144" s="178">
        <v>2918.1</v>
      </c>
      <c r="D144" s="170">
        <f>IFERROR(C144/VLOOKUP(A144,Usinas!$A:$B,2,FALSE()),"")</f>
        <v>4.6990338164251204</v>
      </c>
    </row>
    <row r="145" spans="1:4" ht="12" customHeight="1" x14ac:dyDescent="0.3">
      <c r="A145" s="167" t="s">
        <v>365</v>
      </c>
      <c r="B145" s="168">
        <v>45803</v>
      </c>
      <c r="C145" s="178">
        <v>2293.5</v>
      </c>
      <c r="D145" s="170">
        <f>IFERROR(C145/VLOOKUP(A145,Usinas!$A:$B,2,FALSE()),"")</f>
        <v>3.6932367149758454</v>
      </c>
    </row>
    <row r="146" spans="1:4" ht="12" customHeight="1" x14ac:dyDescent="0.3">
      <c r="A146" s="167" t="s">
        <v>365</v>
      </c>
      <c r="B146" s="168">
        <v>45804</v>
      </c>
      <c r="C146" s="178">
        <v>2065.6999999999998</v>
      </c>
      <c r="D146" s="170">
        <f>IFERROR(C146/VLOOKUP(A146,Usinas!$A:$B,2,FALSE()),"")</f>
        <v>3.3264090177133654</v>
      </c>
    </row>
    <row r="147" spans="1:4" ht="12" customHeight="1" x14ac:dyDescent="0.3">
      <c r="A147" s="167" t="s">
        <v>365</v>
      </c>
      <c r="B147" s="168">
        <v>45805</v>
      </c>
      <c r="C147" s="178">
        <v>1002.7</v>
      </c>
      <c r="D147" s="170">
        <f>IFERROR(C147/VLOOKUP(A147,Usinas!$A:$B,2,FALSE()),"")</f>
        <v>1.6146537842190016</v>
      </c>
    </row>
    <row r="148" spans="1:4" ht="12" customHeight="1" x14ac:dyDescent="0.3">
      <c r="A148" s="167" t="s">
        <v>365</v>
      </c>
      <c r="B148" s="168">
        <v>45806</v>
      </c>
      <c r="C148" s="178">
        <v>1857.6</v>
      </c>
      <c r="D148" s="170">
        <f>IFERROR(C148/VLOOKUP(A148,Usinas!$A:$B,2,FALSE()),"")</f>
        <v>2.991304347826087</v>
      </c>
    </row>
    <row r="149" spans="1:4" ht="12" customHeight="1" x14ac:dyDescent="0.3">
      <c r="A149" s="167" t="s">
        <v>365</v>
      </c>
      <c r="B149" s="168">
        <v>45807</v>
      </c>
      <c r="C149" s="178">
        <v>3233.5</v>
      </c>
      <c r="D149" s="170">
        <f>IFERROR(C149/VLOOKUP(A149,Usinas!$A:$B,2,FALSE()),"")</f>
        <v>5.2069243156199674</v>
      </c>
    </row>
    <row r="150" spans="1:4" ht="12" customHeight="1" x14ac:dyDescent="0.3">
      <c r="A150" s="167" t="s">
        <v>365</v>
      </c>
      <c r="B150" s="168">
        <v>45808</v>
      </c>
      <c r="C150" s="178">
        <v>1985.3</v>
      </c>
      <c r="D150" s="170">
        <f>IFERROR(C150/VLOOKUP(A150,Usinas!$A:$B,2,FALSE()),"")</f>
        <v>3.1969404186795489</v>
      </c>
    </row>
    <row r="151" spans="1:4" ht="12" customHeight="1" x14ac:dyDescent="0.3">
      <c r="A151" s="167" t="s">
        <v>365</v>
      </c>
      <c r="B151" s="168">
        <v>45809</v>
      </c>
      <c r="C151" s="178">
        <v>1716.2</v>
      </c>
      <c r="D151" s="170">
        <f>IFERROR(C151/VLOOKUP(A151,Usinas!$A:$B,2,FALSE()),"")</f>
        <v>2.7636070853462158</v>
      </c>
    </row>
    <row r="152" spans="1:4" ht="12" customHeight="1" x14ac:dyDescent="0.3">
      <c r="A152" s="167" t="s">
        <v>365</v>
      </c>
      <c r="B152" s="168">
        <v>45810</v>
      </c>
      <c r="C152" s="178">
        <v>1779.6</v>
      </c>
      <c r="D152" s="170">
        <f>IFERROR(C152/VLOOKUP(A152,Usinas!$A:$B,2,FALSE()),"")</f>
        <v>2.8657004830917874</v>
      </c>
    </row>
    <row r="153" spans="1:4" ht="12" customHeight="1" x14ac:dyDescent="0.3">
      <c r="A153" s="167" t="s">
        <v>365</v>
      </c>
      <c r="B153" s="168">
        <v>45811</v>
      </c>
      <c r="C153" s="178">
        <v>2610.9</v>
      </c>
      <c r="D153" s="170">
        <f>IFERROR(C153/VLOOKUP(A153,Usinas!$A:$B,2,FALSE()),"")</f>
        <v>4.2043478260869565</v>
      </c>
    </row>
    <row r="154" spans="1:4" ht="12" customHeight="1" x14ac:dyDescent="0.3">
      <c r="A154" s="167" t="s">
        <v>365</v>
      </c>
      <c r="B154" s="168">
        <v>45812</v>
      </c>
      <c r="C154" s="178">
        <v>2551.6</v>
      </c>
      <c r="D154" s="170">
        <f>IFERROR(C154/VLOOKUP(A154,Usinas!$A:$B,2,FALSE()),"")</f>
        <v>4.1088566827697264</v>
      </c>
    </row>
    <row r="155" spans="1:4" ht="12" customHeight="1" x14ac:dyDescent="0.3">
      <c r="A155" s="167" t="s">
        <v>365</v>
      </c>
      <c r="B155" s="168">
        <v>45813</v>
      </c>
      <c r="C155" s="178">
        <v>1405.3</v>
      </c>
      <c r="D155" s="170">
        <f>IFERROR(C155/VLOOKUP(A155,Usinas!$A:$B,2,FALSE()),"")</f>
        <v>2.2629629629629631</v>
      </c>
    </row>
    <row r="156" spans="1:4" ht="12" customHeight="1" x14ac:dyDescent="0.3">
      <c r="A156" s="167" t="s">
        <v>365</v>
      </c>
      <c r="B156" s="168">
        <v>45814</v>
      </c>
      <c r="C156" s="178">
        <v>2151.6999999999998</v>
      </c>
      <c r="D156" s="170">
        <f>IFERROR(C156/VLOOKUP(A156,Usinas!$A:$B,2,FALSE()),"")</f>
        <v>3.464895330112721</v>
      </c>
    </row>
    <row r="157" spans="1:4" ht="12" customHeight="1" x14ac:dyDescent="0.3">
      <c r="A157" s="167" t="s">
        <v>365</v>
      </c>
      <c r="B157" s="168">
        <v>45815</v>
      </c>
      <c r="C157" s="178">
        <v>2589.9</v>
      </c>
      <c r="D157" s="170">
        <f>IFERROR(C157/VLOOKUP(A157,Usinas!$A:$B,2,FALSE()),"")</f>
        <v>4.1705314009661834</v>
      </c>
    </row>
    <row r="158" spans="1:4" ht="12" customHeight="1" x14ac:dyDescent="0.3">
      <c r="A158" s="167" t="s">
        <v>365</v>
      </c>
      <c r="B158" s="168">
        <v>45816</v>
      </c>
      <c r="C158" s="178">
        <v>682.4</v>
      </c>
      <c r="D158" s="170">
        <f>IFERROR(C158/VLOOKUP(A158,Usinas!$A:$B,2,FALSE()),"")</f>
        <v>1.0988727858293075</v>
      </c>
    </row>
    <row r="159" spans="1:4" ht="12" customHeight="1" x14ac:dyDescent="0.3">
      <c r="A159" s="167" t="s">
        <v>365</v>
      </c>
      <c r="B159" s="168">
        <v>45817</v>
      </c>
      <c r="C159" s="178">
        <v>2745.8</v>
      </c>
      <c r="D159" s="170">
        <f>IFERROR(C159/VLOOKUP(A159,Usinas!$A:$B,2,FALSE()),"")</f>
        <v>4.4215780998389693</v>
      </c>
    </row>
    <row r="160" spans="1:4" ht="12" customHeight="1" x14ac:dyDescent="0.3">
      <c r="A160" s="167" t="s">
        <v>365</v>
      </c>
      <c r="B160" s="168">
        <v>45818</v>
      </c>
      <c r="C160" s="178">
        <v>2040.5</v>
      </c>
      <c r="D160" s="170">
        <f>IFERROR(C160/VLOOKUP(A160,Usinas!$A:$B,2,FALSE()),"")</f>
        <v>3.2858293075684379</v>
      </c>
    </row>
    <row r="161" spans="1:4" ht="12" customHeight="1" x14ac:dyDescent="0.3">
      <c r="A161" s="167" t="s">
        <v>365</v>
      </c>
      <c r="B161" s="168">
        <v>45819</v>
      </c>
      <c r="C161" s="178">
        <v>3137.7</v>
      </c>
      <c r="D161" s="170">
        <f>IFERROR(C161/VLOOKUP(A161,Usinas!$A:$B,2,FALSE()),"")</f>
        <v>5.0526570048309178</v>
      </c>
    </row>
    <row r="162" spans="1:4" ht="12" customHeight="1" x14ac:dyDescent="0.3">
      <c r="A162" s="167" t="s">
        <v>365</v>
      </c>
      <c r="B162" s="168">
        <v>45820</v>
      </c>
      <c r="C162" s="178">
        <v>2979.6</v>
      </c>
      <c r="D162" s="170">
        <f>IFERROR(C162/VLOOKUP(A162,Usinas!$A:$B,2,FALSE()),"")</f>
        <v>4.7980676328502412</v>
      </c>
    </row>
    <row r="163" spans="1:4" ht="12" customHeight="1" x14ac:dyDescent="0.3">
      <c r="A163" s="167" t="s">
        <v>365</v>
      </c>
      <c r="B163" s="168">
        <v>45821</v>
      </c>
      <c r="C163" s="178">
        <v>2275.6</v>
      </c>
      <c r="D163" s="170">
        <f>IFERROR(C163/VLOOKUP(A163,Usinas!$A:$B,2,FALSE()),"")</f>
        <v>3.6644122383252817</v>
      </c>
    </row>
    <row r="164" spans="1:4" ht="12" customHeight="1" x14ac:dyDescent="0.3">
      <c r="A164" s="167" t="s">
        <v>365</v>
      </c>
      <c r="B164" s="168">
        <v>45822</v>
      </c>
      <c r="C164" s="178">
        <v>1881.7</v>
      </c>
      <c r="D164" s="170">
        <f>IFERROR(C164/VLOOKUP(A164,Usinas!$A:$B,2,FALSE()),"")</f>
        <v>3.0301127214170691</v>
      </c>
    </row>
    <row r="165" spans="1:4" ht="12" customHeight="1" x14ac:dyDescent="0.3">
      <c r="A165" s="167" t="s">
        <v>365</v>
      </c>
      <c r="B165" s="168">
        <v>45823</v>
      </c>
      <c r="C165" s="178">
        <v>2256.6999999999998</v>
      </c>
      <c r="D165" s="170">
        <f>IFERROR(C165/VLOOKUP(A165,Usinas!$A:$B,2,FALSE()),"")</f>
        <v>3.633977455716586</v>
      </c>
    </row>
    <row r="166" spans="1:4" ht="12" customHeight="1" x14ac:dyDescent="0.3">
      <c r="A166" s="167" t="s">
        <v>365</v>
      </c>
      <c r="B166" s="168">
        <v>45824</v>
      </c>
      <c r="C166" s="178">
        <v>2629.1</v>
      </c>
      <c r="D166" s="170">
        <f>IFERROR(C166/VLOOKUP(A166,Usinas!$A:$B,2,FALSE()),"")</f>
        <v>4.23365539452496</v>
      </c>
    </row>
    <row r="167" spans="1:4" ht="12" customHeight="1" x14ac:dyDescent="0.3">
      <c r="A167" s="167" t="s">
        <v>365</v>
      </c>
      <c r="B167" s="168">
        <v>45825</v>
      </c>
      <c r="C167" s="178">
        <v>2549.1</v>
      </c>
      <c r="D167" s="170">
        <f>IFERROR(C167/VLOOKUP(A167,Usinas!$A:$B,2,FALSE()),"")</f>
        <v>4.1048309178743958</v>
      </c>
    </row>
    <row r="168" spans="1:4" ht="12" customHeight="1" x14ac:dyDescent="0.3">
      <c r="A168" s="167" t="s">
        <v>365</v>
      </c>
      <c r="B168" s="168">
        <v>45826</v>
      </c>
      <c r="C168" s="178">
        <v>2802.2</v>
      </c>
      <c r="D168" s="170">
        <f>IFERROR(C168/VLOOKUP(A168,Usinas!$A:$B,2,FALSE()),"")</f>
        <v>4.5123993558776165</v>
      </c>
    </row>
    <row r="169" spans="1:4" ht="12" customHeight="1" x14ac:dyDescent="0.3">
      <c r="A169" s="167" t="s">
        <v>365</v>
      </c>
      <c r="B169" s="168">
        <v>45827</v>
      </c>
      <c r="C169" s="178">
        <v>2834.4</v>
      </c>
      <c r="D169" s="170">
        <f>IFERROR(C169/VLOOKUP(A169,Usinas!$A:$B,2,FALSE()),"")</f>
        <v>4.5642512077294688</v>
      </c>
    </row>
    <row r="170" spans="1:4" ht="12" customHeight="1" x14ac:dyDescent="0.3">
      <c r="A170" s="167" t="s">
        <v>365</v>
      </c>
      <c r="B170" s="168">
        <v>45828</v>
      </c>
      <c r="C170" s="178">
        <v>1881.5</v>
      </c>
      <c r="D170" s="170">
        <f>IFERROR(C170/VLOOKUP(A170,Usinas!$A:$B,2,FALSE()),"")</f>
        <v>3.029790660225443</v>
      </c>
    </row>
    <row r="171" spans="1:4" ht="12" customHeight="1" x14ac:dyDescent="0.3">
      <c r="A171" s="167" t="s">
        <v>365</v>
      </c>
      <c r="B171" s="168">
        <v>45829</v>
      </c>
      <c r="C171" s="178">
        <v>886.2</v>
      </c>
      <c r="D171" s="170">
        <f>IFERROR(C171/VLOOKUP(A171,Usinas!$A:$B,2,FALSE()),"")</f>
        <v>1.4270531400966184</v>
      </c>
    </row>
    <row r="172" spans="1:4" ht="12" customHeight="1" x14ac:dyDescent="0.3">
      <c r="A172" s="167" t="s">
        <v>365</v>
      </c>
      <c r="B172" s="168">
        <v>45830</v>
      </c>
      <c r="C172" s="178">
        <v>1185.8</v>
      </c>
      <c r="D172" s="170">
        <f>IFERROR(C172/VLOOKUP(A172,Usinas!$A:$B,2,FALSE()),"")</f>
        <v>1.9095008051529789</v>
      </c>
    </row>
    <row r="173" spans="1:4" ht="12" customHeight="1" x14ac:dyDescent="0.3">
      <c r="A173" s="167" t="s">
        <v>365</v>
      </c>
      <c r="B173" s="168">
        <v>45831</v>
      </c>
      <c r="C173" s="178">
        <v>746.6</v>
      </c>
      <c r="D173" s="170">
        <f>IFERROR(C173/VLOOKUP(A173,Usinas!$A:$B,2,FALSE()),"")</f>
        <v>1.202254428341385</v>
      </c>
    </row>
    <row r="174" spans="1:4" ht="12" customHeight="1" x14ac:dyDescent="0.3">
      <c r="A174" s="167" t="s">
        <v>365</v>
      </c>
      <c r="B174" s="168">
        <v>45832</v>
      </c>
      <c r="C174" s="178">
        <v>3284.4</v>
      </c>
      <c r="D174" s="170">
        <f>IFERROR(C174/VLOOKUP(A174,Usinas!$A:$B,2,FALSE()),"")</f>
        <v>5.2888888888888888</v>
      </c>
    </row>
    <row r="175" spans="1:4" ht="12" customHeight="1" x14ac:dyDescent="0.3">
      <c r="A175" s="167" t="s">
        <v>365</v>
      </c>
      <c r="B175" s="168">
        <v>45833</v>
      </c>
      <c r="C175" s="178">
        <v>2588.5</v>
      </c>
      <c r="D175" s="170">
        <f>IFERROR(C175/VLOOKUP(A175,Usinas!$A:$B,2,FALSE()),"")</f>
        <v>4.168276972624799</v>
      </c>
    </row>
    <row r="176" spans="1:4" ht="12" customHeight="1" x14ac:dyDescent="0.3">
      <c r="A176" s="167" t="s">
        <v>365</v>
      </c>
      <c r="B176" s="168">
        <v>45834</v>
      </c>
      <c r="C176" s="178">
        <v>710.9</v>
      </c>
      <c r="D176" s="170">
        <f>IFERROR(C176/VLOOKUP(A176,Usinas!$A:$B,2,FALSE()),"")</f>
        <v>1.1447665056360707</v>
      </c>
    </row>
    <row r="177" spans="1:4" ht="12" customHeight="1" x14ac:dyDescent="0.3">
      <c r="A177" s="167" t="s">
        <v>365</v>
      </c>
      <c r="B177" s="168">
        <v>45835</v>
      </c>
      <c r="C177" s="178">
        <v>1306.5999999999999</v>
      </c>
      <c r="D177" s="170">
        <f>IFERROR(C177/VLOOKUP(A177,Usinas!$A:$B,2,FALSE()),"")</f>
        <v>2.1040257648953298</v>
      </c>
    </row>
    <row r="178" spans="1:4" ht="12" customHeight="1" x14ac:dyDescent="0.3">
      <c r="A178" s="167" t="s">
        <v>365</v>
      </c>
      <c r="B178" s="168">
        <v>45836</v>
      </c>
      <c r="C178" s="178">
        <v>2679.5</v>
      </c>
      <c r="D178" s="170">
        <f>IFERROR(C178/VLOOKUP(A178,Usinas!$A:$B,2,FALSE()),"")</f>
        <v>4.3148148148148149</v>
      </c>
    </row>
    <row r="179" spans="1:4" ht="12" customHeight="1" x14ac:dyDescent="0.3">
      <c r="A179" s="167" t="s">
        <v>365</v>
      </c>
      <c r="B179" s="168">
        <v>45837</v>
      </c>
      <c r="C179" s="178">
        <v>997.4</v>
      </c>
      <c r="D179" s="170">
        <f>IFERROR(C179/VLOOKUP(A179,Usinas!$A:$B,2,FALSE()),"")</f>
        <v>1.6061191626409017</v>
      </c>
    </row>
    <row r="180" spans="1:4" ht="12" customHeight="1" x14ac:dyDescent="0.3">
      <c r="A180" s="167" t="s">
        <v>365</v>
      </c>
      <c r="B180" s="168">
        <v>45838</v>
      </c>
      <c r="C180" s="178">
        <v>493.2</v>
      </c>
      <c r="D180" s="170">
        <f>IFERROR(C180/VLOOKUP(A180,Usinas!$A:$B,2,FALSE()),"")</f>
        <v>0.79420289855072457</v>
      </c>
    </row>
    <row r="181" spans="1:4" ht="12" customHeight="1" x14ac:dyDescent="0.3">
      <c r="A181" s="167" t="s">
        <v>365</v>
      </c>
      <c r="B181" s="168">
        <v>45839</v>
      </c>
      <c r="C181" s="178">
        <v>1218.0999999999999</v>
      </c>
      <c r="D181" s="170">
        <f>IFERROR(C181/VLOOKUP(A181,Usinas!$A:$B,2,FALSE()),"")</f>
        <v>1.961513687600644</v>
      </c>
    </row>
    <row r="182" spans="1:4" ht="12" customHeight="1" x14ac:dyDescent="0.3">
      <c r="A182" s="167" t="s">
        <v>365</v>
      </c>
      <c r="B182" s="168">
        <v>45840</v>
      </c>
      <c r="C182" s="178">
        <v>2341.6999999999998</v>
      </c>
      <c r="D182" s="170">
        <f>IFERROR(C182/VLOOKUP(A182,Usinas!$A:$B,2,FALSE()),"")</f>
        <v>3.7708534621578096</v>
      </c>
    </row>
    <row r="183" spans="1:4" ht="12" customHeight="1" x14ac:dyDescent="0.3">
      <c r="A183" s="167" t="s">
        <v>365</v>
      </c>
      <c r="B183" s="168">
        <v>45841</v>
      </c>
      <c r="C183" s="178">
        <v>1148.4000000000001</v>
      </c>
      <c r="D183" s="170">
        <f>IFERROR(C183/VLOOKUP(A183,Usinas!$A:$B,2,FALSE()),"")</f>
        <v>1.8492753623188407</v>
      </c>
    </row>
    <row r="184" spans="1:4" ht="12" customHeight="1" x14ac:dyDescent="0.3">
      <c r="A184" s="167" t="s">
        <v>365</v>
      </c>
      <c r="B184" s="168">
        <v>45842</v>
      </c>
      <c r="C184" s="178">
        <v>3002.2</v>
      </c>
      <c r="D184" s="170">
        <f>IFERROR(C184/VLOOKUP(A184,Usinas!$A:$B,2,FALSE()),"")</f>
        <v>4.8344605475040252</v>
      </c>
    </row>
    <row r="185" spans="1:4" ht="12" customHeight="1" x14ac:dyDescent="0.3">
      <c r="A185" s="167" t="s">
        <v>365</v>
      </c>
      <c r="B185" s="168">
        <v>45843</v>
      </c>
      <c r="C185" s="178">
        <v>2927</v>
      </c>
      <c r="D185" s="170">
        <f>IFERROR(C185/VLOOKUP(A185,Usinas!$A:$B,2,FALSE()),"")</f>
        <v>4.7133655394524956</v>
      </c>
    </row>
    <row r="186" spans="1:4" ht="12" customHeight="1" x14ac:dyDescent="0.3">
      <c r="A186" s="167" t="s">
        <v>365</v>
      </c>
      <c r="B186" s="168">
        <v>45844</v>
      </c>
      <c r="C186" s="178">
        <v>2956.8</v>
      </c>
      <c r="D186" s="170">
        <f>IFERROR(C186/VLOOKUP(A186,Usinas!$A:$B,2,FALSE()),"")</f>
        <v>4.7613526570048315</v>
      </c>
    </row>
    <row r="187" spans="1:4" ht="12" customHeight="1" x14ac:dyDescent="0.3">
      <c r="A187" s="167" t="s">
        <v>365</v>
      </c>
      <c r="B187" s="168">
        <v>45845</v>
      </c>
      <c r="C187" s="178">
        <v>2929.7</v>
      </c>
      <c r="D187" s="170">
        <f>IFERROR(C187/VLOOKUP(A187,Usinas!$A:$B,2,FALSE()),"")</f>
        <v>4.7177133655394519</v>
      </c>
    </row>
    <row r="188" spans="1:4" ht="12" customHeight="1" x14ac:dyDescent="0.3">
      <c r="A188" s="167" t="s">
        <v>365</v>
      </c>
      <c r="B188" s="168">
        <v>45846</v>
      </c>
      <c r="C188" s="178">
        <v>2929.3</v>
      </c>
      <c r="D188" s="170">
        <f>IFERROR(C188/VLOOKUP(A188,Usinas!$A:$B,2,FALSE()),"")</f>
        <v>4.7170692431561996</v>
      </c>
    </row>
    <row r="189" spans="1:4" ht="12" customHeight="1" x14ac:dyDescent="0.3">
      <c r="A189" s="167" t="s">
        <v>365</v>
      </c>
      <c r="B189" s="168">
        <v>45847</v>
      </c>
      <c r="C189" s="178">
        <v>2963.8</v>
      </c>
      <c r="D189" s="170">
        <f>IFERROR(C189/VLOOKUP(A189,Usinas!$A:$B,2,FALSE()),"")</f>
        <v>4.7726247987117558</v>
      </c>
    </row>
    <row r="190" spans="1:4" ht="12" customHeight="1" x14ac:dyDescent="0.3">
      <c r="A190" s="167" t="s">
        <v>365</v>
      </c>
      <c r="B190" s="168">
        <v>45848</v>
      </c>
      <c r="C190" s="178">
        <v>2646.8</v>
      </c>
      <c r="D190" s="170">
        <f>IFERROR(C190/VLOOKUP(A190,Usinas!$A:$B,2,FALSE()),"")</f>
        <v>4.262157809983897</v>
      </c>
    </row>
    <row r="191" spans="1:4" ht="12" customHeight="1" x14ac:dyDescent="0.3">
      <c r="A191" s="167" t="s">
        <v>365</v>
      </c>
      <c r="B191" s="168">
        <v>45849</v>
      </c>
      <c r="C191" s="178">
        <v>2068.3000000000002</v>
      </c>
      <c r="D191" s="170">
        <f>IFERROR(C191/VLOOKUP(A191,Usinas!$A:$B,2,FALSE()),"")</f>
        <v>3.3305958132045093</v>
      </c>
    </row>
    <row r="192" spans="1:4" ht="12" customHeight="1" x14ac:dyDescent="0.3">
      <c r="A192" s="167" t="s">
        <v>365</v>
      </c>
      <c r="B192" s="168">
        <v>45850</v>
      </c>
      <c r="C192" s="178">
        <v>2556.9</v>
      </c>
      <c r="D192" s="170">
        <f>IFERROR(C192/VLOOKUP(A192,Usinas!$A:$B,2,FALSE()),"")</f>
        <v>4.1173913043478265</v>
      </c>
    </row>
    <row r="193" spans="1:4" ht="12" customHeight="1" x14ac:dyDescent="0.3">
      <c r="A193" s="167" t="s">
        <v>365</v>
      </c>
      <c r="B193" s="168">
        <v>45851</v>
      </c>
      <c r="C193" s="178">
        <v>2012.5</v>
      </c>
      <c r="D193" s="170">
        <f>IFERROR(C193/VLOOKUP(A193,Usinas!$A:$B,2,FALSE()),"")</f>
        <v>3.2407407407407409</v>
      </c>
    </row>
    <row r="194" spans="1:4" ht="12" customHeight="1" x14ac:dyDescent="0.3">
      <c r="A194" s="167" t="s">
        <v>365</v>
      </c>
      <c r="B194" s="168">
        <v>45852</v>
      </c>
      <c r="C194" s="178">
        <v>2389.9</v>
      </c>
      <c r="D194" s="170">
        <f>IFERROR(C194/VLOOKUP(A194,Usinas!$A:$B,2,FALSE()),"")</f>
        <v>3.8484702093397747</v>
      </c>
    </row>
    <row r="195" spans="1:4" ht="12" customHeight="1" x14ac:dyDescent="0.3">
      <c r="A195" s="167" t="s">
        <v>365</v>
      </c>
      <c r="B195" s="168">
        <v>45853</v>
      </c>
      <c r="C195" s="178">
        <v>2648</v>
      </c>
      <c r="D195" s="170">
        <f>IFERROR(C195/VLOOKUP(A195,Usinas!$A:$B,2,FALSE()),"")</f>
        <v>4.2640901771336557</v>
      </c>
    </row>
    <row r="196" spans="1:4" ht="12" customHeight="1" x14ac:dyDescent="0.3">
      <c r="A196" s="167" t="s">
        <v>365</v>
      </c>
      <c r="B196" s="168">
        <v>45854</v>
      </c>
      <c r="C196" s="178">
        <v>2608.1</v>
      </c>
      <c r="D196" s="170">
        <f>IFERROR(C196/VLOOKUP(A196,Usinas!$A:$B,2,FALSE()),"")</f>
        <v>4.1998389694041869</v>
      </c>
    </row>
    <row r="197" spans="1:4" ht="12" customHeight="1" x14ac:dyDescent="0.3">
      <c r="A197" s="167" t="s">
        <v>365</v>
      </c>
      <c r="B197" s="168">
        <v>45855</v>
      </c>
      <c r="C197" s="178">
        <v>1888.6</v>
      </c>
      <c r="D197" s="170">
        <f>IFERROR(C197/VLOOKUP(A197,Usinas!$A:$B,2,FALSE()),"")</f>
        <v>3.0412238325281802</v>
      </c>
    </row>
    <row r="198" spans="1:4" ht="12" customHeight="1" x14ac:dyDescent="0.3">
      <c r="A198" s="167" t="s">
        <v>365</v>
      </c>
      <c r="B198" s="168">
        <v>45856</v>
      </c>
      <c r="C198" s="178">
        <v>2546.4</v>
      </c>
      <c r="D198" s="170">
        <f>IFERROR(C198/VLOOKUP(A198,Usinas!$A:$B,2,FALSE()),"")</f>
        <v>4.1004830917874395</v>
      </c>
    </row>
    <row r="199" spans="1:4" ht="12" customHeight="1" x14ac:dyDescent="0.3">
      <c r="A199" s="167" t="s">
        <v>365</v>
      </c>
      <c r="B199" s="168">
        <v>45857</v>
      </c>
      <c r="C199" s="178">
        <v>2797.6</v>
      </c>
      <c r="D199" s="170">
        <f>IFERROR(C199/VLOOKUP(A199,Usinas!$A:$B,2,FALSE()),"")</f>
        <v>4.5049919484702095</v>
      </c>
    </row>
    <row r="200" spans="1:4" ht="12" customHeight="1" x14ac:dyDescent="0.3">
      <c r="A200" s="167" t="s">
        <v>365</v>
      </c>
      <c r="B200" s="168">
        <v>45858</v>
      </c>
      <c r="C200" s="178">
        <v>2127.3000000000002</v>
      </c>
      <c r="D200" s="170">
        <f>IFERROR(C200/VLOOKUP(A200,Usinas!$A:$B,2,FALSE()),"")</f>
        <v>3.4256038647342999</v>
      </c>
    </row>
    <row r="201" spans="1:4" ht="12" customHeight="1" x14ac:dyDescent="0.3">
      <c r="A201" s="167" t="s">
        <v>365</v>
      </c>
      <c r="B201" s="168">
        <v>45859</v>
      </c>
      <c r="C201" s="178">
        <v>2622.1</v>
      </c>
      <c r="D201" s="170">
        <f>IFERROR(C201/VLOOKUP(A201,Usinas!$A:$B,2,FALSE()),"")</f>
        <v>4.2223832528180356</v>
      </c>
    </row>
    <row r="202" spans="1:4" ht="12" customHeight="1" x14ac:dyDescent="0.3">
      <c r="A202" s="167" t="s">
        <v>365</v>
      </c>
      <c r="B202" s="168">
        <v>45860</v>
      </c>
      <c r="C202" s="178">
        <v>2648.1</v>
      </c>
      <c r="D202" s="170">
        <f>IFERROR(C202/VLOOKUP(A202,Usinas!$A:$B,2,FALSE()),"")</f>
        <v>4.2642512077294681</v>
      </c>
    </row>
    <row r="203" spans="1:4" ht="12" customHeight="1" x14ac:dyDescent="0.3">
      <c r="A203" s="167" t="s">
        <v>365</v>
      </c>
      <c r="B203" s="168">
        <v>45861</v>
      </c>
      <c r="C203" s="178">
        <v>2630.9</v>
      </c>
      <c r="D203" s="170">
        <f>IFERROR(C203/VLOOKUP(A203,Usinas!$A:$B,2,FALSE()),"")</f>
        <v>4.2365539452495975</v>
      </c>
    </row>
    <row r="204" spans="1:4" ht="12" customHeight="1" x14ac:dyDescent="0.3">
      <c r="A204" s="167" t="s">
        <v>365</v>
      </c>
      <c r="B204" s="168">
        <v>45862</v>
      </c>
      <c r="C204" s="178">
        <v>1966</v>
      </c>
      <c r="D204" s="170">
        <f>IFERROR(C204/VLOOKUP(A204,Usinas!$A:$B,2,FALSE()),"")</f>
        <v>3.1658615136876005</v>
      </c>
    </row>
    <row r="205" spans="1:4" ht="12" customHeight="1" x14ac:dyDescent="0.3">
      <c r="A205" s="167" t="s">
        <v>365</v>
      </c>
      <c r="B205" s="168">
        <v>45863</v>
      </c>
      <c r="C205" s="178">
        <v>2658.3</v>
      </c>
      <c r="D205" s="170">
        <f>IFERROR(C205/VLOOKUP(A205,Usinas!$A:$B,2,FALSE()),"")</f>
        <v>4.2806763285024161</v>
      </c>
    </row>
    <row r="206" spans="1:4" ht="12" customHeight="1" x14ac:dyDescent="0.3">
      <c r="A206" s="167" t="s">
        <v>365</v>
      </c>
      <c r="B206" s="168">
        <v>45864</v>
      </c>
      <c r="C206" s="178">
        <v>2083.1999999999998</v>
      </c>
      <c r="D206" s="170">
        <f>IFERROR(C206/VLOOKUP(A206,Usinas!$A:$B,2,FALSE()),"")</f>
        <v>3.3545893719806759</v>
      </c>
    </row>
    <row r="207" spans="1:4" ht="12" customHeight="1" x14ac:dyDescent="0.3">
      <c r="A207" s="167" t="s">
        <v>365</v>
      </c>
      <c r="B207" s="168">
        <v>45865</v>
      </c>
      <c r="C207" s="178">
        <v>2042.7</v>
      </c>
      <c r="D207" s="170">
        <f>IFERROR(C207/VLOOKUP(A207,Usinas!$A:$B,2,FALSE()),"")</f>
        <v>3.2893719806763286</v>
      </c>
    </row>
    <row r="208" spans="1:4" ht="12" customHeight="1" x14ac:dyDescent="0.3">
      <c r="A208" s="167" t="s">
        <v>365</v>
      </c>
      <c r="B208" s="168">
        <v>45866</v>
      </c>
      <c r="C208" s="178">
        <v>1185.5999999999999</v>
      </c>
      <c r="D208" s="170">
        <f>IFERROR(C208/VLOOKUP(A208,Usinas!$A:$B,2,FALSE()),"")</f>
        <v>1.9091787439613526</v>
      </c>
    </row>
    <row r="209" spans="1:4" ht="12" customHeight="1" x14ac:dyDescent="0.3">
      <c r="A209" s="167" t="s">
        <v>365</v>
      </c>
      <c r="B209" s="168">
        <v>45867</v>
      </c>
      <c r="C209" s="178">
        <v>3395.6</v>
      </c>
      <c r="D209" s="170">
        <f>IFERROR(C209/VLOOKUP(A209,Usinas!$A:$B,2,FALSE()),"")</f>
        <v>5.4679549114331722</v>
      </c>
    </row>
    <row r="210" spans="1:4" ht="12" customHeight="1" x14ac:dyDescent="0.3">
      <c r="A210" s="167" t="s">
        <v>365</v>
      </c>
      <c r="B210" s="168">
        <v>45868</v>
      </c>
      <c r="C210" s="178">
        <v>3305.5</v>
      </c>
      <c r="D210" s="170">
        <f>IFERROR(C210/VLOOKUP(A210,Usinas!$A:$B,2,FALSE()),"")</f>
        <v>5.3228663446054751</v>
      </c>
    </row>
    <row r="211" spans="1:4" ht="12" customHeight="1" x14ac:dyDescent="0.3">
      <c r="A211" s="167" t="s">
        <v>365</v>
      </c>
      <c r="B211" s="168">
        <v>45869</v>
      </c>
      <c r="C211" s="178">
        <v>3305.8</v>
      </c>
      <c r="D211" s="170">
        <f>IFERROR(C211/VLOOKUP(A211,Usinas!$A:$B,2,FALSE()),"")</f>
        <v>5.323349436392915</v>
      </c>
    </row>
    <row r="212" spans="1:4" ht="12" customHeight="1" x14ac:dyDescent="0.3">
      <c r="A212" s="167" t="s">
        <v>365</v>
      </c>
      <c r="B212" s="168">
        <v>45870</v>
      </c>
      <c r="C212" s="178">
        <v>3067.5</v>
      </c>
      <c r="D212" s="170">
        <f>IFERROR(C212/VLOOKUP(A212,Usinas!$A:$B,2,FALSE()),"")</f>
        <v>4.9396135265700485</v>
      </c>
    </row>
    <row r="213" spans="1:4" ht="12" customHeight="1" x14ac:dyDescent="0.3">
      <c r="A213" s="167" t="s">
        <v>365</v>
      </c>
      <c r="B213" s="168">
        <v>45871</v>
      </c>
      <c r="C213" s="178">
        <v>2336.1999999999998</v>
      </c>
      <c r="D213" s="170">
        <f>IFERROR(C213/VLOOKUP(A213,Usinas!$A:$B,2,FALSE()),"")</f>
        <v>3.7619967793880833</v>
      </c>
    </row>
    <row r="214" spans="1:4" ht="12" customHeight="1" x14ac:dyDescent="0.3">
      <c r="A214" s="167" t="s">
        <v>365</v>
      </c>
      <c r="B214" s="168">
        <v>45872</v>
      </c>
      <c r="C214" s="178">
        <v>2318.4</v>
      </c>
      <c r="D214" s="170">
        <f>IFERROR(C214/VLOOKUP(A214,Usinas!$A:$B,2,FALSE()),"")</f>
        <v>3.7333333333333334</v>
      </c>
    </row>
    <row r="215" spans="1:4" ht="12" customHeight="1" x14ac:dyDescent="0.3">
      <c r="A215" s="167" t="s">
        <v>365</v>
      </c>
      <c r="B215" s="168">
        <v>45873</v>
      </c>
      <c r="C215" s="178">
        <v>385.9</v>
      </c>
      <c r="D215" s="170">
        <f>IFERROR(C215/VLOOKUP(A215,Usinas!$A:$B,2,FALSE()),"")</f>
        <v>0.62141706924315621</v>
      </c>
    </row>
    <row r="216" spans="1:4" ht="12" customHeight="1" x14ac:dyDescent="0.3">
      <c r="A216" s="167" t="s">
        <v>365</v>
      </c>
      <c r="B216" s="168">
        <v>45874</v>
      </c>
      <c r="C216" s="178">
        <v>1795.2</v>
      </c>
      <c r="D216" s="170">
        <f>IFERROR(C216/VLOOKUP(A216,Usinas!$A:$B,2,FALSE()),"")</f>
        <v>2.8908212560386475</v>
      </c>
    </row>
    <row r="217" spans="1:4" ht="12" customHeight="1" x14ac:dyDescent="0.3">
      <c r="A217" s="167" t="s">
        <v>365</v>
      </c>
      <c r="B217" s="168">
        <v>45875</v>
      </c>
      <c r="C217" s="178">
        <v>3173</v>
      </c>
      <c r="D217" s="170">
        <f>IFERROR(C217/VLOOKUP(A217,Usinas!$A:$B,2,FALSE()),"")</f>
        <v>5.1095008051529787</v>
      </c>
    </row>
    <row r="218" spans="1:4" ht="12" customHeight="1" x14ac:dyDescent="0.3">
      <c r="A218" s="167" t="s">
        <v>365</v>
      </c>
      <c r="B218" s="168">
        <v>45876</v>
      </c>
      <c r="C218" s="178">
        <v>2332.6</v>
      </c>
      <c r="D218" s="170">
        <f>IFERROR(C218/VLOOKUP(A218,Usinas!$A:$B,2,FALSE()),"")</f>
        <v>3.7561996779388083</v>
      </c>
    </row>
    <row r="219" spans="1:4" ht="12" customHeight="1" x14ac:dyDescent="0.3">
      <c r="A219" s="167" t="s">
        <v>365</v>
      </c>
      <c r="B219" s="168">
        <v>45877</v>
      </c>
      <c r="C219" s="178">
        <v>1279.9000000000001</v>
      </c>
      <c r="D219" s="170">
        <f>IFERROR(C219/VLOOKUP(A219,Usinas!$A:$B,2,FALSE()),"")</f>
        <v>2.0610305958132047</v>
      </c>
    </row>
    <row r="220" spans="1:4" ht="12" customHeight="1" x14ac:dyDescent="0.3">
      <c r="A220" s="167" t="s">
        <v>365</v>
      </c>
      <c r="B220" s="168">
        <v>45878</v>
      </c>
      <c r="C220" s="178">
        <v>3010.6</v>
      </c>
      <c r="D220" s="170">
        <f>IFERROR(C220/VLOOKUP(A220,Usinas!$A:$B,2,FALSE()),"")</f>
        <v>4.8479871175523348</v>
      </c>
    </row>
    <row r="221" spans="1:4" ht="12" customHeight="1" x14ac:dyDescent="0.3">
      <c r="A221" s="167" t="s">
        <v>365</v>
      </c>
      <c r="B221" s="168">
        <v>45879</v>
      </c>
      <c r="C221" s="178">
        <v>3427.9</v>
      </c>
      <c r="D221" s="170">
        <f>IFERROR(C221/VLOOKUP(A221,Usinas!$A:$B,2,FALSE()),"")</f>
        <v>5.5199677938808378</v>
      </c>
    </row>
    <row r="222" spans="1:4" ht="12" customHeight="1" x14ac:dyDescent="0.3">
      <c r="A222" s="167" t="s">
        <v>365</v>
      </c>
      <c r="B222" s="168">
        <v>45880</v>
      </c>
      <c r="C222" s="178">
        <v>3339.3</v>
      </c>
      <c r="D222" s="170">
        <f>IFERROR(C222/VLOOKUP(A222,Usinas!$A:$B,2,FALSE()),"")</f>
        <v>5.3772946859903383</v>
      </c>
    </row>
    <row r="223" spans="1:4" ht="12" customHeight="1" x14ac:dyDescent="0.3">
      <c r="A223" s="167" t="s">
        <v>365</v>
      </c>
      <c r="B223" s="168">
        <v>45881</v>
      </c>
      <c r="C223" s="178">
        <v>3310.7</v>
      </c>
      <c r="D223" s="170">
        <f>IFERROR(C223/VLOOKUP(A223,Usinas!$A:$B,2,FALSE()),"")</f>
        <v>5.3312399355877611</v>
      </c>
    </row>
    <row r="224" spans="1:4" ht="12" customHeight="1" x14ac:dyDescent="0.3">
      <c r="A224" s="167" t="s">
        <v>365</v>
      </c>
      <c r="B224" s="168">
        <v>45882</v>
      </c>
      <c r="C224" s="178">
        <v>3191.2</v>
      </c>
      <c r="D224" s="170">
        <f>IFERROR(C224/VLOOKUP(A224,Usinas!$A:$B,2,FALSE()),"")</f>
        <v>5.1388083735909822</v>
      </c>
    </row>
    <row r="225" spans="1:4" ht="12" customHeight="1" x14ac:dyDescent="0.3">
      <c r="A225" s="167" t="s">
        <v>365</v>
      </c>
      <c r="B225" s="168">
        <v>45883</v>
      </c>
      <c r="C225" s="178">
        <v>3234.3</v>
      </c>
      <c r="D225" s="170">
        <f>IFERROR(C225/VLOOKUP(A225,Usinas!$A:$B,2,FALSE()),"")</f>
        <v>5.2082125603864737</v>
      </c>
    </row>
    <row r="226" spans="1:4" ht="12" customHeight="1" x14ac:dyDescent="0.3">
      <c r="A226" s="167" t="s">
        <v>365</v>
      </c>
      <c r="B226" s="168">
        <v>45884</v>
      </c>
      <c r="C226" s="178">
        <v>3132.5</v>
      </c>
      <c r="D226" s="170">
        <f>IFERROR(C226/VLOOKUP(A226,Usinas!$A:$B,2,FALSE()),"")</f>
        <v>5.044283413848631</v>
      </c>
    </row>
    <row r="227" spans="1:4" ht="12" customHeight="1" x14ac:dyDescent="0.3">
      <c r="A227" s="167" t="s">
        <v>365</v>
      </c>
      <c r="B227" s="168">
        <v>45885</v>
      </c>
      <c r="C227" s="178">
        <v>3113.2</v>
      </c>
      <c r="D227" s="170">
        <f>IFERROR(C227/VLOOKUP(A227,Usinas!$A:$B,2,FALSE()),"")</f>
        <v>5.0132045088566821</v>
      </c>
    </row>
    <row r="228" spans="1:4" ht="12" customHeight="1" x14ac:dyDescent="0.3">
      <c r="A228" s="167" t="s">
        <v>365</v>
      </c>
      <c r="B228" s="168">
        <v>45886</v>
      </c>
      <c r="C228" s="178">
        <v>2834.9</v>
      </c>
      <c r="D228" s="170">
        <f>IFERROR(C228/VLOOKUP(A228,Usinas!$A:$B,2,FALSE()),"")</f>
        <v>4.5650563607085344</v>
      </c>
    </row>
    <row r="229" spans="1:4" ht="12" customHeight="1" x14ac:dyDescent="0.3">
      <c r="A229" s="167" t="s">
        <v>365</v>
      </c>
      <c r="B229" s="168">
        <v>45887</v>
      </c>
      <c r="C229" s="178">
        <v>2942.3</v>
      </c>
      <c r="D229" s="170">
        <f>IFERROR(C229/VLOOKUP(A229,Usinas!$A:$B,2,FALSE()),"")</f>
        <v>4.7380032206119163</v>
      </c>
    </row>
    <row r="230" spans="1:4" ht="12" customHeight="1" x14ac:dyDescent="0.3">
      <c r="A230" s="167" t="s">
        <v>365</v>
      </c>
      <c r="B230" s="168">
        <v>45888</v>
      </c>
      <c r="C230" s="178">
        <v>1911.5</v>
      </c>
      <c r="D230" s="170">
        <f>IFERROR(C230/VLOOKUP(A230,Usinas!$A:$B,2,FALSE()),"")</f>
        <v>3.0780998389694041</v>
      </c>
    </row>
    <row r="231" spans="1:4" ht="12" customHeight="1" x14ac:dyDescent="0.3">
      <c r="A231" s="167" t="s">
        <v>365</v>
      </c>
      <c r="B231" s="168">
        <v>45889</v>
      </c>
      <c r="C231" s="178">
        <v>2463.6</v>
      </c>
      <c r="D231" s="170">
        <f>IFERROR(C231/VLOOKUP(A231,Usinas!$A:$B,2,FALSE()),"")</f>
        <v>3.9671497584541062</v>
      </c>
    </row>
    <row r="232" spans="1:4" ht="12" customHeight="1" x14ac:dyDescent="0.3">
      <c r="A232" s="167" t="s">
        <v>365</v>
      </c>
      <c r="B232" s="168">
        <v>45890</v>
      </c>
      <c r="C232" s="178">
        <v>2262.6999999999998</v>
      </c>
      <c r="D232" s="170">
        <f>IFERROR(C232/VLOOKUP(A232,Usinas!$A:$B,2,FALSE()),"")</f>
        <v>3.6436392914653783</v>
      </c>
    </row>
    <row r="233" spans="1:4" ht="12" customHeight="1" x14ac:dyDescent="0.3">
      <c r="A233" s="167" t="s">
        <v>365</v>
      </c>
      <c r="B233" s="168">
        <v>45891</v>
      </c>
      <c r="C233" s="178">
        <v>2773.8</v>
      </c>
      <c r="D233" s="170">
        <f>IFERROR(C233/VLOOKUP(A233,Usinas!$A:$B,2,FALSE()),"")</f>
        <v>4.4666666666666668</v>
      </c>
    </row>
    <row r="234" spans="1:4" ht="12" customHeight="1" x14ac:dyDescent="0.3">
      <c r="A234" s="167" t="s">
        <v>365</v>
      </c>
      <c r="B234" s="168">
        <v>45892</v>
      </c>
      <c r="C234" s="178">
        <v>2803.3</v>
      </c>
      <c r="D234" s="170">
        <f>IFERROR(C234/VLOOKUP(A234,Usinas!$A:$B,2,FALSE()),"")</f>
        <v>4.5141706924315619</v>
      </c>
    </row>
    <row r="235" spans="1:4" ht="12" customHeight="1" x14ac:dyDescent="0.3">
      <c r="A235" s="167" t="s">
        <v>365</v>
      </c>
      <c r="B235" s="168">
        <v>45893</v>
      </c>
      <c r="C235" s="178">
        <v>492.2</v>
      </c>
      <c r="D235" s="170">
        <f>IFERROR(C235/VLOOKUP(A235,Usinas!$A:$B,2,FALSE()),"")</f>
        <v>0.79259259259259263</v>
      </c>
    </row>
    <row r="236" spans="1:4" ht="12" customHeight="1" x14ac:dyDescent="0.3">
      <c r="A236" s="167" t="s">
        <v>365</v>
      </c>
      <c r="B236" s="168">
        <v>45894</v>
      </c>
      <c r="C236" s="178">
        <v>1713.4</v>
      </c>
      <c r="D236" s="170">
        <f>IFERROR(C236/VLOOKUP(A236,Usinas!$A:$B,2,FALSE()),"")</f>
        <v>2.7590982286634462</v>
      </c>
    </row>
    <row r="237" spans="1:4" ht="12" customHeight="1" x14ac:dyDescent="0.3">
      <c r="A237" s="167" t="s">
        <v>365</v>
      </c>
      <c r="B237" s="168">
        <v>45895</v>
      </c>
      <c r="C237" s="178">
        <v>2987.1</v>
      </c>
      <c r="D237" s="170">
        <f>IFERROR(C237/VLOOKUP(A237,Usinas!$A:$B,2,FALSE()),"")</f>
        <v>4.810144927536232</v>
      </c>
    </row>
    <row r="238" spans="1:4" ht="12" customHeight="1" x14ac:dyDescent="0.3">
      <c r="A238" s="167" t="s">
        <v>365</v>
      </c>
      <c r="B238" s="168">
        <v>45896</v>
      </c>
      <c r="C238" s="178">
        <v>3101.4</v>
      </c>
      <c r="D238" s="170">
        <f>IFERROR(C238/VLOOKUP(A238,Usinas!$A:$B,2,FALSE()),"")</f>
        <v>4.994202898550725</v>
      </c>
    </row>
    <row r="239" spans="1:4" ht="12" customHeight="1" x14ac:dyDescent="0.3">
      <c r="A239" s="167" t="s">
        <v>365</v>
      </c>
      <c r="B239" s="168">
        <v>45897</v>
      </c>
      <c r="C239" s="178">
        <v>1720.9</v>
      </c>
      <c r="D239" s="170">
        <f>IFERROR(C239/VLOOKUP(A239,Usinas!$A:$B,2,FALSE()),"")</f>
        <v>2.7711755233494366</v>
      </c>
    </row>
    <row r="240" spans="1:4" ht="12" customHeight="1" x14ac:dyDescent="0.3">
      <c r="A240" s="167" t="s">
        <v>365</v>
      </c>
      <c r="B240" s="168">
        <v>45898</v>
      </c>
      <c r="C240" s="178">
        <v>3089.2</v>
      </c>
      <c r="D240" s="170">
        <f>IFERROR(C240/VLOOKUP(A240,Usinas!$A:$B,2,FALSE()),"")</f>
        <v>4.9745571658615138</v>
      </c>
    </row>
    <row r="241" spans="1:4" ht="12" customHeight="1" x14ac:dyDescent="0.3">
      <c r="A241" s="167" t="s">
        <v>365</v>
      </c>
      <c r="B241" s="168">
        <v>45899</v>
      </c>
      <c r="C241" s="178">
        <v>3260</v>
      </c>
      <c r="D241" s="170">
        <f>IFERROR(C241/VLOOKUP(A241,Usinas!$A:$B,2,FALSE()),"")</f>
        <v>5.2495974235104672</v>
      </c>
    </row>
    <row r="242" spans="1:4" ht="12" customHeight="1" x14ac:dyDescent="0.3">
      <c r="A242" s="167" t="s">
        <v>365</v>
      </c>
      <c r="B242" s="168">
        <v>45900</v>
      </c>
      <c r="C242" s="178">
        <v>3010.9</v>
      </c>
      <c r="D242" s="170">
        <f>IFERROR(C242/VLOOKUP(A242,Usinas!$A:$B,2,FALSE()),"")</f>
        <v>4.8484702093397747</v>
      </c>
    </row>
    <row r="243" spans="1:4" ht="12" customHeight="1" x14ac:dyDescent="0.3">
      <c r="A243" s="167" t="s">
        <v>365</v>
      </c>
      <c r="B243" s="168">
        <v>45901</v>
      </c>
      <c r="C243" s="178">
        <v>1871.2</v>
      </c>
      <c r="D243" s="170">
        <f>IFERROR(C243/VLOOKUP(A243,Usinas!$A:$B,2,FALSE()),"")</f>
        <v>3.013204508856683</v>
      </c>
    </row>
    <row r="244" spans="1:4" ht="12" customHeight="1" x14ac:dyDescent="0.3">
      <c r="A244" s="167" t="s">
        <v>365</v>
      </c>
      <c r="B244" s="168">
        <v>45902</v>
      </c>
      <c r="C244" s="178">
        <v>3026.5</v>
      </c>
      <c r="D244" s="170">
        <f>IFERROR(C244/VLOOKUP(A244,Usinas!$A:$B,2,FALSE()),"")</f>
        <v>4.8735909822866343</v>
      </c>
    </row>
    <row r="245" spans="1:4" ht="12" customHeight="1" x14ac:dyDescent="0.3">
      <c r="A245" s="167" t="s">
        <v>365</v>
      </c>
      <c r="B245" s="168">
        <v>45903</v>
      </c>
      <c r="C245" s="178">
        <v>2984.5</v>
      </c>
      <c r="D245" s="170">
        <f>IFERROR(C245/VLOOKUP(A245,Usinas!$A:$B,2,FALSE()),"")</f>
        <v>4.8059581320450881</v>
      </c>
    </row>
    <row r="246" spans="1:4" ht="12" customHeight="1" x14ac:dyDescent="0.3">
      <c r="A246" s="167" t="s">
        <v>365</v>
      </c>
      <c r="B246" s="168">
        <v>45904</v>
      </c>
      <c r="C246" s="178">
        <v>2380.1</v>
      </c>
      <c r="D246" s="170">
        <f>IFERROR(C246/VLOOKUP(A246,Usinas!$A:$B,2,FALSE()),"")</f>
        <v>3.8326892109500803</v>
      </c>
    </row>
    <row r="247" spans="1:4" ht="12" customHeight="1" x14ac:dyDescent="0.3">
      <c r="A247" s="167" t="s">
        <v>365</v>
      </c>
      <c r="B247" s="168">
        <v>45905</v>
      </c>
      <c r="C247" s="178">
        <v>2324.3000000000002</v>
      </c>
      <c r="D247" s="170">
        <f>IFERROR(C247/VLOOKUP(A247,Usinas!$A:$B,2,FALSE()),"")</f>
        <v>3.7428341384863129</v>
      </c>
    </row>
    <row r="248" spans="1:4" ht="12" customHeight="1" x14ac:dyDescent="0.3">
      <c r="A248" s="167" t="s">
        <v>365</v>
      </c>
      <c r="B248" s="168">
        <v>45906</v>
      </c>
      <c r="C248" s="178">
        <v>1982.5</v>
      </c>
      <c r="D248" s="170">
        <f>IFERROR(C248/VLOOKUP(A248,Usinas!$A:$B,2,FALSE()),"")</f>
        <v>3.1924315619967794</v>
      </c>
    </row>
    <row r="249" spans="1:4" ht="12" customHeight="1" x14ac:dyDescent="0.3">
      <c r="A249" s="167" t="s">
        <v>365</v>
      </c>
      <c r="B249" s="168">
        <v>45907</v>
      </c>
      <c r="C249" s="178">
        <v>2114.8000000000002</v>
      </c>
      <c r="D249" s="170">
        <f>IFERROR(C249/VLOOKUP(A249,Usinas!$A:$B,2,FALSE()),"")</f>
        <v>3.4054750402576492</v>
      </c>
    </row>
    <row r="250" spans="1:4" ht="12" customHeight="1" x14ac:dyDescent="0.3">
      <c r="A250" s="167" t="s">
        <v>365</v>
      </c>
      <c r="B250" s="168">
        <v>45908</v>
      </c>
      <c r="C250" s="178">
        <v>2744.6</v>
      </c>
      <c r="D250" s="170">
        <f>IFERROR(C250/VLOOKUP(A250,Usinas!$A:$B,2,FALSE()),"")</f>
        <v>4.4196457326892107</v>
      </c>
    </row>
    <row r="251" spans="1:4" ht="12" customHeight="1" x14ac:dyDescent="0.3">
      <c r="A251" s="167" t="s">
        <v>365</v>
      </c>
      <c r="B251" s="168">
        <v>45909</v>
      </c>
      <c r="C251" s="178">
        <v>3323.2</v>
      </c>
      <c r="D251" s="170">
        <f>IFERROR(C251/VLOOKUP(A251,Usinas!$A:$B,2,FALSE()),"")</f>
        <v>5.3513687600644122</v>
      </c>
    </row>
    <row r="252" spans="1:4" ht="12" customHeight="1" x14ac:dyDescent="0.3">
      <c r="A252" s="167" t="s">
        <v>365</v>
      </c>
      <c r="B252" s="168">
        <v>45910</v>
      </c>
      <c r="C252" s="178">
        <v>3297.5</v>
      </c>
      <c r="D252" s="170">
        <f>IFERROR(C252/VLOOKUP(A252,Usinas!$A:$B,2,FALSE()),"")</f>
        <v>5.3099838969404187</v>
      </c>
    </row>
    <row r="253" spans="1:4" ht="12" customHeight="1" x14ac:dyDescent="0.3">
      <c r="A253" s="167" t="s">
        <v>365</v>
      </c>
      <c r="B253" s="168">
        <v>45911</v>
      </c>
      <c r="C253" s="178">
        <v>2730.5</v>
      </c>
      <c r="D253" s="170">
        <f>IFERROR(C253/VLOOKUP(A253,Usinas!$A:$B,2,FALSE()),"")</f>
        <v>4.3969404186795495</v>
      </c>
    </row>
    <row r="254" spans="1:4" ht="12" customHeight="1" x14ac:dyDescent="0.3">
      <c r="A254" s="167" t="s">
        <v>365</v>
      </c>
      <c r="B254" s="168">
        <v>45912</v>
      </c>
      <c r="C254" s="178">
        <v>2027.6</v>
      </c>
      <c r="D254" s="170">
        <f>IFERROR(C254/VLOOKUP(A254,Usinas!$A:$B,2,FALSE()),"")</f>
        <v>3.2650563607085346</v>
      </c>
    </row>
    <row r="255" spans="1:4" ht="12" customHeight="1" x14ac:dyDescent="0.3">
      <c r="A255" s="167" t="s">
        <v>365</v>
      </c>
      <c r="B255" s="168">
        <v>45913</v>
      </c>
      <c r="C255" s="178">
        <v>2810.8</v>
      </c>
      <c r="D255" s="170">
        <f>IFERROR(C255/VLOOKUP(A255,Usinas!$A:$B,2,FALSE()),"")</f>
        <v>4.5262479871175527</v>
      </c>
    </row>
    <row r="256" spans="1:4" ht="12" customHeight="1" x14ac:dyDescent="0.3">
      <c r="A256" s="167" t="s">
        <v>365</v>
      </c>
      <c r="B256" s="168">
        <v>45914</v>
      </c>
      <c r="C256" s="178">
        <v>2517.4</v>
      </c>
      <c r="D256" s="170">
        <f>IFERROR(C256/VLOOKUP(A256,Usinas!$A:$B,2,FALSE()),"")</f>
        <v>4.05378421900161</v>
      </c>
    </row>
    <row r="257" spans="1:4" ht="12" customHeight="1" x14ac:dyDescent="0.3">
      <c r="A257" s="167" t="s">
        <v>365</v>
      </c>
      <c r="B257" s="168">
        <v>45915</v>
      </c>
      <c r="C257" s="178">
        <v>3082</v>
      </c>
      <c r="D257" s="170">
        <f>IFERROR(C257/VLOOKUP(A257,Usinas!$A:$B,2,FALSE()),"")</f>
        <v>4.9629629629629628</v>
      </c>
    </row>
    <row r="258" spans="1:4" ht="12" customHeight="1" x14ac:dyDescent="0.3">
      <c r="A258" s="167" t="s">
        <v>365</v>
      </c>
      <c r="B258" s="168">
        <v>45916</v>
      </c>
      <c r="C258" s="178">
        <v>2041.7</v>
      </c>
      <c r="D258" s="170">
        <f>IFERROR(C258/VLOOKUP(A258,Usinas!$A:$B,2,FALSE()),"")</f>
        <v>3.2877616747181966</v>
      </c>
    </row>
    <row r="259" spans="1:4" ht="12" customHeight="1" x14ac:dyDescent="0.3">
      <c r="A259" s="167" t="s">
        <v>365</v>
      </c>
      <c r="B259" s="168">
        <v>45917</v>
      </c>
      <c r="C259" s="178">
        <v>3212.8</v>
      </c>
      <c r="D259" s="170">
        <f>IFERROR(C259/VLOOKUP(A259,Usinas!$A:$B,2,FALSE()),"")</f>
        <v>5.1735909822866351</v>
      </c>
    </row>
    <row r="260" spans="1:4" ht="12" customHeight="1" x14ac:dyDescent="0.3">
      <c r="A260" s="167" t="s">
        <v>365</v>
      </c>
      <c r="B260" s="168">
        <v>45918</v>
      </c>
      <c r="C260" s="178">
        <v>3288.2</v>
      </c>
      <c r="D260" s="170">
        <f>IFERROR(C260/VLOOKUP(A260,Usinas!$A:$B,2,FALSE()),"")</f>
        <v>5.2950080515297904</v>
      </c>
    </row>
    <row r="261" spans="1:4" ht="12" customHeight="1" x14ac:dyDescent="0.3">
      <c r="A261" s="167" t="s">
        <v>365</v>
      </c>
      <c r="B261" s="168">
        <v>45919</v>
      </c>
      <c r="C261" s="178">
        <v>3082.8</v>
      </c>
      <c r="D261" s="170">
        <f>IFERROR(C261/VLOOKUP(A261,Usinas!$A:$B,2,FALSE()),"")</f>
        <v>4.9642512077294692</v>
      </c>
    </row>
    <row r="262" spans="1:4" ht="12" customHeight="1" x14ac:dyDescent="0.3">
      <c r="A262" s="167" t="s">
        <v>365</v>
      </c>
      <c r="B262" s="168">
        <v>45920</v>
      </c>
      <c r="C262" s="178">
        <v>2623.4</v>
      </c>
      <c r="D262" s="170">
        <f>IFERROR(C262/VLOOKUP(A262,Usinas!$A:$B,2,FALSE()),"")</f>
        <v>4.2244766505636075</v>
      </c>
    </row>
    <row r="263" spans="1:4" ht="12" customHeight="1" x14ac:dyDescent="0.3">
      <c r="A263" s="167" t="s">
        <v>365</v>
      </c>
      <c r="B263" s="168">
        <v>45921</v>
      </c>
      <c r="C263" s="178">
        <v>2682.2</v>
      </c>
      <c r="D263" s="170">
        <f>IFERROR(C263/VLOOKUP(A263,Usinas!$A:$B,2,FALSE()),"")</f>
        <v>4.3191626409017712</v>
      </c>
    </row>
    <row r="264" spans="1:4" ht="12" customHeight="1" x14ac:dyDescent="0.3">
      <c r="A264" s="167" t="s">
        <v>365</v>
      </c>
      <c r="B264" s="168">
        <v>45922</v>
      </c>
      <c r="C264" s="178">
        <v>737.5</v>
      </c>
      <c r="D264" s="170">
        <f>IFERROR(C264/VLOOKUP(A264,Usinas!$A:$B,2,FALSE()),"")</f>
        <v>1.1876006441223832</v>
      </c>
    </row>
    <row r="265" spans="1:4" ht="12" customHeight="1" x14ac:dyDescent="0.3">
      <c r="A265" s="167" t="s">
        <v>365</v>
      </c>
      <c r="B265" s="168">
        <v>45923</v>
      </c>
      <c r="C265" s="178">
        <v>2651</v>
      </c>
      <c r="D265" s="170">
        <f>IFERROR(C265/VLOOKUP(A265,Usinas!$A:$B,2,FALSE()),"")</f>
        <v>4.2689210950080518</v>
      </c>
    </row>
    <row r="266" spans="1:4" ht="12" customHeight="1" x14ac:dyDescent="0.3">
      <c r="A266" s="167" t="s">
        <v>365</v>
      </c>
      <c r="B266" s="168">
        <v>45924</v>
      </c>
      <c r="C266" s="178">
        <v>3327.8</v>
      </c>
      <c r="D266" s="170">
        <f>IFERROR(C266/VLOOKUP(A266,Usinas!$A:$B,2,FALSE()),"")</f>
        <v>5.3587761674718202</v>
      </c>
    </row>
    <row r="267" spans="1:4" ht="12" customHeight="1" x14ac:dyDescent="0.3">
      <c r="A267" s="167" t="s">
        <v>365</v>
      </c>
      <c r="B267" s="168">
        <v>45925</v>
      </c>
      <c r="C267" s="178">
        <v>2736.8</v>
      </c>
      <c r="D267" s="170">
        <f>IFERROR(C267/VLOOKUP(A267,Usinas!$A:$B,2,FALSE()),"")</f>
        <v>4.4070853462157809</v>
      </c>
    </row>
    <row r="268" spans="1:4" ht="12" customHeight="1" x14ac:dyDescent="0.3">
      <c r="A268" s="167" t="s">
        <v>365</v>
      </c>
      <c r="B268" s="168">
        <v>45926</v>
      </c>
      <c r="C268" s="178">
        <v>2929.8</v>
      </c>
      <c r="D268" s="170">
        <f>IFERROR(C268/VLOOKUP(A268,Usinas!$A:$B,2,FALSE()),"")</f>
        <v>4.717874396135266</v>
      </c>
    </row>
    <row r="269" spans="1:4" ht="12" customHeight="1" x14ac:dyDescent="0.3">
      <c r="A269" s="167" t="s">
        <v>365</v>
      </c>
      <c r="B269" s="168">
        <v>45927</v>
      </c>
      <c r="C269" s="178">
        <v>3156.5</v>
      </c>
      <c r="D269" s="170">
        <f>IFERROR(C269/VLOOKUP(A269,Usinas!$A:$B,2,FALSE()),"")</f>
        <v>5.0829307568438002</v>
      </c>
    </row>
    <row r="270" spans="1:4" ht="12" customHeight="1" x14ac:dyDescent="0.3">
      <c r="A270" s="167" t="s">
        <v>365</v>
      </c>
      <c r="B270" s="168">
        <v>45928</v>
      </c>
      <c r="C270" s="178">
        <v>1637.3</v>
      </c>
      <c r="D270" s="170">
        <f>IFERROR(C270/VLOOKUP(A270,Usinas!$A:$B,2,FALSE()),"")</f>
        <v>2.6365539452495974</v>
      </c>
    </row>
    <row r="271" spans="1:4" ht="12" customHeight="1" x14ac:dyDescent="0.3">
      <c r="A271" s="167" t="s">
        <v>365</v>
      </c>
      <c r="B271" s="168">
        <v>45929</v>
      </c>
      <c r="C271" s="178">
        <v>3074.6</v>
      </c>
      <c r="D271" s="170">
        <f>IFERROR(C271/VLOOKUP(A271,Usinas!$A:$B,2,FALSE()),"")</f>
        <v>4.9510466988727853</v>
      </c>
    </row>
    <row r="272" spans="1:4" ht="12" customHeight="1" x14ac:dyDescent="0.3">
      <c r="A272" s="167" t="s">
        <v>365</v>
      </c>
      <c r="B272" s="168">
        <v>45930</v>
      </c>
      <c r="C272" s="178">
        <v>1803.1</v>
      </c>
      <c r="D272" s="170">
        <f>IFERROR(C272/VLOOKUP(A272,Usinas!$A:$B,2,FALSE()),"")</f>
        <v>2.9035426731078902</v>
      </c>
    </row>
    <row r="273" spans="1:4" ht="12" customHeight="1" x14ac:dyDescent="0.3">
      <c r="A273" s="167" t="s">
        <v>365</v>
      </c>
      <c r="B273" s="168">
        <v>45931</v>
      </c>
      <c r="C273" s="178">
        <v>773.1</v>
      </c>
      <c r="D273" s="170">
        <f>IFERROR(C273/VLOOKUP(A273,Usinas!$A:$B,2,FALSE()),"")</f>
        <v>1.2449275362318841</v>
      </c>
    </row>
    <row r="274" spans="1:4" ht="12" customHeight="1" x14ac:dyDescent="0.3">
      <c r="A274" s="167" t="s">
        <v>365</v>
      </c>
      <c r="B274" s="168">
        <v>45932</v>
      </c>
      <c r="C274" s="178">
        <v>1426.4</v>
      </c>
      <c r="D274" s="170">
        <f>IFERROR(C274/VLOOKUP(A274,Usinas!$A:$B,2,FALSE()),"")</f>
        <v>2.2969404186795495</v>
      </c>
    </row>
    <row r="275" spans="1:4" ht="12" customHeight="1" x14ac:dyDescent="0.3">
      <c r="A275" s="167" t="s">
        <v>365</v>
      </c>
      <c r="B275" s="168">
        <v>45933</v>
      </c>
      <c r="C275" s="178">
        <v>1038.0999999999999</v>
      </c>
      <c r="D275" s="170">
        <f>IFERROR(C275/VLOOKUP(A275,Usinas!$A:$B,2,FALSE()),"")</f>
        <v>1.671658615136876</v>
      </c>
    </row>
    <row r="276" spans="1:4" ht="12" customHeight="1" x14ac:dyDescent="0.3">
      <c r="A276" s="167" t="s">
        <v>365</v>
      </c>
      <c r="B276" s="168">
        <v>45934</v>
      </c>
      <c r="C276" s="178">
        <v>1487.5</v>
      </c>
      <c r="D276" s="170">
        <f>IFERROR(C276/VLOOKUP(A276,Usinas!$A:$B,2,FALSE()),"")</f>
        <v>2.395330112721417</v>
      </c>
    </row>
    <row r="277" spans="1:4" ht="12" customHeight="1" x14ac:dyDescent="0.3">
      <c r="A277" s="167" t="s">
        <v>365</v>
      </c>
      <c r="B277" s="168">
        <v>45935</v>
      </c>
      <c r="C277" s="178">
        <v>1802.7</v>
      </c>
      <c r="D277" s="170">
        <f>IFERROR(C277/VLOOKUP(A277,Usinas!$A:$B,2,FALSE()),"")</f>
        <v>2.9028985507246379</v>
      </c>
    </row>
    <row r="278" spans="1:4" ht="12" customHeight="1" x14ac:dyDescent="0.3">
      <c r="A278" s="167" t="s">
        <v>365</v>
      </c>
      <c r="B278" s="168">
        <v>45936</v>
      </c>
      <c r="C278" s="178">
        <v>1140.7</v>
      </c>
      <c r="D278" s="170">
        <f>IFERROR(C278/VLOOKUP(A278,Usinas!$A:$B,2,FALSE()),"")</f>
        <v>1.836876006441224</v>
      </c>
    </row>
    <row r="279" spans="1:4" ht="12" customHeight="1" x14ac:dyDescent="0.3">
      <c r="A279" s="167" t="s">
        <v>365</v>
      </c>
      <c r="B279" s="168">
        <v>45937</v>
      </c>
      <c r="C279" s="178">
        <v>1470.4</v>
      </c>
      <c r="D279" s="170">
        <f>IFERROR(C279/VLOOKUP(A279,Usinas!$A:$B,2,FALSE()),"")</f>
        <v>2.3677938808373593</v>
      </c>
    </row>
    <row r="280" spans="1:4" ht="12" customHeight="1" x14ac:dyDescent="0.3">
      <c r="A280" s="167" t="s">
        <v>365</v>
      </c>
      <c r="B280" s="168">
        <v>45938</v>
      </c>
      <c r="C280" s="178">
        <v>1378</v>
      </c>
      <c r="D280" s="170">
        <f>IFERROR(C280/VLOOKUP(A280,Usinas!$A:$B,2,FALSE()),"")</f>
        <v>2.2190016103059582</v>
      </c>
    </row>
    <row r="281" spans="1:4" ht="12" customHeight="1" x14ac:dyDescent="0.3">
      <c r="A281" s="167" t="s">
        <v>365</v>
      </c>
      <c r="B281" s="168">
        <v>45939</v>
      </c>
      <c r="C281" s="178">
        <v>322.5</v>
      </c>
      <c r="D281" s="170">
        <f>IFERROR(C281/VLOOKUP(A281,Usinas!$A:$B,2,FALSE()),"")</f>
        <v>0.51932367149758452</v>
      </c>
    </row>
    <row r="282" spans="1:4" ht="12" customHeight="1" x14ac:dyDescent="0.3">
      <c r="A282" s="167" t="s">
        <v>365</v>
      </c>
      <c r="B282" s="168">
        <v>45940</v>
      </c>
      <c r="C282" s="178">
        <v>2905.3</v>
      </c>
      <c r="D282" s="170">
        <f>IFERROR(C282/VLOOKUP(A282,Usinas!$A:$B,2,FALSE()),"")</f>
        <v>4.6784219001610312</v>
      </c>
    </row>
    <row r="283" spans="1:4" ht="12" customHeight="1" x14ac:dyDescent="0.3">
      <c r="A283" s="167" t="s">
        <v>365</v>
      </c>
      <c r="B283" s="168">
        <v>45941</v>
      </c>
      <c r="C283" s="178">
        <v>3468</v>
      </c>
      <c r="D283" s="170">
        <f>IFERROR(C283/VLOOKUP(A283,Usinas!$A:$B,2,FALSE()),"")</f>
        <v>5.5845410628019323</v>
      </c>
    </row>
    <row r="284" spans="1:4" ht="12" customHeight="1" x14ac:dyDescent="0.3">
      <c r="A284" s="167" t="s">
        <v>365</v>
      </c>
      <c r="B284" s="168">
        <v>45942</v>
      </c>
      <c r="C284" s="178">
        <v>1332.7</v>
      </c>
      <c r="D284" s="170">
        <f>IFERROR(C284/VLOOKUP(A284,Usinas!$A:$B,2,FALSE()),"")</f>
        <v>2.1460547504025764</v>
      </c>
    </row>
    <row r="285" spans="1:4" ht="12" customHeight="1" x14ac:dyDescent="0.3">
      <c r="A285" s="167" t="s">
        <v>365</v>
      </c>
      <c r="B285" s="168">
        <v>45943</v>
      </c>
      <c r="C285" s="178">
        <v>1289.7</v>
      </c>
      <c r="D285" s="170">
        <f>IFERROR(C285/VLOOKUP(A285,Usinas!$A:$B,2,FALSE()),"")</f>
        <v>2.0768115942028986</v>
      </c>
    </row>
    <row r="286" spans="1:4" ht="12" customHeight="1" x14ac:dyDescent="0.3">
      <c r="A286" s="167" t="s">
        <v>365</v>
      </c>
      <c r="B286" s="168">
        <v>45944</v>
      </c>
      <c r="C286" s="178">
        <v>3882.4</v>
      </c>
      <c r="D286" s="170">
        <f>IFERROR(C286/VLOOKUP(A286,Usinas!$A:$B,2,FALSE()),"")</f>
        <v>6.2518518518518524</v>
      </c>
    </row>
    <row r="287" spans="1:4" ht="12" customHeight="1" x14ac:dyDescent="0.3">
      <c r="A287" s="167" t="s">
        <v>365</v>
      </c>
      <c r="B287" s="168">
        <v>45945</v>
      </c>
      <c r="C287" s="178">
        <v>3545.4</v>
      </c>
      <c r="D287" s="170">
        <f>IFERROR(C287/VLOOKUP(A287,Usinas!$A:$B,2,FALSE()),"")</f>
        <v>5.7091787439613526</v>
      </c>
    </row>
    <row r="288" spans="1:4" ht="12" customHeight="1" x14ac:dyDescent="0.3">
      <c r="A288" s="167" t="s">
        <v>365</v>
      </c>
      <c r="B288" s="168">
        <v>45946</v>
      </c>
      <c r="C288" s="178">
        <v>3286</v>
      </c>
      <c r="D288" s="170">
        <f>IFERROR(C288/VLOOKUP(A288,Usinas!$A:$B,2,FALSE()),"")</f>
        <v>5.2914653784219006</v>
      </c>
    </row>
    <row r="289" spans="1:4" ht="12" customHeight="1" x14ac:dyDescent="0.3">
      <c r="A289" s="167" t="s">
        <v>365</v>
      </c>
      <c r="B289" s="168">
        <v>45947</v>
      </c>
      <c r="C289" s="178">
        <v>2885</v>
      </c>
      <c r="D289" s="170">
        <f>IFERROR(C289/VLOOKUP(A289,Usinas!$A:$B,2,FALSE()),"")</f>
        <v>4.6457326892109503</v>
      </c>
    </row>
    <row r="290" spans="1:4" ht="12" customHeight="1" x14ac:dyDescent="0.3">
      <c r="A290" s="167" t="s">
        <v>365</v>
      </c>
      <c r="B290" s="168">
        <v>45948</v>
      </c>
      <c r="C290" s="178">
        <v>1024.4000000000001</v>
      </c>
      <c r="D290" s="170">
        <f>IFERROR(C290/VLOOKUP(A290,Usinas!$A:$B,2,FALSE()),"")</f>
        <v>1.6495974235104671</v>
      </c>
    </row>
    <row r="291" spans="1:4" ht="12" customHeight="1" x14ac:dyDescent="0.3">
      <c r="A291" s="167" t="s">
        <v>365</v>
      </c>
      <c r="B291" s="168">
        <v>45949</v>
      </c>
      <c r="C291" s="178">
        <v>3202.6</v>
      </c>
      <c r="D291" s="170">
        <f>IFERROR(C291/VLOOKUP(A291,Usinas!$A:$B,2,FALSE()),"")</f>
        <v>5.1571658615136871</v>
      </c>
    </row>
    <row r="292" spans="1:4" ht="12" customHeight="1" x14ac:dyDescent="0.3">
      <c r="A292" s="167" t="s">
        <v>365</v>
      </c>
      <c r="B292" s="168">
        <v>45950</v>
      </c>
      <c r="C292" s="178">
        <v>4096.6000000000004</v>
      </c>
      <c r="D292" s="170">
        <f>IFERROR(C292/VLOOKUP(A292,Usinas!$A:$B,2,FALSE()),"")</f>
        <v>6.5967793880837364</v>
      </c>
    </row>
    <row r="293" spans="1:4" ht="12" customHeight="1" x14ac:dyDescent="0.3">
      <c r="A293" s="167" t="s">
        <v>365</v>
      </c>
      <c r="B293" s="168">
        <v>45951</v>
      </c>
      <c r="C293" s="178">
        <v>4051.5</v>
      </c>
      <c r="D293" s="170">
        <f>IFERROR(C293/VLOOKUP(A293,Usinas!$A:$B,2,FALSE()),"")</f>
        <v>6.5241545893719808</v>
      </c>
    </row>
    <row r="294" spans="1:4" ht="12" customHeight="1" x14ac:dyDescent="0.3">
      <c r="A294" s="167" t="s">
        <v>365</v>
      </c>
      <c r="B294" s="168">
        <v>45952</v>
      </c>
      <c r="C294" s="178">
        <v>4002.5</v>
      </c>
      <c r="D294" s="170">
        <f>IFERROR(C294/VLOOKUP(A294,Usinas!$A:$B,2,FALSE()),"")</f>
        <v>6.4452495974235102</v>
      </c>
    </row>
    <row r="295" spans="1:4" ht="12" customHeight="1" x14ac:dyDescent="0.3">
      <c r="A295" s="167" t="s">
        <v>365</v>
      </c>
      <c r="B295" s="168">
        <v>45953</v>
      </c>
      <c r="C295" s="178">
        <v>3444.6</v>
      </c>
      <c r="D295" s="170">
        <f>IFERROR(C295/VLOOKUP(A295,Usinas!$A:$B,2,FALSE()),"")</f>
        <v>5.5468599033816428</v>
      </c>
    </row>
    <row r="296" spans="1:4" ht="12" customHeight="1" x14ac:dyDescent="0.3">
      <c r="A296" s="167" t="s">
        <v>365</v>
      </c>
      <c r="B296" s="168">
        <v>45954</v>
      </c>
      <c r="C296" s="178">
        <v>3893.8</v>
      </c>
      <c r="D296" s="170">
        <f>IFERROR(C296/VLOOKUP(A296,Usinas!$A:$B,2,FALSE()),"")</f>
        <v>6.2702093397745573</v>
      </c>
    </row>
    <row r="297" spans="1:4" ht="12" customHeight="1" x14ac:dyDescent="0.3">
      <c r="A297" s="167" t="s">
        <v>365</v>
      </c>
      <c r="B297" s="168">
        <v>45955</v>
      </c>
      <c r="C297" s="178">
        <v>3396</v>
      </c>
      <c r="D297" s="170">
        <f>IFERROR(C297/VLOOKUP(A297,Usinas!$A:$B,2,FALSE()),"")</f>
        <v>5.4685990338164254</v>
      </c>
    </row>
    <row r="298" spans="1:4" ht="12" customHeight="1" x14ac:dyDescent="0.3">
      <c r="A298" s="167" t="s">
        <v>365</v>
      </c>
      <c r="B298" s="168">
        <v>45956</v>
      </c>
      <c r="C298" s="178">
        <v>5.0999999999999996</v>
      </c>
      <c r="D298" s="170">
        <f>IFERROR(C298/VLOOKUP(A298,Usinas!$A:$B,2,FALSE()),"")</f>
        <v>8.2125603864734286E-3</v>
      </c>
    </row>
    <row r="299" spans="1:4" ht="12" customHeight="1" x14ac:dyDescent="0.3">
      <c r="A299" s="167" t="s">
        <v>365</v>
      </c>
      <c r="B299" s="168">
        <v>45957</v>
      </c>
      <c r="C299" s="178">
        <v>2427.1999999999998</v>
      </c>
      <c r="D299" s="170">
        <f>IFERROR(C299/VLOOKUP(A299,Usinas!$A:$B,2,FALSE()),"")</f>
        <v>3.9085346215780996</v>
      </c>
    </row>
    <row r="300" spans="1:4" ht="12" customHeight="1" x14ac:dyDescent="0.3">
      <c r="A300" s="167" t="s">
        <v>365</v>
      </c>
      <c r="B300" s="168">
        <v>45958</v>
      </c>
      <c r="C300" s="178">
        <v>2273.1</v>
      </c>
      <c r="D300" s="170">
        <f>IFERROR(C300/VLOOKUP(A300,Usinas!$A:$B,2,FALSE()),"")</f>
        <v>3.6603864734299516</v>
      </c>
    </row>
    <row r="301" spans="1:4" ht="12" customHeight="1" x14ac:dyDescent="0.3">
      <c r="A301" s="167" t="s">
        <v>365</v>
      </c>
      <c r="B301" s="168">
        <v>45959</v>
      </c>
      <c r="C301" s="178">
        <v>1582.7</v>
      </c>
      <c r="D301" s="170">
        <f>IFERROR(C301/VLOOKUP(A301,Usinas!$A:$B,2,FALSE()),"")</f>
        <v>2.5486312399355877</v>
      </c>
    </row>
    <row r="302" spans="1:4" ht="12" customHeight="1" x14ac:dyDescent="0.3">
      <c r="A302" s="167" t="s">
        <v>365</v>
      </c>
      <c r="B302" s="168">
        <v>45960</v>
      </c>
      <c r="C302" s="178">
        <v>2863.7</v>
      </c>
      <c r="D302" s="170">
        <f>IFERROR(C302/VLOOKUP(A302,Usinas!$A:$B,2,FALSE()),"")</f>
        <v>4.6114331723027373</v>
      </c>
    </row>
    <row r="303" spans="1:4" ht="12" customHeight="1" x14ac:dyDescent="0.3">
      <c r="A303" s="167" t="s">
        <v>365</v>
      </c>
      <c r="B303" s="168">
        <v>45961</v>
      </c>
      <c r="C303" s="178">
        <v>3462.4</v>
      </c>
      <c r="D303" s="170">
        <f>IFERROR(C303/VLOOKUP(A303,Usinas!$A:$B,2,FALSE()),"")</f>
        <v>5.5755233494363932</v>
      </c>
    </row>
    <row r="304" spans="1:4" ht="12" customHeight="1" x14ac:dyDescent="0.3">
      <c r="A304" s="167" t="s">
        <v>365</v>
      </c>
      <c r="B304" s="168">
        <v>45962</v>
      </c>
      <c r="C304" s="178">
        <v>2620.3000000000002</v>
      </c>
      <c r="D304" s="170">
        <f>IFERROR(C304/VLOOKUP(A304,Usinas!$A:$B,2,FALSE()),"")</f>
        <v>4.2194847020933981</v>
      </c>
    </row>
    <row r="305" spans="1:4" ht="12" customHeight="1" x14ac:dyDescent="0.3">
      <c r="A305" s="167" t="s">
        <v>365</v>
      </c>
      <c r="B305" s="168">
        <v>45963</v>
      </c>
      <c r="C305" s="178">
        <v>1333.4</v>
      </c>
      <c r="D305" s="170">
        <f>IFERROR(C305/VLOOKUP(A305,Usinas!$A:$B,2,FALSE()),"")</f>
        <v>2.147181964573269</v>
      </c>
    </row>
    <row r="306" spans="1:4" ht="12" customHeight="1" x14ac:dyDescent="0.3">
      <c r="A306" s="167" t="s">
        <v>365</v>
      </c>
      <c r="B306" s="168">
        <v>45964</v>
      </c>
      <c r="C306" s="178">
        <v>2872.2</v>
      </c>
      <c r="D306" s="170">
        <f>IFERROR(C306/VLOOKUP(A306,Usinas!$A:$B,2,FALSE()),"")</f>
        <v>4.6251207729468593</v>
      </c>
    </row>
    <row r="307" spans="1:4" ht="12" customHeight="1" x14ac:dyDescent="0.3">
      <c r="A307" s="167" t="s">
        <v>365</v>
      </c>
      <c r="B307" s="168">
        <v>45965</v>
      </c>
      <c r="C307" s="178">
        <v>3228.1</v>
      </c>
      <c r="D307" s="170">
        <f>IFERROR(C307/VLOOKUP(A307,Usinas!$A:$B,2,FALSE()),"")</f>
        <v>5.1982286634460548</v>
      </c>
    </row>
    <row r="308" spans="1:4" ht="12" customHeight="1" x14ac:dyDescent="0.3">
      <c r="A308" s="167" t="s">
        <v>365</v>
      </c>
      <c r="B308" s="168">
        <v>45966</v>
      </c>
      <c r="C308" s="178">
        <v>650.5</v>
      </c>
      <c r="D308" s="170">
        <f>IFERROR(C308/VLOOKUP(A308,Usinas!$A:$B,2,FALSE()),"")</f>
        <v>1.0475040257648953</v>
      </c>
    </row>
    <row r="309" spans="1:4" ht="12" customHeight="1" x14ac:dyDescent="0.3">
      <c r="A309" s="167" t="s">
        <v>365</v>
      </c>
      <c r="B309" s="168">
        <v>45967</v>
      </c>
      <c r="C309" s="178">
        <v>3854.6</v>
      </c>
      <c r="D309" s="170">
        <f>IFERROR(C309/VLOOKUP(A309,Usinas!$A:$B,2,FALSE()),"")</f>
        <v>6.2070853462157807</v>
      </c>
    </row>
    <row r="310" spans="1:4" ht="12" customHeight="1" x14ac:dyDescent="0.3">
      <c r="A310" s="167" t="s">
        <v>365</v>
      </c>
      <c r="B310" s="168">
        <v>45968</v>
      </c>
      <c r="C310" s="178">
        <v>3232.3</v>
      </c>
      <c r="D310" s="170">
        <f>IFERROR(C310/VLOOKUP(A310,Usinas!$A:$B,2,FALSE()),"")</f>
        <v>5.2049919484702096</v>
      </c>
    </row>
    <row r="311" spans="1:4" ht="12" customHeight="1" x14ac:dyDescent="0.3">
      <c r="A311" s="167" t="s">
        <v>365</v>
      </c>
      <c r="B311" s="168">
        <v>45969</v>
      </c>
      <c r="C311" s="178">
        <v>2965.8</v>
      </c>
      <c r="D311" s="170">
        <f>IFERROR(C311/VLOOKUP(A311,Usinas!$A:$B,2,FALSE()),"")</f>
        <v>4.7758454106280199</v>
      </c>
    </row>
    <row r="312" spans="1:4" ht="12" customHeight="1" x14ac:dyDescent="0.3">
      <c r="A312" s="167" t="s">
        <v>365</v>
      </c>
      <c r="B312" s="168">
        <v>45970</v>
      </c>
      <c r="C312" s="178">
        <v>3730.2</v>
      </c>
      <c r="D312" s="170">
        <f>IFERROR(C312/VLOOKUP(A312,Usinas!$A:$B,2,FALSE()),"")</f>
        <v>6.0067632850241539</v>
      </c>
    </row>
    <row r="313" spans="1:4" ht="12" customHeight="1" x14ac:dyDescent="0.3">
      <c r="A313" s="167" t="s">
        <v>365</v>
      </c>
      <c r="B313" s="168">
        <v>45971</v>
      </c>
      <c r="C313" s="178">
        <v>4016.9</v>
      </c>
      <c r="D313" s="170">
        <f>IFERROR(C313/VLOOKUP(A313,Usinas!$A:$B,2,FALSE()),"")</f>
        <v>6.4684380032206121</v>
      </c>
    </row>
    <row r="314" spans="1:4" ht="12" customHeight="1" x14ac:dyDescent="0.3">
      <c r="A314" s="167" t="s">
        <v>365</v>
      </c>
      <c r="B314" s="168">
        <v>45972</v>
      </c>
      <c r="C314" s="178">
        <v>3945.3</v>
      </c>
      <c r="D314" s="170">
        <f>IFERROR(C314/VLOOKUP(A314,Usinas!$A:$B,2,FALSE()),"")</f>
        <v>6.3531400966183575</v>
      </c>
    </row>
    <row r="315" spans="1:4" ht="12" customHeight="1" x14ac:dyDescent="0.3">
      <c r="A315" s="167" t="s">
        <v>365</v>
      </c>
      <c r="B315" s="168">
        <v>45973</v>
      </c>
      <c r="C315" s="178">
        <v>3263.5</v>
      </c>
      <c r="D315" s="170">
        <f>IFERROR(C315/VLOOKUP(A315,Usinas!$A:$B,2,FALSE()),"")</f>
        <v>5.2552334943639289</v>
      </c>
    </row>
    <row r="316" spans="1:4" ht="12" customHeight="1" x14ac:dyDescent="0.3">
      <c r="A316" s="167" t="s">
        <v>365</v>
      </c>
      <c r="B316" s="168">
        <v>45974</v>
      </c>
      <c r="C316" s="178">
        <v>1157.8</v>
      </c>
      <c r="D316" s="170">
        <f>IFERROR(C316/VLOOKUP(A316,Usinas!$A:$B,2,FALSE()),"")</f>
        <v>1.8644122383252817</v>
      </c>
    </row>
    <row r="317" spans="1:4" ht="12" customHeight="1" x14ac:dyDescent="0.3">
      <c r="A317" s="167" t="s">
        <v>365</v>
      </c>
      <c r="B317" s="168">
        <v>45975</v>
      </c>
      <c r="C317" s="178">
        <v>2319.9</v>
      </c>
      <c r="D317" s="170">
        <f>IFERROR(C317/VLOOKUP(A317,Usinas!$A:$B,2,FALSE()),"")</f>
        <v>3.7357487922705315</v>
      </c>
    </row>
    <row r="318" spans="1:4" ht="12" customHeight="1" x14ac:dyDescent="0.3">
      <c r="A318" s="167" t="s">
        <v>365</v>
      </c>
      <c r="B318" s="168">
        <v>45976</v>
      </c>
      <c r="C318" s="178">
        <v>849.2</v>
      </c>
      <c r="D318" s="170">
        <f>IFERROR(C318/VLOOKUP(A318,Usinas!$A:$B,2,FALSE()),"")</f>
        <v>1.3674718196457327</v>
      </c>
    </row>
    <row r="319" spans="1:4" ht="12" customHeight="1" x14ac:dyDescent="0.3">
      <c r="A319" s="167" t="s">
        <v>365</v>
      </c>
      <c r="B319" s="168">
        <v>45977</v>
      </c>
      <c r="C319" s="178">
        <v>2325.4</v>
      </c>
      <c r="D319" s="170">
        <f>IFERROR(C319/VLOOKUP(A319,Usinas!$A:$B,2,FALSE()),"")</f>
        <v>3.7446054750402578</v>
      </c>
    </row>
    <row r="320" spans="1:4" ht="12" customHeight="1" x14ac:dyDescent="0.3">
      <c r="A320" s="167" t="s">
        <v>365</v>
      </c>
      <c r="B320" s="168">
        <v>45978</v>
      </c>
      <c r="C320" s="178">
        <v>994.1</v>
      </c>
      <c r="D320" s="170">
        <f>IFERROR(C320/VLOOKUP(A320,Usinas!$A:$B,2,FALSE()),"")</f>
        <v>1.6008051529790661</v>
      </c>
    </row>
    <row r="321" spans="1:4" ht="12" customHeight="1" x14ac:dyDescent="0.3">
      <c r="A321" s="167" t="s">
        <v>365</v>
      </c>
      <c r="B321" s="168">
        <v>45979</v>
      </c>
      <c r="C321" s="178">
        <v>3939.2</v>
      </c>
      <c r="D321" s="170">
        <f>IFERROR(C321/VLOOKUP(A321,Usinas!$A:$B,2,FALSE()),"")</f>
        <v>6.3433172302737519</v>
      </c>
    </row>
    <row r="322" spans="1:4" ht="12" customHeight="1" x14ac:dyDescent="0.3">
      <c r="A322" s="167" t="s">
        <v>365</v>
      </c>
      <c r="B322" s="168">
        <v>45980</v>
      </c>
      <c r="C322" s="178">
        <v>3963.8</v>
      </c>
      <c r="D322" s="170">
        <f>IFERROR(C322/VLOOKUP(A322,Usinas!$A:$B,2,FALSE()),"")</f>
        <v>6.382930756843801</v>
      </c>
    </row>
    <row r="323" spans="1:4" ht="12" customHeight="1" x14ac:dyDescent="0.3">
      <c r="A323" s="167" t="s">
        <v>365</v>
      </c>
      <c r="B323" s="168">
        <v>45981</v>
      </c>
      <c r="C323" s="178">
        <v>3968.8</v>
      </c>
      <c r="D323" s="170">
        <f>IFERROR(C323/VLOOKUP(A323,Usinas!$A:$B,2,FALSE()),"")</f>
        <v>6.3909822866344612</v>
      </c>
    </row>
    <row r="324" spans="1:4" ht="12" customHeight="1" x14ac:dyDescent="0.3">
      <c r="A324" s="167" t="s">
        <v>365</v>
      </c>
      <c r="B324" s="168">
        <v>45982</v>
      </c>
      <c r="C324" s="178">
        <v>3857</v>
      </c>
      <c r="D324" s="170">
        <f>IFERROR(C324/VLOOKUP(A324,Usinas!$A:$B,2,FALSE()),"")</f>
        <v>6.210950080515298</v>
      </c>
    </row>
    <row r="325" spans="1:4" ht="12" customHeight="1" x14ac:dyDescent="0.3">
      <c r="A325" s="167" t="s">
        <v>365</v>
      </c>
      <c r="B325" s="168">
        <v>45983</v>
      </c>
      <c r="C325" s="178">
        <v>3812.3</v>
      </c>
      <c r="D325" s="170">
        <f>IFERROR(C325/VLOOKUP(A325,Usinas!$A:$B,2,FALSE()),"")</f>
        <v>6.1389694041867955</v>
      </c>
    </row>
    <row r="326" spans="1:4" ht="12" customHeight="1" x14ac:dyDescent="0.3">
      <c r="A326" s="167" t="s">
        <v>365</v>
      </c>
      <c r="B326" s="168">
        <v>45984</v>
      </c>
      <c r="C326" s="178">
        <v>2079.6999999999998</v>
      </c>
      <c r="D326" s="170">
        <f>IFERROR(C326/VLOOKUP(A326,Usinas!$A:$B,2,FALSE()),"")</f>
        <v>3.3489533011272137</v>
      </c>
    </row>
    <row r="327" spans="1:4" ht="12" customHeight="1" x14ac:dyDescent="0.3">
      <c r="A327" s="167" t="s">
        <v>365</v>
      </c>
      <c r="B327" s="168">
        <v>45985</v>
      </c>
      <c r="C327" s="178">
        <v>3587.4</v>
      </c>
      <c r="D327" s="170">
        <f>IFERROR(C327/VLOOKUP(A327,Usinas!$A:$B,2,FALSE()),"")</f>
        <v>5.7768115942028988</v>
      </c>
    </row>
    <row r="328" spans="1:4" ht="12" customHeight="1" x14ac:dyDescent="0.3">
      <c r="A328" s="167" t="s">
        <v>365</v>
      </c>
      <c r="B328" s="168">
        <v>45986</v>
      </c>
      <c r="C328" s="178">
        <v>3914.7</v>
      </c>
      <c r="D328" s="170">
        <f>IFERROR(C328/VLOOKUP(A328,Usinas!$A:$B,2,FALSE()),"")</f>
        <v>6.3038647342995162</v>
      </c>
    </row>
    <row r="329" spans="1:4" ht="12" customHeight="1" x14ac:dyDescent="0.3">
      <c r="A329" s="167" t="s">
        <v>365</v>
      </c>
      <c r="B329" s="168">
        <v>45987</v>
      </c>
      <c r="C329" s="178">
        <v>3802.1</v>
      </c>
      <c r="D329" s="170">
        <f>IFERROR(C329/VLOOKUP(A329,Usinas!$A:$B,2,FALSE()),"")</f>
        <v>6.1225442834138484</v>
      </c>
    </row>
    <row r="330" spans="1:4" ht="12" customHeight="1" x14ac:dyDescent="0.3">
      <c r="A330" s="167" t="s">
        <v>365</v>
      </c>
      <c r="B330" s="168">
        <v>45988</v>
      </c>
      <c r="C330" s="178">
        <v>3745.4</v>
      </c>
      <c r="D330" s="170">
        <f>IFERROR(C330/VLOOKUP(A330,Usinas!$A:$B,2,FALSE()),"")</f>
        <v>6.0312399355877622</v>
      </c>
    </row>
    <row r="331" spans="1:4" ht="12" customHeight="1" x14ac:dyDescent="0.3">
      <c r="A331" s="167" t="s">
        <v>365</v>
      </c>
      <c r="B331" s="168">
        <v>45989</v>
      </c>
      <c r="C331" s="178">
        <v>3752</v>
      </c>
      <c r="D331" s="170">
        <f>IFERROR(C331/VLOOKUP(A331,Usinas!$A:$B,2,FALSE()),"")</f>
        <v>6.0418679549114334</v>
      </c>
    </row>
    <row r="332" spans="1:4" ht="12" customHeight="1" x14ac:dyDescent="0.3">
      <c r="A332" s="167" t="s">
        <v>365</v>
      </c>
      <c r="B332" s="168">
        <v>45990</v>
      </c>
      <c r="C332" s="178">
        <v>3695.8</v>
      </c>
      <c r="D332" s="170">
        <f>IFERROR(C332/VLOOKUP(A332,Usinas!$A:$B,2,FALSE()),"")</f>
        <v>5.9513687600644127</v>
      </c>
    </row>
    <row r="333" spans="1:4" ht="12" customHeight="1" x14ac:dyDescent="0.3">
      <c r="A333" s="167" t="s">
        <v>365</v>
      </c>
      <c r="B333" s="168">
        <v>45991</v>
      </c>
      <c r="C333" s="178">
        <v>3552.8</v>
      </c>
      <c r="D333" s="170">
        <f>IFERROR(C333/VLOOKUP(A333,Usinas!$A:$B,2,FALSE()),"")</f>
        <v>5.7210950080515302</v>
      </c>
    </row>
    <row r="334" spans="1:4" ht="12" customHeight="1" x14ac:dyDescent="0.3">
      <c r="A334" s="167" t="s">
        <v>365</v>
      </c>
      <c r="B334" s="168">
        <v>45992</v>
      </c>
      <c r="C334" s="178">
        <v>1714</v>
      </c>
      <c r="D334" s="170">
        <f>IFERROR(C334/VLOOKUP(A334,Usinas!$A:$B,2,FALSE()),"")</f>
        <v>2.7600644122383251</v>
      </c>
    </row>
    <row r="335" spans="1:4" ht="12" customHeight="1" x14ac:dyDescent="0.3">
      <c r="A335" s="167" t="s">
        <v>365</v>
      </c>
      <c r="B335" s="168">
        <v>45993</v>
      </c>
      <c r="C335" s="178">
        <v>2698.3</v>
      </c>
      <c r="D335" s="170">
        <f>IFERROR(C335/VLOOKUP(A335,Usinas!$A:$B,2,FALSE()),"")</f>
        <v>4.3450885668276973</v>
      </c>
    </row>
    <row r="336" spans="1:4" ht="12" customHeight="1" x14ac:dyDescent="0.3">
      <c r="A336" s="167" t="s">
        <v>365</v>
      </c>
      <c r="B336" s="168">
        <v>45994</v>
      </c>
      <c r="C336" s="178">
        <v>3117</v>
      </c>
      <c r="D336" s="170">
        <f>IFERROR(C336/VLOOKUP(A336,Usinas!$A:$B,2,FALSE()),"")</f>
        <v>5.0193236714975846</v>
      </c>
    </row>
    <row r="337" spans="1:4" ht="12" customHeight="1" x14ac:dyDescent="0.3">
      <c r="A337" s="167" t="s">
        <v>365</v>
      </c>
      <c r="B337" s="168">
        <v>45995</v>
      </c>
      <c r="C337" s="178">
        <v>3818.5</v>
      </c>
      <c r="D337" s="170">
        <f>IFERROR(C337/VLOOKUP(A337,Usinas!$A:$B,2,FALSE()),"")</f>
        <v>6.1489533011272144</v>
      </c>
    </row>
    <row r="338" spans="1:4" ht="12" customHeight="1" x14ac:dyDescent="0.3">
      <c r="A338" s="167" t="s">
        <v>365</v>
      </c>
      <c r="B338" s="168">
        <v>45996</v>
      </c>
      <c r="C338" s="178">
        <v>3814.9</v>
      </c>
      <c r="D338" s="170">
        <f>IFERROR(C338/VLOOKUP(A338,Usinas!$A:$B,2,FALSE()),"")</f>
        <v>6.1431561996779394</v>
      </c>
    </row>
    <row r="339" spans="1:4" ht="12" customHeight="1" x14ac:dyDescent="0.3">
      <c r="A339" s="167" t="s">
        <v>365</v>
      </c>
      <c r="B339" s="168">
        <v>45997</v>
      </c>
      <c r="C339" s="178">
        <v>3682.7</v>
      </c>
      <c r="D339" s="170">
        <f>IFERROR(C339/VLOOKUP(A339,Usinas!$A:$B,2,FALSE()),"")</f>
        <v>5.9302737520128819</v>
      </c>
    </row>
    <row r="340" spans="1:4" ht="12" customHeight="1" x14ac:dyDescent="0.3">
      <c r="A340" s="167" t="s">
        <v>365</v>
      </c>
      <c r="B340" s="168">
        <v>45998</v>
      </c>
      <c r="C340" s="178">
        <v>2031.3</v>
      </c>
      <c r="D340" s="170">
        <f>IFERROR(C340/VLOOKUP(A340,Usinas!$A:$B,2,FALSE()),"")</f>
        <v>3.2710144927536233</v>
      </c>
    </row>
    <row r="341" spans="1:4" ht="12" customHeight="1" x14ac:dyDescent="0.3">
      <c r="A341" s="167" t="s">
        <v>365</v>
      </c>
      <c r="B341" s="168">
        <v>45999</v>
      </c>
      <c r="C341" s="178">
        <v>2383.9</v>
      </c>
      <c r="D341" s="170">
        <f>IFERROR(C341/VLOOKUP(A341,Usinas!$A:$B,2,FALSE()),"")</f>
        <v>3.8388083735909824</v>
      </c>
    </row>
    <row r="342" spans="1:4" ht="12" customHeight="1" x14ac:dyDescent="0.3">
      <c r="A342" s="167" t="s">
        <v>365</v>
      </c>
      <c r="B342" s="168">
        <v>46000</v>
      </c>
      <c r="C342" s="178">
        <v>2839.8</v>
      </c>
      <c r="D342" s="170">
        <f>IFERROR(C342/VLOOKUP(A342,Usinas!$A:$B,2,FALSE()),"")</f>
        <v>4.5729468599033822</v>
      </c>
    </row>
    <row r="343" spans="1:4" ht="12" customHeight="1" x14ac:dyDescent="0.3">
      <c r="A343" s="167" t="s">
        <v>365</v>
      </c>
      <c r="B343" s="168">
        <v>46001</v>
      </c>
      <c r="C343" s="178">
        <v>3653.2</v>
      </c>
      <c r="D343" s="170">
        <f>IFERROR(C343/VLOOKUP(A343,Usinas!$A:$B,2,FALSE()),"")</f>
        <v>5.8827697262479868</v>
      </c>
    </row>
    <row r="344" spans="1:4" ht="12" customHeight="1" x14ac:dyDescent="0.3">
      <c r="A344" s="167" t="s">
        <v>365</v>
      </c>
      <c r="B344" s="168">
        <v>46002</v>
      </c>
      <c r="C344" s="178">
        <v>3657.8</v>
      </c>
      <c r="D344" s="170">
        <f>IFERROR(C344/VLOOKUP(A344,Usinas!$A:$B,2,FALSE()),"")</f>
        <v>5.8901771336553947</v>
      </c>
    </row>
    <row r="345" spans="1:4" ht="12" customHeight="1" x14ac:dyDescent="0.3">
      <c r="A345" s="167" t="s">
        <v>365</v>
      </c>
      <c r="B345" s="168">
        <v>46003</v>
      </c>
      <c r="C345" s="178">
        <v>1286.8</v>
      </c>
      <c r="D345" s="170">
        <f>IFERROR(C345/VLOOKUP(A345,Usinas!$A:$B,2,FALSE()),"")</f>
        <v>2.0721417069243158</v>
      </c>
    </row>
    <row r="346" spans="1:4" ht="12" customHeight="1" x14ac:dyDescent="0.3">
      <c r="A346" s="167" t="s">
        <v>365</v>
      </c>
      <c r="B346" s="168">
        <v>46004</v>
      </c>
      <c r="C346" s="178">
        <v>1267.8</v>
      </c>
      <c r="D346" s="170">
        <f>IFERROR(C346/VLOOKUP(A346,Usinas!$A:$B,2,FALSE()),"")</f>
        <v>2.0415458937198068</v>
      </c>
    </row>
    <row r="347" spans="1:4" ht="12" customHeight="1" x14ac:dyDescent="0.3">
      <c r="A347" s="167" t="s">
        <v>365</v>
      </c>
      <c r="B347" s="168">
        <v>46005</v>
      </c>
      <c r="C347" s="178">
        <v>2360.1999999999998</v>
      </c>
      <c r="D347" s="170">
        <f>IFERROR(C347/VLOOKUP(A347,Usinas!$A:$B,2,FALSE()),"")</f>
        <v>3.8006441223832526</v>
      </c>
    </row>
    <row r="348" spans="1:4" ht="12" customHeight="1" x14ac:dyDescent="0.3">
      <c r="A348" s="167" t="s">
        <v>365</v>
      </c>
      <c r="B348" s="168">
        <v>46006</v>
      </c>
      <c r="C348" s="178">
        <v>3447.7</v>
      </c>
      <c r="D348" s="170">
        <f>IFERROR(C348/VLOOKUP(A348,Usinas!$A:$B,2,FALSE()),"")</f>
        <v>5.5518518518518514</v>
      </c>
    </row>
    <row r="349" spans="1:4" ht="12" customHeight="1" x14ac:dyDescent="0.3">
      <c r="A349" s="167" t="s">
        <v>365</v>
      </c>
      <c r="B349" s="168">
        <v>46007</v>
      </c>
      <c r="C349" s="178">
        <v>1745.7</v>
      </c>
      <c r="D349" s="170">
        <f>IFERROR(C349/VLOOKUP(A349,Usinas!$A:$B,2,FALSE()),"")</f>
        <v>2.8111111111111113</v>
      </c>
    </row>
    <row r="350" spans="1:4" ht="12" customHeight="1" x14ac:dyDescent="0.3">
      <c r="A350" s="167" t="s">
        <v>365</v>
      </c>
      <c r="B350" s="168">
        <v>46008</v>
      </c>
      <c r="C350" s="178">
        <v>2506.6</v>
      </c>
      <c r="D350" s="170">
        <f>IFERROR(C350/VLOOKUP(A350,Usinas!$A:$B,2,FALSE()),"")</f>
        <v>4.036392914653784</v>
      </c>
    </row>
    <row r="351" spans="1:4" ht="12" customHeight="1" x14ac:dyDescent="0.3">
      <c r="A351" s="167" t="s">
        <v>365</v>
      </c>
      <c r="B351" s="168">
        <v>46009</v>
      </c>
      <c r="C351" s="178">
        <v>3902.1</v>
      </c>
      <c r="D351" s="170">
        <f>IFERROR(C351/VLOOKUP(A351,Usinas!$A:$B,2,FALSE()),"")</f>
        <v>6.2835748792270527</v>
      </c>
    </row>
    <row r="352" spans="1:4" ht="12" customHeight="1" x14ac:dyDescent="0.3">
      <c r="A352" s="167" t="s">
        <v>365</v>
      </c>
      <c r="B352" s="168">
        <v>46010</v>
      </c>
      <c r="C352" s="178">
        <v>3549.1</v>
      </c>
      <c r="D352" s="170">
        <f>IFERROR(C352/VLOOKUP(A352,Usinas!$A:$B,2,FALSE()),"")</f>
        <v>5.7151368760064409</v>
      </c>
    </row>
    <row r="353" spans="1:4" ht="12" customHeight="1" x14ac:dyDescent="0.3">
      <c r="A353" s="167" t="s">
        <v>365</v>
      </c>
      <c r="B353" s="168">
        <v>46011</v>
      </c>
      <c r="C353" s="178">
        <v>3187</v>
      </c>
      <c r="D353" s="170">
        <f>IFERROR(C353/VLOOKUP(A353,Usinas!$A:$B,2,FALSE()),"")</f>
        <v>5.1320450885668274</v>
      </c>
    </row>
    <row r="354" spans="1:4" ht="12" customHeight="1" x14ac:dyDescent="0.3">
      <c r="A354" s="167" t="s">
        <v>365</v>
      </c>
      <c r="B354" s="168">
        <v>46012</v>
      </c>
      <c r="C354" s="178">
        <v>2896.2</v>
      </c>
      <c r="D354" s="170">
        <f>IFERROR(C354/VLOOKUP(A354,Usinas!$A:$B,2,FALSE()),"")</f>
        <v>4.6637681159420286</v>
      </c>
    </row>
    <row r="355" spans="1:4" ht="12" customHeight="1" x14ac:dyDescent="0.3">
      <c r="A355" s="167" t="s">
        <v>365</v>
      </c>
      <c r="B355" s="168">
        <v>46013</v>
      </c>
      <c r="C355" s="178">
        <v>3197.7</v>
      </c>
      <c r="D355" s="170">
        <f>IFERROR(C355/VLOOKUP(A355,Usinas!$A:$B,2,FALSE()),"")</f>
        <v>5.1492753623188401</v>
      </c>
    </row>
    <row r="356" spans="1:4" ht="12" customHeight="1" x14ac:dyDescent="0.3">
      <c r="A356" s="167" t="s">
        <v>365</v>
      </c>
      <c r="B356" s="168">
        <v>46014</v>
      </c>
      <c r="C356" s="178">
        <v>2637.4</v>
      </c>
      <c r="D356" s="170">
        <f>IFERROR(C356/VLOOKUP(A356,Usinas!$A:$B,2,FALSE()),"")</f>
        <v>4.2470209339774563</v>
      </c>
    </row>
    <row r="357" spans="1:4" ht="12" customHeight="1" x14ac:dyDescent="0.3">
      <c r="A357" s="167" t="s">
        <v>365</v>
      </c>
      <c r="B357" s="168">
        <v>46015</v>
      </c>
      <c r="C357" s="178">
        <v>3567.5</v>
      </c>
      <c r="D357" s="170">
        <f>IFERROR(C357/VLOOKUP(A357,Usinas!$A:$B,2,FALSE()),"")</f>
        <v>5.7447665056360711</v>
      </c>
    </row>
    <row r="358" spans="1:4" ht="12" customHeight="1" x14ac:dyDescent="0.3">
      <c r="A358" s="167" t="s">
        <v>365</v>
      </c>
      <c r="B358" s="168">
        <v>46016</v>
      </c>
      <c r="C358" s="178">
        <v>3261.6</v>
      </c>
      <c r="D358" s="170">
        <f>IFERROR(C358/VLOOKUP(A358,Usinas!$A:$B,2,FALSE()),"")</f>
        <v>5.2521739130434781</v>
      </c>
    </row>
    <row r="359" spans="1:4" ht="12" customHeight="1" x14ac:dyDescent="0.3">
      <c r="A359" s="167" t="s">
        <v>365</v>
      </c>
      <c r="B359" s="168">
        <v>46017</v>
      </c>
      <c r="C359" s="178">
        <v>2682.5</v>
      </c>
      <c r="D359" s="170">
        <f>IFERROR(C359/VLOOKUP(A359,Usinas!$A:$B,2,FALSE()),"")</f>
        <v>4.319645732689211</v>
      </c>
    </row>
    <row r="360" spans="1:4" ht="12" customHeight="1" x14ac:dyDescent="0.3">
      <c r="A360" s="167" t="s">
        <v>365</v>
      </c>
      <c r="B360" s="168">
        <v>46018</v>
      </c>
      <c r="C360" s="178">
        <v>3624.2</v>
      </c>
      <c r="D360" s="170">
        <f>IFERROR(C360/VLOOKUP(A360,Usinas!$A:$B,2,FALSE()),"")</f>
        <v>5.8360708534621573</v>
      </c>
    </row>
    <row r="361" spans="1:4" ht="12" customHeight="1" x14ac:dyDescent="0.3">
      <c r="A361" s="167" t="s">
        <v>365</v>
      </c>
      <c r="B361" s="168">
        <v>46019</v>
      </c>
      <c r="C361" s="178">
        <v>1978.7</v>
      </c>
      <c r="D361" s="170">
        <f>IFERROR(C361/VLOOKUP(A361,Usinas!$A:$B,2,FALSE()),"")</f>
        <v>3.1863123993558777</v>
      </c>
    </row>
    <row r="362" spans="1:4" ht="12" customHeight="1" x14ac:dyDescent="0.3">
      <c r="A362" s="167" t="s">
        <v>365</v>
      </c>
      <c r="B362" s="168">
        <v>46020</v>
      </c>
      <c r="C362" s="178">
        <v>2976.3</v>
      </c>
      <c r="D362" s="170">
        <f>IFERROR(C362/VLOOKUP(A362,Usinas!$A:$B,2,FALSE()),"")</f>
        <v>4.792753623188406</v>
      </c>
    </row>
    <row r="363" spans="1:4" ht="12" customHeight="1" x14ac:dyDescent="0.3">
      <c r="A363" s="167" t="s">
        <v>365</v>
      </c>
      <c r="B363" s="168">
        <v>46021</v>
      </c>
      <c r="C363" s="178">
        <v>2416.9</v>
      </c>
      <c r="D363" s="170">
        <f>IFERROR(C363/VLOOKUP(A363,Usinas!$A:$B,2,FALSE()),"")</f>
        <v>3.8919484702093401</v>
      </c>
    </row>
    <row r="364" spans="1:4" ht="12" customHeight="1" x14ac:dyDescent="0.3">
      <c r="A364" s="167" t="s">
        <v>365</v>
      </c>
      <c r="B364" s="168">
        <v>46022</v>
      </c>
      <c r="C364" s="178">
        <v>2728.3</v>
      </c>
      <c r="D364" s="170">
        <f>IFERROR(C364/VLOOKUP(A364,Usinas!$A:$B,2,FALSE()),"")</f>
        <v>4.3933977455716589</v>
      </c>
    </row>
  </sheetData>
  <autoFilter ref="A1:D364" xr:uid="{00000000-0009-0000-0000-000007000000}"/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5200"/>
  </sheetPr>
  <dimension ref="A1"/>
  <sheetViews>
    <sheetView zoomScaleNormal="100" workbookViewId="0">
      <selection activeCell="M24" sqref="M24"/>
    </sheetView>
  </sheetViews>
  <sheetFormatPr defaultColWidth="8.54296875" defaultRowHeight="12.5" x14ac:dyDescent="0.25"/>
  <cols>
    <col min="1" max="16384" width="8.54296875" style="163"/>
  </cols>
  <sheetData/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E2CC"/>
  </sheetPr>
  <dimension ref="A4:S30"/>
  <sheetViews>
    <sheetView zoomScaleNormal="100" workbookViewId="0">
      <selection activeCell="M24" sqref="M24"/>
    </sheetView>
  </sheetViews>
  <sheetFormatPr defaultColWidth="8.54296875" defaultRowHeight="13" x14ac:dyDescent="0.3"/>
  <cols>
    <col min="1" max="1" width="24.453125" style="164" customWidth="1"/>
    <col min="2" max="2" width="39.81640625" style="164" customWidth="1"/>
    <col min="3" max="3" width="8.54296875" style="164"/>
    <col min="4" max="4" width="12.26953125" style="164" customWidth="1"/>
    <col min="5" max="16384" width="8.54296875" style="164"/>
  </cols>
  <sheetData>
    <row r="4" spans="1:19" ht="12.75" customHeight="1" x14ac:dyDescent="0.3">
      <c r="D4" s="180">
        <v>45658</v>
      </c>
      <c r="E4" s="180">
        <v>45689</v>
      </c>
      <c r="F4" s="180">
        <v>45717</v>
      </c>
      <c r="G4" s="180">
        <v>45748</v>
      </c>
      <c r="H4" s="180">
        <v>45778</v>
      </c>
      <c r="I4" s="180">
        <v>45809</v>
      </c>
      <c r="J4" s="180">
        <v>45839</v>
      </c>
      <c r="K4" s="180">
        <v>45870</v>
      </c>
      <c r="L4" s="180">
        <v>45901</v>
      </c>
      <c r="M4" s="180">
        <v>45931</v>
      </c>
      <c r="N4" s="180">
        <v>45962</v>
      </c>
      <c r="O4" s="180">
        <v>45992</v>
      </c>
      <c r="Q4" s="172" t="s">
        <v>366</v>
      </c>
      <c r="S4" s="172" t="s">
        <v>367</v>
      </c>
    </row>
    <row r="5" spans="1:19" ht="13.5" customHeight="1" x14ac:dyDescent="0.3">
      <c r="A5" s="164" t="s">
        <v>368</v>
      </c>
      <c r="B5" s="164" t="s">
        <v>369</v>
      </c>
      <c r="D5" s="181">
        <f>+SUMIFS('Memória de Massa - 2025'!$H$1:$H$217,'Memória de Massa - 2025'!$A$1:$A$217,'Formula Dados Copasul'!$A5,'Memória de Massa - 2025'!$F$1:$F$217,'Formula Dados Copasul'!D$4)</f>
        <v>44785.32</v>
      </c>
      <c r="E5" s="181">
        <f>+SUMIFS('Memória de Massa - 2025'!$H$1:$H$217,'Memória de Massa - 2025'!$A$1:$A$217,'Formula Dados Copasul'!$A5,'Memória de Massa - 2025'!$F$1:$F$217,'Formula Dados Copasul'!E$4)</f>
        <v>47470.69</v>
      </c>
      <c r="F5" s="181">
        <f>+SUMIFS('Memória de Massa - 2025'!$H$1:$H$217,'Memória de Massa - 2025'!$A$1:$A$217,'Formula Dados Copasul'!$A5,'Memória de Massa - 2025'!$F$1:$F$217,'Formula Dados Copasul'!F$4)</f>
        <v>42520.65</v>
      </c>
      <c r="G5" s="181">
        <f>+SUMIFS('Memória de Massa - 2025'!$H$1:$H$217,'Memória de Massa - 2025'!$A$1:$A$217,'Formula Dados Copasul'!$A5,'Memória de Massa - 2025'!$F$1:$F$217,'Formula Dados Copasul'!G$4)</f>
        <v>37072.04</v>
      </c>
      <c r="H5" s="181">
        <f>+SUMIFS('Memória de Massa - 2025'!$H$1:$H$217,'Memória de Massa - 2025'!$A$1:$A$217,'Formula Dados Copasul'!$A5,'Memória de Massa - 2025'!$F$1:$F$217,'Formula Dados Copasul'!H$4)</f>
        <v>34493.160000000003</v>
      </c>
      <c r="I5" s="181">
        <f>+SUMIFS('Memória de Massa - 2025'!$H$1:$H$217,'Memória de Massa - 2025'!$A$1:$A$217,'Formula Dados Copasul'!$A5,'Memória de Massa - 2025'!$F$1:$F$217,'Formula Dados Copasul'!I$4)</f>
        <v>32323.4</v>
      </c>
      <c r="J5" s="181">
        <f>+SUMIFS('Memória de Massa - 2025'!$H$1:$H$217,'Memória de Massa - 2025'!$A$1:$A$217,'Formula Dados Copasul'!$A5,'Memória de Massa - 2025'!$F$1:$F$217,'Formula Dados Copasul'!J$4)</f>
        <v>34695.56</v>
      </c>
      <c r="K5" s="181">
        <f>+SUMIFS('Memória de Massa - 2025'!$H$1:$H$217,'Memória de Massa - 2025'!$A$1:$A$217,'Formula Dados Copasul'!$A5,'Memória de Massa - 2025'!$F$1:$F$217,'Formula Dados Copasul'!K$4)</f>
        <v>37764.79</v>
      </c>
      <c r="L5" s="181">
        <f>+SUMIFS('Memória de Massa - 2025'!$H$1:$H$217,'Memória de Massa - 2025'!$A$1:$A$217,'Formula Dados Copasul'!$A5,'Memória de Massa - 2025'!$F$1:$F$217,'Formula Dados Copasul'!L$4)</f>
        <v>46046.96</v>
      </c>
      <c r="M5" s="181">
        <f>+SUMIFS('Memória de Massa - 2025'!$H$1:$H$217,'Memória de Massa - 2025'!$A$1:$A$217,'Formula Dados Copasul'!$A5,'Memória de Massa - 2025'!$F$1:$F$217,'Formula Dados Copasul'!M$4)</f>
        <v>46843.03</v>
      </c>
      <c r="N5" s="181">
        <f>+SUMIFS('Memória de Massa - 2025'!$H$1:$H$217,'Memória de Massa - 2025'!$A$1:$A$217,'Formula Dados Copasul'!$A5,'Memória de Massa - 2025'!$F$1:$F$217,'Formula Dados Copasul'!N$4)</f>
        <v>46689.03</v>
      </c>
      <c r="O5" s="181">
        <f>+SUMIFS('Memória de Massa - 2025'!$H$1:$H$217,'Memória de Massa - 2025'!$A$1:$A$217,'Formula Dados Copasul'!$A5,'Memória de Massa - 2025'!$F$1:$F$217,'Formula Dados Copasul'!O$4)</f>
        <v>48254.06</v>
      </c>
      <c r="Q5" s="182">
        <f>+SUM(D5:O5)</f>
        <v>498958.69</v>
      </c>
      <c r="S5" s="182">
        <f>+Q5/12</f>
        <v>41579.890833333331</v>
      </c>
    </row>
    <row r="6" spans="1:19" ht="13.5" customHeight="1" x14ac:dyDescent="0.3">
      <c r="A6" s="164" t="s">
        <v>370</v>
      </c>
      <c r="B6" s="183" t="s">
        <v>371</v>
      </c>
      <c r="D6" s="181">
        <f>+SUMIFS('Memória de Massa - 2025'!$H$1:$H$217,'Memória de Massa - 2025'!$A$1:$A$217,'Formula Dados Copasul'!$A6,'Memória de Massa - 2025'!$F$1:$F$217,'Formula Dados Copasul'!D$4)</f>
        <v>50942.720000000001</v>
      </c>
      <c r="E6" s="181">
        <f>+SUMIFS('Memória de Massa - 2025'!$H$1:$H$217,'Memória de Massa - 2025'!$A$1:$A$217,'Formula Dados Copasul'!$A6,'Memória de Massa - 2025'!$F$1:$F$217,'Formula Dados Copasul'!E$4)</f>
        <v>200728.75</v>
      </c>
      <c r="F6" s="181">
        <f>+SUMIFS('Memória de Massa - 2025'!$H$1:$H$217,'Memória de Massa - 2025'!$A$1:$A$217,'Formula Dados Copasul'!$A6,'Memória de Massa - 2025'!$F$1:$F$217,'Formula Dados Copasul'!F$4)</f>
        <v>207178.06</v>
      </c>
      <c r="G6" s="181">
        <f>+SUMIFS('Memória de Massa - 2025'!$H$1:$H$217,'Memória de Massa - 2025'!$A$1:$A$217,'Formula Dados Copasul'!$A6,'Memória de Massa - 2025'!$F$1:$F$217,'Formula Dados Copasul'!G$4)</f>
        <v>75954.61</v>
      </c>
      <c r="H6" s="181">
        <f>+SUMIFS('Memória de Massa - 2025'!$H$1:$H$217,'Memória de Massa - 2025'!$A$1:$A$217,'Formula Dados Copasul'!$A6,'Memória de Massa - 2025'!$F$1:$F$217,'Formula Dados Copasul'!H$4)</f>
        <v>87080.03</v>
      </c>
      <c r="I6" s="181">
        <f>+SUMIFS('Memória de Massa - 2025'!$H$1:$H$217,'Memória de Massa - 2025'!$A$1:$A$217,'Formula Dados Copasul'!$A6,'Memória de Massa - 2025'!$F$1:$F$217,'Formula Dados Copasul'!I$4)</f>
        <v>147398.37</v>
      </c>
      <c r="J6" s="181">
        <f>+SUMIFS('Memória de Massa - 2025'!$H$1:$H$217,'Memória de Massa - 2025'!$A$1:$A$217,'Formula Dados Copasul'!$A6,'Memória de Massa - 2025'!$F$1:$F$217,'Formula Dados Copasul'!J$4)</f>
        <v>307662.77</v>
      </c>
      <c r="K6" s="181">
        <f>+SUMIFS('Memória de Massa - 2025'!$H$1:$H$217,'Memória de Massa - 2025'!$A$1:$A$217,'Formula Dados Copasul'!$A6,'Memória de Massa - 2025'!$F$1:$F$217,'Formula Dados Copasul'!K$4)</f>
        <v>309712.87</v>
      </c>
      <c r="L6" s="181">
        <f>+SUMIFS('Memória de Massa - 2025'!$H$1:$H$217,'Memória de Massa - 2025'!$A$1:$A$217,'Formula Dados Copasul'!$A6,'Memória de Massa - 2025'!$F$1:$F$217,'Formula Dados Copasul'!L$4)</f>
        <v>82157.25</v>
      </c>
      <c r="M6" s="181">
        <f>+SUMIFS('Memória de Massa - 2025'!$H$1:$H$217,'Memória de Massa - 2025'!$A$1:$A$217,'Formula Dados Copasul'!$A6,'Memória de Massa - 2025'!$F$1:$F$217,'Formula Dados Copasul'!M$4)</f>
        <v>13325.59</v>
      </c>
      <c r="N6" s="181">
        <f>+SUMIFS('Memória de Massa - 2025'!$H$1:$H$217,'Memória de Massa - 2025'!$A$1:$A$217,'Formula Dados Copasul'!$A6,'Memória de Massa - 2025'!$F$1:$F$217,'Formula Dados Copasul'!N$4)</f>
        <v>11108.92</v>
      </c>
      <c r="O6" s="181">
        <f>+SUMIFS('Memória de Massa - 2025'!$H$1:$H$217,'Memória de Massa - 2025'!$A$1:$A$217,'Formula Dados Copasul'!$A6,'Memória de Massa - 2025'!$F$1:$F$217,'Formula Dados Copasul'!O$4)</f>
        <v>11745.55</v>
      </c>
      <c r="Q6" s="182">
        <f>+SUM(D6:O6)</f>
        <v>1504995.4900000002</v>
      </c>
      <c r="S6" s="182">
        <f>+Q6/12</f>
        <v>125416.29083333335</v>
      </c>
    </row>
    <row r="7" spans="1:19" ht="23.25" customHeight="1" x14ac:dyDescent="0.3">
      <c r="A7" s="164" t="s">
        <v>372</v>
      </c>
      <c r="B7" s="183" t="s">
        <v>373</v>
      </c>
      <c r="D7" s="181">
        <f>+SUMIFS('Memória de Massa - 2025'!$H$1:$H$217,'Memória de Massa - 2025'!$A$1:$A$217,'Formula Dados Copasul'!$A7,'Memória de Massa - 2025'!$F$1:$F$217,'Formula Dados Copasul'!D$4)</f>
        <v>72928.490000000005</v>
      </c>
      <c r="E7" s="181">
        <f>+SUMIFS('Memória de Massa - 2025'!$H$1:$H$217,'Memória de Massa - 2025'!$A$1:$A$217,'Formula Dados Copasul'!$A7,'Memória de Massa - 2025'!$F$1:$F$217,'Formula Dados Copasul'!E$4)</f>
        <v>212798.25</v>
      </c>
      <c r="F7" s="181">
        <f>+SUMIFS('Memória de Massa - 2025'!$H$1:$H$217,'Memória de Massa - 2025'!$A$1:$A$217,'Formula Dados Copasul'!$A7,'Memória de Massa - 2025'!$F$1:$F$217,'Formula Dados Copasul'!F$4)</f>
        <v>177578.42</v>
      </c>
      <c r="G7" s="181">
        <f>+SUMIFS('Memória de Massa - 2025'!$H$1:$H$217,'Memória de Massa - 2025'!$A$1:$A$217,'Formula Dados Copasul'!$A7,'Memória de Massa - 2025'!$F$1:$F$217,'Formula Dados Copasul'!G$4)</f>
        <v>84395.43</v>
      </c>
      <c r="H7" s="181">
        <f>+SUMIFS('Memória de Massa - 2025'!$H$1:$H$217,'Memória de Massa - 2025'!$A$1:$A$217,'Formula Dados Copasul'!$A7,'Memória de Massa - 2025'!$F$1:$F$217,'Formula Dados Copasul'!H$4)</f>
        <v>106720.74</v>
      </c>
      <c r="I7" s="181">
        <f>+SUMIFS('Memória de Massa - 2025'!$H$1:$H$217,'Memória de Massa - 2025'!$A$1:$A$217,'Formula Dados Copasul'!$A7,'Memória de Massa - 2025'!$F$1:$F$217,'Formula Dados Copasul'!I$4)</f>
        <v>183159.59</v>
      </c>
      <c r="J7" s="181">
        <f>+SUMIFS('Memória de Massa - 2025'!$H$1:$H$217,'Memória de Massa - 2025'!$A$1:$A$217,'Formula Dados Copasul'!$A7,'Memória de Massa - 2025'!$F$1:$F$217,'Formula Dados Copasul'!J$4)</f>
        <v>223302.56</v>
      </c>
      <c r="K7" s="181">
        <f>+SUMIFS('Memória de Massa - 2025'!$H$1:$H$217,'Memória de Massa - 2025'!$A$1:$A$217,'Formula Dados Copasul'!$A7,'Memória de Massa - 2025'!$F$1:$F$217,'Formula Dados Copasul'!K$4)</f>
        <v>130522.46</v>
      </c>
      <c r="L7" s="181">
        <f>+SUMIFS('Memória de Massa - 2025'!$H$1:$H$217,'Memória de Massa - 2025'!$A$1:$A$217,'Formula Dados Copasul'!$A7,'Memória de Massa - 2025'!$F$1:$F$217,'Formula Dados Copasul'!L$4)</f>
        <v>17968.55</v>
      </c>
      <c r="M7" s="181">
        <f>+SUMIFS('Memória de Massa - 2025'!$H$1:$H$217,'Memória de Massa - 2025'!$A$1:$A$217,'Formula Dados Copasul'!$A7,'Memória de Massa - 2025'!$F$1:$F$217,'Formula Dados Copasul'!M$4)</f>
        <v>11731.55</v>
      </c>
      <c r="N7" s="181">
        <f>+SUMIFS('Memória de Massa - 2025'!$H$1:$H$217,'Memória de Massa - 2025'!$A$1:$A$217,'Formula Dados Copasul'!$A7,'Memória de Massa - 2025'!$F$1:$F$217,'Formula Dados Copasul'!N$4)</f>
        <v>8808.98</v>
      </c>
      <c r="O7" s="181">
        <f>+SUMIFS('Memória de Massa - 2025'!$H$1:$H$217,'Memória de Massa - 2025'!$A$1:$A$217,'Formula Dados Copasul'!$A7,'Memória de Massa - 2025'!$F$1:$F$217,'Formula Dados Copasul'!O$4)</f>
        <v>15428.7</v>
      </c>
      <c r="Q7" s="182">
        <f>+SUM(D7:O7)</f>
        <v>1245343.72</v>
      </c>
      <c r="S7" s="182">
        <f>+Q7/12</f>
        <v>103778.64333333333</v>
      </c>
    </row>
    <row r="8" spans="1:19" ht="13.5" customHeight="1" x14ac:dyDescent="0.3">
      <c r="B8" s="184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</row>
    <row r="9" spans="1:19" ht="12.75" customHeight="1" x14ac:dyDescent="0.3">
      <c r="B9" s="185" t="s">
        <v>374</v>
      </c>
      <c r="C9" s="186"/>
      <c r="D9" s="187">
        <f t="shared" ref="D9:O9" si="0">+SUM(D5:D7)</f>
        <v>168656.53000000003</v>
      </c>
      <c r="E9" s="187">
        <f t="shared" si="0"/>
        <v>460997.69</v>
      </c>
      <c r="F9" s="187">
        <f t="shared" si="0"/>
        <v>427277.13</v>
      </c>
      <c r="G9" s="187">
        <f t="shared" si="0"/>
        <v>197422.07999999999</v>
      </c>
      <c r="H9" s="187">
        <f t="shared" si="0"/>
        <v>228293.93</v>
      </c>
      <c r="I9" s="187">
        <f t="shared" si="0"/>
        <v>362881.36</v>
      </c>
      <c r="J9" s="187">
        <f t="shared" si="0"/>
        <v>565660.89</v>
      </c>
      <c r="K9" s="187">
        <f t="shared" si="0"/>
        <v>478000.12</v>
      </c>
      <c r="L9" s="187">
        <f t="shared" si="0"/>
        <v>146172.75999999998</v>
      </c>
      <c r="M9" s="187">
        <f t="shared" si="0"/>
        <v>71900.17</v>
      </c>
      <c r="N9" s="187">
        <f t="shared" si="0"/>
        <v>66606.929999999993</v>
      </c>
      <c r="O9" s="187">
        <f t="shared" si="0"/>
        <v>75428.31</v>
      </c>
      <c r="P9" s="186"/>
      <c r="Q9" s="187">
        <f>+SUM(D9:O9)</f>
        <v>3249297.9000000004</v>
      </c>
      <c r="R9" s="187"/>
      <c r="S9" s="187">
        <f>+Q9/12</f>
        <v>270774.82500000001</v>
      </c>
    </row>
    <row r="10" spans="1:19" ht="13.5" customHeight="1" x14ac:dyDescent="0.3">
      <c r="B10" s="184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</row>
    <row r="11" spans="1:19" ht="13.5" customHeight="1" x14ac:dyDescent="0.3">
      <c r="A11" s="164" t="s">
        <v>370</v>
      </c>
      <c r="B11" s="183" t="s">
        <v>375</v>
      </c>
      <c r="D11" s="181">
        <f>+SUMIFS('Memória de Massa - 2025'!$G$1:$G$217,'Memória de Massa - 2025'!$A$1:$A$217,'Formula Dados Copasul'!$A11,'Memória de Massa - 2025'!$F$1:$F$217,'Formula Dados Copasul'!D$4)</f>
        <v>10827.94</v>
      </c>
      <c r="E11" s="181">
        <f>+SUMIFS('Memória de Massa - 2025'!$G$1:$G$217,'Memória de Massa - 2025'!$A$1:$A$217,'Formula Dados Copasul'!$A11,'Memória de Massa - 2025'!$F$1:$F$217,'Formula Dados Copasul'!E$4)</f>
        <v>37839.9</v>
      </c>
      <c r="F11" s="181">
        <f>+SUMIFS('Memória de Massa - 2025'!$G$1:$G$217,'Memória de Massa - 2025'!$A$1:$A$217,'Formula Dados Copasul'!$A11,'Memória de Massa - 2025'!$F$1:$F$217,'Formula Dados Copasul'!F$4)</f>
        <v>27093.399999999998</v>
      </c>
      <c r="G11" s="181">
        <f>+SUMIFS('Memória de Massa - 2025'!$G$1:$G$217,'Memória de Massa - 2025'!$A$1:$A$217,'Formula Dados Copasul'!$A11,'Memória de Massa - 2025'!$F$1:$F$217,'Formula Dados Copasul'!G$4)</f>
        <v>4120.62</v>
      </c>
      <c r="H11" s="181">
        <f>+SUMIFS('Memória de Massa - 2025'!$G$1:$G$217,'Memória de Massa - 2025'!$A$1:$A$217,'Formula Dados Copasul'!$A11,'Memória de Massa - 2025'!$F$1:$F$217,'Formula Dados Copasul'!H$4)</f>
        <v>7310.48</v>
      </c>
      <c r="I11" s="181">
        <f>+SUMIFS('Memória de Massa - 2025'!$G$1:$G$217,'Memória de Massa - 2025'!$A$1:$A$217,'Formula Dados Copasul'!$A11,'Memória de Massa - 2025'!$F$1:$F$217,'Formula Dados Copasul'!I$4)</f>
        <v>22180.07</v>
      </c>
      <c r="J11" s="181">
        <f>+SUMIFS('Memória de Massa - 2025'!$G$1:$G$217,'Memória de Massa - 2025'!$A$1:$A$217,'Formula Dados Copasul'!$A11,'Memória de Massa - 2025'!$F$1:$F$217,'Formula Dados Copasul'!J$4)</f>
        <v>53060.15</v>
      </c>
      <c r="K11" s="181">
        <f>+SUMIFS('Memória de Massa - 2025'!$G$1:$G$217,'Memória de Massa - 2025'!$A$1:$A$217,'Formula Dados Copasul'!$A11,'Memória de Massa - 2025'!$F$1:$F$217,'Formula Dados Copasul'!K$4)</f>
        <v>44066.229999999996</v>
      </c>
      <c r="L11" s="181">
        <f>+SUMIFS('Memória de Massa - 2025'!$G$1:$G$217,'Memória de Massa - 2025'!$A$1:$A$217,'Formula Dados Copasul'!$A11,'Memória de Massa - 2025'!$F$1:$F$217,'Formula Dados Copasul'!L$4)</f>
        <v>10666.029999999999</v>
      </c>
      <c r="M11" s="181">
        <f>+SUMIFS('Memória de Massa - 2025'!$G$1:$G$217,'Memória de Massa - 2025'!$A$1:$A$217,'Formula Dados Copasul'!$A11,'Memória de Massa - 2025'!$F$1:$F$217,'Formula Dados Copasul'!M$4)</f>
        <v>2567</v>
      </c>
      <c r="N11" s="181">
        <f>+SUMIFS('Memória de Massa - 2025'!$G$1:$G$217,'Memória de Massa - 2025'!$A$1:$A$217,'Formula Dados Copasul'!$A11,'Memória de Massa - 2025'!$F$1:$F$217,'Formula Dados Copasul'!N$4)</f>
        <v>2254.69</v>
      </c>
      <c r="O11" s="181">
        <f>+SUMIFS('Memória de Massa - 2025'!$G$1:$G$217,'Memória de Massa - 2025'!$A$1:$A$217,'Formula Dados Copasul'!$A11,'Memória de Massa - 2025'!$F$1:$F$217,'Formula Dados Copasul'!O$4)</f>
        <v>2595.31</v>
      </c>
      <c r="Q11" s="182">
        <f>+SUM(D11:O11)</f>
        <v>224581.81999999998</v>
      </c>
      <c r="S11" s="182">
        <f>+Q11/12</f>
        <v>18715.151666666665</v>
      </c>
    </row>
    <row r="12" spans="1:19" ht="13.5" customHeight="1" x14ac:dyDescent="0.3">
      <c r="A12" s="164" t="s">
        <v>372</v>
      </c>
      <c r="B12" s="183" t="s">
        <v>376</v>
      </c>
      <c r="D12" s="181">
        <f>+SUMIFS('Memória de Massa - 2025'!$G$1:$G$217,'Memória de Massa - 2025'!$A$1:$A$217,'Formula Dados Copasul'!$A12,'Memória de Massa - 2025'!$F$1:$F$217,'Formula Dados Copasul'!D$4)</f>
        <v>9264.15</v>
      </c>
      <c r="E12" s="181">
        <f>+SUMIFS('Memória de Massa - 2025'!$G$1:$G$217,'Memória de Massa - 2025'!$A$1:$A$217,'Formula Dados Copasul'!$A12,'Memória de Massa - 2025'!$F$1:$F$217,'Formula Dados Copasul'!E$4)</f>
        <v>19948.64</v>
      </c>
      <c r="F12" s="181">
        <f>+SUMIFS('Memória de Massa - 2025'!$G$1:$G$217,'Memória de Massa - 2025'!$A$1:$A$217,'Formula Dados Copasul'!$A12,'Memória de Massa - 2025'!$F$1:$F$217,'Formula Dados Copasul'!F$4)</f>
        <v>14932.89</v>
      </c>
      <c r="G12" s="181">
        <f>+SUMIFS('Memória de Massa - 2025'!$G$1:$G$217,'Memória de Massa - 2025'!$A$1:$A$217,'Formula Dados Copasul'!$A12,'Memória de Massa - 2025'!$F$1:$F$217,'Formula Dados Copasul'!G$4)</f>
        <v>2769.48</v>
      </c>
      <c r="H12" s="181">
        <f>+SUMIFS('Memória de Massa - 2025'!$G$1:$G$217,'Memória de Massa - 2025'!$A$1:$A$217,'Formula Dados Copasul'!$A12,'Memória de Massa - 2025'!$F$1:$F$217,'Formula Dados Copasul'!H$4)</f>
        <v>7312.1</v>
      </c>
      <c r="I12" s="181">
        <f>+SUMIFS('Memória de Massa - 2025'!$G$1:$G$217,'Memória de Massa - 2025'!$A$1:$A$217,'Formula Dados Copasul'!$A12,'Memória de Massa - 2025'!$F$1:$F$217,'Formula Dados Copasul'!I$4)</f>
        <v>19556.78</v>
      </c>
      <c r="J12" s="181">
        <f>+SUMIFS('Memória de Massa - 2025'!$G$1:$G$217,'Memória de Massa - 2025'!$A$1:$A$217,'Formula Dados Copasul'!$A12,'Memória de Massa - 2025'!$F$1:$F$217,'Formula Dados Copasul'!J$4)</f>
        <v>37585.800000000003</v>
      </c>
      <c r="K12" s="181">
        <f>+SUMIFS('Memória de Massa - 2025'!$G$1:$G$217,'Memória de Massa - 2025'!$A$1:$A$217,'Formula Dados Copasul'!$A12,'Memória de Massa - 2025'!$F$1:$F$217,'Formula Dados Copasul'!K$4)</f>
        <v>19255.009999999998</v>
      </c>
      <c r="L12" s="181">
        <f>+SUMIFS('Memória de Massa - 2025'!$G$1:$G$217,'Memória de Massa - 2025'!$A$1:$A$217,'Formula Dados Copasul'!$A12,'Memória de Massa - 2025'!$F$1:$F$217,'Formula Dados Copasul'!L$4)</f>
        <v>2740.19</v>
      </c>
      <c r="M12" s="181">
        <f>+SUMIFS('Memória de Massa - 2025'!$G$1:$G$217,'Memória de Massa - 2025'!$A$1:$A$217,'Formula Dados Copasul'!$A12,'Memória de Massa - 2025'!$F$1:$F$217,'Formula Dados Copasul'!M$4)</f>
        <v>2102.94</v>
      </c>
      <c r="N12" s="181">
        <f>+SUMIFS('Memória de Massa - 2025'!$G$1:$G$217,'Memória de Massa - 2025'!$A$1:$A$217,'Formula Dados Copasul'!$A12,'Memória de Massa - 2025'!$F$1:$F$217,'Formula Dados Copasul'!N$4)</f>
        <v>1437.03</v>
      </c>
      <c r="O12" s="181">
        <f>+SUMIFS('Memória de Massa - 2025'!$G$1:$G$217,'Memória de Massa - 2025'!$A$1:$A$217,'Formula Dados Copasul'!$A12,'Memória de Massa - 2025'!$F$1:$F$217,'Formula Dados Copasul'!O$4)</f>
        <v>1514.84</v>
      </c>
      <c r="Q12" s="182">
        <f>+SUM(D12:O12)</f>
        <v>138419.85</v>
      </c>
      <c r="S12" s="182">
        <f>+Q12/12</f>
        <v>11534.987500000001</v>
      </c>
    </row>
    <row r="13" spans="1:19" ht="13.5" customHeight="1" x14ac:dyDescent="0.3">
      <c r="D13" s="188"/>
      <c r="E13" s="188"/>
      <c r="F13" s="188"/>
      <c r="G13" s="188"/>
      <c r="H13" s="188"/>
      <c r="I13" s="188"/>
      <c r="J13" s="188"/>
      <c r="K13" s="188"/>
      <c r="L13" s="188"/>
      <c r="M13" s="188"/>
      <c r="N13" s="188"/>
      <c r="O13" s="188"/>
    </row>
    <row r="14" spans="1:19" ht="12.75" customHeight="1" x14ac:dyDescent="0.3">
      <c r="B14" s="185" t="s">
        <v>377</v>
      </c>
      <c r="C14" s="186"/>
      <c r="D14" s="187">
        <f t="shared" ref="D14:O14" si="1">+SUM(D11:D12)</f>
        <v>20092.09</v>
      </c>
      <c r="E14" s="187">
        <f t="shared" si="1"/>
        <v>57788.54</v>
      </c>
      <c r="F14" s="187">
        <f t="shared" si="1"/>
        <v>42026.289999999994</v>
      </c>
      <c r="G14" s="187">
        <f t="shared" si="1"/>
        <v>6890.1</v>
      </c>
      <c r="H14" s="187">
        <f t="shared" si="1"/>
        <v>14622.58</v>
      </c>
      <c r="I14" s="187">
        <f t="shared" si="1"/>
        <v>41736.85</v>
      </c>
      <c r="J14" s="187">
        <f t="shared" si="1"/>
        <v>90645.950000000012</v>
      </c>
      <c r="K14" s="187">
        <f t="shared" si="1"/>
        <v>63321.239999999991</v>
      </c>
      <c r="L14" s="187">
        <f t="shared" si="1"/>
        <v>13406.22</v>
      </c>
      <c r="M14" s="187">
        <f t="shared" si="1"/>
        <v>4669.9400000000005</v>
      </c>
      <c r="N14" s="187">
        <f t="shared" si="1"/>
        <v>3691.7200000000003</v>
      </c>
      <c r="O14" s="187">
        <f t="shared" si="1"/>
        <v>4110.1499999999996</v>
      </c>
      <c r="P14" s="186"/>
      <c r="Q14" s="187">
        <f>+SUM(D14:O14)</f>
        <v>363001.67</v>
      </c>
      <c r="R14" s="187"/>
      <c r="S14" s="187">
        <f>+Q14/12</f>
        <v>30250.139166666664</v>
      </c>
    </row>
    <row r="17" spans="1:19" ht="12.75" customHeight="1" x14ac:dyDescent="0.3">
      <c r="B17" s="185" t="s">
        <v>378</v>
      </c>
      <c r="C17" s="186"/>
      <c r="D17" s="187">
        <f t="shared" ref="D17:O17" si="2">+SUM(D14,D9)</f>
        <v>188748.62000000002</v>
      </c>
      <c r="E17" s="187">
        <f t="shared" si="2"/>
        <v>518786.23</v>
      </c>
      <c r="F17" s="187">
        <f t="shared" si="2"/>
        <v>469303.42</v>
      </c>
      <c r="G17" s="187">
        <f t="shared" si="2"/>
        <v>204312.18</v>
      </c>
      <c r="H17" s="187">
        <f t="shared" si="2"/>
        <v>242916.50999999998</v>
      </c>
      <c r="I17" s="187">
        <f t="shared" si="2"/>
        <v>404618.20999999996</v>
      </c>
      <c r="J17" s="187">
        <f t="shared" si="2"/>
        <v>656306.84000000008</v>
      </c>
      <c r="K17" s="187">
        <f t="shared" si="2"/>
        <v>541321.36</v>
      </c>
      <c r="L17" s="187">
        <f t="shared" si="2"/>
        <v>159578.97999999998</v>
      </c>
      <c r="M17" s="187">
        <f t="shared" si="2"/>
        <v>76570.11</v>
      </c>
      <c r="N17" s="187">
        <f t="shared" si="2"/>
        <v>70298.649999999994</v>
      </c>
      <c r="O17" s="187">
        <f t="shared" si="2"/>
        <v>79538.459999999992</v>
      </c>
      <c r="P17" s="186"/>
      <c r="Q17" s="189">
        <f>+SUM(Q14,Q9)</f>
        <v>3612299.5700000003</v>
      </c>
      <c r="R17" s="186"/>
      <c r="S17" s="187">
        <f>+Q17/12</f>
        <v>301024.96416666667</v>
      </c>
    </row>
    <row r="18" spans="1:19" ht="13.5" customHeight="1" x14ac:dyDescent="0.3">
      <c r="D18" s="188"/>
    </row>
    <row r="19" spans="1:19" ht="13.5" customHeight="1" x14ac:dyDescent="0.3">
      <c r="D19" s="188"/>
    </row>
    <row r="20" spans="1:19" ht="13.5" customHeight="1" x14ac:dyDescent="0.3">
      <c r="A20" s="167" t="s">
        <v>379</v>
      </c>
      <c r="B20" s="164" t="s">
        <v>380</v>
      </c>
      <c r="D20" s="181">
        <f>+SUMIFS('Memória de Massa - 2025'!$K$1:$K$217,'Memória de Massa - 2025'!$B$1:$B$217,$A20,'Memória de Massa - 2025'!$F$1:$F$217,'Formula Dados Copasul'!D$4)</f>
        <v>83461.899999999994</v>
      </c>
      <c r="E20" s="181">
        <f>+SUMIFS('Memória de Massa - 2025'!$K$1:$K$217,'Memória de Massa - 2025'!$B$1:$B$217,$A20,'Memória de Massa - 2025'!$F$1:$F$217,'Formula Dados Copasul'!E$4)</f>
        <v>76124.399999999994</v>
      </c>
      <c r="F20" s="181">
        <f>+SUMIFS('Memória de Massa - 2025'!$K$1:$K$217,'Memória de Massa - 2025'!$B$1:$B$217,$A20,'Memória de Massa - 2025'!$F$1:$F$217,'Formula Dados Copasul'!F$4)</f>
        <v>89858.2</v>
      </c>
      <c r="G20" s="181">
        <f>+SUMIFS('Memória de Massa - 2025'!$K$1:$K$217,'Memória de Massa - 2025'!$B$1:$B$217,$A20,'Memória de Massa - 2025'!$F$1:$F$217,'Formula Dados Copasul'!G$4)</f>
        <v>62725.4</v>
      </c>
      <c r="H20" s="181">
        <f>+SUMIFS('Memória de Massa - 2025'!$K$1:$K$217,'Memória de Massa - 2025'!$B$1:$B$217,$A20,'Memória de Massa - 2025'!$F$1:$F$217,'Formula Dados Copasul'!H$4)</f>
        <v>78227.5</v>
      </c>
      <c r="I20" s="181">
        <f>+SUMIFS('Memória de Massa - 2025'!$K$1:$K$217,'Memória de Massa - 2025'!$B$1:$B$217,$A20,'Memória de Massa - 2025'!$F$1:$F$217,'Formula Dados Copasul'!I$4)</f>
        <v>60380.6</v>
      </c>
      <c r="J20" s="181">
        <f>+SUMIFS('Memória de Massa - 2025'!$K$1:$K$217,'Memória de Massa - 2025'!$B$1:$B$217,$A20,'Memória de Massa - 2025'!$F$1:$F$217,'Formula Dados Copasul'!J$4)</f>
        <v>76551.199999999997</v>
      </c>
      <c r="K20" s="181">
        <f>+SUMIFS('Memória de Massa - 2025'!$K$1:$K$217,'Memória de Massa - 2025'!$B$1:$B$217,$A20,'Memória de Massa - 2025'!$F$1:$F$217,'Formula Dados Copasul'!K$4)</f>
        <v>79815.600000000006</v>
      </c>
      <c r="L20" s="181">
        <f>+SUMIFS('Memória de Massa - 2025'!$K$1:$K$217,'Memória de Massa - 2025'!$B$1:$B$217,$A20,'Memória de Massa - 2025'!$F$1:$F$217,'Formula Dados Copasul'!L$4)</f>
        <v>78203</v>
      </c>
      <c r="M20" s="181">
        <f>+SUMIFS('Memória de Massa - 2025'!$K$1:$K$217,'Memória de Massa - 2025'!$B$1:$B$217,$A20,'Memória de Massa - 2025'!$F$1:$F$217,'Formula Dados Copasul'!M$4)</f>
        <v>73160.100000000006</v>
      </c>
      <c r="N20" s="181">
        <f>+SUMIFS('Memória de Massa - 2025'!$K$1:$K$217,'Memória de Massa - 2025'!$B$1:$B$217,$A20,'Memória de Massa - 2025'!$F$1:$F$217,'Formula Dados Copasul'!N$4)</f>
        <v>91030.5</v>
      </c>
      <c r="O20" s="181">
        <f>+SUMIFS('Memória de Massa - 2025'!$K$1:$K$217,'Memória de Massa - 2025'!$B$1:$B$217,$A20,'Memória de Massa - 2025'!$F$1:$F$217,'Formula Dados Copasul'!O$4)</f>
        <v>88631.7</v>
      </c>
      <c r="Q20" s="182">
        <f>+SUM(D20:O20)</f>
        <v>938170.09999999986</v>
      </c>
      <c r="S20" s="182">
        <f>+Q20/12</f>
        <v>78180.84166666666</v>
      </c>
    </row>
    <row r="21" spans="1:19" ht="13.5" customHeight="1" x14ac:dyDescent="0.3">
      <c r="A21" s="167" t="s">
        <v>381</v>
      </c>
      <c r="B21" s="164" t="s">
        <v>382</v>
      </c>
      <c r="D21" s="181">
        <f>+SUMIFS('Memória de Massa - 2025'!$K$1:$K$217,'Memória de Massa - 2025'!$B$1:$B$217,$A21,'Memória de Massa - 2025'!$F$1:$F$217,'Formula Dados Copasul'!D$4)</f>
        <v>114259</v>
      </c>
      <c r="E21" s="181">
        <f>+SUMIFS('Memória de Massa - 2025'!$K$1:$K$217,'Memória de Massa - 2025'!$B$1:$B$217,$A21,'Memória de Massa - 2025'!$F$1:$F$217,'Formula Dados Copasul'!E$4)</f>
        <v>91131.9</v>
      </c>
      <c r="F21" s="181">
        <f>+SUMIFS('Memória de Massa - 2025'!$K$1:$K$217,'Memória de Massa - 2025'!$B$1:$B$217,$A21,'Memória de Massa - 2025'!$F$1:$F$217,'Formula Dados Copasul'!F$4)</f>
        <v>103061.9</v>
      </c>
      <c r="G21" s="181">
        <f>+SUMIFS('Memória de Massa - 2025'!$K$1:$K$217,'Memória de Massa - 2025'!$B$1:$B$217,$A21,'Memória de Massa - 2025'!$F$1:$F$217,'Formula Dados Copasul'!G$4)</f>
        <v>73709.7</v>
      </c>
      <c r="H21" s="181">
        <f>+SUMIFS('Memória de Massa - 2025'!$K$1:$K$217,'Memória de Massa - 2025'!$B$1:$B$217,$A21,'Memória de Massa - 2025'!$F$1:$F$217,'Formula Dados Copasul'!H$4)</f>
        <v>91616.6</v>
      </c>
      <c r="I21" s="181">
        <f>+SUMIFS('Memória de Massa - 2025'!$K$1:$K$217,'Memória de Massa - 2025'!$B$1:$B$217,$A21,'Memória de Massa - 2025'!$F$1:$F$217,'Formula Dados Copasul'!I$4)</f>
        <v>72286.899999999994</v>
      </c>
      <c r="J21" s="181">
        <f>+SUMIFS('Memória de Massa - 2025'!$K$1:$K$217,'Memória de Massa - 2025'!$B$1:$B$217,$A21,'Memória de Massa - 2025'!$F$1:$F$217,'Formula Dados Copasul'!J$4)</f>
        <v>88336.8</v>
      </c>
      <c r="K21" s="181">
        <f>+SUMIFS('Memória de Massa - 2025'!$K$1:$K$217,'Memória de Massa - 2025'!$B$1:$B$217,$A21,'Memória de Massa - 2025'!$F$1:$F$217,'Formula Dados Copasul'!K$4)</f>
        <v>93082.7</v>
      </c>
      <c r="L21" s="181">
        <f>+SUMIFS('Memória de Massa - 2025'!$K$1:$K$217,'Memória de Massa - 2025'!$B$1:$B$217,$A21,'Memória de Massa - 2025'!$F$1:$F$217,'Formula Dados Copasul'!L$4)</f>
        <v>94433.4</v>
      </c>
      <c r="M21" s="181">
        <f>+SUMIFS('Memória de Massa - 2025'!$K$1:$K$217,'Memória de Massa - 2025'!$B$1:$B$217,$A21,'Memória de Massa - 2025'!$F$1:$F$217,'Formula Dados Copasul'!M$4)</f>
        <v>95906.8</v>
      </c>
      <c r="N21" s="181">
        <f>+SUMIFS('Memória de Massa - 2025'!$K$1:$K$217,'Memória de Massa - 2025'!$B$1:$B$217,$A21,'Memória de Massa - 2025'!$F$1:$F$217,'Formula Dados Copasul'!N$4)</f>
        <v>107980.6</v>
      </c>
      <c r="O21" s="181">
        <f>+SUMIFS('Memória de Massa - 2025'!$K$1:$K$217,'Memória de Massa - 2025'!$B$1:$B$217,$A21,'Memória de Massa - 2025'!$F$1:$F$217,'Formula Dados Copasul'!O$4)</f>
        <v>106603.9</v>
      </c>
      <c r="Q21" s="182">
        <f>+SUM(D21:O21)</f>
        <v>1132410.2</v>
      </c>
      <c r="S21" s="182">
        <f>+Q21/12</f>
        <v>94367.516666666663</v>
      </c>
    </row>
    <row r="22" spans="1:19" ht="13.5" customHeight="1" x14ac:dyDescent="0.3">
      <c r="A22" s="167" t="s">
        <v>383</v>
      </c>
      <c r="B22" s="164" t="s">
        <v>384</v>
      </c>
      <c r="D22" s="181">
        <f>+SUMIFS('Memória de Massa - 2025'!$K$1:$K$217,'Memória de Massa - 2025'!$B$1:$B$217,$A22,'Memória de Massa - 2025'!$F$1:$F$217,'Formula Dados Copasul'!D$4)</f>
        <v>0</v>
      </c>
      <c r="E22" s="181">
        <f>+SUMIFS('Memória de Massa - 2025'!$K$1:$K$217,'Memória de Massa - 2025'!$B$1:$B$217,$A22,'Memória de Massa - 2025'!$F$1:$F$217,'Formula Dados Copasul'!E$4)</f>
        <v>190.1</v>
      </c>
      <c r="F22" s="181">
        <f>+SUMIFS('Memória de Massa - 2025'!$K$1:$K$217,'Memória de Massa - 2025'!$B$1:$B$217,$A22,'Memória de Massa - 2025'!$F$1:$F$217,'Formula Dados Copasul'!F$4)</f>
        <v>7913.8</v>
      </c>
      <c r="G22" s="181">
        <f>+SUMIFS('Memória de Massa - 2025'!$K$1:$K$217,'Memória de Massa - 2025'!$B$1:$B$217,$A22,'Memória de Massa - 2025'!$F$1:$F$217,'Formula Dados Copasul'!G$4)</f>
        <v>23902.799999999999</v>
      </c>
      <c r="H22" s="181">
        <f>+SUMIFS('Memória de Massa - 2025'!$K$1:$K$217,'Memória de Massa - 2025'!$B$1:$B$217,$A22,'Memória de Massa - 2025'!$F$1:$F$217,'Formula Dados Copasul'!H$4)</f>
        <v>28781.7</v>
      </c>
      <c r="I22" s="181">
        <f>+SUMIFS('Memória de Massa - 2025'!$K$1:$K$217,'Memória de Massa - 2025'!$B$1:$B$217,$A22,'Memória de Massa - 2025'!$F$1:$F$217,'Formula Dados Copasul'!I$4)</f>
        <v>20798.2</v>
      </c>
      <c r="J22" s="181">
        <f>+SUMIFS('Memória de Massa - 2025'!$K$1:$K$217,'Memória de Massa - 2025'!$B$1:$B$217,$A22,'Memória de Massa - 2025'!$F$1:$F$217,'Formula Dados Copasul'!J$4)</f>
        <v>37317.800000000003</v>
      </c>
      <c r="K22" s="181">
        <f>+SUMIFS('Memória de Massa - 2025'!$K$1:$K$217,'Memória de Massa - 2025'!$B$1:$B$217,$A22,'Memória de Massa - 2025'!$F$1:$F$217,'Formula Dados Copasul'!K$4)</f>
        <v>16177.9</v>
      </c>
      <c r="L22" s="181">
        <f>+SUMIFS('Memória de Massa - 2025'!$K$1:$K$217,'Memória de Massa - 2025'!$B$1:$B$217,$A22,'Memória de Massa - 2025'!$F$1:$F$217,'Formula Dados Copasul'!L$4)</f>
        <v>37738.800000000003</v>
      </c>
      <c r="M22" s="181">
        <f>+SUMIFS('Memória de Massa - 2025'!$K$1:$K$217,'Memória de Massa - 2025'!$B$1:$B$217,$A22,'Memória de Massa - 2025'!$F$1:$F$217,'Formula Dados Copasul'!M$4)</f>
        <v>40322</v>
      </c>
      <c r="N22" s="181">
        <f>+SUMIFS('Memória de Massa - 2025'!$K$1:$K$217,'Memória de Massa - 2025'!$B$1:$B$217,$A22,'Memória de Massa - 2025'!$F$1:$F$217,'Formula Dados Copasul'!N$4)</f>
        <v>36462.9</v>
      </c>
      <c r="O22" s="181">
        <f>+SUMIFS('Memória de Massa - 2025'!$K$1:$K$217,'Memória de Massa - 2025'!$B$1:$B$217,$A22,'Memória de Massa - 2025'!$F$1:$F$217,'Formula Dados Copasul'!O$4)</f>
        <v>19968.099999999999</v>
      </c>
      <c r="Q22" s="182">
        <f>+SUM(D22:O22)</f>
        <v>269574.10000000003</v>
      </c>
      <c r="S22" s="182">
        <f>+Q22/12</f>
        <v>22464.508333333335</v>
      </c>
    </row>
    <row r="23" spans="1:19" ht="13.5" customHeight="1" x14ac:dyDescent="0.3">
      <c r="D23" s="188"/>
    </row>
    <row r="24" spans="1:19" ht="12.75" customHeight="1" x14ac:dyDescent="0.3">
      <c r="B24" s="185" t="s">
        <v>385</v>
      </c>
      <c r="C24" s="186"/>
      <c r="D24" s="187">
        <f t="shared" ref="D24:O24" si="3">+SUM(D20:D22)</f>
        <v>197720.9</v>
      </c>
      <c r="E24" s="187">
        <f t="shared" si="3"/>
        <v>167446.39999999999</v>
      </c>
      <c r="F24" s="187">
        <f t="shared" si="3"/>
        <v>200833.89999999997</v>
      </c>
      <c r="G24" s="187">
        <f t="shared" si="3"/>
        <v>160337.9</v>
      </c>
      <c r="H24" s="187">
        <f t="shared" si="3"/>
        <v>198625.80000000002</v>
      </c>
      <c r="I24" s="187">
        <f t="shared" si="3"/>
        <v>153465.70000000001</v>
      </c>
      <c r="J24" s="187">
        <f t="shared" si="3"/>
        <v>202205.8</v>
      </c>
      <c r="K24" s="187">
        <f t="shared" si="3"/>
        <v>189076.19999999998</v>
      </c>
      <c r="L24" s="187">
        <f t="shared" si="3"/>
        <v>210375.2</v>
      </c>
      <c r="M24" s="187">
        <f t="shared" si="3"/>
        <v>209388.90000000002</v>
      </c>
      <c r="N24" s="187">
        <f t="shared" si="3"/>
        <v>235474</v>
      </c>
      <c r="O24" s="187">
        <f t="shared" si="3"/>
        <v>215203.69999999998</v>
      </c>
      <c r="P24" s="186"/>
      <c r="Q24" s="187">
        <f>+SUM(Q20:Q22)</f>
        <v>2340154.4</v>
      </c>
      <c r="R24" s="186"/>
      <c r="S24" s="187">
        <f>+SUM(S20:S22)</f>
        <v>195012.86666666667</v>
      </c>
    </row>
    <row r="25" spans="1:19" ht="13.5" customHeight="1" x14ac:dyDescent="0.3">
      <c r="D25" s="188"/>
    </row>
    <row r="26" spans="1:19" ht="13.5" customHeight="1" x14ac:dyDescent="0.3">
      <c r="A26" s="167" t="s">
        <v>379</v>
      </c>
      <c r="B26" s="164" t="s">
        <v>386</v>
      </c>
      <c r="D26" s="181">
        <f>+SUMIFS('Memória de Massa - 2025'!$L$1:$L$217,'Memória de Massa - 2025'!$B$1:$B$217,$A26,'Memória de Massa - 2025'!$F$1:$F$217,'Formula Dados Copasul'!D$4)</f>
        <v>54986</v>
      </c>
      <c r="E26" s="181">
        <f>+SUMIFS('Memória de Massa - 2025'!$L$1:$L$217,'Memória de Massa - 2025'!$B$1:$B$217,$A26,'Memória de Massa - 2025'!$F$1:$F$217,'Formula Dados Copasul'!E$4)</f>
        <v>188910</v>
      </c>
      <c r="F26" s="181">
        <f>+SUMIFS('Memória de Massa - 2025'!$L$1:$L$217,'Memória de Massa - 2025'!$B$1:$B$217,$A26,'Memória de Massa - 2025'!$F$1:$F$217,'Formula Dados Copasul'!F$4)</f>
        <v>32411</v>
      </c>
      <c r="G26" s="181">
        <f>+SUMIFS('Memória de Massa - 2025'!$L$1:$L$217,'Memória de Massa - 2025'!$B$1:$B$217,$A26,'Memória de Massa - 2025'!$F$1:$F$217,'Formula Dados Copasul'!G$4)</f>
        <v>41488</v>
      </c>
      <c r="H26" s="181">
        <f>+SUMIFS('Memória de Massa - 2025'!$L$1:$L$217,'Memória de Massa - 2025'!$B$1:$B$217,$A26,'Memória de Massa - 2025'!$F$1:$F$217,'Formula Dados Copasul'!H$4)</f>
        <v>55127</v>
      </c>
      <c r="I26" s="181">
        <f>+SUMIFS('Memória de Massa - 2025'!$L$1:$L$217,'Memória de Massa - 2025'!$B$1:$B$217,$A26,'Memória de Massa - 2025'!$F$1:$F$217,'Formula Dados Copasul'!I$4)</f>
        <v>24600</v>
      </c>
      <c r="J26" s="181">
        <f>+SUMIFS('Memória de Massa - 2025'!$L$1:$L$217,'Memória de Massa - 2025'!$B$1:$B$217,$A26,'Memória de Massa - 2025'!$F$1:$F$217,'Formula Dados Copasul'!J$4)</f>
        <v>10848</v>
      </c>
      <c r="K26" s="181">
        <f>+SUMIFS('Memória de Massa - 2025'!$L$1:$L$217,'Memória de Massa - 2025'!$B$1:$B$217,$A26,'Memória de Massa - 2025'!$F$1:$F$217,'Formula Dados Copasul'!K$4)</f>
        <v>37261</v>
      </c>
      <c r="L26" s="181">
        <f>+SUMIFS('Memória de Massa - 2025'!$L$1:$L$217,'Memória de Massa - 2025'!$B$1:$B$217,$A26,'Memória de Massa - 2025'!$F$1:$F$217,'Formula Dados Copasul'!L$4)</f>
        <v>75597</v>
      </c>
      <c r="M26" s="181">
        <f>+SUMIFS('Memória de Massa - 2025'!$L$1:$L$217,'Memória de Massa - 2025'!$B$1:$B$217,$A26,'Memória de Massa - 2025'!$F$1:$F$217,'Formula Dados Copasul'!M$4)</f>
        <v>9875</v>
      </c>
      <c r="N26" s="181">
        <f>+SUMIFS('Memória de Massa - 2025'!$L$1:$L$217,'Memória de Massa - 2025'!$B$1:$B$217,$A26,'Memória de Massa - 2025'!$F$1:$F$217,'Formula Dados Copasul'!N$4)</f>
        <v>7844</v>
      </c>
      <c r="O26" s="181">
        <f>+SUMIFS('Memória de Massa - 2025'!$L$1:$L$217,'Memória de Massa - 2025'!$B$1:$B$217,$A26,'Memória de Massa - 2025'!$F$1:$F$217,'Formula Dados Copasul'!O$4)</f>
        <v>8737</v>
      </c>
      <c r="Q26" s="182">
        <f>+SUM(D26:O26)</f>
        <v>547684</v>
      </c>
      <c r="S26" s="182">
        <f>+Q26/12</f>
        <v>45640.333333333336</v>
      </c>
    </row>
    <row r="27" spans="1:19" ht="13.5" customHeight="1" x14ac:dyDescent="0.3">
      <c r="A27" s="167" t="s">
        <v>381</v>
      </c>
      <c r="B27" s="164" t="s">
        <v>387</v>
      </c>
      <c r="D27" s="181">
        <f>+SUMIFS('Memória de Massa - 2025'!$L$1:$L$217,'Memória de Massa - 2025'!$B$1:$B$217,$A27,'Memória de Massa - 2025'!$F$1:$F$217,'Formula Dados Copasul'!D$4)</f>
        <v>6785</v>
      </c>
      <c r="E27" s="181">
        <f>+SUMIFS('Memória de Massa - 2025'!$L$1:$L$217,'Memória de Massa - 2025'!$B$1:$B$217,$A27,'Memória de Massa - 2025'!$F$1:$F$217,'Formula Dados Copasul'!E$4)</f>
        <v>36315</v>
      </c>
      <c r="F27" s="181">
        <f>+SUMIFS('Memória de Massa - 2025'!$L$1:$L$217,'Memória de Massa - 2025'!$B$1:$B$217,$A27,'Memória de Massa - 2025'!$F$1:$F$217,'Formula Dados Copasul'!F$4)</f>
        <v>63697</v>
      </c>
      <c r="G27" s="181">
        <f>+SUMIFS('Memória de Massa - 2025'!$L$1:$L$217,'Memória de Massa - 2025'!$B$1:$B$217,$A27,'Memória de Massa - 2025'!$F$1:$F$217,'Formula Dados Copasul'!G$4)</f>
        <v>38586</v>
      </c>
      <c r="H27" s="181">
        <f>+SUMIFS('Memória de Massa - 2025'!$L$1:$L$217,'Memória de Massa - 2025'!$B$1:$B$217,$A27,'Memória de Massa - 2025'!$F$1:$F$217,'Formula Dados Copasul'!H$4)</f>
        <v>37159</v>
      </c>
      <c r="I27" s="181">
        <f>+SUMIFS('Memória de Massa - 2025'!$L$1:$L$217,'Memória de Massa - 2025'!$B$1:$B$217,$A27,'Memória de Massa - 2025'!$F$1:$F$217,'Formula Dados Copasul'!I$4)</f>
        <v>36580</v>
      </c>
      <c r="J27" s="181">
        <f>+SUMIFS('Memória de Massa - 2025'!$L$1:$L$217,'Memória de Massa - 2025'!$B$1:$B$217,$A27,'Memória de Massa - 2025'!$F$1:$F$217,'Formula Dados Copasul'!J$4)</f>
        <v>64186</v>
      </c>
      <c r="K27" s="181">
        <f>+SUMIFS('Memória de Massa - 2025'!$L$1:$L$217,'Memória de Massa - 2025'!$B$1:$B$217,$A27,'Memória de Massa - 2025'!$F$1:$F$217,'Formula Dados Copasul'!K$4)</f>
        <v>59224</v>
      </c>
      <c r="L27" s="181">
        <f>+SUMIFS('Memória de Massa - 2025'!$L$1:$L$217,'Memória de Massa - 2025'!$B$1:$B$217,$A27,'Memória de Massa - 2025'!$F$1:$F$217,'Formula Dados Copasul'!L$4)</f>
        <v>29344</v>
      </c>
      <c r="M27" s="181">
        <f>+SUMIFS('Memória de Massa - 2025'!$L$1:$L$217,'Memória de Massa - 2025'!$B$1:$B$217,$A27,'Memória de Massa - 2025'!$F$1:$F$217,'Formula Dados Copasul'!M$4)</f>
        <v>6018</v>
      </c>
      <c r="N27" s="181">
        <f>+SUMIFS('Memória de Massa - 2025'!$L$1:$L$217,'Memória de Massa - 2025'!$B$1:$B$217,$A27,'Memória de Massa - 2025'!$F$1:$F$217,'Formula Dados Copasul'!N$4)</f>
        <v>5520</v>
      </c>
      <c r="O27" s="181">
        <f>+SUMIFS('Memória de Massa - 2025'!$L$1:$L$217,'Memória de Massa - 2025'!$B$1:$B$217,$A27,'Memória de Massa - 2025'!$F$1:$F$217,'Formula Dados Copasul'!O$4)</f>
        <v>5604</v>
      </c>
      <c r="Q27" s="182">
        <f>+SUM(D27:O27)</f>
        <v>389018</v>
      </c>
      <c r="S27" s="182">
        <f>+Q27/12</f>
        <v>32418.166666666668</v>
      </c>
    </row>
    <row r="28" spans="1:19" ht="13.5" customHeight="1" x14ac:dyDescent="0.3">
      <c r="A28" s="167" t="s">
        <v>383</v>
      </c>
      <c r="B28" s="164" t="s">
        <v>388</v>
      </c>
      <c r="D28" s="181">
        <f>+SUMIFS('Memória de Massa - 2025'!$L$1:$L$217,'Memória de Massa - 2025'!$B$1:$B$217,$A28,'Memória de Massa - 2025'!$F$1:$F$217,'Formula Dados Copasul'!D$4)</f>
        <v>0</v>
      </c>
      <c r="E28" s="181">
        <f>+SUMIFS('Memória de Massa - 2025'!$L$1:$L$217,'Memória de Massa - 2025'!$B$1:$B$217,$A28,'Memória de Massa - 2025'!$F$1:$F$217,'Formula Dados Copasul'!E$4)</f>
        <v>0</v>
      </c>
      <c r="F28" s="181">
        <f>+SUMIFS('Memória de Massa - 2025'!$L$1:$L$217,'Memória de Massa - 2025'!$B$1:$B$217,$A28,'Memória de Massa - 2025'!$F$1:$F$217,'Formula Dados Copasul'!F$4)</f>
        <v>419</v>
      </c>
      <c r="G28" s="181">
        <f>+SUMIFS('Memória de Massa - 2025'!$L$1:$L$217,'Memória de Massa - 2025'!$B$1:$B$217,$A28,'Memória de Massa - 2025'!$F$1:$F$217,'Formula Dados Copasul'!G$4)</f>
        <v>1423</v>
      </c>
      <c r="H28" s="181">
        <f>+SUMIFS('Memória de Massa - 2025'!$L$1:$L$217,'Memória de Massa - 2025'!$B$1:$B$217,$A28,'Memória de Massa - 2025'!$F$1:$F$217,'Formula Dados Copasul'!H$4)</f>
        <v>9127</v>
      </c>
      <c r="I28" s="181">
        <f>+SUMIFS('Memória de Massa - 2025'!$L$1:$L$217,'Memória de Massa - 2025'!$B$1:$B$217,$A28,'Memória de Massa - 2025'!$F$1:$F$217,'Formula Dados Copasul'!I$4)</f>
        <v>7190</v>
      </c>
      <c r="J28" s="181">
        <f>+SUMIFS('Memória de Massa - 2025'!$L$1:$L$217,'Memória de Massa - 2025'!$B$1:$B$217,$A28,'Memória de Massa - 2025'!$F$1:$F$217,'Formula Dados Copasul'!J$4)</f>
        <v>9165</v>
      </c>
      <c r="K28" s="181">
        <f>+SUMIFS('Memória de Massa - 2025'!$L$1:$L$217,'Memória de Massa - 2025'!$B$1:$B$217,$A28,'Memória de Massa - 2025'!$F$1:$F$217,'Formula Dados Copasul'!K$4)</f>
        <v>5142</v>
      </c>
      <c r="L28" s="181">
        <f>+SUMIFS('Memória de Massa - 2025'!$L$1:$L$217,'Memória de Massa - 2025'!$B$1:$B$217,$A28,'Memória de Massa - 2025'!$F$1:$F$217,'Formula Dados Copasul'!L$4)</f>
        <v>20709</v>
      </c>
      <c r="M28" s="181">
        <f>+SUMIFS('Memória de Massa - 2025'!$L$1:$L$217,'Memória de Massa - 2025'!$B$1:$B$217,$A28,'Memória de Massa - 2025'!$F$1:$F$217,'Formula Dados Copasul'!M$4)</f>
        <v>13835</v>
      </c>
      <c r="N28" s="181">
        <f>+SUMIFS('Memória de Massa - 2025'!$L$1:$L$217,'Memória de Massa - 2025'!$B$1:$B$217,$A28,'Memória de Massa - 2025'!$F$1:$F$217,'Formula Dados Copasul'!N$4)</f>
        <v>10246</v>
      </c>
      <c r="O28" s="181">
        <f>+SUMIFS('Memória de Massa - 2025'!$L$1:$L$217,'Memória de Massa - 2025'!$B$1:$B$217,$A28,'Memória de Massa - 2025'!$F$1:$F$217,'Formula Dados Copasul'!O$4)</f>
        <v>16944</v>
      </c>
      <c r="Q28" s="182">
        <f>+SUM(D28:O28)</f>
        <v>94200</v>
      </c>
      <c r="S28" s="182">
        <f>+Q28/12</f>
        <v>7850</v>
      </c>
    </row>
    <row r="29" spans="1:19" ht="13.5" customHeight="1" x14ac:dyDescent="0.3">
      <c r="D29" s="188"/>
    </row>
    <row r="30" spans="1:19" ht="12.75" customHeight="1" x14ac:dyDescent="0.3">
      <c r="B30" s="185" t="s">
        <v>389</v>
      </c>
      <c r="C30" s="186"/>
      <c r="D30" s="187">
        <f t="shared" ref="D30:O30" si="4">+SUM(D26:D28)</f>
        <v>61771</v>
      </c>
      <c r="E30" s="187">
        <f t="shared" si="4"/>
        <v>225225</v>
      </c>
      <c r="F30" s="187">
        <f t="shared" si="4"/>
        <v>96527</v>
      </c>
      <c r="G30" s="187">
        <f t="shared" si="4"/>
        <v>81497</v>
      </c>
      <c r="H30" s="187">
        <f t="shared" si="4"/>
        <v>101413</v>
      </c>
      <c r="I30" s="187">
        <f t="shared" si="4"/>
        <v>68370</v>
      </c>
      <c r="J30" s="187">
        <f t="shared" si="4"/>
        <v>84199</v>
      </c>
      <c r="K30" s="187">
        <f t="shared" si="4"/>
        <v>101627</v>
      </c>
      <c r="L30" s="187">
        <f t="shared" si="4"/>
        <v>125650</v>
      </c>
      <c r="M30" s="187">
        <f t="shared" si="4"/>
        <v>29728</v>
      </c>
      <c r="N30" s="187">
        <f t="shared" si="4"/>
        <v>23610</v>
      </c>
      <c r="O30" s="187">
        <f t="shared" si="4"/>
        <v>31285</v>
      </c>
      <c r="P30" s="186"/>
      <c r="Q30" s="187">
        <f>+SUM(Q26:Q28)</f>
        <v>1030902</v>
      </c>
      <c r="R30" s="186"/>
      <c r="S30" s="187">
        <f>+SUM(S26:S28)</f>
        <v>85908.5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E2CC"/>
  </sheetPr>
  <dimension ref="A1:R217"/>
  <sheetViews>
    <sheetView zoomScale="85" zoomScaleNormal="85" workbookViewId="0">
      <pane xSplit="2" ySplit="1" topLeftCell="G98" activePane="bottomRight" state="frozen"/>
      <selection pane="topRight" activeCell="G1" sqref="G1"/>
      <selection pane="bottomLeft" activeCell="A98" sqref="A98"/>
      <selection pane="bottomRight" activeCell="M24" sqref="M24"/>
    </sheetView>
  </sheetViews>
  <sheetFormatPr defaultColWidth="12.54296875" defaultRowHeight="13" x14ac:dyDescent="0.3"/>
  <cols>
    <col min="1" max="1" width="12.54296875" style="164"/>
    <col min="2" max="2" width="29.54296875" style="164" customWidth="1"/>
    <col min="3" max="3" width="18.453125" style="164" customWidth="1"/>
    <col min="4" max="4" width="13.453125" style="164" customWidth="1"/>
    <col min="5" max="5" width="16.7265625" style="164" customWidth="1"/>
    <col min="6" max="6" width="10.81640625" style="164" customWidth="1"/>
    <col min="7" max="7" width="21.453125" style="164" customWidth="1"/>
    <col min="8" max="8" width="29.1796875" style="164" customWidth="1"/>
    <col min="9" max="9" width="20.1796875" style="164" customWidth="1"/>
    <col min="10" max="10" width="24.26953125" style="164" customWidth="1"/>
    <col min="11" max="11" width="20.81640625" style="164" customWidth="1"/>
    <col min="12" max="12" width="25.54296875" style="164" customWidth="1"/>
    <col min="13" max="14" width="12.54296875" style="164"/>
    <col min="15" max="15" width="15.81640625" style="164" customWidth="1"/>
    <col min="16" max="16" width="32" style="164" customWidth="1"/>
    <col min="17" max="16384" width="12.54296875" style="164"/>
  </cols>
  <sheetData>
    <row r="1" spans="1:18" ht="12.75" customHeight="1" x14ac:dyDescent="0.3">
      <c r="B1" s="190" t="s">
        <v>390</v>
      </c>
      <c r="C1" s="190" t="s">
        <v>391</v>
      </c>
      <c r="D1" s="190" t="s">
        <v>392</v>
      </c>
      <c r="E1" s="190" t="s">
        <v>66</v>
      </c>
      <c r="F1" s="190" t="s">
        <v>35</v>
      </c>
      <c r="G1" s="191" t="s">
        <v>393</v>
      </c>
      <c r="H1" s="191" t="s">
        <v>394</v>
      </c>
      <c r="I1" s="191" t="s">
        <v>395</v>
      </c>
      <c r="J1" s="191" t="s">
        <v>396</v>
      </c>
      <c r="K1" s="192" t="s">
        <v>397</v>
      </c>
      <c r="L1" s="192" t="s">
        <v>398</v>
      </c>
      <c r="O1" s="164" t="s">
        <v>399</v>
      </c>
      <c r="P1" s="164" t="s">
        <v>400</v>
      </c>
      <c r="R1" s="164" t="s">
        <v>401</v>
      </c>
    </row>
    <row r="2" spans="1:18" ht="12" hidden="1" customHeight="1" x14ac:dyDescent="0.3">
      <c r="A2" s="164" t="s">
        <v>368</v>
      </c>
      <c r="B2" s="167" t="s">
        <v>84</v>
      </c>
      <c r="C2" s="193" t="s">
        <v>402</v>
      </c>
      <c r="D2" s="193" t="s">
        <v>403</v>
      </c>
      <c r="E2" s="193" t="s">
        <v>404</v>
      </c>
      <c r="F2" s="188">
        <v>45992</v>
      </c>
      <c r="G2" s="194"/>
      <c r="H2" s="194">
        <v>518</v>
      </c>
      <c r="I2" s="194"/>
      <c r="J2" s="194"/>
      <c r="K2" s="194"/>
      <c r="L2" s="194"/>
    </row>
    <row r="3" spans="1:18" ht="12" hidden="1" customHeight="1" x14ac:dyDescent="0.3">
      <c r="A3" s="164" t="s">
        <v>368</v>
      </c>
      <c r="B3" s="167" t="s">
        <v>84</v>
      </c>
      <c r="C3" s="193" t="s">
        <v>402</v>
      </c>
      <c r="D3" s="193" t="s">
        <v>403</v>
      </c>
      <c r="E3" s="193" t="s">
        <v>404</v>
      </c>
      <c r="F3" s="188">
        <v>45962</v>
      </c>
      <c r="G3" s="194"/>
      <c r="H3" s="194">
        <v>467</v>
      </c>
      <c r="I3" s="194"/>
      <c r="J3" s="194"/>
      <c r="K3" s="194"/>
      <c r="L3" s="194"/>
    </row>
    <row r="4" spans="1:18" ht="12" hidden="1" customHeight="1" x14ac:dyDescent="0.3">
      <c r="A4" s="164" t="s">
        <v>368</v>
      </c>
      <c r="B4" s="167" t="s">
        <v>84</v>
      </c>
      <c r="C4" s="193" t="s">
        <v>402</v>
      </c>
      <c r="D4" s="193" t="s">
        <v>403</v>
      </c>
      <c r="E4" s="193" t="s">
        <v>404</v>
      </c>
      <c r="F4" s="188">
        <v>45931</v>
      </c>
      <c r="G4" s="194"/>
      <c r="H4" s="194">
        <v>596</v>
      </c>
      <c r="I4" s="194"/>
      <c r="J4" s="194"/>
      <c r="K4" s="194"/>
      <c r="L4" s="194"/>
    </row>
    <row r="5" spans="1:18" ht="12" hidden="1" customHeight="1" x14ac:dyDescent="0.3">
      <c r="A5" s="164" t="s">
        <v>368</v>
      </c>
      <c r="B5" s="167" t="s">
        <v>84</v>
      </c>
      <c r="C5" s="193" t="s">
        <v>402</v>
      </c>
      <c r="D5" s="193" t="s">
        <v>403</v>
      </c>
      <c r="E5" s="193" t="s">
        <v>404</v>
      </c>
      <c r="F5" s="188">
        <v>45901</v>
      </c>
      <c r="G5" s="194"/>
      <c r="H5" s="194">
        <v>523</v>
      </c>
      <c r="I5" s="194"/>
      <c r="J5" s="194"/>
      <c r="K5" s="194"/>
      <c r="L5" s="194"/>
    </row>
    <row r="6" spans="1:18" ht="12" hidden="1" customHeight="1" x14ac:dyDescent="0.3">
      <c r="A6" s="164" t="s">
        <v>368</v>
      </c>
      <c r="B6" s="167" t="s">
        <v>84</v>
      </c>
      <c r="C6" s="193" t="s">
        <v>402</v>
      </c>
      <c r="D6" s="193" t="s">
        <v>403</v>
      </c>
      <c r="E6" s="193" t="s">
        <v>404</v>
      </c>
      <c r="F6" s="188">
        <v>45870</v>
      </c>
      <c r="G6" s="194"/>
      <c r="H6" s="194">
        <v>1194</v>
      </c>
      <c r="I6" s="194"/>
      <c r="J6" s="194"/>
      <c r="K6" s="194"/>
      <c r="L6" s="194"/>
    </row>
    <row r="7" spans="1:18" ht="12" hidden="1" customHeight="1" x14ac:dyDescent="0.3">
      <c r="A7" s="164" t="s">
        <v>368</v>
      </c>
      <c r="B7" s="167" t="s">
        <v>84</v>
      </c>
      <c r="C7" s="193" t="s">
        <v>402</v>
      </c>
      <c r="D7" s="193" t="s">
        <v>403</v>
      </c>
      <c r="E7" s="193" t="s">
        <v>404</v>
      </c>
      <c r="F7" s="188">
        <v>45839</v>
      </c>
      <c r="G7" s="194"/>
      <c r="H7" s="194">
        <v>1194</v>
      </c>
      <c r="I7" s="194"/>
      <c r="J7" s="194"/>
      <c r="K7" s="194"/>
      <c r="L7" s="194"/>
    </row>
    <row r="8" spans="1:18" ht="12" hidden="1" customHeight="1" x14ac:dyDescent="0.3">
      <c r="A8" s="164" t="s">
        <v>368</v>
      </c>
      <c r="B8" s="167" t="s">
        <v>84</v>
      </c>
      <c r="C8" s="193" t="s">
        <v>402</v>
      </c>
      <c r="D8" s="193" t="s">
        <v>403</v>
      </c>
      <c r="E8" s="193" t="s">
        <v>404</v>
      </c>
      <c r="F8" s="188">
        <v>45809</v>
      </c>
      <c r="G8" s="194"/>
      <c r="H8" s="194">
        <v>275</v>
      </c>
      <c r="I8" s="194"/>
      <c r="J8" s="194"/>
      <c r="K8" s="194"/>
      <c r="L8" s="194"/>
    </row>
    <row r="9" spans="1:18" ht="12" hidden="1" customHeight="1" x14ac:dyDescent="0.3">
      <c r="A9" s="164" t="s">
        <v>368</v>
      </c>
      <c r="B9" s="167" t="s">
        <v>84</v>
      </c>
      <c r="C9" s="193" t="s">
        <v>402</v>
      </c>
      <c r="D9" s="193" t="s">
        <v>403</v>
      </c>
      <c r="E9" s="193" t="s">
        <v>404</v>
      </c>
      <c r="F9" s="188">
        <v>45778</v>
      </c>
      <c r="G9" s="194"/>
      <c r="H9" s="194">
        <v>272</v>
      </c>
      <c r="I9" s="194"/>
      <c r="J9" s="194"/>
      <c r="K9" s="194"/>
      <c r="L9" s="194"/>
    </row>
    <row r="10" spans="1:18" ht="12" hidden="1" customHeight="1" x14ac:dyDescent="0.3">
      <c r="A10" s="164" t="s">
        <v>368</v>
      </c>
      <c r="B10" s="167" t="s">
        <v>84</v>
      </c>
      <c r="C10" s="193" t="s">
        <v>402</v>
      </c>
      <c r="D10" s="193" t="s">
        <v>403</v>
      </c>
      <c r="E10" s="193" t="s">
        <v>404</v>
      </c>
      <c r="F10" s="188">
        <v>45748</v>
      </c>
      <c r="G10" s="194"/>
      <c r="H10" s="194">
        <v>259</v>
      </c>
      <c r="I10" s="194"/>
      <c r="J10" s="194"/>
      <c r="K10" s="194"/>
      <c r="L10" s="194"/>
    </row>
    <row r="11" spans="1:18" ht="12" hidden="1" customHeight="1" x14ac:dyDescent="0.3">
      <c r="A11" s="164" t="s">
        <v>368</v>
      </c>
      <c r="B11" s="167" t="s">
        <v>84</v>
      </c>
      <c r="C11" s="193" t="s">
        <v>402</v>
      </c>
      <c r="D11" s="193" t="s">
        <v>403</v>
      </c>
      <c r="E11" s="193" t="s">
        <v>404</v>
      </c>
      <c r="F11" s="188">
        <v>45717</v>
      </c>
      <c r="G11" s="194"/>
      <c r="H11" s="194">
        <v>258</v>
      </c>
      <c r="I11" s="194"/>
      <c r="J11" s="194"/>
      <c r="K11" s="194"/>
      <c r="L11" s="194"/>
    </row>
    <row r="12" spans="1:18" ht="12" hidden="1" customHeight="1" x14ac:dyDescent="0.3">
      <c r="A12" s="164" t="s">
        <v>368</v>
      </c>
      <c r="B12" s="167" t="s">
        <v>84</v>
      </c>
      <c r="C12" s="193" t="s">
        <v>402</v>
      </c>
      <c r="D12" s="193" t="s">
        <v>403</v>
      </c>
      <c r="E12" s="193" t="s">
        <v>404</v>
      </c>
      <c r="F12" s="188">
        <v>45689</v>
      </c>
      <c r="G12" s="194"/>
      <c r="H12" s="194">
        <v>305</v>
      </c>
      <c r="I12" s="194"/>
      <c r="J12" s="194"/>
      <c r="K12" s="194"/>
      <c r="L12" s="194"/>
    </row>
    <row r="13" spans="1:18" ht="12" hidden="1" customHeight="1" x14ac:dyDescent="0.3">
      <c r="A13" s="164" t="s">
        <v>368</v>
      </c>
      <c r="B13" s="167" t="s">
        <v>84</v>
      </c>
      <c r="C13" s="193" t="s">
        <v>402</v>
      </c>
      <c r="D13" s="193" t="s">
        <v>403</v>
      </c>
      <c r="E13" s="193" t="s">
        <v>404</v>
      </c>
      <c r="F13" s="188">
        <v>45658</v>
      </c>
      <c r="G13" s="194"/>
      <c r="H13" s="194">
        <v>264</v>
      </c>
      <c r="I13" s="194"/>
      <c r="J13" s="194"/>
      <c r="K13" s="194"/>
      <c r="L13" s="194"/>
    </row>
    <row r="14" spans="1:18" ht="12" hidden="1" customHeight="1" x14ac:dyDescent="0.3">
      <c r="A14" s="164" t="s">
        <v>368</v>
      </c>
      <c r="B14" s="167" t="s">
        <v>78</v>
      </c>
      <c r="C14" s="193" t="s">
        <v>402</v>
      </c>
      <c r="D14" s="193" t="s">
        <v>405</v>
      </c>
      <c r="E14" s="193" t="s">
        <v>404</v>
      </c>
      <c r="F14" s="188">
        <v>45992</v>
      </c>
      <c r="G14" s="194"/>
      <c r="H14" s="194">
        <v>670</v>
      </c>
      <c r="I14" s="194"/>
      <c r="J14" s="194"/>
      <c r="K14" s="194"/>
      <c r="L14" s="194"/>
    </row>
    <row r="15" spans="1:18" ht="12" hidden="1" customHeight="1" x14ac:dyDescent="0.3">
      <c r="A15" s="164" t="s">
        <v>368</v>
      </c>
      <c r="B15" s="167" t="s">
        <v>78</v>
      </c>
      <c r="C15" s="193" t="s">
        <v>402</v>
      </c>
      <c r="D15" s="193" t="s">
        <v>405</v>
      </c>
      <c r="E15" s="193" t="s">
        <v>404</v>
      </c>
      <c r="F15" s="188">
        <v>45962</v>
      </c>
      <c r="G15" s="194"/>
      <c r="H15" s="194">
        <v>769</v>
      </c>
      <c r="I15" s="194"/>
      <c r="J15" s="194"/>
      <c r="K15" s="194"/>
      <c r="L15" s="194"/>
    </row>
    <row r="16" spans="1:18" ht="12" hidden="1" customHeight="1" x14ac:dyDescent="0.3">
      <c r="A16" s="164" t="s">
        <v>368</v>
      </c>
      <c r="B16" s="167" t="s">
        <v>78</v>
      </c>
      <c r="C16" s="193" t="s">
        <v>402</v>
      </c>
      <c r="D16" s="193" t="s">
        <v>405</v>
      </c>
      <c r="E16" s="193" t="s">
        <v>404</v>
      </c>
      <c r="F16" s="188">
        <v>45931</v>
      </c>
      <c r="G16" s="194"/>
      <c r="H16" s="194">
        <v>752</v>
      </c>
      <c r="I16" s="194"/>
      <c r="J16" s="194"/>
      <c r="K16" s="194"/>
      <c r="L16" s="194"/>
    </row>
    <row r="17" spans="1:12" ht="12" hidden="1" customHeight="1" x14ac:dyDescent="0.3">
      <c r="A17" s="164" t="s">
        <v>368</v>
      </c>
      <c r="B17" s="167" t="s">
        <v>78</v>
      </c>
      <c r="C17" s="193" t="s">
        <v>402</v>
      </c>
      <c r="D17" s="193" t="s">
        <v>405</v>
      </c>
      <c r="E17" s="193" t="s">
        <v>404</v>
      </c>
      <c r="F17" s="188">
        <v>45901</v>
      </c>
      <c r="G17" s="194"/>
      <c r="H17" s="194">
        <v>674</v>
      </c>
      <c r="I17" s="194"/>
      <c r="J17" s="194"/>
      <c r="K17" s="194"/>
      <c r="L17" s="194"/>
    </row>
    <row r="18" spans="1:12" ht="12" hidden="1" customHeight="1" x14ac:dyDescent="0.3">
      <c r="A18" s="164" t="s">
        <v>368</v>
      </c>
      <c r="B18" s="167" t="s">
        <v>78</v>
      </c>
      <c r="C18" s="193" t="s">
        <v>402</v>
      </c>
      <c r="D18" s="193" t="s">
        <v>405</v>
      </c>
      <c r="E18" s="193" t="s">
        <v>404</v>
      </c>
      <c r="F18" s="188">
        <v>45870</v>
      </c>
      <c r="G18" s="194"/>
      <c r="H18" s="194">
        <v>369</v>
      </c>
      <c r="I18" s="194"/>
      <c r="J18" s="194"/>
      <c r="K18" s="194"/>
      <c r="L18" s="194"/>
    </row>
    <row r="19" spans="1:12" ht="12" hidden="1" customHeight="1" x14ac:dyDescent="0.3">
      <c r="A19" s="164" t="s">
        <v>368</v>
      </c>
      <c r="B19" s="167" t="s">
        <v>78</v>
      </c>
      <c r="C19" s="193" t="s">
        <v>402</v>
      </c>
      <c r="D19" s="193" t="s">
        <v>405</v>
      </c>
      <c r="E19" s="193" t="s">
        <v>404</v>
      </c>
      <c r="F19" s="188">
        <v>45839</v>
      </c>
      <c r="G19" s="194"/>
      <c r="H19" s="194">
        <v>293</v>
      </c>
      <c r="I19" s="194"/>
      <c r="J19" s="194"/>
      <c r="K19" s="194"/>
      <c r="L19" s="194"/>
    </row>
    <row r="20" spans="1:12" ht="12" hidden="1" customHeight="1" x14ac:dyDescent="0.3">
      <c r="A20" s="164" t="s">
        <v>368</v>
      </c>
      <c r="B20" s="167" t="s">
        <v>78</v>
      </c>
      <c r="C20" s="193" t="s">
        <v>402</v>
      </c>
      <c r="D20" s="193" t="s">
        <v>405</v>
      </c>
      <c r="E20" s="193" t="s">
        <v>404</v>
      </c>
      <c r="F20" s="188">
        <v>45809</v>
      </c>
      <c r="G20" s="194"/>
      <c r="H20" s="194">
        <v>364</v>
      </c>
      <c r="I20" s="194"/>
      <c r="J20" s="194"/>
      <c r="K20" s="194"/>
      <c r="L20" s="194"/>
    </row>
    <row r="21" spans="1:12" ht="12" hidden="1" customHeight="1" x14ac:dyDescent="0.3">
      <c r="A21" s="164" t="s">
        <v>368</v>
      </c>
      <c r="B21" s="167" t="s">
        <v>78</v>
      </c>
      <c r="C21" s="193" t="s">
        <v>402</v>
      </c>
      <c r="D21" s="193" t="s">
        <v>405</v>
      </c>
      <c r="E21" s="193" t="s">
        <v>404</v>
      </c>
      <c r="F21" s="188">
        <v>45778</v>
      </c>
      <c r="G21" s="194"/>
      <c r="H21" s="194">
        <v>595</v>
      </c>
      <c r="I21" s="194"/>
      <c r="J21" s="194"/>
      <c r="K21" s="194"/>
      <c r="L21" s="194"/>
    </row>
    <row r="22" spans="1:12" ht="12" hidden="1" customHeight="1" x14ac:dyDescent="0.3">
      <c r="A22" s="164" t="s">
        <v>368</v>
      </c>
      <c r="B22" s="167" t="s">
        <v>78</v>
      </c>
      <c r="C22" s="193" t="s">
        <v>402</v>
      </c>
      <c r="D22" s="193" t="s">
        <v>405</v>
      </c>
      <c r="E22" s="193" t="s">
        <v>404</v>
      </c>
      <c r="F22" s="188">
        <v>45748</v>
      </c>
      <c r="G22" s="194"/>
      <c r="H22" s="194">
        <v>528</v>
      </c>
      <c r="I22" s="194"/>
      <c r="J22" s="194"/>
      <c r="K22" s="194"/>
      <c r="L22" s="194"/>
    </row>
    <row r="23" spans="1:12" ht="12" hidden="1" customHeight="1" x14ac:dyDescent="0.3">
      <c r="A23" s="164" t="s">
        <v>368</v>
      </c>
      <c r="B23" s="167" t="s">
        <v>78</v>
      </c>
      <c r="C23" s="193" t="s">
        <v>402</v>
      </c>
      <c r="D23" s="193" t="s">
        <v>405</v>
      </c>
      <c r="E23" s="193" t="s">
        <v>404</v>
      </c>
      <c r="F23" s="188">
        <v>45717</v>
      </c>
      <c r="G23" s="194"/>
      <c r="H23" s="194">
        <v>944</v>
      </c>
      <c r="I23" s="194"/>
      <c r="J23" s="194"/>
      <c r="K23" s="194"/>
      <c r="L23" s="194"/>
    </row>
    <row r="24" spans="1:12" ht="12" hidden="1" customHeight="1" x14ac:dyDescent="0.3">
      <c r="A24" s="164" t="s">
        <v>368</v>
      </c>
      <c r="B24" s="167" t="s">
        <v>78</v>
      </c>
      <c r="C24" s="193" t="s">
        <v>402</v>
      </c>
      <c r="D24" s="193" t="s">
        <v>405</v>
      </c>
      <c r="E24" s="193" t="s">
        <v>404</v>
      </c>
      <c r="F24" s="188">
        <v>45689</v>
      </c>
      <c r="G24" s="194"/>
      <c r="H24" s="194">
        <v>895</v>
      </c>
      <c r="I24" s="194"/>
      <c r="J24" s="194"/>
      <c r="K24" s="194"/>
      <c r="L24" s="194"/>
    </row>
    <row r="25" spans="1:12" ht="12" hidden="1" customHeight="1" x14ac:dyDescent="0.3">
      <c r="A25" s="164" t="s">
        <v>368</v>
      </c>
      <c r="B25" s="167" t="s">
        <v>78</v>
      </c>
      <c r="C25" s="193" t="s">
        <v>402</v>
      </c>
      <c r="D25" s="193" t="s">
        <v>405</v>
      </c>
      <c r="E25" s="193" t="s">
        <v>404</v>
      </c>
      <c r="F25" s="188">
        <v>45658</v>
      </c>
      <c r="G25" s="194"/>
      <c r="H25" s="194">
        <v>389</v>
      </c>
      <c r="I25" s="194"/>
      <c r="J25" s="194"/>
      <c r="K25" s="194"/>
      <c r="L25" s="194"/>
    </row>
    <row r="26" spans="1:12" ht="12" hidden="1" customHeight="1" x14ac:dyDescent="0.3">
      <c r="A26" s="164" t="s">
        <v>368</v>
      </c>
      <c r="B26" s="167" t="s">
        <v>88</v>
      </c>
      <c r="C26" s="193" t="s">
        <v>406</v>
      </c>
      <c r="D26" s="193" t="s">
        <v>407</v>
      </c>
      <c r="E26" s="193" t="s">
        <v>408</v>
      </c>
      <c r="F26" s="188">
        <v>45992</v>
      </c>
      <c r="G26" s="194"/>
      <c r="H26" s="194">
        <v>148</v>
      </c>
      <c r="I26" s="194"/>
      <c r="J26" s="194"/>
      <c r="K26" s="194"/>
      <c r="L26" s="194"/>
    </row>
    <row r="27" spans="1:12" ht="12" hidden="1" customHeight="1" x14ac:dyDescent="0.3">
      <c r="A27" s="164" t="s">
        <v>368</v>
      </c>
      <c r="B27" s="167" t="s">
        <v>88</v>
      </c>
      <c r="C27" s="193" t="s">
        <v>406</v>
      </c>
      <c r="D27" s="193" t="s">
        <v>407</v>
      </c>
      <c r="E27" s="193" t="s">
        <v>408</v>
      </c>
      <c r="F27" s="188">
        <v>45962</v>
      </c>
      <c r="G27" s="194"/>
      <c r="H27" s="194">
        <v>150</v>
      </c>
      <c r="I27" s="194"/>
      <c r="J27" s="194"/>
      <c r="K27" s="194"/>
      <c r="L27" s="194"/>
    </row>
    <row r="28" spans="1:12" ht="12" hidden="1" customHeight="1" x14ac:dyDescent="0.3">
      <c r="A28" s="164" t="s">
        <v>368</v>
      </c>
      <c r="B28" s="167" t="s">
        <v>88</v>
      </c>
      <c r="C28" s="193" t="s">
        <v>406</v>
      </c>
      <c r="D28" s="193" t="s">
        <v>407</v>
      </c>
      <c r="E28" s="193" t="s">
        <v>408</v>
      </c>
      <c r="F28" s="188">
        <v>45931</v>
      </c>
      <c r="G28" s="194"/>
      <c r="H28" s="194">
        <v>151</v>
      </c>
      <c r="I28" s="194"/>
      <c r="J28" s="194"/>
      <c r="K28" s="194"/>
      <c r="L28" s="194"/>
    </row>
    <row r="29" spans="1:12" ht="12" hidden="1" customHeight="1" x14ac:dyDescent="0.3">
      <c r="A29" s="164" t="s">
        <v>368</v>
      </c>
      <c r="B29" s="167" t="s">
        <v>88</v>
      </c>
      <c r="C29" s="193" t="s">
        <v>406</v>
      </c>
      <c r="D29" s="193" t="s">
        <v>407</v>
      </c>
      <c r="E29" s="193" t="s">
        <v>408</v>
      </c>
      <c r="F29" s="188">
        <v>45901</v>
      </c>
      <c r="G29" s="194"/>
      <c r="H29" s="194">
        <v>153</v>
      </c>
      <c r="I29" s="194"/>
      <c r="J29" s="194"/>
      <c r="K29" s="194"/>
      <c r="L29" s="194"/>
    </row>
    <row r="30" spans="1:12" ht="12" hidden="1" customHeight="1" x14ac:dyDescent="0.3">
      <c r="A30" s="164" t="s">
        <v>368</v>
      </c>
      <c r="B30" s="167" t="s">
        <v>88</v>
      </c>
      <c r="C30" s="193" t="s">
        <v>406</v>
      </c>
      <c r="D30" s="193" t="s">
        <v>407</v>
      </c>
      <c r="E30" s="193" t="s">
        <v>408</v>
      </c>
      <c r="F30" s="188">
        <v>45870</v>
      </c>
      <c r="G30" s="194"/>
      <c r="H30" s="194">
        <v>155</v>
      </c>
      <c r="I30" s="194"/>
      <c r="J30" s="194"/>
      <c r="K30" s="194"/>
      <c r="L30" s="194"/>
    </row>
    <row r="31" spans="1:12" ht="12" hidden="1" customHeight="1" x14ac:dyDescent="0.3">
      <c r="A31" s="164" t="s">
        <v>368</v>
      </c>
      <c r="B31" s="167" t="s">
        <v>88</v>
      </c>
      <c r="C31" s="193" t="s">
        <v>406</v>
      </c>
      <c r="D31" s="193" t="s">
        <v>407</v>
      </c>
      <c r="E31" s="193" t="s">
        <v>408</v>
      </c>
      <c r="F31" s="188">
        <v>45839</v>
      </c>
      <c r="G31" s="194"/>
      <c r="H31" s="194">
        <v>156</v>
      </c>
      <c r="I31" s="194"/>
      <c r="J31" s="194"/>
      <c r="K31" s="194"/>
      <c r="L31" s="194"/>
    </row>
    <row r="32" spans="1:12" ht="12" hidden="1" customHeight="1" x14ac:dyDescent="0.3">
      <c r="A32" s="164" t="s">
        <v>368</v>
      </c>
      <c r="B32" s="167" t="s">
        <v>88</v>
      </c>
      <c r="C32" s="193" t="s">
        <v>406</v>
      </c>
      <c r="D32" s="193" t="s">
        <v>407</v>
      </c>
      <c r="E32" s="193" t="s">
        <v>408</v>
      </c>
      <c r="F32" s="188">
        <v>45809</v>
      </c>
      <c r="G32" s="194"/>
      <c r="H32" s="194">
        <v>158</v>
      </c>
      <c r="I32" s="194"/>
      <c r="J32" s="194"/>
      <c r="K32" s="194"/>
      <c r="L32" s="194"/>
    </row>
    <row r="33" spans="1:12" ht="12" hidden="1" customHeight="1" x14ac:dyDescent="0.3">
      <c r="A33" s="164" t="s">
        <v>368</v>
      </c>
      <c r="B33" s="167" t="s">
        <v>88</v>
      </c>
      <c r="C33" s="193" t="s">
        <v>406</v>
      </c>
      <c r="D33" s="193" t="s">
        <v>407</v>
      </c>
      <c r="E33" s="193" t="s">
        <v>408</v>
      </c>
      <c r="F33" s="188">
        <v>45778</v>
      </c>
      <c r="G33" s="194"/>
      <c r="H33" s="194">
        <v>159</v>
      </c>
      <c r="I33" s="194"/>
      <c r="J33" s="194"/>
      <c r="K33" s="194"/>
      <c r="L33" s="194"/>
    </row>
    <row r="34" spans="1:12" ht="12" hidden="1" customHeight="1" x14ac:dyDescent="0.3">
      <c r="A34" s="164" t="s">
        <v>368</v>
      </c>
      <c r="B34" s="167" t="s">
        <v>88</v>
      </c>
      <c r="C34" s="193" t="s">
        <v>406</v>
      </c>
      <c r="D34" s="193" t="s">
        <v>407</v>
      </c>
      <c r="E34" s="193" t="s">
        <v>408</v>
      </c>
      <c r="F34" s="188">
        <v>45748</v>
      </c>
      <c r="G34" s="194"/>
      <c r="H34" s="194">
        <v>160</v>
      </c>
      <c r="I34" s="194"/>
      <c r="J34" s="194"/>
      <c r="K34" s="194"/>
      <c r="L34" s="194"/>
    </row>
    <row r="35" spans="1:12" ht="12" hidden="1" customHeight="1" x14ac:dyDescent="0.3">
      <c r="A35" s="164" t="s">
        <v>368</v>
      </c>
      <c r="B35" s="167" t="s">
        <v>88</v>
      </c>
      <c r="C35" s="193" t="s">
        <v>406</v>
      </c>
      <c r="D35" s="193" t="s">
        <v>407</v>
      </c>
      <c r="E35" s="193" t="s">
        <v>408</v>
      </c>
      <c r="F35" s="188">
        <v>45717</v>
      </c>
      <c r="G35" s="194"/>
      <c r="H35" s="194">
        <v>161</v>
      </c>
      <c r="I35" s="194"/>
      <c r="J35" s="194"/>
      <c r="K35" s="194"/>
      <c r="L35" s="194"/>
    </row>
    <row r="36" spans="1:12" ht="12" hidden="1" customHeight="1" x14ac:dyDescent="0.3">
      <c r="A36" s="164" t="s">
        <v>368</v>
      </c>
      <c r="B36" s="167" t="s">
        <v>88</v>
      </c>
      <c r="C36" s="193" t="s">
        <v>406</v>
      </c>
      <c r="D36" s="193" t="s">
        <v>407</v>
      </c>
      <c r="E36" s="193" t="s">
        <v>408</v>
      </c>
      <c r="F36" s="188">
        <v>45689</v>
      </c>
      <c r="G36" s="194"/>
      <c r="H36" s="194">
        <v>162</v>
      </c>
      <c r="I36" s="194"/>
      <c r="J36" s="194"/>
      <c r="K36" s="194"/>
      <c r="L36" s="194"/>
    </row>
    <row r="37" spans="1:12" ht="12" hidden="1" customHeight="1" x14ac:dyDescent="0.3">
      <c r="A37" s="164" t="s">
        <v>368</v>
      </c>
      <c r="B37" s="167" t="s">
        <v>88</v>
      </c>
      <c r="C37" s="193" t="s">
        <v>406</v>
      </c>
      <c r="D37" s="193" t="s">
        <v>407</v>
      </c>
      <c r="E37" s="193" t="s">
        <v>408</v>
      </c>
      <c r="F37" s="188">
        <v>45658</v>
      </c>
      <c r="G37" s="194"/>
      <c r="H37" s="194">
        <v>163</v>
      </c>
      <c r="I37" s="194"/>
      <c r="J37" s="194"/>
      <c r="K37" s="194"/>
      <c r="L37" s="194"/>
    </row>
    <row r="38" spans="1:12" ht="12" hidden="1" customHeight="1" x14ac:dyDescent="0.3">
      <c r="A38" s="164" t="s">
        <v>368</v>
      </c>
      <c r="B38" s="167" t="s">
        <v>409</v>
      </c>
      <c r="C38" s="193" t="s">
        <v>406</v>
      </c>
      <c r="D38" s="193" t="s">
        <v>410</v>
      </c>
      <c r="E38" s="193" t="s">
        <v>404</v>
      </c>
      <c r="F38" s="188">
        <v>45992</v>
      </c>
      <c r="G38" s="194"/>
      <c r="H38" s="194">
        <v>450</v>
      </c>
      <c r="I38" s="194"/>
      <c r="J38" s="194"/>
      <c r="K38" s="194"/>
      <c r="L38" s="194"/>
    </row>
    <row r="39" spans="1:12" ht="12" hidden="1" customHeight="1" x14ac:dyDescent="0.3">
      <c r="A39" s="164" t="s">
        <v>368</v>
      </c>
      <c r="B39" s="167" t="s">
        <v>409</v>
      </c>
      <c r="C39" s="193" t="s">
        <v>406</v>
      </c>
      <c r="D39" s="193" t="s">
        <v>410</v>
      </c>
      <c r="E39" s="193" t="s">
        <v>404</v>
      </c>
      <c r="F39" s="188">
        <v>45962</v>
      </c>
      <c r="G39" s="194"/>
      <c r="H39" s="194">
        <v>450</v>
      </c>
      <c r="I39" s="194"/>
      <c r="J39" s="194"/>
      <c r="K39" s="194"/>
      <c r="L39" s="194"/>
    </row>
    <row r="40" spans="1:12" ht="12" hidden="1" customHeight="1" x14ac:dyDescent="0.3">
      <c r="A40" s="164" t="s">
        <v>368</v>
      </c>
      <c r="B40" s="167" t="s">
        <v>409</v>
      </c>
      <c r="C40" s="193" t="s">
        <v>406</v>
      </c>
      <c r="D40" s="193" t="s">
        <v>410</v>
      </c>
      <c r="E40" s="193" t="s">
        <v>404</v>
      </c>
      <c r="F40" s="188">
        <v>45931</v>
      </c>
      <c r="G40" s="194"/>
      <c r="H40" s="194">
        <v>450</v>
      </c>
      <c r="I40" s="194"/>
      <c r="J40" s="194"/>
      <c r="K40" s="194"/>
      <c r="L40" s="194"/>
    </row>
    <row r="41" spans="1:12" ht="12" hidden="1" customHeight="1" x14ac:dyDescent="0.3">
      <c r="A41" s="164" t="s">
        <v>368</v>
      </c>
      <c r="B41" s="167" t="s">
        <v>409</v>
      </c>
      <c r="C41" s="193" t="s">
        <v>406</v>
      </c>
      <c r="D41" s="193" t="s">
        <v>410</v>
      </c>
      <c r="E41" s="193" t="s">
        <v>404</v>
      </c>
      <c r="F41" s="188">
        <v>45901</v>
      </c>
      <c r="G41" s="194"/>
      <c r="H41" s="194">
        <v>450</v>
      </c>
      <c r="I41" s="194"/>
      <c r="J41" s="194"/>
      <c r="K41" s="194"/>
      <c r="L41" s="194"/>
    </row>
    <row r="42" spans="1:12" ht="12" hidden="1" customHeight="1" x14ac:dyDescent="0.3">
      <c r="A42" s="164" t="s">
        <v>368</v>
      </c>
      <c r="B42" s="167" t="s">
        <v>409</v>
      </c>
      <c r="C42" s="193" t="s">
        <v>406</v>
      </c>
      <c r="D42" s="193" t="s">
        <v>410</v>
      </c>
      <c r="E42" s="193" t="s">
        <v>404</v>
      </c>
      <c r="F42" s="188">
        <v>45870</v>
      </c>
      <c r="G42" s="194"/>
      <c r="H42" s="194">
        <v>450</v>
      </c>
      <c r="I42" s="194"/>
      <c r="J42" s="194"/>
      <c r="K42" s="194"/>
      <c r="L42" s="194"/>
    </row>
    <row r="43" spans="1:12" ht="12" hidden="1" customHeight="1" x14ac:dyDescent="0.3">
      <c r="A43" s="164" t="s">
        <v>368</v>
      </c>
      <c r="B43" s="167" t="s">
        <v>409</v>
      </c>
      <c r="C43" s="193" t="s">
        <v>406</v>
      </c>
      <c r="D43" s="193" t="s">
        <v>410</v>
      </c>
      <c r="E43" s="193" t="s">
        <v>404</v>
      </c>
      <c r="F43" s="188">
        <v>45839</v>
      </c>
      <c r="G43" s="194"/>
      <c r="H43" s="194">
        <v>450</v>
      </c>
      <c r="I43" s="194"/>
      <c r="J43" s="194"/>
      <c r="K43" s="194"/>
      <c r="L43" s="194"/>
    </row>
    <row r="44" spans="1:12" ht="12" hidden="1" customHeight="1" x14ac:dyDescent="0.3">
      <c r="A44" s="164" t="s">
        <v>368</v>
      </c>
      <c r="B44" s="167" t="s">
        <v>409</v>
      </c>
      <c r="C44" s="193" t="s">
        <v>406</v>
      </c>
      <c r="D44" s="193" t="s">
        <v>410</v>
      </c>
      <c r="E44" s="193" t="s">
        <v>404</v>
      </c>
      <c r="F44" s="188">
        <v>45809</v>
      </c>
      <c r="G44" s="194"/>
      <c r="H44" s="194">
        <v>450</v>
      </c>
      <c r="I44" s="194"/>
      <c r="J44" s="194"/>
      <c r="K44" s="194"/>
      <c r="L44" s="194"/>
    </row>
    <row r="45" spans="1:12" ht="12" hidden="1" customHeight="1" x14ac:dyDescent="0.3">
      <c r="A45" s="164" t="s">
        <v>368</v>
      </c>
      <c r="B45" s="167" t="s">
        <v>409</v>
      </c>
      <c r="C45" s="193" t="s">
        <v>406</v>
      </c>
      <c r="D45" s="193" t="s">
        <v>410</v>
      </c>
      <c r="E45" s="193" t="s">
        <v>404</v>
      </c>
      <c r="F45" s="188">
        <v>45778</v>
      </c>
      <c r="G45" s="194"/>
      <c r="H45" s="194">
        <v>450</v>
      </c>
      <c r="I45" s="194"/>
      <c r="J45" s="194"/>
      <c r="K45" s="194"/>
      <c r="L45" s="194"/>
    </row>
    <row r="46" spans="1:12" ht="12" hidden="1" customHeight="1" x14ac:dyDescent="0.3">
      <c r="A46" s="164" t="s">
        <v>368</v>
      </c>
      <c r="B46" s="167" t="s">
        <v>409</v>
      </c>
      <c r="C46" s="193" t="s">
        <v>406</v>
      </c>
      <c r="D46" s="193" t="s">
        <v>410</v>
      </c>
      <c r="E46" s="193" t="s">
        <v>404</v>
      </c>
      <c r="F46" s="188">
        <v>45748</v>
      </c>
      <c r="G46" s="194"/>
      <c r="H46" s="194">
        <v>450</v>
      </c>
      <c r="I46" s="194"/>
      <c r="J46" s="194"/>
      <c r="K46" s="194"/>
      <c r="L46" s="194"/>
    </row>
    <row r="47" spans="1:12" ht="12" hidden="1" customHeight="1" x14ac:dyDescent="0.3">
      <c r="A47" s="164" t="s">
        <v>368</v>
      </c>
      <c r="B47" s="167" t="s">
        <v>409</v>
      </c>
      <c r="C47" s="193" t="s">
        <v>406</v>
      </c>
      <c r="D47" s="193" t="s">
        <v>410</v>
      </c>
      <c r="E47" s="193" t="s">
        <v>404</v>
      </c>
      <c r="F47" s="188">
        <v>45717</v>
      </c>
      <c r="G47" s="194"/>
      <c r="H47" s="194">
        <v>450</v>
      </c>
      <c r="I47" s="194"/>
      <c r="J47" s="194"/>
      <c r="K47" s="194"/>
      <c r="L47" s="194"/>
    </row>
    <row r="48" spans="1:12" ht="12" hidden="1" customHeight="1" x14ac:dyDescent="0.3">
      <c r="A48" s="164" t="s">
        <v>368</v>
      </c>
      <c r="B48" s="167" t="s">
        <v>409</v>
      </c>
      <c r="C48" s="193" t="s">
        <v>406</v>
      </c>
      <c r="D48" s="193" t="s">
        <v>410</v>
      </c>
      <c r="E48" s="193" t="s">
        <v>404</v>
      </c>
      <c r="F48" s="188">
        <v>45689</v>
      </c>
      <c r="G48" s="194"/>
      <c r="H48" s="194">
        <v>450</v>
      </c>
      <c r="I48" s="194"/>
      <c r="J48" s="194"/>
      <c r="K48" s="194"/>
      <c r="L48" s="194"/>
    </row>
    <row r="49" spans="1:12" ht="12" hidden="1" customHeight="1" x14ac:dyDescent="0.3">
      <c r="A49" s="164" t="s">
        <v>368</v>
      </c>
      <c r="B49" s="167" t="s">
        <v>409</v>
      </c>
      <c r="C49" s="193" t="s">
        <v>406</v>
      </c>
      <c r="D49" s="193" t="s">
        <v>410</v>
      </c>
      <c r="E49" s="193" t="s">
        <v>404</v>
      </c>
      <c r="F49" s="188">
        <v>45658</v>
      </c>
      <c r="G49" s="194"/>
      <c r="H49" s="194">
        <v>450</v>
      </c>
      <c r="I49" s="194"/>
      <c r="J49" s="194"/>
      <c r="K49" s="194"/>
      <c r="L49" s="194"/>
    </row>
    <row r="50" spans="1:12" ht="12" hidden="1" customHeight="1" x14ac:dyDescent="0.3">
      <c r="A50" s="164" t="s">
        <v>368</v>
      </c>
      <c r="B50" s="167" t="s">
        <v>411</v>
      </c>
      <c r="C50" s="193" t="s">
        <v>406</v>
      </c>
      <c r="D50" s="193" t="s">
        <v>412</v>
      </c>
      <c r="E50" s="193" t="s">
        <v>404</v>
      </c>
      <c r="F50" s="188">
        <v>45992</v>
      </c>
      <c r="G50" s="194"/>
      <c r="H50" s="194">
        <v>1255</v>
      </c>
      <c r="I50" s="194"/>
      <c r="J50" s="194"/>
      <c r="K50" s="194"/>
      <c r="L50" s="194"/>
    </row>
    <row r="51" spans="1:12" ht="12" hidden="1" customHeight="1" x14ac:dyDescent="0.3">
      <c r="A51" s="164" t="s">
        <v>368</v>
      </c>
      <c r="B51" s="167" t="s">
        <v>411</v>
      </c>
      <c r="C51" s="193" t="s">
        <v>406</v>
      </c>
      <c r="D51" s="193" t="s">
        <v>412</v>
      </c>
      <c r="E51" s="193" t="s">
        <v>404</v>
      </c>
      <c r="F51" s="188">
        <v>45962</v>
      </c>
      <c r="G51" s="194"/>
      <c r="H51" s="194">
        <v>1294</v>
      </c>
      <c r="I51" s="194"/>
      <c r="J51" s="194"/>
      <c r="K51" s="194"/>
      <c r="L51" s="194"/>
    </row>
    <row r="52" spans="1:12" ht="12" hidden="1" customHeight="1" x14ac:dyDescent="0.3">
      <c r="A52" s="164" t="s">
        <v>368</v>
      </c>
      <c r="B52" s="167" t="s">
        <v>411</v>
      </c>
      <c r="C52" s="193" t="s">
        <v>406</v>
      </c>
      <c r="D52" s="193" t="s">
        <v>412</v>
      </c>
      <c r="E52" s="193" t="s">
        <v>404</v>
      </c>
      <c r="F52" s="188">
        <v>45931</v>
      </c>
      <c r="G52" s="194"/>
      <c r="H52" s="194">
        <v>934</v>
      </c>
      <c r="I52" s="194"/>
      <c r="J52" s="194"/>
      <c r="K52" s="194"/>
      <c r="L52" s="194"/>
    </row>
    <row r="53" spans="1:12" ht="12" hidden="1" customHeight="1" x14ac:dyDescent="0.3">
      <c r="A53" s="164" t="s">
        <v>368</v>
      </c>
      <c r="B53" s="167" t="s">
        <v>411</v>
      </c>
      <c r="C53" s="193" t="s">
        <v>406</v>
      </c>
      <c r="D53" s="193" t="s">
        <v>412</v>
      </c>
      <c r="E53" s="193" t="s">
        <v>404</v>
      </c>
      <c r="F53" s="188">
        <v>45901</v>
      </c>
      <c r="G53" s="194"/>
      <c r="H53" s="194">
        <v>989</v>
      </c>
      <c r="I53" s="194"/>
      <c r="J53" s="194"/>
      <c r="K53" s="194"/>
      <c r="L53" s="194"/>
    </row>
    <row r="54" spans="1:12" ht="12" hidden="1" customHeight="1" x14ac:dyDescent="0.3">
      <c r="A54" s="164" t="s">
        <v>368</v>
      </c>
      <c r="B54" s="167" t="s">
        <v>411</v>
      </c>
      <c r="C54" s="193" t="s">
        <v>406</v>
      </c>
      <c r="D54" s="193" t="s">
        <v>412</v>
      </c>
      <c r="E54" s="193" t="s">
        <v>404</v>
      </c>
      <c r="F54" s="188">
        <v>45870</v>
      </c>
      <c r="G54" s="194"/>
      <c r="H54" s="194">
        <v>608</v>
      </c>
      <c r="I54" s="194"/>
      <c r="J54" s="194"/>
      <c r="K54" s="194"/>
      <c r="L54" s="194"/>
    </row>
    <row r="55" spans="1:12" ht="12" hidden="1" customHeight="1" x14ac:dyDescent="0.3">
      <c r="A55" s="164" t="s">
        <v>368</v>
      </c>
      <c r="B55" s="167" t="s">
        <v>411</v>
      </c>
      <c r="C55" s="193" t="s">
        <v>406</v>
      </c>
      <c r="D55" s="193" t="s">
        <v>412</v>
      </c>
      <c r="E55" s="193" t="s">
        <v>404</v>
      </c>
      <c r="F55" s="188">
        <v>45839</v>
      </c>
      <c r="G55" s="194"/>
      <c r="H55" s="194">
        <v>392</v>
      </c>
      <c r="I55" s="194"/>
      <c r="J55" s="194"/>
      <c r="K55" s="194"/>
      <c r="L55" s="194"/>
    </row>
    <row r="56" spans="1:12" ht="12" hidden="1" customHeight="1" x14ac:dyDescent="0.3">
      <c r="A56" s="164" t="s">
        <v>368</v>
      </c>
      <c r="B56" s="167" t="s">
        <v>411</v>
      </c>
      <c r="C56" s="193" t="s">
        <v>406</v>
      </c>
      <c r="D56" s="193" t="s">
        <v>412</v>
      </c>
      <c r="E56" s="193" t="s">
        <v>404</v>
      </c>
      <c r="F56" s="188">
        <v>45809</v>
      </c>
      <c r="G56" s="194"/>
      <c r="H56" s="194">
        <v>500</v>
      </c>
      <c r="I56" s="194"/>
      <c r="J56" s="194"/>
      <c r="K56" s="194"/>
      <c r="L56" s="194"/>
    </row>
    <row r="57" spans="1:12" ht="12" hidden="1" customHeight="1" x14ac:dyDescent="0.3">
      <c r="A57" s="164" t="s">
        <v>368</v>
      </c>
      <c r="B57" s="167" t="s">
        <v>411</v>
      </c>
      <c r="C57" s="193" t="s">
        <v>406</v>
      </c>
      <c r="D57" s="193" t="s">
        <v>412</v>
      </c>
      <c r="E57" s="193" t="s">
        <v>404</v>
      </c>
      <c r="F57" s="188">
        <v>45778</v>
      </c>
      <c r="G57" s="194"/>
      <c r="H57" s="194">
        <v>769</v>
      </c>
      <c r="I57" s="194"/>
      <c r="J57" s="194"/>
      <c r="K57" s="194"/>
      <c r="L57" s="194"/>
    </row>
    <row r="58" spans="1:12" ht="12" hidden="1" customHeight="1" x14ac:dyDescent="0.3">
      <c r="A58" s="164" t="s">
        <v>368</v>
      </c>
      <c r="B58" s="167" t="s">
        <v>411</v>
      </c>
      <c r="C58" s="193" t="s">
        <v>406</v>
      </c>
      <c r="D58" s="193" t="s">
        <v>412</v>
      </c>
      <c r="E58" s="193" t="s">
        <v>404</v>
      </c>
      <c r="F58" s="188">
        <v>45748</v>
      </c>
      <c r="G58" s="194"/>
      <c r="H58" s="194">
        <v>1029</v>
      </c>
      <c r="I58" s="194"/>
      <c r="J58" s="194"/>
      <c r="K58" s="194"/>
      <c r="L58" s="194"/>
    </row>
    <row r="59" spans="1:12" ht="12" hidden="1" customHeight="1" x14ac:dyDescent="0.3">
      <c r="A59" s="164" t="s">
        <v>368</v>
      </c>
      <c r="B59" s="167" t="s">
        <v>411</v>
      </c>
      <c r="C59" s="193" t="s">
        <v>406</v>
      </c>
      <c r="D59" s="193" t="s">
        <v>412</v>
      </c>
      <c r="E59" s="193" t="s">
        <v>404</v>
      </c>
      <c r="F59" s="188">
        <v>45717</v>
      </c>
      <c r="G59" s="194"/>
      <c r="H59" s="194">
        <v>1511</v>
      </c>
      <c r="I59" s="194"/>
      <c r="J59" s="194"/>
      <c r="K59" s="194"/>
      <c r="L59" s="194"/>
    </row>
    <row r="60" spans="1:12" ht="12" hidden="1" customHeight="1" x14ac:dyDescent="0.3">
      <c r="A60" s="164" t="s">
        <v>368</v>
      </c>
      <c r="B60" s="167" t="s">
        <v>411</v>
      </c>
      <c r="C60" s="193" t="s">
        <v>406</v>
      </c>
      <c r="D60" s="193" t="s">
        <v>412</v>
      </c>
      <c r="E60" s="193" t="s">
        <v>404</v>
      </c>
      <c r="F60" s="188">
        <v>45689</v>
      </c>
      <c r="G60" s="194"/>
      <c r="H60" s="194">
        <v>1676</v>
      </c>
      <c r="I60" s="194"/>
      <c r="J60" s="194"/>
      <c r="K60" s="194"/>
      <c r="L60" s="194"/>
    </row>
    <row r="61" spans="1:12" ht="12" hidden="1" customHeight="1" x14ac:dyDescent="0.3">
      <c r="A61" s="164" t="s">
        <v>368</v>
      </c>
      <c r="B61" s="167" t="s">
        <v>411</v>
      </c>
      <c r="C61" s="193" t="s">
        <v>406</v>
      </c>
      <c r="D61" s="193" t="s">
        <v>412</v>
      </c>
      <c r="E61" s="193" t="s">
        <v>404</v>
      </c>
      <c r="F61" s="188">
        <v>45658</v>
      </c>
      <c r="G61" s="194"/>
      <c r="H61" s="194">
        <v>1933</v>
      </c>
      <c r="I61" s="194"/>
      <c r="J61" s="194"/>
      <c r="K61" s="194"/>
      <c r="L61" s="194"/>
    </row>
    <row r="62" spans="1:12" ht="12" hidden="1" customHeight="1" x14ac:dyDescent="0.3">
      <c r="A62" s="164" t="s">
        <v>368</v>
      </c>
      <c r="B62" s="167" t="s">
        <v>413</v>
      </c>
      <c r="C62" s="193" t="s">
        <v>406</v>
      </c>
      <c r="D62" s="193" t="s">
        <v>414</v>
      </c>
      <c r="E62" s="193" t="s">
        <v>404</v>
      </c>
      <c r="F62" s="188">
        <v>45992</v>
      </c>
      <c r="G62" s="194"/>
      <c r="H62" s="194">
        <v>3167</v>
      </c>
      <c r="I62" s="194"/>
      <c r="J62" s="194"/>
      <c r="K62" s="194"/>
      <c r="L62" s="194"/>
    </row>
    <row r="63" spans="1:12" ht="12" hidden="1" customHeight="1" x14ac:dyDescent="0.3">
      <c r="A63" s="164" t="s">
        <v>368</v>
      </c>
      <c r="B63" s="167" t="s">
        <v>413</v>
      </c>
      <c r="C63" s="193" t="s">
        <v>406</v>
      </c>
      <c r="D63" s="193" t="s">
        <v>414</v>
      </c>
      <c r="E63" s="193" t="s">
        <v>404</v>
      </c>
      <c r="F63" s="188">
        <v>45962</v>
      </c>
      <c r="G63" s="194"/>
      <c r="H63" s="194">
        <v>3722</v>
      </c>
      <c r="I63" s="194"/>
      <c r="J63" s="194"/>
      <c r="K63" s="194"/>
      <c r="L63" s="194"/>
    </row>
    <row r="64" spans="1:12" ht="12" hidden="1" customHeight="1" x14ac:dyDescent="0.3">
      <c r="A64" s="164" t="s">
        <v>368</v>
      </c>
      <c r="B64" s="167" t="s">
        <v>413</v>
      </c>
      <c r="C64" s="193" t="s">
        <v>406</v>
      </c>
      <c r="D64" s="193" t="s">
        <v>414</v>
      </c>
      <c r="E64" s="193" t="s">
        <v>404</v>
      </c>
      <c r="F64" s="188">
        <v>45931</v>
      </c>
      <c r="G64" s="194"/>
      <c r="H64" s="194">
        <v>3101</v>
      </c>
      <c r="I64" s="194"/>
      <c r="J64" s="194"/>
      <c r="K64" s="194"/>
      <c r="L64" s="194"/>
    </row>
    <row r="65" spans="1:12" ht="12" hidden="1" customHeight="1" x14ac:dyDescent="0.3">
      <c r="A65" s="164" t="s">
        <v>368</v>
      </c>
      <c r="B65" s="167" t="s">
        <v>413</v>
      </c>
      <c r="C65" s="193" t="s">
        <v>406</v>
      </c>
      <c r="D65" s="193" t="s">
        <v>414</v>
      </c>
      <c r="E65" s="193" t="s">
        <v>404</v>
      </c>
      <c r="F65" s="188">
        <v>45901</v>
      </c>
      <c r="G65" s="194"/>
      <c r="H65" s="194">
        <v>3035</v>
      </c>
      <c r="I65" s="194"/>
      <c r="J65" s="194"/>
      <c r="K65" s="194"/>
      <c r="L65" s="194"/>
    </row>
    <row r="66" spans="1:12" ht="12" hidden="1" customHeight="1" x14ac:dyDescent="0.3">
      <c r="A66" s="164" t="s">
        <v>368</v>
      </c>
      <c r="B66" s="167" t="s">
        <v>413</v>
      </c>
      <c r="C66" s="193" t="s">
        <v>406</v>
      </c>
      <c r="D66" s="193" t="s">
        <v>414</v>
      </c>
      <c r="E66" s="193" t="s">
        <v>404</v>
      </c>
      <c r="F66" s="188">
        <v>45870</v>
      </c>
      <c r="G66" s="194"/>
      <c r="H66" s="194">
        <v>3150</v>
      </c>
      <c r="I66" s="194"/>
      <c r="J66" s="194"/>
      <c r="K66" s="194"/>
      <c r="L66" s="194"/>
    </row>
    <row r="67" spans="1:12" ht="12" hidden="1" customHeight="1" x14ac:dyDescent="0.3">
      <c r="A67" s="164" t="s">
        <v>368</v>
      </c>
      <c r="B67" s="167" t="s">
        <v>413</v>
      </c>
      <c r="C67" s="193" t="s">
        <v>406</v>
      </c>
      <c r="D67" s="193" t="s">
        <v>414</v>
      </c>
      <c r="E67" s="193" t="s">
        <v>404</v>
      </c>
      <c r="F67" s="188">
        <v>45839</v>
      </c>
      <c r="G67" s="194"/>
      <c r="H67" s="194">
        <v>2764</v>
      </c>
      <c r="I67" s="194"/>
      <c r="J67" s="194"/>
      <c r="K67" s="194"/>
      <c r="L67" s="194"/>
    </row>
    <row r="68" spans="1:12" ht="12" hidden="1" customHeight="1" x14ac:dyDescent="0.3">
      <c r="A68" s="164" t="s">
        <v>368</v>
      </c>
      <c r="B68" s="167" t="s">
        <v>413</v>
      </c>
      <c r="C68" s="193" t="s">
        <v>406</v>
      </c>
      <c r="D68" s="193" t="s">
        <v>414</v>
      </c>
      <c r="E68" s="193" t="s">
        <v>404</v>
      </c>
      <c r="F68" s="188">
        <v>45809</v>
      </c>
      <c r="G68" s="194"/>
      <c r="H68" s="194">
        <v>2632</v>
      </c>
      <c r="I68" s="194"/>
      <c r="J68" s="194"/>
      <c r="K68" s="194"/>
      <c r="L68" s="194"/>
    </row>
    <row r="69" spans="1:12" ht="12" hidden="1" customHeight="1" x14ac:dyDescent="0.3">
      <c r="A69" s="164" t="s">
        <v>368</v>
      </c>
      <c r="B69" s="167" t="s">
        <v>413</v>
      </c>
      <c r="C69" s="193" t="s">
        <v>406</v>
      </c>
      <c r="D69" s="193" t="s">
        <v>414</v>
      </c>
      <c r="E69" s="193" t="s">
        <v>404</v>
      </c>
      <c r="F69" s="188">
        <v>45778</v>
      </c>
      <c r="G69" s="194"/>
      <c r="H69" s="194">
        <v>2674</v>
      </c>
      <c r="I69" s="194"/>
      <c r="J69" s="194"/>
      <c r="K69" s="194"/>
      <c r="L69" s="194"/>
    </row>
    <row r="70" spans="1:12" ht="12" hidden="1" customHeight="1" x14ac:dyDescent="0.3">
      <c r="A70" s="164" t="s">
        <v>368</v>
      </c>
      <c r="B70" s="167" t="s">
        <v>413</v>
      </c>
      <c r="C70" s="193" t="s">
        <v>406</v>
      </c>
      <c r="D70" s="193" t="s">
        <v>414</v>
      </c>
      <c r="E70" s="193" t="s">
        <v>404</v>
      </c>
      <c r="F70" s="188">
        <v>45748</v>
      </c>
      <c r="G70" s="194"/>
      <c r="H70" s="194">
        <v>3021</v>
      </c>
      <c r="I70" s="194"/>
      <c r="J70" s="194"/>
      <c r="K70" s="194"/>
      <c r="L70" s="194"/>
    </row>
    <row r="71" spans="1:12" ht="12" hidden="1" customHeight="1" x14ac:dyDescent="0.3">
      <c r="A71" s="164" t="s">
        <v>368</v>
      </c>
      <c r="B71" s="167" t="s">
        <v>413</v>
      </c>
      <c r="C71" s="193" t="s">
        <v>406</v>
      </c>
      <c r="D71" s="193" t="s">
        <v>414</v>
      </c>
      <c r="E71" s="193" t="s">
        <v>404</v>
      </c>
      <c r="F71" s="188">
        <v>45717</v>
      </c>
      <c r="G71" s="194"/>
      <c r="H71" s="194">
        <v>3538</v>
      </c>
      <c r="I71" s="194"/>
      <c r="J71" s="194"/>
      <c r="K71" s="194"/>
      <c r="L71" s="194"/>
    </row>
    <row r="72" spans="1:12" ht="12" hidden="1" customHeight="1" x14ac:dyDescent="0.3">
      <c r="A72" s="164" t="s">
        <v>368</v>
      </c>
      <c r="B72" s="167" t="s">
        <v>413</v>
      </c>
      <c r="C72" s="193" t="s">
        <v>406</v>
      </c>
      <c r="D72" s="193" t="s">
        <v>414</v>
      </c>
      <c r="E72" s="193" t="s">
        <v>404</v>
      </c>
      <c r="F72" s="188">
        <v>45689</v>
      </c>
      <c r="G72" s="194"/>
      <c r="H72" s="194">
        <v>4767</v>
      </c>
      <c r="I72" s="194"/>
      <c r="J72" s="194"/>
      <c r="K72" s="194"/>
      <c r="L72" s="194"/>
    </row>
    <row r="73" spans="1:12" ht="12" hidden="1" customHeight="1" x14ac:dyDescent="0.3">
      <c r="A73" s="164" t="s">
        <v>368</v>
      </c>
      <c r="B73" s="167" t="s">
        <v>413</v>
      </c>
      <c r="C73" s="193" t="s">
        <v>406</v>
      </c>
      <c r="D73" s="193" t="s">
        <v>414</v>
      </c>
      <c r="E73" s="193" t="s">
        <v>404</v>
      </c>
      <c r="F73" s="188">
        <v>45658</v>
      </c>
      <c r="G73" s="194"/>
      <c r="H73" s="194">
        <v>4423</v>
      </c>
      <c r="I73" s="194"/>
      <c r="J73" s="194"/>
      <c r="K73" s="194"/>
      <c r="L73" s="194"/>
    </row>
    <row r="74" spans="1:12" ht="12" hidden="1" customHeight="1" x14ac:dyDescent="0.3">
      <c r="A74" s="164" t="s">
        <v>368</v>
      </c>
      <c r="B74" s="167" t="s">
        <v>80</v>
      </c>
      <c r="C74" s="193" t="s">
        <v>415</v>
      </c>
      <c r="D74" s="193" t="s">
        <v>416</v>
      </c>
      <c r="E74" s="193" t="s">
        <v>404</v>
      </c>
      <c r="F74" s="188">
        <v>45992</v>
      </c>
      <c r="G74" s="194"/>
      <c r="H74" s="194">
        <v>11642</v>
      </c>
      <c r="I74" s="194"/>
      <c r="J74" s="194"/>
      <c r="K74" s="194"/>
      <c r="L74" s="194"/>
    </row>
    <row r="75" spans="1:12" ht="12" hidden="1" customHeight="1" x14ac:dyDescent="0.3">
      <c r="A75" s="164" t="s">
        <v>368</v>
      </c>
      <c r="B75" s="167" t="s">
        <v>80</v>
      </c>
      <c r="C75" s="193" t="s">
        <v>415</v>
      </c>
      <c r="D75" s="193" t="s">
        <v>416</v>
      </c>
      <c r="E75" s="193" t="s">
        <v>404</v>
      </c>
      <c r="F75" s="188">
        <v>45962</v>
      </c>
      <c r="G75" s="194"/>
      <c r="H75" s="194">
        <v>12098</v>
      </c>
      <c r="I75" s="194"/>
      <c r="J75" s="194"/>
      <c r="K75" s="194"/>
      <c r="L75" s="194"/>
    </row>
    <row r="76" spans="1:12" ht="12" hidden="1" customHeight="1" x14ac:dyDescent="0.3">
      <c r="A76" s="164" t="s">
        <v>368</v>
      </c>
      <c r="B76" s="167" t="s">
        <v>80</v>
      </c>
      <c r="C76" s="193" t="s">
        <v>415</v>
      </c>
      <c r="D76" s="193" t="s">
        <v>416</v>
      </c>
      <c r="E76" s="193" t="s">
        <v>404</v>
      </c>
      <c r="F76" s="188">
        <v>45931</v>
      </c>
      <c r="G76" s="194"/>
      <c r="H76" s="194">
        <v>10947</v>
      </c>
      <c r="I76" s="194"/>
      <c r="J76" s="194"/>
      <c r="K76" s="194"/>
      <c r="L76" s="194"/>
    </row>
    <row r="77" spans="1:12" ht="12" hidden="1" customHeight="1" x14ac:dyDescent="0.3">
      <c r="A77" s="164" t="s">
        <v>368</v>
      </c>
      <c r="B77" s="167" t="s">
        <v>80</v>
      </c>
      <c r="C77" s="193" t="s">
        <v>415</v>
      </c>
      <c r="D77" s="193" t="s">
        <v>416</v>
      </c>
      <c r="E77" s="193" t="s">
        <v>404</v>
      </c>
      <c r="F77" s="188">
        <v>45901</v>
      </c>
      <c r="G77" s="194"/>
      <c r="H77" s="194">
        <v>11071</v>
      </c>
      <c r="I77" s="194"/>
      <c r="J77" s="194"/>
      <c r="K77" s="194"/>
      <c r="L77" s="194"/>
    </row>
    <row r="78" spans="1:12" ht="12" hidden="1" customHeight="1" x14ac:dyDescent="0.3">
      <c r="A78" s="164" t="s">
        <v>368</v>
      </c>
      <c r="B78" s="167" t="s">
        <v>80</v>
      </c>
      <c r="C78" s="193" t="s">
        <v>415</v>
      </c>
      <c r="D78" s="193" t="s">
        <v>416</v>
      </c>
      <c r="E78" s="193" t="s">
        <v>404</v>
      </c>
      <c r="F78" s="188">
        <v>45870</v>
      </c>
      <c r="G78" s="194"/>
      <c r="H78" s="194">
        <v>8554</v>
      </c>
      <c r="I78" s="194"/>
      <c r="J78" s="194"/>
      <c r="K78" s="194"/>
      <c r="L78" s="194"/>
    </row>
    <row r="79" spans="1:12" ht="12" hidden="1" customHeight="1" x14ac:dyDescent="0.3">
      <c r="A79" s="164" t="s">
        <v>368</v>
      </c>
      <c r="B79" s="167" t="s">
        <v>80</v>
      </c>
      <c r="C79" s="193" t="s">
        <v>415</v>
      </c>
      <c r="D79" s="193" t="s">
        <v>416</v>
      </c>
      <c r="E79" s="193" t="s">
        <v>404</v>
      </c>
      <c r="F79" s="188">
        <v>45839</v>
      </c>
      <c r="G79" s="194"/>
      <c r="H79" s="194">
        <v>8738</v>
      </c>
      <c r="I79" s="194"/>
      <c r="J79" s="194"/>
      <c r="K79" s="194"/>
      <c r="L79" s="194"/>
    </row>
    <row r="80" spans="1:12" ht="12" hidden="1" customHeight="1" x14ac:dyDescent="0.3">
      <c r="A80" s="164" t="s">
        <v>368</v>
      </c>
      <c r="B80" s="167" t="s">
        <v>80</v>
      </c>
      <c r="C80" s="193" t="s">
        <v>415</v>
      </c>
      <c r="D80" s="193" t="s">
        <v>416</v>
      </c>
      <c r="E80" s="193" t="s">
        <v>404</v>
      </c>
      <c r="F80" s="188">
        <v>45809</v>
      </c>
      <c r="G80" s="194"/>
      <c r="H80" s="194">
        <v>6483</v>
      </c>
      <c r="I80" s="194"/>
      <c r="J80" s="194"/>
      <c r="K80" s="194"/>
      <c r="L80" s="194"/>
    </row>
    <row r="81" spans="1:12" ht="12" hidden="1" customHeight="1" x14ac:dyDescent="0.3">
      <c r="A81" s="164" t="s">
        <v>368</v>
      </c>
      <c r="B81" s="167" t="s">
        <v>80</v>
      </c>
      <c r="C81" s="193" t="s">
        <v>415</v>
      </c>
      <c r="D81" s="193" t="s">
        <v>416</v>
      </c>
      <c r="E81" s="193" t="s">
        <v>404</v>
      </c>
      <c r="F81" s="188">
        <v>45778</v>
      </c>
      <c r="G81" s="194"/>
      <c r="H81" s="194">
        <v>6394</v>
      </c>
      <c r="I81" s="194"/>
      <c r="J81" s="194"/>
      <c r="K81" s="194"/>
      <c r="L81" s="194"/>
    </row>
    <row r="82" spans="1:12" ht="12" hidden="1" customHeight="1" x14ac:dyDescent="0.3">
      <c r="A82" s="164" t="s">
        <v>368</v>
      </c>
      <c r="B82" s="167" t="s">
        <v>80</v>
      </c>
      <c r="C82" s="193" t="s">
        <v>415</v>
      </c>
      <c r="D82" s="193" t="s">
        <v>416</v>
      </c>
      <c r="E82" s="193" t="s">
        <v>404</v>
      </c>
      <c r="F82" s="188">
        <v>45748</v>
      </c>
      <c r="G82" s="194"/>
      <c r="H82" s="194">
        <v>7229</v>
      </c>
      <c r="I82" s="194"/>
      <c r="J82" s="194"/>
      <c r="K82" s="194"/>
      <c r="L82" s="194"/>
    </row>
    <row r="83" spans="1:12" ht="12" hidden="1" customHeight="1" x14ac:dyDescent="0.3">
      <c r="A83" s="164" t="s">
        <v>368</v>
      </c>
      <c r="B83" s="167" t="s">
        <v>80</v>
      </c>
      <c r="C83" s="193" t="s">
        <v>415</v>
      </c>
      <c r="D83" s="193" t="s">
        <v>416</v>
      </c>
      <c r="E83" s="193" t="s">
        <v>404</v>
      </c>
      <c r="F83" s="188">
        <v>45717</v>
      </c>
      <c r="G83" s="194"/>
      <c r="H83" s="194">
        <v>8490</v>
      </c>
      <c r="I83" s="194"/>
      <c r="J83" s="194"/>
      <c r="K83" s="194"/>
      <c r="L83" s="194"/>
    </row>
    <row r="84" spans="1:12" ht="12" hidden="1" customHeight="1" x14ac:dyDescent="0.3">
      <c r="A84" s="164" t="s">
        <v>368</v>
      </c>
      <c r="B84" s="167" t="s">
        <v>80</v>
      </c>
      <c r="C84" s="193" t="s">
        <v>415</v>
      </c>
      <c r="D84" s="193" t="s">
        <v>416</v>
      </c>
      <c r="E84" s="193" t="s">
        <v>404</v>
      </c>
      <c r="F84" s="188">
        <v>45689</v>
      </c>
      <c r="G84" s="194"/>
      <c r="H84" s="194">
        <v>10825</v>
      </c>
      <c r="I84" s="194"/>
      <c r="J84" s="194"/>
      <c r="K84" s="194"/>
      <c r="L84" s="194"/>
    </row>
    <row r="85" spans="1:12" ht="12" hidden="1" customHeight="1" x14ac:dyDescent="0.3">
      <c r="A85" s="164" t="s">
        <v>368</v>
      </c>
      <c r="B85" s="167" t="s">
        <v>80</v>
      </c>
      <c r="C85" s="193" t="s">
        <v>415</v>
      </c>
      <c r="D85" s="193" t="s">
        <v>416</v>
      </c>
      <c r="E85" s="193" t="s">
        <v>404</v>
      </c>
      <c r="F85" s="188">
        <v>45658</v>
      </c>
      <c r="G85" s="194"/>
      <c r="H85" s="194">
        <v>10042</v>
      </c>
      <c r="I85" s="194"/>
      <c r="J85" s="194"/>
      <c r="K85" s="194"/>
      <c r="L85" s="194"/>
    </row>
    <row r="86" spans="1:12" ht="12" hidden="1" customHeight="1" x14ac:dyDescent="0.3">
      <c r="A86" s="164" t="s">
        <v>368</v>
      </c>
      <c r="B86" s="167" t="s">
        <v>417</v>
      </c>
      <c r="C86" s="193" t="s">
        <v>418</v>
      </c>
      <c r="D86" s="193" t="s">
        <v>419</v>
      </c>
      <c r="E86" s="193" t="s">
        <v>404</v>
      </c>
      <c r="F86" s="188">
        <v>45992</v>
      </c>
      <c r="G86" s="194"/>
      <c r="H86" s="194">
        <v>1422</v>
      </c>
      <c r="I86" s="194"/>
      <c r="J86" s="194"/>
      <c r="K86" s="194"/>
      <c r="L86" s="194"/>
    </row>
    <row r="87" spans="1:12" ht="12" hidden="1" customHeight="1" x14ac:dyDescent="0.3">
      <c r="A87" s="164" t="s">
        <v>368</v>
      </c>
      <c r="B87" s="167" t="s">
        <v>417</v>
      </c>
      <c r="C87" s="193" t="s">
        <v>418</v>
      </c>
      <c r="D87" s="193" t="s">
        <v>419</v>
      </c>
      <c r="E87" s="193" t="s">
        <v>404</v>
      </c>
      <c r="F87" s="188">
        <v>45962</v>
      </c>
      <c r="G87" s="194"/>
      <c r="H87" s="194">
        <v>870</v>
      </c>
      <c r="I87" s="194"/>
      <c r="J87" s="194"/>
      <c r="K87" s="194"/>
      <c r="L87" s="194"/>
    </row>
    <row r="88" spans="1:12" ht="12" hidden="1" customHeight="1" x14ac:dyDescent="0.3">
      <c r="A88" s="164" t="s">
        <v>368</v>
      </c>
      <c r="B88" s="167" t="s">
        <v>417</v>
      </c>
      <c r="C88" s="193" t="s">
        <v>418</v>
      </c>
      <c r="D88" s="193" t="s">
        <v>419</v>
      </c>
      <c r="E88" s="193" t="s">
        <v>404</v>
      </c>
      <c r="F88" s="188">
        <v>45931</v>
      </c>
      <c r="G88" s="194"/>
      <c r="H88" s="194">
        <v>1129</v>
      </c>
      <c r="I88" s="194"/>
      <c r="J88" s="194"/>
      <c r="K88" s="194"/>
      <c r="L88" s="194"/>
    </row>
    <row r="89" spans="1:12" ht="12" hidden="1" customHeight="1" x14ac:dyDescent="0.3">
      <c r="A89" s="164" t="s">
        <v>368</v>
      </c>
      <c r="B89" s="167" t="s">
        <v>417</v>
      </c>
      <c r="C89" s="193" t="s">
        <v>418</v>
      </c>
      <c r="D89" s="193" t="s">
        <v>419</v>
      </c>
      <c r="E89" s="193" t="s">
        <v>404</v>
      </c>
      <c r="F89" s="188">
        <v>45901</v>
      </c>
      <c r="G89" s="194"/>
      <c r="H89" s="194">
        <v>1101</v>
      </c>
      <c r="I89" s="194"/>
      <c r="J89" s="194"/>
      <c r="K89" s="194"/>
      <c r="L89" s="194"/>
    </row>
    <row r="90" spans="1:12" ht="12" hidden="1" customHeight="1" x14ac:dyDescent="0.3">
      <c r="A90" s="164" t="s">
        <v>368</v>
      </c>
      <c r="B90" s="167" t="s">
        <v>417</v>
      </c>
      <c r="C90" s="193" t="s">
        <v>418</v>
      </c>
      <c r="D90" s="193" t="s">
        <v>419</v>
      </c>
      <c r="E90" s="193" t="s">
        <v>404</v>
      </c>
      <c r="F90" s="188">
        <v>45870</v>
      </c>
      <c r="G90" s="194"/>
      <c r="H90" s="194">
        <v>1063</v>
      </c>
      <c r="I90" s="194"/>
      <c r="J90" s="194"/>
      <c r="K90" s="194"/>
      <c r="L90" s="194"/>
    </row>
    <row r="91" spans="1:12" ht="12" hidden="1" customHeight="1" x14ac:dyDescent="0.3">
      <c r="A91" s="164" t="s">
        <v>368</v>
      </c>
      <c r="B91" s="167" t="s">
        <v>417</v>
      </c>
      <c r="C91" s="193" t="s">
        <v>418</v>
      </c>
      <c r="D91" s="193" t="s">
        <v>419</v>
      </c>
      <c r="E91" s="193" t="s">
        <v>404</v>
      </c>
      <c r="F91" s="188">
        <v>45839</v>
      </c>
      <c r="G91" s="194"/>
      <c r="H91" s="194">
        <v>1337</v>
      </c>
      <c r="I91" s="194"/>
      <c r="J91" s="194"/>
      <c r="K91" s="194"/>
      <c r="L91" s="194"/>
    </row>
    <row r="92" spans="1:12" ht="12" hidden="1" customHeight="1" x14ac:dyDescent="0.3">
      <c r="A92" s="164" t="s">
        <v>368</v>
      </c>
      <c r="B92" s="167" t="s">
        <v>417</v>
      </c>
      <c r="C92" s="193" t="s">
        <v>418</v>
      </c>
      <c r="D92" s="193" t="s">
        <v>419</v>
      </c>
      <c r="E92" s="193" t="s">
        <v>404</v>
      </c>
      <c r="F92" s="188">
        <v>45809</v>
      </c>
      <c r="G92" s="194"/>
      <c r="H92" s="194">
        <v>1131</v>
      </c>
      <c r="I92" s="194"/>
      <c r="J92" s="194"/>
      <c r="K92" s="194"/>
      <c r="L92" s="194"/>
    </row>
    <row r="93" spans="1:12" ht="12" hidden="1" customHeight="1" x14ac:dyDescent="0.3">
      <c r="A93" s="164" t="s">
        <v>368</v>
      </c>
      <c r="B93" s="167" t="s">
        <v>417</v>
      </c>
      <c r="C93" s="193" t="s">
        <v>418</v>
      </c>
      <c r="D93" s="193" t="s">
        <v>419</v>
      </c>
      <c r="E93" s="193" t="s">
        <v>404</v>
      </c>
      <c r="F93" s="188">
        <v>45778</v>
      </c>
      <c r="G93" s="194"/>
      <c r="H93" s="194">
        <v>1383</v>
      </c>
      <c r="I93" s="194"/>
      <c r="J93" s="194"/>
      <c r="K93" s="194"/>
      <c r="L93" s="194"/>
    </row>
    <row r="94" spans="1:12" ht="12" hidden="1" customHeight="1" x14ac:dyDescent="0.3">
      <c r="A94" s="164" t="s">
        <v>368</v>
      </c>
      <c r="B94" s="167" t="s">
        <v>417</v>
      </c>
      <c r="C94" s="193" t="s">
        <v>418</v>
      </c>
      <c r="D94" s="193" t="s">
        <v>419</v>
      </c>
      <c r="E94" s="193" t="s">
        <v>404</v>
      </c>
      <c r="F94" s="188">
        <v>45748</v>
      </c>
      <c r="G94" s="194"/>
      <c r="H94" s="194">
        <v>1211</v>
      </c>
      <c r="I94" s="194"/>
      <c r="J94" s="194"/>
      <c r="K94" s="194"/>
      <c r="L94" s="194"/>
    </row>
    <row r="95" spans="1:12" ht="12" hidden="1" customHeight="1" x14ac:dyDescent="0.3">
      <c r="A95" s="164" t="s">
        <v>368</v>
      </c>
      <c r="B95" s="167" t="s">
        <v>417</v>
      </c>
      <c r="C95" s="193" t="s">
        <v>418</v>
      </c>
      <c r="D95" s="193" t="s">
        <v>419</v>
      </c>
      <c r="E95" s="193" t="s">
        <v>404</v>
      </c>
      <c r="F95" s="188">
        <v>45717</v>
      </c>
      <c r="G95" s="194"/>
      <c r="H95" s="194">
        <v>1522</v>
      </c>
      <c r="I95" s="194"/>
      <c r="J95" s="194"/>
      <c r="K95" s="194"/>
      <c r="L95" s="194"/>
    </row>
    <row r="96" spans="1:12" ht="12" hidden="1" customHeight="1" x14ac:dyDescent="0.3">
      <c r="A96" s="164" t="s">
        <v>368</v>
      </c>
      <c r="B96" s="167" t="s">
        <v>417</v>
      </c>
      <c r="C96" s="193" t="s">
        <v>418</v>
      </c>
      <c r="D96" s="193" t="s">
        <v>419</v>
      </c>
      <c r="E96" s="193" t="s">
        <v>404</v>
      </c>
      <c r="F96" s="188">
        <v>45689</v>
      </c>
      <c r="G96" s="194"/>
      <c r="H96" s="194">
        <v>1553</v>
      </c>
      <c r="I96" s="194"/>
      <c r="J96" s="194"/>
      <c r="K96" s="194"/>
      <c r="L96" s="194"/>
    </row>
    <row r="97" spans="1:12" ht="12" hidden="1" customHeight="1" x14ac:dyDescent="0.3">
      <c r="A97" s="164" t="s">
        <v>368</v>
      </c>
      <c r="B97" s="167" t="s">
        <v>417</v>
      </c>
      <c r="C97" s="193" t="s">
        <v>418</v>
      </c>
      <c r="D97" s="193" t="s">
        <v>419</v>
      </c>
      <c r="E97" s="193" t="s">
        <v>404</v>
      </c>
      <c r="F97" s="188">
        <v>45658</v>
      </c>
      <c r="G97" s="194"/>
      <c r="H97" s="194">
        <v>1554</v>
      </c>
      <c r="I97" s="194"/>
      <c r="J97" s="194"/>
      <c r="K97" s="194"/>
      <c r="L97" s="194"/>
    </row>
    <row r="98" spans="1:12" ht="12" customHeight="1" x14ac:dyDescent="0.3">
      <c r="A98" s="164" t="s">
        <v>370</v>
      </c>
      <c r="B98" s="167" t="s">
        <v>379</v>
      </c>
      <c r="C98" s="193" t="s">
        <v>420</v>
      </c>
      <c r="D98" s="193" t="s">
        <v>421</v>
      </c>
      <c r="E98" s="193" t="s">
        <v>422</v>
      </c>
      <c r="F98" s="188">
        <v>45992</v>
      </c>
      <c r="G98" s="194">
        <v>1502.26</v>
      </c>
      <c r="H98" s="194">
        <v>7234.75</v>
      </c>
      <c r="I98" s="194">
        <v>56.45</v>
      </c>
      <c r="J98" s="194">
        <v>112.3</v>
      </c>
      <c r="K98" s="194">
        <v>88631.7</v>
      </c>
      <c r="L98" s="194">
        <v>8737</v>
      </c>
    </row>
    <row r="99" spans="1:12" ht="12" customHeight="1" x14ac:dyDescent="0.3">
      <c r="A99" s="164" t="s">
        <v>370</v>
      </c>
      <c r="B99" s="167" t="s">
        <v>379</v>
      </c>
      <c r="C99" s="193" t="s">
        <v>420</v>
      </c>
      <c r="D99" s="193" t="s">
        <v>421</v>
      </c>
      <c r="E99" s="193" t="s">
        <v>422</v>
      </c>
      <c r="F99" s="188">
        <v>45962</v>
      </c>
      <c r="G99" s="194">
        <v>1235.1400000000001</v>
      </c>
      <c r="H99" s="194">
        <v>6608.62</v>
      </c>
      <c r="I99" s="194">
        <v>102.14</v>
      </c>
      <c r="J99" s="194">
        <v>108.19</v>
      </c>
      <c r="K99" s="194">
        <v>91030.5</v>
      </c>
      <c r="L99" s="194">
        <v>7844</v>
      </c>
    </row>
    <row r="100" spans="1:12" ht="12" customHeight="1" x14ac:dyDescent="0.3">
      <c r="A100" s="164" t="s">
        <v>370</v>
      </c>
      <c r="B100" s="167" t="s">
        <v>379</v>
      </c>
      <c r="C100" s="193" t="s">
        <v>420</v>
      </c>
      <c r="D100" s="193" t="s">
        <v>421</v>
      </c>
      <c r="E100" s="193" t="s">
        <v>422</v>
      </c>
      <c r="F100" s="188">
        <v>45931</v>
      </c>
      <c r="G100" s="194">
        <v>1434.05</v>
      </c>
      <c r="H100" s="194">
        <v>8440.99</v>
      </c>
      <c r="I100" s="194">
        <v>38.299999999999997</v>
      </c>
      <c r="J100" s="194">
        <v>147.16999999999999</v>
      </c>
      <c r="K100" s="194">
        <v>73160.100000000006</v>
      </c>
      <c r="L100" s="194">
        <v>9875</v>
      </c>
    </row>
    <row r="101" spans="1:12" ht="12" customHeight="1" x14ac:dyDescent="0.3">
      <c r="A101" s="164" t="s">
        <v>370</v>
      </c>
      <c r="B101" s="167" t="s">
        <v>379</v>
      </c>
      <c r="C101" s="193" t="s">
        <v>420</v>
      </c>
      <c r="D101" s="193" t="s">
        <v>421</v>
      </c>
      <c r="E101" s="193" t="s">
        <v>422</v>
      </c>
      <c r="F101" s="188">
        <v>45901</v>
      </c>
      <c r="G101" s="194">
        <v>9308.3799999999992</v>
      </c>
      <c r="H101" s="194">
        <v>66288.600000000006</v>
      </c>
      <c r="I101" s="194">
        <v>821.18</v>
      </c>
      <c r="J101" s="194">
        <v>782.88</v>
      </c>
      <c r="K101" s="194">
        <v>78203</v>
      </c>
      <c r="L101" s="194">
        <v>75597</v>
      </c>
    </row>
    <row r="102" spans="1:12" ht="12" customHeight="1" x14ac:dyDescent="0.3">
      <c r="A102" s="164" t="s">
        <v>370</v>
      </c>
      <c r="B102" s="167" t="s">
        <v>379</v>
      </c>
      <c r="C102" s="193" t="s">
        <v>420</v>
      </c>
      <c r="D102" s="193" t="s">
        <v>421</v>
      </c>
      <c r="E102" s="193" t="s">
        <v>422</v>
      </c>
      <c r="F102" s="188">
        <v>45870</v>
      </c>
      <c r="G102" s="194">
        <v>32243.23</v>
      </c>
      <c r="H102" s="194">
        <v>262311.67</v>
      </c>
      <c r="I102" s="194">
        <v>1065.1199999999999</v>
      </c>
      <c r="J102" s="194">
        <v>1015.39</v>
      </c>
      <c r="K102" s="194">
        <v>79815.600000000006</v>
      </c>
      <c r="L102" s="194">
        <v>37261</v>
      </c>
    </row>
    <row r="103" spans="1:12" ht="12" customHeight="1" x14ac:dyDescent="0.3">
      <c r="A103" s="164" t="s">
        <v>370</v>
      </c>
      <c r="B103" s="167" t="s">
        <v>379</v>
      </c>
      <c r="C103" s="193" t="s">
        <v>420</v>
      </c>
      <c r="D103" s="193" t="s">
        <v>421</v>
      </c>
      <c r="E103" s="193" t="s">
        <v>422</v>
      </c>
      <c r="F103" s="188">
        <v>45839</v>
      </c>
      <c r="G103" s="194">
        <v>39585.5</v>
      </c>
      <c r="H103" s="194">
        <v>256951.97</v>
      </c>
      <c r="I103" s="194">
        <v>1024.8</v>
      </c>
      <c r="J103" s="194">
        <v>993.89</v>
      </c>
      <c r="K103" s="194">
        <v>76551.199999999997</v>
      </c>
      <c r="L103" s="194">
        <v>10848</v>
      </c>
    </row>
    <row r="104" spans="1:12" ht="12" customHeight="1" x14ac:dyDescent="0.3">
      <c r="A104" s="164" t="s">
        <v>370</v>
      </c>
      <c r="B104" s="167" t="s">
        <v>379</v>
      </c>
      <c r="C104" s="193" t="s">
        <v>420</v>
      </c>
      <c r="D104" s="193" t="s">
        <v>421</v>
      </c>
      <c r="E104" s="193" t="s">
        <v>422</v>
      </c>
      <c r="F104" s="188">
        <v>45809</v>
      </c>
      <c r="G104" s="194">
        <v>16950.02</v>
      </c>
      <c r="H104" s="194">
        <v>116048.52</v>
      </c>
      <c r="I104" s="194">
        <v>870.91</v>
      </c>
      <c r="J104" s="194">
        <v>868.22</v>
      </c>
      <c r="K104" s="194">
        <v>60380.6</v>
      </c>
      <c r="L104" s="194">
        <v>24600</v>
      </c>
    </row>
    <row r="105" spans="1:12" ht="12" customHeight="1" x14ac:dyDescent="0.3">
      <c r="A105" s="164" t="s">
        <v>370</v>
      </c>
      <c r="B105" s="167" t="s">
        <v>379</v>
      </c>
      <c r="C105" s="193" t="s">
        <v>420</v>
      </c>
      <c r="D105" s="193" t="s">
        <v>421</v>
      </c>
      <c r="E105" s="193" t="s">
        <v>422</v>
      </c>
      <c r="F105" s="188">
        <v>45778</v>
      </c>
      <c r="G105" s="194">
        <v>6013.73</v>
      </c>
      <c r="H105" s="194">
        <v>51218.33</v>
      </c>
      <c r="I105" s="194">
        <v>452.93</v>
      </c>
      <c r="J105" s="194">
        <v>456.96</v>
      </c>
      <c r="K105" s="194">
        <v>78227.5</v>
      </c>
      <c r="L105" s="194">
        <v>55127</v>
      </c>
    </row>
    <row r="106" spans="1:12" ht="12" customHeight="1" x14ac:dyDescent="0.3">
      <c r="A106" s="164" t="s">
        <v>370</v>
      </c>
      <c r="B106" s="167" t="s">
        <v>379</v>
      </c>
      <c r="C106" s="193" t="s">
        <v>420</v>
      </c>
      <c r="D106" s="193" t="s">
        <v>421</v>
      </c>
      <c r="E106" s="193" t="s">
        <v>422</v>
      </c>
      <c r="F106" s="188">
        <v>45748</v>
      </c>
      <c r="G106" s="194">
        <v>2938.32</v>
      </c>
      <c r="H106" s="194">
        <v>38550.46</v>
      </c>
      <c r="I106" s="194">
        <v>441.5</v>
      </c>
      <c r="J106" s="194">
        <v>485.18</v>
      </c>
      <c r="K106" s="194">
        <v>62725.4</v>
      </c>
      <c r="L106" s="194">
        <v>41488</v>
      </c>
    </row>
    <row r="107" spans="1:12" ht="12" customHeight="1" x14ac:dyDescent="0.3">
      <c r="A107" s="164" t="s">
        <v>370</v>
      </c>
      <c r="B107" s="167" t="s">
        <v>379</v>
      </c>
      <c r="C107" s="193" t="s">
        <v>420</v>
      </c>
      <c r="D107" s="193" t="s">
        <v>421</v>
      </c>
      <c r="E107" s="193" t="s">
        <v>422</v>
      </c>
      <c r="F107" s="188">
        <v>45717</v>
      </c>
      <c r="G107" s="194">
        <v>17348.349999999999</v>
      </c>
      <c r="H107" s="194">
        <v>153225.91</v>
      </c>
      <c r="I107" s="194">
        <v>831.26</v>
      </c>
      <c r="J107" s="194">
        <v>799.01</v>
      </c>
      <c r="K107" s="194">
        <v>89858.2</v>
      </c>
      <c r="L107" s="194">
        <v>32411</v>
      </c>
    </row>
    <row r="108" spans="1:12" ht="12" customHeight="1" x14ac:dyDescent="0.3">
      <c r="A108" s="164" t="s">
        <v>370</v>
      </c>
      <c r="B108" s="167" t="s">
        <v>379</v>
      </c>
      <c r="C108" s="193" t="s">
        <v>420</v>
      </c>
      <c r="D108" s="193" t="s">
        <v>421</v>
      </c>
      <c r="E108" s="193" t="s">
        <v>422</v>
      </c>
      <c r="F108" s="188">
        <v>45689</v>
      </c>
      <c r="G108" s="194">
        <v>29874.6</v>
      </c>
      <c r="H108" s="194">
        <v>172378.75</v>
      </c>
      <c r="I108" s="194">
        <v>846.05</v>
      </c>
      <c r="J108" s="194">
        <v>864.19</v>
      </c>
      <c r="K108" s="194">
        <v>76124.399999999994</v>
      </c>
      <c r="L108" s="194">
        <v>188910</v>
      </c>
    </row>
    <row r="109" spans="1:12" ht="12" customHeight="1" x14ac:dyDescent="0.3">
      <c r="A109" s="164" t="s">
        <v>370</v>
      </c>
      <c r="B109" s="167" t="s">
        <v>379</v>
      </c>
      <c r="C109" s="193" t="s">
        <v>420</v>
      </c>
      <c r="D109" s="193" t="s">
        <v>421</v>
      </c>
      <c r="E109" s="193" t="s">
        <v>422</v>
      </c>
      <c r="F109" s="188">
        <v>45658</v>
      </c>
      <c r="G109" s="194">
        <v>9630.94</v>
      </c>
      <c r="H109" s="194">
        <v>45354.62</v>
      </c>
      <c r="I109" s="194">
        <v>605.47</v>
      </c>
      <c r="J109" s="194">
        <v>516.77</v>
      </c>
      <c r="K109" s="194">
        <v>83461.899999999994</v>
      </c>
      <c r="L109" s="194">
        <v>54986</v>
      </c>
    </row>
    <row r="110" spans="1:12" ht="12" hidden="1" customHeight="1" x14ac:dyDescent="0.3">
      <c r="A110" s="164" t="s">
        <v>368</v>
      </c>
      <c r="B110" s="167" t="s">
        <v>423</v>
      </c>
      <c r="C110" s="193" t="s">
        <v>424</v>
      </c>
      <c r="D110" s="193" t="s">
        <v>425</v>
      </c>
      <c r="E110" s="193" t="s">
        <v>404</v>
      </c>
      <c r="F110" s="188">
        <v>45992</v>
      </c>
      <c r="G110" s="194"/>
      <c r="H110" s="194">
        <v>838</v>
      </c>
      <c r="I110" s="194"/>
      <c r="J110" s="194"/>
      <c r="K110" s="194"/>
      <c r="L110" s="194"/>
    </row>
    <row r="111" spans="1:12" ht="12" hidden="1" customHeight="1" x14ac:dyDescent="0.3">
      <c r="A111" s="164" t="s">
        <v>368</v>
      </c>
      <c r="B111" s="167" t="s">
        <v>423</v>
      </c>
      <c r="C111" s="193" t="s">
        <v>424</v>
      </c>
      <c r="D111" s="193" t="s">
        <v>425</v>
      </c>
      <c r="E111" s="193" t="s">
        <v>404</v>
      </c>
      <c r="F111" s="188">
        <v>45962</v>
      </c>
      <c r="G111" s="194"/>
      <c r="H111" s="194">
        <v>925</v>
      </c>
      <c r="I111" s="194"/>
      <c r="J111" s="194"/>
      <c r="K111" s="194"/>
      <c r="L111" s="194"/>
    </row>
    <row r="112" spans="1:12" ht="12" hidden="1" customHeight="1" x14ac:dyDescent="0.3">
      <c r="A112" s="164" t="s">
        <v>368</v>
      </c>
      <c r="B112" s="167" t="s">
        <v>423</v>
      </c>
      <c r="C112" s="193" t="s">
        <v>424</v>
      </c>
      <c r="D112" s="193" t="s">
        <v>425</v>
      </c>
      <c r="E112" s="193" t="s">
        <v>404</v>
      </c>
      <c r="F112" s="188">
        <v>45931</v>
      </c>
      <c r="G112" s="194"/>
      <c r="H112" s="194">
        <v>943</v>
      </c>
      <c r="I112" s="194"/>
      <c r="J112" s="194"/>
      <c r="K112" s="194"/>
      <c r="L112" s="194"/>
    </row>
    <row r="113" spans="1:18" ht="12" hidden="1" customHeight="1" x14ac:dyDescent="0.3">
      <c r="A113" s="164" t="s">
        <v>368</v>
      </c>
      <c r="B113" s="167" t="s">
        <v>423</v>
      </c>
      <c r="C113" s="193" t="s">
        <v>424</v>
      </c>
      <c r="D113" s="193" t="s">
        <v>425</v>
      </c>
      <c r="E113" s="193" t="s">
        <v>404</v>
      </c>
      <c r="F113" s="188">
        <v>45901</v>
      </c>
      <c r="G113" s="194"/>
      <c r="H113" s="194">
        <v>719</v>
      </c>
      <c r="I113" s="194"/>
      <c r="J113" s="194"/>
      <c r="K113" s="194"/>
      <c r="L113" s="194"/>
    </row>
    <row r="114" spans="1:18" ht="12" hidden="1" customHeight="1" x14ac:dyDescent="0.3">
      <c r="A114" s="164" t="s">
        <v>368</v>
      </c>
      <c r="B114" s="167" t="s">
        <v>423</v>
      </c>
      <c r="C114" s="193" t="s">
        <v>424</v>
      </c>
      <c r="D114" s="193" t="s">
        <v>425</v>
      </c>
      <c r="E114" s="193" t="s">
        <v>404</v>
      </c>
      <c r="F114" s="188">
        <v>45870</v>
      </c>
      <c r="G114" s="194"/>
      <c r="H114" s="194">
        <v>816</v>
      </c>
      <c r="I114" s="194"/>
      <c r="J114" s="194"/>
      <c r="K114" s="194"/>
      <c r="L114" s="194"/>
    </row>
    <row r="115" spans="1:18" ht="12" hidden="1" customHeight="1" x14ac:dyDescent="0.3">
      <c r="A115" s="164" t="s">
        <v>368</v>
      </c>
      <c r="B115" s="167" t="s">
        <v>423</v>
      </c>
      <c r="C115" s="193" t="s">
        <v>424</v>
      </c>
      <c r="D115" s="193" t="s">
        <v>425</v>
      </c>
      <c r="E115" s="193" t="s">
        <v>404</v>
      </c>
      <c r="F115" s="188">
        <v>45839</v>
      </c>
      <c r="G115" s="194"/>
      <c r="H115" s="194">
        <v>899</v>
      </c>
      <c r="I115" s="194"/>
      <c r="J115" s="194"/>
      <c r="K115" s="194"/>
      <c r="L115" s="194"/>
    </row>
    <row r="116" spans="1:18" ht="12" hidden="1" customHeight="1" x14ac:dyDescent="0.3">
      <c r="A116" s="164" t="s">
        <v>368</v>
      </c>
      <c r="B116" s="167" t="s">
        <v>423</v>
      </c>
      <c r="C116" s="193" t="s">
        <v>424</v>
      </c>
      <c r="D116" s="193" t="s">
        <v>425</v>
      </c>
      <c r="E116" s="193" t="s">
        <v>404</v>
      </c>
      <c r="F116" s="188">
        <v>45809</v>
      </c>
      <c r="G116" s="194"/>
      <c r="H116" s="194">
        <v>1067</v>
      </c>
      <c r="I116" s="194"/>
      <c r="J116" s="194"/>
      <c r="K116" s="194"/>
      <c r="L116" s="194"/>
    </row>
    <row r="117" spans="1:18" ht="12" hidden="1" customHeight="1" x14ac:dyDescent="0.3">
      <c r="A117" s="164" t="s">
        <v>368</v>
      </c>
      <c r="B117" s="167" t="s">
        <v>423</v>
      </c>
      <c r="C117" s="193" t="s">
        <v>424</v>
      </c>
      <c r="D117" s="193" t="s">
        <v>425</v>
      </c>
      <c r="E117" s="193" t="s">
        <v>404</v>
      </c>
      <c r="F117" s="188">
        <v>45778</v>
      </c>
      <c r="G117" s="194"/>
      <c r="H117" s="194">
        <v>1146</v>
      </c>
      <c r="I117" s="194"/>
      <c r="J117" s="194"/>
      <c r="K117" s="194"/>
      <c r="L117" s="194"/>
    </row>
    <row r="118" spans="1:18" ht="12" hidden="1" customHeight="1" x14ac:dyDescent="0.3">
      <c r="A118" s="164" t="s">
        <v>368</v>
      </c>
      <c r="B118" s="167" t="s">
        <v>423</v>
      </c>
      <c r="C118" s="193" t="s">
        <v>424</v>
      </c>
      <c r="D118" s="193" t="s">
        <v>425</v>
      </c>
      <c r="E118" s="193" t="s">
        <v>404</v>
      </c>
      <c r="F118" s="188">
        <v>45748</v>
      </c>
      <c r="G118" s="194"/>
      <c r="H118" s="194">
        <v>1026</v>
      </c>
      <c r="I118" s="194"/>
      <c r="J118" s="194"/>
      <c r="K118" s="194"/>
      <c r="L118" s="194"/>
    </row>
    <row r="119" spans="1:18" ht="12" hidden="1" customHeight="1" x14ac:dyDescent="0.3">
      <c r="A119" s="164" t="s">
        <v>368</v>
      </c>
      <c r="B119" s="167" t="s">
        <v>423</v>
      </c>
      <c r="C119" s="193" t="s">
        <v>424</v>
      </c>
      <c r="D119" s="193" t="s">
        <v>425</v>
      </c>
      <c r="E119" s="193" t="s">
        <v>404</v>
      </c>
      <c r="F119" s="188">
        <v>45717</v>
      </c>
      <c r="G119" s="194"/>
      <c r="H119" s="194">
        <v>1030</v>
      </c>
      <c r="I119" s="194"/>
      <c r="J119" s="194"/>
      <c r="K119" s="194"/>
      <c r="L119" s="194"/>
    </row>
    <row r="120" spans="1:18" ht="12" hidden="1" customHeight="1" x14ac:dyDescent="0.3">
      <c r="A120" s="164" t="s">
        <v>368</v>
      </c>
      <c r="B120" s="167" t="s">
        <v>423</v>
      </c>
      <c r="C120" s="193" t="s">
        <v>424</v>
      </c>
      <c r="D120" s="193" t="s">
        <v>425</v>
      </c>
      <c r="E120" s="193" t="s">
        <v>404</v>
      </c>
      <c r="F120" s="188">
        <v>45689</v>
      </c>
      <c r="G120" s="194"/>
      <c r="H120" s="194">
        <v>887</v>
      </c>
      <c r="I120" s="194"/>
      <c r="J120" s="194"/>
      <c r="K120" s="194"/>
      <c r="L120" s="194"/>
    </row>
    <row r="121" spans="1:18" ht="12" hidden="1" customHeight="1" x14ac:dyDescent="0.3">
      <c r="A121" s="164" t="s">
        <v>368</v>
      </c>
      <c r="B121" s="167" t="s">
        <v>423</v>
      </c>
      <c r="C121" s="193" t="s">
        <v>424</v>
      </c>
      <c r="D121" s="193" t="s">
        <v>425</v>
      </c>
      <c r="E121" s="193" t="s">
        <v>404</v>
      </c>
      <c r="F121" s="188">
        <v>45658</v>
      </c>
      <c r="G121" s="194"/>
      <c r="H121" s="194">
        <v>876</v>
      </c>
      <c r="I121" s="194"/>
      <c r="J121" s="194"/>
      <c r="K121" s="194"/>
      <c r="L121" s="194"/>
    </row>
    <row r="122" spans="1:18" ht="12" customHeight="1" x14ac:dyDescent="0.3">
      <c r="A122" s="164" t="s">
        <v>372</v>
      </c>
      <c r="B122" s="167" t="s">
        <v>383</v>
      </c>
      <c r="C122" s="193" t="s">
        <v>426</v>
      </c>
      <c r="D122" s="193" t="s">
        <v>427</v>
      </c>
      <c r="E122" s="193" t="s">
        <v>428</v>
      </c>
      <c r="F122" s="188">
        <v>45992</v>
      </c>
      <c r="G122" s="194">
        <v>1514.84</v>
      </c>
      <c r="H122" s="194">
        <v>15428.7</v>
      </c>
      <c r="I122" s="194">
        <v>30.24</v>
      </c>
      <c r="J122" s="194">
        <v>217.98</v>
      </c>
      <c r="K122" s="194">
        <v>19968.099999999999</v>
      </c>
      <c r="L122" s="194">
        <v>16944</v>
      </c>
      <c r="O122" s="195">
        <f t="shared" ref="O122:O133" si="0">+K122-L122</f>
        <v>3024.0999999999985</v>
      </c>
      <c r="P122" s="194">
        <f>+VLOOKUP(F122,Amandina!$H$4:$L$14,5,0)*1000</f>
        <v>85283.12000000001</v>
      </c>
      <c r="R122" s="195">
        <f>+P122-H122</f>
        <v>69854.420000000013</v>
      </c>
    </row>
    <row r="123" spans="1:18" ht="12" customHeight="1" x14ac:dyDescent="0.3">
      <c r="A123" s="164" t="s">
        <v>372</v>
      </c>
      <c r="B123" s="167" t="s">
        <v>383</v>
      </c>
      <c r="C123" s="193" t="s">
        <v>426</v>
      </c>
      <c r="D123" s="193" t="s">
        <v>427</v>
      </c>
      <c r="E123" s="193" t="s">
        <v>428</v>
      </c>
      <c r="F123" s="188">
        <v>45962</v>
      </c>
      <c r="G123" s="194">
        <v>1437.03</v>
      </c>
      <c r="H123" s="194">
        <v>8808.98</v>
      </c>
      <c r="I123" s="194">
        <v>103.32</v>
      </c>
      <c r="J123" s="194">
        <v>100.8</v>
      </c>
      <c r="K123" s="194">
        <v>36462.9</v>
      </c>
      <c r="L123" s="194">
        <v>10246</v>
      </c>
      <c r="O123" s="195">
        <f t="shared" si="0"/>
        <v>26216.9</v>
      </c>
      <c r="P123" s="194">
        <f>+VLOOKUP(F123,Amandina!$H$4:$L$14,5,0)*1000</f>
        <v>86384.48</v>
      </c>
    </row>
    <row r="124" spans="1:18" ht="12" customHeight="1" x14ac:dyDescent="0.3">
      <c r="A124" s="164" t="s">
        <v>372</v>
      </c>
      <c r="B124" s="167" t="s">
        <v>383</v>
      </c>
      <c r="C124" s="193" t="s">
        <v>426</v>
      </c>
      <c r="D124" s="193" t="s">
        <v>427</v>
      </c>
      <c r="E124" s="193" t="s">
        <v>428</v>
      </c>
      <c r="F124" s="188">
        <v>45931</v>
      </c>
      <c r="G124" s="194">
        <v>2102.94</v>
      </c>
      <c r="H124" s="194">
        <v>11731.55</v>
      </c>
      <c r="I124" s="194">
        <v>167.58</v>
      </c>
      <c r="J124" s="194">
        <v>165.06</v>
      </c>
      <c r="K124" s="194">
        <v>40322</v>
      </c>
      <c r="L124" s="194">
        <v>13835</v>
      </c>
      <c r="O124" s="195">
        <f t="shared" si="0"/>
        <v>26487</v>
      </c>
      <c r="P124" s="194">
        <f>+VLOOKUP(F124,Amandina!$H$4:$L$14,5,0)*1000</f>
        <v>76725.439999999988</v>
      </c>
    </row>
    <row r="125" spans="1:18" ht="12" customHeight="1" x14ac:dyDescent="0.3">
      <c r="A125" s="164" t="s">
        <v>372</v>
      </c>
      <c r="B125" s="167" t="s">
        <v>383</v>
      </c>
      <c r="C125" s="193" t="s">
        <v>426</v>
      </c>
      <c r="D125" s="193" t="s">
        <v>427</v>
      </c>
      <c r="E125" s="193" t="s">
        <v>428</v>
      </c>
      <c r="F125" s="188">
        <v>45901</v>
      </c>
      <c r="G125" s="194">
        <v>2740.19</v>
      </c>
      <c r="H125" s="194">
        <v>17968.55</v>
      </c>
      <c r="I125" s="194">
        <v>168.84</v>
      </c>
      <c r="J125" s="194">
        <v>196.56</v>
      </c>
      <c r="K125" s="194">
        <v>37738.800000000003</v>
      </c>
      <c r="L125" s="194">
        <v>20709</v>
      </c>
      <c r="O125" s="195">
        <f t="shared" si="0"/>
        <v>17029.800000000003</v>
      </c>
      <c r="P125" s="194">
        <f>+VLOOKUP(F125,Amandina!$H$4:$L$14,5,0)*1000</f>
        <v>75546.720000000001</v>
      </c>
    </row>
    <row r="126" spans="1:18" ht="12" customHeight="1" x14ac:dyDescent="0.3">
      <c r="A126" s="164" t="s">
        <v>372</v>
      </c>
      <c r="B126" s="167" t="s">
        <v>383</v>
      </c>
      <c r="C126" s="193" t="s">
        <v>426</v>
      </c>
      <c r="D126" s="193" t="s">
        <v>427</v>
      </c>
      <c r="E126" s="193" t="s">
        <v>428</v>
      </c>
      <c r="F126" s="188">
        <v>45870</v>
      </c>
      <c r="G126" s="194">
        <v>19255.009999999998</v>
      </c>
      <c r="H126" s="194">
        <v>130522.46</v>
      </c>
      <c r="I126" s="194">
        <v>793.8</v>
      </c>
      <c r="J126" s="194">
        <v>869.4</v>
      </c>
      <c r="K126" s="194">
        <v>16177.9</v>
      </c>
      <c r="L126" s="194">
        <v>5142</v>
      </c>
      <c r="O126" s="195">
        <f t="shared" si="0"/>
        <v>11035.9</v>
      </c>
      <c r="P126" s="194">
        <f>+VLOOKUP(F126,Amandina!$H$4:$L$14,5,0)*1000</f>
        <v>74466.16</v>
      </c>
    </row>
    <row r="127" spans="1:18" ht="12" customHeight="1" x14ac:dyDescent="0.3">
      <c r="A127" s="164" t="s">
        <v>372</v>
      </c>
      <c r="B127" s="167" t="s">
        <v>383</v>
      </c>
      <c r="C127" s="193" t="s">
        <v>426</v>
      </c>
      <c r="D127" s="193" t="s">
        <v>427</v>
      </c>
      <c r="E127" s="193" t="s">
        <v>428</v>
      </c>
      <c r="F127" s="188">
        <v>45839</v>
      </c>
      <c r="G127" s="194">
        <v>37585.800000000003</v>
      </c>
      <c r="H127" s="194">
        <v>223302.56</v>
      </c>
      <c r="I127" s="194">
        <v>904.68</v>
      </c>
      <c r="J127" s="194">
        <v>916.02</v>
      </c>
      <c r="K127" s="194">
        <v>37317.800000000003</v>
      </c>
      <c r="L127" s="194">
        <v>9165</v>
      </c>
      <c r="O127" s="195">
        <f t="shared" si="0"/>
        <v>28152.800000000003</v>
      </c>
      <c r="P127" s="194">
        <f>+VLOOKUP(F127,Amandina!$H$4:$L$14,5,0)*1000</f>
        <v>70669.439999999988</v>
      </c>
    </row>
    <row r="128" spans="1:18" ht="12" customHeight="1" x14ac:dyDescent="0.3">
      <c r="A128" s="164" t="s">
        <v>372</v>
      </c>
      <c r="B128" s="167" t="s">
        <v>383</v>
      </c>
      <c r="C128" s="193" t="s">
        <v>426</v>
      </c>
      <c r="D128" s="193" t="s">
        <v>427</v>
      </c>
      <c r="E128" s="193" t="s">
        <v>428</v>
      </c>
      <c r="F128" s="188">
        <v>45809</v>
      </c>
      <c r="G128" s="194">
        <v>19556.78</v>
      </c>
      <c r="H128" s="194">
        <v>183159.59</v>
      </c>
      <c r="I128" s="194">
        <v>747.18</v>
      </c>
      <c r="J128" s="194">
        <v>845.46</v>
      </c>
      <c r="K128" s="194">
        <v>20798.2</v>
      </c>
      <c r="L128" s="194">
        <v>7190</v>
      </c>
      <c r="O128" s="195">
        <f t="shared" si="0"/>
        <v>13608.2</v>
      </c>
      <c r="P128" s="194">
        <f>+VLOOKUP(F128,Amandina!$H$4:$L$14,5,0)*1000</f>
        <v>57829.519999999982</v>
      </c>
    </row>
    <row r="129" spans="1:16" ht="12" customHeight="1" x14ac:dyDescent="0.3">
      <c r="A129" s="164" t="s">
        <v>372</v>
      </c>
      <c r="B129" s="167" t="s">
        <v>383</v>
      </c>
      <c r="C129" s="193" t="s">
        <v>426</v>
      </c>
      <c r="D129" s="193" t="s">
        <v>427</v>
      </c>
      <c r="E129" s="193" t="s">
        <v>428</v>
      </c>
      <c r="F129" s="188">
        <v>45778</v>
      </c>
      <c r="G129" s="194">
        <v>7312.1</v>
      </c>
      <c r="H129" s="194">
        <v>106720.74</v>
      </c>
      <c r="I129" s="194">
        <v>486.36</v>
      </c>
      <c r="J129" s="194">
        <v>784.98</v>
      </c>
      <c r="K129" s="194">
        <v>28781.7</v>
      </c>
      <c r="L129" s="194">
        <v>9127</v>
      </c>
      <c r="O129" s="195">
        <f t="shared" si="0"/>
        <v>19654.7</v>
      </c>
      <c r="P129" s="194">
        <f>+VLOOKUP(F129,Amandina!$H$4:$L$14,5,0)*1000</f>
        <v>73293.279999999999</v>
      </c>
    </row>
    <row r="130" spans="1:16" ht="12" customHeight="1" x14ac:dyDescent="0.3">
      <c r="A130" s="164" t="s">
        <v>372</v>
      </c>
      <c r="B130" s="167" t="s">
        <v>383</v>
      </c>
      <c r="C130" s="193" t="s">
        <v>426</v>
      </c>
      <c r="D130" s="193" t="s">
        <v>427</v>
      </c>
      <c r="E130" s="193" t="s">
        <v>428</v>
      </c>
      <c r="F130" s="188">
        <v>45748</v>
      </c>
      <c r="G130" s="194">
        <v>2769.48</v>
      </c>
      <c r="H130" s="194">
        <v>84395.43</v>
      </c>
      <c r="I130" s="194">
        <v>110.88</v>
      </c>
      <c r="J130" s="194">
        <v>560.70000000000005</v>
      </c>
      <c r="K130" s="194">
        <v>23902.799999999999</v>
      </c>
      <c r="L130" s="194">
        <v>1423</v>
      </c>
      <c r="O130" s="195">
        <f t="shared" si="0"/>
        <v>22479.8</v>
      </c>
      <c r="P130" s="194">
        <f>+VLOOKUP(F130,Amandina!$H$4:$L$14,5,0)*1000</f>
        <v>58967.759999999995</v>
      </c>
    </row>
    <row r="131" spans="1:16" ht="12" customHeight="1" x14ac:dyDescent="0.3">
      <c r="A131" s="164" t="s">
        <v>372</v>
      </c>
      <c r="B131" s="167" t="s">
        <v>383</v>
      </c>
      <c r="C131" s="193" t="s">
        <v>426</v>
      </c>
      <c r="D131" s="193" t="s">
        <v>427</v>
      </c>
      <c r="E131" s="193" t="s">
        <v>428</v>
      </c>
      <c r="F131" s="188">
        <v>45717</v>
      </c>
      <c r="G131" s="194">
        <v>14932.89</v>
      </c>
      <c r="H131" s="194">
        <v>177578.42</v>
      </c>
      <c r="I131" s="194">
        <v>913.5</v>
      </c>
      <c r="J131" s="194">
        <v>923.58</v>
      </c>
      <c r="K131" s="194">
        <v>7913.8</v>
      </c>
      <c r="L131" s="194">
        <v>419</v>
      </c>
      <c r="O131" s="195">
        <f t="shared" si="0"/>
        <v>7494.8</v>
      </c>
      <c r="P131" s="194">
        <f>+VLOOKUP(F131,Amandina!$H$4:$L$14,5,0)*1000</f>
        <v>82449.51999999999</v>
      </c>
    </row>
    <row r="132" spans="1:16" ht="12" customHeight="1" x14ac:dyDescent="0.3">
      <c r="A132" s="164" t="s">
        <v>372</v>
      </c>
      <c r="B132" s="167" t="s">
        <v>383</v>
      </c>
      <c r="C132" s="193" t="s">
        <v>426</v>
      </c>
      <c r="D132" s="193" t="s">
        <v>427</v>
      </c>
      <c r="E132" s="193" t="s">
        <v>428</v>
      </c>
      <c r="F132" s="188">
        <v>45689</v>
      </c>
      <c r="G132" s="194">
        <v>19948.64</v>
      </c>
      <c r="H132" s="194">
        <v>212798.25</v>
      </c>
      <c r="I132" s="194">
        <v>763.56</v>
      </c>
      <c r="J132" s="194">
        <v>790.02</v>
      </c>
      <c r="K132" s="194">
        <v>190.1</v>
      </c>
      <c r="L132" s="194">
        <v>0</v>
      </c>
      <c r="O132" s="195">
        <f t="shared" si="0"/>
        <v>190.1</v>
      </c>
      <c r="P132" s="194">
        <f>+Batayporã!J4*80%*1000</f>
        <v>72905.52</v>
      </c>
    </row>
    <row r="133" spans="1:16" ht="12" customHeight="1" x14ac:dyDescent="0.3">
      <c r="A133" s="164" t="s">
        <v>372</v>
      </c>
      <c r="B133" s="167" t="s">
        <v>383</v>
      </c>
      <c r="C133" s="193" t="s">
        <v>426</v>
      </c>
      <c r="D133" s="193" t="s">
        <v>427</v>
      </c>
      <c r="E133" s="193" t="s">
        <v>428</v>
      </c>
      <c r="F133" s="188">
        <v>45658</v>
      </c>
      <c r="G133" s="194">
        <v>9264.15</v>
      </c>
      <c r="H133" s="194">
        <v>72928.490000000005</v>
      </c>
      <c r="I133" s="194">
        <v>704.34</v>
      </c>
      <c r="J133" s="194">
        <v>758.52</v>
      </c>
      <c r="K133" s="194">
        <v>0</v>
      </c>
      <c r="L133" s="194">
        <v>0</v>
      </c>
      <c r="O133" s="195">
        <f t="shared" si="0"/>
        <v>0</v>
      </c>
      <c r="P133" s="194">
        <f>+Batayporã!J3*80%*1000</f>
        <v>91407.199999999968</v>
      </c>
    </row>
    <row r="134" spans="1:16" ht="12" hidden="1" customHeight="1" x14ac:dyDescent="0.3">
      <c r="A134" s="164" t="s">
        <v>368</v>
      </c>
      <c r="B134" s="167" t="s">
        <v>429</v>
      </c>
      <c r="C134" s="193" t="s">
        <v>430</v>
      </c>
      <c r="D134" s="193" t="s">
        <v>431</v>
      </c>
      <c r="E134" s="193" t="s">
        <v>404</v>
      </c>
      <c r="F134" s="188">
        <v>45992</v>
      </c>
      <c r="G134" s="194"/>
      <c r="H134" s="194">
        <v>3227</v>
      </c>
      <c r="I134" s="194"/>
      <c r="J134" s="194"/>
      <c r="K134" s="194"/>
      <c r="L134" s="194"/>
    </row>
    <row r="135" spans="1:16" ht="12" hidden="1" customHeight="1" x14ac:dyDescent="0.3">
      <c r="A135" s="164" t="s">
        <v>368</v>
      </c>
      <c r="B135" s="167" t="s">
        <v>429</v>
      </c>
      <c r="C135" s="193" t="s">
        <v>430</v>
      </c>
      <c r="D135" s="193" t="s">
        <v>431</v>
      </c>
      <c r="E135" s="193" t="s">
        <v>404</v>
      </c>
      <c r="F135" s="188">
        <v>45962</v>
      </c>
      <c r="G135" s="194"/>
      <c r="H135" s="194">
        <v>2090</v>
      </c>
      <c r="I135" s="194"/>
      <c r="J135" s="194"/>
      <c r="K135" s="194"/>
      <c r="L135" s="194"/>
    </row>
    <row r="136" spans="1:16" ht="12" hidden="1" customHeight="1" x14ac:dyDescent="0.3">
      <c r="A136" s="164" t="s">
        <v>368</v>
      </c>
      <c r="B136" s="167" t="s">
        <v>429</v>
      </c>
      <c r="C136" s="193" t="s">
        <v>430</v>
      </c>
      <c r="D136" s="193" t="s">
        <v>431</v>
      </c>
      <c r="E136" s="193" t="s">
        <v>404</v>
      </c>
      <c r="F136" s="188">
        <v>45931</v>
      </c>
      <c r="G136" s="194"/>
      <c r="H136" s="194">
        <v>2593</v>
      </c>
      <c r="I136" s="194"/>
      <c r="J136" s="194"/>
      <c r="K136" s="194"/>
      <c r="L136" s="194"/>
    </row>
    <row r="137" spans="1:16" ht="12" hidden="1" customHeight="1" x14ac:dyDescent="0.3">
      <c r="A137" s="164" t="s">
        <v>368</v>
      </c>
      <c r="B137" s="167" t="s">
        <v>429</v>
      </c>
      <c r="C137" s="193" t="s">
        <v>430</v>
      </c>
      <c r="D137" s="193" t="s">
        <v>431</v>
      </c>
      <c r="E137" s="193" t="s">
        <v>404</v>
      </c>
      <c r="F137" s="188">
        <v>45901</v>
      </c>
      <c r="G137" s="194"/>
      <c r="H137" s="194">
        <v>2469</v>
      </c>
      <c r="I137" s="194"/>
      <c r="J137" s="194"/>
      <c r="K137" s="194"/>
      <c r="L137" s="194"/>
    </row>
    <row r="138" spans="1:16" ht="12" hidden="1" customHeight="1" x14ac:dyDescent="0.3">
      <c r="A138" s="164" t="s">
        <v>368</v>
      </c>
      <c r="B138" s="167" t="s">
        <v>429</v>
      </c>
      <c r="C138" s="193" t="s">
        <v>430</v>
      </c>
      <c r="D138" s="193" t="s">
        <v>431</v>
      </c>
      <c r="E138" s="193" t="s">
        <v>404</v>
      </c>
      <c r="F138" s="188">
        <v>45870</v>
      </c>
      <c r="G138" s="194"/>
      <c r="H138" s="194">
        <v>1448</v>
      </c>
      <c r="I138" s="194"/>
      <c r="J138" s="194"/>
      <c r="K138" s="194"/>
      <c r="L138" s="194"/>
    </row>
    <row r="139" spans="1:16" ht="12" hidden="1" customHeight="1" x14ac:dyDescent="0.3">
      <c r="A139" s="164" t="s">
        <v>368</v>
      </c>
      <c r="B139" s="167" t="s">
        <v>429</v>
      </c>
      <c r="C139" s="193" t="s">
        <v>430</v>
      </c>
      <c r="D139" s="193" t="s">
        <v>431</v>
      </c>
      <c r="E139" s="193" t="s">
        <v>404</v>
      </c>
      <c r="F139" s="188">
        <v>45839</v>
      </c>
      <c r="G139" s="194"/>
      <c r="H139" s="194">
        <v>1317</v>
      </c>
      <c r="I139" s="194"/>
      <c r="J139" s="194"/>
      <c r="K139" s="194"/>
      <c r="L139" s="194"/>
    </row>
    <row r="140" spans="1:16" ht="12" hidden="1" customHeight="1" x14ac:dyDescent="0.3">
      <c r="A140" s="164" t="s">
        <v>368</v>
      </c>
      <c r="B140" s="167" t="s">
        <v>429</v>
      </c>
      <c r="C140" s="193" t="s">
        <v>430</v>
      </c>
      <c r="D140" s="193" t="s">
        <v>431</v>
      </c>
      <c r="E140" s="193" t="s">
        <v>404</v>
      </c>
      <c r="F140" s="188">
        <v>45809</v>
      </c>
      <c r="G140" s="194"/>
      <c r="H140" s="194">
        <v>1362</v>
      </c>
      <c r="I140" s="194"/>
      <c r="J140" s="194"/>
      <c r="K140" s="194"/>
      <c r="L140" s="194"/>
    </row>
    <row r="141" spans="1:16" ht="12" hidden="1" customHeight="1" x14ac:dyDescent="0.3">
      <c r="A141" s="164" t="s">
        <v>368</v>
      </c>
      <c r="B141" s="167" t="s">
        <v>429</v>
      </c>
      <c r="C141" s="193" t="s">
        <v>430</v>
      </c>
      <c r="D141" s="193" t="s">
        <v>431</v>
      </c>
      <c r="E141" s="193" t="s">
        <v>404</v>
      </c>
      <c r="F141" s="188">
        <v>45778</v>
      </c>
      <c r="G141" s="194"/>
      <c r="H141" s="194">
        <v>2238</v>
      </c>
      <c r="I141" s="194"/>
      <c r="J141" s="194"/>
      <c r="K141" s="194"/>
      <c r="L141" s="194"/>
    </row>
    <row r="142" spans="1:16" ht="12" hidden="1" customHeight="1" x14ac:dyDescent="0.3">
      <c r="A142" s="164" t="s">
        <v>368</v>
      </c>
      <c r="B142" s="167" t="s">
        <v>429</v>
      </c>
      <c r="C142" s="193" t="s">
        <v>430</v>
      </c>
      <c r="D142" s="193" t="s">
        <v>431</v>
      </c>
      <c r="E142" s="193" t="s">
        <v>404</v>
      </c>
      <c r="F142" s="188">
        <v>45748</v>
      </c>
      <c r="G142" s="194"/>
      <c r="H142" s="194">
        <v>2511</v>
      </c>
      <c r="I142" s="194"/>
      <c r="J142" s="194"/>
      <c r="K142" s="194"/>
      <c r="L142" s="194"/>
    </row>
    <row r="143" spans="1:16" ht="12" hidden="1" customHeight="1" x14ac:dyDescent="0.3">
      <c r="A143" s="164" t="s">
        <v>368</v>
      </c>
      <c r="B143" s="167" t="s">
        <v>429</v>
      </c>
      <c r="C143" s="193" t="s">
        <v>430</v>
      </c>
      <c r="D143" s="193" t="s">
        <v>431</v>
      </c>
      <c r="E143" s="193" t="s">
        <v>404</v>
      </c>
      <c r="F143" s="188">
        <v>45717</v>
      </c>
      <c r="G143" s="194"/>
      <c r="H143" s="194">
        <v>3281</v>
      </c>
      <c r="I143" s="194"/>
      <c r="J143" s="194"/>
      <c r="K143" s="194"/>
      <c r="L143" s="194"/>
    </row>
    <row r="144" spans="1:16" ht="12" hidden="1" customHeight="1" x14ac:dyDescent="0.3">
      <c r="A144" s="164" t="s">
        <v>368</v>
      </c>
      <c r="B144" s="167" t="s">
        <v>429</v>
      </c>
      <c r="C144" s="193" t="s">
        <v>430</v>
      </c>
      <c r="D144" s="193" t="s">
        <v>431</v>
      </c>
      <c r="E144" s="193" t="s">
        <v>404</v>
      </c>
      <c r="F144" s="188">
        <v>45689</v>
      </c>
      <c r="G144" s="194"/>
      <c r="H144" s="194">
        <v>3394</v>
      </c>
      <c r="I144" s="194"/>
      <c r="J144" s="194"/>
      <c r="K144" s="194"/>
      <c r="L144" s="194"/>
    </row>
    <row r="145" spans="1:15" ht="12" hidden="1" customHeight="1" x14ac:dyDescent="0.3">
      <c r="A145" s="164" t="s">
        <v>368</v>
      </c>
      <c r="B145" s="167" t="s">
        <v>429</v>
      </c>
      <c r="C145" s="193" t="s">
        <v>430</v>
      </c>
      <c r="D145" s="193" t="s">
        <v>431</v>
      </c>
      <c r="E145" s="193" t="s">
        <v>404</v>
      </c>
      <c r="F145" s="188">
        <v>45658</v>
      </c>
      <c r="G145" s="194"/>
      <c r="H145" s="194">
        <v>3370</v>
      </c>
      <c r="I145" s="194"/>
      <c r="J145" s="194"/>
      <c r="K145" s="194"/>
      <c r="L145" s="194"/>
    </row>
    <row r="146" spans="1:15" ht="12" customHeight="1" x14ac:dyDescent="0.3">
      <c r="A146" s="164" t="s">
        <v>370</v>
      </c>
      <c r="B146" s="167" t="s">
        <v>381</v>
      </c>
      <c r="C146" s="193" t="s">
        <v>432</v>
      </c>
      <c r="D146" s="193" t="s">
        <v>433</v>
      </c>
      <c r="E146" s="193" t="s">
        <v>422</v>
      </c>
      <c r="F146" s="188">
        <v>45992</v>
      </c>
      <c r="G146" s="194">
        <v>1093.05</v>
      </c>
      <c r="H146" s="194">
        <v>4510.8</v>
      </c>
      <c r="I146" s="194">
        <v>25.2</v>
      </c>
      <c r="J146" s="194">
        <v>42</v>
      </c>
      <c r="K146" s="194">
        <v>106603.9</v>
      </c>
      <c r="L146" s="194">
        <v>5604</v>
      </c>
    </row>
    <row r="147" spans="1:15" ht="12" customHeight="1" x14ac:dyDescent="0.3">
      <c r="A147" s="164" t="s">
        <v>370</v>
      </c>
      <c r="B147" s="167" t="s">
        <v>381</v>
      </c>
      <c r="C147" s="193" t="s">
        <v>432</v>
      </c>
      <c r="D147" s="193" t="s">
        <v>433</v>
      </c>
      <c r="E147" s="193" t="s">
        <v>422</v>
      </c>
      <c r="F147" s="188">
        <v>45962</v>
      </c>
      <c r="G147" s="194">
        <v>1019.55</v>
      </c>
      <c r="H147" s="194">
        <v>4500.3</v>
      </c>
      <c r="I147" s="194">
        <v>79.8</v>
      </c>
      <c r="J147" s="194">
        <v>71.400000000000006</v>
      </c>
      <c r="K147" s="194">
        <v>107980.6</v>
      </c>
      <c r="L147" s="194">
        <v>5520</v>
      </c>
    </row>
    <row r="148" spans="1:15" ht="12" customHeight="1" x14ac:dyDescent="0.3">
      <c r="A148" s="164" t="s">
        <v>370</v>
      </c>
      <c r="B148" s="167" t="s">
        <v>381</v>
      </c>
      <c r="C148" s="193" t="s">
        <v>432</v>
      </c>
      <c r="D148" s="193" t="s">
        <v>433</v>
      </c>
      <c r="E148" s="193" t="s">
        <v>422</v>
      </c>
      <c r="F148" s="188">
        <v>45931</v>
      </c>
      <c r="G148" s="194">
        <v>1132.95</v>
      </c>
      <c r="H148" s="194">
        <v>4884.6000000000004</v>
      </c>
      <c r="I148" s="194">
        <v>21</v>
      </c>
      <c r="J148" s="194">
        <v>46.2</v>
      </c>
      <c r="K148" s="194">
        <v>95906.8</v>
      </c>
      <c r="L148" s="194">
        <v>6018</v>
      </c>
    </row>
    <row r="149" spans="1:15" ht="12" customHeight="1" x14ac:dyDescent="0.3">
      <c r="A149" s="164" t="s">
        <v>370</v>
      </c>
      <c r="B149" s="167" t="s">
        <v>381</v>
      </c>
      <c r="C149" s="193" t="s">
        <v>432</v>
      </c>
      <c r="D149" s="193" t="s">
        <v>433</v>
      </c>
      <c r="E149" s="193" t="s">
        <v>422</v>
      </c>
      <c r="F149" s="188">
        <v>45901</v>
      </c>
      <c r="G149" s="194">
        <v>1357.65</v>
      </c>
      <c r="H149" s="194">
        <v>15868.65</v>
      </c>
      <c r="I149" s="194">
        <v>142.80000000000001</v>
      </c>
      <c r="J149" s="194">
        <v>151.19999999999999</v>
      </c>
      <c r="K149" s="194">
        <v>94433.4</v>
      </c>
      <c r="L149" s="194">
        <v>29344</v>
      </c>
    </row>
    <row r="150" spans="1:15" ht="12" customHeight="1" x14ac:dyDescent="0.3">
      <c r="A150" s="164" t="s">
        <v>370</v>
      </c>
      <c r="B150" s="167" t="s">
        <v>381</v>
      </c>
      <c r="C150" s="193" t="s">
        <v>432</v>
      </c>
      <c r="D150" s="193" t="s">
        <v>433</v>
      </c>
      <c r="E150" s="193" t="s">
        <v>422</v>
      </c>
      <c r="F150" s="188">
        <v>45870</v>
      </c>
      <c r="G150" s="194">
        <v>11823</v>
      </c>
      <c r="H150" s="194">
        <v>47401.2</v>
      </c>
      <c r="I150" s="194">
        <v>407.4</v>
      </c>
      <c r="J150" s="194">
        <v>390.6</v>
      </c>
      <c r="K150" s="194">
        <v>93082.7</v>
      </c>
      <c r="L150" s="194">
        <v>59224</v>
      </c>
    </row>
    <row r="151" spans="1:15" ht="12" customHeight="1" x14ac:dyDescent="0.3">
      <c r="A151" s="164" t="s">
        <v>370</v>
      </c>
      <c r="B151" s="167" t="s">
        <v>381</v>
      </c>
      <c r="C151" s="193" t="s">
        <v>432</v>
      </c>
      <c r="D151" s="193" t="s">
        <v>433</v>
      </c>
      <c r="E151" s="193" t="s">
        <v>422</v>
      </c>
      <c r="F151" s="188">
        <v>45839</v>
      </c>
      <c r="G151" s="194">
        <v>13474.65</v>
      </c>
      <c r="H151" s="194">
        <v>50710.8</v>
      </c>
      <c r="I151" s="194">
        <v>382.2</v>
      </c>
      <c r="J151" s="194">
        <v>394.8</v>
      </c>
      <c r="K151" s="194">
        <v>88336.8</v>
      </c>
      <c r="L151" s="194">
        <v>64186</v>
      </c>
    </row>
    <row r="152" spans="1:15" ht="12" customHeight="1" x14ac:dyDescent="0.3">
      <c r="A152" s="164" t="s">
        <v>370</v>
      </c>
      <c r="B152" s="167" t="s">
        <v>381</v>
      </c>
      <c r="C152" s="193" t="s">
        <v>432</v>
      </c>
      <c r="D152" s="193" t="s">
        <v>433</v>
      </c>
      <c r="E152" s="193" t="s">
        <v>422</v>
      </c>
      <c r="F152" s="188">
        <v>45809</v>
      </c>
      <c r="G152" s="194">
        <v>5230.05</v>
      </c>
      <c r="H152" s="194">
        <v>31349.85</v>
      </c>
      <c r="I152" s="194">
        <v>352.8</v>
      </c>
      <c r="J152" s="194">
        <v>357</v>
      </c>
      <c r="K152" s="194">
        <v>72286.899999999994</v>
      </c>
      <c r="L152" s="194">
        <v>36580</v>
      </c>
    </row>
    <row r="153" spans="1:15" ht="12" customHeight="1" x14ac:dyDescent="0.3">
      <c r="A153" s="164" t="s">
        <v>370</v>
      </c>
      <c r="B153" s="167" t="s">
        <v>381</v>
      </c>
      <c r="C153" s="193" t="s">
        <v>432</v>
      </c>
      <c r="D153" s="193" t="s">
        <v>433</v>
      </c>
      <c r="E153" s="193" t="s">
        <v>422</v>
      </c>
      <c r="F153" s="188">
        <v>45778</v>
      </c>
      <c r="G153" s="194">
        <v>1296.75</v>
      </c>
      <c r="H153" s="194">
        <v>35861.699999999997</v>
      </c>
      <c r="I153" s="194">
        <v>79.8</v>
      </c>
      <c r="J153" s="194">
        <v>197.4</v>
      </c>
      <c r="K153" s="194">
        <v>91616.6</v>
      </c>
      <c r="L153" s="194">
        <v>37159</v>
      </c>
    </row>
    <row r="154" spans="1:15" ht="12" customHeight="1" x14ac:dyDescent="0.3">
      <c r="A154" s="164" t="s">
        <v>370</v>
      </c>
      <c r="B154" s="167" t="s">
        <v>381</v>
      </c>
      <c r="C154" s="193" t="s">
        <v>432</v>
      </c>
      <c r="D154" s="193" t="s">
        <v>433</v>
      </c>
      <c r="E154" s="193" t="s">
        <v>422</v>
      </c>
      <c r="F154" s="188">
        <v>45748</v>
      </c>
      <c r="G154" s="194">
        <v>1182.3</v>
      </c>
      <c r="H154" s="194">
        <v>37404.15</v>
      </c>
      <c r="I154" s="194">
        <v>168</v>
      </c>
      <c r="J154" s="194">
        <v>197.4</v>
      </c>
      <c r="K154" s="194">
        <v>73709.7</v>
      </c>
      <c r="L154" s="194">
        <v>38586</v>
      </c>
    </row>
    <row r="155" spans="1:15" ht="12" customHeight="1" x14ac:dyDescent="0.3">
      <c r="A155" s="164" t="s">
        <v>370</v>
      </c>
      <c r="B155" s="167" t="s">
        <v>381</v>
      </c>
      <c r="C155" s="193" t="s">
        <v>432</v>
      </c>
      <c r="D155" s="193" t="s">
        <v>433</v>
      </c>
      <c r="E155" s="193" t="s">
        <v>422</v>
      </c>
      <c r="F155" s="188">
        <v>45717</v>
      </c>
      <c r="G155" s="194">
        <v>9745.0499999999993</v>
      </c>
      <c r="H155" s="194">
        <v>53952.15</v>
      </c>
      <c r="I155" s="194">
        <v>378</v>
      </c>
      <c r="J155" s="194">
        <v>369.6</v>
      </c>
      <c r="K155" s="194">
        <v>103061.9</v>
      </c>
      <c r="L155" s="194">
        <v>63697</v>
      </c>
    </row>
    <row r="156" spans="1:15" ht="12" customHeight="1" x14ac:dyDescent="0.3">
      <c r="A156" s="164" t="s">
        <v>370</v>
      </c>
      <c r="B156" s="167" t="s">
        <v>381</v>
      </c>
      <c r="C156" s="193" t="s">
        <v>432</v>
      </c>
      <c r="D156" s="193" t="s">
        <v>433</v>
      </c>
      <c r="E156" s="193" t="s">
        <v>422</v>
      </c>
      <c r="F156" s="188">
        <v>45689</v>
      </c>
      <c r="G156" s="194">
        <v>7965.3</v>
      </c>
      <c r="H156" s="194">
        <v>28350</v>
      </c>
      <c r="I156" s="194">
        <v>361.2</v>
      </c>
      <c r="J156" s="194">
        <v>327.60000000000002</v>
      </c>
      <c r="K156" s="194">
        <v>91131.9</v>
      </c>
      <c r="L156" s="194">
        <v>36315</v>
      </c>
    </row>
    <row r="157" spans="1:15" ht="12" customHeight="1" x14ac:dyDescent="0.3">
      <c r="A157" s="164" t="s">
        <v>370</v>
      </c>
      <c r="B157" s="167" t="s">
        <v>381</v>
      </c>
      <c r="C157" s="193" t="s">
        <v>432</v>
      </c>
      <c r="D157" s="193" t="s">
        <v>433</v>
      </c>
      <c r="E157" s="193" t="s">
        <v>422</v>
      </c>
      <c r="F157" s="188">
        <v>45658</v>
      </c>
      <c r="G157" s="194">
        <v>1197</v>
      </c>
      <c r="H157" s="194">
        <v>5588.1</v>
      </c>
      <c r="I157" s="194">
        <v>25.2</v>
      </c>
      <c r="J157" s="194">
        <v>25.2</v>
      </c>
      <c r="K157" s="194">
        <v>114259</v>
      </c>
      <c r="L157" s="194">
        <v>6785</v>
      </c>
      <c r="O157" s="195"/>
    </row>
    <row r="158" spans="1:15" ht="12" hidden="1" customHeight="1" x14ac:dyDescent="0.3">
      <c r="A158" s="164" t="s">
        <v>368</v>
      </c>
      <c r="B158" s="167" t="s">
        <v>434</v>
      </c>
      <c r="C158" s="193" t="s">
        <v>435</v>
      </c>
      <c r="D158" s="193" t="s">
        <v>436</v>
      </c>
      <c r="E158" s="193" t="s">
        <v>404</v>
      </c>
      <c r="F158" s="188">
        <v>45992</v>
      </c>
      <c r="G158" s="194"/>
      <c r="H158" s="194">
        <v>1260</v>
      </c>
      <c r="I158" s="194"/>
      <c r="J158" s="194"/>
      <c r="K158" s="194"/>
      <c r="L158" s="194"/>
    </row>
    <row r="159" spans="1:15" ht="12" hidden="1" customHeight="1" x14ac:dyDescent="0.3">
      <c r="A159" s="164" t="s">
        <v>368</v>
      </c>
      <c r="B159" s="167" t="s">
        <v>434</v>
      </c>
      <c r="C159" s="193" t="s">
        <v>435</v>
      </c>
      <c r="D159" s="193" t="s">
        <v>436</v>
      </c>
      <c r="E159" s="193" t="s">
        <v>404</v>
      </c>
      <c r="F159" s="188">
        <v>45962</v>
      </c>
      <c r="G159" s="194"/>
      <c r="H159" s="194">
        <v>900</v>
      </c>
      <c r="I159" s="194"/>
      <c r="J159" s="194"/>
      <c r="K159" s="194"/>
      <c r="L159" s="194"/>
    </row>
    <row r="160" spans="1:15" ht="12" hidden="1" customHeight="1" x14ac:dyDescent="0.3">
      <c r="A160" s="164" t="s">
        <v>368</v>
      </c>
      <c r="B160" s="167" t="s">
        <v>434</v>
      </c>
      <c r="C160" s="193" t="s">
        <v>435</v>
      </c>
      <c r="D160" s="193" t="s">
        <v>436</v>
      </c>
      <c r="E160" s="193" t="s">
        <v>404</v>
      </c>
      <c r="F160" s="188">
        <v>45931</v>
      </c>
      <c r="G160" s="194"/>
      <c r="H160" s="194">
        <v>939</v>
      </c>
      <c r="I160" s="194"/>
      <c r="J160" s="194"/>
      <c r="K160" s="194"/>
      <c r="L160" s="194"/>
    </row>
    <row r="161" spans="1:12" ht="12" hidden="1" customHeight="1" x14ac:dyDescent="0.3">
      <c r="A161" s="164" t="s">
        <v>368</v>
      </c>
      <c r="B161" s="167" t="s">
        <v>434</v>
      </c>
      <c r="C161" s="193" t="s">
        <v>435</v>
      </c>
      <c r="D161" s="193" t="s">
        <v>436</v>
      </c>
      <c r="E161" s="193" t="s">
        <v>404</v>
      </c>
      <c r="F161" s="188">
        <v>45901</v>
      </c>
      <c r="G161" s="194"/>
      <c r="H161" s="194">
        <v>750</v>
      </c>
      <c r="I161" s="194"/>
      <c r="J161" s="194"/>
      <c r="K161" s="194"/>
      <c r="L161" s="194"/>
    </row>
    <row r="162" spans="1:12" ht="12" hidden="1" customHeight="1" x14ac:dyDescent="0.3">
      <c r="A162" s="164" t="s">
        <v>368</v>
      </c>
      <c r="B162" s="167" t="s">
        <v>434</v>
      </c>
      <c r="C162" s="193" t="s">
        <v>435</v>
      </c>
      <c r="D162" s="193" t="s">
        <v>436</v>
      </c>
      <c r="E162" s="193" t="s">
        <v>404</v>
      </c>
      <c r="F162" s="188">
        <v>45870</v>
      </c>
      <c r="G162" s="194"/>
      <c r="H162" s="194">
        <v>525</v>
      </c>
      <c r="I162" s="194"/>
      <c r="J162" s="194"/>
      <c r="K162" s="194"/>
      <c r="L162" s="194"/>
    </row>
    <row r="163" spans="1:12" ht="12" hidden="1" customHeight="1" x14ac:dyDescent="0.3">
      <c r="A163" s="164" t="s">
        <v>368</v>
      </c>
      <c r="B163" s="167" t="s">
        <v>434</v>
      </c>
      <c r="C163" s="193" t="s">
        <v>435</v>
      </c>
      <c r="D163" s="193" t="s">
        <v>436</v>
      </c>
      <c r="E163" s="193" t="s">
        <v>404</v>
      </c>
      <c r="F163" s="188">
        <v>45839</v>
      </c>
      <c r="G163" s="194"/>
      <c r="H163" s="194">
        <v>475</v>
      </c>
      <c r="I163" s="194"/>
      <c r="J163" s="194"/>
      <c r="K163" s="194"/>
      <c r="L163" s="194"/>
    </row>
    <row r="164" spans="1:12" ht="12" hidden="1" customHeight="1" x14ac:dyDescent="0.3">
      <c r="A164" s="164" t="s">
        <v>368</v>
      </c>
      <c r="B164" s="167" t="s">
        <v>434</v>
      </c>
      <c r="C164" s="193" t="s">
        <v>435</v>
      </c>
      <c r="D164" s="193" t="s">
        <v>436</v>
      </c>
      <c r="E164" s="193" t="s">
        <v>404</v>
      </c>
      <c r="F164" s="188">
        <v>45809</v>
      </c>
      <c r="G164" s="194"/>
      <c r="H164" s="194">
        <v>554</v>
      </c>
      <c r="I164" s="194"/>
      <c r="J164" s="194"/>
      <c r="K164" s="194"/>
      <c r="L164" s="194"/>
    </row>
    <row r="165" spans="1:12" ht="12" hidden="1" customHeight="1" x14ac:dyDescent="0.3">
      <c r="A165" s="164" t="s">
        <v>368</v>
      </c>
      <c r="B165" s="167" t="s">
        <v>434</v>
      </c>
      <c r="C165" s="193" t="s">
        <v>435</v>
      </c>
      <c r="D165" s="193" t="s">
        <v>436</v>
      </c>
      <c r="E165" s="193" t="s">
        <v>404</v>
      </c>
      <c r="F165" s="188">
        <v>45778</v>
      </c>
      <c r="G165" s="194"/>
      <c r="H165" s="194">
        <v>733</v>
      </c>
      <c r="I165" s="194"/>
      <c r="J165" s="194"/>
      <c r="K165" s="194"/>
      <c r="L165" s="194"/>
    </row>
    <row r="166" spans="1:12" ht="12" hidden="1" customHeight="1" x14ac:dyDescent="0.3">
      <c r="A166" s="164" t="s">
        <v>368</v>
      </c>
      <c r="B166" s="167" t="s">
        <v>434</v>
      </c>
      <c r="C166" s="193" t="s">
        <v>435</v>
      </c>
      <c r="D166" s="193" t="s">
        <v>436</v>
      </c>
      <c r="E166" s="193" t="s">
        <v>404</v>
      </c>
      <c r="F166" s="188">
        <v>45748</v>
      </c>
      <c r="G166" s="194"/>
      <c r="H166" s="194">
        <v>915</v>
      </c>
      <c r="I166" s="194"/>
      <c r="J166" s="194"/>
      <c r="K166" s="194"/>
      <c r="L166" s="194"/>
    </row>
    <row r="167" spans="1:12" ht="12" hidden="1" customHeight="1" x14ac:dyDescent="0.3">
      <c r="A167" s="164" t="s">
        <v>368</v>
      </c>
      <c r="B167" s="167" t="s">
        <v>434</v>
      </c>
      <c r="C167" s="193" t="s">
        <v>435</v>
      </c>
      <c r="D167" s="193" t="s">
        <v>436</v>
      </c>
      <c r="E167" s="193" t="s">
        <v>404</v>
      </c>
      <c r="F167" s="188">
        <v>45717</v>
      </c>
      <c r="G167" s="194"/>
      <c r="H167" s="194">
        <v>1180</v>
      </c>
      <c r="I167" s="194"/>
      <c r="J167" s="194"/>
      <c r="K167" s="194"/>
      <c r="L167" s="194"/>
    </row>
    <row r="168" spans="1:12" ht="12" hidden="1" customHeight="1" x14ac:dyDescent="0.3">
      <c r="A168" s="164" t="s">
        <v>368</v>
      </c>
      <c r="B168" s="167" t="s">
        <v>434</v>
      </c>
      <c r="C168" s="193" t="s">
        <v>435</v>
      </c>
      <c r="D168" s="193" t="s">
        <v>436</v>
      </c>
      <c r="E168" s="193" t="s">
        <v>404</v>
      </c>
      <c r="F168" s="188">
        <v>45689</v>
      </c>
      <c r="G168" s="194"/>
      <c r="H168" s="194">
        <v>1100</v>
      </c>
      <c r="I168" s="194"/>
      <c r="J168" s="194"/>
      <c r="K168" s="194"/>
      <c r="L168" s="194"/>
    </row>
    <row r="169" spans="1:12" ht="12" hidden="1" customHeight="1" x14ac:dyDescent="0.3">
      <c r="A169" s="164" t="s">
        <v>368</v>
      </c>
      <c r="B169" s="167" t="s">
        <v>434</v>
      </c>
      <c r="C169" s="193" t="s">
        <v>435</v>
      </c>
      <c r="D169" s="193" t="s">
        <v>436</v>
      </c>
      <c r="E169" s="193" t="s">
        <v>404</v>
      </c>
      <c r="F169" s="188">
        <v>45658</v>
      </c>
      <c r="G169" s="194"/>
      <c r="H169" s="194">
        <v>1140</v>
      </c>
      <c r="I169" s="194"/>
      <c r="J169" s="194"/>
      <c r="K169" s="194"/>
      <c r="L169" s="194"/>
    </row>
    <row r="170" spans="1:12" ht="12" hidden="1" customHeight="1" x14ac:dyDescent="0.3">
      <c r="A170" s="164" t="s">
        <v>368</v>
      </c>
      <c r="B170" s="167" t="s">
        <v>86</v>
      </c>
      <c r="C170" s="193" t="s">
        <v>437</v>
      </c>
      <c r="D170" s="193" t="s">
        <v>438</v>
      </c>
      <c r="E170" s="193" t="s">
        <v>404</v>
      </c>
      <c r="F170" s="188">
        <v>45992</v>
      </c>
      <c r="G170" s="194"/>
      <c r="H170" s="194">
        <v>4877</v>
      </c>
      <c r="I170" s="194"/>
      <c r="J170" s="194"/>
      <c r="K170" s="194"/>
      <c r="L170" s="194"/>
    </row>
    <row r="171" spans="1:12" ht="12" hidden="1" customHeight="1" x14ac:dyDescent="0.3">
      <c r="A171" s="164" t="s">
        <v>368</v>
      </c>
      <c r="B171" s="167" t="s">
        <v>86</v>
      </c>
      <c r="C171" s="193" t="s">
        <v>437</v>
      </c>
      <c r="D171" s="193" t="s">
        <v>438</v>
      </c>
      <c r="E171" s="193" t="s">
        <v>404</v>
      </c>
      <c r="F171" s="188">
        <v>45962</v>
      </c>
      <c r="G171" s="194"/>
      <c r="H171" s="194">
        <v>4046</v>
      </c>
      <c r="I171" s="194"/>
      <c r="J171" s="194"/>
      <c r="K171" s="194"/>
      <c r="L171" s="194"/>
    </row>
    <row r="172" spans="1:12" ht="12" hidden="1" customHeight="1" x14ac:dyDescent="0.3">
      <c r="A172" s="164" t="s">
        <v>368</v>
      </c>
      <c r="B172" s="167" t="s">
        <v>86</v>
      </c>
      <c r="C172" s="193" t="s">
        <v>437</v>
      </c>
      <c r="D172" s="193" t="s">
        <v>438</v>
      </c>
      <c r="E172" s="193" t="s">
        <v>404</v>
      </c>
      <c r="F172" s="188">
        <v>45931</v>
      </c>
      <c r="G172" s="194"/>
      <c r="H172" s="194">
        <v>5439</v>
      </c>
      <c r="I172" s="194"/>
      <c r="J172" s="194"/>
      <c r="K172" s="194"/>
      <c r="L172" s="194"/>
    </row>
    <row r="173" spans="1:12" ht="12" hidden="1" customHeight="1" x14ac:dyDescent="0.3">
      <c r="A173" s="164" t="s">
        <v>368</v>
      </c>
      <c r="B173" s="167" t="s">
        <v>86</v>
      </c>
      <c r="C173" s="193" t="s">
        <v>437</v>
      </c>
      <c r="D173" s="193" t="s">
        <v>438</v>
      </c>
      <c r="E173" s="193" t="s">
        <v>404</v>
      </c>
      <c r="F173" s="188">
        <v>45901</v>
      </c>
      <c r="G173" s="194"/>
      <c r="H173" s="194">
        <v>7235</v>
      </c>
      <c r="I173" s="194"/>
      <c r="J173" s="194"/>
      <c r="K173" s="194"/>
      <c r="L173" s="194"/>
    </row>
    <row r="174" spans="1:12" ht="12" hidden="1" customHeight="1" x14ac:dyDescent="0.3">
      <c r="A174" s="164" t="s">
        <v>368</v>
      </c>
      <c r="B174" s="167" t="s">
        <v>86</v>
      </c>
      <c r="C174" s="193" t="s">
        <v>437</v>
      </c>
      <c r="D174" s="193" t="s">
        <v>438</v>
      </c>
      <c r="E174" s="193" t="s">
        <v>404</v>
      </c>
      <c r="F174" s="188">
        <v>45870</v>
      </c>
      <c r="G174" s="194"/>
      <c r="H174" s="194">
        <v>2459</v>
      </c>
      <c r="I174" s="194"/>
      <c r="J174" s="194"/>
      <c r="K174" s="194"/>
      <c r="L174" s="194"/>
    </row>
    <row r="175" spans="1:12" ht="12" hidden="1" customHeight="1" x14ac:dyDescent="0.3">
      <c r="A175" s="164" t="s">
        <v>368</v>
      </c>
      <c r="B175" s="167" t="s">
        <v>86</v>
      </c>
      <c r="C175" s="193" t="s">
        <v>437</v>
      </c>
      <c r="D175" s="193" t="s">
        <v>438</v>
      </c>
      <c r="E175" s="193" t="s">
        <v>404</v>
      </c>
      <c r="F175" s="188">
        <v>45839</v>
      </c>
      <c r="G175" s="194"/>
      <c r="H175" s="194">
        <v>1294</v>
      </c>
      <c r="I175" s="194"/>
      <c r="J175" s="194"/>
      <c r="K175" s="194"/>
      <c r="L175" s="194"/>
    </row>
    <row r="176" spans="1:12" ht="12" hidden="1" customHeight="1" x14ac:dyDescent="0.3">
      <c r="A176" s="164" t="s">
        <v>368</v>
      </c>
      <c r="B176" s="167" t="s">
        <v>86</v>
      </c>
      <c r="C176" s="193" t="s">
        <v>437</v>
      </c>
      <c r="D176" s="193" t="s">
        <v>438</v>
      </c>
      <c r="E176" s="193" t="s">
        <v>404</v>
      </c>
      <c r="F176" s="188">
        <v>45809</v>
      </c>
      <c r="G176" s="194"/>
      <c r="H176" s="194">
        <v>1737</v>
      </c>
      <c r="I176" s="194"/>
      <c r="J176" s="194"/>
      <c r="K176" s="194"/>
      <c r="L176" s="194"/>
    </row>
    <row r="177" spans="1:12" ht="12" hidden="1" customHeight="1" x14ac:dyDescent="0.3">
      <c r="A177" s="164" t="s">
        <v>368</v>
      </c>
      <c r="B177" s="167" t="s">
        <v>86</v>
      </c>
      <c r="C177" s="193" t="s">
        <v>437</v>
      </c>
      <c r="D177" s="193" t="s">
        <v>438</v>
      </c>
      <c r="E177" s="193" t="s">
        <v>404</v>
      </c>
      <c r="F177" s="188">
        <v>45778</v>
      </c>
      <c r="G177" s="194"/>
      <c r="H177" s="194">
        <v>832</v>
      </c>
      <c r="I177" s="194"/>
      <c r="J177" s="194"/>
      <c r="K177" s="194"/>
      <c r="L177" s="194"/>
    </row>
    <row r="178" spans="1:12" ht="12" hidden="1" customHeight="1" x14ac:dyDescent="0.3">
      <c r="A178" s="164" t="s">
        <v>368</v>
      </c>
      <c r="B178" s="167" t="s">
        <v>86</v>
      </c>
      <c r="C178" s="193" t="s">
        <v>437</v>
      </c>
      <c r="D178" s="193" t="s">
        <v>438</v>
      </c>
      <c r="E178" s="193" t="s">
        <v>404</v>
      </c>
      <c r="F178" s="188">
        <v>45748</v>
      </c>
      <c r="G178" s="194"/>
      <c r="H178" s="194">
        <v>1107</v>
      </c>
      <c r="I178" s="194"/>
      <c r="J178" s="194"/>
      <c r="K178" s="194"/>
      <c r="L178" s="194"/>
    </row>
    <row r="179" spans="1:12" ht="12" hidden="1" customHeight="1" x14ac:dyDescent="0.3">
      <c r="A179" s="164" t="s">
        <v>368</v>
      </c>
      <c r="B179" s="167" t="s">
        <v>86</v>
      </c>
      <c r="C179" s="193" t="s">
        <v>437</v>
      </c>
      <c r="D179" s="193" t="s">
        <v>438</v>
      </c>
      <c r="E179" s="193" t="s">
        <v>404</v>
      </c>
      <c r="F179" s="188">
        <v>45717</v>
      </c>
      <c r="G179" s="194"/>
      <c r="H179" s="194">
        <v>1347</v>
      </c>
      <c r="I179" s="194"/>
      <c r="J179" s="194"/>
      <c r="K179" s="194"/>
      <c r="L179" s="194"/>
    </row>
    <row r="180" spans="1:12" ht="12" hidden="1" customHeight="1" x14ac:dyDescent="0.3">
      <c r="A180" s="164" t="s">
        <v>368</v>
      </c>
      <c r="B180" s="167" t="s">
        <v>86</v>
      </c>
      <c r="C180" s="193" t="s">
        <v>437</v>
      </c>
      <c r="D180" s="193" t="s">
        <v>438</v>
      </c>
      <c r="E180" s="193" t="s">
        <v>404</v>
      </c>
      <c r="F180" s="188">
        <v>45689</v>
      </c>
      <c r="G180" s="194"/>
      <c r="H180" s="194">
        <v>875</v>
      </c>
      <c r="I180" s="194"/>
      <c r="J180" s="194"/>
      <c r="K180" s="194"/>
      <c r="L180" s="194"/>
    </row>
    <row r="181" spans="1:12" ht="12" hidden="1" customHeight="1" x14ac:dyDescent="0.3">
      <c r="A181" s="164" t="s">
        <v>368</v>
      </c>
      <c r="B181" s="167" t="s">
        <v>86</v>
      </c>
      <c r="C181" s="193" t="s">
        <v>437</v>
      </c>
      <c r="D181" s="193" t="s">
        <v>438</v>
      </c>
      <c r="E181" s="193" t="s">
        <v>404</v>
      </c>
      <c r="F181" s="188">
        <v>45658</v>
      </c>
      <c r="G181" s="194"/>
      <c r="H181" s="194">
        <v>0</v>
      </c>
      <c r="I181" s="194"/>
      <c r="J181" s="194"/>
      <c r="K181" s="194"/>
      <c r="L181" s="194"/>
    </row>
    <row r="182" spans="1:12" ht="12" hidden="1" customHeight="1" x14ac:dyDescent="0.3">
      <c r="A182" s="164" t="s">
        <v>368</v>
      </c>
      <c r="B182" s="167" t="s">
        <v>75</v>
      </c>
      <c r="C182" s="193" t="s">
        <v>439</v>
      </c>
      <c r="D182" s="193" t="s">
        <v>440</v>
      </c>
      <c r="E182" s="193" t="s">
        <v>404</v>
      </c>
      <c r="F182" s="188">
        <v>45992</v>
      </c>
      <c r="G182" s="194"/>
      <c r="H182" s="194">
        <v>6073.06</v>
      </c>
      <c r="I182" s="194"/>
      <c r="J182" s="194"/>
      <c r="K182" s="194"/>
      <c r="L182" s="194"/>
    </row>
    <row r="183" spans="1:12" ht="12" hidden="1" customHeight="1" x14ac:dyDescent="0.3">
      <c r="A183" s="164" t="s">
        <v>368</v>
      </c>
      <c r="B183" s="167" t="s">
        <v>75</v>
      </c>
      <c r="C183" s="193" t="s">
        <v>439</v>
      </c>
      <c r="D183" s="193" t="s">
        <v>440</v>
      </c>
      <c r="E183" s="193" t="s">
        <v>404</v>
      </c>
      <c r="F183" s="188">
        <v>45962</v>
      </c>
      <c r="G183" s="194"/>
      <c r="H183" s="194">
        <v>6374.03</v>
      </c>
      <c r="I183" s="194"/>
      <c r="J183" s="194"/>
      <c r="K183" s="194"/>
      <c r="L183" s="194"/>
    </row>
    <row r="184" spans="1:12" ht="12" hidden="1" customHeight="1" x14ac:dyDescent="0.3">
      <c r="A184" s="164" t="s">
        <v>368</v>
      </c>
      <c r="B184" s="167" t="s">
        <v>75</v>
      </c>
      <c r="C184" s="193" t="s">
        <v>439</v>
      </c>
      <c r="D184" s="193" t="s">
        <v>440</v>
      </c>
      <c r="E184" s="193" t="s">
        <v>404</v>
      </c>
      <c r="F184" s="188">
        <v>45931</v>
      </c>
      <c r="G184" s="194"/>
      <c r="H184" s="194">
        <v>5428.03</v>
      </c>
      <c r="I184" s="194"/>
      <c r="J184" s="194"/>
      <c r="K184" s="194"/>
      <c r="L184" s="194"/>
    </row>
    <row r="185" spans="1:12" ht="12" hidden="1" customHeight="1" x14ac:dyDescent="0.3">
      <c r="A185" s="164" t="s">
        <v>368</v>
      </c>
      <c r="B185" s="167" t="s">
        <v>75</v>
      </c>
      <c r="C185" s="193" t="s">
        <v>439</v>
      </c>
      <c r="D185" s="193" t="s">
        <v>440</v>
      </c>
      <c r="E185" s="193" t="s">
        <v>404</v>
      </c>
      <c r="F185" s="188">
        <v>45901</v>
      </c>
      <c r="G185" s="194"/>
      <c r="H185" s="194">
        <v>4204.96</v>
      </c>
      <c r="I185" s="194"/>
      <c r="J185" s="194"/>
      <c r="K185" s="194"/>
      <c r="L185" s="194"/>
    </row>
    <row r="186" spans="1:12" ht="12" hidden="1" customHeight="1" x14ac:dyDescent="0.3">
      <c r="A186" s="164" t="s">
        <v>368</v>
      </c>
      <c r="B186" s="167" t="s">
        <v>75</v>
      </c>
      <c r="C186" s="193" t="s">
        <v>439</v>
      </c>
      <c r="D186" s="193" t="s">
        <v>440</v>
      </c>
      <c r="E186" s="193" t="s">
        <v>404</v>
      </c>
      <c r="F186" s="188">
        <v>45870</v>
      </c>
      <c r="G186" s="194"/>
      <c r="H186" s="194">
        <v>3408.79</v>
      </c>
      <c r="I186" s="194"/>
      <c r="J186" s="194"/>
      <c r="K186" s="194"/>
      <c r="L186" s="194"/>
    </row>
    <row r="187" spans="1:12" ht="12" hidden="1" customHeight="1" x14ac:dyDescent="0.3">
      <c r="A187" s="164" t="s">
        <v>368</v>
      </c>
      <c r="B187" s="167" t="s">
        <v>75</v>
      </c>
      <c r="C187" s="193" t="s">
        <v>439</v>
      </c>
      <c r="D187" s="193" t="s">
        <v>440</v>
      </c>
      <c r="E187" s="193" t="s">
        <v>404</v>
      </c>
      <c r="F187" s="188">
        <v>45839</v>
      </c>
      <c r="G187" s="194"/>
      <c r="H187" s="194">
        <v>3450.56</v>
      </c>
      <c r="I187" s="194"/>
      <c r="J187" s="194"/>
      <c r="K187" s="194"/>
      <c r="L187" s="194"/>
    </row>
    <row r="188" spans="1:12" ht="12" hidden="1" customHeight="1" x14ac:dyDescent="0.3">
      <c r="A188" s="164" t="s">
        <v>368</v>
      </c>
      <c r="B188" s="167" t="s">
        <v>75</v>
      </c>
      <c r="C188" s="193" t="s">
        <v>439</v>
      </c>
      <c r="D188" s="193" t="s">
        <v>440</v>
      </c>
      <c r="E188" s="193" t="s">
        <v>404</v>
      </c>
      <c r="F188" s="188">
        <v>45809</v>
      </c>
      <c r="G188" s="194"/>
      <c r="H188" s="194">
        <v>3657.4</v>
      </c>
      <c r="I188" s="194"/>
      <c r="J188" s="194"/>
      <c r="K188" s="194"/>
      <c r="L188" s="194"/>
    </row>
    <row r="189" spans="1:12" ht="12" hidden="1" customHeight="1" x14ac:dyDescent="0.3">
      <c r="A189" s="164" t="s">
        <v>368</v>
      </c>
      <c r="B189" s="167" t="s">
        <v>75</v>
      </c>
      <c r="C189" s="193" t="s">
        <v>439</v>
      </c>
      <c r="D189" s="193" t="s">
        <v>440</v>
      </c>
      <c r="E189" s="193" t="s">
        <v>404</v>
      </c>
      <c r="F189" s="188">
        <v>45778</v>
      </c>
      <c r="G189" s="194"/>
      <c r="H189" s="194">
        <v>4080.16</v>
      </c>
      <c r="I189" s="194"/>
      <c r="J189" s="194"/>
      <c r="K189" s="194"/>
      <c r="L189" s="194"/>
    </row>
    <row r="190" spans="1:12" ht="12" hidden="1" customHeight="1" x14ac:dyDescent="0.3">
      <c r="A190" s="164" t="s">
        <v>368</v>
      </c>
      <c r="B190" s="167" t="s">
        <v>75</v>
      </c>
      <c r="C190" s="193" t="s">
        <v>439</v>
      </c>
      <c r="D190" s="193" t="s">
        <v>440</v>
      </c>
      <c r="E190" s="193" t="s">
        <v>404</v>
      </c>
      <c r="F190" s="188">
        <v>45748</v>
      </c>
      <c r="G190" s="194"/>
      <c r="H190" s="194">
        <v>4416.04</v>
      </c>
      <c r="I190" s="194"/>
      <c r="J190" s="194"/>
      <c r="K190" s="194"/>
      <c r="L190" s="194"/>
    </row>
    <row r="191" spans="1:12" ht="12" hidden="1" customHeight="1" x14ac:dyDescent="0.3">
      <c r="A191" s="164" t="s">
        <v>368</v>
      </c>
      <c r="B191" s="167" t="s">
        <v>75</v>
      </c>
      <c r="C191" s="193" t="s">
        <v>439</v>
      </c>
      <c r="D191" s="193" t="s">
        <v>440</v>
      </c>
      <c r="E191" s="193" t="s">
        <v>404</v>
      </c>
      <c r="F191" s="188">
        <v>45717</v>
      </c>
      <c r="G191" s="194"/>
      <c r="H191" s="194">
        <v>5075.6499999999996</v>
      </c>
      <c r="I191" s="194"/>
      <c r="J191" s="194"/>
      <c r="K191" s="194"/>
      <c r="L191" s="194"/>
    </row>
    <row r="192" spans="1:12" ht="12" hidden="1" customHeight="1" x14ac:dyDescent="0.3">
      <c r="A192" s="164" t="s">
        <v>368</v>
      </c>
      <c r="B192" s="167" t="s">
        <v>75</v>
      </c>
      <c r="C192" s="193" t="s">
        <v>439</v>
      </c>
      <c r="D192" s="193" t="s">
        <v>440</v>
      </c>
      <c r="E192" s="193" t="s">
        <v>404</v>
      </c>
      <c r="F192" s="188">
        <v>45689</v>
      </c>
      <c r="G192" s="194"/>
      <c r="H192" s="194">
        <v>4332.6899999999996</v>
      </c>
      <c r="I192" s="194"/>
      <c r="J192" s="194"/>
      <c r="K192" s="194"/>
      <c r="L192" s="194"/>
    </row>
    <row r="193" spans="1:12" ht="12" hidden="1" customHeight="1" x14ac:dyDescent="0.3">
      <c r="A193" s="164" t="s">
        <v>368</v>
      </c>
      <c r="B193" s="167" t="s">
        <v>75</v>
      </c>
      <c r="C193" s="193" t="s">
        <v>439</v>
      </c>
      <c r="D193" s="193" t="s">
        <v>440</v>
      </c>
      <c r="E193" s="193" t="s">
        <v>404</v>
      </c>
      <c r="F193" s="188">
        <v>45658</v>
      </c>
      <c r="G193" s="194"/>
      <c r="H193" s="194">
        <v>4121.32</v>
      </c>
      <c r="I193" s="194"/>
      <c r="J193" s="194"/>
      <c r="K193" s="194"/>
      <c r="L193" s="194"/>
    </row>
    <row r="194" spans="1:12" ht="12" hidden="1" customHeight="1" x14ac:dyDescent="0.3">
      <c r="A194" s="164" t="s">
        <v>368</v>
      </c>
      <c r="B194" s="167" t="s">
        <v>91</v>
      </c>
      <c r="C194" s="193" t="s">
        <v>441</v>
      </c>
      <c r="D194" s="193" t="s">
        <v>442</v>
      </c>
      <c r="E194" s="193" t="s">
        <v>404</v>
      </c>
      <c r="F194" s="188">
        <v>45992</v>
      </c>
      <c r="G194" s="194"/>
      <c r="H194" s="194">
        <v>3547</v>
      </c>
      <c r="I194" s="194"/>
      <c r="J194" s="194"/>
      <c r="K194" s="194"/>
      <c r="L194" s="194"/>
    </row>
    <row r="195" spans="1:12" ht="12" hidden="1" customHeight="1" x14ac:dyDescent="0.3">
      <c r="A195" s="164" t="s">
        <v>368</v>
      </c>
      <c r="B195" s="167" t="s">
        <v>91</v>
      </c>
      <c r="C195" s="193" t="s">
        <v>441</v>
      </c>
      <c r="D195" s="193" t="s">
        <v>442</v>
      </c>
      <c r="E195" s="193" t="s">
        <v>404</v>
      </c>
      <c r="F195" s="188">
        <v>45962</v>
      </c>
      <c r="G195" s="194"/>
      <c r="H195" s="194">
        <v>3614</v>
      </c>
      <c r="I195" s="194"/>
      <c r="J195" s="194"/>
      <c r="K195" s="194"/>
      <c r="L195" s="194"/>
    </row>
    <row r="196" spans="1:12" ht="12" hidden="1" customHeight="1" x14ac:dyDescent="0.3">
      <c r="A196" s="164" t="s">
        <v>368</v>
      </c>
      <c r="B196" s="167" t="s">
        <v>91</v>
      </c>
      <c r="C196" s="193" t="s">
        <v>441</v>
      </c>
      <c r="D196" s="193" t="s">
        <v>442</v>
      </c>
      <c r="E196" s="193" t="s">
        <v>404</v>
      </c>
      <c r="F196" s="188">
        <v>45931</v>
      </c>
      <c r="G196" s="194"/>
      <c r="H196" s="194">
        <v>3961</v>
      </c>
      <c r="I196" s="194"/>
      <c r="J196" s="194"/>
      <c r="K196" s="194"/>
      <c r="L196" s="194"/>
    </row>
    <row r="197" spans="1:12" ht="12" hidden="1" customHeight="1" x14ac:dyDescent="0.3">
      <c r="A197" s="164" t="s">
        <v>368</v>
      </c>
      <c r="B197" s="167" t="s">
        <v>91</v>
      </c>
      <c r="C197" s="193" t="s">
        <v>441</v>
      </c>
      <c r="D197" s="193" t="s">
        <v>442</v>
      </c>
      <c r="E197" s="193" t="s">
        <v>404</v>
      </c>
      <c r="F197" s="188">
        <v>45901</v>
      </c>
      <c r="G197" s="194"/>
      <c r="H197" s="194">
        <v>3873</v>
      </c>
      <c r="I197" s="194"/>
      <c r="J197" s="194"/>
      <c r="K197" s="194"/>
      <c r="L197" s="194"/>
    </row>
    <row r="198" spans="1:12" ht="12" hidden="1" customHeight="1" x14ac:dyDescent="0.3">
      <c r="A198" s="164" t="s">
        <v>368</v>
      </c>
      <c r="B198" s="167" t="s">
        <v>91</v>
      </c>
      <c r="C198" s="193" t="s">
        <v>441</v>
      </c>
      <c r="D198" s="193" t="s">
        <v>442</v>
      </c>
      <c r="E198" s="193" t="s">
        <v>404</v>
      </c>
      <c r="F198" s="188">
        <v>45870</v>
      </c>
      <c r="G198" s="194"/>
      <c r="H198" s="194">
        <v>4685</v>
      </c>
      <c r="I198" s="194"/>
      <c r="J198" s="194"/>
      <c r="K198" s="194"/>
      <c r="L198" s="194"/>
    </row>
    <row r="199" spans="1:12" ht="12" hidden="1" customHeight="1" x14ac:dyDescent="0.3">
      <c r="A199" s="164" t="s">
        <v>368</v>
      </c>
      <c r="B199" s="167" t="s">
        <v>91</v>
      </c>
      <c r="C199" s="193" t="s">
        <v>441</v>
      </c>
      <c r="D199" s="193" t="s">
        <v>442</v>
      </c>
      <c r="E199" s="193" t="s">
        <v>404</v>
      </c>
      <c r="F199" s="188">
        <v>45839</v>
      </c>
      <c r="G199" s="194"/>
      <c r="H199" s="194">
        <v>4336</v>
      </c>
      <c r="I199" s="194"/>
      <c r="J199" s="194"/>
      <c r="K199" s="194"/>
      <c r="L199" s="194"/>
    </row>
    <row r="200" spans="1:12" ht="12" hidden="1" customHeight="1" x14ac:dyDescent="0.3">
      <c r="A200" s="164" t="s">
        <v>368</v>
      </c>
      <c r="B200" s="167" t="s">
        <v>91</v>
      </c>
      <c r="C200" s="193" t="s">
        <v>441</v>
      </c>
      <c r="D200" s="193" t="s">
        <v>442</v>
      </c>
      <c r="E200" s="193" t="s">
        <v>404</v>
      </c>
      <c r="F200" s="188">
        <v>45809</v>
      </c>
      <c r="G200" s="194"/>
      <c r="H200" s="194">
        <v>3953</v>
      </c>
      <c r="I200" s="194"/>
      <c r="J200" s="194"/>
      <c r="K200" s="194"/>
      <c r="L200" s="194"/>
    </row>
    <row r="201" spans="1:12" ht="12" hidden="1" customHeight="1" x14ac:dyDescent="0.3">
      <c r="A201" s="164" t="s">
        <v>368</v>
      </c>
      <c r="B201" s="167" t="s">
        <v>91</v>
      </c>
      <c r="C201" s="193" t="s">
        <v>441</v>
      </c>
      <c r="D201" s="193" t="s">
        <v>442</v>
      </c>
      <c r="E201" s="193" t="s">
        <v>404</v>
      </c>
      <c r="F201" s="188">
        <v>45778</v>
      </c>
      <c r="G201" s="194"/>
      <c r="H201" s="194">
        <v>3888</v>
      </c>
      <c r="I201" s="194"/>
      <c r="J201" s="194"/>
      <c r="K201" s="194"/>
      <c r="L201" s="194"/>
    </row>
    <row r="202" spans="1:12" ht="12" hidden="1" customHeight="1" x14ac:dyDescent="0.3">
      <c r="A202" s="164" t="s">
        <v>368</v>
      </c>
      <c r="B202" s="167" t="s">
        <v>91</v>
      </c>
      <c r="C202" s="193" t="s">
        <v>441</v>
      </c>
      <c r="D202" s="193" t="s">
        <v>442</v>
      </c>
      <c r="E202" s="193" t="s">
        <v>404</v>
      </c>
      <c r="F202" s="188">
        <v>45748</v>
      </c>
      <c r="G202" s="194"/>
      <c r="H202" s="194">
        <v>3810</v>
      </c>
      <c r="I202" s="194"/>
      <c r="J202" s="194"/>
      <c r="K202" s="194"/>
      <c r="L202" s="194"/>
    </row>
    <row r="203" spans="1:12" ht="12" hidden="1" customHeight="1" x14ac:dyDescent="0.3">
      <c r="A203" s="164" t="s">
        <v>368</v>
      </c>
      <c r="B203" s="167" t="s">
        <v>91</v>
      </c>
      <c r="C203" s="193" t="s">
        <v>441</v>
      </c>
      <c r="D203" s="193" t="s">
        <v>442</v>
      </c>
      <c r="E203" s="193" t="s">
        <v>404</v>
      </c>
      <c r="F203" s="188">
        <v>45717</v>
      </c>
      <c r="G203" s="194"/>
      <c r="H203" s="194">
        <v>3733</v>
      </c>
      <c r="I203" s="194"/>
      <c r="J203" s="194"/>
      <c r="K203" s="194"/>
      <c r="L203" s="194"/>
    </row>
    <row r="204" spans="1:12" ht="12" hidden="1" customHeight="1" x14ac:dyDescent="0.3">
      <c r="A204" s="164" t="s">
        <v>368</v>
      </c>
      <c r="B204" s="167" t="s">
        <v>91</v>
      </c>
      <c r="C204" s="193" t="s">
        <v>441</v>
      </c>
      <c r="D204" s="193" t="s">
        <v>442</v>
      </c>
      <c r="E204" s="193" t="s">
        <v>404</v>
      </c>
      <c r="F204" s="188">
        <v>45689</v>
      </c>
      <c r="G204" s="194"/>
      <c r="H204" s="194">
        <v>4609</v>
      </c>
      <c r="I204" s="194"/>
      <c r="J204" s="194"/>
      <c r="K204" s="194"/>
      <c r="L204" s="194"/>
    </row>
    <row r="205" spans="1:12" ht="12" hidden="1" customHeight="1" x14ac:dyDescent="0.3">
      <c r="A205" s="164" t="s">
        <v>368</v>
      </c>
      <c r="B205" s="167" t="s">
        <v>91</v>
      </c>
      <c r="C205" s="193" t="s">
        <v>441</v>
      </c>
      <c r="D205" s="193" t="s">
        <v>442</v>
      </c>
      <c r="E205" s="193" t="s">
        <v>404</v>
      </c>
      <c r="F205" s="188">
        <v>45658</v>
      </c>
      <c r="G205" s="194"/>
      <c r="H205" s="194">
        <v>4300</v>
      </c>
      <c r="I205" s="194"/>
      <c r="J205" s="194"/>
      <c r="K205" s="194"/>
      <c r="L205" s="194"/>
    </row>
    <row r="206" spans="1:12" ht="12" hidden="1" customHeight="1" x14ac:dyDescent="0.3">
      <c r="A206" s="164" t="s">
        <v>368</v>
      </c>
      <c r="B206" s="167" t="s">
        <v>87</v>
      </c>
      <c r="C206" s="193" t="s">
        <v>443</v>
      </c>
      <c r="D206" s="193" t="s">
        <v>444</v>
      </c>
      <c r="E206" s="193" t="s">
        <v>404</v>
      </c>
      <c r="F206" s="188">
        <v>45992</v>
      </c>
      <c r="G206" s="194"/>
      <c r="H206" s="194">
        <v>9160</v>
      </c>
      <c r="I206" s="194"/>
      <c r="J206" s="194"/>
      <c r="K206" s="194"/>
      <c r="L206" s="194"/>
    </row>
    <row r="207" spans="1:12" ht="12" hidden="1" customHeight="1" x14ac:dyDescent="0.3">
      <c r="A207" s="164" t="s">
        <v>368</v>
      </c>
      <c r="B207" s="167" t="s">
        <v>87</v>
      </c>
      <c r="C207" s="193" t="s">
        <v>443</v>
      </c>
      <c r="D207" s="193" t="s">
        <v>444</v>
      </c>
      <c r="E207" s="193" t="s">
        <v>404</v>
      </c>
      <c r="F207" s="188">
        <v>45962</v>
      </c>
      <c r="G207" s="194"/>
      <c r="H207" s="194">
        <v>8920</v>
      </c>
      <c r="I207" s="194"/>
      <c r="J207" s="194"/>
      <c r="K207" s="194"/>
      <c r="L207" s="194"/>
    </row>
    <row r="208" spans="1:12" ht="12" hidden="1" customHeight="1" x14ac:dyDescent="0.3">
      <c r="A208" s="164" t="s">
        <v>368</v>
      </c>
      <c r="B208" s="167" t="s">
        <v>87</v>
      </c>
      <c r="C208" s="193" t="s">
        <v>443</v>
      </c>
      <c r="D208" s="193" t="s">
        <v>444</v>
      </c>
      <c r="E208" s="193" t="s">
        <v>404</v>
      </c>
      <c r="F208" s="188">
        <v>45931</v>
      </c>
      <c r="G208" s="194"/>
      <c r="H208" s="194">
        <v>9480</v>
      </c>
      <c r="I208" s="194"/>
      <c r="J208" s="194"/>
      <c r="K208" s="194"/>
      <c r="L208" s="194"/>
    </row>
    <row r="209" spans="1:12" ht="12" hidden="1" customHeight="1" x14ac:dyDescent="0.3">
      <c r="A209" s="164" t="s">
        <v>368</v>
      </c>
      <c r="B209" s="167" t="s">
        <v>87</v>
      </c>
      <c r="C209" s="193" t="s">
        <v>443</v>
      </c>
      <c r="D209" s="193" t="s">
        <v>444</v>
      </c>
      <c r="E209" s="193" t="s">
        <v>404</v>
      </c>
      <c r="F209" s="188">
        <v>45901</v>
      </c>
      <c r="G209" s="194"/>
      <c r="H209" s="194">
        <v>8800</v>
      </c>
      <c r="I209" s="194"/>
      <c r="J209" s="194"/>
      <c r="K209" s="194"/>
      <c r="L209" s="194"/>
    </row>
    <row r="210" spans="1:12" ht="12" hidden="1" customHeight="1" x14ac:dyDescent="0.3">
      <c r="A210" s="164" t="s">
        <v>368</v>
      </c>
      <c r="B210" s="167" t="s">
        <v>87</v>
      </c>
      <c r="C210" s="193" t="s">
        <v>443</v>
      </c>
      <c r="D210" s="193" t="s">
        <v>444</v>
      </c>
      <c r="E210" s="193" t="s">
        <v>404</v>
      </c>
      <c r="F210" s="188">
        <v>45870</v>
      </c>
      <c r="G210" s="194"/>
      <c r="H210" s="194">
        <v>8880</v>
      </c>
      <c r="I210" s="194"/>
      <c r="J210" s="194"/>
      <c r="K210" s="194"/>
      <c r="L210" s="194"/>
    </row>
    <row r="211" spans="1:12" ht="12" hidden="1" customHeight="1" x14ac:dyDescent="0.3">
      <c r="A211" s="164" t="s">
        <v>368</v>
      </c>
      <c r="B211" s="167" t="s">
        <v>87</v>
      </c>
      <c r="C211" s="193" t="s">
        <v>443</v>
      </c>
      <c r="D211" s="193" t="s">
        <v>444</v>
      </c>
      <c r="E211" s="193" t="s">
        <v>404</v>
      </c>
      <c r="F211" s="188">
        <v>45839</v>
      </c>
      <c r="G211" s="194"/>
      <c r="H211" s="194">
        <v>7600</v>
      </c>
      <c r="I211" s="194"/>
      <c r="J211" s="194"/>
      <c r="K211" s="194"/>
      <c r="L211" s="194"/>
    </row>
    <row r="212" spans="1:12" ht="12" hidden="1" customHeight="1" x14ac:dyDescent="0.3">
      <c r="A212" s="164" t="s">
        <v>368</v>
      </c>
      <c r="B212" s="167" t="s">
        <v>87</v>
      </c>
      <c r="C212" s="193" t="s">
        <v>443</v>
      </c>
      <c r="D212" s="193" t="s">
        <v>444</v>
      </c>
      <c r="E212" s="193" t="s">
        <v>404</v>
      </c>
      <c r="F212" s="188">
        <v>45809</v>
      </c>
      <c r="G212" s="194"/>
      <c r="H212" s="194">
        <v>8000</v>
      </c>
      <c r="I212" s="194"/>
      <c r="J212" s="194"/>
      <c r="K212" s="194"/>
      <c r="L212" s="194"/>
    </row>
    <row r="213" spans="1:12" ht="12" hidden="1" customHeight="1" x14ac:dyDescent="0.3">
      <c r="A213" s="164" t="s">
        <v>368</v>
      </c>
      <c r="B213" s="167" t="s">
        <v>87</v>
      </c>
      <c r="C213" s="193" t="s">
        <v>443</v>
      </c>
      <c r="D213" s="193" t="s">
        <v>444</v>
      </c>
      <c r="E213" s="193" t="s">
        <v>404</v>
      </c>
      <c r="F213" s="188">
        <v>45778</v>
      </c>
      <c r="G213" s="194"/>
      <c r="H213" s="194">
        <v>8880</v>
      </c>
      <c r="I213" s="194"/>
      <c r="J213" s="194"/>
      <c r="K213" s="194"/>
      <c r="L213" s="194"/>
    </row>
    <row r="214" spans="1:12" ht="12" hidden="1" customHeight="1" x14ac:dyDescent="0.3">
      <c r="A214" s="164" t="s">
        <v>368</v>
      </c>
      <c r="B214" s="167" t="s">
        <v>87</v>
      </c>
      <c r="C214" s="193" t="s">
        <v>443</v>
      </c>
      <c r="D214" s="193" t="s">
        <v>444</v>
      </c>
      <c r="E214" s="193" t="s">
        <v>404</v>
      </c>
      <c r="F214" s="188">
        <v>45748</v>
      </c>
      <c r="G214" s="194"/>
      <c r="H214" s="194">
        <v>9400</v>
      </c>
      <c r="I214" s="194"/>
      <c r="J214" s="194"/>
      <c r="K214" s="194"/>
      <c r="L214" s="194"/>
    </row>
    <row r="215" spans="1:12" ht="12" hidden="1" customHeight="1" x14ac:dyDescent="0.3">
      <c r="A215" s="164" t="s">
        <v>368</v>
      </c>
      <c r="B215" s="167" t="s">
        <v>87</v>
      </c>
      <c r="C215" s="193" t="s">
        <v>443</v>
      </c>
      <c r="D215" s="193" t="s">
        <v>444</v>
      </c>
      <c r="E215" s="193" t="s">
        <v>404</v>
      </c>
      <c r="F215" s="188">
        <v>45717</v>
      </c>
      <c r="G215" s="194"/>
      <c r="H215" s="194">
        <v>10000</v>
      </c>
      <c r="I215" s="194"/>
      <c r="J215" s="194"/>
      <c r="K215" s="194"/>
      <c r="L215" s="194"/>
    </row>
    <row r="216" spans="1:12" ht="12" hidden="1" customHeight="1" x14ac:dyDescent="0.3">
      <c r="A216" s="164" t="s">
        <v>368</v>
      </c>
      <c r="B216" s="167" t="s">
        <v>87</v>
      </c>
      <c r="C216" s="193" t="s">
        <v>443</v>
      </c>
      <c r="D216" s="193" t="s">
        <v>444</v>
      </c>
      <c r="E216" s="193" t="s">
        <v>404</v>
      </c>
      <c r="F216" s="188">
        <v>45689</v>
      </c>
      <c r="G216" s="194"/>
      <c r="H216" s="194">
        <v>11640</v>
      </c>
      <c r="I216" s="194"/>
      <c r="J216" s="194"/>
      <c r="K216" s="194"/>
      <c r="L216" s="194"/>
    </row>
    <row r="217" spans="1:12" ht="12" hidden="1" customHeight="1" x14ac:dyDescent="0.3">
      <c r="A217" s="164" t="s">
        <v>368</v>
      </c>
      <c r="B217" s="167" t="s">
        <v>87</v>
      </c>
      <c r="C217" s="193" t="s">
        <v>443</v>
      </c>
      <c r="D217" s="193" t="s">
        <v>444</v>
      </c>
      <c r="E217" s="193" t="s">
        <v>404</v>
      </c>
      <c r="F217" s="188">
        <v>45658</v>
      </c>
      <c r="G217" s="194"/>
      <c r="H217" s="194">
        <v>11760</v>
      </c>
      <c r="I217" s="194"/>
      <c r="J217" s="194"/>
      <c r="K217" s="194"/>
      <c r="L217" s="194"/>
    </row>
  </sheetData>
  <autoFilter ref="B1:L217" xr:uid="{00000000-0009-0000-0000-00000A000000}"/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93C92"/>
  </sheetPr>
  <dimension ref="A1"/>
  <sheetViews>
    <sheetView zoomScaleNormal="100" workbookViewId="0">
      <selection activeCell="M24" sqref="M24"/>
    </sheetView>
  </sheetViews>
  <sheetFormatPr defaultColWidth="8.54296875" defaultRowHeight="12.5" x14ac:dyDescent="0.25"/>
  <cols>
    <col min="1" max="16384" width="8.54296875" style="163"/>
  </cols>
  <sheetData/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D9E7FD"/>
  </sheetPr>
  <dimension ref="B3:K102"/>
  <sheetViews>
    <sheetView topLeftCell="A61" zoomScaleNormal="100" workbookViewId="0">
      <selection activeCell="I69" sqref="I69"/>
    </sheetView>
  </sheetViews>
  <sheetFormatPr defaultColWidth="8.54296875" defaultRowHeight="13" x14ac:dyDescent="0.3"/>
  <cols>
    <col min="1" max="2" width="8.54296875" style="164"/>
    <col min="3" max="3" width="16.453125" style="164" customWidth="1"/>
    <col min="4" max="4" width="10.1796875" style="164" customWidth="1"/>
    <col min="5" max="5" width="22.54296875" style="164" customWidth="1"/>
    <col min="6" max="6" width="8.54296875" style="164"/>
    <col min="7" max="7" width="23.1796875" style="164" customWidth="1"/>
    <col min="8" max="8" width="15.81640625" style="164" customWidth="1"/>
    <col min="9" max="9" width="15.1796875" style="164" customWidth="1"/>
    <col min="10" max="16384" width="8.54296875" style="164"/>
  </cols>
  <sheetData>
    <row r="3" spans="2:9" ht="12.75" customHeight="1" x14ac:dyDescent="0.3">
      <c r="B3" s="196" t="s">
        <v>445</v>
      </c>
      <c r="C3" s="196" t="s">
        <v>446</v>
      </c>
      <c r="D3" s="196" t="s">
        <v>355</v>
      </c>
      <c r="E3" s="196" t="s">
        <v>35</v>
      </c>
      <c r="F3" s="196" t="s">
        <v>447</v>
      </c>
      <c r="G3" s="196" t="s">
        <v>448</v>
      </c>
      <c r="H3" s="196" t="s">
        <v>449</v>
      </c>
      <c r="I3" s="196" t="s">
        <v>450</v>
      </c>
    </row>
    <row r="4" spans="2:9" ht="13.5" customHeight="1" x14ac:dyDescent="0.3">
      <c r="B4" s="197" t="s">
        <v>451</v>
      </c>
      <c r="C4" s="197" t="s">
        <v>452</v>
      </c>
      <c r="D4" s="198">
        <v>45383</v>
      </c>
      <c r="E4" s="199" t="s">
        <v>453</v>
      </c>
      <c r="F4" s="199">
        <v>4</v>
      </c>
      <c r="G4" s="199">
        <v>2024</v>
      </c>
      <c r="H4" s="199" t="s">
        <v>454</v>
      </c>
      <c r="I4" s="200">
        <v>37.226999999999997</v>
      </c>
    </row>
    <row r="5" spans="2:9" ht="13.5" customHeight="1" x14ac:dyDescent="0.3">
      <c r="B5" s="197" t="s">
        <v>451</v>
      </c>
      <c r="C5" s="197" t="s">
        <v>452</v>
      </c>
      <c r="D5" s="198">
        <v>45413</v>
      </c>
      <c r="E5" s="199" t="s">
        <v>455</v>
      </c>
      <c r="F5" s="199">
        <v>5</v>
      </c>
      <c r="G5" s="199">
        <v>2024</v>
      </c>
      <c r="H5" s="199" t="s">
        <v>454</v>
      </c>
      <c r="I5" s="200">
        <v>66.274000000000001</v>
      </c>
    </row>
    <row r="6" spans="2:9" ht="13.5" customHeight="1" x14ac:dyDescent="0.3">
      <c r="B6" s="197" t="s">
        <v>451</v>
      </c>
      <c r="C6" s="197" t="s">
        <v>452</v>
      </c>
      <c r="D6" s="198">
        <v>45444</v>
      </c>
      <c r="E6" s="199" t="s">
        <v>268</v>
      </c>
      <c r="F6" s="199">
        <v>6</v>
      </c>
      <c r="G6" s="199">
        <v>2024</v>
      </c>
      <c r="H6" s="199" t="s">
        <v>454</v>
      </c>
      <c r="I6" s="200">
        <v>54.743000000000002</v>
      </c>
    </row>
    <row r="7" spans="2:9" ht="13.5" customHeight="1" x14ac:dyDescent="0.3">
      <c r="B7" s="197" t="s">
        <v>451</v>
      </c>
      <c r="C7" s="197" t="s">
        <v>452</v>
      </c>
      <c r="D7" s="198">
        <v>45474</v>
      </c>
      <c r="E7" s="199" t="s">
        <v>269</v>
      </c>
      <c r="F7" s="199">
        <v>7</v>
      </c>
      <c r="G7" s="199">
        <v>2024</v>
      </c>
      <c r="H7" s="199" t="s">
        <v>454</v>
      </c>
      <c r="I7" s="200">
        <v>100.242</v>
      </c>
    </row>
    <row r="8" spans="2:9" ht="13.5" customHeight="1" x14ac:dyDescent="0.3">
      <c r="B8" s="197" t="s">
        <v>451</v>
      </c>
      <c r="C8" s="197" t="s">
        <v>452</v>
      </c>
      <c r="D8" s="198">
        <v>45505</v>
      </c>
      <c r="E8" s="199" t="s">
        <v>456</v>
      </c>
      <c r="F8" s="199">
        <v>8</v>
      </c>
      <c r="G8" s="199">
        <v>2024</v>
      </c>
      <c r="H8" s="199" t="s">
        <v>454</v>
      </c>
      <c r="I8" s="200">
        <v>114.491</v>
      </c>
    </row>
    <row r="9" spans="2:9" ht="13.5" customHeight="1" x14ac:dyDescent="0.3">
      <c r="B9" s="197" t="s">
        <v>451</v>
      </c>
      <c r="C9" s="197" t="s">
        <v>452</v>
      </c>
      <c r="D9" s="198">
        <v>45536</v>
      </c>
      <c r="E9" s="199" t="s">
        <v>457</v>
      </c>
      <c r="F9" s="199">
        <v>9</v>
      </c>
      <c r="G9" s="199">
        <v>2024</v>
      </c>
      <c r="H9" s="199" t="s">
        <v>454</v>
      </c>
      <c r="I9" s="200">
        <v>101.6523</v>
      </c>
    </row>
    <row r="10" spans="2:9" ht="13.5" customHeight="1" x14ac:dyDescent="0.3">
      <c r="B10" s="197" t="s">
        <v>451</v>
      </c>
      <c r="C10" s="197" t="s">
        <v>452</v>
      </c>
      <c r="D10" s="198">
        <v>45566</v>
      </c>
      <c r="E10" s="199" t="s">
        <v>458</v>
      </c>
      <c r="F10" s="199">
        <v>10</v>
      </c>
      <c r="G10" s="199">
        <v>2024</v>
      </c>
      <c r="H10" s="199" t="s">
        <v>454</v>
      </c>
      <c r="I10" s="200">
        <v>88.615099999999998</v>
      </c>
    </row>
    <row r="11" spans="2:9" ht="13.5" customHeight="1" x14ac:dyDescent="0.3">
      <c r="B11" s="197" t="s">
        <v>451</v>
      </c>
      <c r="C11" s="197" t="s">
        <v>452</v>
      </c>
      <c r="D11" s="198">
        <v>45597</v>
      </c>
      <c r="E11" s="199" t="s">
        <v>273</v>
      </c>
      <c r="F11" s="199">
        <v>11</v>
      </c>
      <c r="G11" s="199">
        <v>2024</v>
      </c>
      <c r="H11" s="199" t="s">
        <v>454</v>
      </c>
      <c r="I11" s="200">
        <v>99.369399999999999</v>
      </c>
    </row>
    <row r="12" spans="2:9" ht="13.5" customHeight="1" x14ac:dyDescent="0.3">
      <c r="B12" s="197" t="s">
        <v>451</v>
      </c>
      <c r="C12" s="197" t="s">
        <v>452</v>
      </c>
      <c r="D12" s="198">
        <v>45627</v>
      </c>
      <c r="E12" s="199" t="s">
        <v>459</v>
      </c>
      <c r="F12" s="199">
        <v>12</v>
      </c>
      <c r="G12" s="199">
        <v>2024</v>
      </c>
      <c r="H12" s="199" t="s">
        <v>454</v>
      </c>
      <c r="I12" s="200">
        <v>77.195599999999999</v>
      </c>
    </row>
    <row r="13" spans="2:9" ht="13.5" customHeight="1" x14ac:dyDescent="0.3">
      <c r="B13" s="197" t="s">
        <v>451</v>
      </c>
      <c r="C13" s="197" t="s">
        <v>452</v>
      </c>
      <c r="D13" s="198">
        <v>45658</v>
      </c>
      <c r="E13" s="199" t="s">
        <v>263</v>
      </c>
      <c r="F13" s="199">
        <v>1</v>
      </c>
      <c r="G13" s="199">
        <v>2024</v>
      </c>
      <c r="H13" s="199" t="s">
        <v>460</v>
      </c>
      <c r="I13" s="200">
        <v>105.4782</v>
      </c>
    </row>
    <row r="14" spans="2:9" ht="13.5" customHeight="1" x14ac:dyDescent="0.3">
      <c r="B14" s="197" t="s">
        <v>451</v>
      </c>
      <c r="C14" s="197" t="s">
        <v>452</v>
      </c>
      <c r="D14" s="198">
        <v>45689</v>
      </c>
      <c r="E14" s="199" t="s">
        <v>461</v>
      </c>
      <c r="F14" s="199">
        <v>2</v>
      </c>
      <c r="G14" s="199">
        <v>2024</v>
      </c>
      <c r="H14" s="199" t="s">
        <v>460</v>
      </c>
      <c r="I14" s="200">
        <v>85</v>
      </c>
    </row>
    <row r="15" spans="2:9" ht="13.5" customHeight="1" x14ac:dyDescent="0.3">
      <c r="B15" s="197" t="s">
        <v>451</v>
      </c>
      <c r="C15" s="197" t="s">
        <v>452</v>
      </c>
      <c r="D15" s="198">
        <v>45717</v>
      </c>
      <c r="E15" s="199" t="s">
        <v>265</v>
      </c>
      <c r="F15" s="199">
        <v>3</v>
      </c>
      <c r="G15" s="199">
        <v>2024</v>
      </c>
      <c r="H15" s="199" t="s">
        <v>460</v>
      </c>
      <c r="I15" s="200">
        <v>100.17870000000001</v>
      </c>
    </row>
    <row r="16" spans="2:9" ht="13.5" customHeight="1" x14ac:dyDescent="0.3">
      <c r="B16" s="197" t="s">
        <v>451</v>
      </c>
      <c r="C16" s="197" t="s">
        <v>452</v>
      </c>
      <c r="D16" s="198">
        <v>45748</v>
      </c>
      <c r="E16" s="199" t="s">
        <v>453</v>
      </c>
      <c r="F16" s="199">
        <v>4</v>
      </c>
      <c r="G16" s="199">
        <v>2024</v>
      </c>
      <c r="H16" s="199" t="s">
        <v>460</v>
      </c>
      <c r="I16" s="200">
        <v>81.436099999999996</v>
      </c>
    </row>
    <row r="17" spans="2:9" ht="13.5" customHeight="1" x14ac:dyDescent="0.3">
      <c r="B17" s="197" t="s">
        <v>451</v>
      </c>
      <c r="C17" s="197" t="s">
        <v>452</v>
      </c>
      <c r="D17" s="198">
        <v>45778</v>
      </c>
      <c r="E17" s="199" t="s">
        <v>455</v>
      </c>
      <c r="F17" s="199">
        <v>5</v>
      </c>
      <c r="G17" s="199">
        <v>2024</v>
      </c>
      <c r="H17" s="199" t="s">
        <v>460</v>
      </c>
      <c r="I17" s="200">
        <v>93.345100000000002</v>
      </c>
    </row>
    <row r="18" spans="2:9" ht="13.5" customHeight="1" x14ac:dyDescent="0.3">
      <c r="B18" s="197" t="s">
        <v>451</v>
      </c>
      <c r="C18" s="197" t="s">
        <v>452</v>
      </c>
      <c r="D18" s="198">
        <v>45809</v>
      </c>
      <c r="E18" s="199" t="s">
        <v>268</v>
      </c>
      <c r="F18" s="199">
        <v>6</v>
      </c>
      <c r="G18" s="199">
        <v>2024</v>
      </c>
      <c r="H18" s="199" t="s">
        <v>460</v>
      </c>
      <c r="I18" s="200">
        <v>77.902199999999993</v>
      </c>
    </row>
    <row r="19" spans="2:9" ht="13.5" customHeight="1" x14ac:dyDescent="0.3">
      <c r="B19" s="197" t="s">
        <v>451</v>
      </c>
      <c r="C19" s="197" t="s">
        <v>452</v>
      </c>
      <c r="D19" s="198">
        <v>45839</v>
      </c>
      <c r="E19" s="199" t="s">
        <v>269</v>
      </c>
      <c r="F19" s="199">
        <v>7</v>
      </c>
      <c r="G19" s="199">
        <v>2024</v>
      </c>
      <c r="H19" s="199" t="s">
        <v>460</v>
      </c>
      <c r="I19" s="200">
        <v>104.9024</v>
      </c>
    </row>
    <row r="20" spans="2:9" ht="13.5" customHeight="1" x14ac:dyDescent="0.3">
      <c r="B20" s="197" t="s">
        <v>451</v>
      </c>
      <c r="C20" s="197" t="s">
        <v>452</v>
      </c>
      <c r="D20" s="198">
        <v>45870</v>
      </c>
      <c r="E20" s="199" t="s">
        <v>456</v>
      </c>
      <c r="F20" s="199">
        <v>8</v>
      </c>
      <c r="G20" s="199">
        <v>2024</v>
      </c>
      <c r="H20" s="199" t="s">
        <v>460</v>
      </c>
      <c r="I20" s="200">
        <v>112</v>
      </c>
    </row>
    <row r="21" spans="2:9" ht="13.5" customHeight="1" x14ac:dyDescent="0.3">
      <c r="B21" s="197" t="s">
        <v>451</v>
      </c>
      <c r="C21" s="197" t="s">
        <v>452</v>
      </c>
      <c r="D21" s="198">
        <v>45901</v>
      </c>
      <c r="E21" s="199" t="s">
        <v>457</v>
      </c>
      <c r="F21" s="199">
        <v>9</v>
      </c>
      <c r="G21" s="199">
        <v>2024</v>
      </c>
      <c r="H21" s="199" t="s">
        <v>460</v>
      </c>
      <c r="I21" s="200">
        <v>111.27760000000001</v>
      </c>
    </row>
    <row r="22" spans="2:9" ht="13.5" customHeight="1" x14ac:dyDescent="0.3">
      <c r="B22" s="197" t="s">
        <v>451</v>
      </c>
      <c r="C22" s="197" t="s">
        <v>452</v>
      </c>
      <c r="D22" s="198">
        <v>45931</v>
      </c>
      <c r="E22" s="199" t="s">
        <v>458</v>
      </c>
      <c r="F22" s="199">
        <v>10</v>
      </c>
      <c r="G22" s="199">
        <v>2024</v>
      </c>
      <c r="H22" s="199" t="s">
        <v>460</v>
      </c>
      <c r="I22" s="200">
        <v>103.95740000000001</v>
      </c>
    </row>
    <row r="23" spans="2:9" ht="13.5" customHeight="1" x14ac:dyDescent="0.3">
      <c r="B23" s="197" t="s">
        <v>451</v>
      </c>
      <c r="C23" s="197" t="s">
        <v>452</v>
      </c>
      <c r="D23" s="198">
        <v>45962</v>
      </c>
      <c r="E23" s="199" t="s">
        <v>273</v>
      </c>
      <c r="F23" s="199">
        <v>11</v>
      </c>
      <c r="G23" s="199">
        <v>2024</v>
      </c>
      <c r="H23" s="199" t="s">
        <v>460</v>
      </c>
      <c r="I23" s="200">
        <v>122.8546</v>
      </c>
    </row>
    <row r="24" spans="2:9" ht="13.5" customHeight="1" x14ac:dyDescent="0.3">
      <c r="B24" s="197" t="s">
        <v>451</v>
      </c>
      <c r="C24" s="197" t="s">
        <v>452</v>
      </c>
      <c r="D24" s="198">
        <v>45992</v>
      </c>
      <c r="E24" s="199" t="s">
        <v>459</v>
      </c>
      <c r="F24" s="199">
        <v>12</v>
      </c>
      <c r="G24" s="199">
        <v>2024</v>
      </c>
      <c r="H24" s="199" t="s">
        <v>460</v>
      </c>
      <c r="I24" s="200">
        <v>104</v>
      </c>
    </row>
    <row r="25" spans="2:9" ht="13.5" customHeight="1" x14ac:dyDescent="0.3">
      <c r="B25" s="197" t="s">
        <v>451</v>
      </c>
      <c r="C25" s="197" t="s">
        <v>452</v>
      </c>
      <c r="D25" s="198">
        <v>46023</v>
      </c>
      <c r="E25" s="199" t="s">
        <v>263</v>
      </c>
      <c r="F25" s="199">
        <v>1</v>
      </c>
      <c r="G25" s="199">
        <v>2024</v>
      </c>
      <c r="H25" s="199" t="s">
        <v>462</v>
      </c>
      <c r="I25" s="200">
        <v>106.72239999999999</v>
      </c>
    </row>
    <row r="29" spans="2:9" ht="12.75" customHeight="1" x14ac:dyDescent="0.3">
      <c r="B29" s="196" t="s">
        <v>445</v>
      </c>
      <c r="C29" s="196" t="s">
        <v>446</v>
      </c>
      <c r="D29" s="196" t="s">
        <v>355</v>
      </c>
      <c r="E29" s="196" t="s">
        <v>35</v>
      </c>
      <c r="F29" s="196" t="s">
        <v>447</v>
      </c>
      <c r="G29" s="196" t="s">
        <v>448</v>
      </c>
      <c r="H29" s="196" t="s">
        <v>449</v>
      </c>
      <c r="I29" s="196" t="s">
        <v>450</v>
      </c>
    </row>
    <row r="30" spans="2:9" ht="13.5" customHeight="1" x14ac:dyDescent="0.3">
      <c r="B30" s="197" t="s">
        <v>463</v>
      </c>
      <c r="C30" s="197" t="s">
        <v>464</v>
      </c>
      <c r="D30" s="198">
        <v>45383</v>
      </c>
      <c r="E30" s="199" t="s">
        <v>453</v>
      </c>
      <c r="F30" s="199">
        <v>4</v>
      </c>
      <c r="G30" s="199">
        <v>2024</v>
      </c>
      <c r="H30" s="199" t="s">
        <v>454</v>
      </c>
      <c r="I30" s="200">
        <v>32.671999999999997</v>
      </c>
    </row>
    <row r="31" spans="2:9" ht="13.5" customHeight="1" x14ac:dyDescent="0.3">
      <c r="B31" s="197" t="s">
        <v>463</v>
      </c>
      <c r="C31" s="197" t="s">
        <v>464</v>
      </c>
      <c r="D31" s="198">
        <v>45413</v>
      </c>
      <c r="E31" s="199" t="s">
        <v>455</v>
      </c>
      <c r="F31" s="199">
        <v>5</v>
      </c>
      <c r="G31" s="199">
        <v>2024</v>
      </c>
      <c r="H31" s="199" t="s">
        <v>454</v>
      </c>
      <c r="I31" s="200">
        <v>108.947</v>
      </c>
    </row>
    <row r="32" spans="2:9" ht="13.5" customHeight="1" x14ac:dyDescent="0.3">
      <c r="B32" s="197" t="s">
        <v>463</v>
      </c>
      <c r="C32" s="197" t="s">
        <v>464</v>
      </c>
      <c r="D32" s="198">
        <v>45444</v>
      </c>
      <c r="E32" s="199" t="s">
        <v>268</v>
      </c>
      <c r="F32" s="199">
        <v>6</v>
      </c>
      <c r="G32" s="199">
        <v>2024</v>
      </c>
      <c r="H32" s="199" t="s">
        <v>454</v>
      </c>
      <c r="I32" s="200">
        <v>92.917000000000002</v>
      </c>
    </row>
    <row r="33" spans="2:9" ht="13.5" customHeight="1" x14ac:dyDescent="0.3">
      <c r="B33" s="197" t="s">
        <v>463</v>
      </c>
      <c r="C33" s="197" t="s">
        <v>464</v>
      </c>
      <c r="D33" s="198">
        <v>45474</v>
      </c>
      <c r="E33" s="199" t="s">
        <v>269</v>
      </c>
      <c r="F33" s="199">
        <v>7</v>
      </c>
      <c r="G33" s="199">
        <v>2024</v>
      </c>
      <c r="H33" s="199" t="s">
        <v>454</v>
      </c>
      <c r="I33" s="200">
        <v>163.0883</v>
      </c>
    </row>
    <row r="34" spans="2:9" ht="13.5" customHeight="1" x14ac:dyDescent="0.3">
      <c r="B34" s="197" t="s">
        <v>463</v>
      </c>
      <c r="C34" s="197" t="s">
        <v>464</v>
      </c>
      <c r="D34" s="198">
        <v>45505</v>
      </c>
      <c r="E34" s="199" t="s">
        <v>456</v>
      </c>
      <c r="F34" s="199">
        <v>8</v>
      </c>
      <c r="G34" s="199">
        <v>2024</v>
      </c>
      <c r="H34" s="199" t="s">
        <v>454</v>
      </c>
      <c r="I34" s="200">
        <v>189.08789999999999</v>
      </c>
    </row>
    <row r="35" spans="2:9" ht="13.5" customHeight="1" x14ac:dyDescent="0.3">
      <c r="B35" s="197" t="s">
        <v>463</v>
      </c>
      <c r="C35" s="197" t="s">
        <v>464</v>
      </c>
      <c r="D35" s="198">
        <v>45536</v>
      </c>
      <c r="E35" s="199" t="s">
        <v>457</v>
      </c>
      <c r="F35" s="199">
        <v>9</v>
      </c>
      <c r="G35" s="199">
        <v>2024</v>
      </c>
      <c r="H35" s="199" t="s">
        <v>454</v>
      </c>
      <c r="I35" s="200">
        <v>176.17519999999999</v>
      </c>
    </row>
    <row r="36" spans="2:9" ht="13.5" customHeight="1" x14ac:dyDescent="0.3">
      <c r="B36" s="197" t="s">
        <v>463</v>
      </c>
      <c r="C36" s="197" t="s">
        <v>464</v>
      </c>
      <c r="D36" s="198">
        <v>45566</v>
      </c>
      <c r="E36" s="199" t="s">
        <v>458</v>
      </c>
      <c r="F36" s="199">
        <v>10</v>
      </c>
      <c r="G36" s="199">
        <v>2024</v>
      </c>
      <c r="H36" s="199" t="s">
        <v>454</v>
      </c>
      <c r="I36" s="200">
        <v>161.11170000000001</v>
      </c>
    </row>
    <row r="37" spans="2:9" ht="13.5" customHeight="1" x14ac:dyDescent="0.3">
      <c r="B37" s="197" t="s">
        <v>463</v>
      </c>
      <c r="C37" s="197" t="s">
        <v>464</v>
      </c>
      <c r="D37" s="198">
        <v>45597</v>
      </c>
      <c r="E37" s="199" t="s">
        <v>273</v>
      </c>
      <c r="F37" s="199">
        <v>11</v>
      </c>
      <c r="G37" s="199">
        <v>2024</v>
      </c>
      <c r="H37" s="199" t="s">
        <v>454</v>
      </c>
      <c r="I37" s="200">
        <v>169.51140000000001</v>
      </c>
    </row>
    <row r="38" spans="2:9" ht="13.5" customHeight="1" x14ac:dyDescent="0.3">
      <c r="B38" s="197" t="s">
        <v>463</v>
      </c>
      <c r="C38" s="197" t="s">
        <v>464</v>
      </c>
      <c r="D38" s="198">
        <v>45627</v>
      </c>
      <c r="E38" s="199" t="s">
        <v>459</v>
      </c>
      <c r="F38" s="199">
        <v>12</v>
      </c>
      <c r="G38" s="199">
        <v>2024</v>
      </c>
      <c r="H38" s="199" t="s">
        <v>454</v>
      </c>
      <c r="I38" s="200">
        <v>166.99639999999999</v>
      </c>
    </row>
    <row r="39" spans="2:9" ht="13.5" customHeight="1" x14ac:dyDescent="0.3">
      <c r="B39" s="197" t="s">
        <v>463</v>
      </c>
      <c r="C39" s="197" t="s">
        <v>464</v>
      </c>
      <c r="D39" s="198">
        <v>45658</v>
      </c>
      <c r="E39" s="199" t="s">
        <v>263</v>
      </c>
      <c r="F39" s="199">
        <v>1</v>
      </c>
      <c r="G39" s="199">
        <v>2024</v>
      </c>
      <c r="H39" s="199" t="s">
        <v>460</v>
      </c>
      <c r="I39" s="200">
        <v>190.90889999999999</v>
      </c>
    </row>
    <row r="40" spans="2:9" ht="13.5" customHeight="1" x14ac:dyDescent="0.3">
      <c r="B40" s="197" t="s">
        <v>463</v>
      </c>
      <c r="C40" s="197" t="s">
        <v>464</v>
      </c>
      <c r="D40" s="198">
        <v>45689</v>
      </c>
      <c r="E40" s="199" t="s">
        <v>461</v>
      </c>
      <c r="F40" s="199">
        <v>2</v>
      </c>
      <c r="G40" s="199">
        <v>2024</v>
      </c>
      <c r="H40" s="199" t="s">
        <v>460</v>
      </c>
      <c r="I40" s="200">
        <v>166</v>
      </c>
    </row>
    <row r="41" spans="2:9" ht="13.5" customHeight="1" x14ac:dyDescent="0.3">
      <c r="B41" s="197" t="s">
        <v>463</v>
      </c>
      <c r="C41" s="197" t="s">
        <v>464</v>
      </c>
      <c r="D41" s="198">
        <v>45717</v>
      </c>
      <c r="E41" s="199" t="s">
        <v>265</v>
      </c>
      <c r="F41" s="199">
        <v>3</v>
      </c>
      <c r="G41" s="199">
        <v>2024</v>
      </c>
      <c r="H41" s="199" t="s">
        <v>460</v>
      </c>
      <c r="I41" s="200">
        <v>193.42939999999999</v>
      </c>
    </row>
    <row r="42" spans="2:9" ht="13.5" customHeight="1" x14ac:dyDescent="0.3">
      <c r="B42" s="197" t="s">
        <v>463</v>
      </c>
      <c r="C42" s="197" t="s">
        <v>464</v>
      </c>
      <c r="D42" s="198">
        <v>45748</v>
      </c>
      <c r="E42" s="199" t="s">
        <v>453</v>
      </c>
      <c r="F42" s="199">
        <v>4</v>
      </c>
      <c r="G42" s="199">
        <v>2024</v>
      </c>
      <c r="H42" s="199" t="s">
        <v>460</v>
      </c>
      <c r="I42" s="200">
        <v>145.84440000000001</v>
      </c>
    </row>
    <row r="43" spans="2:9" ht="13.5" customHeight="1" x14ac:dyDescent="0.3">
      <c r="B43" s="197" t="s">
        <v>463</v>
      </c>
      <c r="C43" s="197" t="s">
        <v>464</v>
      </c>
      <c r="D43" s="198">
        <v>45778</v>
      </c>
      <c r="E43" s="199" t="s">
        <v>455</v>
      </c>
      <c r="F43" s="199">
        <v>5</v>
      </c>
      <c r="G43" s="199">
        <v>2024</v>
      </c>
      <c r="H43" s="199" t="s">
        <v>460</v>
      </c>
      <c r="I43" s="200">
        <v>158.6377</v>
      </c>
    </row>
    <row r="44" spans="2:9" ht="13.5" customHeight="1" x14ac:dyDescent="0.3">
      <c r="B44" s="197" t="s">
        <v>463</v>
      </c>
      <c r="C44" s="197" t="s">
        <v>464</v>
      </c>
      <c r="D44" s="198">
        <v>45809</v>
      </c>
      <c r="E44" s="199" t="s">
        <v>268</v>
      </c>
      <c r="F44" s="199">
        <v>6</v>
      </c>
      <c r="G44" s="199">
        <v>2024</v>
      </c>
      <c r="H44" s="199" t="s">
        <v>460</v>
      </c>
      <c r="I44" s="200">
        <v>128.6395</v>
      </c>
    </row>
    <row r="45" spans="2:9" ht="13.5" customHeight="1" x14ac:dyDescent="0.3">
      <c r="B45" s="197" t="s">
        <v>463</v>
      </c>
      <c r="C45" s="197" t="s">
        <v>464</v>
      </c>
      <c r="D45" s="198">
        <v>45839</v>
      </c>
      <c r="E45" s="199" t="s">
        <v>269</v>
      </c>
      <c r="F45" s="199">
        <v>7</v>
      </c>
      <c r="G45" s="199">
        <v>2024</v>
      </c>
      <c r="H45" s="199" t="s">
        <v>460</v>
      </c>
      <c r="I45" s="200">
        <v>178.34549999999999</v>
      </c>
    </row>
    <row r="46" spans="2:9" ht="13.5" customHeight="1" x14ac:dyDescent="0.3">
      <c r="B46" s="197" t="s">
        <v>463</v>
      </c>
      <c r="C46" s="197" t="s">
        <v>464</v>
      </c>
      <c r="D46" s="198">
        <v>45870</v>
      </c>
      <c r="E46" s="199" t="s">
        <v>456</v>
      </c>
      <c r="F46" s="199">
        <v>8</v>
      </c>
      <c r="G46" s="199">
        <v>2024</v>
      </c>
      <c r="H46" s="199" t="s">
        <v>460</v>
      </c>
      <c r="I46" s="200">
        <v>191</v>
      </c>
    </row>
    <row r="47" spans="2:9" ht="13.5" customHeight="1" x14ac:dyDescent="0.3">
      <c r="B47" s="197" t="s">
        <v>463</v>
      </c>
      <c r="C47" s="197" t="s">
        <v>464</v>
      </c>
      <c r="D47" s="198">
        <v>45901</v>
      </c>
      <c r="E47" s="199" t="s">
        <v>457</v>
      </c>
      <c r="F47" s="199">
        <v>9</v>
      </c>
      <c r="G47" s="199">
        <v>2024</v>
      </c>
      <c r="H47" s="199" t="s">
        <v>460</v>
      </c>
      <c r="I47" s="200">
        <v>200.2328</v>
      </c>
    </row>
    <row r="48" spans="2:9" ht="13.5" customHeight="1" x14ac:dyDescent="0.3">
      <c r="B48" s="197" t="s">
        <v>463</v>
      </c>
      <c r="C48" s="197" t="s">
        <v>464</v>
      </c>
      <c r="D48" s="198">
        <v>45931</v>
      </c>
      <c r="E48" s="199" t="s">
        <v>458</v>
      </c>
      <c r="F48" s="199">
        <v>10</v>
      </c>
      <c r="G48" s="199">
        <v>2024</v>
      </c>
      <c r="H48" s="199" t="s">
        <v>460</v>
      </c>
      <c r="I48" s="200">
        <v>185.55019999999999</v>
      </c>
    </row>
    <row r="49" spans="2:9" ht="13.5" customHeight="1" x14ac:dyDescent="0.3">
      <c r="B49" s="197" t="s">
        <v>463</v>
      </c>
      <c r="C49" s="197" t="s">
        <v>464</v>
      </c>
      <c r="D49" s="198">
        <v>45962</v>
      </c>
      <c r="E49" s="199" t="s">
        <v>273</v>
      </c>
      <c r="F49" s="199">
        <v>11</v>
      </c>
      <c r="G49" s="199">
        <v>2024</v>
      </c>
      <c r="H49" s="199" t="s">
        <v>460</v>
      </c>
      <c r="I49" s="200">
        <v>215.34950000000001</v>
      </c>
    </row>
    <row r="50" spans="2:9" ht="13.5" customHeight="1" x14ac:dyDescent="0.3">
      <c r="B50" s="197" t="s">
        <v>463</v>
      </c>
      <c r="C50" s="197" t="s">
        <v>464</v>
      </c>
      <c r="D50" s="198">
        <v>45992</v>
      </c>
      <c r="E50" s="199" t="s">
        <v>459</v>
      </c>
      <c r="F50" s="199">
        <v>12</v>
      </c>
      <c r="G50" s="199">
        <v>2024</v>
      </c>
      <c r="H50" s="199" t="s">
        <v>460</v>
      </c>
      <c r="I50" s="200">
        <v>182</v>
      </c>
    </row>
    <row r="51" spans="2:9" ht="13.5" customHeight="1" x14ac:dyDescent="0.3">
      <c r="B51" s="197" t="s">
        <v>463</v>
      </c>
      <c r="C51" s="197" t="s">
        <v>464</v>
      </c>
      <c r="D51" s="198">
        <v>46023</v>
      </c>
      <c r="E51" s="199" t="s">
        <v>263</v>
      </c>
      <c r="F51" s="199">
        <v>1</v>
      </c>
      <c r="G51" s="199">
        <v>2024</v>
      </c>
      <c r="H51" s="199" t="s">
        <v>462</v>
      </c>
      <c r="I51" s="200">
        <v>184.9512</v>
      </c>
    </row>
    <row r="56" spans="2:9" ht="12.75" customHeight="1" x14ac:dyDescent="0.3">
      <c r="B56" s="196" t="s">
        <v>445</v>
      </c>
      <c r="C56" s="196" t="s">
        <v>446</v>
      </c>
      <c r="D56" s="196" t="s">
        <v>355</v>
      </c>
      <c r="E56" s="196" t="s">
        <v>35</v>
      </c>
      <c r="F56" s="196" t="s">
        <v>447</v>
      </c>
      <c r="G56" s="196" t="s">
        <v>448</v>
      </c>
      <c r="H56" s="196" t="s">
        <v>449</v>
      </c>
      <c r="I56" s="196" t="s">
        <v>450</v>
      </c>
    </row>
    <row r="57" spans="2:9" ht="13.5" customHeight="1" x14ac:dyDescent="0.3">
      <c r="B57" s="197" t="s">
        <v>465</v>
      </c>
      <c r="C57" s="197" t="s">
        <v>143</v>
      </c>
      <c r="D57" s="198">
        <v>45383</v>
      </c>
      <c r="E57" s="199" t="s">
        <v>453</v>
      </c>
      <c r="F57" s="199">
        <v>4</v>
      </c>
      <c r="G57" s="199">
        <v>2024</v>
      </c>
      <c r="H57" s="199" t="s">
        <v>454</v>
      </c>
      <c r="I57" s="200">
        <v>70.926000000000002</v>
      </c>
    </row>
    <row r="58" spans="2:9" ht="13.5" customHeight="1" x14ac:dyDescent="0.3">
      <c r="B58" s="197" t="s">
        <v>465</v>
      </c>
      <c r="C58" s="197" t="s">
        <v>143</v>
      </c>
      <c r="D58" s="198">
        <v>45413</v>
      </c>
      <c r="E58" s="199" t="s">
        <v>455</v>
      </c>
      <c r="F58" s="199">
        <v>5</v>
      </c>
      <c r="G58" s="199">
        <v>2024</v>
      </c>
      <c r="H58" s="199" t="s">
        <v>454</v>
      </c>
      <c r="I58" s="200">
        <v>74.153000000000006</v>
      </c>
    </row>
    <row r="59" spans="2:9" ht="13.5" customHeight="1" x14ac:dyDescent="0.3">
      <c r="B59" s="197" t="s">
        <v>465</v>
      </c>
      <c r="C59" s="197" t="s">
        <v>143</v>
      </c>
      <c r="D59" s="198">
        <v>45444</v>
      </c>
      <c r="E59" s="199" t="s">
        <v>268</v>
      </c>
      <c r="F59" s="199">
        <v>6</v>
      </c>
      <c r="G59" s="199">
        <v>2024</v>
      </c>
      <c r="H59" s="199" t="s">
        <v>454</v>
      </c>
      <c r="I59" s="200">
        <v>62.902000000000001</v>
      </c>
    </row>
    <row r="60" spans="2:9" ht="13.5" customHeight="1" x14ac:dyDescent="0.3">
      <c r="B60" s="197" t="s">
        <v>465</v>
      </c>
      <c r="C60" s="197" t="s">
        <v>143</v>
      </c>
      <c r="D60" s="198">
        <v>45474</v>
      </c>
      <c r="E60" s="199" t="s">
        <v>269</v>
      </c>
      <c r="F60" s="199">
        <v>7</v>
      </c>
      <c r="G60" s="199">
        <v>2024</v>
      </c>
      <c r="H60" s="199" t="s">
        <v>454</v>
      </c>
      <c r="I60" s="200">
        <v>107.0881</v>
      </c>
    </row>
    <row r="61" spans="2:9" ht="13.5" customHeight="1" x14ac:dyDescent="0.3">
      <c r="B61" s="197" t="s">
        <v>465</v>
      </c>
      <c r="C61" s="197" t="s">
        <v>143</v>
      </c>
      <c r="D61" s="198">
        <v>45505</v>
      </c>
      <c r="E61" s="199" t="s">
        <v>456</v>
      </c>
      <c r="F61" s="199">
        <v>8</v>
      </c>
      <c r="G61" s="199">
        <v>2024</v>
      </c>
      <c r="H61" s="199" t="s">
        <v>454</v>
      </c>
      <c r="I61" s="200">
        <v>51.749299999999998</v>
      </c>
    </row>
    <row r="62" spans="2:9" ht="13.5" customHeight="1" x14ac:dyDescent="0.3">
      <c r="B62" s="197" t="s">
        <v>465</v>
      </c>
      <c r="C62" s="197" t="s">
        <v>143</v>
      </c>
      <c r="D62" s="198">
        <v>45536</v>
      </c>
      <c r="E62" s="199" t="s">
        <v>457</v>
      </c>
      <c r="F62" s="199">
        <v>9</v>
      </c>
      <c r="G62" s="199">
        <v>2024</v>
      </c>
      <c r="H62" s="199" t="s">
        <v>454</v>
      </c>
      <c r="I62" s="200">
        <v>107.0198</v>
      </c>
    </row>
    <row r="63" spans="2:9" ht="13.5" customHeight="1" x14ac:dyDescent="0.3">
      <c r="B63" s="197" t="s">
        <v>465</v>
      </c>
      <c r="C63" s="197" t="s">
        <v>143</v>
      </c>
      <c r="D63" s="198">
        <v>45566</v>
      </c>
      <c r="E63" s="199" t="s">
        <v>458</v>
      </c>
      <c r="F63" s="199">
        <v>10</v>
      </c>
      <c r="G63" s="199">
        <v>2024</v>
      </c>
      <c r="H63" s="199" t="s">
        <v>454</v>
      </c>
      <c r="I63" s="200">
        <v>98.584599999999995</v>
      </c>
    </row>
    <row r="64" spans="2:9" ht="13.5" customHeight="1" x14ac:dyDescent="0.3">
      <c r="B64" s="197" t="s">
        <v>465</v>
      </c>
      <c r="C64" s="197" t="s">
        <v>143</v>
      </c>
      <c r="D64" s="198">
        <v>45597</v>
      </c>
      <c r="E64" s="199" t="s">
        <v>273</v>
      </c>
      <c r="F64" s="199">
        <v>11</v>
      </c>
      <c r="G64" s="199">
        <v>2024</v>
      </c>
      <c r="H64" s="199" t="s">
        <v>454</v>
      </c>
      <c r="I64" s="200">
        <v>119.2367</v>
      </c>
    </row>
    <row r="65" spans="2:9" ht="13.5" customHeight="1" x14ac:dyDescent="0.3">
      <c r="B65" s="197" t="s">
        <v>465</v>
      </c>
      <c r="C65" s="197" t="s">
        <v>143</v>
      </c>
      <c r="D65" s="198">
        <v>45627</v>
      </c>
      <c r="E65" s="199" t="s">
        <v>459</v>
      </c>
      <c r="F65" s="199">
        <v>12</v>
      </c>
      <c r="G65" s="199">
        <v>2024</v>
      </c>
      <c r="H65" s="199" t="s">
        <v>454</v>
      </c>
      <c r="I65" s="200">
        <v>111.13890000000001</v>
      </c>
    </row>
    <row r="66" spans="2:9" ht="13.5" customHeight="1" x14ac:dyDescent="0.3">
      <c r="B66" s="197" t="s">
        <v>465</v>
      </c>
      <c r="C66" s="197" t="s">
        <v>143</v>
      </c>
      <c r="D66" s="198">
        <v>45658</v>
      </c>
      <c r="E66" s="199" t="s">
        <v>263</v>
      </c>
      <c r="F66" s="199">
        <v>1</v>
      </c>
      <c r="G66" s="199">
        <v>2024</v>
      </c>
      <c r="H66" s="199" t="s">
        <v>460</v>
      </c>
      <c r="I66" s="200">
        <v>143.38210000000001</v>
      </c>
    </row>
    <row r="67" spans="2:9" ht="13.5" customHeight="1" x14ac:dyDescent="0.3">
      <c r="B67" s="197" t="s">
        <v>465</v>
      </c>
      <c r="C67" s="197" t="s">
        <v>143</v>
      </c>
      <c r="D67" s="198">
        <v>45689</v>
      </c>
      <c r="E67" s="199" t="s">
        <v>461</v>
      </c>
      <c r="F67" s="199">
        <v>2</v>
      </c>
      <c r="G67" s="199">
        <v>2024</v>
      </c>
      <c r="H67" s="199" t="s">
        <v>460</v>
      </c>
      <c r="I67" s="200">
        <v>121</v>
      </c>
    </row>
    <row r="68" spans="2:9" ht="13.5" customHeight="1" x14ac:dyDescent="0.3">
      <c r="B68" s="197" t="s">
        <v>465</v>
      </c>
      <c r="C68" s="197" t="s">
        <v>143</v>
      </c>
      <c r="D68" s="198">
        <v>45717</v>
      </c>
      <c r="E68" s="199" t="s">
        <v>265</v>
      </c>
      <c r="F68" s="199">
        <v>3</v>
      </c>
      <c r="G68" s="199">
        <v>2024</v>
      </c>
      <c r="H68" s="199" t="s">
        <v>460</v>
      </c>
      <c r="I68" s="200">
        <v>141.1858</v>
      </c>
    </row>
    <row r="69" spans="2:9" ht="13.5" customHeight="1" x14ac:dyDescent="0.3">
      <c r="B69" s="197" t="s">
        <v>465</v>
      </c>
      <c r="C69" s="197" t="s">
        <v>143</v>
      </c>
      <c r="D69" s="198">
        <v>45748</v>
      </c>
      <c r="E69" s="199" t="s">
        <v>453</v>
      </c>
      <c r="F69" s="199">
        <v>4</v>
      </c>
      <c r="G69" s="199">
        <v>2024</v>
      </c>
      <c r="H69" s="199" t="s">
        <v>460</v>
      </c>
      <c r="I69" s="200">
        <v>105.8031</v>
      </c>
    </row>
    <row r="70" spans="2:9" ht="13.5" customHeight="1" x14ac:dyDescent="0.3">
      <c r="B70" s="197" t="s">
        <v>465</v>
      </c>
      <c r="C70" s="197" t="s">
        <v>143</v>
      </c>
      <c r="D70" s="198">
        <v>45778</v>
      </c>
      <c r="E70" s="199" t="s">
        <v>455</v>
      </c>
      <c r="F70" s="199">
        <v>5</v>
      </c>
      <c r="G70" s="199">
        <v>2024</v>
      </c>
      <c r="H70" s="199" t="s">
        <v>460</v>
      </c>
      <c r="I70" s="200">
        <v>121.0391</v>
      </c>
    </row>
    <row r="71" spans="2:9" ht="13.5" customHeight="1" x14ac:dyDescent="0.3">
      <c r="B71" s="197" t="s">
        <v>465</v>
      </c>
      <c r="C71" s="197" t="s">
        <v>143</v>
      </c>
      <c r="D71" s="198">
        <v>45809</v>
      </c>
      <c r="E71" s="199" t="s">
        <v>268</v>
      </c>
      <c r="F71" s="199">
        <v>6</v>
      </c>
      <c r="G71" s="199">
        <v>2024</v>
      </c>
      <c r="H71" s="199" t="s">
        <v>460</v>
      </c>
      <c r="I71" s="200">
        <v>99.471599999999995</v>
      </c>
    </row>
    <row r="72" spans="2:9" ht="13.5" customHeight="1" x14ac:dyDescent="0.3">
      <c r="B72" s="197" t="s">
        <v>465</v>
      </c>
      <c r="C72" s="197" t="s">
        <v>143</v>
      </c>
      <c r="D72" s="198">
        <v>45839</v>
      </c>
      <c r="E72" s="199" t="s">
        <v>269</v>
      </c>
      <c r="F72" s="199">
        <v>7</v>
      </c>
      <c r="G72" s="199">
        <v>2024</v>
      </c>
      <c r="H72" s="199" t="s">
        <v>460</v>
      </c>
      <c r="I72" s="200">
        <v>127.0078</v>
      </c>
    </row>
    <row r="73" spans="2:9" ht="13.5" customHeight="1" x14ac:dyDescent="0.3">
      <c r="B73" s="197" t="s">
        <v>465</v>
      </c>
      <c r="C73" s="197" t="s">
        <v>143</v>
      </c>
      <c r="D73" s="198">
        <v>45870</v>
      </c>
      <c r="E73" s="199" t="s">
        <v>456</v>
      </c>
      <c r="F73" s="199">
        <v>8</v>
      </c>
      <c r="G73" s="199">
        <v>2024</v>
      </c>
      <c r="H73" s="199" t="s">
        <v>460</v>
      </c>
      <c r="I73" s="200">
        <v>135</v>
      </c>
    </row>
    <row r="74" spans="2:9" ht="13.5" customHeight="1" x14ac:dyDescent="0.3">
      <c r="B74" s="197" t="s">
        <v>465</v>
      </c>
      <c r="C74" s="197" t="s">
        <v>143</v>
      </c>
      <c r="D74" s="198">
        <v>45901</v>
      </c>
      <c r="E74" s="199" t="s">
        <v>457</v>
      </c>
      <c r="F74" s="199">
        <v>9</v>
      </c>
      <c r="G74" s="199">
        <v>2024</v>
      </c>
      <c r="H74" s="199" t="s">
        <v>460</v>
      </c>
      <c r="I74" s="200">
        <v>139.88890000000001</v>
      </c>
    </row>
    <row r="75" spans="2:9" ht="13.5" customHeight="1" x14ac:dyDescent="0.3">
      <c r="B75" s="197" t="s">
        <v>465</v>
      </c>
      <c r="C75" s="197" t="s">
        <v>143</v>
      </c>
      <c r="D75" s="198">
        <v>45931</v>
      </c>
      <c r="E75" s="199" t="s">
        <v>458</v>
      </c>
      <c r="F75" s="199">
        <v>10</v>
      </c>
      <c r="G75" s="199">
        <v>2024</v>
      </c>
      <c r="H75" s="199" t="s">
        <v>460</v>
      </c>
      <c r="I75" s="200">
        <v>128.4246</v>
      </c>
    </row>
    <row r="76" spans="2:9" ht="13.5" customHeight="1" x14ac:dyDescent="0.3">
      <c r="B76" s="197" t="s">
        <v>465</v>
      </c>
      <c r="C76" s="197" t="s">
        <v>143</v>
      </c>
      <c r="D76" s="198">
        <v>45962</v>
      </c>
      <c r="E76" s="199" t="s">
        <v>273</v>
      </c>
      <c r="F76" s="199">
        <v>11</v>
      </c>
      <c r="G76" s="199">
        <v>2024</v>
      </c>
      <c r="H76" s="199" t="s">
        <v>460</v>
      </c>
      <c r="I76" s="200">
        <v>153.30719999999999</v>
      </c>
    </row>
    <row r="77" spans="2:9" ht="13.5" customHeight="1" x14ac:dyDescent="0.3">
      <c r="B77" s="197" t="s">
        <v>465</v>
      </c>
      <c r="C77" s="197" t="s">
        <v>143</v>
      </c>
      <c r="D77" s="198">
        <v>45992</v>
      </c>
      <c r="E77" s="199" t="s">
        <v>459</v>
      </c>
      <c r="F77" s="199">
        <v>12</v>
      </c>
      <c r="G77" s="199">
        <v>2024</v>
      </c>
      <c r="H77" s="199" t="s">
        <v>460</v>
      </c>
      <c r="I77" s="200">
        <v>130</v>
      </c>
    </row>
    <row r="78" spans="2:9" ht="13.5" customHeight="1" x14ac:dyDescent="0.3">
      <c r="B78" s="197" t="s">
        <v>465</v>
      </c>
      <c r="C78" s="197" t="s">
        <v>143</v>
      </c>
      <c r="D78" s="198">
        <v>46023</v>
      </c>
      <c r="E78" s="199" t="s">
        <v>263</v>
      </c>
      <c r="F78" s="199">
        <v>1</v>
      </c>
      <c r="G78" s="199">
        <v>2024</v>
      </c>
      <c r="H78" s="199" t="s">
        <v>462</v>
      </c>
      <c r="I78" s="200">
        <v>131.6157</v>
      </c>
    </row>
    <row r="84" spans="2:11" ht="13.5" customHeight="1" x14ac:dyDescent="0.3">
      <c r="B84" s="164" t="s">
        <v>466</v>
      </c>
    </row>
    <row r="85" spans="2:11" ht="12.75" customHeight="1" x14ac:dyDescent="0.3">
      <c r="B85" s="196" t="s">
        <v>445</v>
      </c>
      <c r="C85" s="196" t="s">
        <v>446</v>
      </c>
      <c r="D85" s="196" t="s">
        <v>467</v>
      </c>
      <c r="E85" s="196" t="s">
        <v>468</v>
      </c>
      <c r="F85" s="196" t="s">
        <v>469</v>
      </c>
      <c r="G85" s="196" t="s">
        <v>448</v>
      </c>
      <c r="H85" s="196" t="s">
        <v>449</v>
      </c>
      <c r="I85" s="196" t="s">
        <v>470</v>
      </c>
      <c r="J85" s="196" t="s">
        <v>471</v>
      </c>
      <c r="K85" s="196" t="s">
        <v>472</v>
      </c>
    </row>
    <row r="86" spans="2:11" ht="13.5" customHeight="1" x14ac:dyDescent="0.3">
      <c r="B86" s="197" t="s">
        <v>451</v>
      </c>
      <c r="C86" s="199" t="s">
        <v>452</v>
      </c>
      <c r="D86" s="198">
        <v>45444</v>
      </c>
      <c r="E86" s="199" t="s">
        <v>268</v>
      </c>
      <c r="F86" s="199">
        <v>2024</v>
      </c>
      <c r="G86" s="199">
        <v>2024</v>
      </c>
      <c r="H86" s="199" t="s">
        <v>454</v>
      </c>
      <c r="I86" s="201">
        <v>0</v>
      </c>
      <c r="J86" s="202">
        <v>0.54669999999999996</v>
      </c>
      <c r="K86" s="199" t="s">
        <v>473</v>
      </c>
    </row>
    <row r="87" spans="2:11" ht="13.5" customHeight="1" x14ac:dyDescent="0.3">
      <c r="B87" s="197" t="s">
        <v>451</v>
      </c>
      <c r="C87" s="199" t="s">
        <v>452</v>
      </c>
      <c r="D87" s="198">
        <v>45536</v>
      </c>
      <c r="E87" s="199" t="s">
        <v>457</v>
      </c>
      <c r="F87" s="199">
        <v>2024</v>
      </c>
      <c r="G87" s="199">
        <v>2024</v>
      </c>
      <c r="H87" s="199" t="s">
        <v>454</v>
      </c>
      <c r="I87" s="201">
        <v>0</v>
      </c>
      <c r="J87" s="202">
        <v>0.7026</v>
      </c>
      <c r="K87" s="199" t="s">
        <v>473</v>
      </c>
    </row>
    <row r="88" spans="2:11" ht="13.5" customHeight="1" x14ac:dyDescent="0.3">
      <c r="B88" s="197" t="s">
        <v>451</v>
      </c>
      <c r="C88" s="199" t="s">
        <v>452</v>
      </c>
      <c r="D88" s="198">
        <v>45597</v>
      </c>
      <c r="E88" s="199" t="s">
        <v>273</v>
      </c>
      <c r="F88" s="199">
        <v>2024</v>
      </c>
      <c r="G88" s="199">
        <v>2024</v>
      </c>
      <c r="H88" s="199" t="s">
        <v>454</v>
      </c>
      <c r="I88" s="201">
        <v>0</v>
      </c>
      <c r="J88" s="202">
        <v>0.73099999999999998</v>
      </c>
      <c r="K88" s="199" t="s">
        <v>473</v>
      </c>
    </row>
    <row r="89" spans="2:11" ht="13.5" customHeight="1" x14ac:dyDescent="0.3">
      <c r="B89" s="197" t="s">
        <v>451</v>
      </c>
      <c r="C89" s="199" t="s">
        <v>452</v>
      </c>
      <c r="D89" s="198">
        <v>45717</v>
      </c>
      <c r="E89" s="199" t="s">
        <v>265</v>
      </c>
      <c r="F89" s="199">
        <v>2025</v>
      </c>
      <c r="G89" s="199">
        <v>2024</v>
      </c>
      <c r="H89" s="199" t="s">
        <v>460</v>
      </c>
      <c r="I89" s="201">
        <v>0</v>
      </c>
      <c r="J89" s="202">
        <v>0.74860000000000004</v>
      </c>
      <c r="K89" s="199" t="s">
        <v>473</v>
      </c>
    </row>
    <row r="93" spans="2:11" ht="12.75" customHeight="1" x14ac:dyDescent="0.3">
      <c r="B93" s="196" t="s">
        <v>445</v>
      </c>
      <c r="C93" s="196" t="s">
        <v>446</v>
      </c>
      <c r="D93" s="196" t="s">
        <v>467</v>
      </c>
      <c r="E93" s="196" t="s">
        <v>468</v>
      </c>
      <c r="F93" s="196" t="s">
        <v>469</v>
      </c>
      <c r="G93" s="196" t="s">
        <v>448</v>
      </c>
      <c r="H93" s="196" t="s">
        <v>449</v>
      </c>
      <c r="I93" s="196" t="s">
        <v>470</v>
      </c>
      <c r="J93" s="196" t="s">
        <v>471</v>
      </c>
      <c r="K93" s="196" t="s">
        <v>472</v>
      </c>
    </row>
    <row r="94" spans="2:11" ht="13.5" customHeight="1" x14ac:dyDescent="0.3">
      <c r="B94" s="197" t="s">
        <v>463</v>
      </c>
      <c r="C94" s="199" t="s">
        <v>464</v>
      </c>
      <c r="D94" s="198">
        <v>45536</v>
      </c>
      <c r="E94" s="199" t="s">
        <v>457</v>
      </c>
      <c r="F94" s="199">
        <v>2024</v>
      </c>
      <c r="G94" s="199">
        <v>2024</v>
      </c>
      <c r="H94" s="199" t="s">
        <v>454</v>
      </c>
      <c r="I94" s="201">
        <v>0</v>
      </c>
      <c r="J94" s="202">
        <v>0.71750000000000003</v>
      </c>
      <c r="K94" s="199" t="s">
        <v>473</v>
      </c>
    </row>
    <row r="95" spans="2:11" ht="13.5" customHeight="1" x14ac:dyDescent="0.3">
      <c r="B95" s="197" t="s">
        <v>463</v>
      </c>
      <c r="C95" s="199" t="s">
        <v>464</v>
      </c>
      <c r="D95" s="198">
        <v>45597</v>
      </c>
      <c r="E95" s="199" t="s">
        <v>273</v>
      </c>
      <c r="F95" s="199">
        <v>2024</v>
      </c>
      <c r="G95" s="199">
        <v>2024</v>
      </c>
      <c r="H95" s="199" t="s">
        <v>454</v>
      </c>
      <c r="I95" s="201">
        <v>0</v>
      </c>
      <c r="J95" s="202">
        <v>0.79490000000000005</v>
      </c>
      <c r="K95" s="199" t="s">
        <v>473</v>
      </c>
    </row>
    <row r="96" spans="2:11" ht="13.5" customHeight="1" x14ac:dyDescent="0.3">
      <c r="B96" s="197" t="s">
        <v>463</v>
      </c>
      <c r="C96" s="199" t="s">
        <v>464</v>
      </c>
      <c r="D96" s="198">
        <v>45717</v>
      </c>
      <c r="E96" s="199" t="s">
        <v>265</v>
      </c>
      <c r="F96" s="199">
        <v>2025</v>
      </c>
      <c r="G96" s="199">
        <v>2024</v>
      </c>
      <c r="H96" s="199" t="s">
        <v>460</v>
      </c>
      <c r="I96" s="201">
        <v>0</v>
      </c>
      <c r="J96" s="202">
        <v>0.79900000000000004</v>
      </c>
      <c r="K96" s="199" t="s">
        <v>473</v>
      </c>
    </row>
    <row r="99" spans="2:11" ht="12.75" customHeight="1" x14ac:dyDescent="0.3">
      <c r="B99" s="196" t="s">
        <v>445</v>
      </c>
      <c r="C99" s="196" t="s">
        <v>446</v>
      </c>
      <c r="D99" s="196" t="s">
        <v>467</v>
      </c>
      <c r="E99" s="196" t="s">
        <v>468</v>
      </c>
      <c r="F99" s="196" t="s">
        <v>469</v>
      </c>
      <c r="G99" s="196" t="s">
        <v>448</v>
      </c>
      <c r="H99" s="196" t="s">
        <v>449</v>
      </c>
      <c r="I99" s="196" t="s">
        <v>470</v>
      </c>
      <c r="J99" s="196" t="s">
        <v>471</v>
      </c>
      <c r="K99" s="196" t="s">
        <v>472</v>
      </c>
    </row>
    <row r="100" spans="2:11" ht="13.5" customHeight="1" x14ac:dyDescent="0.3">
      <c r="B100" s="197" t="s">
        <v>465</v>
      </c>
      <c r="C100" s="199" t="s">
        <v>143</v>
      </c>
      <c r="D100" s="198">
        <v>45536</v>
      </c>
      <c r="E100" s="199" t="s">
        <v>457</v>
      </c>
      <c r="F100" s="199">
        <v>2024</v>
      </c>
      <c r="G100" s="199">
        <v>2024</v>
      </c>
      <c r="H100" s="199" t="s">
        <v>454</v>
      </c>
      <c r="I100" s="201">
        <v>0</v>
      </c>
      <c r="J100" s="202">
        <v>0.57150000000000001</v>
      </c>
      <c r="K100" s="199" t="s">
        <v>473</v>
      </c>
    </row>
    <row r="101" spans="2:11" ht="13.5" customHeight="1" x14ac:dyDescent="0.3">
      <c r="B101" s="197" t="s">
        <v>465</v>
      </c>
      <c r="C101" s="199" t="s">
        <v>143</v>
      </c>
      <c r="D101" s="198">
        <v>45597</v>
      </c>
      <c r="E101" s="199" t="s">
        <v>273</v>
      </c>
      <c r="F101" s="199">
        <v>2024</v>
      </c>
      <c r="G101" s="199">
        <v>2024</v>
      </c>
      <c r="H101" s="199" t="s">
        <v>454</v>
      </c>
      <c r="I101" s="201">
        <v>0</v>
      </c>
      <c r="J101" s="202">
        <v>0.79710000000000003</v>
      </c>
      <c r="K101" s="199" t="s">
        <v>473</v>
      </c>
    </row>
    <row r="102" spans="2:11" ht="13.5" customHeight="1" x14ac:dyDescent="0.3">
      <c r="B102" s="197" t="s">
        <v>465</v>
      </c>
      <c r="C102" s="199" t="s">
        <v>143</v>
      </c>
      <c r="D102" s="198">
        <v>45717</v>
      </c>
      <c r="E102" s="199" t="s">
        <v>265</v>
      </c>
      <c r="F102" s="199">
        <v>2025</v>
      </c>
      <c r="G102" s="199">
        <v>2024</v>
      </c>
      <c r="H102" s="199" t="s">
        <v>460</v>
      </c>
      <c r="I102" s="201">
        <v>0</v>
      </c>
      <c r="J102" s="202">
        <v>0.80010000000000003</v>
      </c>
      <c r="K102" s="199" t="s">
        <v>473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D9E7FD"/>
  </sheetPr>
  <dimension ref="A2:AJ16"/>
  <sheetViews>
    <sheetView topLeftCell="I1" zoomScaleNormal="100" workbookViewId="0">
      <selection activeCell="Y14" sqref="Y14"/>
    </sheetView>
  </sheetViews>
  <sheetFormatPr defaultColWidth="8.54296875" defaultRowHeight="13" x14ac:dyDescent="0.3"/>
  <cols>
    <col min="1" max="1" width="8.54296875" style="164"/>
    <col min="2" max="2" width="16.453125" style="164" customWidth="1"/>
    <col min="3" max="9" width="8.54296875" style="164"/>
    <col min="10" max="10" width="7.54296875" style="164" customWidth="1"/>
    <col min="11" max="21" width="8.54296875" style="164"/>
    <col min="22" max="22" width="25.453125" style="164" customWidth="1"/>
    <col min="23" max="33" width="8.54296875" style="164"/>
    <col min="34" max="34" width="11.54296875" style="164" customWidth="1"/>
    <col min="35" max="35" width="133.54296875" style="164" customWidth="1"/>
    <col min="36" max="16384" width="8.54296875" style="164"/>
  </cols>
  <sheetData>
    <row r="2" spans="1:36" ht="13.5" customHeight="1" x14ac:dyDescent="0.3">
      <c r="J2" s="164">
        <f>+COUNTA($B$5:J5)</f>
        <v>9</v>
      </c>
      <c r="K2" s="164">
        <f>+COUNTA($B$5:K5)</f>
        <v>10</v>
      </c>
      <c r="L2" s="164">
        <f>+COUNTA($B$5:L5)</f>
        <v>11</v>
      </c>
      <c r="M2" s="164">
        <f>+COUNTA($B$5:M5)</f>
        <v>12</v>
      </c>
      <c r="N2" s="164">
        <f>+COUNTA($B$5:N5)</f>
        <v>13</v>
      </c>
      <c r="O2" s="164">
        <f>+COUNTA($B$5:O5)</f>
        <v>14</v>
      </c>
      <c r="P2" s="164">
        <f>+COUNTA($B$5:P5)</f>
        <v>15</v>
      </c>
      <c r="Q2" s="164">
        <f>+COUNTA($B$5:Q5)</f>
        <v>16</v>
      </c>
      <c r="R2" s="164">
        <f>+COUNTA($B$5:R5)</f>
        <v>17</v>
      </c>
      <c r="S2" s="164">
        <f>+COUNTA($B$5:S5)</f>
        <v>18</v>
      </c>
      <c r="T2" s="164">
        <f>+COUNTA($B$5:T5)</f>
        <v>19</v>
      </c>
      <c r="U2" s="164">
        <f>+COUNTA($B$5:U5)</f>
        <v>20</v>
      </c>
    </row>
    <row r="3" spans="1:36" ht="12.75" customHeight="1" x14ac:dyDescent="0.3">
      <c r="B3" s="172" t="s">
        <v>474</v>
      </c>
      <c r="J3" s="203" t="s">
        <v>263</v>
      </c>
      <c r="K3" s="203" t="s">
        <v>264</v>
      </c>
      <c r="L3" s="203" t="s">
        <v>265</v>
      </c>
      <c r="M3" s="203" t="s">
        <v>266</v>
      </c>
      <c r="N3" s="203" t="s">
        <v>267</v>
      </c>
      <c r="O3" s="203" t="s">
        <v>268</v>
      </c>
      <c r="P3" s="203" t="s">
        <v>269</v>
      </c>
      <c r="Q3" s="203" t="s">
        <v>270</v>
      </c>
      <c r="R3" s="203" t="s">
        <v>271</v>
      </c>
      <c r="S3" s="203" t="s">
        <v>272</v>
      </c>
      <c r="T3" s="203" t="s">
        <v>273</v>
      </c>
      <c r="U3" s="203" t="s">
        <v>274</v>
      </c>
    </row>
    <row r="4" spans="1:36" s="193" customFormat="1" ht="12.75" customHeight="1" x14ac:dyDescent="0.3">
      <c r="A4" s="196" t="s">
        <v>445</v>
      </c>
      <c r="B4" s="196" t="s">
        <v>446</v>
      </c>
      <c r="C4" s="196" t="s">
        <v>148</v>
      </c>
      <c r="D4" s="196" t="s">
        <v>472</v>
      </c>
      <c r="E4" s="196" t="s">
        <v>475</v>
      </c>
      <c r="F4" s="196" t="s">
        <v>476</v>
      </c>
      <c r="G4" s="196" t="s">
        <v>477</v>
      </c>
      <c r="H4" s="196" t="s">
        <v>448</v>
      </c>
      <c r="I4" s="196" t="s">
        <v>449</v>
      </c>
      <c r="J4" s="196" t="s">
        <v>478</v>
      </c>
      <c r="K4" s="196" t="s">
        <v>479</v>
      </c>
      <c r="L4" s="196" t="s">
        <v>480</v>
      </c>
      <c r="M4" s="196" t="s">
        <v>481</v>
      </c>
      <c r="N4" s="196" t="s">
        <v>482</v>
      </c>
      <c r="O4" s="196" t="s">
        <v>483</v>
      </c>
      <c r="P4" s="196" t="s">
        <v>484</v>
      </c>
      <c r="Q4" s="196" t="s">
        <v>485</v>
      </c>
      <c r="R4" s="196" t="s">
        <v>486</v>
      </c>
      <c r="S4" s="196" t="s">
        <v>487</v>
      </c>
      <c r="T4" s="196" t="s">
        <v>488</v>
      </c>
      <c r="U4" s="196" t="s">
        <v>489</v>
      </c>
      <c r="V4" s="196" t="s">
        <v>490</v>
      </c>
      <c r="W4" s="196" t="s">
        <v>491</v>
      </c>
      <c r="X4" s="196" t="s">
        <v>492</v>
      </c>
      <c r="Y4" s="196" t="s">
        <v>493</v>
      </c>
      <c r="Z4" s="196" t="s">
        <v>494</v>
      </c>
      <c r="AA4" s="196" t="s">
        <v>495</v>
      </c>
      <c r="AB4" s="196" t="s">
        <v>496</v>
      </c>
      <c r="AC4" s="196" t="s">
        <v>497</v>
      </c>
      <c r="AD4" s="196" t="s">
        <v>498</v>
      </c>
      <c r="AE4" s="196" t="s">
        <v>499</v>
      </c>
      <c r="AF4" s="196" t="s">
        <v>500</v>
      </c>
      <c r="AG4" s="196" t="s">
        <v>501</v>
      </c>
      <c r="AH4" s="196" t="s">
        <v>502</v>
      </c>
      <c r="AI4" s="196" t="s">
        <v>503</v>
      </c>
      <c r="AJ4" s="196" t="s">
        <v>504</v>
      </c>
    </row>
    <row r="5" spans="1:36" s="214" customFormat="1" ht="12.75" customHeight="1" x14ac:dyDescent="0.3">
      <c r="A5" s="204" t="s">
        <v>451</v>
      </c>
      <c r="B5" s="205" t="s">
        <v>452</v>
      </c>
      <c r="C5" s="205" t="s">
        <v>505</v>
      </c>
      <c r="D5" s="205" t="s">
        <v>506</v>
      </c>
      <c r="E5" s="205" t="s">
        <v>507</v>
      </c>
      <c r="F5" s="206">
        <v>500</v>
      </c>
      <c r="G5" s="206">
        <v>626.4</v>
      </c>
      <c r="H5" s="207">
        <v>2024</v>
      </c>
      <c r="I5" s="207">
        <v>2</v>
      </c>
      <c r="J5" s="208">
        <v>105.88</v>
      </c>
      <c r="K5" s="208">
        <v>109.34</v>
      </c>
      <c r="L5" s="208">
        <v>120.94</v>
      </c>
      <c r="M5" s="208">
        <v>113.72</v>
      </c>
      <c r="N5" s="208">
        <v>105.37</v>
      </c>
      <c r="O5" s="208">
        <v>89.608999999999995</v>
      </c>
      <c r="P5" s="208">
        <v>99.212000000000003</v>
      </c>
      <c r="Q5" s="208">
        <v>121.11</v>
      </c>
      <c r="R5" s="208">
        <v>114.6</v>
      </c>
      <c r="S5" s="208">
        <v>118.18</v>
      </c>
      <c r="T5" s="208">
        <v>107.05</v>
      </c>
      <c r="U5" s="208">
        <v>116.84</v>
      </c>
      <c r="V5" s="206">
        <v>1330.5530000000001</v>
      </c>
      <c r="W5" s="206">
        <v>1321.8510000000001</v>
      </c>
      <c r="X5" s="209">
        <v>3.0830000000000002</v>
      </c>
      <c r="Y5" s="206">
        <v>1278.0051643438101</v>
      </c>
      <c r="Z5" s="206">
        <v>1269.64683443127</v>
      </c>
      <c r="AA5" s="206">
        <v>1198.240747437</v>
      </c>
      <c r="AB5" s="210">
        <v>0.81885833333333302</v>
      </c>
      <c r="AC5" s="210">
        <v>0.81344166666666695</v>
      </c>
      <c r="AD5" s="206">
        <v>2110.2346743295002</v>
      </c>
      <c r="AE5" s="210">
        <v>0.301792465753425</v>
      </c>
      <c r="AF5" s="211" t="s">
        <v>508</v>
      </c>
      <c r="AG5" s="211" t="s">
        <v>509</v>
      </c>
      <c r="AH5" s="212">
        <v>45993</v>
      </c>
      <c r="AI5" s="211" t="s">
        <v>510</v>
      </c>
      <c r="AJ5" s="213" t="s">
        <v>511</v>
      </c>
    </row>
    <row r="6" spans="1:36" s="214" customFormat="1" ht="12.75" customHeight="1" x14ac:dyDescent="0.3">
      <c r="A6" s="204" t="s">
        <v>463</v>
      </c>
      <c r="B6" s="205" t="s">
        <v>464</v>
      </c>
      <c r="C6" s="205" t="s">
        <v>505</v>
      </c>
      <c r="D6" s="205" t="s">
        <v>506</v>
      </c>
      <c r="E6" s="205" t="s">
        <v>507</v>
      </c>
      <c r="F6" s="206">
        <v>875</v>
      </c>
      <c r="G6" s="206">
        <v>1127.52</v>
      </c>
      <c r="H6" s="207">
        <v>2024</v>
      </c>
      <c r="I6" s="207">
        <v>2</v>
      </c>
      <c r="J6" s="208">
        <v>189.47</v>
      </c>
      <c r="K6" s="208">
        <v>194.28</v>
      </c>
      <c r="L6" s="208">
        <v>214.77</v>
      </c>
      <c r="M6" s="208">
        <v>202.63</v>
      </c>
      <c r="N6" s="208">
        <v>189.07</v>
      </c>
      <c r="O6" s="208">
        <v>171.58</v>
      </c>
      <c r="P6" s="208">
        <v>181</v>
      </c>
      <c r="Q6" s="208">
        <v>217.01</v>
      </c>
      <c r="R6" s="208">
        <v>204.19</v>
      </c>
      <c r="S6" s="208">
        <v>181</v>
      </c>
      <c r="T6" s="208">
        <v>203.55</v>
      </c>
      <c r="U6" s="208">
        <v>207.27</v>
      </c>
      <c r="V6" s="206">
        <v>2369.92</v>
      </c>
      <c r="W6" s="206">
        <v>2355.8200000000002</v>
      </c>
      <c r="X6" s="209">
        <v>3.0830000000000002</v>
      </c>
      <c r="Y6" s="206">
        <v>2276.3242043584</v>
      </c>
      <c r="Z6" s="206">
        <v>2262.7810589013998</v>
      </c>
      <c r="AA6" s="206">
        <v>2135.52020434</v>
      </c>
      <c r="AB6" s="210">
        <v>0.81225000000000003</v>
      </c>
      <c r="AC6" s="210">
        <v>0.80731666666666702</v>
      </c>
      <c r="AD6" s="206">
        <v>2089.3820065276</v>
      </c>
      <c r="AE6" s="210">
        <v>0.30734768427919101</v>
      </c>
      <c r="AF6" s="211" t="s">
        <v>508</v>
      </c>
      <c r="AG6" s="211" t="s">
        <v>512</v>
      </c>
      <c r="AH6" s="212">
        <v>45993</v>
      </c>
      <c r="AI6" s="211" t="s">
        <v>510</v>
      </c>
      <c r="AJ6" s="213" t="s">
        <v>511</v>
      </c>
    </row>
    <row r="7" spans="1:36" s="214" customFormat="1" ht="12.75" customHeight="1" x14ac:dyDescent="0.3">
      <c r="A7" s="204" t="s">
        <v>465</v>
      </c>
      <c r="B7" s="205" t="s">
        <v>143</v>
      </c>
      <c r="C7" s="205" t="s">
        <v>505</v>
      </c>
      <c r="D7" s="205" t="s">
        <v>506</v>
      </c>
      <c r="E7" s="205" t="s">
        <v>507</v>
      </c>
      <c r="F7" s="206">
        <v>625</v>
      </c>
      <c r="G7" s="206">
        <v>814.32</v>
      </c>
      <c r="H7" s="207">
        <v>2024</v>
      </c>
      <c r="I7" s="207">
        <v>2</v>
      </c>
      <c r="J7" s="208">
        <v>143.13999999999999</v>
      </c>
      <c r="K7" s="208">
        <v>127.55</v>
      </c>
      <c r="L7" s="208">
        <v>146.30000000000001</v>
      </c>
      <c r="M7" s="208">
        <v>145.97999999999999</v>
      </c>
      <c r="N7" s="208">
        <v>136.62</v>
      </c>
      <c r="O7" s="208">
        <v>123.99</v>
      </c>
      <c r="P7" s="208">
        <v>130.51</v>
      </c>
      <c r="Q7" s="208">
        <v>156.66999999999999</v>
      </c>
      <c r="R7" s="208">
        <v>147.01</v>
      </c>
      <c r="S7" s="208">
        <v>151.08000000000001</v>
      </c>
      <c r="T7" s="208">
        <v>146.08000000000001</v>
      </c>
      <c r="U7" s="208">
        <v>138.71</v>
      </c>
      <c r="V7" s="206">
        <v>1703.67</v>
      </c>
      <c r="W7" s="206">
        <v>1693.64</v>
      </c>
      <c r="X7" s="209">
        <v>3.0830000000000002</v>
      </c>
      <c r="Y7" s="206">
        <v>1636.3865688459</v>
      </c>
      <c r="Z7" s="206">
        <v>1626.7526859428001</v>
      </c>
      <c r="AA7" s="206">
        <v>1535.26264268</v>
      </c>
      <c r="AB7" s="210">
        <v>0.80774999999999997</v>
      </c>
      <c r="AC7" s="210">
        <v>0.80291666666666694</v>
      </c>
      <c r="AD7" s="206">
        <v>2079.8212005108599</v>
      </c>
      <c r="AE7" s="210">
        <v>0.30934063926940603</v>
      </c>
      <c r="AF7" s="211" t="s">
        <v>508</v>
      </c>
      <c r="AG7" s="211" t="s">
        <v>513</v>
      </c>
      <c r="AH7" s="212">
        <v>45993</v>
      </c>
      <c r="AI7" s="211" t="s">
        <v>510</v>
      </c>
      <c r="AJ7" s="213" t="s">
        <v>511</v>
      </c>
    </row>
    <row r="12" spans="1:36" ht="28.5" customHeight="1" x14ac:dyDescent="0.3">
      <c r="B12" s="172" t="s">
        <v>514</v>
      </c>
      <c r="J12" s="203" t="s">
        <v>263</v>
      </c>
      <c r="K12" s="203" t="s">
        <v>264</v>
      </c>
      <c r="L12" s="203" t="s">
        <v>265</v>
      </c>
      <c r="M12" s="203" t="s">
        <v>266</v>
      </c>
      <c r="N12" s="203" t="s">
        <v>267</v>
      </c>
      <c r="O12" s="203" t="s">
        <v>268</v>
      </c>
      <c r="P12" s="203" t="s">
        <v>269</v>
      </c>
      <c r="Q12" s="203" t="s">
        <v>270</v>
      </c>
      <c r="R12" s="203" t="s">
        <v>271</v>
      </c>
      <c r="S12" s="203" t="s">
        <v>272</v>
      </c>
      <c r="T12" s="203" t="s">
        <v>273</v>
      </c>
      <c r="U12" s="203" t="s">
        <v>274</v>
      </c>
      <c r="V12" s="196" t="s">
        <v>515</v>
      </c>
      <c r="W12" s="215" t="s">
        <v>516</v>
      </c>
      <c r="X12" s="215" t="s">
        <v>517</v>
      </c>
    </row>
    <row r="13" spans="1:36" ht="12.75" customHeight="1" x14ac:dyDescent="0.3">
      <c r="A13" s="196" t="s">
        <v>445</v>
      </c>
      <c r="B13" s="196" t="s">
        <v>446</v>
      </c>
      <c r="C13" s="196" t="s">
        <v>148</v>
      </c>
      <c r="D13" s="196" t="s">
        <v>472</v>
      </c>
      <c r="E13" s="196" t="s">
        <v>475</v>
      </c>
      <c r="F13" s="196" t="s">
        <v>476</v>
      </c>
      <c r="G13" s="196" t="s">
        <v>477</v>
      </c>
      <c r="H13" s="196" t="s">
        <v>448</v>
      </c>
      <c r="I13" s="196" t="s">
        <v>449</v>
      </c>
      <c r="J13" s="196" t="s">
        <v>478</v>
      </c>
      <c r="K13" s="196" t="s">
        <v>479</v>
      </c>
      <c r="L13" s="196" t="s">
        <v>480</v>
      </c>
      <c r="M13" s="196" t="s">
        <v>481</v>
      </c>
      <c r="N13" s="196" t="s">
        <v>482</v>
      </c>
      <c r="O13" s="196" t="s">
        <v>483</v>
      </c>
      <c r="P13" s="196" t="s">
        <v>484</v>
      </c>
      <c r="Q13" s="196" t="s">
        <v>485</v>
      </c>
      <c r="R13" s="196" t="s">
        <v>486</v>
      </c>
      <c r="S13" s="196" t="s">
        <v>487</v>
      </c>
      <c r="T13" s="196" t="s">
        <v>488</v>
      </c>
      <c r="U13" s="196" t="s">
        <v>489</v>
      </c>
      <c r="V13" s="196" t="s">
        <v>515</v>
      </c>
    </row>
    <row r="14" spans="1:36" ht="23.25" customHeight="1" x14ac:dyDescent="0.3">
      <c r="A14" s="204" t="s">
        <v>451</v>
      </c>
      <c r="B14" s="205" t="s">
        <v>452</v>
      </c>
      <c r="C14" s="205" t="s">
        <v>505</v>
      </c>
      <c r="D14" s="205" t="s">
        <v>506</v>
      </c>
      <c r="E14" s="205" t="s">
        <v>507</v>
      </c>
      <c r="F14" s="206">
        <v>500</v>
      </c>
      <c r="G14" s="206">
        <v>626.4</v>
      </c>
      <c r="H14" s="207">
        <v>2024</v>
      </c>
      <c r="I14" s="207">
        <v>2</v>
      </c>
      <c r="V14" s="206"/>
    </row>
    <row r="15" spans="1:36" ht="23.25" customHeight="1" x14ac:dyDescent="0.3">
      <c r="A15" s="204" t="s">
        <v>463</v>
      </c>
      <c r="B15" s="205" t="s">
        <v>464</v>
      </c>
      <c r="C15" s="205" t="s">
        <v>505</v>
      </c>
      <c r="D15" s="205" t="s">
        <v>506</v>
      </c>
      <c r="E15" s="205" t="s">
        <v>507</v>
      </c>
      <c r="F15" s="206">
        <v>875</v>
      </c>
      <c r="G15" s="206">
        <v>1127.52</v>
      </c>
      <c r="H15" s="207">
        <v>2024</v>
      </c>
      <c r="I15" s="207">
        <v>2</v>
      </c>
      <c r="J15" s="208">
        <v>188.55</v>
      </c>
      <c r="K15" s="208">
        <v>166</v>
      </c>
      <c r="L15" s="208">
        <v>193.42939999999999</v>
      </c>
      <c r="M15" s="208">
        <v>144.13460000000001</v>
      </c>
      <c r="N15" s="208">
        <v>158.6377</v>
      </c>
      <c r="O15" s="208">
        <v>128.6395</v>
      </c>
      <c r="P15" s="208">
        <v>178.34549999999999</v>
      </c>
      <c r="Q15" s="208">
        <v>190.73480000000001</v>
      </c>
      <c r="R15" s="208">
        <v>200.2328</v>
      </c>
      <c r="S15" s="208">
        <v>185.55019999999999</v>
      </c>
      <c r="T15" s="208">
        <v>215.34950000000001</v>
      </c>
      <c r="U15" s="208">
        <v>181.5256</v>
      </c>
      <c r="V15" s="206">
        <v>2131.1296000000002</v>
      </c>
      <c r="W15" s="208">
        <v>184.9512</v>
      </c>
      <c r="X15" s="208">
        <v>157.43899999999999</v>
      </c>
    </row>
    <row r="16" spans="1:36" ht="23.25" customHeight="1" x14ac:dyDescent="0.3">
      <c r="A16" s="204" t="s">
        <v>465</v>
      </c>
      <c r="B16" s="205" t="s">
        <v>143</v>
      </c>
      <c r="C16" s="205" t="s">
        <v>505</v>
      </c>
      <c r="D16" s="205" t="s">
        <v>506</v>
      </c>
      <c r="E16" s="205" t="s">
        <v>507</v>
      </c>
      <c r="F16" s="206">
        <v>625</v>
      </c>
      <c r="G16" s="206">
        <v>814.32</v>
      </c>
      <c r="H16" s="207">
        <v>2024</v>
      </c>
      <c r="I16" s="207">
        <v>2</v>
      </c>
      <c r="J16" s="208">
        <v>143.47999999999999</v>
      </c>
      <c r="K16" s="208">
        <v>121</v>
      </c>
      <c r="L16" s="208">
        <v>141.1858</v>
      </c>
      <c r="M16" s="208">
        <v>105.1116</v>
      </c>
      <c r="N16" s="208">
        <v>121.0391</v>
      </c>
      <c r="O16" s="208">
        <v>99.471599999999995</v>
      </c>
      <c r="P16" s="208">
        <v>127.0078</v>
      </c>
      <c r="Q16" s="208">
        <v>134.7817</v>
      </c>
      <c r="R16" s="208">
        <v>139.88890000000001</v>
      </c>
      <c r="S16" s="208">
        <v>128.4246</v>
      </c>
      <c r="T16" s="208">
        <v>153.30719999999999</v>
      </c>
      <c r="U16" s="208">
        <v>130.39959999999999</v>
      </c>
      <c r="V16" s="206">
        <v>1545.0979</v>
      </c>
      <c r="W16" s="208">
        <v>131.6157</v>
      </c>
      <c r="X16" s="208">
        <v>110.621</v>
      </c>
    </row>
  </sheetData>
  <hyperlinks>
    <hyperlink ref="AJ5" r:id="rId1" xr:uid="{00000000-0004-0000-0D00-000000000000}"/>
    <hyperlink ref="AJ6" r:id="rId2" xr:uid="{00000000-0004-0000-0D00-000001000000}"/>
    <hyperlink ref="AJ7" r:id="rId3" xr:uid="{00000000-0004-0000-0D00-000002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D3F1DB"/>
  </sheetPr>
  <dimension ref="A1:AC4"/>
  <sheetViews>
    <sheetView zoomScaleNormal="100" workbookViewId="0">
      <selection activeCell="M24" sqref="M24"/>
    </sheetView>
  </sheetViews>
  <sheetFormatPr defaultColWidth="12.54296875" defaultRowHeight="13" x14ac:dyDescent="0.3"/>
  <cols>
    <col min="1" max="1" width="17.54296875" style="164" customWidth="1"/>
    <col min="2" max="2" width="8.54296875" style="164" customWidth="1"/>
    <col min="3" max="3" width="8" style="164" customWidth="1"/>
    <col min="4" max="4" width="15.453125" style="164" customWidth="1"/>
    <col min="5" max="5" width="10.54296875" style="164" customWidth="1"/>
    <col min="6" max="6" width="9.453125" style="164" customWidth="1"/>
    <col min="7" max="7" width="17.26953125" style="164" customWidth="1"/>
    <col min="8" max="8" width="12.54296875" style="164"/>
    <col min="9" max="9" width="17.453125" style="164" customWidth="1"/>
    <col min="10" max="11" width="11.26953125" style="164" customWidth="1"/>
    <col min="12" max="16384" width="12.54296875" style="164"/>
  </cols>
  <sheetData>
    <row r="1" spans="1:29" ht="31.5" customHeight="1" x14ac:dyDescent="0.3">
      <c r="A1" s="216" t="s">
        <v>354</v>
      </c>
      <c r="B1" s="216" t="s">
        <v>518</v>
      </c>
      <c r="C1" s="216" t="s">
        <v>519</v>
      </c>
      <c r="D1" s="216" t="s">
        <v>520</v>
      </c>
      <c r="E1" s="216" t="s">
        <v>521</v>
      </c>
      <c r="F1" s="216" t="s">
        <v>522</v>
      </c>
      <c r="G1" s="216" t="s">
        <v>523</v>
      </c>
      <c r="H1" s="216" t="s">
        <v>524</v>
      </c>
      <c r="I1" s="216" t="s">
        <v>525</v>
      </c>
      <c r="J1" s="216" t="s">
        <v>526</v>
      </c>
      <c r="K1" s="216" t="s">
        <v>527</v>
      </c>
      <c r="L1" s="217" t="s">
        <v>528</v>
      </c>
      <c r="M1" s="217" t="s">
        <v>529</v>
      </c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  <c r="AA1" s="218"/>
      <c r="AB1" s="218"/>
      <c r="AC1" s="218"/>
    </row>
    <row r="2" spans="1:29" ht="12" customHeight="1" x14ac:dyDescent="0.3">
      <c r="A2" s="167" t="s">
        <v>365</v>
      </c>
      <c r="B2" s="167">
        <v>621</v>
      </c>
      <c r="C2" s="167">
        <v>500</v>
      </c>
      <c r="D2" s="167">
        <v>1800</v>
      </c>
      <c r="E2" s="167">
        <v>345</v>
      </c>
      <c r="F2" s="219">
        <v>0.17399999999999999</v>
      </c>
      <c r="G2" s="220">
        <v>1.9</v>
      </c>
      <c r="H2" s="170">
        <f>D2*G2</f>
        <v>3420</v>
      </c>
      <c r="I2" s="170">
        <f>D2*E2/H2</f>
        <v>181.57894736842104</v>
      </c>
      <c r="J2" s="221" t="s">
        <v>530</v>
      </c>
      <c r="K2" s="221" t="s">
        <v>531</v>
      </c>
      <c r="L2" s="179" t="s">
        <v>532</v>
      </c>
      <c r="M2" s="179">
        <v>0</v>
      </c>
    </row>
    <row r="3" spans="1:29" ht="12" customHeight="1" x14ac:dyDescent="0.3">
      <c r="A3" s="167" t="s">
        <v>364</v>
      </c>
      <c r="B3" s="222">
        <v>702</v>
      </c>
      <c r="C3" s="167">
        <v>500</v>
      </c>
      <c r="D3" s="167">
        <v>1560</v>
      </c>
      <c r="E3" s="167">
        <v>450</v>
      </c>
      <c r="F3" s="219">
        <v>0.20399999999999999</v>
      </c>
      <c r="G3" s="220">
        <v>2.209184</v>
      </c>
      <c r="H3" s="170">
        <f>D3*G3</f>
        <v>3446.3270400000001</v>
      </c>
      <c r="I3" s="170">
        <f>D3*E3/H3</f>
        <v>203.69512000811159</v>
      </c>
      <c r="J3" s="221" t="s">
        <v>533</v>
      </c>
      <c r="K3" s="221" t="s">
        <v>534</v>
      </c>
      <c r="L3" s="179"/>
      <c r="M3" s="179"/>
    </row>
    <row r="4" spans="1:29" ht="12" customHeight="1" x14ac:dyDescent="0.3">
      <c r="A4" s="167" t="s">
        <v>358</v>
      </c>
      <c r="B4" s="167">
        <v>697</v>
      </c>
      <c r="C4" s="167">
        <v>500</v>
      </c>
      <c r="D4" s="167">
        <v>1700</v>
      </c>
      <c r="E4" s="167">
        <v>410</v>
      </c>
      <c r="F4" s="219">
        <v>0.20300000000000001</v>
      </c>
      <c r="G4" s="220">
        <v>2.0220359999999999</v>
      </c>
      <c r="H4" s="170">
        <f>D4*G4</f>
        <v>3437.4611999999997</v>
      </c>
      <c r="I4" s="170">
        <f>D4*E4/H4</f>
        <v>202.76592503793208</v>
      </c>
      <c r="J4" s="221" t="s">
        <v>535</v>
      </c>
      <c r="K4" s="221" t="s">
        <v>536</v>
      </c>
      <c r="L4" s="179"/>
      <c r="M4" s="179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</vt:lpstr>
      <vt:lpstr>Premissas</vt:lpstr>
      <vt:lpstr>Input_Consumo_GrupoA</vt:lpstr>
      <vt:lpstr>Simulacao</vt:lpstr>
      <vt:lpstr>Dados_Produção_Copasul</vt:lpstr>
      <vt:lpstr>Amandina</vt:lpstr>
      <vt:lpstr>Batayporã</vt:lpstr>
      <vt:lpstr>Novo Horizonte do Sul</vt:lpstr>
      <vt:lpstr>Dados_Consumo_Copasul</vt:lpstr>
      <vt:lpstr>Formula Dados Copasul</vt:lpstr>
      <vt:lpstr>Memória de Massa - 2025</vt:lpstr>
      <vt:lpstr>Dados_Produção_Helexia</vt:lpstr>
      <vt:lpstr>Usinas_Helexia_PR</vt:lpstr>
      <vt:lpstr>PVSYST_Helexia</vt:lpstr>
      <vt:lpstr>Usinas</vt:lpstr>
    </vt:vector>
  </TitlesOfParts>
  <Manager>louis.demoffarts@helexia.eu</Manager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louis.demoffarts@helexia.eu</dc:creator>
  <dc:description/>
  <cp:lastModifiedBy>Louis De Moffarts</cp:lastModifiedBy>
  <cp:revision>13</cp:revision>
  <dcterms:created xsi:type="dcterms:W3CDTF">2026-03-17T17:02:02Z</dcterms:created>
  <dcterms:modified xsi:type="dcterms:W3CDTF">2026-04-07T22:16:44Z</dcterms:modified>
  <dc:language>en-US</dc:language>
</cp:coreProperties>
</file>