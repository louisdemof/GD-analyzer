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ouisdemoffarts/Desktop/Helexia/GD-analyzer/Copasul/"/>
    </mc:Choice>
  </mc:AlternateContent>
  <xr:revisionPtr revIDLastSave="0" documentId="11_F126DFD6A03E05995AE821BAB48853B38ABDC5FF" xr6:coauthVersionLast="47" xr6:coauthVersionMax="47" xr10:uidLastSave="{00000000-0000-0000-0000-000000000000}"/>
  <bookViews>
    <workbookView xWindow="0" yWindow="600" windowWidth="28800" windowHeight="17400" tabRatio="500" xr2:uid="{00000000-000D-0000-FFFF-FFFF00000000}"/>
  </bookViews>
  <sheets>
    <sheet name="Resumo" sheetId="1" r:id="rId1"/>
    <sheet name="Premissas" sheetId="2" r:id="rId2"/>
    <sheet name="Input_Consumo_GrupoA" sheetId="3" r:id="rId3"/>
    <sheet name="Simulacao" sheetId="4" r:id="rId4"/>
    <sheet name="Dados_Produção_Copasul" sheetId="5" r:id="rId5"/>
    <sheet name="Amandina" sheetId="6" r:id="rId6"/>
    <sheet name="Batayporã" sheetId="7" r:id="rId7"/>
    <sheet name="Novo Horizonte do Sul" sheetId="8" r:id="rId8"/>
    <sheet name="Dados_Consumo_Copasul" sheetId="9" r:id="rId9"/>
    <sheet name="Formula Dados Copasul" sheetId="10" r:id="rId10"/>
    <sheet name="Memória de Massa - 2025" sheetId="11" r:id="rId11"/>
    <sheet name="Dados_Produção_Helexia" sheetId="12" r:id="rId12"/>
    <sheet name="Usinas_Helexia_PR" sheetId="13" r:id="rId13"/>
    <sheet name="PVSYST_Helexia" sheetId="14" r:id="rId14"/>
    <sheet name="Usinas" sheetId="15" r:id="rId15"/>
    <sheet name="Decomposicao_Tarifas" sheetId="16" r:id="rId16"/>
  </sheets>
  <definedNames>
    <definedName name="_xlnm._FilterDatabase" localSheetId="5" hidden="1">Amandina!$A$1:$D$356</definedName>
    <definedName name="_xlnm._FilterDatabase" localSheetId="6" hidden="1">Batayporã!$A$1:$D$366</definedName>
    <definedName name="_xlnm._FilterDatabase" localSheetId="10" hidden="1">'Memória de Massa - 2025'!$B$1:$L$217</definedName>
    <definedName name="_xlnm._FilterDatabase" localSheetId="7" hidden="1">'Novo Horizonte do Sul'!$A$1:$D$364</definedName>
    <definedName name="solver_adj" localSheetId="1" hidden="1">Premissas!$B$33:$E$50</definedName>
    <definedName name="solver_cvg" localSheetId="1" hidden="1">0.000001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5000</definedName>
    <definedName name="solver_lhs1" localSheetId="1" hidden="1">Premissas!$B$33:$K$50</definedName>
    <definedName name="solver_lhs10" localSheetId="1" hidden="1">Premissas!$I$51</definedName>
    <definedName name="solver_lhs11" localSheetId="1" hidden="1">Premissas!$J$51</definedName>
    <definedName name="solver_lhs12" localSheetId="1" hidden="1">Premissas!$K$51</definedName>
    <definedName name="solver_lhs2" localSheetId="1" hidden="1">Premissas!$B$34:$K$34</definedName>
    <definedName name="solver_lhs3" localSheetId="1" hidden="1">Premissas!$B$51</definedName>
    <definedName name="solver_lhs4" localSheetId="1" hidden="1">Premissas!$C$51</definedName>
    <definedName name="solver_lhs5" localSheetId="1" hidden="1">Premissas!$D$51</definedName>
    <definedName name="solver_lhs6" localSheetId="1" hidden="1">Premissas!$E$51</definedName>
    <definedName name="solver_lhs7" localSheetId="1" hidden="1">Premissas!$F$51</definedName>
    <definedName name="solver_lhs8" localSheetId="1" hidden="1">Premissas!$G$51</definedName>
    <definedName name="solver_lhs9" localSheetId="1" hidden="1">Premissas!$H$51</definedName>
    <definedName name="solver_mip" localSheetId="1" hidden="1">2147483647</definedName>
    <definedName name="solver_mni" localSheetId="1" hidden="1">300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12</definedName>
    <definedName name="solver_nwt" localSheetId="1" hidden="1">1</definedName>
    <definedName name="solver_opt" localSheetId="1" hidden="1">Premissas!$Q$5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el10" localSheetId="1" hidden="1">2</definedName>
    <definedName name="solver_rel11" localSheetId="1" hidden="1">2</definedName>
    <definedName name="solver_rel12" localSheetId="1" hidden="1">2</definedName>
    <definedName name="solver_rel2" localSheetId="1" hidden="1">2</definedName>
    <definedName name="solver_rel3" localSheetId="1" hidden="1">2</definedName>
    <definedName name="solver_rel4" localSheetId="1" hidden="1">2</definedName>
    <definedName name="solver_rel5" localSheetId="1" hidden="1">2</definedName>
    <definedName name="solver_rel6" localSheetId="1" hidden="1">2</definedName>
    <definedName name="solver_rel7" localSheetId="1" hidden="1">2</definedName>
    <definedName name="solver_rel8" localSheetId="1" hidden="1">2</definedName>
    <definedName name="solver_rel9" localSheetId="1" hidden="1">2</definedName>
    <definedName name="solver_rhs1" localSheetId="1" hidden="1">0</definedName>
    <definedName name="solver_rhs10" localSheetId="1" hidden="1">1</definedName>
    <definedName name="solver_rhs11" localSheetId="1" hidden="1">1</definedName>
    <definedName name="solver_rhs12" localSheetId="1" hidden="1">1</definedName>
    <definedName name="solver_rhs2" localSheetId="1" hidden="1">0</definedName>
    <definedName name="solver_rhs3" localSheetId="1" hidden="1">1</definedName>
    <definedName name="solver_rhs4" localSheetId="1" hidden="1">1</definedName>
    <definedName name="solver_rhs5" localSheetId="1" hidden="1">1</definedName>
    <definedName name="solver_rhs6" localSheetId="1" hidden="1">1</definedName>
    <definedName name="solver_rhs7" localSheetId="1" hidden="1">1</definedName>
    <definedName name="solver_rhs8" localSheetId="1" hidden="1">1</definedName>
    <definedName name="solver_rhs9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200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5" l="1"/>
  <c r="H4" i="15"/>
  <c r="H3" i="15"/>
  <c r="I3" i="15" s="1"/>
  <c r="I2" i="15"/>
  <c r="H2" i="15"/>
  <c r="U2" i="14"/>
  <c r="T2" i="14"/>
  <c r="S2" i="14"/>
  <c r="R2" i="14"/>
  <c r="Q2" i="14"/>
  <c r="P2" i="14"/>
  <c r="O2" i="14"/>
  <c r="N2" i="14"/>
  <c r="M2" i="14"/>
  <c r="L2" i="14"/>
  <c r="K2" i="14"/>
  <c r="J2" i="14"/>
  <c r="O133" i="11"/>
  <c r="O132" i="11"/>
  <c r="O131" i="11"/>
  <c r="O130" i="11"/>
  <c r="O129" i="11"/>
  <c r="O128" i="11"/>
  <c r="O127" i="11"/>
  <c r="O126" i="11"/>
  <c r="O125" i="11"/>
  <c r="O124" i="11"/>
  <c r="O123" i="11"/>
  <c r="O122" i="11"/>
  <c r="O28" i="10"/>
  <c r="N28" i="10"/>
  <c r="M28" i="10"/>
  <c r="L28" i="10"/>
  <c r="K28" i="10"/>
  <c r="J28" i="10"/>
  <c r="I28" i="10"/>
  <c r="H28" i="10"/>
  <c r="G28" i="10"/>
  <c r="F28" i="10"/>
  <c r="E28" i="10"/>
  <c r="D28" i="10"/>
  <c r="Q28" i="10" s="1"/>
  <c r="S28" i="10" s="1"/>
  <c r="O27" i="10"/>
  <c r="N27" i="10"/>
  <c r="M27" i="10"/>
  <c r="L27" i="10"/>
  <c r="K27" i="10"/>
  <c r="J27" i="10"/>
  <c r="I27" i="10"/>
  <c r="H27" i="10"/>
  <c r="G27" i="10"/>
  <c r="F27" i="10"/>
  <c r="E27" i="10"/>
  <c r="D27" i="10"/>
  <c r="Q27" i="10" s="1"/>
  <c r="S27" i="10" s="1"/>
  <c r="O26" i="10"/>
  <c r="O30" i="10" s="1"/>
  <c r="N26" i="10"/>
  <c r="N30" i="10" s="1"/>
  <c r="M26" i="10"/>
  <c r="M30" i="10" s="1"/>
  <c r="L26" i="10"/>
  <c r="L30" i="10" s="1"/>
  <c r="K26" i="10"/>
  <c r="K30" i="10" s="1"/>
  <c r="J26" i="10"/>
  <c r="J30" i="10" s="1"/>
  <c r="I26" i="10"/>
  <c r="I30" i="10" s="1"/>
  <c r="H26" i="10"/>
  <c r="H30" i="10" s="1"/>
  <c r="G26" i="10"/>
  <c r="G30" i="10" s="1"/>
  <c r="F26" i="10"/>
  <c r="F30" i="10" s="1"/>
  <c r="E26" i="10"/>
  <c r="E30" i="10" s="1"/>
  <c r="D26" i="10"/>
  <c r="D30" i="10" s="1"/>
  <c r="O24" i="10"/>
  <c r="G24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Q22" i="10" s="1"/>
  <c r="S22" i="10" s="1"/>
  <c r="O21" i="10"/>
  <c r="N21" i="10"/>
  <c r="M21" i="10"/>
  <c r="L21" i="10"/>
  <c r="K21" i="10"/>
  <c r="J21" i="10"/>
  <c r="I21" i="10"/>
  <c r="H21" i="10"/>
  <c r="G21" i="10"/>
  <c r="F21" i="10"/>
  <c r="E21" i="10"/>
  <c r="D21" i="10"/>
  <c r="Q21" i="10" s="1"/>
  <c r="S21" i="10" s="1"/>
  <c r="O20" i="10"/>
  <c r="N20" i="10"/>
  <c r="N24" i="10" s="1"/>
  <c r="M20" i="10"/>
  <c r="M24" i="10" s="1"/>
  <c r="L20" i="10"/>
  <c r="L24" i="10" s="1"/>
  <c r="K20" i="10"/>
  <c r="K24" i="10" s="1"/>
  <c r="J20" i="10"/>
  <c r="J24" i="10" s="1"/>
  <c r="I20" i="10"/>
  <c r="I24" i="10" s="1"/>
  <c r="H20" i="10"/>
  <c r="H24" i="10" s="1"/>
  <c r="G20" i="10"/>
  <c r="F20" i="10"/>
  <c r="F24" i="10" s="1"/>
  <c r="E20" i="10"/>
  <c r="E24" i="10" s="1"/>
  <c r="D20" i="10"/>
  <c r="D24" i="10" s="1"/>
  <c r="O12" i="10"/>
  <c r="N12" i="10"/>
  <c r="M12" i="10"/>
  <c r="L12" i="10"/>
  <c r="K12" i="10"/>
  <c r="J12" i="10"/>
  <c r="I12" i="10"/>
  <c r="H12" i="10"/>
  <c r="G12" i="10"/>
  <c r="F12" i="10"/>
  <c r="E12" i="10"/>
  <c r="D12" i="10"/>
  <c r="Q12" i="10" s="1"/>
  <c r="S12" i="10" s="1"/>
  <c r="O11" i="10"/>
  <c r="O14" i="10" s="1"/>
  <c r="N11" i="10"/>
  <c r="N14" i="10" s="1"/>
  <c r="N17" i="10" s="1"/>
  <c r="M11" i="10"/>
  <c r="M14" i="10" s="1"/>
  <c r="L11" i="10"/>
  <c r="L14" i="10" s="1"/>
  <c r="K11" i="10"/>
  <c r="K14" i="10" s="1"/>
  <c r="J11" i="10"/>
  <c r="J14" i="10" s="1"/>
  <c r="I11" i="10"/>
  <c r="I14" i="10" s="1"/>
  <c r="H11" i="10"/>
  <c r="H14" i="10" s="1"/>
  <c r="G11" i="10"/>
  <c r="G14" i="10" s="1"/>
  <c r="F11" i="10"/>
  <c r="F14" i="10" s="1"/>
  <c r="F17" i="10" s="1"/>
  <c r="E11" i="10"/>
  <c r="E14" i="10" s="1"/>
  <c r="D11" i="10"/>
  <c r="D14" i="10" s="1"/>
  <c r="O7" i="10"/>
  <c r="N7" i="10"/>
  <c r="M7" i="10"/>
  <c r="L7" i="10"/>
  <c r="K7" i="10"/>
  <c r="J7" i="10"/>
  <c r="I7" i="10"/>
  <c r="I9" i="10" s="1"/>
  <c r="H7" i="10"/>
  <c r="G7" i="10"/>
  <c r="F7" i="10"/>
  <c r="E7" i="10"/>
  <c r="D7" i="10"/>
  <c r="Q7" i="10" s="1"/>
  <c r="S7" i="10" s="1"/>
  <c r="O6" i="10"/>
  <c r="N6" i="10"/>
  <c r="M6" i="10"/>
  <c r="L6" i="10"/>
  <c r="K6" i="10"/>
  <c r="J6" i="10"/>
  <c r="I6" i="10"/>
  <c r="H6" i="10"/>
  <c r="G6" i="10"/>
  <c r="F6" i="10"/>
  <c r="E6" i="10"/>
  <c r="D6" i="10"/>
  <c r="O5" i="10"/>
  <c r="N5" i="10"/>
  <c r="N9" i="10" s="1"/>
  <c r="M5" i="10"/>
  <c r="L5" i="10"/>
  <c r="L9" i="10" s="1"/>
  <c r="K5" i="10"/>
  <c r="K9" i="10" s="1"/>
  <c r="J5" i="10"/>
  <c r="J9" i="10" s="1"/>
  <c r="I5" i="10"/>
  <c r="H5" i="10"/>
  <c r="H9" i="10" s="1"/>
  <c r="G5" i="10"/>
  <c r="F5" i="10"/>
  <c r="F9" i="10" s="1"/>
  <c r="E5" i="10"/>
  <c r="D5" i="10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D91" i="8"/>
  <c r="D90" i="8"/>
  <c r="D89" i="8"/>
  <c r="D88" i="8"/>
  <c r="D87" i="8"/>
  <c r="D86" i="8"/>
  <c r="D85" i="8"/>
  <c r="D84" i="8"/>
  <c r="D83" i="8"/>
  <c r="D82" i="8"/>
  <c r="D81" i="8"/>
  <c r="D80" i="8"/>
  <c r="D79" i="8"/>
  <c r="D78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5" i="8"/>
  <c r="D4" i="8"/>
  <c r="F3" i="8"/>
  <c r="D3" i="8"/>
  <c r="D2" i="8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H4" i="7"/>
  <c r="G4" i="7"/>
  <c r="F5" i="7" s="1"/>
  <c r="H5" i="7" s="1"/>
  <c r="F4" i="7"/>
  <c r="D4" i="7"/>
  <c r="G3" i="7"/>
  <c r="F3" i="7"/>
  <c r="D3" i="7"/>
  <c r="D2" i="7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H4" i="6"/>
  <c r="G4" i="6"/>
  <c r="F5" i="6" s="1"/>
  <c r="F4" i="6"/>
  <c r="D4" i="6"/>
  <c r="H3" i="6"/>
  <c r="G3" i="6"/>
  <c r="D3" i="6"/>
  <c r="D2" i="6"/>
  <c r="A271" i="4"/>
  <c r="A270" i="4"/>
  <c r="A246" i="4"/>
  <c r="BK245" i="4"/>
  <c r="BJ245" i="4"/>
  <c r="BI245" i="4"/>
  <c r="BH245" i="4"/>
  <c r="BG245" i="4"/>
  <c r="BF245" i="4"/>
  <c r="BE245" i="4"/>
  <c r="BD245" i="4"/>
  <c r="BC245" i="4"/>
  <c r="BB245" i="4"/>
  <c r="BA245" i="4"/>
  <c r="AZ245" i="4"/>
  <c r="AY245" i="4"/>
  <c r="AX245" i="4"/>
  <c r="AW245" i="4"/>
  <c r="AV245" i="4"/>
  <c r="AU245" i="4"/>
  <c r="AT245" i="4"/>
  <c r="AS245" i="4"/>
  <c r="AR245" i="4"/>
  <c r="AQ245" i="4"/>
  <c r="AP245" i="4"/>
  <c r="AO245" i="4"/>
  <c r="AN245" i="4"/>
  <c r="AM245" i="4"/>
  <c r="AL245" i="4"/>
  <c r="AK245" i="4"/>
  <c r="AJ245" i="4"/>
  <c r="AI245" i="4"/>
  <c r="AH245" i="4"/>
  <c r="AG245" i="4"/>
  <c r="AF245" i="4"/>
  <c r="AE245" i="4"/>
  <c r="AD245" i="4"/>
  <c r="AC245" i="4"/>
  <c r="AB245" i="4"/>
  <c r="AA245" i="4"/>
  <c r="Z245" i="4"/>
  <c r="Y245" i="4"/>
  <c r="X245" i="4"/>
  <c r="W245" i="4"/>
  <c r="V245" i="4"/>
  <c r="U245" i="4"/>
  <c r="T245" i="4"/>
  <c r="S245" i="4"/>
  <c r="R245" i="4"/>
  <c r="Q245" i="4"/>
  <c r="P245" i="4"/>
  <c r="O245" i="4"/>
  <c r="N245" i="4"/>
  <c r="M245" i="4"/>
  <c r="L245" i="4"/>
  <c r="K245" i="4"/>
  <c r="J245" i="4"/>
  <c r="I245" i="4"/>
  <c r="H245" i="4"/>
  <c r="G245" i="4"/>
  <c r="F245" i="4"/>
  <c r="E245" i="4"/>
  <c r="D245" i="4"/>
  <c r="B245" i="4"/>
  <c r="BK244" i="4"/>
  <c r="BJ244" i="4"/>
  <c r="BI244" i="4"/>
  <c r="BH244" i="4"/>
  <c r="BG244" i="4"/>
  <c r="BF244" i="4"/>
  <c r="BE244" i="4"/>
  <c r="BD244" i="4"/>
  <c r="BC244" i="4"/>
  <c r="BB244" i="4"/>
  <c r="BA244" i="4"/>
  <c r="AZ244" i="4"/>
  <c r="AY244" i="4"/>
  <c r="AX244" i="4"/>
  <c r="AW244" i="4"/>
  <c r="AV244" i="4"/>
  <c r="AU244" i="4"/>
  <c r="AT244" i="4"/>
  <c r="AS244" i="4"/>
  <c r="AR244" i="4"/>
  <c r="AQ244" i="4"/>
  <c r="AP244" i="4"/>
  <c r="AO244" i="4"/>
  <c r="AN244" i="4"/>
  <c r="AM244" i="4"/>
  <c r="AL244" i="4"/>
  <c r="AK244" i="4"/>
  <c r="AJ244" i="4"/>
  <c r="AI244" i="4"/>
  <c r="AH244" i="4"/>
  <c r="AG244" i="4"/>
  <c r="AF244" i="4"/>
  <c r="AE244" i="4"/>
  <c r="AD244" i="4"/>
  <c r="AC244" i="4"/>
  <c r="AB244" i="4"/>
  <c r="AA244" i="4"/>
  <c r="Z244" i="4"/>
  <c r="Y244" i="4"/>
  <c r="X244" i="4"/>
  <c r="W244" i="4"/>
  <c r="V244" i="4"/>
  <c r="U244" i="4"/>
  <c r="T244" i="4"/>
  <c r="S244" i="4"/>
  <c r="R244" i="4"/>
  <c r="Q244" i="4"/>
  <c r="P244" i="4"/>
  <c r="O244" i="4"/>
  <c r="N244" i="4"/>
  <c r="M244" i="4"/>
  <c r="L244" i="4"/>
  <c r="K244" i="4"/>
  <c r="J244" i="4"/>
  <c r="I244" i="4"/>
  <c r="H244" i="4"/>
  <c r="G244" i="4"/>
  <c r="F244" i="4"/>
  <c r="E244" i="4"/>
  <c r="D244" i="4"/>
  <c r="BK243" i="4"/>
  <c r="BJ243" i="4"/>
  <c r="BI243" i="4"/>
  <c r="BH243" i="4"/>
  <c r="BG243" i="4"/>
  <c r="BF243" i="4"/>
  <c r="BE243" i="4"/>
  <c r="BD243" i="4"/>
  <c r="BC243" i="4"/>
  <c r="BB243" i="4"/>
  <c r="BA243" i="4"/>
  <c r="AZ243" i="4"/>
  <c r="AY243" i="4"/>
  <c r="AX243" i="4"/>
  <c r="AW243" i="4"/>
  <c r="AV243" i="4"/>
  <c r="AU243" i="4"/>
  <c r="AT243" i="4"/>
  <c r="AS243" i="4"/>
  <c r="AR243" i="4"/>
  <c r="AQ243" i="4"/>
  <c r="AP243" i="4"/>
  <c r="AO243" i="4"/>
  <c r="AN243" i="4"/>
  <c r="AM243" i="4"/>
  <c r="AL243" i="4"/>
  <c r="AK243" i="4"/>
  <c r="AJ243" i="4"/>
  <c r="AI243" i="4"/>
  <c r="AH243" i="4"/>
  <c r="AG243" i="4"/>
  <c r="AF243" i="4"/>
  <c r="AE243" i="4"/>
  <c r="AD243" i="4"/>
  <c r="AC243" i="4"/>
  <c r="AB243" i="4"/>
  <c r="AA243" i="4"/>
  <c r="Z243" i="4"/>
  <c r="Y243" i="4"/>
  <c r="X243" i="4"/>
  <c r="W243" i="4"/>
  <c r="V243" i="4"/>
  <c r="U243" i="4"/>
  <c r="T243" i="4"/>
  <c r="S243" i="4"/>
  <c r="R243" i="4"/>
  <c r="Q243" i="4"/>
  <c r="P243" i="4"/>
  <c r="O243" i="4"/>
  <c r="N243" i="4"/>
  <c r="M243" i="4"/>
  <c r="L243" i="4"/>
  <c r="K243" i="4"/>
  <c r="J243" i="4"/>
  <c r="I243" i="4"/>
  <c r="H243" i="4"/>
  <c r="G243" i="4"/>
  <c r="F243" i="4"/>
  <c r="E243" i="4"/>
  <c r="D243" i="4"/>
  <c r="B243" i="4"/>
  <c r="D240" i="4"/>
  <c r="A239" i="4"/>
  <c r="BK238" i="4"/>
  <c r="BJ238" i="4"/>
  <c r="BI238" i="4"/>
  <c r="BH238" i="4"/>
  <c r="BG238" i="4"/>
  <c r="BF238" i="4"/>
  <c r="BE238" i="4"/>
  <c r="BD238" i="4"/>
  <c r="BC238" i="4"/>
  <c r="BB238" i="4"/>
  <c r="BA238" i="4"/>
  <c r="AZ238" i="4"/>
  <c r="AY238" i="4"/>
  <c r="AX238" i="4"/>
  <c r="AW238" i="4"/>
  <c r="AV238" i="4"/>
  <c r="AU238" i="4"/>
  <c r="AT238" i="4"/>
  <c r="AS238" i="4"/>
  <c r="AR238" i="4"/>
  <c r="AQ238" i="4"/>
  <c r="AP238" i="4"/>
  <c r="AO238" i="4"/>
  <c r="AN238" i="4"/>
  <c r="AM238" i="4"/>
  <c r="AL238" i="4"/>
  <c r="AK238" i="4"/>
  <c r="AJ238" i="4"/>
  <c r="AI238" i="4"/>
  <c r="AH238" i="4"/>
  <c r="AG238" i="4"/>
  <c r="AF238" i="4"/>
  <c r="AE238" i="4"/>
  <c r="AD238" i="4"/>
  <c r="AC238" i="4"/>
  <c r="AB238" i="4"/>
  <c r="AA238" i="4"/>
  <c r="Z238" i="4"/>
  <c r="Y238" i="4"/>
  <c r="X238" i="4"/>
  <c r="W238" i="4"/>
  <c r="V238" i="4"/>
  <c r="U238" i="4"/>
  <c r="T238" i="4"/>
  <c r="S238" i="4"/>
  <c r="R238" i="4"/>
  <c r="Q238" i="4"/>
  <c r="P238" i="4"/>
  <c r="O238" i="4"/>
  <c r="N238" i="4"/>
  <c r="M238" i="4"/>
  <c r="L238" i="4"/>
  <c r="K238" i="4"/>
  <c r="J238" i="4"/>
  <c r="I238" i="4"/>
  <c r="H238" i="4"/>
  <c r="G238" i="4"/>
  <c r="F238" i="4"/>
  <c r="E238" i="4"/>
  <c r="D238" i="4"/>
  <c r="A234" i="4"/>
  <c r="BK233" i="4"/>
  <c r="BJ233" i="4"/>
  <c r="BI233" i="4"/>
  <c r="BH233" i="4"/>
  <c r="BG233" i="4"/>
  <c r="BF233" i="4"/>
  <c r="BE233" i="4"/>
  <c r="BD233" i="4"/>
  <c r="BC233" i="4"/>
  <c r="BB233" i="4"/>
  <c r="BA233" i="4"/>
  <c r="AZ233" i="4"/>
  <c r="AY233" i="4"/>
  <c r="AX233" i="4"/>
  <c r="AW233" i="4"/>
  <c r="AV233" i="4"/>
  <c r="AU233" i="4"/>
  <c r="AT233" i="4"/>
  <c r="AS233" i="4"/>
  <c r="AR233" i="4"/>
  <c r="AQ233" i="4"/>
  <c r="AP233" i="4"/>
  <c r="AO233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R233" i="4"/>
  <c r="Q233" i="4"/>
  <c r="P233" i="4"/>
  <c r="O233" i="4"/>
  <c r="N233" i="4"/>
  <c r="M233" i="4"/>
  <c r="L233" i="4"/>
  <c r="K233" i="4"/>
  <c r="J233" i="4"/>
  <c r="I233" i="4"/>
  <c r="H233" i="4"/>
  <c r="G233" i="4"/>
  <c r="F233" i="4"/>
  <c r="E233" i="4"/>
  <c r="D233" i="4"/>
  <c r="B233" i="4"/>
  <c r="BK232" i="4"/>
  <c r="BJ232" i="4"/>
  <c r="BI232" i="4"/>
  <c r="BH232" i="4"/>
  <c r="BG232" i="4"/>
  <c r="BF232" i="4"/>
  <c r="BE232" i="4"/>
  <c r="BD232" i="4"/>
  <c r="BC232" i="4"/>
  <c r="BB232" i="4"/>
  <c r="BA232" i="4"/>
  <c r="AZ232" i="4"/>
  <c r="AY232" i="4"/>
  <c r="AX232" i="4"/>
  <c r="AW232" i="4"/>
  <c r="AV232" i="4"/>
  <c r="AU232" i="4"/>
  <c r="AT232" i="4"/>
  <c r="AS232" i="4"/>
  <c r="AR232" i="4"/>
  <c r="AQ232" i="4"/>
  <c r="AP232" i="4"/>
  <c r="AO232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R232" i="4"/>
  <c r="Q232" i="4"/>
  <c r="P232" i="4"/>
  <c r="O232" i="4"/>
  <c r="N232" i="4"/>
  <c r="M232" i="4"/>
  <c r="L232" i="4"/>
  <c r="K232" i="4"/>
  <c r="J232" i="4"/>
  <c r="I232" i="4"/>
  <c r="H232" i="4"/>
  <c r="G232" i="4"/>
  <c r="F232" i="4"/>
  <c r="E232" i="4"/>
  <c r="D232" i="4"/>
  <c r="BK231" i="4"/>
  <c r="BJ231" i="4"/>
  <c r="BI231" i="4"/>
  <c r="BH231" i="4"/>
  <c r="BG231" i="4"/>
  <c r="BF231" i="4"/>
  <c r="BE231" i="4"/>
  <c r="BD231" i="4"/>
  <c r="BC231" i="4"/>
  <c r="BB231" i="4"/>
  <c r="BA231" i="4"/>
  <c r="AZ231" i="4"/>
  <c r="AY231" i="4"/>
  <c r="AX231" i="4"/>
  <c r="AW231" i="4"/>
  <c r="AV231" i="4"/>
  <c r="AU231" i="4"/>
  <c r="AT231" i="4"/>
  <c r="AS231" i="4"/>
  <c r="AR231" i="4"/>
  <c r="AQ231" i="4"/>
  <c r="AP231" i="4"/>
  <c r="AO231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R231" i="4"/>
  <c r="Q231" i="4"/>
  <c r="P231" i="4"/>
  <c r="O231" i="4"/>
  <c r="N231" i="4"/>
  <c r="M231" i="4"/>
  <c r="L231" i="4"/>
  <c r="K231" i="4"/>
  <c r="J231" i="4"/>
  <c r="I231" i="4"/>
  <c r="H231" i="4"/>
  <c r="G231" i="4"/>
  <c r="F231" i="4"/>
  <c r="E231" i="4"/>
  <c r="D231" i="4"/>
  <c r="B231" i="4"/>
  <c r="D228" i="4"/>
  <c r="A227" i="4"/>
  <c r="BK226" i="4"/>
  <c r="BJ226" i="4"/>
  <c r="BI226" i="4"/>
  <c r="BH226" i="4"/>
  <c r="BG226" i="4"/>
  <c r="BF226" i="4"/>
  <c r="BE226" i="4"/>
  <c r="BD226" i="4"/>
  <c r="BC226" i="4"/>
  <c r="BB226" i="4"/>
  <c r="BA226" i="4"/>
  <c r="AZ226" i="4"/>
  <c r="AY226" i="4"/>
  <c r="AX226" i="4"/>
  <c r="AW226" i="4"/>
  <c r="AV226" i="4"/>
  <c r="AU226" i="4"/>
  <c r="AT226" i="4"/>
  <c r="AS226" i="4"/>
  <c r="AR226" i="4"/>
  <c r="AQ226" i="4"/>
  <c r="AP226" i="4"/>
  <c r="AO226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K226" i="4"/>
  <c r="A222" i="4"/>
  <c r="BK221" i="4"/>
  <c r="BJ221" i="4"/>
  <c r="BI221" i="4"/>
  <c r="BH221" i="4"/>
  <c r="BG221" i="4"/>
  <c r="BF221" i="4"/>
  <c r="BE221" i="4"/>
  <c r="BD221" i="4"/>
  <c r="BC221" i="4"/>
  <c r="BB221" i="4"/>
  <c r="BA221" i="4"/>
  <c r="AZ221" i="4"/>
  <c r="AY221" i="4"/>
  <c r="AX221" i="4"/>
  <c r="AW221" i="4"/>
  <c r="AV221" i="4"/>
  <c r="AU221" i="4"/>
  <c r="AT221" i="4"/>
  <c r="AS221" i="4"/>
  <c r="AR221" i="4"/>
  <c r="AQ221" i="4"/>
  <c r="AP221" i="4"/>
  <c r="AO221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K221" i="4"/>
  <c r="J221" i="4"/>
  <c r="I221" i="4"/>
  <c r="H221" i="4"/>
  <c r="G221" i="4"/>
  <c r="F221" i="4"/>
  <c r="E221" i="4"/>
  <c r="D221" i="4"/>
  <c r="B221" i="4"/>
  <c r="BK220" i="4"/>
  <c r="BJ220" i="4"/>
  <c r="BI220" i="4"/>
  <c r="BH220" i="4"/>
  <c r="BG220" i="4"/>
  <c r="BF220" i="4"/>
  <c r="BE220" i="4"/>
  <c r="BD220" i="4"/>
  <c r="BC220" i="4"/>
  <c r="BB220" i="4"/>
  <c r="BA220" i="4"/>
  <c r="AZ220" i="4"/>
  <c r="AY220" i="4"/>
  <c r="AX220" i="4"/>
  <c r="AW220" i="4"/>
  <c r="AV220" i="4"/>
  <c r="AU220" i="4"/>
  <c r="AT220" i="4"/>
  <c r="AS220" i="4"/>
  <c r="AR220" i="4"/>
  <c r="AQ220" i="4"/>
  <c r="AP220" i="4"/>
  <c r="AO220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K220" i="4"/>
  <c r="J220" i="4"/>
  <c r="I220" i="4"/>
  <c r="H220" i="4"/>
  <c r="G220" i="4"/>
  <c r="F220" i="4"/>
  <c r="E220" i="4"/>
  <c r="D220" i="4"/>
  <c r="BK219" i="4"/>
  <c r="BJ219" i="4"/>
  <c r="BI219" i="4"/>
  <c r="BH219" i="4"/>
  <c r="BG219" i="4"/>
  <c r="BF219" i="4"/>
  <c r="BE219" i="4"/>
  <c r="BD219" i="4"/>
  <c r="BC219" i="4"/>
  <c r="BB219" i="4"/>
  <c r="BA219" i="4"/>
  <c r="AZ219" i="4"/>
  <c r="AY219" i="4"/>
  <c r="AX219" i="4"/>
  <c r="AW219" i="4"/>
  <c r="AV219" i="4"/>
  <c r="AU219" i="4"/>
  <c r="AT219" i="4"/>
  <c r="AS219" i="4"/>
  <c r="AR219" i="4"/>
  <c r="AQ219" i="4"/>
  <c r="AP219" i="4"/>
  <c r="AO219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K219" i="4"/>
  <c r="J219" i="4"/>
  <c r="I219" i="4"/>
  <c r="H219" i="4"/>
  <c r="G219" i="4"/>
  <c r="F219" i="4"/>
  <c r="E219" i="4"/>
  <c r="D219" i="4"/>
  <c r="B219" i="4"/>
  <c r="D216" i="4"/>
  <c r="A215" i="4"/>
  <c r="BK214" i="4"/>
  <c r="BJ214" i="4"/>
  <c r="BI214" i="4"/>
  <c r="BH214" i="4"/>
  <c r="BG214" i="4"/>
  <c r="BF214" i="4"/>
  <c r="BE214" i="4"/>
  <c r="BD214" i="4"/>
  <c r="BC214" i="4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A209" i="4"/>
  <c r="D207" i="4"/>
  <c r="D206" i="4"/>
  <c r="D208" i="4" s="1"/>
  <c r="E206" i="4" s="1"/>
  <c r="D203" i="4"/>
  <c r="A202" i="4"/>
  <c r="BK201" i="4"/>
  <c r="BJ201" i="4"/>
  <c r="BI201" i="4"/>
  <c r="BH201" i="4"/>
  <c r="BG201" i="4"/>
  <c r="BF201" i="4"/>
  <c r="BE201" i="4"/>
  <c r="BD201" i="4"/>
  <c r="BC201" i="4"/>
  <c r="BB201" i="4"/>
  <c r="BA201" i="4"/>
  <c r="AZ201" i="4"/>
  <c r="AY201" i="4"/>
  <c r="AX201" i="4"/>
  <c r="AW201" i="4"/>
  <c r="AV201" i="4"/>
  <c r="AU201" i="4"/>
  <c r="AT201" i="4"/>
  <c r="AS201" i="4"/>
  <c r="AR201" i="4"/>
  <c r="AQ201" i="4"/>
  <c r="AP201" i="4"/>
  <c r="AO201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K201" i="4"/>
  <c r="B201" i="4" s="1"/>
  <c r="C201" i="4" s="1"/>
  <c r="A196" i="4"/>
  <c r="D195" i="4"/>
  <c r="E193" i="4" s="1"/>
  <c r="D194" i="4"/>
  <c r="D193" i="4"/>
  <c r="D190" i="4"/>
  <c r="A189" i="4"/>
  <c r="BK188" i="4"/>
  <c r="BJ188" i="4"/>
  <c r="BI188" i="4"/>
  <c r="BH188" i="4"/>
  <c r="BG188" i="4"/>
  <c r="BF188" i="4"/>
  <c r="BE188" i="4"/>
  <c r="BD188" i="4"/>
  <c r="BC188" i="4"/>
  <c r="BB188" i="4"/>
  <c r="BA188" i="4"/>
  <c r="AZ188" i="4"/>
  <c r="AY188" i="4"/>
  <c r="AX188" i="4"/>
  <c r="AW188" i="4"/>
  <c r="AV188" i="4"/>
  <c r="AU188" i="4"/>
  <c r="AT188" i="4"/>
  <c r="AS188" i="4"/>
  <c r="AR188" i="4"/>
  <c r="AQ188" i="4"/>
  <c r="AP188" i="4"/>
  <c r="AO188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K188" i="4"/>
  <c r="A183" i="4"/>
  <c r="D180" i="4"/>
  <c r="D177" i="4"/>
  <c r="A176" i="4"/>
  <c r="BK175" i="4"/>
  <c r="BJ175" i="4"/>
  <c r="BI175" i="4"/>
  <c r="BH175" i="4"/>
  <c r="BG175" i="4"/>
  <c r="BF175" i="4"/>
  <c r="BE175" i="4"/>
  <c r="BD175" i="4"/>
  <c r="BC175" i="4"/>
  <c r="BB175" i="4"/>
  <c r="BA175" i="4"/>
  <c r="AZ175" i="4"/>
  <c r="AY175" i="4"/>
  <c r="AX175" i="4"/>
  <c r="AW175" i="4"/>
  <c r="AV175" i="4"/>
  <c r="AU175" i="4"/>
  <c r="AT175" i="4"/>
  <c r="AS175" i="4"/>
  <c r="AR175" i="4"/>
  <c r="AQ175" i="4"/>
  <c r="AP175" i="4"/>
  <c r="AO175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K175" i="4"/>
  <c r="A170" i="4"/>
  <c r="D167" i="4"/>
  <c r="D164" i="4"/>
  <c r="A163" i="4"/>
  <c r="BK162" i="4"/>
  <c r="BJ162" i="4"/>
  <c r="BI162" i="4"/>
  <c r="BH162" i="4"/>
  <c r="BG162" i="4"/>
  <c r="BF162" i="4"/>
  <c r="BE162" i="4"/>
  <c r="BD162" i="4"/>
  <c r="BC162" i="4"/>
  <c r="BB162" i="4"/>
  <c r="BA162" i="4"/>
  <c r="AZ162" i="4"/>
  <c r="AY162" i="4"/>
  <c r="AX162" i="4"/>
  <c r="AW162" i="4"/>
  <c r="AV162" i="4"/>
  <c r="AU162" i="4"/>
  <c r="AT162" i="4"/>
  <c r="AS162" i="4"/>
  <c r="AR162" i="4"/>
  <c r="AQ162" i="4"/>
  <c r="AP162" i="4"/>
  <c r="AO162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K162" i="4"/>
  <c r="B162" i="4" s="1"/>
  <c r="C162" i="4" s="1"/>
  <c r="A157" i="4"/>
  <c r="D154" i="4"/>
  <c r="D155" i="4" s="1"/>
  <c r="D151" i="4"/>
  <c r="A150" i="4"/>
  <c r="BK149" i="4"/>
  <c r="BJ149" i="4"/>
  <c r="BI149" i="4"/>
  <c r="BH149" i="4"/>
  <c r="BG149" i="4"/>
  <c r="BF149" i="4"/>
  <c r="BE149" i="4"/>
  <c r="BD149" i="4"/>
  <c r="BC149" i="4"/>
  <c r="BB149" i="4"/>
  <c r="BA149" i="4"/>
  <c r="AZ149" i="4"/>
  <c r="AY149" i="4"/>
  <c r="AX149" i="4"/>
  <c r="AW149" i="4"/>
  <c r="AV149" i="4"/>
  <c r="AU149" i="4"/>
  <c r="AT149" i="4"/>
  <c r="AS149" i="4"/>
  <c r="AR149" i="4"/>
  <c r="AQ149" i="4"/>
  <c r="AP149" i="4"/>
  <c r="AO149" i="4"/>
  <c r="AN149" i="4"/>
  <c r="AM149" i="4"/>
  <c r="AL149" i="4"/>
  <c r="AK149" i="4"/>
  <c r="AJ149" i="4"/>
  <c r="AI149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K149" i="4"/>
  <c r="A144" i="4"/>
  <c r="D141" i="4"/>
  <c r="D138" i="4"/>
  <c r="A137" i="4"/>
  <c r="BK136" i="4"/>
  <c r="BJ136" i="4"/>
  <c r="BI136" i="4"/>
  <c r="BH136" i="4"/>
  <c r="BG136" i="4"/>
  <c r="BF136" i="4"/>
  <c r="BE136" i="4"/>
  <c r="BD136" i="4"/>
  <c r="BC136" i="4"/>
  <c r="BB136" i="4"/>
  <c r="BA136" i="4"/>
  <c r="AZ136" i="4"/>
  <c r="AY136" i="4"/>
  <c r="AX136" i="4"/>
  <c r="AW136" i="4"/>
  <c r="AV136" i="4"/>
  <c r="AU136" i="4"/>
  <c r="AT136" i="4"/>
  <c r="AS136" i="4"/>
  <c r="AR136" i="4"/>
  <c r="AQ136" i="4"/>
  <c r="AP136" i="4"/>
  <c r="AO136" i="4"/>
  <c r="AN136" i="4"/>
  <c r="AM136" i="4"/>
  <c r="AL136" i="4"/>
  <c r="AK136" i="4"/>
  <c r="AJ136" i="4"/>
  <c r="AI136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K136" i="4"/>
  <c r="A131" i="4"/>
  <c r="D128" i="4"/>
  <c r="D125" i="4"/>
  <c r="A124" i="4"/>
  <c r="BK123" i="4"/>
  <c r="BJ123" i="4"/>
  <c r="BI123" i="4"/>
  <c r="BH123" i="4"/>
  <c r="BG123" i="4"/>
  <c r="BF123" i="4"/>
  <c r="BE123" i="4"/>
  <c r="BD123" i="4"/>
  <c r="BC123" i="4"/>
  <c r="BB123" i="4"/>
  <c r="BA123" i="4"/>
  <c r="AZ123" i="4"/>
  <c r="AY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K123" i="4"/>
  <c r="AJ123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A118" i="4"/>
  <c r="D116" i="4"/>
  <c r="D115" i="4"/>
  <c r="D117" i="4" s="1"/>
  <c r="E115" i="4" s="1"/>
  <c r="D112" i="4"/>
  <c r="A111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A105" i="4"/>
  <c r="D102" i="4"/>
  <c r="D103" i="4" s="1"/>
  <c r="D99" i="4"/>
  <c r="A98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A92" i="4"/>
  <c r="D89" i="4"/>
  <c r="D90" i="4" s="1"/>
  <c r="D86" i="4"/>
  <c r="A85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A79" i="4"/>
  <c r="D76" i="4"/>
  <c r="D73" i="4"/>
  <c r="A72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A66" i="4"/>
  <c r="D63" i="4"/>
  <c r="D64" i="4" s="1"/>
  <c r="D60" i="4"/>
  <c r="A59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A53" i="4"/>
  <c r="D50" i="4"/>
  <c r="D47" i="4"/>
  <c r="A45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A35" i="4"/>
  <c r="D32" i="4"/>
  <c r="D29" i="4"/>
  <c r="A27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B23" i="4" s="1"/>
  <c r="C23" i="4" s="1"/>
  <c r="H23" i="4"/>
  <c r="G23" i="4"/>
  <c r="F23" i="4"/>
  <c r="E23" i="4"/>
  <c r="D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D20" i="4"/>
  <c r="D46" i="4" s="1"/>
  <c r="D19" i="4"/>
  <c r="D28" i="4" s="1"/>
  <c r="D16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B11" i="4" s="1"/>
  <c r="C11" i="4" s="1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BG6" i="4"/>
  <c r="AY6" i="4"/>
  <c r="AQ6" i="4"/>
  <c r="AQ7" i="4" s="1"/>
  <c r="R62" i="1" s="1"/>
  <c r="AI6" i="4"/>
  <c r="AA6" i="4"/>
  <c r="S6" i="4"/>
  <c r="K6" i="4"/>
  <c r="A6" i="4"/>
  <c r="A5" i="4"/>
  <c r="A1" i="4"/>
  <c r="B129" i="2"/>
  <c r="B120" i="2"/>
  <c r="BK6" i="4" s="1"/>
  <c r="B119" i="2"/>
  <c r="BJ6" i="4" s="1"/>
  <c r="B118" i="2"/>
  <c r="BI6" i="4" s="1"/>
  <c r="B117" i="2"/>
  <c r="BH6" i="4" s="1"/>
  <c r="B116" i="2"/>
  <c r="B115" i="2"/>
  <c r="BF6" i="4" s="1"/>
  <c r="B114" i="2"/>
  <c r="BE6" i="4" s="1"/>
  <c r="B113" i="2"/>
  <c r="BD6" i="4" s="1"/>
  <c r="B112" i="2"/>
  <c r="BC6" i="4" s="1"/>
  <c r="B111" i="2"/>
  <c r="BB6" i="4" s="1"/>
  <c r="B110" i="2"/>
  <c r="BA6" i="4" s="1"/>
  <c r="B109" i="2"/>
  <c r="AZ6" i="4" s="1"/>
  <c r="B108" i="2"/>
  <c r="B107" i="2"/>
  <c r="AX6" i="4" s="1"/>
  <c r="B106" i="2"/>
  <c r="AW6" i="4" s="1"/>
  <c r="B105" i="2"/>
  <c r="AV6" i="4" s="1"/>
  <c r="B104" i="2"/>
  <c r="AU6" i="4" s="1"/>
  <c r="B103" i="2"/>
  <c r="AT6" i="4" s="1"/>
  <c r="B102" i="2"/>
  <c r="AS6" i="4" s="1"/>
  <c r="B101" i="2"/>
  <c r="AR6" i="4" s="1"/>
  <c r="B100" i="2"/>
  <c r="B99" i="2"/>
  <c r="AP6" i="4" s="1"/>
  <c r="B98" i="2"/>
  <c r="AO6" i="4" s="1"/>
  <c r="B97" i="2"/>
  <c r="AN6" i="4" s="1"/>
  <c r="B96" i="2"/>
  <c r="AM6" i="4" s="1"/>
  <c r="B95" i="2"/>
  <c r="AL6" i="4" s="1"/>
  <c r="B94" i="2"/>
  <c r="AK6" i="4" s="1"/>
  <c r="B93" i="2"/>
  <c r="AJ6" i="4" s="1"/>
  <c r="B92" i="2"/>
  <c r="B91" i="2"/>
  <c r="AH6" i="4" s="1"/>
  <c r="B90" i="2"/>
  <c r="AG6" i="4" s="1"/>
  <c r="B89" i="2"/>
  <c r="AF6" i="4" s="1"/>
  <c r="B88" i="2"/>
  <c r="AE6" i="4" s="1"/>
  <c r="B87" i="2"/>
  <c r="AD6" i="4" s="1"/>
  <c r="B86" i="2"/>
  <c r="AC6" i="4" s="1"/>
  <c r="B85" i="2"/>
  <c r="AB6" i="4" s="1"/>
  <c r="B84" i="2"/>
  <c r="B83" i="2"/>
  <c r="Z6" i="4" s="1"/>
  <c r="B82" i="2"/>
  <c r="Y6" i="4" s="1"/>
  <c r="B81" i="2"/>
  <c r="X6" i="4" s="1"/>
  <c r="B80" i="2"/>
  <c r="W6" i="4" s="1"/>
  <c r="B79" i="2"/>
  <c r="V6" i="4" s="1"/>
  <c r="B78" i="2"/>
  <c r="U6" i="4" s="1"/>
  <c r="B77" i="2"/>
  <c r="T6" i="4" s="1"/>
  <c r="B76" i="2"/>
  <c r="B75" i="2"/>
  <c r="R6" i="4" s="1"/>
  <c r="B74" i="2"/>
  <c r="Q6" i="4" s="1"/>
  <c r="B73" i="2"/>
  <c r="P6" i="4" s="1"/>
  <c r="B72" i="2"/>
  <c r="O6" i="4" s="1"/>
  <c r="B71" i="2"/>
  <c r="N6" i="4" s="1"/>
  <c r="B70" i="2"/>
  <c r="M6" i="4" s="1"/>
  <c r="B69" i="2"/>
  <c r="L6" i="4" s="1"/>
  <c r="B68" i="2"/>
  <c r="B67" i="2"/>
  <c r="J6" i="4" s="1"/>
  <c r="B66" i="2"/>
  <c r="I6" i="4" s="1"/>
  <c r="B65" i="2"/>
  <c r="H6" i="4" s="1"/>
  <c r="B64" i="2"/>
  <c r="G6" i="4" s="1"/>
  <c r="B63" i="2"/>
  <c r="F6" i="4" s="1"/>
  <c r="B62" i="2"/>
  <c r="E6" i="4" s="1"/>
  <c r="B61" i="2"/>
  <c r="D6" i="4" s="1"/>
  <c r="B60" i="2"/>
  <c r="A59" i="2"/>
  <c r="B56" i="2"/>
  <c r="K51" i="2"/>
  <c r="J51" i="2"/>
  <c r="I51" i="2"/>
  <c r="H51" i="2"/>
  <c r="G51" i="2"/>
  <c r="F51" i="2"/>
  <c r="E51" i="2"/>
  <c r="D51" i="2"/>
  <c r="C51" i="2"/>
  <c r="B51" i="2"/>
  <c r="A31" i="2"/>
  <c r="B29" i="2"/>
  <c r="B22" i="2"/>
  <c r="F19" i="2"/>
  <c r="E17" i="2"/>
  <c r="E11" i="2"/>
  <c r="D11" i="2"/>
  <c r="C11" i="2"/>
  <c r="A1" i="2"/>
  <c r="F64" i="1"/>
  <c r="K15" i="1"/>
  <c r="K14" i="1"/>
  <c r="K13" i="1"/>
  <c r="K11" i="1"/>
  <c r="K9" i="1"/>
  <c r="B2" i="1"/>
  <c r="B1" i="1"/>
  <c r="Y239" i="4" l="1"/>
  <c r="Y227" i="4"/>
  <c r="Y215" i="4"/>
  <c r="Y202" i="4"/>
  <c r="Y189" i="4"/>
  <c r="Y176" i="4"/>
  <c r="Y150" i="4"/>
  <c r="Y163" i="4"/>
  <c r="Y137" i="4"/>
  <c r="Y124" i="4"/>
  <c r="Y111" i="4"/>
  <c r="Y85" i="4"/>
  <c r="Y98" i="4"/>
  <c r="Y72" i="4"/>
  <c r="Y59" i="4"/>
  <c r="Y45" i="4"/>
  <c r="Y7" i="4"/>
  <c r="R44" i="1" s="1"/>
  <c r="Y27" i="4"/>
  <c r="R239" i="4"/>
  <c r="R227" i="4"/>
  <c r="R202" i="4"/>
  <c r="R215" i="4"/>
  <c r="R189" i="4"/>
  <c r="R176" i="4"/>
  <c r="R163" i="4"/>
  <c r="R150" i="4"/>
  <c r="R137" i="4"/>
  <c r="R124" i="4"/>
  <c r="R111" i="4"/>
  <c r="R98" i="4"/>
  <c r="R85" i="4"/>
  <c r="R59" i="4"/>
  <c r="R72" i="4"/>
  <c r="R45" i="4"/>
  <c r="R7" i="4"/>
  <c r="R37" i="1" s="1"/>
  <c r="R27" i="4"/>
  <c r="AH239" i="4"/>
  <c r="AH227" i="4"/>
  <c r="AH202" i="4"/>
  <c r="AH215" i="4"/>
  <c r="AH189" i="4"/>
  <c r="AH176" i="4"/>
  <c r="AH163" i="4"/>
  <c r="AH150" i="4"/>
  <c r="AH137" i="4"/>
  <c r="AH124" i="4"/>
  <c r="AH111" i="4"/>
  <c r="AH85" i="4"/>
  <c r="AH98" i="4"/>
  <c r="AH72" i="4"/>
  <c r="AH59" i="4"/>
  <c r="AH45" i="4"/>
  <c r="AH27" i="4"/>
  <c r="AH7" i="4"/>
  <c r="R53" i="1" s="1"/>
  <c r="AP227" i="4"/>
  <c r="AP239" i="4"/>
  <c r="AP202" i="4"/>
  <c r="AP215" i="4"/>
  <c r="AP189" i="4"/>
  <c r="AP176" i="4"/>
  <c r="AP163" i="4"/>
  <c r="AP137" i="4"/>
  <c r="AP124" i="4"/>
  <c r="AP150" i="4"/>
  <c r="AP111" i="4"/>
  <c r="AP98" i="4"/>
  <c r="AP85" i="4"/>
  <c r="AP72" i="4"/>
  <c r="AP59" i="4"/>
  <c r="AP45" i="4"/>
  <c r="AP7" i="4"/>
  <c r="R61" i="1" s="1"/>
  <c r="AP27" i="4"/>
  <c r="AX239" i="4"/>
  <c r="AX227" i="4"/>
  <c r="AX215" i="4"/>
  <c r="AX202" i="4"/>
  <c r="AX189" i="4"/>
  <c r="AX176" i="4"/>
  <c r="AX163" i="4"/>
  <c r="AX137" i="4"/>
  <c r="AX124" i="4"/>
  <c r="AX150" i="4"/>
  <c r="AX111" i="4"/>
  <c r="AX85" i="4"/>
  <c r="AX98" i="4"/>
  <c r="AX59" i="4"/>
  <c r="AX72" i="4"/>
  <c r="AX45" i="4"/>
  <c r="AX7" i="4"/>
  <c r="R69" i="1" s="1"/>
  <c r="AX27" i="4"/>
  <c r="BF239" i="4"/>
  <c r="BF227" i="4"/>
  <c r="BF202" i="4"/>
  <c r="BF189" i="4"/>
  <c r="BF215" i="4"/>
  <c r="BF176" i="4"/>
  <c r="BF163" i="4"/>
  <c r="BF137" i="4"/>
  <c r="BF150" i="4"/>
  <c r="BF124" i="4"/>
  <c r="BF111" i="4"/>
  <c r="BF85" i="4"/>
  <c r="BF72" i="4"/>
  <c r="BF98" i="4"/>
  <c r="BF59" i="4"/>
  <c r="BF45" i="4"/>
  <c r="BF27" i="4"/>
  <c r="BF7" i="4"/>
  <c r="R77" i="1" s="1"/>
  <c r="AG239" i="4"/>
  <c r="AG215" i="4"/>
  <c r="AG227" i="4"/>
  <c r="AG202" i="4"/>
  <c r="AG189" i="4"/>
  <c r="AG176" i="4"/>
  <c r="AG150" i="4"/>
  <c r="AG163" i="4"/>
  <c r="AG137" i="4"/>
  <c r="AG124" i="4"/>
  <c r="AG111" i="4"/>
  <c r="AG85" i="4"/>
  <c r="AG72" i="4"/>
  <c r="AG98" i="4"/>
  <c r="AG59" i="4"/>
  <c r="AG45" i="4"/>
  <c r="AG27" i="4"/>
  <c r="AG7" i="4"/>
  <c r="R52" i="1" s="1"/>
  <c r="Z239" i="4"/>
  <c r="Z227" i="4"/>
  <c r="Z202" i="4"/>
  <c r="Z215" i="4"/>
  <c r="Z189" i="4"/>
  <c r="Z176" i="4"/>
  <c r="Z163" i="4"/>
  <c r="Z150" i="4"/>
  <c r="Z137" i="4"/>
  <c r="Z124" i="4"/>
  <c r="Z111" i="4"/>
  <c r="Z85" i="4"/>
  <c r="Z98" i="4"/>
  <c r="Z72" i="4"/>
  <c r="Z59" i="4"/>
  <c r="Z45" i="4"/>
  <c r="Z7" i="4"/>
  <c r="R45" i="1" s="1"/>
  <c r="Z27" i="4"/>
  <c r="Z253" i="4" s="1"/>
  <c r="Q227" i="4"/>
  <c r="Q239" i="4"/>
  <c r="Q215" i="4"/>
  <c r="Q202" i="4"/>
  <c r="Q189" i="4"/>
  <c r="Q176" i="4"/>
  <c r="Q163" i="4"/>
  <c r="Q150" i="4"/>
  <c r="Q137" i="4"/>
  <c r="Q111" i="4"/>
  <c r="Q124" i="4"/>
  <c r="Q98" i="4"/>
  <c r="Q85" i="4"/>
  <c r="Q59" i="4"/>
  <c r="Q45" i="4"/>
  <c r="Q72" i="4"/>
  <c r="Q7" i="4"/>
  <c r="R36" i="1" s="1"/>
  <c r="Q27" i="4"/>
  <c r="AB239" i="4"/>
  <c r="AB227" i="4"/>
  <c r="AB215" i="4"/>
  <c r="AB202" i="4"/>
  <c r="AB176" i="4"/>
  <c r="AB189" i="4"/>
  <c r="AB163" i="4"/>
  <c r="AB150" i="4"/>
  <c r="AB137" i="4"/>
  <c r="AB124" i="4"/>
  <c r="AB111" i="4"/>
  <c r="AB98" i="4"/>
  <c r="AB72" i="4"/>
  <c r="AB59" i="4"/>
  <c r="AB85" i="4"/>
  <c r="AB45" i="4"/>
  <c r="AB7" i="4"/>
  <c r="AB27" i="4"/>
  <c r="AZ239" i="4"/>
  <c r="AZ227" i="4"/>
  <c r="AZ215" i="4"/>
  <c r="AZ202" i="4"/>
  <c r="AZ189" i="4"/>
  <c r="AZ176" i="4"/>
  <c r="AZ150" i="4"/>
  <c r="AZ137" i="4"/>
  <c r="AZ124" i="4"/>
  <c r="AZ111" i="4"/>
  <c r="AZ98" i="4"/>
  <c r="AZ163" i="4"/>
  <c r="AZ72" i="4"/>
  <c r="AZ59" i="4"/>
  <c r="AZ85" i="4"/>
  <c r="AZ45" i="4"/>
  <c r="AZ7" i="4"/>
  <c r="AZ27" i="4"/>
  <c r="AZ253" i="4" s="1"/>
  <c r="AW239" i="4"/>
  <c r="AW227" i="4"/>
  <c r="AW215" i="4"/>
  <c r="AW202" i="4"/>
  <c r="AW189" i="4"/>
  <c r="AW176" i="4"/>
  <c r="AW163" i="4"/>
  <c r="AW150" i="4"/>
  <c r="AW137" i="4"/>
  <c r="AW111" i="4"/>
  <c r="AW124" i="4"/>
  <c r="AW85" i="4"/>
  <c r="AW98" i="4"/>
  <c r="AW59" i="4"/>
  <c r="AW45" i="4"/>
  <c r="AW72" i="4"/>
  <c r="AW27" i="4"/>
  <c r="AW7" i="4"/>
  <c r="R68" i="1" s="1"/>
  <c r="T239" i="4"/>
  <c r="T227" i="4"/>
  <c r="T215" i="4"/>
  <c r="T202" i="4"/>
  <c r="T176" i="4"/>
  <c r="T189" i="4"/>
  <c r="T150" i="4"/>
  <c r="T163" i="4"/>
  <c r="T137" i="4"/>
  <c r="T124" i="4"/>
  <c r="T111" i="4"/>
  <c r="T98" i="4"/>
  <c r="T72" i="4"/>
  <c r="T85" i="4"/>
  <c r="T59" i="4"/>
  <c r="T45" i="4"/>
  <c r="T7" i="4"/>
  <c r="R39" i="1" s="1"/>
  <c r="T27" i="4"/>
  <c r="AJ239" i="4"/>
  <c r="AJ227" i="4"/>
  <c r="AJ215" i="4"/>
  <c r="AJ202" i="4"/>
  <c r="AJ176" i="4"/>
  <c r="AJ189" i="4"/>
  <c r="AJ163" i="4"/>
  <c r="AJ150" i="4"/>
  <c r="AJ137" i="4"/>
  <c r="AJ124" i="4"/>
  <c r="AJ111" i="4"/>
  <c r="AJ98" i="4"/>
  <c r="AJ72" i="4"/>
  <c r="AJ59" i="4"/>
  <c r="AJ85" i="4"/>
  <c r="AJ45" i="4"/>
  <c r="AJ27" i="4"/>
  <c r="AJ7" i="4"/>
  <c r="R55" i="1" s="1"/>
  <c r="AR239" i="4"/>
  <c r="AR215" i="4"/>
  <c r="AR227" i="4"/>
  <c r="AR202" i="4"/>
  <c r="AR189" i="4"/>
  <c r="AR176" i="4"/>
  <c r="AR163" i="4"/>
  <c r="AR150" i="4"/>
  <c r="AR137" i="4"/>
  <c r="AR124" i="4"/>
  <c r="AR111" i="4"/>
  <c r="AR98" i="4"/>
  <c r="AR72" i="4"/>
  <c r="AR59" i="4"/>
  <c r="AR85" i="4"/>
  <c r="AR45" i="4"/>
  <c r="AR7" i="4"/>
  <c r="R63" i="1" s="1"/>
  <c r="AR27" i="4"/>
  <c r="BH239" i="4"/>
  <c r="BH227" i="4"/>
  <c r="BH215" i="4"/>
  <c r="BH202" i="4"/>
  <c r="BH189" i="4"/>
  <c r="BH176" i="4"/>
  <c r="BH163" i="4"/>
  <c r="BH150" i="4"/>
  <c r="BH137" i="4"/>
  <c r="BH124" i="4"/>
  <c r="BH111" i="4"/>
  <c r="BH98" i="4"/>
  <c r="BH72" i="4"/>
  <c r="BH85" i="4"/>
  <c r="BH59" i="4"/>
  <c r="BH45" i="4"/>
  <c r="BH7" i="4"/>
  <c r="R79" i="1" s="1"/>
  <c r="BH27" i="4"/>
  <c r="E227" i="4"/>
  <c r="E239" i="4"/>
  <c r="E215" i="4"/>
  <c r="E202" i="4"/>
  <c r="E189" i="4"/>
  <c r="E176" i="4"/>
  <c r="E163" i="4"/>
  <c r="E150" i="4"/>
  <c r="E137" i="4"/>
  <c r="E124" i="4"/>
  <c r="E111" i="4"/>
  <c r="E98" i="4"/>
  <c r="E85" i="4"/>
  <c r="E72" i="4"/>
  <c r="E59" i="4"/>
  <c r="E27" i="4"/>
  <c r="E45" i="4"/>
  <c r="E7" i="4"/>
  <c r="R24" i="1" s="1"/>
  <c r="M239" i="4"/>
  <c r="M227" i="4"/>
  <c r="M215" i="4"/>
  <c r="M202" i="4"/>
  <c r="M189" i="4"/>
  <c r="M176" i="4"/>
  <c r="M163" i="4"/>
  <c r="M150" i="4"/>
  <c r="M137" i="4"/>
  <c r="M124" i="4"/>
  <c r="M111" i="4"/>
  <c r="M98" i="4"/>
  <c r="M85" i="4"/>
  <c r="M59" i="4"/>
  <c r="M72" i="4"/>
  <c r="M27" i="4"/>
  <c r="M45" i="4"/>
  <c r="M7" i="4"/>
  <c r="R32" i="1" s="1"/>
  <c r="U239" i="4"/>
  <c r="U227" i="4"/>
  <c r="U215" i="4"/>
  <c r="U202" i="4"/>
  <c r="U189" i="4"/>
  <c r="U176" i="4"/>
  <c r="U163" i="4"/>
  <c r="U150" i="4"/>
  <c r="U137" i="4"/>
  <c r="U124" i="4"/>
  <c r="U111" i="4"/>
  <c r="U98" i="4"/>
  <c r="U85" i="4"/>
  <c r="U59" i="4"/>
  <c r="U72" i="4"/>
  <c r="U27" i="4"/>
  <c r="U45" i="4"/>
  <c r="U7" i="4"/>
  <c r="R40" i="1" s="1"/>
  <c r="AC227" i="4"/>
  <c r="AC239" i="4"/>
  <c r="AC215" i="4"/>
  <c r="AC202" i="4"/>
  <c r="AC189" i="4"/>
  <c r="AC176" i="4"/>
  <c r="AC163" i="4"/>
  <c r="AC150" i="4"/>
  <c r="AC137" i="4"/>
  <c r="AC124" i="4"/>
  <c r="AC111" i="4"/>
  <c r="AC98" i="4"/>
  <c r="AC85" i="4"/>
  <c r="AC59" i="4"/>
  <c r="AC72" i="4"/>
  <c r="AC27" i="4"/>
  <c r="AC45" i="4"/>
  <c r="AC7" i="4"/>
  <c r="R48" i="1" s="1"/>
  <c r="AK239" i="4"/>
  <c r="AK227" i="4"/>
  <c r="AK215" i="4"/>
  <c r="AK202" i="4"/>
  <c r="AK189" i="4"/>
  <c r="AK176" i="4"/>
  <c r="AK163" i="4"/>
  <c r="AK150" i="4"/>
  <c r="AK137" i="4"/>
  <c r="AK124" i="4"/>
  <c r="AK111" i="4"/>
  <c r="AK98" i="4"/>
  <c r="AK85" i="4"/>
  <c r="AK72" i="4"/>
  <c r="AK59" i="4"/>
  <c r="AK27" i="4"/>
  <c r="AK45" i="4"/>
  <c r="AK7" i="4"/>
  <c r="R56" i="1" s="1"/>
  <c r="AS239" i="4"/>
  <c r="AS215" i="4"/>
  <c r="AS227" i="4"/>
  <c r="AS202" i="4"/>
  <c r="AS189" i="4"/>
  <c r="AS176" i="4"/>
  <c r="AS163" i="4"/>
  <c r="AS150" i="4"/>
  <c r="AS137" i="4"/>
  <c r="AS124" i="4"/>
  <c r="AS111" i="4"/>
  <c r="AS85" i="4"/>
  <c r="AS59" i="4"/>
  <c r="AS72" i="4"/>
  <c r="AS98" i="4"/>
  <c r="AS27" i="4"/>
  <c r="AS253" i="4" s="1"/>
  <c r="AS45" i="4"/>
  <c r="AS7" i="4"/>
  <c r="R64" i="1" s="1"/>
  <c r="BA239" i="4"/>
  <c r="BA227" i="4"/>
  <c r="BA215" i="4"/>
  <c r="BA202" i="4"/>
  <c r="BA189" i="4"/>
  <c r="BA176" i="4"/>
  <c r="BA163" i="4"/>
  <c r="BA150" i="4"/>
  <c r="BA137" i="4"/>
  <c r="BA124" i="4"/>
  <c r="BA111" i="4"/>
  <c r="BA98" i="4"/>
  <c r="BA85" i="4"/>
  <c r="BA59" i="4"/>
  <c r="BA72" i="4"/>
  <c r="BA27" i="4"/>
  <c r="BA45" i="4"/>
  <c r="BA7" i="4"/>
  <c r="R72" i="1" s="1"/>
  <c r="BI227" i="4"/>
  <c r="BI239" i="4"/>
  <c r="BI215" i="4"/>
  <c r="BI202" i="4"/>
  <c r="BI189" i="4"/>
  <c r="BI176" i="4"/>
  <c r="BI163" i="4"/>
  <c r="BI150" i="4"/>
  <c r="BI137" i="4"/>
  <c r="BI124" i="4"/>
  <c r="BI111" i="4"/>
  <c r="BI98" i="4"/>
  <c r="BI85" i="4"/>
  <c r="BI59" i="4"/>
  <c r="BI27" i="4"/>
  <c r="BI45" i="4"/>
  <c r="BI72" i="4"/>
  <c r="BI7" i="4"/>
  <c r="R80" i="1" s="1"/>
  <c r="I239" i="4"/>
  <c r="I215" i="4"/>
  <c r="I202" i="4"/>
  <c r="I227" i="4"/>
  <c r="I189" i="4"/>
  <c r="I176" i="4"/>
  <c r="I150" i="4"/>
  <c r="I163" i="4"/>
  <c r="I137" i="4"/>
  <c r="I124" i="4"/>
  <c r="I111" i="4"/>
  <c r="I85" i="4"/>
  <c r="I98" i="4"/>
  <c r="I72" i="4"/>
  <c r="I59" i="4"/>
  <c r="I45" i="4"/>
  <c r="I27" i="4"/>
  <c r="I253" i="4" s="1"/>
  <c r="I7" i="4"/>
  <c r="R28" i="1" s="1"/>
  <c r="J239" i="4"/>
  <c r="J227" i="4"/>
  <c r="J202" i="4"/>
  <c r="J215" i="4"/>
  <c r="J189" i="4"/>
  <c r="J176" i="4"/>
  <c r="J163" i="4"/>
  <c r="J150" i="4"/>
  <c r="J137" i="4"/>
  <c r="J124" i="4"/>
  <c r="J111" i="4"/>
  <c r="J85" i="4"/>
  <c r="J98" i="4"/>
  <c r="J72" i="4"/>
  <c r="J59" i="4"/>
  <c r="J45" i="4"/>
  <c r="J27" i="4"/>
  <c r="J7" i="4"/>
  <c r="R29" i="1" s="1"/>
  <c r="N239" i="4"/>
  <c r="N227" i="4"/>
  <c r="N215" i="4"/>
  <c r="N202" i="4"/>
  <c r="N189" i="4"/>
  <c r="N176" i="4"/>
  <c r="N163" i="4"/>
  <c r="N150" i="4"/>
  <c r="N137" i="4"/>
  <c r="N124" i="4"/>
  <c r="N111" i="4"/>
  <c r="N98" i="4"/>
  <c r="N85" i="4"/>
  <c r="N59" i="4"/>
  <c r="N72" i="4"/>
  <c r="N45" i="4"/>
  <c r="N27" i="4"/>
  <c r="N7" i="4"/>
  <c r="R33" i="1" s="1"/>
  <c r="AL239" i="4"/>
  <c r="AL227" i="4"/>
  <c r="AL215" i="4"/>
  <c r="AL202" i="4"/>
  <c r="AL189" i="4"/>
  <c r="AL176" i="4"/>
  <c r="AL163" i="4"/>
  <c r="AL150" i="4"/>
  <c r="AL137" i="4"/>
  <c r="AL124" i="4"/>
  <c r="AL111" i="4"/>
  <c r="AL98" i="4"/>
  <c r="AL85" i="4"/>
  <c r="AL72" i="4"/>
  <c r="AL59" i="4"/>
  <c r="AL45" i="4"/>
  <c r="AL7" i="4"/>
  <c r="R57" i="1" s="1"/>
  <c r="AL27" i="4"/>
  <c r="BB239" i="4"/>
  <c r="BB227" i="4"/>
  <c r="BB215" i="4"/>
  <c r="BB202" i="4"/>
  <c r="BB189" i="4"/>
  <c r="BB176" i="4"/>
  <c r="BB163" i="4"/>
  <c r="BB150" i="4"/>
  <c r="BB137" i="4"/>
  <c r="BB124" i="4"/>
  <c r="BB111" i="4"/>
  <c r="BB98" i="4"/>
  <c r="BB85" i="4"/>
  <c r="BB59" i="4"/>
  <c r="BB72" i="4"/>
  <c r="BB45" i="4"/>
  <c r="BB27" i="4"/>
  <c r="BB7" i="4"/>
  <c r="R73" i="1" s="1"/>
  <c r="BJ239" i="4"/>
  <c r="BJ227" i="4"/>
  <c r="BJ215" i="4"/>
  <c r="BJ202" i="4"/>
  <c r="BJ189" i="4"/>
  <c r="BJ176" i="4"/>
  <c r="BJ163" i="4"/>
  <c r="BJ150" i="4"/>
  <c r="BJ137" i="4"/>
  <c r="BJ124" i="4"/>
  <c r="BJ111" i="4"/>
  <c r="BJ98" i="4"/>
  <c r="BJ85" i="4"/>
  <c r="BJ59" i="4"/>
  <c r="BJ72" i="4"/>
  <c r="BJ45" i="4"/>
  <c r="BJ27" i="4"/>
  <c r="BJ7" i="4"/>
  <c r="R81" i="1" s="1"/>
  <c r="AO239" i="4"/>
  <c r="AO227" i="4"/>
  <c r="AO215" i="4"/>
  <c r="AO202" i="4"/>
  <c r="AO189" i="4"/>
  <c r="AO176" i="4"/>
  <c r="AO150" i="4"/>
  <c r="AO163" i="4"/>
  <c r="AO137" i="4"/>
  <c r="AO124" i="4"/>
  <c r="AO111" i="4"/>
  <c r="AO98" i="4"/>
  <c r="AO85" i="4"/>
  <c r="AO72" i="4"/>
  <c r="AO59" i="4"/>
  <c r="AO45" i="4"/>
  <c r="AO7" i="4"/>
  <c r="R60" i="1" s="1"/>
  <c r="AO27" i="4"/>
  <c r="D239" i="4"/>
  <c r="D227" i="4"/>
  <c r="D215" i="4"/>
  <c r="D202" i="4"/>
  <c r="D189" i="4"/>
  <c r="D176" i="4"/>
  <c r="D163" i="4"/>
  <c r="D150" i="4"/>
  <c r="D137" i="4"/>
  <c r="D124" i="4"/>
  <c r="D111" i="4"/>
  <c r="D98" i="4"/>
  <c r="D72" i="4"/>
  <c r="D85" i="4"/>
  <c r="D59" i="4"/>
  <c r="D45" i="4"/>
  <c r="D7" i="4"/>
  <c r="B6" i="4"/>
  <c r="D27" i="4"/>
  <c r="F239" i="4"/>
  <c r="F227" i="4"/>
  <c r="F215" i="4"/>
  <c r="F202" i="4"/>
  <c r="F189" i="4"/>
  <c r="F176" i="4"/>
  <c r="F163" i="4"/>
  <c r="F150" i="4"/>
  <c r="F137" i="4"/>
  <c r="F124" i="4"/>
  <c r="F111" i="4"/>
  <c r="F98" i="4"/>
  <c r="F85" i="4"/>
  <c r="F72" i="4"/>
  <c r="F59" i="4"/>
  <c r="F45" i="4"/>
  <c r="F27" i="4"/>
  <c r="F7" i="4"/>
  <c r="R25" i="1" s="1"/>
  <c r="AD239" i="4"/>
  <c r="AD227" i="4"/>
  <c r="AD215" i="4"/>
  <c r="AD202" i="4"/>
  <c r="AD189" i="4"/>
  <c r="AD176" i="4"/>
  <c r="AD163" i="4"/>
  <c r="AD150" i="4"/>
  <c r="AD137" i="4"/>
  <c r="AD124" i="4"/>
  <c r="AD111" i="4"/>
  <c r="AD98" i="4"/>
  <c r="AD85" i="4"/>
  <c r="AD59" i="4"/>
  <c r="AD72" i="4"/>
  <c r="AD45" i="4"/>
  <c r="AD27" i="4"/>
  <c r="AD7" i="4"/>
  <c r="R49" i="1" s="1"/>
  <c r="G239" i="4"/>
  <c r="G227" i="4"/>
  <c r="G215" i="4"/>
  <c r="G202" i="4"/>
  <c r="G189" i="4"/>
  <c r="G176" i="4"/>
  <c r="G163" i="4"/>
  <c r="G150" i="4"/>
  <c r="G124" i="4"/>
  <c r="G98" i="4"/>
  <c r="G137" i="4"/>
  <c r="G85" i="4"/>
  <c r="G111" i="4"/>
  <c r="G59" i="4"/>
  <c r="G27" i="4"/>
  <c r="G45" i="4"/>
  <c r="G72" i="4"/>
  <c r="G7" i="4"/>
  <c r="R26" i="1" s="1"/>
  <c r="W239" i="4"/>
  <c r="W227" i="4"/>
  <c r="W215" i="4"/>
  <c r="W202" i="4"/>
  <c r="W189" i="4"/>
  <c r="W176" i="4"/>
  <c r="W163" i="4"/>
  <c r="W150" i="4"/>
  <c r="W124" i="4"/>
  <c r="W98" i="4"/>
  <c r="W137" i="4"/>
  <c r="W111" i="4"/>
  <c r="W85" i="4"/>
  <c r="W59" i="4"/>
  <c r="W72" i="4"/>
  <c r="W27" i="4"/>
  <c r="W45" i="4"/>
  <c r="W7" i="4"/>
  <c r="R42" i="1" s="1"/>
  <c r="AE239" i="4"/>
  <c r="AE227" i="4"/>
  <c r="AE215" i="4"/>
  <c r="AE202" i="4"/>
  <c r="AE189" i="4"/>
  <c r="AE176" i="4"/>
  <c r="AE163" i="4"/>
  <c r="AE150" i="4"/>
  <c r="AE124" i="4"/>
  <c r="AE98" i="4"/>
  <c r="AE137" i="4"/>
  <c r="AE111" i="4"/>
  <c r="AE85" i="4"/>
  <c r="AE59" i="4"/>
  <c r="AE72" i="4"/>
  <c r="AE27" i="4"/>
  <c r="AE253" i="4" s="1"/>
  <c r="AE45" i="4"/>
  <c r="AE7" i="4"/>
  <c r="R50" i="1" s="1"/>
  <c r="AU239" i="4"/>
  <c r="AU227" i="4"/>
  <c r="AU215" i="4"/>
  <c r="AU202" i="4"/>
  <c r="AU189" i="4"/>
  <c r="AU176" i="4"/>
  <c r="AU163" i="4"/>
  <c r="AU150" i="4"/>
  <c r="AU124" i="4"/>
  <c r="AU98" i="4"/>
  <c r="AU137" i="4"/>
  <c r="AU111" i="4"/>
  <c r="AU85" i="4"/>
  <c r="AU59" i="4"/>
  <c r="AU72" i="4"/>
  <c r="AU27" i="4"/>
  <c r="AU45" i="4"/>
  <c r="AU7" i="4"/>
  <c r="R66" i="1" s="1"/>
  <c r="BC227" i="4"/>
  <c r="BC239" i="4"/>
  <c r="BC215" i="4"/>
  <c r="BC202" i="4"/>
  <c r="BC189" i="4"/>
  <c r="BC176" i="4"/>
  <c r="BC163" i="4"/>
  <c r="BC150" i="4"/>
  <c r="BC124" i="4"/>
  <c r="BC98" i="4"/>
  <c r="BC137" i="4"/>
  <c r="BC85" i="4"/>
  <c r="BC59" i="4"/>
  <c r="BC111" i="4"/>
  <c r="BC72" i="4"/>
  <c r="BC27" i="4"/>
  <c r="BC45" i="4"/>
  <c r="BC7" i="4"/>
  <c r="R74" i="1" s="1"/>
  <c r="BK239" i="4"/>
  <c r="BK227" i="4"/>
  <c r="BK215" i="4"/>
  <c r="BK202" i="4"/>
  <c r="BK189" i="4"/>
  <c r="BK176" i="4"/>
  <c r="BK163" i="4"/>
  <c r="BK150" i="4"/>
  <c r="BK124" i="4"/>
  <c r="BK137" i="4"/>
  <c r="BK98" i="4"/>
  <c r="BK85" i="4"/>
  <c r="BK111" i="4"/>
  <c r="BK59" i="4"/>
  <c r="BK72" i="4"/>
  <c r="BK27" i="4"/>
  <c r="BK45" i="4"/>
  <c r="BK7" i="4"/>
  <c r="R82" i="1" s="1"/>
  <c r="BE239" i="4"/>
  <c r="BE215" i="4"/>
  <c r="BE227" i="4"/>
  <c r="BE202" i="4"/>
  <c r="BE189" i="4"/>
  <c r="BE176" i="4"/>
  <c r="BE150" i="4"/>
  <c r="BE163" i="4"/>
  <c r="BE137" i="4"/>
  <c r="BE124" i="4"/>
  <c r="BE111" i="4"/>
  <c r="BE98" i="4"/>
  <c r="BE85" i="4"/>
  <c r="BE72" i="4"/>
  <c r="BE59" i="4"/>
  <c r="BE45" i="4"/>
  <c r="BE27" i="4"/>
  <c r="BE253" i="4" s="1"/>
  <c r="BE7" i="4"/>
  <c r="R76" i="1" s="1"/>
  <c r="L239" i="4"/>
  <c r="L227" i="4"/>
  <c r="L215" i="4"/>
  <c r="L202" i="4"/>
  <c r="L176" i="4"/>
  <c r="L189" i="4"/>
  <c r="L163" i="4"/>
  <c r="L150" i="4"/>
  <c r="L137" i="4"/>
  <c r="L124" i="4"/>
  <c r="L111" i="4"/>
  <c r="L98" i="4"/>
  <c r="L72" i="4"/>
  <c r="L85" i="4"/>
  <c r="L59" i="4"/>
  <c r="L45" i="4"/>
  <c r="L7" i="4"/>
  <c r="R31" i="1" s="1"/>
  <c r="L27" i="4"/>
  <c r="V239" i="4"/>
  <c r="V227" i="4"/>
  <c r="V215" i="4"/>
  <c r="V202" i="4"/>
  <c r="V189" i="4"/>
  <c r="V176" i="4"/>
  <c r="V163" i="4"/>
  <c r="V150" i="4"/>
  <c r="V137" i="4"/>
  <c r="V124" i="4"/>
  <c r="V111" i="4"/>
  <c r="V98" i="4"/>
  <c r="V85" i="4"/>
  <c r="V59" i="4"/>
  <c r="V72" i="4"/>
  <c r="V45" i="4"/>
  <c r="V27" i="4"/>
  <c r="V7" i="4"/>
  <c r="R41" i="1" s="1"/>
  <c r="AT239" i="4"/>
  <c r="AT227" i="4"/>
  <c r="AT215" i="4"/>
  <c r="AT202" i="4"/>
  <c r="AT189" i="4"/>
  <c r="AT176" i="4"/>
  <c r="AT163" i="4"/>
  <c r="AT150" i="4"/>
  <c r="AT137" i="4"/>
  <c r="AT124" i="4"/>
  <c r="AT111" i="4"/>
  <c r="AT98" i="4"/>
  <c r="AT85" i="4"/>
  <c r="AT59" i="4"/>
  <c r="AT72" i="4"/>
  <c r="AT45" i="4"/>
  <c r="AT27" i="4"/>
  <c r="AT7" i="4"/>
  <c r="R65" i="1" s="1"/>
  <c r="O239" i="4"/>
  <c r="O227" i="4"/>
  <c r="O215" i="4"/>
  <c r="O202" i="4"/>
  <c r="O189" i="4"/>
  <c r="O176" i="4"/>
  <c r="O163" i="4"/>
  <c r="O150" i="4"/>
  <c r="O124" i="4"/>
  <c r="O98" i="4"/>
  <c r="O137" i="4"/>
  <c r="O111" i="4"/>
  <c r="O85" i="4"/>
  <c r="O59" i="4"/>
  <c r="O72" i="4"/>
  <c r="O27" i="4"/>
  <c r="O253" i="4" s="1"/>
  <c r="O45" i="4"/>
  <c r="O7" i="4"/>
  <c r="R34" i="1" s="1"/>
  <c r="AM239" i="4"/>
  <c r="AM227" i="4"/>
  <c r="AM215" i="4"/>
  <c r="AM202" i="4"/>
  <c r="AM189" i="4"/>
  <c r="AM176" i="4"/>
  <c r="AM163" i="4"/>
  <c r="AM150" i="4"/>
  <c r="AM124" i="4"/>
  <c r="AM98" i="4"/>
  <c r="AM137" i="4"/>
  <c r="AM111" i="4"/>
  <c r="AM85" i="4"/>
  <c r="AM59" i="4"/>
  <c r="AM72" i="4"/>
  <c r="AM27" i="4"/>
  <c r="AM45" i="4"/>
  <c r="AM7" i="4"/>
  <c r="R58" i="1" s="1"/>
  <c r="H239" i="4"/>
  <c r="H227" i="4"/>
  <c r="H215" i="4"/>
  <c r="H202" i="4"/>
  <c r="H189" i="4"/>
  <c r="H163" i="4"/>
  <c r="H150" i="4"/>
  <c r="H176" i="4"/>
  <c r="H137" i="4"/>
  <c r="H124" i="4"/>
  <c r="H111" i="4"/>
  <c r="H85" i="4"/>
  <c r="H98" i="4"/>
  <c r="H72" i="4"/>
  <c r="H45" i="4"/>
  <c r="H59" i="4"/>
  <c r="H27" i="4"/>
  <c r="H7" i="4"/>
  <c r="R27" i="1" s="1"/>
  <c r="P239" i="4"/>
  <c r="P215" i="4"/>
  <c r="P227" i="4"/>
  <c r="P202" i="4"/>
  <c r="P189" i="4"/>
  <c r="P163" i="4"/>
  <c r="P150" i="4"/>
  <c r="P176" i="4"/>
  <c r="P137" i="4"/>
  <c r="P111" i="4"/>
  <c r="P98" i="4"/>
  <c r="P124" i="4"/>
  <c r="P85" i="4"/>
  <c r="P72" i="4"/>
  <c r="P45" i="4"/>
  <c r="P59" i="4"/>
  <c r="P7" i="4"/>
  <c r="P27" i="4"/>
  <c r="P253" i="4" s="1"/>
  <c r="X239" i="4"/>
  <c r="X227" i="4"/>
  <c r="X215" i="4"/>
  <c r="X202" i="4"/>
  <c r="X189" i="4"/>
  <c r="X163" i="4"/>
  <c r="X150" i="4"/>
  <c r="X176" i="4"/>
  <c r="X137" i="4"/>
  <c r="X124" i="4"/>
  <c r="X111" i="4"/>
  <c r="X85" i="4"/>
  <c r="X98" i="4"/>
  <c r="X72" i="4"/>
  <c r="X45" i="4"/>
  <c r="X59" i="4"/>
  <c r="X27" i="4"/>
  <c r="X7" i="4"/>
  <c r="R43" i="1" s="1"/>
  <c r="AF239" i="4"/>
  <c r="AF227" i="4"/>
  <c r="AF215" i="4"/>
  <c r="AF202" i="4"/>
  <c r="AF189" i="4"/>
  <c r="AF163" i="4"/>
  <c r="AF150" i="4"/>
  <c r="AF176" i="4"/>
  <c r="AF137" i="4"/>
  <c r="AF124" i="4"/>
  <c r="AF111" i="4"/>
  <c r="AF98" i="4"/>
  <c r="AF85" i="4"/>
  <c r="AF72" i="4"/>
  <c r="AF45" i="4"/>
  <c r="AF59" i="4"/>
  <c r="AF27" i="4"/>
  <c r="AF7" i="4"/>
  <c r="R51" i="1" s="1"/>
  <c r="AN239" i="4"/>
  <c r="AN227" i="4"/>
  <c r="AN215" i="4"/>
  <c r="AN202" i="4"/>
  <c r="AN189" i="4"/>
  <c r="AN163" i="4"/>
  <c r="AN150" i="4"/>
  <c r="AN176" i="4"/>
  <c r="AN137" i="4"/>
  <c r="AN124" i="4"/>
  <c r="AN111" i="4"/>
  <c r="AN98" i="4"/>
  <c r="AN85" i="4"/>
  <c r="AN72" i="4"/>
  <c r="AN45" i="4"/>
  <c r="AN59" i="4"/>
  <c r="AN7" i="4"/>
  <c r="AN27" i="4"/>
  <c r="AV239" i="4"/>
  <c r="AV227" i="4"/>
  <c r="AV215" i="4"/>
  <c r="AV202" i="4"/>
  <c r="AV189" i="4"/>
  <c r="AV163" i="4"/>
  <c r="AV176" i="4"/>
  <c r="AV150" i="4"/>
  <c r="AV137" i="4"/>
  <c r="AV111" i="4"/>
  <c r="AV124" i="4"/>
  <c r="AV85" i="4"/>
  <c r="AV98" i="4"/>
  <c r="AV72" i="4"/>
  <c r="AV45" i="4"/>
  <c r="AV59" i="4"/>
  <c r="AV27" i="4"/>
  <c r="AV7" i="4"/>
  <c r="R67" i="1" s="1"/>
  <c r="BD239" i="4"/>
  <c r="BD227" i="4"/>
  <c r="BD215" i="4"/>
  <c r="BD202" i="4"/>
  <c r="BD189" i="4"/>
  <c r="BD163" i="4"/>
  <c r="BD176" i="4"/>
  <c r="BD150" i="4"/>
  <c r="BD137" i="4"/>
  <c r="BD124" i="4"/>
  <c r="BD111" i="4"/>
  <c r="BD98" i="4"/>
  <c r="BD85" i="4"/>
  <c r="BD72" i="4"/>
  <c r="BD59" i="4"/>
  <c r="BD45" i="4"/>
  <c r="BD27" i="4"/>
  <c r="BD7" i="4"/>
  <c r="R75" i="1" s="1"/>
  <c r="S239" i="4"/>
  <c r="S227" i="4"/>
  <c r="S215" i="4"/>
  <c r="S189" i="4"/>
  <c r="S202" i="4"/>
  <c r="S176" i="4"/>
  <c r="S163" i="4"/>
  <c r="S150" i="4"/>
  <c r="S137" i="4"/>
  <c r="S124" i="4"/>
  <c r="S111" i="4"/>
  <c r="S85" i="4"/>
  <c r="S72" i="4"/>
  <c r="S59" i="4"/>
  <c r="S27" i="4"/>
  <c r="S253" i="4" s="1"/>
  <c r="S45" i="4"/>
  <c r="S98" i="4"/>
  <c r="AA239" i="4"/>
  <c r="AA227" i="4"/>
  <c r="AA215" i="4"/>
  <c r="AA189" i="4"/>
  <c r="AA202" i="4"/>
  <c r="AA176" i="4"/>
  <c r="AA163" i="4"/>
  <c r="AA150" i="4"/>
  <c r="AA137" i="4"/>
  <c r="AA124" i="4"/>
  <c r="AA111" i="4"/>
  <c r="AA85" i="4"/>
  <c r="AA72" i="4"/>
  <c r="AA98" i="4"/>
  <c r="AA59" i="4"/>
  <c r="AA27" i="4"/>
  <c r="AA45" i="4"/>
  <c r="AI239" i="4"/>
  <c r="AI227" i="4"/>
  <c r="AI215" i="4"/>
  <c r="AI189" i="4"/>
  <c r="AI202" i="4"/>
  <c r="AI176" i="4"/>
  <c r="AI163" i="4"/>
  <c r="AI150" i="4"/>
  <c r="AI137" i="4"/>
  <c r="AI124" i="4"/>
  <c r="AI111" i="4"/>
  <c r="AI85" i="4"/>
  <c r="AI72" i="4"/>
  <c r="AI98" i="4"/>
  <c r="AI59" i="4"/>
  <c r="AI27" i="4"/>
  <c r="AI45" i="4"/>
  <c r="BG239" i="4"/>
  <c r="BG227" i="4"/>
  <c r="BG215" i="4"/>
  <c r="BG189" i="4"/>
  <c r="BG176" i="4"/>
  <c r="BG163" i="4"/>
  <c r="BG202" i="4"/>
  <c r="BG150" i="4"/>
  <c r="BG137" i="4"/>
  <c r="BG124" i="4"/>
  <c r="BG111" i="4"/>
  <c r="BG85" i="4"/>
  <c r="BG72" i="4"/>
  <c r="BG98" i="4"/>
  <c r="BG59" i="4"/>
  <c r="BG27" i="4"/>
  <c r="BG45" i="4"/>
  <c r="B10" i="4"/>
  <c r="C10" i="4" s="1"/>
  <c r="B40" i="4"/>
  <c r="C40" i="4" s="1"/>
  <c r="B22" i="4"/>
  <c r="C22" i="4" s="1"/>
  <c r="G234" i="4"/>
  <c r="AS246" i="4"/>
  <c r="U246" i="4"/>
  <c r="AC246" i="4"/>
  <c r="E246" i="4"/>
  <c r="BA246" i="4"/>
  <c r="BI234" i="4"/>
  <c r="F234" i="4"/>
  <c r="AV246" i="4"/>
  <c r="AS234" i="4"/>
  <c r="M234" i="4"/>
  <c r="AQ246" i="4"/>
  <c r="BI246" i="4"/>
  <c r="AC234" i="4"/>
  <c r="I234" i="4"/>
  <c r="BG246" i="4"/>
  <c r="AF246" i="4"/>
  <c r="H234" i="4"/>
  <c r="AZ246" i="4"/>
  <c r="E234" i="4"/>
  <c r="AY246" i="4"/>
  <c r="AK234" i="4"/>
  <c r="U234" i="4"/>
  <c r="D234" i="4"/>
  <c r="AJ246" i="4"/>
  <c r="AY234" i="4"/>
  <c r="AV234" i="4"/>
  <c r="Y246" i="4"/>
  <c r="K234" i="4"/>
  <c r="J209" i="4"/>
  <c r="BA234" i="4"/>
  <c r="J234" i="4"/>
  <c r="I209" i="4"/>
  <c r="AR234" i="4"/>
  <c r="BI222" i="4"/>
  <c r="G209" i="4"/>
  <c r="M246" i="4"/>
  <c r="AJ234" i="4"/>
  <c r="M222" i="4"/>
  <c r="AA234" i="4"/>
  <c r="E209" i="4"/>
  <c r="Z234" i="4"/>
  <c r="D209" i="4"/>
  <c r="F209" i="4"/>
  <c r="D196" i="4"/>
  <c r="AV222" i="4"/>
  <c r="E222" i="4"/>
  <c r="BJ234" i="4"/>
  <c r="T234" i="4"/>
  <c r="AD209" i="4"/>
  <c r="E183" i="4"/>
  <c r="H209" i="4"/>
  <c r="D183" i="4"/>
  <c r="J196" i="4"/>
  <c r="I196" i="4"/>
  <c r="J183" i="4"/>
  <c r="H196" i="4"/>
  <c r="G196" i="4"/>
  <c r="F196" i="4"/>
  <c r="I170" i="4"/>
  <c r="H170" i="4"/>
  <c r="AX196" i="4"/>
  <c r="I183" i="4"/>
  <c r="G170" i="4"/>
  <c r="AO196" i="4"/>
  <c r="H183" i="4"/>
  <c r="F170" i="4"/>
  <c r="AY209" i="4"/>
  <c r="AF196" i="4"/>
  <c r="G183" i="4"/>
  <c r="E170" i="4"/>
  <c r="W196" i="4"/>
  <c r="F183" i="4"/>
  <c r="D170" i="4"/>
  <c r="J157" i="4"/>
  <c r="Z170" i="4"/>
  <c r="I157" i="4"/>
  <c r="J144" i="4"/>
  <c r="H157" i="4"/>
  <c r="I144" i="4"/>
  <c r="J170" i="4"/>
  <c r="G157" i="4"/>
  <c r="H144" i="4"/>
  <c r="F157" i="4"/>
  <c r="G144" i="4"/>
  <c r="BB183" i="4"/>
  <c r="BF170" i="4"/>
  <c r="E157" i="4"/>
  <c r="F144" i="4"/>
  <c r="AN183" i="4"/>
  <c r="AX170" i="4"/>
  <c r="D157" i="4"/>
  <c r="E144" i="4"/>
  <c r="AA157" i="4"/>
  <c r="H131" i="4"/>
  <c r="I118" i="4"/>
  <c r="S157" i="4"/>
  <c r="G131" i="4"/>
  <c r="H118" i="4"/>
  <c r="K157" i="4"/>
  <c r="D144" i="4"/>
  <c r="F131" i="4"/>
  <c r="G118" i="4"/>
  <c r="AA183" i="4"/>
  <c r="E131" i="4"/>
  <c r="F118" i="4"/>
  <c r="BG157" i="4"/>
  <c r="AZ144" i="4"/>
  <c r="D131" i="4"/>
  <c r="AP170" i="4"/>
  <c r="AY157" i="4"/>
  <c r="E196" i="4"/>
  <c r="AQ157" i="4"/>
  <c r="AJ144" i="4"/>
  <c r="J131" i="4"/>
  <c r="AO131" i="4"/>
  <c r="H105" i="4"/>
  <c r="AG131" i="4"/>
  <c r="G105" i="4"/>
  <c r="AB144" i="4"/>
  <c r="Y131" i="4"/>
  <c r="BH118" i="4"/>
  <c r="AR118" i="4"/>
  <c r="AB118" i="4"/>
  <c r="L118" i="4"/>
  <c r="F105" i="4"/>
  <c r="Q131" i="4"/>
  <c r="E105" i="4"/>
  <c r="I131" i="4"/>
  <c r="J118" i="4"/>
  <c r="D105" i="4"/>
  <c r="E118" i="4"/>
  <c r="BE131" i="4"/>
  <c r="D118" i="4"/>
  <c r="J105" i="4"/>
  <c r="AY118" i="4"/>
  <c r="D92" i="4"/>
  <c r="E79" i="4"/>
  <c r="AI118" i="4"/>
  <c r="D79" i="4"/>
  <c r="S118" i="4"/>
  <c r="I105" i="4"/>
  <c r="J92" i="4"/>
  <c r="AI157" i="4"/>
  <c r="I92" i="4"/>
  <c r="J79" i="4"/>
  <c r="AW131" i="4"/>
  <c r="H92" i="4"/>
  <c r="I79" i="4"/>
  <c r="G92" i="4"/>
  <c r="H79" i="4"/>
  <c r="F92" i="4"/>
  <c r="G79" i="4"/>
  <c r="M92" i="4"/>
  <c r="H66" i="4"/>
  <c r="E92" i="4"/>
  <c r="G66" i="4"/>
  <c r="BI92" i="4"/>
  <c r="F66" i="4"/>
  <c r="BA92" i="4"/>
  <c r="E66" i="4"/>
  <c r="AG105" i="4"/>
  <c r="AS92" i="4"/>
  <c r="D66" i="4"/>
  <c r="AK92" i="4"/>
  <c r="AC92" i="4"/>
  <c r="J66" i="4"/>
  <c r="U92" i="4"/>
  <c r="BE66" i="4"/>
  <c r="AW66" i="4"/>
  <c r="F79" i="4"/>
  <c r="AO66" i="4"/>
  <c r="AG66" i="4"/>
  <c r="Y66" i="4"/>
  <c r="Q66" i="4"/>
  <c r="I66" i="4"/>
  <c r="B41" i="4"/>
  <c r="C41" i="4" s="1"/>
  <c r="K239" i="4"/>
  <c r="K227" i="4"/>
  <c r="K215" i="4"/>
  <c r="K189" i="4"/>
  <c r="K202" i="4"/>
  <c r="K176" i="4"/>
  <c r="K163" i="4"/>
  <c r="K150" i="4"/>
  <c r="K137" i="4"/>
  <c r="K124" i="4"/>
  <c r="K111" i="4"/>
  <c r="K85" i="4"/>
  <c r="K72" i="4"/>
  <c r="K98" i="4"/>
  <c r="K59" i="4"/>
  <c r="K27" i="4"/>
  <c r="K45" i="4"/>
  <c r="AY239" i="4"/>
  <c r="AY227" i="4"/>
  <c r="AY215" i="4"/>
  <c r="AY202" i="4"/>
  <c r="AY189" i="4"/>
  <c r="AY176" i="4"/>
  <c r="AY163" i="4"/>
  <c r="AY150" i="4"/>
  <c r="AY137" i="4"/>
  <c r="AY124" i="4"/>
  <c r="AY111" i="4"/>
  <c r="AY85" i="4"/>
  <c r="AY72" i="4"/>
  <c r="AY98" i="4"/>
  <c r="AY59" i="4"/>
  <c r="AY27" i="4"/>
  <c r="AY45" i="4"/>
  <c r="K7" i="4"/>
  <c r="R30" i="1" s="1"/>
  <c r="S7" i="4"/>
  <c r="R38" i="1" s="1"/>
  <c r="AA7" i="4"/>
  <c r="R46" i="1" s="1"/>
  <c r="AI7" i="4"/>
  <c r="R54" i="1" s="1"/>
  <c r="AY7" i="4"/>
  <c r="R70" i="1" s="1"/>
  <c r="BG7" i="4"/>
  <c r="R78" i="1" s="1"/>
  <c r="AQ239" i="4"/>
  <c r="AQ227" i="4"/>
  <c r="AQ215" i="4"/>
  <c r="AQ189" i="4"/>
  <c r="AQ202" i="4"/>
  <c r="AQ176" i="4"/>
  <c r="AQ163" i="4"/>
  <c r="AQ150" i="4"/>
  <c r="AQ137" i="4"/>
  <c r="AQ124" i="4"/>
  <c r="AQ111" i="4"/>
  <c r="AQ98" i="4"/>
  <c r="AQ85" i="4"/>
  <c r="AQ72" i="4"/>
  <c r="AQ59" i="4"/>
  <c r="AQ27" i="4"/>
  <c r="AQ45" i="4"/>
  <c r="L92" i="4"/>
  <c r="T92" i="4"/>
  <c r="AB92" i="4"/>
  <c r="AJ92" i="4"/>
  <c r="AR92" i="4"/>
  <c r="AZ92" i="4"/>
  <c r="BH92" i="4"/>
  <c r="AD79" i="4"/>
  <c r="AT79" i="4"/>
  <c r="BB79" i="4"/>
  <c r="BJ79" i="4"/>
  <c r="M66" i="4"/>
  <c r="U66" i="4"/>
  <c r="AC66" i="4"/>
  <c r="AK66" i="4"/>
  <c r="AS66" i="4"/>
  <c r="BA66" i="4"/>
  <c r="BI66" i="4"/>
  <c r="N66" i="4"/>
  <c r="V66" i="4"/>
  <c r="AD66" i="4"/>
  <c r="AL66" i="4"/>
  <c r="AT66" i="4"/>
  <c r="BB66" i="4"/>
  <c r="BJ66" i="4"/>
  <c r="O66" i="4"/>
  <c r="W66" i="4"/>
  <c r="AE66" i="4"/>
  <c r="AM66" i="4"/>
  <c r="AU66" i="4"/>
  <c r="BC66" i="4"/>
  <c r="BK66" i="4"/>
  <c r="P66" i="4"/>
  <c r="X66" i="4"/>
  <c r="AF66" i="4"/>
  <c r="AN66" i="4"/>
  <c r="AV66" i="4"/>
  <c r="BD66" i="4"/>
  <c r="L79" i="4"/>
  <c r="B71" i="4"/>
  <c r="C71" i="4" s="1"/>
  <c r="T79" i="4"/>
  <c r="AB79" i="4"/>
  <c r="AJ79" i="4"/>
  <c r="AR79" i="4"/>
  <c r="AZ79" i="4"/>
  <c r="BH79" i="4"/>
  <c r="R66" i="4"/>
  <c r="Z66" i="4"/>
  <c r="AH66" i="4"/>
  <c r="AP66" i="4"/>
  <c r="AX66" i="4"/>
  <c r="BF66" i="4"/>
  <c r="M79" i="4"/>
  <c r="U79" i="4"/>
  <c r="AC79" i="4"/>
  <c r="AK79" i="4"/>
  <c r="AS79" i="4"/>
  <c r="BA79" i="4"/>
  <c r="BI79" i="4"/>
  <c r="N79" i="4"/>
  <c r="B58" i="4"/>
  <c r="C58" i="4" s="1"/>
  <c r="K66" i="4"/>
  <c r="S66" i="4"/>
  <c r="AA66" i="4"/>
  <c r="AI66" i="4"/>
  <c r="AQ66" i="4"/>
  <c r="AY66" i="4"/>
  <c r="BG66" i="4"/>
  <c r="V79" i="4"/>
  <c r="L105" i="4"/>
  <c r="B97" i="4"/>
  <c r="C97" i="4" s="1"/>
  <c r="T105" i="4"/>
  <c r="AB105" i="4"/>
  <c r="AJ105" i="4"/>
  <c r="AR105" i="4"/>
  <c r="AZ105" i="4"/>
  <c r="BH105" i="4"/>
  <c r="L66" i="4"/>
  <c r="T66" i="4"/>
  <c r="AB66" i="4"/>
  <c r="AJ66" i="4"/>
  <c r="AR66" i="4"/>
  <c r="AZ66" i="4"/>
  <c r="BH66" i="4"/>
  <c r="O79" i="4"/>
  <c r="W79" i="4"/>
  <c r="AE79" i="4"/>
  <c r="AM79" i="4"/>
  <c r="AU79" i="4"/>
  <c r="BC79" i="4"/>
  <c r="BK79" i="4"/>
  <c r="D65" i="4"/>
  <c r="E63" i="4" s="1"/>
  <c r="P79" i="4"/>
  <c r="X79" i="4"/>
  <c r="AF79" i="4"/>
  <c r="AN79" i="4"/>
  <c r="AV79" i="4"/>
  <c r="BD79" i="4"/>
  <c r="AL79" i="4"/>
  <c r="Q79" i="4"/>
  <c r="Y79" i="4"/>
  <c r="AG79" i="4"/>
  <c r="AO79" i="4"/>
  <c r="AW79" i="4"/>
  <c r="BE79" i="4"/>
  <c r="Q92" i="4"/>
  <c r="Y92" i="4"/>
  <c r="AG92" i="4"/>
  <c r="AO92" i="4"/>
  <c r="AW92" i="4"/>
  <c r="BE92" i="4"/>
  <c r="D91" i="4"/>
  <c r="E89" i="4" s="1"/>
  <c r="R79" i="4"/>
  <c r="Z79" i="4"/>
  <c r="AH79" i="4"/>
  <c r="AP79" i="4"/>
  <c r="AX79" i="4"/>
  <c r="BF79" i="4"/>
  <c r="D78" i="4"/>
  <c r="E76" i="4" s="1"/>
  <c r="D77" i="4"/>
  <c r="R92" i="4"/>
  <c r="Z92" i="4"/>
  <c r="AH92" i="4"/>
  <c r="AP92" i="4"/>
  <c r="AX92" i="4"/>
  <c r="BF92" i="4"/>
  <c r="K79" i="4"/>
  <c r="S79" i="4"/>
  <c r="AA79" i="4"/>
  <c r="AI79" i="4"/>
  <c r="AQ79" i="4"/>
  <c r="AY79" i="4"/>
  <c r="BG79" i="4"/>
  <c r="K92" i="4"/>
  <c r="B84" i="4"/>
  <c r="C84" i="4" s="1"/>
  <c r="S92" i="4"/>
  <c r="AA92" i="4"/>
  <c r="AI92" i="4"/>
  <c r="AQ92" i="4"/>
  <c r="AY92" i="4"/>
  <c r="BG92" i="4"/>
  <c r="AO105" i="4"/>
  <c r="AW105" i="4"/>
  <c r="BE105" i="4"/>
  <c r="N92" i="4"/>
  <c r="V92" i="4"/>
  <c r="AD92" i="4"/>
  <c r="AL92" i="4"/>
  <c r="AT92" i="4"/>
  <c r="BB92" i="4"/>
  <c r="BJ92" i="4"/>
  <c r="M105" i="4"/>
  <c r="U105" i="4"/>
  <c r="AC105" i="4"/>
  <c r="AK105" i="4"/>
  <c r="AS105" i="4"/>
  <c r="BA105" i="4"/>
  <c r="BI105" i="4"/>
  <c r="O92" i="4"/>
  <c r="W92" i="4"/>
  <c r="AE92" i="4"/>
  <c r="AM92" i="4"/>
  <c r="AU92" i="4"/>
  <c r="BC92" i="4"/>
  <c r="BK92" i="4"/>
  <c r="N105" i="4"/>
  <c r="V105" i="4"/>
  <c r="AD105" i="4"/>
  <c r="AL105" i="4"/>
  <c r="AT105" i="4"/>
  <c r="BB105" i="4"/>
  <c r="BJ105" i="4"/>
  <c r="E117" i="4"/>
  <c r="F115" i="4" s="1"/>
  <c r="E116" i="4"/>
  <c r="P92" i="4"/>
  <c r="X92" i="4"/>
  <c r="AF92" i="4"/>
  <c r="AN92" i="4"/>
  <c r="AV92" i="4"/>
  <c r="BD92" i="4"/>
  <c r="O105" i="4"/>
  <c r="W105" i="4"/>
  <c r="AE105" i="4"/>
  <c r="AM105" i="4"/>
  <c r="AU105" i="4"/>
  <c r="BC105" i="4"/>
  <c r="BK105" i="4"/>
  <c r="R118" i="4"/>
  <c r="AH118" i="4"/>
  <c r="AX118" i="4"/>
  <c r="P105" i="4"/>
  <c r="X105" i="4"/>
  <c r="AF105" i="4"/>
  <c r="AN105" i="4"/>
  <c r="AV105" i="4"/>
  <c r="BD105" i="4"/>
  <c r="T118" i="4"/>
  <c r="AJ118" i="4"/>
  <c r="AZ118" i="4"/>
  <c r="R105" i="4"/>
  <c r="Z105" i="4"/>
  <c r="AH105" i="4"/>
  <c r="AP105" i="4"/>
  <c r="AX105" i="4"/>
  <c r="BF105" i="4"/>
  <c r="Q105" i="4"/>
  <c r="M118" i="4"/>
  <c r="U118" i="4"/>
  <c r="AC118" i="4"/>
  <c r="AK118" i="4"/>
  <c r="AS118" i="4"/>
  <c r="BA118" i="4"/>
  <c r="BI118" i="4"/>
  <c r="Y105" i="4"/>
  <c r="N118" i="4"/>
  <c r="V118" i="4"/>
  <c r="AD118" i="4"/>
  <c r="AL118" i="4"/>
  <c r="AT118" i="4"/>
  <c r="BB118" i="4"/>
  <c r="BJ118" i="4"/>
  <c r="O118" i="4"/>
  <c r="W118" i="4"/>
  <c r="AE118" i="4"/>
  <c r="AM118" i="4"/>
  <c r="AU118" i="4"/>
  <c r="BC118" i="4"/>
  <c r="BK118" i="4"/>
  <c r="K105" i="4"/>
  <c r="S105" i="4"/>
  <c r="AA105" i="4"/>
  <c r="AI105" i="4"/>
  <c r="AQ105" i="4"/>
  <c r="AY105" i="4"/>
  <c r="BG105" i="4"/>
  <c r="P118" i="4"/>
  <c r="X118" i="4"/>
  <c r="AF118" i="4"/>
  <c r="AN118" i="4"/>
  <c r="AV118" i="4"/>
  <c r="BD118" i="4"/>
  <c r="M131" i="4"/>
  <c r="U131" i="4"/>
  <c r="AC131" i="4"/>
  <c r="AK131" i="4"/>
  <c r="AS131" i="4"/>
  <c r="BA131" i="4"/>
  <c r="BI131" i="4"/>
  <c r="B110" i="4"/>
  <c r="C110" i="4" s="1"/>
  <c r="Q118" i="4"/>
  <c r="Y118" i="4"/>
  <c r="AG118" i="4"/>
  <c r="AO118" i="4"/>
  <c r="AW118" i="4"/>
  <c r="BE118" i="4"/>
  <c r="Z118" i="4"/>
  <c r="AP118" i="4"/>
  <c r="BF118" i="4"/>
  <c r="N131" i="4"/>
  <c r="V131" i="4"/>
  <c r="AD131" i="4"/>
  <c r="AL131" i="4"/>
  <c r="AT131" i="4"/>
  <c r="BB131" i="4"/>
  <c r="BJ131" i="4"/>
  <c r="D129" i="4"/>
  <c r="D130" i="4" s="1"/>
  <c r="E128" i="4" s="1"/>
  <c r="AR144" i="4"/>
  <c r="BH144" i="4"/>
  <c r="D104" i="4"/>
  <c r="E102" i="4" s="1"/>
  <c r="K118" i="4"/>
  <c r="AA118" i="4"/>
  <c r="AQ118" i="4"/>
  <c r="BG118" i="4"/>
  <c r="O131" i="4"/>
  <c r="B123" i="4"/>
  <c r="C123" i="4" s="1"/>
  <c r="W131" i="4"/>
  <c r="AE131" i="4"/>
  <c r="AM131" i="4"/>
  <c r="AU131" i="4"/>
  <c r="BC131" i="4"/>
  <c r="BK131" i="4"/>
  <c r="P131" i="4"/>
  <c r="X131" i="4"/>
  <c r="AF131" i="4"/>
  <c r="AN131" i="4"/>
  <c r="AV131" i="4"/>
  <c r="BD131" i="4"/>
  <c r="N144" i="4"/>
  <c r="B136" i="4"/>
  <c r="C136" i="4" s="1"/>
  <c r="V144" i="4"/>
  <c r="AD144" i="4"/>
  <c r="AL144" i="4"/>
  <c r="AT144" i="4"/>
  <c r="BB144" i="4"/>
  <c r="BJ144" i="4"/>
  <c r="R131" i="4"/>
  <c r="Z131" i="4"/>
  <c r="AH131" i="4"/>
  <c r="AP131" i="4"/>
  <c r="AX131" i="4"/>
  <c r="BF131" i="4"/>
  <c r="O144" i="4"/>
  <c r="W144" i="4"/>
  <c r="AE144" i="4"/>
  <c r="AM144" i="4"/>
  <c r="AU144" i="4"/>
  <c r="BC144" i="4"/>
  <c r="BK144" i="4"/>
  <c r="O157" i="4"/>
  <c r="W157" i="4"/>
  <c r="AE157" i="4"/>
  <c r="AM157" i="4"/>
  <c r="AU157" i="4"/>
  <c r="BC157" i="4"/>
  <c r="BK157" i="4"/>
  <c r="K131" i="4"/>
  <c r="S131" i="4"/>
  <c r="AA131" i="4"/>
  <c r="AI131" i="4"/>
  <c r="AQ131" i="4"/>
  <c r="AY131" i="4"/>
  <c r="BG131" i="4"/>
  <c r="P144" i="4"/>
  <c r="X144" i="4"/>
  <c r="AF144" i="4"/>
  <c r="AN144" i="4"/>
  <c r="AV144" i="4"/>
  <c r="BD144" i="4"/>
  <c r="P157" i="4"/>
  <c r="X157" i="4"/>
  <c r="AF157" i="4"/>
  <c r="AN157" i="4"/>
  <c r="AV157" i="4"/>
  <c r="BD157" i="4"/>
  <c r="X183" i="4"/>
  <c r="AF183" i="4"/>
  <c r="AV183" i="4"/>
  <c r="L131" i="4"/>
  <c r="T131" i="4"/>
  <c r="AB131" i="4"/>
  <c r="AJ131" i="4"/>
  <c r="AR131" i="4"/>
  <c r="AZ131" i="4"/>
  <c r="BH131" i="4"/>
  <c r="Q144" i="4"/>
  <c r="Y144" i="4"/>
  <c r="AG144" i="4"/>
  <c r="AO144" i="4"/>
  <c r="AW144" i="4"/>
  <c r="BE144" i="4"/>
  <c r="Q157" i="4"/>
  <c r="Y157" i="4"/>
  <c r="AG157" i="4"/>
  <c r="AO157" i="4"/>
  <c r="AW157" i="4"/>
  <c r="BE157" i="4"/>
  <c r="M170" i="4"/>
  <c r="U170" i="4"/>
  <c r="R144" i="4"/>
  <c r="Z144" i="4"/>
  <c r="AH144" i="4"/>
  <c r="AP144" i="4"/>
  <c r="AX144" i="4"/>
  <c r="BF144" i="4"/>
  <c r="B149" i="4"/>
  <c r="C149" i="4" s="1"/>
  <c r="R157" i="4"/>
  <c r="Z157" i="4"/>
  <c r="AH157" i="4"/>
  <c r="AP157" i="4"/>
  <c r="AX157" i="4"/>
  <c r="BF157" i="4"/>
  <c r="K144" i="4"/>
  <c r="S144" i="4"/>
  <c r="AA144" i="4"/>
  <c r="AI144" i="4"/>
  <c r="AQ144" i="4"/>
  <c r="AY144" i="4"/>
  <c r="BG144" i="4"/>
  <c r="K196" i="4"/>
  <c r="B188" i="4"/>
  <c r="C188" i="4" s="1"/>
  <c r="S196" i="4"/>
  <c r="AA196" i="4"/>
  <c r="AI196" i="4"/>
  <c r="AQ196" i="4"/>
  <c r="AY196" i="4"/>
  <c r="BG196" i="4"/>
  <c r="D142" i="4"/>
  <c r="D143" i="4" s="1"/>
  <c r="E141" i="4" s="1"/>
  <c r="L144" i="4"/>
  <c r="M144" i="4"/>
  <c r="U144" i="4"/>
  <c r="AC144" i="4"/>
  <c r="AK144" i="4"/>
  <c r="AS144" i="4"/>
  <c r="BA144" i="4"/>
  <c r="BI144" i="4"/>
  <c r="T144" i="4"/>
  <c r="M157" i="4"/>
  <c r="U157" i="4"/>
  <c r="AC157" i="4"/>
  <c r="AK157" i="4"/>
  <c r="AS157" i="4"/>
  <c r="BA157" i="4"/>
  <c r="BI157" i="4"/>
  <c r="L157" i="4"/>
  <c r="T157" i="4"/>
  <c r="AB157" i="4"/>
  <c r="AJ157" i="4"/>
  <c r="AR157" i="4"/>
  <c r="AZ157" i="4"/>
  <c r="BH157" i="4"/>
  <c r="N170" i="4"/>
  <c r="V170" i="4"/>
  <c r="AD170" i="4"/>
  <c r="AL170" i="4"/>
  <c r="AT170" i="4"/>
  <c r="BB170" i="4"/>
  <c r="BJ170" i="4"/>
  <c r="Y183" i="4"/>
  <c r="AG183" i="4"/>
  <c r="AW183" i="4"/>
  <c r="D156" i="4"/>
  <c r="E154" i="4" s="1"/>
  <c r="O170" i="4"/>
  <c r="W170" i="4"/>
  <c r="AE170" i="4"/>
  <c r="AM170" i="4"/>
  <c r="AU170" i="4"/>
  <c r="BC170" i="4"/>
  <c r="BK170" i="4"/>
  <c r="N157" i="4"/>
  <c r="V157" i="4"/>
  <c r="AD157" i="4"/>
  <c r="AL157" i="4"/>
  <c r="AT157" i="4"/>
  <c r="BB157" i="4"/>
  <c r="BJ157" i="4"/>
  <c r="P170" i="4"/>
  <c r="X170" i="4"/>
  <c r="AF170" i="4"/>
  <c r="AN170" i="4"/>
  <c r="AV170" i="4"/>
  <c r="BD170" i="4"/>
  <c r="D168" i="4"/>
  <c r="D169" i="4"/>
  <c r="E167" i="4" s="1"/>
  <c r="K183" i="4"/>
  <c r="AY183" i="4"/>
  <c r="N196" i="4"/>
  <c r="Q170" i="4"/>
  <c r="Y170" i="4"/>
  <c r="AG170" i="4"/>
  <c r="AO170" i="4"/>
  <c r="AW170" i="4"/>
  <c r="BE170" i="4"/>
  <c r="R170" i="4"/>
  <c r="K170" i="4"/>
  <c r="S170" i="4"/>
  <c r="AA170" i="4"/>
  <c r="AI170" i="4"/>
  <c r="AQ170" i="4"/>
  <c r="AY170" i="4"/>
  <c r="BG170" i="4"/>
  <c r="N183" i="4"/>
  <c r="V183" i="4"/>
  <c r="AD183" i="4"/>
  <c r="AL183" i="4"/>
  <c r="AT183" i="4"/>
  <c r="BJ183" i="4"/>
  <c r="E194" i="4"/>
  <c r="E195" i="4" s="1"/>
  <c r="F193" i="4" s="1"/>
  <c r="L170" i="4"/>
  <c r="AH170" i="4"/>
  <c r="W183" i="4"/>
  <c r="AE183" i="4"/>
  <c r="AM183" i="4"/>
  <c r="AU183" i="4"/>
  <c r="BC183" i="4"/>
  <c r="BK183" i="4"/>
  <c r="O183" i="4"/>
  <c r="P209" i="4"/>
  <c r="X209" i="4"/>
  <c r="AF209" i="4"/>
  <c r="AN209" i="4"/>
  <c r="AV209" i="4"/>
  <c r="BD209" i="4"/>
  <c r="D182" i="4"/>
  <c r="E180" i="4" s="1"/>
  <c r="P183" i="4"/>
  <c r="AO183" i="4"/>
  <c r="T170" i="4"/>
  <c r="AB170" i="4"/>
  <c r="AJ170" i="4"/>
  <c r="AR170" i="4"/>
  <c r="AZ170" i="4"/>
  <c r="BH170" i="4"/>
  <c r="B175" i="4"/>
  <c r="C175" i="4" s="1"/>
  <c r="Q183" i="4"/>
  <c r="AQ183" i="4"/>
  <c r="BD183" i="4"/>
  <c r="M196" i="4"/>
  <c r="U196" i="4"/>
  <c r="AC196" i="4"/>
  <c r="AK196" i="4"/>
  <c r="BI196" i="4"/>
  <c r="AC170" i="4"/>
  <c r="AK170" i="4"/>
  <c r="AS170" i="4"/>
  <c r="BA170" i="4"/>
  <c r="BI170" i="4"/>
  <c r="R183" i="4"/>
  <c r="Z183" i="4"/>
  <c r="AH183" i="4"/>
  <c r="AP183" i="4"/>
  <c r="AX183" i="4"/>
  <c r="BF183" i="4"/>
  <c r="S183" i="4"/>
  <c r="BE183" i="4"/>
  <c r="V196" i="4"/>
  <c r="AD196" i="4"/>
  <c r="AL196" i="4"/>
  <c r="AT196" i="4"/>
  <c r="BB196" i="4"/>
  <c r="BG183" i="4"/>
  <c r="AE196" i="4"/>
  <c r="AM196" i="4"/>
  <c r="L183" i="4"/>
  <c r="T183" i="4"/>
  <c r="AB183" i="4"/>
  <c r="AJ183" i="4"/>
  <c r="AR183" i="4"/>
  <c r="AZ183" i="4"/>
  <c r="BH183" i="4"/>
  <c r="AI183" i="4"/>
  <c r="AN196" i="4"/>
  <c r="M183" i="4"/>
  <c r="U183" i="4"/>
  <c r="AC183" i="4"/>
  <c r="AK183" i="4"/>
  <c r="AS183" i="4"/>
  <c r="BA183" i="4"/>
  <c r="BI183" i="4"/>
  <c r="Q196" i="4"/>
  <c r="Y196" i="4"/>
  <c r="AG196" i="4"/>
  <c r="AW196" i="4"/>
  <c r="BE196" i="4"/>
  <c r="BJ196" i="4"/>
  <c r="D181" i="4"/>
  <c r="R196" i="4"/>
  <c r="Z196" i="4"/>
  <c r="AH196" i="4"/>
  <c r="AP196" i="4"/>
  <c r="L196" i="4"/>
  <c r="T196" i="4"/>
  <c r="AB196" i="4"/>
  <c r="AJ196" i="4"/>
  <c r="AR196" i="4"/>
  <c r="AZ196" i="4"/>
  <c r="BH196" i="4"/>
  <c r="O196" i="4"/>
  <c r="X196" i="4"/>
  <c r="E207" i="4"/>
  <c r="E208" i="4" s="1"/>
  <c r="F206" i="4" s="1"/>
  <c r="P196" i="4"/>
  <c r="BA196" i="4"/>
  <c r="R209" i="4"/>
  <c r="Z209" i="4"/>
  <c r="AH209" i="4"/>
  <c r="AP209" i="4"/>
  <c r="AX209" i="4"/>
  <c r="BF209" i="4"/>
  <c r="AS196" i="4"/>
  <c r="S209" i="4"/>
  <c r="AA209" i="4"/>
  <c r="AQ209" i="4"/>
  <c r="BG209" i="4"/>
  <c r="P222" i="4"/>
  <c r="X222" i="4"/>
  <c r="AF222" i="4"/>
  <c r="BD222" i="4"/>
  <c r="BK196" i="4"/>
  <c r="BC196" i="4"/>
  <c r="AU196" i="4"/>
  <c r="BD196" i="4"/>
  <c r="AV196" i="4"/>
  <c r="AT209" i="4"/>
  <c r="BF196" i="4"/>
  <c r="K209" i="4"/>
  <c r="BB209" i="4"/>
  <c r="I222" i="4"/>
  <c r="Q222" i="4"/>
  <c r="AG222" i="4"/>
  <c r="AO222" i="4"/>
  <c r="AW222" i="4"/>
  <c r="BE222" i="4"/>
  <c r="L209" i="4"/>
  <c r="T209" i="4"/>
  <c r="AB209" i="4"/>
  <c r="AJ209" i="4"/>
  <c r="AR209" i="4"/>
  <c r="AZ209" i="4"/>
  <c r="BH209" i="4"/>
  <c r="N209" i="4"/>
  <c r="AI209" i="4"/>
  <c r="M209" i="4"/>
  <c r="U209" i="4"/>
  <c r="AC209" i="4"/>
  <c r="AK209" i="4"/>
  <c r="AS209" i="4"/>
  <c r="BA209" i="4"/>
  <c r="BI209" i="4"/>
  <c r="AL209" i="4"/>
  <c r="AP234" i="4"/>
  <c r="BJ209" i="4"/>
  <c r="D222" i="4"/>
  <c r="D217" i="4"/>
  <c r="B214" i="4"/>
  <c r="C214" i="4" s="1"/>
  <c r="L222" i="4"/>
  <c r="T222" i="4"/>
  <c r="O209" i="4"/>
  <c r="W209" i="4"/>
  <c r="AE209" i="4"/>
  <c r="AM209" i="4"/>
  <c r="AU209" i="4"/>
  <c r="BC209" i="4"/>
  <c r="BK209" i="4"/>
  <c r="V209" i="4"/>
  <c r="AC222" i="4"/>
  <c r="AK222" i="4"/>
  <c r="AS222" i="4"/>
  <c r="Y222" i="4"/>
  <c r="Q209" i="4"/>
  <c r="Y209" i="4"/>
  <c r="AG209" i="4"/>
  <c r="AO209" i="4"/>
  <c r="AW209" i="4"/>
  <c r="BE209" i="4"/>
  <c r="F246" i="4"/>
  <c r="B238" i="4"/>
  <c r="C238" i="4" s="1"/>
  <c r="N246" i="4"/>
  <c r="V246" i="4"/>
  <c r="AD246" i="4"/>
  <c r="AL246" i="4"/>
  <c r="AT246" i="4"/>
  <c r="BB246" i="4"/>
  <c r="J222" i="4"/>
  <c r="R222" i="4"/>
  <c r="Z222" i="4"/>
  <c r="AH222" i="4"/>
  <c r="AP222" i="4"/>
  <c r="AX222" i="4"/>
  <c r="BF222" i="4"/>
  <c r="H222" i="4"/>
  <c r="L234" i="4"/>
  <c r="K222" i="4"/>
  <c r="S222" i="4"/>
  <c r="AA222" i="4"/>
  <c r="AI222" i="4"/>
  <c r="AQ222" i="4"/>
  <c r="AY222" i="4"/>
  <c r="BG222" i="4"/>
  <c r="BA222" i="4"/>
  <c r="AB222" i="4"/>
  <c r="AJ222" i="4"/>
  <c r="AR222" i="4"/>
  <c r="AZ222" i="4"/>
  <c r="BH222" i="4"/>
  <c r="B226" i="4"/>
  <c r="C226" i="4" s="1"/>
  <c r="N234" i="4"/>
  <c r="V234" i="4"/>
  <c r="AD234" i="4"/>
  <c r="AL234" i="4"/>
  <c r="AT234" i="4"/>
  <c r="BB234" i="4"/>
  <c r="I246" i="4"/>
  <c r="F222" i="4"/>
  <c r="N222" i="4"/>
  <c r="V222" i="4"/>
  <c r="AD222" i="4"/>
  <c r="AL222" i="4"/>
  <c r="AT222" i="4"/>
  <c r="BB222" i="4"/>
  <c r="BJ222" i="4"/>
  <c r="AN222" i="4"/>
  <c r="G222" i="4"/>
  <c r="O222" i="4"/>
  <c r="W222" i="4"/>
  <c r="AE222" i="4"/>
  <c r="AM222" i="4"/>
  <c r="AU222" i="4"/>
  <c r="BC222" i="4"/>
  <c r="BK222" i="4"/>
  <c r="B220" i="4"/>
  <c r="C220" i="4" s="1"/>
  <c r="U222" i="4"/>
  <c r="Q234" i="4"/>
  <c r="AO234" i="4"/>
  <c r="BE234" i="4"/>
  <c r="R234" i="4"/>
  <c r="AH234" i="4"/>
  <c r="AX234" i="4"/>
  <c r="BF234" i="4"/>
  <c r="J246" i="4"/>
  <c r="R246" i="4"/>
  <c r="AH246" i="4"/>
  <c r="AP246" i="4"/>
  <c r="AX246" i="4"/>
  <c r="BF246" i="4"/>
  <c r="O234" i="4"/>
  <c r="W234" i="4"/>
  <c r="AE234" i="4"/>
  <c r="AM234" i="4"/>
  <c r="AU234" i="4"/>
  <c r="BC234" i="4"/>
  <c r="BK234" i="4"/>
  <c r="K246" i="4"/>
  <c r="AI246" i="4"/>
  <c r="P234" i="4"/>
  <c r="X234" i="4"/>
  <c r="AN234" i="4"/>
  <c r="BD234" i="4"/>
  <c r="B232" i="4"/>
  <c r="C232" i="4" s="1"/>
  <c r="AF234" i="4"/>
  <c r="Z246" i="4"/>
  <c r="Y234" i="4"/>
  <c r="AW234" i="4"/>
  <c r="AG234" i="4"/>
  <c r="BJ246" i="4"/>
  <c r="G246" i="4"/>
  <c r="O246" i="4"/>
  <c r="W246" i="4"/>
  <c r="AE246" i="4"/>
  <c r="AM246" i="4"/>
  <c r="AU246" i="4"/>
  <c r="BC246" i="4"/>
  <c r="BK246" i="4"/>
  <c r="AB234" i="4"/>
  <c r="AZ234" i="4"/>
  <c r="BH234" i="4"/>
  <c r="B244" i="4"/>
  <c r="C244" i="4" s="1"/>
  <c r="AQ234" i="4"/>
  <c r="BG234" i="4"/>
  <c r="H246" i="4"/>
  <c r="P246" i="4"/>
  <c r="X246" i="4"/>
  <c r="S234" i="4"/>
  <c r="Q246" i="4"/>
  <c r="AG246" i="4"/>
  <c r="AO246" i="4"/>
  <c r="AW246" i="4"/>
  <c r="BE246" i="4"/>
  <c r="D246" i="4"/>
  <c r="D241" i="4"/>
  <c r="L246" i="4"/>
  <c r="T246" i="4"/>
  <c r="AB246" i="4"/>
  <c r="AR246" i="4"/>
  <c r="BH246" i="4"/>
  <c r="AI234" i="4"/>
  <c r="AK246" i="4"/>
  <c r="H5" i="6"/>
  <c r="G5" i="6"/>
  <c r="F6" i="6" s="1"/>
  <c r="H3" i="7"/>
  <c r="I3" i="7"/>
  <c r="AN246" i="4"/>
  <c r="BD246" i="4"/>
  <c r="I4" i="6"/>
  <c r="J4" i="6" s="1"/>
  <c r="S246" i="4"/>
  <c r="AA246" i="4"/>
  <c r="I3" i="8"/>
  <c r="G3" i="8"/>
  <c r="F4" i="8" s="1"/>
  <c r="H3" i="8"/>
  <c r="I4" i="7"/>
  <c r="D9" i="10"/>
  <c r="Q5" i="10"/>
  <c r="S5" i="10" s="1"/>
  <c r="G5" i="7"/>
  <c r="K17" i="10"/>
  <c r="Q6" i="10"/>
  <c r="S6" i="10" s="1"/>
  <c r="D17" i="10"/>
  <c r="Q14" i="10"/>
  <c r="L17" i="10"/>
  <c r="O17" i="10"/>
  <c r="E9" i="10"/>
  <c r="E17" i="10" s="1"/>
  <c r="M9" i="10"/>
  <c r="M17" i="10" s="1"/>
  <c r="H17" i="10"/>
  <c r="I17" i="10"/>
  <c r="G9" i="10"/>
  <c r="G17" i="10" s="1"/>
  <c r="O9" i="10"/>
  <c r="J17" i="10"/>
  <c r="Q11" i="10"/>
  <c r="S11" i="10" s="1"/>
  <c r="Q20" i="10"/>
  <c r="Q26" i="10"/>
  <c r="E142" i="4" l="1"/>
  <c r="E143" i="4" s="1"/>
  <c r="F141" i="4" s="1"/>
  <c r="E129" i="4"/>
  <c r="E130" i="4" s="1"/>
  <c r="F128" i="4" s="1"/>
  <c r="F194" i="4"/>
  <c r="F195" i="4" s="1"/>
  <c r="G193" i="4" s="1"/>
  <c r="F207" i="4"/>
  <c r="F208" i="4" s="1"/>
  <c r="G206" i="4" s="1"/>
  <c r="Q9" i="10"/>
  <c r="S9" i="10" s="1"/>
  <c r="E182" i="4"/>
  <c r="F180" i="4" s="1"/>
  <c r="E181" i="4"/>
  <c r="E103" i="4"/>
  <c r="E104" i="4" s="1"/>
  <c r="F102" i="4" s="1"/>
  <c r="B118" i="4"/>
  <c r="C118" i="4" s="1"/>
  <c r="BG253" i="4"/>
  <c r="L253" i="4"/>
  <c r="BC253" i="4"/>
  <c r="D61" i="4"/>
  <c r="B59" i="4"/>
  <c r="C59" i="4" s="1"/>
  <c r="D165" i="4"/>
  <c r="B163" i="4"/>
  <c r="C163" i="4" s="1"/>
  <c r="AO253" i="4"/>
  <c r="N253" i="4"/>
  <c r="AC253" i="4"/>
  <c r="E155" i="4"/>
  <c r="E156" i="4" s="1"/>
  <c r="F154" i="4" s="1"/>
  <c r="AY253" i="4"/>
  <c r="B131" i="4"/>
  <c r="C131" i="4" s="1"/>
  <c r="B144" i="4"/>
  <c r="C144" i="4" s="1"/>
  <c r="B183" i="4"/>
  <c r="C183" i="4" s="1"/>
  <c r="B196" i="4"/>
  <c r="C196" i="4" s="1"/>
  <c r="AI253" i="4"/>
  <c r="AF253" i="4"/>
  <c r="G253" i="4"/>
  <c r="AD253" i="4"/>
  <c r="B85" i="4"/>
  <c r="C85" i="4" s="1"/>
  <c r="D87" i="4"/>
  <c r="D178" i="4"/>
  <c r="B176" i="4"/>
  <c r="C176" i="4" s="1"/>
  <c r="BI253" i="4"/>
  <c r="AJ253" i="4"/>
  <c r="R71" i="1"/>
  <c r="G122" i="1"/>
  <c r="J4" i="7"/>
  <c r="L9" i="4"/>
  <c r="S14" i="10"/>
  <c r="Q17" i="10"/>
  <c r="S17" i="10" s="1"/>
  <c r="E77" i="4"/>
  <c r="E78" i="4"/>
  <c r="F76" i="4" s="1"/>
  <c r="B66" i="4"/>
  <c r="C66" i="4" s="1"/>
  <c r="B79" i="4"/>
  <c r="C79" i="4" s="1"/>
  <c r="B157" i="4"/>
  <c r="C157" i="4" s="1"/>
  <c r="AA253" i="4"/>
  <c r="AM253" i="4"/>
  <c r="AU253" i="4"/>
  <c r="D74" i="4"/>
  <c r="B72" i="4"/>
  <c r="C72" i="4" s="1"/>
  <c r="B189" i="4"/>
  <c r="C189" i="4" s="1"/>
  <c r="D191" i="4"/>
  <c r="BJ253" i="4"/>
  <c r="J253" i="4"/>
  <c r="BA253" i="4"/>
  <c r="G123" i="1" s="1"/>
  <c r="U253" i="4"/>
  <c r="T253" i="4"/>
  <c r="AB253" i="4"/>
  <c r="AH253" i="4"/>
  <c r="D218" i="4"/>
  <c r="F116" i="4"/>
  <c r="K253" i="4"/>
  <c r="B105" i="4"/>
  <c r="C105" i="4" s="1"/>
  <c r="B209" i="4"/>
  <c r="C209" i="4" s="1"/>
  <c r="BD253" i="4"/>
  <c r="X253" i="4"/>
  <c r="F253" i="4"/>
  <c r="D100" i="4"/>
  <c r="B98" i="4"/>
  <c r="C98" i="4" s="1"/>
  <c r="B202" i="4"/>
  <c r="C202" i="4" s="1"/>
  <c r="D204" i="4"/>
  <c r="E122" i="1"/>
  <c r="R47" i="1"/>
  <c r="R253" i="4"/>
  <c r="J3" i="8"/>
  <c r="K24" i="4"/>
  <c r="E90" i="4"/>
  <c r="E91" i="4"/>
  <c r="F89" i="4" s="1"/>
  <c r="B215" i="4"/>
  <c r="C215" i="4" s="1"/>
  <c r="BB253" i="4"/>
  <c r="M253" i="4"/>
  <c r="BH253" i="4"/>
  <c r="AG253" i="4"/>
  <c r="BF253" i="4"/>
  <c r="Q30" i="10"/>
  <c r="S26" i="10"/>
  <c r="S30" i="10" s="1"/>
  <c r="G4" i="8"/>
  <c r="F5" i="8" s="1"/>
  <c r="H4" i="8"/>
  <c r="B170" i="4"/>
  <c r="C170" i="4" s="1"/>
  <c r="B111" i="4"/>
  <c r="C111" i="4" s="1"/>
  <c r="D113" i="4"/>
  <c r="D242" i="4"/>
  <c r="B222" i="4"/>
  <c r="C222" i="4" s="1"/>
  <c r="B92" i="4"/>
  <c r="C92" i="4" s="1"/>
  <c r="AV253" i="4"/>
  <c r="R35" i="1"/>
  <c r="D122" i="1"/>
  <c r="AT253" i="4"/>
  <c r="K12" i="1"/>
  <c r="B5" i="1"/>
  <c r="C6" i="4"/>
  <c r="D126" i="4"/>
  <c r="B124" i="4"/>
  <c r="C124" i="4" s="1"/>
  <c r="D229" i="4"/>
  <c r="B227" i="4"/>
  <c r="C227" i="4" s="1"/>
  <c r="AL253" i="4"/>
  <c r="AX253" i="4"/>
  <c r="Q24" i="10"/>
  <c r="S20" i="10"/>
  <c r="S24" i="10" s="1"/>
  <c r="E65" i="4"/>
  <c r="F63" i="4" s="1"/>
  <c r="E64" i="4"/>
  <c r="AQ253" i="4"/>
  <c r="B234" i="4"/>
  <c r="C234" i="4" s="1"/>
  <c r="AN253" i="4"/>
  <c r="BK253" i="4"/>
  <c r="W253" i="4"/>
  <c r="B7" i="4"/>
  <c r="C122" i="1"/>
  <c r="R23" i="1"/>
  <c r="D139" i="4"/>
  <c r="B137" i="4"/>
  <c r="C137" i="4" s="1"/>
  <c r="B239" i="4"/>
  <c r="C239" i="4" s="1"/>
  <c r="AK253" i="4"/>
  <c r="E253" i="4"/>
  <c r="AR253" i="4"/>
  <c r="AW253" i="4"/>
  <c r="Q253" i="4"/>
  <c r="D123" i="1" s="1"/>
  <c r="Y253" i="4"/>
  <c r="J3" i="7"/>
  <c r="K9" i="4"/>
  <c r="E168" i="4"/>
  <c r="E169" i="4"/>
  <c r="F167" i="4" s="1"/>
  <c r="D253" i="4"/>
  <c r="B27" i="4"/>
  <c r="C27" i="4" s="1"/>
  <c r="F6" i="7"/>
  <c r="I5" i="7"/>
  <c r="G6" i="6"/>
  <c r="F7" i="6" s="1"/>
  <c r="H6" i="6"/>
  <c r="I6" i="6"/>
  <c r="J6" i="6" s="1"/>
  <c r="B246" i="4"/>
  <c r="C246" i="4" s="1"/>
  <c r="I5" i="6"/>
  <c r="J5" i="6" s="1"/>
  <c r="F122" i="1"/>
  <c r="R59" i="1"/>
  <c r="H253" i="4"/>
  <c r="V253" i="4"/>
  <c r="B45" i="4"/>
  <c r="C45" i="4" s="1"/>
  <c r="D152" i="4"/>
  <c r="B150" i="4"/>
  <c r="C150" i="4" s="1"/>
  <c r="AP253" i="4"/>
  <c r="G207" i="4" l="1"/>
  <c r="G208" i="4"/>
  <c r="H206" i="4" s="1"/>
  <c r="G194" i="4"/>
  <c r="G195" i="4" s="1"/>
  <c r="H193" i="4" s="1"/>
  <c r="F130" i="4"/>
  <c r="G128" i="4" s="1"/>
  <c r="F129" i="4"/>
  <c r="F103" i="4"/>
  <c r="F104" i="4" s="1"/>
  <c r="G102" i="4" s="1"/>
  <c r="F155" i="4"/>
  <c r="F156" i="4" s="1"/>
  <c r="G154" i="4" s="1"/>
  <c r="F142" i="4"/>
  <c r="F143" i="4"/>
  <c r="G141" i="4" s="1"/>
  <c r="F123" i="1"/>
  <c r="D127" i="4"/>
  <c r="I4" i="8"/>
  <c r="F117" i="4"/>
  <c r="G115" i="4" s="1"/>
  <c r="D75" i="4"/>
  <c r="H6" i="7"/>
  <c r="G6" i="7"/>
  <c r="F7" i="7" s="1"/>
  <c r="D5" i="1"/>
  <c r="H122" i="1"/>
  <c r="C7" i="4"/>
  <c r="E12" i="1"/>
  <c r="G12" i="1"/>
  <c r="D205" i="4"/>
  <c r="D223" i="4"/>
  <c r="E216" i="4"/>
  <c r="D179" i="4"/>
  <c r="D166" i="4"/>
  <c r="B253" i="4"/>
  <c r="H123" i="1" s="1"/>
  <c r="C123" i="1"/>
  <c r="E240" i="4"/>
  <c r="D247" i="4"/>
  <c r="D88" i="4"/>
  <c r="D114" i="4"/>
  <c r="F168" i="4"/>
  <c r="F169" i="4" s="1"/>
  <c r="G167" i="4" s="1"/>
  <c r="W24" i="4"/>
  <c r="K25" i="4"/>
  <c r="K26" i="4"/>
  <c r="E123" i="1"/>
  <c r="D62" i="4"/>
  <c r="G5" i="8"/>
  <c r="F6" i="8" s="1"/>
  <c r="H5" i="8"/>
  <c r="D153" i="4"/>
  <c r="H7" i="6"/>
  <c r="G7" i="6"/>
  <c r="F8" i="6" s="1"/>
  <c r="I7" i="6"/>
  <c r="J7" i="6" s="1"/>
  <c r="D101" i="4"/>
  <c r="F77" i="4"/>
  <c r="F78" i="4" s="1"/>
  <c r="G76" i="4" s="1"/>
  <c r="L12" i="4"/>
  <c r="X9" i="4"/>
  <c r="F90" i="4"/>
  <c r="K12" i="4"/>
  <c r="W9" i="4"/>
  <c r="F65" i="4"/>
  <c r="G63" i="4" s="1"/>
  <c r="F64" i="4"/>
  <c r="D192" i="4"/>
  <c r="P132" i="11"/>
  <c r="L4" i="6"/>
  <c r="J5" i="7"/>
  <c r="L5" i="6" s="1"/>
  <c r="M9" i="4"/>
  <c r="P133" i="11"/>
  <c r="L3" i="6"/>
  <c r="D140" i="4"/>
  <c r="D230" i="4"/>
  <c r="F182" i="4"/>
  <c r="G180" i="4" s="1"/>
  <c r="F181" i="4"/>
  <c r="G77" i="4" l="1"/>
  <c r="G78" i="4" s="1"/>
  <c r="H76" i="4" s="1"/>
  <c r="H194" i="4"/>
  <c r="H195" i="4"/>
  <c r="I193" i="4" s="1"/>
  <c r="G155" i="4"/>
  <c r="G103" i="4"/>
  <c r="G168" i="4"/>
  <c r="G169" i="4" s="1"/>
  <c r="H167" i="4" s="1"/>
  <c r="G130" i="4"/>
  <c r="H128" i="4" s="1"/>
  <c r="G129" i="4"/>
  <c r="I8" i="6"/>
  <c r="J8" i="6" s="1"/>
  <c r="G8" i="6"/>
  <c r="F9" i="6" s="1"/>
  <c r="H8" i="6"/>
  <c r="D80" i="4"/>
  <c r="E73" i="4"/>
  <c r="G142" i="4"/>
  <c r="D197" i="4"/>
  <c r="E190" i="4"/>
  <c r="K42" i="4"/>
  <c r="W42" i="4"/>
  <c r="F91" i="4"/>
  <c r="G89" i="4" s="1"/>
  <c r="E86" i="4"/>
  <c r="D93" i="4"/>
  <c r="D184" i="4"/>
  <c r="E177" i="4"/>
  <c r="D106" i="4"/>
  <c r="E99" i="4"/>
  <c r="D158" i="4"/>
  <c r="E151" i="4"/>
  <c r="G116" i="4"/>
  <c r="G117" i="4" s="1"/>
  <c r="H115" i="4" s="1"/>
  <c r="D145" i="4"/>
  <c r="E138" i="4"/>
  <c r="E60" i="4"/>
  <c r="D67" i="4"/>
  <c r="E164" i="4"/>
  <c r="D171" i="4"/>
  <c r="M14" i="4"/>
  <c r="Y9" i="4"/>
  <c r="M12" i="4"/>
  <c r="G65" i="4"/>
  <c r="H63" i="4" s="1"/>
  <c r="G64" i="4"/>
  <c r="D248" i="4"/>
  <c r="E218" i="4"/>
  <c r="E217" i="4"/>
  <c r="J4" i="8"/>
  <c r="L24" i="4"/>
  <c r="H207" i="4"/>
  <c r="H208" i="4" s="1"/>
  <c r="I206" i="4" s="1"/>
  <c r="AI9" i="4"/>
  <c r="W12" i="4"/>
  <c r="W13" i="4"/>
  <c r="E241" i="4"/>
  <c r="L42" i="4"/>
  <c r="X42" i="4"/>
  <c r="L14" i="4"/>
  <c r="G6" i="8"/>
  <c r="F7" i="8" s="1"/>
  <c r="I6" i="8"/>
  <c r="H6" i="8"/>
  <c r="D210" i="4"/>
  <c r="E203" i="4"/>
  <c r="H7" i="7"/>
  <c r="G7" i="7"/>
  <c r="F8" i="7" s="1"/>
  <c r="E125" i="4"/>
  <c r="D132" i="4"/>
  <c r="G181" i="4"/>
  <c r="G182" i="4" s="1"/>
  <c r="H180" i="4" s="1"/>
  <c r="Y42" i="4"/>
  <c r="M42" i="4"/>
  <c r="P131" i="11"/>
  <c r="AJ9" i="4"/>
  <c r="X12" i="4"/>
  <c r="X14" i="4" s="1"/>
  <c r="D224" i="4"/>
  <c r="K14" i="4"/>
  <c r="D235" i="4"/>
  <c r="E228" i="4"/>
  <c r="K13" i="4"/>
  <c r="L13" i="4"/>
  <c r="I5" i="8"/>
  <c r="AI24" i="4"/>
  <c r="W25" i="4"/>
  <c r="W26" i="4" s="1"/>
  <c r="D119" i="4"/>
  <c r="E112" i="4"/>
  <c r="I6" i="7"/>
  <c r="Y19" i="4" l="1"/>
  <c r="Y28" i="4" s="1"/>
  <c r="Y20" i="4"/>
  <c r="Y46" i="4" s="1"/>
  <c r="H169" i="4"/>
  <c r="I167" i="4" s="1"/>
  <c r="H168" i="4"/>
  <c r="H116" i="4"/>
  <c r="H117" i="4" s="1"/>
  <c r="I115" i="4" s="1"/>
  <c r="H181" i="4"/>
  <c r="I207" i="4"/>
  <c r="I208" i="4" s="1"/>
  <c r="J206" i="4" s="1"/>
  <c r="H77" i="4"/>
  <c r="H78" i="4"/>
  <c r="I76" i="4" s="1"/>
  <c r="D94" i="4"/>
  <c r="D133" i="4"/>
  <c r="D68" i="4"/>
  <c r="E152" i="4"/>
  <c r="E87" i="4"/>
  <c r="G156" i="4"/>
  <c r="H154" i="4" s="1"/>
  <c r="J6" i="8"/>
  <c r="N24" i="4"/>
  <c r="E229" i="4"/>
  <c r="E127" i="4"/>
  <c r="E126" i="4"/>
  <c r="I7" i="8"/>
  <c r="G7" i="8"/>
  <c r="F8" i="8" s="1"/>
  <c r="H7" i="8"/>
  <c r="AI12" i="4"/>
  <c r="AU9" i="4"/>
  <c r="AK9" i="4"/>
  <c r="Y12" i="4"/>
  <c r="Y13" i="4" s="1"/>
  <c r="Y14" i="4"/>
  <c r="E61" i="4"/>
  <c r="D159" i="4"/>
  <c r="G143" i="4"/>
  <c r="H141" i="4" s="1"/>
  <c r="H129" i="4"/>
  <c r="H130" i="4" s="1"/>
  <c r="I128" i="4" s="1"/>
  <c r="I195" i="4"/>
  <c r="J193" i="4" s="1"/>
  <c r="I194" i="4"/>
  <c r="J6" i="7"/>
  <c r="L6" i="6" s="1"/>
  <c r="N9" i="4"/>
  <c r="D120" i="4"/>
  <c r="E223" i="4"/>
  <c r="F216" i="4"/>
  <c r="G90" i="4"/>
  <c r="G91" i="4" s="1"/>
  <c r="H89" i="4" s="1"/>
  <c r="L20" i="4"/>
  <c r="L46" i="4" s="1"/>
  <c r="L19" i="4"/>
  <c r="L28" i="4" s="1"/>
  <c r="M43" i="4"/>
  <c r="M44" i="4"/>
  <c r="I7" i="7"/>
  <c r="AJ42" i="4"/>
  <c r="X43" i="4"/>
  <c r="X44" i="4" s="1"/>
  <c r="M13" i="4"/>
  <c r="E139" i="4"/>
  <c r="D107" i="4"/>
  <c r="W44" i="4"/>
  <c r="AI42" i="4"/>
  <c r="W43" i="4"/>
  <c r="E74" i="4"/>
  <c r="E114" i="4"/>
  <c r="E113" i="4"/>
  <c r="H64" i="4"/>
  <c r="H65" i="4"/>
  <c r="I63" i="4" s="1"/>
  <c r="D198" i="4"/>
  <c r="AJ12" i="4"/>
  <c r="AJ13" i="4" s="1"/>
  <c r="AJ14" i="4"/>
  <c r="AV9" i="4"/>
  <c r="D236" i="4"/>
  <c r="M19" i="4"/>
  <c r="M28" i="4" s="1"/>
  <c r="M20" i="4"/>
  <c r="M46" i="4" s="1"/>
  <c r="AI26" i="4"/>
  <c r="AI25" i="4"/>
  <c r="AU24" i="4"/>
  <c r="D146" i="4"/>
  <c r="K43" i="4"/>
  <c r="K44" i="4"/>
  <c r="D81" i="4"/>
  <c r="H8" i="7"/>
  <c r="G8" i="7"/>
  <c r="F9" i="7" s="1"/>
  <c r="W14" i="4"/>
  <c r="N20" i="4"/>
  <c r="N46" i="4" s="1"/>
  <c r="N19" i="4"/>
  <c r="N28" i="4" s="1"/>
  <c r="E100" i="4"/>
  <c r="Y43" i="4"/>
  <c r="Y44" i="4" s="1"/>
  <c r="AK42" i="4"/>
  <c r="L43" i="4"/>
  <c r="L44" i="4" s="1"/>
  <c r="E204" i="4"/>
  <c r="E205" i="4" s="1"/>
  <c r="D172" i="4"/>
  <c r="E178" i="4"/>
  <c r="J5" i="8"/>
  <c r="M24" i="4"/>
  <c r="X13" i="4"/>
  <c r="D211" i="4"/>
  <c r="E242" i="4"/>
  <c r="L25" i="4"/>
  <c r="L26" i="4" s="1"/>
  <c r="X24" i="4"/>
  <c r="E165" i="4"/>
  <c r="D185" i="4"/>
  <c r="E191" i="4"/>
  <c r="G9" i="6"/>
  <c r="F10" i="6" s="1"/>
  <c r="H9" i="6"/>
  <c r="G104" i="4"/>
  <c r="H102" i="4" s="1"/>
  <c r="I116" i="4" l="1"/>
  <c r="I117" i="4" s="1"/>
  <c r="J115" i="4" s="1"/>
  <c r="H90" i="4"/>
  <c r="H91" i="4" s="1"/>
  <c r="I89" i="4" s="1"/>
  <c r="J207" i="4"/>
  <c r="J208" i="4" s="1"/>
  <c r="K206" i="4" s="1"/>
  <c r="E210" i="4"/>
  <c r="F203" i="4"/>
  <c r="I129" i="4"/>
  <c r="I130" i="4"/>
  <c r="J128" i="4" s="1"/>
  <c r="Z19" i="4"/>
  <c r="Z28" i="4" s="1"/>
  <c r="Z20" i="4"/>
  <c r="Z46" i="4" s="1"/>
  <c r="X25" i="4"/>
  <c r="X26" i="4"/>
  <c r="AJ24" i="4"/>
  <c r="E101" i="4"/>
  <c r="F218" i="4"/>
  <c r="F217" i="4"/>
  <c r="I77" i="4"/>
  <c r="I78" i="4" s="1"/>
  <c r="J76" i="4" s="1"/>
  <c r="G10" i="6"/>
  <c r="F11" i="6" s="1"/>
  <c r="H10" i="6"/>
  <c r="I64" i="4"/>
  <c r="I65" i="4"/>
  <c r="J63" i="4" s="1"/>
  <c r="Z24" i="4"/>
  <c r="N25" i="4"/>
  <c r="N26" i="4" s="1"/>
  <c r="E192" i="4"/>
  <c r="BH9" i="4"/>
  <c r="AV12" i="4"/>
  <c r="AV13" i="4"/>
  <c r="AI43" i="4"/>
  <c r="AI44" i="4"/>
  <c r="AU42" i="4"/>
  <c r="E224" i="4"/>
  <c r="G8" i="8"/>
  <c r="F9" i="8" s="1"/>
  <c r="H8" i="8"/>
  <c r="H155" i="4"/>
  <c r="H156" i="4" s="1"/>
  <c r="I154" i="4" s="1"/>
  <c r="J7" i="8"/>
  <c r="O24" i="4"/>
  <c r="I168" i="4"/>
  <c r="I169" i="4"/>
  <c r="J167" i="4" s="1"/>
  <c r="J7" i="7"/>
  <c r="L7" i="6" s="1"/>
  <c r="O9" i="4"/>
  <c r="AU25" i="4"/>
  <c r="AU26" i="4" s="1"/>
  <c r="BG24" i="4"/>
  <c r="AW9" i="4"/>
  <c r="AK12" i="4"/>
  <c r="AK13" i="4" s="1"/>
  <c r="E247" i="4"/>
  <c r="F240" i="4"/>
  <c r="X19" i="4"/>
  <c r="X28" i="4" s="1"/>
  <c r="X20" i="4"/>
  <c r="X46" i="4" s="1"/>
  <c r="E88" i="4"/>
  <c r="F112" i="4"/>
  <c r="E119" i="4"/>
  <c r="H103" i="4"/>
  <c r="H104" i="4" s="1"/>
  <c r="I102" i="4" s="1"/>
  <c r="Z9" i="4"/>
  <c r="N12" i="4"/>
  <c r="N14" i="4" s="1"/>
  <c r="AU14" i="4"/>
  <c r="BG9" i="4"/>
  <c r="AU12" i="4"/>
  <c r="AU13" i="4"/>
  <c r="F125" i="4"/>
  <c r="E132" i="4"/>
  <c r="M25" i="4"/>
  <c r="M26" i="4" s="1"/>
  <c r="Y24" i="4"/>
  <c r="AK19" i="4"/>
  <c r="AK28" i="4" s="1"/>
  <c r="AK20" i="4"/>
  <c r="AK46" i="4" s="1"/>
  <c r="H143" i="4"/>
  <c r="I141" i="4" s="1"/>
  <c r="H142" i="4"/>
  <c r="H9" i="7"/>
  <c r="G9" i="7"/>
  <c r="F10" i="7" s="1"/>
  <c r="I8" i="7"/>
  <c r="E75" i="4"/>
  <c r="AJ43" i="4"/>
  <c r="AJ44" i="4"/>
  <c r="AV42" i="4"/>
  <c r="Z42" i="4"/>
  <c r="N42" i="4"/>
  <c r="P130" i="11"/>
  <c r="AI14" i="4"/>
  <c r="E153" i="4"/>
  <c r="J195" i="4"/>
  <c r="K193" i="4" s="1"/>
  <c r="J194" i="4"/>
  <c r="AK43" i="4"/>
  <c r="AK44" i="4"/>
  <c r="AW42" i="4"/>
  <c r="E166" i="4"/>
  <c r="I9" i="6"/>
  <c r="J9" i="6" s="1"/>
  <c r="E179" i="4"/>
  <c r="E140" i="4"/>
  <c r="E62" i="4"/>
  <c r="AI13" i="4"/>
  <c r="E230" i="4"/>
  <c r="H182" i="4"/>
  <c r="I180" i="4" s="1"/>
  <c r="J77" i="4" l="1"/>
  <c r="J78" i="4" s="1"/>
  <c r="K76" i="4" s="1"/>
  <c r="O19" i="4"/>
  <c r="O28" i="4" s="1"/>
  <c r="O20" i="4"/>
  <c r="O46" i="4" s="1"/>
  <c r="K208" i="4"/>
  <c r="L206" i="4" s="1"/>
  <c r="K207" i="4"/>
  <c r="I103" i="4"/>
  <c r="I104" i="4"/>
  <c r="J102" i="4" s="1"/>
  <c r="I91" i="4"/>
  <c r="J89" i="4" s="1"/>
  <c r="I90" i="4"/>
  <c r="I155" i="4"/>
  <c r="I156" i="4" s="1"/>
  <c r="J154" i="4" s="1"/>
  <c r="J116" i="4"/>
  <c r="J117" i="4" s="1"/>
  <c r="K115" i="4" s="1"/>
  <c r="AA9" i="4"/>
  <c r="O12" i="4"/>
  <c r="J129" i="4"/>
  <c r="J130" i="4" s="1"/>
  <c r="K128" i="4" s="1"/>
  <c r="E184" i="4"/>
  <c r="F177" i="4"/>
  <c r="AV44" i="4"/>
  <c r="BH42" i="4"/>
  <c r="AV43" i="4"/>
  <c r="K195" i="4"/>
  <c r="L193" i="4" s="1"/>
  <c r="K194" i="4"/>
  <c r="N13" i="4"/>
  <c r="AA42" i="4"/>
  <c r="O42" i="4"/>
  <c r="P129" i="11"/>
  <c r="Z25" i="4"/>
  <c r="Z26" i="4"/>
  <c r="AL24" i="4"/>
  <c r="G11" i="6"/>
  <c r="F12" i="6" s="1"/>
  <c r="H11" i="6"/>
  <c r="F73" i="4"/>
  <c r="E80" i="4"/>
  <c r="F127" i="4"/>
  <c r="F126" i="4"/>
  <c r="Z43" i="4"/>
  <c r="Z44" i="4"/>
  <c r="AL42" i="4"/>
  <c r="Y25" i="4"/>
  <c r="Y26" i="4" s="1"/>
  <c r="AK24" i="4"/>
  <c r="J168" i="4"/>
  <c r="J169" i="4"/>
  <c r="K167" i="4" s="1"/>
  <c r="I10" i="6"/>
  <c r="J10" i="6" s="1"/>
  <c r="E106" i="4"/>
  <c r="F99" i="4"/>
  <c r="E133" i="4"/>
  <c r="F60" i="4"/>
  <c r="E67" i="4"/>
  <c r="N43" i="4"/>
  <c r="N44" i="4"/>
  <c r="E145" i="4"/>
  <c r="F138" i="4"/>
  <c r="F151" i="4"/>
  <c r="E158" i="4"/>
  <c r="F86" i="4"/>
  <c r="E93" i="4"/>
  <c r="F242" i="4"/>
  <c r="F241" i="4"/>
  <c r="BG25" i="4"/>
  <c r="BG26" i="4" s="1"/>
  <c r="BH12" i="4"/>
  <c r="J8" i="7"/>
  <c r="L8" i="6" s="1"/>
  <c r="D9" i="4"/>
  <c r="BG12" i="4"/>
  <c r="BG13" i="4" s="1"/>
  <c r="BG14" i="4"/>
  <c r="E248" i="4"/>
  <c r="AV14" i="4"/>
  <c r="J64" i="4"/>
  <c r="J65" i="4" s="1"/>
  <c r="K63" i="4" s="1"/>
  <c r="F205" i="4"/>
  <c r="F204" i="4"/>
  <c r="I181" i="4"/>
  <c r="I182" i="4" s="1"/>
  <c r="J180" i="4" s="1"/>
  <c r="AW43" i="4"/>
  <c r="AW44" i="4" s="1"/>
  <c r="BI42" i="4"/>
  <c r="AV19" i="4"/>
  <c r="AV28" i="4" s="1"/>
  <c r="AV20" i="4"/>
  <c r="AV46" i="4" s="1"/>
  <c r="H9" i="8"/>
  <c r="G9" i="8"/>
  <c r="F10" i="8" s="1"/>
  <c r="I9" i="8"/>
  <c r="BG42" i="4"/>
  <c r="AU43" i="4"/>
  <c r="AU44" i="4" s="1"/>
  <c r="E197" i="4"/>
  <c r="F190" i="4"/>
  <c r="AJ25" i="4"/>
  <c r="AJ26" i="4"/>
  <c r="AV24" i="4"/>
  <c r="E211" i="4"/>
  <c r="F223" i="4"/>
  <c r="G216" i="4"/>
  <c r="AJ20" i="4"/>
  <c r="AJ46" i="4" s="1"/>
  <c r="AJ19" i="4"/>
  <c r="AJ28" i="4" s="1"/>
  <c r="I143" i="4"/>
  <c r="J141" i="4" s="1"/>
  <c r="I142" i="4"/>
  <c r="H10" i="7"/>
  <c r="G10" i="7"/>
  <c r="F11" i="7" s="1"/>
  <c r="I10" i="7"/>
  <c r="E120" i="4"/>
  <c r="BI9" i="4"/>
  <c r="AW12" i="4"/>
  <c r="AW13" i="4"/>
  <c r="AW14" i="4"/>
  <c r="I8" i="8"/>
  <c r="E235" i="4"/>
  <c r="F228" i="4"/>
  <c r="F164" i="4"/>
  <c r="E171" i="4"/>
  <c r="I9" i="7"/>
  <c r="AL9" i="4"/>
  <c r="Z12" i="4"/>
  <c r="Z13" i="4" s="1"/>
  <c r="F113" i="4"/>
  <c r="AK14" i="4"/>
  <c r="O25" i="4"/>
  <c r="O26" i="4"/>
  <c r="AA24" i="4"/>
  <c r="K129" i="4" l="1"/>
  <c r="K130" i="4" s="1"/>
  <c r="L128" i="4" s="1"/>
  <c r="J181" i="4"/>
  <c r="J182" i="4" s="1"/>
  <c r="K180" i="4" s="1"/>
  <c r="K116" i="4"/>
  <c r="K117" i="4"/>
  <c r="L115" i="4" s="1"/>
  <c r="J155" i="4"/>
  <c r="J156" i="4"/>
  <c r="K154" i="4" s="1"/>
  <c r="K64" i="4"/>
  <c r="K65" i="4" s="1"/>
  <c r="L63" i="4" s="1"/>
  <c r="K78" i="4"/>
  <c r="L76" i="4" s="1"/>
  <c r="K77" i="4"/>
  <c r="F87" i="4"/>
  <c r="I12" i="6"/>
  <c r="J12" i="6" s="1"/>
  <c r="H12" i="6"/>
  <c r="G12" i="6"/>
  <c r="F13" i="6" s="1"/>
  <c r="J8" i="8"/>
  <c r="D24" i="4"/>
  <c r="F224" i="4"/>
  <c r="BI43" i="4"/>
  <c r="BI44" i="4"/>
  <c r="AL13" i="4"/>
  <c r="AL14" i="4"/>
  <c r="AX9" i="4"/>
  <c r="AL12" i="4"/>
  <c r="AX19" i="4"/>
  <c r="AX28" i="4" s="1"/>
  <c r="AX20" i="4"/>
  <c r="AX46" i="4" s="1"/>
  <c r="E172" i="4"/>
  <c r="BI13" i="4"/>
  <c r="BI12" i="4"/>
  <c r="J142" i="4"/>
  <c r="J143" i="4" s="1"/>
  <c r="K141" i="4" s="1"/>
  <c r="BH20" i="4"/>
  <c r="BH46" i="4" s="1"/>
  <c r="BH19" i="4"/>
  <c r="BH28" i="4" s="1"/>
  <c r="F101" i="4"/>
  <c r="F100" i="4"/>
  <c r="AA43" i="4"/>
  <c r="AA44" i="4"/>
  <c r="AM42" i="4"/>
  <c r="L207" i="4"/>
  <c r="L208" i="4" s="1"/>
  <c r="M206" i="4" s="1"/>
  <c r="F114" i="4"/>
  <c r="F165" i="4"/>
  <c r="BH24" i="4"/>
  <c r="AV25" i="4"/>
  <c r="AV26" i="4" s="1"/>
  <c r="E107" i="4"/>
  <c r="F178" i="4"/>
  <c r="AA12" i="4"/>
  <c r="AA13" i="4" s="1"/>
  <c r="AM9" i="4"/>
  <c r="AK25" i="4"/>
  <c r="AK26" i="4" s="1"/>
  <c r="AW24" i="4"/>
  <c r="E185" i="4"/>
  <c r="O14" i="4"/>
  <c r="J9" i="7"/>
  <c r="L9" i="6" s="1"/>
  <c r="E9" i="4"/>
  <c r="Z14" i="4"/>
  <c r="F229" i="4"/>
  <c r="BG43" i="4"/>
  <c r="BG44" i="4"/>
  <c r="F210" i="4"/>
  <c r="G203" i="4"/>
  <c r="E159" i="4"/>
  <c r="E236" i="4"/>
  <c r="G217" i="4"/>
  <c r="G218" i="4" s="1"/>
  <c r="D12" i="4"/>
  <c r="P9" i="4"/>
  <c r="F152" i="4"/>
  <c r="G125" i="4"/>
  <c r="F132" i="4"/>
  <c r="AX24" i="4"/>
  <c r="AL25" i="4"/>
  <c r="AL26" i="4" s="1"/>
  <c r="L194" i="4"/>
  <c r="L195" i="4" s="1"/>
  <c r="M193" i="4" s="1"/>
  <c r="D42" i="4"/>
  <c r="P42" i="4"/>
  <c r="P128" i="11"/>
  <c r="F139" i="4"/>
  <c r="F140" i="4" s="1"/>
  <c r="E68" i="4"/>
  <c r="E81" i="4"/>
  <c r="J91" i="4"/>
  <c r="K89" i="4" s="1"/>
  <c r="J90" i="4"/>
  <c r="J10" i="7"/>
  <c r="L10" i="6" s="1"/>
  <c r="F9" i="4"/>
  <c r="H11" i="7"/>
  <c r="G11" i="7"/>
  <c r="F12" i="7" s="1"/>
  <c r="I11" i="7"/>
  <c r="F191" i="4"/>
  <c r="G10" i="8"/>
  <c r="F11" i="8" s="1"/>
  <c r="I10" i="8"/>
  <c r="H10" i="8"/>
  <c r="AW19" i="4"/>
  <c r="AW28" i="4" s="1"/>
  <c r="AW20" i="4"/>
  <c r="AW46" i="4" s="1"/>
  <c r="E146" i="4"/>
  <c r="F61" i="4"/>
  <c r="F62" i="4" s="1"/>
  <c r="F74" i="4"/>
  <c r="J103" i="4"/>
  <c r="J104" i="4" s="1"/>
  <c r="K102" i="4" s="1"/>
  <c r="AM24" i="4"/>
  <c r="AA26" i="4"/>
  <c r="AA25" i="4"/>
  <c r="E198" i="4"/>
  <c r="BH14" i="4"/>
  <c r="G240" i="4"/>
  <c r="F247" i="4"/>
  <c r="K168" i="4"/>
  <c r="K169" i="4"/>
  <c r="L167" i="4" s="1"/>
  <c r="J9" i="8"/>
  <c r="E24" i="4"/>
  <c r="AL19" i="4"/>
  <c r="AL28" i="4" s="1"/>
  <c r="AL20" i="4"/>
  <c r="AL46" i="4" s="1"/>
  <c r="BH13" i="4"/>
  <c r="E94" i="4"/>
  <c r="AL43" i="4"/>
  <c r="AL44" i="4" s="1"/>
  <c r="AX42" i="4"/>
  <c r="I11" i="6"/>
  <c r="J11" i="6" s="1"/>
  <c r="O44" i="4"/>
  <c r="O43" i="4"/>
  <c r="BH43" i="4"/>
  <c r="BH44" i="4" s="1"/>
  <c r="O13" i="4"/>
  <c r="G60" i="4" l="1"/>
  <c r="F67" i="4"/>
  <c r="K142" i="4"/>
  <c r="K143" i="4" s="1"/>
  <c r="L141" i="4" s="1"/>
  <c r="F145" i="4"/>
  <c r="G138" i="4"/>
  <c r="M194" i="4"/>
  <c r="M195" i="4"/>
  <c r="N193" i="4" s="1"/>
  <c r="H216" i="4"/>
  <c r="G223" i="4"/>
  <c r="K103" i="4"/>
  <c r="K104" i="4"/>
  <c r="L102" i="4" s="1"/>
  <c r="K181" i="4"/>
  <c r="K182" i="4" s="1"/>
  <c r="L180" i="4" s="1"/>
  <c r="L64" i="4"/>
  <c r="L65" i="4" s="1"/>
  <c r="M63" i="4" s="1"/>
  <c r="M207" i="4"/>
  <c r="M208" i="4"/>
  <c r="N206" i="4" s="1"/>
  <c r="L129" i="4"/>
  <c r="L130" i="4" s="1"/>
  <c r="M128" i="4" s="1"/>
  <c r="J11" i="7"/>
  <c r="L11" i="6" s="1"/>
  <c r="G9" i="4"/>
  <c r="D43" i="4"/>
  <c r="D44" i="4" s="1"/>
  <c r="G204" i="4"/>
  <c r="G205" i="4" s="1"/>
  <c r="P19" i="4"/>
  <c r="P28" i="4" s="1"/>
  <c r="P20" i="4"/>
  <c r="P46" i="4" s="1"/>
  <c r="AM44" i="4"/>
  <c r="AY42" i="4"/>
  <c r="AM43" i="4"/>
  <c r="G12" i="7"/>
  <c r="F13" i="7" s="1"/>
  <c r="H12" i="7"/>
  <c r="G127" i="4"/>
  <c r="G126" i="4"/>
  <c r="F211" i="4"/>
  <c r="AY9" i="4"/>
  <c r="AM12" i="4"/>
  <c r="AM13" i="4" s="1"/>
  <c r="F166" i="4"/>
  <c r="F248" i="4"/>
  <c r="F75" i="4"/>
  <c r="AA14" i="4"/>
  <c r="G112" i="4"/>
  <c r="F119" i="4"/>
  <c r="F88" i="4"/>
  <c r="K155" i="4"/>
  <c r="K156" i="4"/>
  <c r="L154" i="4" s="1"/>
  <c r="AX43" i="4"/>
  <c r="AX44" i="4" s="1"/>
  <c r="BJ42" i="4"/>
  <c r="L168" i="4"/>
  <c r="L169" i="4" s="1"/>
  <c r="M167" i="4" s="1"/>
  <c r="F133" i="4"/>
  <c r="G241" i="4"/>
  <c r="G242" i="4" s="1"/>
  <c r="F13" i="4"/>
  <c r="F14" i="4"/>
  <c r="R9" i="4"/>
  <c r="F12" i="4"/>
  <c r="F153" i="4"/>
  <c r="F230" i="4"/>
  <c r="BI14" i="4"/>
  <c r="BJ9" i="4"/>
  <c r="AX12" i="4"/>
  <c r="AX13" i="4"/>
  <c r="I11" i="8"/>
  <c r="G11" i="8"/>
  <c r="F12" i="8" s="1"/>
  <c r="H11" i="8"/>
  <c r="J10" i="8"/>
  <c r="F24" i="4"/>
  <c r="AB9" i="4"/>
  <c r="P12" i="4"/>
  <c r="P13" i="4"/>
  <c r="L77" i="4"/>
  <c r="L78" i="4" s="1"/>
  <c r="M76" i="4" s="1"/>
  <c r="E25" i="4"/>
  <c r="E26" i="4"/>
  <c r="Q24" i="4"/>
  <c r="AY24" i="4"/>
  <c r="AM26" i="4"/>
  <c r="AM25" i="4"/>
  <c r="K91" i="4"/>
  <c r="L89" i="4" s="1"/>
  <c r="K90" i="4"/>
  <c r="AX25" i="4"/>
  <c r="AX26" i="4" s="1"/>
  <c r="BJ24" i="4"/>
  <c r="D14" i="4"/>
  <c r="E13" i="4"/>
  <c r="Q9" i="4"/>
  <c r="E12" i="4"/>
  <c r="F179" i="4"/>
  <c r="BH25" i="4"/>
  <c r="BH26" i="4"/>
  <c r="H13" i="6"/>
  <c r="I13" i="6"/>
  <c r="J13" i="6" s="1"/>
  <c r="G13" i="6"/>
  <c r="F14" i="6" s="1"/>
  <c r="BI19" i="4"/>
  <c r="BI28" i="4" s="1"/>
  <c r="BI20" i="4"/>
  <c r="BI46" i="4" s="1"/>
  <c r="R42" i="4"/>
  <c r="F42" i="4"/>
  <c r="AA20" i="4"/>
  <c r="AA46" i="4" s="1"/>
  <c r="AA19" i="4"/>
  <c r="AA28" i="4" s="1"/>
  <c r="G99" i="4"/>
  <c r="F106" i="4"/>
  <c r="AM19" i="4"/>
  <c r="AM28" i="4" s="1"/>
  <c r="AM20" i="4"/>
  <c r="AM46" i="4" s="1"/>
  <c r="D25" i="4"/>
  <c r="D26" i="4" s="1"/>
  <c r="P24" i="4"/>
  <c r="L116" i="4"/>
  <c r="L117" i="4"/>
  <c r="M115" i="4" s="1"/>
  <c r="F192" i="4"/>
  <c r="AB42" i="4"/>
  <c r="P43" i="4"/>
  <c r="P44" i="4" s="1"/>
  <c r="D13" i="4"/>
  <c r="Q42" i="4"/>
  <c r="E42" i="4"/>
  <c r="BI24" i="4"/>
  <c r="AW25" i="4"/>
  <c r="AW26" i="4"/>
  <c r="M64" i="4" l="1"/>
  <c r="M65" i="4" s="1"/>
  <c r="N63" i="4" s="1"/>
  <c r="D30" i="4"/>
  <c r="D33" i="4"/>
  <c r="G247" i="4"/>
  <c r="H240" i="4"/>
  <c r="L181" i="4"/>
  <c r="L182" i="4" s="1"/>
  <c r="M180" i="4" s="1"/>
  <c r="L142" i="4"/>
  <c r="L143" i="4" s="1"/>
  <c r="M141" i="4" s="1"/>
  <c r="M130" i="4"/>
  <c r="N128" i="4" s="1"/>
  <c r="M129" i="4"/>
  <c r="M168" i="4"/>
  <c r="M169" i="4"/>
  <c r="N167" i="4" s="1"/>
  <c r="D51" i="4"/>
  <c r="D48" i="4"/>
  <c r="G210" i="4"/>
  <c r="H203" i="4"/>
  <c r="M77" i="4"/>
  <c r="M78" i="4" s="1"/>
  <c r="N76" i="4" s="1"/>
  <c r="Q43" i="4"/>
  <c r="Q44" i="4"/>
  <c r="AC42" i="4"/>
  <c r="BK24" i="4"/>
  <c r="AY25" i="4"/>
  <c r="AY26" i="4" s="1"/>
  <c r="L155" i="4"/>
  <c r="L156" i="4" s="1"/>
  <c r="M154" i="4" s="1"/>
  <c r="F171" i="4"/>
  <c r="G164" i="4"/>
  <c r="G224" i="4"/>
  <c r="H218" i="4"/>
  <c r="H217" i="4"/>
  <c r="AB24" i="4"/>
  <c r="P25" i="4"/>
  <c r="P26" i="4" s="1"/>
  <c r="L90" i="4"/>
  <c r="L91" i="4"/>
  <c r="M89" i="4" s="1"/>
  <c r="BJ13" i="4"/>
  <c r="BJ12" i="4"/>
  <c r="AD9" i="4"/>
  <c r="R12" i="4"/>
  <c r="F93" i="4"/>
  <c r="G86" i="4"/>
  <c r="H125" i="4"/>
  <c r="G132" i="4"/>
  <c r="N207" i="4"/>
  <c r="N208" i="4" s="1"/>
  <c r="O206" i="4" s="1"/>
  <c r="N194" i="4"/>
  <c r="N195" i="4"/>
  <c r="O193" i="4" s="1"/>
  <c r="G100" i="4"/>
  <c r="G101" i="4" s="1"/>
  <c r="G14" i="6"/>
  <c r="H14" i="6"/>
  <c r="I14" i="6"/>
  <c r="J14" i="6" s="1"/>
  <c r="E20" i="4"/>
  <c r="E19" i="4"/>
  <c r="Q26" i="4"/>
  <c r="AC24" i="4"/>
  <c r="Q25" i="4"/>
  <c r="I12" i="8"/>
  <c r="G12" i="8"/>
  <c r="F13" i="8" s="1"/>
  <c r="H12" i="8"/>
  <c r="BJ19" i="4"/>
  <c r="BJ28" i="4" s="1"/>
  <c r="BJ20" i="4"/>
  <c r="BJ46" i="4" s="1"/>
  <c r="G19" i="4"/>
  <c r="G28" i="4" s="1"/>
  <c r="G20" i="4"/>
  <c r="G46" i="4" s="1"/>
  <c r="F68" i="4"/>
  <c r="AB12" i="4"/>
  <c r="AN9" i="4"/>
  <c r="G73" i="4"/>
  <c r="F80" i="4"/>
  <c r="L103" i="4"/>
  <c r="L104" i="4" s="1"/>
  <c r="M102" i="4" s="1"/>
  <c r="G62" i="4"/>
  <c r="G61" i="4"/>
  <c r="J11" i="8"/>
  <c r="G24" i="4"/>
  <c r="AB43" i="4"/>
  <c r="AB44" i="4"/>
  <c r="AN42" i="4"/>
  <c r="P14" i="4"/>
  <c r="G228" i="4"/>
  <c r="F235" i="4"/>
  <c r="BJ43" i="4"/>
  <c r="BJ44" i="4" s="1"/>
  <c r="F120" i="4"/>
  <c r="AY12" i="4"/>
  <c r="AY13" i="4" s="1"/>
  <c r="BK9" i="4"/>
  <c r="G14" i="4"/>
  <c r="S9" i="4"/>
  <c r="G12" i="4"/>
  <c r="G13" i="4"/>
  <c r="G139" i="4"/>
  <c r="G140" i="4" s="1"/>
  <c r="AC9" i="4"/>
  <c r="Q12" i="4"/>
  <c r="BJ25" i="4"/>
  <c r="BJ26" i="4" s="1"/>
  <c r="G151" i="4"/>
  <c r="F158" i="4"/>
  <c r="G113" i="4"/>
  <c r="G114" i="4" s="1"/>
  <c r="AM14" i="4"/>
  <c r="I12" i="7"/>
  <c r="D17" i="4"/>
  <c r="S42" i="4"/>
  <c r="G42" i="4"/>
  <c r="F146" i="4"/>
  <c r="F184" i="4"/>
  <c r="G177" i="4"/>
  <c r="M116" i="4"/>
  <c r="M117" i="4" s="1"/>
  <c r="N115" i="4" s="1"/>
  <c r="BI25" i="4"/>
  <c r="BI26" i="4" s="1"/>
  <c r="F43" i="4"/>
  <c r="F44" i="4"/>
  <c r="E43" i="4"/>
  <c r="E44" i="4"/>
  <c r="F197" i="4"/>
  <c r="G190" i="4"/>
  <c r="F107" i="4"/>
  <c r="R43" i="4"/>
  <c r="R44" i="4"/>
  <c r="AD42" i="4"/>
  <c r="E14" i="4"/>
  <c r="F26" i="4"/>
  <c r="R24" i="4"/>
  <c r="F25" i="4"/>
  <c r="AX14" i="4"/>
  <c r="AB20" i="4"/>
  <c r="AB46" i="4" s="1"/>
  <c r="AB19" i="4"/>
  <c r="AB28" i="4" s="1"/>
  <c r="H13" i="7"/>
  <c r="G13" i="7"/>
  <c r="F14" i="7" s="1"/>
  <c r="AY43" i="4"/>
  <c r="AY44" i="4"/>
  <c r="BK42" i="4"/>
  <c r="N77" i="4" l="1"/>
  <c r="N78" i="4" s="1"/>
  <c r="O76" i="4" s="1"/>
  <c r="M181" i="4"/>
  <c r="M182" i="4" s="1"/>
  <c r="N180" i="4" s="1"/>
  <c r="M155" i="4"/>
  <c r="M156" i="4"/>
  <c r="N154" i="4" s="1"/>
  <c r="M103" i="4"/>
  <c r="M104" i="4" s="1"/>
  <c r="N102" i="4" s="1"/>
  <c r="O207" i="4"/>
  <c r="O208" i="4"/>
  <c r="P206" i="4" s="1"/>
  <c r="G106" i="4"/>
  <c r="H99" i="4"/>
  <c r="M142" i="4"/>
  <c r="M143" i="4" s="1"/>
  <c r="N141" i="4" s="1"/>
  <c r="G145" i="4"/>
  <c r="H138" i="4"/>
  <c r="N116" i="4"/>
  <c r="N117" i="4" s="1"/>
  <c r="O115" i="4" s="1"/>
  <c r="H112" i="4"/>
  <c r="G119" i="4"/>
  <c r="N65" i="4"/>
  <c r="O63" i="4" s="1"/>
  <c r="N64" i="4"/>
  <c r="H14" i="7"/>
  <c r="G14" i="7"/>
  <c r="I14" i="7"/>
  <c r="H60" i="4"/>
  <c r="G67" i="4"/>
  <c r="H223" i="4"/>
  <c r="I216" i="4"/>
  <c r="F172" i="4"/>
  <c r="H242" i="4"/>
  <c r="H241" i="4"/>
  <c r="D18" i="4"/>
  <c r="E16" i="4" s="1"/>
  <c r="G152" i="4"/>
  <c r="G153" i="4" s="1"/>
  <c r="AC13" i="4"/>
  <c r="AO9" i="4"/>
  <c r="AC12" i="4"/>
  <c r="BK14" i="4"/>
  <c r="BK12" i="4"/>
  <c r="BK13" i="4"/>
  <c r="AN44" i="4"/>
  <c r="AZ42" i="4"/>
  <c r="AN43" i="4"/>
  <c r="H13" i="8"/>
  <c r="G13" i="8"/>
  <c r="F14" i="8" s="1"/>
  <c r="E28" i="4"/>
  <c r="AD14" i="4"/>
  <c r="AP9" i="4"/>
  <c r="AD12" i="4"/>
  <c r="BK25" i="4"/>
  <c r="BK26" i="4"/>
  <c r="G248" i="4"/>
  <c r="J12" i="8"/>
  <c r="H24" i="4"/>
  <c r="G133" i="4"/>
  <c r="D49" i="4"/>
  <c r="N130" i="4"/>
  <c r="O128" i="4" s="1"/>
  <c r="N129" i="4"/>
  <c r="D34" i="4"/>
  <c r="J12" i="7"/>
  <c r="L12" i="6" s="1"/>
  <c r="H9" i="4"/>
  <c r="AY14" i="4"/>
  <c r="F198" i="4"/>
  <c r="G178" i="4"/>
  <c r="G179" i="4" s="1"/>
  <c r="AN19" i="4"/>
  <c r="AN28" i="4" s="1"/>
  <c r="AN20" i="4"/>
  <c r="AN46" i="4" s="1"/>
  <c r="F236" i="4"/>
  <c r="F81" i="4"/>
  <c r="E46" i="4"/>
  <c r="H126" i="4"/>
  <c r="H127" i="4" s="1"/>
  <c r="BJ14" i="4"/>
  <c r="D52" i="4"/>
  <c r="D31" i="4"/>
  <c r="R25" i="4"/>
  <c r="R26" i="4"/>
  <c r="AD24" i="4"/>
  <c r="S43" i="4"/>
  <c r="S44" i="4" s="1"/>
  <c r="AE42" i="4"/>
  <c r="F159" i="4"/>
  <c r="H19" i="4"/>
  <c r="H28" i="4" s="1"/>
  <c r="H20" i="4"/>
  <c r="H46" i="4" s="1"/>
  <c r="F19" i="4"/>
  <c r="F28" i="4" s="1"/>
  <c r="F20" i="4"/>
  <c r="F46" i="4" s="1"/>
  <c r="G191" i="4"/>
  <c r="G192" i="4" s="1"/>
  <c r="BK44" i="4"/>
  <c r="BK43" i="4"/>
  <c r="AY20" i="4"/>
  <c r="AY46" i="4" s="1"/>
  <c r="AY19" i="4"/>
  <c r="AY28" i="4" s="1"/>
  <c r="F185" i="4"/>
  <c r="G229" i="4"/>
  <c r="G230" i="4" s="1"/>
  <c r="G75" i="4"/>
  <c r="G74" i="4"/>
  <c r="G87" i="4"/>
  <c r="G88" i="4" s="1"/>
  <c r="AB25" i="4"/>
  <c r="AB26" i="4"/>
  <c r="AN24" i="4"/>
  <c r="AC43" i="4"/>
  <c r="AC44" i="4" s="1"/>
  <c r="AO42" i="4"/>
  <c r="AD43" i="4"/>
  <c r="AD44" i="4"/>
  <c r="AP42" i="4"/>
  <c r="Q19" i="4"/>
  <c r="Q28" i="4" s="1"/>
  <c r="Q20" i="4"/>
  <c r="Q46" i="4" s="1"/>
  <c r="G26" i="4"/>
  <c r="S24" i="4"/>
  <c r="G25" i="4"/>
  <c r="AZ9" i="4"/>
  <c r="AN12" i="4"/>
  <c r="AN14" i="4" s="1"/>
  <c r="F94" i="4"/>
  <c r="M90" i="4"/>
  <c r="M91" i="4" s="1"/>
  <c r="N89" i="4" s="1"/>
  <c r="G211" i="4"/>
  <c r="N169" i="4"/>
  <c r="O167" i="4" s="1"/>
  <c r="N168" i="4"/>
  <c r="H205" i="4"/>
  <c r="H204" i="4"/>
  <c r="Q14" i="4"/>
  <c r="AB14" i="4"/>
  <c r="O194" i="4"/>
  <c r="O195" i="4" s="1"/>
  <c r="P193" i="4" s="1"/>
  <c r="R14" i="4"/>
  <c r="I13" i="7"/>
  <c r="G43" i="4"/>
  <c r="Q13" i="4"/>
  <c r="S12" i="4"/>
  <c r="S13" i="4"/>
  <c r="S14" i="4"/>
  <c r="AE9" i="4"/>
  <c r="AB13" i="4"/>
  <c r="AO24" i="4"/>
  <c r="AC26" i="4"/>
  <c r="AC25" i="4"/>
  <c r="R13" i="4"/>
  <c r="G165" i="4"/>
  <c r="G166" i="4" s="1"/>
  <c r="P194" i="4" l="1"/>
  <c r="P195" i="4" s="1"/>
  <c r="Q193" i="4" s="1"/>
  <c r="H151" i="4"/>
  <c r="G158" i="4"/>
  <c r="O116" i="4"/>
  <c r="O117" i="4" s="1"/>
  <c r="P115" i="4" s="1"/>
  <c r="N104" i="4"/>
  <c r="O102" i="4" s="1"/>
  <c r="N103" i="4"/>
  <c r="N90" i="4"/>
  <c r="N91" i="4" s="1"/>
  <c r="O89" i="4" s="1"/>
  <c r="H86" i="4"/>
  <c r="G93" i="4"/>
  <c r="AO20" i="4"/>
  <c r="AO46" i="4" s="1"/>
  <c r="AO19" i="4"/>
  <c r="AO28" i="4" s="1"/>
  <c r="G197" i="4"/>
  <c r="H190" i="4"/>
  <c r="G235" i="4"/>
  <c r="H228" i="4"/>
  <c r="I125" i="4"/>
  <c r="H132" i="4"/>
  <c r="H164" i="4"/>
  <c r="G171" i="4"/>
  <c r="G184" i="4"/>
  <c r="H177" i="4"/>
  <c r="N142" i="4"/>
  <c r="N143" i="4"/>
  <c r="O141" i="4" s="1"/>
  <c r="N181" i="4"/>
  <c r="N182" i="4" s="1"/>
  <c r="O180" i="4" s="1"/>
  <c r="O77" i="4"/>
  <c r="O78" i="4" s="1"/>
  <c r="P76" i="4" s="1"/>
  <c r="J14" i="7"/>
  <c r="L14" i="6" s="1"/>
  <c r="J9" i="4"/>
  <c r="R19" i="4"/>
  <c r="R28" i="4" s="1"/>
  <c r="R20" i="4"/>
  <c r="R46" i="4" s="1"/>
  <c r="G14" i="8"/>
  <c r="I14" i="8"/>
  <c r="H14" i="8"/>
  <c r="S20" i="4"/>
  <c r="S46" i="4" s="1"/>
  <c r="S19" i="4"/>
  <c r="S28" i="4" s="1"/>
  <c r="AE44" i="4"/>
  <c r="AQ42" i="4"/>
  <c r="AE43" i="4"/>
  <c r="D36" i="4"/>
  <c r="E29" i="4"/>
  <c r="D35" i="4"/>
  <c r="E32" i="4"/>
  <c r="E17" i="4"/>
  <c r="I218" i="4"/>
  <c r="I217" i="4"/>
  <c r="J13" i="7"/>
  <c r="L13" i="6" s="1"/>
  <c r="I9" i="4"/>
  <c r="AP24" i="4"/>
  <c r="AD25" i="4"/>
  <c r="AD26" i="4" s="1"/>
  <c r="E33" i="4"/>
  <c r="T42" i="4"/>
  <c r="H42" i="4"/>
  <c r="T24" i="4"/>
  <c r="H25" i="4"/>
  <c r="I13" i="8"/>
  <c r="H224" i="4"/>
  <c r="I240" i="4"/>
  <c r="H247" i="4"/>
  <c r="H113" i="4"/>
  <c r="H114" i="4" s="1"/>
  <c r="N155" i="4"/>
  <c r="N156" i="4" s="1"/>
  <c r="O154" i="4" s="1"/>
  <c r="AO43" i="4"/>
  <c r="AO44" i="4"/>
  <c r="BA42" i="4"/>
  <c r="BA24" i="4"/>
  <c r="AO26" i="4"/>
  <c r="AO25" i="4"/>
  <c r="AP43" i="4"/>
  <c r="AP44" i="4"/>
  <c r="BB42" i="4"/>
  <c r="G80" i="4"/>
  <c r="H73" i="4"/>
  <c r="D53" i="4"/>
  <c r="E50" i="4"/>
  <c r="E51" i="4" s="1"/>
  <c r="BB9" i="4"/>
  <c r="AP12" i="4"/>
  <c r="AP13" i="4" s="1"/>
  <c r="AP14" i="4"/>
  <c r="H100" i="4"/>
  <c r="H101" i="4" s="1"/>
  <c r="T20" i="4"/>
  <c r="T46" i="4" s="1"/>
  <c r="T19" i="4"/>
  <c r="T28" i="4" s="1"/>
  <c r="O168" i="4"/>
  <c r="O169" i="4" s="1"/>
  <c r="P167" i="4" s="1"/>
  <c r="AZ20" i="4"/>
  <c r="AZ46" i="4" s="1"/>
  <c r="AZ19" i="4"/>
  <c r="AZ28" i="4" s="1"/>
  <c r="AZ43" i="4"/>
  <c r="AZ44" i="4"/>
  <c r="H61" i="4"/>
  <c r="H62" i="4" s="1"/>
  <c r="AZ12" i="4"/>
  <c r="AZ13" i="4"/>
  <c r="AZ14" i="4"/>
  <c r="H14" i="4"/>
  <c r="T9" i="4"/>
  <c r="H12" i="4"/>
  <c r="H13" i="4" s="1"/>
  <c r="P207" i="4"/>
  <c r="P208" i="4" s="1"/>
  <c r="Q206" i="4" s="1"/>
  <c r="AC19" i="4"/>
  <c r="AC28" i="4" s="1"/>
  <c r="AC20" i="4"/>
  <c r="AC46" i="4" s="1"/>
  <c r="H210" i="4"/>
  <c r="I203" i="4"/>
  <c r="O129" i="4"/>
  <c r="O130" i="4" s="1"/>
  <c r="P128" i="4" s="1"/>
  <c r="AE19" i="4"/>
  <c r="AE28" i="4" s="1"/>
  <c r="AE20" i="4"/>
  <c r="AE46" i="4" s="1"/>
  <c r="BA9" i="4"/>
  <c r="AO12" i="4"/>
  <c r="AO13" i="4"/>
  <c r="AO14" i="4"/>
  <c r="O64" i="4"/>
  <c r="O65" i="4" s="1"/>
  <c r="P63" i="4" s="1"/>
  <c r="H140" i="4"/>
  <c r="H139" i="4"/>
  <c r="G107" i="4"/>
  <c r="AQ9" i="4"/>
  <c r="AE12" i="4"/>
  <c r="AE14" i="4" s="1"/>
  <c r="AE13" i="4"/>
  <c r="G44" i="4"/>
  <c r="AN13" i="4"/>
  <c r="AE24" i="4"/>
  <c r="S25" i="4"/>
  <c r="S26" i="4" s="1"/>
  <c r="AZ24" i="4"/>
  <c r="AN26" i="4"/>
  <c r="AN25" i="4"/>
  <c r="BK19" i="4"/>
  <c r="BK28" i="4" s="1"/>
  <c r="BK20" i="4"/>
  <c r="BK46" i="4" s="1"/>
  <c r="E47" i="4"/>
  <c r="D54" i="4"/>
  <c r="AD13" i="4"/>
  <c r="AC14" i="4"/>
  <c r="G68" i="4"/>
  <c r="G120" i="4"/>
  <c r="G146" i="4"/>
  <c r="Q207" i="4" l="1"/>
  <c r="Q208" i="4" s="1"/>
  <c r="R206" i="4" s="1"/>
  <c r="P129" i="4"/>
  <c r="P130" i="4" s="1"/>
  <c r="Q128" i="4" s="1"/>
  <c r="P169" i="4"/>
  <c r="Q167" i="4" s="1"/>
  <c r="P168" i="4"/>
  <c r="O90" i="4"/>
  <c r="O91" i="4"/>
  <c r="P89" i="4" s="1"/>
  <c r="P64" i="4"/>
  <c r="P65" i="4"/>
  <c r="Q63" i="4" s="1"/>
  <c r="O182" i="4"/>
  <c r="P180" i="4" s="1"/>
  <c r="O181" i="4"/>
  <c r="AF20" i="4"/>
  <c r="AF46" i="4" s="1"/>
  <c r="AF19" i="4"/>
  <c r="AF28" i="4" s="1"/>
  <c r="I60" i="4"/>
  <c r="H67" i="4"/>
  <c r="I99" i="4"/>
  <c r="H106" i="4"/>
  <c r="P116" i="4"/>
  <c r="P117" i="4" s="1"/>
  <c r="Q115" i="4" s="1"/>
  <c r="O156" i="4"/>
  <c r="P154" i="4" s="1"/>
  <c r="O155" i="4"/>
  <c r="H119" i="4"/>
  <c r="I112" i="4"/>
  <c r="P77" i="4"/>
  <c r="P78" i="4"/>
  <c r="Q76" i="4" s="1"/>
  <c r="Q194" i="4"/>
  <c r="Q195" i="4" s="1"/>
  <c r="R193" i="4" s="1"/>
  <c r="AZ25" i="4"/>
  <c r="AZ26" i="4" s="1"/>
  <c r="I19" i="4"/>
  <c r="I20" i="4"/>
  <c r="G198" i="4"/>
  <c r="BA19" i="4"/>
  <c r="BA28" i="4" s="1"/>
  <c r="BA20" i="4"/>
  <c r="BA46" i="4" s="1"/>
  <c r="T43" i="4"/>
  <c r="T44" i="4"/>
  <c r="AF42" i="4"/>
  <c r="G172" i="4"/>
  <c r="H133" i="4"/>
  <c r="G94" i="4"/>
  <c r="G159" i="4"/>
  <c r="AD19" i="4"/>
  <c r="AD28" i="4" s="1"/>
  <c r="AD20" i="4"/>
  <c r="AD46" i="4" s="1"/>
  <c r="E52" i="4"/>
  <c r="H43" i="4"/>
  <c r="AP19" i="4"/>
  <c r="AP28" i="4" s="1"/>
  <c r="AP20" i="4"/>
  <c r="AP46" i="4" s="1"/>
  <c r="BA43" i="4"/>
  <c r="BA44" i="4"/>
  <c r="H26" i="4"/>
  <c r="E31" i="4"/>
  <c r="AQ24" i="4"/>
  <c r="AE26" i="4"/>
  <c r="AE25" i="4"/>
  <c r="E30" i="4"/>
  <c r="I127" i="4"/>
  <c r="I126" i="4"/>
  <c r="H87" i="4"/>
  <c r="H88" i="4" s="1"/>
  <c r="H152" i="4"/>
  <c r="H153" i="4" s="1"/>
  <c r="O103" i="4"/>
  <c r="O104" i="4" s="1"/>
  <c r="P102" i="4" s="1"/>
  <c r="D55" i="4"/>
  <c r="T25" i="4"/>
  <c r="T26" i="4"/>
  <c r="AF24" i="4"/>
  <c r="AP25" i="4"/>
  <c r="AP26" i="4" s="1"/>
  <c r="BB24" i="4"/>
  <c r="E18" i="4"/>
  <c r="F16" i="4" s="1"/>
  <c r="AQ12" i="4"/>
  <c r="AQ13" i="4"/>
  <c r="AQ14" i="4"/>
  <c r="BC9" i="4"/>
  <c r="H75" i="4"/>
  <c r="H74" i="4"/>
  <c r="H165" i="4"/>
  <c r="H166" i="4" s="1"/>
  <c r="D250" i="4"/>
  <c r="U9" i="4"/>
  <c r="I12" i="4"/>
  <c r="I13" i="4"/>
  <c r="I14" i="4"/>
  <c r="V9" i="4"/>
  <c r="J12" i="4"/>
  <c r="J13" i="4" s="1"/>
  <c r="BA13" i="4"/>
  <c r="BA12" i="4"/>
  <c r="I205" i="4"/>
  <c r="I204" i="4"/>
  <c r="H248" i="4"/>
  <c r="U42" i="4"/>
  <c r="I42" i="4"/>
  <c r="E34" i="4"/>
  <c r="J42" i="4"/>
  <c r="V42" i="4"/>
  <c r="P126" i="11"/>
  <c r="P125" i="11"/>
  <c r="P124" i="11"/>
  <c r="P127" i="11"/>
  <c r="P123" i="11"/>
  <c r="P122" i="11"/>
  <c r="R122" i="11" s="1"/>
  <c r="L17" i="6"/>
  <c r="H229" i="4"/>
  <c r="H230" i="4" s="1"/>
  <c r="J13" i="8"/>
  <c r="I24" i="4"/>
  <c r="H211" i="4"/>
  <c r="I241" i="4"/>
  <c r="I242" i="4" s="1"/>
  <c r="D249" i="4"/>
  <c r="D37" i="4"/>
  <c r="H178" i="4"/>
  <c r="H179" i="4" s="1"/>
  <c r="G236" i="4"/>
  <c r="J14" i="8"/>
  <c r="J24" i="4"/>
  <c r="O142" i="4"/>
  <c r="O143" i="4"/>
  <c r="P141" i="4" s="1"/>
  <c r="G81" i="4"/>
  <c r="AQ20" i="4"/>
  <c r="AQ46" i="4" s="1"/>
  <c r="AQ19" i="4"/>
  <c r="AQ28" i="4" s="1"/>
  <c r="H145" i="4"/>
  <c r="I138" i="4"/>
  <c r="T12" i="4"/>
  <c r="T13" i="4"/>
  <c r="AF9" i="4"/>
  <c r="BB12" i="4"/>
  <c r="BB43" i="4"/>
  <c r="BB44" i="4"/>
  <c r="BA25" i="4"/>
  <c r="BA26" i="4" s="1"/>
  <c r="I223" i="4"/>
  <c r="I224" i="4" s="1"/>
  <c r="J216" i="4"/>
  <c r="E48" i="4"/>
  <c r="E49" i="4" s="1"/>
  <c r="AQ43" i="4"/>
  <c r="AQ44" i="4"/>
  <c r="BC42" i="4"/>
  <c r="G185" i="4"/>
  <c r="H192" i="4"/>
  <c r="H191" i="4"/>
  <c r="I228" i="4" l="1"/>
  <c r="H235" i="4"/>
  <c r="I86" i="4"/>
  <c r="H93" i="4"/>
  <c r="R194" i="4"/>
  <c r="R195" i="4" s="1"/>
  <c r="S193" i="4" s="1"/>
  <c r="H184" i="4"/>
  <c r="I177" i="4"/>
  <c r="E54" i="4"/>
  <c r="F47" i="4"/>
  <c r="Q129" i="4"/>
  <c r="Q130" i="4"/>
  <c r="R128" i="4" s="1"/>
  <c r="P103" i="4"/>
  <c r="P104" i="4"/>
  <c r="Q102" i="4" s="1"/>
  <c r="I151" i="4"/>
  <c r="H158" i="4"/>
  <c r="I164" i="4"/>
  <c r="H171" i="4"/>
  <c r="I247" i="4"/>
  <c r="I248" i="4" s="1"/>
  <c r="J240" i="4"/>
  <c r="Q117" i="4"/>
  <c r="R115" i="4" s="1"/>
  <c r="Q116" i="4"/>
  <c r="R207" i="4"/>
  <c r="R208" i="4" s="1"/>
  <c r="S206" i="4" s="1"/>
  <c r="U24" i="4"/>
  <c r="I25" i="4"/>
  <c r="I26" i="4" s="1"/>
  <c r="F17" i="4"/>
  <c r="E36" i="4"/>
  <c r="F29" i="4"/>
  <c r="E53" i="4"/>
  <c r="F50" i="4"/>
  <c r="I28" i="4"/>
  <c r="AR24" i="4"/>
  <c r="AF25" i="4"/>
  <c r="AF26" i="4" s="1"/>
  <c r="J218" i="4"/>
  <c r="J217" i="4"/>
  <c r="H44" i="4"/>
  <c r="V43" i="4"/>
  <c r="V44" i="4" s="1"/>
  <c r="AH42" i="4"/>
  <c r="I210" i="4"/>
  <c r="I211" i="4" s="1"/>
  <c r="J203" i="4"/>
  <c r="U14" i="4"/>
  <c r="AG9" i="4"/>
  <c r="U12" i="4"/>
  <c r="I73" i="4"/>
  <c r="H80" i="4"/>
  <c r="BB26" i="4"/>
  <c r="BB25" i="4"/>
  <c r="Q77" i="4"/>
  <c r="Q78" i="4"/>
  <c r="R76" i="4" s="1"/>
  <c r="I113" i="4"/>
  <c r="I114" i="4" s="1"/>
  <c r="H107" i="4"/>
  <c r="P182" i="4"/>
  <c r="Q180" i="4" s="1"/>
  <c r="P181" i="4"/>
  <c r="Q168" i="4"/>
  <c r="Q169" i="4"/>
  <c r="R167" i="4" s="1"/>
  <c r="J19" i="4"/>
  <c r="J28" i="4" s="1"/>
  <c r="J20" i="4"/>
  <c r="J46" i="4" s="1"/>
  <c r="P90" i="4"/>
  <c r="P91" i="4"/>
  <c r="Q89" i="4" s="1"/>
  <c r="P142" i="4"/>
  <c r="P143" i="4" s="1"/>
  <c r="Q141" i="4" s="1"/>
  <c r="BB14" i="4"/>
  <c r="I139" i="4"/>
  <c r="I140" i="4" s="1"/>
  <c r="J43" i="4"/>
  <c r="J44" i="4"/>
  <c r="J14" i="4"/>
  <c r="BC14" i="4"/>
  <c r="BC12" i="4"/>
  <c r="BC13" i="4" s="1"/>
  <c r="BC24" i="4"/>
  <c r="AQ25" i="4"/>
  <c r="AQ26" i="4" s="1"/>
  <c r="H120" i="4"/>
  <c r="I101" i="4"/>
  <c r="I100" i="4"/>
  <c r="BC43" i="4"/>
  <c r="BC44" i="4" s="1"/>
  <c r="BB13" i="4"/>
  <c r="H146" i="4"/>
  <c r="J25" i="4"/>
  <c r="J26" i="4" s="1"/>
  <c r="V24" i="4"/>
  <c r="F32" i="4"/>
  <c r="E35" i="4"/>
  <c r="BA14" i="4"/>
  <c r="AR20" i="4"/>
  <c r="AR46" i="4" s="1"/>
  <c r="AR19" i="4"/>
  <c r="AR28" i="4" s="1"/>
  <c r="H68" i="4"/>
  <c r="Q64" i="4"/>
  <c r="Q65" i="4"/>
  <c r="R63" i="4" s="1"/>
  <c r="H197" i="4"/>
  <c r="I190" i="4"/>
  <c r="I46" i="4"/>
  <c r="I43" i="4"/>
  <c r="I44" i="4" s="1"/>
  <c r="D251" i="4"/>
  <c r="S23" i="1"/>
  <c r="J125" i="4"/>
  <c r="I132" i="4"/>
  <c r="I133" i="4" s="1"/>
  <c r="I62" i="4"/>
  <c r="I61" i="4"/>
  <c r="P155" i="4"/>
  <c r="P156" i="4" s="1"/>
  <c r="Q154" i="4" s="1"/>
  <c r="AR9" i="4"/>
  <c r="AF12" i="4"/>
  <c r="AF13" i="4"/>
  <c r="J17" i="8"/>
  <c r="T14" i="4"/>
  <c r="D252" i="4"/>
  <c r="Q23" i="1"/>
  <c r="U43" i="4"/>
  <c r="U44" i="4"/>
  <c r="AG42" i="4"/>
  <c r="AH9" i="4"/>
  <c r="V12" i="4"/>
  <c r="V14" i="4" s="1"/>
  <c r="AF44" i="4"/>
  <c r="AR42" i="4"/>
  <c r="AF43" i="4"/>
  <c r="S207" i="4" l="1"/>
  <c r="S208" i="4" s="1"/>
  <c r="T206" i="4" s="1"/>
  <c r="S194" i="4"/>
  <c r="S195" i="4" s="1"/>
  <c r="T193" i="4" s="1"/>
  <c r="Q155" i="4"/>
  <c r="Q156" i="4" s="1"/>
  <c r="R154" i="4" s="1"/>
  <c r="Q142" i="4"/>
  <c r="Q143" i="4" s="1"/>
  <c r="R141" i="4" s="1"/>
  <c r="I145" i="4"/>
  <c r="I146" i="4" s="1"/>
  <c r="J138" i="4"/>
  <c r="W20" i="4"/>
  <c r="W46" i="4" s="1"/>
  <c r="W19" i="4"/>
  <c r="W28" i="4" s="1"/>
  <c r="I119" i="4"/>
  <c r="I120" i="4" s="1"/>
  <c r="J112" i="4"/>
  <c r="T23" i="1"/>
  <c r="U23" i="1" s="1"/>
  <c r="H198" i="4"/>
  <c r="BD19" i="4"/>
  <c r="BD28" i="4" s="1"/>
  <c r="BD20" i="4"/>
  <c r="BD46" i="4" s="1"/>
  <c r="R116" i="4"/>
  <c r="R117" i="4"/>
  <c r="S115" i="4" s="1"/>
  <c r="I166" i="4"/>
  <c r="I165" i="4"/>
  <c r="F48" i="4"/>
  <c r="H81" i="4"/>
  <c r="K20" i="4"/>
  <c r="K19" i="4"/>
  <c r="Q91" i="4"/>
  <c r="R89" i="4" s="1"/>
  <c r="Q90" i="4"/>
  <c r="I74" i="4"/>
  <c r="I75" i="4" s="1"/>
  <c r="Q181" i="4"/>
  <c r="Q182" i="4" s="1"/>
  <c r="R180" i="4" s="1"/>
  <c r="V26" i="4"/>
  <c r="AH24" i="4"/>
  <c r="V25" i="4"/>
  <c r="H159" i="4"/>
  <c r="AG43" i="4"/>
  <c r="AG44" i="4" s="1"/>
  <c r="AS42" i="4"/>
  <c r="U19" i="4"/>
  <c r="U28" i="4" s="1"/>
  <c r="U20" i="4"/>
  <c r="U46" i="4" s="1"/>
  <c r="BB19" i="4"/>
  <c r="BB28" i="4" s="1"/>
  <c r="BB20" i="4"/>
  <c r="BB46" i="4" s="1"/>
  <c r="BC19" i="4"/>
  <c r="BC28" i="4" s="1"/>
  <c r="BC20" i="4"/>
  <c r="BC46" i="4" s="1"/>
  <c r="I152" i="4"/>
  <c r="I153" i="4" s="1"/>
  <c r="BC25" i="4"/>
  <c r="BC26" i="4" s="1"/>
  <c r="AH43" i="4"/>
  <c r="AH44" i="4"/>
  <c r="AT42" i="4"/>
  <c r="U26" i="4"/>
  <c r="AG24" i="4"/>
  <c r="U25" i="4"/>
  <c r="Q103" i="4"/>
  <c r="Q104" i="4" s="1"/>
  <c r="R102" i="4" s="1"/>
  <c r="I179" i="4"/>
  <c r="I178" i="4"/>
  <c r="H94" i="4"/>
  <c r="AR43" i="4"/>
  <c r="AR44" i="4"/>
  <c r="BD42" i="4"/>
  <c r="E249" i="4"/>
  <c r="E37" i="4"/>
  <c r="F34" i="4"/>
  <c r="F33" i="4"/>
  <c r="AS9" i="4"/>
  <c r="AG12" i="4"/>
  <c r="F51" i="4"/>
  <c r="F52" i="4" s="1"/>
  <c r="J242" i="4"/>
  <c r="J241" i="4"/>
  <c r="H185" i="4"/>
  <c r="I87" i="4"/>
  <c r="I88" i="4" s="1"/>
  <c r="J223" i="4"/>
  <c r="J224" i="4" s="1"/>
  <c r="K216" i="4"/>
  <c r="J60" i="4"/>
  <c r="I67" i="4"/>
  <c r="I68" i="4" s="1"/>
  <c r="R168" i="4"/>
  <c r="R169" i="4"/>
  <c r="S167" i="4" s="1"/>
  <c r="R77" i="4"/>
  <c r="R78" i="4" s="1"/>
  <c r="S76" i="4" s="1"/>
  <c r="V19" i="4"/>
  <c r="V28" i="4" s="1"/>
  <c r="V20" i="4"/>
  <c r="V46" i="4" s="1"/>
  <c r="E55" i="4"/>
  <c r="R129" i="4"/>
  <c r="R130" i="4" s="1"/>
  <c r="S128" i="4" s="1"/>
  <c r="H236" i="4"/>
  <c r="AR12" i="4"/>
  <c r="AR13" i="4"/>
  <c r="BD9" i="4"/>
  <c r="U13" i="4"/>
  <c r="F31" i="4"/>
  <c r="F30" i="4"/>
  <c r="F18" i="4"/>
  <c r="G16" i="4" s="1"/>
  <c r="I229" i="4"/>
  <c r="I230" i="4" s="1"/>
  <c r="R64" i="4"/>
  <c r="R65" i="4" s="1"/>
  <c r="S63" i="4" s="1"/>
  <c r="AT9" i="4"/>
  <c r="AH12" i="4"/>
  <c r="AH13" i="4"/>
  <c r="AH14" i="4"/>
  <c r="V13" i="4"/>
  <c r="AF14" i="4"/>
  <c r="J126" i="4"/>
  <c r="J127" i="4" s="1"/>
  <c r="I191" i="4"/>
  <c r="I192" i="4" s="1"/>
  <c r="J99" i="4"/>
  <c r="I106" i="4"/>
  <c r="I107" i="4" s="1"/>
  <c r="J204" i="4"/>
  <c r="J205" i="4" s="1"/>
  <c r="AR25" i="4"/>
  <c r="AR26" i="4"/>
  <c r="BD24" i="4"/>
  <c r="E250" i="4"/>
  <c r="H172" i="4"/>
  <c r="R103" i="4" l="1"/>
  <c r="R104" i="4"/>
  <c r="S102" i="4" s="1"/>
  <c r="K203" i="4"/>
  <c r="J210" i="4"/>
  <c r="J211" i="4" s="1"/>
  <c r="S77" i="4"/>
  <c r="S78" i="4" s="1"/>
  <c r="T76" i="4" s="1"/>
  <c r="J151" i="4"/>
  <c r="I158" i="4"/>
  <c r="I159" i="4" s="1"/>
  <c r="J132" i="4"/>
  <c r="J133" i="4" s="1"/>
  <c r="K125" i="4"/>
  <c r="R143" i="4"/>
  <c r="S141" i="4" s="1"/>
  <c r="R142" i="4"/>
  <c r="R155" i="4"/>
  <c r="R156" i="4"/>
  <c r="S154" i="4" s="1"/>
  <c r="J86" i="4"/>
  <c r="I93" i="4"/>
  <c r="I94" i="4" s="1"/>
  <c r="S64" i="4"/>
  <c r="S65" i="4"/>
  <c r="T63" i="4" s="1"/>
  <c r="I235" i="4"/>
  <c r="I236" i="4" s="1"/>
  <c r="J228" i="4"/>
  <c r="F53" i="4"/>
  <c r="G50" i="4"/>
  <c r="S129" i="4"/>
  <c r="S130" i="4"/>
  <c r="T128" i="4" s="1"/>
  <c r="R182" i="4"/>
  <c r="S180" i="4" s="1"/>
  <c r="R181" i="4"/>
  <c r="T194" i="4"/>
  <c r="T195" i="4" s="1"/>
  <c r="U193" i="4" s="1"/>
  <c r="I197" i="4"/>
  <c r="I198" i="4" s="1"/>
  <c r="J190" i="4"/>
  <c r="I80" i="4"/>
  <c r="I81" i="4" s="1"/>
  <c r="J73" i="4"/>
  <c r="T208" i="4"/>
  <c r="U206" i="4" s="1"/>
  <c r="T207" i="4"/>
  <c r="F36" i="4"/>
  <c r="G29" i="4"/>
  <c r="AS24" i="4"/>
  <c r="AG25" i="4"/>
  <c r="AG26" i="4" s="1"/>
  <c r="Q24" i="1"/>
  <c r="BE9" i="4"/>
  <c r="AS12" i="4"/>
  <c r="AS13" i="4" s="1"/>
  <c r="AS43" i="4"/>
  <c r="AS44" i="4"/>
  <c r="BE42" i="4"/>
  <c r="F49" i="4"/>
  <c r="J139" i="4"/>
  <c r="J140" i="4" s="1"/>
  <c r="E251" i="4"/>
  <c r="S24" i="1"/>
  <c r="J177" i="4"/>
  <c r="I184" i="4"/>
  <c r="I185" i="4" s="1"/>
  <c r="AG19" i="4"/>
  <c r="AG28" i="4" s="1"/>
  <c r="AG20" i="4"/>
  <c r="AG46" i="4" s="1"/>
  <c r="BD25" i="4"/>
  <c r="BD26" i="4" s="1"/>
  <c r="J101" i="4"/>
  <c r="J100" i="4"/>
  <c r="AI20" i="4"/>
  <c r="AI46" i="4" s="1"/>
  <c r="AI19" i="4"/>
  <c r="AI28" i="4" s="1"/>
  <c r="J61" i="4"/>
  <c r="J62" i="4" s="1"/>
  <c r="J247" i="4"/>
  <c r="J248" i="4" s="1"/>
  <c r="K240" i="4"/>
  <c r="F35" i="4"/>
  <c r="G32" i="4"/>
  <c r="AH25" i="4"/>
  <c r="AH26" i="4"/>
  <c r="AT24" i="4"/>
  <c r="R90" i="4"/>
  <c r="R91" i="4" s="1"/>
  <c r="S89" i="4" s="1"/>
  <c r="J164" i="4"/>
  <c r="I171" i="4"/>
  <c r="I172" i="4" s="1"/>
  <c r="AT43" i="4"/>
  <c r="AT44" i="4" s="1"/>
  <c r="BF42" i="4"/>
  <c r="K28" i="4"/>
  <c r="K46" i="4"/>
  <c r="J113" i="4"/>
  <c r="J114" i="4" s="1"/>
  <c r="K217" i="4"/>
  <c r="K218" i="4" s="1"/>
  <c r="BD43" i="4"/>
  <c r="BD44" i="4" s="1"/>
  <c r="G18" i="4"/>
  <c r="H16" i="4" s="1"/>
  <c r="G17" i="4"/>
  <c r="BD12" i="4"/>
  <c r="BD14" i="4" s="1"/>
  <c r="AG14" i="4"/>
  <c r="S168" i="4"/>
  <c r="S169" i="4"/>
  <c r="T167" i="4" s="1"/>
  <c r="S116" i="4"/>
  <c r="S117" i="4" s="1"/>
  <c r="T115" i="4" s="1"/>
  <c r="AT13" i="4"/>
  <c r="AT14" i="4"/>
  <c r="BF9" i="4"/>
  <c r="AT12" i="4"/>
  <c r="AR14" i="4"/>
  <c r="AG13" i="4"/>
  <c r="T77" i="4" l="1"/>
  <c r="T78" i="4" s="1"/>
  <c r="U76" i="4" s="1"/>
  <c r="S90" i="4"/>
  <c r="S91" i="4" s="1"/>
  <c r="T89" i="4" s="1"/>
  <c r="T116" i="4"/>
  <c r="T117" i="4" s="1"/>
  <c r="U115" i="4" s="1"/>
  <c r="J67" i="4"/>
  <c r="J68" i="4" s="1"/>
  <c r="K60" i="4"/>
  <c r="BE19" i="4"/>
  <c r="BE28" i="4" s="1"/>
  <c r="BE20" i="4"/>
  <c r="BE46" i="4" s="1"/>
  <c r="J145" i="4"/>
  <c r="J146" i="4" s="1"/>
  <c r="K138" i="4"/>
  <c r="U195" i="4"/>
  <c r="V193" i="4" s="1"/>
  <c r="U194" i="4"/>
  <c r="L216" i="4"/>
  <c r="K223" i="4"/>
  <c r="K224" i="4" s="1"/>
  <c r="J119" i="4"/>
  <c r="J120" i="4" s="1"/>
  <c r="K112" i="4"/>
  <c r="U207" i="4"/>
  <c r="U208" i="4" s="1"/>
  <c r="V206" i="4" s="1"/>
  <c r="G52" i="4"/>
  <c r="G51" i="4"/>
  <c r="G33" i="4"/>
  <c r="G34" i="4" s="1"/>
  <c r="BE12" i="4"/>
  <c r="BE13" i="4"/>
  <c r="BE14" i="4"/>
  <c r="J75" i="4"/>
  <c r="J74" i="4"/>
  <c r="J153" i="4"/>
  <c r="J152" i="4"/>
  <c r="S155" i="4"/>
  <c r="S156" i="4" s="1"/>
  <c r="T154" i="4" s="1"/>
  <c r="BF12" i="4"/>
  <c r="B9" i="4"/>
  <c r="C9" i="4" s="1"/>
  <c r="BF43" i="4"/>
  <c r="B43" i="4" s="1"/>
  <c r="C43" i="4" s="1"/>
  <c r="B42" i="4"/>
  <c r="C42" i="4" s="1"/>
  <c r="F249" i="4"/>
  <c r="F37" i="4"/>
  <c r="F54" i="4"/>
  <c r="G47" i="4"/>
  <c r="AS14" i="4"/>
  <c r="J229" i="4"/>
  <c r="J230" i="4" s="1"/>
  <c r="H17" i="4"/>
  <c r="H18" i="4" s="1"/>
  <c r="I16" i="4" s="1"/>
  <c r="K241" i="4"/>
  <c r="K242" i="4" s="1"/>
  <c r="AT26" i="4"/>
  <c r="BF24" i="4"/>
  <c r="AT25" i="4"/>
  <c r="J106" i="4"/>
  <c r="J107" i="4" s="1"/>
  <c r="K99" i="4"/>
  <c r="S181" i="4"/>
  <c r="S182" i="4" s="1"/>
  <c r="T180" i="4" s="1"/>
  <c r="BE43" i="4"/>
  <c r="BE44" i="4"/>
  <c r="G30" i="4"/>
  <c r="G31" i="4" s="1"/>
  <c r="J191" i="4"/>
  <c r="J192" i="4" s="1"/>
  <c r="K126" i="4"/>
  <c r="K127" i="4" s="1"/>
  <c r="K204" i="4"/>
  <c r="K205" i="4" s="1"/>
  <c r="AS26" i="4"/>
  <c r="AS25" i="4"/>
  <c r="BE24" i="4"/>
  <c r="S142" i="4"/>
  <c r="S143" i="4" s="1"/>
  <c r="T141" i="4" s="1"/>
  <c r="F250" i="4"/>
  <c r="T129" i="4"/>
  <c r="T130" i="4"/>
  <c r="U128" i="4" s="1"/>
  <c r="S103" i="4"/>
  <c r="S104" i="4"/>
  <c r="T102" i="4" s="1"/>
  <c r="AU19" i="4"/>
  <c r="AU28" i="4" s="1"/>
  <c r="AU20" i="4"/>
  <c r="AU46" i="4" s="1"/>
  <c r="T168" i="4"/>
  <c r="T169" i="4" s="1"/>
  <c r="U167" i="4" s="1"/>
  <c r="T64" i="4"/>
  <c r="T65" i="4" s="1"/>
  <c r="U63" i="4" s="1"/>
  <c r="AS19" i="4"/>
  <c r="AS28" i="4" s="1"/>
  <c r="AS20" i="4"/>
  <c r="AS46" i="4" s="1"/>
  <c r="AH19" i="4"/>
  <c r="AH28" i="4" s="1"/>
  <c r="AH20" i="4"/>
  <c r="BD13" i="4"/>
  <c r="J165" i="4"/>
  <c r="J166" i="4" s="1"/>
  <c r="J178" i="4"/>
  <c r="J179" i="4" s="1"/>
  <c r="E252" i="4"/>
  <c r="J88" i="4"/>
  <c r="J87" i="4"/>
  <c r="T142" i="4" l="1"/>
  <c r="T143" i="4" s="1"/>
  <c r="U141" i="4" s="1"/>
  <c r="J184" i="4"/>
  <c r="J185" i="4" s="1"/>
  <c r="K177" i="4"/>
  <c r="T182" i="4"/>
  <c r="U180" i="4" s="1"/>
  <c r="T181" i="4"/>
  <c r="U65" i="4"/>
  <c r="V63" i="4" s="1"/>
  <c r="U64" i="4"/>
  <c r="U116" i="4"/>
  <c r="U117" i="4" s="1"/>
  <c r="V115" i="4" s="1"/>
  <c r="H29" i="4"/>
  <c r="G36" i="4"/>
  <c r="U168" i="4"/>
  <c r="U169" i="4" s="1"/>
  <c r="V167" i="4" s="1"/>
  <c r="I18" i="4"/>
  <c r="J16" i="4" s="1"/>
  <c r="I17" i="4"/>
  <c r="J235" i="4"/>
  <c r="J236" i="4" s="1"/>
  <c r="K228" i="4"/>
  <c r="K210" i="4"/>
  <c r="K211" i="4" s="1"/>
  <c r="L203" i="4"/>
  <c r="H32" i="4"/>
  <c r="G35" i="4"/>
  <c r="L125" i="4"/>
  <c r="K132" i="4"/>
  <c r="K133" i="4" s="1"/>
  <c r="T90" i="4"/>
  <c r="T91" i="4"/>
  <c r="U89" i="4" s="1"/>
  <c r="V207" i="4"/>
  <c r="V208" i="4" s="1"/>
  <c r="W206" i="4" s="1"/>
  <c r="K247" i="4"/>
  <c r="K248" i="4" s="1"/>
  <c r="L240" i="4"/>
  <c r="K164" i="4"/>
  <c r="J171" i="4"/>
  <c r="J172" i="4" s="1"/>
  <c r="T155" i="4"/>
  <c r="T156" i="4" s="1"/>
  <c r="U154" i="4" s="1"/>
  <c r="J197" i="4"/>
  <c r="J198" i="4" s="1"/>
  <c r="K190" i="4"/>
  <c r="U77" i="4"/>
  <c r="U78" i="4" s="1"/>
  <c r="V76" i="4" s="1"/>
  <c r="BE25" i="4"/>
  <c r="BE26" i="4"/>
  <c r="V194" i="4"/>
  <c r="V195" i="4" s="1"/>
  <c r="W193" i="4" s="1"/>
  <c r="T24" i="1"/>
  <c r="U24" i="1" s="1"/>
  <c r="G49" i="4"/>
  <c r="G48" i="4"/>
  <c r="BF19" i="4"/>
  <c r="BF28" i="4" s="1"/>
  <c r="BF20" i="4"/>
  <c r="BF46" i="4" s="1"/>
  <c r="K139" i="4"/>
  <c r="K140" i="4" s="1"/>
  <c r="J80" i="4"/>
  <c r="J81" i="4" s="1"/>
  <c r="K73" i="4"/>
  <c r="K101" i="4"/>
  <c r="K100" i="4"/>
  <c r="B12" i="4"/>
  <c r="C12" i="4" s="1"/>
  <c r="AH46" i="4"/>
  <c r="F251" i="4"/>
  <c r="S25" i="1"/>
  <c r="BF44" i="4"/>
  <c r="B44" i="4" s="1"/>
  <c r="C44" i="4" s="1"/>
  <c r="K113" i="4"/>
  <c r="K114" i="4" s="1"/>
  <c r="AT19" i="4"/>
  <c r="AT28" i="4" s="1"/>
  <c r="AT20" i="4"/>
  <c r="AT46" i="4" s="1"/>
  <c r="K61" i="4"/>
  <c r="K62" i="4" s="1"/>
  <c r="K86" i="4"/>
  <c r="J93" i="4"/>
  <c r="J94" i="4" s="1"/>
  <c r="K151" i="4"/>
  <c r="J158" i="4"/>
  <c r="J159" i="4" s="1"/>
  <c r="G53" i="4"/>
  <c r="H50" i="4"/>
  <c r="BF14" i="4"/>
  <c r="F55" i="4"/>
  <c r="L217" i="4"/>
  <c r="L218" i="4" s="1"/>
  <c r="U129" i="4"/>
  <c r="U130" i="4" s="1"/>
  <c r="V128" i="4" s="1"/>
  <c r="T103" i="4"/>
  <c r="T104" i="4" s="1"/>
  <c r="U102" i="4" s="1"/>
  <c r="BF25" i="4"/>
  <c r="B25" i="4" s="1"/>
  <c r="C25" i="4" s="1"/>
  <c r="B24" i="4"/>
  <c r="C24" i="4" s="1"/>
  <c r="F252" i="4"/>
  <c r="T25" i="1" s="1"/>
  <c r="Q25" i="1"/>
  <c r="BF13" i="4"/>
  <c r="B13" i="4" s="1"/>
  <c r="C13" i="4" s="1"/>
  <c r="V77" i="4" l="1"/>
  <c r="V78" i="4"/>
  <c r="W76" i="4" s="1"/>
  <c r="L60" i="4"/>
  <c r="K67" i="4"/>
  <c r="K68" i="4" s="1"/>
  <c r="V116" i="4"/>
  <c r="V117" i="4" s="1"/>
  <c r="W115" i="4" s="1"/>
  <c r="U155" i="4"/>
  <c r="U156" i="4"/>
  <c r="V154" i="4" s="1"/>
  <c r="K119" i="4"/>
  <c r="K120" i="4" s="1"/>
  <c r="L112" i="4"/>
  <c r="V130" i="4"/>
  <c r="W128" i="4" s="1"/>
  <c r="V129" i="4"/>
  <c r="W207" i="4"/>
  <c r="W208" i="4"/>
  <c r="X206" i="4" s="1"/>
  <c r="L223" i="4"/>
  <c r="L224" i="4" s="1"/>
  <c r="M216" i="4"/>
  <c r="W194" i="4"/>
  <c r="W195" i="4"/>
  <c r="X193" i="4" s="1"/>
  <c r="V169" i="4"/>
  <c r="W167" i="4" s="1"/>
  <c r="V168" i="4"/>
  <c r="U103" i="4"/>
  <c r="U104" i="4" s="1"/>
  <c r="V102" i="4" s="1"/>
  <c r="K145" i="4"/>
  <c r="K146" i="4" s="1"/>
  <c r="L138" i="4"/>
  <c r="U142" i="4"/>
  <c r="U143" i="4" s="1"/>
  <c r="V141" i="4" s="1"/>
  <c r="K106" i="4"/>
  <c r="K107" i="4" s="1"/>
  <c r="L99" i="4"/>
  <c r="U90" i="4"/>
  <c r="U91" i="4"/>
  <c r="V89" i="4" s="1"/>
  <c r="K88" i="4"/>
  <c r="K87" i="4"/>
  <c r="B20" i="4"/>
  <c r="C20" i="4" s="1"/>
  <c r="U25" i="1"/>
  <c r="L126" i="4"/>
  <c r="L127" i="4" s="1"/>
  <c r="V64" i="4"/>
  <c r="V65" i="4" s="1"/>
  <c r="W63" i="4" s="1"/>
  <c r="K229" i="4"/>
  <c r="K230" i="4" s="1"/>
  <c r="H51" i="4"/>
  <c r="H52" i="4" s="1"/>
  <c r="K165" i="4"/>
  <c r="K166" i="4" s="1"/>
  <c r="J17" i="4"/>
  <c r="J18" i="4" s="1"/>
  <c r="K16" i="4" s="1"/>
  <c r="BF26" i="4"/>
  <c r="G55" i="4"/>
  <c r="K192" i="4"/>
  <c r="K191" i="4"/>
  <c r="L242" i="4"/>
  <c r="L241" i="4"/>
  <c r="G249" i="4"/>
  <c r="G37" i="4"/>
  <c r="K152" i="4"/>
  <c r="K153" i="4" s="1"/>
  <c r="L204" i="4"/>
  <c r="L205" i="4" s="1"/>
  <c r="G250" i="4"/>
  <c r="K178" i="4"/>
  <c r="K179" i="4" s="1"/>
  <c r="H33" i="4"/>
  <c r="H34" i="4" s="1"/>
  <c r="U181" i="4"/>
  <c r="U182" i="4"/>
  <c r="V180" i="4" s="1"/>
  <c r="BG20" i="4"/>
  <c r="BG46" i="4" s="1"/>
  <c r="BG19" i="4"/>
  <c r="B14" i="4"/>
  <c r="C14" i="4" s="1"/>
  <c r="H30" i="4"/>
  <c r="H31" i="4" s="1"/>
  <c r="G54" i="4"/>
  <c r="H47" i="4"/>
  <c r="K74" i="4"/>
  <c r="K75" i="4" s="1"/>
  <c r="M125" i="4" l="1"/>
  <c r="L132" i="4"/>
  <c r="L133" i="4" s="1"/>
  <c r="L210" i="4"/>
  <c r="L211" i="4" s="1"/>
  <c r="M203" i="4"/>
  <c r="V142" i="4"/>
  <c r="V143" i="4" s="1"/>
  <c r="W141" i="4" s="1"/>
  <c r="L151" i="4"/>
  <c r="K158" i="4"/>
  <c r="K159" i="4" s="1"/>
  <c r="H36" i="4"/>
  <c r="I29" i="4"/>
  <c r="K17" i="4"/>
  <c r="K18" i="4" s="1"/>
  <c r="L16" i="4" s="1"/>
  <c r="W116" i="4"/>
  <c r="W117" i="4" s="1"/>
  <c r="X115" i="4" s="1"/>
  <c r="K171" i="4"/>
  <c r="K172" i="4" s="1"/>
  <c r="L164" i="4"/>
  <c r="V103" i="4"/>
  <c r="V104" i="4" s="1"/>
  <c r="W102" i="4" s="1"/>
  <c r="H53" i="4"/>
  <c r="I50" i="4"/>
  <c r="H35" i="4"/>
  <c r="I32" i="4"/>
  <c r="K235" i="4"/>
  <c r="K236" i="4" s="1"/>
  <c r="L228" i="4"/>
  <c r="K80" i="4"/>
  <c r="K81" i="4" s="1"/>
  <c r="L73" i="4"/>
  <c r="K184" i="4"/>
  <c r="K185" i="4" s="1"/>
  <c r="L177" i="4"/>
  <c r="W64" i="4"/>
  <c r="W65" i="4" s="1"/>
  <c r="X63" i="4" s="1"/>
  <c r="V181" i="4"/>
  <c r="V182" i="4" s="1"/>
  <c r="W180" i="4" s="1"/>
  <c r="V90" i="4"/>
  <c r="V91" i="4"/>
  <c r="W89" i="4" s="1"/>
  <c r="X207" i="4"/>
  <c r="X208" i="4" s="1"/>
  <c r="Y206" i="4" s="1"/>
  <c r="G251" i="4"/>
  <c r="G252" i="4" s="1"/>
  <c r="S26" i="1"/>
  <c r="V155" i="4"/>
  <c r="V156" i="4" s="1"/>
  <c r="W154" i="4" s="1"/>
  <c r="B26" i="4"/>
  <c r="C26" i="4" s="1"/>
  <c r="L100" i="4"/>
  <c r="L101" i="4" s="1"/>
  <c r="Q26" i="1"/>
  <c r="W169" i="4"/>
  <c r="X167" i="4" s="1"/>
  <c r="W168" i="4"/>
  <c r="X194" i="4"/>
  <c r="X195" i="4" s="1"/>
  <c r="Y193" i="4" s="1"/>
  <c r="L62" i="4"/>
  <c r="L61" i="4"/>
  <c r="L86" i="4"/>
  <c r="K93" i="4"/>
  <c r="K94" i="4" s="1"/>
  <c r="W130" i="4"/>
  <c r="X128" i="4" s="1"/>
  <c r="W129" i="4"/>
  <c r="BG28" i="4"/>
  <c r="B19" i="4"/>
  <c r="C19" i="4" s="1"/>
  <c r="L247" i="4"/>
  <c r="L248" i="4" s="1"/>
  <c r="M240" i="4"/>
  <c r="L113" i="4"/>
  <c r="L114" i="4" s="1"/>
  <c r="W77" i="4"/>
  <c r="W78" i="4" s="1"/>
  <c r="X76" i="4" s="1"/>
  <c r="K197" i="4"/>
  <c r="K198" i="4" s="1"/>
  <c r="L190" i="4"/>
  <c r="H48" i="4"/>
  <c r="H49" i="4" s="1"/>
  <c r="B46" i="4"/>
  <c r="C46" i="4" s="1"/>
  <c r="L139" i="4"/>
  <c r="L140" i="4" s="1"/>
  <c r="M218" i="4"/>
  <c r="M217" i="4"/>
  <c r="T26" i="1" l="1"/>
  <c r="U26" i="1" s="1"/>
  <c r="W155" i="4"/>
  <c r="W156" i="4" s="1"/>
  <c r="X154" i="4" s="1"/>
  <c r="X116" i="4"/>
  <c r="X117" i="4" s="1"/>
  <c r="Y115" i="4" s="1"/>
  <c r="L145" i="4"/>
  <c r="L146" i="4" s="1"/>
  <c r="M138" i="4"/>
  <c r="I47" i="4"/>
  <c r="H54" i="4"/>
  <c r="Y207" i="4"/>
  <c r="Y208" i="4" s="1"/>
  <c r="Z206" i="4" s="1"/>
  <c r="W142" i="4"/>
  <c r="W143" i="4"/>
  <c r="X141" i="4" s="1"/>
  <c r="X77" i="4"/>
  <c r="X78" i="4"/>
  <c r="Y76" i="4" s="1"/>
  <c r="L106" i="4"/>
  <c r="L107" i="4" s="1"/>
  <c r="M99" i="4"/>
  <c r="W181" i="4"/>
  <c r="W182" i="4" s="1"/>
  <c r="X180" i="4" s="1"/>
  <c r="L17" i="4"/>
  <c r="L18" i="4" s="1"/>
  <c r="M16" i="4" s="1"/>
  <c r="Y194" i="4"/>
  <c r="Y195" i="4" s="1"/>
  <c r="Z193" i="4" s="1"/>
  <c r="W103" i="4"/>
  <c r="W104" i="4" s="1"/>
  <c r="X102" i="4" s="1"/>
  <c r="L119" i="4"/>
  <c r="L120" i="4" s="1"/>
  <c r="M112" i="4"/>
  <c r="X64" i="4"/>
  <c r="X65" i="4"/>
  <c r="Y63" i="4" s="1"/>
  <c r="L191" i="4"/>
  <c r="L192" i="4" s="1"/>
  <c r="L152" i="4"/>
  <c r="L153" i="4" s="1"/>
  <c r="I33" i="4"/>
  <c r="I34" i="4" s="1"/>
  <c r="M60" i="4"/>
  <c r="L67" i="4"/>
  <c r="L68" i="4" s="1"/>
  <c r="L165" i="4"/>
  <c r="L166" i="4" s="1"/>
  <c r="B28" i="4"/>
  <c r="C28" i="4" s="1"/>
  <c r="H249" i="4"/>
  <c r="H37" i="4"/>
  <c r="M204" i="4"/>
  <c r="M205" i="4" s="1"/>
  <c r="I51" i="4"/>
  <c r="I52" i="4" s="1"/>
  <c r="M223" i="4"/>
  <c r="M224" i="4" s="1"/>
  <c r="N216" i="4"/>
  <c r="L229" i="4"/>
  <c r="L230" i="4" s="1"/>
  <c r="X129" i="4"/>
  <c r="X130" i="4"/>
  <c r="Y128" i="4" s="1"/>
  <c r="L178" i="4"/>
  <c r="L179" i="4" s="1"/>
  <c r="I30" i="4"/>
  <c r="I31" i="4" s="1"/>
  <c r="X168" i="4"/>
  <c r="X169" i="4" s="1"/>
  <c r="Y167" i="4" s="1"/>
  <c r="H55" i="4"/>
  <c r="L87" i="4"/>
  <c r="L88" i="4" s="1"/>
  <c r="W90" i="4"/>
  <c r="W91" i="4"/>
  <c r="X89" i="4" s="1"/>
  <c r="L74" i="4"/>
  <c r="L75" i="4" s="1"/>
  <c r="M241" i="4"/>
  <c r="M242" i="4" s="1"/>
  <c r="H250" i="4"/>
  <c r="M126" i="4"/>
  <c r="M127" i="4" s="1"/>
  <c r="Y168" i="4" l="1"/>
  <c r="Y169" i="4"/>
  <c r="Z167" i="4" s="1"/>
  <c r="M210" i="4"/>
  <c r="M211" i="4" s="1"/>
  <c r="N203" i="4"/>
  <c r="L184" i="4"/>
  <c r="L185" i="4" s="1"/>
  <c r="M177" i="4"/>
  <c r="J29" i="4"/>
  <c r="I36" i="4"/>
  <c r="Z207" i="4"/>
  <c r="Z208" i="4" s="1"/>
  <c r="AA206" i="4" s="1"/>
  <c r="L197" i="4"/>
  <c r="L198" i="4" s="1"/>
  <c r="M190" i="4"/>
  <c r="L80" i="4"/>
  <c r="L81" i="4" s="1"/>
  <c r="M73" i="4"/>
  <c r="X103" i="4"/>
  <c r="X104" i="4"/>
  <c r="Y102" i="4" s="1"/>
  <c r="I53" i="4"/>
  <c r="J50" i="4"/>
  <c r="M18" i="4"/>
  <c r="N16" i="4" s="1"/>
  <c r="M17" i="4"/>
  <c r="X181" i="4"/>
  <c r="X182" i="4" s="1"/>
  <c r="Y180" i="4" s="1"/>
  <c r="M228" i="4"/>
  <c r="L235" i="4"/>
  <c r="L236" i="4" s="1"/>
  <c r="M164" i="4"/>
  <c r="L171" i="4"/>
  <c r="L172" i="4" s="1"/>
  <c r="N125" i="4"/>
  <c r="M132" i="4"/>
  <c r="M133" i="4" s="1"/>
  <c r="L158" i="4"/>
  <c r="L159" i="4" s="1"/>
  <c r="M151" i="4"/>
  <c r="M247" i="4"/>
  <c r="M248" i="4" s="1"/>
  <c r="N240" i="4"/>
  <c r="M86" i="4"/>
  <c r="L93" i="4"/>
  <c r="L94" i="4" s="1"/>
  <c r="Y117" i="4"/>
  <c r="Z115" i="4" s="1"/>
  <c r="Y116" i="4"/>
  <c r="X155" i="4"/>
  <c r="X156" i="4" s="1"/>
  <c r="Y154" i="4" s="1"/>
  <c r="I35" i="4"/>
  <c r="J32" i="4"/>
  <c r="Z194" i="4"/>
  <c r="Z195" i="4" s="1"/>
  <c r="AA193" i="4" s="1"/>
  <c r="Y129" i="4"/>
  <c r="Y130" i="4" s="1"/>
  <c r="Z128" i="4" s="1"/>
  <c r="M61" i="4"/>
  <c r="M62" i="4" s="1"/>
  <c r="N218" i="4"/>
  <c r="N217" i="4"/>
  <c r="H252" i="4"/>
  <c r="Q27" i="1"/>
  <c r="M114" i="4"/>
  <c r="M113" i="4"/>
  <c r="X142" i="4"/>
  <c r="X143" i="4" s="1"/>
  <c r="Y141" i="4" s="1"/>
  <c r="X90" i="4"/>
  <c r="X91" i="4"/>
  <c r="Y89" i="4" s="1"/>
  <c r="M100" i="4"/>
  <c r="M101" i="4" s="1"/>
  <c r="Y64" i="4"/>
  <c r="Y65" i="4" s="1"/>
  <c r="Z63" i="4" s="1"/>
  <c r="H251" i="4"/>
  <c r="S27" i="1"/>
  <c r="I48" i="4"/>
  <c r="I49" i="4" s="1"/>
  <c r="Y77" i="4"/>
  <c r="Y78" i="4"/>
  <c r="Z76" i="4" s="1"/>
  <c r="M140" i="4"/>
  <c r="M139" i="4"/>
  <c r="N60" i="4" l="1"/>
  <c r="M67" i="4"/>
  <c r="M68" i="4" s="1"/>
  <c r="Y142" i="4"/>
  <c r="Y143" i="4" s="1"/>
  <c r="Z141" i="4" s="1"/>
  <c r="J47" i="4"/>
  <c r="I54" i="4"/>
  <c r="I250" i="4" s="1"/>
  <c r="Z129" i="4"/>
  <c r="Z130" i="4"/>
  <c r="AA128" i="4" s="1"/>
  <c r="B193" i="4"/>
  <c r="AA194" i="4"/>
  <c r="AA195" i="4" s="1"/>
  <c r="Y155" i="4"/>
  <c r="Y156" i="4" s="1"/>
  <c r="Z154" i="4" s="1"/>
  <c r="Z64" i="4"/>
  <c r="Z65" i="4" s="1"/>
  <c r="AA63" i="4" s="1"/>
  <c r="M106" i="4"/>
  <c r="M107" i="4" s="1"/>
  <c r="N99" i="4"/>
  <c r="Y181" i="4"/>
  <c r="Y182" i="4" s="1"/>
  <c r="Z180" i="4" s="1"/>
  <c r="AA207" i="4"/>
  <c r="AA208" i="4"/>
  <c r="B206" i="4"/>
  <c r="J33" i="4"/>
  <c r="J34" i="4" s="1"/>
  <c r="I249" i="4"/>
  <c r="I37" i="4"/>
  <c r="M229" i="4"/>
  <c r="M230" i="4" s="1"/>
  <c r="J30" i="4"/>
  <c r="J31" i="4" s="1"/>
  <c r="M153" i="4"/>
  <c r="M152" i="4"/>
  <c r="M74" i="4"/>
  <c r="M75" i="4" s="1"/>
  <c r="M178" i="4"/>
  <c r="M179" i="4" s="1"/>
  <c r="M119" i="4"/>
  <c r="M120" i="4" s="1"/>
  <c r="N112" i="4"/>
  <c r="Y103" i="4"/>
  <c r="Y104" i="4" s="1"/>
  <c r="Z102" i="4" s="1"/>
  <c r="Y90" i="4"/>
  <c r="Y91" i="4" s="1"/>
  <c r="Z89" i="4" s="1"/>
  <c r="T27" i="1"/>
  <c r="U27" i="1" s="1"/>
  <c r="N241" i="4"/>
  <c r="N242" i="4" s="1"/>
  <c r="M191" i="4"/>
  <c r="M192" i="4" s="1"/>
  <c r="N204" i="4"/>
  <c r="N205" i="4" s="1"/>
  <c r="N223" i="4"/>
  <c r="N224" i="4" s="1"/>
  <c r="O216" i="4"/>
  <c r="Z116" i="4"/>
  <c r="Z117" i="4"/>
  <c r="AA115" i="4" s="1"/>
  <c r="N126" i="4"/>
  <c r="N127" i="4" s="1"/>
  <c r="N17" i="4"/>
  <c r="N18" i="4" s="1"/>
  <c r="O16" i="4" s="1"/>
  <c r="J51" i="4"/>
  <c r="J52" i="4" s="1"/>
  <c r="Z168" i="4"/>
  <c r="Z169" i="4"/>
  <c r="AA167" i="4" s="1"/>
  <c r="Z77" i="4"/>
  <c r="Z78" i="4" s="1"/>
  <c r="AA76" i="4" s="1"/>
  <c r="M145" i="4"/>
  <c r="M146" i="4" s="1"/>
  <c r="N138" i="4"/>
  <c r="M87" i="4"/>
  <c r="M88" i="4" s="1"/>
  <c r="M165" i="4"/>
  <c r="M166" i="4" s="1"/>
  <c r="K50" i="4" l="1"/>
  <c r="J53" i="4"/>
  <c r="O125" i="4"/>
  <c r="N132" i="4"/>
  <c r="N133" i="4" s="1"/>
  <c r="O17" i="4"/>
  <c r="O18" i="4" s="1"/>
  <c r="P16" i="4" s="1"/>
  <c r="Z90" i="4"/>
  <c r="Z91" i="4" s="1"/>
  <c r="AA89" i="4" s="1"/>
  <c r="I251" i="4"/>
  <c r="I252" i="4" s="1"/>
  <c r="T28" i="1" s="1"/>
  <c r="U28" i="1" s="1"/>
  <c r="S28" i="1"/>
  <c r="N164" i="4"/>
  <c r="M171" i="4"/>
  <c r="M172" i="4" s="1"/>
  <c r="N86" i="4"/>
  <c r="M93" i="4"/>
  <c r="M94" i="4" s="1"/>
  <c r="AA64" i="4"/>
  <c r="AA65" i="4"/>
  <c r="B63" i="4"/>
  <c r="Z143" i="4"/>
  <c r="AA141" i="4" s="1"/>
  <c r="Z142" i="4"/>
  <c r="N247" i="4"/>
  <c r="N248" i="4" s="1"/>
  <c r="O240" i="4"/>
  <c r="J36" i="4"/>
  <c r="K29" i="4"/>
  <c r="Z182" i="4"/>
  <c r="AA180" i="4" s="1"/>
  <c r="Z181" i="4"/>
  <c r="Z103" i="4"/>
  <c r="Z104" i="4" s="1"/>
  <c r="AA102" i="4" s="1"/>
  <c r="M235" i="4"/>
  <c r="M236" i="4" s="1"/>
  <c r="N228" i="4"/>
  <c r="B76" i="4"/>
  <c r="AA77" i="4"/>
  <c r="AA78" i="4" s="1"/>
  <c r="N210" i="4"/>
  <c r="N211" i="4" s="1"/>
  <c r="O203" i="4"/>
  <c r="M184" i="4"/>
  <c r="M185" i="4" s="1"/>
  <c r="N177" i="4"/>
  <c r="J35" i="4"/>
  <c r="K32" i="4"/>
  <c r="Z155" i="4"/>
  <c r="Z156" i="4"/>
  <c r="AA154" i="4" s="1"/>
  <c r="M197" i="4"/>
  <c r="M198" i="4" s="1"/>
  <c r="N190" i="4"/>
  <c r="N73" i="4"/>
  <c r="M80" i="4"/>
  <c r="M81" i="4" s="1"/>
  <c r="B195" i="4"/>
  <c r="AB193" i="4"/>
  <c r="AA116" i="4"/>
  <c r="AA117" i="4"/>
  <c r="B115" i="4"/>
  <c r="AA129" i="4"/>
  <c r="AA130" i="4"/>
  <c r="B128" i="4"/>
  <c r="N151" i="4"/>
  <c r="M158" i="4"/>
  <c r="M159" i="4" s="1"/>
  <c r="N113" i="4"/>
  <c r="N114" i="4" s="1"/>
  <c r="N139" i="4"/>
  <c r="N140" i="4" s="1"/>
  <c r="B167" i="4"/>
  <c r="AA168" i="4"/>
  <c r="AA169" i="4"/>
  <c r="B208" i="4"/>
  <c r="AB206" i="4"/>
  <c r="O218" i="4"/>
  <c r="O217" i="4"/>
  <c r="J48" i="4"/>
  <c r="J49" i="4" s="1"/>
  <c r="Q28" i="1"/>
  <c r="I55" i="4"/>
  <c r="N101" i="4"/>
  <c r="N100" i="4"/>
  <c r="N61" i="4"/>
  <c r="N62" i="4" s="1"/>
  <c r="B89" i="4" l="1"/>
  <c r="AA90" i="4"/>
  <c r="AA91" i="4" s="1"/>
  <c r="P17" i="4"/>
  <c r="P18" i="4" s="1"/>
  <c r="Q16" i="4" s="1"/>
  <c r="J54" i="4"/>
  <c r="J250" i="4" s="1"/>
  <c r="K47" i="4"/>
  <c r="N145" i="4"/>
  <c r="N146" i="4" s="1"/>
  <c r="O138" i="4"/>
  <c r="B78" i="4"/>
  <c r="AB76" i="4"/>
  <c r="AA103" i="4"/>
  <c r="AA104" i="4"/>
  <c r="B102" i="4"/>
  <c r="N119" i="4"/>
  <c r="N120" i="4" s="1"/>
  <c r="O112" i="4"/>
  <c r="O60" i="4"/>
  <c r="N67" i="4"/>
  <c r="N68" i="4" s="1"/>
  <c r="O99" i="4"/>
  <c r="N106" i="4"/>
  <c r="N107" i="4" s="1"/>
  <c r="AB208" i="4"/>
  <c r="AC206" i="4" s="1"/>
  <c r="AB207" i="4"/>
  <c r="B154" i="4"/>
  <c r="AA155" i="4"/>
  <c r="AA156" i="4" s="1"/>
  <c r="B65" i="4"/>
  <c r="AB63" i="4"/>
  <c r="K30" i="4"/>
  <c r="K31" i="4" s="1"/>
  <c r="B169" i="4"/>
  <c r="AB167" i="4"/>
  <c r="K34" i="4"/>
  <c r="K33" i="4"/>
  <c r="AB115" i="4"/>
  <c r="B117" i="4"/>
  <c r="AA181" i="4"/>
  <c r="AA182" i="4" s="1"/>
  <c r="B180" i="4"/>
  <c r="AB194" i="4"/>
  <c r="AB195" i="4" s="1"/>
  <c r="AC193" i="4" s="1"/>
  <c r="N152" i="4"/>
  <c r="N153" i="4" s="1"/>
  <c r="J249" i="4"/>
  <c r="J37" i="4"/>
  <c r="N230" i="4"/>
  <c r="N229" i="4"/>
  <c r="O242" i="4"/>
  <c r="O241" i="4"/>
  <c r="N87" i="4"/>
  <c r="N88" i="4" s="1"/>
  <c r="N165" i="4"/>
  <c r="N166" i="4" s="1"/>
  <c r="O127" i="4"/>
  <c r="O126" i="4"/>
  <c r="N179" i="4"/>
  <c r="N178" i="4"/>
  <c r="B130" i="4"/>
  <c r="AB128" i="4"/>
  <c r="N75" i="4"/>
  <c r="N74" i="4"/>
  <c r="N191" i="4"/>
  <c r="N192" i="4" s="1"/>
  <c r="O205" i="4"/>
  <c r="O204" i="4"/>
  <c r="B141" i="4"/>
  <c r="AA142" i="4"/>
  <c r="AA143" i="4"/>
  <c r="J55" i="4"/>
  <c r="O223" i="4"/>
  <c r="O224" i="4" s="1"/>
  <c r="C118" i="1" s="1"/>
  <c r="P216" i="4"/>
  <c r="K52" i="4"/>
  <c r="K51" i="4"/>
  <c r="AB154" i="4" l="1"/>
  <c r="B156" i="4"/>
  <c r="J251" i="4"/>
  <c r="J252" i="4" s="1"/>
  <c r="T29" i="1" s="1"/>
  <c r="U29" i="1" s="1"/>
  <c r="S29" i="1"/>
  <c r="O151" i="4"/>
  <c r="N158" i="4"/>
  <c r="N159" i="4" s="1"/>
  <c r="Q17" i="4"/>
  <c r="Q18" i="4" s="1"/>
  <c r="R16" i="4" s="1"/>
  <c r="B182" i="4"/>
  <c r="AB180" i="4"/>
  <c r="N197" i="4"/>
  <c r="N198" i="4" s="1"/>
  <c r="O190" i="4"/>
  <c r="O164" i="4"/>
  <c r="N171" i="4"/>
  <c r="N172" i="4" s="1"/>
  <c r="N93" i="4"/>
  <c r="N94" i="4" s="1"/>
  <c r="O86" i="4"/>
  <c r="AC194" i="4"/>
  <c r="AC195" i="4" s="1"/>
  <c r="AD193" i="4" s="1"/>
  <c r="B91" i="4"/>
  <c r="AB89" i="4"/>
  <c r="L29" i="4"/>
  <c r="K36" i="4"/>
  <c r="O73" i="4"/>
  <c r="N80" i="4"/>
  <c r="N81" i="4" s="1"/>
  <c r="Q29" i="1"/>
  <c r="K48" i="4"/>
  <c r="K49" i="4" s="1"/>
  <c r="O113" i="4"/>
  <c r="O114" i="4" s="1"/>
  <c r="AB129" i="4"/>
  <c r="AB130" i="4"/>
  <c r="AC128" i="4" s="1"/>
  <c r="AB116" i="4"/>
  <c r="AB117" i="4"/>
  <c r="AC115" i="4" s="1"/>
  <c r="B104" i="4"/>
  <c r="AB102" i="4"/>
  <c r="AB141" i="4"/>
  <c r="B143" i="4"/>
  <c r="AC207" i="4"/>
  <c r="AC208" i="4" s="1"/>
  <c r="AD206" i="4" s="1"/>
  <c r="AB64" i="4"/>
  <c r="AB65" i="4"/>
  <c r="AC63" i="4" s="1"/>
  <c r="O100" i="4"/>
  <c r="O101" i="4" s="1"/>
  <c r="O210" i="4"/>
  <c r="O211" i="4" s="1"/>
  <c r="C117" i="1" s="1"/>
  <c r="P203" i="4"/>
  <c r="N184" i="4"/>
  <c r="N185" i="4" s="1"/>
  <c r="O177" i="4"/>
  <c r="P240" i="4"/>
  <c r="O247" i="4"/>
  <c r="O248" i="4" s="1"/>
  <c r="C120" i="1" s="1"/>
  <c r="L32" i="4"/>
  <c r="K35" i="4"/>
  <c r="AB77" i="4"/>
  <c r="AB78" i="4" s="1"/>
  <c r="AC76" i="4" s="1"/>
  <c r="AB168" i="4"/>
  <c r="AB169" i="4"/>
  <c r="AC167" i="4" s="1"/>
  <c r="O61" i="4"/>
  <c r="O62" i="4" s="1"/>
  <c r="K53" i="4"/>
  <c r="L50" i="4"/>
  <c r="P217" i="4"/>
  <c r="P218" i="4" s="1"/>
  <c r="P125" i="4"/>
  <c r="O132" i="4"/>
  <c r="O133" i="4" s="1"/>
  <c r="C111" i="1" s="1"/>
  <c r="N235" i="4"/>
  <c r="N236" i="4" s="1"/>
  <c r="O228" i="4"/>
  <c r="O139" i="4"/>
  <c r="O140" i="4" s="1"/>
  <c r="O145" i="4" l="1"/>
  <c r="O146" i="4" s="1"/>
  <c r="C112" i="1" s="1"/>
  <c r="P138" i="4"/>
  <c r="R18" i="4"/>
  <c r="S16" i="4" s="1"/>
  <c r="R17" i="4"/>
  <c r="K54" i="4"/>
  <c r="K55" i="4" s="1"/>
  <c r="L47" i="4"/>
  <c r="AD194" i="4"/>
  <c r="AD195" i="4" s="1"/>
  <c r="AE193" i="4" s="1"/>
  <c r="AC77" i="4"/>
  <c r="AC78" i="4"/>
  <c r="AD76" i="4" s="1"/>
  <c r="O106" i="4"/>
  <c r="O107" i="4" s="1"/>
  <c r="C109" i="1" s="1"/>
  <c r="P99" i="4"/>
  <c r="Q216" i="4"/>
  <c r="P223" i="4"/>
  <c r="P224" i="4" s="1"/>
  <c r="AD208" i="4"/>
  <c r="AE206" i="4" s="1"/>
  <c r="AD207" i="4"/>
  <c r="P60" i="4"/>
  <c r="O67" i="4"/>
  <c r="O68" i="4" s="1"/>
  <c r="C106" i="1" s="1"/>
  <c r="O119" i="4"/>
  <c r="O120" i="4" s="1"/>
  <c r="C110" i="1" s="1"/>
  <c r="P112" i="4"/>
  <c r="AC168" i="4"/>
  <c r="AC169" i="4"/>
  <c r="AD167" i="4" s="1"/>
  <c r="O179" i="4"/>
  <c r="O178" i="4"/>
  <c r="O74" i="4"/>
  <c r="O75" i="4" s="1"/>
  <c r="O230" i="4"/>
  <c r="O229" i="4"/>
  <c r="AC129" i="4"/>
  <c r="AC130" i="4" s="1"/>
  <c r="AD128" i="4" s="1"/>
  <c r="P205" i="4"/>
  <c r="P204" i="4"/>
  <c r="O87" i="4"/>
  <c r="O88" i="4" s="1"/>
  <c r="AB142" i="4"/>
  <c r="AB143" i="4"/>
  <c r="AC141" i="4" s="1"/>
  <c r="L30" i="4"/>
  <c r="L31" i="4" s="1"/>
  <c r="O165" i="4"/>
  <c r="O166" i="4" s="1"/>
  <c r="O152" i="4"/>
  <c r="O153" i="4" s="1"/>
  <c r="P126" i="4"/>
  <c r="P127" i="4" s="1"/>
  <c r="L51" i="4"/>
  <c r="L52" i="4" s="1"/>
  <c r="K249" i="4"/>
  <c r="K37" i="4"/>
  <c r="AB103" i="4"/>
  <c r="AB104" i="4"/>
  <c r="AC102" i="4" s="1"/>
  <c r="AB90" i="4"/>
  <c r="AB91" i="4"/>
  <c r="AC89" i="4" s="1"/>
  <c r="O191" i="4"/>
  <c r="O192" i="4" s="1"/>
  <c r="L33" i="4"/>
  <c r="L34" i="4" s="1"/>
  <c r="AB182" i="4"/>
  <c r="AC180" i="4" s="1"/>
  <c r="AB181" i="4"/>
  <c r="AC64" i="4"/>
  <c r="AC65" i="4" s="1"/>
  <c r="AD63" i="4" s="1"/>
  <c r="AC117" i="4"/>
  <c r="AD115" i="4" s="1"/>
  <c r="AC116" i="4"/>
  <c r="P241" i="4"/>
  <c r="P242" i="4" s="1"/>
  <c r="AB155" i="4"/>
  <c r="AB156" i="4" s="1"/>
  <c r="AC154" i="4" s="1"/>
  <c r="O80" i="4" l="1"/>
  <c r="O81" i="4" s="1"/>
  <c r="C107" i="1" s="1"/>
  <c r="P73" i="4"/>
  <c r="L53" i="4"/>
  <c r="M50" i="4"/>
  <c r="Q125" i="4"/>
  <c r="P132" i="4"/>
  <c r="P133" i="4" s="1"/>
  <c r="AD129" i="4"/>
  <c r="AD130" i="4" s="1"/>
  <c r="AE128" i="4" s="1"/>
  <c r="AE194" i="4"/>
  <c r="AE195" i="4" s="1"/>
  <c r="AF193" i="4" s="1"/>
  <c r="L35" i="4"/>
  <c r="M32" i="4"/>
  <c r="P151" i="4"/>
  <c r="O158" i="4"/>
  <c r="O159" i="4" s="1"/>
  <c r="C113" i="1" s="1"/>
  <c r="AD64" i="4"/>
  <c r="AD65" i="4" s="1"/>
  <c r="AE63" i="4" s="1"/>
  <c r="P86" i="4"/>
  <c r="O93" i="4"/>
  <c r="O94" i="4" s="1"/>
  <c r="C108" i="1" s="1"/>
  <c r="AC155" i="4"/>
  <c r="AC156" i="4"/>
  <c r="AD154" i="4" s="1"/>
  <c r="O197" i="4"/>
  <c r="O198" i="4" s="1"/>
  <c r="C116" i="1" s="1"/>
  <c r="P190" i="4"/>
  <c r="Q240" i="4"/>
  <c r="P247" i="4"/>
  <c r="P248" i="4" s="1"/>
  <c r="P164" i="4"/>
  <c r="O171" i="4"/>
  <c r="O172" i="4" s="1"/>
  <c r="C114" i="1" s="1"/>
  <c r="L36" i="4"/>
  <c r="M29" i="4"/>
  <c r="AD169" i="4"/>
  <c r="AE167" i="4" s="1"/>
  <c r="AD168" i="4"/>
  <c r="L48" i="4"/>
  <c r="L49" i="4" s="1"/>
  <c r="AE207" i="4"/>
  <c r="AE208" i="4" s="1"/>
  <c r="AF206" i="4" s="1"/>
  <c r="AC90" i="4"/>
  <c r="AC91" i="4"/>
  <c r="AD89" i="4" s="1"/>
  <c r="AC142" i="4"/>
  <c r="AC143" i="4"/>
  <c r="AD141" i="4" s="1"/>
  <c r="P113" i="4"/>
  <c r="P114" i="4" s="1"/>
  <c r="Q218" i="4"/>
  <c r="Q217" i="4"/>
  <c r="P100" i="4"/>
  <c r="P101" i="4" s="1"/>
  <c r="O184" i="4"/>
  <c r="O185" i="4" s="1"/>
  <c r="C115" i="1" s="1"/>
  <c r="P177" i="4"/>
  <c r="AC181" i="4"/>
  <c r="AC182" i="4" s="1"/>
  <c r="AD180" i="4" s="1"/>
  <c r="S18" i="4"/>
  <c r="T16" i="4" s="1"/>
  <c r="S17" i="4"/>
  <c r="P228" i="4"/>
  <c r="O235" i="4"/>
  <c r="O236" i="4" s="1"/>
  <c r="C119" i="1" s="1"/>
  <c r="P61" i="4"/>
  <c r="P62" i="4" s="1"/>
  <c r="AD116" i="4"/>
  <c r="AD117" i="4" s="1"/>
  <c r="AE115" i="4" s="1"/>
  <c r="Q203" i="4"/>
  <c r="P210" i="4"/>
  <c r="P211" i="4" s="1"/>
  <c r="AC103" i="4"/>
  <c r="AC104" i="4" s="1"/>
  <c r="AD102" i="4" s="1"/>
  <c r="K250" i="4"/>
  <c r="AD77" i="4"/>
  <c r="AD78" i="4"/>
  <c r="AE76" i="4" s="1"/>
  <c r="P139" i="4"/>
  <c r="P140" i="4" s="1"/>
  <c r="Q30" i="1"/>
  <c r="AD181" i="4" l="1"/>
  <c r="AD182" i="4" s="1"/>
  <c r="AE180" i="4" s="1"/>
  <c r="P145" i="4"/>
  <c r="P146" i="4" s="1"/>
  <c r="Q138" i="4"/>
  <c r="M47" i="4"/>
  <c r="L54" i="4"/>
  <c r="L250" i="4" s="1"/>
  <c r="AF194" i="4"/>
  <c r="AF195" i="4"/>
  <c r="AG193" i="4" s="1"/>
  <c r="Q60" i="4"/>
  <c r="P67" i="4"/>
  <c r="P68" i="4" s="1"/>
  <c r="AE129" i="4"/>
  <c r="AE130" i="4" s="1"/>
  <c r="AF128" i="4" s="1"/>
  <c r="AE116" i="4"/>
  <c r="AE117" i="4" s="1"/>
  <c r="AF115" i="4" s="1"/>
  <c r="Q99" i="4"/>
  <c r="P106" i="4"/>
  <c r="P107" i="4" s="1"/>
  <c r="AF207" i="4"/>
  <c r="AF208" i="4" s="1"/>
  <c r="AG206" i="4" s="1"/>
  <c r="AE64" i="4"/>
  <c r="AE65" i="4" s="1"/>
  <c r="AF63" i="4" s="1"/>
  <c r="P119" i="4"/>
  <c r="P120" i="4" s="1"/>
  <c r="Q112" i="4"/>
  <c r="AD103" i="4"/>
  <c r="AD104" i="4" s="1"/>
  <c r="AE102" i="4" s="1"/>
  <c r="AD142" i="4"/>
  <c r="AD143" i="4" s="1"/>
  <c r="AE141" i="4" s="1"/>
  <c r="Q241" i="4"/>
  <c r="Q242" i="4" s="1"/>
  <c r="Q223" i="4"/>
  <c r="Q224" i="4" s="1"/>
  <c r="R216" i="4"/>
  <c r="P166" i="4"/>
  <c r="P165" i="4"/>
  <c r="P88" i="4"/>
  <c r="P87" i="4"/>
  <c r="Q204" i="4"/>
  <c r="Q205" i="4" s="1"/>
  <c r="P178" i="4"/>
  <c r="P179" i="4" s="1"/>
  <c r="K251" i="4"/>
  <c r="K252" i="4" s="1"/>
  <c r="T30" i="1" s="1"/>
  <c r="U30" i="1" s="1"/>
  <c r="S30" i="1"/>
  <c r="P191" i="4"/>
  <c r="P192" i="4" s="1"/>
  <c r="AD90" i="4"/>
  <c r="AD91" i="4"/>
  <c r="AE89" i="4" s="1"/>
  <c r="T17" i="4"/>
  <c r="T18" i="4" s="1"/>
  <c r="U16" i="4" s="1"/>
  <c r="AE77" i="4"/>
  <c r="AE78" i="4" s="1"/>
  <c r="AF76" i="4" s="1"/>
  <c r="P152" i="4"/>
  <c r="P153" i="4" s="1"/>
  <c r="Q126" i="4"/>
  <c r="Q127" i="4" s="1"/>
  <c r="M30" i="4"/>
  <c r="M31" i="4" s="1"/>
  <c r="M51" i="4"/>
  <c r="M52" i="4" s="1"/>
  <c r="AE168" i="4"/>
  <c r="AE169" i="4" s="1"/>
  <c r="AF167" i="4" s="1"/>
  <c r="P229" i="4"/>
  <c r="P230" i="4" s="1"/>
  <c r="AD155" i="4"/>
  <c r="AD156" i="4"/>
  <c r="AE154" i="4" s="1"/>
  <c r="M33" i="4"/>
  <c r="M34" i="4" s="1"/>
  <c r="L249" i="4"/>
  <c r="L37" i="4"/>
  <c r="L55" i="4"/>
  <c r="P75" i="4"/>
  <c r="P74" i="4"/>
  <c r="AF168" i="4" l="1"/>
  <c r="AF169" i="4" s="1"/>
  <c r="AG167" i="4" s="1"/>
  <c r="M36" i="4"/>
  <c r="N29" i="4"/>
  <c r="AG207" i="4"/>
  <c r="AG208" i="4" s="1"/>
  <c r="AH206" i="4" s="1"/>
  <c r="R125" i="4"/>
  <c r="Q132" i="4"/>
  <c r="Q133" i="4" s="1"/>
  <c r="L251" i="4"/>
  <c r="S31" i="1"/>
  <c r="Q247" i="4"/>
  <c r="Q248" i="4" s="1"/>
  <c r="R240" i="4"/>
  <c r="AF116" i="4"/>
  <c r="AF117" i="4" s="1"/>
  <c r="AG115" i="4" s="1"/>
  <c r="M53" i="4"/>
  <c r="N50" i="4"/>
  <c r="AF129" i="4"/>
  <c r="AF130" i="4"/>
  <c r="AG128" i="4" s="1"/>
  <c r="P197" i="4"/>
  <c r="P198" i="4" s="1"/>
  <c r="Q190" i="4"/>
  <c r="AF64" i="4"/>
  <c r="AF65" i="4"/>
  <c r="AG63" i="4" s="1"/>
  <c r="N32" i="4"/>
  <c r="M35" i="4"/>
  <c r="Q151" i="4"/>
  <c r="P158" i="4"/>
  <c r="P159" i="4" s="1"/>
  <c r="Q177" i="4"/>
  <c r="P184" i="4"/>
  <c r="P185" i="4" s="1"/>
  <c r="AF77" i="4"/>
  <c r="AF78" i="4"/>
  <c r="AG76" i="4" s="1"/>
  <c r="Q210" i="4"/>
  <c r="Q211" i="4" s="1"/>
  <c r="R203" i="4"/>
  <c r="AE142" i="4"/>
  <c r="AE143" i="4"/>
  <c r="AF141" i="4" s="1"/>
  <c r="U17" i="4"/>
  <c r="U18" i="4" s="1"/>
  <c r="V16" i="4" s="1"/>
  <c r="AE103" i="4"/>
  <c r="AE104" i="4" s="1"/>
  <c r="AF102" i="4" s="1"/>
  <c r="Q228" i="4"/>
  <c r="P235" i="4"/>
  <c r="P236" i="4" s="1"/>
  <c r="AE181" i="4"/>
  <c r="AE182" i="4"/>
  <c r="AF180" i="4" s="1"/>
  <c r="AE155" i="4"/>
  <c r="AE156" i="4" s="1"/>
  <c r="AF154" i="4" s="1"/>
  <c r="AG194" i="4"/>
  <c r="AG195" i="4" s="1"/>
  <c r="AH193" i="4" s="1"/>
  <c r="L252" i="4"/>
  <c r="T31" i="1" s="1"/>
  <c r="Q31" i="1"/>
  <c r="Q139" i="4"/>
  <c r="Q140" i="4" s="1"/>
  <c r="Q164" i="4"/>
  <c r="P171" i="4"/>
  <c r="P172" i="4" s="1"/>
  <c r="M48" i="4"/>
  <c r="M49" i="4" s="1"/>
  <c r="Q86" i="4"/>
  <c r="P93" i="4"/>
  <c r="P94" i="4" s="1"/>
  <c r="Q73" i="4"/>
  <c r="P80" i="4"/>
  <c r="P81" i="4" s="1"/>
  <c r="R218" i="4"/>
  <c r="R217" i="4"/>
  <c r="Q100" i="4"/>
  <c r="Q101" i="4" s="1"/>
  <c r="AE90" i="4"/>
  <c r="AE91" i="4" s="1"/>
  <c r="AF89" i="4" s="1"/>
  <c r="Q113" i="4"/>
  <c r="Q114" i="4" s="1"/>
  <c r="U31" i="1"/>
  <c r="Q61" i="4"/>
  <c r="Q62" i="4" s="1"/>
  <c r="V18" i="4" l="1"/>
  <c r="W16" i="4" s="1"/>
  <c r="V17" i="4"/>
  <c r="Q119" i="4"/>
  <c r="Q120" i="4" s="1"/>
  <c r="R112" i="4"/>
  <c r="AF90" i="4"/>
  <c r="AF91" i="4"/>
  <c r="AG89" i="4" s="1"/>
  <c r="AH207" i="4"/>
  <c r="AH208" i="4" s="1"/>
  <c r="AI206" i="4" s="1"/>
  <c r="AG117" i="4"/>
  <c r="AH115" i="4" s="1"/>
  <c r="AG116" i="4"/>
  <c r="Q145" i="4"/>
  <c r="Q146" i="4" s="1"/>
  <c r="R138" i="4"/>
  <c r="R60" i="4"/>
  <c r="Q67" i="4"/>
  <c r="Q68" i="4" s="1"/>
  <c r="AH194" i="4"/>
  <c r="AH195" i="4" s="1"/>
  <c r="AI193" i="4" s="1"/>
  <c r="AF156" i="4"/>
  <c r="AG154" i="4" s="1"/>
  <c r="AF155" i="4"/>
  <c r="M54" i="4"/>
  <c r="N47" i="4"/>
  <c r="R99" i="4"/>
  <c r="Q106" i="4"/>
  <c r="Q107" i="4" s="1"/>
  <c r="AF103" i="4"/>
  <c r="AF104" i="4"/>
  <c r="AG102" i="4" s="1"/>
  <c r="AG168" i="4"/>
  <c r="AG169" i="4" s="1"/>
  <c r="AH167" i="4" s="1"/>
  <c r="Q229" i="4"/>
  <c r="Q230" i="4" s="1"/>
  <c r="N34" i="4"/>
  <c r="N33" i="4"/>
  <c r="M55" i="4"/>
  <c r="R126" i="4"/>
  <c r="R127" i="4" s="1"/>
  <c r="R204" i="4"/>
  <c r="R205" i="4" s="1"/>
  <c r="Q166" i="4"/>
  <c r="Q165" i="4"/>
  <c r="Q191" i="4"/>
  <c r="Q192" i="4" s="1"/>
  <c r="R241" i="4"/>
  <c r="R242" i="4" s="1"/>
  <c r="N30" i="4"/>
  <c r="N31" i="4" s="1"/>
  <c r="M249" i="4"/>
  <c r="M37" i="4"/>
  <c r="N51" i="4"/>
  <c r="N52" i="4" s="1"/>
  <c r="M250" i="4"/>
  <c r="R223" i="4"/>
  <c r="R224" i="4" s="1"/>
  <c r="S216" i="4"/>
  <c r="Q74" i="4"/>
  <c r="Q75" i="4" s="1"/>
  <c r="AG77" i="4"/>
  <c r="AG78" i="4"/>
  <c r="AH76" i="4" s="1"/>
  <c r="Q88" i="4"/>
  <c r="Q87" i="4"/>
  <c r="Q178" i="4"/>
  <c r="Q179" i="4" s="1"/>
  <c r="AF181" i="4"/>
  <c r="AF182" i="4"/>
  <c r="AG180" i="4" s="1"/>
  <c r="AG129" i="4"/>
  <c r="AG130" i="4"/>
  <c r="AH128" i="4" s="1"/>
  <c r="AG64" i="4"/>
  <c r="AG65" i="4"/>
  <c r="AH63" i="4" s="1"/>
  <c r="AF142" i="4"/>
  <c r="AF143" i="4" s="1"/>
  <c r="AG141" i="4" s="1"/>
  <c r="Q152" i="4"/>
  <c r="Q153" i="4" s="1"/>
  <c r="Q80" i="4" l="1"/>
  <c r="Q81" i="4" s="1"/>
  <c r="R73" i="4"/>
  <c r="Q235" i="4"/>
  <c r="Q236" i="4" s="1"/>
  <c r="R228" i="4"/>
  <c r="R151" i="4"/>
  <c r="Q158" i="4"/>
  <c r="Q159" i="4" s="1"/>
  <c r="AI194" i="4"/>
  <c r="AI195" i="4" s="1"/>
  <c r="AJ193" i="4" s="1"/>
  <c r="N53" i="4"/>
  <c r="O50" i="4"/>
  <c r="S203" i="4"/>
  <c r="R210" i="4"/>
  <c r="R211" i="4" s="1"/>
  <c r="R247" i="4"/>
  <c r="R248" i="4" s="1"/>
  <c r="S240" i="4"/>
  <c r="AH168" i="4"/>
  <c r="AH169" i="4"/>
  <c r="AI167" i="4" s="1"/>
  <c r="R177" i="4"/>
  <c r="Q184" i="4"/>
  <c r="Q185" i="4" s="1"/>
  <c r="AG143" i="4"/>
  <c r="AH141" i="4" s="1"/>
  <c r="AG142" i="4"/>
  <c r="R132" i="4"/>
  <c r="R133" i="4" s="1"/>
  <c r="S125" i="4"/>
  <c r="Q197" i="4"/>
  <c r="Q198" i="4" s="1"/>
  <c r="R190" i="4"/>
  <c r="AI207" i="4"/>
  <c r="AI208" i="4"/>
  <c r="AJ206" i="4" s="1"/>
  <c r="N36" i="4"/>
  <c r="O29" i="4"/>
  <c r="M251" i="4"/>
  <c r="S32" i="1"/>
  <c r="AG90" i="4"/>
  <c r="AG91" i="4" s="1"/>
  <c r="AH89" i="4" s="1"/>
  <c r="R139" i="4"/>
  <c r="R140" i="4" s="1"/>
  <c r="AH64" i="4"/>
  <c r="AH65" i="4" s="1"/>
  <c r="AI63" i="4" s="1"/>
  <c r="AH129" i="4"/>
  <c r="AH130" i="4"/>
  <c r="AI128" i="4" s="1"/>
  <c r="R86" i="4"/>
  <c r="Q93" i="4"/>
  <c r="Q94" i="4" s="1"/>
  <c r="R164" i="4"/>
  <c r="Q171" i="4"/>
  <c r="Q172" i="4" s="1"/>
  <c r="AG103" i="4"/>
  <c r="AG104" i="4"/>
  <c r="AH102" i="4" s="1"/>
  <c r="AH77" i="4"/>
  <c r="AH78" i="4" s="1"/>
  <c r="AI76" i="4" s="1"/>
  <c r="AG181" i="4"/>
  <c r="AG182" i="4"/>
  <c r="AH180" i="4" s="1"/>
  <c r="R100" i="4"/>
  <c r="R101" i="4" s="1"/>
  <c r="R61" i="4"/>
  <c r="R62" i="4" s="1"/>
  <c r="N49" i="4"/>
  <c r="N48" i="4"/>
  <c r="R113" i="4"/>
  <c r="R114" i="4" s="1"/>
  <c r="S217" i="4"/>
  <c r="S218" i="4" s="1"/>
  <c r="M252" i="4"/>
  <c r="T32" i="1" s="1"/>
  <c r="U32" i="1" s="1"/>
  <c r="Q32" i="1"/>
  <c r="N35" i="4"/>
  <c r="O32" i="4"/>
  <c r="AG155" i="4"/>
  <c r="AG156" i="4" s="1"/>
  <c r="AH154" i="4" s="1"/>
  <c r="AH116" i="4"/>
  <c r="AH117" i="4"/>
  <c r="AI115" i="4" s="1"/>
  <c r="W18" i="4"/>
  <c r="X16" i="4" s="1"/>
  <c r="W17" i="4"/>
  <c r="AH90" i="4" l="1"/>
  <c r="AH91" i="4" s="1"/>
  <c r="AI89" i="4" s="1"/>
  <c r="R106" i="4"/>
  <c r="R107" i="4" s="1"/>
  <c r="S99" i="4"/>
  <c r="AI64" i="4"/>
  <c r="AI65" i="4"/>
  <c r="AJ63" i="4" s="1"/>
  <c r="R119" i="4"/>
  <c r="R120" i="4" s="1"/>
  <c r="S112" i="4"/>
  <c r="R145" i="4"/>
  <c r="R146" i="4" s="1"/>
  <c r="S138" i="4"/>
  <c r="AJ195" i="4"/>
  <c r="AK193" i="4" s="1"/>
  <c r="AJ194" i="4"/>
  <c r="AH155" i="4"/>
  <c r="AH156" i="4"/>
  <c r="AI154" i="4" s="1"/>
  <c r="R67" i="4"/>
  <c r="R68" i="4" s="1"/>
  <c r="S60" i="4"/>
  <c r="S223" i="4"/>
  <c r="S224" i="4" s="1"/>
  <c r="T216" i="4"/>
  <c r="AI78" i="4"/>
  <c r="AJ76" i="4" s="1"/>
  <c r="AI77" i="4"/>
  <c r="X17" i="4"/>
  <c r="X18" i="4" s="1"/>
  <c r="Y16" i="4" s="1"/>
  <c r="R153" i="4"/>
  <c r="R152" i="4"/>
  <c r="O31" i="4"/>
  <c r="O30" i="4"/>
  <c r="R229" i="4"/>
  <c r="R230" i="4" s="1"/>
  <c r="AI129" i="4"/>
  <c r="AI130" i="4"/>
  <c r="AJ128" i="4" s="1"/>
  <c r="R192" i="4"/>
  <c r="R191" i="4"/>
  <c r="O33" i="4"/>
  <c r="O34" i="4" s="1"/>
  <c r="S205" i="4"/>
  <c r="S204" i="4"/>
  <c r="AI168" i="4"/>
  <c r="AI169" i="4" s="1"/>
  <c r="AJ167" i="4" s="1"/>
  <c r="AI116" i="4"/>
  <c r="AI117" i="4"/>
  <c r="AJ115" i="4" s="1"/>
  <c r="AH103" i="4"/>
  <c r="AH104" i="4"/>
  <c r="AI102" i="4" s="1"/>
  <c r="S126" i="4"/>
  <c r="S127" i="4" s="1"/>
  <c r="R166" i="4"/>
  <c r="R165" i="4"/>
  <c r="O51" i="4"/>
  <c r="O52" i="4" s="1"/>
  <c r="R74" i="4"/>
  <c r="R75" i="4" s="1"/>
  <c r="N54" i="4"/>
  <c r="N250" i="4" s="1"/>
  <c r="O47" i="4"/>
  <c r="S241" i="4"/>
  <c r="S242" i="4" s="1"/>
  <c r="AH181" i="4"/>
  <c r="AH182" i="4" s="1"/>
  <c r="AI180" i="4" s="1"/>
  <c r="AH143" i="4"/>
  <c r="AI141" i="4" s="1"/>
  <c r="AH142" i="4"/>
  <c r="N249" i="4"/>
  <c r="N37" i="4"/>
  <c r="AJ208" i="4"/>
  <c r="AK206" i="4" s="1"/>
  <c r="AJ207" i="4"/>
  <c r="R87" i="4"/>
  <c r="R88" i="4" s="1"/>
  <c r="R179" i="4"/>
  <c r="R178" i="4"/>
  <c r="N55" i="4"/>
  <c r="S132" i="4" l="1"/>
  <c r="S133" i="4" s="1"/>
  <c r="T125" i="4"/>
  <c r="S247" i="4"/>
  <c r="S248" i="4" s="1"/>
  <c r="T240" i="4"/>
  <c r="Y17" i="4"/>
  <c r="Y18" i="4" s="1"/>
  <c r="Z16" i="4" s="1"/>
  <c r="N251" i="4"/>
  <c r="N252" i="4" s="1"/>
  <c r="T33" i="1" s="1"/>
  <c r="U33" i="1" s="1"/>
  <c r="S33" i="1"/>
  <c r="AI181" i="4"/>
  <c r="AI182" i="4" s="1"/>
  <c r="AJ180" i="4" s="1"/>
  <c r="S86" i="4"/>
  <c r="R93" i="4"/>
  <c r="R94" i="4" s="1"/>
  <c r="R80" i="4"/>
  <c r="R81" i="4" s="1"/>
  <c r="S73" i="4"/>
  <c r="P32" i="4"/>
  <c r="O35" i="4"/>
  <c r="O53" i="4"/>
  <c r="P50" i="4"/>
  <c r="AJ168" i="4"/>
  <c r="AJ169" i="4"/>
  <c r="AK167" i="4" s="1"/>
  <c r="R235" i="4"/>
  <c r="R236" i="4" s="1"/>
  <c r="S228" i="4"/>
  <c r="AI90" i="4"/>
  <c r="AI91" i="4" s="1"/>
  <c r="AJ89" i="4" s="1"/>
  <c r="S113" i="4"/>
  <c r="S114" i="4" s="1"/>
  <c r="AJ116" i="4"/>
  <c r="AJ117" i="4"/>
  <c r="AK115" i="4" s="1"/>
  <c r="AI155" i="4"/>
  <c r="AI156" i="4"/>
  <c r="AJ154" i="4" s="1"/>
  <c r="AJ64" i="4"/>
  <c r="AJ65" i="4" s="1"/>
  <c r="AK63" i="4" s="1"/>
  <c r="AK207" i="4"/>
  <c r="AK208" i="4" s="1"/>
  <c r="AL206" i="4" s="1"/>
  <c r="S210" i="4"/>
  <c r="S211" i="4" s="1"/>
  <c r="T203" i="4"/>
  <c r="S61" i="4"/>
  <c r="S62" i="4" s="1"/>
  <c r="Q33" i="1"/>
  <c r="R184" i="4"/>
  <c r="R185" i="4" s="1"/>
  <c r="S177" i="4"/>
  <c r="O48" i="4"/>
  <c r="O49" i="4" s="1"/>
  <c r="S164" i="4"/>
  <c r="R171" i="4"/>
  <c r="R172" i="4" s="1"/>
  <c r="S190" i="4"/>
  <c r="R197" i="4"/>
  <c r="R198" i="4" s="1"/>
  <c r="P29" i="4"/>
  <c r="O36" i="4"/>
  <c r="S100" i="4"/>
  <c r="S101" i="4" s="1"/>
  <c r="AJ129" i="4"/>
  <c r="AJ130" i="4" s="1"/>
  <c r="AK128" i="4" s="1"/>
  <c r="AJ77" i="4"/>
  <c r="AJ78" i="4" s="1"/>
  <c r="AK76" i="4" s="1"/>
  <c r="T217" i="4"/>
  <c r="T218" i="4" s="1"/>
  <c r="S139" i="4"/>
  <c r="S140" i="4" s="1"/>
  <c r="AI103" i="4"/>
  <c r="AI104" i="4" s="1"/>
  <c r="AJ102" i="4" s="1"/>
  <c r="AI142" i="4"/>
  <c r="AI143" i="4"/>
  <c r="AJ141" i="4" s="1"/>
  <c r="AK194" i="4"/>
  <c r="AK195" i="4" s="1"/>
  <c r="AL193" i="4" s="1"/>
  <c r="S151" i="4"/>
  <c r="R158" i="4"/>
  <c r="R159" i="4" s="1"/>
  <c r="Z17" i="4" l="1"/>
  <c r="Z18" i="4" s="1"/>
  <c r="AA16" i="4" s="1"/>
  <c r="AL207" i="4"/>
  <c r="AL208" i="4" s="1"/>
  <c r="AM206" i="4" s="1"/>
  <c r="AJ103" i="4"/>
  <c r="AJ104" i="4"/>
  <c r="AK102" i="4" s="1"/>
  <c r="S145" i="4"/>
  <c r="S146" i="4" s="1"/>
  <c r="T138" i="4"/>
  <c r="T223" i="4"/>
  <c r="T224" i="4" s="1"/>
  <c r="U216" i="4"/>
  <c r="AK129" i="4"/>
  <c r="AK130" i="4" s="1"/>
  <c r="AL128" i="4" s="1"/>
  <c r="AK64" i="4"/>
  <c r="AK65" i="4" s="1"/>
  <c r="AL63" i="4" s="1"/>
  <c r="AL195" i="4"/>
  <c r="AM193" i="4" s="1"/>
  <c r="AL194" i="4"/>
  <c r="AJ182" i="4"/>
  <c r="AK180" i="4" s="1"/>
  <c r="AJ181" i="4"/>
  <c r="T60" i="4"/>
  <c r="S67" i="4"/>
  <c r="S68" i="4" s="1"/>
  <c r="S119" i="4"/>
  <c r="S120" i="4" s="1"/>
  <c r="T112" i="4"/>
  <c r="AJ90" i="4"/>
  <c r="AJ91" i="4" s="1"/>
  <c r="AK89" i="4" s="1"/>
  <c r="AK77" i="4"/>
  <c r="AK78" i="4" s="1"/>
  <c r="AL76" i="4" s="1"/>
  <c r="O54" i="4"/>
  <c r="P47" i="4"/>
  <c r="S106" i="4"/>
  <c r="S107" i="4" s="1"/>
  <c r="T99" i="4"/>
  <c r="O249" i="4"/>
  <c r="O37" i="4"/>
  <c r="C104" i="1" s="1"/>
  <c r="C121" i="1" s="1"/>
  <c r="S166" i="4"/>
  <c r="S165" i="4"/>
  <c r="P34" i="4"/>
  <c r="P33" i="4"/>
  <c r="AJ155" i="4"/>
  <c r="AJ156" i="4"/>
  <c r="AK154" i="4" s="1"/>
  <c r="S152" i="4"/>
  <c r="S153" i="4" s="1"/>
  <c r="AK117" i="4"/>
  <c r="AL115" i="4" s="1"/>
  <c r="AK116" i="4"/>
  <c r="T204" i="4"/>
  <c r="T205" i="4" s="1"/>
  <c r="T242" i="4"/>
  <c r="T241" i="4"/>
  <c r="S75" i="4"/>
  <c r="S74" i="4"/>
  <c r="S87" i="4"/>
  <c r="S88" i="4" s="1"/>
  <c r="P51" i="4"/>
  <c r="P52" i="4" s="1"/>
  <c r="T126" i="4"/>
  <c r="T127" i="4" s="1"/>
  <c r="S229" i="4"/>
  <c r="S230" i="4" s="1"/>
  <c r="O250" i="4"/>
  <c r="S179" i="4"/>
  <c r="S178" i="4"/>
  <c r="AK168" i="4"/>
  <c r="AK169" i="4" s="1"/>
  <c r="AL167" i="4" s="1"/>
  <c r="AJ142" i="4"/>
  <c r="AJ143" i="4"/>
  <c r="AK141" i="4" s="1"/>
  <c r="P30" i="4"/>
  <c r="P31" i="4" s="1"/>
  <c r="S192" i="4"/>
  <c r="S191" i="4"/>
  <c r="O55" i="4"/>
  <c r="C105" i="1" s="1"/>
  <c r="T86" i="4" l="1"/>
  <c r="S93" i="4"/>
  <c r="S94" i="4" s="1"/>
  <c r="AL129" i="4"/>
  <c r="AL130" i="4" s="1"/>
  <c r="AM128" i="4" s="1"/>
  <c r="AL168" i="4"/>
  <c r="AL169" i="4" s="1"/>
  <c r="AM167" i="4" s="1"/>
  <c r="AL77" i="4"/>
  <c r="AL78" i="4"/>
  <c r="AM76" i="4" s="1"/>
  <c r="T151" i="4"/>
  <c r="S158" i="4"/>
  <c r="S159" i="4" s="1"/>
  <c r="S235" i="4"/>
  <c r="S236" i="4" s="1"/>
  <c r="T228" i="4"/>
  <c r="T210" i="4"/>
  <c r="T211" i="4" s="1"/>
  <c r="U203" i="4"/>
  <c r="P36" i="4"/>
  <c r="Q29" i="4"/>
  <c r="U125" i="4"/>
  <c r="T132" i="4"/>
  <c r="T133" i="4" s="1"/>
  <c r="AK90" i="4"/>
  <c r="AK91" i="4" s="1"/>
  <c r="AL89" i="4" s="1"/>
  <c r="P53" i="4"/>
  <c r="Q50" i="4"/>
  <c r="AL64" i="4"/>
  <c r="AL65" i="4" s="1"/>
  <c r="AM63" i="4" s="1"/>
  <c r="AM207" i="4"/>
  <c r="AM208" i="4"/>
  <c r="AN206" i="4" s="1"/>
  <c r="B16" i="4"/>
  <c r="AA17" i="4"/>
  <c r="AA18" i="4" s="1"/>
  <c r="O251" i="4"/>
  <c r="O252" i="4" s="1"/>
  <c r="S34" i="1"/>
  <c r="T247" i="4"/>
  <c r="T248" i="4" s="1"/>
  <c r="U240" i="4"/>
  <c r="AK155" i="4"/>
  <c r="AK156" i="4"/>
  <c r="AL154" i="4" s="1"/>
  <c r="AK103" i="4"/>
  <c r="AK104" i="4" s="1"/>
  <c r="AL102" i="4" s="1"/>
  <c r="T190" i="4"/>
  <c r="S197" i="4"/>
  <c r="S198" i="4" s="1"/>
  <c r="AM195" i="4"/>
  <c r="AN193" i="4" s="1"/>
  <c r="AM194" i="4"/>
  <c r="T100" i="4"/>
  <c r="T101" i="4" s="1"/>
  <c r="AK142" i="4"/>
  <c r="AK143" i="4"/>
  <c r="AL141" i="4" s="1"/>
  <c r="T113" i="4"/>
  <c r="T114" i="4" s="1"/>
  <c r="P49" i="4"/>
  <c r="P48" i="4"/>
  <c r="Q34" i="1"/>
  <c r="S80" i="4"/>
  <c r="S81" i="4" s="1"/>
  <c r="T73" i="4"/>
  <c r="P35" i="4"/>
  <c r="Q32" i="4"/>
  <c r="T62" i="4"/>
  <c r="T61" i="4"/>
  <c r="S184" i="4"/>
  <c r="S185" i="4" s="1"/>
  <c r="T177" i="4"/>
  <c r="U217" i="4"/>
  <c r="U218" i="4" s="1"/>
  <c r="AL116" i="4"/>
  <c r="AL117" i="4" s="1"/>
  <c r="AM115" i="4" s="1"/>
  <c r="S171" i="4"/>
  <c r="S172" i="4" s="1"/>
  <c r="T164" i="4"/>
  <c r="AK181" i="4"/>
  <c r="AK182" i="4" s="1"/>
  <c r="AL180" i="4" s="1"/>
  <c r="T139" i="4"/>
  <c r="T140" i="4" s="1"/>
  <c r="AL103" i="4" l="1"/>
  <c r="AL104" i="4" s="1"/>
  <c r="AM102" i="4" s="1"/>
  <c r="AM64" i="4"/>
  <c r="AM65" i="4" s="1"/>
  <c r="AN63" i="4" s="1"/>
  <c r="B18" i="4"/>
  <c r="AB16" i="4"/>
  <c r="T119" i="4"/>
  <c r="T120" i="4" s="1"/>
  <c r="U112" i="4"/>
  <c r="AM168" i="4"/>
  <c r="AM169" i="4" s="1"/>
  <c r="AN167" i="4" s="1"/>
  <c r="AM117" i="4"/>
  <c r="AN115" i="4" s="1"/>
  <c r="AM116" i="4"/>
  <c r="AM129" i="4"/>
  <c r="AM130" i="4" s="1"/>
  <c r="AN128" i="4" s="1"/>
  <c r="T145" i="4"/>
  <c r="T146" i="4" s="1"/>
  <c r="U138" i="4"/>
  <c r="AL181" i="4"/>
  <c r="AL182" i="4" s="1"/>
  <c r="AM180" i="4" s="1"/>
  <c r="T106" i="4"/>
  <c r="T107" i="4" s="1"/>
  <c r="U99" i="4"/>
  <c r="U223" i="4"/>
  <c r="U224" i="4" s="1"/>
  <c r="V216" i="4"/>
  <c r="T34" i="1"/>
  <c r="U34" i="1" s="1"/>
  <c r="C124" i="1"/>
  <c r="C126" i="1" s="1"/>
  <c r="AL90" i="4"/>
  <c r="AL91" i="4"/>
  <c r="AM89" i="4" s="1"/>
  <c r="AM77" i="4"/>
  <c r="AM78" i="4"/>
  <c r="AN76" i="4" s="1"/>
  <c r="P249" i="4"/>
  <c r="P37" i="4"/>
  <c r="T192" i="4"/>
  <c r="T191" i="4"/>
  <c r="Q51" i="4"/>
  <c r="Q52" i="4" s="1"/>
  <c r="U204" i="4"/>
  <c r="U205" i="4" s="1"/>
  <c r="Q47" i="4"/>
  <c r="P54" i="4"/>
  <c r="P250" i="4" s="1"/>
  <c r="Q31" i="4"/>
  <c r="Q30" i="4"/>
  <c r="AL142" i="4"/>
  <c r="AL143" i="4"/>
  <c r="AM141" i="4" s="1"/>
  <c r="AN194" i="4"/>
  <c r="AN195" i="4"/>
  <c r="AO193" i="4" s="1"/>
  <c r="T229" i="4"/>
  <c r="T230" i="4" s="1"/>
  <c r="AL155" i="4"/>
  <c r="AL156" i="4"/>
  <c r="AM154" i="4" s="1"/>
  <c r="U60" i="4"/>
  <c r="T67" i="4"/>
  <c r="T68" i="4" s="1"/>
  <c r="Q33" i="4"/>
  <c r="Q34" i="4" s="1"/>
  <c r="T74" i="4"/>
  <c r="T75" i="4" s="1"/>
  <c r="T178" i="4"/>
  <c r="T179" i="4" s="1"/>
  <c r="AN208" i="4"/>
  <c r="AO206" i="4" s="1"/>
  <c r="AN207" i="4"/>
  <c r="T165" i="4"/>
  <c r="T166" i="4" s="1"/>
  <c r="U241" i="4"/>
  <c r="U242" i="4" s="1"/>
  <c r="U126" i="4"/>
  <c r="U127" i="4" s="1"/>
  <c r="T153" i="4"/>
  <c r="T152" i="4"/>
  <c r="T87" i="4"/>
  <c r="T88" i="4" s="1"/>
  <c r="T235" i="4" l="1"/>
  <c r="T236" i="4" s="1"/>
  <c r="U228" i="4"/>
  <c r="U210" i="4"/>
  <c r="U211" i="4" s="1"/>
  <c r="V203" i="4"/>
  <c r="P251" i="4"/>
  <c r="S35" i="1"/>
  <c r="Q53" i="4"/>
  <c r="R50" i="4"/>
  <c r="Q35" i="4"/>
  <c r="R32" i="4"/>
  <c r="AM182" i="4"/>
  <c r="AN180" i="4" s="1"/>
  <c r="AM181" i="4"/>
  <c r="AN129" i="4"/>
  <c r="AN130" i="4"/>
  <c r="AO128" i="4" s="1"/>
  <c r="AN64" i="4"/>
  <c r="AN65" i="4"/>
  <c r="AO63" i="4" s="1"/>
  <c r="U164" i="4"/>
  <c r="T171" i="4"/>
  <c r="T172" i="4" s="1"/>
  <c r="AN169" i="4"/>
  <c r="AO167" i="4" s="1"/>
  <c r="AN168" i="4"/>
  <c r="U86" i="4"/>
  <c r="T93" i="4"/>
  <c r="T94" i="4" s="1"/>
  <c r="T184" i="4"/>
  <c r="T185" i="4" s="1"/>
  <c r="U177" i="4"/>
  <c r="T80" i="4"/>
  <c r="T81" i="4" s="1"/>
  <c r="U73" i="4"/>
  <c r="V125" i="4"/>
  <c r="U132" i="4"/>
  <c r="U133" i="4" s="1"/>
  <c r="U247" i="4"/>
  <c r="U248" i="4" s="1"/>
  <c r="V240" i="4"/>
  <c r="AM103" i="4"/>
  <c r="AM104" i="4" s="1"/>
  <c r="AN102" i="4" s="1"/>
  <c r="R29" i="4"/>
  <c r="Q36" i="4"/>
  <c r="U114" i="4"/>
  <c r="U113" i="4"/>
  <c r="P55" i="4"/>
  <c r="Q48" i="4"/>
  <c r="Q49" i="4" s="1"/>
  <c r="P252" i="4"/>
  <c r="Q35" i="1"/>
  <c r="V217" i="4"/>
  <c r="V218" i="4" s="1"/>
  <c r="AB17" i="4"/>
  <c r="AB18" i="4" s="1"/>
  <c r="AC16" i="4" s="1"/>
  <c r="AN77" i="4"/>
  <c r="AN78" i="4"/>
  <c r="AO76" i="4" s="1"/>
  <c r="U101" i="4"/>
  <c r="U100" i="4"/>
  <c r="T197" i="4"/>
  <c r="T198" i="4" s="1"/>
  <c r="U190" i="4"/>
  <c r="U139" i="4"/>
  <c r="U140" i="4" s="1"/>
  <c r="T158" i="4"/>
  <c r="T159" i="4" s="1"/>
  <c r="U151" i="4"/>
  <c r="AO208" i="4"/>
  <c r="AP206" i="4" s="1"/>
  <c r="AO207" i="4"/>
  <c r="U62" i="4"/>
  <c r="U61" i="4"/>
  <c r="AN116" i="4"/>
  <c r="AN117" i="4" s="1"/>
  <c r="AO115" i="4" s="1"/>
  <c r="AO195" i="4"/>
  <c r="AP193" i="4" s="1"/>
  <c r="AO194" i="4"/>
  <c r="AM142" i="4"/>
  <c r="AM143" i="4"/>
  <c r="AN141" i="4" s="1"/>
  <c r="AM90" i="4"/>
  <c r="AM91" i="4"/>
  <c r="AN89" i="4" s="1"/>
  <c r="AM155" i="4"/>
  <c r="AM156" i="4" s="1"/>
  <c r="AN154" i="4" s="1"/>
  <c r="U145" i="4" l="1"/>
  <c r="U146" i="4" s="1"/>
  <c r="V138" i="4"/>
  <c r="AN103" i="4"/>
  <c r="AN104" i="4"/>
  <c r="AO102" i="4" s="1"/>
  <c r="V223" i="4"/>
  <c r="V224" i="4" s="1"/>
  <c r="W216" i="4"/>
  <c r="AO116" i="4"/>
  <c r="AO117" i="4"/>
  <c r="AP115" i="4" s="1"/>
  <c r="AN155" i="4"/>
  <c r="AN156" i="4" s="1"/>
  <c r="AO154" i="4" s="1"/>
  <c r="R47" i="4"/>
  <c r="Q54" i="4"/>
  <c r="AC17" i="4"/>
  <c r="AC18" i="4" s="1"/>
  <c r="AD16" i="4" s="1"/>
  <c r="AP194" i="4"/>
  <c r="AP195" i="4" s="1"/>
  <c r="AQ193" i="4" s="1"/>
  <c r="U178" i="4"/>
  <c r="U179" i="4" s="1"/>
  <c r="AO129" i="4"/>
  <c r="AO130" i="4" s="1"/>
  <c r="AP128" i="4" s="1"/>
  <c r="U87" i="4"/>
  <c r="U88" i="4" s="1"/>
  <c r="T35" i="1"/>
  <c r="U35" i="1" s="1"/>
  <c r="V242" i="4"/>
  <c r="V241" i="4"/>
  <c r="AN90" i="4"/>
  <c r="AN91" i="4"/>
  <c r="AO89" i="4" s="1"/>
  <c r="U191" i="4"/>
  <c r="U192" i="4" s="1"/>
  <c r="V205" i="4"/>
  <c r="V204" i="4"/>
  <c r="AO64" i="4"/>
  <c r="AO65" i="4" s="1"/>
  <c r="AP63" i="4" s="1"/>
  <c r="AO77" i="4"/>
  <c r="AO78" i="4"/>
  <c r="AP76" i="4" s="1"/>
  <c r="V60" i="4"/>
  <c r="U67" i="4"/>
  <c r="U68" i="4" s="1"/>
  <c r="V112" i="4"/>
  <c r="U119" i="4"/>
  <c r="U120" i="4" s="1"/>
  <c r="V127" i="4"/>
  <c r="V126" i="4"/>
  <c r="AO168" i="4"/>
  <c r="AO169" i="4"/>
  <c r="AP167" i="4" s="1"/>
  <c r="AN181" i="4"/>
  <c r="AN182" i="4" s="1"/>
  <c r="AO180" i="4" s="1"/>
  <c r="U153" i="4"/>
  <c r="U152" i="4"/>
  <c r="R51" i="4"/>
  <c r="R52" i="4" s="1"/>
  <c r="AN142" i="4"/>
  <c r="AN143" i="4" s="1"/>
  <c r="AO141" i="4" s="1"/>
  <c r="Q250" i="4"/>
  <c r="U74" i="4"/>
  <c r="U75" i="4" s="1"/>
  <c r="R33" i="4"/>
  <c r="R34" i="4" s="1"/>
  <c r="U230" i="4"/>
  <c r="U229" i="4"/>
  <c r="Q55" i="4"/>
  <c r="AP207" i="4"/>
  <c r="AP208" i="4"/>
  <c r="AQ206" i="4" s="1"/>
  <c r="U106" i="4"/>
  <c r="U107" i="4" s="1"/>
  <c r="V99" i="4"/>
  <c r="R30" i="4"/>
  <c r="R31" i="4" s="1"/>
  <c r="U165" i="4"/>
  <c r="U166" i="4" s="1"/>
  <c r="Q249" i="4"/>
  <c r="Q37" i="4"/>
  <c r="U197" i="4" l="1"/>
  <c r="U198" i="4" s="1"/>
  <c r="V190" i="4"/>
  <c r="V86" i="4"/>
  <c r="U93" i="4"/>
  <c r="U94" i="4" s="1"/>
  <c r="AP129" i="4"/>
  <c r="AP130" i="4"/>
  <c r="AQ128" i="4" s="1"/>
  <c r="AQ194" i="4"/>
  <c r="AQ195" i="4" s="1"/>
  <c r="AR193" i="4" s="1"/>
  <c r="AD17" i="4"/>
  <c r="AD18" i="4" s="1"/>
  <c r="AE16" i="4" s="1"/>
  <c r="R35" i="4"/>
  <c r="S32" i="4"/>
  <c r="AO142" i="4"/>
  <c r="AO143" i="4" s="1"/>
  <c r="AP141" i="4" s="1"/>
  <c r="S50" i="4"/>
  <c r="R53" i="4"/>
  <c r="V73" i="4"/>
  <c r="U80" i="4"/>
  <c r="U81" i="4" s="1"/>
  <c r="U184" i="4"/>
  <c r="U185" i="4" s="1"/>
  <c r="V177" i="4"/>
  <c r="V164" i="4"/>
  <c r="U171" i="4"/>
  <c r="U172" i="4" s="1"/>
  <c r="AO181" i="4"/>
  <c r="AO182" i="4" s="1"/>
  <c r="AP180" i="4" s="1"/>
  <c r="R36" i="4"/>
  <c r="S29" i="4"/>
  <c r="AP64" i="4"/>
  <c r="AP65" i="4" s="1"/>
  <c r="AQ63" i="4" s="1"/>
  <c r="AO155" i="4"/>
  <c r="AO156" i="4" s="1"/>
  <c r="AP154" i="4" s="1"/>
  <c r="AQ207" i="4"/>
  <c r="AQ208" i="4" s="1"/>
  <c r="AR206" i="4" s="1"/>
  <c r="Q36" i="1"/>
  <c r="W218" i="4"/>
  <c r="W217" i="4"/>
  <c r="AP77" i="4"/>
  <c r="AP78" i="4" s="1"/>
  <c r="AQ76" i="4" s="1"/>
  <c r="AO91" i="4"/>
  <c r="AP89" i="4" s="1"/>
  <c r="AO90" i="4"/>
  <c r="V151" i="4"/>
  <c r="U158" i="4"/>
  <c r="U159" i="4" s="1"/>
  <c r="AP116" i="4"/>
  <c r="AP117" i="4" s="1"/>
  <c r="AQ115" i="4" s="1"/>
  <c r="V61" i="4"/>
  <c r="V62" i="4" s="1"/>
  <c r="AP168" i="4"/>
  <c r="AP169" i="4" s="1"/>
  <c r="AQ167" i="4" s="1"/>
  <c r="AO103" i="4"/>
  <c r="AO104" i="4"/>
  <c r="AP102" i="4" s="1"/>
  <c r="V114" i="4"/>
  <c r="V113" i="4"/>
  <c r="V228" i="4"/>
  <c r="U235" i="4"/>
  <c r="U236" i="4" s="1"/>
  <c r="R49" i="4"/>
  <c r="R48" i="4"/>
  <c r="W125" i="4"/>
  <c r="V132" i="4"/>
  <c r="V133" i="4" s="1"/>
  <c r="W240" i="4"/>
  <c r="V247" i="4"/>
  <c r="V248" i="4" s="1"/>
  <c r="V139" i="4"/>
  <c r="V140" i="4" s="1"/>
  <c r="V210" i="4"/>
  <c r="V211" i="4" s="1"/>
  <c r="W203" i="4"/>
  <c r="Q251" i="4"/>
  <c r="Q252" i="4" s="1"/>
  <c r="S36" i="1"/>
  <c r="V100" i="4"/>
  <c r="V101" i="4" s="1"/>
  <c r="V145" i="4" l="1"/>
  <c r="V146" i="4" s="1"/>
  <c r="W138" i="4"/>
  <c r="AQ64" i="4"/>
  <c r="AQ65" i="4" s="1"/>
  <c r="AR63" i="4" s="1"/>
  <c r="W99" i="4"/>
  <c r="V106" i="4"/>
  <c r="V107" i="4" s="1"/>
  <c r="AQ77" i="4"/>
  <c r="AQ78" i="4" s="1"/>
  <c r="AR76" i="4" s="1"/>
  <c r="AP155" i="4"/>
  <c r="AP156" i="4" s="1"/>
  <c r="AQ154" i="4" s="1"/>
  <c r="AR194" i="4"/>
  <c r="AR195" i="4" s="1"/>
  <c r="AS193" i="4" s="1"/>
  <c r="AQ168" i="4"/>
  <c r="AQ169" i="4"/>
  <c r="AR167" i="4" s="1"/>
  <c r="AP181" i="4"/>
  <c r="AP182" i="4"/>
  <c r="AQ180" i="4" s="1"/>
  <c r="AE18" i="4"/>
  <c r="AF16" i="4" s="1"/>
  <c r="AE17" i="4"/>
  <c r="T36" i="1"/>
  <c r="U36" i="1" s="1"/>
  <c r="W60" i="4"/>
  <c r="V67" i="4"/>
  <c r="V68" i="4" s="1"/>
  <c r="AP142" i="4"/>
  <c r="AP143" i="4" s="1"/>
  <c r="AQ141" i="4" s="1"/>
  <c r="AQ116" i="4"/>
  <c r="AQ117" i="4" s="1"/>
  <c r="AR115" i="4" s="1"/>
  <c r="AR207" i="4"/>
  <c r="AR208" i="4" s="1"/>
  <c r="AS206" i="4" s="1"/>
  <c r="R54" i="4"/>
  <c r="S47" i="4"/>
  <c r="AP90" i="4"/>
  <c r="AP91" i="4" s="1"/>
  <c r="AQ89" i="4" s="1"/>
  <c r="AQ129" i="4"/>
  <c r="AQ130" i="4" s="1"/>
  <c r="AR128" i="4" s="1"/>
  <c r="S51" i="4"/>
  <c r="S52" i="4" s="1"/>
  <c r="V229" i="4"/>
  <c r="V230" i="4" s="1"/>
  <c r="V165" i="4"/>
  <c r="V166" i="4" s="1"/>
  <c r="W241" i="4"/>
  <c r="W242" i="4" s="1"/>
  <c r="V178" i="4"/>
  <c r="V179" i="4" s="1"/>
  <c r="R55" i="4"/>
  <c r="W112" i="4"/>
  <c r="V119" i="4"/>
  <c r="V120" i="4" s="1"/>
  <c r="W223" i="4"/>
  <c r="W224" i="4" s="1"/>
  <c r="X216" i="4"/>
  <c r="S33" i="4"/>
  <c r="S34" i="4" s="1"/>
  <c r="S30" i="4"/>
  <c r="S31" i="4" s="1"/>
  <c r="R249" i="4"/>
  <c r="R37" i="4"/>
  <c r="V88" i="4"/>
  <c r="V87" i="4"/>
  <c r="W126" i="4"/>
  <c r="W127" i="4" s="1"/>
  <c r="AP103" i="4"/>
  <c r="AP104" i="4"/>
  <c r="AQ102" i="4" s="1"/>
  <c r="W204" i="4"/>
  <c r="W205" i="4" s="1"/>
  <c r="V192" i="4"/>
  <c r="V191" i="4"/>
  <c r="V152" i="4"/>
  <c r="V153" i="4" s="1"/>
  <c r="R250" i="4"/>
  <c r="V74" i="4"/>
  <c r="V75" i="4" s="1"/>
  <c r="AQ90" i="4" l="1"/>
  <c r="AQ91" i="4" s="1"/>
  <c r="AR89" i="4" s="1"/>
  <c r="AQ155" i="4"/>
  <c r="AQ156" i="4"/>
  <c r="AR154" i="4" s="1"/>
  <c r="AS207" i="4"/>
  <c r="AS208" i="4" s="1"/>
  <c r="AT206" i="4" s="1"/>
  <c r="AS194" i="4"/>
  <c r="AS195" i="4" s="1"/>
  <c r="AT193" i="4" s="1"/>
  <c r="V184" i="4"/>
  <c r="V185" i="4" s="1"/>
  <c r="W177" i="4"/>
  <c r="T32" i="4"/>
  <c r="S35" i="4"/>
  <c r="AR64" i="4"/>
  <c r="AR65" i="4"/>
  <c r="AS63" i="4" s="1"/>
  <c r="W151" i="4"/>
  <c r="V158" i="4"/>
  <c r="V159" i="4" s="1"/>
  <c r="W210" i="4"/>
  <c r="W211" i="4" s="1"/>
  <c r="X203" i="4"/>
  <c r="AQ142" i="4"/>
  <c r="AQ143" i="4" s="1"/>
  <c r="AR141" i="4" s="1"/>
  <c r="AR129" i="4"/>
  <c r="AR130" i="4"/>
  <c r="AS128" i="4" s="1"/>
  <c r="AR77" i="4"/>
  <c r="AR78" i="4" s="1"/>
  <c r="AS76" i="4" s="1"/>
  <c r="T29" i="4"/>
  <c r="S36" i="4"/>
  <c r="W247" i="4"/>
  <c r="W248" i="4" s="1"/>
  <c r="X240" i="4"/>
  <c r="W164" i="4"/>
  <c r="V171" i="4"/>
  <c r="V172" i="4" s="1"/>
  <c r="AR116" i="4"/>
  <c r="AR117" i="4"/>
  <c r="AS115" i="4" s="1"/>
  <c r="V235" i="4"/>
  <c r="V236" i="4" s="1"/>
  <c r="W228" i="4"/>
  <c r="W73" i="4"/>
  <c r="V80" i="4"/>
  <c r="V81" i="4" s="1"/>
  <c r="X125" i="4"/>
  <c r="W132" i="4"/>
  <c r="W133" i="4" s="1"/>
  <c r="S53" i="4"/>
  <c r="T50" i="4"/>
  <c r="AQ182" i="4"/>
  <c r="AR180" i="4" s="1"/>
  <c r="AQ181" i="4"/>
  <c r="V93" i="4"/>
  <c r="V94" i="4" s="1"/>
  <c r="W86" i="4"/>
  <c r="W61" i="4"/>
  <c r="W62" i="4" s="1"/>
  <c r="W101" i="4"/>
  <c r="W100" i="4"/>
  <c r="AQ103" i="4"/>
  <c r="AQ104" i="4"/>
  <c r="AR102" i="4" s="1"/>
  <c r="W139" i="4"/>
  <c r="W140" i="4" s="1"/>
  <c r="V197" i="4"/>
  <c r="V198" i="4" s="1"/>
  <c r="W190" i="4"/>
  <c r="Q37" i="1"/>
  <c r="W113" i="4"/>
  <c r="W114" i="4" s="1"/>
  <c r="S48" i="4"/>
  <c r="S49" i="4" s="1"/>
  <c r="AR168" i="4"/>
  <c r="AR169" i="4" s="1"/>
  <c r="AS167" i="4" s="1"/>
  <c r="R251" i="4"/>
  <c r="R252" i="4" s="1"/>
  <c r="S37" i="1"/>
  <c r="X217" i="4"/>
  <c r="X218" i="4" s="1"/>
  <c r="AF17" i="4"/>
  <c r="AF18" i="4" s="1"/>
  <c r="AG16" i="4" s="1"/>
  <c r="AT194" i="4" l="1"/>
  <c r="AT195" i="4" s="1"/>
  <c r="AU193" i="4" s="1"/>
  <c r="AS168" i="4"/>
  <c r="AS169" i="4" s="1"/>
  <c r="AT167" i="4" s="1"/>
  <c r="X60" i="4"/>
  <c r="W67" i="4"/>
  <c r="W68" i="4" s="1"/>
  <c r="AR142" i="4"/>
  <c r="AR143" i="4"/>
  <c r="AS141" i="4" s="1"/>
  <c r="X223" i="4"/>
  <c r="X224" i="4" s="1"/>
  <c r="Y216" i="4"/>
  <c r="AT207" i="4"/>
  <c r="AT208" i="4" s="1"/>
  <c r="AU206" i="4" s="1"/>
  <c r="S54" i="4"/>
  <c r="S250" i="4" s="1"/>
  <c r="T47" i="4"/>
  <c r="AG17" i="4"/>
  <c r="AG18" i="4" s="1"/>
  <c r="AH16" i="4" s="1"/>
  <c r="W145" i="4"/>
  <c r="W146" i="4" s="1"/>
  <c r="X138" i="4"/>
  <c r="T37" i="1"/>
  <c r="U37" i="1" s="1"/>
  <c r="AS77" i="4"/>
  <c r="AS78" i="4" s="1"/>
  <c r="AT76" i="4" s="1"/>
  <c r="X112" i="4"/>
  <c r="W119" i="4"/>
  <c r="W120" i="4" s="1"/>
  <c r="AR90" i="4"/>
  <c r="AR91" i="4" s="1"/>
  <c r="AS89" i="4" s="1"/>
  <c r="AS129" i="4"/>
  <c r="AS130" i="4" s="1"/>
  <c r="AT128" i="4" s="1"/>
  <c r="AS65" i="4"/>
  <c r="AT63" i="4" s="1"/>
  <c r="AS64" i="4"/>
  <c r="W152" i="4"/>
  <c r="W153" i="4" s="1"/>
  <c r="AR103" i="4"/>
  <c r="AR104" i="4" s="1"/>
  <c r="AS102" i="4" s="1"/>
  <c r="X126" i="4"/>
  <c r="X127" i="4" s="1"/>
  <c r="W166" i="4"/>
  <c r="W165" i="4"/>
  <c r="AS116" i="4"/>
  <c r="AS117" i="4" s="1"/>
  <c r="AT115" i="4" s="1"/>
  <c r="W87" i="4"/>
  <c r="W88" i="4" s="1"/>
  <c r="X241" i="4"/>
  <c r="X242" i="4" s="1"/>
  <c r="S249" i="4"/>
  <c r="S37" i="4"/>
  <c r="AR155" i="4"/>
  <c r="AR156" i="4"/>
  <c r="AS154" i="4" s="1"/>
  <c r="T51" i="4"/>
  <c r="T52" i="4" s="1"/>
  <c r="T33" i="4"/>
  <c r="T34" i="4" s="1"/>
  <c r="W106" i="4"/>
  <c r="W107" i="4" s="1"/>
  <c r="X99" i="4"/>
  <c r="W230" i="4"/>
  <c r="W229" i="4"/>
  <c r="X204" i="4"/>
  <c r="X205" i="4" s="1"/>
  <c r="W179" i="4"/>
  <c r="W178" i="4"/>
  <c r="W74" i="4"/>
  <c r="W75" i="4" s="1"/>
  <c r="W191" i="4"/>
  <c r="W192" i="4" s="1"/>
  <c r="AR181" i="4"/>
  <c r="AR182" i="4" s="1"/>
  <c r="AS180" i="4" s="1"/>
  <c r="T30" i="4"/>
  <c r="T31" i="4" s="1"/>
  <c r="T36" i="4" l="1"/>
  <c r="U29" i="4"/>
  <c r="Y240" i="4"/>
  <c r="X247" i="4"/>
  <c r="X248" i="4" s="1"/>
  <c r="X86" i="4"/>
  <c r="W93" i="4"/>
  <c r="W94" i="4" s="1"/>
  <c r="AU207" i="4"/>
  <c r="AU208" i="4" s="1"/>
  <c r="AV206" i="4" s="1"/>
  <c r="AT77" i="4"/>
  <c r="AT78" i="4" s="1"/>
  <c r="AU76" i="4" s="1"/>
  <c r="AS181" i="4"/>
  <c r="AS182" i="4" s="1"/>
  <c r="AT180" i="4" s="1"/>
  <c r="AH17" i="4"/>
  <c r="AH18" i="4" s="1"/>
  <c r="AI16" i="4" s="1"/>
  <c r="Y125" i="4"/>
  <c r="X132" i="4"/>
  <c r="X133" i="4" s="1"/>
  <c r="AS103" i="4"/>
  <c r="AS104" i="4" s="1"/>
  <c r="AT102" i="4" s="1"/>
  <c r="X151" i="4"/>
  <c r="W158" i="4"/>
  <c r="W159" i="4" s="1"/>
  <c r="W197" i="4"/>
  <c r="W198" i="4" s="1"/>
  <c r="X190" i="4"/>
  <c r="W80" i="4"/>
  <c r="W81" i="4" s="1"/>
  <c r="X73" i="4"/>
  <c r="T35" i="4"/>
  <c r="U32" i="4"/>
  <c r="AT116" i="4"/>
  <c r="AT117" i="4" s="1"/>
  <c r="AU115" i="4" s="1"/>
  <c r="AT129" i="4"/>
  <c r="AT130" i="4" s="1"/>
  <c r="AU128" i="4" s="1"/>
  <c r="T53" i="4"/>
  <c r="U50" i="4"/>
  <c r="AS90" i="4"/>
  <c r="AS91" i="4"/>
  <c r="AT89" i="4" s="1"/>
  <c r="X210" i="4"/>
  <c r="X211" i="4" s="1"/>
  <c r="Y203" i="4"/>
  <c r="S251" i="4"/>
  <c r="S252" i="4" s="1"/>
  <c r="S38" i="1"/>
  <c r="AT168" i="4"/>
  <c r="AT169" i="4" s="1"/>
  <c r="AU167" i="4" s="1"/>
  <c r="AU194" i="4"/>
  <c r="AU195" i="4" s="1"/>
  <c r="AV193" i="4" s="1"/>
  <c r="AS155" i="4"/>
  <c r="AS156" i="4"/>
  <c r="AT154" i="4" s="1"/>
  <c r="X100" i="4"/>
  <c r="X101" i="4" s="1"/>
  <c r="T48" i="4"/>
  <c r="T49" i="4" s="1"/>
  <c r="X61" i="4"/>
  <c r="X62" i="4" s="1"/>
  <c r="S55" i="4"/>
  <c r="Q38" i="1"/>
  <c r="AT64" i="4"/>
  <c r="AT65" i="4" s="1"/>
  <c r="AU63" i="4" s="1"/>
  <c r="AS142" i="4"/>
  <c r="AS143" i="4" s="1"/>
  <c r="AT141" i="4" s="1"/>
  <c r="X113" i="4"/>
  <c r="X114" i="4" s="1"/>
  <c r="X228" i="4"/>
  <c r="W235" i="4"/>
  <c r="W236" i="4" s="1"/>
  <c r="W184" i="4"/>
  <c r="W185" i="4" s="1"/>
  <c r="X177" i="4"/>
  <c r="X164" i="4"/>
  <c r="W171" i="4"/>
  <c r="W172" i="4" s="1"/>
  <c r="X139" i="4"/>
  <c r="X140" i="4" s="1"/>
  <c r="Y217" i="4"/>
  <c r="Y218" i="4" s="1"/>
  <c r="AU129" i="4" l="1"/>
  <c r="AU130" i="4" s="1"/>
  <c r="AV128" i="4" s="1"/>
  <c r="X145" i="4"/>
  <c r="X146" i="4" s="1"/>
  <c r="Y138" i="4"/>
  <c r="AU169" i="4"/>
  <c r="AV167" i="4" s="1"/>
  <c r="AU168" i="4"/>
  <c r="AV207" i="4"/>
  <c r="AV208" i="4" s="1"/>
  <c r="AW206" i="4" s="1"/>
  <c r="T54" i="4"/>
  <c r="U47" i="4"/>
  <c r="Y99" i="4"/>
  <c r="X106" i="4"/>
  <c r="X107" i="4" s="1"/>
  <c r="AT142" i="4"/>
  <c r="AT143" i="4" s="1"/>
  <c r="AU141" i="4" s="1"/>
  <c r="AU77" i="4"/>
  <c r="AU78" i="4"/>
  <c r="AV76" i="4" s="1"/>
  <c r="Y60" i="4"/>
  <c r="X67" i="4"/>
  <c r="X68" i="4" s="1"/>
  <c r="T38" i="1"/>
  <c r="U38" i="1" s="1"/>
  <c r="AU117" i="4"/>
  <c r="AV115" i="4" s="1"/>
  <c r="AU116" i="4"/>
  <c r="AT103" i="4"/>
  <c r="AT104" i="4" s="1"/>
  <c r="AU102" i="4" s="1"/>
  <c r="Y223" i="4"/>
  <c r="Y224" i="4" s="1"/>
  <c r="Z216" i="4"/>
  <c r="X119" i="4"/>
  <c r="X120" i="4" s="1"/>
  <c r="Y112" i="4"/>
  <c r="AI18" i="4"/>
  <c r="AJ16" i="4" s="1"/>
  <c r="AI17" i="4"/>
  <c r="AU64" i="4"/>
  <c r="AU65" i="4" s="1"/>
  <c r="AV63" i="4" s="1"/>
  <c r="AV194" i="4"/>
  <c r="AV195" i="4" s="1"/>
  <c r="AW193" i="4" s="1"/>
  <c r="AT181" i="4"/>
  <c r="AT182" i="4" s="1"/>
  <c r="AU180" i="4" s="1"/>
  <c r="X192" i="4"/>
  <c r="X191" i="4"/>
  <c r="X229" i="4"/>
  <c r="X230" i="4" s="1"/>
  <c r="Y204" i="4"/>
  <c r="Y205" i="4" s="1"/>
  <c r="X165" i="4"/>
  <c r="X166" i="4" s="1"/>
  <c r="U52" i="4"/>
  <c r="U51" i="4"/>
  <c r="AT155" i="4"/>
  <c r="AT156" i="4"/>
  <c r="AU154" i="4" s="1"/>
  <c r="X152" i="4"/>
  <c r="X153" i="4" s="1"/>
  <c r="Y241" i="4"/>
  <c r="Y242" i="4" s="1"/>
  <c r="X75" i="4"/>
  <c r="X74" i="4"/>
  <c r="X178" i="4"/>
  <c r="X179" i="4" s="1"/>
  <c r="T55" i="4"/>
  <c r="Y127" i="4"/>
  <c r="Y126" i="4"/>
  <c r="AT90" i="4"/>
  <c r="AT91" i="4"/>
  <c r="AU89" i="4" s="1"/>
  <c r="U33" i="4"/>
  <c r="U34" i="4" s="1"/>
  <c r="U31" i="4"/>
  <c r="U30" i="4"/>
  <c r="X88" i="4"/>
  <c r="X87" i="4"/>
  <c r="T249" i="4"/>
  <c r="T37" i="4"/>
  <c r="T250" i="4"/>
  <c r="U35" i="4" l="1"/>
  <c r="V32" i="4"/>
  <c r="Y151" i="4"/>
  <c r="X158" i="4"/>
  <c r="X159" i="4" s="1"/>
  <c r="AU181" i="4"/>
  <c r="AU182" i="4" s="1"/>
  <c r="AV180" i="4" s="1"/>
  <c r="Y247" i="4"/>
  <c r="Y248" i="4" s="1"/>
  <c r="Z240" i="4"/>
  <c r="AW194" i="4"/>
  <c r="AW195" i="4" s="1"/>
  <c r="AX193" i="4" s="1"/>
  <c r="AU103" i="4"/>
  <c r="AU104" i="4" s="1"/>
  <c r="AV102" i="4" s="1"/>
  <c r="AU142" i="4"/>
  <c r="AU143" i="4"/>
  <c r="AV141" i="4" s="1"/>
  <c r="AV64" i="4"/>
  <c r="AV65" i="4"/>
  <c r="AW63" i="4" s="1"/>
  <c r="Y210" i="4"/>
  <c r="Y211" i="4" s="1"/>
  <c r="Z203" i="4"/>
  <c r="Y228" i="4"/>
  <c r="X235" i="4"/>
  <c r="X236" i="4" s="1"/>
  <c r="AW207" i="4"/>
  <c r="AW208" i="4" s="1"/>
  <c r="AX206" i="4" s="1"/>
  <c r="Y177" i="4"/>
  <c r="X184" i="4"/>
  <c r="X185" i="4" s="1"/>
  <c r="Y164" i="4"/>
  <c r="X171" i="4"/>
  <c r="X172" i="4" s="1"/>
  <c r="AV129" i="4"/>
  <c r="AV130" i="4"/>
  <c r="AW128" i="4" s="1"/>
  <c r="AU155" i="4"/>
  <c r="AU156" i="4" s="1"/>
  <c r="AV154" i="4" s="1"/>
  <c r="T251" i="4"/>
  <c r="T252" i="4" s="1"/>
  <c r="S39" i="1"/>
  <c r="AV168" i="4"/>
  <c r="AV169" i="4" s="1"/>
  <c r="AW167" i="4" s="1"/>
  <c r="U36" i="4"/>
  <c r="V29" i="4"/>
  <c r="AU90" i="4"/>
  <c r="AU91" i="4"/>
  <c r="AV89" i="4" s="1"/>
  <c r="AJ17" i="4"/>
  <c r="AJ18" i="4" s="1"/>
  <c r="AK16" i="4" s="1"/>
  <c r="Q39" i="1"/>
  <c r="Y113" i="4"/>
  <c r="Y114" i="4" s="1"/>
  <c r="Y139" i="4"/>
  <c r="Y140" i="4" s="1"/>
  <c r="Y73" i="4"/>
  <c r="X80" i="4"/>
  <c r="X81" i="4" s="1"/>
  <c r="X197" i="4"/>
  <c r="X198" i="4" s="1"/>
  <c r="Y190" i="4"/>
  <c r="AV116" i="4"/>
  <c r="AV117" i="4" s="1"/>
  <c r="AW115" i="4" s="1"/>
  <c r="Y100" i="4"/>
  <c r="Y101" i="4" s="1"/>
  <c r="U49" i="4"/>
  <c r="U48" i="4"/>
  <c r="AV77" i="4"/>
  <c r="AV78" i="4" s="1"/>
  <c r="AW76" i="4" s="1"/>
  <c r="U53" i="4"/>
  <c r="V50" i="4"/>
  <c r="Y86" i="4"/>
  <c r="X93" i="4"/>
  <c r="X94" i="4" s="1"/>
  <c r="Z125" i="4"/>
  <c r="Y132" i="4"/>
  <c r="Y133" i="4" s="1"/>
  <c r="Z217" i="4"/>
  <c r="Z218" i="4" s="1"/>
  <c r="Y61" i="4"/>
  <c r="Y62" i="4" s="1"/>
  <c r="AV181" i="4" l="1"/>
  <c r="AV182" i="4" s="1"/>
  <c r="AW180" i="4" s="1"/>
  <c r="AX194" i="4"/>
  <c r="AX195" i="4" s="1"/>
  <c r="AY193" i="4" s="1"/>
  <c r="AW77" i="4"/>
  <c r="AW78" i="4"/>
  <c r="AX76" i="4" s="1"/>
  <c r="Y145" i="4"/>
  <c r="Y146" i="4" s="1"/>
  <c r="Z138" i="4"/>
  <c r="AW168" i="4"/>
  <c r="AW169" i="4"/>
  <c r="AX167" i="4" s="1"/>
  <c r="Z60" i="4"/>
  <c r="Y67" i="4"/>
  <c r="Y68" i="4" s="1"/>
  <c r="Y119" i="4"/>
  <c r="Y120" i="4" s="1"/>
  <c r="Z112" i="4"/>
  <c r="Z223" i="4"/>
  <c r="Z224" i="4" s="1"/>
  <c r="AA216" i="4"/>
  <c r="AX207" i="4"/>
  <c r="AX208" i="4"/>
  <c r="AY206" i="4" s="1"/>
  <c r="Z99" i="4"/>
  <c r="Y106" i="4"/>
  <c r="Y107" i="4" s="1"/>
  <c r="T39" i="1"/>
  <c r="U39" i="1" s="1"/>
  <c r="AW116" i="4"/>
  <c r="AW117" i="4" s="1"/>
  <c r="AX115" i="4" s="1"/>
  <c r="AK17" i="4"/>
  <c r="AK18" i="4" s="1"/>
  <c r="AL16" i="4" s="1"/>
  <c r="AV155" i="4"/>
  <c r="AV156" i="4" s="1"/>
  <c r="AW154" i="4" s="1"/>
  <c r="AV103" i="4"/>
  <c r="AV104" i="4"/>
  <c r="AW102" i="4" s="1"/>
  <c r="U54" i="4"/>
  <c r="U55" i="4" s="1"/>
  <c r="V47" i="4"/>
  <c r="AV90" i="4"/>
  <c r="AV91" i="4"/>
  <c r="AW89" i="4" s="1"/>
  <c r="AV142" i="4"/>
  <c r="AV143" i="4" s="1"/>
  <c r="AW141" i="4" s="1"/>
  <c r="V30" i="4"/>
  <c r="V31" i="4" s="1"/>
  <c r="AW129" i="4"/>
  <c r="AW130" i="4"/>
  <c r="AX128" i="4" s="1"/>
  <c r="AW64" i="4"/>
  <c r="AW65" i="4"/>
  <c r="AX63" i="4" s="1"/>
  <c r="V51" i="4"/>
  <c r="V52" i="4" s="1"/>
  <c r="Y229" i="4"/>
  <c r="Y230" i="4" s="1"/>
  <c r="Y153" i="4"/>
  <c r="Y152" i="4"/>
  <c r="Z127" i="4"/>
  <c r="Z126" i="4"/>
  <c r="Y178" i="4"/>
  <c r="Y179" i="4" s="1"/>
  <c r="Y191" i="4"/>
  <c r="Y192" i="4" s="1"/>
  <c r="Z205" i="4"/>
  <c r="Z204" i="4"/>
  <c r="V34" i="4"/>
  <c r="V33" i="4"/>
  <c r="Z241" i="4"/>
  <c r="Z242" i="4" s="1"/>
  <c r="Y74" i="4"/>
  <c r="Y75" i="4" s="1"/>
  <c r="Y88" i="4"/>
  <c r="Y87" i="4"/>
  <c r="Y165" i="4"/>
  <c r="Y166" i="4" s="1"/>
  <c r="U249" i="4"/>
  <c r="U37" i="4"/>
  <c r="AY194" i="4" l="1"/>
  <c r="AY195" i="4" s="1"/>
  <c r="AZ193" i="4" s="1"/>
  <c r="Y80" i="4"/>
  <c r="Y81" i="4" s="1"/>
  <c r="Z73" i="4"/>
  <c r="AA240" i="4"/>
  <c r="Z247" i="4"/>
  <c r="Z248" i="4" s="1"/>
  <c r="V36" i="4"/>
  <c r="W29" i="4"/>
  <c r="AW155" i="4"/>
  <c r="AW156" i="4" s="1"/>
  <c r="AX154" i="4" s="1"/>
  <c r="AW142" i="4"/>
  <c r="AW143" i="4" s="1"/>
  <c r="AX141" i="4" s="1"/>
  <c r="AL17" i="4"/>
  <c r="AL18" i="4" s="1"/>
  <c r="AM16" i="4" s="1"/>
  <c r="Y235" i="4"/>
  <c r="Y236" i="4" s="1"/>
  <c r="Z228" i="4"/>
  <c r="AX116" i="4"/>
  <c r="AX117" i="4"/>
  <c r="AY115" i="4" s="1"/>
  <c r="Z164" i="4"/>
  <c r="Y171" i="4"/>
  <c r="Y172" i="4" s="1"/>
  <c r="V53" i="4"/>
  <c r="W50" i="4"/>
  <c r="Y197" i="4"/>
  <c r="Y198" i="4" s="1"/>
  <c r="Z190" i="4"/>
  <c r="Z177" i="4"/>
  <c r="Y184" i="4"/>
  <c r="Y185" i="4" s="1"/>
  <c r="AW181" i="4"/>
  <c r="AW182" i="4" s="1"/>
  <c r="AX180" i="4" s="1"/>
  <c r="Z210" i="4"/>
  <c r="Z211" i="4" s="1"/>
  <c r="AA203" i="4"/>
  <c r="AX129" i="4"/>
  <c r="AX130" i="4"/>
  <c r="AY128" i="4" s="1"/>
  <c r="B216" i="4"/>
  <c r="AA217" i="4"/>
  <c r="AA218" i="4" s="1"/>
  <c r="AW103" i="4"/>
  <c r="AW104" i="4"/>
  <c r="AX102" i="4" s="1"/>
  <c r="AX77" i="4"/>
  <c r="AX78" i="4" s="1"/>
  <c r="AY76" i="4" s="1"/>
  <c r="Z100" i="4"/>
  <c r="Z101" i="4" s="1"/>
  <c r="Z61" i="4"/>
  <c r="Z62" i="4" s="1"/>
  <c r="Z86" i="4"/>
  <c r="Y93" i="4"/>
  <c r="Y94" i="4" s="1"/>
  <c r="Z151" i="4"/>
  <c r="Y158" i="4"/>
  <c r="Y159" i="4" s="1"/>
  <c r="V48" i="4"/>
  <c r="V49" i="4" s="1"/>
  <c r="Z139" i="4"/>
  <c r="Z140" i="4" s="1"/>
  <c r="Z113" i="4"/>
  <c r="Z114" i="4" s="1"/>
  <c r="Q40" i="1"/>
  <c r="U250" i="4"/>
  <c r="V35" i="4"/>
  <c r="W32" i="4"/>
  <c r="Z132" i="4"/>
  <c r="Z133" i="4" s="1"/>
  <c r="AA125" i="4"/>
  <c r="AX64" i="4"/>
  <c r="AX65" i="4"/>
  <c r="AY63" i="4" s="1"/>
  <c r="AW91" i="4"/>
  <c r="AX89" i="4" s="1"/>
  <c r="AW90" i="4"/>
  <c r="AY207" i="4"/>
  <c r="AY208" i="4"/>
  <c r="AZ206" i="4" s="1"/>
  <c r="AX168" i="4"/>
  <c r="AX169" i="4"/>
  <c r="AY167" i="4" s="1"/>
  <c r="Z119" i="4" l="1"/>
  <c r="Z120" i="4" s="1"/>
  <c r="AA112" i="4"/>
  <c r="AX142" i="4"/>
  <c r="AX143" i="4" s="1"/>
  <c r="AY141" i="4" s="1"/>
  <c r="AX155" i="4"/>
  <c r="AX156" i="4"/>
  <c r="AY154" i="4" s="1"/>
  <c r="Z67" i="4"/>
  <c r="Z68" i="4" s="1"/>
  <c r="AA60" i="4"/>
  <c r="Z106" i="4"/>
  <c r="Z107" i="4" s="1"/>
  <c r="AA99" i="4"/>
  <c r="Z145" i="4"/>
  <c r="Z146" i="4" s="1"/>
  <c r="AA138" i="4"/>
  <c r="AY77" i="4"/>
  <c r="AY78" i="4" s="1"/>
  <c r="AZ76" i="4" s="1"/>
  <c r="V54" i="4"/>
  <c r="W47" i="4"/>
  <c r="AX181" i="4"/>
  <c r="AX182" i="4" s="1"/>
  <c r="AY180" i="4" s="1"/>
  <c r="AA223" i="4"/>
  <c r="AA224" i="4" s="1"/>
  <c r="D118" i="1" s="1"/>
  <c r="AB216" i="4"/>
  <c r="B218" i="4"/>
  <c r="AM18" i="4"/>
  <c r="AN16" i="4" s="1"/>
  <c r="AM17" i="4"/>
  <c r="AZ194" i="4"/>
  <c r="AZ195" i="4" s="1"/>
  <c r="BA193" i="4" s="1"/>
  <c r="AX91" i="4"/>
  <c r="AY89" i="4" s="1"/>
  <c r="AX90" i="4"/>
  <c r="AY64" i="4"/>
  <c r="AY65" i="4"/>
  <c r="AZ63" i="4" s="1"/>
  <c r="B203" i="4"/>
  <c r="AA204" i="4"/>
  <c r="AA205" i="4" s="1"/>
  <c r="B240" i="4"/>
  <c r="AA241" i="4"/>
  <c r="AA242" i="4" s="1"/>
  <c r="AY129" i="4"/>
  <c r="AY130" i="4"/>
  <c r="AZ128" i="4" s="1"/>
  <c r="Z230" i="4"/>
  <c r="Z229" i="4"/>
  <c r="W51" i="4"/>
  <c r="W52" i="4" s="1"/>
  <c r="AY168" i="4"/>
  <c r="AY169" i="4" s="1"/>
  <c r="AZ167" i="4" s="1"/>
  <c r="Z87" i="4"/>
  <c r="Z88" i="4" s="1"/>
  <c r="W31" i="4"/>
  <c r="W30" i="4"/>
  <c r="Z152" i="4"/>
  <c r="Z153" i="4" s="1"/>
  <c r="AA127" i="4"/>
  <c r="B125" i="4"/>
  <c r="AA126" i="4"/>
  <c r="V55" i="4"/>
  <c r="AZ207" i="4"/>
  <c r="AZ208" i="4" s="1"/>
  <c r="BA206" i="4" s="1"/>
  <c r="Z165" i="4"/>
  <c r="Z166" i="4" s="1"/>
  <c r="V249" i="4"/>
  <c r="V37" i="4"/>
  <c r="AY116" i="4"/>
  <c r="AY117" i="4"/>
  <c r="AZ115" i="4" s="1"/>
  <c r="Z192" i="4"/>
  <c r="Z191" i="4"/>
  <c r="V250" i="4"/>
  <c r="AX103" i="4"/>
  <c r="AX104" i="4"/>
  <c r="AY102" i="4" s="1"/>
  <c r="Z75" i="4"/>
  <c r="Z74" i="4"/>
  <c r="W33" i="4"/>
  <c r="W34" i="4" s="1"/>
  <c r="U251" i="4"/>
  <c r="U252" i="4" s="1"/>
  <c r="T40" i="1" s="1"/>
  <c r="U40" i="1" s="1"/>
  <c r="S40" i="1"/>
  <c r="Z178" i="4"/>
  <c r="Z179" i="4" s="1"/>
  <c r="AA151" i="4" l="1"/>
  <c r="Z158" i="4"/>
  <c r="Z159" i="4" s="1"/>
  <c r="AY181" i="4"/>
  <c r="AY182" i="4" s="1"/>
  <c r="AZ180" i="4" s="1"/>
  <c r="AA247" i="4"/>
  <c r="AA248" i="4" s="1"/>
  <c r="D120" i="1" s="1"/>
  <c r="AB240" i="4"/>
  <c r="B242" i="4"/>
  <c r="Z184" i="4"/>
  <c r="Z185" i="4" s="1"/>
  <c r="AA177" i="4"/>
  <c r="AA86" i="4"/>
  <c r="Z93" i="4"/>
  <c r="Z94" i="4" s="1"/>
  <c r="AY142" i="4"/>
  <c r="AY143" i="4"/>
  <c r="AZ141" i="4" s="1"/>
  <c r="AA164" i="4"/>
  <c r="Z171" i="4"/>
  <c r="Z172" i="4" s="1"/>
  <c r="BA194" i="4"/>
  <c r="BA195" i="4" s="1"/>
  <c r="BB193" i="4" s="1"/>
  <c r="BA207" i="4"/>
  <c r="BA208" i="4"/>
  <c r="BB206" i="4" s="1"/>
  <c r="AZ77" i="4"/>
  <c r="AZ78" i="4" s="1"/>
  <c r="BA76" i="4" s="1"/>
  <c r="AZ168" i="4"/>
  <c r="AZ169" i="4"/>
  <c r="BA167" i="4" s="1"/>
  <c r="AA210" i="4"/>
  <c r="AA211" i="4" s="1"/>
  <c r="D117" i="1" s="1"/>
  <c r="AB203" i="4"/>
  <c r="B205" i="4"/>
  <c r="W53" i="4"/>
  <c r="X50" i="4"/>
  <c r="X32" i="4"/>
  <c r="W35" i="4"/>
  <c r="V251" i="4"/>
  <c r="V252" i="4" s="1"/>
  <c r="T41" i="1" s="1"/>
  <c r="U41" i="1" s="1"/>
  <c r="S41" i="1"/>
  <c r="W48" i="4"/>
  <c r="W49" i="4" s="1"/>
  <c r="B60" i="4"/>
  <c r="AA61" i="4"/>
  <c r="AA62" i="4" s="1"/>
  <c r="AY103" i="4"/>
  <c r="AY104" i="4"/>
  <c r="AZ102" i="4" s="1"/>
  <c r="AY90" i="4"/>
  <c r="AY91" i="4" s="1"/>
  <c r="AZ89" i="4" s="1"/>
  <c r="X29" i="4"/>
  <c r="W36" i="4"/>
  <c r="AZ116" i="4"/>
  <c r="AZ117" i="4" s="1"/>
  <c r="BA115" i="4" s="1"/>
  <c r="AZ129" i="4"/>
  <c r="AZ130" i="4"/>
  <c r="BA128" i="4" s="1"/>
  <c r="Q41" i="1"/>
  <c r="AA190" i="4"/>
  <c r="Z197" i="4"/>
  <c r="Z198" i="4" s="1"/>
  <c r="Z235" i="4"/>
  <c r="Z236" i="4" s="1"/>
  <c r="AA228" i="4"/>
  <c r="AN17" i="4"/>
  <c r="AN18" i="4" s="1"/>
  <c r="AO16" i="4" s="1"/>
  <c r="AY155" i="4"/>
  <c r="AY156" i="4"/>
  <c r="AZ154" i="4" s="1"/>
  <c r="AZ64" i="4"/>
  <c r="AZ65" i="4"/>
  <c r="BA63" i="4" s="1"/>
  <c r="AB218" i="4"/>
  <c r="AB217" i="4"/>
  <c r="B138" i="4"/>
  <c r="AA140" i="4"/>
  <c r="AA139" i="4"/>
  <c r="Z80" i="4"/>
  <c r="Z81" i="4" s="1"/>
  <c r="AA73" i="4"/>
  <c r="B112" i="4"/>
  <c r="AA113" i="4"/>
  <c r="AA114" i="4" s="1"/>
  <c r="B127" i="4"/>
  <c r="AA132" i="4"/>
  <c r="AA133" i="4" s="1"/>
  <c r="D111" i="1" s="1"/>
  <c r="AB125" i="4"/>
  <c r="B99" i="4"/>
  <c r="AA100" i="4"/>
  <c r="AA101" i="4" s="1"/>
  <c r="AO17" i="4" l="1"/>
  <c r="AO18" i="4" s="1"/>
  <c r="AP16" i="4" s="1"/>
  <c r="B62" i="4"/>
  <c r="AB60" i="4"/>
  <c r="AA67" i="4"/>
  <c r="AA68" i="4" s="1"/>
  <c r="D106" i="1" s="1"/>
  <c r="BA117" i="4"/>
  <c r="BB115" i="4" s="1"/>
  <c r="BA116" i="4"/>
  <c r="AZ181" i="4"/>
  <c r="AZ182" i="4" s="1"/>
  <c r="BA180" i="4" s="1"/>
  <c r="B101" i="4"/>
  <c r="AA106" i="4"/>
  <c r="AA107" i="4" s="1"/>
  <c r="D109" i="1" s="1"/>
  <c r="AB99" i="4"/>
  <c r="BB194" i="4"/>
  <c r="BB195" i="4" s="1"/>
  <c r="BC193" i="4" s="1"/>
  <c r="W54" i="4"/>
  <c r="W250" i="4" s="1"/>
  <c r="X47" i="4"/>
  <c r="AA119" i="4"/>
  <c r="AA120" i="4" s="1"/>
  <c r="D110" i="1" s="1"/>
  <c r="B114" i="4"/>
  <c r="AB112" i="4"/>
  <c r="AZ90" i="4"/>
  <c r="AZ91" i="4"/>
  <c r="BA89" i="4" s="1"/>
  <c r="BA77" i="4"/>
  <c r="BA78" i="4"/>
  <c r="BB76" i="4" s="1"/>
  <c r="BA168" i="4"/>
  <c r="BA169" i="4"/>
  <c r="BB167" i="4" s="1"/>
  <c r="AA230" i="4"/>
  <c r="B228" i="4"/>
  <c r="AA229" i="4"/>
  <c r="W249" i="4"/>
  <c r="W37" i="4"/>
  <c r="B164" i="4"/>
  <c r="AA165" i="4"/>
  <c r="AA166" i="4" s="1"/>
  <c r="AB241" i="4"/>
  <c r="AB242" i="4" s="1"/>
  <c r="BA129" i="4"/>
  <c r="BA130" i="4" s="1"/>
  <c r="BB128" i="4" s="1"/>
  <c r="AB223" i="4"/>
  <c r="AB224" i="4" s="1"/>
  <c r="AC216" i="4"/>
  <c r="X33" i="4"/>
  <c r="X34" i="4" s="1"/>
  <c r="AZ142" i="4"/>
  <c r="AZ143" i="4"/>
  <c r="BA141" i="4" s="1"/>
  <c r="BA64" i="4"/>
  <c r="BA65" i="4" s="1"/>
  <c r="BB63" i="4" s="1"/>
  <c r="X52" i="4"/>
  <c r="X51" i="4"/>
  <c r="B73" i="4"/>
  <c r="AA74" i="4"/>
  <c r="AA75" i="4" s="1"/>
  <c r="B190" i="4"/>
  <c r="AA191" i="4"/>
  <c r="AA192" i="4" s="1"/>
  <c r="X31" i="4"/>
  <c r="X30" i="4"/>
  <c r="W55" i="4"/>
  <c r="BB207" i="4"/>
  <c r="BB208" i="4" s="1"/>
  <c r="BC206" i="4" s="1"/>
  <c r="AA145" i="4"/>
  <c r="AA146" i="4" s="1"/>
  <c r="D112" i="1" s="1"/>
  <c r="B140" i="4"/>
  <c r="AB138" i="4"/>
  <c r="AZ103" i="4"/>
  <c r="AZ104" i="4" s="1"/>
  <c r="BA102" i="4" s="1"/>
  <c r="AZ155" i="4"/>
  <c r="AZ156" i="4" s="1"/>
  <c r="BA154" i="4" s="1"/>
  <c r="AA88" i="4"/>
  <c r="B86" i="4"/>
  <c r="AA87" i="4"/>
  <c r="AB126" i="4"/>
  <c r="AB127" i="4" s="1"/>
  <c r="AB204" i="4"/>
  <c r="AB205" i="4" s="1"/>
  <c r="AA179" i="4"/>
  <c r="B177" i="4"/>
  <c r="AA178" i="4"/>
  <c r="B151" i="4"/>
  <c r="AA152" i="4"/>
  <c r="AA153" i="4" s="1"/>
  <c r="BA181" i="4" l="1"/>
  <c r="BA182" i="4" s="1"/>
  <c r="BB180" i="4" s="1"/>
  <c r="BB129" i="4"/>
  <c r="BB130" i="4" s="1"/>
  <c r="BC128" i="4" s="1"/>
  <c r="AB247" i="4"/>
  <c r="AB248" i="4" s="1"/>
  <c r="AC240" i="4"/>
  <c r="AA171" i="4"/>
  <c r="AA172" i="4" s="1"/>
  <c r="D114" i="1" s="1"/>
  <c r="B166" i="4"/>
  <c r="AB164" i="4"/>
  <c r="BA155" i="4"/>
  <c r="BA156" i="4"/>
  <c r="BB154" i="4" s="1"/>
  <c r="W251" i="4"/>
  <c r="S42" i="1"/>
  <c r="BC194" i="4"/>
  <c r="BC195" i="4"/>
  <c r="BD193" i="4" s="1"/>
  <c r="AC125" i="4"/>
  <c r="AB132" i="4"/>
  <c r="AB133" i="4" s="1"/>
  <c r="BC207" i="4"/>
  <c r="BC208" i="4"/>
  <c r="BD206" i="4" s="1"/>
  <c r="AB151" i="4"/>
  <c r="AA158" i="4"/>
  <c r="AA159" i="4" s="1"/>
  <c r="D113" i="1" s="1"/>
  <c r="B153" i="4"/>
  <c r="BB64" i="4"/>
  <c r="BB65" i="4" s="1"/>
  <c r="BC63" i="4" s="1"/>
  <c r="BA104" i="4"/>
  <c r="BB102" i="4" s="1"/>
  <c r="BA103" i="4"/>
  <c r="B192" i="4"/>
  <c r="AB190" i="4"/>
  <c r="AA197" i="4"/>
  <c r="AA198" i="4" s="1"/>
  <c r="D116" i="1" s="1"/>
  <c r="X35" i="4"/>
  <c r="Y32" i="4"/>
  <c r="AB210" i="4"/>
  <c r="AB211" i="4" s="1"/>
  <c r="AC203" i="4"/>
  <c r="B75" i="4"/>
  <c r="AA80" i="4"/>
  <c r="AA81" i="4" s="1"/>
  <c r="D107" i="1" s="1"/>
  <c r="AB73" i="4"/>
  <c r="AP18" i="4"/>
  <c r="AQ16" i="4" s="1"/>
  <c r="AP17" i="4"/>
  <c r="X53" i="4"/>
  <c r="Y50" i="4"/>
  <c r="AC218" i="4"/>
  <c r="AC217" i="4"/>
  <c r="BB77" i="4"/>
  <c r="BB78" i="4" s="1"/>
  <c r="BC76" i="4" s="1"/>
  <c r="AB140" i="4"/>
  <c r="AB139" i="4"/>
  <c r="BA90" i="4"/>
  <c r="BA91" i="4"/>
  <c r="BB89" i="4" s="1"/>
  <c r="BB116" i="4"/>
  <c r="BB117" i="4" s="1"/>
  <c r="BC115" i="4" s="1"/>
  <c r="X36" i="4"/>
  <c r="Y29" i="4"/>
  <c r="W252" i="4"/>
  <c r="T42" i="1" s="1"/>
  <c r="U42" i="1" s="1"/>
  <c r="Q42" i="1"/>
  <c r="AB100" i="4"/>
  <c r="AB101" i="4" s="1"/>
  <c r="B88" i="4"/>
  <c r="AB86" i="4"/>
  <c r="AA93" i="4"/>
  <c r="AA94" i="4" s="1"/>
  <c r="D108" i="1" s="1"/>
  <c r="BA142" i="4"/>
  <c r="BA143" i="4" s="1"/>
  <c r="BB141" i="4" s="1"/>
  <c r="AB113" i="4"/>
  <c r="AB114" i="4" s="1"/>
  <c r="AB62" i="4"/>
  <c r="AB61" i="4"/>
  <c r="AA184" i="4"/>
  <c r="AA185" i="4" s="1"/>
  <c r="D115" i="1" s="1"/>
  <c r="B179" i="4"/>
  <c r="AB177" i="4"/>
  <c r="AA235" i="4"/>
  <c r="AA236" i="4" s="1"/>
  <c r="D119" i="1" s="1"/>
  <c r="B230" i="4"/>
  <c r="AB228" i="4"/>
  <c r="BB169" i="4"/>
  <c r="BC167" i="4" s="1"/>
  <c r="BB168" i="4"/>
  <c r="X48" i="4"/>
  <c r="X49" i="4" s="1"/>
  <c r="AB119" i="4" l="1"/>
  <c r="AB120" i="4" s="1"/>
  <c r="AC112" i="4"/>
  <c r="BB142" i="4"/>
  <c r="BB143" i="4" s="1"/>
  <c r="BC141" i="4" s="1"/>
  <c r="BC64" i="4"/>
  <c r="BC65" i="4" s="1"/>
  <c r="BD63" i="4" s="1"/>
  <c r="BC77" i="4"/>
  <c r="BC78" i="4"/>
  <c r="BD76" i="4" s="1"/>
  <c r="BC129" i="4"/>
  <c r="BC130" i="4" s="1"/>
  <c r="BD128" i="4" s="1"/>
  <c r="BC117" i="4"/>
  <c r="BD115" i="4" s="1"/>
  <c r="BC116" i="4"/>
  <c r="Y47" i="4"/>
  <c r="X54" i="4"/>
  <c r="AB106" i="4"/>
  <c r="AB107" i="4" s="1"/>
  <c r="AC99" i="4"/>
  <c r="BB181" i="4"/>
  <c r="BB182" i="4" s="1"/>
  <c r="BC180" i="4" s="1"/>
  <c r="AC126" i="4"/>
  <c r="AC127" i="4" s="1"/>
  <c r="AB145" i="4"/>
  <c r="AB146" i="4" s="1"/>
  <c r="AC138" i="4"/>
  <c r="AC60" i="4"/>
  <c r="AB67" i="4"/>
  <c r="AB68" i="4" s="1"/>
  <c r="BB90" i="4"/>
  <c r="BB91" i="4"/>
  <c r="BC89" i="4" s="1"/>
  <c r="AC204" i="4"/>
  <c r="AC205" i="4" s="1"/>
  <c r="AB230" i="4"/>
  <c r="AB229" i="4"/>
  <c r="X55" i="4"/>
  <c r="Y33" i="4"/>
  <c r="Y34" i="4" s="1"/>
  <c r="BD194" i="4"/>
  <c r="BD195" i="4" s="1"/>
  <c r="BE193" i="4" s="1"/>
  <c r="AB178" i="4"/>
  <c r="AB179" i="4" s="1"/>
  <c r="BC168" i="4"/>
  <c r="BC169" i="4" s="1"/>
  <c r="BD167" i="4" s="1"/>
  <c r="AC223" i="4"/>
  <c r="AC224" i="4" s="1"/>
  <c r="AD216" i="4"/>
  <c r="Y52" i="4"/>
  <c r="Y51" i="4"/>
  <c r="X249" i="4"/>
  <c r="X37" i="4"/>
  <c r="AC242" i="4"/>
  <c r="AC241" i="4"/>
  <c r="AQ18" i="4"/>
  <c r="AR16" i="4" s="1"/>
  <c r="AQ17" i="4"/>
  <c r="X250" i="4"/>
  <c r="AB75" i="4"/>
  <c r="AB74" i="4"/>
  <c r="AB192" i="4"/>
  <c r="AB191" i="4"/>
  <c r="AB152" i="4"/>
  <c r="AB153" i="4" s="1"/>
  <c r="BD207" i="4"/>
  <c r="BD208" i="4" s="1"/>
  <c r="BE206" i="4" s="1"/>
  <c r="BB155" i="4"/>
  <c r="BB156" i="4" s="1"/>
  <c r="BC154" i="4" s="1"/>
  <c r="Y31" i="4"/>
  <c r="Y30" i="4"/>
  <c r="AB87" i="4"/>
  <c r="AB88" i="4" s="1"/>
  <c r="BB103" i="4"/>
  <c r="BB104" i="4" s="1"/>
  <c r="BC102" i="4" s="1"/>
  <c r="AB165" i="4"/>
  <c r="AB166" i="4" s="1"/>
  <c r="BE207" i="4" l="1"/>
  <c r="BE208" i="4" s="1"/>
  <c r="BF206" i="4" s="1"/>
  <c r="AB184" i="4"/>
  <c r="AB185" i="4" s="1"/>
  <c r="AC177" i="4"/>
  <c r="BC155" i="4"/>
  <c r="BC156" i="4" s="1"/>
  <c r="BD154" i="4" s="1"/>
  <c r="BD129" i="4"/>
  <c r="BD130" i="4"/>
  <c r="BE128" i="4" s="1"/>
  <c r="BC181" i="4"/>
  <c r="BC182" i="4" s="1"/>
  <c r="BD180" i="4" s="1"/>
  <c r="BD169" i="4"/>
  <c r="BE167" i="4" s="1"/>
  <c r="BD168" i="4"/>
  <c r="BE194" i="4"/>
  <c r="BE195" i="4" s="1"/>
  <c r="BF193" i="4" s="1"/>
  <c r="AD125" i="4"/>
  <c r="AC132" i="4"/>
  <c r="AC133" i="4" s="1"/>
  <c r="AC210" i="4"/>
  <c r="AC211" i="4" s="1"/>
  <c r="AD203" i="4"/>
  <c r="AB158" i="4"/>
  <c r="AB159" i="4" s="1"/>
  <c r="AC151" i="4"/>
  <c r="AC164" i="4"/>
  <c r="AB171" i="4"/>
  <c r="AB172" i="4" s="1"/>
  <c r="BD64" i="4"/>
  <c r="BD65" i="4"/>
  <c r="BE63" i="4" s="1"/>
  <c r="BC103" i="4"/>
  <c r="BC104" i="4" s="1"/>
  <c r="BD102" i="4" s="1"/>
  <c r="BC142" i="4"/>
  <c r="BC143" i="4" s="1"/>
  <c r="BD141" i="4" s="1"/>
  <c r="AC86" i="4"/>
  <c r="AB93" i="4"/>
  <c r="AB94" i="4" s="1"/>
  <c r="Y35" i="4"/>
  <c r="Z32" i="4"/>
  <c r="Z29" i="4"/>
  <c r="Y36" i="4"/>
  <c r="AC62" i="4"/>
  <c r="AC61" i="4"/>
  <c r="BD77" i="4"/>
  <c r="BD78" i="4"/>
  <c r="BE76" i="4" s="1"/>
  <c r="AC247" i="4"/>
  <c r="AC248" i="4" s="1"/>
  <c r="AD240" i="4"/>
  <c r="AC100" i="4"/>
  <c r="AC101" i="4" s="1"/>
  <c r="AC140" i="4"/>
  <c r="AC139" i="4"/>
  <c r="X252" i="4"/>
  <c r="T43" i="1" s="1"/>
  <c r="U43" i="1" s="1"/>
  <c r="Q43" i="1"/>
  <c r="AB235" i="4"/>
  <c r="AB236" i="4" s="1"/>
  <c r="AC228" i="4"/>
  <c r="Y49" i="4"/>
  <c r="Y48" i="4"/>
  <c r="X251" i="4"/>
  <c r="S43" i="1"/>
  <c r="BC90" i="4"/>
  <c r="BC91" i="4"/>
  <c r="BD89" i="4" s="1"/>
  <c r="BD116" i="4"/>
  <c r="BD117" i="4" s="1"/>
  <c r="BE115" i="4" s="1"/>
  <c r="AB197" i="4"/>
  <c r="AB198" i="4" s="1"/>
  <c r="AC190" i="4"/>
  <c r="AD217" i="4"/>
  <c r="AD218" i="4" s="1"/>
  <c r="AC113" i="4"/>
  <c r="AC114" i="4" s="1"/>
  <c r="AB80" i="4"/>
  <c r="AB81" i="4" s="1"/>
  <c r="AC73" i="4"/>
  <c r="AR18" i="4"/>
  <c r="AS16" i="4" s="1"/>
  <c r="AR17" i="4"/>
  <c r="Y53" i="4"/>
  <c r="Z50" i="4"/>
  <c r="BE116" i="4" l="1"/>
  <c r="BE117" i="4"/>
  <c r="BF115" i="4" s="1"/>
  <c r="AC119" i="4"/>
  <c r="AC120" i="4" s="1"/>
  <c r="AD112" i="4"/>
  <c r="AC106" i="4"/>
  <c r="AC107" i="4" s="1"/>
  <c r="AD99" i="4"/>
  <c r="BD181" i="4"/>
  <c r="BD182" i="4" s="1"/>
  <c r="BE180" i="4" s="1"/>
  <c r="BD142" i="4"/>
  <c r="BD143" i="4" s="1"/>
  <c r="BE141" i="4" s="1"/>
  <c r="BD103" i="4"/>
  <c r="BD104" i="4" s="1"/>
  <c r="BE102" i="4" s="1"/>
  <c r="BD156" i="4"/>
  <c r="BE154" i="4" s="1"/>
  <c r="BD155" i="4"/>
  <c r="AE216" i="4"/>
  <c r="AD223" i="4"/>
  <c r="AD224" i="4" s="1"/>
  <c r="BF194" i="4"/>
  <c r="BF195" i="4"/>
  <c r="BG193" i="4" s="1"/>
  <c r="BF207" i="4"/>
  <c r="BF208" i="4" s="1"/>
  <c r="BG206" i="4" s="1"/>
  <c r="BE129" i="4"/>
  <c r="BE130" i="4"/>
  <c r="BF128" i="4" s="1"/>
  <c r="Y249" i="4"/>
  <c r="Y37" i="4"/>
  <c r="AD127" i="4"/>
  <c r="AD126" i="4"/>
  <c r="BE77" i="4"/>
  <c r="BE78" i="4"/>
  <c r="BF76" i="4" s="1"/>
  <c r="Y55" i="4"/>
  <c r="AC88" i="4"/>
  <c r="AC87" i="4"/>
  <c r="AC165" i="4"/>
  <c r="AC166" i="4" s="1"/>
  <c r="BD90" i="4"/>
  <c r="BD91" i="4" s="1"/>
  <c r="BE89" i="4" s="1"/>
  <c r="Z33" i="4"/>
  <c r="Z34" i="4" s="1"/>
  <c r="Z52" i="4"/>
  <c r="Z51" i="4"/>
  <c r="AC191" i="4"/>
  <c r="AC192" i="4" s="1"/>
  <c r="AC153" i="4"/>
  <c r="AC152" i="4"/>
  <c r="AC178" i="4"/>
  <c r="AC179" i="4" s="1"/>
  <c r="BE64" i="4"/>
  <c r="BE65" i="4" s="1"/>
  <c r="BF63" i="4" s="1"/>
  <c r="AS17" i="4"/>
  <c r="AS18" i="4" s="1"/>
  <c r="AT16" i="4" s="1"/>
  <c r="Z47" i="4"/>
  <c r="Y54" i="4"/>
  <c r="Y250" i="4" s="1"/>
  <c r="AD60" i="4"/>
  <c r="AC67" i="4"/>
  <c r="AC68" i="4" s="1"/>
  <c r="AD205" i="4"/>
  <c r="AD204" i="4"/>
  <c r="AD241" i="4"/>
  <c r="AD242" i="4" s="1"/>
  <c r="AC145" i="4"/>
  <c r="AC146" i="4" s="1"/>
  <c r="AD138" i="4"/>
  <c r="BE168" i="4"/>
  <c r="BE169" i="4" s="1"/>
  <c r="BF167" i="4" s="1"/>
  <c r="AC74" i="4"/>
  <c r="AC75" i="4" s="1"/>
  <c r="AC229" i="4"/>
  <c r="AC230" i="4" s="1"/>
  <c r="Z31" i="4"/>
  <c r="Z30" i="4"/>
  <c r="BF168" i="4" l="1"/>
  <c r="BF169" i="4" s="1"/>
  <c r="BG167" i="4" s="1"/>
  <c r="Y251" i="4"/>
  <c r="S44" i="1"/>
  <c r="BE142" i="4"/>
  <c r="BE143" i="4" s="1"/>
  <c r="BF141" i="4" s="1"/>
  <c r="AD247" i="4"/>
  <c r="AD248" i="4" s="1"/>
  <c r="AE240" i="4"/>
  <c r="Z35" i="4"/>
  <c r="AA32" i="4"/>
  <c r="BF64" i="4"/>
  <c r="BF65" i="4"/>
  <c r="BG63" i="4" s="1"/>
  <c r="AC184" i="4"/>
  <c r="AC185" i="4" s="1"/>
  <c r="AD177" i="4"/>
  <c r="AC235" i="4"/>
  <c r="AC236" i="4" s="1"/>
  <c r="AD228" i="4"/>
  <c r="BG207" i="4"/>
  <c r="BG208" i="4" s="1"/>
  <c r="BH206" i="4" s="1"/>
  <c r="BE181" i="4"/>
  <c r="BE182" i="4" s="1"/>
  <c r="BF180" i="4" s="1"/>
  <c r="AT17" i="4"/>
  <c r="AT18" i="4" s="1"/>
  <c r="AU16" i="4" s="1"/>
  <c r="BE91" i="4"/>
  <c r="BF89" i="4" s="1"/>
  <c r="BE90" i="4"/>
  <c r="AD164" i="4"/>
  <c r="AC171" i="4"/>
  <c r="AC172" i="4" s="1"/>
  <c r="AD73" i="4"/>
  <c r="AC80" i="4"/>
  <c r="AC81" i="4" s="1"/>
  <c r="AC197" i="4"/>
  <c r="AC198" i="4" s="1"/>
  <c r="AD190" i="4"/>
  <c r="BE103" i="4"/>
  <c r="BE104" i="4" s="1"/>
  <c r="BF102" i="4" s="1"/>
  <c r="BF129" i="4"/>
  <c r="BF130" i="4"/>
  <c r="BG128" i="4" s="1"/>
  <c r="AE217" i="4"/>
  <c r="AE218" i="4" s="1"/>
  <c r="AD151" i="4"/>
  <c r="AC158" i="4"/>
  <c r="AC159" i="4" s="1"/>
  <c r="AD101" i="4"/>
  <c r="AD100" i="4"/>
  <c r="Z36" i="4"/>
  <c r="AA29" i="4"/>
  <c r="AD210" i="4"/>
  <c r="AD211" i="4" s="1"/>
  <c r="AE203" i="4"/>
  <c r="BE155" i="4"/>
  <c r="BE156" i="4" s="1"/>
  <c r="BF154" i="4" s="1"/>
  <c r="AA50" i="4"/>
  <c r="Z53" i="4"/>
  <c r="AD86" i="4"/>
  <c r="AC93" i="4"/>
  <c r="AC94" i="4" s="1"/>
  <c r="AE125" i="4"/>
  <c r="AD132" i="4"/>
  <c r="AD133" i="4" s="1"/>
  <c r="AD113" i="4"/>
  <c r="AD114" i="4" s="1"/>
  <c r="AD139" i="4"/>
  <c r="AD140" i="4" s="1"/>
  <c r="BF116" i="4"/>
  <c r="BF117" i="4"/>
  <c r="BG115" i="4" s="1"/>
  <c r="AD61" i="4"/>
  <c r="AD62" i="4" s="1"/>
  <c r="BF77" i="4"/>
  <c r="BF78" i="4" s="1"/>
  <c r="BG76" i="4" s="1"/>
  <c r="Y252" i="4"/>
  <c r="T44" i="1" s="1"/>
  <c r="U44" i="1" s="1"/>
  <c r="Q44" i="1"/>
  <c r="BG194" i="4"/>
  <c r="BG195" i="4" s="1"/>
  <c r="BH193" i="4" s="1"/>
  <c r="Z49" i="4"/>
  <c r="Z48" i="4"/>
  <c r="BF181" i="4" l="1"/>
  <c r="BF182" i="4"/>
  <c r="BG180" i="4" s="1"/>
  <c r="AE223" i="4"/>
  <c r="AE224" i="4" s="1"/>
  <c r="AF216" i="4"/>
  <c r="BH194" i="4"/>
  <c r="BH195" i="4"/>
  <c r="BI193" i="4" s="1"/>
  <c r="BF142" i="4"/>
  <c r="BF143" i="4" s="1"/>
  <c r="BG141" i="4" s="1"/>
  <c r="AE138" i="4"/>
  <c r="AD145" i="4"/>
  <c r="AD146" i="4" s="1"/>
  <c r="AD119" i="4"/>
  <c r="AD120" i="4" s="1"/>
  <c r="AE112" i="4"/>
  <c r="BF103" i="4"/>
  <c r="BF104" i="4"/>
  <c r="BG102" i="4" s="1"/>
  <c r="BH207" i="4"/>
  <c r="BH208" i="4"/>
  <c r="BI206" i="4" s="1"/>
  <c r="BF155" i="4"/>
  <c r="BF156" i="4"/>
  <c r="BG154" i="4" s="1"/>
  <c r="BG78" i="4"/>
  <c r="BH76" i="4" s="1"/>
  <c r="BG77" i="4"/>
  <c r="AE60" i="4"/>
  <c r="AD67" i="4"/>
  <c r="AD68" i="4" s="1"/>
  <c r="AU17" i="4"/>
  <c r="AU18" i="4" s="1"/>
  <c r="AV16" i="4" s="1"/>
  <c r="BG168" i="4"/>
  <c r="BG169" i="4"/>
  <c r="BH167" i="4" s="1"/>
  <c r="AE99" i="4"/>
  <c r="AD106" i="4"/>
  <c r="AD107" i="4" s="1"/>
  <c r="AD229" i="4"/>
  <c r="AD230" i="4" s="1"/>
  <c r="AE241" i="4"/>
  <c r="AE242" i="4" s="1"/>
  <c r="BF90" i="4"/>
  <c r="BF91" i="4" s="1"/>
  <c r="BG89" i="4" s="1"/>
  <c r="AD152" i="4"/>
  <c r="AD153" i="4" s="1"/>
  <c r="AD191" i="4"/>
  <c r="AD192" i="4" s="1"/>
  <c r="AD178" i="4"/>
  <c r="AD179" i="4" s="1"/>
  <c r="BG64" i="4"/>
  <c r="BG65" i="4"/>
  <c r="BH63" i="4" s="1"/>
  <c r="AE204" i="4"/>
  <c r="AE205" i="4" s="1"/>
  <c r="BG129" i="4"/>
  <c r="BG130" i="4" s="1"/>
  <c r="BH128" i="4" s="1"/>
  <c r="AD75" i="4"/>
  <c r="AD74" i="4"/>
  <c r="AD87" i="4"/>
  <c r="AD88" i="4" s="1"/>
  <c r="B29" i="4"/>
  <c r="AA30" i="4"/>
  <c r="AA31" i="4" s="1"/>
  <c r="Z55" i="4"/>
  <c r="Z250" i="4"/>
  <c r="B32" i="4"/>
  <c r="AA33" i="4"/>
  <c r="AA34" i="4" s="1"/>
  <c r="Z54" i="4"/>
  <c r="AA47" i="4"/>
  <c r="BG116" i="4"/>
  <c r="BG117" i="4"/>
  <c r="BH115" i="4" s="1"/>
  <c r="AE126" i="4"/>
  <c r="AE127" i="4" s="1"/>
  <c r="B50" i="4"/>
  <c r="AA51" i="4"/>
  <c r="AA52" i="4" s="1"/>
  <c r="AD165" i="4"/>
  <c r="AD166" i="4" s="1"/>
  <c r="Z249" i="4"/>
  <c r="Z37" i="4"/>
  <c r="AD184" i="4" l="1"/>
  <c r="AD185" i="4" s="1"/>
  <c r="AE177" i="4"/>
  <c r="BG142" i="4"/>
  <c r="BG143" i="4" s="1"/>
  <c r="BH141" i="4" s="1"/>
  <c r="BG90" i="4"/>
  <c r="BG91" i="4" s="1"/>
  <c r="BH89" i="4" s="1"/>
  <c r="AE247" i="4"/>
  <c r="AE248" i="4" s="1"/>
  <c r="AF240" i="4"/>
  <c r="AE228" i="4"/>
  <c r="AD235" i="4"/>
  <c r="AD236" i="4" s="1"/>
  <c r="AD197" i="4"/>
  <c r="AD198" i="4" s="1"/>
  <c r="AE190" i="4"/>
  <c r="AV17" i="4"/>
  <c r="AV18" i="4" s="1"/>
  <c r="AW16" i="4" s="1"/>
  <c r="AB32" i="4"/>
  <c r="AA35" i="4"/>
  <c r="B34" i="4"/>
  <c r="BH129" i="4"/>
  <c r="BH130" i="4"/>
  <c r="BI128" i="4" s="1"/>
  <c r="AF125" i="4"/>
  <c r="AE132" i="4"/>
  <c r="AE133" i="4" s="1"/>
  <c r="AD93" i="4"/>
  <c r="AD94" i="4" s="1"/>
  <c r="AE86" i="4"/>
  <c r="AE151" i="4"/>
  <c r="AD158" i="4"/>
  <c r="AD159" i="4" s="1"/>
  <c r="AE164" i="4"/>
  <c r="AD171" i="4"/>
  <c r="AD172" i="4" s="1"/>
  <c r="B52" i="4"/>
  <c r="AA53" i="4"/>
  <c r="AB50" i="4"/>
  <c r="AE210" i="4"/>
  <c r="AE211" i="4" s="1"/>
  <c r="AF203" i="4"/>
  <c r="AB29" i="4"/>
  <c r="AA36" i="4"/>
  <c r="B31" i="4"/>
  <c r="BH116" i="4"/>
  <c r="BH117" i="4" s="1"/>
  <c r="BI115" i="4" s="1"/>
  <c r="BH64" i="4"/>
  <c r="BH65" i="4"/>
  <c r="BI63" i="4" s="1"/>
  <c r="BI207" i="4"/>
  <c r="BI208" i="4" s="1"/>
  <c r="BJ206" i="4" s="1"/>
  <c r="AE73" i="4"/>
  <c r="AD80" i="4"/>
  <c r="AD81" i="4" s="1"/>
  <c r="BG103" i="4"/>
  <c r="BG104" i="4"/>
  <c r="BH102" i="4" s="1"/>
  <c r="BI194" i="4"/>
  <c r="BI195" i="4"/>
  <c r="BJ193" i="4" s="1"/>
  <c r="AE61" i="4"/>
  <c r="AE62" i="4" s="1"/>
  <c r="AE114" i="4"/>
  <c r="AE113" i="4"/>
  <c r="AF217" i="4"/>
  <c r="AF218" i="4" s="1"/>
  <c r="Z251" i="4"/>
  <c r="S45" i="1"/>
  <c r="B47" i="4"/>
  <c r="AA49" i="4"/>
  <c r="AA48" i="4"/>
  <c r="AE100" i="4"/>
  <c r="AE101" i="4" s="1"/>
  <c r="BG181" i="4"/>
  <c r="BG182" i="4" s="1"/>
  <c r="BH180" i="4" s="1"/>
  <c r="BH78" i="4"/>
  <c r="BI76" i="4" s="1"/>
  <c r="BH77" i="4"/>
  <c r="BH168" i="4"/>
  <c r="BH169" i="4"/>
  <c r="BI167" i="4" s="1"/>
  <c r="BG155" i="4"/>
  <c r="BG156" i="4"/>
  <c r="BH154" i="4" s="1"/>
  <c r="Z252" i="4"/>
  <c r="T45" i="1" s="1"/>
  <c r="U45" i="1" s="1"/>
  <c r="Q45" i="1"/>
  <c r="AE140" i="4"/>
  <c r="AE139" i="4"/>
  <c r="AF223" i="4" l="1"/>
  <c r="AF224" i="4" s="1"/>
  <c r="AG216" i="4"/>
  <c r="AF60" i="4"/>
  <c r="AE67" i="4"/>
  <c r="AE68" i="4" s="1"/>
  <c r="BH181" i="4"/>
  <c r="BH182" i="4" s="1"/>
  <c r="BI180" i="4" s="1"/>
  <c r="BJ207" i="4"/>
  <c r="BJ208" i="4"/>
  <c r="BK206" i="4" s="1"/>
  <c r="BH142" i="4"/>
  <c r="BH143" i="4"/>
  <c r="BI141" i="4" s="1"/>
  <c r="AE106" i="4"/>
  <c r="AE107" i="4" s="1"/>
  <c r="AF99" i="4"/>
  <c r="BH90" i="4"/>
  <c r="BH91" i="4"/>
  <c r="BI89" i="4" s="1"/>
  <c r="AW17" i="4"/>
  <c r="AW18" i="4" s="1"/>
  <c r="AX16" i="4" s="1"/>
  <c r="BI116" i="4"/>
  <c r="BI117" i="4"/>
  <c r="BJ115" i="4" s="1"/>
  <c r="BH155" i="4"/>
  <c r="BH156" i="4"/>
  <c r="BI154" i="4" s="1"/>
  <c r="AE145" i="4"/>
  <c r="AE146" i="4" s="1"/>
  <c r="AF138" i="4"/>
  <c r="BJ194" i="4"/>
  <c r="BJ195" i="4" s="1"/>
  <c r="BK193" i="4" s="1"/>
  <c r="AF204" i="4"/>
  <c r="AF205" i="4" s="1"/>
  <c r="AA249" i="4"/>
  <c r="AA37" i="4"/>
  <c r="D104" i="1" s="1"/>
  <c r="BI64" i="4"/>
  <c r="BI65" i="4" s="1"/>
  <c r="BJ63" i="4" s="1"/>
  <c r="AE88" i="4"/>
  <c r="AE87" i="4"/>
  <c r="AB33" i="4"/>
  <c r="AB34" i="4" s="1"/>
  <c r="BI168" i="4"/>
  <c r="BI169" i="4" s="1"/>
  <c r="BJ167" i="4" s="1"/>
  <c r="BH103" i="4"/>
  <c r="BH104" i="4"/>
  <c r="BI102" i="4" s="1"/>
  <c r="AB52" i="4"/>
  <c r="AB51" i="4"/>
  <c r="AE152" i="4"/>
  <c r="AE153" i="4" s="1"/>
  <c r="AF241" i="4"/>
  <c r="AF242" i="4" s="1"/>
  <c r="AA54" i="4"/>
  <c r="AA55" i="4" s="1"/>
  <c r="D105" i="1" s="1"/>
  <c r="AB47" i="4"/>
  <c r="B49" i="4"/>
  <c r="AE119" i="4"/>
  <c r="AE120" i="4" s="1"/>
  <c r="AF112" i="4"/>
  <c r="AF127" i="4"/>
  <c r="AF126" i="4"/>
  <c r="AE191" i="4"/>
  <c r="AE192" i="4" s="1"/>
  <c r="BI130" i="4"/>
  <c r="BJ128" i="4" s="1"/>
  <c r="BI129" i="4"/>
  <c r="BI77" i="4"/>
  <c r="BI78" i="4" s="1"/>
  <c r="BJ76" i="4" s="1"/>
  <c r="AE74" i="4"/>
  <c r="AE75" i="4" s="1"/>
  <c r="AA250" i="4"/>
  <c r="AE166" i="4"/>
  <c r="AE165" i="4"/>
  <c r="AE178" i="4"/>
  <c r="AE179" i="4" s="1"/>
  <c r="AB31" i="4"/>
  <c r="AB30" i="4"/>
  <c r="AE229" i="4"/>
  <c r="AE230" i="4" s="1"/>
  <c r="BK194" i="4" l="1"/>
  <c r="B194" i="4" s="1"/>
  <c r="C194" i="4" s="1"/>
  <c r="BK195" i="4"/>
  <c r="AE197" i="4"/>
  <c r="AE198" i="4" s="1"/>
  <c r="AF190" i="4"/>
  <c r="AF228" i="4"/>
  <c r="AE235" i="4"/>
  <c r="AE236" i="4" s="1"/>
  <c r="AG203" i="4"/>
  <c r="AF210" i="4"/>
  <c r="AF211" i="4" s="1"/>
  <c r="BJ168" i="4"/>
  <c r="BJ169" i="4" s="1"/>
  <c r="BK167" i="4" s="1"/>
  <c r="AB35" i="4"/>
  <c r="AC32" i="4"/>
  <c r="AF151" i="4"/>
  <c r="AE158" i="4"/>
  <c r="AE159" i="4" s="1"/>
  <c r="AE80" i="4"/>
  <c r="AE81" i="4" s="1"/>
  <c r="AF73" i="4"/>
  <c r="BJ77" i="4"/>
  <c r="BJ78" i="4" s="1"/>
  <c r="BK76" i="4" s="1"/>
  <c r="AX17" i="4"/>
  <c r="AX18" i="4" s="1"/>
  <c r="AY16" i="4" s="1"/>
  <c r="BI181" i="4"/>
  <c r="BI182" i="4" s="1"/>
  <c r="BJ180" i="4" s="1"/>
  <c r="AE184" i="4"/>
  <c r="AE185" i="4" s="1"/>
  <c r="AF177" i="4"/>
  <c r="AG240" i="4"/>
  <c r="AF247" i="4"/>
  <c r="AF248" i="4" s="1"/>
  <c r="BJ64" i="4"/>
  <c r="BJ65" i="4" s="1"/>
  <c r="BK63" i="4" s="1"/>
  <c r="AF139" i="4"/>
  <c r="AF140" i="4" s="1"/>
  <c r="BI90" i="4"/>
  <c r="BI91" i="4"/>
  <c r="BJ89" i="4" s="1"/>
  <c r="AB53" i="4"/>
  <c r="AC50" i="4"/>
  <c r="D121" i="1"/>
  <c r="BK207" i="4"/>
  <c r="B207" i="4" s="1"/>
  <c r="C207" i="4" s="1"/>
  <c r="AG125" i="4"/>
  <c r="AF132" i="4"/>
  <c r="AF133" i="4" s="1"/>
  <c r="AA252" i="4"/>
  <c r="Q46" i="1"/>
  <c r="BI155" i="4"/>
  <c r="BI156" i="4"/>
  <c r="BJ154" i="4" s="1"/>
  <c r="AF101" i="4"/>
  <c r="AF100" i="4"/>
  <c r="AB36" i="4"/>
  <c r="AC29" i="4"/>
  <c r="AF62" i="4"/>
  <c r="AF61" i="4"/>
  <c r="AA251" i="4"/>
  <c r="S46" i="1"/>
  <c r="AB48" i="4"/>
  <c r="AB49" i="4" s="1"/>
  <c r="BJ116" i="4"/>
  <c r="BJ117" i="4" s="1"/>
  <c r="BK115" i="4" s="1"/>
  <c r="BI142" i="4"/>
  <c r="BI143" i="4" s="1"/>
  <c r="BJ141" i="4" s="1"/>
  <c r="AG217" i="4"/>
  <c r="AG218" i="4" s="1"/>
  <c r="AF86" i="4"/>
  <c r="AE93" i="4"/>
  <c r="AE94" i="4" s="1"/>
  <c r="BI103" i="4"/>
  <c r="BI104" i="4" s="1"/>
  <c r="BJ102" i="4" s="1"/>
  <c r="AF114" i="4"/>
  <c r="AF113" i="4"/>
  <c r="AF164" i="4"/>
  <c r="AE171" i="4"/>
  <c r="AE172" i="4" s="1"/>
  <c r="BJ129" i="4"/>
  <c r="BJ130" i="4" s="1"/>
  <c r="BK128" i="4" s="1"/>
  <c r="AF145" i="4" l="1"/>
  <c r="AF146" i="4" s="1"/>
  <c r="AG138" i="4"/>
  <c r="BK64" i="4"/>
  <c r="B64" i="4" s="1"/>
  <c r="C64" i="4" s="1"/>
  <c r="AG223" i="4"/>
  <c r="AG224" i="4" s="1"/>
  <c r="AH216" i="4"/>
  <c r="BJ142" i="4"/>
  <c r="BJ143" i="4"/>
  <c r="BK141" i="4" s="1"/>
  <c r="BK116" i="4"/>
  <c r="B116" i="4" s="1"/>
  <c r="C116" i="4" s="1"/>
  <c r="BJ103" i="4"/>
  <c r="BJ104" i="4" s="1"/>
  <c r="BK102" i="4" s="1"/>
  <c r="BJ181" i="4"/>
  <c r="BJ182" i="4" s="1"/>
  <c r="BK180" i="4" s="1"/>
  <c r="BK129" i="4"/>
  <c r="B129" i="4" s="1"/>
  <c r="C129" i="4" s="1"/>
  <c r="BK77" i="4"/>
  <c r="B77" i="4" s="1"/>
  <c r="C77" i="4" s="1"/>
  <c r="BK78" i="4"/>
  <c r="AB54" i="4"/>
  <c r="AC47" i="4"/>
  <c r="AY18" i="4"/>
  <c r="AZ16" i="4" s="1"/>
  <c r="AY17" i="4"/>
  <c r="BK168" i="4"/>
  <c r="B168" i="4" s="1"/>
  <c r="C168" i="4" s="1"/>
  <c r="BJ90" i="4"/>
  <c r="BJ91" i="4"/>
  <c r="BK89" i="4" s="1"/>
  <c r="AF74" i="4"/>
  <c r="AF75" i="4" s="1"/>
  <c r="AC31" i="4"/>
  <c r="AC30" i="4"/>
  <c r="AG204" i="4"/>
  <c r="AG205" i="4" s="1"/>
  <c r="AG60" i="4"/>
  <c r="AF67" i="4"/>
  <c r="AF68" i="4" s="1"/>
  <c r="AB250" i="4"/>
  <c r="AG126" i="4"/>
  <c r="AG127" i="4" s="1"/>
  <c r="T46" i="1"/>
  <c r="U46" i="1" s="1"/>
  <c r="D124" i="1"/>
  <c r="D126" i="1" s="1"/>
  <c r="BK208" i="4"/>
  <c r="AF152" i="4"/>
  <c r="AF153" i="4" s="1"/>
  <c r="AF230" i="4"/>
  <c r="AF229" i="4"/>
  <c r="AF119" i="4"/>
  <c r="AF120" i="4" s="1"/>
  <c r="AG112" i="4"/>
  <c r="AF178" i="4"/>
  <c r="AF179" i="4" s="1"/>
  <c r="AG99" i="4"/>
  <c r="AF106" i="4"/>
  <c r="AF107" i="4" s="1"/>
  <c r="AC34" i="4"/>
  <c r="AC33" i="4"/>
  <c r="AF191" i="4"/>
  <c r="AF192" i="4" s="1"/>
  <c r="AB249" i="4"/>
  <c r="AB37" i="4"/>
  <c r="AF165" i="4"/>
  <c r="AF166" i="4" s="1"/>
  <c r="AC51" i="4"/>
  <c r="AC52" i="4" s="1"/>
  <c r="AF87" i="4"/>
  <c r="AF88" i="4" s="1"/>
  <c r="BJ155" i="4"/>
  <c r="BJ156" i="4"/>
  <c r="BK154" i="4" s="1"/>
  <c r="AB55" i="4"/>
  <c r="AG241" i="4"/>
  <c r="AG242" i="4" s="1"/>
  <c r="AG151" i="4" l="1"/>
  <c r="AF158" i="4"/>
  <c r="AF159" i="4" s="1"/>
  <c r="AG164" i="4"/>
  <c r="AF171" i="4"/>
  <c r="AF172" i="4" s="1"/>
  <c r="AG86" i="4"/>
  <c r="AF93" i="4"/>
  <c r="AF94" i="4" s="1"/>
  <c r="AF80" i="4"/>
  <c r="AF81" i="4" s="1"/>
  <c r="AG73" i="4"/>
  <c r="AG247" i="4"/>
  <c r="AG248" i="4" s="1"/>
  <c r="AH240" i="4"/>
  <c r="BK181" i="4"/>
  <c r="B181" i="4" s="1"/>
  <c r="C181" i="4" s="1"/>
  <c r="AG210" i="4"/>
  <c r="AG211" i="4" s="1"/>
  <c r="AH203" i="4"/>
  <c r="AC53" i="4"/>
  <c r="AD50" i="4"/>
  <c r="AG177" i="4"/>
  <c r="AF184" i="4"/>
  <c r="AF185" i="4" s="1"/>
  <c r="AH125" i="4"/>
  <c r="AG132" i="4"/>
  <c r="AG133" i="4" s="1"/>
  <c r="AF197" i="4"/>
  <c r="AF198" i="4" s="1"/>
  <c r="AG190" i="4"/>
  <c r="BK103" i="4"/>
  <c r="B103" i="4" s="1"/>
  <c r="C103" i="4" s="1"/>
  <c r="AH217" i="4"/>
  <c r="AH218" i="4" s="1"/>
  <c r="BK155" i="4"/>
  <c r="B155" i="4" s="1"/>
  <c r="C155" i="4" s="1"/>
  <c r="BK142" i="4"/>
  <c r="B142" i="4" s="1"/>
  <c r="C142" i="4" s="1"/>
  <c r="BK143" i="4"/>
  <c r="BK130" i="4"/>
  <c r="AC36" i="4"/>
  <c r="AD29" i="4"/>
  <c r="AZ17" i="4"/>
  <c r="AZ18" i="4" s="1"/>
  <c r="BA16" i="4" s="1"/>
  <c r="AC48" i="4"/>
  <c r="AC49" i="4" s="1"/>
  <c r="BK169" i="4"/>
  <c r="AG228" i="4"/>
  <c r="AF235" i="4"/>
  <c r="AF236" i="4" s="1"/>
  <c r="AB251" i="4"/>
  <c r="S47" i="1"/>
  <c r="BK65" i="4"/>
  <c r="BK90" i="4"/>
  <c r="B90" i="4" s="1"/>
  <c r="C90" i="4" s="1"/>
  <c r="BK91" i="4"/>
  <c r="AG140" i="4"/>
  <c r="AG139" i="4"/>
  <c r="AB252" i="4"/>
  <c r="Q47" i="1"/>
  <c r="AG113" i="4"/>
  <c r="AG114" i="4" s="1"/>
  <c r="AC35" i="4"/>
  <c r="AD32" i="4"/>
  <c r="AG100" i="4"/>
  <c r="AG101" i="4" s="1"/>
  <c r="AG61" i="4"/>
  <c r="AG62" i="4" s="1"/>
  <c r="BK117" i="4"/>
  <c r="AH60" i="4" l="1"/>
  <c r="AG67" i="4"/>
  <c r="AG68" i="4" s="1"/>
  <c r="AH223" i="4"/>
  <c r="AH224" i="4" s="1"/>
  <c r="AI216" i="4"/>
  <c r="AC54" i="4"/>
  <c r="AC250" i="4" s="1"/>
  <c r="AD47" i="4"/>
  <c r="AG119" i="4"/>
  <c r="AG120" i="4" s="1"/>
  <c r="AH112" i="4"/>
  <c r="AH99" i="4"/>
  <c r="AG106" i="4"/>
  <c r="AG107" i="4" s="1"/>
  <c r="BA17" i="4"/>
  <c r="BA18" i="4" s="1"/>
  <c r="BB16" i="4" s="1"/>
  <c r="AC249" i="4"/>
  <c r="AC37" i="4"/>
  <c r="AG191" i="4"/>
  <c r="AG192" i="4" s="1"/>
  <c r="AH204" i="4"/>
  <c r="AH205" i="4" s="1"/>
  <c r="AG74" i="4"/>
  <c r="AG75" i="4" s="1"/>
  <c r="BK104" i="4"/>
  <c r="AG87" i="4"/>
  <c r="AG88" i="4" s="1"/>
  <c r="AG230" i="4"/>
  <c r="AG229" i="4"/>
  <c r="AD51" i="4"/>
  <c r="AD52" i="4" s="1"/>
  <c r="BK156" i="4"/>
  <c r="AG145" i="4"/>
  <c r="AG146" i="4" s="1"/>
  <c r="AH138" i="4"/>
  <c r="AH126" i="4"/>
  <c r="AH127" i="4" s="1"/>
  <c r="BK182" i="4"/>
  <c r="AG165" i="4"/>
  <c r="AG166" i="4" s="1"/>
  <c r="AH241" i="4"/>
  <c r="AH242" i="4" s="1"/>
  <c r="AD33" i="4"/>
  <c r="AD34" i="4" s="1"/>
  <c r="T47" i="1"/>
  <c r="U47" i="1" s="1"/>
  <c r="AD30" i="4"/>
  <c r="AD31" i="4" s="1"/>
  <c r="AG178" i="4"/>
  <c r="AG179" i="4" s="1"/>
  <c r="AG153" i="4"/>
  <c r="AG152" i="4"/>
  <c r="AH177" i="4" l="1"/>
  <c r="AG184" i="4"/>
  <c r="AG185" i="4" s="1"/>
  <c r="AI203" i="4"/>
  <c r="AH210" i="4"/>
  <c r="AH211" i="4" s="1"/>
  <c r="AD35" i="4"/>
  <c r="AE32" i="4"/>
  <c r="AH164" i="4"/>
  <c r="AG171" i="4"/>
  <c r="AG172" i="4" s="1"/>
  <c r="AD36" i="4"/>
  <c r="AE29" i="4"/>
  <c r="AD53" i="4"/>
  <c r="AE50" i="4"/>
  <c r="AI240" i="4"/>
  <c r="AH247" i="4"/>
  <c r="AH248" i="4" s="1"/>
  <c r="AH86" i="4"/>
  <c r="AG93" i="4"/>
  <c r="AG94" i="4" s="1"/>
  <c r="AG80" i="4"/>
  <c r="AG81" i="4" s="1"/>
  <c r="AH73" i="4"/>
  <c r="AG197" i="4"/>
  <c r="AG198" i="4" s="1"/>
  <c r="AH190" i="4"/>
  <c r="AC251" i="4"/>
  <c r="S48" i="1"/>
  <c r="BB17" i="4"/>
  <c r="BB18" i="4" s="1"/>
  <c r="BC16" i="4" s="1"/>
  <c r="AH132" i="4"/>
  <c r="AH133" i="4" s="1"/>
  <c r="AI125" i="4"/>
  <c r="AH151" i="4"/>
  <c r="AG158" i="4"/>
  <c r="AG159" i="4" s="1"/>
  <c r="AD48" i="4"/>
  <c r="AD49" i="4" s="1"/>
  <c r="AC55" i="4"/>
  <c r="AI217" i="4"/>
  <c r="AI218" i="4" s="1"/>
  <c r="AG235" i="4"/>
  <c r="AG236" i="4" s="1"/>
  <c r="AH228" i="4"/>
  <c r="AC252" i="4"/>
  <c r="Q48" i="1"/>
  <c r="AH113" i="4"/>
  <c r="AH114" i="4" s="1"/>
  <c r="AH139" i="4"/>
  <c r="AH140" i="4" s="1"/>
  <c r="AH100" i="4"/>
  <c r="AH101" i="4" s="1"/>
  <c r="AH61" i="4"/>
  <c r="AH62" i="4" s="1"/>
  <c r="BC17" i="4" l="1"/>
  <c r="BC18" i="4" s="1"/>
  <c r="BD16" i="4" s="1"/>
  <c r="AJ216" i="4"/>
  <c r="AI223" i="4"/>
  <c r="AI224" i="4" s="1"/>
  <c r="AH106" i="4"/>
  <c r="AH107" i="4" s="1"/>
  <c r="AI99" i="4"/>
  <c r="AD54" i="4"/>
  <c r="AD55" i="4" s="1"/>
  <c r="AE47" i="4"/>
  <c r="AH67" i="4"/>
  <c r="AH68" i="4" s="1"/>
  <c r="AI60" i="4"/>
  <c r="AH145" i="4"/>
  <c r="AH146" i="4" s="1"/>
  <c r="AI138" i="4"/>
  <c r="AH119" i="4"/>
  <c r="AH120" i="4" s="1"/>
  <c r="AI112" i="4"/>
  <c r="AH87" i="4"/>
  <c r="AH88" i="4" s="1"/>
  <c r="AH165" i="4"/>
  <c r="AH166" i="4" s="1"/>
  <c r="AE33" i="4"/>
  <c r="AE34" i="4" s="1"/>
  <c r="AD249" i="4"/>
  <c r="AD37" i="4"/>
  <c r="T48" i="1"/>
  <c r="U48" i="1" s="1"/>
  <c r="AI242" i="4"/>
  <c r="AI241" i="4"/>
  <c r="AH229" i="4"/>
  <c r="AH230" i="4" s="1"/>
  <c r="AH191" i="4"/>
  <c r="AH192" i="4" s="1"/>
  <c r="AE51" i="4"/>
  <c r="AE52" i="4" s="1"/>
  <c r="AI204" i="4"/>
  <c r="AI205" i="4" s="1"/>
  <c r="AI126" i="4"/>
  <c r="AI127" i="4" s="1"/>
  <c r="AH74" i="4"/>
  <c r="AH75" i="4" s="1"/>
  <c r="AE31" i="4"/>
  <c r="AE30" i="4"/>
  <c r="AH152" i="4"/>
  <c r="AH153" i="4" s="1"/>
  <c r="AH178" i="4"/>
  <c r="AH179" i="4" s="1"/>
  <c r="AF32" i="4" l="1"/>
  <c r="AE35" i="4"/>
  <c r="AI151" i="4"/>
  <c r="AH158" i="4"/>
  <c r="AH159" i="4" s="1"/>
  <c r="AI228" i="4"/>
  <c r="AH235" i="4"/>
  <c r="AH236" i="4" s="1"/>
  <c r="AE53" i="4"/>
  <c r="AF50" i="4"/>
  <c r="AH80" i="4"/>
  <c r="AH81" i="4" s="1"/>
  <c r="AI73" i="4"/>
  <c r="AI132" i="4"/>
  <c r="AI133" i="4" s="1"/>
  <c r="AJ125" i="4"/>
  <c r="AH184" i="4"/>
  <c r="AH185" i="4" s="1"/>
  <c r="AI177" i="4"/>
  <c r="AH197" i="4"/>
  <c r="AH198" i="4" s="1"/>
  <c r="AI190" i="4"/>
  <c r="AI164" i="4"/>
  <c r="AH171" i="4"/>
  <c r="AH172" i="4" s="1"/>
  <c r="AI86" i="4"/>
  <c r="AH93" i="4"/>
  <c r="AH94" i="4" s="1"/>
  <c r="AI210" i="4"/>
  <c r="AI211" i="4" s="1"/>
  <c r="AJ203" i="4"/>
  <c r="BD18" i="4"/>
  <c r="BE16" i="4" s="1"/>
  <c r="BD17" i="4"/>
  <c r="Q49" i="1"/>
  <c r="AI139" i="4"/>
  <c r="AI140" i="4" s="1"/>
  <c r="AF29" i="4"/>
  <c r="AE36" i="4"/>
  <c r="AI113" i="4"/>
  <c r="AI114" i="4" s="1"/>
  <c r="AI100" i="4"/>
  <c r="AI101" i="4" s="1"/>
  <c r="AD250" i="4"/>
  <c r="AJ217" i="4"/>
  <c r="AJ218" i="4" s="1"/>
  <c r="AE48" i="4"/>
  <c r="AE49" i="4" s="1"/>
  <c r="AI247" i="4"/>
  <c r="AI248" i="4" s="1"/>
  <c r="AJ240" i="4"/>
  <c r="AI61" i="4"/>
  <c r="AI62" i="4" s="1"/>
  <c r="AJ223" i="4" l="1"/>
  <c r="AJ224" i="4" s="1"/>
  <c r="AK216" i="4"/>
  <c r="AJ60" i="4"/>
  <c r="AI67" i="4"/>
  <c r="AI68" i="4" s="1"/>
  <c r="AI119" i="4"/>
  <c r="AI120" i="4" s="1"/>
  <c r="AJ112" i="4"/>
  <c r="AI145" i="4"/>
  <c r="AI146" i="4" s="1"/>
  <c r="AJ138" i="4"/>
  <c r="AJ99" i="4"/>
  <c r="AI106" i="4"/>
  <c r="AI107" i="4" s="1"/>
  <c r="AE54" i="4"/>
  <c r="AF47" i="4"/>
  <c r="AF51" i="4"/>
  <c r="AF52" i="4" s="1"/>
  <c r="AJ204" i="4"/>
  <c r="AJ205" i="4" s="1"/>
  <c r="AI230" i="4"/>
  <c r="AI229" i="4"/>
  <c r="AD251" i="4"/>
  <c r="AD252" i="4" s="1"/>
  <c r="S49" i="1"/>
  <c r="AJ241" i="4"/>
  <c r="AJ242" i="4" s="1"/>
  <c r="AI87" i="4"/>
  <c r="AI88" i="4" s="1"/>
  <c r="AI75" i="4"/>
  <c r="AI74" i="4"/>
  <c r="AI152" i="4"/>
  <c r="AI153" i="4" s="1"/>
  <c r="BE17" i="4"/>
  <c r="BE18" i="4" s="1"/>
  <c r="BF16" i="4" s="1"/>
  <c r="AE55" i="4"/>
  <c r="AI166" i="4"/>
  <c r="AI165" i="4"/>
  <c r="AE249" i="4"/>
  <c r="AE37" i="4"/>
  <c r="AE250" i="4"/>
  <c r="AF30" i="4"/>
  <c r="AF31" i="4" s="1"/>
  <c r="AI178" i="4"/>
  <c r="AI179" i="4" s="1"/>
  <c r="AJ127" i="4"/>
  <c r="AJ126" i="4"/>
  <c r="AI191" i="4"/>
  <c r="AI192" i="4" s="1"/>
  <c r="AF33" i="4"/>
  <c r="AF34" i="4" s="1"/>
  <c r="BF17" i="4" l="1"/>
  <c r="BF18" i="4" s="1"/>
  <c r="BG16" i="4" s="1"/>
  <c r="AJ210" i="4"/>
  <c r="AJ211" i="4" s="1"/>
  <c r="AK203" i="4"/>
  <c r="AI93" i="4"/>
  <c r="AI94" i="4" s="1"/>
  <c r="AJ86" i="4"/>
  <c r="AJ151" i="4"/>
  <c r="AI158" i="4"/>
  <c r="AI159" i="4" s="1"/>
  <c r="AF53" i="4"/>
  <c r="AG50" i="4"/>
  <c r="AI197" i="4"/>
  <c r="AI198" i="4" s="1"/>
  <c r="AJ190" i="4"/>
  <c r="AI184" i="4"/>
  <c r="AI185" i="4" s="1"/>
  <c r="AJ177" i="4"/>
  <c r="AF36" i="4"/>
  <c r="AG29" i="4"/>
  <c r="AF35" i="4"/>
  <c r="AG32" i="4"/>
  <c r="AJ247" i="4"/>
  <c r="AJ248" i="4" s="1"/>
  <c r="AK240" i="4"/>
  <c r="AJ114" i="4"/>
  <c r="AJ113" i="4"/>
  <c r="AI171" i="4"/>
  <c r="AI172" i="4" s="1"/>
  <c r="AJ164" i="4"/>
  <c r="AE251" i="4"/>
  <c r="S50" i="1"/>
  <c r="AF48" i="4"/>
  <c r="AF49" i="4" s="1"/>
  <c r="T49" i="1"/>
  <c r="U49" i="1" s="1"/>
  <c r="U50" i="1" s="1"/>
  <c r="AJ61" i="4"/>
  <c r="AJ62" i="4" s="1"/>
  <c r="AJ139" i="4"/>
  <c r="AJ140" i="4" s="1"/>
  <c r="AE252" i="4"/>
  <c r="T50" i="1" s="1"/>
  <c r="Q50" i="1"/>
  <c r="AK217" i="4"/>
  <c r="AK218" i="4" s="1"/>
  <c r="AK125" i="4"/>
  <c r="AJ132" i="4"/>
  <c r="AJ133" i="4" s="1"/>
  <c r="AI80" i="4"/>
  <c r="AI81" i="4" s="1"/>
  <c r="AJ73" i="4"/>
  <c r="AI235" i="4"/>
  <c r="AI236" i="4" s="1"/>
  <c r="AJ228" i="4"/>
  <c r="AJ100" i="4"/>
  <c r="AJ101" i="4" s="1"/>
  <c r="AJ106" i="4" l="1"/>
  <c r="AJ107" i="4" s="1"/>
  <c r="AK99" i="4"/>
  <c r="AJ145" i="4"/>
  <c r="AJ146" i="4" s="1"/>
  <c r="AK138" i="4"/>
  <c r="AG47" i="4"/>
  <c r="AF54" i="4"/>
  <c r="AK223" i="4"/>
  <c r="AK224" i="4" s="1"/>
  <c r="AL216" i="4"/>
  <c r="AK60" i="4"/>
  <c r="AJ67" i="4"/>
  <c r="AJ68" i="4" s="1"/>
  <c r="BG17" i="4"/>
  <c r="BG18" i="4" s="1"/>
  <c r="BH16" i="4" s="1"/>
  <c r="AJ165" i="4"/>
  <c r="AJ166" i="4" s="1"/>
  <c r="AF250" i="4"/>
  <c r="AJ153" i="4"/>
  <c r="AJ152" i="4"/>
  <c r="AJ178" i="4"/>
  <c r="AJ179" i="4" s="1"/>
  <c r="AJ87" i="4"/>
  <c r="AJ88" i="4" s="1"/>
  <c r="AJ229" i="4"/>
  <c r="AJ230" i="4" s="1"/>
  <c r="AK241" i="4"/>
  <c r="AK242" i="4" s="1"/>
  <c r="AJ191" i="4"/>
  <c r="AJ192" i="4" s="1"/>
  <c r="AK204" i="4"/>
  <c r="AK205" i="4" s="1"/>
  <c r="AG30" i="4"/>
  <c r="AG31" i="4" s="1"/>
  <c r="AK126" i="4"/>
  <c r="AK127" i="4" s="1"/>
  <c r="AG33" i="4"/>
  <c r="AG34" i="4" s="1"/>
  <c r="AG51" i="4"/>
  <c r="AG52" i="4" s="1"/>
  <c r="AJ119" i="4"/>
  <c r="AJ120" i="4" s="1"/>
  <c r="AK112" i="4"/>
  <c r="AJ74" i="4"/>
  <c r="AJ75" i="4" s="1"/>
  <c r="AF249" i="4"/>
  <c r="AF37" i="4"/>
  <c r="AF55" i="4"/>
  <c r="AL125" i="4" l="1"/>
  <c r="AK132" i="4"/>
  <c r="AK133" i="4" s="1"/>
  <c r="AH29" i="4"/>
  <c r="AG36" i="4"/>
  <c r="AK210" i="4"/>
  <c r="AK211" i="4" s="1"/>
  <c r="AL203" i="4"/>
  <c r="AJ184" i="4"/>
  <c r="AJ185" i="4" s="1"/>
  <c r="AK177" i="4"/>
  <c r="AJ197" i="4"/>
  <c r="AJ198" i="4" s="1"/>
  <c r="AK190" i="4"/>
  <c r="AK164" i="4"/>
  <c r="AJ171" i="4"/>
  <c r="AJ172" i="4" s="1"/>
  <c r="AL240" i="4"/>
  <c r="AK247" i="4"/>
  <c r="AK248" i="4" s="1"/>
  <c r="BH17" i="4"/>
  <c r="BH18" i="4" s="1"/>
  <c r="BI16" i="4" s="1"/>
  <c r="AJ235" i="4"/>
  <c r="AJ236" i="4" s="1"/>
  <c r="AK228" i="4"/>
  <c r="AG35" i="4"/>
  <c r="AH32" i="4"/>
  <c r="AJ80" i="4"/>
  <c r="AJ81" i="4" s="1"/>
  <c r="AK73" i="4"/>
  <c r="AG53" i="4"/>
  <c r="AH50" i="4"/>
  <c r="AK86" i="4"/>
  <c r="AJ93" i="4"/>
  <c r="AJ94" i="4" s="1"/>
  <c r="AJ158" i="4"/>
  <c r="AJ159" i="4" s="1"/>
  <c r="AK151" i="4"/>
  <c r="AG48" i="4"/>
  <c r="AG49" i="4" s="1"/>
  <c r="AK113" i="4"/>
  <c r="AK114" i="4" s="1"/>
  <c r="AK139" i="4"/>
  <c r="AK140" i="4" s="1"/>
  <c r="AL217" i="4"/>
  <c r="AL218" i="4" s="1"/>
  <c r="AK100" i="4"/>
  <c r="AK101" i="4" s="1"/>
  <c r="AF251" i="4"/>
  <c r="AF252" i="4" s="1"/>
  <c r="S51" i="1"/>
  <c r="Q51" i="1"/>
  <c r="AK61" i="4"/>
  <c r="AK62" i="4" s="1"/>
  <c r="AK106" i="4" l="1"/>
  <c r="AK107" i="4" s="1"/>
  <c r="AL99" i="4"/>
  <c r="AL223" i="4"/>
  <c r="AL224" i="4" s="1"/>
  <c r="AM216" i="4"/>
  <c r="BI17" i="4"/>
  <c r="BI18" i="4" s="1"/>
  <c r="BJ16" i="4" s="1"/>
  <c r="AL112" i="4"/>
  <c r="AK119" i="4"/>
  <c r="AK120" i="4" s="1"/>
  <c r="AK145" i="4"/>
  <c r="AK146" i="4" s="1"/>
  <c r="AL138" i="4"/>
  <c r="AL60" i="4"/>
  <c r="AK67" i="4"/>
  <c r="AK68" i="4" s="1"/>
  <c r="AH47" i="4"/>
  <c r="AG54" i="4"/>
  <c r="AG250" i="4" s="1"/>
  <c r="T51" i="1"/>
  <c r="U51" i="1" s="1"/>
  <c r="AL204" i="4"/>
  <c r="AL205" i="4" s="1"/>
  <c r="AK74" i="4"/>
  <c r="AK75" i="4" s="1"/>
  <c r="AL241" i="4"/>
  <c r="AL242" i="4" s="1"/>
  <c r="AH33" i="4"/>
  <c r="AH34" i="4" s="1"/>
  <c r="AK152" i="4"/>
  <c r="AK153" i="4" s="1"/>
  <c r="AH30" i="4"/>
  <c r="AH31" i="4" s="1"/>
  <c r="AK165" i="4"/>
  <c r="AK166" i="4" s="1"/>
  <c r="AK229" i="4"/>
  <c r="AK230" i="4" s="1"/>
  <c r="AK191" i="4"/>
  <c r="AK192" i="4" s="1"/>
  <c r="AH51" i="4"/>
  <c r="AH52" i="4" s="1"/>
  <c r="AK178" i="4"/>
  <c r="AK179" i="4" s="1"/>
  <c r="AG249" i="4"/>
  <c r="AG37" i="4"/>
  <c r="AK87" i="4"/>
  <c r="AK88" i="4" s="1"/>
  <c r="AL126" i="4"/>
  <c r="AL127" i="4" s="1"/>
  <c r="AL73" i="4" l="1"/>
  <c r="AK80" i="4"/>
  <c r="AK81" i="4" s="1"/>
  <c r="AM125" i="4"/>
  <c r="AL132" i="4"/>
  <c r="AL133" i="4" s="1"/>
  <c r="AK197" i="4"/>
  <c r="AK198" i="4" s="1"/>
  <c r="AL190" i="4"/>
  <c r="BJ17" i="4"/>
  <c r="BJ18" i="4" s="1"/>
  <c r="BK16" i="4" s="1"/>
  <c r="AL151" i="4"/>
  <c r="AK158" i="4"/>
  <c r="AK159" i="4" s="1"/>
  <c r="AI50" i="4"/>
  <c r="AH53" i="4"/>
  <c r="AK235" i="4"/>
  <c r="AK236" i="4" s="1"/>
  <c r="AL228" i="4"/>
  <c r="AL164" i="4"/>
  <c r="AK171" i="4"/>
  <c r="AK172" i="4" s="1"/>
  <c r="AL86" i="4"/>
  <c r="AK93" i="4"/>
  <c r="AK94" i="4" s="1"/>
  <c r="AH35" i="4"/>
  <c r="AI32" i="4"/>
  <c r="AL210" i="4"/>
  <c r="AL211" i="4" s="1"/>
  <c r="AM203" i="4"/>
  <c r="AG251" i="4"/>
  <c r="AG252" i="4" s="1"/>
  <c r="S52" i="1"/>
  <c r="AH36" i="4"/>
  <c r="AI29" i="4"/>
  <c r="AK184" i="4"/>
  <c r="AK185" i="4" s="1"/>
  <c r="AL177" i="4"/>
  <c r="AL247" i="4"/>
  <c r="AL248" i="4" s="1"/>
  <c r="AM240" i="4"/>
  <c r="AL114" i="4"/>
  <c r="AL113" i="4"/>
  <c r="AH48" i="4"/>
  <c r="AH49" i="4" s="1"/>
  <c r="AM217" i="4"/>
  <c r="AM218" i="4" s="1"/>
  <c r="AL61" i="4"/>
  <c r="AL62" i="4" s="1"/>
  <c r="AL140" i="4"/>
  <c r="AL139" i="4"/>
  <c r="AL100" i="4"/>
  <c r="AL101" i="4" s="1"/>
  <c r="AG55" i="4"/>
  <c r="Q52" i="1"/>
  <c r="T52" i="1" l="1"/>
  <c r="U52" i="1" s="1"/>
  <c r="BK17" i="4"/>
  <c r="B17" i="4" s="1"/>
  <c r="C17" i="4" s="1"/>
  <c r="AM60" i="4"/>
  <c r="AL67" i="4"/>
  <c r="AL68" i="4" s="1"/>
  <c r="AH54" i="4"/>
  <c r="AH55" i="4" s="1"/>
  <c r="AI47" i="4"/>
  <c r="AM99" i="4"/>
  <c r="AL106" i="4"/>
  <c r="AL107" i="4" s="1"/>
  <c r="AM223" i="4"/>
  <c r="AM224" i="4" s="1"/>
  <c r="E118" i="1" s="1"/>
  <c r="AN216" i="4"/>
  <c r="AM112" i="4"/>
  <c r="AL119" i="4"/>
  <c r="AL120" i="4" s="1"/>
  <c r="AM241" i="4"/>
  <c r="AM242" i="4" s="1"/>
  <c r="AM204" i="4"/>
  <c r="AM205" i="4" s="1"/>
  <c r="AL229" i="4"/>
  <c r="AL230" i="4" s="1"/>
  <c r="AL192" i="4"/>
  <c r="AL191" i="4"/>
  <c r="AL178" i="4"/>
  <c r="AL179" i="4" s="1"/>
  <c r="AL165" i="4"/>
  <c r="AL166" i="4" s="1"/>
  <c r="AH249" i="4"/>
  <c r="AH37" i="4"/>
  <c r="AI51" i="4"/>
  <c r="AI52" i="4" s="1"/>
  <c r="AM127" i="4"/>
  <c r="AM126" i="4"/>
  <c r="AM138" i="4"/>
  <c r="AL145" i="4"/>
  <c r="AL146" i="4" s="1"/>
  <c r="AI33" i="4"/>
  <c r="AI34" i="4" s="1"/>
  <c r="AI30" i="4"/>
  <c r="AI31" i="4" s="1"/>
  <c r="AH250" i="4"/>
  <c r="AL87" i="4"/>
  <c r="AL88" i="4" s="1"/>
  <c r="AL152" i="4"/>
  <c r="AL153" i="4" s="1"/>
  <c r="AL74" i="4"/>
  <c r="AL75" i="4" s="1"/>
  <c r="AM151" i="4" l="1"/>
  <c r="AL158" i="4"/>
  <c r="AL159" i="4" s="1"/>
  <c r="AM210" i="4"/>
  <c r="AM211" i="4" s="1"/>
  <c r="E117" i="1" s="1"/>
  <c r="AN203" i="4"/>
  <c r="AJ29" i="4"/>
  <c r="AI36" i="4"/>
  <c r="AM228" i="4"/>
  <c r="AL235" i="4"/>
  <c r="AL236" i="4" s="1"/>
  <c r="AI53" i="4"/>
  <c r="AJ50" i="4"/>
  <c r="AM164" i="4"/>
  <c r="AL171" i="4"/>
  <c r="AL172" i="4" s="1"/>
  <c r="AM73" i="4"/>
  <c r="AL80" i="4"/>
  <c r="AL81" i="4" s="1"/>
  <c r="AL93" i="4"/>
  <c r="AL94" i="4" s="1"/>
  <c r="AM86" i="4"/>
  <c r="AM247" i="4"/>
  <c r="AM248" i="4" s="1"/>
  <c r="E120" i="1" s="1"/>
  <c r="AN240" i="4"/>
  <c r="AJ32" i="4"/>
  <c r="AI35" i="4"/>
  <c r="AL184" i="4"/>
  <c r="AL185" i="4" s="1"/>
  <c r="AM177" i="4"/>
  <c r="AH251" i="4"/>
  <c r="AH252" i="4" s="1"/>
  <c r="T53" i="1" s="1"/>
  <c r="U53" i="1" s="1"/>
  <c r="S53" i="1"/>
  <c r="AN125" i="4"/>
  <c r="AM132" i="4"/>
  <c r="AM133" i="4" s="1"/>
  <c r="E111" i="1" s="1"/>
  <c r="AI49" i="4"/>
  <c r="AI48" i="4"/>
  <c r="AM62" i="4"/>
  <c r="AM61" i="4"/>
  <c r="BK18" i="4"/>
  <c r="B272" i="4" s="1"/>
  <c r="C272" i="4" s="1"/>
  <c r="AL197" i="4"/>
  <c r="AL198" i="4" s="1"/>
  <c r="AM190" i="4"/>
  <c r="AM113" i="4"/>
  <c r="AM114" i="4" s="1"/>
  <c r="AM139" i="4"/>
  <c r="AM140" i="4" s="1"/>
  <c r="Q53" i="1"/>
  <c r="AN218" i="4"/>
  <c r="AN217" i="4"/>
  <c r="AM100" i="4"/>
  <c r="AM101" i="4" s="1"/>
  <c r="AM145" i="4" l="1"/>
  <c r="AM146" i="4" s="1"/>
  <c r="E112" i="1" s="1"/>
  <c r="AN138" i="4"/>
  <c r="AM106" i="4"/>
  <c r="AM107" i="4" s="1"/>
  <c r="E109" i="1" s="1"/>
  <c r="AN99" i="4"/>
  <c r="AN112" i="4"/>
  <c r="AM119" i="4"/>
  <c r="AM120" i="4" s="1"/>
  <c r="E110" i="1" s="1"/>
  <c r="AM230" i="4"/>
  <c r="AM229" i="4"/>
  <c r="AM178" i="4"/>
  <c r="AM179" i="4" s="1"/>
  <c r="AI250" i="4"/>
  <c r="AM74" i="4"/>
  <c r="AM75" i="4" s="1"/>
  <c r="AJ30" i="4"/>
  <c r="AJ31" i="4" s="1"/>
  <c r="AI249" i="4"/>
  <c r="AI37" i="4"/>
  <c r="AN204" i="4"/>
  <c r="AN205" i="4" s="1"/>
  <c r="AN223" i="4"/>
  <c r="AN224" i="4" s="1"/>
  <c r="AO216" i="4"/>
  <c r="AM87" i="4"/>
  <c r="AM88" i="4" s="1"/>
  <c r="AN60" i="4"/>
  <c r="AM67" i="4"/>
  <c r="AM68" i="4" s="1"/>
  <c r="E106" i="1" s="1"/>
  <c r="AI54" i="4"/>
  <c r="AI55" i="4" s="1"/>
  <c r="AJ47" i="4"/>
  <c r="AM166" i="4"/>
  <c r="AM165" i="4"/>
  <c r="AN241" i="4"/>
  <c r="AN242" i="4" s="1"/>
  <c r="AJ51" i="4"/>
  <c r="AJ52" i="4" s="1"/>
  <c r="AJ33" i="4"/>
  <c r="AJ34" i="4" s="1"/>
  <c r="AM192" i="4"/>
  <c r="AM191" i="4"/>
  <c r="AN126" i="4"/>
  <c r="AN127" i="4" s="1"/>
  <c r="AM153" i="4"/>
  <c r="AM152" i="4"/>
  <c r="AJ36" i="4" l="1"/>
  <c r="AK29" i="4"/>
  <c r="AO125" i="4"/>
  <c r="AN132" i="4"/>
  <c r="AN133" i="4" s="1"/>
  <c r="AM80" i="4"/>
  <c r="AM81" i="4" s="1"/>
  <c r="E107" i="1" s="1"/>
  <c r="AN73" i="4"/>
  <c r="AN210" i="4"/>
  <c r="AN211" i="4" s="1"/>
  <c r="AO203" i="4"/>
  <c r="AJ35" i="4"/>
  <c r="AK32" i="4"/>
  <c r="AM93" i="4"/>
  <c r="AM94" i="4" s="1"/>
  <c r="E108" i="1" s="1"/>
  <c r="AN86" i="4"/>
  <c r="AJ53" i="4"/>
  <c r="AK50" i="4"/>
  <c r="AO240" i="4"/>
  <c r="AN247" i="4"/>
  <c r="AN248" i="4" s="1"/>
  <c r="AM184" i="4"/>
  <c r="AM185" i="4" s="1"/>
  <c r="E115" i="1" s="1"/>
  <c r="AN177" i="4"/>
  <c r="AN228" i="4"/>
  <c r="AM235" i="4"/>
  <c r="AM236" i="4" s="1"/>
  <c r="E119" i="1" s="1"/>
  <c r="AO218" i="4"/>
  <c r="AO217" i="4"/>
  <c r="AN113" i="4"/>
  <c r="AN114" i="4" s="1"/>
  <c r="AN164" i="4"/>
  <c r="AM171" i="4"/>
  <c r="AM172" i="4" s="1"/>
  <c r="E114" i="1" s="1"/>
  <c r="AN100" i="4"/>
  <c r="AN101" i="4" s="1"/>
  <c r="AJ48" i="4"/>
  <c r="AJ49" i="4" s="1"/>
  <c r="AI251" i="4"/>
  <c r="S54" i="1"/>
  <c r="AN139" i="4"/>
  <c r="AN140" i="4" s="1"/>
  <c r="AN190" i="4"/>
  <c r="AM197" i="4"/>
  <c r="AM198" i="4" s="1"/>
  <c r="E116" i="1" s="1"/>
  <c r="AN151" i="4"/>
  <c r="AM158" i="4"/>
  <c r="AM159" i="4" s="1"/>
  <c r="E113" i="1" s="1"/>
  <c r="AN61" i="4"/>
  <c r="AN62" i="4" s="1"/>
  <c r="AI252" i="4"/>
  <c r="T54" i="1" s="1"/>
  <c r="U54" i="1" s="1"/>
  <c r="Q54" i="1"/>
  <c r="AN145" i="4" l="1"/>
  <c r="AN146" i="4" s="1"/>
  <c r="AO138" i="4"/>
  <c r="AN119" i="4"/>
  <c r="AN120" i="4" s="1"/>
  <c r="AO112" i="4"/>
  <c r="AJ54" i="4"/>
  <c r="AK47" i="4"/>
  <c r="AO60" i="4"/>
  <c r="AN67" i="4"/>
  <c r="AN68" i="4" s="1"/>
  <c r="AO99" i="4"/>
  <c r="AN106" i="4"/>
  <c r="AN107" i="4" s="1"/>
  <c r="AO242" i="4"/>
  <c r="AO241" i="4"/>
  <c r="AN153" i="4"/>
  <c r="AN152" i="4"/>
  <c r="AK52" i="4"/>
  <c r="AK51" i="4"/>
  <c r="AN75" i="4"/>
  <c r="AN74" i="4"/>
  <c r="AN165" i="4"/>
  <c r="AN166" i="4" s="1"/>
  <c r="AO205" i="4"/>
  <c r="AO204" i="4"/>
  <c r="AO223" i="4"/>
  <c r="AO224" i="4" s="1"/>
  <c r="AP216" i="4"/>
  <c r="AJ55" i="4"/>
  <c r="AN229" i="4"/>
  <c r="AN230" i="4" s="1"/>
  <c r="AN191" i="4"/>
  <c r="AN192" i="4" s="1"/>
  <c r="AN87" i="4"/>
  <c r="AN88" i="4" s="1"/>
  <c r="AO127" i="4"/>
  <c r="AO126" i="4"/>
  <c r="AN178" i="4"/>
  <c r="AN179" i="4" s="1"/>
  <c r="AK34" i="4"/>
  <c r="AK33" i="4"/>
  <c r="AK31" i="4"/>
  <c r="AK30" i="4"/>
  <c r="AJ249" i="4"/>
  <c r="AJ37" i="4"/>
  <c r="AJ250" i="4"/>
  <c r="AO177" i="4" l="1"/>
  <c r="AN184" i="4"/>
  <c r="AN185" i="4" s="1"/>
  <c r="AO164" i="4"/>
  <c r="AN171" i="4"/>
  <c r="AN172" i="4" s="1"/>
  <c r="AN93" i="4"/>
  <c r="AN94" i="4" s="1"/>
  <c r="AO86" i="4"/>
  <c r="AN197" i="4"/>
  <c r="AN198" i="4" s="1"/>
  <c r="AO190" i="4"/>
  <c r="AO228" i="4"/>
  <c r="AN235" i="4"/>
  <c r="AN236" i="4" s="1"/>
  <c r="AJ251" i="4"/>
  <c r="S55" i="1"/>
  <c r="AK48" i="4"/>
  <c r="AK49" i="4" s="1"/>
  <c r="AO62" i="4"/>
  <c r="AO61" i="4"/>
  <c r="AJ252" i="4"/>
  <c r="T55" i="1" s="1"/>
  <c r="U55" i="1" s="1"/>
  <c r="Q55" i="1"/>
  <c r="AP125" i="4"/>
  <c r="AO132" i="4"/>
  <c r="AO133" i="4" s="1"/>
  <c r="AO73" i="4"/>
  <c r="AN80" i="4"/>
  <c r="AN81" i="4" s="1"/>
  <c r="AO247" i="4"/>
  <c r="AO248" i="4" s="1"/>
  <c r="AP240" i="4"/>
  <c r="AO113" i="4"/>
  <c r="AO114" i="4" s="1"/>
  <c r="AL32" i="4"/>
  <c r="AK35" i="4"/>
  <c r="AO151" i="4"/>
  <c r="AN158" i="4"/>
  <c r="AN159" i="4" s="1"/>
  <c r="AP218" i="4"/>
  <c r="AP217" i="4"/>
  <c r="AK36" i="4"/>
  <c r="AL29" i="4"/>
  <c r="AK53" i="4"/>
  <c r="AL50" i="4"/>
  <c r="AO140" i="4"/>
  <c r="AO139" i="4"/>
  <c r="AO210" i="4"/>
  <c r="AO211" i="4" s="1"/>
  <c r="AP203" i="4"/>
  <c r="AO100" i="4"/>
  <c r="AO101" i="4" s="1"/>
  <c r="AP99" i="4" l="1"/>
  <c r="AO106" i="4"/>
  <c r="AO107" i="4" s="1"/>
  <c r="AO119" i="4"/>
  <c r="AO120" i="4" s="1"/>
  <c r="AP112" i="4"/>
  <c r="AK54" i="4"/>
  <c r="AL47" i="4"/>
  <c r="AP223" i="4"/>
  <c r="AP224" i="4" s="1"/>
  <c r="AQ216" i="4"/>
  <c r="AO153" i="4"/>
  <c r="AO152" i="4"/>
  <c r="AK249" i="4"/>
  <c r="AK37" i="4"/>
  <c r="AP60" i="4"/>
  <c r="AO67" i="4"/>
  <c r="AO68" i="4" s="1"/>
  <c r="AL52" i="4"/>
  <c r="AL51" i="4"/>
  <c r="AO74" i="4"/>
  <c r="AO75" i="4" s="1"/>
  <c r="AO87" i="4"/>
  <c r="AO88" i="4" s="1"/>
  <c r="AK55" i="4"/>
  <c r="AL31" i="4"/>
  <c r="AL30" i="4"/>
  <c r="AL33" i="4"/>
  <c r="AL34" i="4" s="1"/>
  <c r="AP126" i="4"/>
  <c r="AP127" i="4" s="1"/>
  <c r="AO192" i="4"/>
  <c r="AO191" i="4"/>
  <c r="AO165" i="4"/>
  <c r="AO166" i="4" s="1"/>
  <c r="AO145" i="4"/>
  <c r="AO146" i="4" s="1"/>
  <c r="AP138" i="4"/>
  <c r="AP204" i="4"/>
  <c r="AP205" i="4" s="1"/>
  <c r="AK250" i="4"/>
  <c r="AP242" i="4"/>
  <c r="AP241" i="4"/>
  <c r="AO229" i="4"/>
  <c r="AO230" i="4" s="1"/>
  <c r="AO178" i="4"/>
  <c r="AO179" i="4" s="1"/>
  <c r="AP132" i="4" l="1"/>
  <c r="AP133" i="4" s="1"/>
  <c r="AQ125" i="4"/>
  <c r="AL35" i="4"/>
  <c r="AM32" i="4"/>
  <c r="AP164" i="4"/>
  <c r="AO171" i="4"/>
  <c r="AO172" i="4" s="1"/>
  <c r="AP86" i="4"/>
  <c r="AO93" i="4"/>
  <c r="AO94" i="4" s="1"/>
  <c r="AQ203" i="4"/>
  <c r="AP210" i="4"/>
  <c r="AP211" i="4" s="1"/>
  <c r="AP177" i="4"/>
  <c r="AO184" i="4"/>
  <c r="AO185" i="4" s="1"/>
  <c r="AO235" i="4"/>
  <c r="AO236" i="4" s="1"/>
  <c r="AP228" i="4"/>
  <c r="AO80" i="4"/>
  <c r="AO81" i="4" s="1"/>
  <c r="AP73" i="4"/>
  <c r="AP140" i="4"/>
  <c r="AP139" i="4"/>
  <c r="AQ217" i="4"/>
  <c r="AQ218" i="4" s="1"/>
  <c r="AL48" i="4"/>
  <c r="AL49" i="4" s="1"/>
  <c r="Q56" i="1"/>
  <c r="AP113" i="4"/>
  <c r="AP114" i="4" s="1"/>
  <c r="AP247" i="4"/>
  <c r="AP248" i="4" s="1"/>
  <c r="AQ240" i="4"/>
  <c r="AK251" i="4"/>
  <c r="AK252" i="4" s="1"/>
  <c r="T56" i="1" s="1"/>
  <c r="U56" i="1" s="1"/>
  <c r="S56" i="1"/>
  <c r="AP61" i="4"/>
  <c r="AP62" i="4" s="1"/>
  <c r="AO197" i="4"/>
  <c r="AO198" i="4" s="1"/>
  <c r="AP190" i="4"/>
  <c r="AL36" i="4"/>
  <c r="AM29" i="4"/>
  <c r="AL53" i="4"/>
  <c r="AM50" i="4"/>
  <c r="AP151" i="4"/>
  <c r="AO158" i="4"/>
  <c r="AO159" i="4" s="1"/>
  <c r="AP100" i="4"/>
  <c r="AP101" i="4" s="1"/>
  <c r="AL54" i="4" l="1"/>
  <c r="AM47" i="4"/>
  <c r="AP119" i="4"/>
  <c r="AP120" i="4" s="1"/>
  <c r="AQ112" i="4"/>
  <c r="AP106" i="4"/>
  <c r="AP107" i="4" s="1"/>
  <c r="AQ99" i="4"/>
  <c r="AP67" i="4"/>
  <c r="AP68" i="4" s="1"/>
  <c r="AQ60" i="4"/>
  <c r="AQ223" i="4"/>
  <c r="AQ224" i="4" s="1"/>
  <c r="AR216" i="4"/>
  <c r="AP87" i="4"/>
  <c r="AP88" i="4" s="1"/>
  <c r="AQ242" i="4"/>
  <c r="AQ241" i="4"/>
  <c r="AP191" i="4"/>
  <c r="AP192" i="4" s="1"/>
  <c r="AP165" i="4"/>
  <c r="AP166" i="4" s="1"/>
  <c r="AP230" i="4"/>
  <c r="AP229" i="4"/>
  <c r="AM33" i="4"/>
  <c r="AM34" i="4" s="1"/>
  <c r="AM30" i="4"/>
  <c r="AM31" i="4" s="1"/>
  <c r="AL250" i="4"/>
  <c r="AP75" i="4"/>
  <c r="AP74" i="4"/>
  <c r="AP152" i="4"/>
  <c r="AP153" i="4" s="1"/>
  <c r="AM51" i="4"/>
  <c r="AM52" i="4" s="1"/>
  <c r="AP178" i="4"/>
  <c r="AP179" i="4" s="1"/>
  <c r="AL249" i="4"/>
  <c r="AL37" i="4"/>
  <c r="AL55" i="4"/>
  <c r="AP145" i="4"/>
  <c r="AP146" i="4" s="1"/>
  <c r="AQ138" i="4"/>
  <c r="AQ126" i="4"/>
  <c r="AQ127" i="4" s="1"/>
  <c r="AQ204" i="4"/>
  <c r="AQ205" i="4" s="1"/>
  <c r="AQ190" i="4" l="1"/>
  <c r="AP197" i="4"/>
  <c r="AP198" i="4" s="1"/>
  <c r="AM53" i="4"/>
  <c r="AN50" i="4"/>
  <c r="AQ151" i="4"/>
  <c r="AP158" i="4"/>
  <c r="AP159" i="4" s="1"/>
  <c r="AP93" i="4"/>
  <c r="AP94" i="4" s="1"/>
  <c r="AQ86" i="4"/>
  <c r="AN32" i="4"/>
  <c r="AM35" i="4"/>
  <c r="AQ210" i="4"/>
  <c r="AQ211" i="4" s="1"/>
  <c r="AR203" i="4"/>
  <c r="AQ132" i="4"/>
  <c r="AQ133" i="4" s="1"/>
  <c r="AR125" i="4"/>
  <c r="AQ164" i="4"/>
  <c r="AP171" i="4"/>
  <c r="AP172" i="4" s="1"/>
  <c r="AN29" i="4"/>
  <c r="AM36" i="4"/>
  <c r="AP184" i="4"/>
  <c r="AP185" i="4" s="1"/>
  <c r="AQ177" i="4"/>
  <c r="AQ100" i="4"/>
  <c r="AQ101" i="4" s="1"/>
  <c r="AP235" i="4"/>
  <c r="AP236" i="4" s="1"/>
  <c r="AQ228" i="4"/>
  <c r="AQ61" i="4"/>
  <c r="AQ62" i="4" s="1"/>
  <c r="AQ113" i="4"/>
  <c r="AQ114" i="4" s="1"/>
  <c r="AP80" i="4"/>
  <c r="AP81" i="4" s="1"/>
  <c r="AQ73" i="4"/>
  <c r="AQ139" i="4"/>
  <c r="AQ140" i="4" s="1"/>
  <c r="Q57" i="1"/>
  <c r="AR240" i="4"/>
  <c r="AQ247" i="4"/>
  <c r="AQ248" i="4" s="1"/>
  <c r="AR217" i="4"/>
  <c r="AR218" i="4" s="1"/>
  <c r="AM48" i="4"/>
  <c r="AM49" i="4" s="1"/>
  <c r="AL251" i="4"/>
  <c r="AL252" i="4" s="1"/>
  <c r="T57" i="1" s="1"/>
  <c r="U57" i="1" s="1"/>
  <c r="S57" i="1"/>
  <c r="AM54" i="4" l="1"/>
  <c r="AN47" i="4"/>
  <c r="AR223" i="4"/>
  <c r="AR224" i="4" s="1"/>
  <c r="AS216" i="4"/>
  <c r="AR60" i="4"/>
  <c r="AQ67" i="4"/>
  <c r="AQ68" i="4" s="1"/>
  <c r="AR99" i="4"/>
  <c r="AQ106" i="4"/>
  <c r="AQ107" i="4" s="1"/>
  <c r="AQ145" i="4"/>
  <c r="AQ146" i="4" s="1"/>
  <c r="AR138" i="4"/>
  <c r="AQ119" i="4"/>
  <c r="AQ120" i="4" s="1"/>
  <c r="AR112" i="4"/>
  <c r="AQ165" i="4"/>
  <c r="AQ166" i="4" s="1"/>
  <c r="AR126" i="4"/>
  <c r="AR127" i="4" s="1"/>
  <c r="AQ152" i="4"/>
  <c r="AQ153" i="4" s="1"/>
  <c r="AQ88" i="4"/>
  <c r="AQ87" i="4"/>
  <c r="AQ179" i="4"/>
  <c r="AQ178" i="4"/>
  <c r="AR204" i="4"/>
  <c r="AR205" i="4" s="1"/>
  <c r="AN51" i="4"/>
  <c r="AN52" i="4" s="1"/>
  <c r="AQ75" i="4"/>
  <c r="AQ74" i="4"/>
  <c r="AR242" i="4"/>
  <c r="AR241" i="4"/>
  <c r="AM250" i="4"/>
  <c r="AM55" i="4"/>
  <c r="E105" i="1" s="1"/>
  <c r="AQ229" i="4"/>
  <c r="AQ230" i="4" s="1"/>
  <c r="AM249" i="4"/>
  <c r="AM37" i="4"/>
  <c r="E104" i="1" s="1"/>
  <c r="E121" i="1" s="1"/>
  <c r="AN30" i="4"/>
  <c r="AN31" i="4" s="1"/>
  <c r="AN33" i="4"/>
  <c r="AN34" i="4" s="1"/>
  <c r="AQ191" i="4"/>
  <c r="AQ192" i="4" s="1"/>
  <c r="AR151" i="4" l="1"/>
  <c r="AQ158" i="4"/>
  <c r="AQ159" i="4" s="1"/>
  <c r="AS125" i="4"/>
  <c r="AR132" i="4"/>
  <c r="AR133" i="4" s="1"/>
  <c r="AN35" i="4"/>
  <c r="AO32" i="4"/>
  <c r="AQ171" i="4"/>
  <c r="AQ172" i="4" s="1"/>
  <c r="AR164" i="4"/>
  <c r="AN36" i="4"/>
  <c r="AO29" i="4"/>
  <c r="AN53" i="4"/>
  <c r="AO50" i="4"/>
  <c r="AR228" i="4"/>
  <c r="AQ235" i="4"/>
  <c r="AQ236" i="4" s="1"/>
  <c r="AR210" i="4"/>
  <c r="AR211" i="4" s="1"/>
  <c r="AS203" i="4"/>
  <c r="AR190" i="4"/>
  <c r="AQ197" i="4"/>
  <c r="AQ198" i="4" s="1"/>
  <c r="AQ184" i="4"/>
  <c r="AQ185" i="4" s="1"/>
  <c r="AR177" i="4"/>
  <c r="AQ80" i="4"/>
  <c r="AQ81" i="4" s="1"/>
  <c r="AR73" i="4"/>
  <c r="AR113" i="4"/>
  <c r="AR114" i="4" s="1"/>
  <c r="AR61" i="4"/>
  <c r="AR62" i="4" s="1"/>
  <c r="AR247" i="4"/>
  <c r="AR248" i="4" s="1"/>
  <c r="AS240" i="4"/>
  <c r="AR100" i="4"/>
  <c r="AR101" i="4" s="1"/>
  <c r="AM251" i="4"/>
  <c r="AM252" i="4" s="1"/>
  <c r="S58" i="1"/>
  <c r="AS217" i="4"/>
  <c r="AS218" i="4" s="1"/>
  <c r="AQ93" i="4"/>
  <c r="AQ94" i="4" s="1"/>
  <c r="AR86" i="4"/>
  <c r="AN48" i="4"/>
  <c r="AN49" i="4" s="1"/>
  <c r="AR139" i="4"/>
  <c r="AR140" i="4" s="1"/>
  <c r="Q58" i="1"/>
  <c r="T58" i="1" l="1"/>
  <c r="U58" i="1" s="1"/>
  <c r="E124" i="1"/>
  <c r="E126" i="1" s="1"/>
  <c r="AS60" i="4"/>
  <c r="AR67" i="4"/>
  <c r="AR68" i="4" s="1"/>
  <c r="AR106" i="4"/>
  <c r="AR107" i="4" s="1"/>
  <c r="AS99" i="4"/>
  <c r="AR119" i="4"/>
  <c r="AR120" i="4" s="1"/>
  <c r="AS112" i="4"/>
  <c r="AS223" i="4"/>
  <c r="AS224" i="4" s="1"/>
  <c r="AT216" i="4"/>
  <c r="AR145" i="4"/>
  <c r="AR146" i="4" s="1"/>
  <c r="AS138" i="4"/>
  <c r="AO47" i="4"/>
  <c r="AN54" i="4"/>
  <c r="AN250" i="4" s="1"/>
  <c r="AS204" i="4"/>
  <c r="AS205" i="4" s="1"/>
  <c r="AR229" i="4"/>
  <c r="AR230" i="4" s="1"/>
  <c r="AN249" i="4"/>
  <c r="AN37" i="4"/>
  <c r="AR74" i="4"/>
  <c r="AR75" i="4" s="1"/>
  <c r="AO33" i="4"/>
  <c r="AO34" i="4" s="1"/>
  <c r="AR87" i="4"/>
  <c r="AR88" i="4" s="1"/>
  <c r="AS241" i="4"/>
  <c r="AS242" i="4" s="1"/>
  <c r="AR178" i="4"/>
  <c r="AR179" i="4" s="1"/>
  <c r="AO51" i="4"/>
  <c r="AO52" i="4" s="1"/>
  <c r="AR165" i="4"/>
  <c r="AR166" i="4" s="1"/>
  <c r="AS126" i="4"/>
  <c r="AS127" i="4" s="1"/>
  <c r="AO30" i="4"/>
  <c r="AO31" i="4" s="1"/>
  <c r="AR192" i="4"/>
  <c r="AR191" i="4"/>
  <c r="AR152" i="4"/>
  <c r="AR153" i="4" s="1"/>
  <c r="AS228" i="4" l="1"/>
  <c r="AR235" i="4"/>
  <c r="AR236" i="4" s="1"/>
  <c r="AS210" i="4"/>
  <c r="AS211" i="4" s="1"/>
  <c r="AT203" i="4"/>
  <c r="AS247" i="4"/>
  <c r="AS248" i="4" s="1"/>
  <c r="AT240" i="4"/>
  <c r="AP29" i="4"/>
  <c r="AO36" i="4"/>
  <c r="AO53" i="4"/>
  <c r="AP50" i="4"/>
  <c r="AR184" i="4"/>
  <c r="AR185" i="4" s="1"/>
  <c r="AS177" i="4"/>
  <c r="AR158" i="4"/>
  <c r="AR159" i="4" s="1"/>
  <c r="AS151" i="4"/>
  <c r="AN251" i="4"/>
  <c r="S59" i="1"/>
  <c r="AS86" i="4"/>
  <c r="AR93" i="4"/>
  <c r="AR94" i="4" s="1"/>
  <c r="AO35" i="4"/>
  <c r="AP32" i="4"/>
  <c r="AS73" i="4"/>
  <c r="AR80" i="4"/>
  <c r="AR81" i="4" s="1"/>
  <c r="AT125" i="4"/>
  <c r="AS132" i="4"/>
  <c r="AS133" i="4" s="1"/>
  <c r="AS164" i="4"/>
  <c r="AR171" i="4"/>
  <c r="AR172" i="4" s="1"/>
  <c r="AR197" i="4"/>
  <c r="AR198" i="4" s="1"/>
  <c r="AS190" i="4"/>
  <c r="AS113" i="4"/>
  <c r="AS114" i="4" s="1"/>
  <c r="AS100" i="4"/>
  <c r="AS101" i="4" s="1"/>
  <c r="AO48" i="4"/>
  <c r="AO49" i="4" s="1"/>
  <c r="AS139" i="4"/>
  <c r="AS140" i="4" s="1"/>
  <c r="AN55" i="4"/>
  <c r="AN252" i="4"/>
  <c r="Q59" i="1"/>
  <c r="AS61" i="4"/>
  <c r="AS62" i="4" s="1"/>
  <c r="AT218" i="4"/>
  <c r="AT217" i="4"/>
  <c r="AS145" i="4" l="1"/>
  <c r="AS146" i="4" s="1"/>
  <c r="AT138" i="4"/>
  <c r="AP47" i="4"/>
  <c r="AO54" i="4"/>
  <c r="AO55" i="4" s="1"/>
  <c r="AS106" i="4"/>
  <c r="AS107" i="4" s="1"/>
  <c r="AT99" i="4"/>
  <c r="AT60" i="4"/>
  <c r="AS67" i="4"/>
  <c r="AS68" i="4" s="1"/>
  <c r="AS119" i="4"/>
  <c r="AS120" i="4" s="1"/>
  <c r="AT112" i="4"/>
  <c r="AT223" i="4"/>
  <c r="AT224" i="4" s="1"/>
  <c r="AU216" i="4"/>
  <c r="T59" i="1"/>
  <c r="U59" i="1" s="1"/>
  <c r="AT127" i="4"/>
  <c r="AT126" i="4"/>
  <c r="AP30" i="4"/>
  <c r="AP31" i="4" s="1"/>
  <c r="AS152" i="4"/>
  <c r="AS153" i="4" s="1"/>
  <c r="AT241" i="4"/>
  <c r="AT242" i="4" s="1"/>
  <c r="AS74" i="4"/>
  <c r="AS75" i="4" s="1"/>
  <c r="AS191" i="4"/>
  <c r="AS192" i="4" s="1"/>
  <c r="AP33" i="4"/>
  <c r="AP34" i="4" s="1"/>
  <c r="AS178" i="4"/>
  <c r="AS179" i="4" s="1"/>
  <c r="AT204" i="4"/>
  <c r="AT205" i="4" s="1"/>
  <c r="AO249" i="4"/>
  <c r="AO37" i="4"/>
  <c r="AP51" i="4"/>
  <c r="AP52" i="4" s="1"/>
  <c r="AS165" i="4"/>
  <c r="AS166" i="4" s="1"/>
  <c r="AS87" i="4"/>
  <c r="AS88" i="4" s="1"/>
  <c r="AS229" i="4"/>
  <c r="AS230" i="4" s="1"/>
  <c r="AP36" i="4" l="1"/>
  <c r="AQ29" i="4"/>
  <c r="AS184" i="4"/>
  <c r="AS185" i="4" s="1"/>
  <c r="AT177" i="4"/>
  <c r="AS235" i="4"/>
  <c r="AS236" i="4" s="1"/>
  <c r="AT228" i="4"/>
  <c r="AS197" i="4"/>
  <c r="AS198" i="4" s="1"/>
  <c r="AT190" i="4"/>
  <c r="AT86" i="4"/>
  <c r="AS93" i="4"/>
  <c r="AS94" i="4" s="1"/>
  <c r="AT164" i="4"/>
  <c r="AS171" i="4"/>
  <c r="AS172" i="4" s="1"/>
  <c r="AQ50" i="4"/>
  <c r="AP53" i="4"/>
  <c r="AT210" i="4"/>
  <c r="AT211" i="4" s="1"/>
  <c r="AU203" i="4"/>
  <c r="AP35" i="4"/>
  <c r="AQ32" i="4"/>
  <c r="AT73" i="4"/>
  <c r="AS80" i="4"/>
  <c r="AS81" i="4" s="1"/>
  <c r="AT247" i="4"/>
  <c r="AT248" i="4" s="1"/>
  <c r="AU240" i="4"/>
  <c r="AS158" i="4"/>
  <c r="AS159" i="4" s="1"/>
  <c r="AT151" i="4"/>
  <c r="AU125" i="4"/>
  <c r="AT132" i="4"/>
  <c r="AT133" i="4" s="1"/>
  <c r="AT61" i="4"/>
  <c r="AT62" i="4" s="1"/>
  <c r="AT100" i="4"/>
  <c r="AT101" i="4" s="1"/>
  <c r="AU217" i="4"/>
  <c r="AU218" i="4" s="1"/>
  <c r="AO250" i="4"/>
  <c r="AP48" i="4"/>
  <c r="AP49" i="4" s="1"/>
  <c r="Q60" i="1"/>
  <c r="AT114" i="4"/>
  <c r="AT113" i="4"/>
  <c r="AT139" i="4"/>
  <c r="AT140" i="4" s="1"/>
  <c r="AP54" i="4" l="1"/>
  <c r="AQ47" i="4"/>
  <c r="AU138" i="4"/>
  <c r="AT145" i="4"/>
  <c r="AT146" i="4" s="1"/>
  <c r="AU99" i="4"/>
  <c r="AT106" i="4"/>
  <c r="AT107" i="4" s="1"/>
  <c r="AU223" i="4"/>
  <c r="AU224" i="4" s="1"/>
  <c r="AV216" i="4"/>
  <c r="AU60" i="4"/>
  <c r="AT67" i="4"/>
  <c r="AT68" i="4" s="1"/>
  <c r="AT191" i="4"/>
  <c r="AT192" i="4" s="1"/>
  <c r="AU241" i="4"/>
  <c r="AU242" i="4" s="1"/>
  <c r="AP55" i="4"/>
  <c r="AT230" i="4"/>
  <c r="AT229" i="4"/>
  <c r="AT119" i="4"/>
  <c r="AT120" i="4" s="1"/>
  <c r="AU112" i="4"/>
  <c r="AU205" i="4"/>
  <c r="AU204" i="4"/>
  <c r="AQ51" i="4"/>
  <c r="AQ52" i="4" s="1"/>
  <c r="AT75" i="4"/>
  <c r="AT74" i="4"/>
  <c r="AT179" i="4"/>
  <c r="AT178" i="4"/>
  <c r="AO251" i="4"/>
  <c r="AO252" i="4" s="1"/>
  <c r="S60" i="1"/>
  <c r="AT165" i="4"/>
  <c r="AT166" i="4" s="1"/>
  <c r="AU127" i="4"/>
  <c r="AU126" i="4"/>
  <c r="AQ34" i="4"/>
  <c r="AQ33" i="4"/>
  <c r="AQ31" i="4"/>
  <c r="AQ30" i="4"/>
  <c r="AT152" i="4"/>
  <c r="AT153" i="4" s="1"/>
  <c r="AP249" i="4"/>
  <c r="AP37" i="4"/>
  <c r="AT88" i="4"/>
  <c r="AT87" i="4"/>
  <c r="AP250" i="4"/>
  <c r="AU247" i="4" l="1"/>
  <c r="AU248" i="4" s="1"/>
  <c r="AV240" i="4"/>
  <c r="AT197" i="4"/>
  <c r="AT198" i="4" s="1"/>
  <c r="AU190" i="4"/>
  <c r="AQ53" i="4"/>
  <c r="AR50" i="4"/>
  <c r="AU164" i="4"/>
  <c r="AT171" i="4"/>
  <c r="AT172" i="4" s="1"/>
  <c r="AU151" i="4"/>
  <c r="AT158" i="4"/>
  <c r="AT159" i="4" s="1"/>
  <c r="AU73" i="4"/>
  <c r="AT80" i="4"/>
  <c r="AT81" i="4" s="1"/>
  <c r="Q61" i="1"/>
  <c r="AT235" i="4"/>
  <c r="AT236" i="4" s="1"/>
  <c r="AU228" i="4"/>
  <c r="AT93" i="4"/>
  <c r="AT94" i="4" s="1"/>
  <c r="AU86" i="4"/>
  <c r="AV125" i="4"/>
  <c r="AU132" i="4"/>
  <c r="AU133" i="4" s="1"/>
  <c r="AV217" i="4"/>
  <c r="AV218" i="4" s="1"/>
  <c r="AU101" i="4"/>
  <c r="AU100" i="4"/>
  <c r="AR29" i="4"/>
  <c r="AQ36" i="4"/>
  <c r="AU210" i="4"/>
  <c r="AU211" i="4" s="1"/>
  <c r="AV203" i="4"/>
  <c r="AT184" i="4"/>
  <c r="AT185" i="4" s="1"/>
  <c r="AU177" i="4"/>
  <c r="AP251" i="4"/>
  <c r="AP252" i="4" s="1"/>
  <c r="S61" i="1"/>
  <c r="T60" i="1"/>
  <c r="U60" i="1" s="1"/>
  <c r="AU113" i="4"/>
  <c r="AU114" i="4" s="1"/>
  <c r="AU139" i="4"/>
  <c r="AU140" i="4" s="1"/>
  <c r="AR32" i="4"/>
  <c r="AQ35" i="4"/>
  <c r="AQ48" i="4"/>
  <c r="AQ49" i="4" s="1"/>
  <c r="AU61" i="4"/>
  <c r="AU62" i="4" s="1"/>
  <c r="AU119" i="4" l="1"/>
  <c r="AU120" i="4" s="1"/>
  <c r="AV112" i="4"/>
  <c r="T61" i="1"/>
  <c r="AV223" i="4"/>
  <c r="AV224" i="4" s="1"/>
  <c r="AW216" i="4"/>
  <c r="AV60" i="4"/>
  <c r="AU67" i="4"/>
  <c r="AU68" i="4" s="1"/>
  <c r="AQ54" i="4"/>
  <c r="AR47" i="4"/>
  <c r="AU145" i="4"/>
  <c r="AU146" i="4" s="1"/>
  <c r="AV138" i="4"/>
  <c r="AU106" i="4"/>
  <c r="AU107" i="4" s="1"/>
  <c r="AV99" i="4"/>
  <c r="AU178" i="4"/>
  <c r="AU179" i="4" s="1"/>
  <c r="AR51" i="4"/>
  <c r="AR52" i="4" s="1"/>
  <c r="AU165" i="4"/>
  <c r="AU166" i="4" s="1"/>
  <c r="AQ55" i="4"/>
  <c r="AU191" i="4"/>
  <c r="AU192" i="4" s="1"/>
  <c r="AV205" i="4"/>
  <c r="AV204" i="4"/>
  <c r="AV126" i="4"/>
  <c r="AV127" i="4" s="1"/>
  <c r="U61" i="1"/>
  <c r="AR30" i="4"/>
  <c r="AR31" i="4" s="1"/>
  <c r="AU87" i="4"/>
  <c r="AU88" i="4" s="1"/>
  <c r="AV241" i="4"/>
  <c r="AV242" i="4" s="1"/>
  <c r="AR33" i="4"/>
  <c r="AR34" i="4" s="1"/>
  <c r="AU229" i="4"/>
  <c r="AU230" i="4" s="1"/>
  <c r="AQ250" i="4"/>
  <c r="AU75" i="4"/>
  <c r="AU74" i="4"/>
  <c r="AQ249" i="4"/>
  <c r="AQ37" i="4"/>
  <c r="AU153" i="4"/>
  <c r="AU152" i="4"/>
  <c r="AV164" i="4" l="1"/>
  <c r="AU171" i="4"/>
  <c r="AU172" i="4" s="1"/>
  <c r="AU93" i="4"/>
  <c r="AU94" i="4" s="1"/>
  <c r="AV86" i="4"/>
  <c r="AW125" i="4"/>
  <c r="AV132" i="4"/>
  <c r="AV133" i="4" s="1"/>
  <c r="AR53" i="4"/>
  <c r="AS50" i="4"/>
  <c r="AV228" i="4"/>
  <c r="AU235" i="4"/>
  <c r="AU236" i="4" s="1"/>
  <c r="AU197" i="4"/>
  <c r="AU198" i="4" s="1"/>
  <c r="AV190" i="4"/>
  <c r="AR36" i="4"/>
  <c r="AS29" i="4"/>
  <c r="AU184" i="4"/>
  <c r="AU185" i="4" s="1"/>
  <c r="AV177" i="4"/>
  <c r="AR35" i="4"/>
  <c r="AS32" i="4"/>
  <c r="AV247" i="4"/>
  <c r="AV248" i="4" s="1"/>
  <c r="AW240" i="4"/>
  <c r="AU80" i="4"/>
  <c r="AU81" i="4" s="1"/>
  <c r="AV73" i="4"/>
  <c r="AW217" i="4"/>
  <c r="AW218" i="4" s="1"/>
  <c r="AV61" i="4"/>
  <c r="AV62" i="4" s="1"/>
  <c r="AV101" i="4"/>
  <c r="AV100" i="4"/>
  <c r="AV151" i="4"/>
  <c r="AU158" i="4"/>
  <c r="AU159" i="4" s="1"/>
  <c r="AV210" i="4"/>
  <c r="AV211" i="4" s="1"/>
  <c r="AW203" i="4"/>
  <c r="AR48" i="4"/>
  <c r="AR49" i="4" s="1"/>
  <c r="AV113" i="4"/>
  <c r="AV114" i="4" s="1"/>
  <c r="AQ251" i="4"/>
  <c r="AQ252" i="4" s="1"/>
  <c r="S62" i="1"/>
  <c r="AV140" i="4"/>
  <c r="AV139" i="4"/>
  <c r="Q62" i="1"/>
  <c r="AR54" i="4" l="1"/>
  <c r="AS47" i="4"/>
  <c r="AW60" i="4"/>
  <c r="AV67" i="4"/>
  <c r="AV68" i="4" s="1"/>
  <c r="AV119" i="4"/>
  <c r="AV120" i="4" s="1"/>
  <c r="AW112" i="4"/>
  <c r="AW223" i="4"/>
  <c r="AW224" i="4" s="1"/>
  <c r="AX216" i="4"/>
  <c r="T62" i="1"/>
  <c r="U62" i="1" s="1"/>
  <c r="AW204" i="4"/>
  <c r="AW205" i="4" s="1"/>
  <c r="AV178" i="4"/>
  <c r="AV179" i="4" s="1"/>
  <c r="AS51" i="4"/>
  <c r="AS52" i="4" s="1"/>
  <c r="AV74" i="4"/>
  <c r="AV75" i="4" s="1"/>
  <c r="AV152" i="4"/>
  <c r="AV153" i="4" s="1"/>
  <c r="AW126" i="4"/>
  <c r="AW127" i="4" s="1"/>
  <c r="AW241" i="4"/>
  <c r="AW242" i="4" s="1"/>
  <c r="AV191" i="4"/>
  <c r="AV192" i="4" s="1"/>
  <c r="AV87" i="4"/>
  <c r="AV88" i="4" s="1"/>
  <c r="AV145" i="4"/>
  <c r="AV146" i="4" s="1"/>
  <c r="AW138" i="4"/>
  <c r="AR55" i="4"/>
  <c r="AS31" i="4"/>
  <c r="AS30" i="4"/>
  <c r="AR250" i="4"/>
  <c r="AW99" i="4"/>
  <c r="AV106" i="4"/>
  <c r="AV107" i="4" s="1"/>
  <c r="AS33" i="4"/>
  <c r="AS34" i="4" s="1"/>
  <c r="AR249" i="4"/>
  <c r="AR37" i="4"/>
  <c r="AV229" i="4"/>
  <c r="AV230" i="4" s="1"/>
  <c r="AV165" i="4"/>
  <c r="AV166" i="4" s="1"/>
  <c r="AW228" i="4" l="1"/>
  <c r="AV235" i="4"/>
  <c r="AV236" i="4" s="1"/>
  <c r="AS53" i="4"/>
  <c r="AT50" i="4"/>
  <c r="AV184" i="4"/>
  <c r="AV185" i="4" s="1"/>
  <c r="AW177" i="4"/>
  <c r="AW164" i="4"/>
  <c r="AV171" i="4"/>
  <c r="AV172" i="4" s="1"/>
  <c r="AW151" i="4"/>
  <c r="AV158" i="4"/>
  <c r="AV159" i="4" s="1"/>
  <c r="AW210" i="4"/>
  <c r="AW211" i="4" s="1"/>
  <c r="AX203" i="4"/>
  <c r="AW247" i="4"/>
  <c r="AW248" i="4" s="1"/>
  <c r="AX240" i="4"/>
  <c r="AX125" i="4"/>
  <c r="AW132" i="4"/>
  <c r="AW133" i="4" s="1"/>
  <c r="AV80" i="4"/>
  <c r="AV81" i="4" s="1"/>
  <c r="AW73" i="4"/>
  <c r="AS35" i="4"/>
  <c r="AT32" i="4"/>
  <c r="AV93" i="4"/>
  <c r="AV94" i="4" s="1"/>
  <c r="AW86" i="4"/>
  <c r="AV197" i="4"/>
  <c r="AV198" i="4" s="1"/>
  <c r="AW190" i="4"/>
  <c r="AS36" i="4"/>
  <c r="AT29" i="4"/>
  <c r="AW113" i="4"/>
  <c r="AW114" i="4" s="1"/>
  <c r="AW139" i="4"/>
  <c r="AW140" i="4" s="1"/>
  <c r="AX217" i="4"/>
  <c r="AX218" i="4" s="1"/>
  <c r="AW100" i="4"/>
  <c r="AW101" i="4" s="1"/>
  <c r="AW61" i="4"/>
  <c r="AW62" i="4" s="1"/>
  <c r="Q63" i="1"/>
  <c r="AR251" i="4"/>
  <c r="AR252" i="4" s="1"/>
  <c r="S63" i="1"/>
  <c r="AS48" i="4"/>
  <c r="AS49" i="4" s="1"/>
  <c r="AX60" i="4" l="1"/>
  <c r="AW67" i="4"/>
  <c r="AW68" i="4" s="1"/>
  <c r="AX223" i="4"/>
  <c r="AX224" i="4" s="1"/>
  <c r="AY216" i="4"/>
  <c r="AS54" i="4"/>
  <c r="AT47" i="4"/>
  <c r="AX99" i="4"/>
  <c r="AW106" i="4"/>
  <c r="AW107" i="4" s="1"/>
  <c r="AX138" i="4"/>
  <c r="AW145" i="4"/>
  <c r="AW146" i="4" s="1"/>
  <c r="AW119" i="4"/>
  <c r="AW120" i="4" s="1"/>
  <c r="AX112" i="4"/>
  <c r="T63" i="1"/>
  <c r="U63" i="1" s="1"/>
  <c r="AW178" i="4"/>
  <c r="AW179" i="4" s="1"/>
  <c r="AW87" i="4"/>
  <c r="AW88" i="4" s="1"/>
  <c r="AW191" i="4"/>
  <c r="AW192" i="4" s="1"/>
  <c r="AT33" i="4"/>
  <c r="AT34" i="4" s="1"/>
  <c r="AX204" i="4"/>
  <c r="AX205" i="4" s="1"/>
  <c r="AT51" i="4"/>
  <c r="AT52" i="4" s="1"/>
  <c r="AW165" i="4"/>
  <c r="AW166" i="4" s="1"/>
  <c r="AS55" i="4"/>
  <c r="AX241" i="4"/>
  <c r="AX242" i="4" s="1"/>
  <c r="AX127" i="4"/>
  <c r="AX126" i="4"/>
  <c r="AS249" i="4"/>
  <c r="AS37" i="4"/>
  <c r="AT30" i="4"/>
  <c r="AT31" i="4" s="1"/>
  <c r="AW74" i="4"/>
  <c r="AW75" i="4" s="1"/>
  <c r="AS250" i="4"/>
  <c r="AW152" i="4"/>
  <c r="AW153" i="4" s="1"/>
  <c r="AW229" i="4"/>
  <c r="AW230" i="4" s="1"/>
  <c r="AW93" i="4" l="1"/>
  <c r="AW94" i="4" s="1"/>
  <c r="AX86" i="4"/>
  <c r="AW184" i="4"/>
  <c r="AW185" i="4" s="1"/>
  <c r="AX177" i="4"/>
  <c r="AT36" i="4"/>
  <c r="AU29" i="4"/>
  <c r="AW235" i="4"/>
  <c r="AW236" i="4" s="1"/>
  <c r="AX228" i="4"/>
  <c r="AY240" i="4"/>
  <c r="AX247" i="4"/>
  <c r="AX248" i="4" s="1"/>
  <c r="AX164" i="4"/>
  <c r="AW171" i="4"/>
  <c r="AW172" i="4" s="1"/>
  <c r="AX210" i="4"/>
  <c r="AX211" i="4" s="1"/>
  <c r="AY203" i="4"/>
  <c r="AW197" i="4"/>
  <c r="AW198" i="4" s="1"/>
  <c r="AX190" i="4"/>
  <c r="AX151" i="4"/>
  <c r="AW158" i="4"/>
  <c r="AW159" i="4" s="1"/>
  <c r="AW80" i="4"/>
  <c r="AW81" i="4" s="1"/>
  <c r="AX73" i="4"/>
  <c r="AT53" i="4"/>
  <c r="AU50" i="4"/>
  <c r="AT35" i="4"/>
  <c r="AU32" i="4"/>
  <c r="AX100" i="4"/>
  <c r="AX101" i="4" s="1"/>
  <c r="AT48" i="4"/>
  <c r="AT49" i="4" s="1"/>
  <c r="AX132" i="4"/>
  <c r="AX133" i="4" s="1"/>
  <c r="AY125" i="4"/>
  <c r="AX114" i="4"/>
  <c r="AX113" i="4"/>
  <c r="AY217" i="4"/>
  <c r="AY218" i="4" s="1"/>
  <c r="AS251" i="4"/>
  <c r="S64" i="1"/>
  <c r="AS252" i="4"/>
  <c r="T64" i="1" s="1"/>
  <c r="U64" i="1" s="1"/>
  <c r="Q64" i="1"/>
  <c r="AX140" i="4"/>
  <c r="AX139" i="4"/>
  <c r="AX61" i="4"/>
  <c r="AX62" i="4" s="1"/>
  <c r="AX67" i="4" l="1"/>
  <c r="AX68" i="4" s="1"/>
  <c r="AY60" i="4"/>
  <c r="AT54" i="4"/>
  <c r="AU47" i="4"/>
  <c r="AY223" i="4"/>
  <c r="AY224" i="4" s="1"/>
  <c r="F118" i="1" s="1"/>
  <c r="AZ216" i="4"/>
  <c r="AX106" i="4"/>
  <c r="AX107" i="4" s="1"/>
  <c r="AY99" i="4"/>
  <c r="AU51" i="4"/>
  <c r="AU52" i="4" s="1"/>
  <c r="AY204" i="4"/>
  <c r="AY205" i="4" s="1"/>
  <c r="AU30" i="4"/>
  <c r="AU31" i="4" s="1"/>
  <c r="AX145" i="4"/>
  <c r="AX146" i="4" s="1"/>
  <c r="AY138" i="4"/>
  <c r="AU33" i="4"/>
  <c r="AU34" i="4" s="1"/>
  <c r="AT250" i="4"/>
  <c r="AX75" i="4"/>
  <c r="AX74" i="4"/>
  <c r="AX178" i="4"/>
  <c r="AX179" i="4" s="1"/>
  <c r="AX165" i="4"/>
  <c r="AX166" i="4" s="1"/>
  <c r="AX119" i="4"/>
  <c r="AX120" i="4" s="1"/>
  <c r="AY112" i="4"/>
  <c r="AX229" i="4"/>
  <c r="AX230" i="4" s="1"/>
  <c r="AT249" i="4"/>
  <c r="AT37" i="4"/>
  <c r="AX87" i="4"/>
  <c r="AX88" i="4" s="1"/>
  <c r="AX192" i="4"/>
  <c r="AX191" i="4"/>
  <c r="AY126" i="4"/>
  <c r="AY127" i="4" s="1"/>
  <c r="AT55" i="4"/>
  <c r="AX153" i="4"/>
  <c r="AX152" i="4"/>
  <c r="AY241" i="4"/>
  <c r="AY242" i="4" s="1"/>
  <c r="AX235" i="4" l="1"/>
  <c r="AX236" i="4" s="1"/>
  <c r="AY228" i="4"/>
  <c r="AZ125" i="4"/>
  <c r="AY132" i="4"/>
  <c r="AY133" i="4" s="1"/>
  <c r="F111" i="1" s="1"/>
  <c r="AV29" i="4"/>
  <c r="AU36" i="4"/>
  <c r="AY164" i="4"/>
  <c r="AX171" i="4"/>
  <c r="AX172" i="4" s="1"/>
  <c r="AY210" i="4"/>
  <c r="AY211" i="4" s="1"/>
  <c r="F117" i="1" s="1"/>
  <c r="AZ203" i="4"/>
  <c r="AY247" i="4"/>
  <c r="AY248" i="4" s="1"/>
  <c r="F120" i="1" s="1"/>
  <c r="AZ240" i="4"/>
  <c r="AV32" i="4"/>
  <c r="AU35" i="4"/>
  <c r="AX184" i="4"/>
  <c r="AX185" i="4" s="1"/>
  <c r="AY177" i="4"/>
  <c r="AX93" i="4"/>
  <c r="AX94" i="4" s="1"/>
  <c r="AY86" i="4"/>
  <c r="AU53" i="4"/>
  <c r="AV50" i="4"/>
  <c r="AY151" i="4"/>
  <c r="AX158" i="4"/>
  <c r="AX159" i="4" s="1"/>
  <c r="AT252" i="4"/>
  <c r="T65" i="1" s="1"/>
  <c r="U65" i="1" s="1"/>
  <c r="Q65" i="1"/>
  <c r="AZ218" i="4"/>
  <c r="AZ217" i="4"/>
  <c r="AY113" i="4"/>
  <c r="AY114" i="4" s="1"/>
  <c r="AT251" i="4"/>
  <c r="S65" i="1"/>
  <c r="AU48" i="4"/>
  <c r="AU49" i="4" s="1"/>
  <c r="AY62" i="4"/>
  <c r="AY61" i="4"/>
  <c r="AX80" i="4"/>
  <c r="AX81" i="4" s="1"/>
  <c r="AY73" i="4"/>
  <c r="AX197" i="4"/>
  <c r="AX198" i="4" s="1"/>
  <c r="AY190" i="4"/>
  <c r="AY139" i="4"/>
  <c r="AY140" i="4" s="1"/>
  <c r="AY101" i="4"/>
  <c r="AY100" i="4"/>
  <c r="AU54" i="4" l="1"/>
  <c r="AV47" i="4"/>
  <c r="AY119" i="4"/>
  <c r="AY120" i="4" s="1"/>
  <c r="F110" i="1" s="1"/>
  <c r="AZ112" i="4"/>
  <c r="AY145" i="4"/>
  <c r="AY146" i="4" s="1"/>
  <c r="F112" i="1" s="1"/>
  <c r="AZ138" i="4"/>
  <c r="AY165" i="4"/>
  <c r="AY166" i="4" s="1"/>
  <c r="AU249" i="4"/>
  <c r="AU37" i="4"/>
  <c r="AU250" i="4"/>
  <c r="AY178" i="4"/>
  <c r="AY179" i="4" s="1"/>
  <c r="AY152" i="4"/>
  <c r="AY153" i="4" s="1"/>
  <c r="AV34" i="4"/>
  <c r="AV33" i="4"/>
  <c r="AV30" i="4"/>
  <c r="AV31" i="4" s="1"/>
  <c r="AU55" i="4"/>
  <c r="AZ126" i="4"/>
  <c r="AZ127" i="4" s="1"/>
  <c r="AY192" i="4"/>
  <c r="AY191" i="4"/>
  <c r="AY74" i="4"/>
  <c r="AY75" i="4" s="1"/>
  <c r="AV51" i="4"/>
  <c r="AV52" i="4" s="1"/>
  <c r="AZ241" i="4"/>
  <c r="AZ242" i="4" s="1"/>
  <c r="AY88" i="4"/>
  <c r="AY87" i="4"/>
  <c r="AZ204" i="4"/>
  <c r="AZ205" i="4" s="1"/>
  <c r="AY229" i="4"/>
  <c r="AY230" i="4" s="1"/>
  <c r="AY106" i="4"/>
  <c r="AY107" i="4" s="1"/>
  <c r="F109" i="1" s="1"/>
  <c r="AZ99" i="4"/>
  <c r="AZ60" i="4"/>
  <c r="AY67" i="4"/>
  <c r="AY68" i="4" s="1"/>
  <c r="F106" i="1" s="1"/>
  <c r="AZ223" i="4"/>
  <c r="AZ224" i="4" s="1"/>
  <c r="BA216" i="4"/>
  <c r="AZ247" i="4" l="1"/>
  <c r="AZ248" i="4" s="1"/>
  <c r="BA240" i="4"/>
  <c r="AV36" i="4"/>
  <c r="AW29" i="4"/>
  <c r="AY80" i="4"/>
  <c r="AY81" i="4" s="1"/>
  <c r="F107" i="1" s="1"/>
  <c r="AZ73" i="4"/>
  <c r="AZ177" i="4"/>
  <c r="AY184" i="4"/>
  <c r="AY185" i="4" s="1"/>
  <c r="F115" i="1" s="1"/>
  <c r="AY235" i="4"/>
  <c r="AY236" i="4" s="1"/>
  <c r="F119" i="1" s="1"/>
  <c r="AZ228" i="4"/>
  <c r="AY171" i="4"/>
  <c r="AY172" i="4" s="1"/>
  <c r="F114" i="1" s="1"/>
  <c r="AZ164" i="4"/>
  <c r="AV53" i="4"/>
  <c r="AW50" i="4"/>
  <c r="AY158" i="4"/>
  <c r="AY159" i="4" s="1"/>
  <c r="F113" i="1" s="1"/>
  <c r="AZ151" i="4"/>
  <c r="AZ210" i="4"/>
  <c r="AZ211" i="4" s="1"/>
  <c r="BA203" i="4"/>
  <c r="BA125" i="4"/>
  <c r="AZ132" i="4"/>
  <c r="AZ133" i="4" s="1"/>
  <c r="AZ190" i="4"/>
  <c r="AY197" i="4"/>
  <c r="AY198" i="4" s="1"/>
  <c r="F116" i="1" s="1"/>
  <c r="AZ61" i="4"/>
  <c r="AZ62" i="4" s="1"/>
  <c r="AZ139" i="4"/>
  <c r="AZ140" i="4" s="1"/>
  <c r="AZ114" i="4"/>
  <c r="AZ113" i="4"/>
  <c r="AV48" i="4"/>
  <c r="AV49" i="4" s="1"/>
  <c r="AY93" i="4"/>
  <c r="AY94" i="4" s="1"/>
  <c r="F108" i="1" s="1"/>
  <c r="AZ86" i="4"/>
  <c r="AV35" i="4"/>
  <c r="AW32" i="4"/>
  <c r="AZ100" i="4"/>
  <c r="AZ101" i="4" s="1"/>
  <c r="BA217" i="4"/>
  <c r="BA218" i="4" s="1"/>
  <c r="AU251" i="4"/>
  <c r="AU252" i="4" s="1"/>
  <c r="T66" i="1" s="1"/>
  <c r="U66" i="1" s="1"/>
  <c r="S66" i="1"/>
  <c r="Q66" i="1"/>
  <c r="AZ106" i="4" l="1"/>
  <c r="AZ107" i="4" s="1"/>
  <c r="BA99" i="4"/>
  <c r="BA138" i="4"/>
  <c r="AZ145" i="4"/>
  <c r="AZ146" i="4" s="1"/>
  <c r="AW47" i="4"/>
  <c r="AV54" i="4"/>
  <c r="AV55" i="4" s="1"/>
  <c r="BA60" i="4"/>
  <c r="AZ67" i="4"/>
  <c r="AZ68" i="4" s="1"/>
  <c r="BA223" i="4"/>
  <c r="BA224" i="4" s="1"/>
  <c r="BB216" i="4"/>
  <c r="AW51" i="4"/>
  <c r="AW52" i="4" s="1"/>
  <c r="AZ74" i="4"/>
  <c r="AZ75" i="4" s="1"/>
  <c r="AZ192" i="4"/>
  <c r="AZ191" i="4"/>
  <c r="AZ165" i="4"/>
  <c r="AZ166" i="4" s="1"/>
  <c r="AW30" i="4"/>
  <c r="AW31" i="4" s="1"/>
  <c r="AV250" i="4"/>
  <c r="AZ119" i="4"/>
  <c r="AZ120" i="4" s="1"/>
  <c r="BA112" i="4"/>
  <c r="BA126" i="4"/>
  <c r="BA127" i="4" s="1"/>
  <c r="AV249" i="4"/>
  <c r="AV37" i="4"/>
  <c r="BA205" i="4"/>
  <c r="BA204" i="4"/>
  <c r="AZ230" i="4"/>
  <c r="AZ229" i="4"/>
  <c r="BA241" i="4"/>
  <c r="BA242" i="4" s="1"/>
  <c r="AZ153" i="4"/>
  <c r="AZ152" i="4"/>
  <c r="AZ178" i="4"/>
  <c r="AZ179" i="4" s="1"/>
  <c r="AW34" i="4"/>
  <c r="AW33" i="4"/>
  <c r="AZ87" i="4"/>
  <c r="AZ88" i="4" s="1"/>
  <c r="BA164" i="4" l="1"/>
  <c r="AZ171" i="4"/>
  <c r="AZ172" i="4" s="1"/>
  <c r="BA73" i="4"/>
  <c r="AZ80" i="4"/>
  <c r="AZ81" i="4" s="1"/>
  <c r="AW53" i="4"/>
  <c r="AX50" i="4"/>
  <c r="AX29" i="4"/>
  <c r="AW36" i="4"/>
  <c r="AZ184" i="4"/>
  <c r="AZ185" i="4" s="1"/>
  <c r="BA177" i="4"/>
  <c r="BB125" i="4"/>
  <c r="BA132" i="4"/>
  <c r="BA133" i="4" s="1"/>
  <c r="BA247" i="4"/>
  <c r="BA248" i="4" s="1"/>
  <c r="BB240" i="4"/>
  <c r="AZ93" i="4"/>
  <c r="AZ94" i="4" s="1"/>
  <c r="BA86" i="4"/>
  <c r="BA61" i="4"/>
  <c r="BA62" i="4" s="1"/>
  <c r="AZ158" i="4"/>
  <c r="AZ159" i="4" s="1"/>
  <c r="BA151" i="4"/>
  <c r="AW48" i="4"/>
  <c r="AW49" i="4" s="1"/>
  <c r="BA210" i="4"/>
  <c r="BA211" i="4" s="1"/>
  <c r="BB203" i="4"/>
  <c r="BB217" i="4"/>
  <c r="BB218" i="4" s="1"/>
  <c r="BA140" i="4"/>
  <c r="BA139" i="4"/>
  <c r="AZ197" i="4"/>
  <c r="AZ198" i="4" s="1"/>
  <c r="BA190" i="4"/>
  <c r="AV252" i="4"/>
  <c r="T67" i="1" s="1"/>
  <c r="U67" i="1" s="1"/>
  <c r="Q67" i="1"/>
  <c r="BA113" i="4"/>
  <c r="BA114" i="4" s="1"/>
  <c r="BA100" i="4"/>
  <c r="BA101" i="4" s="1"/>
  <c r="AV251" i="4"/>
  <c r="S67" i="1"/>
  <c r="AW35" i="4"/>
  <c r="AX32" i="4"/>
  <c r="BA228" i="4"/>
  <c r="AZ235" i="4"/>
  <c r="AZ236" i="4" s="1"/>
  <c r="BB223" i="4" l="1"/>
  <c r="BB224" i="4" s="1"/>
  <c r="BC216" i="4"/>
  <c r="BB112" i="4"/>
  <c r="BA119" i="4"/>
  <c r="BA120" i="4" s="1"/>
  <c r="BA106" i="4"/>
  <c r="BA107" i="4" s="1"/>
  <c r="BB99" i="4"/>
  <c r="AX47" i="4"/>
  <c r="AW54" i="4"/>
  <c r="AW250" i="4" s="1"/>
  <c r="BB60" i="4"/>
  <c r="BA67" i="4"/>
  <c r="BA68" i="4" s="1"/>
  <c r="BA191" i="4"/>
  <c r="BA192" i="4" s="1"/>
  <c r="AX31" i="4"/>
  <c r="AX30" i="4"/>
  <c r="BB241" i="4"/>
  <c r="BB242" i="4" s="1"/>
  <c r="AX51" i="4"/>
  <c r="AX52" i="4" s="1"/>
  <c r="AW55" i="4"/>
  <c r="BA152" i="4"/>
  <c r="BA153" i="4" s="1"/>
  <c r="BB127" i="4"/>
  <c r="BB126" i="4"/>
  <c r="BA75" i="4"/>
  <c r="BA74" i="4"/>
  <c r="BA88" i="4"/>
  <c r="BA87" i="4"/>
  <c r="BA145" i="4"/>
  <c r="BA146" i="4" s="1"/>
  <c r="BB138" i="4"/>
  <c r="BA230" i="4"/>
  <c r="BA229" i="4"/>
  <c r="BA179" i="4"/>
  <c r="BA178" i="4"/>
  <c r="AX34" i="4"/>
  <c r="AX33" i="4"/>
  <c r="AW249" i="4"/>
  <c r="AW37" i="4"/>
  <c r="BB204" i="4"/>
  <c r="BB205" i="4" s="1"/>
  <c r="BA165" i="4"/>
  <c r="BA166" i="4" s="1"/>
  <c r="AW251" i="4" l="1"/>
  <c r="S68" i="1"/>
  <c r="BA197" i="4"/>
  <c r="BA198" i="4" s="1"/>
  <c r="BB190" i="4"/>
  <c r="AY50" i="4"/>
  <c r="AX53" i="4"/>
  <c r="BB210" i="4"/>
  <c r="BB211" i="4" s="1"/>
  <c r="BC203" i="4"/>
  <c r="BB247" i="4"/>
  <c r="BB248" i="4" s="1"/>
  <c r="BC240" i="4"/>
  <c r="BB164" i="4"/>
  <c r="BA171" i="4"/>
  <c r="BA172" i="4" s="1"/>
  <c r="BA158" i="4"/>
  <c r="BA159" i="4" s="1"/>
  <c r="BB151" i="4"/>
  <c r="AX36" i="4"/>
  <c r="AY29" i="4"/>
  <c r="BA184" i="4"/>
  <c r="BA185" i="4" s="1"/>
  <c r="BB177" i="4"/>
  <c r="BB73" i="4"/>
  <c r="BA80" i="4"/>
  <c r="BA81" i="4" s="1"/>
  <c r="AW252" i="4"/>
  <c r="T68" i="1" s="1"/>
  <c r="U68" i="1" s="1"/>
  <c r="Q68" i="1"/>
  <c r="AX49" i="4"/>
  <c r="AX48" i="4"/>
  <c r="BB140" i="4"/>
  <c r="BB139" i="4"/>
  <c r="BB228" i="4"/>
  <c r="BA235" i="4"/>
  <c r="BA236" i="4" s="1"/>
  <c r="BC125" i="4"/>
  <c r="BB132" i="4"/>
  <c r="BB133" i="4" s="1"/>
  <c r="BB101" i="4"/>
  <c r="BB100" i="4"/>
  <c r="BB113" i="4"/>
  <c r="BB114" i="4" s="1"/>
  <c r="AX35" i="4"/>
  <c r="AY32" i="4"/>
  <c r="BA93" i="4"/>
  <c r="BA94" i="4" s="1"/>
  <c r="BB86" i="4"/>
  <c r="BC217" i="4"/>
  <c r="BC218" i="4" s="1"/>
  <c r="BB61" i="4"/>
  <c r="BB62" i="4" s="1"/>
  <c r="BC60" i="4" l="1"/>
  <c r="BB67" i="4"/>
  <c r="BB68" i="4" s="1"/>
  <c r="BC223" i="4"/>
  <c r="BC224" i="4" s="1"/>
  <c r="BD216" i="4"/>
  <c r="BC112" i="4"/>
  <c r="BB119" i="4"/>
  <c r="BB120" i="4" s="1"/>
  <c r="AY31" i="4"/>
  <c r="AY30" i="4"/>
  <c r="BC204" i="4"/>
  <c r="BC205" i="4" s="1"/>
  <c r="BB153" i="4"/>
  <c r="BB152" i="4"/>
  <c r="AX55" i="4"/>
  <c r="AY51" i="4"/>
  <c r="AY52" i="4" s="1"/>
  <c r="AY33" i="4"/>
  <c r="AY34" i="4" s="1"/>
  <c r="BB192" i="4"/>
  <c r="BB191" i="4"/>
  <c r="BB229" i="4"/>
  <c r="BB230" i="4" s="1"/>
  <c r="BB75" i="4"/>
  <c r="BB74" i="4"/>
  <c r="BB166" i="4"/>
  <c r="BB165" i="4"/>
  <c r="AX249" i="4"/>
  <c r="AX37" i="4"/>
  <c r="BB179" i="4"/>
  <c r="BB178" i="4"/>
  <c r="BC242" i="4"/>
  <c r="BC241" i="4"/>
  <c r="BC99" i="4"/>
  <c r="BB106" i="4"/>
  <c r="BB107" i="4" s="1"/>
  <c r="AX54" i="4"/>
  <c r="AY47" i="4"/>
  <c r="AX250" i="4"/>
  <c r="BC126" i="4"/>
  <c r="BC127" i="4" s="1"/>
  <c r="BB87" i="4"/>
  <c r="BB88" i="4" s="1"/>
  <c r="BB145" i="4"/>
  <c r="BB146" i="4" s="1"/>
  <c r="BC138" i="4"/>
  <c r="AY53" i="4" l="1"/>
  <c r="AZ50" i="4"/>
  <c r="AZ32" i="4"/>
  <c r="AY35" i="4"/>
  <c r="BC86" i="4"/>
  <c r="BB93" i="4"/>
  <c r="BB94" i="4" s="1"/>
  <c r="BD125" i="4"/>
  <c r="BC132" i="4"/>
  <c r="BC133" i="4" s="1"/>
  <c r="BB235" i="4"/>
  <c r="BB236" i="4" s="1"/>
  <c r="BC228" i="4"/>
  <c r="BC210" i="4"/>
  <c r="BC211" i="4" s="1"/>
  <c r="BD203" i="4"/>
  <c r="AZ29" i="4"/>
  <c r="AY36" i="4"/>
  <c r="BC100" i="4"/>
  <c r="BC101" i="4" s="1"/>
  <c r="BC247" i="4"/>
  <c r="BC248" i="4" s="1"/>
  <c r="BD240" i="4"/>
  <c r="BC164" i="4"/>
  <c r="BB171" i="4"/>
  <c r="BB172" i="4" s="1"/>
  <c r="BB197" i="4"/>
  <c r="BB198" i="4" s="1"/>
  <c r="BC190" i="4"/>
  <c r="BB158" i="4"/>
  <c r="BB159" i="4" s="1"/>
  <c r="BC151" i="4"/>
  <c r="BC113" i="4"/>
  <c r="BC114" i="4" s="1"/>
  <c r="BD217" i="4"/>
  <c r="BD218" i="4" s="1"/>
  <c r="AX251" i="4"/>
  <c r="AX252" i="4" s="1"/>
  <c r="T69" i="1" s="1"/>
  <c r="U69" i="1" s="1"/>
  <c r="S69" i="1"/>
  <c r="BB184" i="4"/>
  <c r="BB185" i="4" s="1"/>
  <c r="BC177" i="4"/>
  <c r="BC73" i="4"/>
  <c r="BB80" i="4"/>
  <c r="BB81" i="4" s="1"/>
  <c r="BC139" i="4"/>
  <c r="BC140" i="4" s="1"/>
  <c r="AY48" i="4"/>
  <c r="AY49" i="4" s="1"/>
  <c r="Q69" i="1"/>
  <c r="BC61" i="4"/>
  <c r="BC62" i="4" s="1"/>
  <c r="BC106" i="4" l="1"/>
  <c r="BC107" i="4" s="1"/>
  <c r="BD99" i="4"/>
  <c r="BD60" i="4"/>
  <c r="BC67" i="4"/>
  <c r="BC68" i="4" s="1"/>
  <c r="BC145" i="4"/>
  <c r="BC146" i="4" s="1"/>
  <c r="BD138" i="4"/>
  <c r="BD112" i="4"/>
  <c r="BC119" i="4"/>
  <c r="BC120" i="4" s="1"/>
  <c r="AY54" i="4"/>
  <c r="AZ47" i="4"/>
  <c r="BE216" i="4"/>
  <c r="BD223" i="4"/>
  <c r="BD224" i="4" s="1"/>
  <c r="BC152" i="4"/>
  <c r="BC153" i="4" s="1"/>
  <c r="BD126" i="4"/>
  <c r="BD127" i="4" s="1"/>
  <c r="BC191" i="4"/>
  <c r="BC192" i="4" s="1"/>
  <c r="AY250" i="4"/>
  <c r="BC88" i="4"/>
  <c r="BC87" i="4"/>
  <c r="AZ30" i="4"/>
  <c r="AZ31" i="4" s="1"/>
  <c r="BD204" i="4"/>
  <c r="BD205" i="4" s="1"/>
  <c r="AY249" i="4"/>
  <c r="AY37" i="4"/>
  <c r="F104" i="1" s="1"/>
  <c r="F121" i="1" s="1"/>
  <c r="BC165" i="4"/>
  <c r="BC166" i="4" s="1"/>
  <c r="AZ33" i="4"/>
  <c r="AZ34" i="4" s="1"/>
  <c r="BC74" i="4"/>
  <c r="BC75" i="4" s="1"/>
  <c r="BD242" i="4"/>
  <c r="BD241" i="4"/>
  <c r="BC229" i="4"/>
  <c r="BC230" i="4" s="1"/>
  <c r="AZ51" i="4"/>
  <c r="AZ52" i="4" s="1"/>
  <c r="BC178" i="4"/>
  <c r="BC179" i="4" s="1"/>
  <c r="AY55" i="4"/>
  <c r="F105" i="1" s="1"/>
  <c r="AZ53" i="4" l="1"/>
  <c r="BA50" i="4"/>
  <c r="AZ35" i="4"/>
  <c r="BA32" i="4"/>
  <c r="BD228" i="4"/>
  <c r="BC235" i="4"/>
  <c r="BC236" i="4" s="1"/>
  <c r="BC197" i="4"/>
  <c r="BC198" i="4" s="1"/>
  <c r="BD190" i="4"/>
  <c r="BC184" i="4"/>
  <c r="BC185" i="4" s="1"/>
  <c r="BD177" i="4"/>
  <c r="AZ36" i="4"/>
  <c r="BA29" i="4"/>
  <c r="BD164" i="4"/>
  <c r="BC171" i="4"/>
  <c r="BC172" i="4" s="1"/>
  <c r="BE125" i="4"/>
  <c r="BD132" i="4"/>
  <c r="BD133" i="4" s="1"/>
  <c r="BC158" i="4"/>
  <c r="BC159" i="4" s="1"/>
  <c r="BD151" i="4"/>
  <c r="BE203" i="4"/>
  <c r="BD210" i="4"/>
  <c r="BD211" i="4" s="1"/>
  <c r="BC80" i="4"/>
  <c r="BC81" i="4" s="1"/>
  <c r="BD73" i="4"/>
  <c r="AY252" i="4"/>
  <c r="Q70" i="1"/>
  <c r="AY251" i="4"/>
  <c r="S70" i="1"/>
  <c r="BD139" i="4"/>
  <c r="BD140" i="4" s="1"/>
  <c r="BE240" i="4"/>
  <c r="BD247" i="4"/>
  <c r="BD248" i="4" s="1"/>
  <c r="BE217" i="4"/>
  <c r="BE218" i="4" s="1"/>
  <c r="AZ48" i="4"/>
  <c r="AZ49" i="4" s="1"/>
  <c r="BD61" i="4"/>
  <c r="BD62" i="4" s="1"/>
  <c r="BC93" i="4"/>
  <c r="BC94" i="4" s="1"/>
  <c r="BD86" i="4"/>
  <c r="BD113" i="4"/>
  <c r="BD114" i="4" s="1"/>
  <c r="BD100" i="4"/>
  <c r="BD101" i="4" s="1"/>
  <c r="BF216" i="4" l="1"/>
  <c r="BE223" i="4"/>
  <c r="BE224" i="4" s="1"/>
  <c r="BA47" i="4"/>
  <c r="AZ54" i="4"/>
  <c r="BD119" i="4"/>
  <c r="BD120" i="4" s="1"/>
  <c r="BE112" i="4"/>
  <c r="BE60" i="4"/>
  <c r="BD67" i="4"/>
  <c r="BD68" i="4" s="1"/>
  <c r="BE99" i="4"/>
  <c r="BD106" i="4"/>
  <c r="BD107" i="4" s="1"/>
  <c r="BD145" i="4"/>
  <c r="BD146" i="4" s="1"/>
  <c r="BE138" i="4"/>
  <c r="BD74" i="4"/>
  <c r="BD75" i="4" s="1"/>
  <c r="BD87" i="4"/>
  <c r="BD88" i="4" s="1"/>
  <c r="BE241" i="4"/>
  <c r="BE242" i="4" s="1"/>
  <c r="BD165" i="4"/>
  <c r="BD166" i="4" s="1"/>
  <c r="BD229" i="4"/>
  <c r="BD230" i="4" s="1"/>
  <c r="BA30" i="4"/>
  <c r="BA31" i="4" s="1"/>
  <c r="BA33" i="4"/>
  <c r="BA34" i="4" s="1"/>
  <c r="AZ249" i="4"/>
  <c r="AZ37" i="4"/>
  <c r="BD191" i="4"/>
  <c r="BD192" i="4" s="1"/>
  <c r="BE126" i="4"/>
  <c r="BE127" i="4" s="1"/>
  <c r="BE204" i="4"/>
  <c r="BE205" i="4" s="1"/>
  <c r="BD152" i="4"/>
  <c r="BD153" i="4" s="1"/>
  <c r="BD178" i="4"/>
  <c r="BD179" i="4" s="1"/>
  <c r="BA51" i="4"/>
  <c r="BA52" i="4" s="1"/>
  <c r="T70" i="1"/>
  <c r="U70" i="1" s="1"/>
  <c r="F124" i="1"/>
  <c r="F126" i="1" s="1"/>
  <c r="AZ250" i="4"/>
  <c r="AZ55" i="4"/>
  <c r="BD197" i="4" l="1"/>
  <c r="BD198" i="4" s="1"/>
  <c r="BE190" i="4"/>
  <c r="BE247" i="4"/>
  <c r="BE248" i="4" s="1"/>
  <c r="BF240" i="4"/>
  <c r="BA35" i="4"/>
  <c r="BB32" i="4"/>
  <c r="BE210" i="4"/>
  <c r="BE211" i="4" s="1"/>
  <c r="BF203" i="4"/>
  <c r="BF125" i="4"/>
  <c r="BE132" i="4"/>
  <c r="BE133" i="4" s="1"/>
  <c r="BD80" i="4"/>
  <c r="BD81" i="4" s="1"/>
  <c r="BE73" i="4"/>
  <c r="BA36" i="4"/>
  <c r="BB29" i="4"/>
  <c r="BE164" i="4"/>
  <c r="BD171" i="4"/>
  <c r="BD172" i="4" s="1"/>
  <c r="BD93" i="4"/>
  <c r="BD94" i="4" s="1"/>
  <c r="BE86" i="4"/>
  <c r="BA53" i="4"/>
  <c r="BB50" i="4"/>
  <c r="BE177" i="4"/>
  <c r="BD184" i="4"/>
  <c r="BD185" i="4" s="1"/>
  <c r="BE151" i="4"/>
  <c r="BD158" i="4"/>
  <c r="BD159" i="4" s="1"/>
  <c r="BE228" i="4"/>
  <c r="BD235" i="4"/>
  <c r="BD236" i="4" s="1"/>
  <c r="BE113" i="4"/>
  <c r="BE114" i="4" s="1"/>
  <c r="BE62" i="4"/>
  <c r="BE61" i="4"/>
  <c r="BE140" i="4"/>
  <c r="BE139" i="4"/>
  <c r="BA48" i="4"/>
  <c r="BA49" i="4" s="1"/>
  <c r="AZ251" i="4"/>
  <c r="AZ252" i="4" s="1"/>
  <c r="S71" i="1"/>
  <c r="Q71" i="1"/>
  <c r="BE100" i="4"/>
  <c r="BE101" i="4" s="1"/>
  <c r="BF217" i="4"/>
  <c r="BF218" i="4" s="1"/>
  <c r="BA54" i="4" l="1"/>
  <c r="BB47" i="4"/>
  <c r="BF223" i="4"/>
  <c r="BF224" i="4" s="1"/>
  <c r="BG216" i="4"/>
  <c r="BE119" i="4"/>
  <c r="BE120" i="4" s="1"/>
  <c r="BF112" i="4"/>
  <c r="BF99" i="4"/>
  <c r="BE106" i="4"/>
  <c r="BE107" i="4" s="1"/>
  <c r="T71" i="1"/>
  <c r="U71" i="1" s="1"/>
  <c r="BE152" i="4"/>
  <c r="BE153" i="4" s="1"/>
  <c r="BE166" i="4"/>
  <c r="BE165" i="4"/>
  <c r="BB30" i="4"/>
  <c r="BB31" i="4" s="1"/>
  <c r="BB33" i="4"/>
  <c r="BB34" i="4" s="1"/>
  <c r="BF138" i="4"/>
  <c r="BE145" i="4"/>
  <c r="BE146" i="4" s="1"/>
  <c r="BA249" i="4"/>
  <c r="BA37" i="4"/>
  <c r="BF241" i="4"/>
  <c r="BF242" i="4" s="1"/>
  <c r="BF60" i="4"/>
  <c r="BE67" i="4"/>
  <c r="BE68" i="4" s="1"/>
  <c r="BB51" i="4"/>
  <c r="BB52" i="4" s="1"/>
  <c r="BA55" i="4"/>
  <c r="BA250" i="4"/>
  <c r="BE87" i="4"/>
  <c r="BE88" i="4" s="1"/>
  <c r="BE191" i="4"/>
  <c r="BE192" i="4" s="1"/>
  <c r="BF204" i="4"/>
  <c r="BF205" i="4" s="1"/>
  <c r="BE178" i="4"/>
  <c r="BE179" i="4" s="1"/>
  <c r="BE74" i="4"/>
  <c r="BE75" i="4" s="1"/>
  <c r="BE229" i="4"/>
  <c r="BE230" i="4" s="1"/>
  <c r="BF126" i="4"/>
  <c r="BF127" i="4" s="1"/>
  <c r="BB53" i="4" l="1"/>
  <c r="BC50" i="4"/>
  <c r="BF73" i="4"/>
  <c r="BE80" i="4"/>
  <c r="BE81" i="4" s="1"/>
  <c r="BF247" i="4"/>
  <c r="BF248" i="4" s="1"/>
  <c r="BG240" i="4"/>
  <c r="BF132" i="4"/>
  <c r="BF133" i="4" s="1"/>
  <c r="BG125" i="4"/>
  <c r="BB36" i="4"/>
  <c r="BC29" i="4"/>
  <c r="BG203" i="4"/>
  <c r="BF210" i="4"/>
  <c r="BF211" i="4" s="1"/>
  <c r="BF151" i="4"/>
  <c r="BE158" i="4"/>
  <c r="BE159" i="4" s="1"/>
  <c r="BE235" i="4"/>
  <c r="BE236" i="4" s="1"/>
  <c r="BF228" i="4"/>
  <c r="BB35" i="4"/>
  <c r="BC32" i="4"/>
  <c r="BF177" i="4"/>
  <c r="BE184" i="4"/>
  <c r="BE185" i="4" s="1"/>
  <c r="BE197" i="4"/>
  <c r="BE198" i="4" s="1"/>
  <c r="BF190" i="4"/>
  <c r="BF86" i="4"/>
  <c r="BE93" i="4"/>
  <c r="BE94" i="4" s="1"/>
  <c r="BA251" i="4"/>
  <c r="BA252" i="4" s="1"/>
  <c r="S72" i="1"/>
  <c r="BF114" i="4"/>
  <c r="BF113" i="4"/>
  <c r="BF164" i="4"/>
  <c r="BE171" i="4"/>
  <c r="BE172" i="4" s="1"/>
  <c r="BG217" i="4"/>
  <c r="BG218" i="4" s="1"/>
  <c r="Q72" i="1"/>
  <c r="BF139" i="4"/>
  <c r="BF140" i="4" s="1"/>
  <c r="BB48" i="4"/>
  <c r="BB49" i="4" s="1"/>
  <c r="BF100" i="4"/>
  <c r="BF101" i="4" s="1"/>
  <c r="BF61" i="4"/>
  <c r="BF62" i="4" s="1"/>
  <c r="BF67" i="4" l="1"/>
  <c r="BF68" i="4" s="1"/>
  <c r="BG60" i="4"/>
  <c r="BF106" i="4"/>
  <c r="BF107" i="4" s="1"/>
  <c r="BG99" i="4"/>
  <c r="BG223" i="4"/>
  <c r="BG224" i="4" s="1"/>
  <c r="BH216" i="4"/>
  <c r="BB54" i="4"/>
  <c r="BC47" i="4"/>
  <c r="BF145" i="4"/>
  <c r="BF146" i="4" s="1"/>
  <c r="BG138" i="4"/>
  <c r="T72" i="1"/>
  <c r="U72" i="1" s="1"/>
  <c r="BF229" i="4"/>
  <c r="BF230" i="4" s="1"/>
  <c r="BG126" i="4"/>
  <c r="BG127" i="4" s="1"/>
  <c r="BF165" i="4"/>
  <c r="BF166" i="4" s="1"/>
  <c r="BF87" i="4"/>
  <c r="BF88" i="4" s="1"/>
  <c r="BF119" i="4"/>
  <c r="BF120" i="4" s="1"/>
  <c r="BG112" i="4"/>
  <c r="BB250" i="4"/>
  <c r="BF192" i="4"/>
  <c r="BF191" i="4"/>
  <c r="BG241" i="4"/>
  <c r="BG242" i="4" s="1"/>
  <c r="BB249" i="4"/>
  <c r="BB37" i="4"/>
  <c r="BF153" i="4"/>
  <c r="BF152" i="4"/>
  <c r="BF179" i="4"/>
  <c r="BF178" i="4"/>
  <c r="BG205" i="4"/>
  <c r="BG204" i="4"/>
  <c r="BF74" i="4"/>
  <c r="BF75" i="4" s="1"/>
  <c r="BC34" i="4"/>
  <c r="BC33" i="4"/>
  <c r="BC31" i="4"/>
  <c r="BC30" i="4"/>
  <c r="BC51" i="4"/>
  <c r="BC52" i="4" s="1"/>
  <c r="BB55" i="4"/>
  <c r="BG228" i="4" l="1"/>
  <c r="BF235" i="4"/>
  <c r="BF236" i="4" s="1"/>
  <c r="BH125" i="4"/>
  <c r="BG132" i="4"/>
  <c r="BG133" i="4" s="1"/>
  <c r="BF93" i="4"/>
  <c r="BF94" i="4" s="1"/>
  <c r="BG86" i="4"/>
  <c r="BF80" i="4"/>
  <c r="BF81" i="4" s="1"/>
  <c r="BG73" i="4"/>
  <c r="BG164" i="4"/>
  <c r="BF171" i="4"/>
  <c r="BF172" i="4" s="1"/>
  <c r="BH240" i="4"/>
  <c r="BG247" i="4"/>
  <c r="BG248" i="4" s="1"/>
  <c r="BC53" i="4"/>
  <c r="BD50" i="4"/>
  <c r="BC48" i="4"/>
  <c r="BC49" i="4" s="1"/>
  <c r="BD29" i="4"/>
  <c r="BC36" i="4"/>
  <c r="BF184" i="4"/>
  <c r="BF185" i="4" s="1"/>
  <c r="BG177" i="4"/>
  <c r="BF197" i="4"/>
  <c r="BF198" i="4" s="1"/>
  <c r="BG190" i="4"/>
  <c r="BB251" i="4"/>
  <c r="BB252" i="4" s="1"/>
  <c r="S73" i="1"/>
  <c r="BD32" i="4"/>
  <c r="BC35" i="4"/>
  <c r="BG151" i="4"/>
  <c r="BF158" i="4"/>
  <c r="BF159" i="4" s="1"/>
  <c r="BG113" i="4"/>
  <c r="BG114" i="4" s="1"/>
  <c r="BH217" i="4"/>
  <c r="BH218" i="4" s="1"/>
  <c r="Q73" i="1"/>
  <c r="BG100" i="4"/>
  <c r="BG101" i="4" s="1"/>
  <c r="BG210" i="4"/>
  <c r="BG211" i="4" s="1"/>
  <c r="BH203" i="4"/>
  <c r="BG139" i="4"/>
  <c r="BG140" i="4" s="1"/>
  <c r="BG61" i="4"/>
  <c r="BG62" i="4" s="1"/>
  <c r="BH99" i="4" l="1"/>
  <c r="BG106" i="4"/>
  <c r="BG107" i="4" s="1"/>
  <c r="T73" i="1"/>
  <c r="U73" i="1" s="1"/>
  <c r="BC54" i="4"/>
  <c r="BC55" i="4" s="1"/>
  <c r="BD47" i="4"/>
  <c r="BH223" i="4"/>
  <c r="BH224" i="4" s="1"/>
  <c r="BI216" i="4"/>
  <c r="BG119" i="4"/>
  <c r="BG120" i="4" s="1"/>
  <c r="BH112" i="4"/>
  <c r="BH60" i="4"/>
  <c r="BG67" i="4"/>
  <c r="BG68" i="4" s="1"/>
  <c r="BG145" i="4"/>
  <c r="BG146" i="4" s="1"/>
  <c r="BH138" i="4"/>
  <c r="BG87" i="4"/>
  <c r="BG88" i="4" s="1"/>
  <c r="BG74" i="4"/>
  <c r="BG75" i="4" s="1"/>
  <c r="BH126" i="4"/>
  <c r="BH127" i="4" s="1"/>
  <c r="BG191" i="4"/>
  <c r="BG192" i="4" s="1"/>
  <c r="BC250" i="4"/>
  <c r="BD51" i="4"/>
  <c r="BD52" i="4" s="1"/>
  <c r="BG178" i="4"/>
  <c r="BG179" i="4" s="1"/>
  <c r="BG152" i="4"/>
  <c r="BG153" i="4" s="1"/>
  <c r="BH241" i="4"/>
  <c r="BH242" i="4" s="1"/>
  <c r="BC249" i="4"/>
  <c r="BC37" i="4"/>
  <c r="BH204" i="4"/>
  <c r="BH205" i="4" s="1"/>
  <c r="BD33" i="4"/>
  <c r="BD34" i="4" s="1"/>
  <c r="BD30" i="4"/>
  <c r="BD31" i="4" s="1"/>
  <c r="BG165" i="4"/>
  <c r="BG166" i="4" s="1"/>
  <c r="BG229" i="4"/>
  <c r="BG230" i="4" s="1"/>
  <c r="BG80" i="4" l="1"/>
  <c r="BG81" i="4" s="1"/>
  <c r="BH73" i="4"/>
  <c r="BG235" i="4"/>
  <c r="BG236" i="4" s="1"/>
  <c r="BH228" i="4"/>
  <c r="BG158" i="4"/>
  <c r="BG159" i="4" s="1"/>
  <c r="BH151" i="4"/>
  <c r="BH247" i="4"/>
  <c r="BH248" i="4" s="1"/>
  <c r="BI240" i="4"/>
  <c r="BG171" i="4"/>
  <c r="BG172" i="4" s="1"/>
  <c r="BH164" i="4"/>
  <c r="BD53" i="4"/>
  <c r="BE50" i="4"/>
  <c r="BI125" i="4"/>
  <c r="BH132" i="4"/>
  <c r="BH133" i="4" s="1"/>
  <c r="BG93" i="4"/>
  <c r="BG94" i="4" s="1"/>
  <c r="BH86" i="4"/>
  <c r="BG184" i="4"/>
  <c r="BG185" i="4" s="1"/>
  <c r="BH177" i="4"/>
  <c r="BD36" i="4"/>
  <c r="BE29" i="4"/>
  <c r="BD35" i="4"/>
  <c r="BE32" i="4"/>
  <c r="BH210" i="4"/>
  <c r="BH211" i="4" s="1"/>
  <c r="BI203" i="4"/>
  <c r="BG197" i="4"/>
  <c r="BG198" i="4" s="1"/>
  <c r="BH190" i="4"/>
  <c r="BI217" i="4"/>
  <c r="BI218" i="4" s="1"/>
  <c r="BH139" i="4"/>
  <c r="BH140" i="4" s="1"/>
  <c r="BD48" i="4"/>
  <c r="BD49" i="4" s="1"/>
  <c r="BH61" i="4"/>
  <c r="BH62" i="4" s="1"/>
  <c r="BC251" i="4"/>
  <c r="S74" i="1"/>
  <c r="BH113" i="4"/>
  <c r="BH114" i="4" s="1"/>
  <c r="BC252" i="4"/>
  <c r="Q74" i="1"/>
  <c r="BH100" i="4"/>
  <c r="BH101" i="4" s="1"/>
  <c r="BI138" i="4" l="1"/>
  <c r="BH145" i="4"/>
  <c r="BH146" i="4" s="1"/>
  <c r="BI60" i="4"/>
  <c r="BH67" i="4"/>
  <c r="BH68" i="4" s="1"/>
  <c r="BE47" i="4"/>
  <c r="BD54" i="4"/>
  <c r="BH106" i="4"/>
  <c r="BH107" i="4" s="1"/>
  <c r="BI99" i="4"/>
  <c r="BI223" i="4"/>
  <c r="BI224" i="4" s="1"/>
  <c r="BJ216" i="4"/>
  <c r="BH119" i="4"/>
  <c r="BH120" i="4" s="1"/>
  <c r="BI112" i="4"/>
  <c r="BI204" i="4"/>
  <c r="BI205" i="4" s="1"/>
  <c r="BH87" i="4"/>
  <c r="BH88" i="4" s="1"/>
  <c r="BE30" i="4"/>
  <c r="BE31" i="4" s="1"/>
  <c r="BE51" i="4"/>
  <c r="BE52" i="4" s="1"/>
  <c r="BH229" i="4"/>
  <c r="BH230" i="4" s="1"/>
  <c r="T74" i="1"/>
  <c r="U74" i="1" s="1"/>
  <c r="BI241" i="4"/>
  <c r="BI242" i="4" s="1"/>
  <c r="BH152" i="4"/>
  <c r="BH153" i="4" s="1"/>
  <c r="BI126" i="4"/>
  <c r="BI127" i="4" s="1"/>
  <c r="BD250" i="4"/>
  <c r="BD55" i="4"/>
  <c r="BE33" i="4"/>
  <c r="BE34" i="4" s="1"/>
  <c r="BD249" i="4"/>
  <c r="BD37" i="4"/>
  <c r="BH191" i="4"/>
  <c r="BH192" i="4" s="1"/>
  <c r="BH178" i="4"/>
  <c r="BH179" i="4" s="1"/>
  <c r="BH165" i="4"/>
  <c r="BH166" i="4" s="1"/>
  <c r="BH74" i="4"/>
  <c r="BH75" i="4" s="1"/>
  <c r="BE53" i="4" l="1"/>
  <c r="BF50" i="4"/>
  <c r="BI73" i="4"/>
  <c r="BH80" i="4"/>
  <c r="BH81" i="4" s="1"/>
  <c r="BF29" i="4"/>
  <c r="BE36" i="4"/>
  <c r="BI164" i="4"/>
  <c r="BH171" i="4"/>
  <c r="BH172" i="4" s="1"/>
  <c r="BI210" i="4"/>
  <c r="BI211" i="4" s="1"/>
  <c r="BJ203" i="4"/>
  <c r="BH158" i="4"/>
  <c r="BH159" i="4" s="1"/>
  <c r="BI151" i="4"/>
  <c r="BH197" i="4"/>
  <c r="BH198" i="4" s="1"/>
  <c r="BI190" i="4"/>
  <c r="BJ240" i="4"/>
  <c r="BI247" i="4"/>
  <c r="BI248" i="4" s="1"/>
  <c r="BE35" i="4"/>
  <c r="BF32" i="4"/>
  <c r="BI86" i="4"/>
  <c r="BH93" i="4"/>
  <c r="BH94" i="4" s="1"/>
  <c r="BJ125" i="4"/>
  <c r="BI132" i="4"/>
  <c r="BI133" i="4" s="1"/>
  <c r="BH184" i="4"/>
  <c r="BH185" i="4" s="1"/>
  <c r="BI177" i="4"/>
  <c r="BH235" i="4"/>
  <c r="BH236" i="4" s="1"/>
  <c r="BI228" i="4"/>
  <c r="BD252" i="4"/>
  <c r="Q75" i="1"/>
  <c r="BI61" i="4"/>
  <c r="BI62" i="4" s="1"/>
  <c r="BI101" i="4"/>
  <c r="BI100" i="4"/>
  <c r="BD251" i="4"/>
  <c r="S75" i="1"/>
  <c r="BE48" i="4"/>
  <c r="BE49" i="4" s="1"/>
  <c r="BI113" i="4"/>
  <c r="BI114" i="4" s="1"/>
  <c r="BJ218" i="4"/>
  <c r="BJ217" i="4"/>
  <c r="BI139" i="4"/>
  <c r="BI140" i="4" s="1"/>
  <c r="BI119" i="4" l="1"/>
  <c r="BI120" i="4" s="1"/>
  <c r="BJ112" i="4"/>
  <c r="BI145" i="4"/>
  <c r="BI146" i="4" s="1"/>
  <c r="BJ138" i="4"/>
  <c r="BJ60" i="4"/>
  <c r="BI67" i="4"/>
  <c r="BI68" i="4" s="1"/>
  <c r="BF47" i="4"/>
  <c r="BE54" i="4"/>
  <c r="BE250" i="4" s="1"/>
  <c r="BJ242" i="4"/>
  <c r="BJ241" i="4"/>
  <c r="BF30" i="4"/>
  <c r="BF31" i="4" s="1"/>
  <c r="BI178" i="4"/>
  <c r="BI179" i="4" s="1"/>
  <c r="BJ126" i="4"/>
  <c r="BJ127" i="4" s="1"/>
  <c r="BI153" i="4"/>
  <c r="BI152" i="4"/>
  <c r="BJ223" i="4"/>
  <c r="BJ224" i="4" s="1"/>
  <c r="BK216" i="4"/>
  <c r="BI165" i="4"/>
  <c r="BI166" i="4" s="1"/>
  <c r="BI191" i="4"/>
  <c r="BI192" i="4" s="1"/>
  <c r="BI75" i="4"/>
  <c r="BI74" i="4"/>
  <c r="BJ99" i="4"/>
  <c r="BI106" i="4"/>
  <c r="BI107" i="4" s="1"/>
  <c r="T75" i="1"/>
  <c r="U75" i="1" s="1"/>
  <c r="BI87" i="4"/>
  <c r="BI88" i="4" s="1"/>
  <c r="BI230" i="4"/>
  <c r="BI229" i="4"/>
  <c r="BF33" i="4"/>
  <c r="BF34" i="4" s="1"/>
  <c r="BJ204" i="4"/>
  <c r="BJ205" i="4" s="1"/>
  <c r="BF51" i="4"/>
  <c r="BF52" i="4" s="1"/>
  <c r="BE249" i="4"/>
  <c r="BE37" i="4"/>
  <c r="BE251" i="4" l="1"/>
  <c r="S76" i="1"/>
  <c r="BK125" i="4"/>
  <c r="BJ132" i="4"/>
  <c r="BJ133" i="4" s="1"/>
  <c r="BG50" i="4"/>
  <c r="BF53" i="4"/>
  <c r="BJ210" i="4"/>
  <c r="BJ211" i="4" s="1"/>
  <c r="BK203" i="4"/>
  <c r="BF35" i="4"/>
  <c r="BG32" i="4"/>
  <c r="BI197" i="4"/>
  <c r="BI198" i="4" s="1"/>
  <c r="BJ190" i="4"/>
  <c r="BF36" i="4"/>
  <c r="BG29" i="4"/>
  <c r="BI184" i="4"/>
  <c r="BI185" i="4" s="1"/>
  <c r="BJ177" i="4"/>
  <c r="BJ164" i="4"/>
  <c r="BI171" i="4"/>
  <c r="BI172" i="4" s="1"/>
  <c r="BJ86" i="4"/>
  <c r="BI93" i="4"/>
  <c r="BI94" i="4" s="1"/>
  <c r="U76" i="1"/>
  <c r="BK217" i="4"/>
  <c r="B217" i="4" s="1"/>
  <c r="C217" i="4" s="1"/>
  <c r="BJ62" i="4"/>
  <c r="BJ61" i="4"/>
  <c r="BI158" i="4"/>
  <c r="BI159" i="4" s="1"/>
  <c r="BJ151" i="4"/>
  <c r="BF48" i="4"/>
  <c r="BF49" i="4" s="1"/>
  <c r="BE55" i="4"/>
  <c r="BJ100" i="4"/>
  <c r="BJ101" i="4" s="1"/>
  <c r="BJ139" i="4"/>
  <c r="BJ140" i="4" s="1"/>
  <c r="BE252" i="4"/>
  <c r="T76" i="1" s="1"/>
  <c r="Q76" i="1"/>
  <c r="BI235" i="4"/>
  <c r="BI236" i="4" s="1"/>
  <c r="BJ228" i="4"/>
  <c r="BJ113" i="4"/>
  <c r="BJ114" i="4" s="1"/>
  <c r="BJ73" i="4"/>
  <c r="BI80" i="4"/>
  <c r="BI81" i="4" s="1"/>
  <c r="BJ247" i="4"/>
  <c r="BJ248" i="4" s="1"/>
  <c r="BK240" i="4"/>
  <c r="BJ145" i="4" l="1"/>
  <c r="BJ146" i="4" s="1"/>
  <c r="BK138" i="4"/>
  <c r="BK99" i="4"/>
  <c r="BJ106" i="4"/>
  <c r="BJ107" i="4" s="1"/>
  <c r="BJ119" i="4"/>
  <c r="BJ120" i="4" s="1"/>
  <c r="BK112" i="4"/>
  <c r="BF54" i="4"/>
  <c r="BG47" i="4"/>
  <c r="BJ229" i="4"/>
  <c r="BJ230" i="4" s="1"/>
  <c r="BK218" i="4"/>
  <c r="BG30" i="4"/>
  <c r="BG31" i="4" s="1"/>
  <c r="BF55" i="4"/>
  <c r="BF250" i="4"/>
  <c r="BG51" i="4"/>
  <c r="BG52" i="4" s="1"/>
  <c r="BK60" i="4"/>
  <c r="BJ67" i="4"/>
  <c r="BJ68" i="4" s="1"/>
  <c r="BK241" i="4"/>
  <c r="B241" i="4" s="1"/>
  <c r="C241" i="4" s="1"/>
  <c r="BJ191" i="4"/>
  <c r="BJ192" i="4" s="1"/>
  <c r="BK204" i="4"/>
  <c r="B204" i="4" s="1"/>
  <c r="C204" i="4" s="1"/>
  <c r="BJ153" i="4"/>
  <c r="BJ152" i="4"/>
  <c r="BJ87" i="4"/>
  <c r="BJ88" i="4" s="1"/>
  <c r="BK126" i="4"/>
  <c r="B126" i="4" s="1"/>
  <c r="C126" i="4" s="1"/>
  <c r="BJ178" i="4"/>
  <c r="BJ179" i="4" s="1"/>
  <c r="BG34" i="4"/>
  <c r="BG33" i="4"/>
  <c r="BJ74" i="4"/>
  <c r="BJ75" i="4" s="1"/>
  <c r="BJ165" i="4"/>
  <c r="BJ166" i="4" s="1"/>
  <c r="BF249" i="4"/>
  <c r="BF37" i="4"/>
  <c r="BJ184" i="4" l="1"/>
  <c r="BJ185" i="4" s="1"/>
  <c r="BK177" i="4"/>
  <c r="BJ93" i="4"/>
  <c r="BJ94" i="4" s="1"/>
  <c r="BK86" i="4"/>
  <c r="BK73" i="4"/>
  <c r="BJ80" i="4"/>
  <c r="BJ81" i="4" s="1"/>
  <c r="BG53" i="4"/>
  <c r="BH50" i="4"/>
  <c r="BJ197" i="4"/>
  <c r="BJ198" i="4" s="1"/>
  <c r="BK190" i="4"/>
  <c r="BK164" i="4"/>
  <c r="BJ171" i="4"/>
  <c r="BJ172" i="4" s="1"/>
  <c r="BH29" i="4"/>
  <c r="BG36" i="4"/>
  <c r="BK228" i="4"/>
  <c r="BJ235" i="4"/>
  <c r="BJ236" i="4" s="1"/>
  <c r="BK127" i="4"/>
  <c r="BK113" i="4"/>
  <c r="B113" i="4" s="1"/>
  <c r="C113" i="4" s="1"/>
  <c r="BF251" i="4"/>
  <c r="S77" i="1"/>
  <c r="B269" i="4"/>
  <c r="BK223" i="4"/>
  <c r="BK101" i="4"/>
  <c r="BK100" i="4"/>
  <c r="B100" i="4" s="1"/>
  <c r="C100" i="4" s="1"/>
  <c r="BK139" i="4"/>
  <c r="B139" i="4" s="1"/>
  <c r="C139" i="4" s="1"/>
  <c r="BG48" i="4"/>
  <c r="BG49" i="4" s="1"/>
  <c r="BK242" i="4"/>
  <c r="BH32" i="4"/>
  <c r="BG35" i="4"/>
  <c r="BJ158" i="4"/>
  <c r="BJ159" i="4" s="1"/>
  <c r="BK151" i="4"/>
  <c r="BK61" i="4"/>
  <c r="B61" i="4" s="1"/>
  <c r="C61" i="4" s="1"/>
  <c r="BF252" i="4"/>
  <c r="T77" i="1" s="1"/>
  <c r="U77" i="1" s="1"/>
  <c r="Q77" i="1"/>
  <c r="BK205" i="4"/>
  <c r="BG54" i="4" l="1"/>
  <c r="BG55" i="4" s="1"/>
  <c r="BH47" i="4"/>
  <c r="B271" i="4"/>
  <c r="BK247" i="4"/>
  <c r="C269" i="4"/>
  <c r="D61" i="1"/>
  <c r="E61" i="1"/>
  <c r="BG250" i="4"/>
  <c r="BH30" i="4"/>
  <c r="BH31" i="4" s="1"/>
  <c r="BK74" i="4"/>
  <c r="B74" i="4" s="1"/>
  <c r="C74" i="4" s="1"/>
  <c r="BG249" i="4"/>
  <c r="BG37" i="4"/>
  <c r="B268" i="4"/>
  <c r="BK210" i="4"/>
  <c r="BK224" i="4"/>
  <c r="B223" i="4"/>
  <c r="C223" i="4" s="1"/>
  <c r="BK87" i="4"/>
  <c r="B87" i="4" s="1"/>
  <c r="C87" i="4" s="1"/>
  <c r="B260" i="4"/>
  <c r="BK106" i="4"/>
  <c r="BH52" i="4"/>
  <c r="BH51" i="4"/>
  <c r="BH33" i="4"/>
  <c r="BH34" i="4" s="1"/>
  <c r="BK229" i="4"/>
  <c r="B229" i="4" s="1"/>
  <c r="C229" i="4" s="1"/>
  <c r="BK165" i="4"/>
  <c r="B165" i="4" s="1"/>
  <c r="C165" i="4" s="1"/>
  <c r="BK153" i="4"/>
  <c r="BK152" i="4"/>
  <c r="B152" i="4" s="1"/>
  <c r="C152" i="4" s="1"/>
  <c r="BK140" i="4"/>
  <c r="BK114" i="4"/>
  <c r="BK191" i="4"/>
  <c r="B191" i="4" s="1"/>
  <c r="C191" i="4" s="1"/>
  <c r="BK178" i="4"/>
  <c r="B178" i="4" s="1"/>
  <c r="C178" i="4" s="1"/>
  <c r="BK62" i="4"/>
  <c r="B262" i="4"/>
  <c r="BK132" i="4"/>
  <c r="BH35" i="4" l="1"/>
  <c r="BI32" i="4"/>
  <c r="BH36" i="4"/>
  <c r="BI29" i="4"/>
  <c r="BK107" i="4"/>
  <c r="B106" i="4"/>
  <c r="C106" i="4" s="1"/>
  <c r="BK179" i="4"/>
  <c r="BK192" i="4"/>
  <c r="BK230" i="4"/>
  <c r="BK88" i="4"/>
  <c r="BK75" i="4"/>
  <c r="BK248" i="4"/>
  <c r="B247" i="4"/>
  <c r="C247" i="4" s="1"/>
  <c r="BH53" i="4"/>
  <c r="BI50" i="4"/>
  <c r="BK166" i="4"/>
  <c r="C260" i="4"/>
  <c r="D52" i="1"/>
  <c r="E52" i="1"/>
  <c r="B261" i="4"/>
  <c r="BK119" i="4"/>
  <c r="C271" i="4"/>
  <c r="D63" i="1"/>
  <c r="E63" i="1"/>
  <c r="B264" i="4"/>
  <c r="BK158" i="4"/>
  <c r="C268" i="4"/>
  <c r="D60" i="1"/>
  <c r="E60" i="1"/>
  <c r="BG252" i="4"/>
  <c r="T78" i="1" s="1"/>
  <c r="U78" i="1" s="1"/>
  <c r="Q78" i="1"/>
  <c r="C262" i="4"/>
  <c r="E54" i="1"/>
  <c r="D54" i="1"/>
  <c r="B263" i="4"/>
  <c r="BK145" i="4"/>
  <c r="B224" i="4"/>
  <c r="G118" i="1"/>
  <c r="BK133" i="4"/>
  <c r="B132" i="4"/>
  <c r="C132" i="4" s="1"/>
  <c r="B283" i="4"/>
  <c r="B257" i="4"/>
  <c r="BK67" i="4"/>
  <c r="D69" i="1"/>
  <c r="BK211" i="4"/>
  <c r="B210" i="4"/>
  <c r="C210" i="4" s="1"/>
  <c r="BG251" i="4"/>
  <c r="S78" i="1"/>
  <c r="BH48" i="4"/>
  <c r="BH49" i="4" s="1"/>
  <c r="BH54" i="4" l="1"/>
  <c r="BI47" i="4"/>
  <c r="B267" i="4"/>
  <c r="BK197" i="4"/>
  <c r="B211" i="4"/>
  <c r="G117" i="1"/>
  <c r="B265" i="4"/>
  <c r="BK171" i="4"/>
  <c r="C263" i="4"/>
  <c r="E55" i="1"/>
  <c r="D55" i="1"/>
  <c r="BI51" i="4"/>
  <c r="BI52" i="4" s="1"/>
  <c r="B266" i="4"/>
  <c r="BK184" i="4"/>
  <c r="BK146" i="4"/>
  <c r="B145" i="4"/>
  <c r="C145" i="4" s="1"/>
  <c r="BK120" i="4"/>
  <c r="B119" i="4"/>
  <c r="C119" i="4" s="1"/>
  <c r="BH55" i="4"/>
  <c r="C261" i="4"/>
  <c r="D53" i="1"/>
  <c r="E53" i="1"/>
  <c r="B107" i="4"/>
  <c r="G109" i="1"/>
  <c r="BK68" i="4"/>
  <c r="B67" i="4"/>
  <c r="C67" i="4" s="1"/>
  <c r="C257" i="4"/>
  <c r="D49" i="1"/>
  <c r="E49" i="1"/>
  <c r="BK159" i="4"/>
  <c r="B158" i="4"/>
  <c r="C158" i="4" s="1"/>
  <c r="B248" i="4"/>
  <c r="G120" i="1"/>
  <c r="BI31" i="4"/>
  <c r="BI30" i="4"/>
  <c r="C224" i="4"/>
  <c r="H118" i="1"/>
  <c r="BH250" i="4"/>
  <c r="F69" i="1"/>
  <c r="E69" i="1"/>
  <c r="E90" i="1"/>
  <c r="E96" i="1" s="1"/>
  <c r="D90" i="1"/>
  <c r="D96" i="1" s="1"/>
  <c r="B133" i="4"/>
  <c r="G111" i="1"/>
  <c r="C264" i="4"/>
  <c r="D56" i="1"/>
  <c r="E56" i="1"/>
  <c r="B258" i="4"/>
  <c r="BK80" i="4"/>
  <c r="B259" i="4"/>
  <c r="BK93" i="4"/>
  <c r="BI33" i="4"/>
  <c r="BI34" i="4" s="1"/>
  <c r="B270" i="4"/>
  <c r="BK235" i="4"/>
  <c r="BH249" i="4"/>
  <c r="BH37" i="4"/>
  <c r="BI53" i="4" l="1"/>
  <c r="BJ50" i="4"/>
  <c r="BI35" i="4"/>
  <c r="BJ32" i="4"/>
  <c r="BK172" i="4"/>
  <c r="B171" i="4"/>
  <c r="C171" i="4" s="1"/>
  <c r="BK185" i="4"/>
  <c r="B184" i="4"/>
  <c r="C184" i="4" s="1"/>
  <c r="C259" i="4"/>
  <c r="E51" i="1"/>
  <c r="D51" i="1"/>
  <c r="C133" i="4"/>
  <c r="H111" i="1"/>
  <c r="C266" i="4"/>
  <c r="E58" i="1"/>
  <c r="D58" i="1"/>
  <c r="C265" i="4"/>
  <c r="D57" i="1"/>
  <c r="E57" i="1"/>
  <c r="BI36" i="4"/>
  <c r="BJ29" i="4"/>
  <c r="BK236" i="4"/>
  <c r="B235" i="4"/>
  <c r="C235" i="4" s="1"/>
  <c r="C258" i="4"/>
  <c r="E50" i="1"/>
  <c r="D50" i="1"/>
  <c r="C211" i="4"/>
  <c r="H117" i="1"/>
  <c r="BK94" i="4"/>
  <c r="B93" i="4"/>
  <c r="C93" i="4" s="1"/>
  <c r="BH252" i="4"/>
  <c r="T79" i="1" s="1"/>
  <c r="U79" i="1" s="1"/>
  <c r="Q79" i="1"/>
  <c r="BK81" i="4"/>
  <c r="B80" i="4"/>
  <c r="C80" i="4" s="1"/>
  <c r="C270" i="4"/>
  <c r="E62" i="1"/>
  <c r="D62" i="1"/>
  <c r="C248" i="4"/>
  <c r="H120" i="1"/>
  <c r="B68" i="4"/>
  <c r="G106" i="1"/>
  <c r="BK198" i="4"/>
  <c r="B197" i="4"/>
  <c r="C197" i="4" s="1"/>
  <c r="C267" i="4"/>
  <c r="E59" i="1"/>
  <c r="D59" i="1"/>
  <c r="BH251" i="4"/>
  <c r="S79" i="1"/>
  <c r="B159" i="4"/>
  <c r="G113" i="1"/>
  <c r="C107" i="4"/>
  <c r="H109" i="1"/>
  <c r="BI48" i="4"/>
  <c r="BI49" i="4" s="1"/>
  <c r="B120" i="4"/>
  <c r="G110" i="1"/>
  <c r="B146" i="4"/>
  <c r="G112" i="1"/>
  <c r="BI54" i="4" l="1"/>
  <c r="BJ47" i="4"/>
  <c r="B198" i="4"/>
  <c r="G116" i="1"/>
  <c r="C120" i="4"/>
  <c r="H110" i="1"/>
  <c r="C68" i="4"/>
  <c r="H106" i="1"/>
  <c r="B81" i="4"/>
  <c r="G107" i="1"/>
  <c r="B172" i="4"/>
  <c r="G114" i="1"/>
  <c r="C159" i="4"/>
  <c r="H113" i="1"/>
  <c r="B185" i="4"/>
  <c r="G115" i="1"/>
  <c r="BJ33" i="4"/>
  <c r="BJ34" i="4" s="1"/>
  <c r="C146" i="4"/>
  <c r="H112" i="1"/>
  <c r="BI249" i="4"/>
  <c r="BI37" i="4"/>
  <c r="BJ51" i="4"/>
  <c r="BJ52" i="4" s="1"/>
  <c r="BJ30" i="4"/>
  <c r="BJ31" i="4" s="1"/>
  <c r="BI250" i="4"/>
  <c r="B94" i="4"/>
  <c r="G108" i="1"/>
  <c r="B236" i="4"/>
  <c r="G119" i="1"/>
  <c r="BI55" i="4"/>
  <c r="BJ36" i="4" l="1"/>
  <c r="BK29" i="4"/>
  <c r="BJ53" i="4"/>
  <c r="BK50" i="4"/>
  <c r="BJ35" i="4"/>
  <c r="BK32" i="4"/>
  <c r="C185" i="4"/>
  <c r="H115" i="1"/>
  <c r="C94" i="4"/>
  <c r="H108" i="1"/>
  <c r="BI252" i="4"/>
  <c r="T80" i="1" s="1"/>
  <c r="U80" i="1" s="1"/>
  <c r="Q80" i="1"/>
  <c r="C198" i="4"/>
  <c r="H116" i="1"/>
  <c r="C236" i="4"/>
  <c r="H119" i="1"/>
  <c r="BI251" i="4"/>
  <c r="S80" i="1"/>
  <c r="C172" i="4"/>
  <c r="H114" i="1"/>
  <c r="BJ48" i="4"/>
  <c r="BJ49" i="4" s="1"/>
  <c r="C81" i="4"/>
  <c r="H107" i="1"/>
  <c r="BJ54" i="4" l="1"/>
  <c r="BK47" i="4"/>
  <c r="BK33" i="4"/>
  <c r="B33" i="4" s="1"/>
  <c r="C33" i="4" s="1"/>
  <c r="BJ249" i="4"/>
  <c r="BJ37" i="4"/>
  <c r="BK51" i="4"/>
  <c r="B51" i="4" s="1"/>
  <c r="C51" i="4" s="1"/>
  <c r="BJ55" i="4"/>
  <c r="BK30" i="4"/>
  <c r="B30" i="4" s="1"/>
  <c r="C30" i="4" s="1"/>
  <c r="BJ250" i="4"/>
  <c r="BK52" i="4" l="1"/>
  <c r="BJ251" i="4"/>
  <c r="BJ252" i="4" s="1"/>
  <c r="T81" i="1" s="1"/>
  <c r="U81" i="1" s="1"/>
  <c r="S81" i="1"/>
  <c r="Q81" i="1"/>
  <c r="BK31" i="4"/>
  <c r="BK34" i="4"/>
  <c r="BK48" i="4"/>
  <c r="B48" i="4" s="1"/>
  <c r="C48" i="4" s="1"/>
  <c r="BK49" i="4" l="1"/>
  <c r="B255" i="4"/>
  <c r="B281" i="4"/>
  <c r="B273" i="4"/>
  <c r="BK36" i="4"/>
  <c r="E88" i="1"/>
  <c r="D67" i="1"/>
  <c r="D88" i="1"/>
  <c r="C67" i="1"/>
  <c r="C88" i="1"/>
  <c r="BK35" i="4"/>
  <c r="BK53" i="4"/>
  <c r="C89" i="1"/>
  <c r="C95" i="1" s="1"/>
  <c r="C68" i="1"/>
  <c r="E94" i="1" l="1"/>
  <c r="B277" i="4"/>
  <c r="C273" i="4"/>
  <c r="H5" i="1"/>
  <c r="P38" i="2" s="1"/>
  <c r="E64" i="1"/>
  <c r="D64" i="1"/>
  <c r="K18" i="1"/>
  <c r="F61" i="1"/>
  <c r="F63" i="1"/>
  <c r="F52" i="1"/>
  <c r="F54" i="1"/>
  <c r="F60" i="1"/>
  <c r="F56" i="1"/>
  <c r="F49" i="1"/>
  <c r="F55" i="1"/>
  <c r="F53" i="1"/>
  <c r="F59" i="1"/>
  <c r="F51" i="1"/>
  <c r="F50" i="1"/>
  <c r="F58" i="1"/>
  <c r="F57" i="1"/>
  <c r="F62" i="1"/>
  <c r="F67" i="1"/>
  <c r="E67" i="1"/>
  <c r="C255" i="4"/>
  <c r="F47" i="1"/>
  <c r="E47" i="1"/>
  <c r="D47" i="1"/>
  <c r="BK250" i="4"/>
  <c r="B36" i="4"/>
  <c r="C36" i="4" s="1"/>
  <c r="B53" i="4"/>
  <c r="C53" i="4" s="1"/>
  <c r="BK249" i="4"/>
  <c r="BK37" i="4"/>
  <c r="B35" i="4"/>
  <c r="C35" i="4" s="1"/>
  <c r="C70" i="1"/>
  <c r="C94" i="1"/>
  <c r="C97" i="1" s="1"/>
  <c r="C91" i="1"/>
  <c r="B282" i="4"/>
  <c r="B256" i="4"/>
  <c r="BK54" i="4"/>
  <c r="B54" i="4" s="1"/>
  <c r="C54" i="4" s="1"/>
  <c r="E89" i="1"/>
  <c r="E95" i="1" s="1"/>
  <c r="D89" i="1"/>
  <c r="D95" i="1" s="1"/>
  <c r="D68" i="1"/>
  <c r="D70" i="1" s="1"/>
  <c r="D94" i="1"/>
  <c r="D97" i="1" s="1"/>
  <c r="BK251" i="4" l="1"/>
  <c r="B251" i="4" s="1"/>
  <c r="S82" i="1"/>
  <c r="B250" i="4"/>
  <c r="B37" i="4"/>
  <c r="G104" i="1"/>
  <c r="E91" i="1"/>
  <c r="C256" i="4"/>
  <c r="D48" i="1"/>
  <c r="F48" i="1"/>
  <c r="E48" i="1"/>
  <c r="F68" i="1"/>
  <c r="E68" i="1"/>
  <c r="BK55" i="4"/>
  <c r="E97" i="1"/>
  <c r="BK252" i="4"/>
  <c r="Q82" i="1"/>
  <c r="B249" i="4"/>
  <c r="D91" i="1"/>
  <c r="B284" i="4"/>
  <c r="T82" i="1" l="1"/>
  <c r="U82" i="1" s="1"/>
  <c r="B252" i="4"/>
  <c r="G124" i="1"/>
  <c r="H104" i="1"/>
  <c r="C37" i="4"/>
  <c r="B285" i="4"/>
  <c r="E70" i="1"/>
  <c r="C250" i="4"/>
  <c r="E11" i="1"/>
  <c r="G11" i="1"/>
  <c r="F11" i="1"/>
  <c r="B55" i="4"/>
  <c r="G105" i="1"/>
  <c r="G121" i="1" s="1"/>
  <c r="C249" i="4"/>
  <c r="G10" i="1"/>
  <c r="E10" i="1"/>
  <c r="F10" i="1"/>
  <c r="F12" i="1"/>
  <c r="C251" i="4"/>
  <c r="E13" i="1"/>
  <c r="F13" i="1"/>
  <c r="G13" i="1"/>
  <c r="H125" i="1" l="1"/>
  <c r="E15" i="1"/>
  <c r="G125" i="1"/>
  <c r="G126" i="1" s="1"/>
  <c r="F15" i="1"/>
  <c r="F70" i="1"/>
  <c r="G15" i="1"/>
  <c r="C55" i="4"/>
  <c r="H105" i="1"/>
  <c r="C252" i="4"/>
  <c r="B276" i="4"/>
  <c r="B278" i="4"/>
  <c r="Q5" i="2"/>
  <c r="K17" i="1"/>
  <c r="K16" i="1"/>
  <c r="E14" i="1"/>
  <c r="F5" i="1"/>
  <c r="H124" i="1"/>
  <c r="G14" i="1"/>
  <c r="F14" i="1"/>
  <c r="P39" i="2"/>
  <c r="H121" i="1"/>
  <c r="H126" i="1" l="1"/>
  <c r="G16" i="1"/>
  <c r="F16" i="1"/>
  <c r="J5" i="1"/>
  <c r="E16" i="1"/>
</calcChain>
</file>

<file path=xl/sharedStrings.xml><?xml version="1.0" encoding="utf-8"?>
<sst xmlns="http://schemas.openxmlformats.org/spreadsheetml/2006/main" count="3707" uniqueCount="668">
  <si>
    <t>⚡  GERAÇÃO INJETADA</t>
  </si>
  <si>
    <t>📄  PPA PAGO À HELEXIA</t>
  </si>
  <si>
    <t>✅  ECONOMIA LÍQUIDA</t>
  </si>
  <si>
    <t>🏦  BANCO RESIDUAL</t>
  </si>
  <si>
    <t>🌟  VALOR TOTAL</t>
  </si>
  <si>
    <t>3,375 MWh injetados em 60 meses</t>
  </si>
  <si>
    <t>Custo total do contrato PPA</t>
  </si>
  <si>
    <t>Rede evitada menos PPA pago</t>
  </si>
  <si>
    <t>Banco total Copasul @ PPA</t>
  </si>
  <si>
    <t>Economia + banco ATRIBUÍVEL a Helexia</t>
  </si>
  <si>
    <t>A.  CUSTO COPASUL — ANÁLISE 24 MESES</t>
  </si>
  <si>
    <t>B.  INDICADORES-CHAVE</t>
  </si>
  <si>
    <t>COMPONENTE</t>
  </si>
  <si>
    <t>R$</t>
  </si>
  <si>
    <t>%</t>
  </si>
  <si>
    <t>R$/mês</t>
  </si>
  <si>
    <t>Usina contratada</t>
  </si>
  <si>
    <t>Custo SEM Helexia — baseline 60m</t>
  </si>
  <si>
    <t>Período do contrato</t>
  </si>
  <si>
    <t>Jun/2026 – Mai/2031  (60 meses)</t>
  </si>
  <si>
    <t xml:space="preserve">  Custo rede remanescente (COM Helexia)</t>
  </si>
  <si>
    <t>Potência contratada</t>
  </si>
  <si>
    <t xml:space="preserve">  PPA pago à Helexia</t>
  </si>
  <si>
    <t>Geração P50 total</t>
  </si>
  <si>
    <t>Custo total COM Helexia (rede + PPA)</t>
  </si>
  <si>
    <t>PPA (R$/kWh)</t>
  </si>
  <si>
    <t>★  ECONOMIA LÍQUIDA (rede − PPA)</t>
  </si>
  <si>
    <t>Tarifa Grupo A FP</t>
  </si>
  <si>
    <t xml:space="preserve">  + Banco atribuível Helexia @ PPA (net NHS/AMD + Grupo B)</t>
  </si>
  <si>
    <t>Tarifa Grupo B3</t>
  </si>
  <si>
    <t>★  VALOR TOTAL HELEXIA (economia + banco atribuível)</t>
  </si>
  <si>
    <t>Economia média/mês</t>
  </si>
  <si>
    <t>% redução custo Copasul</t>
  </si>
  <si>
    <t>Banco residual (kWh)</t>
  </si>
  <si>
    <t>C.  ANÁLISE VISUAL — ECONOMIA E BANCO DE CRÉDITOS</t>
  </si>
  <si>
    <t>Mês</t>
  </si>
  <si>
    <t>SEM Helexia</t>
  </si>
  <si>
    <t>PPA</t>
  </si>
  <si>
    <t>Rede COM</t>
  </si>
  <si>
    <t>Eco mensal</t>
  </si>
  <si>
    <t>Eco acumulada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</si>
  <si>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</si>
  <si>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</si>
  <si>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</si>
  <si>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</si>
  <si>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</si>
  <si>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</si>
  <si>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</si>
  <si>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</si>
  <si>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</si>
  <si>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</si>
  <si>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Abr/27</t>
  </si>
  <si>
    <t>Mai/27</t>
  </si>
  <si>
    <t>Jun/27</t>
  </si>
  <si>
    <t>Jul/27</t>
  </si>
  <si>
    <t>Ago/27</t>
  </si>
  <si>
    <t>Set/27</t>
  </si>
  <si>
    <t>Out/27</t>
  </si>
  <si>
    <t>Nov/27</t>
  </si>
  <si>
    <t>Dez/27</t>
  </si>
  <si>
    <t>Jan/28</t>
  </si>
  <si>
    <t>Fev/28</t>
  </si>
  <si>
    <t>Mar/28</t>
  </si>
  <si>
    <t>D.  BANCO DE CRÉDITOS — SALDO FINAL MAI/2028 POR UC   |   Banco total Copasul (incl. geração própria)</t>
  </si>
  <si>
    <t>Abr/28</t>
  </si>
  <si>
    <t>Unidade Consumidora</t>
  </si>
  <si>
    <t>Grupo</t>
  </si>
  <si>
    <t>Saldo (kWh)</t>
  </si>
  <si>
    <t>Valor @ PPA (R$)</t>
  </si>
  <si>
    <t>% do banco total</t>
  </si>
  <si>
    <t>Mai/28</t>
  </si>
  <si>
    <t>NHS — Novo Horizonte do Sul</t>
  </si>
  <si>
    <t>A4V</t>
  </si>
  <si>
    <t>Jun/28</t>
  </si>
  <si>
    <t>AMD — Amandina</t>
  </si>
  <si>
    <t>A3A</t>
  </si>
  <si>
    <t>Jul/28</t>
  </si>
  <si>
    <t>AREC</t>
  </si>
  <si>
    <t>B3</t>
  </si>
  <si>
    <t>Ago/28</t>
  </si>
  <si>
    <t>Banheiro Motoristas</t>
  </si>
  <si>
    <t>Set/28</t>
  </si>
  <si>
    <t>CTC Copasul</t>
  </si>
  <si>
    <t>Out/28</t>
  </si>
  <si>
    <t>Depósito Irrigação</t>
  </si>
  <si>
    <t>Nov/28</t>
  </si>
  <si>
    <t>Entreposto</t>
  </si>
  <si>
    <t>Dez/28</t>
  </si>
  <si>
    <t>Esc. Deodápolis</t>
  </si>
  <si>
    <t>Jan/29</t>
  </si>
  <si>
    <t>Esc. Nova Andradina</t>
  </si>
  <si>
    <t>Fev/29</t>
  </si>
  <si>
    <t>Esc. Regional Deodápolis</t>
  </si>
  <si>
    <t>Mar/29</t>
  </si>
  <si>
    <t>Galpão AE</t>
  </si>
  <si>
    <t>Abr/29</t>
  </si>
  <si>
    <t>Irrigação CG</t>
  </si>
  <si>
    <t>Mai/29</t>
  </si>
  <si>
    <t>Laboratório de Solos</t>
  </si>
  <si>
    <t>Jun/29</t>
  </si>
  <si>
    <t>Posto Carreteiro</t>
  </si>
  <si>
    <t>Jul/29</t>
  </si>
  <si>
    <t>Refeitório Deodápolis</t>
  </si>
  <si>
    <t>B1</t>
  </si>
  <si>
    <t>Ago/29</t>
  </si>
  <si>
    <t>Subest. Fiação</t>
  </si>
  <si>
    <t>Set/29</t>
  </si>
  <si>
    <t>TRR Maracaju</t>
  </si>
  <si>
    <t>Out/29</t>
  </si>
  <si>
    <t>TOTAL — 17 UCs</t>
  </si>
  <si>
    <t>Nov/29</t>
  </si>
  <si>
    <t>E.  BANCO ATRIBUÍVEL HELEXIA — O QUE A HELEXIA REALMENTE ENTREGA</t>
  </si>
  <si>
    <t>Dez/29</t>
  </si>
  <si>
    <t>Unidade / Grupo</t>
  </si>
  <si>
    <t>Banco SEM</t>
  </si>
  <si>
    <t>Banco COM</t>
  </si>
  <si>
    <t>Atribuível (kWh)</t>
  </si>
  <si>
    <t>Atribuível (R$)</t>
  </si>
  <si>
    <t>Jan/30</t>
  </si>
  <si>
    <t>NHS — Silos N. Horizonte</t>
  </si>
  <si>
    <t>Fev/30</t>
  </si>
  <si>
    <t>AMD — Silos Amandina</t>
  </si>
  <si>
    <t>Mar/30</t>
  </si>
  <si>
    <t>Grupo B (15 UCs)</t>
  </si>
  <si>
    <t>Abr/30</t>
  </si>
  <si>
    <t>TOTAL atribuível Helexia</t>
  </si>
  <si>
    <t>Mai/30</t>
  </si>
  <si>
    <t>Jun/30</t>
  </si>
  <si>
    <t>Jul/30</t>
  </si>
  <si>
    <t>Ago/30</t>
  </si>
  <si>
    <t>Set/30</t>
  </si>
  <si>
    <t>Out/30</t>
  </si>
  <si>
    <t>Nov/30</t>
  </si>
  <si>
    <t>Dez/30</t>
  </si>
  <si>
    <t>Jan/31</t>
  </si>
  <si>
    <t>Fev/31</t>
  </si>
  <si>
    <t>Mar/31</t>
  </si>
  <si>
    <t>Abr/31</t>
  </si>
  <si>
    <t>Mai/31</t>
  </si>
  <si>
    <t>F.  BANCO DE CRÉDITOS — SEGREGAÇÃO POR ORIGEM (resposta Weslen 2.2)</t>
  </si>
  <si>
    <t>Saldo final Mai/2031 decomposto entre banco pré-existente (SEM Helexia) e incremental atribuível à solução Helexia CS3</t>
  </si>
  <si>
    <t>Pré-existente (kWh)</t>
  </si>
  <si>
    <t>Helexia incremental (kWh)</t>
  </si>
  <si>
    <t>TOTAL Mai/2031 (kWh)</t>
  </si>
  <si>
    <t>NHS — Silos Novo Horizonte do Sul (A4V)</t>
  </si>
  <si>
    <t>AMD — Silos Amandina (A3A)</t>
  </si>
  <si>
    <t>Grupo B — 15 UCs (sem banco próprio)</t>
  </si>
  <si>
    <t>TOTAL banco residual Mai/2031</t>
  </si>
  <si>
    <t>Pré-existente @ PPA (R$)</t>
  </si>
  <si>
    <t>Helexia incremental @ PPA (R$)</t>
  </si>
  <si>
    <t>TOTAL @ PPA (R$)</t>
  </si>
  <si>
    <t>G.  ECONOMIA ANUAL POR UC — RECONCILIAÇÃO COM ECONOMIA LÍQUIDA (resposta Weslen 2.4)</t>
  </si>
  <si>
    <t>Economia BRUTA de rede por UC (antes do PPA). Reconciliação com Economia Líquida Copasul ao final.</t>
  </si>
  <si>
    <t>Y1 (Jun/26–Mai/27)</t>
  </si>
  <si>
    <t>Y2 (Jun/27–Mai/28)</t>
  </si>
  <si>
    <t>Y3 (Jun/28–Mai/29)</t>
  </si>
  <si>
    <t>Y4 (Jun/29–Mai/30)</t>
  </si>
  <si>
    <t>Y5 (Jun/30–Mai/31)</t>
  </si>
  <si>
    <t>TOTAL 60m</t>
  </si>
  <si>
    <t>AREC (B3)</t>
  </si>
  <si>
    <t>Banheiro Motoristas (B3)</t>
  </si>
  <si>
    <t>CTC Copasul (B3)</t>
  </si>
  <si>
    <t>Depósito Irrigação (B3)</t>
  </si>
  <si>
    <t>Entreposto (B3)</t>
  </si>
  <si>
    <t>Esc. Deodápolis (B3)</t>
  </si>
  <si>
    <t>Esc. Nova Andradina (B3)</t>
  </si>
  <si>
    <t>Esc. Regional Deodápolis (B3)</t>
  </si>
  <si>
    <t>Galpão AE (B3)</t>
  </si>
  <si>
    <t>Irrigação CG (B3)</t>
  </si>
  <si>
    <t>Laboratório de Solos (B3)</t>
  </si>
  <si>
    <t>Posto Carreteiro (B3)</t>
  </si>
  <si>
    <t>Refeitório Deodápolis (B1)</t>
  </si>
  <si>
    <t>Subest. Fiação (B3)</t>
  </si>
  <si>
    <t>TRR Maracaju (B3)</t>
  </si>
  <si>
    <t>(−) PPA pago à Helexia</t>
  </si>
  <si>
    <t>(−) Ajuste ICMS (se isenção perdida)</t>
  </si>
  <si>
    <t>★ ECONOMIA LÍQUIDA COPASUL (rede savings − PPA − ICMS)</t>
  </si>
  <si>
    <t>(+) Banco atribuível @ PPA (valorado em Y5 PPA, end-contract)</t>
  </si>
  <si>
    <t>★ VALOR TOTAL HELEXIA (Economia Líquida + Banco atribuível)</t>
  </si>
  <si>
    <t>🎯  OTIMIZAÇÃO RATEIO — SOLVER CONFIG</t>
  </si>
  <si>
    <t>Azul = inputs editáveis  |  Preto = fórmulas  |  Verde = links entre abas</t>
  </si>
  <si>
    <t>Siga o passo a passo abaixo para maximizar Economia Líquida via Excel Solver</t>
  </si>
  <si>
    <t>A.  TARIFAS ENERGISA MS (com tributos ICMS 17% + PIS/COFINS)</t>
  </si>
  <si>
    <t>① CÉLULA OBJETIVO (aponte o Solver aqui):</t>
  </si>
  <si>
    <t>ENDEREÇO</t>
  </si>
  <si>
    <t>VALOR ATUAL</t>
  </si>
  <si>
    <t>OBJETIVO</t>
  </si>
  <si>
    <t>Tarifa Grupo A FP com tributos (R$/kWh)</t>
  </si>
  <si>
    <t>← T_AFP: edit here</t>
  </si>
  <si>
    <t>Economia Líquida Copasul 24m (R$)</t>
  </si>
  <si>
    <t>Premissas!K5</t>
  </si>
  <si>
    <t>↑ MAXIMIZAR</t>
  </si>
  <si>
    <t>Tarifa Grupo A Ponta com tributos (R$/kWh)</t>
  </si>
  <si>
    <t>← T_APT: edit here</t>
  </si>
  <si>
    <t>Tarifa Grupo B3 com tributos (R$/kWh)</t>
  </si>
  <si>
    <t>← T_B3: edit here</t>
  </si>
  <si>
    <t>②  ATIVAR SOLVER (se ainda não estiver ativo)</t>
  </si>
  <si>
    <t>Arquivo → Opções → Suplementos → Gerenciar: Suplementos do Excel → Ir... → ✓ Solver Add-in → OK</t>
  </si>
  <si>
    <t>FA = TE_FP / TE_Ponta</t>
  </si>
  <si>
    <t>← FA: edit here</t>
  </si>
  <si>
    <t>③  ABRIR SOLVER</t>
  </si>
  <si>
    <t>Guia Dados → botão "Solver" (canto direito da faixa de opções)</t>
  </si>
  <si>
    <t>ICMS (%)</t>
  </si>
  <si>
    <t>← ICMS: edit here</t>
  </si>
  <si>
    <t>④  CONFIGURAR OBJETIVO</t>
  </si>
  <si>
    <t>Definir Objetivo: selecione a célula   Premissas!K5   →  marque  ● Máx</t>
  </si>
  <si>
    <t>PIS + COFINS (%)</t>
  </si>
  <si>
    <t>← PIS_COFINS: edit here</t>
  </si>
  <si>
    <t>⑤  DEFINIR CÉLULAS VARIÁVEIS</t>
  </si>
  <si>
    <t>Alterando Células de Variáveis:   Premissas!$B$33:$K$50   (170 variáveis = 17 UCs × 10 períodos)</t>
  </si>
  <si>
    <t>ICMS isenção autoconsumo remoto ativa? (Art. 23-A RICMS/MS)  →  'Sim' = isento  |  'Não' = ICMS cobrado sobre kWh compensados pelo CS3</t>
  </si>
  <si>
    <t>Sim</t>
  </si>
  <si>
    <t>← B=toggle (Sim/Não)  |  C=ICMS A_FP  D=ICMS A_Ponta  E=ICMS Grupo B (R$/kWh) — tudo 0 se Sim</t>
  </si>
  <si>
    <t>B.  CONDIÇÕES DO CONTRATO</t>
  </si>
  <si>
    <t>⑥  ADICIONAR AS RESTRIÇÕES (Adicionar → preencher cada linha → OK)</t>
  </si>
  <si>
    <t>Usina</t>
  </si>
  <si>
    <t>Cassilândia 03</t>
  </si>
  <si>
    <t>Célula / Intervalo</t>
  </si>
  <si>
    <t>Relação</t>
  </si>
  <si>
    <t>Valor / Restrição</t>
  </si>
  <si>
    <t>Descrição</t>
  </si>
  <si>
    <t>Distribuidora</t>
  </si>
  <si>
    <t>Energisa MS</t>
  </si>
  <si>
    <t>Premissas!$B$33:$K$50</t>
  </si>
  <si>
    <t>&gt;=</t>
  </si>
  <si>
    <t>0</t>
  </si>
  <si>
    <t>Todos os rateios ≥ 0%  (sem valores negativos, P1–P10)</t>
  </si>
  <si>
    <t>Início do contrato</t>
  </si>
  <si>
    <t>Jun/2026</t>
  </si>
  <si>
    <t>Premissas!$B$51</t>
  </si>
  <si>
    <t>=</t>
  </si>
  <si>
    <t>1</t>
  </si>
  <si>
    <t>Soma P1 = 100%  (Jun–Set/26)</t>
  </si>
  <si>
    <t>Prazo (meses)</t>
  </si>
  <si>
    <t>Premissas!$C$51</t>
  </si>
  <si>
    <t>Soma P2 = 100%  (Out/26–Mar/27)</t>
  </si>
  <si>
    <t>PPA Helexia CS3 (R$/kWh)</t>
  </si>
  <si>
    <t>→ PPA Ajustado Y1 (R$/kWh):</t>
  </si>
  <si>
    <t>Premissas!$D$51</t>
  </si>
  <si>
    <t>Soma P3 = 100%  (Abr–Set/27)</t>
  </si>
  <si>
    <t>H.  CENÁRIO CONCORRENTE — ENERGIA ASSINATURA GRUPO B (ex: Plin Energia)</t>
  </si>
  <si>
    <t>Premissas!$E$51</t>
  </si>
  <si>
    <t>Soma P4 = 100%  (Out/27–Mai/28)</t>
  </si>
  <si>
    <t>Grupo B tem contrato Assinatura GD concorrente?</t>
  </si>
  <si>
    <t>Desconto (%):</t>
  </si>
  <si>
    <t>Tarifa B3 SEM efetiva:</t>
  </si>
  <si>
    <t>Premissas!$F$51</t>
  </si>
  <si>
    <t>Soma P5 = 100%  (Jun–Nov/28)</t>
  </si>
  <si>
    <t>C.  PREMISSAS DE CRESCIMENTO E DEGRADAÇÃO</t>
  </si>
  <si>
    <t>Premissas!$G$51</t>
  </si>
  <si>
    <t>Soma P6 = 100%  (Dez/28–Mai/29)</t>
  </si>
  <si>
    <t>Crescimento consumo Y2 vs Y1 (%)</t>
  </si>
  <si>
    <t>← 2.5% editável | aplica a TODOS os UCs</t>
  </si>
  <si>
    <t>Premissas!$H$51</t>
  </si>
  <si>
    <t>Soma P7 = 100%  (Jun–Nov/29)</t>
  </si>
  <si>
    <t>Crescimento consumo Y3 parcial (Dez/27-Mai/28) (%)</t>
  </si>
  <si>
    <t>← mesmo % que Y2 por padrão</t>
  </si>
  <si>
    <t>Premissas!$I$51</t>
  </si>
  <si>
    <t>Soma P8 = 100%  (Dez/29–Mai/30)</t>
  </si>
  <si>
    <t>Degradação geração Y2 (%)</t>
  </si>
  <si>
    <t>← 0.5%/ano editável</t>
  </si>
  <si>
    <t>Premissas!$J$51</t>
  </si>
  <si>
    <t>Soma P9 = 100%  (Jun–Nov/30)</t>
  </si>
  <si>
    <t>Usar proxy Batayporã p/ Amandina gen?</t>
  </si>
  <si>
    <t>Premissas!$K$51</t>
  </si>
  <si>
    <t>Soma P10 = 100%  (Dez/30–Mai/31)</t>
  </si>
  <si>
    <t>D.  BANCOS DE CRÉDITOS — SALDO INICIAL (NHS/AMD: demonstrativo Abr/2026 | BAT: demonstrativo Mar/2026 | Conservador: sem projeção Mai-Jun/2026)</t>
  </si>
  <si>
    <t>Premissas!$B$34:$K$34</t>
  </si>
  <si>
    <t>BAT (linha 34) = 0%  em todos os períodos (P1–P10)</t>
  </si>
  <si>
    <t>NHS — Silos Novo Horizonte do Sul (kWh)</t>
  </si>
  <si>
    <t>Premissas!$B$33:$E$50</t>
  </si>
  <si>
    <t>&lt;=</t>
  </si>
  <si>
    <t>Todos os rateios ≤ 100%  (limite superior)</t>
  </si>
  <si>
    <t>BAT — Silos Batayporã (kWh)  [stranded — não transferível CS3]</t>
  </si>
  <si>
    <t>AMD — Silos Amandina (kWh)</t>
  </si>
  <si>
    <t>TOTAL NHS+AMD (kWh)</t>
  </si>
  <si>
    <t>← BAT stranded bank não incluído no total</t>
  </si>
  <si>
    <t>⑦  MÉTODO DE RESOLUÇÃO E OPÇÕES</t>
  </si>
  <si>
    <t>Método de Resolução:</t>
  </si>
  <si>
    <t>GRG Não-Linear</t>
  </si>
  <si>
    <t>O modelo tem funções IF (não-lineares). GRG é o método correto.</t>
  </si>
  <si>
    <t>Anos 3–5 (estado estacionário)</t>
  </si>
  <si>
    <t>Opções → Precisão:</t>
  </si>
  <si>
    <t>0,000001</t>
  </si>
  <si>
    <t>Maior precisão = resultado mais fino.</t>
  </si>
  <si>
    <t>UC / Planta</t>
  </si>
  <si>
    <t>P1: Jun–Set/26</t>
  </si>
  <si>
    <t>P2: Out/26–Mar/27</t>
  </si>
  <si>
    <t>P3: Abr/27–Set/27</t>
  </si>
  <si>
    <t>P4: Out/27–Mai/28</t>
  </si>
  <si>
    <t>P5: Jun–Nov/28</t>
  </si>
  <si>
    <t>P6: Dez/28–Mai/29</t>
  </si>
  <si>
    <t>P7: Jun–Nov/29</t>
  </si>
  <si>
    <t>P8: Dez/29–Mai/30</t>
  </si>
  <si>
    <t>P9: Jun–Nov/30</t>
  </si>
  <si>
    <t>P10: Dez/30–Mai/31</t>
  </si>
  <si>
    <t>Opções → Iterações:</t>
  </si>
  <si>
    <t>1000</t>
  </si>
  <si>
    <t>Permite mais buscas antes de parar.</t>
  </si>
  <si>
    <t>NHS — Silos N. Horizonte (A4V)</t>
  </si>
  <si>
    <t>Opções → Convergência:</t>
  </si>
  <si>
    <t>0,0001</t>
  </si>
  <si>
    <t>Critério de parada quando melhoria &lt; este valor.</t>
  </si>
  <si>
    <t>BAT — Silos Batayporã (A4V)</t>
  </si>
  <si>
    <t>⚠  Otimização local:</t>
  </si>
  <si>
    <t>Execute 2–3 vezes</t>
  </si>
  <si>
    <t>GRG pode parar em mínimo local. Rode com rateios iniciais diferentes e fique com o melhor resultado.</t>
  </si>
  <si>
    <t>⑧  EXECUTAR → clicar "Resolver" → aceitar "Manter Solução do Solver"</t>
  </si>
  <si>
    <t>Economia Liquida ANTES da otimização (R$):</t>
  </si>
  <si>
    <t>← valor antes de rodar o Solver (referência)</t>
  </si>
  <si>
    <t>Vsalor Banco Residual ANTES da otimização (R$):</t>
  </si>
  <si>
    <t>Economia APÓS otimização (R$) — resultado:</t>
  </si>
  <si>
    <t>← atualiza automaticamente após o Solver alterar B33:E50</t>
  </si>
  <si>
    <t>Lab. Solos (B3)</t>
  </si>
  <si>
    <t>TOTAL (deve = 100%)</t>
  </si>
  <si>
    <t>⚠  Ajuste os percentuais acima para que cada coluna some exatamente 100%.  BAT está fixo em 0% — seus créditos futuros entram via mecanismo de rateio próprio (seção F abaixo).  A otimização automática maximiza o aproveitamento dos créditos CS3.</t>
  </si>
  <si>
    <t>⚠  P5–P10 (Jun/2028–Mai/2031): alocação optimizada (SLSQP, 102 variáveis). NHS ~47–58%, AMD ~29–37%, Posto ~5–7%, TRR ~2–3%, outros GrupoB ~0.3–1.7%. Para re-optimizar P1–P4, use o Solver apenas em B33:E50.</t>
  </si>
  <si>
    <t>F.  RATEIO DO SURPLUS BAT — 2 PERÍODOS (NH 50% / AMD 50% por padrão)</t>
  </si>
  <si>
    <t>BAT→NHS (%)</t>
  </si>
  <si>
    <t>← editável</t>
  </si>
  <si>
    <t>BAT→AMD (%)</t>
  </si>
  <si>
    <t>← = 1 − NHS%</t>
  </si>
  <si>
    <t>Degradação Y2 aplicada</t>
  </si>
  <si>
    <t>← Y1: valor direto PVSYST  |  Y2/Y3: × (1−DEG)</t>
  </si>
  <si>
    <t>kWh — CS3 P50 mês 06 (base=136,620 kWh)</t>
  </si>
  <si>
    <t>kWh — CS3 P50 mês 07 (base=123,990 kWh)</t>
  </si>
  <si>
    <t>kWh — CS3 P50 mês 08 (base=130,510 kWh)</t>
  </si>
  <si>
    <t>kWh — CS3 P50 mês 09 (base=156,670 kWh)</t>
  </si>
  <si>
    <t>kWh — CS3 P50 mês 10 (base=147,010 kWh)</t>
  </si>
  <si>
    <t>kWh — CS3 P50 mês 11 (base=151,080 kWh)</t>
  </si>
  <si>
    <t>kWh — CS3 P50 mês 12 (base=146,080 kWh)</t>
  </si>
  <si>
    <t>kWh — CS3 P50 mês 01 (base=2,000 kWh)</t>
  </si>
  <si>
    <t>kWh — CS3 P50 mês 02 (base=143,140 kWh)</t>
  </si>
  <si>
    <t>kWh — CS3 P50 mês 03 (base=127,550 kWh)</t>
  </si>
  <si>
    <t>kWh — CS3 P50 mês 04 (base=146,300 kWh)</t>
  </si>
  <si>
    <t>kWh — CS3 P50 mês 05 (base=145,980 kWh)</t>
  </si>
  <si>
    <t>kWh — CS3 P50 mês 06</t>
  </si>
  <si>
    <t>kWh — CS3 P50 mês 07</t>
  </si>
  <si>
    <t>kWh — CS3 P50 mês 08</t>
  </si>
  <si>
    <t>kWh — CS3 P50 mês 09</t>
  </si>
  <si>
    <t>kWh — CS3 P50 mês 10</t>
  </si>
  <si>
    <t>kWh — CS3 P50 mês 11</t>
  </si>
  <si>
    <t>kWh — CS3 P50 mês 12</t>
  </si>
  <si>
    <t>kWh — CS3 P50 mês 01</t>
  </si>
  <si>
    <t>kWh — CS3 P50 mês 02</t>
  </si>
  <si>
    <t>kWh — CS3 P50 mês 03</t>
  </si>
  <si>
    <t>kWh — CS3 P50 mês 04</t>
  </si>
  <si>
    <t>kWh — CS3 P50 mês 05</t>
  </si>
  <si>
    <t>I.  ESCALAÇÃO ANUAL (REAJUSTES DE PREÇO)</t>
  </si>
  <si>
    <t>PPA Helexia — Reajuste anual (%)</t>
  </si>
  <si>
    <t>← edit here | composto anualmente a partir de Y2 (Jun/27)</t>
  </si>
  <si>
    <t>Tarifa Distribuidora — Reajuste anual (%)</t>
  </si>
  <si>
    <t>← edit here | aplica a todas tarifas A4/B3 em Y2-Y5</t>
  </si>
  <si>
    <t>J.  REAJUSTE PONTUAL 04/2026 — Y1 step (RTA Energisa MS homologado 22/04/2026)</t>
  </si>
  <si>
    <t>Reajuste Distribuidora Grupo A (%)</t>
  </si>
  <si>
    <t>← edit | aplicado uma vez como uplift permanente em todas tarifas A4 (Y1-Y5)</t>
  </si>
  <si>
    <t>Reajuste Distribuidora Grupo B (%)</t>
  </si>
  <si>
    <t>← edit | aplicado uma vez como uplift permanente em todas tarifas B3 (Y1-Y5)</t>
  </si>
  <si>
    <t>Ajuste PPA Helexia Y1 (%)</t>
  </si>
  <si>
    <t>← edit | 0=hold flat | 0.1239=match distrib | intermediate=partial pass-through</t>
  </si>
  <si>
    <t>PPA Helexia ajustado Y1 (R$/kWh) — derivado</t>
  </si>
  <si>
    <t>← B17 × (1+B128) | recalcula automático ao editar B128</t>
  </si>
  <si>
    <t>INPUT — CONSUMO ORÇADO GRUPO A | Fonte: Consumo_Orçado_2026_GD</t>
  </si>
  <si>
    <t>Azul = valores editáveis (fonte: arquivo fornecido) | Preto = fórmulas de projeção Y2/Y3</t>
  </si>
  <si>
    <t>NHS FP (kWh)</t>
  </si>
  <si>
    <t>NHS Ponta (kWh)</t>
  </si>
  <si>
    <t>BAT FP (kWh)</t>
  </si>
  <si>
    <t>BAT Ponta (kWh)</t>
  </si>
  <si>
    <t>AMD FP (kWh)</t>
  </si>
  <si>
    <t>AMD Ponta (kWh)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</si>
  <si>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</si>
  <si>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</si>
  <si>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</si>
  <si>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</si>
  <si>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</si>
  <si>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</si>
  <si>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</si>
  <si>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</si>
  <si>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</si>
  <si>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</si>
  <si>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</si>
  <si>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</si>
  <si>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Crescimento Y2 aplicado automaticamente via Premissas!$B$21 (atualmente 2,5%). Altere lá para que todos os 18 UCs sejam atualizados.</t>
  </si>
  <si>
    <t>Energisa MS  ·  Todas as células são fórmulas  ·  Azul=input Premissas  ·  Verde=link entre abas</t>
  </si>
  <si>
    <t>INDICADOR / UC</t>
  </si>
  <si>
    <t>TOTAL 60m
ou SALDO FINAL</t>
  </si>
  <si>
    <t>MÉD/mês
ou unidade</t>
  </si>
  <si>
    <t>PPA Helexia — custo total (R$)</t>
  </si>
  <si>
    <t>1.  BAT — BATAYPORÃ — GERAÇÃO, CONSUMO E SURPLUS</t>
  </si>
  <si>
    <t>BAT Geração própria (kWh)</t>
  </si>
  <si>
    <t>BAT Consumo FP (kWh)</t>
  </si>
  <si>
    <t>BAT Consumo Ponta (kWh)</t>
  </si>
  <si>
    <t xml:space="preserve">  BAT auto-comp. FP (kWh)</t>
  </si>
  <si>
    <t xml:space="preserve">  BAT auto-comp. Ponta via FA (kWh)</t>
  </si>
  <si>
    <t>★ BAT surplus líquido → rateio (kWh)</t>
  </si>
  <si>
    <t xml:space="preserve">  BAT banco stranded — depleção por consumo próprio apenas</t>
  </si>
  <si>
    <t xml:space="preserve">  BAT banco início mês (kWh)</t>
  </si>
  <si>
    <t>—</t>
  </si>
  <si>
    <t xml:space="preserve">  BAT banco draw (kWh)</t>
  </si>
  <si>
    <t xml:space="preserve">  BAT banco fim mês (kWh)</t>
  </si>
  <si>
    <t xml:space="preserve">  BAT créditos → NHS (kWh, T+1)</t>
  </si>
  <si>
    <t xml:space="preserve">  BAT créditos → AMD (kWh, T+1)</t>
  </si>
  <si>
    <t xml:space="preserve">  NHS — N. Horizonte do Sul (A4V)</t>
  </si>
  <si>
    <t xml:space="preserve">  Consumo FP (kWh)</t>
  </si>
  <si>
    <t xml:space="preserve">  Consumo Ponta (kWh) [via FA]</t>
  </si>
  <si>
    <t xml:space="preserve">  Geração própria (kWh)</t>
  </si>
  <si>
    <t xml:space="preserve">  Auto-comp. FP (kWh)</t>
  </si>
  <si>
    <t xml:space="preserve">  Auto-comp. Ponta via FA (kWh)</t>
  </si>
  <si>
    <t xml:space="preserve">  BAT créditos → NHS (kWh)</t>
  </si>
  <si>
    <t xml:space="preserve">  Banco início mês COM Helexia (kWh)</t>
  </si>
  <si>
    <t xml:space="preserve">  Bank draw COM Helexia (kWh)</t>
  </si>
  <si>
    <t>★ Banco fim mês COM Helexia (kWh)</t>
  </si>
  <si>
    <t xml:space="preserve">  Banco início mês SEM Helexia (kWh)</t>
  </si>
  <si>
    <t xml:space="preserve">  Bank draw SEM Helexia (kWh) — gen+BAT, no CS3</t>
  </si>
  <si>
    <t xml:space="preserve">  Banco fim mês SEM Helexia (kWh) — gen+BAT, no CS3</t>
  </si>
  <si>
    <t xml:space="preserve">  Custo COM Helexia — rede remanescente (R$)</t>
  </si>
  <si>
    <t>★ Economia mensal (R$)</t>
  </si>
  <si>
    <t xml:space="preserve">  AMD — Amandina (A3A)</t>
  </si>
  <si>
    <t xml:space="preserve">  BAT créditos → AMD (kWh)</t>
  </si>
  <si>
    <t xml:space="preserve">  AREC (B3)</t>
  </si>
  <si>
    <t xml:space="preserve">  Bank draw SEM Helexia (kWh)</t>
  </si>
  <si>
    <t xml:space="preserve">  Banco fim mês SEM Helexia (kWh)</t>
  </si>
  <si>
    <t xml:space="preserve">  Banheiro Motoristas (B3)</t>
  </si>
  <si>
    <t xml:space="preserve">  CTC Copasul (B3)</t>
  </si>
  <si>
    <t xml:space="preserve">  Depósito Irrigação (B3)</t>
  </si>
  <si>
    <t xml:space="preserve">  Entreposto (B3)</t>
  </si>
  <si>
    <t xml:space="preserve">  Esc. Deodápolis (B3)</t>
  </si>
  <si>
    <t xml:space="preserve">  Esc. N. Andradina (B3)</t>
  </si>
  <si>
    <t xml:space="preserve">  Esc. Reg. Deodápolis (B3)</t>
  </si>
  <si>
    <t xml:space="preserve">  Galpão AE (B3)</t>
  </si>
  <si>
    <t xml:space="preserve">  Irrigação CG (B3)</t>
  </si>
  <si>
    <t xml:space="preserve">  Lab. Solos (B3)</t>
  </si>
  <si>
    <t xml:space="preserve">  Posto Carreteiro (B3)</t>
  </si>
  <si>
    <t xml:space="preserve">  Refeitório Deodápolis (B1)</t>
  </si>
  <si>
    <t xml:space="preserve">  Banco início COM (kWh)</t>
  </si>
  <si>
    <t xml:space="preserve">  Bank draw COM (kWh)</t>
  </si>
  <si>
    <t>★ Banco fim COM (kWh)</t>
  </si>
  <si>
    <t xml:space="preserve">  Banco início SEM (kWh) = 0</t>
  </si>
  <si>
    <t xml:space="preserve">  Bank draw SEM (kWh) = 0</t>
  </si>
  <si>
    <t xml:space="preserve">  Banco fim SEM (kWh) = 0</t>
  </si>
  <si>
    <t xml:space="preserve">  Subest. Fiação (B3)</t>
  </si>
  <si>
    <t xml:space="preserve">  TRR Maracaju (B3)</t>
  </si>
  <si>
    <t>CUSTO TOTAL SEM Helexia (R$) — todas as UCs</t>
  </si>
  <si>
    <t>CUSTO TOTAL COM Helexia — rede remanescente (R$)</t>
  </si>
  <si>
    <t>CUSTO TOTAL COM Helexia — rede + PPA (R$)</t>
  </si>
  <si>
    <t>★ ECONOMIA LÍQUIDA COPASUL (R$) — rede savings − PPA</t>
  </si>
  <si>
    <t>⚠  ICMS adicional se isenção perdida (Premissas B11="Não") — ICMS sobre kWh compensados pelo CS3 (R$)</t>
  </si>
  <si>
    <t>0 quando Premissas B11=Sim (isenção ativa — base case)</t>
  </si>
  <si>
    <t xml:space="preserve">  BANCO DE CRÉDITOS — SALDO FINAL MAI/2031</t>
  </si>
  <si>
    <t>kWh</t>
  </si>
  <si>
    <t xml:space="preserve">  BAT — Batayporã (stranded, não transferível)</t>
  </si>
  <si>
    <t>TOTAL banco créditos TODAS as UCs (kWh)</t>
  </si>
  <si>
    <t xml:space="preserve">  VALOR TOTAL = ECONOMIA LÍQUIDA 60m + BANCO RESIDUAL @ PPA</t>
  </si>
  <si>
    <t>Economia líquida 60m (R$)</t>
  </si>
  <si>
    <t>+ Banco residual todas UCs @ PPA (R$)</t>
  </si>
  <si>
    <t>★ VALOR TOTAL HELEXIA (R$) — economia + banco atribuível</t>
  </si>
  <si>
    <t xml:space="preserve">  BANCO ATRIBUÍVEL HELEXIA — DECOMPOSIÇÃO (COM − SEM por UC)</t>
  </si>
  <si>
    <t xml:space="preserve">  NHS — banco atribuível Helexia (COM−SEM, kWh)</t>
  </si>
  <si>
    <t xml:space="preserve">  AMD — banco atribuível Helexia (COM−SEM, kWh)</t>
  </si>
  <si>
    <t xml:space="preserve">  Grupo B — banco total (100% atribuível, SEM=0, kWh)</t>
  </si>
  <si>
    <t xml:space="preserve">  Banco ATRIBUÍVEL total Helexia (kWh)</t>
  </si>
  <si>
    <t>★ Banco ATRIBUÍVEL total Helexia @ PPA (R$)</t>
  </si>
  <si>
    <t>Unidade</t>
  </si>
  <si>
    <t>Data</t>
  </si>
  <si>
    <t>Geração (kWh)</t>
  </si>
  <si>
    <t>Yf Diário (kWh/kWp)</t>
  </si>
  <si>
    <t>Amandina</t>
  </si>
  <si>
    <t xml:space="preserve">Geração Mensal </t>
  </si>
  <si>
    <t>Kwh</t>
  </si>
  <si>
    <t>MWh</t>
  </si>
  <si>
    <t>Proxi Bataypora</t>
  </si>
  <si>
    <t>proxy Rate</t>
  </si>
  <si>
    <t>Batayporã</t>
  </si>
  <si>
    <t>Novo Horizonte do Sul</t>
  </si>
  <si>
    <t>Total</t>
  </si>
  <si>
    <t>Meia Mensal</t>
  </si>
  <si>
    <t>Grupo B</t>
  </si>
  <si>
    <t>Consomo Fora Ponta Grupo B (kWh)</t>
  </si>
  <si>
    <t>A4 Verde</t>
  </si>
  <si>
    <t>Consumo Fora Ponta Grupo A (kWh)</t>
  </si>
  <si>
    <t>A3A rural</t>
  </si>
  <si>
    <t>Consumo Fora Ponta Grupo A3A Rural (kWh)</t>
  </si>
  <si>
    <t>Total Fora Ponta (kWh)</t>
  </si>
  <si>
    <t>Consumo Ponta Grupo A (kWh)</t>
  </si>
  <si>
    <t>Consumo Ponta Grupo A3A (kWh)</t>
  </si>
  <si>
    <t>Total  Ponta (kWh)</t>
  </si>
  <si>
    <t>Total Consumo (kWh)</t>
  </si>
  <si>
    <t>SiIos Novo Horizonte do Sul</t>
  </si>
  <si>
    <t>Produçao Usina 1</t>
  </si>
  <si>
    <t>Silos Batayporã</t>
  </si>
  <si>
    <t xml:space="preserve">Produção Usina 2 </t>
  </si>
  <si>
    <t>Silos Amandina</t>
  </si>
  <si>
    <t>Produção Usina 3</t>
  </si>
  <si>
    <t>Total Produção (kWH)</t>
  </si>
  <si>
    <t>Compensão usina 1</t>
  </si>
  <si>
    <t>Compensão usina 2</t>
  </si>
  <si>
    <t>Compensão usina 3</t>
  </si>
  <si>
    <t>Total Compensação (kWH)</t>
  </si>
  <si>
    <t>Nome</t>
  </si>
  <si>
    <t>CNPJ</t>
  </si>
  <si>
    <t>UC</t>
  </si>
  <si>
    <t>Consumo Ponta (kWh)</t>
  </si>
  <si>
    <t>Consumo Fora Ponta (kWh)</t>
  </si>
  <si>
    <t>Demanda Ponta (kW)</t>
  </si>
  <si>
    <t>Demanda Fora Ponta (kW)</t>
  </si>
  <si>
    <t>Energia Gerada (kWh)</t>
  </si>
  <si>
    <t>Energia Compensada (kWh)</t>
  </si>
  <si>
    <t>Energia Sobrando</t>
  </si>
  <si>
    <t>Energia Gerada Pos reparação</t>
  </si>
  <si>
    <t>Compensação Fora Ponta</t>
  </si>
  <si>
    <t>03.902.129/0001-83</t>
  </si>
  <si>
    <t>10/169099-9</t>
  </si>
  <si>
    <t>B3 - Comercial</t>
  </si>
  <si>
    <t>10/169105-4</t>
  </si>
  <si>
    <t>03.902.129/0004-26</t>
  </si>
  <si>
    <t>10/178204-4</t>
  </si>
  <si>
    <t>B1 - Residencial</t>
  </si>
  <si>
    <t>Banheiro dos Motoristas Deodápolis</t>
  </si>
  <si>
    <t>10/178206-9</t>
  </si>
  <si>
    <t>Escritório Regional Deodápolis</t>
  </si>
  <si>
    <t>10/2916462-1</t>
  </si>
  <si>
    <t>Escritório Deodápolis</t>
  </si>
  <si>
    <t>10/178456-0</t>
  </si>
  <si>
    <t>03.902.129/0011-55</t>
  </si>
  <si>
    <t>10/3146634-5</t>
  </si>
  <si>
    <t>Subestação Fiação</t>
  </si>
  <si>
    <t>03.902.129/0015-89</t>
  </si>
  <si>
    <t>10/2418582-9</t>
  </si>
  <si>
    <t>03.902.129/0020-46</t>
  </si>
  <si>
    <t>10/3184070-5</t>
  </si>
  <si>
    <t>Verde A4 - Industrial</t>
  </si>
  <si>
    <t>Deposito Irrigação</t>
  </si>
  <si>
    <t>03.902.129/0023-99</t>
  </si>
  <si>
    <t>10/2551502-4</t>
  </si>
  <si>
    <t>03.902.129/0025-50</t>
  </si>
  <si>
    <t>10/3267347-7</t>
  </si>
  <si>
    <t>Verde A3a - Rural</t>
  </si>
  <si>
    <t>Escritório Nova Andradina</t>
  </si>
  <si>
    <t>03.902.129/0026-31</t>
  </si>
  <si>
    <t>10/3683986-8</t>
  </si>
  <si>
    <t>03.902.129/0031-07</t>
  </si>
  <si>
    <t>10/2121803-7</t>
  </si>
  <si>
    <t>Irrigação Copasul Campo Grande</t>
  </si>
  <si>
    <t>03.902.129/0032-80</t>
  </si>
  <si>
    <t>10/2603357-1</t>
  </si>
  <si>
    <t>03.902.129/0039-56</t>
  </si>
  <si>
    <t>10/3491513-2</t>
  </si>
  <si>
    <t>03.908.126/0001-57</t>
  </si>
  <si>
    <t>10/172692-6</t>
  </si>
  <si>
    <t>43.241.544/0002-39</t>
  </si>
  <si>
    <t>10/2502847-3</t>
  </si>
  <si>
    <t>48.657.758/0001-23</t>
  </si>
  <si>
    <t>10/2502804-4</t>
  </si>
  <si>
    <t>Código</t>
  </si>
  <si>
    <t>Nome do Projeto</t>
  </si>
  <si>
    <t>Nº Mês</t>
  </si>
  <si>
    <t>Ano de Exposição Solar</t>
  </si>
  <si>
    <t>Ano de Geração</t>
  </si>
  <si>
    <t>Geração (MWh)</t>
  </si>
  <si>
    <t>HCS01</t>
  </si>
  <si>
    <t>Cassilândia 01</t>
  </si>
  <si>
    <t>Apr</t>
  </si>
  <si>
    <t>Ano 0</t>
  </si>
  <si>
    <t>May</t>
  </si>
  <si>
    <t>Aug</t>
  </si>
  <si>
    <t>Sept</t>
  </si>
  <si>
    <t>Oct</t>
  </si>
  <si>
    <t>Dec</t>
  </si>
  <si>
    <t>Ano 1</t>
  </si>
  <si>
    <t>Feb</t>
  </si>
  <si>
    <t>Ano 2</t>
  </si>
  <si>
    <t>HCS02</t>
  </si>
  <si>
    <t>Cassilândia 02</t>
  </si>
  <si>
    <t>HCS03</t>
  </si>
  <si>
    <t>Performance Ratio</t>
  </si>
  <si>
    <t>Data do PR</t>
  </si>
  <si>
    <t>Mês do PR</t>
  </si>
  <si>
    <t>Ano do PR</t>
  </si>
  <si>
    <t>PR PVsyst (%)</t>
  </si>
  <si>
    <t>PR Real (%)</t>
  </si>
  <si>
    <t>Status</t>
  </si>
  <si>
    <t>Aprovado</t>
  </si>
  <si>
    <t>PV Syst</t>
  </si>
  <si>
    <t>Cliente</t>
  </si>
  <si>
    <t>Potência AC (kWac)</t>
  </si>
  <si>
    <t>Potência DC (kWp)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</si>
  <si>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</si>
  <si>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</si>
  <si>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</si>
  <si>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</si>
  <si>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</si>
  <si>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</si>
  <si>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</si>
  <si>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</si>
  <si>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</si>
  <si>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</si>
  <si>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</si>
  <si>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</si>
  <si>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Geração P50 Ano 0 (MWh/ano)</t>
  </si>
  <si>
    <t>Geração P50 Ano Atual (MWh/ano)</t>
  </si>
  <si>
    <t>Variabilidade Anual (%)</t>
  </si>
  <si>
    <t>Geração P90 PVsyst Ano 0 (MWh/ano)</t>
  </si>
  <si>
    <t>Geração P90 PVsyst Ano Atual (MWh/ano)</t>
  </si>
  <si>
    <t>Geração P90 Ano Atual Real (MWh/ano)</t>
  </si>
  <si>
    <t>PR Médio Ano 0</t>
  </si>
  <si>
    <t>PR Médio Ano Atual</t>
  </si>
  <si>
    <t>Produção Específica</t>
  </si>
  <si>
    <t>Fator de Capacidade</t>
  </si>
  <si>
    <t>Versão PVsyst</t>
  </si>
  <si>
    <t>Variante PVsyst</t>
  </si>
  <si>
    <t>Data PVsyst</t>
  </si>
  <si>
    <t>Observação</t>
  </si>
  <si>
    <t>Link Report</t>
  </si>
  <si>
    <t>EMS</t>
  </si>
  <si>
    <t>Entregue</t>
  </si>
  <si>
    <t>COMERC</t>
  </si>
  <si>
    <t>As Built</t>
  </si>
  <si>
    <t>VCH</t>
  </si>
  <si>
    <t>Considerando perdas nos cabos e transformador conforme Projeto Executivo. Além de perdas por sujidade e indisponibilidade conforme premissas do O&amp;M</t>
  </si>
  <si>
    <t>Clique Aqui</t>
  </si>
  <si>
    <t>VCI</t>
  </si>
  <si>
    <t>VCJ</t>
  </si>
  <si>
    <t>Produçao 2025</t>
  </si>
  <si>
    <t>Geração Atual Ano 0 (MWh/ano)</t>
  </si>
  <si>
    <t>January 26</t>
  </si>
  <si>
    <t>February 26</t>
  </si>
  <si>
    <t>Pi (kWp)</t>
  </si>
  <si>
    <t>Pg (kW)</t>
  </si>
  <si>
    <t>Número de módulos</t>
  </si>
  <si>
    <t>Potencia (W)</t>
  </si>
  <si>
    <t>Eficiência</t>
  </si>
  <si>
    <t>Área do módulo (m²)</t>
  </si>
  <si>
    <t>Área Total (m²)</t>
  </si>
  <si>
    <t>Densidade de Potência (W/m²)</t>
  </si>
  <si>
    <t>Latitude</t>
  </si>
  <si>
    <t>Longitude</t>
  </si>
  <si>
    <t>Inclinação</t>
  </si>
  <si>
    <t>Azimuth</t>
  </si>
  <si>
    <t>-22.67340908</t>
  </si>
  <si>
    <t>-53.84513269</t>
  </si>
  <si>
    <t>22°</t>
  </si>
  <si>
    <t>-22.27609989</t>
  </si>
  <si>
    <t>-53.22534149</t>
  </si>
  <si>
    <t>-22.34231564</t>
  </si>
  <si>
    <t>-53.58536212</t>
  </si>
  <si>
    <t>DECOMPOSIÇÃO DE TARIFAS — Energisa MS A4 verde + B3</t>
  </si>
  <si>
    <t>Base: REH 3.441 (vigência 08/04/2025) | RTA 2026 homologado 22/04/2026 (+12,39% A / +11,98% B) | ICMS-MS 17% + PIS/COFINS 8.55% por dentro (gross-up = 1.3432)</t>
  </si>
  <si>
    <t>GRUPO A — A4 verde 13,8 kV DEMAIS CLASSES — FORA PONTA (R$/kWh)</t>
  </si>
  <si>
    <t>Componente</t>
  </si>
  <si>
    <t>Antes (sem imp.)</t>
  </si>
  <si>
    <t>Antes (com imp.)</t>
  </si>
  <si>
    <t>Depois (sem imp.)</t>
  </si>
  <si>
    <t>Depois (com imp.)</t>
  </si>
  <si>
    <t>Δ%</t>
  </si>
  <si>
    <t>TUSD</t>
  </si>
  <si>
    <t>TE</t>
  </si>
  <si>
    <t>TUSD + TE (TOTAL)</t>
  </si>
  <si>
    <t>GRUPO A — A4 verde 13,8 kV DEMAIS CLASSES — PONTA (R$/kWh)</t>
  </si>
  <si>
    <t>TUSD (verde inclui demanda Ponta amortizada)</t>
  </si>
  <si>
    <t>GRUPO A — DEMANDA FORA PONTA (R$/kW)</t>
  </si>
  <si>
    <t>Demanda FP (100% TUSD)</t>
  </si>
  <si>
    <t>GRUPO B — B3 DEMAIS CLASSES (R$/kWh, sem distinção FP/Ponta — modalidade convencional)</t>
  </si>
  <si>
    <t>NOTAS:</t>
  </si>
  <si>
    <t>1. "Sem impostos" = tarifa REH homologada pela ANEEL (parcela líquida). "Com impostos" = sem imp. × 1,3432 (ICMS 17% + PIS/COFINS 8,55% por dentro).</t>
  </si>
  <si>
    <t>2. Δ% é IDÊNTICO entre "sem" e "com" impostos (alíquotas constantes — gross-up se cancela na razão).</t>
  </si>
  <si>
    <t>3. Para Grupo A verde, demanda Ponta = 0 (modalidade verde paga apenas demanda FP); custo de demanda Ponta é embutido no consumo Ponta (TUSD Ponta = 1,80993 vs Azul 0,12998).</t>
  </si>
  <si>
    <t>4. Decomposição TUSD vs TE do reajuste 2026 NÃO é pública nos press releases ANEEL — aplicamos +12,39% A / +11,98% B uniformemente sobre TUSD e TE como aproximação (Nota Técnica oficial pode revelar split assimétrico, esperado &lt;0,5pp de divergência no total).</t>
  </si>
  <si>
    <t>5. Valores reais nas faturas Energisa NHS (jan/26): A4 FP 0,530520 | A4 Ponta 2,995290 | Demanda FP 46,055290 — gross-up efetivo da fatura (1,3276) ~0,8% menor que o nominal V11 (1,3432) por causa de créditos PIS/COFINS não-cumulativos.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</si>
</sst>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&quot;R$ &quot;#,##0;&quot;(R$ &quot;#,##0\);\-"/>
    <numFmt numFmtId="165" formatCode="0.0%"/>
    <numFmt numFmtId="166" formatCode="#,##0;\(#,##0\);\-"/>
    <numFmt numFmtId="167" formatCode="&quot;R$ &quot;#,##0;&quot;(R$ &quot;#,##0;\-"/>
    <numFmt numFmtId="168" formatCode="&quot;R$ &quot;0.0000"/>
    <numFmt numFmtId="169" formatCode="0.000000"/>
    <numFmt numFmtId="170" formatCode="&quot;R$ &quot;#,##0.0000"/>
    <numFmt numFmtId="171" formatCode="m/d/yyyy"/>
    <numFmt numFmtId="172" formatCode="0.0"/>
    <numFmt numFmtId="173" formatCode="mm/yyyy"/>
    <numFmt numFmtId="174" formatCode="#,##0.0"/>
    <numFmt numFmtId="175" formatCode="\R\$\ #,##0"/>
    <numFmt numFmtId="176" formatCode="#,##0.0&quot; MWh&quot;"/>
    <numFmt numFmtId="177" formatCode="#,##0.00&quot; GWh&quot;"/>
    <numFmt numFmtId="178" formatCode="0.0000"/>
    <numFmt numFmtId="179" formatCode="0.00000"/>
    <numFmt numFmtId="180" formatCode="\+0.00%;\-0.00%"/>
  </numFmts>
  <fonts count="106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  <charset val="1"/>
    </font>
    <font>
      <sz val="11"/>
      <color theme="1"/>
      <name val="Arial"/>
      <family val="2"/>
      <charset val="1"/>
    </font>
    <font>
      <b/>
      <sz val="14"/>
      <color rgb="FFFFFFFF"/>
      <name val="Arial"/>
      <family val="2"/>
      <charset val="1"/>
    </font>
    <font>
      <sz val="9"/>
      <color rgb="FFAACCFF"/>
      <name val="Arial"/>
      <family val="2"/>
      <charset val="1"/>
    </font>
    <font>
      <b/>
      <sz val="8"/>
      <color rgb="FFFFFFFF"/>
      <name val="Arial"/>
      <family val="2"/>
      <charset val="1"/>
    </font>
    <font>
      <b/>
      <sz val="16"/>
      <color rgb="FF375623"/>
      <name val="Arial"/>
      <family val="2"/>
      <charset val="1"/>
    </font>
    <font>
      <b/>
      <sz val="16"/>
      <color rgb="FFC65911"/>
      <name val="Arial"/>
      <family val="2"/>
      <charset val="1"/>
    </font>
    <font>
      <b/>
      <sz val="16"/>
      <color rgb="FF1F7A5C"/>
      <name val="Arial"/>
      <family val="2"/>
      <charset val="1"/>
    </font>
    <font>
      <b/>
      <sz val="16"/>
      <color rgb="FF1F3864"/>
      <name val="Arial"/>
      <family val="2"/>
      <charset val="1"/>
    </font>
    <font>
      <i/>
      <sz val="8"/>
      <color rgb="FF595959"/>
      <name val="Arial"/>
      <family val="2"/>
      <charset val="1"/>
    </font>
    <font>
      <sz val="8"/>
      <color rgb="FF595959"/>
      <name val="Calibri"/>
      <family val="2"/>
      <charset val="1"/>
    </font>
    <font>
      <b/>
      <sz val="9"/>
      <color rgb="FFFFFFFF"/>
      <name val="Arial"/>
      <family val="2"/>
      <charset val="1"/>
    </font>
    <font>
      <b/>
      <sz val="8"/>
      <color rgb="FF595959"/>
      <name val="Arial"/>
      <family val="2"/>
      <charset val="1"/>
    </font>
    <font>
      <sz val="8"/>
      <color rgb="FF595959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595959"/>
      <name val="Arial"/>
      <family val="2"/>
      <charset val="1"/>
    </font>
    <font>
      <sz val="9"/>
      <name val="Arial"/>
      <family val="2"/>
      <charset val="1"/>
    </font>
    <font>
      <b/>
      <sz val="9"/>
      <color rgb="FF2E5FA3"/>
      <name val="Arial"/>
      <family val="2"/>
      <charset val="1"/>
    </font>
    <font>
      <b/>
      <sz val="9"/>
      <color rgb="FF375623"/>
      <name val="Arial"/>
      <family val="2"/>
      <charset val="1"/>
    </font>
    <font>
      <b/>
      <sz val="9"/>
      <name val="Arial"/>
      <family val="2"/>
      <charset val="1"/>
    </font>
    <font>
      <sz val="9"/>
      <color rgb="FF1F7A5C"/>
      <name val="Arial"/>
      <family val="2"/>
      <charset val="1"/>
    </font>
    <font>
      <sz val="8"/>
      <name val="Arial"/>
      <family val="2"/>
      <charset val="1"/>
    </font>
    <font>
      <b/>
      <sz val="9"/>
      <color rgb="FFFFFFFF"/>
      <name val="Calibri"/>
      <family val="2"/>
      <charset val="1"/>
    </font>
    <font>
      <sz val="9"/>
      <color rgb="FF000000"/>
      <name val="Calibri"/>
      <family val="2"/>
    </font>
    <font>
      <b/>
      <sz val="8"/>
      <color rgb="FF595959"/>
      <name val="Calibri"/>
      <family val="2"/>
      <charset val="1"/>
    </font>
    <font>
      <sz val="9"/>
      <color rgb="FF595959"/>
      <name val="Calibri"/>
      <family val="2"/>
    </font>
    <font>
      <b/>
      <sz val="9"/>
      <color rgb="FF375623"/>
      <name val="Calibri"/>
      <family val="2"/>
    </font>
    <font>
      <sz val="9"/>
      <color rgb="FF000000"/>
      <name val="Calibri"/>
      <family val="2"/>
      <charset val="1"/>
    </font>
    <font>
      <sz val="9"/>
      <color rgb="FF595959"/>
      <name val="Calibri"/>
      <family val="2"/>
      <charset val="1"/>
    </font>
    <font>
      <b/>
      <sz val="9"/>
      <color rgb="FF1F7A5C"/>
      <name val="Calibri"/>
      <family val="2"/>
      <charset val="1"/>
    </font>
    <font>
      <sz val="9"/>
      <color rgb="FFFFFFFF"/>
      <name val="Calibri"/>
      <family val="2"/>
      <charset val="1"/>
    </font>
    <font>
      <i/>
      <sz val="7"/>
      <color rgb="FF999999"/>
      <name val="Calibri"/>
      <family val="2"/>
      <charset val="1"/>
    </font>
    <font>
      <sz val="7"/>
      <color rgb="FF999999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i/>
      <sz val="8"/>
      <color rgb="FF2E5FA3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2"/>
      <color rgb="FF375623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C65911"/>
      <name val="Arial"/>
      <family val="2"/>
      <charset val="1"/>
    </font>
    <font>
      <b/>
      <sz val="9"/>
      <color rgb="FFC65911"/>
      <name val="Arial"/>
      <family val="2"/>
      <charset val="1"/>
    </font>
    <font>
      <i/>
      <sz val="9"/>
      <color rgb="FF000000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7F6000"/>
      <name val="Arial"/>
      <family val="2"/>
      <charset val="1"/>
    </font>
    <font>
      <sz val="9"/>
      <color rgb="FF1F3864"/>
      <name val="Arial"/>
      <family val="2"/>
      <charset val="1"/>
    </font>
    <font>
      <b/>
      <sz val="9"/>
      <color rgb="FFC00000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8"/>
      <color rgb="FFC65911"/>
      <name val="Arial"/>
      <family val="2"/>
      <charset val="1"/>
    </font>
    <font>
      <i/>
      <sz val="10"/>
      <color rgb="FF595959"/>
      <name val="Calibri"/>
      <family val="2"/>
      <charset val="1"/>
    </font>
    <font>
      <b/>
      <sz val="9"/>
      <color rgb="FF595959"/>
      <name val="Arial"/>
      <family val="2"/>
      <charset val="1"/>
    </font>
    <font>
      <sz val="9"/>
      <color rgb="FF0000FF"/>
      <name val="Arial"/>
      <family val="2"/>
      <charset val="1"/>
    </font>
    <font>
      <b/>
      <sz val="8"/>
      <color rgb="FFC00000"/>
      <name val="Arial"/>
      <family val="2"/>
      <charset val="1"/>
    </font>
    <font>
      <b/>
      <sz val="11"/>
      <color rgb="FF375623"/>
      <name val="Arial"/>
      <family val="2"/>
      <charset val="1"/>
    </font>
    <font>
      <i/>
      <sz val="8"/>
      <color rgb="FF375623"/>
      <name val="Arial"/>
      <family val="2"/>
      <charset val="1"/>
    </font>
    <font>
      <i/>
      <sz val="8"/>
      <color rgb="FFCC6600"/>
      <name val="Arial"/>
      <family val="2"/>
      <charset val="1"/>
    </font>
    <font>
      <i/>
      <sz val="8"/>
      <color rgb="FFC65911"/>
      <name val="Calibri"/>
      <family val="2"/>
      <charset val="1"/>
    </font>
    <font>
      <sz val="9"/>
      <color rgb="FF008000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12"/>
      <color rgb="FFFFFFFF"/>
      <name val="Arial"/>
      <family val="2"/>
      <charset val="1"/>
    </font>
    <font>
      <sz val="8"/>
      <color rgb="FFFFFFFF"/>
      <name val="Arial"/>
      <family val="2"/>
      <charset val="1"/>
    </font>
    <font>
      <b/>
      <sz val="8"/>
      <color rgb="FFFFFFFF"/>
      <name val="Calibri"/>
      <family val="2"/>
      <charset val="1"/>
    </font>
    <font>
      <b/>
      <sz val="9"/>
      <color rgb="FF008000"/>
      <name val="Arial"/>
      <family val="2"/>
      <charset val="1"/>
    </font>
    <font>
      <sz val="9"/>
      <color rgb="FFCC6600"/>
      <name val="Arial"/>
      <family val="2"/>
      <charset val="1"/>
    </font>
    <font>
      <i/>
      <sz val="9"/>
      <color rgb="FF808080"/>
      <name val="Arial"/>
      <family val="2"/>
      <charset val="1"/>
    </font>
    <font>
      <i/>
      <sz val="9"/>
      <color rgb="FF2E5FA3"/>
      <name val="Arial"/>
      <family val="2"/>
      <charset val="1"/>
    </font>
    <font>
      <i/>
      <sz val="9"/>
      <color rgb="FF375623"/>
      <name val="Arial"/>
      <family val="2"/>
      <charset val="1"/>
    </font>
    <font>
      <sz val="9"/>
      <color rgb="FFC00000"/>
      <name val="Arial"/>
      <family val="2"/>
      <charset val="1"/>
    </font>
    <font>
      <i/>
      <sz val="9"/>
      <color rgb="FFC00000"/>
      <name val="Arial"/>
      <family val="2"/>
      <charset val="1"/>
    </font>
    <font>
      <sz val="9"/>
      <color rgb="FF375623"/>
      <name val="Arial"/>
      <family val="2"/>
      <charset val="1"/>
    </font>
    <font>
      <sz val="9"/>
      <color rgb="FFFFFFFF"/>
      <name val="Arial"/>
      <family val="2"/>
      <charset val="1"/>
    </font>
    <font>
      <i/>
      <sz val="9"/>
      <color rgb="FF008000"/>
      <name val="Arial"/>
      <family val="2"/>
      <charset val="1"/>
    </font>
    <font>
      <i/>
      <sz val="9"/>
      <color rgb="FFFFFFFF"/>
      <name val="Arial"/>
      <family val="2"/>
      <charset val="1"/>
    </font>
    <font>
      <b/>
      <i/>
      <sz val="9"/>
      <color rgb="FFC65911"/>
      <name val="Arial"/>
      <family val="2"/>
      <charset val="1"/>
    </font>
    <font>
      <sz val="9"/>
      <color rgb="FFC65911"/>
      <name val="Arial"/>
      <family val="2"/>
      <charset val="1"/>
    </font>
    <font>
      <sz val="9"/>
      <color rgb="FF808080"/>
      <name val="Calibri"/>
      <family val="2"/>
      <charset val="1"/>
    </font>
    <font>
      <sz val="10"/>
      <color rgb="FF000000"/>
      <name val="Aptos Display"/>
      <family val="2"/>
      <charset val="1"/>
    </font>
    <font>
      <sz val="10"/>
      <color rgb="FFFFFFFF"/>
      <name val="Aptos Display"/>
      <family val="2"/>
      <charset val="1"/>
    </font>
    <font>
      <sz val="10"/>
      <color theme="1"/>
      <name val="Aptos Display"/>
      <family val="2"/>
      <charset val="1"/>
    </font>
    <font>
      <b/>
      <sz val="10"/>
      <color rgb="FF000000"/>
      <name val="Aptos Display"/>
      <family val="2"/>
      <charset val="1"/>
    </font>
    <font>
      <b/>
      <sz val="10"/>
      <color theme="1"/>
      <name val="Aptos Display"/>
      <family val="2"/>
      <charset val="1"/>
    </font>
    <font>
      <b/>
      <sz val="10"/>
      <color theme="0"/>
      <name val="Aptos Display"/>
      <family val="2"/>
      <charset val="1"/>
    </font>
    <font>
      <sz val="10"/>
      <name val="Aptos Display"/>
      <family val="2"/>
      <charset val="1"/>
    </font>
    <font>
      <b/>
      <sz val="10"/>
      <color theme="1" tint="0.24933622241889705"/>
      <name val="Aptos Display"/>
      <family val="2"/>
      <charset val="1"/>
    </font>
    <font>
      <b/>
      <sz val="11"/>
      <color theme="0"/>
      <name val="Calibri"/>
      <family val="2"/>
      <charset val="1"/>
    </font>
    <font>
      <b/>
      <sz val="10"/>
      <color rgb="FFFFFFFF"/>
      <name val="Aptos Display"/>
      <family val="2"/>
      <charset val="1"/>
    </font>
    <font>
      <sz val="11"/>
      <color theme="1"/>
      <name val="Calibri"/>
      <family val="2"/>
      <charset val="1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i/>
      <sz val="9"/>
      <color rgb="FF595959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i/>
      <sz val="11"/>
      <name val="Calibri"/>
    </font>
    <font>
      <b/>
      <sz val="11"/>
      <color rgb="FF006100"/>
      <name val="Calibri"/>
    </font>
    <font>
      <b/>
      <sz val="14"/>
      <color rgb="FF1F4E78"/>
      <name val="Calibri"/>
    </font>
    <font>
      <i/>
      <sz val="9"/>
      <color rgb="FF595959"/>
      <name val="Calibri"/>
    </font>
    <font>
      <b/>
      <sz val="12"/>
      <color rgb="FF1F4E78"/>
      <name val="Calibri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  <font>
      <sz val="9"/>
      <color rgb="FF595959"/>
      <name val="Calibri"/>
    </font>
  </fonts>
  <fills count="45">
    <fill>
      <patternFill patternType="none"/>
    </fill>
    <fill>
      <patternFill patternType="gray125"/>
    </fill>
    <fill>
      <patternFill patternType="solid">
        <fgColor rgb="FF1F3864"/>
        <bgColor rgb="FF093C92"/>
      </patternFill>
    </fill>
    <fill>
      <patternFill patternType="solid">
        <fgColor rgb="FF375623"/>
        <bgColor rgb="FF404040"/>
      </patternFill>
    </fill>
    <fill>
      <patternFill patternType="solid">
        <fgColor rgb="FFC65911"/>
        <bgColor rgb="FFC05200"/>
      </patternFill>
    </fill>
    <fill>
      <patternFill patternType="solid">
        <fgColor rgb="FF1F7A5C"/>
        <bgColor rgb="FF277E3E"/>
      </patternFill>
    </fill>
    <fill>
      <patternFill patternType="solid">
        <fgColor rgb="FFE8F5E9"/>
        <bgColor rgb="FFE0F4EF"/>
      </patternFill>
    </fill>
    <fill>
      <patternFill patternType="solid">
        <fgColor rgb="FFFBE9E7"/>
        <bgColor rgb="FFFDECEA"/>
      </patternFill>
    </fill>
    <fill>
      <patternFill patternType="solid">
        <fgColor rgb="FFE0F4EF"/>
        <bgColor rgb="FFE8F5E9"/>
      </patternFill>
    </fill>
    <fill>
      <patternFill patternType="solid">
        <fgColor rgb="FFF5F5F5"/>
        <bgColor rgb="FFF2F2F2"/>
      </patternFill>
    </fill>
    <fill>
      <patternFill patternType="solid">
        <fgColor rgb="FFFFFFFF"/>
        <bgColor rgb="FFFFF5F5"/>
      </patternFill>
    </fill>
    <fill>
      <patternFill patternType="solid">
        <fgColor rgb="FFEBF0FA"/>
        <bgColor rgb="FFEBF3FB"/>
      </patternFill>
    </fill>
    <fill>
      <patternFill patternType="solid">
        <fgColor rgb="FFE2EFDA"/>
        <bgColor rgb="FFE8F5E9"/>
      </patternFill>
    </fill>
    <fill>
      <patternFill patternType="solid">
        <fgColor rgb="FFEBF3FB"/>
        <bgColor rgb="FFEBF0FA"/>
      </patternFill>
    </fill>
    <fill>
      <patternFill patternType="solid">
        <fgColor rgb="FFFFF3CD"/>
        <bgColor rgb="FFFFF2CC"/>
      </patternFill>
    </fill>
    <fill>
      <patternFill patternType="solid">
        <fgColor rgb="FFFFE0B2"/>
        <bgColor rgb="FFFFE2CC"/>
      </patternFill>
    </fill>
    <fill>
      <patternFill patternType="solid">
        <fgColor rgb="FFFFF2CC"/>
        <bgColor rgb="FFFFF3CD"/>
      </patternFill>
    </fill>
    <fill>
      <patternFill patternType="solid">
        <fgColor rgb="FF595959"/>
        <bgColor rgb="FF606060"/>
      </patternFill>
    </fill>
    <fill>
      <patternFill patternType="solid">
        <fgColor rgb="FFFDECEA"/>
        <bgColor rgb="FFFBE9E7"/>
      </patternFill>
    </fill>
    <fill>
      <patternFill patternType="solid">
        <fgColor rgb="FFFEF0E7"/>
        <bgColor rgb="FFFDECEA"/>
      </patternFill>
    </fill>
    <fill>
      <patternFill patternType="solid">
        <fgColor rgb="FFF2F2F2"/>
        <bgColor rgb="FFF5F5F5"/>
      </patternFill>
    </fill>
    <fill>
      <patternFill patternType="solid">
        <fgColor rgb="FFCC6600"/>
        <bgColor rgb="FFC65911"/>
      </patternFill>
    </fill>
    <fill>
      <patternFill patternType="solid">
        <fgColor rgb="FF606060"/>
        <bgColor rgb="FF595959"/>
      </patternFill>
    </fill>
    <fill>
      <patternFill patternType="solid">
        <fgColor rgb="FF2E5FA3"/>
        <bgColor rgb="FF1F7A5C"/>
      </patternFill>
    </fill>
    <fill>
      <patternFill patternType="solid">
        <fgColor rgb="FFFFF9E6"/>
        <bgColor rgb="FFFFF5F5"/>
      </patternFill>
    </fill>
    <fill>
      <patternFill patternType="solid">
        <fgColor rgb="FF808080"/>
        <bgColor rgb="FF888888"/>
      </patternFill>
    </fill>
    <fill>
      <patternFill patternType="solid">
        <fgColor rgb="FFFFF5F5"/>
        <bgColor rgb="FFF5F5F5"/>
      </patternFill>
    </fill>
    <fill>
      <patternFill patternType="solid">
        <fgColor rgb="FF000000"/>
        <bgColor rgb="FF003300"/>
      </patternFill>
    </fill>
    <fill>
      <patternFill patternType="solid">
        <fgColor rgb="FF6AA84F"/>
        <bgColor rgb="FF888888"/>
      </patternFill>
    </fill>
    <fill>
      <patternFill patternType="solid">
        <fgColor theme="1" tint="0.24933622241889705"/>
        <bgColor rgb="FF375623"/>
      </patternFill>
    </fill>
    <fill>
      <patternFill patternType="solid">
        <fgColor theme="0" tint="-0.14999847407452621"/>
        <bgColor rgb="FFD0D0D0"/>
      </patternFill>
    </fill>
    <fill>
      <patternFill patternType="solid">
        <fgColor rgb="FFBDD7EE"/>
        <bgColor rgb="FFAACCFF"/>
      </patternFill>
    </fill>
    <fill>
      <patternFill patternType="solid">
        <fgColor theme="7" tint="0.39921262245551925"/>
        <bgColor rgb="FFB3B3B3"/>
      </patternFill>
    </fill>
    <fill>
      <patternFill patternType="solid">
        <fgColor theme="3" tint="0.49955748161259805"/>
        <bgColor rgb="FF95B3D7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305496"/>
        <bgColor rgb="FF305496"/>
      </patternFill>
    </fill>
    <fill>
      <patternFill patternType="solid">
        <fgColor rgb="FFFFE5E5"/>
        <bgColor rgb="FFFFE5E5"/>
      </patternFill>
    </fill>
    <fill>
      <patternFill patternType="solid">
        <fgColor rgb="FFC6EFCE"/>
        <bgColor rgb="FFC6EFCE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E699"/>
        <bgColor rgb="FFFFE699"/>
      </patternFill>
    </fill>
  </fills>
  <borders count="15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375623"/>
      </left>
      <right style="medium">
        <color rgb="FF375623"/>
      </right>
      <top style="medium">
        <color rgb="FF375623"/>
      </top>
      <bottom style="medium">
        <color rgb="FF375623"/>
      </bottom>
      <diagonal/>
    </border>
    <border>
      <left style="medium">
        <color rgb="FFC65911"/>
      </left>
      <right style="medium">
        <color rgb="FFC65911"/>
      </right>
      <top style="medium">
        <color rgb="FFC65911"/>
      </top>
      <bottom style="medium">
        <color rgb="FFC65911"/>
      </bottom>
      <diagonal/>
    </border>
    <border>
      <left style="thin">
        <color rgb="FFC65911"/>
      </left>
      <right style="thin">
        <color rgb="FFC65911"/>
      </right>
      <top style="thin">
        <color rgb="FFC65911"/>
      </top>
      <bottom style="thin">
        <color rgb="FFC6591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theme="4" tint="0.39967040009765925"/>
      </top>
      <bottom style="thin">
        <color theme="4" tint="0.39967040009765925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8">
    <xf numFmtId="0" fontId="0" fillId="0" borderId="0"/>
    <xf numFmtId="0" fontId="1" fillId="0" borderId="0"/>
    <xf numFmtId="0" fontId="2" fillId="0" borderId="0"/>
    <xf numFmtId="0" fontId="87" fillId="0" borderId="0"/>
    <xf numFmtId="0" fontId="87" fillId="0" borderId="0"/>
    <xf numFmtId="0" fontId="87" fillId="0" borderId="0"/>
    <xf numFmtId="9" fontId="2" fillId="0" borderId="0"/>
    <xf numFmtId="9" fontId="87" fillId="0" borderId="0"/>
  </cellStyleXfs>
  <cellXfs count="376">
    <xf numFmtId="0" fontId="0" fillId="0" borderId="0" xfId="0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right" vertical="center"/>
    </xf>
    <xf numFmtId="164" fontId="16" fillId="9" borderId="0" xfId="0" applyNumberFormat="1" applyFont="1" applyFill="1" applyAlignment="1">
      <alignment horizontal="right" vertical="center"/>
    </xf>
    <xf numFmtId="165" fontId="16" fillId="9" borderId="0" xfId="0" applyNumberFormat="1" applyFont="1" applyFill="1" applyAlignment="1">
      <alignment horizontal="right" vertical="center"/>
    </xf>
    <xf numFmtId="164" fontId="17" fillId="9" borderId="0" xfId="0" applyNumberFormat="1" applyFont="1" applyFill="1" applyAlignment="1">
      <alignment horizontal="right" vertical="center"/>
    </xf>
    <xf numFmtId="0" fontId="15" fillId="10" borderId="0" xfId="0" applyFont="1" applyFill="1" applyAlignment="1">
      <alignment horizontal="left" vertical="center"/>
    </xf>
    <xf numFmtId="164" fontId="15" fillId="10" borderId="0" xfId="0" applyNumberFormat="1" applyFont="1" applyFill="1" applyAlignment="1">
      <alignment horizontal="right" vertical="center"/>
    </xf>
    <xf numFmtId="165" fontId="15" fillId="10" borderId="0" xfId="0" applyNumberFormat="1" applyFont="1" applyFill="1" applyAlignment="1">
      <alignment horizontal="right" vertical="center"/>
    </xf>
    <xf numFmtId="164" fontId="17" fillId="10" borderId="0" xfId="0" applyNumberFormat="1" applyFont="1" applyFill="1" applyAlignment="1">
      <alignment horizontal="right" vertical="center"/>
    </xf>
    <xf numFmtId="164" fontId="18" fillId="11" borderId="1" xfId="0" applyNumberFormat="1" applyFont="1" applyFill="1" applyBorder="1" applyAlignment="1">
      <alignment horizontal="right" vertical="center"/>
    </xf>
    <xf numFmtId="165" fontId="18" fillId="11" borderId="1" xfId="0" applyNumberFormat="1" applyFont="1" applyFill="1" applyBorder="1" applyAlignment="1">
      <alignment horizontal="right" vertical="center"/>
    </xf>
    <xf numFmtId="164" fontId="17" fillId="11" borderId="1" xfId="0" applyNumberFormat="1" applyFont="1" applyFill="1" applyBorder="1" applyAlignment="1">
      <alignment horizontal="right" vertical="center"/>
    </xf>
    <xf numFmtId="164" fontId="19" fillId="6" borderId="1" xfId="0" applyNumberFormat="1" applyFont="1" applyFill="1" applyBorder="1" applyAlignment="1">
      <alignment horizontal="right" vertical="center"/>
    </xf>
    <xf numFmtId="165" fontId="19" fillId="6" borderId="1" xfId="0" applyNumberFormat="1" applyFont="1" applyFill="1" applyBorder="1" applyAlignment="1">
      <alignment horizontal="right" vertical="center"/>
    </xf>
    <xf numFmtId="164" fontId="20" fillId="6" borderId="1" xfId="0" applyNumberFormat="1" applyFont="1" applyFill="1" applyBorder="1" applyAlignment="1">
      <alignment horizontal="right" vertical="center"/>
    </xf>
    <xf numFmtId="164" fontId="21" fillId="8" borderId="0" xfId="0" applyNumberFormat="1" applyFont="1" applyFill="1" applyAlignment="1">
      <alignment horizontal="right" vertical="center"/>
    </xf>
    <xf numFmtId="165" fontId="21" fillId="8" borderId="0" xfId="0" applyNumberFormat="1" applyFont="1" applyFill="1" applyAlignment="1">
      <alignment horizontal="right" vertical="center"/>
    </xf>
    <xf numFmtId="164" fontId="17" fillId="8" borderId="0" xfId="0" applyNumberFormat="1" applyFont="1" applyFill="1" applyAlignment="1">
      <alignment horizontal="right" vertical="center"/>
    </xf>
    <xf numFmtId="164" fontId="19" fillId="6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66" fontId="15" fillId="9" borderId="0" xfId="0" applyNumberFormat="1" applyFont="1" applyFill="1" applyAlignment="1">
      <alignment horizontal="right" vertical="center"/>
    </xf>
    <xf numFmtId="0" fontId="13" fillId="0" borderId="0" xfId="0" applyFont="1" applyAlignment="1">
      <alignment horizontal="right"/>
    </xf>
    <xf numFmtId="49" fontId="22" fillId="0" borderId="0" xfId="0" applyNumberFormat="1" applyFont="1"/>
    <xf numFmtId="164" fontId="22" fillId="0" borderId="0" xfId="0" applyNumberFormat="1" applyFont="1"/>
    <xf numFmtId="0" fontId="23" fillId="3" borderId="0" xfId="0" applyFont="1" applyFill="1" applyAlignment="1">
      <alignment horizontal="left" vertical="center"/>
    </xf>
    <xf numFmtId="0" fontId="13" fillId="9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center" vertical="center"/>
    </xf>
    <xf numFmtId="166" fontId="19" fillId="6" borderId="0" xfId="0" applyNumberFormat="1" applyFont="1" applyFill="1" applyAlignment="1">
      <alignment horizontal="right" vertical="center"/>
    </xf>
    <xf numFmtId="49" fontId="24" fillId="0" borderId="0" xfId="0" applyNumberFormat="1" applyFont="1"/>
    <xf numFmtId="164" fontId="24" fillId="0" borderId="0" xfId="0" applyNumberFormat="1" applyFont="1"/>
    <xf numFmtId="0" fontId="15" fillId="9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center" vertical="center"/>
    </xf>
    <xf numFmtId="164" fontId="15" fillId="9" borderId="0" xfId="0" applyNumberFormat="1" applyFont="1" applyFill="1" applyAlignment="1">
      <alignment horizontal="right" vertical="center"/>
    </xf>
    <xf numFmtId="165" fontId="15" fillId="9" borderId="0" xfId="0" applyNumberFormat="1" applyFont="1" applyFill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166" fontId="15" fillId="10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left" vertical="center"/>
    </xf>
    <xf numFmtId="0" fontId="17" fillId="3" borderId="0" xfId="0" applyFont="1" applyFill="1"/>
    <xf numFmtId="166" fontId="12" fillId="3" borderId="0" xfId="0" applyNumberFormat="1" applyFont="1" applyFill="1" applyAlignment="1">
      <alignment horizontal="right" vertical="center"/>
    </xf>
    <xf numFmtId="164" fontId="12" fillId="3" borderId="0" xfId="0" applyNumberFormat="1" applyFont="1" applyFill="1" applyAlignment="1">
      <alignment horizontal="right" vertical="center"/>
    </xf>
    <xf numFmtId="165" fontId="12" fillId="3" borderId="0" xfId="0" applyNumberFormat="1" applyFont="1" applyFill="1" applyAlignment="1">
      <alignment horizontal="right" vertical="center"/>
    </xf>
    <xf numFmtId="0" fontId="23" fillId="5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left" vertical="center"/>
    </xf>
    <xf numFmtId="0" fontId="25" fillId="9" borderId="0" xfId="0" applyFont="1" applyFill="1" applyAlignment="1">
      <alignment horizontal="right" vertical="center"/>
    </xf>
    <xf numFmtId="0" fontId="24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right" vertical="center"/>
    </xf>
    <xf numFmtId="167" fontId="26" fillId="0" borderId="0" xfId="0" applyNumberFormat="1" applyFont="1" applyAlignment="1">
      <alignment horizontal="right" vertical="center"/>
    </xf>
    <xf numFmtId="0" fontId="27" fillId="12" borderId="0" xfId="0" applyFont="1" applyFill="1" applyAlignment="1">
      <alignment horizontal="left" vertical="center"/>
    </xf>
    <xf numFmtId="166" fontId="27" fillId="12" borderId="0" xfId="0" applyNumberFormat="1" applyFont="1" applyFill="1" applyAlignment="1">
      <alignment horizontal="right" vertical="center"/>
    </xf>
    <xf numFmtId="167" fontId="27" fillId="12" borderId="0" xfId="0" applyNumberFormat="1" applyFont="1" applyFill="1" applyAlignment="1">
      <alignment horizontal="right" vertical="center"/>
    </xf>
    <xf numFmtId="0" fontId="17" fillId="0" borderId="0" xfId="0" applyFont="1"/>
    <xf numFmtId="0" fontId="34" fillId="2" borderId="0" xfId="0" applyFont="1" applyFill="1" applyAlignment="1">
      <alignment horizontal="left" vertical="center"/>
    </xf>
    <xf numFmtId="0" fontId="36" fillId="13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168" fontId="37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8" fillId="6" borderId="0" xfId="0" applyFont="1" applyFill="1" applyAlignment="1">
      <alignment horizontal="center" vertical="center"/>
    </xf>
    <xf numFmtId="164" fontId="39" fillId="6" borderId="3" xfId="0" applyNumberFormat="1" applyFont="1" applyFill="1" applyBorder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169" fontId="37" fillId="0" borderId="0" xfId="0" applyNumberFormat="1" applyFont="1" applyAlignment="1">
      <alignment horizontal="right" vertical="center"/>
    </xf>
    <xf numFmtId="165" fontId="37" fillId="0" borderId="0" xfId="0" applyNumberFormat="1" applyFont="1" applyAlignment="1">
      <alignment horizontal="right" vertical="center"/>
    </xf>
    <xf numFmtId="0" fontId="41" fillId="15" borderId="4" xfId="0" applyFont="1" applyFill="1" applyBorder="1" applyAlignment="1">
      <alignment horizontal="left" vertical="center" wrapText="1"/>
    </xf>
    <xf numFmtId="49" fontId="42" fillId="14" borderId="0" xfId="0" applyNumberFormat="1" applyFont="1" applyFill="1" applyAlignment="1">
      <alignment horizontal="center" vertical="center"/>
    </xf>
    <xf numFmtId="170" fontId="43" fillId="15" borderId="5" xfId="0" applyNumberFormat="1" applyFont="1" applyFill="1" applyBorder="1" applyAlignment="1">
      <alignment horizontal="center" vertical="center"/>
    </xf>
    <xf numFmtId="0" fontId="44" fillId="15" borderId="5" xfId="0" applyFont="1" applyFill="1" applyBorder="1" applyAlignment="1">
      <alignment horizontal="left" vertical="center"/>
    </xf>
    <xf numFmtId="170" fontId="43" fillId="15" borderId="0" xfId="0" applyNumberFormat="1" applyFont="1" applyFill="1" applyAlignment="1">
      <alignment horizontal="center" vertical="center"/>
    </xf>
    <xf numFmtId="0" fontId="45" fillId="16" borderId="0" xfId="0" applyFont="1" applyFill="1" applyAlignment="1">
      <alignment horizontal="left" vertical="center"/>
    </xf>
    <xf numFmtId="0" fontId="5" fillId="17" borderId="6" xfId="0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47" fillId="18" borderId="6" xfId="0" applyFont="1" applyFill="1" applyBorder="1" applyAlignment="1">
      <alignment horizontal="center" vertical="center"/>
    </xf>
    <xf numFmtId="0" fontId="48" fillId="6" borderId="6" xfId="0" applyFont="1" applyFill="1" applyBorder="1" applyAlignment="1">
      <alignment horizontal="center" vertical="center"/>
    </xf>
    <xf numFmtId="1" fontId="37" fillId="0" borderId="0" xfId="0" applyNumberFormat="1" applyFont="1" applyAlignment="1">
      <alignment horizontal="right" vertical="center"/>
    </xf>
    <xf numFmtId="0" fontId="15" fillId="19" borderId="0" xfId="0" applyFont="1" applyFill="1" applyAlignment="1">
      <alignment horizontal="left" vertical="center"/>
    </xf>
    <xf numFmtId="0" fontId="10" fillId="19" borderId="0" xfId="0" applyFont="1" applyFill="1" applyAlignment="1">
      <alignment horizontal="right" vertical="center"/>
    </xf>
    <xf numFmtId="165" fontId="42" fillId="14" borderId="0" xfId="0" applyNumberFormat="1" applyFont="1" applyFill="1" applyAlignment="1">
      <alignment horizontal="center" vertical="center"/>
    </xf>
    <xf numFmtId="168" fontId="43" fillId="9" borderId="0" xfId="0" applyNumberFormat="1" applyFont="1" applyFill="1" applyAlignment="1">
      <alignment horizontal="right" vertical="center"/>
    </xf>
    <xf numFmtId="49" fontId="46" fillId="9" borderId="0" xfId="0" applyNumberFormat="1" applyFont="1" applyFill="1" applyAlignment="1">
      <alignment horizontal="center" vertical="center"/>
    </xf>
    <xf numFmtId="0" fontId="48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left" vertical="center" wrapText="1"/>
    </xf>
    <xf numFmtId="165" fontId="15" fillId="0" borderId="0" xfId="0" applyNumberFormat="1" applyFont="1" applyAlignment="1">
      <alignment horizontal="right" vertical="center"/>
    </xf>
    <xf numFmtId="0" fontId="45" fillId="16" borderId="0" xfId="0" applyFont="1" applyFill="1" applyAlignment="1">
      <alignment horizontal="center" vertical="center"/>
    </xf>
    <xf numFmtId="0" fontId="48" fillId="9" borderId="6" xfId="0" applyFont="1" applyFill="1" applyBorder="1" applyAlignment="1">
      <alignment horizontal="center" vertical="center"/>
    </xf>
    <xf numFmtId="166" fontId="37" fillId="0" borderId="0" xfId="0" applyNumberFormat="1" applyFont="1" applyAlignment="1">
      <alignment horizontal="right" vertical="center"/>
    </xf>
    <xf numFmtId="166" fontId="15" fillId="0" borderId="0" xfId="0" applyNumberFormat="1" applyFont="1" applyAlignment="1">
      <alignment horizontal="right" vertical="center"/>
    </xf>
    <xf numFmtId="0" fontId="42" fillId="14" borderId="6" xfId="0" applyFont="1" applyFill="1" applyBorder="1" applyAlignment="1">
      <alignment horizontal="center" vertical="center"/>
    </xf>
    <xf numFmtId="0" fontId="51" fillId="9" borderId="6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wrapText="1"/>
    </xf>
    <xf numFmtId="0" fontId="48" fillId="13" borderId="0" xfId="0" applyFont="1" applyFill="1" applyAlignment="1">
      <alignment horizontal="left" vertical="center"/>
    </xf>
    <xf numFmtId="10" fontId="52" fillId="13" borderId="0" xfId="0" applyNumberFormat="1" applyFont="1" applyFill="1" applyAlignment="1">
      <alignment horizontal="right" vertical="center"/>
    </xf>
    <xf numFmtId="10" fontId="38" fillId="13" borderId="0" xfId="0" applyNumberFormat="1" applyFont="1" applyFill="1" applyAlignment="1">
      <alignment horizontal="right" vertical="center"/>
    </xf>
    <xf numFmtId="0" fontId="15" fillId="20" borderId="0" xfId="0" applyFont="1" applyFill="1" applyAlignment="1">
      <alignment horizontal="left" vertical="center"/>
    </xf>
    <xf numFmtId="10" fontId="52" fillId="20" borderId="0" xfId="0" applyNumberFormat="1" applyFont="1" applyFill="1" applyAlignment="1">
      <alignment horizontal="right" vertical="center"/>
    </xf>
    <xf numFmtId="164" fontId="38" fillId="9" borderId="0" xfId="0" applyNumberFormat="1" applyFont="1" applyFill="1" applyAlignment="1">
      <alignment horizontal="right" vertical="center"/>
    </xf>
    <xf numFmtId="164" fontId="54" fillId="6" borderId="3" xfId="0" applyNumberFormat="1" applyFont="1" applyFill="1" applyBorder="1" applyAlignment="1">
      <alignment horizontal="right" vertical="center"/>
    </xf>
    <xf numFmtId="0" fontId="12" fillId="21" borderId="0" xfId="0" applyFont="1" applyFill="1" applyAlignment="1">
      <alignment horizontal="left" vertical="center"/>
    </xf>
    <xf numFmtId="10" fontId="12" fillId="21" borderId="0" xfId="0" applyNumberFormat="1" applyFont="1" applyFill="1" applyAlignment="1">
      <alignment horizontal="right" vertical="center"/>
    </xf>
    <xf numFmtId="0" fontId="56" fillId="19" borderId="0" xfId="0" applyFont="1" applyFill="1" applyAlignment="1">
      <alignment horizontal="left" vertical="center" wrapText="1"/>
    </xf>
    <xf numFmtId="0" fontId="57" fillId="0" borderId="0" xfId="0" applyFont="1"/>
    <xf numFmtId="0" fontId="35" fillId="22" borderId="0" xfId="0" applyFont="1" applyFill="1" applyAlignment="1">
      <alignment horizontal="left" vertical="center"/>
    </xf>
    <xf numFmtId="165" fontId="58" fillId="0" borderId="0" xfId="0" applyNumberFormat="1" applyFont="1" applyAlignment="1">
      <alignment horizontal="right" vertical="center"/>
    </xf>
    <xf numFmtId="166" fontId="58" fillId="0" borderId="0" xfId="0" applyNumberFormat="1" applyFont="1" applyAlignment="1">
      <alignment horizontal="right" vertical="center"/>
    </xf>
    <xf numFmtId="0" fontId="28" fillId="0" borderId="0" xfId="0" applyFont="1"/>
    <xf numFmtId="0" fontId="12" fillId="23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center" vertical="center" wrapText="1"/>
    </xf>
    <xf numFmtId="0" fontId="59" fillId="20" borderId="0" xfId="0" applyFont="1" applyFill="1" applyAlignment="1">
      <alignment horizontal="center" vertical="center"/>
    </xf>
    <xf numFmtId="166" fontId="52" fillId="13" borderId="0" xfId="0" applyNumberFormat="1" applyFont="1" applyFill="1" applyAlignment="1">
      <alignment horizontal="right" vertical="center"/>
    </xf>
    <xf numFmtId="166" fontId="52" fillId="9" borderId="0" xfId="0" applyNumberFormat="1" applyFont="1" applyFill="1" applyAlignment="1">
      <alignment horizontal="right" vertical="center"/>
    </xf>
    <xf numFmtId="166" fontId="52" fillId="19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center" vertical="center" wrapText="1"/>
    </xf>
    <xf numFmtId="0" fontId="5" fillId="23" borderId="0" xfId="0" applyFont="1" applyFill="1" applyAlignment="1">
      <alignment horizontal="center" vertical="center"/>
    </xf>
    <xf numFmtId="0" fontId="62" fillId="23" borderId="0" xfId="0" applyFont="1" applyFill="1" applyAlignment="1">
      <alignment horizontal="center" vertical="center"/>
    </xf>
    <xf numFmtId="0" fontId="62" fillId="2" borderId="0" xfId="0" applyFont="1" applyFill="1" applyAlignment="1">
      <alignment horizontal="center" vertical="center"/>
    </xf>
    <xf numFmtId="166" fontId="38" fillId="0" borderId="0" xfId="0" applyNumberFormat="1" applyFont="1" applyAlignment="1">
      <alignment horizontal="right" vertical="center"/>
    </xf>
    <xf numFmtId="166" fontId="63" fillId="0" borderId="0" xfId="0" applyNumberFormat="1" applyFont="1" applyAlignment="1">
      <alignment horizontal="right" vertical="center"/>
    </xf>
    <xf numFmtId="0" fontId="64" fillId="0" borderId="0" xfId="0" applyFont="1" applyAlignment="1">
      <alignment horizontal="left" vertical="center"/>
    </xf>
    <xf numFmtId="164" fontId="64" fillId="0" borderId="0" xfId="0" applyNumberFormat="1" applyFont="1" applyAlignment="1">
      <alignment horizontal="right" vertical="center"/>
    </xf>
    <xf numFmtId="164" fontId="38" fillId="0" borderId="0" xfId="0" applyNumberFormat="1" applyFont="1" applyAlignment="1">
      <alignment horizontal="right" vertical="center"/>
    </xf>
    <xf numFmtId="0" fontId="58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65" fillId="0" borderId="0" xfId="0" applyFont="1" applyAlignment="1">
      <alignment horizontal="left" vertical="center"/>
    </xf>
    <xf numFmtId="166" fontId="65" fillId="0" borderId="0" xfId="0" applyNumberFormat="1" applyFont="1" applyAlignment="1">
      <alignment horizontal="right" vertical="center"/>
    </xf>
    <xf numFmtId="0" fontId="66" fillId="0" borderId="0" xfId="0" applyFont="1" applyAlignment="1">
      <alignment horizontal="left" vertical="center"/>
    </xf>
    <xf numFmtId="166" fontId="66" fillId="0" borderId="0" xfId="0" applyNumberFormat="1" applyFont="1" applyAlignment="1">
      <alignment horizontal="right" vertical="center"/>
    </xf>
    <xf numFmtId="0" fontId="67" fillId="0" borderId="0" xfId="0" applyFont="1" applyAlignment="1">
      <alignment horizontal="left" vertical="center"/>
    </xf>
    <xf numFmtId="166" fontId="67" fillId="0" borderId="0" xfId="0" applyNumberFormat="1" applyFont="1" applyAlignment="1">
      <alignment horizontal="right" vertical="center"/>
    </xf>
    <xf numFmtId="0" fontId="12" fillId="23" borderId="0" xfId="0" applyFont="1" applyFill="1" applyAlignment="1">
      <alignment horizontal="left" vertical="center"/>
    </xf>
    <xf numFmtId="0" fontId="63" fillId="0" borderId="0" xfId="0" applyFont="1" applyAlignment="1">
      <alignment horizontal="left" vertical="center"/>
    </xf>
    <xf numFmtId="166" fontId="64" fillId="0" borderId="0" xfId="0" applyNumberFormat="1" applyFont="1" applyAlignment="1">
      <alignment horizontal="right" vertical="center"/>
    </xf>
    <xf numFmtId="166" fontId="64" fillId="24" borderId="0" xfId="0" applyNumberFormat="1" applyFont="1" applyFill="1" applyAlignment="1">
      <alignment horizontal="right" vertical="center"/>
    </xf>
    <xf numFmtId="166" fontId="19" fillId="12" borderId="0" xfId="0" applyNumberFormat="1" applyFont="1" applyFill="1" applyAlignment="1">
      <alignment horizontal="right" vertical="center"/>
    </xf>
    <xf numFmtId="166" fontId="38" fillId="9" borderId="0" xfId="0" applyNumberFormat="1" applyFont="1" applyFill="1" applyAlignment="1">
      <alignment horizontal="right" vertical="center"/>
    </xf>
    <xf numFmtId="0" fontId="68" fillId="0" borderId="0" xfId="0" applyFont="1" applyAlignment="1">
      <alignment horizontal="left" vertical="center"/>
    </xf>
    <xf numFmtId="164" fontId="69" fillId="0" borderId="0" xfId="0" applyNumberFormat="1" applyFont="1" applyAlignment="1">
      <alignment horizontal="right" vertical="center"/>
    </xf>
    <xf numFmtId="164" fontId="65" fillId="0" borderId="0" xfId="0" applyNumberFormat="1" applyFont="1" applyAlignment="1">
      <alignment horizontal="right" vertical="center"/>
    </xf>
    <xf numFmtId="164" fontId="68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left" vertical="center"/>
    </xf>
    <xf numFmtId="164" fontId="70" fillId="0" borderId="0" xfId="0" applyNumberFormat="1" applyFont="1" applyAlignment="1">
      <alignment horizontal="right" vertical="center"/>
    </xf>
    <xf numFmtId="164" fontId="19" fillId="12" borderId="0" xfId="0" applyNumberFormat="1" applyFont="1" applyFill="1" applyAlignment="1">
      <alignment horizontal="right" vertical="center"/>
    </xf>
    <xf numFmtId="166" fontId="0" fillId="0" borderId="0" xfId="0" applyNumberFormat="1"/>
    <xf numFmtId="0" fontId="52" fillId="0" borderId="0" xfId="0" applyFont="1" applyAlignment="1">
      <alignment horizontal="left" vertical="center"/>
    </xf>
    <xf numFmtId="166" fontId="52" fillId="0" borderId="0" xfId="0" applyNumberFormat="1" applyFont="1" applyAlignment="1">
      <alignment horizontal="right" vertical="center"/>
    </xf>
    <xf numFmtId="166" fontId="65" fillId="9" borderId="0" xfId="0" applyNumberFormat="1" applyFont="1" applyFill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64" fillId="3" borderId="0" xfId="0" applyFont="1" applyFill="1" applyAlignment="1">
      <alignment horizontal="left" vertical="center"/>
    </xf>
    <xf numFmtId="166" fontId="71" fillId="3" borderId="0" xfId="0" applyNumberFormat="1" applyFont="1" applyFill="1" applyAlignment="1">
      <alignment horizontal="right" vertical="center"/>
    </xf>
    <xf numFmtId="166" fontId="72" fillId="12" borderId="0" xfId="0" applyNumberFormat="1" applyFont="1" applyFill="1" applyAlignment="1">
      <alignment horizontal="right" vertical="center"/>
    </xf>
    <xf numFmtId="0" fontId="19" fillId="12" borderId="0" xfId="0" applyFont="1" applyFill="1" applyAlignment="1">
      <alignment horizontal="left" vertical="center"/>
    </xf>
    <xf numFmtId="0" fontId="73" fillId="3" borderId="0" xfId="0" applyFont="1" applyFill="1" applyAlignment="1">
      <alignment horizontal="left" vertical="center"/>
    </xf>
    <xf numFmtId="166" fontId="38" fillId="12" borderId="0" xfId="0" applyNumberFormat="1" applyFont="1" applyFill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0" fontId="70" fillId="2" borderId="0" xfId="0" applyFont="1" applyFill="1" applyAlignment="1">
      <alignment horizontal="left" vertical="center"/>
    </xf>
    <xf numFmtId="166" fontId="72" fillId="0" borderId="0" xfId="0" applyNumberFormat="1" applyFont="1" applyAlignment="1">
      <alignment horizontal="right" vertical="center"/>
    </xf>
    <xf numFmtId="0" fontId="47" fillId="26" borderId="0" xfId="0" applyFont="1" applyFill="1" applyAlignment="1">
      <alignment horizontal="left" vertical="center"/>
    </xf>
    <xf numFmtId="164" fontId="47" fillId="26" borderId="0" xfId="0" applyNumberFormat="1" applyFont="1" applyFill="1" applyAlignment="1">
      <alignment horizontal="right" vertical="center"/>
    </xf>
    <xf numFmtId="0" fontId="18" fillId="13" borderId="0" xfId="0" applyFont="1" applyFill="1" applyAlignment="1">
      <alignment horizontal="left" vertical="center"/>
    </xf>
    <xf numFmtId="164" fontId="18" fillId="13" borderId="0" xfId="0" applyNumberFormat="1" applyFont="1" applyFill="1" applyAlignment="1">
      <alignment horizontal="right" vertical="center"/>
    </xf>
    <xf numFmtId="0" fontId="74" fillId="15" borderId="4" xfId="0" applyFont="1" applyFill="1" applyBorder="1" applyAlignment="1">
      <alignment horizontal="left" vertical="center"/>
    </xf>
    <xf numFmtId="3" fontId="41" fillId="15" borderId="4" xfId="0" applyNumberFormat="1" applyFont="1" applyFill="1" applyBorder="1" applyAlignment="1">
      <alignment horizontal="center" vertical="center"/>
    </xf>
    <xf numFmtId="164" fontId="44" fillId="15" borderId="5" xfId="0" applyNumberFormat="1" applyFont="1" applyFill="1" applyBorder="1" applyAlignment="1">
      <alignment horizontal="left" vertical="center"/>
    </xf>
    <xf numFmtId="3" fontId="75" fillId="15" borderId="5" xfId="0" applyNumberFormat="1" applyFont="1" applyFill="1" applyBorder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right" vertical="center"/>
    </xf>
    <xf numFmtId="0" fontId="15" fillId="0" borderId="0" xfId="0" applyFont="1" applyAlignment="1">
      <alignment vertical="center"/>
    </xf>
    <xf numFmtId="0" fontId="59" fillId="0" borderId="0" xfId="0" applyFont="1" applyAlignment="1">
      <alignment horizontal="left" vertical="center"/>
    </xf>
    <xf numFmtId="0" fontId="76" fillId="0" borderId="0" xfId="0" applyFont="1" applyAlignment="1">
      <alignment horizontal="left" vertical="center"/>
    </xf>
    <xf numFmtId="164" fontId="76" fillId="0" borderId="0" xfId="0" applyNumberFormat="1" applyFont="1" applyAlignment="1">
      <alignment horizontal="right" vertical="center"/>
    </xf>
    <xf numFmtId="0" fontId="76" fillId="0" borderId="0" xfId="0" applyFont="1" applyAlignment="1">
      <alignment horizontal="right" vertical="center"/>
    </xf>
    <xf numFmtId="164" fontId="23" fillId="3" borderId="0" xfId="0" applyNumberFormat="1" applyFont="1" applyFill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23" fillId="3" borderId="0" xfId="0" applyFont="1" applyFill="1" applyAlignment="1">
      <alignment vertical="center"/>
    </xf>
    <xf numFmtId="0" fontId="30" fillId="0" borderId="0" xfId="0" applyFont="1" applyAlignment="1">
      <alignment horizontal="left" vertical="center"/>
    </xf>
    <xf numFmtId="3" fontId="30" fillId="8" borderId="0" xfId="0" applyNumberFormat="1" applyFont="1" applyFill="1" applyAlignment="1">
      <alignment horizontal="right" vertical="center"/>
    </xf>
    <xf numFmtId="0" fontId="1" fillId="0" borderId="0" xfId="0" applyFont="1"/>
    <xf numFmtId="0" fontId="77" fillId="0" borderId="0" xfId="0" applyFont="1"/>
    <xf numFmtId="0" fontId="78" fillId="27" borderId="0" xfId="0" applyFont="1" applyFill="1" applyAlignment="1">
      <alignment horizontal="center"/>
    </xf>
    <xf numFmtId="4" fontId="78" fillId="27" borderId="0" xfId="0" applyNumberFormat="1" applyFont="1" applyFill="1" applyAlignment="1">
      <alignment horizontal="center"/>
    </xf>
    <xf numFmtId="0" fontId="79" fillId="0" borderId="0" xfId="0" applyFont="1"/>
    <xf numFmtId="171" fontId="79" fillId="0" borderId="0" xfId="0" applyNumberFormat="1" applyFont="1" applyAlignment="1">
      <alignment horizontal="center"/>
    </xf>
    <xf numFmtId="4" fontId="77" fillId="0" borderId="0" xfId="0" applyNumberFormat="1" applyFont="1" applyAlignment="1">
      <alignment horizontal="center"/>
    </xf>
    <xf numFmtId="172" fontId="79" fillId="0" borderId="0" xfId="0" applyNumberFormat="1" applyFont="1"/>
    <xf numFmtId="0" fontId="80" fillId="0" borderId="7" xfId="0" applyFont="1" applyBorder="1"/>
    <xf numFmtId="0" fontId="80" fillId="0" borderId="0" xfId="0" applyFont="1"/>
    <xf numFmtId="9" fontId="77" fillId="0" borderId="0" xfId="0" applyNumberFormat="1" applyFont="1"/>
    <xf numFmtId="171" fontId="77" fillId="0" borderId="7" xfId="0" applyNumberFormat="1" applyFont="1" applyBorder="1"/>
    <xf numFmtId="17" fontId="77" fillId="0" borderId="7" xfId="0" applyNumberFormat="1" applyFont="1" applyBorder="1"/>
    <xf numFmtId="0" fontId="77" fillId="0" borderId="7" xfId="0" applyFont="1" applyBorder="1"/>
    <xf numFmtId="2" fontId="77" fillId="0" borderId="7" xfId="0" applyNumberFormat="1" applyFont="1" applyBorder="1"/>
    <xf numFmtId="4" fontId="79" fillId="0" borderId="0" xfId="0" applyNumberFormat="1" applyFont="1" applyAlignment="1">
      <alignment horizontal="center"/>
    </xf>
    <xf numFmtId="0" fontId="79" fillId="0" borderId="0" xfId="0" applyFont="1" applyAlignment="1">
      <alignment horizontal="right"/>
    </xf>
    <xf numFmtId="173" fontId="81" fillId="0" borderId="0" xfId="0" applyNumberFormat="1" applyFont="1" applyAlignment="1">
      <alignment horizontal="center"/>
    </xf>
    <xf numFmtId="3" fontId="79" fillId="0" borderId="0" xfId="0" applyNumberFormat="1" applyFont="1"/>
    <xf numFmtId="3" fontId="77" fillId="0" borderId="0" xfId="0" applyNumberFormat="1" applyFont="1"/>
    <xf numFmtId="0" fontId="77" fillId="0" borderId="8" xfId="0" applyFont="1" applyBorder="1" applyAlignment="1">
      <alignment horizontal="left" vertical="center" wrapText="1"/>
    </xf>
    <xf numFmtId="0" fontId="77" fillId="0" borderId="0" xfId="0" applyFont="1" applyAlignment="1">
      <alignment horizontal="left" vertical="center" wrapText="1"/>
    </xf>
    <xf numFmtId="0" fontId="80" fillId="20" borderId="8" xfId="0" applyFont="1" applyFill="1" applyBorder="1" applyAlignment="1">
      <alignment horizontal="left" vertical="center" wrapText="1"/>
    </xf>
    <xf numFmtId="0" fontId="77" fillId="20" borderId="0" xfId="0" applyFont="1" applyFill="1"/>
    <xf numFmtId="3" fontId="77" fillId="20" borderId="0" xfId="0" applyNumberFormat="1" applyFont="1" applyFill="1"/>
    <xf numFmtId="173" fontId="79" fillId="0" borderId="0" xfId="0" applyNumberFormat="1" applyFont="1" applyAlignment="1">
      <alignment horizontal="center"/>
    </xf>
    <xf numFmtId="3" fontId="80" fillId="20" borderId="0" xfId="0" applyNumberFormat="1" applyFont="1" applyFill="1"/>
    <xf numFmtId="0" fontId="79" fillId="28" borderId="0" xfId="0" applyFont="1" applyFill="1" applyAlignment="1">
      <alignment horizontal="center"/>
    </xf>
    <xf numFmtId="174" fontId="79" fillId="28" borderId="0" xfId="0" applyNumberFormat="1" applyFont="1" applyFill="1" applyAlignment="1">
      <alignment horizontal="center"/>
    </xf>
    <xf numFmtId="174" fontId="81" fillId="28" borderId="0" xfId="0" applyNumberFormat="1" applyFont="1" applyFill="1" applyAlignment="1">
      <alignment horizontal="center"/>
    </xf>
    <xf numFmtId="0" fontId="79" fillId="0" borderId="0" xfId="0" applyFont="1" applyAlignment="1">
      <alignment horizontal="center"/>
    </xf>
    <xf numFmtId="174" fontId="79" fillId="0" borderId="0" xfId="0" applyNumberFormat="1" applyFont="1"/>
    <xf numFmtId="174" fontId="77" fillId="0" borderId="0" xfId="0" applyNumberFormat="1" applyFont="1"/>
    <xf numFmtId="0" fontId="82" fillId="29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1" fontId="79" fillId="0" borderId="0" xfId="0" applyNumberFormat="1" applyFont="1" applyAlignment="1">
      <alignment horizontal="center" vertical="center"/>
    </xf>
    <xf numFmtId="0" fontId="79" fillId="30" borderId="0" xfId="0" applyFont="1" applyFill="1" applyAlignment="1">
      <alignment horizontal="center" vertical="center"/>
    </xf>
    <xf numFmtId="2" fontId="79" fillId="0" borderId="0" xfId="0" applyNumberFormat="1" applyFont="1" applyAlignment="1">
      <alignment horizontal="center" vertical="center"/>
    </xf>
    <xf numFmtId="10" fontId="79" fillId="30" borderId="0" xfId="0" applyNumberFormat="1" applyFont="1" applyFill="1" applyAlignment="1">
      <alignment horizontal="center" vertical="center"/>
    </xf>
    <xf numFmtId="10" fontId="79" fillId="0" borderId="0" xfId="0" applyNumberFormat="1" applyFont="1" applyAlignment="1">
      <alignment horizontal="center" vertical="center"/>
    </xf>
    <xf numFmtId="0" fontId="80" fillId="31" borderId="8" xfId="0" applyFont="1" applyFill="1" applyBorder="1" applyAlignment="1">
      <alignment horizontal="center" vertical="center" wrapText="1"/>
    </xf>
    <xf numFmtId="0" fontId="83" fillId="0" borderId="0" xfId="0" applyFont="1" applyAlignment="1">
      <alignment horizontal="center" vertical="center" wrapText="1"/>
    </xf>
    <xf numFmtId="0" fontId="83" fillId="30" borderId="0" xfId="0" applyFont="1" applyFill="1" applyAlignment="1">
      <alignment horizontal="center" vertical="center" wrapText="1"/>
    </xf>
    <xf numFmtId="2" fontId="83" fillId="30" borderId="0" xfId="0" applyNumberFormat="1" applyFont="1" applyFill="1" applyAlignment="1">
      <alignment horizontal="center" vertical="center"/>
    </xf>
    <xf numFmtId="0" fontId="83" fillId="30" borderId="0" xfId="0" applyFont="1" applyFill="1" applyAlignment="1">
      <alignment horizontal="center" vertical="center"/>
    </xf>
    <xf numFmtId="2" fontId="83" fillId="32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0" fontId="83" fillId="30" borderId="0" xfId="0" applyNumberFormat="1" applyFont="1" applyFill="1" applyAlignment="1">
      <alignment horizontal="center" vertical="center"/>
    </xf>
    <xf numFmtId="0" fontId="83" fillId="0" borderId="0" xfId="0" applyFont="1" applyAlignment="1">
      <alignment horizontal="center" vertical="center"/>
    </xf>
    <xf numFmtId="171" fontId="83" fillId="0" borderId="0" xfId="0" applyNumberFormat="1" applyFont="1" applyAlignment="1">
      <alignment horizontal="center" vertical="center"/>
    </xf>
    <xf numFmtId="0" fontId="84" fillId="32" borderId="0" xfId="0" applyFont="1" applyFill="1" applyAlignment="1">
      <alignment horizontal="center" vertical="center"/>
    </xf>
    <xf numFmtId="0" fontId="83" fillId="0" borderId="0" xfId="0" applyFont="1" applyAlignment="1">
      <alignment horizontal="center"/>
    </xf>
    <xf numFmtId="0" fontId="85" fillId="33" borderId="9" xfId="0" applyFont="1" applyFill="1" applyBorder="1" applyAlignment="1">
      <alignment horizontal="center" vertical="center" wrapText="1"/>
    </xf>
    <xf numFmtId="0" fontId="86" fillId="27" borderId="0" xfId="0" applyFont="1" applyFill="1" applyAlignment="1">
      <alignment horizontal="center" vertical="center" wrapText="1"/>
    </xf>
    <xf numFmtId="0" fontId="78" fillId="27" borderId="0" xfId="0" applyFont="1" applyFill="1" applyAlignment="1">
      <alignment horizontal="center" vertical="center" wrapText="1"/>
    </xf>
    <xf numFmtId="0" fontId="79" fillId="0" borderId="0" xfId="0" applyFont="1" applyAlignment="1">
      <alignment horizontal="center" vertical="center" wrapText="1"/>
    </xf>
    <xf numFmtId="10" fontId="79" fillId="0" borderId="0" xfId="0" applyNumberFormat="1" applyFont="1"/>
    <xf numFmtId="2" fontId="79" fillId="0" borderId="0" xfId="0" applyNumberFormat="1" applyFont="1"/>
    <xf numFmtId="49" fontId="79" fillId="0" borderId="0" xfId="0" applyNumberFormat="1" applyFont="1" applyAlignment="1">
      <alignment horizontal="center"/>
    </xf>
    <xf numFmtId="0" fontId="79" fillId="10" borderId="0" xfId="0" applyFont="1" applyFill="1"/>
    <xf numFmtId="0" fontId="88" fillId="0" borderId="0" xfId="0" applyFont="1"/>
    <xf numFmtId="10" fontId="58" fillId="34" borderId="0" xfId="0" applyNumberFormat="1" applyFont="1" applyFill="1" applyAlignment="1">
      <alignment horizontal="right" vertical="center"/>
    </xf>
    <xf numFmtId="0" fontId="89" fillId="35" borderId="0" xfId="0" applyFont="1" applyFill="1"/>
    <xf numFmtId="0" fontId="90" fillId="0" borderId="0" xfId="0" applyFont="1"/>
    <xf numFmtId="0" fontId="91" fillId="36" borderId="12" xfId="0" applyFont="1" applyFill="1" applyBorder="1" applyAlignment="1">
      <alignment horizontal="center" vertical="center" wrapText="1"/>
    </xf>
    <xf numFmtId="0" fontId="0" fillId="0" borderId="12" xfId="0" applyBorder="1"/>
    <xf numFmtId="3" fontId="0" fillId="0" borderId="12" xfId="0" applyNumberFormat="1" applyBorder="1"/>
    <xf numFmtId="0" fontId="91" fillId="37" borderId="12" xfId="0" applyFont="1" applyFill="1" applyBorder="1"/>
    <xf numFmtId="3" fontId="91" fillId="37" borderId="12" xfId="0" applyNumberFormat="1" applyFont="1" applyFill="1" applyBorder="1"/>
    <xf numFmtId="175" fontId="0" fillId="0" borderId="12" xfId="0" applyNumberFormat="1" applyBorder="1"/>
    <xf numFmtId="175" fontId="91" fillId="37" borderId="12" xfId="0" applyNumberFormat="1" applyFont="1" applyFill="1" applyBorder="1"/>
    <xf numFmtId="166" fontId="91" fillId="36" borderId="12" xfId="0" applyNumberFormat="1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left" vertical="center"/>
    </xf>
    <xf numFmtId="175" fontId="29" fillId="9" borderId="12" xfId="0" applyNumberFormat="1" applyFont="1" applyFill="1" applyBorder="1" applyAlignment="1">
      <alignment horizontal="right" vertical="center"/>
    </xf>
    <xf numFmtId="175" fontId="30" fillId="8" borderId="12" xfId="0" applyNumberFormat="1" applyFont="1" applyFill="1" applyBorder="1" applyAlignment="1">
      <alignment horizontal="right" vertical="center"/>
    </xf>
    <xf numFmtId="175" fontId="17" fillId="0" borderId="12" xfId="0" applyNumberFormat="1" applyFont="1" applyBorder="1"/>
    <xf numFmtId="0" fontId="28" fillId="10" borderId="12" xfId="0" applyFont="1" applyFill="1" applyBorder="1" applyAlignment="1">
      <alignment horizontal="left" vertical="center"/>
    </xf>
    <xf numFmtId="175" fontId="29" fillId="10" borderId="12" xfId="0" applyNumberFormat="1" applyFont="1" applyFill="1" applyBorder="1" applyAlignment="1">
      <alignment horizontal="right" vertical="center"/>
    </xf>
    <xf numFmtId="0" fontId="23" fillId="5" borderId="12" xfId="0" applyFont="1" applyFill="1" applyBorder="1" applyAlignment="1">
      <alignment horizontal="left" vertical="center"/>
    </xf>
    <xf numFmtId="175" fontId="31" fillId="5" borderId="12" xfId="0" applyNumberFormat="1" applyFont="1" applyFill="1" applyBorder="1" applyAlignment="1">
      <alignment horizontal="right" vertical="center"/>
    </xf>
    <xf numFmtId="175" fontId="23" fillId="5" borderId="12" xfId="0" applyNumberFormat="1" applyFont="1" applyFill="1" applyBorder="1" applyAlignment="1">
      <alignment horizontal="right" vertical="center"/>
    </xf>
    <xf numFmtId="0" fontId="32" fillId="0" borderId="12" xfId="0" applyFont="1" applyBorder="1" applyAlignment="1">
      <alignment horizontal="left" vertical="center"/>
    </xf>
    <xf numFmtId="0" fontId="33" fillId="0" borderId="12" xfId="0" applyFont="1" applyBorder="1"/>
    <xf numFmtId="0" fontId="17" fillId="0" borderId="12" xfId="0" applyFont="1" applyBorder="1"/>
    <xf numFmtId="0" fontId="92" fillId="38" borderId="0" xfId="0" applyFont="1" applyFill="1"/>
    <xf numFmtId="0" fontId="93" fillId="0" borderId="0" xfId="0" applyFont="1"/>
    <xf numFmtId="0" fontId="94" fillId="39" borderId="13" xfId="0" applyFont="1" applyFill="1" applyBorder="1"/>
    <xf numFmtId="175" fontId="0" fillId="39" borderId="13" xfId="0" applyNumberFormat="1" applyFill="1" applyBorder="1"/>
    <xf numFmtId="0" fontId="95" fillId="40" borderId="13" xfId="0" applyFont="1" applyFill="1" applyBorder="1"/>
    <xf numFmtId="175" fontId="95" fillId="40" borderId="13" xfId="0" applyNumberFormat="1" applyFont="1" applyFill="1" applyBorder="1"/>
    <xf numFmtId="0" fontId="94" fillId="0" borderId="13" xfId="0" applyFont="1" applyBorder="1"/>
    <xf numFmtId="0" fontId="0" fillId="0" borderId="13" xfId="0" applyBorder="1"/>
    <xf numFmtId="175" fontId="0" fillId="0" borderId="13" xfId="0" applyNumberFormat="1" applyBorder="1"/>
    <xf numFmtId="0" fontId="95" fillId="41" borderId="13" xfId="0" applyFont="1" applyFill="1" applyBorder="1"/>
    <xf numFmtId="175" fontId="95" fillId="41" borderId="13" xfId="0" applyNumberFormat="1" applyFont="1" applyFill="1" applyBorder="1"/>
    <xf numFmtId="0" fontId="96" fillId="0" borderId="0" xfId="0" applyFont="1"/>
    <xf numFmtId="0" fontId="97" fillId="0" borderId="0" xfId="0" applyFont="1"/>
    <xf numFmtId="178" fontId="98" fillId="0" borderId="0" xfId="0" applyNumberFormat="1" applyFont="1"/>
    <xf numFmtId="178" fontId="98" fillId="0" borderId="0" xfId="0" applyNumberFormat="1" applyFont="1" applyAlignment="1">
      <alignment horizontal="right" vertical="center"/>
    </xf>
    <xf numFmtId="0" fontId="102" fillId="43" borderId="14" xfId="0" applyFont="1" applyFill="1" applyBorder="1" applyAlignment="1">
      <alignment horizontal="center" vertical="center"/>
    </xf>
    <xf numFmtId="0" fontId="103" fillId="0" borderId="14" xfId="0" applyFont="1" applyBorder="1"/>
    <xf numFmtId="179" fontId="0" fillId="0" borderId="14" xfId="0" applyNumberFormat="1" applyBorder="1" applyAlignment="1">
      <alignment horizontal="right" vertical="center"/>
    </xf>
    <xf numFmtId="180" fontId="0" fillId="0" borderId="14" xfId="0" applyNumberFormat="1" applyBorder="1" applyAlignment="1">
      <alignment horizontal="right" vertical="center"/>
    </xf>
    <xf numFmtId="0" fontId="104" fillId="44" borderId="14" xfId="0" applyFont="1" applyFill="1" applyBorder="1"/>
    <xf numFmtId="179" fontId="104" fillId="44" borderId="14" xfId="0" applyNumberFormat="1" applyFont="1" applyFill="1" applyBorder="1" applyAlignment="1">
      <alignment horizontal="right" vertical="center"/>
    </xf>
    <xf numFmtId="180" fontId="104" fillId="44" borderId="14" xfId="0" applyNumberFormat="1" applyFont="1" applyFill="1" applyBorder="1" applyAlignment="1">
      <alignment horizontal="right" vertical="center"/>
    </xf>
    <xf numFmtId="0" fontId="104" fillId="0" borderId="0" xfId="0" applyFont="1"/>
    <xf numFmtId="164" fontId="19" fillId="6" borderId="0" xfId="0" applyNumberFormat="1" applyFont="1" applyFill="1" applyAlignment="1">
      <alignment horizontal="right" vertical="center"/>
    </xf>
    <xf numFmtId="0" fontId="0" fillId="0" borderId="0" xfId="0"/>
    <xf numFmtId="0" fontId="5" fillId="3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/>
    </xf>
    <xf numFmtId="0" fontId="19" fillId="6" borderId="1" xfId="0" applyFont="1" applyFill="1" applyBorder="1" applyAlignment="1">
      <alignment horizontal="left" vertical="center"/>
    </xf>
    <xf numFmtId="0" fontId="0" fillId="0" borderId="1" xfId="0" applyBorder="1"/>
    <xf numFmtId="164" fontId="9" fillId="6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168" fontId="15" fillId="10" borderId="0" xfId="0" applyNumberFormat="1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8" fillId="11" borderId="1" xfId="0" applyFont="1" applyFill="1" applyBorder="1" applyAlignment="1">
      <alignment horizontal="left" vertical="center"/>
    </xf>
    <xf numFmtId="49" fontId="15" fillId="10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6" fillId="9" borderId="0" xfId="0" applyFont="1" applyFill="1" applyAlignment="1">
      <alignment horizontal="left" vertic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left" vertical="center"/>
    </xf>
    <xf numFmtId="0" fontId="14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left" vertical="center"/>
    </xf>
    <xf numFmtId="164" fontId="6" fillId="6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/>
    </xf>
    <xf numFmtId="0" fontId="14" fillId="9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15" fillId="9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8" fontId="15" fillId="9" borderId="0" xfId="0" applyNumberFormat="1" applyFont="1" applyFill="1" applyAlignment="1">
      <alignment horizontal="right" vertical="center"/>
    </xf>
    <xf numFmtId="165" fontId="19" fillId="6" borderId="0" xfId="0" applyNumberFormat="1" applyFont="1" applyFill="1" applyAlignment="1">
      <alignment horizontal="right" vertical="center"/>
    </xf>
    <xf numFmtId="177" fontId="6" fillId="6" borderId="0" xfId="0" applyNumberFormat="1" applyFont="1" applyFill="1" applyAlignment="1">
      <alignment horizontal="center" vertical="center"/>
    </xf>
    <xf numFmtId="49" fontId="15" fillId="9" borderId="0" xfId="0" applyNumberFormat="1" applyFont="1" applyFill="1" applyAlignment="1">
      <alignment horizontal="right" vertical="center"/>
    </xf>
    <xf numFmtId="164" fontId="7" fillId="7" borderId="0" xfId="0" applyNumberFormat="1" applyFont="1" applyFill="1" applyAlignment="1">
      <alignment horizontal="center" vertical="center"/>
    </xf>
    <xf numFmtId="164" fontId="8" fillId="8" borderId="0" xfId="0" applyNumberFormat="1" applyFont="1" applyFill="1" applyAlignment="1">
      <alignment horizontal="center" vertical="center"/>
    </xf>
    <xf numFmtId="166" fontId="15" fillId="9" borderId="0" xfId="0" applyNumberFormat="1" applyFont="1" applyFill="1" applyAlignment="1">
      <alignment horizontal="right" vertical="center"/>
    </xf>
    <xf numFmtId="0" fontId="12" fillId="3" borderId="0" xfId="0" applyFont="1" applyFill="1" applyAlignment="1">
      <alignment horizontal="center" vertical="center"/>
    </xf>
    <xf numFmtId="49" fontId="15" fillId="6" borderId="2" xfId="0" applyNumberFormat="1" applyFont="1" applyFill="1" applyBorder="1" applyAlignment="1">
      <alignment horizontal="center" vertical="center"/>
    </xf>
    <xf numFmtId="0" fontId="0" fillId="0" borderId="11" xfId="0" applyBorder="1"/>
    <xf numFmtId="0" fontId="34" fillId="2" borderId="0" xfId="0" applyFont="1" applyFill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49" fontId="48" fillId="6" borderId="2" xfId="0" applyNumberFormat="1" applyFont="1" applyFill="1" applyBorder="1" applyAlignment="1">
      <alignment horizontal="center" vertical="center"/>
    </xf>
    <xf numFmtId="49" fontId="46" fillId="9" borderId="2" xfId="0" applyNumberFormat="1" applyFont="1" applyFill="1" applyBorder="1" applyAlignment="1">
      <alignment horizontal="center" vertical="center"/>
    </xf>
    <xf numFmtId="0" fontId="35" fillId="2" borderId="0" xfId="0" applyFont="1" applyFill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0" fillId="0" borderId="10" xfId="0" applyBorder="1"/>
    <xf numFmtId="0" fontId="5" fillId="17" borderId="6" xfId="0" applyFont="1" applyFill="1" applyBorder="1" applyAlignment="1">
      <alignment horizontal="center" vertical="center"/>
    </xf>
    <xf numFmtId="0" fontId="56" fillId="19" borderId="0" xfId="0" applyFont="1" applyFill="1" applyAlignment="1">
      <alignment horizontal="left" vertical="center" wrapText="1"/>
    </xf>
    <xf numFmtId="0" fontId="15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/>
    </xf>
    <xf numFmtId="0" fontId="19" fillId="6" borderId="0" xfId="0" applyFont="1" applyFill="1" applyAlignment="1">
      <alignment horizontal="left" vertical="center"/>
    </xf>
    <xf numFmtId="49" fontId="48" fillId="6" borderId="6" xfId="0" applyNumberFormat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left" vertical="center" wrapText="1"/>
    </xf>
    <xf numFmtId="0" fontId="10" fillId="9" borderId="6" xfId="0" applyFont="1" applyFill="1" applyBorder="1" applyAlignment="1">
      <alignment horizontal="left" vertical="center" wrapText="1"/>
    </xf>
    <xf numFmtId="0" fontId="15" fillId="9" borderId="2" xfId="0" applyFont="1" applyFill="1" applyBorder="1" applyAlignment="1">
      <alignment horizontal="center" vertical="center"/>
    </xf>
    <xf numFmtId="0" fontId="40" fillId="6" borderId="0" xfId="0" applyFont="1" applyFill="1" applyAlignment="1">
      <alignment horizontal="left" vertical="center" wrapText="1"/>
    </xf>
    <xf numFmtId="0" fontId="38" fillId="9" borderId="0" xfId="0" applyFont="1" applyFill="1" applyAlignment="1">
      <alignment horizontal="left" vertical="center"/>
    </xf>
    <xf numFmtId="0" fontId="10" fillId="9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horizontal="left" vertical="center"/>
    </xf>
    <xf numFmtId="0" fontId="35" fillId="2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center" vertical="center"/>
    </xf>
    <xf numFmtId="0" fontId="15" fillId="18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left" vertical="center" wrapText="1"/>
    </xf>
    <xf numFmtId="0" fontId="40" fillId="14" borderId="0" xfId="0" applyFont="1" applyFill="1" applyAlignment="1">
      <alignment horizontal="left" vertical="center" wrapText="1"/>
    </xf>
    <xf numFmtId="0" fontId="53" fillId="18" borderId="6" xfId="0" applyFont="1" applyFill="1" applyBorder="1" applyAlignment="1">
      <alignment horizontal="left" vertical="center"/>
    </xf>
    <xf numFmtId="0" fontId="10" fillId="14" borderId="6" xfId="0" applyFont="1" applyFill="1" applyBorder="1" applyAlignment="1">
      <alignment horizontal="left" vertical="center" wrapText="1"/>
    </xf>
    <xf numFmtId="0" fontId="36" fillId="13" borderId="0" xfId="0" applyFont="1" applyFill="1" applyAlignment="1">
      <alignment horizontal="left" vertical="center"/>
    </xf>
    <xf numFmtId="0" fontId="10" fillId="18" borderId="6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/>
    </xf>
    <xf numFmtId="0" fontId="35" fillId="22" borderId="0" xfId="0" applyFont="1" applyFill="1" applyAlignment="1">
      <alignment horizontal="left" vertical="center"/>
    </xf>
    <xf numFmtId="0" fontId="50" fillId="0" borderId="0" xfId="0" applyFont="1" applyAlignment="1">
      <alignment horizontal="center"/>
    </xf>
    <xf numFmtId="0" fontId="49" fillId="14" borderId="6" xfId="0" applyFont="1" applyFill="1" applyBorder="1" applyAlignment="1">
      <alignment horizontal="left" vertical="center"/>
    </xf>
    <xf numFmtId="0" fontId="40" fillId="11" borderId="0" xfId="0" applyFont="1" applyFill="1" applyAlignment="1">
      <alignment horizontal="left" vertical="center" wrapText="1"/>
    </xf>
    <xf numFmtId="49" fontId="46" fillId="18" borderId="2" xfId="0" applyNumberFormat="1" applyFont="1" applyFill="1" applyBorder="1" applyAlignment="1">
      <alignment horizontal="center" vertical="center"/>
    </xf>
    <xf numFmtId="0" fontId="55" fillId="6" borderId="0" xfId="0" applyFont="1" applyFill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56" fillId="24" borderId="0" xfId="0" applyFont="1" applyFill="1" applyAlignment="1">
      <alignment horizontal="left" vertical="center" wrapText="1"/>
    </xf>
    <xf numFmtId="0" fontId="12" fillId="23" borderId="0" xfId="0" applyFont="1" applyFill="1" applyAlignment="1">
      <alignment horizontal="left" vertical="center"/>
    </xf>
    <xf numFmtId="0" fontId="61" fillId="23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25" borderId="0" xfId="0" applyFont="1" applyFill="1" applyAlignment="1">
      <alignment horizontal="left" vertical="center"/>
    </xf>
    <xf numFmtId="0" fontId="60" fillId="2" borderId="0" xfId="0" applyFont="1" applyFill="1" applyAlignment="1">
      <alignment horizontal="center" vertical="center"/>
    </xf>
    <xf numFmtId="0" fontId="100" fillId="0" borderId="0" xfId="0" applyFont="1"/>
    <xf numFmtId="0" fontId="101" fillId="42" borderId="0" xfId="0" applyFont="1" applyFill="1"/>
    <xf numFmtId="0" fontId="105" fillId="0" borderId="0" xfId="0" applyFont="1"/>
    <xf numFmtId="0" fontId="99" fillId="0" borderId="0" xfId="0" applyFont="1"/>
  </cellXfs>
  <cellStyles count="8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EBF0FA"/>
      <rgbColor rgb="FF0000FF"/>
      <rgbColor rgb="FFE2EFDA"/>
      <rgbColor rgb="FFFBE9E7"/>
      <rgbColor rgb="FFD9E7FD"/>
      <rgbColor rgb="FFFFF5F5"/>
      <rgbColor rgb="FF008000"/>
      <rgbColor rgb="FF000080"/>
      <rgbColor rgb="FF7F6000"/>
      <rgbColor rgb="FFF2F2F2"/>
      <rgbColor rgb="FF1F7A5C"/>
      <rgbColor rgb="FFCCCCCC"/>
      <rgbColor rgb="FF808080"/>
      <rgbColor rgb="FF95B3D7"/>
      <rgbColor rgb="FFC0504D"/>
      <rgbColor rgb="FFFFF3CD"/>
      <rgbColor rgb="FFE0F4EF"/>
      <rgbColor rgb="FFF5F5F5"/>
      <rgbColor rgb="FFC65911"/>
      <rgbColor rgb="FF2E5FA3"/>
      <rgbColor rgb="FFBDD7EE"/>
      <rgbColor rgb="FF000080"/>
      <rgbColor rgb="FFFDECEA"/>
      <rgbColor rgb="FFFFF9E6"/>
      <rgbColor rgb="FFD9D9D9"/>
      <rgbColor rgb="FFFEF0E7"/>
      <rgbColor rgb="FF800000"/>
      <rgbColor rgb="FFEBF3FB"/>
      <rgbColor rgb="FF0000FF"/>
      <rgbColor rgb="FFD0D0D0"/>
      <rgbColor rgb="FFE8F5E9"/>
      <rgbColor rgb="FFD3F1DB"/>
      <rgbColor rgb="FFFFF2CC"/>
      <rgbColor rgb="FFAACCFF"/>
      <rgbColor rgb="FFB3B3B3"/>
      <rgbColor rgb="FFB3A2C7"/>
      <rgbColor rgb="FFFFE0B2"/>
      <rgbColor rgb="FF888888"/>
      <rgbColor rgb="FF71A1DC"/>
      <rgbColor rgb="FF6AA84F"/>
      <rgbColor rgb="FFFFE2CC"/>
      <rgbColor rgb="FFF79646"/>
      <rgbColor rgb="FFCC6600"/>
      <rgbColor rgb="FF606060"/>
      <rgbColor rgb="FF999999"/>
      <rgbColor rgb="FF093C92"/>
      <rgbColor rgb="FF277E3E"/>
      <rgbColor rgb="FF003300"/>
      <rgbColor rgb="FF375623"/>
      <rgbColor rgb="FFC05200"/>
      <rgbColor rgb="FF595959"/>
      <rgbColor rgb="FF1F3864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Custo Mensal — SEM vs COM Helexia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Resumo!$Q$22</c:f>
              <c:strCache>
                <c:ptCount val="1"/>
                <c:pt idx="0">
                  <c:v>SEM Helexia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C0504D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Resumo!$Q$23:$Q$82</c:f>
              <c:numCache>
                <c:formatCode>"R$ "#,##0;"(R$ "#,##0\);\-</c:formatCode>
                <c:ptCount val="60"/>
                <c:pt idx="0">
                  <c:v>174954.21039943426</c:v>
                </c:pt>
                <c:pt idx="1">
                  <c:v>220226.75778172864</c:v>
                </c:pt>
                <c:pt idx="2">
                  <c:v>124872.64047395128</c:v>
                </c:pt>
                <c:pt idx="3">
                  <c:v>47721.486792951735</c:v>
                </c:pt>
                <c:pt idx="4">
                  <c:v>48546.433119252892</c:v>
                </c:pt>
                <c:pt idx="5">
                  <c:v>48386.832950596647</c:v>
                </c:pt>
                <c:pt idx="6">
                  <c:v>50008.847391920695</c:v>
                </c:pt>
                <c:pt idx="7">
                  <c:v>47574.253046454513</c:v>
                </c:pt>
                <c:pt idx="8">
                  <c:v>50426.883242767784</c:v>
                </c:pt>
                <c:pt idx="9">
                  <c:v>45168.521458761548</c:v>
                </c:pt>
                <c:pt idx="10">
                  <c:v>39380.616160618811</c:v>
                </c:pt>
                <c:pt idx="11">
                  <c:v>36641.224356696614</c:v>
                </c:pt>
                <c:pt idx="12">
                  <c:v>136929.14555975658</c:v>
                </c:pt>
                <c:pt idx="13">
                  <c:v>536959.77925641509</c:v>
                </c:pt>
                <c:pt idx="14">
                  <c:v>287060.79768437863</c:v>
                </c:pt>
                <c:pt idx="15">
                  <c:v>51849.39540054206</c:v>
                </c:pt>
                <c:pt idx="16">
                  <c:v>52745.699584068279</c:v>
                </c:pt>
                <c:pt idx="17">
                  <c:v>52572.294000823247</c:v>
                </c:pt>
                <c:pt idx="18">
                  <c:v>54334.612691321847</c:v>
                </c:pt>
                <c:pt idx="19">
                  <c:v>50428.708229241784</c:v>
                </c:pt>
                <c:pt idx="20">
                  <c:v>53452.496237333849</c:v>
                </c:pt>
                <c:pt idx="21">
                  <c:v>252928.81822978752</c:v>
                </c:pt>
                <c:pt idx="22">
                  <c:v>41743.453130255934</c:v>
                </c:pt>
                <c:pt idx="23">
                  <c:v>38839.697818098415</c:v>
                </c:pt>
                <c:pt idx="24">
                  <c:v>179001.98275406411</c:v>
                </c:pt>
                <c:pt idx="25">
                  <c:v>586080.82384243223</c:v>
                </c:pt>
                <c:pt idx="26">
                  <c:v>310950.82011324482</c:v>
                </c:pt>
                <c:pt idx="27">
                  <c:v>42199.331679363931</c:v>
                </c:pt>
                <c:pt idx="28">
                  <c:v>42199.331679363931</c:v>
                </c:pt>
                <c:pt idx="29">
                  <c:v>42199.331679363931</c:v>
                </c:pt>
                <c:pt idx="30">
                  <c:v>42199.331679363931</c:v>
                </c:pt>
                <c:pt idx="31">
                  <c:v>42199.331679363931</c:v>
                </c:pt>
                <c:pt idx="32">
                  <c:v>42199.331679363931</c:v>
                </c:pt>
                <c:pt idx="33">
                  <c:v>279870.81620569545</c:v>
                </c:pt>
                <c:pt idx="34">
                  <c:v>42199.331679363931</c:v>
                </c:pt>
                <c:pt idx="35">
                  <c:v>42199.331679363931</c:v>
                </c:pt>
                <c:pt idx="36">
                  <c:v>224172.85626753102</c:v>
                </c:pt>
                <c:pt idx="37">
                  <c:v>639858.27081543044</c:v>
                </c:pt>
                <c:pt idx="38">
                  <c:v>341077.31713086332</c:v>
                </c:pt>
                <c:pt idx="39">
                  <c:v>45849.573869628919</c:v>
                </c:pt>
                <c:pt idx="40">
                  <c:v>45849.573869628919</c:v>
                </c:pt>
                <c:pt idx="41">
                  <c:v>45849.573869628919</c:v>
                </c:pt>
                <c:pt idx="42">
                  <c:v>45849.573869628919</c:v>
                </c:pt>
                <c:pt idx="43">
                  <c:v>45849.573869628919</c:v>
                </c:pt>
                <c:pt idx="44">
                  <c:v>45849.573869628919</c:v>
                </c:pt>
                <c:pt idx="45">
                  <c:v>321769.92745844659</c:v>
                </c:pt>
                <c:pt idx="46">
                  <c:v>45849.573869628919</c:v>
                </c:pt>
                <c:pt idx="47">
                  <c:v>45849.573869628919</c:v>
                </c:pt>
                <c:pt idx="48">
                  <c:v>274874.90028959955</c:v>
                </c:pt>
                <c:pt idx="49">
                  <c:v>698456.02257896471</c:v>
                </c:pt>
                <c:pt idx="50">
                  <c:v>373986.39617446269</c:v>
                </c:pt>
                <c:pt idx="51">
                  <c:v>49815.562009351808</c:v>
                </c:pt>
                <c:pt idx="52">
                  <c:v>49815.562009351808</c:v>
                </c:pt>
                <c:pt idx="53">
                  <c:v>49815.562009351808</c:v>
                </c:pt>
                <c:pt idx="54">
                  <c:v>49815.562009351808</c:v>
                </c:pt>
                <c:pt idx="55">
                  <c:v>49815.562009351808</c:v>
                </c:pt>
                <c:pt idx="56">
                  <c:v>49815.562009351808</c:v>
                </c:pt>
                <c:pt idx="57">
                  <c:v>369826.92873563292</c:v>
                </c:pt>
                <c:pt idx="58">
                  <c:v>49815.562009351808</c:v>
                </c:pt>
                <c:pt idx="59">
                  <c:v>49815.562009351808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1D-334C-AEAE-6263AE276736}"/>
            </c:ext>
          </c:extLst>
        </c:ser>
        <c:ser>
          <c:idx val="1"/>
          <c:order val="1"/>
          <c:tx>
            <c:strRef>
              <c:f>Resumo!$R$22</c:f>
              <c:strCache>
                <c:ptCount val="1"/>
                <c:pt idx="0">
                  <c:v>PPA</c:v>
                </c:pt>
              </c:strCache>
            </c:strRef>
          </c:tx>
          <c:spPr>
            <a:solidFill>
              <a:srgbClr val="F79646"/>
            </a:solidFill>
            <a:ln w="0">
              <a:solidFill>
                <a:srgbClr val="F79646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Resumo!$R$23:$R$82</c:f>
              <c:numCache>
                <c:formatCode>"R$ "#,##0;"(R$ "#,##0\);\-</c:formatCode>
                <c:ptCount val="60"/>
                <c:pt idx="0">
                  <c:v>61449.444000000003</c:v>
                </c:pt>
                <c:pt idx="1">
                  <c:v>64680.756000000001</c:v>
                </c:pt>
                <c:pt idx="2">
                  <c:v>77645.652000000016</c:v>
                </c:pt>
                <c:pt idx="3">
                  <c:v>72858.156000000017</c:v>
                </c:pt>
                <c:pt idx="4">
                  <c:v>74875.248000000007</c:v>
                </c:pt>
                <c:pt idx="5">
                  <c:v>72397.248000000007</c:v>
                </c:pt>
                <c:pt idx="6">
                  <c:v>68744.676000000007</c:v>
                </c:pt>
                <c:pt idx="7">
                  <c:v>70585.483080000005</c:v>
                </c:pt>
                <c:pt idx="8">
                  <c:v>62897.711100000008</c:v>
                </c:pt>
                <c:pt idx="9">
                  <c:v>72143.748600000006</c:v>
                </c:pt>
                <c:pt idx="10">
                  <c:v>71985.949560000008</c:v>
                </c:pt>
                <c:pt idx="11">
                  <c:v>67370.327640000003</c:v>
                </c:pt>
                <c:pt idx="12">
                  <c:v>63893.595635099999</c:v>
                </c:pt>
                <c:pt idx="13">
                  <c:v>67253.433069899998</c:v>
                </c:pt>
                <c:pt idx="14">
                  <c:v>80734.007808300012</c:v>
                </c:pt>
                <c:pt idx="15">
                  <c:v>75756.089154900008</c:v>
                </c:pt>
                <c:pt idx="16">
                  <c:v>77853.410989199998</c:v>
                </c:pt>
                <c:pt idx="17">
                  <c:v>75276.8485392</c:v>
                </c:pt>
                <c:pt idx="18">
                  <c:v>71478.9954879</c:v>
                </c:pt>
                <c:pt idx="19">
                  <c:v>73761.829818600003</c:v>
                </c:pt>
                <c:pt idx="20">
                  <c:v>65728.108099500008</c:v>
                </c:pt>
                <c:pt idx="21">
                  <c:v>75390.217287000007</c:v>
                </c:pt>
                <c:pt idx="22">
                  <c:v>75225.317290200008</c:v>
                </c:pt>
                <c:pt idx="23">
                  <c:v>70401.992383799996</c:v>
                </c:pt>
                <c:pt idx="24">
                  <c:v>66434.963401486093</c:v>
                </c:pt>
                <c:pt idx="25">
                  <c:v>69928.438370255259</c:v>
                </c:pt>
                <c:pt idx="26">
                  <c:v>83945.202968875135</c:v>
                </c:pt>
                <c:pt idx="27">
                  <c:v>78769.287601036136</c:v>
                </c:pt>
                <c:pt idx="28">
                  <c:v>80950.030411295447</c:v>
                </c:pt>
                <c:pt idx="29">
                  <c:v>78270.985189846673</c:v>
                </c:pt>
                <c:pt idx="30">
                  <c:v>74322.072533431216</c:v>
                </c:pt>
                <c:pt idx="31">
                  <c:v>76695.706599634825</c:v>
                </c:pt>
                <c:pt idx="32">
                  <c:v>68342.443599157603</c:v>
                </c:pt>
                <c:pt idx="33">
                  <c:v>78388.863179590422</c:v>
                </c:pt>
                <c:pt idx="34">
                  <c:v>78217.40428541771</c:v>
                </c:pt>
                <c:pt idx="35">
                  <c:v>73202.231630865645</c:v>
                </c:pt>
                <c:pt idx="36">
                  <c:v>69077.414070780214</c:v>
                </c:pt>
                <c:pt idx="37">
                  <c:v>72709.842006432169</c:v>
                </c:pt>
                <c:pt idx="38">
                  <c:v>87284.123416962146</c:v>
                </c:pt>
                <c:pt idx="39">
                  <c:v>81902.336015367371</c:v>
                </c:pt>
                <c:pt idx="40">
                  <c:v>84169.817870904692</c:v>
                </c:pt>
                <c:pt idx="41">
                  <c:v>81384.213625772827</c:v>
                </c:pt>
                <c:pt idx="42">
                  <c:v>77278.232968448428</c:v>
                </c:pt>
                <c:pt idx="43">
                  <c:v>79746.278329635286</c:v>
                </c:pt>
                <c:pt idx="44">
                  <c:v>71060.764293314103</c:v>
                </c:pt>
                <c:pt idx="45">
                  <c:v>81506.780212558631</c:v>
                </c:pt>
                <c:pt idx="46">
                  <c:v>81328.501540870187</c:v>
                </c:pt>
                <c:pt idx="47">
                  <c:v>76113.850393983317</c:v>
                </c:pt>
                <c:pt idx="48">
                  <c:v>71824.968215445479</c:v>
                </c:pt>
                <c:pt idx="49">
                  <c:v>75601.875972237991</c:v>
                </c:pt>
                <c:pt idx="50">
                  <c:v>90755.849425871769</c:v>
                </c:pt>
                <c:pt idx="51">
                  <c:v>85160.001430378572</c:v>
                </c:pt>
                <c:pt idx="52">
                  <c:v>87517.672376719915</c:v>
                </c:pt>
                <c:pt idx="53">
                  <c:v>84621.270722737914</c:v>
                </c:pt>
                <c:pt idx="54">
                  <c:v>80351.974684768473</c:v>
                </c:pt>
                <c:pt idx="55">
                  <c:v>82918.186550196493</c:v>
                </c:pt>
                <c:pt idx="56">
                  <c:v>73887.206193080667</c:v>
                </c:pt>
                <c:pt idx="57">
                  <c:v>84748.712395513125</c:v>
                </c:pt>
                <c:pt idx="58">
                  <c:v>84563.342689658282</c:v>
                </c:pt>
                <c:pt idx="59">
                  <c:v>79141.278793403995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1D-334C-AEAE-6263AE276736}"/>
            </c:ext>
          </c:extLst>
        </c:ser>
        <c:ser>
          <c:idx val="2"/>
          <c:order val="2"/>
          <c:tx>
            <c:strRef>
              <c:f>Resumo!$S$22</c:f>
              <c:strCache>
                <c:ptCount val="1"/>
                <c:pt idx="0">
                  <c:v>Rede COM</c:v>
                </c:pt>
              </c:strCache>
            </c:strRef>
          </c:tx>
          <c:spPr>
            <a:solidFill>
              <a:srgbClr val="375623"/>
            </a:solidFill>
            <a:ln w="0">
              <a:solidFill>
                <a:srgbClr val="375623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Resumo!$S$23:$S$82</c:f>
              <c:numCache>
                <c:formatCode>"R$ "#,##0;"(R$ "#,##0\);\-</c:formatCode>
                <c:ptCount val="60"/>
                <c:pt idx="0">
                  <c:v>144748.07132023742</c:v>
                </c:pt>
                <c:pt idx="1">
                  <c:v>186553.13922011768</c:v>
                </c:pt>
                <c:pt idx="2">
                  <c:v>86971.897445358874</c:v>
                </c:pt>
                <c:pt idx="3">
                  <c:v>3013.308184290328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129586.67394395362</c:v>
                </c:pt>
                <c:pt idx="13">
                  <c:v>201204.55984387605</c:v>
                </c:pt>
                <c:pt idx="14">
                  <c:v>94150.865131322804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115571.70071754932</c:v>
                </c:pt>
                <c:pt idx="26">
                  <c:v>65692.672601762402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104.7742269801935</c:v>
                </c:pt>
                <c:pt idx="54">
                  <c:v>283.34427677139217</c:v>
                </c:pt>
                <c:pt idx="55">
                  <c:v>253.3235457170972</c:v>
                </c:pt>
                <c:pt idx="56">
                  <c:v>1518.1385638727413</c:v>
                </c:pt>
                <c:pt idx="57">
                  <c:v>328.23878562036668</c:v>
                </c:pt>
                <c:pt idx="58">
                  <c:v>332.90677428540749</c:v>
                </c:pt>
                <c:pt idx="59">
                  <c:v>711.88577845398595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1D-334C-AEAE-6263AE276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5"/>
        <c:axId val="54502098"/>
        <c:axId val="97792325"/>
      </c:barChart>
      <c:catAx>
        <c:axId val="545020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792325"/>
        <c:crosses val="autoZero"/>
        <c:auto val="1"/>
        <c:lblAlgn val="ctr"/>
        <c:lblOffset val="100"/>
        <c:noMultiLvlLbl val="0"/>
      </c:catAx>
      <c:valAx>
        <c:axId val="977923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4502098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 rot="0"/>
          <a:lstStyle/>
          <a:p>
            <a:pPr>
              <a:defRPr lang="fr-FR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Economia Liquida 
Acumulada ao Longo do Contrato (R$)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Eco acumulada</c:v>
          </c:tx>
          <c:spPr>
            <a:ln w="28440">
              <a:solidFill>
                <a:srgbClr val="375623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Resumo!$P$23:$P$82</c:f>
              <c:strCache>
                <c:ptCount val="60"/>
                <c:pt idx="0">
                  <c:v>Jun/26</c:v>
                </c:pt>
                <c:pt idx="1">
                  <c:v>Jul/26</c:v>
                </c:pt>
                <c:pt idx="2">
                  <c:v>Ago/26</c:v>
                </c:pt>
                <c:pt idx="3">
                  <c:v>Set/26</c:v>
                </c:pt>
                <c:pt idx="4">
                  <c:v>Out/26</c:v>
                </c:pt>
                <c:pt idx="5">
                  <c:v>Nov/26</c:v>
                </c:pt>
                <c:pt idx="6">
                  <c:v>Dez/26</c:v>
                </c:pt>
                <c:pt idx="7">
                  <c:v>Jan/27</c:v>
                </c:pt>
                <c:pt idx="8">
                  <c:v>Fev/27</c:v>
                </c:pt>
                <c:pt idx="9">
                  <c:v>Mar/27</c:v>
                </c:pt>
                <c:pt idx="10">
                  <c:v>Abr/27</c:v>
                </c:pt>
                <c:pt idx="11">
                  <c:v>Mai/27</c:v>
                </c:pt>
                <c:pt idx="12">
                  <c:v>Jun/27</c:v>
                </c:pt>
                <c:pt idx="13">
                  <c:v>Jul/27</c:v>
                </c:pt>
                <c:pt idx="14">
                  <c:v>Ago/27</c:v>
                </c:pt>
                <c:pt idx="15">
                  <c:v>Set/27</c:v>
                </c:pt>
                <c:pt idx="16">
                  <c:v>Out/27</c:v>
                </c:pt>
                <c:pt idx="17">
                  <c:v>Nov/27</c:v>
                </c:pt>
                <c:pt idx="18">
                  <c:v>Dez/27</c:v>
                </c:pt>
                <c:pt idx="19">
                  <c:v>Jan/28</c:v>
                </c:pt>
                <c:pt idx="20">
                  <c:v>Fev/28</c:v>
                </c:pt>
                <c:pt idx="21">
                  <c:v>Mar/28</c:v>
                </c:pt>
                <c:pt idx="22">
                  <c:v>Abr/28</c:v>
                </c:pt>
                <c:pt idx="23">
                  <c:v>Mai/28</c:v>
                </c:pt>
                <c:pt idx="24">
                  <c:v>Jun/28</c:v>
                </c:pt>
                <c:pt idx="25">
                  <c:v>Jul/28</c:v>
                </c:pt>
                <c:pt idx="26">
                  <c:v>Ago/28</c:v>
                </c:pt>
                <c:pt idx="27">
                  <c:v>Set/28</c:v>
                </c:pt>
                <c:pt idx="28">
                  <c:v>Out/28</c:v>
                </c:pt>
                <c:pt idx="29">
                  <c:v>Nov/28</c:v>
                </c:pt>
                <c:pt idx="30">
                  <c:v>Dez/28</c:v>
                </c:pt>
                <c:pt idx="31">
                  <c:v>Jan/29</c:v>
                </c:pt>
                <c:pt idx="32">
                  <c:v>Fev/29</c:v>
                </c:pt>
                <c:pt idx="33">
                  <c:v>Mar/29</c:v>
                </c:pt>
                <c:pt idx="34">
                  <c:v>Abr/29</c:v>
                </c:pt>
                <c:pt idx="35">
                  <c:v>Mai/29</c:v>
                </c:pt>
                <c:pt idx="36">
                  <c:v>Jun/29</c:v>
                </c:pt>
                <c:pt idx="37">
                  <c:v>Jul/29</c:v>
                </c:pt>
                <c:pt idx="38">
                  <c:v>Ago/29</c:v>
                </c:pt>
                <c:pt idx="39">
                  <c:v>Set/29</c:v>
                </c:pt>
                <c:pt idx="40">
                  <c:v>Out/29</c:v>
                </c:pt>
                <c:pt idx="41">
                  <c:v>Nov/29</c:v>
                </c:pt>
                <c:pt idx="42">
                  <c:v>Dez/29</c:v>
                </c:pt>
                <c:pt idx="43">
                  <c:v>Jan/30</c:v>
                </c:pt>
                <c:pt idx="44">
                  <c:v>Fev/30</c:v>
                </c:pt>
                <c:pt idx="45">
                  <c:v>Mar/30</c:v>
                </c:pt>
                <c:pt idx="46">
                  <c:v>Abr/30</c:v>
                </c:pt>
                <c:pt idx="47">
                  <c:v>Mai/30</c:v>
                </c:pt>
                <c:pt idx="48">
                  <c:v>Jun/30</c:v>
                </c:pt>
                <c:pt idx="49">
                  <c:v>Jul/30</c:v>
                </c:pt>
                <c:pt idx="50">
                  <c:v>Ago/30</c:v>
                </c:pt>
                <c:pt idx="51">
                  <c:v>Set/30</c:v>
                </c:pt>
                <c:pt idx="52">
                  <c:v>Out/30</c:v>
                </c:pt>
                <c:pt idx="53">
                  <c:v>Nov/30</c:v>
                </c:pt>
                <c:pt idx="54">
                  <c:v>Dez/30</c:v>
                </c:pt>
                <c:pt idx="55">
                  <c:v>Jan/31</c:v>
                </c:pt>
                <c:pt idx="56">
                  <c:v>Fev/31</c:v>
                </c:pt>
                <c:pt idx="57">
                  <c:v>Mar/31</c:v>
                </c:pt>
                <c:pt idx="58">
                  <c:v>Abr/31</c:v>
                </c:pt>
                <c:pt idx="59">
                  <c:v>Mai/31</c:v>
                </c:pt>
              </c:strCache>
            </c:strRef>
          </c:cat>
          <c:val>
            <c:numRef>
              <c:f>Resumo!$U$23:$U$82</c:f>
              <c:numCache>
                <c:formatCode>"R$ "#,##0;"(R$ "#,##0\);\-</c:formatCode>
                <c:ptCount val="60"/>
                <c:pt idx="0">
                  <c:v>-31243.304920803173</c:v>
                </c:pt>
                <c:pt idx="1">
                  <c:v>-62250.44235919221</c:v>
                </c:pt>
                <c:pt idx="2">
                  <c:v>-101995.35133059982</c:v>
                </c:pt>
                <c:pt idx="3">
                  <c:v>-130145.32872193844</c:v>
                </c:pt>
                <c:pt idx="4">
                  <c:v>-156474.14360268554</c:v>
                </c:pt>
                <c:pt idx="5">
                  <c:v>-180484.55865208889</c:v>
                </c:pt>
                <c:pt idx="6">
                  <c:v>-199220.38726016821</c:v>
                </c:pt>
                <c:pt idx="7">
                  <c:v>-222231.6172937137</c:v>
                </c:pt>
                <c:pt idx="8">
                  <c:v>-234702.44515094592</c:v>
                </c:pt>
                <c:pt idx="9">
                  <c:v>-261677.67229218438</c:v>
                </c:pt>
                <c:pt idx="10">
                  <c:v>-294283.00569156557</c:v>
                </c:pt>
                <c:pt idx="11">
                  <c:v>-325012.10897486896</c:v>
                </c:pt>
                <c:pt idx="12">
                  <c:v>-381563.23299416597</c:v>
                </c:pt>
                <c:pt idx="13">
                  <c:v>-113061.44665152696</c:v>
                </c:pt>
                <c:pt idx="14">
                  <c:v>-885.52190677114413</c:v>
                </c:pt>
                <c:pt idx="15">
                  <c:v>-24792.215661129092</c:v>
                </c:pt>
                <c:pt idx="16">
                  <c:v>-49899.927066260811</c:v>
                </c:pt>
                <c:pt idx="17">
                  <c:v>-72604.481604637564</c:v>
                </c:pt>
                <c:pt idx="18">
                  <c:v>-89748.864401215716</c:v>
                </c:pt>
                <c:pt idx="19">
                  <c:v>-113081.98599057394</c:v>
                </c:pt>
                <c:pt idx="20">
                  <c:v>-125357.5978527401</c:v>
                </c:pt>
                <c:pt idx="21">
                  <c:v>52181.003090047408</c:v>
                </c:pt>
                <c:pt idx="22">
                  <c:v>18699.138930103334</c:v>
                </c:pt>
                <c:pt idx="23">
                  <c:v>-12863.155635598247</c:v>
                </c:pt>
                <c:pt idx="24">
                  <c:v>99703.863716979773</c:v>
                </c:pt>
                <c:pt idx="25">
                  <c:v>500284.54847160738</c:v>
                </c:pt>
                <c:pt idx="26">
                  <c:v>661597.49301421468</c:v>
                </c:pt>
                <c:pt idx="27">
                  <c:v>625027.53709254251</c:v>
                </c:pt>
                <c:pt idx="28">
                  <c:v>586276.838360611</c:v>
                </c:pt>
                <c:pt idx="29">
                  <c:v>550205.18485012825</c:v>
                </c:pt>
                <c:pt idx="30">
                  <c:v>518082.44399606099</c:v>
                </c:pt>
                <c:pt idx="31">
                  <c:v>483586.06907579012</c:v>
                </c:pt>
                <c:pt idx="32">
                  <c:v>457442.95715599647</c:v>
                </c:pt>
                <c:pt idx="33">
                  <c:v>658924.91018210142</c:v>
                </c:pt>
                <c:pt idx="34">
                  <c:v>622906.83757604763</c:v>
                </c:pt>
                <c:pt idx="35">
                  <c:v>591903.93762454588</c:v>
                </c:pt>
                <c:pt idx="36">
                  <c:v>746999.37982129666</c:v>
                </c:pt>
                <c:pt idx="37">
                  <c:v>1314147.8086302951</c:v>
                </c:pt>
                <c:pt idx="38">
                  <c:v>1567941.0023441962</c:v>
                </c:pt>
                <c:pt idx="39">
                  <c:v>1531888.2401984578</c:v>
                </c:pt>
                <c:pt idx="40">
                  <c:v>1493567.996197182</c:v>
                </c:pt>
                <c:pt idx="41">
                  <c:v>1458033.3564410382</c:v>
                </c:pt>
                <c:pt idx="42">
                  <c:v>1426604.6973422186</c:v>
                </c:pt>
                <c:pt idx="43">
                  <c:v>1392707.9928822122</c:v>
                </c:pt>
                <c:pt idx="44">
                  <c:v>1367496.802458527</c:v>
                </c:pt>
                <c:pt idx="45">
                  <c:v>1607759.9497044149</c:v>
                </c:pt>
                <c:pt idx="46">
                  <c:v>1572281.0220331736</c:v>
                </c:pt>
                <c:pt idx="47">
                  <c:v>1542016.7455088191</c:v>
                </c:pt>
                <c:pt idx="48">
                  <c:v>1745066.6775829731</c:v>
                </c:pt>
                <c:pt idx="49">
                  <c:v>2367920.8241896997</c:v>
                </c:pt>
                <c:pt idx="50">
                  <c:v>2651151.3709382908</c:v>
                </c:pt>
                <c:pt idx="51">
                  <c:v>2615806.9315172639</c:v>
                </c:pt>
                <c:pt idx="52">
                  <c:v>2578104.8211498959</c:v>
                </c:pt>
                <c:pt idx="53">
                  <c:v>2543194.3382095294</c:v>
                </c:pt>
                <c:pt idx="54">
                  <c:v>2512374.5812573414</c:v>
                </c:pt>
                <c:pt idx="55">
                  <c:v>2479018.6331707798</c:v>
                </c:pt>
                <c:pt idx="56">
                  <c:v>2453428.8504231782</c:v>
                </c:pt>
                <c:pt idx="57">
                  <c:v>2738178.8279776778</c:v>
                </c:pt>
                <c:pt idx="58">
                  <c:v>2703098.1405230858</c:v>
                </c:pt>
                <c:pt idx="59">
                  <c:v>2673060.5379605796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FD-DA44-85BC-2F4110CA7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  <a:prstDash val="solid"/>
            </a:ln>
          </c:spPr>
        </c:hiLowLines>
        <c:smooth val="0"/>
        <c:axId val="99160007"/>
        <c:axId val="37690857"/>
      </c:lineChart>
      <c:catAx>
        <c:axId val="9916000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7690857"/>
        <c:crosses val="autoZero"/>
        <c:auto val="1"/>
        <c:lblAlgn val="ctr"/>
        <c:lblOffset val="100"/>
        <c:noMultiLvlLbl val="0"/>
      </c:catAx>
      <c:valAx>
        <c:axId val="376908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numFmt formatCode="&quot;R$ &quot;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9160007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102960</xdr:colOff>
      <xdr:row>21</xdr:row>
      <xdr:rowOff>0</xdr:rowOff>
    </xdr:from>
    <xdr:to>
      <xdr:col>6</xdr:col>
      <xdr:colOff>943560</xdr:colOff>
      <xdr:row>43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13</xdr:col>
      <xdr:colOff>306720</xdr:colOff>
      <xdr:row>43</xdr:row>
      <xdr:rowOff>64800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3/06%20-%20PVsyst%3Fcsf=1&amp;web=1&amp;e=GTd49e" TargetMode="External"/><Relationship Id="rId2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2/06%20-%20PVsyst%3Fcsf=1&amp;web=1&amp;e=3edxoh" TargetMode="External"/><Relationship Id="rId1" Type="http://schemas.openxmlformats.org/officeDocument/2006/relationships/hyperlink" Target="../../C:/Users/C:/Users/C:/Users/C:/:f:/r/teams/bu-hlxbr-helexia_brazil/Documents%20partages/H-BRL-General/6-PROJECTS/_Engenharia%20Executiva/02%20-%20PROJETOS/MS%20-%20ENERGISA/CASSILANDIA%201/06%20-%20PVsyst%3Fcsf=1&amp;web=1&amp;e=eUXVB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U126"/>
  <sheetViews>
    <sheetView showGridLines="0" tabSelected="1" topLeftCell="A18" zoomScale="87" zoomScaleNormal="87" workbookViewId="0">
      <selection activeCell="F5" sqref="F5:G5"/>
    </sheetView>
  </sheetViews>
  <sheetFormatPr baseColWidth="10" defaultColWidth="8.6640625" defaultRowHeight="15" x14ac:dyDescent="0.2"/>
  <cols>
    <col min="1" max="1" width="1.5" customWidth="1"/>
    <col min="2" max="2" width="45" customWidth="1"/>
    <col min="3" max="8" width="18" customWidth="1"/>
    <col min="9" max="9" width="22.5" customWidth="1"/>
    <col min="10" max="12" width="14" customWidth="1"/>
    <col min="20" max="20" width="10" customWidth="1"/>
    <col min="21" max="21" width="12.5" customWidth="1"/>
  </cols>
  <sheetData>
    <row r="1" spans="2:12" ht="31.5" customHeight="1" x14ac:dyDescent="0.2">
      <c r="B1" s="313" t="str">
        <f>"SIMULAÇÃO RATEIO FIXO — "&amp;Premissas!$B$13&amp;" × COPASUL | Resumo Executivo"</f>
        <v>SIMULAÇÃO RATEIO FIXO — Cassilândia 03 × COPASUL | Resumo Executivo</v>
      </c>
      <c r="C1" s="289"/>
      <c r="D1" s="289"/>
      <c r="E1" s="289"/>
      <c r="F1" s="289"/>
      <c r="G1" s="289"/>
      <c r="H1" s="289"/>
      <c r="I1" s="289"/>
      <c r="J1" s="289"/>
      <c r="K1" s="289"/>
      <c r="L1" s="289"/>
    </row>
    <row r="2" spans="2:12" ht="13.5" customHeight="1" x14ac:dyDescent="0.2">
      <c r="B2" s="309" t="str">
        <f>"18 Unidades Consumidoras  ·  Jun/2026–Mai/2031  ·  Energisa MS  ·  Usina: "&amp;Premissas!$B$13</f>
        <v>18 Unidades Consumidoras  ·  Jun/2026–Mai/2031  ·  Energisa MS  ·  Usina: Cassilândia 03</v>
      </c>
      <c r="C2" s="289"/>
      <c r="D2" s="289"/>
      <c r="E2" s="289"/>
      <c r="F2" s="289"/>
      <c r="G2" s="289"/>
      <c r="H2" s="289"/>
      <c r="I2" s="289"/>
      <c r="J2" s="289"/>
      <c r="K2" s="289"/>
      <c r="L2" s="289"/>
    </row>
    <row r="3" spans="2:12" ht="7.5" customHeight="1" x14ac:dyDescent="0.2"/>
    <row r="4" spans="2:12" ht="15.75" customHeight="1" x14ac:dyDescent="0.2">
      <c r="B4" s="290" t="s">
        <v>0</v>
      </c>
      <c r="C4" s="289"/>
      <c r="D4" s="316" t="s">
        <v>1</v>
      </c>
      <c r="E4" s="289"/>
      <c r="F4" s="290" t="s">
        <v>2</v>
      </c>
      <c r="G4" s="289"/>
      <c r="H4" s="302" t="s">
        <v>3</v>
      </c>
      <c r="I4" s="289"/>
      <c r="J4" s="314" t="s">
        <v>4</v>
      </c>
      <c r="K4" s="289"/>
    </row>
    <row r="5" spans="2:12" ht="30" customHeight="1" x14ac:dyDescent="0.2">
      <c r="B5" s="320">
        <f>Simulacao!B6/1000000</f>
        <v>8.3804424025335251</v>
      </c>
      <c r="C5" s="289"/>
      <c r="D5" s="322">
        <f>Simulacao!B7</f>
        <v>4542510.3695095358</v>
      </c>
      <c r="E5" s="289"/>
      <c r="F5" s="308">
        <f>Simulacao!B252</f>
        <v>2673060.5379605796</v>
      </c>
      <c r="G5" s="289"/>
      <c r="H5" s="323">
        <f>Simulacao!B273*Premissas!$B$17</f>
        <v>460824.20259236067</v>
      </c>
      <c r="I5" s="289"/>
      <c r="J5" s="294">
        <f>Simulacao!B278</f>
        <v>3247039.2280269391</v>
      </c>
      <c r="K5" s="289"/>
    </row>
    <row r="6" spans="2:12" ht="12.75" customHeight="1" x14ac:dyDescent="0.2">
      <c r="B6" s="301" t="s">
        <v>5</v>
      </c>
      <c r="C6" s="289"/>
      <c r="D6" s="304" t="s">
        <v>6</v>
      </c>
      <c r="E6" s="289"/>
      <c r="F6" s="301" t="s">
        <v>7</v>
      </c>
      <c r="G6" s="289"/>
      <c r="H6" s="305" t="s">
        <v>8</v>
      </c>
      <c r="I6" s="289"/>
      <c r="J6" s="307" t="s">
        <v>9</v>
      </c>
      <c r="K6" s="289"/>
    </row>
    <row r="7" spans="2:12" ht="9.75" customHeight="1" x14ac:dyDescent="0.2"/>
    <row r="8" spans="2:12" ht="15.75" customHeight="1" x14ac:dyDescent="0.2">
      <c r="B8" s="298" t="s">
        <v>10</v>
      </c>
      <c r="C8" s="289"/>
      <c r="D8" s="289"/>
      <c r="E8" s="289"/>
      <c r="F8" s="289"/>
      <c r="G8" s="289"/>
      <c r="I8" s="295" t="s">
        <v>11</v>
      </c>
      <c r="J8" s="289"/>
      <c r="K8" s="289"/>
      <c r="L8" s="289"/>
    </row>
    <row r="9" spans="2:12" ht="13.5" customHeight="1" x14ac:dyDescent="0.2">
      <c r="B9" s="310" t="s">
        <v>12</v>
      </c>
      <c r="C9" s="289"/>
      <c r="D9" s="289"/>
      <c r="E9" s="5" t="s">
        <v>13</v>
      </c>
      <c r="F9" s="5" t="s">
        <v>14</v>
      </c>
      <c r="G9" s="5" t="s">
        <v>15</v>
      </c>
      <c r="I9" s="296" t="s">
        <v>16</v>
      </c>
      <c r="J9" s="289"/>
      <c r="K9" s="300" t="str">
        <f>Premissas!$B$13</f>
        <v>Cassilândia 03</v>
      </c>
      <c r="L9" s="289"/>
    </row>
    <row r="10" spans="2:12" ht="13.5" customHeight="1" x14ac:dyDescent="0.2">
      <c r="B10" s="303" t="s">
        <v>17</v>
      </c>
      <c r="C10" s="289"/>
      <c r="D10" s="289"/>
      <c r="E10" s="6">
        <f>Simulacao!B249</f>
        <v>8246596.4078302868</v>
      </c>
      <c r="F10" s="7">
        <f>Simulacao!B249/Simulacao!B249</f>
        <v>1</v>
      </c>
      <c r="G10" s="8">
        <f>(Simulacao!B249)/60</f>
        <v>137443.27346383812</v>
      </c>
      <c r="I10" s="312" t="s">
        <v>18</v>
      </c>
      <c r="J10" s="289"/>
      <c r="K10" s="321" t="s">
        <v>19</v>
      </c>
      <c r="L10" s="289"/>
    </row>
    <row r="11" spans="2:12" ht="13.5" customHeight="1" x14ac:dyDescent="0.2">
      <c r="B11" s="291" t="s">
        <v>20</v>
      </c>
      <c r="C11" s="289"/>
      <c r="D11" s="289"/>
      <c r="E11" s="10">
        <f>Simulacao!B250</f>
        <v>1031025.5003601694</v>
      </c>
      <c r="F11" s="11">
        <f>Simulacao!B250/Simulacao!B249</f>
        <v>0.12502436755376956</v>
      </c>
      <c r="G11" s="12">
        <f>(Simulacao!B250)/60</f>
        <v>17183.758339336156</v>
      </c>
      <c r="I11" s="296" t="s">
        <v>21</v>
      </c>
      <c r="J11" s="289"/>
      <c r="K11" s="300" t="str">
        <f>VLOOKUP(Premissas!$B$13,PVSYST_Helexia!$B$5:$F$7,5,0)&amp;" kWac"</f>
        <v>625 kWac</v>
      </c>
      <c r="L11" s="289"/>
    </row>
    <row r="12" spans="2:12" ht="13.5" customHeight="1" x14ac:dyDescent="0.2">
      <c r="B12" s="291" t="s">
        <v>22</v>
      </c>
      <c r="C12" s="289"/>
      <c r="D12" s="289"/>
      <c r="E12" s="10">
        <f>Simulacao!B7</f>
        <v>4542510.3695095358</v>
      </c>
      <c r="F12" s="11">
        <f>Simulacao!B7/Simulacao!B249</f>
        <v>0.5508345679675003</v>
      </c>
      <c r="G12" s="12">
        <f>(Simulacao!B7)/60</f>
        <v>75708.506158492266</v>
      </c>
      <c r="I12" s="312" t="s">
        <v>23</v>
      </c>
      <c r="J12" s="289"/>
      <c r="K12" s="315">
        <f>Simulacao!B6/1000</f>
        <v>8380.4424025335247</v>
      </c>
      <c r="L12" s="289"/>
    </row>
    <row r="13" spans="2:12" ht="13.5" customHeight="1" x14ac:dyDescent="0.2">
      <c r="B13" s="299" t="s">
        <v>24</v>
      </c>
      <c r="C13" s="293"/>
      <c r="D13" s="293"/>
      <c r="E13" s="13">
        <f>Simulacao!B251</f>
        <v>5573535.8698697044</v>
      </c>
      <c r="F13" s="14">
        <f>Simulacao!B251/Simulacao!B249</f>
        <v>0.67585893552126974</v>
      </c>
      <c r="G13" s="15">
        <f>(Simulacao!B251)/60</f>
        <v>92892.264497828408</v>
      </c>
      <c r="I13" s="296" t="s">
        <v>25</v>
      </c>
      <c r="J13" s="289"/>
      <c r="K13" s="297">
        <f>Premissas!$B$17</f>
        <v>0.4425</v>
      </c>
      <c r="L13" s="289"/>
    </row>
    <row r="14" spans="2:12" ht="13.5" customHeight="1" x14ac:dyDescent="0.2">
      <c r="B14" s="292" t="s">
        <v>26</v>
      </c>
      <c r="C14" s="293"/>
      <c r="D14" s="293"/>
      <c r="E14" s="16">
        <f>Simulacao!B252</f>
        <v>2673060.5379605796</v>
      </c>
      <c r="F14" s="17">
        <f>Simulacao!B252/Simulacao!B249</f>
        <v>0.32414106447872992</v>
      </c>
      <c r="G14" s="18">
        <f>(Simulacao!B252)/60</f>
        <v>44551.008966009664</v>
      </c>
      <c r="I14" s="312" t="s">
        <v>27</v>
      </c>
      <c r="J14" s="289"/>
      <c r="K14" s="318">
        <f>Premissas!$B$5</f>
        <v>0.52647111134532698</v>
      </c>
      <c r="L14" s="289"/>
    </row>
    <row r="15" spans="2:12" ht="13.5" customHeight="1" x14ac:dyDescent="0.2">
      <c r="B15" s="311" t="s">
        <v>28</v>
      </c>
      <c r="C15" s="289"/>
      <c r="D15" s="289"/>
      <c r="E15" s="19">
        <f>Simulacao!B285</f>
        <v>573978.69006635947</v>
      </c>
      <c r="F15" s="20">
        <f>IFERROR(Simulacao!B285/Simulacao!B249,0)</f>
        <v>6.9601889274144263E-2</v>
      </c>
      <c r="G15" s="21">
        <f>Simulacao!B285/60</f>
        <v>9566.3115011059908</v>
      </c>
      <c r="I15" s="296" t="s">
        <v>29</v>
      </c>
      <c r="J15" s="289"/>
      <c r="K15" s="297">
        <f>Premissas!$B$7</f>
        <v>1.15686364923884</v>
      </c>
      <c r="L15" s="289"/>
    </row>
    <row r="16" spans="2:12" ht="13.5" customHeight="1" x14ac:dyDescent="0.2">
      <c r="B16" s="292" t="s">
        <v>30</v>
      </c>
      <c r="C16" s="293"/>
      <c r="D16" s="293"/>
      <c r="E16" s="16">
        <f>Simulacao!B278</f>
        <v>3247039.2280269391</v>
      </c>
      <c r="F16" s="17">
        <f>Simulacao!B278/Simulacao!B249</f>
        <v>0.39374295375287421</v>
      </c>
      <c r="G16" s="18">
        <f>(Simulacao!B278)/60</f>
        <v>54117.320467115649</v>
      </c>
      <c r="I16" s="306" t="s">
        <v>31</v>
      </c>
      <c r="J16" s="289"/>
      <c r="K16" s="288">
        <f>Simulacao!B252/60</f>
        <v>44551.008966009664</v>
      </c>
      <c r="L16" s="289"/>
    </row>
    <row r="17" spans="2:21" ht="13.5" customHeight="1" x14ac:dyDescent="0.2">
      <c r="I17" s="306" t="s">
        <v>32</v>
      </c>
      <c r="J17" s="289"/>
      <c r="K17" s="319">
        <f>IFERROR(Simulacao!B252/Simulacao!B249,0)</f>
        <v>0.32414106447872992</v>
      </c>
      <c r="L17" s="289"/>
    </row>
    <row r="18" spans="2:21" ht="13.5" customHeight="1" x14ac:dyDescent="0.2">
      <c r="I18" s="312" t="s">
        <v>33</v>
      </c>
      <c r="J18" s="289"/>
      <c r="K18" s="324">
        <f>Simulacao!B273</f>
        <v>1041410.6273273687</v>
      </c>
      <c r="L18" s="289"/>
    </row>
    <row r="19" spans="2:21" ht="9.75" customHeight="1" x14ac:dyDescent="0.2"/>
    <row r="20" spans="2:21" ht="15.75" customHeight="1" x14ac:dyDescent="0.2">
      <c r="B20" s="298" t="s">
        <v>34</v>
      </c>
      <c r="C20" s="289"/>
      <c r="D20" s="289"/>
      <c r="E20" s="289"/>
      <c r="F20" s="289"/>
      <c r="G20" s="289"/>
      <c r="H20" s="289"/>
      <c r="I20" s="289"/>
      <c r="J20" s="289"/>
      <c r="K20" s="289"/>
      <c r="L20" s="289"/>
    </row>
    <row r="21" spans="2:21" ht="3.75" customHeight="1" x14ac:dyDescent="0.2"/>
    <row r="22" spans="2:21" ht="12" customHeight="1" x14ac:dyDescent="0.2">
      <c r="P22" s="25" t="s">
        <v>35</v>
      </c>
      <c r="Q22" s="25" t="s">
        <v>36</v>
      </c>
      <c r="R22" s="25" t="s">
        <v>37</v>
      </c>
      <c r="S22" s="25" t="s">
        <v>38</v>
      </c>
      <c r="T22" s="25" t="s">
        <v>39</v>
      </c>
      <c r="U22" s="25" t="s">
        <v>40</v>
      </c>
    </row>
    <row r="23" spans="2:21" ht="12" customHeight="1" x14ac:dyDescent="0.2">
      <c r="P23" s="26" t="s">
        <v>41</v>
      </c>
      <c r="Q23" s="27">
        <f>Simulacao!D249</f>
        <v>174954.21039943426</v>
      </c>
      <c r="R23" s="27">
        <f>Simulacao!D7</f>
        <v>61449.444000000003</v>
      </c>
      <c r="S23" s="27">
        <f>Simulacao!D250</f>
        <v>144748.07132023742</v>
      </c>
      <c r="T23" s="27">
        <f>Simulacao!D252</f>
        <v>-31243.304920803173</v>
      </c>
      <c r="U23" s="27">
        <f>T23</f>
        <v>-31243.304920803173</v>
      </c>
    </row>
    <row r="24" spans="2:21" ht="12" customHeight="1" x14ac:dyDescent="0.2">
      <c r="P24" s="26" t="s">
        <v>42</v>
      </c>
      <c r="Q24" s="27">
        <f>Simulacao!E249</f>
        <v>220226.75778172864</v>
      </c>
      <c r="R24" s="27">
        <f>Simulacao!E7</f>
        <v>64680.756000000001</v>
      </c>
      <c r="S24" s="27">
        <f>Simulacao!E250</f>
        <v>186553.13922011768</v>
      </c>
      <c r="T24" s="27">
        <f>Simulacao!E252</f>
        <v>-31007.137438389036</v>
      </c>
      <c r="U24" s="27">
        <f t="shared" ref="U24:U55" si="0">U23+T24</f>
        <v>-62250.44235919221</v>
      </c>
    </row>
    <row r="25" spans="2:21" ht="12" customHeight="1" x14ac:dyDescent="0.2">
      <c r="P25" s="26" t="s">
        <v>43</v>
      </c>
      <c r="Q25" s="27">
        <f>Simulacao!F249</f>
        <v>124872.64047395128</v>
      </c>
      <c r="R25" s="27">
        <f>Simulacao!F7</f>
        <v>77645.652000000016</v>
      </c>
      <c r="S25" s="27">
        <f>Simulacao!F250</f>
        <v>86971.897445358874</v>
      </c>
      <c r="T25" s="27">
        <f>Simulacao!F252</f>
        <v>-39744.908971407611</v>
      </c>
      <c r="U25" s="27">
        <f t="shared" si="0"/>
        <v>-101995.35133059982</v>
      </c>
    </row>
    <row r="26" spans="2:21" ht="12" customHeight="1" x14ac:dyDescent="0.2">
      <c r="P26" s="26" t="s">
        <v>44</v>
      </c>
      <c r="Q26" s="27">
        <f>Simulacao!G249</f>
        <v>47721.486792951735</v>
      </c>
      <c r="R26" s="27">
        <f>Simulacao!G7</f>
        <v>72858.156000000017</v>
      </c>
      <c r="S26" s="27">
        <f>Simulacao!G250</f>
        <v>3013.308184290328</v>
      </c>
      <c r="T26" s="27">
        <f>Simulacao!G252</f>
        <v>-28149.977391338616</v>
      </c>
      <c r="U26" s="27">
        <f t="shared" si="0"/>
        <v>-130145.32872193844</v>
      </c>
    </row>
    <row r="27" spans="2:21" ht="12" customHeight="1" x14ac:dyDescent="0.2">
      <c r="P27" s="26" t="s">
        <v>45</v>
      </c>
      <c r="Q27" s="27">
        <f>Simulacao!H249</f>
        <v>48546.433119252892</v>
      </c>
      <c r="R27" s="27">
        <f>Simulacao!H7</f>
        <v>74875.248000000007</v>
      </c>
      <c r="S27" s="27">
        <f>Simulacao!H250</f>
        <v>0</v>
      </c>
      <c r="T27" s="27">
        <f>Simulacao!H252</f>
        <v>-26328.814880747115</v>
      </c>
      <c r="U27" s="27">
        <f t="shared" si="0"/>
        <v>-156474.14360268554</v>
      </c>
    </row>
    <row r="28" spans="2:21" ht="12" customHeight="1" x14ac:dyDescent="0.2">
      <c r="P28" s="26" t="s">
        <v>46</v>
      </c>
      <c r="Q28" s="27">
        <f>Simulacao!I249</f>
        <v>48386.832950596647</v>
      </c>
      <c r="R28" s="27">
        <f>Simulacao!I7</f>
        <v>72397.248000000007</v>
      </c>
      <c r="S28" s="27">
        <f>Simulacao!I250</f>
        <v>0</v>
      </c>
      <c r="T28" s="27">
        <f>Simulacao!I252</f>
        <v>-24010.41504940336</v>
      </c>
      <c r="U28" s="27">
        <f t="shared" si="0"/>
        <v>-180484.55865208889</v>
      </c>
    </row>
    <row r="29" spans="2:21" ht="12" customHeight="1" x14ac:dyDescent="0.2">
      <c r="P29" s="26" t="s">
        <v>47</v>
      </c>
      <c r="Q29" s="27">
        <f>Simulacao!J249</f>
        <v>50008.847391920695</v>
      </c>
      <c r="R29" s="27">
        <f>Simulacao!J7</f>
        <v>68744.676000000007</v>
      </c>
      <c r="S29" s="27">
        <f>Simulacao!J250</f>
        <v>0</v>
      </c>
      <c r="T29" s="27">
        <f>Simulacao!J252</f>
        <v>-18735.828608079311</v>
      </c>
      <c r="U29" s="27">
        <f t="shared" si="0"/>
        <v>-199220.38726016821</v>
      </c>
    </row>
    <row r="30" spans="2:21" ht="12" customHeight="1" x14ac:dyDescent="0.2">
      <c r="P30" s="26" t="s">
        <v>48</v>
      </c>
      <c r="Q30" s="27">
        <f>Simulacao!K249</f>
        <v>47574.253046454513</v>
      </c>
      <c r="R30" s="27">
        <f>Simulacao!K7</f>
        <v>70585.483080000005</v>
      </c>
      <c r="S30" s="27">
        <f>Simulacao!K250</f>
        <v>0</v>
      </c>
      <c r="T30" s="27">
        <f>Simulacao!K252</f>
        <v>-23011.230033545493</v>
      </c>
      <c r="U30" s="27">
        <f t="shared" si="0"/>
        <v>-222231.6172937137</v>
      </c>
    </row>
    <row r="31" spans="2:21" ht="12" customHeight="1" x14ac:dyDescent="0.2">
      <c r="P31" s="26" t="s">
        <v>49</v>
      </c>
      <c r="Q31" s="27">
        <f>Simulacao!L249</f>
        <v>50426.883242767784</v>
      </c>
      <c r="R31" s="27">
        <f>Simulacao!L7</f>
        <v>62897.711100000008</v>
      </c>
      <c r="S31" s="27">
        <f>Simulacao!L250</f>
        <v>0</v>
      </c>
      <c r="T31" s="27">
        <f>Simulacao!L252</f>
        <v>-12470.827857232223</v>
      </c>
      <c r="U31" s="27">
        <f t="shared" si="0"/>
        <v>-234702.44515094592</v>
      </c>
    </row>
    <row r="32" spans="2:21" ht="12" customHeight="1" x14ac:dyDescent="0.2">
      <c r="P32" s="26" t="s">
        <v>50</v>
      </c>
      <c r="Q32" s="27">
        <f>Simulacao!M249</f>
        <v>45168.521458761548</v>
      </c>
      <c r="R32" s="27">
        <f>Simulacao!M7</f>
        <v>72143.748600000006</v>
      </c>
      <c r="S32" s="27">
        <f>Simulacao!M250</f>
        <v>0</v>
      </c>
      <c r="T32" s="27">
        <f>Simulacao!M252</f>
        <v>-26975.227141238458</v>
      </c>
      <c r="U32" s="27">
        <f t="shared" si="0"/>
        <v>-261677.67229218438</v>
      </c>
    </row>
    <row r="33" spans="2:21" ht="12" customHeight="1" x14ac:dyDescent="0.2">
      <c r="P33" s="26" t="s">
        <v>51</v>
      </c>
      <c r="Q33" s="27">
        <f>Simulacao!N249</f>
        <v>39380.616160618811</v>
      </c>
      <c r="R33" s="27">
        <f>Simulacao!N7</f>
        <v>71985.949560000008</v>
      </c>
      <c r="S33" s="27">
        <f>Simulacao!N250</f>
        <v>0</v>
      </c>
      <c r="T33" s="27">
        <f>Simulacao!N252</f>
        <v>-32605.333399381198</v>
      </c>
      <c r="U33" s="27">
        <f t="shared" si="0"/>
        <v>-294283.00569156557</v>
      </c>
    </row>
    <row r="34" spans="2:21" ht="12" customHeight="1" x14ac:dyDescent="0.2">
      <c r="P34" s="26" t="s">
        <v>52</v>
      </c>
      <c r="Q34" s="27">
        <f>Simulacao!O249</f>
        <v>36641.224356696614</v>
      </c>
      <c r="R34" s="27">
        <f>Simulacao!O7</f>
        <v>67370.327640000003</v>
      </c>
      <c r="S34" s="27">
        <f>Simulacao!O250</f>
        <v>0</v>
      </c>
      <c r="T34" s="27">
        <f>Simulacao!O252</f>
        <v>-30729.10328330339</v>
      </c>
      <c r="U34" s="27">
        <f t="shared" si="0"/>
        <v>-325012.10897486896</v>
      </c>
    </row>
    <row r="35" spans="2:21" ht="12" customHeight="1" x14ac:dyDescent="0.2">
      <c r="P35" s="26" t="s">
        <v>53</v>
      </c>
      <c r="Q35" s="27">
        <f>Simulacao!P249</f>
        <v>136929.14555975658</v>
      </c>
      <c r="R35" s="27">
        <f>Simulacao!P7</f>
        <v>63893.595635099999</v>
      </c>
      <c r="S35" s="27">
        <f>Simulacao!P250</f>
        <v>129586.67394395362</v>
      </c>
      <c r="T35" s="27">
        <f>Simulacao!P252</f>
        <v>-56551.124019297044</v>
      </c>
      <c r="U35" s="27">
        <f t="shared" si="0"/>
        <v>-381563.23299416597</v>
      </c>
    </row>
    <row r="36" spans="2:21" ht="12" customHeight="1" x14ac:dyDescent="0.2">
      <c r="P36" s="26" t="s">
        <v>54</v>
      </c>
      <c r="Q36" s="27">
        <f>Simulacao!Q249</f>
        <v>536959.77925641509</v>
      </c>
      <c r="R36" s="27">
        <f>Simulacao!Q7</f>
        <v>67253.433069899998</v>
      </c>
      <c r="S36" s="27">
        <f>Simulacao!Q250</f>
        <v>201204.55984387605</v>
      </c>
      <c r="T36" s="27">
        <f>Simulacao!Q252</f>
        <v>268501.78634263901</v>
      </c>
      <c r="U36" s="27">
        <f t="shared" si="0"/>
        <v>-113061.44665152696</v>
      </c>
    </row>
    <row r="37" spans="2:21" ht="12" customHeight="1" x14ac:dyDescent="0.2">
      <c r="P37" s="26" t="s">
        <v>55</v>
      </c>
      <c r="Q37" s="27">
        <f>Simulacao!R249</f>
        <v>287060.79768437863</v>
      </c>
      <c r="R37" s="27">
        <f>Simulacao!R7</f>
        <v>80734.007808300012</v>
      </c>
      <c r="S37" s="27">
        <f>Simulacao!R250</f>
        <v>94150.865131322804</v>
      </c>
      <c r="T37" s="27">
        <f>Simulacao!R252</f>
        <v>112175.92474475582</v>
      </c>
      <c r="U37" s="27">
        <f t="shared" si="0"/>
        <v>-885.52190677114413</v>
      </c>
    </row>
    <row r="38" spans="2:21" ht="12" customHeight="1" x14ac:dyDescent="0.2">
      <c r="P38" s="26" t="s">
        <v>56</v>
      </c>
      <c r="Q38" s="27">
        <f>Simulacao!S249</f>
        <v>51849.39540054206</v>
      </c>
      <c r="R38" s="27">
        <f>Simulacao!S7</f>
        <v>75756.089154900008</v>
      </c>
      <c r="S38" s="27">
        <f>Simulacao!S250</f>
        <v>0</v>
      </c>
      <c r="T38" s="27">
        <f>Simulacao!S252</f>
        <v>-23906.693754357948</v>
      </c>
      <c r="U38" s="27">
        <f t="shared" si="0"/>
        <v>-24792.215661129092</v>
      </c>
    </row>
    <row r="39" spans="2:21" ht="12" customHeight="1" x14ac:dyDescent="0.2">
      <c r="P39" s="26" t="s">
        <v>57</v>
      </c>
      <c r="Q39" s="27">
        <f>Simulacao!T249</f>
        <v>52745.699584068279</v>
      </c>
      <c r="R39" s="27">
        <f>Simulacao!T7</f>
        <v>77853.410989199998</v>
      </c>
      <c r="S39" s="27">
        <f>Simulacao!T250</f>
        <v>0</v>
      </c>
      <c r="T39" s="27">
        <f>Simulacao!T252</f>
        <v>-25107.711405131718</v>
      </c>
      <c r="U39" s="27">
        <f t="shared" si="0"/>
        <v>-49899.927066260811</v>
      </c>
    </row>
    <row r="40" spans="2:21" ht="12" customHeight="1" x14ac:dyDescent="0.2">
      <c r="P40" s="26" t="s">
        <v>58</v>
      </c>
      <c r="Q40" s="27">
        <f>Simulacao!U249</f>
        <v>52572.294000823247</v>
      </c>
      <c r="R40" s="27">
        <f>Simulacao!U7</f>
        <v>75276.8485392</v>
      </c>
      <c r="S40" s="27">
        <f>Simulacao!U250</f>
        <v>0</v>
      </c>
      <c r="T40" s="27">
        <f>Simulacao!U252</f>
        <v>-22704.554538376753</v>
      </c>
      <c r="U40" s="27">
        <f t="shared" si="0"/>
        <v>-72604.481604637564</v>
      </c>
    </row>
    <row r="41" spans="2:21" ht="12" customHeight="1" x14ac:dyDescent="0.2">
      <c r="P41" s="26" t="s">
        <v>59</v>
      </c>
      <c r="Q41" s="27">
        <f>Simulacao!V249</f>
        <v>54334.612691321847</v>
      </c>
      <c r="R41" s="27">
        <f>Simulacao!V7</f>
        <v>71478.9954879</v>
      </c>
      <c r="S41" s="27">
        <f>Simulacao!V250</f>
        <v>0</v>
      </c>
      <c r="T41" s="27">
        <f>Simulacao!V252</f>
        <v>-17144.382796578153</v>
      </c>
      <c r="U41" s="27">
        <f t="shared" si="0"/>
        <v>-89748.864401215716</v>
      </c>
    </row>
    <row r="42" spans="2:21" ht="12" customHeight="1" x14ac:dyDescent="0.2">
      <c r="P42" s="26" t="s">
        <v>60</v>
      </c>
      <c r="Q42" s="27">
        <f>Simulacao!W249</f>
        <v>50428.708229241784</v>
      </c>
      <c r="R42" s="27">
        <f>Simulacao!W7</f>
        <v>73761.829818600003</v>
      </c>
      <c r="S42" s="27">
        <f>Simulacao!W250</f>
        <v>0</v>
      </c>
      <c r="T42" s="27">
        <f>Simulacao!W252</f>
        <v>-23333.121589358219</v>
      </c>
      <c r="U42" s="27">
        <f t="shared" si="0"/>
        <v>-113081.98599057394</v>
      </c>
    </row>
    <row r="43" spans="2:21" ht="12" customHeight="1" x14ac:dyDescent="0.2">
      <c r="P43" s="26" t="s">
        <v>61</v>
      </c>
      <c r="Q43" s="27">
        <f>Simulacao!X249</f>
        <v>53452.496237333849</v>
      </c>
      <c r="R43" s="27">
        <f>Simulacao!X7</f>
        <v>65728.108099500008</v>
      </c>
      <c r="S43" s="27">
        <f>Simulacao!X250</f>
        <v>0</v>
      </c>
      <c r="T43" s="27">
        <f>Simulacao!X252</f>
        <v>-12275.611862166159</v>
      </c>
      <c r="U43" s="27">
        <f t="shared" si="0"/>
        <v>-125357.5978527401</v>
      </c>
    </row>
    <row r="44" spans="2:21" ht="12" customHeight="1" x14ac:dyDescent="0.2">
      <c r="P44" s="26" t="s">
        <v>62</v>
      </c>
      <c r="Q44" s="27">
        <f>Simulacao!Y249</f>
        <v>252928.81822978752</v>
      </c>
      <c r="R44" s="27">
        <f>Simulacao!Y7</f>
        <v>75390.217287000007</v>
      </c>
      <c r="S44" s="27">
        <f>Simulacao!Y250</f>
        <v>0</v>
      </c>
      <c r="T44" s="27">
        <f>Simulacao!Y252</f>
        <v>177538.60094278751</v>
      </c>
      <c r="U44" s="27">
        <f t="shared" si="0"/>
        <v>52181.003090047408</v>
      </c>
    </row>
    <row r="45" spans="2:21" ht="12" customHeight="1" x14ac:dyDescent="0.2">
      <c r="B45" s="317" t="s">
        <v>63</v>
      </c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P45" s="26" t="s">
        <v>64</v>
      </c>
      <c r="Q45" s="27">
        <f>Simulacao!Z249</f>
        <v>41743.453130255934</v>
      </c>
      <c r="R45" s="27">
        <f>Simulacao!Z7</f>
        <v>75225.317290200008</v>
      </c>
      <c r="S45" s="27">
        <f>Simulacao!Z250</f>
        <v>0</v>
      </c>
      <c r="T45" s="27">
        <f>Simulacao!Z252</f>
        <v>-33481.864159944074</v>
      </c>
      <c r="U45" s="27">
        <f t="shared" si="0"/>
        <v>18699.138930103334</v>
      </c>
    </row>
    <row r="46" spans="2:21" ht="12" customHeight="1" x14ac:dyDescent="0.2">
      <c r="B46" s="4" t="s">
        <v>65</v>
      </c>
      <c r="C46" s="29" t="s">
        <v>66</v>
      </c>
      <c r="D46" s="5" t="s">
        <v>67</v>
      </c>
      <c r="E46" s="5" t="s">
        <v>68</v>
      </c>
      <c r="F46" s="5" t="s">
        <v>69</v>
      </c>
      <c r="P46" s="26" t="s">
        <v>70</v>
      </c>
      <c r="Q46" s="27">
        <f>Simulacao!AA249</f>
        <v>38839.697818098415</v>
      </c>
      <c r="R46" s="27">
        <f>Simulacao!AA7</f>
        <v>70401.992383799996</v>
      </c>
      <c r="S46" s="27">
        <f>Simulacao!AA250</f>
        <v>0</v>
      </c>
      <c r="T46" s="27">
        <f>Simulacao!AA252</f>
        <v>-31562.294565701581</v>
      </c>
      <c r="U46" s="27">
        <f t="shared" si="0"/>
        <v>-12863.155635598247</v>
      </c>
    </row>
    <row r="47" spans="2:21" ht="12" customHeight="1" x14ac:dyDescent="0.2">
      <c r="B47" s="30" t="s">
        <v>71</v>
      </c>
      <c r="C47" s="31" t="s">
        <v>72</v>
      </c>
      <c r="D47" s="32">
        <f>Simulacao!B255</f>
        <v>412145.70021836436</v>
      </c>
      <c r="E47" s="22">
        <f>Simulacao!B255*Premissas!$B$17</f>
        <v>182374.47234662622</v>
      </c>
      <c r="F47" s="23">
        <f>IFERROR(Simulacao!B255/Simulacao!B273,0)</f>
        <v>0.39575714843248461</v>
      </c>
      <c r="P47" s="33" t="s">
        <v>73</v>
      </c>
      <c r="Q47" s="34">
        <f>Simulacao!AB249</f>
        <v>179001.98275406411</v>
      </c>
      <c r="R47" s="34">
        <f>Simulacao!AB7</f>
        <v>66434.963401486093</v>
      </c>
      <c r="S47" s="34">
        <f>Simulacao!AB250</f>
        <v>0</v>
      </c>
      <c r="T47" s="34">
        <f>Simulacao!AB252</f>
        <v>112567.01935257802</v>
      </c>
      <c r="U47" s="34">
        <f t="shared" si="0"/>
        <v>99703.863716979773</v>
      </c>
    </row>
    <row r="48" spans="2:21" ht="12" customHeight="1" x14ac:dyDescent="0.2">
      <c r="B48" s="30" t="s">
        <v>74</v>
      </c>
      <c r="C48" s="31" t="s">
        <v>75</v>
      </c>
      <c r="D48" s="32">
        <f>Simulacao!B256</f>
        <v>596068.37297282589</v>
      </c>
      <c r="E48" s="22">
        <f>Simulacao!B256*Premissas!$B$17</f>
        <v>263760.25504047546</v>
      </c>
      <c r="F48" s="23">
        <f>IFERROR(Simulacao!B256/Simulacao!B273,0)</f>
        <v>0.57236632441763158</v>
      </c>
      <c r="P48" s="33" t="s">
        <v>76</v>
      </c>
      <c r="Q48" s="34">
        <f>Simulacao!AC249</f>
        <v>586080.82384243223</v>
      </c>
      <c r="R48" s="34">
        <f>Simulacao!AC7</f>
        <v>69928.438370255259</v>
      </c>
      <c r="S48" s="34">
        <f>Simulacao!AC250</f>
        <v>115571.70071754932</v>
      </c>
      <c r="T48" s="34">
        <f>Simulacao!AC252</f>
        <v>400580.68475462764</v>
      </c>
      <c r="U48" s="34">
        <f t="shared" si="0"/>
        <v>500284.54847160738</v>
      </c>
    </row>
    <row r="49" spans="2:21" ht="12" customHeight="1" x14ac:dyDescent="0.2">
      <c r="B49" s="35" t="s">
        <v>77</v>
      </c>
      <c r="C49" s="36" t="s">
        <v>78</v>
      </c>
      <c r="D49" s="24">
        <f>Simulacao!B257</f>
        <v>627.07106265429093</v>
      </c>
      <c r="E49" s="37">
        <f>Simulacao!B257*Premissas!$B$17</f>
        <v>277.47894522452373</v>
      </c>
      <c r="F49" s="38">
        <f>IFERROR(Simulacao!B257/Simulacao!B273,0)</f>
        <v>6.0213622388661332E-4</v>
      </c>
      <c r="P49" s="33" t="s">
        <v>79</v>
      </c>
      <c r="Q49" s="34">
        <f>Simulacao!AD249</f>
        <v>310950.82011324482</v>
      </c>
      <c r="R49" s="34">
        <f>Simulacao!AD7</f>
        <v>83945.202968875135</v>
      </c>
      <c r="S49" s="34">
        <f>Simulacao!AD250</f>
        <v>65692.672601762402</v>
      </c>
      <c r="T49" s="34">
        <f>Simulacao!AD252</f>
        <v>161312.94454260729</v>
      </c>
      <c r="U49" s="34">
        <f t="shared" si="0"/>
        <v>661597.49301421468</v>
      </c>
    </row>
    <row r="50" spans="2:21" ht="12" customHeight="1" x14ac:dyDescent="0.2">
      <c r="B50" s="9" t="s">
        <v>80</v>
      </c>
      <c r="C50" s="39" t="s">
        <v>78</v>
      </c>
      <c r="D50" s="40">
        <f>Simulacao!B258</f>
        <v>65.992243219026932</v>
      </c>
      <c r="E50" s="10">
        <f>Simulacao!B258*Premissas!$B$17</f>
        <v>29.201567624419418</v>
      </c>
      <c r="F50" s="11">
        <f>IFERROR(Simulacao!B258/Simulacao!B273,0)</f>
        <v>6.3368129234850015E-5</v>
      </c>
      <c r="P50" s="33" t="s">
        <v>81</v>
      </c>
      <c r="Q50" s="34">
        <f>Simulacao!AE249</f>
        <v>42199.331679363931</v>
      </c>
      <c r="R50" s="34">
        <f>Simulacao!AE7</f>
        <v>78769.287601036136</v>
      </c>
      <c r="S50" s="34">
        <f>Simulacao!AE250</f>
        <v>0</v>
      </c>
      <c r="T50" s="34">
        <f>Simulacao!AE252</f>
        <v>-36569.955921672205</v>
      </c>
      <c r="U50" s="34">
        <f t="shared" si="0"/>
        <v>625027.53709254251</v>
      </c>
    </row>
    <row r="51" spans="2:21" ht="12" customHeight="1" x14ac:dyDescent="0.2">
      <c r="B51" s="35" t="s">
        <v>82</v>
      </c>
      <c r="C51" s="36" t="s">
        <v>78</v>
      </c>
      <c r="D51" s="24">
        <f>Simulacao!B259</f>
        <v>0</v>
      </c>
      <c r="E51" s="37">
        <f>Simulacao!B259*Premissas!$B$17</f>
        <v>0</v>
      </c>
      <c r="F51" s="38">
        <f>IFERROR(Simulacao!B259/Simulacao!B273,0)</f>
        <v>0</v>
      </c>
      <c r="P51" s="33" t="s">
        <v>83</v>
      </c>
      <c r="Q51" s="34">
        <f>Simulacao!AF249</f>
        <v>42199.331679363931</v>
      </c>
      <c r="R51" s="34">
        <f>Simulacao!AF7</f>
        <v>80950.030411295447</v>
      </c>
      <c r="S51" s="34">
        <f>Simulacao!AF250</f>
        <v>0</v>
      </c>
      <c r="T51" s="34">
        <f>Simulacao!AF252</f>
        <v>-38750.698731931516</v>
      </c>
      <c r="U51" s="34">
        <f t="shared" si="0"/>
        <v>586276.838360611</v>
      </c>
    </row>
    <row r="52" spans="2:21" ht="12" customHeight="1" x14ac:dyDescent="0.2">
      <c r="B52" s="9" t="s">
        <v>84</v>
      </c>
      <c r="C52" s="39" t="s">
        <v>78</v>
      </c>
      <c r="D52" s="40">
        <f>Simulacao!B260</f>
        <v>174.63084284404385</v>
      </c>
      <c r="E52" s="10">
        <f>Simulacao!B260*Premissas!$B$17</f>
        <v>77.274147958489408</v>
      </c>
      <c r="F52" s="11">
        <f>IFERROR(Simulacao!B260/Simulacao!B273,0)</f>
        <v>1.6768682617749822E-4</v>
      </c>
      <c r="P52" s="33" t="s">
        <v>85</v>
      </c>
      <c r="Q52" s="34">
        <f>Simulacao!AG249</f>
        <v>42199.331679363931</v>
      </c>
      <c r="R52" s="34">
        <f>Simulacao!AG7</f>
        <v>78270.985189846673</v>
      </c>
      <c r="S52" s="34">
        <f>Simulacao!AG250</f>
        <v>0</v>
      </c>
      <c r="T52" s="34">
        <f>Simulacao!AG252</f>
        <v>-36071.653510482742</v>
      </c>
      <c r="U52" s="34">
        <f t="shared" si="0"/>
        <v>550205.18485012825</v>
      </c>
    </row>
    <row r="53" spans="2:21" ht="12" customHeight="1" x14ac:dyDescent="0.2">
      <c r="B53" s="35" t="s">
        <v>86</v>
      </c>
      <c r="C53" s="36" t="s">
        <v>78</v>
      </c>
      <c r="D53" s="24">
        <f>Simulacao!B261</f>
        <v>207.78163259823668</v>
      </c>
      <c r="E53" s="37">
        <f>Simulacao!B261*Premissas!$B$17</f>
        <v>91.94337242471974</v>
      </c>
      <c r="F53" s="38">
        <f>IFERROR(Simulacao!B261/Simulacao!B273,0)</f>
        <v>1.9951940871918938E-4</v>
      </c>
      <c r="P53" s="33" t="s">
        <v>87</v>
      </c>
      <c r="Q53" s="34">
        <f>Simulacao!AH249</f>
        <v>42199.331679363931</v>
      </c>
      <c r="R53" s="34">
        <f>Simulacao!AH7</f>
        <v>74322.072533431216</v>
      </c>
      <c r="S53" s="34">
        <f>Simulacao!AH250</f>
        <v>0</v>
      </c>
      <c r="T53" s="34">
        <f>Simulacao!AH252</f>
        <v>-32122.740854067284</v>
      </c>
      <c r="U53" s="34">
        <f t="shared" si="0"/>
        <v>518082.44399606099</v>
      </c>
    </row>
    <row r="54" spans="2:21" ht="12" customHeight="1" x14ac:dyDescent="0.2">
      <c r="B54" s="9" t="s">
        <v>88</v>
      </c>
      <c r="C54" s="39" t="s">
        <v>78</v>
      </c>
      <c r="D54" s="40">
        <f>Simulacao!B262</f>
        <v>273.73782464753913</v>
      </c>
      <c r="E54" s="10">
        <f>Simulacao!B262*Premissas!$B$17</f>
        <v>121.12898740653607</v>
      </c>
      <c r="F54" s="11">
        <f>IFERROR(Simulacao!B262/Simulacao!B273,0)</f>
        <v>2.6285292032216732E-4</v>
      </c>
      <c r="P54" s="33" t="s">
        <v>89</v>
      </c>
      <c r="Q54" s="34">
        <f>Simulacao!AI249</f>
        <v>42199.331679363931</v>
      </c>
      <c r="R54" s="34">
        <f>Simulacao!AI7</f>
        <v>76695.706599634825</v>
      </c>
      <c r="S54" s="34">
        <f>Simulacao!AI250</f>
        <v>0</v>
      </c>
      <c r="T54" s="34">
        <f>Simulacao!AI252</f>
        <v>-34496.374920270893</v>
      </c>
      <c r="U54" s="34">
        <f t="shared" si="0"/>
        <v>483586.06907579012</v>
      </c>
    </row>
    <row r="55" spans="2:21" ht="12" customHeight="1" x14ac:dyDescent="0.2">
      <c r="B55" s="35" t="s">
        <v>90</v>
      </c>
      <c r="C55" s="36" t="s">
        <v>78</v>
      </c>
      <c r="D55" s="24">
        <f>Simulacao!B263</f>
        <v>228.39983225981109</v>
      </c>
      <c r="E55" s="37">
        <f>Simulacao!B263*Premissas!$B$17</f>
        <v>101.06692577496641</v>
      </c>
      <c r="F55" s="38">
        <f>IFERROR(Simulacao!B263/Simulacao!B273,0)</f>
        <v>2.1931774678156163E-4</v>
      </c>
      <c r="P55" s="33" t="s">
        <v>91</v>
      </c>
      <c r="Q55" s="34">
        <f>Simulacao!AJ249</f>
        <v>42199.331679363931</v>
      </c>
      <c r="R55" s="34">
        <f>Simulacao!AJ7</f>
        <v>68342.443599157603</v>
      </c>
      <c r="S55" s="34">
        <f>Simulacao!AJ250</f>
        <v>0</v>
      </c>
      <c r="T55" s="34">
        <f>Simulacao!AJ252</f>
        <v>-26143.111919793671</v>
      </c>
      <c r="U55" s="34">
        <f t="shared" si="0"/>
        <v>457442.95715599647</v>
      </c>
    </row>
    <row r="56" spans="2:21" ht="12" customHeight="1" x14ac:dyDescent="0.2">
      <c r="B56" s="9" t="s">
        <v>92</v>
      </c>
      <c r="C56" s="39" t="s">
        <v>78</v>
      </c>
      <c r="D56" s="40">
        <f>Simulacao!B264</f>
        <v>0</v>
      </c>
      <c r="E56" s="10">
        <f>Simulacao!B264*Premissas!$B$17</f>
        <v>0</v>
      </c>
      <c r="F56" s="11">
        <f>IFERROR(Simulacao!B264/Simulacao!B273,0)</f>
        <v>0</v>
      </c>
      <c r="P56" s="33" t="s">
        <v>93</v>
      </c>
      <c r="Q56" s="34">
        <f>Simulacao!AK249</f>
        <v>279870.81620569545</v>
      </c>
      <c r="R56" s="34">
        <f>Simulacao!AK7</f>
        <v>78388.863179590422</v>
      </c>
      <c r="S56" s="34">
        <f>Simulacao!AK250</f>
        <v>0</v>
      </c>
      <c r="T56" s="34">
        <f>Simulacao!AK252</f>
        <v>201481.95302610501</v>
      </c>
      <c r="U56" s="34">
        <f t="shared" ref="U56:U87" si="1">U55+T56</f>
        <v>658924.91018210142</v>
      </c>
    </row>
    <row r="57" spans="2:21" ht="12" customHeight="1" x14ac:dyDescent="0.2">
      <c r="B57" s="35" t="s">
        <v>94</v>
      </c>
      <c r="C57" s="36" t="s">
        <v>78</v>
      </c>
      <c r="D57" s="24">
        <f>Simulacao!B265</f>
        <v>7584.3975464983841</v>
      </c>
      <c r="E57" s="37">
        <f>Simulacao!B265*Premissas!$B$17</f>
        <v>3356.095914325535</v>
      </c>
      <c r="F57" s="38">
        <f>IFERROR(Simulacao!B265/Simulacao!B273,0)</f>
        <v>7.2828117434932029E-3</v>
      </c>
      <c r="P57" s="33" t="s">
        <v>95</v>
      </c>
      <c r="Q57" s="34">
        <f>Simulacao!AL249</f>
        <v>42199.331679363931</v>
      </c>
      <c r="R57" s="34">
        <f>Simulacao!AL7</f>
        <v>78217.40428541771</v>
      </c>
      <c r="S57" s="34">
        <f>Simulacao!AL250</f>
        <v>0</v>
      </c>
      <c r="T57" s="34">
        <f>Simulacao!AL252</f>
        <v>-36018.072606053778</v>
      </c>
      <c r="U57" s="34">
        <f t="shared" si="1"/>
        <v>622906.83757604763</v>
      </c>
    </row>
    <row r="58" spans="2:21" ht="12" customHeight="1" x14ac:dyDescent="0.2">
      <c r="B58" s="9" t="s">
        <v>96</v>
      </c>
      <c r="C58" s="39" t="s">
        <v>78</v>
      </c>
      <c r="D58" s="40">
        <f>Simulacao!B266</f>
        <v>0</v>
      </c>
      <c r="E58" s="10">
        <f>Simulacao!B266*Premissas!$B$17</f>
        <v>0</v>
      </c>
      <c r="F58" s="11">
        <f>IFERROR(Simulacao!B266/Simulacao!B273,0)</f>
        <v>0</v>
      </c>
      <c r="P58" s="33" t="s">
        <v>97</v>
      </c>
      <c r="Q58" s="34">
        <f>Simulacao!AM249</f>
        <v>42199.331679363931</v>
      </c>
      <c r="R58" s="34">
        <f>Simulacao!AM7</f>
        <v>73202.231630865645</v>
      </c>
      <c r="S58" s="34">
        <f>Simulacao!AM250</f>
        <v>0</v>
      </c>
      <c r="T58" s="34">
        <f>Simulacao!AM252</f>
        <v>-31002.899951501713</v>
      </c>
      <c r="U58" s="34">
        <f t="shared" si="1"/>
        <v>591903.93762454588</v>
      </c>
    </row>
    <row r="59" spans="2:21" ht="12" customHeight="1" x14ac:dyDescent="0.2">
      <c r="B59" s="35" t="s">
        <v>98</v>
      </c>
      <c r="C59" s="36" t="s">
        <v>78</v>
      </c>
      <c r="D59" s="24">
        <f>Simulacao!B267</f>
        <v>14559.8772814984</v>
      </c>
      <c r="E59" s="37">
        <f>Simulacao!B267*Premissas!$B$17</f>
        <v>6442.7456970630419</v>
      </c>
      <c r="F59" s="38">
        <f>IFERROR(Simulacao!B267/Simulacao!B273,0)</f>
        <v>1.3980918668810056E-2</v>
      </c>
      <c r="P59" s="33" t="s">
        <v>99</v>
      </c>
      <c r="Q59" s="34">
        <f>Simulacao!AN249</f>
        <v>224172.85626753102</v>
      </c>
      <c r="R59" s="34">
        <f>Simulacao!AN7</f>
        <v>69077.414070780214</v>
      </c>
      <c r="S59" s="34">
        <f>Simulacao!AN250</f>
        <v>0</v>
      </c>
      <c r="T59" s="34">
        <f>Simulacao!AN252</f>
        <v>155095.44219675081</v>
      </c>
      <c r="U59" s="34">
        <f t="shared" si="1"/>
        <v>746999.37982129666</v>
      </c>
    </row>
    <row r="60" spans="2:21" ht="12" customHeight="1" x14ac:dyDescent="0.2">
      <c r="B60" s="35" t="s">
        <v>100</v>
      </c>
      <c r="C60" s="36" t="s">
        <v>78</v>
      </c>
      <c r="D60" s="24">
        <f>Simulacao!B268</f>
        <v>0</v>
      </c>
      <c r="E60" s="37">
        <f>Simulacao!B268*Premissas!$B$17</f>
        <v>0</v>
      </c>
      <c r="F60" s="38">
        <f>IFERROR(Simulacao!B268/Simulacao!B273,0)</f>
        <v>0</v>
      </c>
      <c r="P60" s="33" t="s">
        <v>101</v>
      </c>
      <c r="Q60" s="34">
        <f>Simulacao!AO249</f>
        <v>639858.27081543044</v>
      </c>
      <c r="R60" s="34">
        <f>Simulacao!AO7</f>
        <v>72709.842006432169</v>
      </c>
      <c r="S60" s="34">
        <f>Simulacao!AO250</f>
        <v>0</v>
      </c>
      <c r="T60" s="34">
        <f>Simulacao!AO252</f>
        <v>567148.42880899832</v>
      </c>
      <c r="U60" s="34">
        <f t="shared" si="1"/>
        <v>1314147.8086302951</v>
      </c>
    </row>
    <row r="61" spans="2:21" ht="12" customHeight="1" x14ac:dyDescent="0.2">
      <c r="B61" s="9" t="s">
        <v>102</v>
      </c>
      <c r="C61" s="39" t="s">
        <v>103</v>
      </c>
      <c r="D61" s="40">
        <f>Simulacao!B269</f>
        <v>8759.8746486858854</v>
      </c>
      <c r="E61" s="10">
        <f>Simulacao!B269*Premissas!$B$17</f>
        <v>3876.2445320435045</v>
      </c>
      <c r="F61" s="11">
        <f>IFERROR(Simulacao!B269/Simulacao!B273,0)</f>
        <v>8.4115472022470612E-3</v>
      </c>
      <c r="P61" s="33" t="s">
        <v>104</v>
      </c>
      <c r="Q61" s="34">
        <f>Simulacao!AP249</f>
        <v>341077.31713086332</v>
      </c>
      <c r="R61" s="34">
        <f>Simulacao!AP7</f>
        <v>87284.123416962146</v>
      </c>
      <c r="S61" s="34">
        <f>Simulacao!AP250</f>
        <v>0</v>
      </c>
      <c r="T61" s="34">
        <f>Simulacao!AP252</f>
        <v>253793.19371390116</v>
      </c>
      <c r="U61" s="34">
        <f t="shared" si="1"/>
        <v>1567941.0023441962</v>
      </c>
    </row>
    <row r="62" spans="2:21" ht="12" customHeight="1" x14ac:dyDescent="0.2">
      <c r="B62" s="35" t="s">
        <v>105</v>
      </c>
      <c r="C62" s="36" t="s">
        <v>78</v>
      </c>
      <c r="D62" s="24">
        <f>Simulacao!B270</f>
        <v>714.79122127273263</v>
      </c>
      <c r="E62" s="37">
        <f>Simulacao!B270*Premissas!$B$17</f>
        <v>316.29511541318419</v>
      </c>
      <c r="F62" s="38">
        <f>IFERROR(Simulacao!B270/Simulacao!B273,0)</f>
        <v>6.8636828021156459E-4</v>
      </c>
      <c r="P62" s="33" t="s">
        <v>106</v>
      </c>
      <c r="Q62" s="34">
        <f>Simulacao!AQ249</f>
        <v>45849.573869628919</v>
      </c>
      <c r="R62" s="34">
        <f>Simulacao!AQ7</f>
        <v>81902.336015367371</v>
      </c>
      <c r="S62" s="34">
        <f>Simulacao!AQ250</f>
        <v>0</v>
      </c>
      <c r="T62" s="34">
        <f>Simulacao!AQ252</f>
        <v>-36052.762145738452</v>
      </c>
      <c r="U62" s="34">
        <f t="shared" si="1"/>
        <v>1531888.2401984578</v>
      </c>
    </row>
    <row r="63" spans="2:21" ht="12" customHeight="1" x14ac:dyDescent="0.2">
      <c r="B63" s="9" t="s">
        <v>107</v>
      </c>
      <c r="C63" s="39" t="s">
        <v>78</v>
      </c>
      <c r="D63" s="40">
        <f>Simulacao!B271</f>
        <v>0</v>
      </c>
      <c r="E63" s="10">
        <f>Simulacao!B271*Premissas!$B$17</f>
        <v>0</v>
      </c>
      <c r="F63" s="11">
        <f>IFERROR(Simulacao!B271/Simulacao!B273,0)</f>
        <v>0</v>
      </c>
      <c r="P63" s="33" t="s">
        <v>108</v>
      </c>
      <c r="Q63" s="34">
        <f>Simulacao!AR249</f>
        <v>45849.573869628919</v>
      </c>
      <c r="R63" s="34">
        <f>Simulacao!AR7</f>
        <v>84169.817870904692</v>
      </c>
      <c r="S63" s="34">
        <f>Simulacao!AR250</f>
        <v>0</v>
      </c>
      <c r="T63" s="34">
        <f>Simulacao!AR252</f>
        <v>-38320.244001275772</v>
      </c>
      <c r="U63" s="34">
        <f t="shared" si="1"/>
        <v>1493567.996197182</v>
      </c>
    </row>
    <row r="64" spans="2:21" ht="12" customHeight="1" x14ac:dyDescent="0.2">
      <c r="B64" s="41" t="s">
        <v>109</v>
      </c>
      <c r="C64" s="42"/>
      <c r="D64" s="43">
        <f>Simulacao!B273</f>
        <v>1041410.6273273687</v>
      </c>
      <c r="E64" s="44">
        <f>Simulacao!B273*Premissas!$B$17</f>
        <v>460824.20259236067</v>
      </c>
      <c r="F64" s="45">
        <f>1</f>
        <v>1</v>
      </c>
      <c r="P64" s="33" t="s">
        <v>110</v>
      </c>
      <c r="Q64" s="34">
        <f>Simulacao!AS249</f>
        <v>45849.573869628919</v>
      </c>
      <c r="R64" s="34">
        <f>Simulacao!AS7</f>
        <v>81384.213625772827</v>
      </c>
      <c r="S64" s="34">
        <f>Simulacao!AS250</f>
        <v>0</v>
      </c>
      <c r="T64" s="34">
        <f>Simulacao!AS252</f>
        <v>-35534.639756143908</v>
      </c>
      <c r="U64" s="34">
        <f t="shared" si="1"/>
        <v>1458033.3564410382</v>
      </c>
    </row>
    <row r="65" spans="2:21" ht="12" customHeight="1" x14ac:dyDescent="0.2">
      <c r="B65" s="46" t="s">
        <v>111</v>
      </c>
      <c r="C65" s="46"/>
      <c r="D65" s="46"/>
      <c r="E65" s="46"/>
      <c r="F65" s="46"/>
      <c r="P65" s="33" t="s">
        <v>112</v>
      </c>
      <c r="Q65" s="34">
        <f>Simulacao!AT249</f>
        <v>45849.573869628919</v>
      </c>
      <c r="R65" s="34">
        <f>Simulacao!AT7</f>
        <v>77278.232968448428</v>
      </c>
      <c r="S65" s="34">
        <f>Simulacao!AT250</f>
        <v>0</v>
      </c>
      <c r="T65" s="34">
        <f>Simulacao!AT252</f>
        <v>-31428.659098819509</v>
      </c>
      <c r="U65" s="34">
        <f t="shared" si="1"/>
        <v>1426604.6973422186</v>
      </c>
    </row>
    <row r="66" spans="2:21" ht="12" customHeight="1" x14ac:dyDescent="0.2">
      <c r="B66" s="47" t="s">
        <v>113</v>
      </c>
      <c r="C66" s="48" t="s">
        <v>114</v>
      </c>
      <c r="D66" s="48" t="s">
        <v>115</v>
      </c>
      <c r="E66" s="48" t="s">
        <v>116</v>
      </c>
      <c r="F66" s="48" t="s">
        <v>117</v>
      </c>
      <c r="P66" s="33" t="s">
        <v>118</v>
      </c>
      <c r="Q66" s="34">
        <f>Simulacao!AU249</f>
        <v>45849.573869628919</v>
      </c>
      <c r="R66" s="34">
        <f>Simulacao!AU7</f>
        <v>79746.278329635286</v>
      </c>
      <c r="S66" s="34">
        <f>Simulacao!AU250</f>
        <v>0</v>
      </c>
      <c r="T66" s="34">
        <f>Simulacao!AU252</f>
        <v>-33896.704460006367</v>
      </c>
      <c r="U66" s="34">
        <f t="shared" si="1"/>
        <v>1392707.9928822122</v>
      </c>
    </row>
    <row r="67" spans="2:21" ht="12" customHeight="1" x14ac:dyDescent="0.2">
      <c r="B67" s="49" t="s">
        <v>119</v>
      </c>
      <c r="C67" s="50">
        <f>Simulacao!BK34</f>
        <v>32298.102930461122</v>
      </c>
      <c r="D67" s="50">
        <f>Simulacao!BK31</f>
        <v>412145.70021836436</v>
      </c>
      <c r="E67" s="50">
        <f>Simulacao!B281</f>
        <v>379847.59728790325</v>
      </c>
      <c r="F67" s="51">
        <f>Simulacao!B281*Premissas!$B$17</f>
        <v>168082.5617998972</v>
      </c>
      <c r="P67" s="33" t="s">
        <v>120</v>
      </c>
      <c r="Q67" s="34">
        <f>Simulacao!AV249</f>
        <v>45849.573869628919</v>
      </c>
      <c r="R67" s="34">
        <f>Simulacao!AV7</f>
        <v>71060.764293314103</v>
      </c>
      <c r="S67" s="34">
        <f>Simulacao!AV250</f>
        <v>0</v>
      </c>
      <c r="T67" s="34">
        <f>Simulacao!AV252</f>
        <v>-25211.190423685184</v>
      </c>
      <c r="U67" s="34">
        <f t="shared" si="1"/>
        <v>1367496.802458527</v>
      </c>
    </row>
    <row r="68" spans="2:21" ht="12" customHeight="1" x14ac:dyDescent="0.2">
      <c r="B68" s="49" t="s">
        <v>121</v>
      </c>
      <c r="C68" s="50">
        <f>Simulacao!BK52</f>
        <v>37933.46560772309</v>
      </c>
      <c r="D68" s="50">
        <f>Simulacao!BK49</f>
        <v>596068.37297282589</v>
      </c>
      <c r="E68" s="50">
        <f>Simulacao!B282</f>
        <v>558134.90736510279</v>
      </c>
      <c r="F68" s="51">
        <f>Simulacao!B282*Premissas!$B$17</f>
        <v>246974.69650905798</v>
      </c>
      <c r="P68" s="33" t="s">
        <v>122</v>
      </c>
      <c r="Q68" s="34">
        <f>Simulacao!AW249</f>
        <v>321769.92745844659</v>
      </c>
      <c r="R68" s="34">
        <f>Simulacao!AW7</f>
        <v>81506.780212558631</v>
      </c>
      <c r="S68" s="34">
        <f>Simulacao!AW250</f>
        <v>0</v>
      </c>
      <c r="T68" s="34">
        <f>Simulacao!AW252</f>
        <v>240263.14724588796</v>
      </c>
      <c r="U68" s="34">
        <f t="shared" si="1"/>
        <v>1607759.9497044149</v>
      </c>
    </row>
    <row r="69" spans="2:21" ht="12" customHeight="1" x14ac:dyDescent="0.2">
      <c r="B69" s="49" t="s">
        <v>123</v>
      </c>
      <c r="C69" s="50">
        <v>0</v>
      </c>
      <c r="D69" s="50">
        <f>Simulacao!BK62+Simulacao!BK75+Simulacao!BK88+Simulacao!BK101+Simulacao!BK114+Simulacao!BK127+Simulacao!BK140+Simulacao!BK153+Simulacao!BK166+Simulacao!BK179+Simulacao!BK192+Simulacao!BK205+Simulacao!BK218+Simulacao!BK230+Simulacao!BK242</f>
        <v>33196.554136178354</v>
      </c>
      <c r="E69" s="50">
        <f>Simulacao!B283</f>
        <v>33196.554136178354</v>
      </c>
      <c r="F69" s="51">
        <f>Simulacao!B283*Premissas!$B$17</f>
        <v>14689.475205258923</v>
      </c>
      <c r="P69" s="33" t="s">
        <v>124</v>
      </c>
      <c r="Q69" s="34">
        <f>Simulacao!AX249</f>
        <v>45849.573869628919</v>
      </c>
      <c r="R69" s="34">
        <f>Simulacao!AX7</f>
        <v>81328.501540870187</v>
      </c>
      <c r="S69" s="34">
        <f>Simulacao!AX250</f>
        <v>0</v>
      </c>
      <c r="T69" s="34">
        <f>Simulacao!AX252</f>
        <v>-35478.927671241268</v>
      </c>
      <c r="U69" s="34">
        <f t="shared" si="1"/>
        <v>1572281.0220331736</v>
      </c>
    </row>
    <row r="70" spans="2:21" ht="12" customHeight="1" x14ac:dyDescent="0.2">
      <c r="B70" s="52" t="s">
        <v>125</v>
      </c>
      <c r="C70" s="53">
        <f>C67+C68+C69</f>
        <v>70231.56853818422</v>
      </c>
      <c r="D70" s="53">
        <f>D67+D68+D69</f>
        <v>1041410.6273273686</v>
      </c>
      <c r="E70" s="53">
        <f>Simulacao!B284</f>
        <v>971179.05878918443</v>
      </c>
      <c r="F70" s="54">
        <f>Simulacao!B285</f>
        <v>573978.69006635947</v>
      </c>
      <c r="P70" s="33" t="s">
        <v>126</v>
      </c>
      <c r="Q70" s="34">
        <f>Simulacao!AY249</f>
        <v>45849.573869628919</v>
      </c>
      <c r="R70" s="34">
        <f>Simulacao!AY7</f>
        <v>76113.850393983317</v>
      </c>
      <c r="S70" s="34">
        <f>Simulacao!AY250</f>
        <v>0</v>
      </c>
      <c r="T70" s="34">
        <f>Simulacao!AY252</f>
        <v>-30264.276524354398</v>
      </c>
      <c r="U70" s="34">
        <f t="shared" si="1"/>
        <v>1542016.7455088191</v>
      </c>
    </row>
    <row r="71" spans="2:21" ht="12" customHeight="1" x14ac:dyDescent="0.2">
      <c r="B71" s="4"/>
      <c r="C71" s="29"/>
      <c r="D71" s="5"/>
      <c r="E71" s="5"/>
      <c r="F71" s="5"/>
      <c r="P71" s="33" t="s">
        <v>127</v>
      </c>
      <c r="Q71" s="34">
        <f>Simulacao!AZ249</f>
        <v>274874.90028959955</v>
      </c>
      <c r="R71" s="34">
        <f>Simulacao!AZ7</f>
        <v>71824.968215445479</v>
      </c>
      <c r="S71" s="34">
        <f>Simulacao!AZ250</f>
        <v>0</v>
      </c>
      <c r="T71" s="34">
        <f>Simulacao!AZ252</f>
        <v>203049.93207415409</v>
      </c>
      <c r="U71" s="34">
        <f t="shared" si="1"/>
        <v>1745066.6775829731</v>
      </c>
    </row>
    <row r="72" spans="2:21" ht="12" customHeight="1" x14ac:dyDescent="0.2">
      <c r="B72" s="4"/>
      <c r="C72" s="29"/>
      <c r="D72" s="5"/>
      <c r="E72" s="5"/>
      <c r="F72" s="5"/>
      <c r="P72" s="33" t="s">
        <v>128</v>
      </c>
      <c r="Q72" s="34">
        <f>Simulacao!BA249</f>
        <v>698456.02257896471</v>
      </c>
      <c r="R72" s="34">
        <f>Simulacao!BA7</f>
        <v>75601.875972237991</v>
      </c>
      <c r="S72" s="34">
        <f>Simulacao!BA250</f>
        <v>0</v>
      </c>
      <c r="T72" s="34">
        <f>Simulacao!BA252</f>
        <v>622854.14660672669</v>
      </c>
      <c r="U72" s="34">
        <f t="shared" si="1"/>
        <v>2367920.8241896997</v>
      </c>
    </row>
    <row r="73" spans="2:21" ht="12" customHeight="1" x14ac:dyDescent="0.2">
      <c r="B73" s="4"/>
      <c r="C73" s="29"/>
      <c r="D73" s="5"/>
      <c r="E73" s="5"/>
      <c r="F73" s="5"/>
      <c r="P73" s="33" t="s">
        <v>129</v>
      </c>
      <c r="Q73" s="34">
        <f>Simulacao!BB249</f>
        <v>373986.39617446269</v>
      </c>
      <c r="R73" s="34">
        <f>Simulacao!BB7</f>
        <v>90755.849425871769</v>
      </c>
      <c r="S73" s="34">
        <f>Simulacao!BB250</f>
        <v>0</v>
      </c>
      <c r="T73" s="34">
        <f>Simulacao!BB252</f>
        <v>283230.54674859089</v>
      </c>
      <c r="U73" s="34">
        <f t="shared" si="1"/>
        <v>2651151.3709382908</v>
      </c>
    </row>
    <row r="74" spans="2:21" ht="12" customHeight="1" x14ac:dyDescent="0.2">
      <c r="B74" s="4"/>
      <c r="C74" s="29"/>
      <c r="D74" s="5"/>
      <c r="E74" s="5"/>
      <c r="F74" s="5"/>
      <c r="P74" s="33" t="s">
        <v>130</v>
      </c>
      <c r="Q74" s="34">
        <f>Simulacao!BC249</f>
        <v>49815.562009351808</v>
      </c>
      <c r="R74" s="34">
        <f>Simulacao!BC7</f>
        <v>85160.001430378572</v>
      </c>
      <c r="S74" s="34">
        <f>Simulacao!BC250</f>
        <v>0</v>
      </c>
      <c r="T74" s="34">
        <f>Simulacao!BC252</f>
        <v>-35344.439421026764</v>
      </c>
      <c r="U74" s="34">
        <f t="shared" si="1"/>
        <v>2615806.9315172639</v>
      </c>
    </row>
    <row r="75" spans="2:21" ht="12" customHeight="1" x14ac:dyDescent="0.2">
      <c r="B75" s="4"/>
      <c r="C75" s="29"/>
      <c r="D75" s="5"/>
      <c r="E75" s="5"/>
      <c r="F75" s="5"/>
      <c r="P75" s="33" t="s">
        <v>131</v>
      </c>
      <c r="Q75" s="34">
        <f>Simulacao!BD249</f>
        <v>49815.562009351808</v>
      </c>
      <c r="R75" s="34">
        <f>Simulacao!BD7</f>
        <v>87517.672376719915</v>
      </c>
      <c r="S75" s="34">
        <f>Simulacao!BD250</f>
        <v>0</v>
      </c>
      <c r="T75" s="34">
        <f>Simulacao!BD252</f>
        <v>-37702.110367368106</v>
      </c>
      <c r="U75" s="34">
        <f t="shared" si="1"/>
        <v>2578104.8211498959</v>
      </c>
    </row>
    <row r="76" spans="2:21" ht="12" customHeight="1" x14ac:dyDescent="0.2">
      <c r="B76" s="4"/>
      <c r="C76" s="29"/>
      <c r="D76" s="5"/>
      <c r="E76" s="5"/>
      <c r="F76" s="5"/>
      <c r="P76" s="33" t="s">
        <v>132</v>
      </c>
      <c r="Q76" s="34">
        <f>Simulacao!BE249</f>
        <v>49815.562009351808</v>
      </c>
      <c r="R76" s="34">
        <f>Simulacao!BE7</f>
        <v>84621.270722737914</v>
      </c>
      <c r="S76" s="34">
        <f>Simulacao!BE250</f>
        <v>104.7742269801935</v>
      </c>
      <c r="T76" s="34">
        <f>Simulacao!BE252</f>
        <v>-34910.482940366303</v>
      </c>
      <c r="U76" s="34">
        <f t="shared" si="1"/>
        <v>2543194.3382095294</v>
      </c>
    </row>
    <row r="77" spans="2:21" ht="12" customHeight="1" x14ac:dyDescent="0.2">
      <c r="B77" s="4"/>
      <c r="C77" s="29"/>
      <c r="D77" s="5"/>
      <c r="E77" s="5"/>
      <c r="F77" s="5"/>
      <c r="P77" s="33" t="s">
        <v>133</v>
      </c>
      <c r="Q77" s="34">
        <f>Simulacao!BF249</f>
        <v>49815.562009351808</v>
      </c>
      <c r="R77" s="34">
        <f>Simulacao!BF7</f>
        <v>80351.974684768473</v>
      </c>
      <c r="S77" s="34">
        <f>Simulacao!BF250</f>
        <v>283.34427677139217</v>
      </c>
      <c r="T77" s="34">
        <f>Simulacao!BF252</f>
        <v>-30819.75695218805</v>
      </c>
      <c r="U77" s="34">
        <f t="shared" si="1"/>
        <v>2512374.5812573414</v>
      </c>
    </row>
    <row r="78" spans="2:21" ht="12" customHeight="1" x14ac:dyDescent="0.2">
      <c r="B78" s="4"/>
      <c r="C78" s="29"/>
      <c r="D78" s="5"/>
      <c r="E78" s="5"/>
      <c r="F78" s="5"/>
      <c r="P78" s="33" t="s">
        <v>134</v>
      </c>
      <c r="Q78" s="34">
        <f>Simulacao!BG249</f>
        <v>49815.562009351808</v>
      </c>
      <c r="R78" s="34">
        <f>Simulacao!BG7</f>
        <v>82918.186550196493</v>
      </c>
      <c r="S78" s="34">
        <f>Simulacao!BG250</f>
        <v>253.3235457170972</v>
      </c>
      <c r="T78" s="34">
        <f>Simulacao!BG252</f>
        <v>-33355.948086561781</v>
      </c>
      <c r="U78" s="34">
        <f t="shared" si="1"/>
        <v>2479018.6331707798</v>
      </c>
    </row>
    <row r="79" spans="2:21" ht="12" customHeight="1" x14ac:dyDescent="0.2">
      <c r="B79" s="4"/>
      <c r="C79" s="29"/>
      <c r="D79" s="5"/>
      <c r="E79" s="5"/>
      <c r="F79" s="5"/>
      <c r="P79" s="33" t="s">
        <v>135</v>
      </c>
      <c r="Q79" s="34">
        <f>Simulacao!BH249</f>
        <v>49815.562009351808</v>
      </c>
      <c r="R79" s="34">
        <f>Simulacao!BH7</f>
        <v>73887.206193080667</v>
      </c>
      <c r="S79" s="34">
        <f>Simulacao!BH250</f>
        <v>1518.1385638727413</v>
      </c>
      <c r="T79" s="34">
        <f>Simulacao!BH252</f>
        <v>-25589.782747601595</v>
      </c>
      <c r="U79" s="34">
        <f t="shared" si="1"/>
        <v>2453428.8504231782</v>
      </c>
    </row>
    <row r="80" spans="2:21" ht="12" customHeight="1" x14ac:dyDescent="0.2">
      <c r="B80" s="4"/>
      <c r="C80" s="29"/>
      <c r="D80" s="5"/>
      <c r="E80" s="5"/>
      <c r="F80" s="5"/>
      <c r="P80" s="33" t="s">
        <v>136</v>
      </c>
      <c r="Q80" s="34">
        <f>Simulacao!BI249</f>
        <v>369826.92873563292</v>
      </c>
      <c r="R80" s="34">
        <f>Simulacao!BI7</f>
        <v>84748.712395513125</v>
      </c>
      <c r="S80" s="34">
        <f>Simulacao!BI250</f>
        <v>328.23878562036668</v>
      </c>
      <c r="T80" s="34">
        <f>Simulacao!BI252</f>
        <v>284749.9775544994</v>
      </c>
      <c r="U80" s="34">
        <f t="shared" si="1"/>
        <v>2738178.8279776778</v>
      </c>
    </row>
    <row r="81" spans="1:21" ht="12" customHeight="1" x14ac:dyDescent="0.2">
      <c r="B81" s="4"/>
      <c r="C81" s="29"/>
      <c r="D81" s="5"/>
      <c r="E81" s="5"/>
      <c r="F81" s="5"/>
      <c r="P81" s="33" t="s">
        <v>137</v>
      </c>
      <c r="Q81" s="34">
        <f>Simulacao!BJ249</f>
        <v>49815.562009351808</v>
      </c>
      <c r="R81" s="34">
        <f>Simulacao!BJ7</f>
        <v>84563.342689658282</v>
      </c>
      <c r="S81" s="34">
        <f>Simulacao!BJ250</f>
        <v>332.90677428540749</v>
      </c>
      <c r="T81" s="34">
        <f>Simulacao!BJ252</f>
        <v>-35080.687454591884</v>
      </c>
      <c r="U81" s="34">
        <f t="shared" si="1"/>
        <v>2703098.1405230858</v>
      </c>
    </row>
    <row r="82" spans="1:21" ht="12" customHeight="1" x14ac:dyDescent="0.2">
      <c r="B82" s="4"/>
      <c r="C82" s="29"/>
      <c r="D82" s="5"/>
      <c r="E82" s="5"/>
      <c r="F82" s="5"/>
      <c r="P82" s="33" t="s">
        <v>138</v>
      </c>
      <c r="Q82" s="34">
        <f>Simulacao!BK249</f>
        <v>49815.562009351808</v>
      </c>
      <c r="R82" s="34">
        <f>Simulacao!BK7</f>
        <v>79141.278793403995</v>
      </c>
      <c r="S82" s="34">
        <f>Simulacao!BK250</f>
        <v>711.88577845398595</v>
      </c>
      <c r="T82" s="34">
        <f>Simulacao!BK252</f>
        <v>-30037.602562506174</v>
      </c>
      <c r="U82" s="34">
        <f t="shared" si="1"/>
        <v>2673060.5379605796</v>
      </c>
    </row>
    <row r="83" spans="1:21" ht="12.75" customHeight="1" x14ac:dyDescent="0.2"/>
    <row r="84" spans="1:21" ht="12.75" customHeight="1" x14ac:dyDescent="0.2">
      <c r="B84" s="243" t="s">
        <v>139</v>
      </c>
    </row>
    <row r="85" spans="1:21" ht="12.75" customHeight="1" x14ac:dyDescent="0.2">
      <c r="B85" s="244" t="s">
        <v>140</v>
      </c>
    </row>
    <row r="86" spans="1:21" ht="12.75" customHeight="1" x14ac:dyDescent="0.2"/>
    <row r="87" spans="1:21" ht="12.75" customHeight="1" x14ac:dyDescent="0.2">
      <c r="B87" s="245" t="s">
        <v>113</v>
      </c>
      <c r="C87" s="245" t="s">
        <v>141</v>
      </c>
      <c r="D87" s="245" t="s">
        <v>142</v>
      </c>
      <c r="E87" s="245" t="s">
        <v>143</v>
      </c>
    </row>
    <row r="88" spans="1:21" ht="12.75" customHeight="1" x14ac:dyDescent="0.2">
      <c r="B88" s="246" t="s">
        <v>144</v>
      </c>
      <c r="C88" s="247">
        <f>Simulacao!BK34</f>
        <v>32298.102930461122</v>
      </c>
      <c r="D88" s="247">
        <f>Simulacao!BK31-Simulacao!BK34</f>
        <v>379847.59728790325</v>
      </c>
      <c r="E88" s="247">
        <f>Simulacao!BK31</f>
        <v>412145.70021836436</v>
      </c>
    </row>
    <row r="89" spans="1:21" ht="12.75" customHeight="1" x14ac:dyDescent="0.2">
      <c r="B89" s="246" t="s">
        <v>145</v>
      </c>
      <c r="C89" s="247">
        <f>Simulacao!BK52</f>
        <v>37933.46560772309</v>
      </c>
      <c r="D89" s="247">
        <f>Simulacao!BK49-Simulacao!BK52</f>
        <v>558134.90736510279</v>
      </c>
      <c r="E89" s="247">
        <f>Simulacao!BK49</f>
        <v>596068.37297282589</v>
      </c>
    </row>
    <row r="90" spans="1:21" ht="12.75" customHeight="1" x14ac:dyDescent="0.2">
      <c r="B90" s="246" t="s">
        <v>146</v>
      </c>
      <c r="C90" s="247">
        <v>0</v>
      </c>
      <c r="D90" s="247">
        <f>Simulacao!B283</f>
        <v>33196.554136178354</v>
      </c>
      <c r="E90" s="247">
        <f>Simulacao!B283</f>
        <v>33196.554136178354</v>
      </c>
    </row>
    <row r="91" spans="1:21" ht="12.75" customHeight="1" x14ac:dyDescent="0.2">
      <c r="B91" s="248" t="s">
        <v>147</v>
      </c>
      <c r="C91" s="249">
        <f>C88+C89+C90</f>
        <v>70231.56853818422</v>
      </c>
      <c r="D91" s="249">
        <f>D88+D89+D90</f>
        <v>971179.05878918443</v>
      </c>
      <c r="E91" s="249">
        <f>E88+E89+E90</f>
        <v>1041410.6273273686</v>
      </c>
    </row>
    <row r="92" spans="1:21" ht="12.75" customHeight="1" x14ac:dyDescent="0.2"/>
    <row r="93" spans="1:21" ht="12.75" customHeight="1" x14ac:dyDescent="0.2">
      <c r="B93" s="245" t="s">
        <v>113</v>
      </c>
      <c r="C93" s="245" t="s">
        <v>148</v>
      </c>
      <c r="D93" s="245" t="s">
        <v>149</v>
      </c>
      <c r="E93" s="245" t="s">
        <v>150</v>
      </c>
    </row>
    <row r="94" spans="1:21" ht="12.75" customHeight="1" x14ac:dyDescent="0.2">
      <c r="B94" s="246" t="s">
        <v>144</v>
      </c>
      <c r="C94" s="250">
        <f>C88*Premissas!$B$17*(1+Premissas!$B$123)^4</f>
        <v>17043.369165442993</v>
      </c>
      <c r="D94" s="250">
        <f>D88*Premissas!$B$17*(1+Premissas!$B$123)^4</f>
        <v>200441.58138707842</v>
      </c>
      <c r="E94" s="250">
        <f>E88*Premissas!$B$17*(1+Premissas!$B$123)^4</f>
        <v>217484.95055252136</v>
      </c>
    </row>
    <row r="95" spans="1:21" ht="12.75" customHeight="1" x14ac:dyDescent="0.2">
      <c r="B95" s="246" t="s">
        <v>145</v>
      </c>
      <c r="C95" s="250">
        <f>C89*Premissas!$B$17*(1+Premissas!$B$123)^4</f>
        <v>20017.090770594979</v>
      </c>
      <c r="D95" s="250">
        <f>D89*Premissas!$B$17*(1+Premissas!$B$123)^4</f>
        <v>294521.91947076574</v>
      </c>
      <c r="E95" s="250">
        <f>E89*Premissas!$B$17*(1+Premissas!$B$123)^4</f>
        <v>314539.01024136075</v>
      </c>
    </row>
    <row r="96" spans="1:21" ht="12.75" customHeight="1" x14ac:dyDescent="0.2">
      <c r="A96" s="55"/>
      <c r="B96" s="246" t="s">
        <v>146</v>
      </c>
      <c r="C96" s="250">
        <v>0</v>
      </c>
      <c r="D96" s="250">
        <f>D90*Premissas!$B$17*(1+Premissas!$B$123)^4</f>
        <v>17517.472415690998</v>
      </c>
      <c r="E96" s="250">
        <f>E90*Premissas!$B$17*(1+Premissas!$B$123)^4</f>
        <v>17517.472415690998</v>
      </c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</row>
    <row r="97" spans="1:21" ht="12.75" customHeight="1" x14ac:dyDescent="0.2">
      <c r="A97" s="55"/>
      <c r="B97" s="248" t="s">
        <v>150</v>
      </c>
      <c r="C97" s="251">
        <f>C94+C95+C96</f>
        <v>37060.459936037973</v>
      </c>
      <c r="D97" s="251">
        <f>D94+D95+D96</f>
        <v>512480.97327353514</v>
      </c>
      <c r="E97" s="251">
        <f>E94+E95+E96</f>
        <v>549541.43320957315</v>
      </c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</row>
    <row r="98" spans="1:21" ht="12.75" customHeight="1" x14ac:dyDescent="0.2">
      <c r="A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</row>
    <row r="99" spans="1:21" ht="12.75" customHeight="1" x14ac:dyDescent="0.2">
      <c r="A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</row>
    <row r="100" spans="1:21" ht="15" customHeight="1" x14ac:dyDescent="0.2">
      <c r="A100" s="55"/>
      <c r="B100" s="265" t="s">
        <v>151</v>
      </c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</row>
    <row r="101" spans="1:21" ht="15.75" hidden="1" customHeight="1" x14ac:dyDescent="0.2">
      <c r="A101" s="55"/>
      <c r="B101" s="266" t="s">
        <v>152</v>
      </c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</row>
    <row r="102" spans="1:21" ht="12.75" customHeight="1" x14ac:dyDescent="0.2">
      <c r="A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</row>
    <row r="103" spans="1:21" ht="12.75" hidden="1" customHeight="1" x14ac:dyDescent="0.2">
      <c r="A103" s="55"/>
      <c r="B103" s="245" t="s">
        <v>65</v>
      </c>
      <c r="C103" s="252" t="s">
        <v>153</v>
      </c>
      <c r="D103" s="252" t="s">
        <v>154</v>
      </c>
      <c r="E103" s="252" t="s">
        <v>155</v>
      </c>
      <c r="F103" s="245" t="s">
        <v>156</v>
      </c>
      <c r="G103" s="245" t="s">
        <v>157</v>
      </c>
      <c r="H103" s="245" t="s">
        <v>158</v>
      </c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</row>
    <row r="104" spans="1:21" ht="12.75" hidden="1" customHeight="1" x14ac:dyDescent="0.2">
      <c r="A104" s="55"/>
      <c r="B104" s="253" t="s">
        <v>144</v>
      </c>
      <c r="C104" s="254">
        <f>SUM(Simulacao!D37:O37)</f>
        <v>0</v>
      </c>
      <c r="D104" s="254">
        <f>SUM(Simulacao!P37:AA37)</f>
        <v>695609.75617970387</v>
      </c>
      <c r="E104" s="255">
        <f>SUM(Simulacao!AB37:AM37)</f>
        <v>780239.68557047565</v>
      </c>
      <c r="F104" s="255">
        <f>SUM(Simulacao!AN37:AY37)</f>
        <v>873444.77604365326</v>
      </c>
      <c r="G104" s="256">
        <f>SUM(Simulacao!AZ37:BK37)</f>
        <v>977684.64048334723</v>
      </c>
      <c r="H104" s="256">
        <f>Simulacao!B37</f>
        <v>3326978.8582771802</v>
      </c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</row>
    <row r="105" spans="1:21" ht="12.75" hidden="1" customHeight="1" x14ac:dyDescent="0.2">
      <c r="A105" s="55"/>
      <c r="B105" s="257" t="s">
        <v>145</v>
      </c>
      <c r="C105" s="258">
        <f>SUM(Simulacao!D55:O55)</f>
        <v>0</v>
      </c>
      <c r="D105" s="258">
        <f>SUM(Simulacao!P55:AA55)</f>
        <v>734.80010649083124</v>
      </c>
      <c r="E105" s="255">
        <f>SUM(Simulacao!AB55:AM55)</f>
        <v>225603.05730819318</v>
      </c>
      <c r="F105" s="255">
        <f>SUM(Simulacao!AN55:AY55)</f>
        <v>470035.30015010247</v>
      </c>
      <c r="G105" s="256">
        <f>SUM(Simulacao!AZ55:BK55)</f>
        <v>540197.35925790528</v>
      </c>
      <c r="H105" s="256">
        <f>Simulacao!B55</f>
        <v>1236570.5168226918</v>
      </c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</row>
    <row r="106" spans="1:21" ht="15" hidden="1" customHeight="1" x14ac:dyDescent="0.2">
      <c r="A106" s="55"/>
      <c r="B106" s="259" t="s">
        <v>159</v>
      </c>
      <c r="C106" s="260">
        <f>SUM(Simulacao!D68:O68)</f>
        <v>56778.545045746796</v>
      </c>
      <c r="D106" s="260">
        <f>SUM(Simulacao!P68:AA68)</f>
        <v>61505.721765700029</v>
      </c>
      <c r="E106" s="261">
        <f>SUM(Simulacao!AB68:AM68)</f>
        <v>59901.098112604472</v>
      </c>
      <c r="F106" s="261">
        <f>SUM(Simulacao!AN68:AY68)</f>
        <v>65082.54309934473</v>
      </c>
      <c r="G106" s="256">
        <f>SUM(Simulacao!AZ68:BK68)</f>
        <v>70712.183077438051</v>
      </c>
      <c r="H106" s="256">
        <f>Simulacao!B68</f>
        <v>313980.09110083396</v>
      </c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</row>
    <row r="107" spans="1:21" ht="15" hidden="1" customHeight="1" x14ac:dyDescent="0.2">
      <c r="A107" s="55"/>
      <c r="B107" s="262" t="s">
        <v>160</v>
      </c>
      <c r="C107" s="250">
        <f>SUM(Simulacao!D81:O81)</f>
        <v>5576.7433931808337</v>
      </c>
      <c r="D107" s="250">
        <f>SUM(Simulacao!P81:AA81)</f>
        <v>6080.4555163838495</v>
      </c>
      <c r="E107" s="250">
        <f>SUM(Simulacao!AB81:AM81)</f>
        <v>6606.4149185510505</v>
      </c>
      <c r="F107" s="250">
        <f>SUM(Simulacao!AN81:AY81)</f>
        <v>7177.8698090057196</v>
      </c>
      <c r="G107" s="256">
        <f>SUM(Simulacao!AZ81:BK81)</f>
        <v>7798.755547484715</v>
      </c>
      <c r="H107" s="256">
        <f>Simulacao!B81</f>
        <v>33240.23918460618</v>
      </c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</row>
    <row r="108" spans="1:21" ht="12" hidden="1" customHeight="1" x14ac:dyDescent="0.2">
      <c r="A108" s="55"/>
      <c r="B108" s="263" t="s">
        <v>161</v>
      </c>
      <c r="C108" s="256">
        <f>SUM(Simulacao!D94:O94)</f>
        <v>7592.1748411543858</v>
      </c>
      <c r="D108" s="256">
        <f>SUM(Simulacao!P94:AA94)</f>
        <v>8154.5664536392287</v>
      </c>
      <c r="E108" s="256">
        <f>SUM(Simulacao!AB94:AM94)</f>
        <v>8735.1486145286162</v>
      </c>
      <c r="F108" s="256">
        <f>SUM(Simulacao!AN94:AY94)</f>
        <v>9490.738969685337</v>
      </c>
      <c r="G108" s="256">
        <f>SUM(Simulacao!AZ94:BK94)</f>
        <v>9540.4919946823975</v>
      </c>
      <c r="H108" s="256">
        <f>Simulacao!B94</f>
        <v>43513.120873689972</v>
      </c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</row>
    <row r="109" spans="1:21" ht="15" hidden="1" customHeight="1" x14ac:dyDescent="0.2">
      <c r="A109" s="55"/>
      <c r="B109" s="264" t="s">
        <v>162</v>
      </c>
      <c r="C109" s="256">
        <f>SUM(Simulacao!D107:O107)</f>
        <v>11270.077818659258</v>
      </c>
      <c r="D109" s="256">
        <f>SUM(Simulacao!P107:AA107)</f>
        <v>12579.786857229699</v>
      </c>
      <c r="E109" s="256">
        <f>SUM(Simulacao!AB107:AM107)</f>
        <v>16824.336659243349</v>
      </c>
      <c r="F109" s="256">
        <f>SUM(Simulacao!AN107:AY107)</f>
        <v>18279.641780267903</v>
      </c>
      <c r="G109" s="256">
        <f>SUM(Simulacao!AZ107:BK107)</f>
        <v>19860.83079426107</v>
      </c>
      <c r="H109" s="256">
        <f>Simulacao!B107</f>
        <v>78814.673909661331</v>
      </c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</row>
    <row r="110" spans="1:21" ht="15" hidden="1" customHeight="1" x14ac:dyDescent="0.2">
      <c r="A110" s="55"/>
      <c r="B110" s="264" t="s">
        <v>163</v>
      </c>
      <c r="C110" s="256">
        <f>SUM(Simulacao!D120:O120)</f>
        <v>115239.37950560366</v>
      </c>
      <c r="D110" s="256">
        <f>SUM(Simulacao!P120:AA120)</f>
        <v>126690.79472498073</v>
      </c>
      <c r="E110" s="256">
        <f>SUM(Simulacao!AB120:AM120)</f>
        <v>93869.815531589833</v>
      </c>
      <c r="F110" s="256">
        <f>SUM(Simulacao!AN120:AY120)</f>
        <v>101989.55457507238</v>
      </c>
      <c r="G110" s="256">
        <f>SUM(Simulacao!AZ120:BK120)</f>
        <v>110811.65104581615</v>
      </c>
      <c r="H110" s="256">
        <f>Simulacao!B120</f>
        <v>548601.1953830627</v>
      </c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</row>
    <row r="111" spans="1:21" ht="15" hidden="1" customHeight="1" x14ac:dyDescent="0.2">
      <c r="A111" s="55"/>
      <c r="B111" s="264" t="s">
        <v>164</v>
      </c>
      <c r="C111" s="256">
        <f>SUM(Simulacao!D133:O133)</f>
        <v>41925.694759202022</v>
      </c>
      <c r="D111" s="256">
        <f>SUM(Simulacao!P133:AA133)</f>
        <v>45033.655170788086</v>
      </c>
      <c r="E111" s="256">
        <f>SUM(Simulacao!AB133:AM133)</f>
        <v>39256.785538234479</v>
      </c>
      <c r="F111" s="256">
        <f>SUM(Simulacao!AN133:AY133)</f>
        <v>42652.497487291759</v>
      </c>
      <c r="G111" s="256">
        <f>SUM(Simulacao!AZ133:BK133)</f>
        <v>46341.938519942487</v>
      </c>
      <c r="H111" s="256">
        <f>Simulacao!B133</f>
        <v>215210.57147545886</v>
      </c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</row>
    <row r="112" spans="1:21" ht="15" hidden="1" customHeight="1" x14ac:dyDescent="0.2">
      <c r="A112" s="55"/>
      <c r="B112" s="264" t="s">
        <v>165</v>
      </c>
      <c r="C112" s="256">
        <f>SUM(Simulacao!D146:O146)</f>
        <v>30748.786129907683</v>
      </c>
      <c r="D112" s="256">
        <f>SUM(Simulacao!P146:AA146)</f>
        <v>32992.101227786443</v>
      </c>
      <c r="E112" s="256">
        <f>SUM(Simulacao!AB146:AM146)</f>
        <v>32855.903528260569</v>
      </c>
      <c r="F112" s="256">
        <f>SUM(Simulacao!AN146:AY146)</f>
        <v>35697.939183455121</v>
      </c>
      <c r="G112" s="256">
        <f>SUM(Simulacao!AZ146:BK146)</f>
        <v>38785.810922823977</v>
      </c>
      <c r="H112" s="256">
        <f>Simulacao!B146</f>
        <v>171080.54099223376</v>
      </c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</row>
    <row r="113" spans="1:21" ht="15" hidden="1" customHeight="1" x14ac:dyDescent="0.2">
      <c r="A113" s="55"/>
      <c r="B113" s="264" t="s">
        <v>166</v>
      </c>
      <c r="C113" s="256">
        <f>SUM(Simulacao!D159:O159)</f>
        <v>13537.980669793664</v>
      </c>
      <c r="D113" s="256">
        <f>SUM(Simulacao!P159:AA159)</f>
        <v>14514.272519664411</v>
      </c>
      <c r="E113" s="256">
        <f>SUM(Simulacao!AB159:AM159)</f>
        <v>11289.629049701687</v>
      </c>
      <c r="F113" s="256">
        <f>SUM(Simulacao!AN159:AY159)</f>
        <v>12266.181962500881</v>
      </c>
      <c r="G113" s="256">
        <f>SUM(Simulacao!AZ159:BK159)</f>
        <v>11889.950867231453</v>
      </c>
      <c r="H113" s="256">
        <f>Simulacao!B159</f>
        <v>63498.015068892135</v>
      </c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</row>
    <row r="114" spans="1:21" ht="15" hidden="1" customHeight="1" x14ac:dyDescent="0.2">
      <c r="A114" s="55"/>
      <c r="B114" s="264" t="s">
        <v>167</v>
      </c>
      <c r="C114" s="256">
        <f>SUM(Simulacao!D172:O172)</f>
        <v>6075.7698523414001</v>
      </c>
      <c r="D114" s="256">
        <f>SUM(Simulacao!P172:AA172)</f>
        <v>6896.8129699724213</v>
      </c>
      <c r="E114" s="256">
        <f>SUM(Simulacao!AB172:AM172)</f>
        <v>3993.2107952130805</v>
      </c>
      <c r="F114" s="256">
        <f>SUM(Simulacao!AN172:AY172)</f>
        <v>4338.6235289990127</v>
      </c>
      <c r="G114" s="256">
        <f>SUM(Simulacao!AZ172:BK172)</f>
        <v>4713.9144642574274</v>
      </c>
      <c r="H114" s="256">
        <f>Simulacao!B172</f>
        <v>26018.331610783353</v>
      </c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</row>
    <row r="115" spans="1:21" ht="15" hidden="1" customHeight="1" x14ac:dyDescent="0.2">
      <c r="A115" s="55"/>
      <c r="B115" s="264" t="s">
        <v>168</v>
      </c>
      <c r="C115" s="256">
        <f>SUM(Simulacao!D185:O185)</f>
        <v>10940.018969872099</v>
      </c>
      <c r="D115" s="256">
        <f>SUM(Simulacao!P185:AA185)</f>
        <v>11790.453650380608</v>
      </c>
      <c r="E115" s="256">
        <f>SUM(Simulacao!AB185:AM185)</f>
        <v>10761.115856217601</v>
      </c>
      <c r="F115" s="256">
        <f>SUM(Simulacao!AN185:AY185)</f>
        <v>11691.952377780426</v>
      </c>
      <c r="G115" s="256">
        <f>SUM(Simulacao!AZ185:BK185)</f>
        <v>12512.618860614593</v>
      </c>
      <c r="H115" s="256">
        <f>Simulacao!B185</f>
        <v>57696.159714865309</v>
      </c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</row>
    <row r="116" spans="1:21" ht="15" hidden="1" customHeight="1" x14ac:dyDescent="0.2">
      <c r="A116" s="55"/>
      <c r="B116" s="264" t="s">
        <v>169</v>
      </c>
      <c r="C116" s="256">
        <f>SUM(Simulacao!D198:O198)</f>
        <v>32492.132972176096</v>
      </c>
      <c r="D116" s="256">
        <f>SUM(Simulacao!P198:AA198)</f>
        <v>35185.569254807873</v>
      </c>
      <c r="E116" s="256">
        <f>SUM(Simulacao!AB198:AM198)</f>
        <v>12214.527138298836</v>
      </c>
      <c r="F116" s="256">
        <f>SUM(Simulacao!AN198:AY198)</f>
        <v>13271.083735761689</v>
      </c>
      <c r="G116" s="256">
        <f>SUM(Simulacao!AZ198:BK198)</f>
        <v>14419.032478905072</v>
      </c>
      <c r="H116" s="256">
        <f>Simulacao!B198</f>
        <v>107582.34557994963</v>
      </c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</row>
    <row r="117" spans="1:21" ht="15" hidden="1" customHeight="1" x14ac:dyDescent="0.2">
      <c r="A117" s="55"/>
      <c r="B117" s="264" t="s">
        <v>170</v>
      </c>
      <c r="C117" s="256">
        <f>SUM(Simulacao!D211:O211)</f>
        <v>115331.43460288219</v>
      </c>
      <c r="D117" s="256">
        <f>SUM(Simulacao!P211:AA211)</f>
        <v>126698.67679694644</v>
      </c>
      <c r="E117" s="256">
        <f>SUM(Simulacao!AB211:AM211)</f>
        <v>130366.58772607411</v>
      </c>
      <c r="F117" s="256">
        <f>SUM(Simulacao!AN211:AY211)</f>
        <v>141643.29756437958</v>
      </c>
      <c r="G117" s="256">
        <f>SUM(Simulacao!AZ211:BK211)</f>
        <v>153705.16908511022</v>
      </c>
      <c r="H117" s="256">
        <f>Simulacao!B211</f>
        <v>667745.1657753922</v>
      </c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</row>
    <row r="118" spans="1:21" ht="15" hidden="1" customHeight="1" x14ac:dyDescent="0.2">
      <c r="A118" s="55"/>
      <c r="B118" s="264" t="s">
        <v>171</v>
      </c>
      <c r="C118" s="256">
        <f>SUM(Simulacao!D224:O224)</f>
        <v>1920.9668026942168</v>
      </c>
      <c r="D118" s="256">
        <f>SUM(Simulacao!P224:AA224)</f>
        <v>2112.3952868029814</v>
      </c>
      <c r="E118" s="256">
        <f>SUM(Simulacao!AB224:AM224)</f>
        <v>2334.2666045547053</v>
      </c>
      <c r="F118" s="256">
        <f>SUM(Simulacao!AN224:AY224)</f>
        <v>2536.1806658486876</v>
      </c>
      <c r="G118" s="256">
        <f>SUM(Simulacao!AZ224:BK224)</f>
        <v>2755.5602934445992</v>
      </c>
      <c r="H118" s="256">
        <f>Simulacao!B224</f>
        <v>11659.369653345188</v>
      </c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</row>
    <row r="119" spans="1:21" ht="15" hidden="1" customHeight="1" x14ac:dyDescent="0.2">
      <c r="A119" s="55"/>
      <c r="B119" s="264" t="s">
        <v>172</v>
      </c>
      <c r="C119" s="256">
        <f>SUM(Simulacao!D236:O236)</f>
        <v>15623.859010393247</v>
      </c>
      <c r="D119" s="256">
        <f>SUM(Simulacao!P236:AA236)</f>
        <v>17200.933049681425</v>
      </c>
      <c r="E119" s="256">
        <f>SUM(Simulacao!AB236:AM236)</f>
        <v>20303.715183013574</v>
      </c>
      <c r="F119" s="256">
        <f>SUM(Simulacao!AN236:AY236)</f>
        <v>22059.986546344244</v>
      </c>
      <c r="G119" s="256">
        <f>SUM(Simulacao!AZ236:BK236)</f>
        <v>23968.175382603018</v>
      </c>
      <c r="H119" s="256">
        <f>Simulacao!B236</f>
        <v>99156.669172035487</v>
      </c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</row>
    <row r="120" spans="1:21" ht="15" hidden="1" customHeight="1" x14ac:dyDescent="0.2">
      <c r="A120" s="55"/>
      <c r="B120" s="264" t="s">
        <v>173</v>
      </c>
      <c r="C120" s="256">
        <f>SUM(Simulacao!D248:O248)</f>
        <v>47568.726631523605</v>
      </c>
      <c r="D120" s="256">
        <f>SUM(Simulacao!P248:AA248)</f>
        <v>54396.430655738412</v>
      </c>
      <c r="E120" s="256">
        <f>SUM(Simulacao!AB248:AM248)</f>
        <v>57079.424896281118</v>
      </c>
      <c r="F120" s="256">
        <f>SUM(Simulacao!AN248:AY248)</f>
        <v>62016.795149809441</v>
      </c>
      <c r="G120" s="256">
        <f>SUM(Simulacao!AZ248:BK248)</f>
        <v>66438.048825905207</v>
      </c>
      <c r="H120" s="256">
        <f>Simulacao!B248</f>
        <v>287499.42615925783</v>
      </c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</row>
    <row r="121" spans="1:21" ht="15" hidden="1" customHeight="1" x14ac:dyDescent="0.2">
      <c r="A121" s="55"/>
      <c r="B121" s="248" t="s">
        <v>109</v>
      </c>
      <c r="C121" s="251">
        <f t="shared" ref="C121:H121" si="2">SUM(C104:C120)</f>
        <v>512622.29100513109</v>
      </c>
      <c r="D121" s="251">
        <f t="shared" si="2"/>
        <v>1258177.1821866969</v>
      </c>
      <c r="E121" s="251">
        <f t="shared" si="2"/>
        <v>1512234.7230310356</v>
      </c>
      <c r="F121" s="251">
        <f t="shared" si="2"/>
        <v>1893674.9626293026</v>
      </c>
      <c r="G121" s="251">
        <f t="shared" si="2"/>
        <v>2112136.1319017732</v>
      </c>
      <c r="H121" s="251">
        <f t="shared" si="2"/>
        <v>7288845.2907539401</v>
      </c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</row>
    <row r="122" spans="1:21" x14ac:dyDescent="0.2">
      <c r="B122" s="267" t="s">
        <v>174</v>
      </c>
      <c r="C122" s="268">
        <f>-SUM(Simulacao!D7:O7)</f>
        <v>-837634.3999800001</v>
      </c>
      <c r="D122" s="268">
        <f>-SUM(Simulacao!P7:AA7)</f>
        <v>-872753.84556359996</v>
      </c>
      <c r="E122" s="268">
        <f>-SUM(Simulacao!AB7:AM7)</f>
        <v>-907467.62977089209</v>
      </c>
      <c r="F122" s="268">
        <f>-SUM(Simulacao!AN7:AY7)</f>
        <v>-943562.15474502929</v>
      </c>
      <c r="G122" s="268">
        <f>-SUM(Simulacao!AZ7:BK7)</f>
        <v>-981092.33945001254</v>
      </c>
      <c r="H122" s="268">
        <f>-Simulacao!B7</f>
        <v>-4542510.3695095358</v>
      </c>
    </row>
    <row r="123" spans="1:21" x14ac:dyDescent="0.2">
      <c r="B123" s="267" t="s">
        <v>175</v>
      </c>
      <c r="C123" s="268">
        <f>-SUM(Simulacao!D253:O253)</f>
        <v>0</v>
      </c>
      <c r="D123" s="268">
        <f>-SUM(Simulacao!P253:AA253)</f>
        <v>0</v>
      </c>
      <c r="E123" s="268">
        <f>-SUM(Simulacao!AB253:AM253)</f>
        <v>0</v>
      </c>
      <c r="F123" s="268">
        <f>-SUM(Simulacao!AN253:AY253)</f>
        <v>0</v>
      </c>
      <c r="G123" s="268">
        <f>-SUM(Simulacao!AZ253:BK253)</f>
        <v>0</v>
      </c>
      <c r="H123" s="268">
        <f>-Simulacao!B253</f>
        <v>0</v>
      </c>
    </row>
    <row r="124" spans="1:21" x14ac:dyDescent="0.2">
      <c r="B124" s="269" t="s">
        <v>176</v>
      </c>
      <c r="C124" s="270">
        <f>SUM(Simulacao!D252:O252)</f>
        <v>-325012.10897486896</v>
      </c>
      <c r="D124" s="270">
        <f>SUM(Simulacao!P252:AA252)</f>
        <v>312148.95333927067</v>
      </c>
      <c r="E124" s="270">
        <f>SUM(Simulacao!AB252:AM252)</f>
        <v>604767.09326014423</v>
      </c>
      <c r="F124" s="270">
        <f>SUM(Simulacao!AN252:AY252)</f>
        <v>950112.80788427335</v>
      </c>
      <c r="G124" s="270">
        <f>SUM(Simulacao!AZ252:BK252)</f>
        <v>1131043.7924517603</v>
      </c>
      <c r="H124" s="270">
        <f>Simulacao!B252</f>
        <v>2673060.5379605796</v>
      </c>
    </row>
    <row r="125" spans="1:21" x14ac:dyDescent="0.2">
      <c r="B125" s="271" t="s">
        <v>177</v>
      </c>
      <c r="C125" s="272"/>
      <c r="D125" s="272"/>
      <c r="E125" s="272"/>
      <c r="F125" s="272"/>
      <c r="G125" s="273">
        <f>Simulacao!B285</f>
        <v>573978.69006635947</v>
      </c>
      <c r="H125" s="273">
        <f>Simulacao!B285</f>
        <v>573978.69006635947</v>
      </c>
    </row>
    <row r="126" spans="1:21" x14ac:dyDescent="0.2">
      <c r="B126" s="274" t="s">
        <v>178</v>
      </c>
      <c r="C126" s="275">
        <f>C124</f>
        <v>-325012.10897486896</v>
      </c>
      <c r="D126" s="275">
        <f>D124</f>
        <v>312148.95333927067</v>
      </c>
      <c r="E126" s="275">
        <f>E124</f>
        <v>604767.09326014423</v>
      </c>
      <c r="F126" s="275">
        <f>F124</f>
        <v>950112.80788427335</v>
      </c>
      <c r="G126" s="275">
        <f>G124+G125</f>
        <v>1705022.4825181197</v>
      </c>
      <c r="H126" s="275">
        <f>Simulacao!B278</f>
        <v>3247039.2280269391</v>
      </c>
    </row>
  </sheetData>
  <mergeCells count="49">
    <mergeCell ref="B12:D12"/>
    <mergeCell ref="K13:L13"/>
    <mergeCell ref="K18:L18"/>
    <mergeCell ref="I9:J9"/>
    <mergeCell ref="B45:L45"/>
    <mergeCell ref="K14:L14"/>
    <mergeCell ref="I17:J17"/>
    <mergeCell ref="B16:D16"/>
    <mergeCell ref="K17:L17"/>
    <mergeCell ref="B20:L20"/>
    <mergeCell ref="B2:L2"/>
    <mergeCell ref="B9:D9"/>
    <mergeCell ref="B15:D15"/>
    <mergeCell ref="I18:J18"/>
    <mergeCell ref="B1:L1"/>
    <mergeCell ref="I12:J12"/>
    <mergeCell ref="J4:K4"/>
    <mergeCell ref="K12:L12"/>
    <mergeCell ref="D4:E4"/>
    <mergeCell ref="I14:J14"/>
    <mergeCell ref="B6:C6"/>
    <mergeCell ref="B4:C4"/>
    <mergeCell ref="I10:J10"/>
    <mergeCell ref="B5:C5"/>
    <mergeCell ref="K10:L10"/>
    <mergeCell ref="D5:E5"/>
    <mergeCell ref="K11:L11"/>
    <mergeCell ref="H6:I6"/>
    <mergeCell ref="I16:J16"/>
    <mergeCell ref="J6:K6"/>
    <mergeCell ref="F5:G5"/>
    <mergeCell ref="H5:I5"/>
    <mergeCell ref="I13:J13"/>
    <mergeCell ref="K16:L16"/>
    <mergeCell ref="F4:G4"/>
    <mergeCell ref="B11:D11"/>
    <mergeCell ref="B14:D14"/>
    <mergeCell ref="J5:K5"/>
    <mergeCell ref="I8:L8"/>
    <mergeCell ref="I15:J15"/>
    <mergeCell ref="K15:L15"/>
    <mergeCell ref="I11:J11"/>
    <mergeCell ref="B8:G8"/>
    <mergeCell ref="B13:D13"/>
    <mergeCell ref="K9:L9"/>
    <mergeCell ref="F6:G6"/>
    <mergeCell ref="H4:I4"/>
    <mergeCell ref="B10:D10"/>
    <mergeCell ref="D6:E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Z132"/>
  <sheetViews>
    <sheetView showGridLines="0" topLeftCell="A14" zoomScale="85" zoomScaleNormal="85" workbookViewId="0">
      <selection activeCell="I33" sqref="I33"/>
    </sheetView>
  </sheetViews>
  <sheetFormatPr baseColWidth="10" defaultColWidth="8.6640625" defaultRowHeight="15" x14ac:dyDescent="0.2"/>
  <cols>
    <col min="1" max="1" width="79.33203125" customWidth="1"/>
    <col min="2" max="2" width="18" customWidth="1"/>
    <col min="3" max="3" width="30" customWidth="1"/>
    <col min="4" max="4" width="21.5" customWidth="1"/>
    <col min="5" max="5" width="18" customWidth="1"/>
    <col min="6" max="11" width="19.1640625" customWidth="1"/>
    <col min="13" max="13" width="3" customWidth="1"/>
    <col min="14" max="14" width="51" customWidth="1"/>
    <col min="15" max="15" width="16.33203125" customWidth="1"/>
    <col min="16" max="16" width="13.83203125" customWidth="1"/>
    <col min="17" max="17" width="15" customWidth="1"/>
    <col min="18" max="18" width="20" customWidth="1"/>
    <col min="19" max="19" width="15" customWidth="1"/>
  </cols>
  <sheetData>
    <row r="1" spans="1:19" ht="21.75" customHeight="1" x14ac:dyDescent="0.2">
      <c r="A1" s="328" t="str">
        <f>"PREMISSAS — "&amp;Premissas!$B$13&amp;" × Copasul | Energisa MS"</f>
        <v>PREMISSAS — Cassilândia 03 × Copasul | Energisa MS</v>
      </c>
      <c r="B1" s="289"/>
      <c r="C1" s="289"/>
      <c r="D1" s="289"/>
      <c r="E1" s="289"/>
      <c r="F1" s="56"/>
      <c r="G1" s="56"/>
      <c r="H1" s="56"/>
      <c r="I1" s="56"/>
      <c r="J1" s="56"/>
      <c r="K1" s="56"/>
      <c r="M1" s="332" t="s">
        <v>179</v>
      </c>
      <c r="N1" s="289"/>
      <c r="O1" s="289"/>
      <c r="P1" s="289"/>
      <c r="Q1" s="289"/>
      <c r="R1" s="289"/>
      <c r="S1" s="289"/>
    </row>
    <row r="2" spans="1:19" ht="12.75" customHeight="1" x14ac:dyDescent="0.2">
      <c r="A2" s="355" t="s">
        <v>180</v>
      </c>
      <c r="B2" s="289"/>
      <c r="C2" s="289"/>
      <c r="D2" s="289"/>
      <c r="E2" s="289"/>
      <c r="F2" s="57"/>
      <c r="G2" s="57"/>
      <c r="H2" s="57"/>
      <c r="I2" s="57"/>
      <c r="J2" s="57"/>
      <c r="K2" s="57"/>
      <c r="M2" s="349" t="s">
        <v>181</v>
      </c>
      <c r="N2" s="289"/>
      <c r="O2" s="289"/>
      <c r="P2" s="289"/>
      <c r="Q2" s="289"/>
      <c r="R2" s="289"/>
      <c r="S2" s="289"/>
    </row>
    <row r="3" spans="1:19" ht="6" customHeight="1" x14ac:dyDescent="0.2"/>
    <row r="4" spans="1:19" ht="15.75" customHeight="1" x14ac:dyDescent="0.2">
      <c r="A4" s="348" t="s">
        <v>182</v>
      </c>
      <c r="B4" s="289"/>
      <c r="C4" s="289"/>
      <c r="D4" s="289"/>
      <c r="E4" s="289"/>
      <c r="F4" s="58"/>
      <c r="G4" s="58"/>
      <c r="H4" s="58"/>
      <c r="I4" s="58"/>
      <c r="J4" s="58"/>
      <c r="K4" s="58"/>
      <c r="M4" s="329" t="s">
        <v>183</v>
      </c>
      <c r="N4" s="289"/>
      <c r="O4" s="289"/>
      <c r="P4" s="2" t="s">
        <v>184</v>
      </c>
      <c r="Q4" s="2" t="s">
        <v>185</v>
      </c>
      <c r="R4" s="290" t="s">
        <v>186</v>
      </c>
      <c r="S4" s="289"/>
    </row>
    <row r="5" spans="1:19" ht="24" customHeight="1" x14ac:dyDescent="0.2">
      <c r="A5" s="59" t="s">
        <v>187</v>
      </c>
      <c r="B5" s="60">
        <v>0.52647111134532698</v>
      </c>
      <c r="C5" s="61" t="s">
        <v>188</v>
      </c>
      <c r="M5" s="338" t="s">
        <v>189</v>
      </c>
      <c r="N5" s="327"/>
      <c r="O5" s="327"/>
      <c r="P5" s="62" t="s">
        <v>190</v>
      </c>
      <c r="Q5" s="63">
        <f>Simulacao!B252</f>
        <v>2673060.5379605796</v>
      </c>
      <c r="R5" s="325" t="s">
        <v>191</v>
      </c>
      <c r="S5" s="289"/>
    </row>
    <row r="6" spans="1:19" ht="14.25" customHeight="1" x14ac:dyDescent="0.2">
      <c r="A6" s="59" t="s">
        <v>192</v>
      </c>
      <c r="B6" s="60">
        <v>2.9723794027943402</v>
      </c>
      <c r="C6" s="61" t="s">
        <v>193</v>
      </c>
    </row>
    <row r="7" spans="1:19" ht="21.75" customHeight="1" x14ac:dyDescent="0.2">
      <c r="A7" s="59" t="s">
        <v>194</v>
      </c>
      <c r="B7" s="60">
        <v>1.15686364923884</v>
      </c>
      <c r="C7" s="61" t="s">
        <v>195</v>
      </c>
      <c r="M7" s="347" t="s">
        <v>196</v>
      </c>
      <c r="N7" s="289"/>
      <c r="O7" s="352" t="s">
        <v>197</v>
      </c>
      <c r="P7" s="289"/>
      <c r="Q7" s="289"/>
      <c r="R7" s="289"/>
      <c r="S7" s="289"/>
    </row>
    <row r="8" spans="1:19" ht="21.75" customHeight="1" x14ac:dyDescent="0.2">
      <c r="A8" s="59" t="s">
        <v>198</v>
      </c>
      <c r="B8" s="65">
        <v>0.60426704914726304</v>
      </c>
      <c r="C8" s="61" t="s">
        <v>199</v>
      </c>
      <c r="M8" s="298" t="s">
        <v>200</v>
      </c>
      <c r="N8" s="289"/>
      <c r="O8" s="361" t="s">
        <v>201</v>
      </c>
      <c r="P8" s="289"/>
      <c r="Q8" s="289"/>
      <c r="R8" s="289"/>
      <c r="S8" s="289"/>
    </row>
    <row r="9" spans="1:19" ht="21.75" customHeight="1" x14ac:dyDescent="0.2">
      <c r="A9" s="59" t="s">
        <v>202</v>
      </c>
      <c r="B9" s="66">
        <v>0.17</v>
      </c>
      <c r="C9" s="61" t="s">
        <v>203</v>
      </c>
      <c r="M9" s="329" t="s">
        <v>204</v>
      </c>
      <c r="N9" s="289"/>
      <c r="O9" s="344" t="s">
        <v>205</v>
      </c>
      <c r="P9" s="289"/>
      <c r="Q9" s="289"/>
      <c r="R9" s="289"/>
      <c r="S9" s="289"/>
    </row>
    <row r="10" spans="1:19" ht="21" customHeight="1" x14ac:dyDescent="0.2">
      <c r="A10" s="59" t="s">
        <v>206</v>
      </c>
      <c r="B10" s="66">
        <v>8.5500000000000007E-2</v>
      </c>
      <c r="C10" s="61" t="s">
        <v>207</v>
      </c>
      <c r="M10" s="329" t="s">
        <v>208</v>
      </c>
      <c r="N10" s="289"/>
      <c r="O10" s="344" t="s">
        <v>209</v>
      </c>
      <c r="P10" s="289"/>
      <c r="Q10" s="289"/>
      <c r="R10" s="289"/>
      <c r="S10" s="289"/>
    </row>
    <row r="11" spans="1:19" ht="33" customHeight="1" x14ac:dyDescent="0.2">
      <c r="A11" s="67" t="s">
        <v>210</v>
      </c>
      <c r="B11" s="68" t="s">
        <v>211</v>
      </c>
      <c r="C11" s="69">
        <f>IF($B$11="Sim",0,$B$5*$B$9/(1+$B$9))</f>
        <v>0</v>
      </c>
      <c r="D11" s="69">
        <f>IF($B$11="Sim",0,$B$6*$B$9/(1+$B$9))</f>
        <v>0</v>
      </c>
      <c r="E11" s="69">
        <f>IF($B$11="Sim",0,$B$7*$B$9/(1+$B$9))</f>
        <v>0</v>
      </c>
      <c r="F11" s="70" t="s">
        <v>212</v>
      </c>
      <c r="G11" s="69"/>
      <c r="H11" s="69"/>
      <c r="I11" s="71"/>
      <c r="J11" s="71"/>
      <c r="K11" s="71"/>
    </row>
    <row r="12" spans="1:19" ht="15.75" customHeight="1" x14ac:dyDescent="0.2">
      <c r="A12" s="348" t="s">
        <v>213</v>
      </c>
      <c r="B12" s="289"/>
      <c r="C12" s="289"/>
      <c r="D12" s="289"/>
      <c r="E12" s="289"/>
      <c r="F12" s="58"/>
      <c r="G12" s="58"/>
      <c r="H12" s="58"/>
      <c r="I12" s="58"/>
      <c r="J12" s="58"/>
      <c r="K12" s="58"/>
      <c r="M12" s="298" t="s">
        <v>214</v>
      </c>
      <c r="N12" s="289"/>
      <c r="O12" s="289"/>
      <c r="P12" s="289"/>
      <c r="Q12" s="289"/>
      <c r="R12" s="289"/>
      <c r="S12" s="289"/>
    </row>
    <row r="13" spans="1:19" ht="13.5" customHeight="1" x14ac:dyDescent="0.2">
      <c r="A13" s="59" t="s">
        <v>215</v>
      </c>
      <c r="B13" s="72" t="s">
        <v>216</v>
      </c>
      <c r="M13" s="335" t="s">
        <v>217</v>
      </c>
      <c r="N13" s="334"/>
      <c r="O13" s="73" t="s">
        <v>218</v>
      </c>
      <c r="P13" s="335" t="s">
        <v>219</v>
      </c>
      <c r="Q13" s="334"/>
      <c r="R13" s="335" t="s">
        <v>220</v>
      </c>
      <c r="S13" s="334"/>
    </row>
    <row r="14" spans="1:19" ht="15" customHeight="1" x14ac:dyDescent="0.2">
      <c r="A14" s="59" t="s">
        <v>221</v>
      </c>
      <c r="B14" s="74" t="s">
        <v>222</v>
      </c>
      <c r="M14" s="362" t="s">
        <v>223</v>
      </c>
      <c r="N14" s="327"/>
      <c r="O14" s="75" t="s">
        <v>224</v>
      </c>
      <c r="P14" s="350" t="s">
        <v>225</v>
      </c>
      <c r="Q14" s="327"/>
      <c r="R14" s="351" t="s">
        <v>226</v>
      </c>
      <c r="S14" s="327"/>
    </row>
    <row r="15" spans="1:19" ht="15" customHeight="1" x14ac:dyDescent="0.2">
      <c r="A15" s="59" t="s">
        <v>227</v>
      </c>
      <c r="B15" s="74" t="s">
        <v>228</v>
      </c>
      <c r="M15" s="330" t="s">
        <v>229</v>
      </c>
      <c r="N15" s="327"/>
      <c r="O15" s="76" t="s">
        <v>230</v>
      </c>
      <c r="P15" s="337" t="s">
        <v>231</v>
      </c>
      <c r="Q15" s="327"/>
      <c r="R15" s="341" t="s">
        <v>232</v>
      </c>
      <c r="S15" s="327"/>
    </row>
    <row r="16" spans="1:19" ht="15" customHeight="1" x14ac:dyDescent="0.2">
      <c r="A16" s="59" t="s">
        <v>233</v>
      </c>
      <c r="B16" s="77">
        <v>60</v>
      </c>
      <c r="M16" s="330" t="s">
        <v>234</v>
      </c>
      <c r="N16" s="327"/>
      <c r="O16" s="76" t="s">
        <v>230</v>
      </c>
      <c r="P16" s="337" t="s">
        <v>231</v>
      </c>
      <c r="Q16" s="327"/>
      <c r="R16" s="341" t="s">
        <v>235</v>
      </c>
      <c r="S16" s="327"/>
    </row>
    <row r="17" spans="1:26" ht="15" customHeight="1" x14ac:dyDescent="0.2">
      <c r="A17" s="59" t="s">
        <v>236</v>
      </c>
      <c r="B17" s="60">
        <v>0.4425</v>
      </c>
      <c r="D17" s="277" t="s">
        <v>237</v>
      </c>
      <c r="E17" s="278">
        <f>B17*(1+B128)</f>
        <v>0.49560000000000004</v>
      </c>
      <c r="M17" s="330" t="s">
        <v>238</v>
      </c>
      <c r="N17" s="327"/>
      <c r="O17" s="76" t="s">
        <v>230</v>
      </c>
      <c r="P17" s="337" t="s">
        <v>231</v>
      </c>
      <c r="Q17" s="327"/>
      <c r="R17" s="341" t="s">
        <v>239</v>
      </c>
      <c r="S17" s="327"/>
    </row>
    <row r="18" spans="1:26" ht="15.75" customHeight="1" x14ac:dyDescent="0.2">
      <c r="A18" s="64" t="s">
        <v>240</v>
      </c>
      <c r="M18" s="330" t="s">
        <v>241</v>
      </c>
      <c r="N18" s="327"/>
      <c r="O18" s="76" t="s">
        <v>230</v>
      </c>
      <c r="P18" s="337" t="s">
        <v>231</v>
      </c>
      <c r="Q18" s="327"/>
      <c r="R18" s="341" t="s">
        <v>242</v>
      </c>
      <c r="S18" s="327"/>
    </row>
    <row r="19" spans="1:26" ht="15" customHeight="1" x14ac:dyDescent="0.2">
      <c r="A19" s="78" t="s">
        <v>243</v>
      </c>
      <c r="B19" s="68" t="s">
        <v>211</v>
      </c>
      <c r="C19" s="79" t="s">
        <v>244</v>
      </c>
      <c r="D19" s="80">
        <v>0.2</v>
      </c>
      <c r="E19" s="79" t="s">
        <v>245</v>
      </c>
      <c r="F19" s="81">
        <f>IF(B19="Sim",B7*(1-D19),B7)</f>
        <v>0.92549091939107209</v>
      </c>
      <c r="G19" s="79"/>
      <c r="H19" s="79"/>
      <c r="I19" s="79"/>
      <c r="J19" s="79"/>
      <c r="K19" s="79"/>
      <c r="M19" s="340" t="s">
        <v>246</v>
      </c>
      <c r="N19" s="334"/>
      <c r="O19" s="76" t="s">
        <v>230</v>
      </c>
      <c r="P19" s="326">
        <v>1</v>
      </c>
      <c r="Q19" s="327"/>
      <c r="R19" s="341" t="s">
        <v>247</v>
      </c>
      <c r="S19" s="327"/>
    </row>
    <row r="20" spans="1:26" ht="15" customHeight="1" x14ac:dyDescent="0.2">
      <c r="A20" s="348" t="s">
        <v>248</v>
      </c>
      <c r="B20" s="289"/>
      <c r="C20" s="289"/>
      <c r="D20" s="289"/>
      <c r="E20" s="289"/>
      <c r="F20" s="58"/>
      <c r="G20" s="58"/>
      <c r="H20" s="58"/>
      <c r="I20" s="58"/>
      <c r="J20" s="58"/>
      <c r="K20" s="58"/>
      <c r="M20" s="340" t="s">
        <v>249</v>
      </c>
      <c r="N20" s="334"/>
      <c r="O20" s="76" t="s">
        <v>230</v>
      </c>
      <c r="P20" s="326">
        <v>1</v>
      </c>
      <c r="Q20" s="327"/>
      <c r="R20" s="341" t="s">
        <v>250</v>
      </c>
      <c r="S20" s="327"/>
    </row>
    <row r="21" spans="1:26" ht="15" customHeight="1" x14ac:dyDescent="0.2">
      <c r="A21" s="59" t="s">
        <v>251</v>
      </c>
      <c r="B21" s="66">
        <v>2.5000000000000001E-2</v>
      </c>
      <c r="C21" s="61" t="s">
        <v>252</v>
      </c>
      <c r="M21" s="340" t="s">
        <v>253</v>
      </c>
      <c r="N21" s="334"/>
      <c r="O21" s="76" t="s">
        <v>230</v>
      </c>
      <c r="P21" s="326">
        <v>1</v>
      </c>
      <c r="Q21" s="327"/>
      <c r="R21" s="341" t="s">
        <v>254</v>
      </c>
      <c r="S21" s="327"/>
      <c r="T21" s="82"/>
      <c r="U21" s="82"/>
      <c r="V21" s="83"/>
      <c r="W21" s="84"/>
      <c r="X21" s="84"/>
      <c r="Y21" s="85"/>
      <c r="Z21" s="85"/>
    </row>
    <row r="22" spans="1:26" ht="15" customHeight="1" x14ac:dyDescent="0.2">
      <c r="A22" s="59" t="s">
        <v>255</v>
      </c>
      <c r="B22" s="86">
        <f>B21</f>
        <v>2.5000000000000001E-2</v>
      </c>
      <c r="C22" s="61" t="s">
        <v>256</v>
      </c>
      <c r="M22" s="340" t="s">
        <v>257</v>
      </c>
      <c r="N22" s="334"/>
      <c r="O22" s="76" t="s">
        <v>230</v>
      </c>
      <c r="P22" s="326">
        <v>1</v>
      </c>
      <c r="Q22" s="327"/>
      <c r="R22" s="341" t="s">
        <v>258</v>
      </c>
      <c r="S22" s="327"/>
    </row>
    <row r="23" spans="1:26" ht="15" customHeight="1" x14ac:dyDescent="0.2">
      <c r="A23" s="59" t="s">
        <v>259</v>
      </c>
      <c r="B23" s="66">
        <v>5.0000000000000001E-3</v>
      </c>
      <c r="C23" s="61" t="s">
        <v>260</v>
      </c>
      <c r="M23" s="340" t="s">
        <v>261</v>
      </c>
      <c r="N23" s="334"/>
      <c r="O23" s="76" t="s">
        <v>230</v>
      </c>
      <c r="P23" s="326">
        <v>1</v>
      </c>
      <c r="Q23" s="327"/>
      <c r="R23" s="341" t="s">
        <v>262</v>
      </c>
      <c r="S23" s="327"/>
    </row>
    <row r="24" spans="1:26" ht="15" customHeight="1" x14ac:dyDescent="0.2">
      <c r="A24" s="59" t="s">
        <v>263</v>
      </c>
      <c r="B24" s="87" t="s">
        <v>211</v>
      </c>
      <c r="M24" s="340" t="s">
        <v>264</v>
      </c>
      <c r="N24" s="334"/>
      <c r="O24" s="76" t="s">
        <v>230</v>
      </c>
      <c r="P24" s="326">
        <v>1</v>
      </c>
      <c r="Q24" s="327"/>
      <c r="R24" s="341" t="s">
        <v>265</v>
      </c>
      <c r="S24" s="327"/>
    </row>
    <row r="25" spans="1:26" ht="18" customHeight="1" x14ac:dyDescent="0.2">
      <c r="A25" s="348" t="s">
        <v>266</v>
      </c>
      <c r="B25" s="289"/>
      <c r="C25" s="289"/>
      <c r="D25" s="289"/>
      <c r="E25" s="289"/>
      <c r="F25" s="58"/>
      <c r="G25" s="58"/>
      <c r="H25" s="58"/>
      <c r="I25" s="58"/>
      <c r="J25" s="58"/>
      <c r="K25" s="58"/>
      <c r="M25" s="331" t="s">
        <v>267</v>
      </c>
      <c r="N25" s="327"/>
      <c r="O25" s="88" t="s">
        <v>230</v>
      </c>
      <c r="P25" s="343" t="s">
        <v>225</v>
      </c>
      <c r="Q25" s="327"/>
      <c r="R25" s="346" t="s">
        <v>268</v>
      </c>
      <c r="S25" s="327"/>
    </row>
    <row r="26" spans="1:26" ht="18" customHeight="1" x14ac:dyDescent="0.2">
      <c r="A26" s="59" t="s">
        <v>269</v>
      </c>
      <c r="B26" s="89">
        <v>786669</v>
      </c>
      <c r="M26" s="331" t="s">
        <v>270</v>
      </c>
      <c r="N26" s="327"/>
      <c r="O26" s="88" t="s">
        <v>271</v>
      </c>
      <c r="P26" s="343" t="s">
        <v>231</v>
      </c>
      <c r="Q26" s="327"/>
      <c r="R26" s="346" t="s">
        <v>272</v>
      </c>
      <c r="S26" s="327"/>
    </row>
    <row r="27" spans="1:26" ht="18" customHeight="1" x14ac:dyDescent="0.2">
      <c r="A27" s="59" t="s">
        <v>273</v>
      </c>
      <c r="B27" s="89">
        <v>791092</v>
      </c>
    </row>
    <row r="28" spans="1:26" ht="15" customHeight="1" x14ac:dyDescent="0.2">
      <c r="A28" s="59" t="s">
        <v>274</v>
      </c>
      <c r="B28" s="89">
        <v>0</v>
      </c>
    </row>
    <row r="29" spans="1:26" ht="15.75" customHeight="1" x14ac:dyDescent="0.2">
      <c r="A29" s="59" t="s">
        <v>275</v>
      </c>
      <c r="B29" s="90">
        <f>B26+B28</f>
        <v>786669</v>
      </c>
      <c r="C29" s="61" t="s">
        <v>276</v>
      </c>
      <c r="M29" s="298" t="s">
        <v>277</v>
      </c>
      <c r="N29" s="289"/>
      <c r="O29" s="289"/>
      <c r="P29" s="289"/>
      <c r="Q29" s="289"/>
      <c r="R29" s="289"/>
      <c r="S29" s="289"/>
    </row>
    <row r="30" spans="1:26" ht="13.5" customHeight="1" x14ac:dyDescent="0.2">
      <c r="M30" s="360" t="s">
        <v>278</v>
      </c>
      <c r="N30" s="334"/>
      <c r="O30" s="91" t="s">
        <v>279</v>
      </c>
      <c r="P30" s="354" t="s">
        <v>280</v>
      </c>
      <c r="Q30" s="327"/>
      <c r="R30" s="327"/>
      <c r="S30" s="334"/>
    </row>
    <row r="31" spans="1:26" ht="19.5" customHeight="1" x14ac:dyDescent="0.2">
      <c r="A31" s="298" t="str">
        <f>"E.  RATEIO FIXO "&amp;INDEX(PVSYST_Helexia!$A$5:$A$7,MATCH(Premissas!$B$13,PVSYST_Helexia!$B$5:$B$7,0))&amp;" — 4 PERÍODOS (edit percentuais — devem somar 100% por período)"</f>
        <v>E.  RATEIO FIXO HCS03 — 4 PERÍODOS (edit percentuais — devem somar 100% por período)</v>
      </c>
      <c r="B31" s="289"/>
      <c r="C31" s="289"/>
      <c r="D31" s="289"/>
      <c r="E31" s="289"/>
      <c r="F31" s="359" t="s">
        <v>281</v>
      </c>
      <c r="G31" s="289"/>
      <c r="H31" s="289"/>
      <c r="I31" s="289"/>
      <c r="J31" s="289"/>
      <c r="K31" s="289"/>
      <c r="M31" s="333" t="s">
        <v>282</v>
      </c>
      <c r="N31" s="334"/>
      <c r="O31" s="92" t="s">
        <v>283</v>
      </c>
      <c r="P31" s="342" t="s">
        <v>284</v>
      </c>
      <c r="Q31" s="327"/>
      <c r="R31" s="327"/>
      <c r="S31" s="334"/>
    </row>
    <row r="32" spans="1:26" ht="30" customHeight="1" x14ac:dyDescent="0.2">
      <c r="A32" s="3" t="s">
        <v>285</v>
      </c>
      <c r="B32" s="93" t="s">
        <v>286</v>
      </c>
      <c r="C32" s="93" t="s">
        <v>287</v>
      </c>
      <c r="D32" s="93" t="s">
        <v>288</v>
      </c>
      <c r="E32" s="93" t="s">
        <v>289</v>
      </c>
      <c r="F32" s="94" t="s">
        <v>290</v>
      </c>
      <c r="G32" s="93" t="s">
        <v>291</v>
      </c>
      <c r="H32" s="93" t="s">
        <v>292</v>
      </c>
      <c r="I32" s="93" t="s">
        <v>293</v>
      </c>
      <c r="J32" s="93" t="s">
        <v>294</v>
      </c>
      <c r="K32" s="93" t="s">
        <v>295</v>
      </c>
      <c r="M32" s="333" t="s">
        <v>296</v>
      </c>
      <c r="N32" s="334"/>
      <c r="O32" s="92" t="s">
        <v>297</v>
      </c>
      <c r="P32" s="342" t="s">
        <v>298</v>
      </c>
      <c r="Q32" s="327"/>
      <c r="R32" s="327"/>
      <c r="S32" s="334"/>
    </row>
    <row r="33" spans="1:19" ht="12.75" customHeight="1" x14ac:dyDescent="0.2">
      <c r="A33" s="95" t="s">
        <v>299</v>
      </c>
      <c r="B33" s="96">
        <v>0.73799999999999999</v>
      </c>
      <c r="C33" s="96">
        <v>0.51780000000000004</v>
      </c>
      <c r="D33" s="96">
        <v>0.6714</v>
      </c>
      <c r="E33" s="96">
        <v>0.25919999999999999</v>
      </c>
      <c r="F33" s="96">
        <v>0.47410000000000002</v>
      </c>
      <c r="G33" s="96">
        <v>0.46729999999999999</v>
      </c>
      <c r="H33" s="96">
        <v>0.47239999999999999</v>
      </c>
      <c r="I33" s="96">
        <v>0.46560000000000001</v>
      </c>
      <c r="J33" s="96">
        <v>0.58260000000000001</v>
      </c>
      <c r="K33" s="96">
        <v>0.46210000000000001</v>
      </c>
      <c r="M33" s="333" t="s">
        <v>300</v>
      </c>
      <c r="N33" s="334"/>
      <c r="O33" s="92" t="s">
        <v>301</v>
      </c>
      <c r="P33" s="342" t="s">
        <v>302</v>
      </c>
      <c r="Q33" s="327"/>
      <c r="R33" s="327"/>
      <c r="S33" s="334"/>
    </row>
    <row r="34" spans="1:19" ht="12.75" customHeight="1" x14ac:dyDescent="0.2">
      <c r="A34" s="95" t="s">
        <v>303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M34" s="353" t="s">
        <v>304</v>
      </c>
      <c r="N34" s="334"/>
      <c r="O34" s="75" t="s">
        <v>305</v>
      </c>
      <c r="P34" s="356" t="s">
        <v>306</v>
      </c>
      <c r="Q34" s="327"/>
      <c r="R34" s="327"/>
      <c r="S34" s="334"/>
    </row>
    <row r="35" spans="1:19" ht="12.75" customHeight="1" x14ac:dyDescent="0.2">
      <c r="A35" s="95" t="s">
        <v>145</v>
      </c>
      <c r="B35" s="96">
        <v>0</v>
      </c>
      <c r="C35" s="96">
        <v>0</v>
      </c>
      <c r="D35" s="96">
        <v>4.1000000000000003E-3</v>
      </c>
      <c r="E35" s="96">
        <v>0.15609999999999999</v>
      </c>
      <c r="F35" s="96">
        <v>0.3735</v>
      </c>
      <c r="G35" s="96">
        <v>0.36980000000000002</v>
      </c>
      <c r="H35" s="96">
        <v>0.37259999999999999</v>
      </c>
      <c r="I35" s="96">
        <v>0.36880000000000002</v>
      </c>
      <c r="J35" s="96">
        <v>0.2324</v>
      </c>
      <c r="K35" s="96">
        <v>0.29249999999999998</v>
      </c>
    </row>
    <row r="36" spans="1:19" ht="12.75" customHeight="1" x14ac:dyDescent="0.2">
      <c r="A36" s="98" t="s">
        <v>159</v>
      </c>
      <c r="B36" s="99">
        <v>2.7E-2</v>
      </c>
      <c r="C36" s="99">
        <v>5.3199999999999997E-2</v>
      </c>
      <c r="D36" s="99">
        <v>3.1099999999999999E-2</v>
      </c>
      <c r="E36" s="99">
        <v>6.7400000000000002E-2</v>
      </c>
      <c r="F36" s="99">
        <v>1.5599999999999999E-2</v>
      </c>
      <c r="G36" s="99">
        <v>1.7100000000000001E-2</v>
      </c>
      <c r="H36" s="99">
        <v>1.6E-2</v>
      </c>
      <c r="I36" s="99">
        <v>1.7399999999999999E-2</v>
      </c>
      <c r="J36" s="99">
        <v>3.04E-2</v>
      </c>
      <c r="K36" s="99">
        <v>3.2199999999999999E-2</v>
      </c>
      <c r="M36" s="325" t="s">
        <v>307</v>
      </c>
      <c r="N36" s="289"/>
      <c r="O36" s="289"/>
      <c r="P36" s="289"/>
      <c r="Q36" s="289"/>
      <c r="R36" s="289"/>
      <c r="S36" s="289"/>
    </row>
    <row r="37" spans="1:19" ht="12.75" customHeight="1" x14ac:dyDescent="0.2">
      <c r="A37" s="98" t="s">
        <v>160</v>
      </c>
      <c r="B37" s="99">
        <v>3.3E-3</v>
      </c>
      <c r="C37" s="99">
        <v>5.0000000000000001E-3</v>
      </c>
      <c r="D37" s="99">
        <v>4.0000000000000001E-3</v>
      </c>
      <c r="E37" s="99">
        <v>4.4999999999999997E-3</v>
      </c>
      <c r="F37" s="99">
        <v>2.5999999999999999E-3</v>
      </c>
      <c r="G37" s="99">
        <v>2.7000000000000001E-3</v>
      </c>
      <c r="H37" s="99">
        <v>2.5999999999999999E-3</v>
      </c>
      <c r="I37" s="99">
        <v>2.7000000000000001E-3</v>
      </c>
      <c r="J37" s="99">
        <v>2.7000000000000001E-3</v>
      </c>
      <c r="K37" s="99">
        <v>3.3999999999999998E-3</v>
      </c>
      <c r="M37" s="345" t="s">
        <v>308</v>
      </c>
      <c r="N37" s="289"/>
      <c r="O37" s="289"/>
      <c r="P37" s="100">
        <v>670877.66062698001</v>
      </c>
      <c r="Q37" s="357" t="s">
        <v>309</v>
      </c>
      <c r="R37" s="289"/>
      <c r="S37" s="289"/>
    </row>
    <row r="38" spans="1:19" ht="12.75" customHeight="1" x14ac:dyDescent="0.2">
      <c r="A38" s="98" t="s">
        <v>161</v>
      </c>
      <c r="B38" s="99">
        <v>3.0999999999999999E-3</v>
      </c>
      <c r="C38" s="99">
        <v>7.7000000000000002E-3</v>
      </c>
      <c r="D38" s="99">
        <v>3.8999999999999998E-3</v>
      </c>
      <c r="E38" s="99">
        <v>7.1999999999999998E-3</v>
      </c>
      <c r="F38" s="99">
        <v>3.2000000000000002E-3</v>
      </c>
      <c r="G38" s="99">
        <v>3.3999999999999998E-3</v>
      </c>
      <c r="H38" s="99">
        <v>3.2000000000000002E-3</v>
      </c>
      <c r="I38" s="99">
        <v>3.3999999999999998E-3</v>
      </c>
      <c r="J38" s="99">
        <v>3.7000000000000002E-3</v>
      </c>
      <c r="K38" s="99">
        <v>4.3E-3</v>
      </c>
      <c r="M38" s="345" t="s">
        <v>310</v>
      </c>
      <c r="N38" s="289"/>
      <c r="O38" s="289"/>
      <c r="P38" s="100">
        <f>Resumo!H5</f>
        <v>460824.20259236067</v>
      </c>
      <c r="Q38" s="357" t="s">
        <v>309</v>
      </c>
      <c r="R38" s="289"/>
      <c r="S38" s="289"/>
    </row>
    <row r="39" spans="1:19" ht="12.75" customHeight="1" x14ac:dyDescent="0.2">
      <c r="A39" s="98" t="s">
        <v>162</v>
      </c>
      <c r="B39" s="99">
        <v>6.4000000000000003E-3</v>
      </c>
      <c r="C39" s="99">
        <v>1.14E-2</v>
      </c>
      <c r="D39" s="99">
        <v>8.0999999999999996E-3</v>
      </c>
      <c r="E39" s="99">
        <v>9.4999999999999998E-3</v>
      </c>
      <c r="F39" s="99">
        <v>7.0000000000000001E-3</v>
      </c>
      <c r="G39" s="99">
        <v>7.4999999999999997E-3</v>
      </c>
      <c r="H39" s="99">
        <v>7.1000000000000004E-3</v>
      </c>
      <c r="I39" s="99">
        <v>7.6E-3</v>
      </c>
      <c r="J39" s="99">
        <v>9.7999999999999997E-3</v>
      </c>
      <c r="K39" s="99">
        <v>4.4000000000000003E-3</v>
      </c>
      <c r="M39" s="339" t="s">
        <v>311</v>
      </c>
      <c r="N39" s="289"/>
      <c r="O39" s="289"/>
      <c r="P39" s="101">
        <f>Simulacao!B252</f>
        <v>2673060.5379605796</v>
      </c>
      <c r="Q39" s="363" t="s">
        <v>312</v>
      </c>
      <c r="R39" s="289"/>
      <c r="S39" s="289"/>
    </row>
    <row r="40" spans="1:19" ht="12.75" customHeight="1" x14ac:dyDescent="0.2">
      <c r="A40" s="98" t="s">
        <v>163</v>
      </c>
      <c r="B40" s="99">
        <v>5.8999999999999997E-2</v>
      </c>
      <c r="C40" s="99">
        <v>0.1067</v>
      </c>
      <c r="D40" s="99">
        <v>7.2700000000000001E-2</v>
      </c>
      <c r="E40" s="99">
        <v>0.2104</v>
      </c>
      <c r="F40" s="99">
        <v>6.0000000000000001E-3</v>
      </c>
      <c r="G40" s="99">
        <v>6.4000000000000003E-3</v>
      </c>
      <c r="H40" s="99">
        <v>6.1000000000000004E-3</v>
      </c>
      <c r="I40" s="99">
        <v>6.4999999999999997E-3</v>
      </c>
      <c r="J40" s="99">
        <v>7.4999999999999997E-3</v>
      </c>
      <c r="K40" s="99">
        <v>3.1300000000000001E-2</v>
      </c>
    </row>
    <row r="41" spans="1:19" ht="12.75" customHeight="1" x14ac:dyDescent="0.2">
      <c r="A41" s="98" t="s">
        <v>164</v>
      </c>
      <c r="B41" s="99">
        <v>2.1299999999999999E-2</v>
      </c>
      <c r="C41" s="99">
        <v>3.5799999999999998E-2</v>
      </c>
      <c r="D41" s="99">
        <v>2.5999999999999999E-2</v>
      </c>
      <c r="E41" s="99">
        <v>4.3900000000000002E-2</v>
      </c>
      <c r="F41" s="99">
        <v>1.11E-2</v>
      </c>
      <c r="G41" s="99">
        <v>1.21E-2</v>
      </c>
      <c r="H41" s="99">
        <v>1.1299999999999999E-2</v>
      </c>
      <c r="I41" s="99">
        <v>1.23E-2</v>
      </c>
      <c r="J41" s="99">
        <v>1.8100000000000002E-2</v>
      </c>
      <c r="K41" s="99">
        <v>2.12E-2</v>
      </c>
    </row>
    <row r="42" spans="1:19" ht="12.75" customHeight="1" x14ac:dyDescent="0.2">
      <c r="A42" s="98" t="s">
        <v>165</v>
      </c>
      <c r="B42" s="99">
        <v>1.21E-2</v>
      </c>
      <c r="C42" s="99">
        <v>2.9600000000000001E-2</v>
      </c>
      <c r="D42" s="99">
        <v>1.5900000000000001E-2</v>
      </c>
      <c r="E42" s="99">
        <v>2.86E-2</v>
      </c>
      <c r="F42" s="99">
        <v>1.2200000000000001E-2</v>
      </c>
      <c r="G42" s="99">
        <v>1.3299999999999999E-2</v>
      </c>
      <c r="H42" s="99">
        <v>1.2500000000000001E-2</v>
      </c>
      <c r="I42" s="99">
        <v>1.3599999999999999E-2</v>
      </c>
      <c r="J42" s="99">
        <v>1.37E-2</v>
      </c>
      <c r="K42" s="99">
        <v>1.77E-2</v>
      </c>
    </row>
    <row r="43" spans="1:19" ht="12.75" customHeight="1" x14ac:dyDescent="0.2">
      <c r="A43" s="98" t="s">
        <v>166</v>
      </c>
      <c r="B43" s="99">
        <v>4.5999999999999999E-3</v>
      </c>
      <c r="C43" s="99">
        <v>1.5699999999999999E-2</v>
      </c>
      <c r="D43" s="99">
        <v>6.0000000000000001E-3</v>
      </c>
      <c r="E43" s="99">
        <v>1.47E-2</v>
      </c>
      <c r="F43" s="99">
        <v>3.0999999999999999E-3</v>
      </c>
      <c r="G43" s="99">
        <v>3.3E-3</v>
      </c>
      <c r="H43" s="99">
        <v>3.0999999999999999E-3</v>
      </c>
      <c r="I43" s="99">
        <v>3.3E-3</v>
      </c>
      <c r="J43" s="99">
        <v>3.5999999999999999E-3</v>
      </c>
      <c r="K43" s="99">
        <v>4.7999999999999996E-3</v>
      </c>
    </row>
    <row r="44" spans="1:19" ht="12.75" customHeight="1" x14ac:dyDescent="0.2">
      <c r="A44" s="98" t="s">
        <v>167</v>
      </c>
      <c r="B44" s="99">
        <v>5.8999999999999999E-3</v>
      </c>
      <c r="C44" s="99">
        <v>4.3E-3</v>
      </c>
      <c r="D44" s="99">
        <v>5.8999999999999999E-3</v>
      </c>
      <c r="E44" s="99">
        <v>4.3E-3</v>
      </c>
      <c r="F44" s="99">
        <v>2.5000000000000001E-3</v>
      </c>
      <c r="G44" s="99">
        <v>2.5999999999999999E-3</v>
      </c>
      <c r="H44" s="99">
        <v>2.5000000000000001E-3</v>
      </c>
      <c r="I44" s="99">
        <v>2.7000000000000001E-3</v>
      </c>
      <c r="J44" s="99">
        <v>2.7000000000000001E-3</v>
      </c>
      <c r="K44" s="99">
        <v>3.3E-3</v>
      </c>
    </row>
    <row r="45" spans="1:19" ht="12.75" customHeight="1" x14ac:dyDescent="0.2">
      <c r="A45" s="98" t="s">
        <v>168</v>
      </c>
      <c r="B45" s="99">
        <v>4.1999999999999997E-3</v>
      </c>
      <c r="C45" s="99">
        <v>1.14E-2</v>
      </c>
      <c r="D45" s="99">
        <v>5.4999999999999997E-3</v>
      </c>
      <c r="E45" s="99">
        <v>1.0200000000000001E-2</v>
      </c>
      <c r="F45" s="99">
        <v>4.0000000000000001E-3</v>
      </c>
      <c r="G45" s="99">
        <v>4.1999999999999997E-3</v>
      </c>
      <c r="H45" s="99">
        <v>4.0000000000000001E-3</v>
      </c>
      <c r="I45" s="99">
        <v>4.3E-3</v>
      </c>
      <c r="J45" s="99">
        <v>4.8999999999999998E-3</v>
      </c>
      <c r="K45" s="99">
        <v>4.3E-3</v>
      </c>
    </row>
    <row r="46" spans="1:19" ht="12.75" customHeight="1" x14ac:dyDescent="0.2">
      <c r="A46" s="98" t="s">
        <v>313</v>
      </c>
      <c r="B46" s="99">
        <v>2.3400000000000001E-2</v>
      </c>
      <c r="C46" s="99">
        <v>4.8300000000000003E-2</v>
      </c>
      <c r="D46" s="99">
        <v>1.47E-2</v>
      </c>
      <c r="E46" s="99">
        <v>2.6700000000000002E-2</v>
      </c>
      <c r="F46" s="99">
        <v>2.5000000000000001E-3</v>
      </c>
      <c r="G46" s="99">
        <v>2.5999999999999999E-3</v>
      </c>
      <c r="H46" s="99">
        <v>2.5000000000000001E-3</v>
      </c>
      <c r="I46" s="99">
        <v>2.7000000000000001E-3</v>
      </c>
      <c r="J46" s="99">
        <v>2.7000000000000001E-3</v>
      </c>
      <c r="K46" s="99">
        <v>3.3E-3</v>
      </c>
    </row>
    <row r="47" spans="1:19" ht="12.75" customHeight="1" x14ac:dyDescent="0.2">
      <c r="A47" s="98" t="s">
        <v>170</v>
      </c>
      <c r="B47" s="99">
        <v>5.6000000000000001E-2</v>
      </c>
      <c r="C47" s="99">
        <v>9.9299999999999999E-2</v>
      </c>
      <c r="D47" s="99">
        <v>8.2400000000000001E-2</v>
      </c>
      <c r="E47" s="99">
        <v>0.1023</v>
      </c>
      <c r="F47" s="99">
        <v>5.16E-2</v>
      </c>
      <c r="G47" s="99">
        <v>5.3100000000000001E-2</v>
      </c>
      <c r="H47" s="99">
        <v>5.1999999999999998E-2</v>
      </c>
      <c r="I47" s="99">
        <v>5.3499999999999999E-2</v>
      </c>
      <c r="J47" s="99">
        <v>4.5199999999999997E-2</v>
      </c>
      <c r="K47" s="99">
        <v>6.9900000000000004E-2</v>
      </c>
    </row>
    <row r="48" spans="1:19" ht="12.75" customHeight="1" x14ac:dyDescent="0.2">
      <c r="A48" s="98" t="s">
        <v>171</v>
      </c>
      <c r="B48" s="99">
        <v>1.1000000000000001E-3</v>
      </c>
      <c r="C48" s="99">
        <v>1.8E-3</v>
      </c>
      <c r="D48" s="99">
        <v>1.4E-3</v>
      </c>
      <c r="E48" s="99">
        <v>1.6000000000000001E-3</v>
      </c>
      <c r="F48" s="99">
        <v>2.5000000000000001E-3</v>
      </c>
      <c r="G48" s="99">
        <v>2.5999999999999999E-3</v>
      </c>
      <c r="H48" s="99">
        <v>2.5000000000000001E-3</v>
      </c>
      <c r="I48" s="99">
        <v>2.7000000000000001E-3</v>
      </c>
      <c r="J48" s="99">
        <v>2.7000000000000001E-3</v>
      </c>
      <c r="K48" s="99">
        <v>3.3E-3</v>
      </c>
    </row>
    <row r="49" spans="1:11" ht="12.75" customHeight="1" x14ac:dyDescent="0.2">
      <c r="A49" s="98" t="s">
        <v>172</v>
      </c>
      <c r="B49" s="99">
        <v>8.5000000000000006E-3</v>
      </c>
      <c r="C49" s="99">
        <v>1.5299999999999999E-2</v>
      </c>
      <c r="D49" s="99">
        <v>1.04E-2</v>
      </c>
      <c r="E49" s="99">
        <v>1.3299999999999999E-2</v>
      </c>
      <c r="F49" s="99">
        <v>7.3000000000000001E-3</v>
      </c>
      <c r="G49" s="99">
        <v>8.0000000000000002E-3</v>
      </c>
      <c r="H49" s="99">
        <v>7.4999999999999997E-3</v>
      </c>
      <c r="I49" s="99">
        <v>8.0999999999999996E-3</v>
      </c>
      <c r="J49" s="99">
        <v>1.01E-2</v>
      </c>
      <c r="K49" s="99">
        <v>1.14E-2</v>
      </c>
    </row>
    <row r="50" spans="1:11" ht="12.75" customHeight="1" x14ac:dyDescent="0.2">
      <c r="A50" s="98" t="s">
        <v>173</v>
      </c>
      <c r="B50" s="99">
        <v>2.5999999999999999E-2</v>
      </c>
      <c r="C50" s="99">
        <v>3.6499999999999998E-2</v>
      </c>
      <c r="D50" s="99">
        <v>3.6700000000000003E-2</v>
      </c>
      <c r="E50" s="99">
        <v>3.9899999999999998E-2</v>
      </c>
      <c r="F50" s="99">
        <v>2.1399999999999999E-2</v>
      </c>
      <c r="G50" s="99">
        <v>2.4E-2</v>
      </c>
      <c r="H50" s="99">
        <v>2.1999999999999999E-2</v>
      </c>
      <c r="I50" s="99">
        <v>2.46E-2</v>
      </c>
      <c r="J50" s="99">
        <v>2.7199999999999998E-2</v>
      </c>
      <c r="K50" s="99">
        <v>3.0599999999999999E-2</v>
      </c>
    </row>
    <row r="51" spans="1:11" ht="13.5" customHeight="1" x14ac:dyDescent="0.2">
      <c r="A51" s="102" t="s">
        <v>314</v>
      </c>
      <c r="B51" s="103">
        <f t="shared" ref="B51:K51" si="0">SUM(B33:B50)</f>
        <v>0.99990000000000001</v>
      </c>
      <c r="C51" s="103">
        <f t="shared" si="0"/>
        <v>0.99979999999999991</v>
      </c>
      <c r="D51" s="103">
        <f t="shared" si="0"/>
        <v>1.0002</v>
      </c>
      <c r="E51" s="103">
        <f t="shared" si="0"/>
        <v>0.99980000000000013</v>
      </c>
      <c r="F51" s="103">
        <f t="shared" si="0"/>
        <v>1.0001999999999998</v>
      </c>
      <c r="G51" s="103">
        <f t="shared" si="0"/>
        <v>1</v>
      </c>
      <c r="H51" s="103">
        <f t="shared" si="0"/>
        <v>0.99989999999999979</v>
      </c>
      <c r="I51" s="103">
        <f t="shared" si="0"/>
        <v>0.99979999999999991</v>
      </c>
      <c r="J51" s="103">
        <f t="shared" si="0"/>
        <v>1.0000000000000002</v>
      </c>
      <c r="K51" s="103">
        <f t="shared" si="0"/>
        <v>0.99999999999999967</v>
      </c>
    </row>
    <row r="52" spans="1:11" ht="27.75" customHeight="1" x14ac:dyDescent="0.2">
      <c r="A52" s="336" t="s">
        <v>315</v>
      </c>
      <c r="B52" s="289"/>
      <c r="C52" s="289"/>
      <c r="D52" s="289"/>
      <c r="E52" s="289"/>
      <c r="F52" s="104"/>
      <c r="G52" s="104"/>
      <c r="H52" s="104"/>
      <c r="I52" s="104"/>
      <c r="J52" s="104"/>
      <c r="K52" s="104"/>
    </row>
    <row r="53" spans="1:11" ht="21" customHeight="1" x14ac:dyDescent="0.2">
      <c r="A53" s="105" t="s">
        <v>316</v>
      </c>
    </row>
    <row r="54" spans="1:11" ht="15.75" customHeight="1" x14ac:dyDescent="0.2">
      <c r="A54" s="358" t="s">
        <v>317</v>
      </c>
      <c r="B54" s="289"/>
      <c r="C54" s="289"/>
      <c r="D54" s="289"/>
      <c r="E54" s="289"/>
      <c r="F54" s="106"/>
      <c r="G54" s="106"/>
      <c r="H54" s="106"/>
      <c r="I54" s="106"/>
      <c r="J54" s="106"/>
      <c r="K54" s="106"/>
    </row>
    <row r="55" spans="1:11" ht="13.5" customHeight="1" x14ac:dyDescent="0.2">
      <c r="A55" s="59" t="s">
        <v>318</v>
      </c>
      <c r="B55" s="66">
        <v>0.5</v>
      </c>
      <c r="C55" s="61" t="s">
        <v>319</v>
      </c>
    </row>
    <row r="56" spans="1:11" ht="13.5" customHeight="1" x14ac:dyDescent="0.2">
      <c r="A56" s="59" t="s">
        <v>320</v>
      </c>
      <c r="B56" s="86">
        <f>1-B55</f>
        <v>0.5</v>
      </c>
      <c r="C56" s="61" t="s">
        <v>321</v>
      </c>
    </row>
    <row r="59" spans="1:11" ht="15.75" customHeight="1" x14ac:dyDescent="0.2">
      <c r="A59" s="329" t="str">
        <f>"G.  GERAÇÃO "&amp;INDEX(PVSYST_Helexia!$A$5:$A$7,MATCH(Premissas!$B$13,PVSYST_Helexia!$B$5:$B$7,0))&amp;" P50 — PVSYST "&amp;Premissas!$B$13&amp;" (kWh/mês)"</f>
        <v>G.  GERAÇÃO HCS03 P50 — PVSYST Cassilândia 03 (kWh/mês)</v>
      </c>
      <c r="B59" s="289"/>
      <c r="C59" s="289"/>
      <c r="D59" s="289"/>
      <c r="E59" s="289"/>
      <c r="F59" s="41"/>
      <c r="G59" s="41"/>
      <c r="H59" s="41"/>
      <c r="I59" s="41"/>
      <c r="J59" s="41"/>
      <c r="K59" s="41"/>
    </row>
    <row r="60" spans="1:11" ht="15" customHeight="1" x14ac:dyDescent="0.2">
      <c r="A60" s="59" t="s">
        <v>322</v>
      </c>
      <c r="B60" s="107">
        <f>Premissas!$B$23</f>
        <v>5.0000000000000001E-3</v>
      </c>
      <c r="C60" s="61" t="s">
        <v>323</v>
      </c>
    </row>
    <row r="61" spans="1:11" ht="12.75" customHeight="1" x14ac:dyDescent="0.2">
      <c r="A61" s="59" t="s">
        <v>41</v>
      </c>
      <c r="B61" s="108">
        <f>INDEX(PVSYST_Helexia!$J$5:$U$7,MATCH(Premissas!$B$13,PVSYST_Helexia!$B$5:$B$7,0),6)*1000</f>
        <v>123990</v>
      </c>
      <c r="C61" s="61" t="s">
        <v>324</v>
      </c>
    </row>
    <row r="62" spans="1:11" ht="12.75" customHeight="1" x14ac:dyDescent="0.2">
      <c r="A62" s="59" t="s">
        <v>42</v>
      </c>
      <c r="B62" s="108">
        <f>INDEX(PVSYST_Helexia!$J$5:$U$7,MATCH(Premissas!$B$13,PVSYST_Helexia!$B$5:$B$7,0),7)*1000</f>
        <v>130509.99999999999</v>
      </c>
      <c r="C62" s="61" t="s">
        <v>325</v>
      </c>
    </row>
    <row r="63" spans="1:11" ht="12.75" customHeight="1" x14ac:dyDescent="0.2">
      <c r="A63" s="59" t="s">
        <v>43</v>
      </c>
      <c r="B63" s="108">
        <f>INDEX(PVSYST_Helexia!$J$5:$U$7,MATCH(Premissas!$B$13,PVSYST_Helexia!$B$5:$B$7,0),8)*1000</f>
        <v>156670</v>
      </c>
      <c r="C63" s="61" t="s">
        <v>326</v>
      </c>
    </row>
    <row r="64" spans="1:11" ht="12.75" customHeight="1" x14ac:dyDescent="0.2">
      <c r="A64" s="59" t="s">
        <v>44</v>
      </c>
      <c r="B64" s="108">
        <f>INDEX(PVSYST_Helexia!$J$5:$U$7,MATCH(Premissas!$B$13,PVSYST_Helexia!$B$5:$B$7,0),9)*1000</f>
        <v>147010</v>
      </c>
      <c r="C64" s="61" t="s">
        <v>327</v>
      </c>
    </row>
    <row r="65" spans="1:3" ht="12.75" customHeight="1" x14ac:dyDescent="0.2">
      <c r="A65" s="59" t="s">
        <v>45</v>
      </c>
      <c r="B65" s="108">
        <f>INDEX(PVSYST_Helexia!$J$5:$U$7,MATCH(Premissas!$B$13,PVSYST_Helexia!$B$5:$B$7,0),10)*1000</f>
        <v>151080</v>
      </c>
      <c r="C65" s="61" t="s">
        <v>328</v>
      </c>
    </row>
    <row r="66" spans="1:3" ht="12.75" customHeight="1" x14ac:dyDescent="0.2">
      <c r="A66" s="59" t="s">
        <v>46</v>
      </c>
      <c r="B66" s="108">
        <f>INDEX(PVSYST_Helexia!$J$5:$U$7,MATCH(Premissas!$B$13,PVSYST_Helexia!$B$5:$B$7,0),11)*1000</f>
        <v>146080</v>
      </c>
      <c r="C66" s="61" t="s">
        <v>329</v>
      </c>
    </row>
    <row r="67" spans="1:3" ht="12.75" customHeight="1" x14ac:dyDescent="0.2">
      <c r="A67" s="59" t="s">
        <v>47</v>
      </c>
      <c r="B67" s="108">
        <f>INDEX(PVSYST_Helexia!$J$5:$U$7,MATCH(Premissas!$B$13,PVSYST_Helexia!$B$5:$B$7,0),12)*1000</f>
        <v>138710</v>
      </c>
      <c r="C67" s="61" t="s">
        <v>330</v>
      </c>
    </row>
    <row r="68" spans="1:3" ht="12.75" customHeight="1" x14ac:dyDescent="0.2">
      <c r="A68" s="59" t="s">
        <v>48</v>
      </c>
      <c r="B68" s="108">
        <f>INDEX(PVSYST_Helexia!$J$5:$U$7,MATCH(Premissas!$B$13,PVSYST_Helexia!$B$5:$B$7,0),1)*1000*(1-Premissas!$B$23)</f>
        <v>142424.29999999999</v>
      </c>
      <c r="C68" s="61" t="s">
        <v>331</v>
      </c>
    </row>
    <row r="69" spans="1:3" ht="12.75" customHeight="1" x14ac:dyDescent="0.2">
      <c r="A69" s="59" t="s">
        <v>49</v>
      </c>
      <c r="B69" s="108">
        <f>INDEX(PVSYST_Helexia!$J$5:$U$7,MATCH(Premissas!$B$13,PVSYST_Helexia!$B$5:$B$7,0),2)*1000*(1-Premissas!$B$23)</f>
        <v>126912.25</v>
      </c>
      <c r="C69" s="61" t="s">
        <v>332</v>
      </c>
    </row>
    <row r="70" spans="1:3" ht="12.75" customHeight="1" x14ac:dyDescent="0.2">
      <c r="A70" s="59" t="s">
        <v>50</v>
      </c>
      <c r="B70" s="108">
        <f>INDEX(PVSYST_Helexia!$J$5:$U$7,MATCH(Premissas!$B$13,PVSYST_Helexia!$B$5:$B$7,0),3)*1000*(1-Premissas!$B$23)</f>
        <v>145568.5</v>
      </c>
      <c r="C70" s="61" t="s">
        <v>333</v>
      </c>
    </row>
    <row r="71" spans="1:3" ht="12.75" customHeight="1" x14ac:dyDescent="0.2">
      <c r="A71" s="59" t="s">
        <v>51</v>
      </c>
      <c r="B71" s="108">
        <f>INDEX(PVSYST_Helexia!$J$5:$U$7,MATCH(Premissas!$B$13,PVSYST_Helexia!$B$5:$B$7,0),4)*1000*(1-Premissas!$B$23)</f>
        <v>145250.1</v>
      </c>
      <c r="C71" s="61" t="s">
        <v>334</v>
      </c>
    </row>
    <row r="72" spans="1:3" ht="12.75" customHeight="1" x14ac:dyDescent="0.2">
      <c r="A72" s="59" t="s">
        <v>52</v>
      </c>
      <c r="B72" s="108">
        <f>INDEX(PVSYST_Helexia!$J$5:$U$7,MATCH(Premissas!$B$13,PVSYST_Helexia!$B$5:$B$7,0),5)*1000*(1-Premissas!$B$23)</f>
        <v>135936.9</v>
      </c>
      <c r="C72" s="61" t="s">
        <v>335</v>
      </c>
    </row>
    <row r="73" spans="1:3" ht="12.75" customHeight="1" x14ac:dyDescent="0.2">
      <c r="A73" s="59" t="s">
        <v>53</v>
      </c>
      <c r="B73" s="108">
        <f>INDEX(PVSYST_Helexia!$J$5:$U$7,MATCH(Premissas!$B$13,PVSYST_Helexia!$B$5:$B$7,0),6)*1000*(1-Premissas!$B$23)</f>
        <v>123370.05</v>
      </c>
      <c r="C73" s="61" t="s">
        <v>324</v>
      </c>
    </row>
    <row r="74" spans="1:3" ht="12.75" customHeight="1" x14ac:dyDescent="0.2">
      <c r="A74" s="59" t="s">
        <v>54</v>
      </c>
      <c r="B74" s="108">
        <f>INDEX(PVSYST_Helexia!$J$5:$U$7,MATCH(Premissas!$B$13,PVSYST_Helexia!$B$5:$B$7,0),7)*1000*(1-Premissas!$B$23)</f>
        <v>129857.44999999998</v>
      </c>
      <c r="C74" s="61" t="s">
        <v>325</v>
      </c>
    </row>
    <row r="75" spans="1:3" ht="12.75" customHeight="1" x14ac:dyDescent="0.2">
      <c r="A75" s="59" t="s">
        <v>55</v>
      </c>
      <c r="B75" s="108">
        <f>INDEX(PVSYST_Helexia!$J$5:$U$7,MATCH(Premissas!$B$13,PVSYST_Helexia!$B$5:$B$7,0),8)*1000*(1-Premissas!$B$23)</f>
        <v>155886.65</v>
      </c>
      <c r="C75" s="61" t="s">
        <v>326</v>
      </c>
    </row>
    <row r="76" spans="1:3" ht="12.75" customHeight="1" x14ac:dyDescent="0.2">
      <c r="A76" s="59" t="s">
        <v>56</v>
      </c>
      <c r="B76" s="108">
        <f>INDEX(PVSYST_Helexia!$J$5:$U$7,MATCH(Premissas!$B$13,PVSYST_Helexia!$B$5:$B$7,0),9)*1000*(1-Premissas!$B$23)</f>
        <v>146274.95000000001</v>
      </c>
      <c r="C76" s="61" t="s">
        <v>327</v>
      </c>
    </row>
    <row r="77" spans="1:3" ht="12.75" customHeight="1" x14ac:dyDescent="0.2">
      <c r="A77" s="59" t="s">
        <v>57</v>
      </c>
      <c r="B77" s="108">
        <f>INDEX(PVSYST_Helexia!$J$5:$U$7,MATCH(Premissas!$B$13,PVSYST_Helexia!$B$5:$B$7,0),10)*1000*(1-Premissas!$B$23)</f>
        <v>150324.6</v>
      </c>
      <c r="C77" s="61" t="s">
        <v>328</v>
      </c>
    </row>
    <row r="78" spans="1:3" ht="12.75" customHeight="1" x14ac:dyDescent="0.2">
      <c r="A78" s="59" t="s">
        <v>58</v>
      </c>
      <c r="B78" s="108">
        <f>INDEX(PVSYST_Helexia!$J$5:$U$7,MATCH(Premissas!$B$13,PVSYST_Helexia!$B$5:$B$7,0),11)*1000*(1-Premissas!$B$23)</f>
        <v>145349.6</v>
      </c>
      <c r="C78" s="61" t="s">
        <v>329</v>
      </c>
    </row>
    <row r="79" spans="1:3" ht="12.75" customHeight="1" x14ac:dyDescent="0.2">
      <c r="A79" s="59" t="s">
        <v>59</v>
      </c>
      <c r="B79" s="108">
        <f>INDEX(PVSYST_Helexia!$J$5:$U$7,MATCH(Premissas!$B$13,PVSYST_Helexia!$B$5:$B$7,0),12)*1000*(1-Premissas!$B$23)</f>
        <v>138016.45000000001</v>
      </c>
      <c r="C79" s="61" t="s">
        <v>330</v>
      </c>
    </row>
    <row r="80" spans="1:3" ht="12.75" customHeight="1" x14ac:dyDescent="0.2">
      <c r="A80" s="59" t="s">
        <v>60</v>
      </c>
      <c r="B80" s="108">
        <f>INDEX(PVSYST_Helexia!$J$5:$U$7,MATCH(Premissas!$B$13,PVSYST_Helexia!$B$5:$B$7,0),1)*1000*(1-Premissas!$B$23)</f>
        <v>142424.29999999999</v>
      </c>
      <c r="C80" s="61" t="s">
        <v>331</v>
      </c>
    </row>
    <row r="81" spans="1:3" ht="12.75" customHeight="1" x14ac:dyDescent="0.2">
      <c r="A81" s="59" t="s">
        <v>61</v>
      </c>
      <c r="B81" s="108">
        <f>INDEX(PVSYST_Helexia!$J$5:$U$7,MATCH(Premissas!$B$13,PVSYST_Helexia!$B$5:$B$7,0),2)*1000*(1-Premissas!$B$23)</f>
        <v>126912.25</v>
      </c>
      <c r="C81" s="61" t="s">
        <v>332</v>
      </c>
    </row>
    <row r="82" spans="1:3" ht="12.75" customHeight="1" x14ac:dyDescent="0.2">
      <c r="A82" s="59" t="s">
        <v>62</v>
      </c>
      <c r="B82" s="108">
        <f>INDEX(PVSYST_Helexia!$J$5:$U$7,MATCH(Premissas!$B$13,PVSYST_Helexia!$B$5:$B$7,0),3)*1000*(1-Premissas!$B$23)</f>
        <v>145568.5</v>
      </c>
      <c r="C82" s="61" t="s">
        <v>333</v>
      </c>
    </row>
    <row r="83" spans="1:3" ht="12.75" customHeight="1" x14ac:dyDescent="0.2">
      <c r="A83" s="59" t="s">
        <v>64</v>
      </c>
      <c r="B83" s="108">
        <f>INDEX(PVSYST_Helexia!$J$5:$U$7,MATCH(Premissas!$B$13,PVSYST_Helexia!$B$5:$B$7,0),4)*1000*(1-Premissas!$B$23)</f>
        <v>145250.1</v>
      </c>
      <c r="C83" s="61" t="s">
        <v>334</v>
      </c>
    </row>
    <row r="84" spans="1:3" ht="12.75" customHeight="1" x14ac:dyDescent="0.2">
      <c r="A84" s="59" t="s">
        <v>70</v>
      </c>
      <c r="B84" s="108">
        <f>INDEX(PVSYST_Helexia!$J$5:$U$7,MATCH(Premissas!$B$13,PVSYST_Helexia!$B$5:$B$7,0),5)*1000*(1-Premissas!$B$23)</f>
        <v>135936.9</v>
      </c>
      <c r="C84" s="61" t="s">
        <v>335</v>
      </c>
    </row>
    <row r="85" spans="1:3" ht="15" customHeight="1" x14ac:dyDescent="0.2">
      <c r="A85" s="109" t="s">
        <v>73</v>
      </c>
      <c r="B85" s="108">
        <f>INDEX(PVSYST_Helexia!$J$5:$U$7,MATCH(Premissas!$B$13,PVSYST_Helexia!$B$5:$B$7,0),6)*1000*(1-Premissas!$B$23)^2</f>
        <v>122753.19975</v>
      </c>
      <c r="C85" s="61" t="s">
        <v>336</v>
      </c>
    </row>
    <row r="86" spans="1:3" ht="15" customHeight="1" x14ac:dyDescent="0.2">
      <c r="A86" s="109" t="s">
        <v>76</v>
      </c>
      <c r="B86" s="108">
        <f>INDEX(PVSYST_Helexia!$J$5:$U$7,MATCH(Premissas!$B$13,PVSYST_Helexia!$B$5:$B$7,0),7)*1000*(1-Premissas!$B$23)^2</f>
        <v>129208.16274999999</v>
      </c>
      <c r="C86" s="61" t="s">
        <v>337</v>
      </c>
    </row>
    <row r="87" spans="1:3" ht="15" customHeight="1" x14ac:dyDescent="0.2">
      <c r="A87" s="109" t="s">
        <v>79</v>
      </c>
      <c r="B87" s="108">
        <f>INDEX(PVSYST_Helexia!$J$5:$U$7,MATCH(Premissas!$B$13,PVSYST_Helexia!$B$5:$B$7,0),8)*1000*(1-Premissas!$B$23)^2</f>
        <v>155107.21675000002</v>
      </c>
      <c r="C87" s="61" t="s">
        <v>338</v>
      </c>
    </row>
    <row r="88" spans="1:3" ht="15" customHeight="1" x14ac:dyDescent="0.2">
      <c r="A88" s="109" t="s">
        <v>81</v>
      </c>
      <c r="B88" s="108">
        <f>INDEX(PVSYST_Helexia!$J$5:$U$7,MATCH(Premissas!$B$13,PVSYST_Helexia!$B$5:$B$7,0),9)*1000*(1-Premissas!$B$23)^2</f>
        <v>145543.57524999999</v>
      </c>
      <c r="C88" s="61" t="s">
        <v>339</v>
      </c>
    </row>
    <row r="89" spans="1:3" ht="15" customHeight="1" x14ac:dyDescent="0.2">
      <c r="A89" s="109" t="s">
        <v>83</v>
      </c>
      <c r="B89" s="108">
        <f>INDEX(PVSYST_Helexia!$J$5:$U$7,MATCH(Premissas!$B$13,PVSYST_Helexia!$B$5:$B$7,0),10)*1000*(1-Premissas!$B$23)^2</f>
        <v>149572.97700000001</v>
      </c>
      <c r="C89" s="61" t="s">
        <v>340</v>
      </c>
    </row>
    <row r="90" spans="1:3" ht="15" customHeight="1" x14ac:dyDescent="0.2">
      <c r="A90" s="109" t="s">
        <v>85</v>
      </c>
      <c r="B90" s="108">
        <f>INDEX(PVSYST_Helexia!$J$5:$U$7,MATCH(Premissas!$B$13,PVSYST_Helexia!$B$5:$B$7,0),11)*1000*(1-Premissas!$B$23)^2</f>
        <v>144622.85200000001</v>
      </c>
      <c r="C90" s="61" t="s">
        <v>341</v>
      </c>
    </row>
    <row r="91" spans="1:3" ht="15" customHeight="1" x14ac:dyDescent="0.2">
      <c r="A91" s="109" t="s">
        <v>87</v>
      </c>
      <c r="B91" s="108">
        <f>INDEX(PVSYST_Helexia!$J$5:$U$7,MATCH(Premissas!$B$13,PVSYST_Helexia!$B$5:$B$7,0),12)*1000*(1-Premissas!$B$23)^2</f>
        <v>137326.36775</v>
      </c>
      <c r="C91" s="61" t="s">
        <v>342</v>
      </c>
    </row>
    <row r="92" spans="1:3" ht="15" customHeight="1" x14ac:dyDescent="0.2">
      <c r="A92" s="109" t="s">
        <v>89</v>
      </c>
      <c r="B92" s="108">
        <f>INDEX(PVSYST_Helexia!$J$5:$U$7,MATCH(Premissas!$B$13,PVSYST_Helexia!$B$5:$B$7,0),1)*1000*(1-Premissas!$B$23)^2</f>
        <v>141712.17850000001</v>
      </c>
      <c r="C92" s="61" t="s">
        <v>343</v>
      </c>
    </row>
    <row r="93" spans="1:3" ht="15" customHeight="1" x14ac:dyDescent="0.2">
      <c r="A93" s="109" t="s">
        <v>91</v>
      </c>
      <c r="B93" s="108">
        <f>INDEX(PVSYST_Helexia!$J$5:$U$7,MATCH(Premissas!$B$13,PVSYST_Helexia!$B$5:$B$7,0),2)*1000*(1-Premissas!$B$23)^2</f>
        <v>126277.68875</v>
      </c>
      <c r="C93" s="61" t="s">
        <v>344</v>
      </c>
    </row>
    <row r="94" spans="1:3" ht="15" customHeight="1" x14ac:dyDescent="0.2">
      <c r="A94" s="109" t="s">
        <v>93</v>
      </c>
      <c r="B94" s="108">
        <f>INDEX(PVSYST_Helexia!$J$5:$U$7,MATCH(Premissas!$B$13,PVSYST_Helexia!$B$5:$B$7,0),3)*1000*(1-Premissas!$B$23)^2</f>
        <v>144840.6575</v>
      </c>
      <c r="C94" s="61" t="s">
        <v>345</v>
      </c>
    </row>
    <row r="95" spans="1:3" ht="15" customHeight="1" x14ac:dyDescent="0.2">
      <c r="A95" s="109" t="s">
        <v>95</v>
      </c>
      <c r="B95" s="108">
        <f>INDEX(PVSYST_Helexia!$J$5:$U$7,MATCH(Premissas!$B$13,PVSYST_Helexia!$B$5:$B$7,0),4)*1000*(1-Premissas!$B$23)^2</f>
        <v>144523.84950000001</v>
      </c>
      <c r="C95" s="61" t="s">
        <v>346</v>
      </c>
    </row>
    <row r="96" spans="1:3" ht="15" customHeight="1" x14ac:dyDescent="0.2">
      <c r="A96" s="109" t="s">
        <v>97</v>
      </c>
      <c r="B96" s="108">
        <f>INDEX(PVSYST_Helexia!$J$5:$U$7,MATCH(Premissas!$B$13,PVSYST_Helexia!$B$5:$B$7,0),5)*1000*(1-Premissas!$B$23)^2</f>
        <v>135257.21550000002</v>
      </c>
      <c r="C96" s="61" t="s">
        <v>347</v>
      </c>
    </row>
    <row r="97" spans="1:3" ht="15" customHeight="1" x14ac:dyDescent="0.2">
      <c r="A97" s="109" t="s">
        <v>99</v>
      </c>
      <c r="B97" s="108">
        <f>INDEX(PVSYST_Helexia!$J$5:$U$7,MATCH(Premissas!$B$13,PVSYST_Helexia!$B$5:$B$7,0),6)*1000*(1-Premissas!$B$23)^3</f>
        <v>122139.43375125001</v>
      </c>
      <c r="C97" s="61" t="s">
        <v>336</v>
      </c>
    </row>
    <row r="98" spans="1:3" ht="15" customHeight="1" x14ac:dyDescent="0.2">
      <c r="A98" s="109" t="s">
        <v>101</v>
      </c>
      <c r="B98" s="108">
        <f>INDEX(PVSYST_Helexia!$J$5:$U$7,MATCH(Premissas!$B$13,PVSYST_Helexia!$B$5:$B$7,0),7)*1000*(1-Premissas!$B$23)^3</f>
        <v>128562.12193624998</v>
      </c>
      <c r="C98" s="61" t="s">
        <v>337</v>
      </c>
    </row>
    <row r="99" spans="1:3" ht="15" customHeight="1" x14ac:dyDescent="0.2">
      <c r="A99" s="109" t="s">
        <v>104</v>
      </c>
      <c r="B99" s="108">
        <f>INDEX(PVSYST_Helexia!$J$5:$U$7,MATCH(Premissas!$B$13,PVSYST_Helexia!$B$5:$B$7,0),8)*1000*(1-Premissas!$B$23)^3</f>
        <v>154331.68066625</v>
      </c>
      <c r="C99" s="61" t="s">
        <v>338</v>
      </c>
    </row>
    <row r="100" spans="1:3" ht="15" customHeight="1" x14ac:dyDescent="0.2">
      <c r="A100" s="109" t="s">
        <v>106</v>
      </c>
      <c r="B100" s="108">
        <f>INDEX(PVSYST_Helexia!$J$5:$U$7,MATCH(Premissas!$B$13,PVSYST_Helexia!$B$5:$B$7,0),9)*1000*(1-Premissas!$B$23)^3</f>
        <v>144815.85737375001</v>
      </c>
      <c r="C100" s="61" t="s">
        <v>339</v>
      </c>
    </row>
    <row r="101" spans="1:3" ht="15" customHeight="1" x14ac:dyDescent="0.2">
      <c r="A101" s="109" t="s">
        <v>108</v>
      </c>
      <c r="B101" s="108">
        <f>INDEX(PVSYST_Helexia!$J$5:$U$7,MATCH(Premissas!$B$13,PVSYST_Helexia!$B$5:$B$7,0),10)*1000*(1-Premissas!$B$23)^3</f>
        <v>148825.112115</v>
      </c>
      <c r="C101" s="61" t="s">
        <v>340</v>
      </c>
    </row>
    <row r="102" spans="1:3" ht="15" customHeight="1" x14ac:dyDescent="0.2">
      <c r="A102" s="109" t="s">
        <v>110</v>
      </c>
      <c r="B102" s="108">
        <f>INDEX(PVSYST_Helexia!$J$5:$U$7,MATCH(Premissas!$B$13,PVSYST_Helexia!$B$5:$B$7,0),11)*1000*(1-Premissas!$B$23)^3</f>
        <v>143899.73774000001</v>
      </c>
      <c r="C102" s="61" t="s">
        <v>341</v>
      </c>
    </row>
    <row r="103" spans="1:3" ht="15" customHeight="1" x14ac:dyDescent="0.2">
      <c r="A103" s="109" t="s">
        <v>112</v>
      </c>
      <c r="B103" s="108">
        <f>INDEX(PVSYST_Helexia!$J$5:$U$7,MATCH(Premissas!$B$13,PVSYST_Helexia!$B$5:$B$7,0),12)*1000*(1-Premissas!$B$23)^3</f>
        <v>136639.73591125</v>
      </c>
      <c r="C103" s="61" t="s">
        <v>342</v>
      </c>
    </row>
    <row r="104" spans="1:3" ht="15" customHeight="1" x14ac:dyDescent="0.2">
      <c r="A104" s="109" t="s">
        <v>118</v>
      </c>
      <c r="B104" s="108">
        <f>INDEX(PVSYST_Helexia!$J$5:$U$7,MATCH(Premissas!$B$13,PVSYST_Helexia!$B$5:$B$7,0),1)*1000*(1-Premissas!$B$23)^3</f>
        <v>141003.6176075</v>
      </c>
      <c r="C104" s="61" t="s">
        <v>343</v>
      </c>
    </row>
    <row r="105" spans="1:3" ht="15" customHeight="1" x14ac:dyDescent="0.2">
      <c r="A105" s="109" t="s">
        <v>120</v>
      </c>
      <c r="B105" s="108">
        <f>INDEX(PVSYST_Helexia!$J$5:$U$7,MATCH(Premissas!$B$13,PVSYST_Helexia!$B$5:$B$7,0),2)*1000*(1-Premissas!$B$23)^3</f>
        <v>125646.30030625001</v>
      </c>
      <c r="C105" s="61" t="s">
        <v>344</v>
      </c>
    </row>
    <row r="106" spans="1:3" ht="15" customHeight="1" x14ac:dyDescent="0.2">
      <c r="A106" s="109" t="s">
        <v>122</v>
      </c>
      <c r="B106" s="108">
        <f>INDEX(PVSYST_Helexia!$J$5:$U$7,MATCH(Premissas!$B$13,PVSYST_Helexia!$B$5:$B$7,0),3)*1000*(1-Premissas!$B$23)^3</f>
        <v>144116.45421250002</v>
      </c>
      <c r="C106" s="61" t="s">
        <v>345</v>
      </c>
    </row>
    <row r="107" spans="1:3" ht="15" customHeight="1" x14ac:dyDescent="0.2">
      <c r="A107" s="109" t="s">
        <v>124</v>
      </c>
      <c r="B107" s="108">
        <f>INDEX(PVSYST_Helexia!$J$5:$U$7,MATCH(Premissas!$B$13,PVSYST_Helexia!$B$5:$B$7,0),4)*1000*(1-Premissas!$B$23)^3</f>
        <v>143801.23025250001</v>
      </c>
      <c r="C107" s="61" t="s">
        <v>346</v>
      </c>
    </row>
    <row r="108" spans="1:3" ht="15" customHeight="1" x14ac:dyDescent="0.2">
      <c r="A108" s="109" t="s">
        <v>126</v>
      </c>
      <c r="B108" s="108">
        <f>INDEX(PVSYST_Helexia!$J$5:$U$7,MATCH(Premissas!$B$13,PVSYST_Helexia!$B$5:$B$7,0),5)*1000*(1-Premissas!$B$23)^3</f>
        <v>134580.92942249999</v>
      </c>
      <c r="C108" s="61" t="s">
        <v>347</v>
      </c>
    </row>
    <row r="109" spans="1:3" ht="15" customHeight="1" x14ac:dyDescent="0.2">
      <c r="A109" s="109" t="s">
        <v>127</v>
      </c>
      <c r="B109" s="108">
        <f>INDEX(PVSYST_Helexia!$J$5:$U$7,MATCH(Premissas!$B$13,PVSYST_Helexia!$B$5:$B$7,0),6)*1000*(1-Premissas!$B$23)^4</f>
        <v>121528.73658249376</v>
      </c>
      <c r="C109" s="61" t="s">
        <v>336</v>
      </c>
    </row>
    <row r="110" spans="1:3" ht="15" customHeight="1" x14ac:dyDescent="0.2">
      <c r="A110" s="109" t="s">
        <v>128</v>
      </c>
      <c r="B110" s="108">
        <f>INDEX(PVSYST_Helexia!$J$5:$U$7,MATCH(Premissas!$B$13,PVSYST_Helexia!$B$5:$B$7,0),7)*1000*(1-Premissas!$B$23)^4</f>
        <v>127919.31132656874</v>
      </c>
      <c r="C110" s="61" t="s">
        <v>337</v>
      </c>
    </row>
    <row r="111" spans="1:3" ht="15" customHeight="1" x14ac:dyDescent="0.2">
      <c r="A111" s="109" t="s">
        <v>129</v>
      </c>
      <c r="B111" s="108">
        <f>INDEX(PVSYST_Helexia!$J$5:$U$7,MATCH(Premissas!$B$13,PVSYST_Helexia!$B$5:$B$7,0),8)*1000*(1-Premissas!$B$23)^4</f>
        <v>153560.02226291876</v>
      </c>
      <c r="C111" s="61" t="s">
        <v>338</v>
      </c>
    </row>
    <row r="112" spans="1:3" ht="15" customHeight="1" x14ac:dyDescent="0.2">
      <c r="A112" s="109" t="s">
        <v>130</v>
      </c>
      <c r="B112" s="108">
        <f>INDEX(PVSYST_Helexia!$J$5:$U$7,MATCH(Premissas!$B$13,PVSYST_Helexia!$B$5:$B$7,0),9)*1000*(1-Premissas!$B$23)^4</f>
        <v>144091.77808688127</v>
      </c>
      <c r="C112" s="61" t="s">
        <v>339</v>
      </c>
    </row>
    <row r="113" spans="1:3" ht="15" customHeight="1" x14ac:dyDescent="0.2">
      <c r="A113" s="109" t="s">
        <v>131</v>
      </c>
      <c r="B113" s="108">
        <f>INDEX(PVSYST_Helexia!$J$5:$U$7,MATCH(Premissas!$B$13,PVSYST_Helexia!$B$5:$B$7,0),10)*1000*(1-Premissas!$B$23)^4</f>
        <v>148080.98655442501</v>
      </c>
      <c r="C113" s="61" t="s">
        <v>340</v>
      </c>
    </row>
    <row r="114" spans="1:3" ht="15" customHeight="1" x14ac:dyDescent="0.2">
      <c r="A114" s="109" t="s">
        <v>132</v>
      </c>
      <c r="B114" s="108">
        <f>INDEX(PVSYST_Helexia!$J$5:$U$7,MATCH(Premissas!$B$13,PVSYST_Helexia!$B$5:$B$7,0),11)*1000*(1-Premissas!$B$23)^4</f>
        <v>143180.23905130001</v>
      </c>
      <c r="C114" s="61" t="s">
        <v>341</v>
      </c>
    </row>
    <row r="115" spans="1:3" ht="15" customHeight="1" x14ac:dyDescent="0.2">
      <c r="A115" s="109" t="s">
        <v>133</v>
      </c>
      <c r="B115" s="108">
        <f>INDEX(PVSYST_Helexia!$J$5:$U$7,MATCH(Premissas!$B$13,PVSYST_Helexia!$B$5:$B$7,0),12)*1000*(1-Premissas!$B$23)^4</f>
        <v>135956.53723169377</v>
      </c>
      <c r="C115" s="61" t="s">
        <v>342</v>
      </c>
    </row>
    <row r="116" spans="1:3" ht="15" customHeight="1" x14ac:dyDescent="0.2">
      <c r="A116" s="109" t="s">
        <v>134</v>
      </c>
      <c r="B116" s="108">
        <f>INDEX(PVSYST_Helexia!$J$5:$U$7,MATCH(Premissas!$B$13,PVSYST_Helexia!$B$5:$B$7,0),1)*1000*(1-Premissas!$B$23)^4</f>
        <v>140298.5995194625</v>
      </c>
      <c r="C116" s="61" t="s">
        <v>343</v>
      </c>
    </row>
    <row r="117" spans="1:3" ht="15" customHeight="1" x14ac:dyDescent="0.2">
      <c r="A117" s="109" t="s">
        <v>135</v>
      </c>
      <c r="B117" s="108">
        <f>INDEX(PVSYST_Helexia!$J$5:$U$7,MATCH(Premissas!$B$13,PVSYST_Helexia!$B$5:$B$7,0),2)*1000*(1-Premissas!$B$23)^4</f>
        <v>125018.06880471876</v>
      </c>
      <c r="C117" s="61" t="s">
        <v>344</v>
      </c>
    </row>
    <row r="118" spans="1:3" ht="15" customHeight="1" x14ac:dyDescent="0.2">
      <c r="A118" s="109" t="s">
        <v>136</v>
      </c>
      <c r="B118" s="108">
        <f>INDEX(PVSYST_Helexia!$J$5:$U$7,MATCH(Premissas!$B$13,PVSYST_Helexia!$B$5:$B$7,0),3)*1000*(1-Premissas!$B$23)^4</f>
        <v>143395.87194143751</v>
      </c>
      <c r="C118" s="61" t="s">
        <v>345</v>
      </c>
    </row>
    <row r="119" spans="1:3" ht="15" customHeight="1" x14ac:dyDescent="0.2">
      <c r="A119" s="109" t="s">
        <v>137</v>
      </c>
      <c r="B119" s="108">
        <f>INDEX(PVSYST_Helexia!$J$5:$U$7,MATCH(Premissas!$B$13,PVSYST_Helexia!$B$5:$B$7,0),4)*1000*(1-Premissas!$B$23)^4</f>
        <v>143082.22410123752</v>
      </c>
      <c r="C119" s="61" t="s">
        <v>346</v>
      </c>
    </row>
    <row r="120" spans="1:3" ht="15" customHeight="1" x14ac:dyDescent="0.2">
      <c r="A120" s="109" t="s">
        <v>138</v>
      </c>
      <c r="B120" s="108">
        <f>INDEX(PVSYST_Helexia!$J$5:$U$7,MATCH(Premissas!$B$13,PVSYST_Helexia!$B$5:$B$7,0),5)*1000*(1-Premissas!$B$23)^4</f>
        <v>133908.02477538752</v>
      </c>
      <c r="C120" s="61" t="s">
        <v>347</v>
      </c>
    </row>
    <row r="121" spans="1:3" ht="14.25" customHeight="1" x14ac:dyDescent="0.2">
      <c r="B121" s="108"/>
      <c r="C121" s="61"/>
    </row>
    <row r="122" spans="1:3" ht="14.25" customHeight="1" x14ac:dyDescent="0.2">
      <c r="A122" s="241" t="s">
        <v>348</v>
      </c>
      <c r="B122" s="108"/>
      <c r="C122" s="61"/>
    </row>
    <row r="123" spans="1:3" ht="14.25" customHeight="1" x14ac:dyDescent="0.2">
      <c r="A123" t="s">
        <v>349</v>
      </c>
      <c r="B123" s="242">
        <v>4.4999999999999998E-2</v>
      </c>
      <c r="C123" s="61" t="s">
        <v>350</v>
      </c>
    </row>
    <row r="124" spans="1:3" ht="14.25" customHeight="1" x14ac:dyDescent="0.2">
      <c r="A124" t="s">
        <v>351</v>
      </c>
      <c r="B124" s="242">
        <v>0.06</v>
      </c>
      <c r="C124" s="61" t="s">
        <v>352</v>
      </c>
    </row>
    <row r="125" spans="1:3" ht="14.25" customHeight="1" x14ac:dyDescent="0.2">
      <c r="A125" s="276" t="s">
        <v>353</v>
      </c>
      <c r="B125" s="108"/>
      <c r="C125" s="61"/>
    </row>
    <row r="126" spans="1:3" ht="14.25" customHeight="1" x14ac:dyDescent="0.2">
      <c r="A126" t="s">
        <v>354</v>
      </c>
      <c r="B126" s="242">
        <v>0.1239</v>
      </c>
      <c r="C126" s="61" t="s">
        <v>355</v>
      </c>
    </row>
    <row r="127" spans="1:3" ht="14.25" customHeight="1" x14ac:dyDescent="0.2">
      <c r="A127" t="s">
        <v>356</v>
      </c>
      <c r="B127" s="242">
        <v>0.1198</v>
      </c>
      <c r="C127" s="61" t="s">
        <v>357</v>
      </c>
    </row>
    <row r="128" spans="1:3" ht="14.25" customHeight="1" x14ac:dyDescent="0.2">
      <c r="A128" t="s">
        <v>358</v>
      </c>
      <c r="B128" s="242">
        <v>0.12</v>
      </c>
      <c r="C128" s="61" t="s">
        <v>359</v>
      </c>
    </row>
    <row r="129" spans="1:3" ht="14.25" customHeight="1" x14ac:dyDescent="0.2">
      <c r="A129" t="s">
        <v>360</v>
      </c>
      <c r="B129" s="279">
        <f>B17*(1+B128)</f>
        <v>0.49560000000000004</v>
      </c>
      <c r="C129" s="61" t="s">
        <v>361</v>
      </c>
    </row>
    <row r="130" spans="1:3" ht="14.25" customHeight="1" x14ac:dyDescent="0.2">
      <c r="B130" s="108"/>
      <c r="C130" s="61"/>
    </row>
    <row r="131" spans="1:3" ht="14.25" customHeight="1" x14ac:dyDescent="0.2">
      <c r="B131" s="108"/>
      <c r="C131" s="61"/>
    </row>
    <row r="132" spans="1:3" ht="14.25" customHeight="1" x14ac:dyDescent="0.2">
      <c r="B132" s="108"/>
      <c r="C132" s="61"/>
    </row>
  </sheetData>
  <mergeCells count="86">
    <mergeCell ref="Q37:S37"/>
    <mergeCell ref="M32:N32"/>
    <mergeCell ref="M14:N14"/>
    <mergeCell ref="Q39:S39"/>
    <mergeCell ref="Q38:S38"/>
    <mergeCell ref="A59:E59"/>
    <mergeCell ref="R13:S13"/>
    <mergeCell ref="R4:S4"/>
    <mergeCell ref="A54:E54"/>
    <mergeCell ref="P21:Q21"/>
    <mergeCell ref="M20:N20"/>
    <mergeCell ref="R15:S15"/>
    <mergeCell ref="F31:K31"/>
    <mergeCell ref="R24:S24"/>
    <mergeCell ref="P23:Q23"/>
    <mergeCell ref="R21:S21"/>
    <mergeCell ref="M22:N22"/>
    <mergeCell ref="M30:N30"/>
    <mergeCell ref="R26:S26"/>
    <mergeCell ref="P31:S31"/>
    <mergeCell ref="A2:E2"/>
    <mergeCell ref="R20:S20"/>
    <mergeCell ref="P34:S34"/>
    <mergeCell ref="P19:Q19"/>
    <mergeCell ref="R17:S17"/>
    <mergeCell ref="M26:N26"/>
    <mergeCell ref="R22:S22"/>
    <mergeCell ref="A20:E20"/>
    <mergeCell ref="M23:N23"/>
    <mergeCell ref="R5:S5"/>
    <mergeCell ref="P16:Q16"/>
    <mergeCell ref="P18:Q18"/>
    <mergeCell ref="O8:S8"/>
    <mergeCell ref="M29:S29"/>
    <mergeCell ref="A25:E25"/>
    <mergeCell ref="M31:N31"/>
    <mergeCell ref="P17:Q17"/>
    <mergeCell ref="M15:N15"/>
    <mergeCell ref="A12:E12"/>
    <mergeCell ref="M38:O38"/>
    <mergeCell ref="M21:N21"/>
    <mergeCell ref="M4:O4"/>
    <mergeCell ref="M2:S2"/>
    <mergeCell ref="M24:N24"/>
    <mergeCell ref="A4:E4"/>
    <mergeCell ref="P14:Q14"/>
    <mergeCell ref="M12:S12"/>
    <mergeCell ref="R14:S14"/>
    <mergeCell ref="A31:E31"/>
    <mergeCell ref="R23:S23"/>
    <mergeCell ref="O7:S7"/>
    <mergeCell ref="M34:N34"/>
    <mergeCell ref="P30:S30"/>
    <mergeCell ref="M9:N9"/>
    <mergeCell ref="A52:E52"/>
    <mergeCell ref="P15:Q15"/>
    <mergeCell ref="M5:O5"/>
    <mergeCell ref="P24:Q24"/>
    <mergeCell ref="M39:O39"/>
    <mergeCell ref="M19:N19"/>
    <mergeCell ref="P32:S32"/>
    <mergeCell ref="P26:Q26"/>
    <mergeCell ref="O10:S10"/>
    <mergeCell ref="P25:Q25"/>
    <mergeCell ref="R19:S19"/>
    <mergeCell ref="O9:S9"/>
    <mergeCell ref="P33:S33"/>
    <mergeCell ref="M37:O37"/>
    <mergeCell ref="R16:S16"/>
    <mergeCell ref="R25:S25"/>
    <mergeCell ref="M36:S36"/>
    <mergeCell ref="P20:Q20"/>
    <mergeCell ref="A1:E1"/>
    <mergeCell ref="P22:Q22"/>
    <mergeCell ref="M10:N10"/>
    <mergeCell ref="M16:N16"/>
    <mergeCell ref="M25:N25"/>
    <mergeCell ref="M1:S1"/>
    <mergeCell ref="M18:N18"/>
    <mergeCell ref="M33:N33"/>
    <mergeCell ref="P13:Q13"/>
    <mergeCell ref="M8:N8"/>
    <mergeCell ref="M17:N17"/>
    <mergeCell ref="R18:S18"/>
    <mergeCell ref="M13:N13"/>
    <mergeCell ref="M7:N7"/>
  </mergeCells>
  <dataValidations count="2">
    <dataValidation type="list" showErrorMessage="1" errorTitle="Valor inválido" error="Selecione &quot;Sim&quot; (proxy Batayporã) ou &quot;Não&quot; (dados reais Amandina)" sqref="B24" xr:uid="{00000000-0002-0000-0100-000000000000}">
      <formula1>"Sim,Não"</formula1>
      <formula2>0</formula2>
    </dataValidation>
    <dataValidation type="list" showErrorMessage="1" errorTitle="Valor inválido" error="Selecione &quot;Sim&quot; ou &quot;Não&quot;" sqref="B11 B19" xr:uid="{00000000-0002-0000-0100-000001000000}">
      <formula1>"Sim,Não"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G17"/>
  <sheetViews>
    <sheetView showGridLines="0" zoomScaleNormal="100" workbookViewId="0">
      <selection activeCell="G4" sqref="G4"/>
    </sheetView>
  </sheetViews>
  <sheetFormatPr baseColWidth="10" defaultColWidth="8.6640625" defaultRowHeight="15" x14ac:dyDescent="0.2"/>
  <cols>
    <col min="1" max="1" width="8" customWidth="1"/>
    <col min="2" max="7" width="16" customWidth="1"/>
  </cols>
  <sheetData>
    <row r="1" spans="1:7" ht="19.5" customHeight="1" x14ac:dyDescent="0.2">
      <c r="A1" s="364" t="s">
        <v>362</v>
      </c>
      <c r="B1" s="289"/>
      <c r="C1" s="289"/>
      <c r="D1" s="289"/>
      <c r="E1" s="289"/>
      <c r="F1" s="289"/>
    </row>
    <row r="2" spans="1:7" ht="12.75" customHeight="1" x14ac:dyDescent="0.2">
      <c r="A2" s="355" t="s">
        <v>363</v>
      </c>
      <c r="B2" s="289"/>
      <c r="C2" s="289"/>
      <c r="D2" s="289"/>
      <c r="E2" s="289"/>
      <c r="F2" s="289"/>
    </row>
    <row r="3" spans="1:7" ht="27.75" customHeight="1" x14ac:dyDescent="0.2">
      <c r="A3" s="93" t="s">
        <v>35</v>
      </c>
      <c r="B3" s="110" t="s">
        <v>364</v>
      </c>
      <c r="C3" s="110" t="s">
        <v>365</v>
      </c>
      <c r="D3" s="111" t="s">
        <v>366</v>
      </c>
      <c r="E3" s="111" t="s">
        <v>367</v>
      </c>
      <c r="F3" s="93" t="s">
        <v>368</v>
      </c>
      <c r="G3" s="93" t="s">
        <v>369</v>
      </c>
    </row>
    <row r="4" spans="1:7" ht="13.5" customHeight="1" x14ac:dyDescent="0.2">
      <c r="A4" s="112" t="s">
        <v>370</v>
      </c>
      <c r="B4" s="113">
        <v>70769.899999999994</v>
      </c>
      <c r="C4" s="113">
        <v>7863.3</v>
      </c>
      <c r="D4" s="114">
        <v>113967</v>
      </c>
      <c r="E4" s="114">
        <v>12663</v>
      </c>
      <c r="F4" s="115">
        <v>73973.399999999994</v>
      </c>
      <c r="G4" s="115">
        <v>8219.2999999999993</v>
      </c>
    </row>
    <row r="5" spans="1:7" ht="13.5" customHeight="1" x14ac:dyDescent="0.2">
      <c r="A5" s="112" t="s">
        <v>371</v>
      </c>
      <c r="B5" s="113">
        <v>243719.7</v>
      </c>
      <c r="C5" s="113">
        <v>27080</v>
      </c>
      <c r="D5" s="114">
        <v>125874</v>
      </c>
      <c r="E5" s="114">
        <v>13986</v>
      </c>
      <c r="F5" s="115">
        <v>209472.2</v>
      </c>
      <c r="G5" s="115">
        <v>23274.7</v>
      </c>
    </row>
    <row r="6" spans="1:7" ht="13.5" customHeight="1" x14ac:dyDescent="0.2">
      <c r="A6" s="112" t="s">
        <v>372</v>
      </c>
      <c r="B6" s="113">
        <v>331874.09999999998</v>
      </c>
      <c r="C6" s="113">
        <v>36874.9</v>
      </c>
      <c r="D6" s="114">
        <v>57499.199999999997</v>
      </c>
      <c r="E6" s="114">
        <v>6388.8</v>
      </c>
      <c r="F6" s="115">
        <v>173260.2</v>
      </c>
      <c r="G6" s="115">
        <v>19251.099999999999</v>
      </c>
    </row>
    <row r="7" spans="1:7" ht="13.5" customHeight="1" x14ac:dyDescent="0.2">
      <c r="A7" s="112" t="s">
        <v>373</v>
      </c>
      <c r="B7" s="113">
        <v>102778.3</v>
      </c>
      <c r="C7" s="113">
        <v>11419.8</v>
      </c>
      <c r="D7" s="114">
        <v>35640</v>
      </c>
      <c r="E7" s="114">
        <v>3960</v>
      </c>
      <c r="F7" s="115">
        <v>78448.399999999994</v>
      </c>
      <c r="G7" s="115">
        <v>8716.5</v>
      </c>
    </row>
    <row r="8" spans="1:7" ht="13.5" customHeight="1" x14ac:dyDescent="0.2">
      <c r="A8" s="112" t="s">
        <v>374</v>
      </c>
      <c r="B8" s="113">
        <v>62814.2</v>
      </c>
      <c r="C8" s="113">
        <v>6979.4</v>
      </c>
      <c r="D8" s="114">
        <v>79603.199999999997</v>
      </c>
      <c r="E8" s="114">
        <v>8844.7999999999993</v>
      </c>
      <c r="F8" s="115">
        <v>102629.5</v>
      </c>
      <c r="G8" s="115">
        <v>11403.3</v>
      </c>
    </row>
    <row r="9" spans="1:7" ht="13.5" customHeight="1" x14ac:dyDescent="0.2">
      <c r="A9" s="112" t="s">
        <v>375</v>
      </c>
      <c r="B9" s="113">
        <v>108694.9</v>
      </c>
      <c r="C9" s="113">
        <v>12077.2</v>
      </c>
      <c r="D9" s="114">
        <v>78336</v>
      </c>
      <c r="E9" s="114">
        <v>8704</v>
      </c>
      <c r="F9" s="115">
        <v>182444.7</v>
      </c>
      <c r="G9" s="115">
        <v>20271.599999999999</v>
      </c>
    </row>
    <row r="10" spans="1:7" ht="13.5" customHeight="1" x14ac:dyDescent="0.2">
      <c r="A10" s="112" t="s">
        <v>376</v>
      </c>
      <c r="B10" s="113">
        <v>328938.09999999998</v>
      </c>
      <c r="C10" s="113">
        <v>36548.699999999997</v>
      </c>
      <c r="D10" s="114">
        <v>115718.39999999999</v>
      </c>
      <c r="E10" s="114">
        <v>12857.6</v>
      </c>
      <c r="F10" s="115">
        <v>234799.2</v>
      </c>
      <c r="G10" s="115">
        <v>26088.799999999999</v>
      </c>
    </row>
    <row r="11" spans="1:7" ht="13.5" customHeight="1" x14ac:dyDescent="0.2">
      <c r="A11" s="112" t="s">
        <v>377</v>
      </c>
      <c r="B11" s="113">
        <v>190977.6</v>
      </c>
      <c r="C11" s="113">
        <v>21219.7</v>
      </c>
      <c r="D11" s="114">
        <v>23364</v>
      </c>
      <c r="E11" s="114">
        <v>2596</v>
      </c>
      <c r="F11" s="115">
        <v>134799.29999999999</v>
      </c>
      <c r="G11" s="115">
        <v>14977.7</v>
      </c>
    </row>
    <row r="12" spans="1:7" ht="13.5" customHeight="1" x14ac:dyDescent="0.2">
      <c r="A12" s="112" t="s">
        <v>378</v>
      </c>
      <c r="B12" s="113">
        <v>126478.8</v>
      </c>
      <c r="C12" s="113">
        <v>14053.2</v>
      </c>
      <c r="D12" s="114">
        <v>10800</v>
      </c>
      <c r="E12" s="114">
        <v>1200</v>
      </c>
      <c r="F12" s="115">
        <v>18637.2</v>
      </c>
      <c r="G12" s="115">
        <v>2070.8000000000002</v>
      </c>
    </row>
    <row r="13" spans="1:7" ht="13.5" customHeight="1" x14ac:dyDescent="0.2">
      <c r="A13" s="112" t="s">
        <v>379</v>
      </c>
      <c r="B13" s="113">
        <v>28215</v>
      </c>
      <c r="C13" s="113">
        <v>3135</v>
      </c>
      <c r="D13" s="114">
        <v>10800</v>
      </c>
      <c r="E13" s="114">
        <v>1200</v>
      </c>
      <c r="F13" s="115">
        <v>24382.799999999999</v>
      </c>
      <c r="G13" s="115">
        <v>2709.2</v>
      </c>
    </row>
    <row r="14" spans="1:7" ht="13.5" customHeight="1" x14ac:dyDescent="0.2">
      <c r="A14" s="112" t="s">
        <v>380</v>
      </c>
      <c r="B14" s="113">
        <v>42209.599999999999</v>
      </c>
      <c r="C14" s="113">
        <v>4690</v>
      </c>
      <c r="D14" s="114">
        <v>10800</v>
      </c>
      <c r="E14" s="114">
        <v>1200</v>
      </c>
      <c r="F14" s="115">
        <v>20225.7</v>
      </c>
      <c r="G14" s="115">
        <v>2247.3000000000002</v>
      </c>
    </row>
    <row r="15" spans="1:7" ht="13.5" customHeight="1" x14ac:dyDescent="0.2">
      <c r="A15" s="112" t="s">
        <v>381</v>
      </c>
      <c r="B15" s="113">
        <v>42209.599999999999</v>
      </c>
      <c r="C15" s="113">
        <v>4690</v>
      </c>
      <c r="D15" s="114">
        <v>3402</v>
      </c>
      <c r="E15" s="114">
        <v>378</v>
      </c>
      <c r="F15" s="115">
        <v>17142.3</v>
      </c>
      <c r="G15" s="115">
        <v>1904.7</v>
      </c>
    </row>
    <row r="17" spans="1:7" ht="19.5" customHeight="1" x14ac:dyDescent="0.2">
      <c r="A17" s="365" t="s">
        <v>382</v>
      </c>
      <c r="B17" s="289"/>
      <c r="C17" s="289"/>
      <c r="D17" s="289"/>
      <c r="E17" s="289"/>
      <c r="F17" s="289"/>
      <c r="G17" s="289"/>
    </row>
  </sheetData>
  <mergeCells count="3">
    <mergeCell ref="A2:F2"/>
    <mergeCell ref="A1:F1"/>
    <mergeCell ref="A17:G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864"/>
  </sheetPr>
  <dimension ref="A1:BK285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259" sqref="A259"/>
      <selection pane="bottomRight" activeCell="D16" sqref="D16"/>
    </sheetView>
  </sheetViews>
  <sheetFormatPr baseColWidth="10" defaultColWidth="8.6640625" defaultRowHeight="15" x14ac:dyDescent="0.2"/>
  <cols>
    <col min="1" max="1" width="62" customWidth="1"/>
    <col min="2" max="2" width="14" customWidth="1"/>
    <col min="3" max="3" width="10.6640625" customWidth="1"/>
    <col min="4" max="5" width="10.1640625" customWidth="1"/>
    <col min="6" max="27" width="10.6640625" customWidth="1"/>
    <col min="28" max="63" width="13" customWidth="1"/>
  </cols>
  <sheetData>
    <row r="1" spans="1:63" ht="21.75" customHeight="1" x14ac:dyDescent="0.2">
      <c r="A1" s="371" t="str">
        <f>"SIMULAÇÃO RATEIO FIXO — "&amp;Premissas!$B$13&amp;" × COPASUL | 18 UCs | Jun/2026–Mai/2031"</f>
        <v>SIMULAÇÃO RATEIO FIXO — Cassilândia 03 × COPASUL | 18 UCs | Jun/2026–Mai/2031</v>
      </c>
      <c r="B1" s="289"/>
      <c r="C1" s="289"/>
      <c r="D1" s="289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  <c r="P1" s="289"/>
      <c r="Q1" s="289"/>
      <c r="R1" s="289"/>
      <c r="S1" s="289"/>
      <c r="T1" s="289"/>
      <c r="U1" s="289"/>
      <c r="V1" s="289"/>
      <c r="W1" s="289"/>
      <c r="X1" s="289"/>
      <c r="Y1" s="289"/>
      <c r="Z1" s="289"/>
      <c r="AA1" s="289"/>
    </row>
    <row r="2" spans="1:63" ht="12.75" customHeight="1" x14ac:dyDescent="0.2">
      <c r="A2" s="367" t="s">
        <v>383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89"/>
      <c r="Y2" s="289"/>
      <c r="Z2" s="289"/>
      <c r="AA2" s="289"/>
    </row>
    <row r="4" spans="1:63" ht="24" customHeight="1" x14ac:dyDescent="0.2">
      <c r="A4" s="3" t="s">
        <v>384</v>
      </c>
      <c r="B4" s="116" t="s">
        <v>385</v>
      </c>
      <c r="C4" s="116" t="s">
        <v>386</v>
      </c>
      <c r="D4" s="117" t="s">
        <v>41</v>
      </c>
      <c r="E4" s="117" t="s">
        <v>42</v>
      </c>
      <c r="F4" s="117" t="s">
        <v>43</v>
      </c>
      <c r="G4" s="117" t="s">
        <v>44</v>
      </c>
      <c r="H4" s="117" t="s">
        <v>45</v>
      </c>
      <c r="I4" s="117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51</v>
      </c>
      <c r="O4" s="1" t="s">
        <v>52</v>
      </c>
      <c r="P4" s="117" t="s">
        <v>53</v>
      </c>
      <c r="Q4" s="117" t="s">
        <v>54</v>
      </c>
      <c r="R4" s="117" t="s">
        <v>55</v>
      </c>
      <c r="S4" s="117" t="s">
        <v>56</v>
      </c>
      <c r="T4" s="117" t="s">
        <v>57</v>
      </c>
      <c r="U4" s="117" t="s">
        <v>58</v>
      </c>
      <c r="V4" s="1" t="s">
        <v>59</v>
      </c>
      <c r="W4" s="1" t="s">
        <v>60</v>
      </c>
      <c r="X4" s="1" t="s">
        <v>61</v>
      </c>
      <c r="Y4" s="1" t="s">
        <v>62</v>
      </c>
      <c r="Z4" s="1" t="s">
        <v>64</v>
      </c>
      <c r="AA4" s="1" t="s">
        <v>70</v>
      </c>
      <c r="AB4" s="118" t="s">
        <v>73</v>
      </c>
      <c r="AC4" s="118" t="s">
        <v>76</v>
      </c>
      <c r="AD4" s="118" t="s">
        <v>79</v>
      </c>
      <c r="AE4" s="118" t="s">
        <v>81</v>
      </c>
      <c r="AF4" s="118" t="s">
        <v>83</v>
      </c>
      <c r="AG4" s="118" t="s">
        <v>85</v>
      </c>
      <c r="AH4" s="119" t="s">
        <v>87</v>
      </c>
      <c r="AI4" s="119" t="s">
        <v>89</v>
      </c>
      <c r="AJ4" s="119" t="s">
        <v>91</v>
      </c>
      <c r="AK4" s="119" t="s">
        <v>93</v>
      </c>
      <c r="AL4" s="119" t="s">
        <v>95</v>
      </c>
      <c r="AM4" s="119" t="s">
        <v>97</v>
      </c>
      <c r="AN4" s="118" t="s">
        <v>99</v>
      </c>
      <c r="AO4" s="118" t="s">
        <v>101</v>
      </c>
      <c r="AP4" s="118" t="s">
        <v>104</v>
      </c>
      <c r="AQ4" s="118" t="s">
        <v>106</v>
      </c>
      <c r="AR4" s="118" t="s">
        <v>108</v>
      </c>
      <c r="AS4" s="118" t="s">
        <v>110</v>
      </c>
      <c r="AT4" s="119" t="s">
        <v>112</v>
      </c>
      <c r="AU4" s="119" t="s">
        <v>118</v>
      </c>
      <c r="AV4" s="119" t="s">
        <v>120</v>
      </c>
      <c r="AW4" s="119" t="s">
        <v>122</v>
      </c>
      <c r="AX4" s="119" t="s">
        <v>124</v>
      </c>
      <c r="AY4" s="119" t="s">
        <v>126</v>
      </c>
      <c r="AZ4" s="118" t="s">
        <v>127</v>
      </c>
      <c r="BA4" s="118" t="s">
        <v>128</v>
      </c>
      <c r="BB4" s="118" t="s">
        <v>129</v>
      </c>
      <c r="BC4" s="118" t="s">
        <v>130</v>
      </c>
      <c r="BD4" s="118" t="s">
        <v>131</v>
      </c>
      <c r="BE4" s="118" t="s">
        <v>132</v>
      </c>
      <c r="BF4" s="119" t="s">
        <v>133</v>
      </c>
      <c r="BG4" s="119" t="s">
        <v>134</v>
      </c>
      <c r="BH4" s="119" t="s">
        <v>135</v>
      </c>
      <c r="BI4" s="119" t="s">
        <v>136</v>
      </c>
      <c r="BJ4" s="119" t="s">
        <v>137</v>
      </c>
      <c r="BK4" s="119" t="s">
        <v>138</v>
      </c>
    </row>
    <row r="5" spans="1:63" ht="15" customHeight="1" x14ac:dyDescent="0.2">
      <c r="A5" s="329" t="str">
        <f>"0.  "&amp;Premissas!B13&amp;" — GERAÇÃO E CUSTO PPA"</f>
        <v>0.  Cassilândia 03 — GERAÇÃO E CUSTO PPA</v>
      </c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289"/>
      <c r="S5" s="289"/>
      <c r="T5" s="289"/>
      <c r="U5" s="289"/>
      <c r="V5" s="289"/>
      <c r="W5" s="289"/>
      <c r="X5" s="289"/>
      <c r="Y5" s="289"/>
      <c r="Z5" s="289"/>
      <c r="AA5" s="289"/>
    </row>
    <row r="6" spans="1:63" ht="13.5" customHeight="1" x14ac:dyDescent="0.2">
      <c r="A6" s="41" t="str">
        <f>INDEX(PVSYST_Helexia!$A$5:$A$7,MATCH(Premissas!$B$13,PVSYST_Helexia!$B$5:$B$7,0))&amp;" Geração P50 (kWh)"</f>
        <v>HCS03 Geração P50 (kWh)</v>
      </c>
      <c r="B6" s="43">
        <f>SUM(D6:BQ6)</f>
        <v>8380442.4025335256</v>
      </c>
      <c r="C6" s="120">
        <f>B6/60</f>
        <v>139674.04004222542</v>
      </c>
      <c r="D6" s="121">
        <f>Premissas!$B$61</f>
        <v>123990</v>
      </c>
      <c r="E6" s="121">
        <f>Premissas!$B$62</f>
        <v>130509.99999999999</v>
      </c>
      <c r="F6" s="121">
        <f>Premissas!$B$63</f>
        <v>156670</v>
      </c>
      <c r="G6" s="121">
        <f>Premissas!$B$64</f>
        <v>147010</v>
      </c>
      <c r="H6" s="121">
        <f>Premissas!$B$65</f>
        <v>151080</v>
      </c>
      <c r="I6" s="121">
        <f>Premissas!$B$66</f>
        <v>146080</v>
      </c>
      <c r="J6" s="121">
        <f>Premissas!$B$67</f>
        <v>138710</v>
      </c>
      <c r="K6" s="121">
        <f>Premissas!$B$68</f>
        <v>142424.29999999999</v>
      </c>
      <c r="L6" s="121">
        <f>Premissas!$B$69</f>
        <v>126912.25</v>
      </c>
      <c r="M6" s="121">
        <f>Premissas!$B$70</f>
        <v>145568.5</v>
      </c>
      <c r="N6" s="121">
        <f>Premissas!$B$71</f>
        <v>145250.1</v>
      </c>
      <c r="O6" s="121">
        <f>Premissas!$B$72</f>
        <v>135936.9</v>
      </c>
      <c r="P6" s="121">
        <f>Premissas!$B$73</f>
        <v>123370.05</v>
      </c>
      <c r="Q6" s="121">
        <f>Premissas!$B$74</f>
        <v>129857.44999999998</v>
      </c>
      <c r="R6" s="121">
        <f>Premissas!$B$75</f>
        <v>155886.65</v>
      </c>
      <c r="S6" s="121">
        <f>Premissas!$B$76</f>
        <v>146274.95000000001</v>
      </c>
      <c r="T6" s="121">
        <f>Premissas!$B$77</f>
        <v>150324.6</v>
      </c>
      <c r="U6" s="121">
        <f>Premissas!$B$78</f>
        <v>145349.6</v>
      </c>
      <c r="V6" s="121">
        <f>Premissas!$B$79</f>
        <v>138016.45000000001</v>
      </c>
      <c r="W6" s="121">
        <f>Premissas!$B$80</f>
        <v>142424.29999999999</v>
      </c>
      <c r="X6" s="121">
        <f>Premissas!$B$81</f>
        <v>126912.25</v>
      </c>
      <c r="Y6" s="121">
        <f>Premissas!$B$82</f>
        <v>145568.5</v>
      </c>
      <c r="Z6" s="121">
        <f>Premissas!$B$83</f>
        <v>145250.1</v>
      </c>
      <c r="AA6" s="121">
        <f>Premissas!$B$84</f>
        <v>135936.9</v>
      </c>
      <c r="AB6" s="121">
        <f>Premissas!$B$85</f>
        <v>122753.19975</v>
      </c>
      <c r="AC6" s="121">
        <f>Premissas!$B$86</f>
        <v>129208.16274999999</v>
      </c>
      <c r="AD6" s="121">
        <f>Premissas!$B$87</f>
        <v>155107.21675000002</v>
      </c>
      <c r="AE6" s="121">
        <f>Premissas!$B$88</f>
        <v>145543.57524999999</v>
      </c>
      <c r="AF6" s="121">
        <f>Premissas!$B$89</f>
        <v>149572.97700000001</v>
      </c>
      <c r="AG6" s="121">
        <f>Premissas!$B$90</f>
        <v>144622.85200000001</v>
      </c>
      <c r="AH6" s="121">
        <f>Premissas!$B$91</f>
        <v>137326.36775</v>
      </c>
      <c r="AI6" s="121">
        <f>Premissas!$B$92</f>
        <v>141712.17850000001</v>
      </c>
      <c r="AJ6" s="121">
        <f>Premissas!$B$93</f>
        <v>126277.68875</v>
      </c>
      <c r="AK6" s="121">
        <f>Premissas!$B$94</f>
        <v>144840.6575</v>
      </c>
      <c r="AL6" s="121">
        <f>Premissas!$B$95</f>
        <v>144523.84950000001</v>
      </c>
      <c r="AM6" s="121">
        <f>Premissas!$B$96</f>
        <v>135257.21550000002</v>
      </c>
      <c r="AN6" s="121">
        <f>Premissas!$B$97</f>
        <v>122139.43375125001</v>
      </c>
      <c r="AO6" s="121">
        <f>Premissas!$B$98</f>
        <v>128562.12193624998</v>
      </c>
      <c r="AP6" s="121">
        <f>Premissas!$B$99</f>
        <v>154331.68066625</v>
      </c>
      <c r="AQ6" s="121">
        <f>Premissas!$B$100</f>
        <v>144815.85737375001</v>
      </c>
      <c r="AR6" s="121">
        <f>Premissas!$B$101</f>
        <v>148825.112115</v>
      </c>
      <c r="AS6" s="121">
        <f>Premissas!$B$102</f>
        <v>143899.73774000001</v>
      </c>
      <c r="AT6" s="121">
        <f>Premissas!$B$103</f>
        <v>136639.73591125</v>
      </c>
      <c r="AU6" s="121">
        <f>Premissas!$B$104</f>
        <v>141003.6176075</v>
      </c>
      <c r="AV6" s="121">
        <f>Premissas!$B$105</f>
        <v>125646.30030625001</v>
      </c>
      <c r="AW6" s="121">
        <f>Premissas!$B$106</f>
        <v>144116.45421250002</v>
      </c>
      <c r="AX6" s="121">
        <f>Premissas!$B$107</f>
        <v>143801.23025250001</v>
      </c>
      <c r="AY6" s="121">
        <f>Premissas!$B$108</f>
        <v>134580.92942249999</v>
      </c>
      <c r="AZ6" s="121">
        <f>Premissas!$B$109</f>
        <v>121528.73658249376</v>
      </c>
      <c r="BA6" s="121">
        <f>Premissas!$B$110</f>
        <v>127919.31132656874</v>
      </c>
      <c r="BB6" s="121">
        <f>Premissas!$B$111</f>
        <v>153560.02226291876</v>
      </c>
      <c r="BC6" s="121">
        <f>Premissas!$B$112</f>
        <v>144091.77808688127</v>
      </c>
      <c r="BD6" s="121">
        <f>Premissas!$B$113</f>
        <v>148080.98655442501</v>
      </c>
      <c r="BE6" s="121">
        <f>Premissas!$B$114</f>
        <v>143180.23905130001</v>
      </c>
      <c r="BF6" s="121">
        <f>Premissas!$B$115</f>
        <v>135956.53723169377</v>
      </c>
      <c r="BG6" s="121">
        <f>Premissas!$B$116</f>
        <v>140298.5995194625</v>
      </c>
      <c r="BH6" s="121">
        <f>Premissas!$B$117</f>
        <v>125018.06880471876</v>
      </c>
      <c r="BI6" s="121">
        <f>Premissas!$B$118</f>
        <v>143395.87194143751</v>
      </c>
      <c r="BJ6" s="121">
        <f>Premissas!$B$119</f>
        <v>143082.22410123752</v>
      </c>
      <c r="BK6" s="121">
        <f>Premissas!$B$120</f>
        <v>133908.02477538752</v>
      </c>
    </row>
    <row r="7" spans="1:63" ht="12.75" customHeight="1" x14ac:dyDescent="0.2">
      <c r="A7" s="122" t="s">
        <v>387</v>
      </c>
      <c r="B7" s="123">
        <f>SUM(D7:BQ7)</f>
        <v>4542510.3695095358</v>
      </c>
      <c r="C7" s="124">
        <f>B7/60</f>
        <v>75708.506158492266</v>
      </c>
      <c r="D7" s="123">
        <f>D6*Premissas!$B$17*(1+Premissas!$B$128)*(1+Premissas!$B$123)^0</f>
        <v>61449.444000000003</v>
      </c>
      <c r="E7" s="123">
        <f>E6*Premissas!$B$17*(1+Premissas!$B$128)*(1+Premissas!$B$123)^0</f>
        <v>64680.756000000001</v>
      </c>
      <c r="F7" s="123">
        <f>F6*Premissas!$B$17*(1+Premissas!$B$128)*(1+Premissas!$B$123)^0</f>
        <v>77645.652000000016</v>
      </c>
      <c r="G7" s="123">
        <f>G6*Premissas!$B$17*(1+Premissas!$B$128)*(1+Premissas!$B$123)^0</f>
        <v>72858.156000000017</v>
      </c>
      <c r="H7" s="123">
        <f>H6*Premissas!$B$17*(1+Premissas!$B$128)*(1+Premissas!$B$123)^0</f>
        <v>74875.248000000007</v>
      </c>
      <c r="I7" s="123">
        <f>I6*Premissas!$B$17*(1+Premissas!$B$128)*(1+Premissas!$B$123)^0</f>
        <v>72397.248000000007</v>
      </c>
      <c r="J7" s="123">
        <f>J6*Premissas!$B$17*(1+Premissas!$B$128)*(1+Premissas!$B$123)^0</f>
        <v>68744.676000000007</v>
      </c>
      <c r="K7" s="123">
        <f>K6*Premissas!$B$17*(1+Premissas!$B$128)*(1+Premissas!$B$123)^0</f>
        <v>70585.483080000005</v>
      </c>
      <c r="L7" s="123">
        <f>L6*Premissas!$B$17*(1+Premissas!$B$128)*(1+Premissas!$B$123)^0</f>
        <v>62897.711100000008</v>
      </c>
      <c r="M7" s="123">
        <f>M6*Premissas!$B$17*(1+Premissas!$B$128)*(1+Premissas!$B$123)^0</f>
        <v>72143.748600000006</v>
      </c>
      <c r="N7" s="123">
        <f>N6*Premissas!$B$17*(1+Premissas!$B$128)*(1+Premissas!$B$123)^0</f>
        <v>71985.949560000008</v>
      </c>
      <c r="O7" s="123">
        <f>O6*Premissas!$B$17*(1+Premissas!$B$128)*(1+Premissas!$B$123)^0</f>
        <v>67370.327640000003</v>
      </c>
      <c r="P7" s="123">
        <f>P6*Premissas!$B$17*(1+Premissas!$B$128)*(1+Premissas!$B$123)^1</f>
        <v>63893.595635099999</v>
      </c>
      <c r="Q7" s="123">
        <f>Q6*Premissas!$B$17*(1+Premissas!$B$128)*(1+Premissas!$B$123)^1</f>
        <v>67253.433069899998</v>
      </c>
      <c r="R7" s="123">
        <f>R6*Premissas!$B$17*(1+Premissas!$B$128)*(1+Premissas!$B$123)^1</f>
        <v>80734.007808300012</v>
      </c>
      <c r="S7" s="123">
        <f>S6*Premissas!$B$17*(1+Premissas!$B$128)*(1+Premissas!$B$123)^1</f>
        <v>75756.089154900008</v>
      </c>
      <c r="T7" s="123">
        <f>T6*Premissas!$B$17*(1+Premissas!$B$128)*(1+Premissas!$B$123)^1</f>
        <v>77853.410989199998</v>
      </c>
      <c r="U7" s="123">
        <f>U6*Premissas!$B$17*(1+Premissas!$B$128)*(1+Premissas!$B$123)^1</f>
        <v>75276.8485392</v>
      </c>
      <c r="V7" s="123">
        <f>V6*Premissas!$B$17*(1+Premissas!$B$128)*(1+Premissas!$B$123)^1</f>
        <v>71478.9954879</v>
      </c>
      <c r="W7" s="123">
        <f>W6*Premissas!$B$17*(1+Premissas!$B$128)*(1+Premissas!$B$123)^1</f>
        <v>73761.829818600003</v>
      </c>
      <c r="X7" s="123">
        <f>X6*Premissas!$B$17*(1+Premissas!$B$128)*(1+Premissas!$B$123)^1</f>
        <v>65728.108099500008</v>
      </c>
      <c r="Y7" s="123">
        <f>Y6*Premissas!$B$17*(1+Premissas!$B$128)*(1+Premissas!$B$123)^1</f>
        <v>75390.217287000007</v>
      </c>
      <c r="Z7" s="123">
        <f>Z6*Premissas!$B$17*(1+Premissas!$B$128)*(1+Premissas!$B$123)^1</f>
        <v>75225.317290200008</v>
      </c>
      <c r="AA7" s="123">
        <f>AA6*Premissas!$B$17*(1+Premissas!$B$128)*(1+Premissas!$B$123)^1</f>
        <v>70401.992383799996</v>
      </c>
      <c r="AB7" s="123">
        <f>AB6*Premissas!$B$17*(1+Premissas!$B$128)*(1+Premissas!$B$123)^2</f>
        <v>66434.963401486093</v>
      </c>
      <c r="AC7" s="123">
        <f>AC6*Premissas!$B$17*(1+Premissas!$B$128)*(1+Premissas!$B$123)^2</f>
        <v>69928.438370255259</v>
      </c>
      <c r="AD7" s="123">
        <f>AD6*Premissas!$B$17*(1+Premissas!$B$128)*(1+Premissas!$B$123)^2</f>
        <v>83945.202968875135</v>
      </c>
      <c r="AE7" s="123">
        <f>AE6*Premissas!$B$17*(1+Premissas!$B$128)*(1+Premissas!$B$123)^2</f>
        <v>78769.287601036136</v>
      </c>
      <c r="AF7" s="123">
        <f>AF6*Premissas!$B$17*(1+Premissas!$B$128)*(1+Premissas!$B$123)^2</f>
        <v>80950.030411295447</v>
      </c>
      <c r="AG7" s="123">
        <f>AG6*Premissas!$B$17*(1+Premissas!$B$128)*(1+Premissas!$B$123)^2</f>
        <v>78270.985189846673</v>
      </c>
      <c r="AH7" s="123">
        <f>AH6*Premissas!$B$17*(1+Premissas!$B$128)*(1+Premissas!$B$123)^2</f>
        <v>74322.072533431216</v>
      </c>
      <c r="AI7" s="123">
        <f>AI6*Premissas!$B$17*(1+Premissas!$B$128)*(1+Premissas!$B$123)^2</f>
        <v>76695.706599634825</v>
      </c>
      <c r="AJ7" s="123">
        <f>AJ6*Premissas!$B$17*(1+Premissas!$B$128)*(1+Premissas!$B$123)^2</f>
        <v>68342.443599157603</v>
      </c>
      <c r="AK7" s="123">
        <f>AK6*Premissas!$B$17*(1+Premissas!$B$128)*(1+Premissas!$B$123)^2</f>
        <v>78388.863179590422</v>
      </c>
      <c r="AL7" s="123">
        <f>AL6*Premissas!$B$17*(1+Premissas!$B$128)*(1+Premissas!$B$123)^2</f>
        <v>78217.40428541771</v>
      </c>
      <c r="AM7" s="123">
        <f>AM6*Premissas!$B$17*(1+Premissas!$B$128)*(1+Premissas!$B$123)^2</f>
        <v>73202.231630865645</v>
      </c>
      <c r="AN7" s="123">
        <f>AN6*Premissas!$B$17*(1+Premissas!$B$128)*(1+Premissas!$B$123)^3</f>
        <v>69077.414070780214</v>
      </c>
      <c r="AO7" s="123">
        <f>AO6*Premissas!$B$17*(1+Premissas!$B$128)*(1+Premissas!$B$123)^3</f>
        <v>72709.842006432169</v>
      </c>
      <c r="AP7" s="123">
        <f>AP6*Premissas!$B$17*(1+Premissas!$B$128)*(1+Premissas!$B$123)^3</f>
        <v>87284.123416962146</v>
      </c>
      <c r="AQ7" s="123">
        <f>AQ6*Premissas!$B$17*(1+Premissas!$B$128)*(1+Premissas!$B$123)^3</f>
        <v>81902.336015367371</v>
      </c>
      <c r="AR7" s="123">
        <f>AR6*Premissas!$B$17*(1+Premissas!$B$128)*(1+Premissas!$B$123)^3</f>
        <v>84169.817870904692</v>
      </c>
      <c r="AS7" s="123">
        <f>AS6*Premissas!$B$17*(1+Premissas!$B$128)*(1+Premissas!$B$123)^3</f>
        <v>81384.213625772827</v>
      </c>
      <c r="AT7" s="123">
        <f>AT6*Premissas!$B$17*(1+Premissas!$B$128)*(1+Premissas!$B$123)^3</f>
        <v>77278.232968448428</v>
      </c>
      <c r="AU7" s="123">
        <f>AU6*Premissas!$B$17*(1+Premissas!$B$128)*(1+Premissas!$B$123)^3</f>
        <v>79746.278329635286</v>
      </c>
      <c r="AV7" s="123">
        <f>AV6*Premissas!$B$17*(1+Premissas!$B$128)*(1+Premissas!$B$123)^3</f>
        <v>71060.764293314103</v>
      </c>
      <c r="AW7" s="123">
        <f>AW6*Premissas!$B$17*(1+Premissas!$B$128)*(1+Premissas!$B$123)^3</f>
        <v>81506.780212558631</v>
      </c>
      <c r="AX7" s="123">
        <f>AX6*Premissas!$B$17*(1+Premissas!$B$128)*(1+Premissas!$B$123)^3</f>
        <v>81328.501540870187</v>
      </c>
      <c r="AY7" s="123">
        <f>AY6*Premissas!$B$17*(1+Premissas!$B$128)*(1+Premissas!$B$123)^3</f>
        <v>76113.850393983317</v>
      </c>
      <c r="AZ7" s="123">
        <f>AZ6*Premissas!$B$17*(1+Premissas!$B$128)*(1+Premissas!$B$123)^4</f>
        <v>71824.968215445479</v>
      </c>
      <c r="BA7" s="123">
        <f>BA6*Premissas!$B$17*(1+Premissas!$B$128)*(1+Premissas!$B$123)^4</f>
        <v>75601.875972237991</v>
      </c>
      <c r="BB7" s="123">
        <f>BB6*Premissas!$B$17*(1+Premissas!$B$128)*(1+Premissas!$B$123)^4</f>
        <v>90755.849425871769</v>
      </c>
      <c r="BC7" s="123">
        <f>BC6*Premissas!$B$17*(1+Premissas!$B$128)*(1+Premissas!$B$123)^4</f>
        <v>85160.001430378572</v>
      </c>
      <c r="BD7" s="123">
        <f>BD6*Premissas!$B$17*(1+Premissas!$B$128)*(1+Premissas!$B$123)^4</f>
        <v>87517.672376719915</v>
      </c>
      <c r="BE7" s="123">
        <f>BE6*Premissas!$B$17*(1+Premissas!$B$128)*(1+Premissas!$B$123)^4</f>
        <v>84621.270722737914</v>
      </c>
      <c r="BF7" s="123">
        <f>BF6*Premissas!$B$17*(1+Premissas!$B$128)*(1+Premissas!$B$123)^4</f>
        <v>80351.974684768473</v>
      </c>
      <c r="BG7" s="123">
        <f>BG6*Premissas!$B$17*(1+Premissas!$B$128)*(1+Premissas!$B$123)^4</f>
        <v>82918.186550196493</v>
      </c>
      <c r="BH7" s="123">
        <f>BH6*Premissas!$B$17*(1+Premissas!$B$128)*(1+Premissas!$B$123)^4</f>
        <v>73887.206193080667</v>
      </c>
      <c r="BI7" s="123">
        <f>BI6*Premissas!$B$17*(1+Premissas!$B$128)*(1+Premissas!$B$123)^4</f>
        <v>84748.712395513125</v>
      </c>
      <c r="BJ7" s="123">
        <f>BJ6*Premissas!$B$17*(1+Premissas!$B$128)*(1+Premissas!$B$123)^4</f>
        <v>84563.342689658282</v>
      </c>
      <c r="BK7" s="123">
        <f>BK6*Premissas!$B$17*(1+Premissas!$B$128)*(1+Premissas!$B$123)^4</f>
        <v>79141.278793403995</v>
      </c>
    </row>
    <row r="8" spans="1:63" ht="15" customHeight="1" x14ac:dyDescent="0.2">
      <c r="A8" s="368" t="s">
        <v>388</v>
      </c>
      <c r="B8" s="289"/>
      <c r="C8" s="289"/>
      <c r="D8" s="289"/>
      <c r="E8" s="289"/>
      <c r="F8" s="289"/>
      <c r="G8" s="289"/>
      <c r="H8" s="289"/>
      <c r="I8" s="289"/>
      <c r="J8" s="289"/>
      <c r="K8" s="289"/>
      <c r="L8" s="289"/>
      <c r="M8" s="289"/>
      <c r="N8" s="289"/>
      <c r="O8" s="289"/>
      <c r="P8" s="289"/>
      <c r="Q8" s="289"/>
      <c r="R8" s="289"/>
      <c r="S8" s="289"/>
      <c r="T8" s="289"/>
      <c r="U8" s="289"/>
      <c r="V8" s="289"/>
      <c r="W8" s="289"/>
      <c r="X8" s="289"/>
      <c r="Y8" s="289"/>
      <c r="Z8" s="289"/>
      <c r="AA8" s="289"/>
    </row>
    <row r="9" spans="1:63" ht="12.75" customHeight="1" x14ac:dyDescent="0.2">
      <c r="A9" s="74" t="s">
        <v>389</v>
      </c>
      <c r="B9" s="89">
        <f t="shared" ref="B9:B14" si="0">SUM(D9:BQ9)</f>
        <v>5593986.2620315868</v>
      </c>
      <c r="C9" s="120">
        <f t="shared" ref="C9:C14" si="1">B9/60</f>
        <v>93233.104367193111</v>
      </c>
      <c r="D9" s="89">
        <f>+Batayporã!I8</f>
        <v>72286.89999999998</v>
      </c>
      <c r="E9" s="89">
        <f>+Batayporã!I9</f>
        <v>88336.8</v>
      </c>
      <c r="F9" s="89">
        <f>+Batayporã!I10</f>
        <v>93082.7</v>
      </c>
      <c r="G9" s="89">
        <f>+Batayporã!I11</f>
        <v>94433.400000000009</v>
      </c>
      <c r="H9" s="89">
        <f>+Batayporã!I12</f>
        <v>95906.799999999988</v>
      </c>
      <c r="I9" s="89">
        <f>+Batayporã!I13</f>
        <v>107980.59999999998</v>
      </c>
      <c r="J9" s="89">
        <f>+Batayporã!I14</f>
        <v>106603.90000000001</v>
      </c>
      <c r="K9" s="89">
        <f>+Batayporã!I3*(1-Premissas!$B$23)</f>
        <v>113687.70499999996</v>
      </c>
      <c r="L9" s="89">
        <f>+Batayporã!I4*(1-Premissas!$B$23)</f>
        <v>90676.240500000014</v>
      </c>
      <c r="M9" s="89">
        <f>+Batayporã!I5*(1-Premissas!$B$23)</f>
        <v>102546.59049999998</v>
      </c>
      <c r="N9" s="89">
        <f>+Batayporã!I6*(1-Premissas!$B$23)</f>
        <v>73341.151499999993</v>
      </c>
      <c r="O9" s="89">
        <f>+Batayporã!I7*(1-Premissas!$B$23)</f>
        <v>91158.516999999993</v>
      </c>
      <c r="P9" s="89">
        <f>D9*(1-Premissas!$B$23)</f>
        <v>71925.465499999977</v>
      </c>
      <c r="Q9" s="89">
        <f>E9*(1-Premissas!$B$23)</f>
        <v>87895.116000000009</v>
      </c>
      <c r="R9" s="89">
        <f>F9*(1-Premissas!$B$23)</f>
        <v>92617.286500000002</v>
      </c>
      <c r="S9" s="89">
        <f>G9*(1-Premissas!$B$23)</f>
        <v>93961.233000000007</v>
      </c>
      <c r="T9" s="89">
        <f>H9*(1-Premissas!$B$23)</f>
        <v>95427.265999999989</v>
      </c>
      <c r="U9" s="89">
        <f>I9*(1-Premissas!$B$23)</f>
        <v>107440.69699999997</v>
      </c>
      <c r="V9" s="89">
        <f>J9*(1-Premissas!$B$23)</f>
        <v>106070.88050000001</v>
      </c>
      <c r="W9" s="89">
        <f>K9*(1-Premissas!$B$23)</f>
        <v>113119.26647499995</v>
      </c>
      <c r="X9" s="89">
        <f>L9*(1-Premissas!$B$23)</f>
        <v>90222.859297500021</v>
      </c>
      <c r="Y9" s="89">
        <f>M9*(1-Premissas!$B$23)</f>
        <v>102033.85754749998</v>
      </c>
      <c r="Z9" s="89">
        <f>N9*(1-Premissas!$B$23)</f>
        <v>72974.445742499985</v>
      </c>
      <c r="AA9" s="89">
        <f>O9*(1-Premissas!$B$23)</f>
        <v>90702.72441499999</v>
      </c>
      <c r="AB9" s="89">
        <f>P9*(1-Premissas!$B$23)</f>
        <v>71565.838172499978</v>
      </c>
      <c r="AC9" s="89">
        <f>Q9*(1-Premissas!$B$23)</f>
        <v>87455.640420000011</v>
      </c>
      <c r="AD9" s="89">
        <f>R9*(1-Premissas!$B$23)</f>
        <v>92154.200067500002</v>
      </c>
      <c r="AE9" s="89">
        <f>S9*(1-Premissas!$B$23)</f>
        <v>93491.426835000006</v>
      </c>
      <c r="AF9" s="89">
        <f>T9*(1-Premissas!$B$23)</f>
        <v>94950.129669999995</v>
      </c>
      <c r="AG9" s="89">
        <f>U9*(1-Premissas!$B$23)</f>
        <v>106903.49351499997</v>
      </c>
      <c r="AH9" s="89">
        <f>V9*(1-Premissas!$B$23)</f>
        <v>105540.52609750001</v>
      </c>
      <c r="AI9" s="89">
        <f>W9*(1-Premissas!$B$23)</f>
        <v>112553.67014262495</v>
      </c>
      <c r="AJ9" s="89">
        <f>X9*(1-Premissas!$B$23)</f>
        <v>89771.745001012518</v>
      </c>
      <c r="AK9" s="89">
        <f>Y9*(1-Premissas!$B$23)</f>
        <v>101523.68825976248</v>
      </c>
      <c r="AL9" s="89">
        <f>Z9*(1-Premissas!$B$23)</f>
        <v>72609.573513787487</v>
      </c>
      <c r="AM9" s="89">
        <f>AA9*(1-Premissas!$B$23)</f>
        <v>90249.210792924991</v>
      </c>
      <c r="AN9" s="89">
        <f>AB9*(1-Premissas!$B$23)</f>
        <v>71208.008981637482</v>
      </c>
      <c r="AO9" s="89">
        <f>AC9*(1-Premissas!$B$23)</f>
        <v>87018.362217900009</v>
      </c>
      <c r="AP9" s="89">
        <f>AD9*(1-Premissas!$B$23)</f>
        <v>91693.429067162506</v>
      </c>
      <c r="AQ9" s="89">
        <f>AE9*(1-Premissas!$B$23)</f>
        <v>93023.969700825008</v>
      </c>
      <c r="AR9" s="89">
        <f>AF9*(1-Premissas!$B$23)</f>
        <v>94475.379021649991</v>
      </c>
      <c r="AS9" s="89">
        <f>AG9*(1-Premissas!$B$23)</f>
        <v>106368.97604742496</v>
      </c>
      <c r="AT9" s="89">
        <f>AH9*(1-Premissas!$B$23)</f>
        <v>105012.82346701251</v>
      </c>
      <c r="AU9" s="89">
        <f>AI9*(1-Premissas!$B$23)</f>
        <v>111990.90179191182</v>
      </c>
      <c r="AV9" s="89">
        <f>AJ9*(1-Premissas!$B$23)</f>
        <v>89322.886276007455</v>
      </c>
      <c r="AW9" s="89">
        <f>AK9*(1-Premissas!$B$23)</f>
        <v>101016.06981846367</v>
      </c>
      <c r="AX9" s="89">
        <f>AL9*(1-Premissas!$B$23)</f>
        <v>72246.52564621855</v>
      </c>
      <c r="AY9" s="89">
        <f>AM9*(1-Premissas!$B$23)</f>
        <v>89797.964738960363</v>
      </c>
      <c r="AZ9" s="89">
        <f>AN9*(1-Premissas!$B$23)</f>
        <v>70851.968936729289</v>
      </c>
      <c r="BA9" s="89">
        <f>AO9*(1-Premissas!$B$23)</f>
        <v>86583.270406810509</v>
      </c>
      <c r="BB9" s="89">
        <f>AP9*(1-Premissas!$B$23)</f>
        <v>91234.961921826689</v>
      </c>
      <c r="BC9" s="89">
        <f>AQ9*(1-Premissas!$B$23)</f>
        <v>92558.849852320884</v>
      </c>
      <c r="BD9" s="89">
        <f>AR9*(1-Premissas!$B$23)</f>
        <v>94003.002126541745</v>
      </c>
      <c r="BE9" s="89">
        <f>AS9*(1-Premissas!$B$23)</f>
        <v>105837.13116718784</v>
      </c>
      <c r="BF9" s="89">
        <f>AT9*(1-Premissas!$B$23)</f>
        <v>104487.75934967745</v>
      </c>
      <c r="BG9" s="89">
        <f>AU9*(1-Premissas!$B$23)</f>
        <v>111430.94728295226</v>
      </c>
      <c r="BH9" s="89">
        <f>AV9*(1-Premissas!$B$23)</f>
        <v>88876.271844627423</v>
      </c>
      <c r="BI9" s="89">
        <f>AW9*(1-Premissas!$B$23)</f>
        <v>100510.98946937136</v>
      </c>
      <c r="BJ9" s="89">
        <f>AX9*(1-Premissas!$B$23)</f>
        <v>71885.293017987453</v>
      </c>
      <c r="BK9" s="89">
        <f>AY9*(1-Premissas!$B$23)</f>
        <v>89348.974915265557</v>
      </c>
    </row>
    <row r="10" spans="1:63" ht="12.75" customHeight="1" x14ac:dyDescent="0.2">
      <c r="A10" s="125" t="s">
        <v>390</v>
      </c>
      <c r="B10" s="108">
        <f t="shared" si="0"/>
        <v>3509998.0847514844</v>
      </c>
      <c r="C10" s="120">
        <f t="shared" si="1"/>
        <v>58499.968079191407</v>
      </c>
      <c r="D10" s="108">
        <f>Input_Consumo_GrupoA!$D$9</f>
        <v>78336</v>
      </c>
      <c r="E10" s="108">
        <f>Input_Consumo_GrupoA!$D$10</f>
        <v>115718.39999999999</v>
      </c>
      <c r="F10" s="108">
        <f>Input_Consumo_GrupoA!$D$11</f>
        <v>23364</v>
      </c>
      <c r="G10" s="108">
        <f>Input_Consumo_GrupoA!$D$12</f>
        <v>10800</v>
      </c>
      <c r="H10" s="108">
        <f>Input_Consumo_GrupoA!$D$13</f>
        <v>10800</v>
      </c>
      <c r="I10" s="108">
        <f>Input_Consumo_GrupoA!$D$14</f>
        <v>10800</v>
      </c>
      <c r="J10" s="108">
        <f>Input_Consumo_GrupoA!$D$15</f>
        <v>3402</v>
      </c>
      <c r="K10" s="108">
        <f>Input_Consumo_GrupoA!$D$4*(1+Premissas!$B$21)</f>
        <v>116816.17499999999</v>
      </c>
      <c r="L10" s="108">
        <f>Input_Consumo_GrupoA!$D$5*(1+Premissas!$B$21)</f>
        <v>129020.84999999999</v>
      </c>
      <c r="M10" s="108">
        <f>Input_Consumo_GrupoA!$D$6*(1+Premissas!$B$21)</f>
        <v>58936.679999999993</v>
      </c>
      <c r="N10" s="108">
        <f>Input_Consumo_GrupoA!$D$7*(1+Premissas!$B$21)</f>
        <v>36531</v>
      </c>
      <c r="O10" s="108">
        <f>Input_Consumo_GrupoA!$D$8*(1+Premissas!$B$21)</f>
        <v>81593.279999999984</v>
      </c>
      <c r="P10" s="108">
        <f>Input_Consumo_GrupoA!$D$9*(1+Premissas!$B$21)</f>
        <v>80294.399999999994</v>
      </c>
      <c r="Q10" s="108">
        <f>Input_Consumo_GrupoA!$D$10*(1+Premissas!$B$21)</f>
        <v>118611.35999999999</v>
      </c>
      <c r="R10" s="108">
        <f>Input_Consumo_GrupoA!$D$11*(1+Premissas!$B$21)</f>
        <v>23948.1</v>
      </c>
      <c r="S10" s="108">
        <f>Input_Consumo_GrupoA!$D$12*(1+Premissas!$B$21)</f>
        <v>11069.999999999998</v>
      </c>
      <c r="T10" s="108">
        <f>Input_Consumo_GrupoA!$D$13*(1+Premissas!$B$21)</f>
        <v>11069.999999999998</v>
      </c>
      <c r="U10" s="108">
        <f>Input_Consumo_GrupoA!$D$14*(1+Premissas!$B$21)</f>
        <v>11069.999999999998</v>
      </c>
      <c r="V10" s="108">
        <f>Input_Consumo_GrupoA!$D$15*(1+Premissas!$B$21)</f>
        <v>3487.0499999999997</v>
      </c>
      <c r="W10" s="108">
        <f>Input_Consumo_GrupoA!$D$4*(1+Premissas!$B$21)</f>
        <v>116816.17499999999</v>
      </c>
      <c r="X10" s="108">
        <f>Input_Consumo_GrupoA!$D$5*(1+Premissas!$B$21)</f>
        <v>129020.84999999999</v>
      </c>
      <c r="Y10" s="108">
        <f>Input_Consumo_GrupoA!$D$6*(1+Premissas!$B$21)</f>
        <v>58936.679999999993</v>
      </c>
      <c r="Z10" s="108">
        <f>Input_Consumo_GrupoA!$D$7*(1+Premissas!$B$21)</f>
        <v>36531</v>
      </c>
      <c r="AA10" s="108">
        <f>Input_Consumo_GrupoA!$D$8*(1+Premissas!$B$21)</f>
        <v>81593.279999999984</v>
      </c>
      <c r="AB10" s="108">
        <f>Input_Consumo_GrupoA!$D$9*(1+Premissas!$B$21)^2</f>
        <v>82301.759999999995</v>
      </c>
      <c r="AC10" s="108">
        <f>Input_Consumo_GrupoA!$D$10*(1+Premissas!$B$21)^2</f>
        <v>121576.64399999999</v>
      </c>
      <c r="AD10" s="108">
        <f>Input_Consumo_GrupoA!$D$11*(1+Premissas!$B$21)^2</f>
        <v>24546.802499999998</v>
      </c>
      <c r="AE10" s="108">
        <f>Input_Consumo_GrupoA!$D$12*(1+Premissas!$B$21)^2</f>
        <v>11346.75</v>
      </c>
      <c r="AF10" s="108">
        <f>Input_Consumo_GrupoA!$D$13*(1+Premissas!$B$21)^2</f>
        <v>11346.75</v>
      </c>
      <c r="AG10" s="108">
        <f>Input_Consumo_GrupoA!$D$14*(1+Premissas!$B$21)^2</f>
        <v>11346.75</v>
      </c>
      <c r="AH10" s="108">
        <f>Input_Consumo_GrupoA!$D$15*(1+Premissas!$B$21)^2</f>
        <v>3574.2262499999997</v>
      </c>
      <c r="AI10" s="108">
        <f>Input_Consumo_GrupoA!$D$4*(1+Premissas!$B$21)^2</f>
        <v>119736.57937499999</v>
      </c>
      <c r="AJ10" s="108">
        <f>Input_Consumo_GrupoA!$D$5*(1+Premissas!$B$21)^2</f>
        <v>132246.37125</v>
      </c>
      <c r="AK10" s="108">
        <f>Input_Consumo_GrupoA!$D$6*(1+Premissas!$B$21)^2</f>
        <v>60410.096999999994</v>
      </c>
      <c r="AL10" s="108">
        <f>Input_Consumo_GrupoA!$D$7*(1+Premissas!$B$21)^2</f>
        <v>37444.274999999994</v>
      </c>
      <c r="AM10" s="108">
        <f>Input_Consumo_GrupoA!$D$8*(1+Premissas!$B$21)^2</f>
        <v>83633.111999999994</v>
      </c>
      <c r="AN10" s="108">
        <f>Input_Consumo_GrupoA!$D$9*(1+Premissas!$B$21)^3</f>
        <v>84359.303999999989</v>
      </c>
      <c r="AO10" s="108">
        <f>Input_Consumo_GrupoA!$D$10*(1+Premissas!$B$21)^3</f>
        <v>124616.06009999997</v>
      </c>
      <c r="AP10" s="108">
        <f>Input_Consumo_GrupoA!$D$11*(1+Premissas!$B$21)^3</f>
        <v>25160.472562499996</v>
      </c>
      <c r="AQ10" s="108">
        <f>Input_Consumo_GrupoA!$D$12*(1+Premissas!$B$21)^3</f>
        <v>11630.418749999999</v>
      </c>
      <c r="AR10" s="108">
        <f>Input_Consumo_GrupoA!$D$13*(1+Premissas!$B$21)^3</f>
        <v>11630.418749999999</v>
      </c>
      <c r="AS10" s="108">
        <f>Input_Consumo_GrupoA!$D$14*(1+Premissas!$B$21)^3</f>
        <v>11630.418749999999</v>
      </c>
      <c r="AT10" s="108">
        <f>Input_Consumo_GrupoA!$D$15*(1+Premissas!$B$21)^3</f>
        <v>3663.5819062499995</v>
      </c>
      <c r="AU10" s="108">
        <f>Input_Consumo_GrupoA!$D$4*(1+Premissas!$B$21)^3</f>
        <v>122729.99385937498</v>
      </c>
      <c r="AV10" s="108">
        <f>Input_Consumo_GrupoA!$D$5*(1+Premissas!$B$21)^3</f>
        <v>135552.53053125</v>
      </c>
      <c r="AW10" s="108">
        <f>Input_Consumo_GrupoA!$D$6*(1+Premissas!$B$21)^3</f>
        <v>61920.349424999993</v>
      </c>
      <c r="AX10" s="108">
        <f>Input_Consumo_GrupoA!$D$7*(1+Premissas!$B$21)^3</f>
        <v>38380.381874999999</v>
      </c>
      <c r="AY10" s="108">
        <f>Input_Consumo_GrupoA!$D$8*(1+Premissas!$B$21)^3</f>
        <v>85723.939799999993</v>
      </c>
      <c r="AZ10" s="108">
        <f>Input_Consumo_GrupoA!$D$9*(1+Premissas!$B$21)^4</f>
        <v>86468.286599999978</v>
      </c>
      <c r="BA10" s="108">
        <f>Input_Consumo_GrupoA!$D$10*(1+Premissas!$B$21)^4</f>
        <v>127731.46160249997</v>
      </c>
      <c r="BB10" s="108">
        <f>Input_Consumo_GrupoA!$D$11*(1+Premissas!$B$21)^4</f>
        <v>25789.484376562494</v>
      </c>
      <c r="BC10" s="108">
        <f>Input_Consumo_GrupoA!$D$12*(1+Premissas!$B$21)^4</f>
        <v>11921.179218749998</v>
      </c>
      <c r="BD10" s="108">
        <f>Input_Consumo_GrupoA!$D$13*(1+Premissas!$B$21)^4</f>
        <v>11921.179218749998</v>
      </c>
      <c r="BE10" s="108">
        <f>Input_Consumo_GrupoA!$D$14*(1+Premissas!$B$21)^4</f>
        <v>11921.179218749998</v>
      </c>
      <c r="BF10" s="108">
        <f>Input_Consumo_GrupoA!$D$15*(1+Premissas!$B$21)^4</f>
        <v>3755.1714539062491</v>
      </c>
      <c r="BG10" s="108">
        <f>Input_Consumo_GrupoA!$D$4*(1+Premissas!$B$21)^4</f>
        <v>125798.24370585935</v>
      </c>
      <c r="BH10" s="108">
        <f>Input_Consumo_GrupoA!$D$5*(1+Premissas!$B$21)^4</f>
        <v>138941.34379453122</v>
      </c>
      <c r="BI10" s="108">
        <f>Input_Consumo_GrupoA!$D$6*(1+Premissas!$B$21)^4</f>
        <v>63468.358160624986</v>
      </c>
      <c r="BJ10" s="108">
        <f>Input_Consumo_GrupoA!$D$7*(1+Premissas!$B$21)^4</f>
        <v>39339.891421874992</v>
      </c>
      <c r="BK10" s="108">
        <f>Input_Consumo_GrupoA!$D$8*(1+Premissas!$B$21)^4</f>
        <v>87867.038294999977</v>
      </c>
    </row>
    <row r="11" spans="1:63" ht="12.75" customHeight="1" x14ac:dyDescent="0.2">
      <c r="A11" s="125" t="s">
        <v>391</v>
      </c>
      <c r="B11" s="108">
        <f t="shared" si="0"/>
        <v>389999.78719460929</v>
      </c>
      <c r="C11" s="120">
        <f t="shared" si="1"/>
        <v>6499.9964532434878</v>
      </c>
      <c r="D11" s="108">
        <f>Input_Consumo_GrupoA!$E$9</f>
        <v>8704</v>
      </c>
      <c r="E11" s="108">
        <f>Input_Consumo_GrupoA!$E$10</f>
        <v>12857.6</v>
      </c>
      <c r="F11" s="108">
        <f>Input_Consumo_GrupoA!$E$11</f>
        <v>2596</v>
      </c>
      <c r="G11" s="108">
        <f>Input_Consumo_GrupoA!$E$12</f>
        <v>1200</v>
      </c>
      <c r="H11" s="108">
        <f>Input_Consumo_GrupoA!$E$13</f>
        <v>1200</v>
      </c>
      <c r="I11" s="108">
        <f>Input_Consumo_GrupoA!$E$14</f>
        <v>1200</v>
      </c>
      <c r="J11" s="108">
        <f>Input_Consumo_GrupoA!$E$15</f>
        <v>378</v>
      </c>
      <c r="K11" s="108">
        <f>Input_Consumo_GrupoA!$E$4*(1+Premissas!$B$21)</f>
        <v>12979.574999999999</v>
      </c>
      <c r="L11" s="108">
        <f>Input_Consumo_GrupoA!$E$5*(1+Premissas!$B$21)</f>
        <v>14335.65</v>
      </c>
      <c r="M11" s="108">
        <f>Input_Consumo_GrupoA!$E$6*(1+Premissas!$B$21)</f>
        <v>6548.5199999999995</v>
      </c>
      <c r="N11" s="108">
        <f>Input_Consumo_GrupoA!$E$7*(1+Premissas!$B$21)</f>
        <v>4058.9999999999995</v>
      </c>
      <c r="O11" s="108">
        <f>Input_Consumo_GrupoA!$E$8*(1+Premissas!$B$21)</f>
        <v>9065.9199999999983</v>
      </c>
      <c r="P11" s="108">
        <f>Input_Consumo_GrupoA!$E$9*(1+Premissas!$B$21)</f>
        <v>8921.5999999999985</v>
      </c>
      <c r="Q11" s="108">
        <f>Input_Consumo_GrupoA!$E$10*(1+Premissas!$B$21)</f>
        <v>13179.039999999999</v>
      </c>
      <c r="R11" s="108">
        <f>Input_Consumo_GrupoA!$E$11*(1+Premissas!$B$21)</f>
        <v>2660.8999999999996</v>
      </c>
      <c r="S11" s="108">
        <f>Input_Consumo_GrupoA!$E$12*(1+Premissas!$B$21)</f>
        <v>1230</v>
      </c>
      <c r="T11" s="108">
        <f>Input_Consumo_GrupoA!$E$13*(1+Premissas!$B$21)</f>
        <v>1230</v>
      </c>
      <c r="U11" s="108">
        <f>Input_Consumo_GrupoA!$E$14*(1+Premissas!$B$21)</f>
        <v>1230</v>
      </c>
      <c r="V11" s="108">
        <f>Input_Consumo_GrupoA!$E$15*(1+Premissas!$B$21)</f>
        <v>387.45</v>
      </c>
      <c r="W11" s="108">
        <f>Input_Consumo_GrupoA!$E$4*(1+Premissas!$B$21)</f>
        <v>12979.574999999999</v>
      </c>
      <c r="X11" s="108">
        <f>Input_Consumo_GrupoA!$E$5*(1+Premissas!$B$21)</f>
        <v>14335.65</v>
      </c>
      <c r="Y11" s="108">
        <f>Input_Consumo_GrupoA!$E$6*(1+Premissas!$B$21)</f>
        <v>6548.5199999999995</v>
      </c>
      <c r="Z11" s="108">
        <f>Input_Consumo_GrupoA!$E$7*(1+Premissas!$B$21)</f>
        <v>4058.9999999999995</v>
      </c>
      <c r="AA11" s="108">
        <f>Input_Consumo_GrupoA!$E$8*(1+Premissas!$B$21)</f>
        <v>9065.9199999999983</v>
      </c>
      <c r="AB11" s="108">
        <f>Input_Consumo_GrupoA!$E$9*(1+Premissas!$B$21)^2</f>
        <v>9144.64</v>
      </c>
      <c r="AC11" s="108">
        <f>Input_Consumo_GrupoA!$E$10*(1+Premissas!$B$21)^2</f>
        <v>13508.516</v>
      </c>
      <c r="AD11" s="108">
        <f>Input_Consumo_GrupoA!$E$11*(1+Premissas!$B$21)^2</f>
        <v>2727.4224999999997</v>
      </c>
      <c r="AE11" s="108">
        <f>Input_Consumo_GrupoA!$E$12*(1+Premissas!$B$21)^2</f>
        <v>1260.75</v>
      </c>
      <c r="AF11" s="108">
        <f>Input_Consumo_GrupoA!$E$13*(1+Premissas!$B$21)^2</f>
        <v>1260.75</v>
      </c>
      <c r="AG11" s="108">
        <f>Input_Consumo_GrupoA!$E$14*(1+Premissas!$B$21)^2</f>
        <v>1260.75</v>
      </c>
      <c r="AH11" s="108">
        <f>Input_Consumo_GrupoA!$E$15*(1+Premissas!$B$21)^2</f>
        <v>397.13624999999996</v>
      </c>
      <c r="AI11" s="108">
        <f>Input_Consumo_GrupoA!$E$4*(1+Premissas!$B$21)^2</f>
        <v>13304.064374999998</v>
      </c>
      <c r="AJ11" s="108">
        <f>Input_Consumo_GrupoA!$E$5*(1+Premissas!$B$21)^2</f>
        <v>14694.041249999998</v>
      </c>
      <c r="AK11" s="108">
        <f>Input_Consumo_GrupoA!$E$6*(1+Premissas!$B$21)^2</f>
        <v>6712.2329999999993</v>
      </c>
      <c r="AL11" s="108">
        <f>Input_Consumo_GrupoA!$E$7*(1+Premissas!$B$21)^2</f>
        <v>4160.4749999999995</v>
      </c>
      <c r="AM11" s="108">
        <f>Input_Consumo_GrupoA!$E$8*(1+Premissas!$B$21)^2</f>
        <v>9292.5679999999993</v>
      </c>
      <c r="AN11" s="108">
        <f>Input_Consumo_GrupoA!$E$9*(1+Premissas!$B$21)^3</f>
        <v>9373.2559999999994</v>
      </c>
      <c r="AO11" s="108">
        <f>Input_Consumo_GrupoA!$E$10*(1+Premissas!$B$21)^3</f>
        <v>13846.228899999998</v>
      </c>
      <c r="AP11" s="108">
        <f>Input_Consumo_GrupoA!$E$11*(1+Premissas!$B$21)^3</f>
        <v>2795.6080624999995</v>
      </c>
      <c r="AQ11" s="108">
        <f>Input_Consumo_GrupoA!$E$12*(1+Premissas!$B$21)^3</f>
        <v>1292.26875</v>
      </c>
      <c r="AR11" s="108">
        <f>Input_Consumo_GrupoA!$E$13*(1+Premissas!$B$21)^3</f>
        <v>1292.26875</v>
      </c>
      <c r="AS11" s="108">
        <f>Input_Consumo_GrupoA!$E$14*(1+Premissas!$B$21)^3</f>
        <v>1292.26875</v>
      </c>
      <c r="AT11" s="108">
        <f>Input_Consumo_GrupoA!$E$15*(1+Premissas!$B$21)^3</f>
        <v>407.06465624999993</v>
      </c>
      <c r="AU11" s="108">
        <f>Input_Consumo_GrupoA!$E$4*(1+Premissas!$B$21)^3</f>
        <v>13636.665984374999</v>
      </c>
      <c r="AV11" s="108">
        <f>Input_Consumo_GrupoA!$E$5*(1+Premissas!$B$21)^3</f>
        <v>15061.392281249999</v>
      </c>
      <c r="AW11" s="108">
        <f>Input_Consumo_GrupoA!$E$6*(1+Premissas!$B$21)^3</f>
        <v>6880.0388249999996</v>
      </c>
      <c r="AX11" s="108">
        <f>Input_Consumo_GrupoA!$E$7*(1+Premissas!$B$21)^3</f>
        <v>4264.4868749999996</v>
      </c>
      <c r="AY11" s="108">
        <f>Input_Consumo_GrupoA!$E$8*(1+Premissas!$B$21)^3</f>
        <v>9524.8821999999982</v>
      </c>
      <c r="AZ11" s="108">
        <f>Input_Consumo_GrupoA!$E$9*(1+Premissas!$B$21)^4</f>
        <v>9607.5873999999985</v>
      </c>
      <c r="BA11" s="108">
        <f>Input_Consumo_GrupoA!$E$10*(1+Premissas!$B$21)^4</f>
        <v>14192.384622499998</v>
      </c>
      <c r="BB11" s="108">
        <f>Input_Consumo_GrupoA!$E$11*(1+Premissas!$B$21)^4</f>
        <v>2865.4982640624994</v>
      </c>
      <c r="BC11" s="108">
        <f>Input_Consumo_GrupoA!$E$12*(1+Premissas!$B$21)^4</f>
        <v>1324.5754687499998</v>
      </c>
      <c r="BD11" s="108">
        <f>Input_Consumo_GrupoA!$E$13*(1+Premissas!$B$21)^4</f>
        <v>1324.5754687499998</v>
      </c>
      <c r="BE11" s="108">
        <f>Input_Consumo_GrupoA!$E$14*(1+Premissas!$B$21)^4</f>
        <v>1324.5754687499998</v>
      </c>
      <c r="BF11" s="108">
        <f>Input_Consumo_GrupoA!$E$15*(1+Premissas!$B$21)^4</f>
        <v>417.24127265624992</v>
      </c>
      <c r="BG11" s="108">
        <f>Input_Consumo_GrupoA!$E$4*(1+Premissas!$B$21)^4</f>
        <v>13977.582633984372</v>
      </c>
      <c r="BH11" s="108">
        <f>Input_Consumo_GrupoA!$E$5*(1+Premissas!$B$21)^4</f>
        <v>15437.927088281247</v>
      </c>
      <c r="BI11" s="108">
        <f>Input_Consumo_GrupoA!$E$6*(1+Premissas!$B$21)^4</f>
        <v>7052.039795624999</v>
      </c>
      <c r="BJ11" s="108">
        <f>Input_Consumo_GrupoA!$E$7*(1+Premissas!$B$21)^4</f>
        <v>4371.0990468749987</v>
      </c>
      <c r="BK11" s="108">
        <f>Input_Consumo_GrupoA!$E$8*(1+Premissas!$B$21)^4</f>
        <v>9763.004254999998</v>
      </c>
    </row>
    <row r="12" spans="1:63" ht="12.75" customHeight="1" x14ac:dyDescent="0.2">
      <c r="A12" s="126" t="s">
        <v>392</v>
      </c>
      <c r="B12" s="120">
        <f t="shared" si="0"/>
        <v>3030085.1601801822</v>
      </c>
      <c r="C12" s="120">
        <f t="shared" si="1"/>
        <v>50501.419336336367</v>
      </c>
      <c r="D12" s="120">
        <f t="shared" ref="D12:AI12" si="2">MIN(D9,D10)</f>
        <v>72286.89999999998</v>
      </c>
      <c r="E12" s="120">
        <f t="shared" si="2"/>
        <v>88336.8</v>
      </c>
      <c r="F12" s="120">
        <f t="shared" si="2"/>
        <v>23364</v>
      </c>
      <c r="G12" s="120">
        <f t="shared" si="2"/>
        <v>10800</v>
      </c>
      <c r="H12" s="120">
        <f t="shared" si="2"/>
        <v>10800</v>
      </c>
      <c r="I12" s="120">
        <f t="shared" si="2"/>
        <v>10800</v>
      </c>
      <c r="J12" s="120">
        <f t="shared" si="2"/>
        <v>3402</v>
      </c>
      <c r="K12" s="120">
        <f t="shared" si="2"/>
        <v>113687.70499999996</v>
      </c>
      <c r="L12" s="120">
        <f t="shared" si="2"/>
        <v>90676.240500000014</v>
      </c>
      <c r="M12" s="120">
        <f t="shared" si="2"/>
        <v>58936.679999999993</v>
      </c>
      <c r="N12" s="120">
        <f t="shared" si="2"/>
        <v>36531</v>
      </c>
      <c r="O12" s="120">
        <f t="shared" si="2"/>
        <v>81593.279999999984</v>
      </c>
      <c r="P12" s="120">
        <f t="shared" si="2"/>
        <v>71925.465499999977</v>
      </c>
      <c r="Q12" s="120">
        <f t="shared" si="2"/>
        <v>87895.116000000009</v>
      </c>
      <c r="R12" s="120">
        <f t="shared" si="2"/>
        <v>23948.1</v>
      </c>
      <c r="S12" s="120">
        <f t="shared" si="2"/>
        <v>11069.999999999998</v>
      </c>
      <c r="T12" s="120">
        <f t="shared" si="2"/>
        <v>11069.999999999998</v>
      </c>
      <c r="U12" s="120">
        <f t="shared" si="2"/>
        <v>11069.999999999998</v>
      </c>
      <c r="V12" s="120">
        <f t="shared" si="2"/>
        <v>3487.0499999999997</v>
      </c>
      <c r="W12" s="120">
        <f t="shared" si="2"/>
        <v>113119.26647499995</v>
      </c>
      <c r="X12" s="120">
        <f t="shared" si="2"/>
        <v>90222.859297500021</v>
      </c>
      <c r="Y12" s="120">
        <f t="shared" si="2"/>
        <v>58936.679999999993</v>
      </c>
      <c r="Z12" s="120">
        <f t="shared" si="2"/>
        <v>36531</v>
      </c>
      <c r="AA12" s="120">
        <f t="shared" si="2"/>
        <v>81593.279999999984</v>
      </c>
      <c r="AB12" s="120">
        <f t="shared" si="2"/>
        <v>71565.838172499978</v>
      </c>
      <c r="AC12" s="120">
        <f t="shared" si="2"/>
        <v>87455.640420000011</v>
      </c>
      <c r="AD12" s="120">
        <f t="shared" si="2"/>
        <v>24546.802499999998</v>
      </c>
      <c r="AE12" s="120">
        <f t="shared" si="2"/>
        <v>11346.75</v>
      </c>
      <c r="AF12" s="120">
        <f t="shared" si="2"/>
        <v>11346.75</v>
      </c>
      <c r="AG12" s="120">
        <f t="shared" si="2"/>
        <v>11346.75</v>
      </c>
      <c r="AH12" s="120">
        <f t="shared" si="2"/>
        <v>3574.2262499999997</v>
      </c>
      <c r="AI12" s="120">
        <f t="shared" si="2"/>
        <v>112553.67014262495</v>
      </c>
      <c r="AJ12" s="120">
        <f t="shared" ref="AJ12:BK12" si="3">MIN(AJ9,AJ10)</f>
        <v>89771.745001012518</v>
      </c>
      <c r="AK12" s="120">
        <f t="shared" si="3"/>
        <v>60410.096999999994</v>
      </c>
      <c r="AL12" s="120">
        <f t="shared" si="3"/>
        <v>37444.274999999994</v>
      </c>
      <c r="AM12" s="120">
        <f t="shared" si="3"/>
        <v>83633.111999999994</v>
      </c>
      <c r="AN12" s="120">
        <f t="shared" si="3"/>
        <v>71208.008981637482</v>
      </c>
      <c r="AO12" s="120">
        <f t="shared" si="3"/>
        <v>87018.362217900009</v>
      </c>
      <c r="AP12" s="120">
        <f t="shared" si="3"/>
        <v>25160.472562499996</v>
      </c>
      <c r="AQ12" s="120">
        <f t="shared" si="3"/>
        <v>11630.418749999999</v>
      </c>
      <c r="AR12" s="120">
        <f t="shared" si="3"/>
        <v>11630.418749999999</v>
      </c>
      <c r="AS12" s="120">
        <f t="shared" si="3"/>
        <v>11630.418749999999</v>
      </c>
      <c r="AT12" s="120">
        <f t="shared" si="3"/>
        <v>3663.5819062499995</v>
      </c>
      <c r="AU12" s="120">
        <f t="shared" si="3"/>
        <v>111990.90179191182</v>
      </c>
      <c r="AV12" s="120">
        <f t="shared" si="3"/>
        <v>89322.886276007455</v>
      </c>
      <c r="AW12" s="120">
        <f t="shared" si="3"/>
        <v>61920.349424999993</v>
      </c>
      <c r="AX12" s="120">
        <f t="shared" si="3"/>
        <v>38380.381874999999</v>
      </c>
      <c r="AY12" s="120">
        <f t="shared" si="3"/>
        <v>85723.939799999993</v>
      </c>
      <c r="AZ12" s="120">
        <f t="shared" si="3"/>
        <v>70851.968936729289</v>
      </c>
      <c r="BA12" s="120">
        <f t="shared" si="3"/>
        <v>86583.270406810509</v>
      </c>
      <c r="BB12" s="120">
        <f t="shared" si="3"/>
        <v>25789.484376562494</v>
      </c>
      <c r="BC12" s="120">
        <f t="shared" si="3"/>
        <v>11921.179218749998</v>
      </c>
      <c r="BD12" s="120">
        <f t="shared" si="3"/>
        <v>11921.179218749998</v>
      </c>
      <c r="BE12" s="120">
        <f t="shared" si="3"/>
        <v>11921.179218749998</v>
      </c>
      <c r="BF12" s="120">
        <f t="shared" si="3"/>
        <v>3755.1714539062491</v>
      </c>
      <c r="BG12" s="120">
        <f t="shared" si="3"/>
        <v>111430.94728295226</v>
      </c>
      <c r="BH12" s="120">
        <f t="shared" si="3"/>
        <v>88876.271844627423</v>
      </c>
      <c r="BI12" s="120">
        <f t="shared" si="3"/>
        <v>63468.358160624986</v>
      </c>
      <c r="BJ12" s="120">
        <f t="shared" si="3"/>
        <v>39339.891421874992</v>
      </c>
      <c r="BK12" s="120">
        <f t="shared" si="3"/>
        <v>87867.038294999977</v>
      </c>
    </row>
    <row r="13" spans="1:63" ht="12.75" customHeight="1" x14ac:dyDescent="0.2">
      <c r="A13" s="126" t="s">
        <v>393</v>
      </c>
      <c r="B13" s="120">
        <f t="shared" si="0"/>
        <v>107850.18582766269</v>
      </c>
      <c r="C13" s="120">
        <f t="shared" si="1"/>
        <v>1797.5030971277115</v>
      </c>
      <c r="D13" s="120">
        <f>MIN((D9-D12)*Premissas!$B$8,D11)</f>
        <v>0</v>
      </c>
      <c r="E13" s="120">
        <f>MIN((E9-E12)*Premissas!$B$8,E11)</f>
        <v>0</v>
      </c>
      <c r="F13" s="120">
        <f>MIN((F9-F12)*Premissas!$B$8,F11)</f>
        <v>2596</v>
      </c>
      <c r="G13" s="120">
        <f>MIN((G9-G12)*Premissas!$B$8,G11)</f>
        <v>1200</v>
      </c>
      <c r="H13" s="120">
        <f>MIN((H9-H12)*Premissas!$B$8,H11)</f>
        <v>1200</v>
      </c>
      <c r="I13" s="120">
        <f>MIN((I9-I12)*Premissas!$B$8,I11)</f>
        <v>1200</v>
      </c>
      <c r="J13" s="120">
        <f>MIN((J9-J12)*Premissas!$B$8,J11)</f>
        <v>378</v>
      </c>
      <c r="K13" s="120">
        <f>MIN((K9-K12)*Premissas!$B$8,K11)</f>
        <v>0</v>
      </c>
      <c r="L13" s="120">
        <f>MIN((L9-L12)*Premissas!$B$8,L11)</f>
        <v>0</v>
      </c>
      <c r="M13" s="120">
        <f>MIN((M9-M12)*Premissas!$B$8,M11)</f>
        <v>6548.5199999999995</v>
      </c>
      <c r="N13" s="120">
        <f>MIN((N9-N12)*Premissas!$B$8,N11)</f>
        <v>4058.9999999999995</v>
      </c>
      <c r="O13" s="120">
        <f>MIN((O9-O12)*Premissas!$B$8,O11)</f>
        <v>5779.9575363842241</v>
      </c>
      <c r="P13" s="120">
        <f>MIN((P9-P12)*Premissas!$B$8,P11)</f>
        <v>0</v>
      </c>
      <c r="Q13" s="120">
        <f>MIN((Q9-Q12)*Premissas!$B$8,Q11)</f>
        <v>0</v>
      </c>
      <c r="R13" s="120">
        <f>MIN((R9-R12)*Premissas!$B$8,R11)</f>
        <v>2660.8999999999996</v>
      </c>
      <c r="S13" s="120">
        <f>MIN((S9-S12)*Premissas!$B$8,S11)</f>
        <v>1230</v>
      </c>
      <c r="T13" s="120">
        <f>MIN((T9-T12)*Premissas!$B$8,T11)</f>
        <v>1230</v>
      </c>
      <c r="U13" s="120">
        <f>MIN((U9-U12)*Premissas!$B$8,U11)</f>
        <v>1230</v>
      </c>
      <c r="V13" s="120">
        <f>MIN((V9-V12)*Premissas!$B$8,V11)</f>
        <v>387.45</v>
      </c>
      <c r="W13" s="120">
        <f>MIN((W9-W12)*Premissas!$B$8,W11)</f>
        <v>0</v>
      </c>
      <c r="X13" s="120">
        <f>MIN((X9-X12)*Premissas!$B$8,X11)</f>
        <v>0</v>
      </c>
      <c r="Y13" s="120">
        <f>MIN((Y9-Y12)*Premissas!$B$8,Y11)</f>
        <v>6548.5199999999995</v>
      </c>
      <c r="Z13" s="120">
        <f>MIN((Z9-Z12)*Premissas!$B$8,Z11)</f>
        <v>4058.9999999999995</v>
      </c>
      <c r="AA13" s="120">
        <f>MIN((AA9-AA12)*Premissas!$B$8,AA11)</f>
        <v>5504.5370960230694</v>
      </c>
      <c r="AB13" s="120">
        <f>MIN((AB9-AB12)*Premissas!$B$8,AB11)</f>
        <v>0</v>
      </c>
      <c r="AC13" s="120">
        <f>MIN((AC9-AC12)*Premissas!$B$8,AC11)</f>
        <v>0</v>
      </c>
      <c r="AD13" s="120">
        <f>MIN((AD9-AD12)*Premissas!$B$8,AD11)</f>
        <v>2727.4224999999997</v>
      </c>
      <c r="AE13" s="120">
        <f>MIN((AE9-AE12)*Premissas!$B$8,AE11)</f>
        <v>1260.75</v>
      </c>
      <c r="AF13" s="120">
        <f>MIN((AF9-AF12)*Premissas!$B$8,AF11)</f>
        <v>1260.75</v>
      </c>
      <c r="AG13" s="120">
        <f>MIN((AG9-AG12)*Premissas!$B$8,AG11)</f>
        <v>1260.75</v>
      </c>
      <c r="AH13" s="120">
        <f>MIN((AH9-AH12)*Premissas!$B$8,AH11)</f>
        <v>397.13624999999996</v>
      </c>
      <c r="AI13" s="120">
        <f>MIN((AI9-AI12)*Premissas!$B$8,AI11)</f>
        <v>0</v>
      </c>
      <c r="AJ13" s="120">
        <f>MIN((AJ9-AJ12)*Premissas!$B$8,AJ11)</f>
        <v>0</v>
      </c>
      <c r="AK13" s="120">
        <f>MIN((AK9-AK12)*Premissas!$B$8,AK11)</f>
        <v>6712.2329999999993</v>
      </c>
      <c r="AL13" s="120">
        <f>MIN((AL9-AL12)*Premissas!$B$8,AL11)</f>
        <v>4160.4749999999995</v>
      </c>
      <c r="AM13" s="120">
        <f>MIN((AM9-AM12)*Premissas!$B$8,AM11)</f>
        <v>3997.8904944675569</v>
      </c>
      <c r="AN13" s="120">
        <f>MIN((AN9-AN12)*Premissas!$B$8,AN11)</f>
        <v>0</v>
      </c>
      <c r="AO13" s="120">
        <f>MIN((AO9-AO12)*Premissas!$B$8,AO11)</f>
        <v>0</v>
      </c>
      <c r="AP13" s="120">
        <f>MIN((AP9-AP12)*Premissas!$B$8,AP11)</f>
        <v>2795.6080624999995</v>
      </c>
      <c r="AQ13" s="120">
        <f>MIN((AQ9-AQ12)*Premissas!$B$8,AQ11)</f>
        <v>1292.26875</v>
      </c>
      <c r="AR13" s="120">
        <f>MIN((AR9-AR12)*Premissas!$B$8,AR11)</f>
        <v>1292.26875</v>
      </c>
      <c r="AS13" s="120">
        <f>MIN((AS9-AS12)*Premissas!$B$8,AS11)</f>
        <v>1292.26875</v>
      </c>
      <c r="AT13" s="120">
        <f>MIN((AT9-AT12)*Premissas!$B$8,AT11)</f>
        <v>407.06465624999993</v>
      </c>
      <c r="AU13" s="120">
        <f>MIN((AU9-AU12)*Premissas!$B$8,AU11)</f>
        <v>0</v>
      </c>
      <c r="AV13" s="120">
        <f>MIN((AV9-AV12)*Premissas!$B$8,AV11)</f>
        <v>0</v>
      </c>
      <c r="AW13" s="120">
        <f>MIN((AW9-AW12)*Premissas!$B$8,AW11)</f>
        <v>6880.0388249999996</v>
      </c>
      <c r="AX13" s="120">
        <f>MIN((AX9-AX12)*Premissas!$B$8,AX11)</f>
        <v>4264.4868749999996</v>
      </c>
      <c r="AY13" s="120">
        <f>MIN((AY9-AY12)*Premissas!$B$8,AY11)</f>
        <v>2461.7990280179415</v>
      </c>
      <c r="AZ13" s="120">
        <f>MIN((AZ9-AZ12)*Premissas!$B$8,AZ11)</f>
        <v>0</v>
      </c>
      <c r="BA13" s="120">
        <f>MIN((BA9-BA12)*Premissas!$B$8,BA11)</f>
        <v>0</v>
      </c>
      <c r="BB13" s="120">
        <f>MIN((BB9-BB12)*Premissas!$B$8,BB11)</f>
        <v>2865.4982640624994</v>
      </c>
      <c r="BC13" s="120">
        <f>MIN((BC9-BC12)*Premissas!$B$8,BC11)</f>
        <v>1324.5754687499998</v>
      </c>
      <c r="BD13" s="120">
        <f>MIN((BD9-BD12)*Premissas!$B$8,BD11)</f>
        <v>1324.5754687499998</v>
      </c>
      <c r="BE13" s="120">
        <f>MIN((BE9-BE12)*Premissas!$B$8,BE11)</f>
        <v>1324.5754687499998</v>
      </c>
      <c r="BF13" s="120">
        <f>MIN((BF9-BF12)*Premissas!$B$8,BF11)</f>
        <v>417.24127265624992</v>
      </c>
      <c r="BG13" s="120">
        <f>MIN((BG9-BG12)*Premissas!$B$8,BG11)</f>
        <v>0</v>
      </c>
      <c r="BH13" s="120">
        <f>MIN((BH9-BH12)*Premissas!$B$8,BH11)</f>
        <v>0</v>
      </c>
      <c r="BI13" s="120">
        <f>MIN((BI9-BI12)*Premissas!$B$8,BI11)</f>
        <v>7052.039795624999</v>
      </c>
      <c r="BJ13" s="120">
        <f>MIN((BJ9-BJ12)*Premissas!$B$8,BJ11)</f>
        <v>4371.0990468749987</v>
      </c>
      <c r="BK13" s="120">
        <f>MIN((BK9-BK12)*Premissas!$B$8,BK11)</f>
        <v>895.48546855115023</v>
      </c>
    </row>
    <row r="14" spans="1:63" ht="13.5" customHeight="1" x14ac:dyDescent="0.2">
      <c r="A14" s="41" t="s">
        <v>394</v>
      </c>
      <c r="B14" s="43">
        <f t="shared" si="0"/>
        <v>2385420.1041205823</v>
      </c>
      <c r="C14" s="120">
        <f t="shared" si="1"/>
        <v>39757.001735343038</v>
      </c>
      <c r="D14" s="121">
        <f>MAX(D9-D12-D11/Premissas!$B$8,0)</f>
        <v>0</v>
      </c>
      <c r="E14" s="121">
        <f>MAX(E9-E12-E11/Premissas!$B$8,0)</f>
        <v>0</v>
      </c>
      <c r="F14" s="121">
        <f>MAX(F9-F12-F11/Premissas!$B$8,0)</f>
        <v>65422.586214442017</v>
      </c>
      <c r="G14" s="121">
        <f>MAX(G9-G12-G11/Premissas!$B$8,0)</f>
        <v>81647.523057523285</v>
      </c>
      <c r="H14" s="121">
        <f>MAX(H9-H12-H11/Premissas!$B$8,0)</f>
        <v>83120.923057523265</v>
      </c>
      <c r="I14" s="121">
        <f>MAX(I9-I12-I11/Premissas!$B$8,0)</f>
        <v>95194.723057523253</v>
      </c>
      <c r="J14" s="121">
        <f>MAX(J9-J12-J11/Premissas!$B$8,0)</f>
        <v>102576.34876311984</v>
      </c>
      <c r="K14" s="121">
        <f>MAX(K9-K12-K11/Premissas!$B$8,0)</f>
        <v>0</v>
      </c>
      <c r="L14" s="121">
        <f>MAX(L9-L12-L11/Premissas!$B$8,0)</f>
        <v>0</v>
      </c>
      <c r="M14" s="121">
        <f>MAX(M9-M12-M11/Premissas!$B$8,0)</f>
        <v>32772.781437210244</v>
      </c>
      <c r="N14" s="121">
        <f>MAX(N9-N12-N11/Premissas!$B$8,0)</f>
        <v>30092.922742072471</v>
      </c>
      <c r="O14" s="121">
        <f>MAX(O9-O12-O11/Premissas!$B$8,0)</f>
        <v>0</v>
      </c>
      <c r="P14" s="121">
        <f>MAX(P9-P12-P11/Premissas!$B$8,0)</f>
        <v>0</v>
      </c>
      <c r="Q14" s="121">
        <f>MAX(Q9-Q12-Q11/Premissas!$B$8,0)</f>
        <v>0</v>
      </c>
      <c r="R14" s="121">
        <f>MAX(R9-R12-R11/Premissas!$B$8,0)</f>
        <v>64265.669869803081</v>
      </c>
      <c r="S14" s="121">
        <f>MAX(S9-S12-S11/Premissas!$B$8,0)</f>
        <v>80855.709133961369</v>
      </c>
      <c r="T14" s="121">
        <f>MAX(T9-T12-T11/Premissas!$B$8,0)</f>
        <v>82321.74213396135</v>
      </c>
      <c r="U14" s="121">
        <f>MAX(U9-U12-U11/Premissas!$B$8,0)</f>
        <v>94335.173133961332</v>
      </c>
      <c r="V14" s="121">
        <f>MAX(V9-V12-V11/Premissas!$B$8,0)</f>
        <v>101942.64048219784</v>
      </c>
      <c r="W14" s="121">
        <f>MAX(W9-W12-W11/Premissas!$B$8,0)</f>
        <v>0</v>
      </c>
      <c r="X14" s="121">
        <f>MAX(X9-X12-X11/Premissas!$B$8,0)</f>
        <v>0</v>
      </c>
      <c r="Y14" s="121">
        <f>MAX(Y9-Y12-Y11/Premissas!$B$8,0)</f>
        <v>32260.048484710249</v>
      </c>
      <c r="Z14" s="121">
        <f>MAX(Z9-Z12-Z11/Premissas!$B$8,0)</f>
        <v>29726.216984572464</v>
      </c>
      <c r="AA14" s="121">
        <f>MAX(AA9-AA12-AA11/Premissas!$B$8,0)</f>
        <v>0</v>
      </c>
      <c r="AB14" s="121">
        <f>MAX(AB9-AB12-AB11/Premissas!$B$8,0)</f>
        <v>0</v>
      </c>
      <c r="AC14" s="121">
        <f>MAX(AC9-AC12-AC11/Premissas!$B$8,0)</f>
        <v>0</v>
      </c>
      <c r="AD14" s="121">
        <f>MAX(AD9-AD12-AD11/Premissas!$B$8,0)</f>
        <v>63093.793021548154</v>
      </c>
      <c r="AE14" s="121">
        <f>MAX(AE9-AE12-AE11/Premissas!$B$8,0)</f>
        <v>80058.264872310392</v>
      </c>
      <c r="AF14" s="121">
        <f>MAX(AF9-AF12-AF11/Premissas!$B$8,0)</f>
        <v>81516.967707310381</v>
      </c>
      <c r="AG14" s="121">
        <f>MAX(AG9-AG12-AG11/Premissas!$B$8,0)</f>
        <v>93470.331552310352</v>
      </c>
      <c r="AH14" s="121">
        <f>MAX(AH9-AH12-AH11/Premissas!$B$8,0)</f>
        <v>101309.08007925279</v>
      </c>
      <c r="AI14" s="121">
        <f>MAX(AI9-AI12-AI11/Premissas!$B$8,0)</f>
        <v>0</v>
      </c>
      <c r="AJ14" s="121">
        <f>MAX(AJ9-AJ12-AJ11/Premissas!$B$8,0)</f>
        <v>0</v>
      </c>
      <c r="AK14" s="121">
        <f>MAX(AK9-AK12-AK11/Premissas!$B$8,0)</f>
        <v>30005.533970403005</v>
      </c>
      <c r="AL14" s="121">
        <f>MAX(AL9-AL12-AL11/Premissas!$B$8,0)</f>
        <v>28280.13903691178</v>
      </c>
      <c r="AM14" s="121">
        <f>MAX(AM9-AM12-AM11/Premissas!$B$8,0)</f>
        <v>0</v>
      </c>
      <c r="AN14" s="121">
        <f>MAX(AN9-AN12-AN11/Premissas!$B$8,0)</f>
        <v>0</v>
      </c>
      <c r="AO14" s="121">
        <f>MAX(AO9-AO12-AO11/Premissas!$B$8,0)</f>
        <v>0</v>
      </c>
      <c r="AP14" s="121">
        <f>MAX(AP9-AP12-AP11/Premissas!$B$8,0)</f>
        <v>61906.511845061854</v>
      </c>
      <c r="AQ14" s="121">
        <f>MAX(AQ9-AQ12-AQ11/Premissas!$B$8,0)</f>
        <v>79254.978689068157</v>
      </c>
      <c r="AR14" s="121">
        <f>MAX(AR9-AR12-AR11/Premissas!$B$8,0)</f>
        <v>80706.38800989314</v>
      </c>
      <c r="AS14" s="121">
        <f>MAX(AS9-AS12-AS11/Premissas!$B$8,0)</f>
        <v>92599.985035668113</v>
      </c>
      <c r="AT14" s="121">
        <f>MAX(AT9-AT12-AT11/Premissas!$B$8,0)</f>
        <v>100675.59129830911</v>
      </c>
      <c r="AU14" s="121">
        <f>MAX(AU9-AU12-AU11/Premissas!$B$8,0)</f>
        <v>0</v>
      </c>
      <c r="AV14" s="121">
        <f>MAX(AV9-AV12-AV11/Premissas!$B$8,0)</f>
        <v>0</v>
      </c>
      <c r="AW14" s="121">
        <f>MAX(AW9-AW12-AW11/Premissas!$B$8,0)</f>
        <v>27709.961671870209</v>
      </c>
      <c r="AX14" s="121">
        <f>MAX(AX9-AX12-AX11/Premissas!$B$8,0)</f>
        <v>26808.855307420945</v>
      </c>
      <c r="AY14" s="121">
        <f>MAX(AY9-AY12-AY11/Premissas!$B$8,0)</f>
        <v>0</v>
      </c>
      <c r="AZ14" s="121">
        <f>MAX(AZ9-AZ12-AZ11/Premissas!$B$8,0)</f>
        <v>0</v>
      </c>
      <c r="BA14" s="121">
        <f>MAX(BA9-BA12-BA11/Premissas!$B$8,0)</f>
        <v>0</v>
      </c>
      <c r="BB14" s="121">
        <f>MAX(BB9-BB12-BB11/Premissas!$B$8,0)</f>
        <v>60703.371769173522</v>
      </c>
      <c r="BC14" s="121">
        <f>MAX(BC9-BC12-BC11/Premissas!$B$8,0)</f>
        <v>78445.634065270118</v>
      </c>
      <c r="BD14" s="121">
        <f>MAX(BD9-BD12-BD11/Premissas!$B$8,0)</f>
        <v>79889.78633949098</v>
      </c>
      <c r="BE14" s="121">
        <f>MAX(BE9-BE12-BE11/Premissas!$B$8,0)</f>
        <v>91723.91538013707</v>
      </c>
      <c r="BF14" s="121">
        <f>MAX(BF9-BF12-BF11/Premissas!$B$8,0)</f>
        <v>100042.09637675645</v>
      </c>
      <c r="BG14" s="121">
        <f>MAX(BG9-BG12-BG11/Premissas!$B$8,0)</f>
        <v>0</v>
      </c>
      <c r="BH14" s="121">
        <f>MAX(BH9-BH12-BH11/Premissas!$B$8,0)</f>
        <v>0</v>
      </c>
      <c r="BI14" s="121">
        <f>MAX(BI9-BI12-BI11/Premissas!$B$8,0)</f>
        <v>25372.228619113066</v>
      </c>
      <c r="BJ14" s="121">
        <f>MAX(BJ9-BJ12-BJ11/Premissas!$B$8,0)</f>
        <v>25311.680920719919</v>
      </c>
      <c r="BK14" s="121">
        <f>MAX(BK9-BK12-BK11/Premissas!$B$8,0)</f>
        <v>0</v>
      </c>
    </row>
    <row r="15" spans="1:63" ht="15" customHeight="1" x14ac:dyDescent="0.2">
      <c r="A15" s="370" t="s">
        <v>395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</row>
    <row r="16" spans="1:63" ht="12.75" customHeight="1" x14ac:dyDescent="0.2">
      <c r="A16" s="127" t="s">
        <v>396</v>
      </c>
      <c r="B16" s="128">
        <f>AA16</f>
        <v>466505.889626374</v>
      </c>
      <c r="C16" s="120" t="s">
        <v>397</v>
      </c>
      <c r="D16" s="128">
        <f>Premissas!$B$27</f>
        <v>791092</v>
      </c>
      <c r="E16" s="128">
        <f t="shared" ref="E16:AJ16" si="4">D18</f>
        <v>770638.6725772355</v>
      </c>
      <c r="F16" s="128">
        <f t="shared" si="4"/>
        <v>721979.06309757824</v>
      </c>
      <c r="G16" s="128">
        <f t="shared" si="4"/>
        <v>721979.06309757824</v>
      </c>
      <c r="H16" s="128">
        <f t="shared" si="4"/>
        <v>721979.06309757824</v>
      </c>
      <c r="I16" s="128">
        <f t="shared" si="4"/>
        <v>721979.06309757824</v>
      </c>
      <c r="J16" s="128">
        <f t="shared" si="4"/>
        <v>721979.06309757824</v>
      </c>
      <c r="K16" s="128">
        <f t="shared" si="4"/>
        <v>721979.06309757824</v>
      </c>
      <c r="L16" s="128">
        <f t="shared" si="4"/>
        <v>697370.7275012054</v>
      </c>
      <c r="M16" s="128">
        <f t="shared" si="4"/>
        <v>635302.08734252502</v>
      </c>
      <c r="N16" s="128">
        <f t="shared" si="4"/>
        <v>635302.08734252502</v>
      </c>
      <c r="O16" s="128">
        <f t="shared" si="4"/>
        <v>635302.08734252502</v>
      </c>
      <c r="P16" s="128">
        <f t="shared" si="4"/>
        <v>629864.15643390955</v>
      </c>
      <c r="Q16" s="128">
        <f t="shared" si="4"/>
        <v>606730.88882557594</v>
      </c>
      <c r="R16" s="128">
        <f t="shared" si="4"/>
        <v>554204.68510892719</v>
      </c>
      <c r="S16" s="128">
        <f t="shared" si="4"/>
        <v>554204.68510892719</v>
      </c>
      <c r="T16" s="128">
        <f t="shared" si="4"/>
        <v>554204.68510892719</v>
      </c>
      <c r="U16" s="128">
        <f t="shared" si="4"/>
        <v>554204.68510892719</v>
      </c>
      <c r="V16" s="128">
        <f t="shared" si="4"/>
        <v>554204.68510892719</v>
      </c>
      <c r="W16" s="128">
        <f t="shared" si="4"/>
        <v>554204.68510892719</v>
      </c>
      <c r="X16" s="128">
        <f t="shared" si="4"/>
        <v>529027.91098755435</v>
      </c>
      <c r="Y16" s="128">
        <f t="shared" si="4"/>
        <v>466505.889626374</v>
      </c>
      <c r="Z16" s="128">
        <f t="shared" si="4"/>
        <v>466505.889626374</v>
      </c>
      <c r="AA16" s="128">
        <f t="shared" si="4"/>
        <v>466505.889626374</v>
      </c>
      <c r="AB16" s="128">
        <f t="shared" si="4"/>
        <v>460612.16613275849</v>
      </c>
      <c r="AC16" s="128">
        <f t="shared" si="4"/>
        <v>434742.80286921648</v>
      </c>
      <c r="AD16" s="128">
        <f t="shared" si="4"/>
        <v>378266.59057965159</v>
      </c>
      <c r="AE16" s="128">
        <f t="shared" si="4"/>
        <v>378266.59057965159</v>
      </c>
      <c r="AF16" s="128">
        <f t="shared" si="4"/>
        <v>378266.59057965159</v>
      </c>
      <c r="AG16" s="128">
        <f t="shared" si="4"/>
        <v>378266.59057965159</v>
      </c>
      <c r="AH16" s="128">
        <f t="shared" si="4"/>
        <v>378266.59057965159</v>
      </c>
      <c r="AI16" s="128">
        <f t="shared" si="4"/>
        <v>378266.59057965159</v>
      </c>
      <c r="AJ16" s="128">
        <f t="shared" si="4"/>
        <v>349066.81911099446</v>
      </c>
      <c r="AK16" s="128">
        <f t="shared" ref="AK16:BK16" si="5">AJ18</f>
        <v>282275.0614368596</v>
      </c>
      <c r="AL16" s="128">
        <f t="shared" si="5"/>
        <v>282275.0614368596</v>
      </c>
      <c r="AM16" s="128">
        <f t="shared" si="5"/>
        <v>282275.0614368596</v>
      </c>
      <c r="AN16" s="128">
        <f t="shared" si="5"/>
        <v>273512.91312345373</v>
      </c>
      <c r="AO16" s="128">
        <f t="shared" si="5"/>
        <v>244849.84063314821</v>
      </c>
      <c r="AP16" s="128">
        <f t="shared" si="5"/>
        <v>184338.05382374418</v>
      </c>
      <c r="AQ16" s="128">
        <f t="shared" si="5"/>
        <v>184338.05382374418</v>
      </c>
      <c r="AR16" s="128">
        <f t="shared" si="5"/>
        <v>184338.05382374418</v>
      </c>
      <c r="AS16" s="128">
        <f t="shared" si="5"/>
        <v>184338.05382374418</v>
      </c>
      <c r="AT16" s="128">
        <f t="shared" si="5"/>
        <v>184338.05382374418</v>
      </c>
      <c r="AU16" s="128">
        <f t="shared" si="5"/>
        <v>184338.05382374418</v>
      </c>
      <c r="AV16" s="128">
        <f t="shared" si="5"/>
        <v>151031.67796409185</v>
      </c>
      <c r="AW16" s="128">
        <f t="shared" si="5"/>
        <v>79876.973998073227</v>
      </c>
      <c r="AX16" s="128">
        <f t="shared" si="5"/>
        <v>79876.973998073227</v>
      </c>
      <c r="AY16" s="128">
        <f t="shared" si="5"/>
        <v>79876.973998073227</v>
      </c>
      <c r="AZ16" s="128">
        <f t="shared" si="5"/>
        <v>68188.29565304445</v>
      </c>
      <c r="BA16" s="128">
        <f t="shared" si="5"/>
        <v>36672.406081032168</v>
      </c>
      <c r="BB16" s="128">
        <f t="shared" si="5"/>
        <v>0</v>
      </c>
      <c r="BC16" s="128">
        <f t="shared" si="5"/>
        <v>0</v>
      </c>
      <c r="BD16" s="128">
        <f t="shared" si="5"/>
        <v>0</v>
      </c>
      <c r="BE16" s="128">
        <f t="shared" si="5"/>
        <v>0</v>
      </c>
      <c r="BF16" s="128">
        <f t="shared" si="5"/>
        <v>0</v>
      </c>
      <c r="BG16" s="128">
        <f t="shared" si="5"/>
        <v>0</v>
      </c>
      <c r="BH16" s="128">
        <f t="shared" si="5"/>
        <v>0</v>
      </c>
      <c r="BI16" s="128">
        <f t="shared" si="5"/>
        <v>0</v>
      </c>
      <c r="BJ16" s="128">
        <f t="shared" si="5"/>
        <v>0</v>
      </c>
      <c r="BK16" s="128">
        <f t="shared" si="5"/>
        <v>0</v>
      </c>
    </row>
    <row r="17" spans="1:63" ht="12.75" customHeight="1" x14ac:dyDescent="0.2">
      <c r="A17" s="127" t="s">
        <v>398</v>
      </c>
      <c r="B17" s="128">
        <f>SUM(D17:BQ17)</f>
        <v>791091.99999999988</v>
      </c>
      <c r="C17" s="120">
        <f>B17/60</f>
        <v>13184.866666666665</v>
      </c>
      <c r="D17" s="128">
        <f>MIN(D16,MAX(D10-D12,0)+IF(Premissas!$B$8=0,0,MAX(D11-D13,0)/Premissas!$B$8))</f>
        <v>20453.327422764538</v>
      </c>
      <c r="E17" s="128">
        <f>MIN(E16,MAX(E10-E12,0)+IF(Premissas!$B$8=0,0,MAX(E11-E13,0)/Premissas!$B$8))</f>
        <v>48659.60947965728</v>
      </c>
      <c r="F17" s="128">
        <f>MIN(F16,MAX(F10-F12,0)+IF(Premissas!$B$8=0,0,MAX(F11-F13,0)/Premissas!$B$8))</f>
        <v>0</v>
      </c>
      <c r="G17" s="128">
        <f>MIN(G16,MAX(G10-G12,0)+IF(Premissas!$B$8=0,0,MAX(G11-G13,0)/Premissas!$B$8))</f>
        <v>0</v>
      </c>
      <c r="H17" s="128">
        <f>MIN(H16,MAX(H10-H12,0)+IF(Premissas!$B$8=0,0,MAX(H11-H13,0)/Premissas!$B$8))</f>
        <v>0</v>
      </c>
      <c r="I17" s="128">
        <f>MIN(I16,MAX(I10-I12,0)+IF(Premissas!$B$8=0,0,MAX(I11-I13,0)/Premissas!$B$8))</f>
        <v>0</v>
      </c>
      <c r="J17" s="128">
        <f>MIN(J16,MAX(J10-J12,0)+IF(Premissas!$B$8=0,0,MAX(J11-J13,0)/Premissas!$B$8))</f>
        <v>0</v>
      </c>
      <c r="K17" s="128">
        <f>MIN(K16,MAX(K10-K12,0)+IF(Premissas!$B$8=0,0,MAX(K11-K13,0)/Premissas!$B$8))</f>
        <v>24608.335596372817</v>
      </c>
      <c r="L17" s="128">
        <f>MIN(L16,MAX(L10-L12,0)+IF(Premissas!$B$8=0,0,MAX(L11-L13,0)/Premissas!$B$8))</f>
        <v>62068.640158680369</v>
      </c>
      <c r="M17" s="128">
        <f>MIN(M16,MAX(M10-M12,0)+IF(Premissas!$B$8=0,0,MAX(M11-M13,0)/Premissas!$B$8))</f>
        <v>0</v>
      </c>
      <c r="N17" s="128">
        <f>MIN(N16,MAX(N10-N12,0)+IF(Premissas!$B$8=0,0,MAX(N11-N13,0)/Premissas!$B$8))</f>
        <v>0</v>
      </c>
      <c r="O17" s="128">
        <f>MIN(O16,MAX(O10-O12,0)+IF(Premissas!$B$8=0,0,MAX(O11-O13,0)/Premissas!$B$8))</f>
        <v>5437.9309086154854</v>
      </c>
      <c r="P17" s="128">
        <f>MIN(P16,MAX(P10-P12,0)+IF(Premissas!$B$8=0,0,MAX(P11-P13,0)/Premissas!$B$8))</f>
        <v>23133.267608333645</v>
      </c>
      <c r="Q17" s="128">
        <f>MIN(Q16,MAX(Q10-Q12,0)+IF(Premissas!$B$8=0,0,MAX(Q11-Q13,0)/Premissas!$B$8))</f>
        <v>52526.203716648699</v>
      </c>
      <c r="R17" s="128">
        <f>MIN(R16,MAX(R10-R12,0)+IF(Premissas!$B$8=0,0,MAX(R11-R13,0)/Premissas!$B$8))</f>
        <v>0</v>
      </c>
      <c r="S17" s="128">
        <f>MIN(S16,MAX(S10-S12,0)+IF(Premissas!$B$8=0,0,MAX(S11-S13,0)/Premissas!$B$8))</f>
        <v>0</v>
      </c>
      <c r="T17" s="128">
        <f>MIN(T16,MAX(T10-T12,0)+IF(Premissas!$B$8=0,0,MAX(T11-T13,0)/Premissas!$B$8))</f>
        <v>0</v>
      </c>
      <c r="U17" s="128">
        <f>MIN(U16,MAX(U10-U12,0)+IF(Premissas!$B$8=0,0,MAX(U11-U13,0)/Premissas!$B$8))</f>
        <v>0</v>
      </c>
      <c r="V17" s="128">
        <f>MIN(V16,MAX(V10-V12,0)+IF(Premissas!$B$8=0,0,MAX(V11-V13,0)/Premissas!$B$8))</f>
        <v>0</v>
      </c>
      <c r="W17" s="128">
        <f>MIN(W16,MAX(W10-W12,0)+IF(Premissas!$B$8=0,0,MAX(W11-W13,0)/Premissas!$B$8))</f>
        <v>25176.774121372822</v>
      </c>
      <c r="X17" s="128">
        <f>MIN(X16,MAX(X10-X12,0)+IF(Premissas!$B$8=0,0,MAX(X11-X13,0)/Premissas!$B$8))</f>
        <v>62522.021361180363</v>
      </c>
      <c r="Y17" s="128">
        <f>MIN(Y16,MAX(Y10-Y12,0)+IF(Premissas!$B$8=0,0,MAX(Y11-Y13,0)/Premissas!$B$8))</f>
        <v>0</v>
      </c>
      <c r="Z17" s="128">
        <f>MIN(Z16,MAX(Z10-Z12,0)+IF(Premissas!$B$8=0,0,MAX(Z11-Z13,0)/Premissas!$B$8))</f>
        <v>0</v>
      </c>
      <c r="AA17" s="128">
        <f>MIN(AA16,MAX(AA10-AA12,0)+IF(Premissas!$B$8=0,0,MAX(AA11-AA13,0)/Premissas!$B$8))</f>
        <v>5893.7234936154882</v>
      </c>
      <c r="AB17" s="128">
        <f>MIN(AB16,MAX(AB10-AB12,0)+IF(Premissas!$B$8=0,0,MAX(AB11-AB13,0)/Premissas!$B$8))</f>
        <v>25869.363263541985</v>
      </c>
      <c r="AC17" s="128">
        <f>MIN(AC16,MAX(AC10-AC12,0)+IF(Premissas!$B$8=0,0,MAX(AC11-AC13,0)/Premissas!$B$8))</f>
        <v>56476.212289564915</v>
      </c>
      <c r="AD17" s="128">
        <f>MIN(AD16,MAX(AD10-AD12,0)+IF(Premissas!$B$8=0,0,MAX(AD11-AD13,0)/Premissas!$B$8))</f>
        <v>0</v>
      </c>
      <c r="AE17" s="128">
        <f>MIN(AE16,MAX(AE10-AE12,0)+IF(Premissas!$B$8=0,0,MAX(AE11-AE13,0)/Premissas!$B$8))</f>
        <v>0</v>
      </c>
      <c r="AF17" s="128">
        <f>MIN(AF16,MAX(AF10-AF12,0)+IF(Premissas!$B$8=0,0,MAX(AF11-AF13,0)/Premissas!$B$8))</f>
        <v>0</v>
      </c>
      <c r="AG17" s="128">
        <f>MIN(AG16,MAX(AG10-AG12,0)+IF(Premissas!$B$8=0,0,MAX(AG11-AG13,0)/Premissas!$B$8))</f>
        <v>0</v>
      </c>
      <c r="AH17" s="128">
        <f>MIN(AH16,MAX(AH10-AH12,0)+IF(Premissas!$B$8=0,0,MAX(AH11-AH13,0)/Premissas!$B$8))</f>
        <v>0</v>
      </c>
      <c r="AI17" s="128">
        <f>MIN(AI16,MAX(AI10-AI12,0)+IF(Premissas!$B$8=0,0,MAX(AI11-AI13,0)/Premissas!$B$8))</f>
        <v>29199.771468657142</v>
      </c>
      <c r="AJ17" s="128">
        <f>MIN(AJ16,MAX(AJ10-AJ12,0)+IF(Premissas!$B$8=0,0,MAX(AJ11-AJ13,0)/Premissas!$B$8))</f>
        <v>66791.757674134875</v>
      </c>
      <c r="AK17" s="128">
        <f>MIN(AK16,MAX(AK10-AK12,0)+IF(Premissas!$B$8=0,0,MAX(AK11-AK13,0)/Premissas!$B$8))</f>
        <v>0</v>
      </c>
      <c r="AL17" s="128">
        <f>MIN(AL16,MAX(AL10-AL12,0)+IF(Premissas!$B$8=0,0,MAX(AL11-AL13,0)/Premissas!$B$8))</f>
        <v>0</v>
      </c>
      <c r="AM17" s="128">
        <f>MIN(AM16,MAX(AM10-AM12,0)+IF(Premissas!$B$8=0,0,MAX(AM11-AM13,0)/Premissas!$B$8))</f>
        <v>8762.1483134058853</v>
      </c>
      <c r="AN17" s="128">
        <f>MIN(AN16,MAX(AN10-AN12,0)+IF(Premissas!$B$8=0,0,MAX(AN11-AN13,0)/Premissas!$B$8))</f>
        <v>28663.072490305523</v>
      </c>
      <c r="AO17" s="128">
        <f>MIN(AO16,MAX(AO10-AO12,0)+IF(Premissas!$B$8=0,0,MAX(AO11-AO13,0)/Premissas!$B$8))</f>
        <v>60511.786809404024</v>
      </c>
      <c r="AP17" s="128">
        <f>MIN(AP16,MAX(AP10-AP12,0)+IF(Premissas!$B$8=0,0,MAX(AP11-AP13,0)/Premissas!$B$8))</f>
        <v>0</v>
      </c>
      <c r="AQ17" s="128">
        <f>MIN(AQ16,MAX(AQ10-AQ12,0)+IF(Premissas!$B$8=0,0,MAX(AQ11-AQ13,0)/Premissas!$B$8))</f>
        <v>0</v>
      </c>
      <c r="AR17" s="128">
        <f>MIN(AR16,MAX(AR10-AR12,0)+IF(Premissas!$B$8=0,0,MAX(AR11-AR13,0)/Premissas!$B$8))</f>
        <v>0</v>
      </c>
      <c r="AS17" s="128">
        <f>MIN(AS16,MAX(AS10-AS12,0)+IF(Premissas!$B$8=0,0,MAX(AS11-AS13,0)/Premissas!$B$8))</f>
        <v>0</v>
      </c>
      <c r="AT17" s="128">
        <f>MIN(AT16,MAX(AT10-AT12,0)+IF(Premissas!$B$8=0,0,MAX(AT11-AT13,0)/Premissas!$B$8))</f>
        <v>0</v>
      </c>
      <c r="AU17" s="128">
        <f>MIN(AU16,MAX(AU10-AU12,0)+IF(Premissas!$B$8=0,0,MAX(AU11-AU13,0)/Premissas!$B$8))</f>
        <v>33306.375859652326</v>
      </c>
      <c r="AV17" s="128">
        <f>MIN(AV16,MAX(AV10-AV12,0)+IF(Premissas!$B$8=0,0,MAX(AV11-AV13,0)/Premissas!$B$8))</f>
        <v>71154.703966018627</v>
      </c>
      <c r="AW17" s="128">
        <f>MIN(AW16,MAX(AW10-AW12,0)+IF(Premissas!$B$8=0,0,MAX(AW11-AW13,0)/Premissas!$B$8))</f>
        <v>0</v>
      </c>
      <c r="AX17" s="128">
        <f>MIN(AX16,MAX(AX10-AX12,0)+IF(Premissas!$B$8=0,0,MAX(AX11-AX13,0)/Premissas!$B$8))</f>
        <v>0</v>
      </c>
      <c r="AY17" s="128">
        <f>MIN(AY16,MAX(AY10-AY12,0)+IF(Premissas!$B$8=0,0,MAX(AY11-AY13,0)/Premissas!$B$8))</f>
        <v>11688.678345028782</v>
      </c>
      <c r="AZ17" s="128">
        <f>MIN(AZ16,MAX(AZ10-AZ12,0)+IF(Premissas!$B$8=0,0,MAX(AZ11-AZ13,0)/Premissas!$B$8))</f>
        <v>31515.889572012282</v>
      </c>
      <c r="BA17" s="128">
        <f>MIN(BA16,MAX(BA10-BA12,0)+IF(Premissas!$B$8=0,0,MAX(BA11-BA13,0)/Premissas!$B$8))</f>
        <v>36672.406081032168</v>
      </c>
      <c r="BB17" s="128">
        <f>MIN(BB16,MAX(BB10-BB12,0)+IF(Premissas!$B$8=0,0,MAX(BB11-BB13,0)/Premissas!$B$8))</f>
        <v>0</v>
      </c>
      <c r="BC17" s="128">
        <f>MIN(BC16,MAX(BC10-BC12,0)+IF(Premissas!$B$8=0,0,MAX(BC11-BC13,0)/Premissas!$B$8))</f>
        <v>0</v>
      </c>
      <c r="BD17" s="128">
        <f>MIN(BD16,MAX(BD10-BD12,0)+IF(Premissas!$B$8=0,0,MAX(BD11-BD13,0)/Premissas!$B$8))</f>
        <v>0</v>
      </c>
      <c r="BE17" s="128">
        <f>MIN(BE16,MAX(BE10-BE12,0)+IF(Premissas!$B$8=0,0,MAX(BE11-BE13,0)/Premissas!$B$8))</f>
        <v>0</v>
      </c>
      <c r="BF17" s="128">
        <f>MIN(BF16,MAX(BF10-BF12,0)+IF(Premissas!$B$8=0,0,MAX(BF11-BF13,0)/Premissas!$B$8))</f>
        <v>0</v>
      </c>
      <c r="BG17" s="128">
        <f>MIN(BG16,MAX(BG10-BG12,0)+IF(Premissas!$B$8=0,0,MAX(BG11-BG13,0)/Premissas!$B$8))</f>
        <v>0</v>
      </c>
      <c r="BH17" s="128">
        <f>MIN(BH16,MAX(BH10-BH12,0)+IF(Premissas!$B$8=0,0,MAX(BH11-BH13,0)/Premissas!$B$8))</f>
        <v>0</v>
      </c>
      <c r="BI17" s="128">
        <f>MIN(BI16,MAX(BI10-BI12,0)+IF(Premissas!$B$8=0,0,MAX(BI11-BI13,0)/Premissas!$B$8))</f>
        <v>0</v>
      </c>
      <c r="BJ17" s="128">
        <f>MIN(BJ16,MAX(BJ10-BJ12,0)+IF(Premissas!$B$8=0,0,MAX(BJ11-BJ13,0)/Premissas!$B$8))</f>
        <v>0</v>
      </c>
      <c r="BK17" s="128">
        <f>MIN(BK16,MAX(BK10-BK12,0)+IF(Premissas!$B$8=0,0,MAX(BK11-BK13,0)/Premissas!$B$8))</f>
        <v>0</v>
      </c>
    </row>
    <row r="18" spans="1:63" ht="12.75" customHeight="1" x14ac:dyDescent="0.2">
      <c r="A18" s="127" t="s">
        <v>399</v>
      </c>
      <c r="B18" s="128">
        <f>AA18</f>
        <v>460612.16613275849</v>
      </c>
      <c r="C18" s="120" t="s">
        <v>397</v>
      </c>
      <c r="D18" s="128">
        <f t="shared" ref="D18:AI18" si="6">MAX(D16-D17,0)</f>
        <v>770638.6725772355</v>
      </c>
      <c r="E18" s="128">
        <f t="shared" si="6"/>
        <v>721979.06309757824</v>
      </c>
      <c r="F18" s="128">
        <f t="shared" si="6"/>
        <v>721979.06309757824</v>
      </c>
      <c r="G18" s="128">
        <f t="shared" si="6"/>
        <v>721979.06309757824</v>
      </c>
      <c r="H18" s="128">
        <f t="shared" si="6"/>
        <v>721979.06309757824</v>
      </c>
      <c r="I18" s="128">
        <f t="shared" si="6"/>
        <v>721979.06309757824</v>
      </c>
      <c r="J18" s="128">
        <f t="shared" si="6"/>
        <v>721979.06309757824</v>
      </c>
      <c r="K18" s="128">
        <f t="shared" si="6"/>
        <v>697370.7275012054</v>
      </c>
      <c r="L18" s="128">
        <f t="shared" si="6"/>
        <v>635302.08734252502</v>
      </c>
      <c r="M18" s="128">
        <f t="shared" si="6"/>
        <v>635302.08734252502</v>
      </c>
      <c r="N18" s="128">
        <f t="shared" si="6"/>
        <v>635302.08734252502</v>
      </c>
      <c r="O18" s="128">
        <f t="shared" si="6"/>
        <v>629864.15643390955</v>
      </c>
      <c r="P18" s="128">
        <f t="shared" si="6"/>
        <v>606730.88882557594</v>
      </c>
      <c r="Q18" s="128">
        <f t="shared" si="6"/>
        <v>554204.68510892719</v>
      </c>
      <c r="R18" s="128">
        <f t="shared" si="6"/>
        <v>554204.68510892719</v>
      </c>
      <c r="S18" s="128">
        <f t="shared" si="6"/>
        <v>554204.68510892719</v>
      </c>
      <c r="T18" s="128">
        <f t="shared" si="6"/>
        <v>554204.68510892719</v>
      </c>
      <c r="U18" s="128">
        <f t="shared" si="6"/>
        <v>554204.68510892719</v>
      </c>
      <c r="V18" s="128">
        <f t="shared" si="6"/>
        <v>554204.68510892719</v>
      </c>
      <c r="W18" s="128">
        <f t="shared" si="6"/>
        <v>529027.91098755435</v>
      </c>
      <c r="X18" s="128">
        <f t="shared" si="6"/>
        <v>466505.889626374</v>
      </c>
      <c r="Y18" s="128">
        <f t="shared" si="6"/>
        <v>466505.889626374</v>
      </c>
      <c r="Z18" s="128">
        <f t="shared" si="6"/>
        <v>466505.889626374</v>
      </c>
      <c r="AA18" s="128">
        <f t="shared" si="6"/>
        <v>460612.16613275849</v>
      </c>
      <c r="AB18" s="128">
        <f t="shared" si="6"/>
        <v>434742.80286921648</v>
      </c>
      <c r="AC18" s="128">
        <f t="shared" si="6"/>
        <v>378266.59057965159</v>
      </c>
      <c r="AD18" s="128">
        <f t="shared" si="6"/>
        <v>378266.59057965159</v>
      </c>
      <c r="AE18" s="128">
        <f t="shared" si="6"/>
        <v>378266.59057965159</v>
      </c>
      <c r="AF18" s="128">
        <f t="shared" si="6"/>
        <v>378266.59057965159</v>
      </c>
      <c r="AG18" s="128">
        <f t="shared" si="6"/>
        <v>378266.59057965159</v>
      </c>
      <c r="AH18" s="128">
        <f t="shared" si="6"/>
        <v>378266.59057965159</v>
      </c>
      <c r="AI18" s="128">
        <f t="shared" si="6"/>
        <v>349066.81911099446</v>
      </c>
      <c r="AJ18" s="128">
        <f t="shared" ref="AJ18:BO18" si="7">MAX(AJ16-AJ17,0)</f>
        <v>282275.0614368596</v>
      </c>
      <c r="AK18" s="128">
        <f t="shared" si="7"/>
        <v>282275.0614368596</v>
      </c>
      <c r="AL18" s="128">
        <f t="shared" si="7"/>
        <v>282275.0614368596</v>
      </c>
      <c r="AM18" s="128">
        <f t="shared" si="7"/>
        <v>273512.91312345373</v>
      </c>
      <c r="AN18" s="128">
        <f t="shared" si="7"/>
        <v>244849.84063314821</v>
      </c>
      <c r="AO18" s="128">
        <f t="shared" si="7"/>
        <v>184338.05382374418</v>
      </c>
      <c r="AP18" s="128">
        <f t="shared" si="7"/>
        <v>184338.05382374418</v>
      </c>
      <c r="AQ18" s="128">
        <f t="shared" si="7"/>
        <v>184338.05382374418</v>
      </c>
      <c r="AR18" s="128">
        <f t="shared" si="7"/>
        <v>184338.05382374418</v>
      </c>
      <c r="AS18" s="128">
        <f t="shared" si="7"/>
        <v>184338.05382374418</v>
      </c>
      <c r="AT18" s="128">
        <f t="shared" si="7"/>
        <v>184338.05382374418</v>
      </c>
      <c r="AU18" s="128">
        <f t="shared" si="7"/>
        <v>151031.67796409185</v>
      </c>
      <c r="AV18" s="128">
        <f t="shared" si="7"/>
        <v>79876.973998073227</v>
      </c>
      <c r="AW18" s="128">
        <f t="shared" si="7"/>
        <v>79876.973998073227</v>
      </c>
      <c r="AX18" s="128">
        <f t="shared" si="7"/>
        <v>79876.973998073227</v>
      </c>
      <c r="AY18" s="128">
        <f t="shared" si="7"/>
        <v>68188.29565304445</v>
      </c>
      <c r="AZ18" s="128">
        <f t="shared" si="7"/>
        <v>36672.406081032168</v>
      </c>
      <c r="BA18" s="128">
        <f t="shared" si="7"/>
        <v>0</v>
      </c>
      <c r="BB18" s="128">
        <f t="shared" si="7"/>
        <v>0</v>
      </c>
      <c r="BC18" s="128">
        <f t="shared" si="7"/>
        <v>0</v>
      </c>
      <c r="BD18" s="128">
        <f t="shared" si="7"/>
        <v>0</v>
      </c>
      <c r="BE18" s="128">
        <f t="shared" si="7"/>
        <v>0</v>
      </c>
      <c r="BF18" s="128">
        <f t="shared" si="7"/>
        <v>0</v>
      </c>
      <c r="BG18" s="128">
        <f t="shared" si="7"/>
        <v>0</v>
      </c>
      <c r="BH18" s="128">
        <f t="shared" si="7"/>
        <v>0</v>
      </c>
      <c r="BI18" s="128">
        <f t="shared" si="7"/>
        <v>0</v>
      </c>
      <c r="BJ18" s="128">
        <f t="shared" si="7"/>
        <v>0</v>
      </c>
      <c r="BK18" s="128">
        <f t="shared" si="7"/>
        <v>0</v>
      </c>
    </row>
    <row r="19" spans="1:63" ht="12.75" customHeight="1" x14ac:dyDescent="0.2">
      <c r="A19" s="129" t="s">
        <v>400</v>
      </c>
      <c r="B19" s="130">
        <f>SUM(D19:BQ19)</f>
        <v>1192710.0520602912</v>
      </c>
      <c r="C19" s="120">
        <f>B19/60</f>
        <v>19878.500867671519</v>
      </c>
      <c r="D19" s="130">
        <f>0</f>
        <v>0</v>
      </c>
      <c r="E19" s="130">
        <f>D14*Premissas!$B$55</f>
        <v>0</v>
      </c>
      <c r="F19" s="130">
        <f>E14*Premissas!$B$55</f>
        <v>0</v>
      </c>
      <c r="G19" s="130">
        <f>F14*Premissas!$B$55</f>
        <v>32711.293107221009</v>
      </c>
      <c r="H19" s="130">
        <f>G14*Premissas!$B$55</f>
        <v>40823.761528761643</v>
      </c>
      <c r="I19" s="130">
        <f>H14*Premissas!$B$55</f>
        <v>41560.461528761633</v>
      </c>
      <c r="J19" s="130">
        <f>I14*Premissas!$B$55</f>
        <v>47597.361528761627</v>
      </c>
      <c r="K19" s="130">
        <f>J14*Premissas!$B$55</f>
        <v>51288.174381559918</v>
      </c>
      <c r="L19" s="130">
        <f>K14*Premissas!$B$55</f>
        <v>0</v>
      </c>
      <c r="M19" s="130">
        <f>L14*Premissas!$B$55</f>
        <v>0</v>
      </c>
      <c r="N19" s="130">
        <f>M14*Premissas!$B$55</f>
        <v>16386.390718605122</v>
      </c>
      <c r="O19" s="130">
        <f>N14*Premissas!$B$55</f>
        <v>15046.461371036236</v>
      </c>
      <c r="P19" s="130">
        <f>O14*Premissas!$B$55</f>
        <v>0</v>
      </c>
      <c r="Q19" s="130">
        <f>P14*Premissas!$B$55</f>
        <v>0</v>
      </c>
      <c r="R19" s="130">
        <f>Q14*Premissas!$B$55</f>
        <v>0</v>
      </c>
      <c r="S19" s="130">
        <f>R14*Premissas!$B$55</f>
        <v>32132.834934901541</v>
      </c>
      <c r="T19" s="130">
        <f>S14*Premissas!$B$55</f>
        <v>40427.854566980684</v>
      </c>
      <c r="U19" s="130">
        <f>T14*Premissas!$B$55</f>
        <v>41160.871066980675</v>
      </c>
      <c r="V19" s="130">
        <f>U14*Premissas!$B$55</f>
        <v>47167.586566980666</v>
      </c>
      <c r="W19" s="130">
        <f>V14*Premissas!$B$55</f>
        <v>50971.320241098918</v>
      </c>
      <c r="X19" s="130">
        <f>W14*Premissas!$B$55</f>
        <v>0</v>
      </c>
      <c r="Y19" s="130">
        <f>X14*Premissas!$B$55</f>
        <v>0</v>
      </c>
      <c r="Z19" s="130">
        <f>Y14*Premissas!$B$55</f>
        <v>16130.024242355124</v>
      </c>
      <c r="AA19" s="130">
        <f>Z14*Premissas!$B$55</f>
        <v>14863.108492286232</v>
      </c>
      <c r="AB19" s="130">
        <f>AA14*Premissas!$B$55</f>
        <v>0</v>
      </c>
      <c r="AC19" s="130">
        <f>AB14*Premissas!$B$55</f>
        <v>0</v>
      </c>
      <c r="AD19" s="130">
        <f>AC14*Premissas!$B$55</f>
        <v>0</v>
      </c>
      <c r="AE19" s="130">
        <f>AD14*Premissas!$B$55</f>
        <v>31546.896510774077</v>
      </c>
      <c r="AF19" s="130">
        <f>AE14*Premissas!$B$55</f>
        <v>40029.132436155196</v>
      </c>
      <c r="AG19" s="130">
        <f>AF14*Premissas!$B$55</f>
        <v>40758.483853655191</v>
      </c>
      <c r="AH19" s="130">
        <f>AG14*Premissas!$B$55</f>
        <v>46735.165776155176</v>
      </c>
      <c r="AI19" s="130">
        <f>AH14*Premissas!$B$55</f>
        <v>50654.540039626394</v>
      </c>
      <c r="AJ19" s="130">
        <f>AI14*Premissas!$B$55</f>
        <v>0</v>
      </c>
      <c r="AK19" s="130">
        <f>AJ14*Premissas!$B$55</f>
        <v>0</v>
      </c>
      <c r="AL19" s="130">
        <f>AK14*Premissas!$B$55</f>
        <v>15002.766985201502</v>
      </c>
      <c r="AM19" s="130">
        <f>AL14*Premissas!$B$55</f>
        <v>14140.06951845589</v>
      </c>
      <c r="AN19" s="130">
        <f>AM14*Premissas!$B$55</f>
        <v>0</v>
      </c>
      <c r="AO19" s="130">
        <f>AN14*Premissas!$B$55</f>
        <v>0</v>
      </c>
      <c r="AP19" s="130">
        <f>AO14*Premissas!$B$55</f>
        <v>0</v>
      </c>
      <c r="AQ19" s="130">
        <f>AP14*Premissas!$B$55</f>
        <v>30953.255922530927</v>
      </c>
      <c r="AR19" s="130">
        <f>AQ14*Premissas!$B$55</f>
        <v>39627.489344534079</v>
      </c>
      <c r="AS19" s="130">
        <f>AR14*Premissas!$B$55</f>
        <v>40353.19400494657</v>
      </c>
      <c r="AT19" s="130">
        <f>AS14*Premissas!$B$55</f>
        <v>46299.992517834056</v>
      </c>
      <c r="AU19" s="130">
        <f>AT14*Premissas!$B$55</f>
        <v>50337.795649154556</v>
      </c>
      <c r="AV19" s="130">
        <f>AU14*Premissas!$B$55</f>
        <v>0</v>
      </c>
      <c r="AW19" s="130">
        <f>AV14*Premissas!$B$55</f>
        <v>0</v>
      </c>
      <c r="AX19" s="130">
        <f>AW14*Premissas!$B$55</f>
        <v>13854.980835935105</v>
      </c>
      <c r="AY19" s="130">
        <f>AX14*Premissas!$B$55</f>
        <v>13404.427653710472</v>
      </c>
      <c r="AZ19" s="130">
        <f>AY14*Premissas!$B$55</f>
        <v>0</v>
      </c>
      <c r="BA19" s="130">
        <f>AZ14*Premissas!$B$55</f>
        <v>0</v>
      </c>
      <c r="BB19" s="130">
        <f>BA14*Premissas!$B$55</f>
        <v>0</v>
      </c>
      <c r="BC19" s="130">
        <f>BB14*Premissas!$B$55</f>
        <v>30351.685884586761</v>
      </c>
      <c r="BD19" s="130">
        <f>BC14*Premissas!$B$55</f>
        <v>39222.817032635059</v>
      </c>
      <c r="BE19" s="130">
        <f>BD14*Premissas!$B$55</f>
        <v>39944.89316974549</v>
      </c>
      <c r="BF19" s="130">
        <f>BE14*Premissas!$B$55</f>
        <v>45861.957690068535</v>
      </c>
      <c r="BG19" s="130">
        <f>BF14*Premissas!$B$55</f>
        <v>50021.048188378227</v>
      </c>
      <c r="BH19" s="130">
        <f>BG14*Premissas!$B$55</f>
        <v>0</v>
      </c>
      <c r="BI19" s="130">
        <f>BH14*Premissas!$B$55</f>
        <v>0</v>
      </c>
      <c r="BJ19" s="130">
        <f>BI14*Premissas!$B$55</f>
        <v>12686.114309556533</v>
      </c>
      <c r="BK19" s="130">
        <f>BJ14*Premissas!$B$55</f>
        <v>12655.840460359959</v>
      </c>
    </row>
    <row r="20" spans="1:63" ht="12.75" customHeight="1" x14ac:dyDescent="0.2">
      <c r="A20" s="131" t="s">
        <v>401</v>
      </c>
      <c r="B20" s="132">
        <f>SUM(D20:BQ20)</f>
        <v>1192710.0520602912</v>
      </c>
      <c r="C20" s="120">
        <f>B20/60</f>
        <v>19878.500867671519</v>
      </c>
      <c r="D20" s="132">
        <f>0</f>
        <v>0</v>
      </c>
      <c r="E20" s="132">
        <f>D14*Premissas!$B$56</f>
        <v>0</v>
      </c>
      <c r="F20" s="132">
        <f>E14*Premissas!$B$56</f>
        <v>0</v>
      </c>
      <c r="G20" s="132">
        <f>F14*Premissas!$B$56</f>
        <v>32711.293107221009</v>
      </c>
      <c r="H20" s="132">
        <f>G14*Premissas!$B$56</f>
        <v>40823.761528761643</v>
      </c>
      <c r="I20" s="132">
        <f>H14*Premissas!$B$56</f>
        <v>41560.461528761633</v>
      </c>
      <c r="J20" s="132">
        <f>I14*Premissas!$B$56</f>
        <v>47597.361528761627</v>
      </c>
      <c r="K20" s="132">
        <f>J14*Premissas!$B$56</f>
        <v>51288.174381559918</v>
      </c>
      <c r="L20" s="132">
        <f>K14*Premissas!$B$56</f>
        <v>0</v>
      </c>
      <c r="M20" s="132">
        <f>L14*Premissas!$B$56</f>
        <v>0</v>
      </c>
      <c r="N20" s="132">
        <f>M14*Premissas!$B$56</f>
        <v>16386.390718605122</v>
      </c>
      <c r="O20" s="132">
        <f>N14*Premissas!$B$56</f>
        <v>15046.461371036236</v>
      </c>
      <c r="P20" s="132">
        <f>O14*Premissas!$B$56</f>
        <v>0</v>
      </c>
      <c r="Q20" s="132">
        <f>P14*Premissas!$B$56</f>
        <v>0</v>
      </c>
      <c r="R20" s="132">
        <f>Q14*Premissas!$B$56</f>
        <v>0</v>
      </c>
      <c r="S20" s="132">
        <f>R14*Premissas!$B$56</f>
        <v>32132.834934901541</v>
      </c>
      <c r="T20" s="132">
        <f>S14*Premissas!$B$56</f>
        <v>40427.854566980684</v>
      </c>
      <c r="U20" s="132">
        <f>T14*Premissas!$B$56</f>
        <v>41160.871066980675</v>
      </c>
      <c r="V20" s="132">
        <f>U14*Premissas!$B$56</f>
        <v>47167.586566980666</v>
      </c>
      <c r="W20" s="132">
        <f>V14*Premissas!$B$56</f>
        <v>50971.320241098918</v>
      </c>
      <c r="X20" s="132">
        <f>W14*Premissas!$B$56</f>
        <v>0</v>
      </c>
      <c r="Y20" s="132">
        <f>X14*Premissas!$B$56</f>
        <v>0</v>
      </c>
      <c r="Z20" s="132">
        <f>Y14*Premissas!$B$56</f>
        <v>16130.024242355124</v>
      </c>
      <c r="AA20" s="132">
        <f>Z14*Premissas!$B$56</f>
        <v>14863.108492286232</v>
      </c>
      <c r="AB20" s="132">
        <f>AA14*Premissas!$B$56</f>
        <v>0</v>
      </c>
      <c r="AC20" s="132">
        <f>AB14*Premissas!$B$56</f>
        <v>0</v>
      </c>
      <c r="AD20" s="132">
        <f>AC14*Premissas!$B$56</f>
        <v>0</v>
      </c>
      <c r="AE20" s="132">
        <f>AD14*Premissas!$B$56</f>
        <v>31546.896510774077</v>
      </c>
      <c r="AF20" s="132">
        <f>AE14*Premissas!$B$56</f>
        <v>40029.132436155196</v>
      </c>
      <c r="AG20" s="132">
        <f>AF14*Premissas!$B$56</f>
        <v>40758.483853655191</v>
      </c>
      <c r="AH20" s="132">
        <f>AG14*Premissas!$B$56</f>
        <v>46735.165776155176</v>
      </c>
      <c r="AI20" s="132">
        <f>AH14*Premissas!$B$56</f>
        <v>50654.540039626394</v>
      </c>
      <c r="AJ20" s="132">
        <f>AI14*Premissas!$B$56</f>
        <v>0</v>
      </c>
      <c r="AK20" s="132">
        <f>AJ14*Premissas!$B$56</f>
        <v>0</v>
      </c>
      <c r="AL20" s="132">
        <f>AK14*Premissas!$B$56</f>
        <v>15002.766985201502</v>
      </c>
      <c r="AM20" s="132">
        <f>AL14*Premissas!$B$56</f>
        <v>14140.06951845589</v>
      </c>
      <c r="AN20" s="132">
        <f>AM14*Premissas!$B$56</f>
        <v>0</v>
      </c>
      <c r="AO20" s="132">
        <f>AN14*Premissas!$B$56</f>
        <v>0</v>
      </c>
      <c r="AP20" s="132">
        <f>AO14*Premissas!$B$56</f>
        <v>0</v>
      </c>
      <c r="AQ20" s="132">
        <f>AP14*Premissas!$B$56</f>
        <v>30953.255922530927</v>
      </c>
      <c r="AR20" s="132">
        <f>AQ14*Premissas!$B$56</f>
        <v>39627.489344534079</v>
      </c>
      <c r="AS20" s="132">
        <f>AR14*Premissas!$B$56</f>
        <v>40353.19400494657</v>
      </c>
      <c r="AT20" s="132">
        <f>AS14*Premissas!$B$56</f>
        <v>46299.992517834056</v>
      </c>
      <c r="AU20" s="132">
        <f>AT14*Premissas!$B$56</f>
        <v>50337.795649154556</v>
      </c>
      <c r="AV20" s="132">
        <f>AU14*Premissas!$B$56</f>
        <v>0</v>
      </c>
      <c r="AW20" s="132">
        <f>AV14*Premissas!$B$56</f>
        <v>0</v>
      </c>
      <c r="AX20" s="132">
        <f>AW14*Premissas!$B$56</f>
        <v>13854.980835935105</v>
      </c>
      <c r="AY20" s="132">
        <f>AX14*Premissas!$B$56</f>
        <v>13404.427653710472</v>
      </c>
      <c r="AZ20" s="132">
        <f>AY14*Premissas!$B$56</f>
        <v>0</v>
      </c>
      <c r="BA20" s="132">
        <f>AZ14*Premissas!$B$56</f>
        <v>0</v>
      </c>
      <c r="BB20" s="132">
        <f>BA14*Premissas!$B$56</f>
        <v>0</v>
      </c>
      <c r="BC20" s="132">
        <f>BB14*Premissas!$B$56</f>
        <v>30351.685884586761</v>
      </c>
      <c r="BD20" s="132">
        <f>BC14*Premissas!$B$56</f>
        <v>39222.817032635059</v>
      </c>
      <c r="BE20" s="132">
        <f>BD14*Premissas!$B$56</f>
        <v>39944.89316974549</v>
      </c>
      <c r="BF20" s="132">
        <f>BE14*Premissas!$B$56</f>
        <v>45861.957690068535</v>
      </c>
      <c r="BG20" s="132">
        <f>BF14*Premissas!$B$56</f>
        <v>50021.048188378227</v>
      </c>
      <c r="BH20" s="132">
        <f>BG14*Premissas!$B$56</f>
        <v>0</v>
      </c>
      <c r="BI20" s="132">
        <f>BH14*Premissas!$B$56</f>
        <v>0</v>
      </c>
      <c r="BJ20" s="132">
        <f>BI14*Premissas!$B$56</f>
        <v>12686.114309556533</v>
      </c>
      <c r="BK20" s="132">
        <f>BJ14*Premissas!$B$56</f>
        <v>12655.840460359959</v>
      </c>
    </row>
    <row r="21" spans="1:63" ht="15" customHeight="1" x14ac:dyDescent="0.2">
      <c r="A21" s="366" t="s">
        <v>402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89"/>
    </row>
    <row r="22" spans="1:63" ht="12.75" customHeight="1" x14ac:dyDescent="0.2">
      <c r="A22" s="134" t="s">
        <v>403</v>
      </c>
      <c r="B22" s="121">
        <f t="shared" ref="B22:B28" si="8">SUM(D22:BQ22)</f>
        <v>8849247.7348592971</v>
      </c>
      <c r="C22" s="120">
        <f t="shared" ref="C22:C28" si="9">B22/60</f>
        <v>147487.46224765494</v>
      </c>
      <c r="D22" s="121">
        <f>Input_Consumo_GrupoA!$B$9</f>
        <v>108694.9</v>
      </c>
      <c r="E22" s="121">
        <f>Input_Consumo_GrupoA!$B$10</f>
        <v>328938.09999999998</v>
      </c>
      <c r="F22" s="121">
        <f>Input_Consumo_GrupoA!$B$11</f>
        <v>190977.6</v>
      </c>
      <c r="G22" s="121">
        <f>Input_Consumo_GrupoA!$B$12</f>
        <v>126478.8</v>
      </c>
      <c r="H22" s="121">
        <f>Input_Consumo_GrupoA!$B$13</f>
        <v>28215</v>
      </c>
      <c r="I22" s="121">
        <f>Input_Consumo_GrupoA!$B$14</f>
        <v>42209.599999999999</v>
      </c>
      <c r="J22" s="121">
        <f>Input_Consumo_GrupoA!$B$15</f>
        <v>42209.599999999999</v>
      </c>
      <c r="K22" s="121">
        <f>Input_Consumo_GrupoA!$B$4*(1+Premissas!$B$21)</f>
        <v>72539.147499999992</v>
      </c>
      <c r="L22" s="121">
        <f>Input_Consumo_GrupoA!$B$5*(1+Premissas!$B$21)</f>
        <v>249812.6925</v>
      </c>
      <c r="M22" s="121">
        <f>Input_Consumo_GrupoA!$B$6*(1+Premissas!$B$21)</f>
        <v>340170.95249999996</v>
      </c>
      <c r="N22" s="121">
        <f>Input_Consumo_GrupoA!$B$7*(1+Premissas!$B$21)</f>
        <v>105347.75749999999</v>
      </c>
      <c r="O22" s="121">
        <f>Input_Consumo_GrupoA!$B$8*(1+Premissas!$B$21)</f>
        <v>64384.554999999993</v>
      </c>
      <c r="P22" s="121">
        <f>Input_Consumo_GrupoA!$B$9*(1+Premissas!$B$21)</f>
        <v>111412.27249999998</v>
      </c>
      <c r="Q22" s="121">
        <f>Input_Consumo_GrupoA!$B$10*(1+Premissas!$B$21)</f>
        <v>337161.55249999993</v>
      </c>
      <c r="R22" s="121">
        <f>Input_Consumo_GrupoA!$B$11*(1+Premissas!$B$21)</f>
        <v>195752.03999999998</v>
      </c>
      <c r="S22" s="121">
        <f>Input_Consumo_GrupoA!$B$12*(1+Premissas!$B$21)</f>
        <v>129640.76999999999</v>
      </c>
      <c r="T22" s="121">
        <f>Input_Consumo_GrupoA!$B$13*(1+Premissas!$B$21)</f>
        <v>28920.374999999996</v>
      </c>
      <c r="U22" s="121">
        <f>Input_Consumo_GrupoA!$B$14*(1+Premissas!$B$21)</f>
        <v>43264.84</v>
      </c>
      <c r="V22" s="121">
        <f>Input_Consumo_GrupoA!$B$15*(1+Premissas!$B$21)</f>
        <v>43264.84</v>
      </c>
      <c r="W22" s="121">
        <f>Input_Consumo_GrupoA!$B$4*(1+Premissas!$B$21)</f>
        <v>72539.147499999992</v>
      </c>
      <c r="X22" s="121">
        <f>Input_Consumo_GrupoA!$B$5*(1+Premissas!$B$21)</f>
        <v>249812.6925</v>
      </c>
      <c r="Y22" s="121">
        <f>Input_Consumo_GrupoA!$B$6*(1+Premissas!$B$21)</f>
        <v>340170.95249999996</v>
      </c>
      <c r="Z22" s="121">
        <f>Input_Consumo_GrupoA!$B$7*(1+Premissas!$B$21)</f>
        <v>105347.75749999999</v>
      </c>
      <c r="AA22" s="121">
        <f>Input_Consumo_GrupoA!$B$8*(1+Premissas!$B$21)</f>
        <v>64384.554999999993</v>
      </c>
      <c r="AB22" s="121">
        <f>Input_Consumo_GrupoA!$B$9*(1+Premissas!$B$21)^2</f>
        <v>114197.57931249999</v>
      </c>
      <c r="AC22" s="121">
        <f>Input_Consumo_GrupoA!$B$10*(1+Premissas!$B$21)^2</f>
        <v>345590.59131249995</v>
      </c>
      <c r="AD22" s="121">
        <f>Input_Consumo_GrupoA!$B$11*(1+Premissas!$B$21)^2</f>
        <v>200645.84099999999</v>
      </c>
      <c r="AE22" s="121">
        <f>Input_Consumo_GrupoA!$B$12*(1+Premissas!$B$21)^2</f>
        <v>132881.78925</v>
      </c>
      <c r="AF22" s="121">
        <f>Input_Consumo_GrupoA!$B$13*(1+Premissas!$B$21)^2</f>
        <v>29643.384374999998</v>
      </c>
      <c r="AG22" s="121">
        <f>Input_Consumo_GrupoA!$B$14*(1+Premissas!$B$21)^2</f>
        <v>44346.460999999996</v>
      </c>
      <c r="AH22" s="121">
        <f>Input_Consumo_GrupoA!$B$15*(1+Premissas!$B$21)^2</f>
        <v>44346.460999999996</v>
      </c>
      <c r="AI22" s="121">
        <f>Input_Consumo_GrupoA!$B$4*(1+Premissas!$B$21)^2</f>
        <v>74352.626187499991</v>
      </c>
      <c r="AJ22" s="121">
        <f>Input_Consumo_GrupoA!$B$5*(1+Premissas!$B$21)^2</f>
        <v>256058.00981249998</v>
      </c>
      <c r="AK22" s="121">
        <f>Input_Consumo_GrupoA!$B$6*(1+Premissas!$B$21)^2</f>
        <v>348675.22631249996</v>
      </c>
      <c r="AL22" s="121">
        <f>Input_Consumo_GrupoA!$B$7*(1+Premissas!$B$21)^2</f>
        <v>107981.4514375</v>
      </c>
      <c r="AM22" s="121">
        <f>Input_Consumo_GrupoA!$B$8*(1+Premissas!$B$21)^2</f>
        <v>65994.168874999988</v>
      </c>
      <c r="AN22" s="121">
        <f>Input_Consumo_GrupoA!$B$9*(1+Premissas!$B$21)^3</f>
        <v>117052.51879531248</v>
      </c>
      <c r="AO22" s="121">
        <f>Input_Consumo_GrupoA!$B$10*(1+Premissas!$B$21)^3</f>
        <v>354230.35609531245</v>
      </c>
      <c r="AP22" s="121">
        <f>Input_Consumo_GrupoA!$B$11*(1+Premissas!$B$21)^3</f>
        <v>205661.98702499998</v>
      </c>
      <c r="AQ22" s="121">
        <f>Input_Consumo_GrupoA!$B$12*(1+Premissas!$B$21)^3</f>
        <v>136203.83398124998</v>
      </c>
      <c r="AR22" s="121">
        <f>Input_Consumo_GrupoA!$B$13*(1+Premissas!$B$21)^3</f>
        <v>30384.468984374998</v>
      </c>
      <c r="AS22" s="121">
        <f>Input_Consumo_GrupoA!$B$14*(1+Premissas!$B$21)^3</f>
        <v>45455.122524999992</v>
      </c>
      <c r="AT22" s="121">
        <f>Input_Consumo_GrupoA!$B$15*(1+Premissas!$B$21)^3</f>
        <v>45455.122524999992</v>
      </c>
      <c r="AU22" s="121">
        <f>Input_Consumo_GrupoA!$B$4*(1+Premissas!$B$21)^3</f>
        <v>76211.441842187487</v>
      </c>
      <c r="AV22" s="121">
        <f>Input_Consumo_GrupoA!$B$5*(1+Premissas!$B$21)^3</f>
        <v>262459.46005781251</v>
      </c>
      <c r="AW22" s="121">
        <f>Input_Consumo_GrupoA!$B$6*(1+Premissas!$B$21)^3</f>
        <v>357392.10697031242</v>
      </c>
      <c r="AX22" s="121">
        <f>Input_Consumo_GrupoA!$B$7*(1+Premissas!$B$21)^3</f>
        <v>110680.98772343749</v>
      </c>
      <c r="AY22" s="121">
        <f>Input_Consumo_GrupoA!$B$8*(1+Premissas!$B$21)^3</f>
        <v>67644.023096874997</v>
      </c>
      <c r="AZ22" s="121">
        <f>Input_Consumo_GrupoA!$B$9*(1+Premissas!$B$21)^4</f>
        <v>119978.83176519528</v>
      </c>
      <c r="BA22" s="121">
        <f>Input_Consumo_GrupoA!$B$10*(1+Premissas!$B$21)^4</f>
        <v>363086.1149976952</v>
      </c>
      <c r="BB22" s="121">
        <f>Input_Consumo_GrupoA!$B$11*(1+Premissas!$B$21)^4</f>
        <v>210803.53670062497</v>
      </c>
      <c r="BC22" s="121">
        <f>Input_Consumo_GrupoA!$B$12*(1+Premissas!$B$21)^4</f>
        <v>139608.92983078121</v>
      </c>
      <c r="BD22" s="121">
        <f>Input_Consumo_GrupoA!$B$13*(1+Premissas!$B$21)^4</f>
        <v>31144.080708984369</v>
      </c>
      <c r="BE22" s="121">
        <f>Input_Consumo_GrupoA!$B$14*(1+Premissas!$B$21)^4</f>
        <v>46591.500588124989</v>
      </c>
      <c r="BF22" s="121">
        <f>Input_Consumo_GrupoA!$B$15*(1+Premissas!$B$21)^4</f>
        <v>46591.500588124989</v>
      </c>
      <c r="BG22" s="121">
        <f>Input_Consumo_GrupoA!$B$4*(1+Premissas!$B$21)^4</f>
        <v>78116.727888242167</v>
      </c>
      <c r="BH22" s="121">
        <f>Input_Consumo_GrupoA!$B$5*(1+Premissas!$B$21)^4</f>
        <v>269020.94655925775</v>
      </c>
      <c r="BI22" s="121">
        <f>Input_Consumo_GrupoA!$B$6*(1+Premissas!$B$21)^4</f>
        <v>366326.9096445702</v>
      </c>
      <c r="BJ22" s="121">
        <f>Input_Consumo_GrupoA!$B$7*(1+Premissas!$B$21)^4</f>
        <v>113448.01241652342</v>
      </c>
      <c r="BK22" s="121">
        <f>Input_Consumo_GrupoA!$B$8*(1+Premissas!$B$21)^4</f>
        <v>69335.123674296861</v>
      </c>
    </row>
    <row r="23" spans="1:63" ht="12.75" customHeight="1" x14ac:dyDescent="0.2">
      <c r="A23" s="134" t="s">
        <v>404</v>
      </c>
      <c r="B23" s="121">
        <f t="shared" si="8"/>
        <v>983250.33346531261</v>
      </c>
      <c r="C23" s="120">
        <f t="shared" si="9"/>
        <v>16387.505557755208</v>
      </c>
      <c r="D23" s="121">
        <f>Input_Consumo_GrupoA!$C$9</f>
        <v>12077.2</v>
      </c>
      <c r="E23" s="121">
        <f>Input_Consumo_GrupoA!$C$10</f>
        <v>36548.699999999997</v>
      </c>
      <c r="F23" s="121">
        <f>Input_Consumo_GrupoA!$C$11</f>
        <v>21219.7</v>
      </c>
      <c r="G23" s="121">
        <f>Input_Consumo_GrupoA!$C$12</f>
        <v>14053.2</v>
      </c>
      <c r="H23" s="121">
        <f>Input_Consumo_GrupoA!$C$13</f>
        <v>3135</v>
      </c>
      <c r="I23" s="121">
        <f>Input_Consumo_GrupoA!$C$14</f>
        <v>4690</v>
      </c>
      <c r="J23" s="121">
        <f>Input_Consumo_GrupoA!$C$15</f>
        <v>4690</v>
      </c>
      <c r="K23" s="121">
        <f>Input_Consumo_GrupoA!$C$4*(1+Premissas!$B$21)</f>
        <v>8059.8824999999997</v>
      </c>
      <c r="L23" s="121">
        <f>Input_Consumo_GrupoA!$C$5*(1+Premissas!$B$21)</f>
        <v>27756.999999999996</v>
      </c>
      <c r="M23" s="121">
        <f>Input_Consumo_GrupoA!$C$6*(1+Premissas!$B$21)</f>
        <v>37796.772499999999</v>
      </c>
      <c r="N23" s="121">
        <f>Input_Consumo_GrupoA!$C$7*(1+Premissas!$B$21)</f>
        <v>11705.294999999998</v>
      </c>
      <c r="O23" s="121">
        <f>Input_Consumo_GrupoA!$C$8*(1+Premissas!$B$21)</f>
        <v>7153.8849999999993</v>
      </c>
      <c r="P23" s="121">
        <f>Input_Consumo_GrupoA!$C$9*(1+Premissas!$B$21)</f>
        <v>12379.13</v>
      </c>
      <c r="Q23" s="121">
        <f>Input_Consumo_GrupoA!$C$10*(1+Premissas!$B$21)</f>
        <v>37462.417499999996</v>
      </c>
      <c r="R23" s="121">
        <f>Input_Consumo_GrupoA!$C$11*(1+Premissas!$B$21)</f>
        <v>21750.192499999997</v>
      </c>
      <c r="S23" s="121">
        <f>Input_Consumo_GrupoA!$C$12*(1+Premissas!$B$21)</f>
        <v>14404.529999999999</v>
      </c>
      <c r="T23" s="121">
        <f>Input_Consumo_GrupoA!$C$13*(1+Premissas!$B$21)</f>
        <v>3213.3749999999995</v>
      </c>
      <c r="U23" s="121">
        <f>Input_Consumo_GrupoA!$C$14*(1+Premissas!$B$21)</f>
        <v>4807.25</v>
      </c>
      <c r="V23" s="121">
        <f>Input_Consumo_GrupoA!$C$15*(1+Premissas!$B$21)</f>
        <v>4807.25</v>
      </c>
      <c r="W23" s="121">
        <f>Input_Consumo_GrupoA!$C$4*(1+Premissas!$B$21)</f>
        <v>8059.8824999999997</v>
      </c>
      <c r="X23" s="121">
        <f>Input_Consumo_GrupoA!$C$5*(1+Premissas!$B$21)</f>
        <v>27756.999999999996</v>
      </c>
      <c r="Y23" s="121">
        <f>Input_Consumo_GrupoA!$C$6*(1+Premissas!$B$21)</f>
        <v>37796.772499999999</v>
      </c>
      <c r="Z23" s="121">
        <f>Input_Consumo_GrupoA!$C$7*(1+Premissas!$B$21)</f>
        <v>11705.294999999998</v>
      </c>
      <c r="AA23" s="121">
        <f>Input_Consumo_GrupoA!$C$8*(1+Premissas!$B$21)</f>
        <v>7153.8849999999993</v>
      </c>
      <c r="AB23" s="121">
        <f>Input_Consumo_GrupoA!$C$9*(1+Premissas!$B$21)^2</f>
        <v>12688.608249999999</v>
      </c>
      <c r="AC23" s="121">
        <f>Input_Consumo_GrupoA!$C$10*(1+Premissas!$B$21)^2</f>
        <v>38398.977937499993</v>
      </c>
      <c r="AD23" s="121">
        <f>Input_Consumo_GrupoA!$C$11*(1+Premissas!$B$21)^2</f>
        <v>22293.9473125</v>
      </c>
      <c r="AE23" s="121">
        <f>Input_Consumo_GrupoA!$C$12*(1+Premissas!$B$21)^2</f>
        <v>14764.643249999999</v>
      </c>
      <c r="AF23" s="121">
        <f>Input_Consumo_GrupoA!$C$13*(1+Premissas!$B$21)^2</f>
        <v>3293.7093749999999</v>
      </c>
      <c r="AG23" s="121">
        <f>Input_Consumo_GrupoA!$C$14*(1+Premissas!$B$21)^2</f>
        <v>4927.4312499999996</v>
      </c>
      <c r="AH23" s="121">
        <f>Input_Consumo_GrupoA!$C$15*(1+Premissas!$B$21)^2</f>
        <v>4927.4312499999996</v>
      </c>
      <c r="AI23" s="121">
        <f>Input_Consumo_GrupoA!$C$4*(1+Premissas!$B$21)^2</f>
        <v>8261.3795625000002</v>
      </c>
      <c r="AJ23" s="121">
        <f>Input_Consumo_GrupoA!$C$5*(1+Premissas!$B$21)^2</f>
        <v>28450.924999999999</v>
      </c>
      <c r="AK23" s="121">
        <f>Input_Consumo_GrupoA!$C$6*(1+Premissas!$B$21)^2</f>
        <v>38741.691812500001</v>
      </c>
      <c r="AL23" s="121">
        <f>Input_Consumo_GrupoA!$C$7*(1+Premissas!$B$21)^2</f>
        <v>11997.927374999997</v>
      </c>
      <c r="AM23" s="121">
        <f>Input_Consumo_GrupoA!$C$8*(1+Premissas!$B$21)^2</f>
        <v>7332.7321249999986</v>
      </c>
      <c r="AN23" s="121">
        <f>Input_Consumo_GrupoA!$C$9*(1+Premissas!$B$21)^3</f>
        <v>13005.82345625</v>
      </c>
      <c r="AO23" s="121">
        <f>Input_Consumo_GrupoA!$C$10*(1+Premissas!$B$21)^3</f>
        <v>39358.952385937489</v>
      </c>
      <c r="AP23" s="121">
        <f>Input_Consumo_GrupoA!$C$11*(1+Premissas!$B$21)^3</f>
        <v>22851.295995312499</v>
      </c>
      <c r="AQ23" s="121">
        <f>Input_Consumo_GrupoA!$C$12*(1+Premissas!$B$21)^3</f>
        <v>15133.759331249999</v>
      </c>
      <c r="AR23" s="121">
        <f>Input_Consumo_GrupoA!$C$13*(1+Premissas!$B$21)^3</f>
        <v>3376.0521093749994</v>
      </c>
      <c r="AS23" s="121">
        <f>Input_Consumo_GrupoA!$C$14*(1+Premissas!$B$21)^3</f>
        <v>5050.6170312499999</v>
      </c>
      <c r="AT23" s="121">
        <f>Input_Consumo_GrupoA!$C$15*(1+Premissas!$B$21)^3</f>
        <v>5050.6170312499999</v>
      </c>
      <c r="AU23" s="121">
        <f>Input_Consumo_GrupoA!$C$4*(1+Premissas!$B$21)^3</f>
        <v>8467.9140515624986</v>
      </c>
      <c r="AV23" s="121">
        <f>Input_Consumo_GrupoA!$C$5*(1+Premissas!$B$21)^3</f>
        <v>29162.198124999995</v>
      </c>
      <c r="AW23" s="121">
        <f>Input_Consumo_GrupoA!$C$6*(1+Premissas!$B$21)^3</f>
        <v>39710.234107812495</v>
      </c>
      <c r="AX23" s="121">
        <f>Input_Consumo_GrupoA!$C$7*(1+Premissas!$B$21)^3</f>
        <v>12297.875559374997</v>
      </c>
      <c r="AY23" s="121">
        <f>Input_Consumo_GrupoA!$C$8*(1+Premissas!$B$21)^3</f>
        <v>7516.0504281249987</v>
      </c>
      <c r="AZ23" s="121">
        <f>Input_Consumo_GrupoA!$C$9*(1+Premissas!$B$21)^4</f>
        <v>13330.969042656248</v>
      </c>
      <c r="BA23" s="121">
        <f>Input_Consumo_GrupoA!$C$10*(1+Premissas!$B$21)^4</f>
        <v>40342.926195585926</v>
      </c>
      <c r="BB23" s="121">
        <f>Input_Consumo_GrupoA!$C$11*(1+Premissas!$B$21)^4</f>
        <v>23422.578395195309</v>
      </c>
      <c r="BC23" s="121">
        <f>Input_Consumo_GrupoA!$C$12*(1+Premissas!$B$21)^4</f>
        <v>15512.103314531247</v>
      </c>
      <c r="BD23" s="121">
        <f>Input_Consumo_GrupoA!$C$13*(1+Premissas!$B$21)^4</f>
        <v>3460.4534121093743</v>
      </c>
      <c r="BE23" s="121">
        <f>Input_Consumo_GrupoA!$C$14*(1+Premissas!$B$21)^4</f>
        <v>5176.882457031249</v>
      </c>
      <c r="BF23" s="121">
        <f>Input_Consumo_GrupoA!$C$15*(1+Premissas!$B$21)^4</f>
        <v>5176.882457031249</v>
      </c>
      <c r="BG23" s="121">
        <f>Input_Consumo_GrupoA!$C$4*(1+Premissas!$B$21)^4</f>
        <v>8679.6119028515604</v>
      </c>
      <c r="BH23" s="121">
        <f>Input_Consumo_GrupoA!$C$5*(1+Premissas!$B$21)^4</f>
        <v>29891.253078124995</v>
      </c>
      <c r="BI23" s="121">
        <f>Input_Consumo_GrupoA!$C$6*(1+Premissas!$B$21)^4</f>
        <v>40702.989960507803</v>
      </c>
      <c r="BJ23" s="121">
        <f>Input_Consumo_GrupoA!$C$7*(1+Premissas!$B$21)^4</f>
        <v>12605.322448359371</v>
      </c>
      <c r="BK23" s="121">
        <f>Input_Consumo_GrupoA!$C$8*(1+Premissas!$B$21)^4</f>
        <v>7703.9516888281232</v>
      </c>
    </row>
    <row r="24" spans="1:63" ht="12.75" customHeight="1" x14ac:dyDescent="0.2">
      <c r="A24" s="74" t="s">
        <v>405</v>
      </c>
      <c r="B24" s="89">
        <f t="shared" si="8"/>
        <v>4634513.1293270644</v>
      </c>
      <c r="C24" s="120">
        <f t="shared" si="9"/>
        <v>77241.885488784406</v>
      </c>
      <c r="D24" s="89">
        <f>+'Novo Horizonte do Sul'!I8</f>
        <v>60380.599999999991</v>
      </c>
      <c r="E24" s="89">
        <f>+'Novo Horizonte do Sul'!I9</f>
        <v>76551.200000000012</v>
      </c>
      <c r="F24" s="89">
        <f>+'Novo Horizonte do Sul'!I10</f>
        <v>79815.599999999991</v>
      </c>
      <c r="G24" s="89">
        <f>+'Novo Horizonte do Sul'!I11</f>
        <v>78203.000000000015</v>
      </c>
      <c r="H24" s="89">
        <f>+'Novo Horizonte do Sul'!I12</f>
        <v>73160.099999999991</v>
      </c>
      <c r="I24" s="89">
        <f>+'Novo Horizonte do Sul'!I13</f>
        <v>91030.500000000015</v>
      </c>
      <c r="J24" s="89">
        <f>+'Novo Horizonte do Sul'!I14</f>
        <v>88631.699999999983</v>
      </c>
      <c r="K24" s="89">
        <f>+'Novo Horizonte do Sul'!I3*(1-Premissas!$B$23)</f>
        <v>83044.590499999977</v>
      </c>
      <c r="L24" s="89">
        <f>+'Novo Horizonte do Sul'!I4*(1-Premissas!$B$23)</f>
        <v>75743.777999999991</v>
      </c>
      <c r="M24" s="89">
        <f>+'Novo Horizonte do Sul'!I5*(1-Premissas!$B$23)</f>
        <v>89408.909</v>
      </c>
      <c r="N24" s="89">
        <f>+'Novo Horizonte do Sul'!I6*(1-Premissas!$B$23)</f>
        <v>62411.772999999994</v>
      </c>
      <c r="O24" s="89">
        <f>+'Novo Horizonte do Sul'!I7*(1-Premissas!$B$23)</f>
        <v>77836.362500000017</v>
      </c>
      <c r="P24" s="89">
        <f>D24*(1-Premissas!$B$23)</f>
        <v>60078.696999999993</v>
      </c>
      <c r="Q24" s="89">
        <f>E24*(1-Premissas!$B$23)</f>
        <v>76168.444000000018</v>
      </c>
      <c r="R24" s="89">
        <f>F24*(1-Premissas!$B$23)</f>
        <v>79416.521999999997</v>
      </c>
      <c r="S24" s="89">
        <f>G24*(1-Premissas!$B$23)</f>
        <v>77811.985000000015</v>
      </c>
      <c r="T24" s="89">
        <f>H24*(1-Premissas!$B$23)</f>
        <v>72794.299499999994</v>
      </c>
      <c r="U24" s="89">
        <f>I24*(1-Premissas!$B$23)</f>
        <v>90575.347500000018</v>
      </c>
      <c r="V24" s="89">
        <f>J24*(1-Premissas!$B$23)</f>
        <v>88188.541499999978</v>
      </c>
      <c r="W24" s="89">
        <f>K24*(1-Premissas!$B$23)</f>
        <v>82629.367547499976</v>
      </c>
      <c r="X24" s="89">
        <f>L24*(1-Premissas!$B$23)</f>
        <v>75365.059109999987</v>
      </c>
      <c r="Y24" s="89">
        <f>M24*(1-Premissas!$B$23)</f>
        <v>88961.864455000003</v>
      </c>
      <c r="Z24" s="89">
        <f>N24*(1-Premissas!$B$23)</f>
        <v>62099.714134999995</v>
      </c>
      <c r="AA24" s="89">
        <f>O24*(1-Premissas!$B$23)</f>
        <v>77447.180687500018</v>
      </c>
      <c r="AB24" s="89">
        <f>P24*(1-Premissas!$B$23)</f>
        <v>59778.303514999992</v>
      </c>
      <c r="AC24" s="89">
        <f>Q24*(1-Premissas!$B$23)</f>
        <v>75787.601780000012</v>
      </c>
      <c r="AD24" s="89">
        <f>R24*(1-Premissas!$B$23)</f>
        <v>79019.43939</v>
      </c>
      <c r="AE24" s="89">
        <f>S24*(1-Premissas!$B$23)</f>
        <v>77422.925075000021</v>
      </c>
      <c r="AF24" s="89">
        <f>T24*(1-Premissas!$B$23)</f>
        <v>72430.328002499999</v>
      </c>
      <c r="AG24" s="89">
        <f>U24*(1-Premissas!$B$23)</f>
        <v>90122.470762500016</v>
      </c>
      <c r="AH24" s="89">
        <f>V24*(1-Premissas!$B$23)</f>
        <v>87747.598792499979</v>
      </c>
      <c r="AI24" s="89">
        <f>W24*(1-Premissas!$B$23)</f>
        <v>82216.220709762478</v>
      </c>
      <c r="AJ24" s="89">
        <f>X24*(1-Premissas!$B$23)</f>
        <v>74988.233814449981</v>
      </c>
      <c r="AK24" s="89">
        <f>Y24*(1-Premissas!$B$23)</f>
        <v>88517.055132725</v>
      </c>
      <c r="AL24" s="89">
        <f>Z24*(1-Premissas!$B$23)</f>
        <v>61789.215564324993</v>
      </c>
      <c r="AM24" s="89">
        <f>AA24*(1-Premissas!$B$23)</f>
        <v>77059.944784062522</v>
      </c>
      <c r="AN24" s="89">
        <f>AB24*(1-Premissas!$B$23)</f>
        <v>59479.411997424992</v>
      </c>
      <c r="AO24" s="89">
        <f>AC24*(1-Premissas!$B$23)</f>
        <v>75408.663771100008</v>
      </c>
      <c r="AP24" s="89">
        <f>AD24*(1-Premissas!$B$23)</f>
        <v>78624.342193050004</v>
      </c>
      <c r="AQ24" s="89">
        <f>AE24*(1-Premissas!$B$23)</f>
        <v>77035.810449625016</v>
      </c>
      <c r="AR24" s="89">
        <f>AF24*(1-Premissas!$B$23)</f>
        <v>72068.176362487502</v>
      </c>
      <c r="AS24" s="89">
        <f>AG24*(1-Premissas!$B$23)</f>
        <v>89671.85840868752</v>
      </c>
      <c r="AT24" s="89">
        <f>AH24*(1-Premissas!$B$23)</f>
        <v>87308.860798537484</v>
      </c>
      <c r="AU24" s="89">
        <f>AI24*(1-Premissas!$B$23)</f>
        <v>81805.139606213663</v>
      </c>
      <c r="AV24" s="89">
        <f>AJ24*(1-Premissas!$B$23)</f>
        <v>74613.292645377733</v>
      </c>
      <c r="AW24" s="89">
        <f>AK24*(1-Premissas!$B$23)</f>
        <v>88074.469857061369</v>
      </c>
      <c r="AX24" s="89">
        <f>AL24*(1-Premissas!$B$23)</f>
        <v>61480.26948650337</v>
      </c>
      <c r="AY24" s="89">
        <f>AM24*(1-Premissas!$B$23)</f>
        <v>76674.645060142211</v>
      </c>
      <c r="AZ24" s="89">
        <f>AN24*(1-Premissas!$B$23)</f>
        <v>59182.014937437867</v>
      </c>
      <c r="BA24" s="89">
        <f>AO24*(1-Premissas!$B$23)</f>
        <v>75031.620452244504</v>
      </c>
      <c r="BB24" s="89">
        <f>AP24*(1-Premissas!$B$23)</f>
        <v>78231.220482084755</v>
      </c>
      <c r="BC24" s="89">
        <f>AQ24*(1-Premissas!$B$23)</f>
        <v>76650.631397376885</v>
      </c>
      <c r="BD24" s="89">
        <f>AR24*(1-Premissas!$B$23)</f>
        <v>71707.835480675058</v>
      </c>
      <c r="BE24" s="89">
        <f>AS24*(1-Premissas!$B$23)</f>
        <v>89223.499116644089</v>
      </c>
      <c r="BF24" s="89">
        <f>AT24*(1-Premissas!$B$23)</f>
        <v>86872.316494544793</v>
      </c>
      <c r="BG24" s="89">
        <f>AU24*(1-Premissas!$B$23)</f>
        <v>81396.113908182597</v>
      </c>
      <c r="BH24" s="89">
        <f>AV24*(1-Premissas!$B$23)</f>
        <v>74240.226182150844</v>
      </c>
      <c r="BI24" s="89">
        <f>AW24*(1-Premissas!$B$23)</f>
        <v>87634.097507776067</v>
      </c>
      <c r="BJ24" s="89">
        <f>AX24*(1-Premissas!$B$23)</f>
        <v>61172.868139070852</v>
      </c>
      <c r="BK24" s="89">
        <f>AY24*(1-Premissas!$B$23)</f>
        <v>76291.271834841493</v>
      </c>
    </row>
    <row r="25" spans="1:63" ht="12.75" customHeight="1" x14ac:dyDescent="0.2">
      <c r="A25" s="126" t="s">
        <v>406</v>
      </c>
      <c r="B25" s="120">
        <f t="shared" si="8"/>
        <v>3884122.7333284938</v>
      </c>
      <c r="C25" s="120">
        <f t="shared" si="9"/>
        <v>64735.378888808227</v>
      </c>
      <c r="D25" s="120">
        <f t="shared" ref="D25:AI25" si="10">MIN(D24,D22)</f>
        <v>60380.599999999991</v>
      </c>
      <c r="E25" s="120">
        <f t="shared" si="10"/>
        <v>76551.200000000012</v>
      </c>
      <c r="F25" s="120">
        <f t="shared" si="10"/>
        <v>79815.599999999991</v>
      </c>
      <c r="G25" s="120">
        <f t="shared" si="10"/>
        <v>78203.000000000015</v>
      </c>
      <c r="H25" s="120">
        <f t="shared" si="10"/>
        <v>28215</v>
      </c>
      <c r="I25" s="120">
        <f t="shared" si="10"/>
        <v>42209.599999999999</v>
      </c>
      <c r="J25" s="120">
        <f t="shared" si="10"/>
        <v>42209.599999999999</v>
      </c>
      <c r="K25" s="120">
        <f t="shared" si="10"/>
        <v>72539.147499999992</v>
      </c>
      <c r="L25" s="120">
        <f t="shared" si="10"/>
        <v>75743.777999999991</v>
      </c>
      <c r="M25" s="120">
        <f t="shared" si="10"/>
        <v>89408.909</v>
      </c>
      <c r="N25" s="120">
        <f t="shared" si="10"/>
        <v>62411.772999999994</v>
      </c>
      <c r="O25" s="120">
        <f t="shared" si="10"/>
        <v>64384.554999999993</v>
      </c>
      <c r="P25" s="120">
        <f t="shared" si="10"/>
        <v>60078.696999999993</v>
      </c>
      <c r="Q25" s="120">
        <f t="shared" si="10"/>
        <v>76168.444000000018</v>
      </c>
      <c r="R25" s="120">
        <f t="shared" si="10"/>
        <v>79416.521999999997</v>
      </c>
      <c r="S25" s="120">
        <f t="shared" si="10"/>
        <v>77811.985000000015</v>
      </c>
      <c r="T25" s="120">
        <f t="shared" si="10"/>
        <v>28920.374999999996</v>
      </c>
      <c r="U25" s="120">
        <f t="shared" si="10"/>
        <v>43264.84</v>
      </c>
      <c r="V25" s="120">
        <f t="shared" si="10"/>
        <v>43264.84</v>
      </c>
      <c r="W25" s="120">
        <f t="shared" si="10"/>
        <v>72539.147499999992</v>
      </c>
      <c r="X25" s="120">
        <f t="shared" si="10"/>
        <v>75365.059109999987</v>
      </c>
      <c r="Y25" s="120">
        <f t="shared" si="10"/>
        <v>88961.864455000003</v>
      </c>
      <c r="Z25" s="120">
        <f t="shared" si="10"/>
        <v>62099.714134999995</v>
      </c>
      <c r="AA25" s="120">
        <f t="shared" si="10"/>
        <v>64384.554999999993</v>
      </c>
      <c r="AB25" s="120">
        <f t="shared" si="10"/>
        <v>59778.303514999992</v>
      </c>
      <c r="AC25" s="120">
        <f t="shared" si="10"/>
        <v>75787.601780000012</v>
      </c>
      <c r="AD25" s="120">
        <f t="shared" si="10"/>
        <v>79019.43939</v>
      </c>
      <c r="AE25" s="120">
        <f t="shared" si="10"/>
        <v>77422.925075000021</v>
      </c>
      <c r="AF25" s="120">
        <f t="shared" si="10"/>
        <v>29643.384374999998</v>
      </c>
      <c r="AG25" s="120">
        <f t="shared" si="10"/>
        <v>44346.460999999996</v>
      </c>
      <c r="AH25" s="120">
        <f t="shared" si="10"/>
        <v>44346.460999999996</v>
      </c>
      <c r="AI25" s="120">
        <f t="shared" si="10"/>
        <v>74352.626187499991</v>
      </c>
      <c r="AJ25" s="120">
        <f t="shared" ref="AJ25:BO25" si="11">MIN(AJ24,AJ22)</f>
        <v>74988.233814449981</v>
      </c>
      <c r="AK25" s="120">
        <f t="shared" si="11"/>
        <v>88517.055132725</v>
      </c>
      <c r="AL25" s="120">
        <f t="shared" si="11"/>
        <v>61789.215564324993</v>
      </c>
      <c r="AM25" s="120">
        <f t="shared" si="11"/>
        <v>65994.168874999988</v>
      </c>
      <c r="AN25" s="120">
        <f t="shared" si="11"/>
        <v>59479.411997424992</v>
      </c>
      <c r="AO25" s="120">
        <f t="shared" si="11"/>
        <v>75408.663771100008</v>
      </c>
      <c r="AP25" s="120">
        <f t="shared" si="11"/>
        <v>78624.342193050004</v>
      </c>
      <c r="AQ25" s="120">
        <f t="shared" si="11"/>
        <v>77035.810449625016</v>
      </c>
      <c r="AR25" s="120">
        <f t="shared" si="11"/>
        <v>30384.468984374998</v>
      </c>
      <c r="AS25" s="120">
        <f t="shared" si="11"/>
        <v>45455.122524999992</v>
      </c>
      <c r="AT25" s="120">
        <f t="shared" si="11"/>
        <v>45455.122524999992</v>
      </c>
      <c r="AU25" s="120">
        <f t="shared" si="11"/>
        <v>76211.441842187487</v>
      </c>
      <c r="AV25" s="120">
        <f t="shared" si="11"/>
        <v>74613.292645377733</v>
      </c>
      <c r="AW25" s="120">
        <f t="shared" si="11"/>
        <v>88074.469857061369</v>
      </c>
      <c r="AX25" s="120">
        <f t="shared" si="11"/>
        <v>61480.26948650337</v>
      </c>
      <c r="AY25" s="120">
        <f t="shared" si="11"/>
        <v>67644.023096874997</v>
      </c>
      <c r="AZ25" s="120">
        <f t="shared" si="11"/>
        <v>59182.014937437867</v>
      </c>
      <c r="BA25" s="120">
        <f t="shared" si="11"/>
        <v>75031.620452244504</v>
      </c>
      <c r="BB25" s="120">
        <f t="shared" si="11"/>
        <v>78231.220482084755</v>
      </c>
      <c r="BC25" s="120">
        <f t="shared" si="11"/>
        <v>76650.631397376885</v>
      </c>
      <c r="BD25" s="120">
        <f t="shared" si="11"/>
        <v>31144.080708984369</v>
      </c>
      <c r="BE25" s="120">
        <f t="shared" si="11"/>
        <v>46591.500588124989</v>
      </c>
      <c r="BF25" s="120">
        <f t="shared" si="11"/>
        <v>46591.500588124989</v>
      </c>
      <c r="BG25" s="120">
        <f t="shared" si="11"/>
        <v>78116.727888242167</v>
      </c>
      <c r="BH25" s="120">
        <f t="shared" si="11"/>
        <v>74240.226182150844</v>
      </c>
      <c r="BI25" s="120">
        <f t="shared" si="11"/>
        <v>87634.097507776067</v>
      </c>
      <c r="BJ25" s="120">
        <f t="shared" si="11"/>
        <v>61172.868139070852</v>
      </c>
      <c r="BK25" s="120">
        <f t="shared" si="11"/>
        <v>69335.123674296861</v>
      </c>
    </row>
    <row r="26" spans="1:63" ht="12.75" customHeight="1" x14ac:dyDescent="0.2">
      <c r="A26" s="126" t="s">
        <v>407</v>
      </c>
      <c r="B26" s="120">
        <f t="shared" si="8"/>
        <v>118996.38728382858</v>
      </c>
      <c r="C26" s="120">
        <f t="shared" si="9"/>
        <v>1983.2731213971429</v>
      </c>
      <c r="D26" s="120">
        <f>MIN((D24-D25)*Premissas!$B$8,D23)</f>
        <v>0</v>
      </c>
      <c r="E26" s="120">
        <f>MIN((E24-E25)*Premissas!$B$8,E23)</f>
        <v>0</v>
      </c>
      <c r="F26" s="120">
        <f>MIN((F24-F25)*Premissas!$B$8,F23)</f>
        <v>0</v>
      </c>
      <c r="G26" s="120">
        <f>MIN((G24-G25)*Premissas!$B$8,G23)</f>
        <v>0</v>
      </c>
      <c r="H26" s="120">
        <f>MIN((H24-H25)*Premissas!$B$8,H23)</f>
        <v>3135</v>
      </c>
      <c r="I26" s="120">
        <f>MIN((I24-I25)*Premissas!$B$8,I23)</f>
        <v>4690</v>
      </c>
      <c r="J26" s="120">
        <f>MIN((J24-J25)*Premissas!$B$8,J23)</f>
        <v>4690</v>
      </c>
      <c r="K26" s="120">
        <f>MIN((K24-K25)*Premissas!$B$8,K23)</f>
        <v>6348.0930415947614</v>
      </c>
      <c r="L26" s="120">
        <f>MIN((L24-L25)*Premissas!$B$8,L23)</f>
        <v>0</v>
      </c>
      <c r="M26" s="120">
        <f>MIN((M24-M25)*Premissas!$B$8,M23)</f>
        <v>0</v>
      </c>
      <c r="N26" s="120">
        <f>MIN((N24-N25)*Premissas!$B$8,N23)</f>
        <v>0</v>
      </c>
      <c r="O26" s="120">
        <f>MIN((O24-O25)*Premissas!$B$8,O23)</f>
        <v>7153.8849999999993</v>
      </c>
      <c r="P26" s="120">
        <f>MIN((P24-P25)*Premissas!$B$8,P23)</f>
        <v>0</v>
      </c>
      <c r="Q26" s="120">
        <f>MIN((Q24-Q25)*Premissas!$B$8,Q23)</f>
        <v>0</v>
      </c>
      <c r="R26" s="120">
        <f>MIN((R24-R25)*Premissas!$B$8,R23)</f>
        <v>0</v>
      </c>
      <c r="S26" s="120">
        <f>MIN((S24-S25)*Premissas!$B$8,S23)</f>
        <v>0</v>
      </c>
      <c r="T26" s="120">
        <f>MIN((T24-T25)*Premissas!$B$8,T23)</f>
        <v>3213.3749999999995</v>
      </c>
      <c r="U26" s="120">
        <f>MIN((U24-U25)*Premissas!$B$8,U23)</f>
        <v>4807.25</v>
      </c>
      <c r="V26" s="120">
        <f>MIN((V24-V25)*Premissas!$B$8,V23)</f>
        <v>4807.25</v>
      </c>
      <c r="W26" s="120">
        <f>MIN((W24-W25)*Premissas!$B$8,W23)</f>
        <v>6097.1874933493718</v>
      </c>
      <c r="X26" s="120">
        <f>MIN((X24-X25)*Premissas!$B$8,X23)</f>
        <v>0</v>
      </c>
      <c r="Y26" s="120">
        <f>MIN((Y24-Y25)*Premissas!$B$8,Y23)</f>
        <v>0</v>
      </c>
      <c r="Z26" s="120">
        <f>MIN((Z24-Z25)*Premissas!$B$8,Z23)</f>
        <v>0</v>
      </c>
      <c r="AA26" s="120">
        <f>MIN((AA24-AA25)*Premissas!$B$8,AA23)</f>
        <v>7153.8849999999993</v>
      </c>
      <c r="AB26" s="120">
        <f>MIN((AB24-AB25)*Premissas!$B$8,AB23)</f>
        <v>0</v>
      </c>
      <c r="AC26" s="120">
        <f>MIN((AC24-AC25)*Premissas!$B$8,AC23)</f>
        <v>0</v>
      </c>
      <c r="AD26" s="120">
        <f>MIN((AD24-AD25)*Premissas!$B$8,AD23)</f>
        <v>0</v>
      </c>
      <c r="AE26" s="120">
        <f>MIN((AE24-AE25)*Premissas!$B$8,AE23)</f>
        <v>0</v>
      </c>
      <c r="AF26" s="120">
        <f>MIN((AF24-AF25)*Premissas!$B$8,AF23)</f>
        <v>3293.7093749999999</v>
      </c>
      <c r="AG26" s="120">
        <f>MIN((AG24-AG25)*Premissas!$B$8,AG23)</f>
        <v>4927.4312499999996</v>
      </c>
      <c r="AH26" s="120">
        <f>MIN((AH24-AH25)*Premissas!$B$8,AH23)</f>
        <v>4927.4312499999996</v>
      </c>
      <c r="AI26" s="120">
        <f>MIN((AI24-AI25)*Premissas!$B$8,AI23)</f>
        <v>4751.7110576581345</v>
      </c>
      <c r="AJ26" s="120">
        <f>MIN((AJ24-AJ25)*Premissas!$B$8,AJ23)</f>
        <v>0</v>
      </c>
      <c r="AK26" s="120">
        <f>MIN((AK24-AK25)*Premissas!$B$8,AK23)</f>
        <v>0</v>
      </c>
      <c r="AL26" s="120">
        <f>MIN((AL24-AL25)*Premissas!$B$8,AL23)</f>
        <v>0</v>
      </c>
      <c r="AM26" s="120">
        <f>MIN((AM24-AM25)*Premissas!$B$8,AM23)</f>
        <v>6686.6837550940891</v>
      </c>
      <c r="AN26" s="120">
        <f>MIN((AN24-AN25)*Premissas!$B$8,AN23)</f>
        <v>0</v>
      </c>
      <c r="AO26" s="120">
        <f>MIN((AO24-AO25)*Premissas!$B$8,AO23)</f>
        <v>0</v>
      </c>
      <c r="AP26" s="120">
        <f>MIN((AP24-AP25)*Premissas!$B$8,AP23)</f>
        <v>0</v>
      </c>
      <c r="AQ26" s="120">
        <f>MIN((AQ24-AQ25)*Premissas!$B$8,AQ23)</f>
        <v>0</v>
      </c>
      <c r="AR26" s="120">
        <f>MIN((AR24-AR25)*Premissas!$B$8,AR23)</f>
        <v>3376.0521093749994</v>
      </c>
      <c r="AS26" s="120">
        <f>MIN((AS24-AS25)*Premissas!$B$8,AS23)</f>
        <v>5050.6170312499999</v>
      </c>
      <c r="AT26" s="120">
        <f>MIN((AT24-AT25)*Premissas!$B$8,AT23)</f>
        <v>5050.6170312499999</v>
      </c>
      <c r="AU26" s="120">
        <f>MIN((AU24-AU25)*Premissas!$B$8,AU23)</f>
        <v>3380.0872416897405</v>
      </c>
      <c r="AV26" s="120">
        <f>MIN((AV24-AV25)*Premissas!$B$8,AV23)</f>
        <v>0</v>
      </c>
      <c r="AW26" s="120">
        <f>MIN((AW24-AW25)*Premissas!$B$8,AW23)</f>
        <v>0</v>
      </c>
      <c r="AX26" s="120">
        <f>MIN((AX24-AX25)*Premissas!$B$8,AX23)</f>
        <v>0</v>
      </c>
      <c r="AY26" s="120">
        <f>MIN((AY24-AY25)*Premissas!$B$8,AY23)</f>
        <v>5456.9072857079427</v>
      </c>
      <c r="AZ26" s="120">
        <f>MIN((AZ24-AZ25)*Premissas!$B$8,AZ23)</f>
        <v>0</v>
      </c>
      <c r="BA26" s="120">
        <f>MIN((BA24-BA25)*Premissas!$B$8,BA23)</f>
        <v>0</v>
      </c>
      <c r="BB26" s="120">
        <f>MIN((BB24-BB25)*Premissas!$B$8,BB23)</f>
        <v>0</v>
      </c>
      <c r="BC26" s="120">
        <f>MIN((BC24-BC25)*Premissas!$B$8,BC23)</f>
        <v>0</v>
      </c>
      <c r="BD26" s="120">
        <f>MIN((BD24-BD25)*Premissas!$B$8,BD23)</f>
        <v>3460.4534121093743</v>
      </c>
      <c r="BE26" s="120">
        <f>MIN((BE24-BE25)*Premissas!$B$8,BE23)</f>
        <v>5176.882457031249</v>
      </c>
      <c r="BF26" s="120">
        <f>MIN((BF24-BF25)*Premissas!$B$8,BF23)</f>
        <v>5176.882457031249</v>
      </c>
      <c r="BG26" s="120">
        <f>MIN((BG24-BG25)*Premissas!$B$8,BG23)</f>
        <v>1981.6249132841911</v>
      </c>
      <c r="BH26" s="120">
        <f>MIN((BH24-BH25)*Premissas!$B$8,BH23)</f>
        <v>0</v>
      </c>
      <c r="BI26" s="120">
        <f>MIN((BI24-BI25)*Premissas!$B$8,BI23)</f>
        <v>0</v>
      </c>
      <c r="BJ26" s="120">
        <f>MIN((BJ24-BJ25)*Premissas!$B$8,BJ23)</f>
        <v>0</v>
      </c>
      <c r="BK26" s="120">
        <f>MIN((BK24-BK25)*Premissas!$B$8,BK23)</f>
        <v>4203.371122403466</v>
      </c>
    </row>
    <row r="27" spans="1:63" ht="12.75" customHeight="1" x14ac:dyDescent="0.2">
      <c r="A27" s="122" t="str">
        <f>"  "&amp;INDEX(PVSYST_Helexia!$A$5:$A$7,MATCH(Premissas!$B$13,PVSYST_Helexia!$B$5:$B$7,0))&amp;" créditos recebidos (kWh)"</f>
        <v xml:space="preserve">  HCS03 créditos recebidos (kWh)</v>
      </c>
      <c r="B27" s="135">
        <f t="shared" si="8"/>
        <v>4146923.5875333203</v>
      </c>
      <c r="C27" s="120">
        <f t="shared" si="9"/>
        <v>69115.393125555333</v>
      </c>
      <c r="D27" s="136">
        <f>D6*Premissas!$B$33</f>
        <v>91504.62</v>
      </c>
      <c r="E27" s="136">
        <f>E6*Premissas!$B$33</f>
        <v>96316.37999999999</v>
      </c>
      <c r="F27" s="136">
        <f>F6*Premissas!$B$33</f>
        <v>115622.45999999999</v>
      </c>
      <c r="G27" s="136">
        <f>G6*Premissas!$B$33</f>
        <v>108493.38</v>
      </c>
      <c r="H27" s="136">
        <f>H6*Premissas!$C$33</f>
        <v>78229.224000000002</v>
      </c>
      <c r="I27" s="136">
        <f>I6*Premissas!$C$33</f>
        <v>75640.224000000002</v>
      </c>
      <c r="J27" s="136">
        <f>J6*Premissas!$C$33</f>
        <v>71824.038</v>
      </c>
      <c r="K27" s="136">
        <f>K6*Premissas!$C$33</f>
        <v>73747.302540000004</v>
      </c>
      <c r="L27" s="136">
        <f>L6*Premissas!$C$33</f>
        <v>65715.163050000003</v>
      </c>
      <c r="M27" s="136">
        <f>M6*Premissas!$C$33</f>
        <v>75375.369300000006</v>
      </c>
      <c r="N27" s="136">
        <f>N6*Premissas!$D$33</f>
        <v>97520.917140000005</v>
      </c>
      <c r="O27" s="136">
        <f>O6*Premissas!$D$33</f>
        <v>91268.03465999999</v>
      </c>
      <c r="P27" s="136">
        <f>P6*Premissas!$D$33</f>
        <v>82830.651570000002</v>
      </c>
      <c r="Q27" s="136">
        <f>Q6*Premissas!$D$33</f>
        <v>87186.291929999992</v>
      </c>
      <c r="R27" s="136">
        <f>R6*Premissas!$D$33</f>
        <v>104662.29681</v>
      </c>
      <c r="S27" s="136">
        <f>S6*Premissas!$D$33</f>
        <v>98209.001430000004</v>
      </c>
      <c r="T27" s="136">
        <f>T6*Premissas!$E$33</f>
        <v>38964.136319999998</v>
      </c>
      <c r="U27" s="136">
        <f>U6*Premissas!$E$33</f>
        <v>37674.616320000001</v>
      </c>
      <c r="V27" s="136">
        <f>V6*Premissas!$E$33</f>
        <v>35773.863839999998</v>
      </c>
      <c r="W27" s="136">
        <f>W6*Premissas!$E$33</f>
        <v>36916.378559999997</v>
      </c>
      <c r="X27" s="136">
        <f>X6*Premissas!$E$33</f>
        <v>32895.655200000001</v>
      </c>
      <c r="Y27" s="136">
        <f>Y6*Premissas!$E$33</f>
        <v>37731.355199999998</v>
      </c>
      <c r="Z27" s="136">
        <f>Z6*Premissas!$E$33</f>
        <v>37648.825920000003</v>
      </c>
      <c r="AA27" s="136">
        <f>AA6*Premissas!$E$33</f>
        <v>35234.84448</v>
      </c>
      <c r="AB27" s="136">
        <f>AB6*Premissas!$F$33</f>
        <v>58197.292001475005</v>
      </c>
      <c r="AC27" s="136">
        <f>AC6*Premissas!$F$33</f>
        <v>61257.589959774996</v>
      </c>
      <c r="AD27" s="136">
        <f>AD6*Premissas!$F$33</f>
        <v>73536.33146117501</v>
      </c>
      <c r="AE27" s="136">
        <f>AE6*Premissas!$F$33</f>
        <v>69002.209026024997</v>
      </c>
      <c r="AF27" s="136">
        <f>AF6*Premissas!$F$33</f>
        <v>70912.548395700011</v>
      </c>
      <c r="AG27" s="136">
        <f>AG6*Premissas!$F$33</f>
        <v>68565.694133200013</v>
      </c>
      <c r="AH27" s="136">
        <f>AH6*Premissas!$G$33</f>
        <v>64172.611649575003</v>
      </c>
      <c r="AI27" s="136">
        <f>AI6*Premissas!$G$33</f>
        <v>66222.101013050007</v>
      </c>
      <c r="AJ27" s="136">
        <f>AJ6*Premissas!$G$33</f>
        <v>59009.563952874996</v>
      </c>
      <c r="AK27" s="136">
        <f>AK6*Premissas!$G$33</f>
        <v>67684.03924975</v>
      </c>
      <c r="AL27" s="136">
        <f>AL6*Premissas!$G$33</f>
        <v>67535.994871350005</v>
      </c>
      <c r="AM27" s="136">
        <f>AM6*Premissas!$G$33</f>
        <v>63205.696803150007</v>
      </c>
      <c r="AN27" s="136">
        <f>AN6*Premissas!$H$33</f>
        <v>57698.668504090499</v>
      </c>
      <c r="AO27" s="136">
        <f>AO6*Premissas!$H$33</f>
        <v>60732.74640268449</v>
      </c>
      <c r="AP27" s="136">
        <f>AP6*Premissas!$H$33</f>
        <v>72906.285946736505</v>
      </c>
      <c r="AQ27" s="136">
        <f>AQ6*Premissas!$H$33</f>
        <v>68411.011023359504</v>
      </c>
      <c r="AR27" s="136">
        <f>AR6*Premissas!$H$33</f>
        <v>70304.982963125993</v>
      </c>
      <c r="AS27" s="136">
        <f>AS6*Premissas!$H$33</f>
        <v>67978.236108376004</v>
      </c>
      <c r="AT27" s="136">
        <f>AT6*Premissas!$I$33</f>
        <v>63619.461040278002</v>
      </c>
      <c r="AU27" s="136">
        <f>AU6*Premissas!$I$33</f>
        <v>65651.284358051998</v>
      </c>
      <c r="AV27" s="136">
        <f>AV6*Premissas!$I$33</f>
        <v>58500.917422590006</v>
      </c>
      <c r="AW27" s="136">
        <f>AW6*Premissas!$I$33</f>
        <v>67100.62108134001</v>
      </c>
      <c r="AX27" s="136">
        <f>AX6*Premissas!$I$33</f>
        <v>66953.852805564005</v>
      </c>
      <c r="AY27" s="136">
        <f>AY6*Premissas!$I$33</f>
        <v>62660.880739116001</v>
      </c>
      <c r="AZ27" s="136">
        <f>AZ6*Premissas!$J$33</f>
        <v>70802.641932960862</v>
      </c>
      <c r="BA27" s="136">
        <f>BA6*Premissas!$J$33</f>
        <v>74525.790778858951</v>
      </c>
      <c r="BB27" s="136">
        <f>BB6*Premissas!$J$33</f>
        <v>89464.068970376466</v>
      </c>
      <c r="BC27" s="136">
        <f>BC6*Premissas!$J$33</f>
        <v>83947.869913417031</v>
      </c>
      <c r="BD27" s="136">
        <f>BD6*Premissas!$J$33</f>
        <v>86271.982766608009</v>
      </c>
      <c r="BE27" s="136">
        <f>BE6*Premissas!$J$33</f>
        <v>83416.807271287384</v>
      </c>
      <c r="BF27" s="136">
        <f>BF6*Premissas!$K$33</f>
        <v>62825.51585476569</v>
      </c>
      <c r="BG27" s="136">
        <f>BG6*Premissas!$K$33</f>
        <v>64831.982837943622</v>
      </c>
      <c r="BH27" s="136">
        <f>BH6*Premissas!$K$33</f>
        <v>57770.84959466054</v>
      </c>
      <c r="BI27" s="136">
        <f>BI6*Premissas!$K$33</f>
        <v>66263.232424138274</v>
      </c>
      <c r="BJ27" s="136">
        <f>BJ6*Premissas!$K$33</f>
        <v>66118.295757181855</v>
      </c>
      <c r="BK27" s="136">
        <f>BK6*Premissas!$K$33</f>
        <v>61878.898248706573</v>
      </c>
    </row>
    <row r="28" spans="1:63" ht="12.75" customHeight="1" x14ac:dyDescent="0.2">
      <c r="A28" s="129" t="s">
        <v>408</v>
      </c>
      <c r="B28" s="130">
        <f t="shared" si="8"/>
        <v>1192710.0520602912</v>
      </c>
      <c r="C28" s="120">
        <f t="shared" si="9"/>
        <v>19878.500867671519</v>
      </c>
      <c r="D28" s="130">
        <f t="shared" ref="D28:AI28" si="12">D19</f>
        <v>0</v>
      </c>
      <c r="E28" s="130">
        <f t="shared" si="12"/>
        <v>0</v>
      </c>
      <c r="F28" s="130">
        <f t="shared" si="12"/>
        <v>0</v>
      </c>
      <c r="G28" s="130">
        <f t="shared" si="12"/>
        <v>32711.293107221009</v>
      </c>
      <c r="H28" s="130">
        <f t="shared" si="12"/>
        <v>40823.761528761643</v>
      </c>
      <c r="I28" s="130">
        <f t="shared" si="12"/>
        <v>41560.461528761633</v>
      </c>
      <c r="J28" s="130">
        <f t="shared" si="12"/>
        <v>47597.361528761627</v>
      </c>
      <c r="K28" s="130">
        <f t="shared" si="12"/>
        <v>51288.174381559918</v>
      </c>
      <c r="L28" s="130">
        <f t="shared" si="12"/>
        <v>0</v>
      </c>
      <c r="M28" s="130">
        <f t="shared" si="12"/>
        <v>0</v>
      </c>
      <c r="N28" s="130">
        <f t="shared" si="12"/>
        <v>16386.390718605122</v>
      </c>
      <c r="O28" s="130">
        <f t="shared" si="12"/>
        <v>15046.461371036236</v>
      </c>
      <c r="P28" s="130">
        <f t="shared" si="12"/>
        <v>0</v>
      </c>
      <c r="Q28" s="130">
        <f t="shared" si="12"/>
        <v>0</v>
      </c>
      <c r="R28" s="130">
        <f t="shared" si="12"/>
        <v>0</v>
      </c>
      <c r="S28" s="130">
        <f t="shared" si="12"/>
        <v>32132.834934901541</v>
      </c>
      <c r="T28" s="130">
        <f t="shared" si="12"/>
        <v>40427.854566980684</v>
      </c>
      <c r="U28" s="130">
        <f t="shared" si="12"/>
        <v>41160.871066980675</v>
      </c>
      <c r="V28" s="130">
        <f t="shared" si="12"/>
        <v>47167.586566980666</v>
      </c>
      <c r="W28" s="130">
        <f t="shared" si="12"/>
        <v>50971.320241098918</v>
      </c>
      <c r="X28" s="130">
        <f t="shared" si="12"/>
        <v>0</v>
      </c>
      <c r="Y28" s="130">
        <f t="shared" si="12"/>
        <v>0</v>
      </c>
      <c r="Z28" s="130">
        <f t="shared" si="12"/>
        <v>16130.024242355124</v>
      </c>
      <c r="AA28" s="130">
        <f t="shared" si="12"/>
        <v>14863.108492286232</v>
      </c>
      <c r="AB28" s="130">
        <f t="shared" si="12"/>
        <v>0</v>
      </c>
      <c r="AC28" s="130">
        <f t="shared" si="12"/>
        <v>0</v>
      </c>
      <c r="AD28" s="130">
        <f t="shared" si="12"/>
        <v>0</v>
      </c>
      <c r="AE28" s="130">
        <f t="shared" si="12"/>
        <v>31546.896510774077</v>
      </c>
      <c r="AF28" s="130">
        <f t="shared" si="12"/>
        <v>40029.132436155196</v>
      </c>
      <c r="AG28" s="130">
        <f t="shared" si="12"/>
        <v>40758.483853655191</v>
      </c>
      <c r="AH28" s="130">
        <f t="shared" si="12"/>
        <v>46735.165776155176</v>
      </c>
      <c r="AI28" s="130">
        <f t="shared" si="12"/>
        <v>50654.540039626394</v>
      </c>
      <c r="AJ28" s="130">
        <f t="shared" ref="AJ28:BK28" si="13">AJ19</f>
        <v>0</v>
      </c>
      <c r="AK28" s="130">
        <f t="shared" si="13"/>
        <v>0</v>
      </c>
      <c r="AL28" s="130">
        <f t="shared" si="13"/>
        <v>15002.766985201502</v>
      </c>
      <c r="AM28" s="130">
        <f t="shared" si="13"/>
        <v>14140.06951845589</v>
      </c>
      <c r="AN28" s="130">
        <f t="shared" si="13"/>
        <v>0</v>
      </c>
      <c r="AO28" s="130">
        <f t="shared" si="13"/>
        <v>0</v>
      </c>
      <c r="AP28" s="130">
        <f t="shared" si="13"/>
        <v>0</v>
      </c>
      <c r="AQ28" s="130">
        <f t="shared" si="13"/>
        <v>30953.255922530927</v>
      </c>
      <c r="AR28" s="130">
        <f t="shared" si="13"/>
        <v>39627.489344534079</v>
      </c>
      <c r="AS28" s="130">
        <f t="shared" si="13"/>
        <v>40353.19400494657</v>
      </c>
      <c r="AT28" s="130">
        <f t="shared" si="13"/>
        <v>46299.992517834056</v>
      </c>
      <c r="AU28" s="130">
        <f t="shared" si="13"/>
        <v>50337.795649154556</v>
      </c>
      <c r="AV28" s="130">
        <f t="shared" si="13"/>
        <v>0</v>
      </c>
      <c r="AW28" s="130">
        <f t="shared" si="13"/>
        <v>0</v>
      </c>
      <c r="AX28" s="130">
        <f t="shared" si="13"/>
        <v>13854.980835935105</v>
      </c>
      <c r="AY28" s="130">
        <f t="shared" si="13"/>
        <v>13404.427653710472</v>
      </c>
      <c r="AZ28" s="130">
        <f t="shared" si="13"/>
        <v>0</v>
      </c>
      <c r="BA28" s="130">
        <f t="shared" si="13"/>
        <v>0</v>
      </c>
      <c r="BB28" s="130">
        <f t="shared" si="13"/>
        <v>0</v>
      </c>
      <c r="BC28" s="130">
        <f t="shared" si="13"/>
        <v>30351.685884586761</v>
      </c>
      <c r="BD28" s="130">
        <f t="shared" si="13"/>
        <v>39222.817032635059</v>
      </c>
      <c r="BE28" s="130">
        <f t="shared" si="13"/>
        <v>39944.89316974549</v>
      </c>
      <c r="BF28" s="130">
        <f t="shared" si="13"/>
        <v>45861.957690068535</v>
      </c>
      <c r="BG28" s="130">
        <f t="shared" si="13"/>
        <v>50021.048188378227</v>
      </c>
      <c r="BH28" s="130">
        <f t="shared" si="13"/>
        <v>0</v>
      </c>
      <c r="BI28" s="130">
        <f t="shared" si="13"/>
        <v>0</v>
      </c>
      <c r="BJ28" s="130">
        <f t="shared" si="13"/>
        <v>12686.114309556533</v>
      </c>
      <c r="BK28" s="130">
        <f t="shared" si="13"/>
        <v>12655.840460359959</v>
      </c>
    </row>
    <row r="29" spans="1:63" ht="12.75" customHeight="1" x14ac:dyDescent="0.2">
      <c r="A29" s="126" t="s">
        <v>409</v>
      </c>
      <c r="B29" s="120">
        <f>AA29</f>
        <v>801819.36409628589</v>
      </c>
      <c r="C29" s="120" t="s">
        <v>397</v>
      </c>
      <c r="D29" s="120">
        <f>Premissas!$B$26</f>
        <v>786669</v>
      </c>
      <c r="E29" s="120">
        <f t="shared" ref="E29:AJ29" si="14">D31</f>
        <v>809872.79249193333</v>
      </c>
      <c r="F29" s="120">
        <f t="shared" si="14"/>
        <v>593317.9219856842</v>
      </c>
      <c r="G29" s="120">
        <f t="shared" si="14"/>
        <v>562661.95452212298</v>
      </c>
      <c r="H29" s="120">
        <f t="shared" si="14"/>
        <v>632334.22275599907</v>
      </c>
      <c r="I29" s="120">
        <f t="shared" si="14"/>
        <v>796332.30828476069</v>
      </c>
      <c r="J29" s="120">
        <f t="shared" si="14"/>
        <v>962353.89381352242</v>
      </c>
      <c r="K29" s="120">
        <f t="shared" si="14"/>
        <v>1128197.393342284</v>
      </c>
      <c r="L29" s="120">
        <f t="shared" si="14"/>
        <v>1260905.4772506594</v>
      </c>
      <c r="M29" s="120">
        <f t="shared" si="14"/>
        <v>1106616.7372237206</v>
      </c>
      <c r="N29" s="120">
        <f t="shared" si="14"/>
        <v>868680.28051723039</v>
      </c>
      <c r="O29" s="120">
        <f t="shared" si="14"/>
        <v>920280.54100467882</v>
      </c>
      <c r="P29" s="120">
        <f t="shared" si="14"/>
        <v>1040046.8445357151</v>
      </c>
      <c r="Q29" s="120">
        <f t="shared" si="14"/>
        <v>1051057.7299099469</v>
      </c>
      <c r="R29" s="120">
        <f t="shared" si="14"/>
        <v>815254.45407104155</v>
      </c>
      <c r="S29" s="120">
        <f t="shared" si="14"/>
        <v>767586.89473089133</v>
      </c>
      <c r="T29" s="120">
        <f t="shared" si="14"/>
        <v>822261.92610061436</v>
      </c>
      <c r="U29" s="120">
        <f t="shared" si="14"/>
        <v>945527.84148759511</v>
      </c>
      <c r="V29" s="120">
        <f t="shared" si="14"/>
        <v>1071673.8363745757</v>
      </c>
      <c r="W29" s="120">
        <f t="shared" si="14"/>
        <v>1199538.9882815564</v>
      </c>
      <c r="X29" s="120">
        <f t="shared" si="14"/>
        <v>1290304.1265308717</v>
      </c>
      <c r="Y29" s="120">
        <f t="shared" si="14"/>
        <v>1102817.1597639329</v>
      </c>
      <c r="Z29" s="120">
        <f t="shared" si="14"/>
        <v>826789.64441244258</v>
      </c>
      <c r="AA29" s="120">
        <f t="shared" si="14"/>
        <v>801819.36409628589</v>
      </c>
      <c r="AB29" s="120">
        <f t="shared" si="14"/>
        <v>864979.94275607204</v>
      </c>
      <c r="AC29" s="120">
        <f t="shared" si="14"/>
        <v>847759.61349688459</v>
      </c>
      <c r="AD29" s="120">
        <f t="shared" si="14"/>
        <v>575667.84317353158</v>
      </c>
      <c r="AE29" s="120">
        <f t="shared" si="14"/>
        <v>490683.57642080268</v>
      </c>
      <c r="AF29" s="120">
        <f t="shared" si="14"/>
        <v>493336.29562779475</v>
      </c>
      <c r="AG29" s="120">
        <f t="shared" si="14"/>
        <v>647064.92008714995</v>
      </c>
      <c r="AH29" s="120">
        <f t="shared" si="14"/>
        <v>802165.10783650517</v>
      </c>
      <c r="AI29" s="120">
        <f t="shared" si="14"/>
        <v>956474.02305473527</v>
      </c>
      <c r="AJ29" s="120">
        <f t="shared" si="14"/>
        <v>1075406.1171634223</v>
      </c>
      <c r="AK29" s="120">
        <f t="shared" ref="AK29:BK29" si="15">AJ31</f>
        <v>906262.54182688508</v>
      </c>
      <c r="AL29" s="120">
        <f t="shared" si="15"/>
        <v>649674.88282770757</v>
      </c>
      <c r="AM29" s="120">
        <f t="shared" si="15"/>
        <v>666166.06936814846</v>
      </c>
      <c r="AN29" s="120">
        <f t="shared" si="15"/>
        <v>753508.46779754944</v>
      </c>
      <c r="AO29" s="120">
        <f t="shared" si="15"/>
        <v>732110.72540401097</v>
      </c>
      <c r="AP29" s="120">
        <f t="shared" si="15"/>
        <v>448886.74946308916</v>
      </c>
      <c r="AQ29" s="120">
        <f t="shared" si="15"/>
        <v>356938.83905887417</v>
      </c>
      <c r="AR29" s="120">
        <f t="shared" si="15"/>
        <v>350379.99428490881</v>
      </c>
      <c r="AS29" s="120">
        <f t="shared" si="15"/>
        <v>501996.17397068138</v>
      </c>
      <c r="AT29" s="120">
        <f t="shared" si="15"/>
        <v>654544.33996769146</v>
      </c>
      <c r="AU29" s="120">
        <f t="shared" si="15"/>
        <v>806317.53179934097</v>
      </c>
      <c r="AV29" s="120">
        <f t="shared" si="15"/>
        <v>919480.4779463727</v>
      </c>
      <c r="AW29" s="120">
        <f t="shared" si="15"/>
        <v>741874.78058288177</v>
      </c>
      <c r="AX29" s="120">
        <f t="shared" si="15"/>
        <v>473941.39930508938</v>
      </c>
      <c r="AY29" s="120">
        <f t="shared" si="15"/>
        <v>485197.79178064532</v>
      </c>
      <c r="AZ29" s="120">
        <f t="shared" si="15"/>
        <v>566886.05139691813</v>
      </c>
      <c r="BA29" s="120">
        <f t="shared" si="15"/>
        <v>554830.48979988648</v>
      </c>
      <c r="BB29" s="120">
        <f t="shared" si="15"/>
        <v>274538.3802634161</v>
      </c>
      <c r="BC29" s="120">
        <f t="shared" si="15"/>
        <v>192668.16770827578</v>
      </c>
      <c r="BD29" s="120">
        <f t="shared" si="15"/>
        <v>208976.37041693085</v>
      </c>
      <c r="BE29" s="120">
        <f t="shared" si="15"/>
        <v>375034.92498786462</v>
      </c>
      <c r="BF29" s="120">
        <f t="shared" si="15"/>
        <v>541028.62395741662</v>
      </c>
      <c r="BG29" s="120">
        <f t="shared" si="15"/>
        <v>689996.91340867057</v>
      </c>
      <c r="BH29" s="120">
        <f t="shared" si="15"/>
        <v>797044.84885194036</v>
      </c>
      <c r="BI29" s="120">
        <f t="shared" si="15"/>
        <v>610568.01951150666</v>
      </c>
      <c r="BJ29" s="120">
        <f t="shared" si="15"/>
        <v>330779.1654218224</v>
      </c>
      <c r="BK29" s="120">
        <f t="shared" si="15"/>
        <v>336447.91520887392</v>
      </c>
    </row>
    <row r="30" spans="1:63" ht="12.75" customHeight="1" x14ac:dyDescent="0.2">
      <c r="A30" s="126" t="s">
        <v>410</v>
      </c>
      <c r="B30" s="120">
        <f>SUM(D30:BQ30)</f>
        <v>4266371.031768119</v>
      </c>
      <c r="C30" s="120">
        <f>B30/60</f>
        <v>71106.183862801976</v>
      </c>
      <c r="D30" s="120">
        <f>MIN(D29,MAX(D22-D24-D27+D28,0)+IF(Premissas!$B$8=0,0,MAX(D23-D26,0)/Premissas!$B$8))</f>
        <v>19986.527508066592</v>
      </c>
      <c r="E30" s="120">
        <f>MIN(E29,MAX(E22-E24-E27+E28,0)+IF(Premissas!$B$8=0,0,MAX(E23-E26,0)/Premissas!$B$8))</f>
        <v>216554.87050624919</v>
      </c>
      <c r="F30" s="120">
        <f>MIN(F29,MAX(F22-F24-F27+F28,0)+IF(Premissas!$B$8=0,0,MAX(F23-F26,0)/Premissas!$B$8))</f>
        <v>35116.427463561144</v>
      </c>
      <c r="G30" s="120">
        <f>MIN(G29,MAX(G22-G24-G27+G28,0)+IF(Premissas!$B$8=0,0,MAX(G23-G26,0)/Premissas!$B$8))</f>
        <v>23256.604873344935</v>
      </c>
      <c r="H30" s="120">
        <f>MIN(H29,MAX(H22-H24-H27+H28,0)+IF(Premissas!$B$8=0,0,MAX(H23-H26,0)/Premissas!$B$8))</f>
        <v>0</v>
      </c>
      <c r="I30" s="120">
        <f>MIN(I29,MAX(I22-I24-I27+I28,0)+IF(Premissas!$B$8=0,0,MAX(I23-I26,0)/Premissas!$B$8))</f>
        <v>0</v>
      </c>
      <c r="J30" s="120">
        <f>MIN(J29,MAX(J22-J24-J27+J28,0)+IF(Premissas!$B$8=0,0,MAX(J23-J26,0)/Premissas!$B$8))</f>
        <v>0</v>
      </c>
      <c r="K30" s="120">
        <f>MIN(K29,MAX(K22-K24-K27+K28,0)+IF(Premissas!$B$8=0,0,MAX(K23-K26,0)/Premissas!$B$8))</f>
        <v>2832.8360131847371</v>
      </c>
      <c r="L30" s="120">
        <f>MIN(L29,MAX(L22-L24-L27+L28,0)+IF(Premissas!$B$8=0,0,MAX(L23-L26,0)/Premissas!$B$8))</f>
        <v>154288.74002693873</v>
      </c>
      <c r="M30" s="120">
        <f>MIN(M29,MAX(M22-M24-M27+M28,0)+IF(Premissas!$B$8=0,0,MAX(M23-M26,0)/Premissas!$B$8))</f>
        <v>237936.45670649025</v>
      </c>
      <c r="N30" s="120">
        <f>MIN(N29,MAX(N22-N24-N27+N28,0)+IF(Premissas!$B$8=0,0,MAX(N23-N26,0)/Premissas!$B$8))</f>
        <v>19371.062871156751</v>
      </c>
      <c r="O30" s="120">
        <f>MIN(O29,MAX(O22-O24-O27+O28,0)+IF(Premissas!$B$8=0,0,MAX(O23-O26,0)/Premissas!$B$8))</f>
        <v>0</v>
      </c>
      <c r="P30" s="120">
        <f>MIN(P29,MAX(P22-P24-P27+P28,0)+IF(Premissas!$B$8=0,0,MAX(P23-P26,0)/Premissas!$B$8))</f>
        <v>20486.190695768255</v>
      </c>
      <c r="Q30" s="120">
        <f>MIN(Q29,MAX(Q22-Q24-Q27+Q28,0)+IF(Premissas!$B$8=0,0,MAX(Q23-Q26,0)/Premissas!$B$8))</f>
        <v>235803.27583890539</v>
      </c>
      <c r="R30" s="120">
        <f>MIN(R29,MAX(R22-R24-R27+R28,0)+IF(Premissas!$B$8=0,0,MAX(R23-R26,0)/Premissas!$B$8))</f>
        <v>47667.559340150154</v>
      </c>
      <c r="S30" s="120">
        <f>MIN(S29,MAX(S22-S24-S27+S28,0)+IF(Premissas!$B$8=0,0,MAX(S23-S26,0)/Premissas!$B$8))</f>
        <v>23838.019995178554</v>
      </c>
      <c r="T30" s="120">
        <f>MIN(T29,MAX(T22-T24-T27+T28,0)+IF(Premissas!$B$8=0,0,MAX(T23-T26,0)/Premissas!$B$8))</f>
        <v>0</v>
      </c>
      <c r="U30" s="120">
        <f>MIN(U29,MAX(U22-U24-U27+U28,0)+IF(Premissas!$B$8=0,0,MAX(U23-U26,0)/Premissas!$B$8))</f>
        <v>0</v>
      </c>
      <c r="V30" s="120">
        <f>MIN(V29,MAX(V22-V24-V27+V28,0)+IF(Premissas!$B$8=0,0,MAX(V23-V26,0)/Premissas!$B$8))</f>
        <v>0</v>
      </c>
      <c r="W30" s="120">
        <f>MIN(W29,MAX(W22-W24-W27+W28,0)+IF(Premissas!$B$8=0,0,MAX(W23-W26,0)/Premissas!$B$8))</f>
        <v>7212.7805992836738</v>
      </c>
      <c r="X30" s="120">
        <f>MIN(X29,MAX(X22-X24-X27+X28,0)+IF(Premissas!$B$8=0,0,MAX(X23-X26,0)/Premissas!$B$8))</f>
        <v>187486.96676693874</v>
      </c>
      <c r="Y30" s="120">
        <f>MIN(Y29,MAX(Y22-Y24-Y27+Y28,0)+IF(Premissas!$B$8=0,0,MAX(Y23-Y26,0)/Premissas!$B$8))</f>
        <v>276027.51535149029</v>
      </c>
      <c r="Z30" s="120">
        <f>MIN(Z29,MAX(Z22-Z24-Z27+Z28,0)+IF(Premissas!$B$8=0,0,MAX(Z23-Z26,0)/Premissas!$B$8))</f>
        <v>41100.304558511867</v>
      </c>
      <c r="AA30" s="120">
        <f>MIN(AA29,MAX(AA22-AA24-AA27+AA28,0)+IF(Premissas!$B$8=0,0,MAX(AA23-AA26,0)/Premissas!$B$8))</f>
        <v>0</v>
      </c>
      <c r="AB30" s="120">
        <f>MIN(AB29,MAX(AB22-AB24-AB27+AB28,0)+IF(Premissas!$B$8=0,0,MAX(AB23-AB26,0)/Premissas!$B$8))</f>
        <v>20998.345463162463</v>
      </c>
      <c r="AC30" s="120">
        <f>MIN(AC29,MAX(AC22-AC24-AC27+AC28,0)+IF(Premissas!$B$8=0,0,MAX(AC23-AC26,0)/Premissas!$B$8))</f>
        <v>272091.77032335306</v>
      </c>
      <c r="AD30" s="120">
        <f>MIN(AD29,MAX(AD22-AD24-AD27+AD28,0)+IF(Premissas!$B$8=0,0,MAX(AD23-AD26,0)/Premissas!$B$8))</f>
        <v>84984.266752728901</v>
      </c>
      <c r="AE30" s="120">
        <f>MIN(AE29,MAX(AE22-AE24-AE27+AE28,0)+IF(Premissas!$B$8=0,0,MAX(AE23-AE26,0)/Premissas!$B$8))</f>
        <v>42437.522154807084</v>
      </c>
      <c r="AF30" s="120">
        <f>MIN(AF29,MAX(AF22-AF24-AF27+AF28,0)+IF(Premissas!$B$8=0,0,MAX(AF23-AF26,0)/Premissas!$B$8))</f>
        <v>0</v>
      </c>
      <c r="AG30" s="120">
        <f>MIN(AG29,MAX(AG22-AG24-AG27+AG28,0)+IF(Premissas!$B$8=0,0,MAX(AG23-AG26,0)/Premissas!$B$8))</f>
        <v>0</v>
      </c>
      <c r="AH30" s="120">
        <f>MIN(AH29,MAX(AH22-AH24-AH27+AH28,0)+IF(Premissas!$B$8=0,0,MAX(AH23-AH26,0)/Premissas!$B$8))</f>
        <v>0</v>
      </c>
      <c r="AI30" s="120">
        <f>MIN(AI29,MAX(AI22-AI24-AI27+AI28,0)+IF(Premissas!$B$8=0,0,MAX(AI23-AI26,0)/Premissas!$B$8))</f>
        <v>5808.1414662518546</v>
      </c>
      <c r="AJ30" s="120">
        <f>MIN(AJ29,MAX(AJ22-AJ24-AJ27+AJ28,0)+IF(Premissas!$B$8=0,0,MAX(AJ23-AJ26,0)/Premissas!$B$8))</f>
        <v>169143.57533653718</v>
      </c>
      <c r="AK30" s="120">
        <f>MIN(AK29,MAX(AK22-AK24-AK27+AK28,0)+IF(Premissas!$B$8=0,0,MAX(AK23-AK26,0)/Premissas!$B$8))</f>
        <v>256587.65899917757</v>
      </c>
      <c r="AL30" s="120">
        <f>MIN(AL29,MAX(AL22-AL24-AL27+AL28,0)+IF(Premissas!$B$8=0,0,MAX(AL23-AL26,0)/Premissas!$B$8))</f>
        <v>19855.339442935667</v>
      </c>
      <c r="AM30" s="120">
        <f>MIN(AM29,MAX(AM22-AM24-AM27+AM28,0)+IF(Premissas!$B$8=0,0,MAX(AM23-AM26,0)/Premissas!$B$8))</f>
        <v>1069.1438012673502</v>
      </c>
      <c r="AN30" s="120">
        <f>MIN(AN29,MAX(AN22-AN24-AN27+AN28,0)+IF(Premissas!$B$8=0,0,MAX(AN23-AN26,0)/Premissas!$B$8))</f>
        <v>21523.304099741526</v>
      </c>
      <c r="AO30" s="120">
        <f>MIN(AO29,MAX(AO22-AO24-AO27+AO28,0)+IF(Premissas!$B$8=0,0,MAX(AO23-AO26,0)/Premissas!$B$8))</f>
        <v>283223.97594092181</v>
      </c>
      <c r="AP30" s="120">
        <f>MIN(AP29,MAX(AP22-AP24-AP27+AP28,0)+IF(Premissas!$B$8=0,0,MAX(AP23-AP26,0)/Premissas!$B$8))</f>
        <v>91947.910404214999</v>
      </c>
      <c r="AQ30" s="120">
        <f>MIN(AQ29,MAX(AQ22-AQ24-AQ27+AQ28,0)+IF(Premissas!$B$8=0,0,MAX(AQ23-AQ26,0)/Premissas!$B$8))</f>
        <v>46755.088188230853</v>
      </c>
      <c r="AR30" s="120">
        <f>MIN(AR29,MAX(AR22-AR24-AR27+AR28,0)+IF(Premissas!$B$8=0,0,MAX(AR23-AR26,0)/Premissas!$B$8))</f>
        <v>0</v>
      </c>
      <c r="AS30" s="120">
        <f>MIN(AS29,MAX(AS22-AS24-AS27+AS28,0)+IF(Premissas!$B$8=0,0,MAX(AS23-AS26,0)/Premissas!$B$8))</f>
        <v>0</v>
      </c>
      <c r="AT30" s="120">
        <f>MIN(AT29,MAX(AT22-AT24-AT27+AT28,0)+IF(Premissas!$B$8=0,0,MAX(AT23-AT26,0)/Premissas!$B$8))</f>
        <v>0</v>
      </c>
      <c r="AU30" s="120">
        <f>MIN(AU29,MAX(AU22-AU24-AU27+AU28,0)+IF(Premissas!$B$8=0,0,MAX(AU23-AU26,0)/Premissas!$B$8))</f>
        <v>8419.8316242010224</v>
      </c>
      <c r="AV30" s="120">
        <f>MIN(AV29,MAX(AV22-AV24-AV27+AV28,0)+IF(Premissas!$B$8=0,0,MAX(AV23-AV26,0)/Premissas!$B$8))</f>
        <v>177605.697363491</v>
      </c>
      <c r="AW30" s="120">
        <f>MIN(AW29,MAX(AW22-AW24-AW27+AW28,0)+IF(Premissas!$B$8=0,0,MAX(AW23-AW26,0)/Premissas!$B$8))</f>
        <v>267933.38127779239</v>
      </c>
      <c r="AX30" s="120">
        <f>MIN(AX29,MAX(AX22-AX24-AX27+AX28,0)+IF(Premissas!$B$8=0,0,MAX(AX23-AX26,0)/Premissas!$B$8))</f>
        <v>20351.722929009058</v>
      </c>
      <c r="AY30" s="120">
        <f>MIN(AY29,MAX(AY22-AY24-AY27+AY28,0)+IF(Premissas!$B$8=0,0,MAX(AY23-AY26,0)/Premissas!$B$8))</f>
        <v>3407.6707398209164</v>
      </c>
      <c r="AZ30" s="120">
        <f>MIN(AZ29,MAX(AZ22-AZ24-AZ27+AZ28,0)+IF(Premissas!$B$8=0,0,MAX(AZ23-AZ26,0)/Premissas!$B$8))</f>
        <v>22061.386702235061</v>
      </c>
      <c r="BA30" s="120">
        <f>MIN(BA29,MAX(BA22-BA24-BA27+BA28,0)+IF(Premissas!$B$8=0,0,MAX(BA23-BA26,0)/Premissas!$B$8))</f>
        <v>280292.10953647038</v>
      </c>
      <c r="BB30" s="120">
        <f>MIN(BB29,MAX(BB22-BB24-BB27+BB28,0)+IF(Premissas!$B$8=0,0,MAX(BB23-BB26,0)/Premissas!$B$8))</f>
        <v>81870.212555140315</v>
      </c>
      <c r="BC30" s="120">
        <f>MIN(BC29,MAX(BC22-BC24-BC27+BC28,0)+IF(Premissas!$B$8=0,0,MAX(BC23-BC26,0)/Premissas!$B$8))</f>
        <v>35033.05465594439</v>
      </c>
      <c r="BD30" s="120">
        <f>MIN(BD29,MAX(BD22-BD24-BD27+BD28,0)+IF(Premissas!$B$8=0,0,MAX(BD23-BD26,0)/Premissas!$B$8))</f>
        <v>0</v>
      </c>
      <c r="BE30" s="120">
        <f>MIN(BE29,MAX(BE22-BE24-BE27+BE28,0)+IF(Premissas!$B$8=0,0,MAX(BE23-BE26,0)/Premissas!$B$8))</f>
        <v>0</v>
      </c>
      <c r="BF30" s="120">
        <f>MIN(BF29,MAX(BF22-BF24-BF27+BF28,0)+IF(Premissas!$B$8=0,0,MAX(BF23-BF26,0)/Premissas!$B$8))</f>
        <v>0</v>
      </c>
      <c r="BG30" s="120">
        <f>MIN(BG29,MAX(BG22-BG24-BG27+BG28,0)+IF(Premissas!$B$8=0,0,MAX(BG23-BG26,0)/Premissas!$B$8))</f>
        <v>11084.481602992446</v>
      </c>
      <c r="BH30" s="120">
        <f>MIN(BH29,MAX(BH22-BH24-BH27+BH28,0)+IF(Premissas!$B$8=0,0,MAX(BH23-BH26,0)/Premissas!$B$8))</f>
        <v>186476.82934043376</v>
      </c>
      <c r="BI30" s="120">
        <f>MIN(BI29,MAX(BI22-BI24-BI27+BI28,0)+IF(Premissas!$B$8=0,0,MAX(BI23-BI26,0)/Premissas!$B$8))</f>
        <v>279788.85408968426</v>
      </c>
      <c r="BJ30" s="120">
        <f>MIN(BJ29,MAX(BJ22-BJ24-BJ27+BJ28,0)+IF(Premissas!$B$8=0,0,MAX(BJ23-BJ26,0)/Premissas!$B$8))</f>
        <v>20860.516002234282</v>
      </c>
      <c r="BK30" s="120">
        <f>MIN(BK29,MAX(BK22-BK24-BK27+BK28,0)+IF(Premissas!$B$8=0,0,MAX(BK23-BK26,0)/Premissas!$B$8))</f>
        <v>5793.1018601207024</v>
      </c>
    </row>
    <row r="31" spans="1:63" ht="13.5" customHeight="1" x14ac:dyDescent="0.2">
      <c r="A31" s="41" t="s">
        <v>411</v>
      </c>
      <c r="B31" s="43">
        <f>AA31</f>
        <v>864979.94275607204</v>
      </c>
      <c r="C31" s="120" t="s">
        <v>397</v>
      </c>
      <c r="D31" s="137">
        <f t="shared" ref="D31:AI31" si="16">MAX(D29-D30,0)+D28+MAX(D27-MAX(D22-D24,0),0)+MAX(D24-D22,0)</f>
        <v>809872.79249193333</v>
      </c>
      <c r="E31" s="137">
        <f t="shared" si="16"/>
        <v>593317.9219856842</v>
      </c>
      <c r="F31" s="137">
        <f t="shared" si="16"/>
        <v>562661.95452212298</v>
      </c>
      <c r="G31" s="137">
        <f t="shared" si="16"/>
        <v>632334.22275599907</v>
      </c>
      <c r="H31" s="137">
        <f t="shared" si="16"/>
        <v>796332.30828476069</v>
      </c>
      <c r="I31" s="137">
        <f t="shared" si="16"/>
        <v>962353.89381352242</v>
      </c>
      <c r="J31" s="137">
        <f t="shared" si="16"/>
        <v>1128197.393342284</v>
      </c>
      <c r="K31" s="137">
        <f t="shared" si="16"/>
        <v>1260905.4772506594</v>
      </c>
      <c r="L31" s="137">
        <f t="shared" si="16"/>
        <v>1106616.7372237206</v>
      </c>
      <c r="M31" s="137">
        <f t="shared" si="16"/>
        <v>868680.28051723039</v>
      </c>
      <c r="N31" s="137">
        <f t="shared" si="16"/>
        <v>920280.54100467882</v>
      </c>
      <c r="O31" s="137">
        <f t="shared" si="16"/>
        <v>1040046.8445357151</v>
      </c>
      <c r="P31" s="137">
        <f t="shared" si="16"/>
        <v>1051057.7299099469</v>
      </c>
      <c r="Q31" s="137">
        <f t="shared" si="16"/>
        <v>815254.45407104155</v>
      </c>
      <c r="R31" s="137">
        <f t="shared" si="16"/>
        <v>767586.89473089133</v>
      </c>
      <c r="S31" s="137">
        <f t="shared" si="16"/>
        <v>822261.92610061436</v>
      </c>
      <c r="T31" s="137">
        <f t="shared" si="16"/>
        <v>945527.84148759511</v>
      </c>
      <c r="U31" s="137">
        <f t="shared" si="16"/>
        <v>1071673.8363745757</v>
      </c>
      <c r="V31" s="137">
        <f t="shared" si="16"/>
        <v>1199538.9882815564</v>
      </c>
      <c r="W31" s="137">
        <f t="shared" si="16"/>
        <v>1290304.1265308717</v>
      </c>
      <c r="X31" s="137">
        <f t="shared" si="16"/>
        <v>1102817.1597639329</v>
      </c>
      <c r="Y31" s="137">
        <f t="shared" si="16"/>
        <v>826789.64441244258</v>
      </c>
      <c r="Z31" s="137">
        <f t="shared" si="16"/>
        <v>801819.36409628589</v>
      </c>
      <c r="AA31" s="137">
        <f t="shared" si="16"/>
        <v>864979.94275607204</v>
      </c>
      <c r="AB31" s="137">
        <f t="shared" si="16"/>
        <v>847759.61349688459</v>
      </c>
      <c r="AC31" s="137">
        <f t="shared" si="16"/>
        <v>575667.84317353158</v>
      </c>
      <c r="AD31" s="137">
        <f t="shared" si="16"/>
        <v>490683.57642080268</v>
      </c>
      <c r="AE31" s="137">
        <f t="shared" si="16"/>
        <v>493336.29562779475</v>
      </c>
      <c r="AF31" s="137">
        <f t="shared" si="16"/>
        <v>647064.92008714995</v>
      </c>
      <c r="AG31" s="137">
        <f t="shared" si="16"/>
        <v>802165.10783650517</v>
      </c>
      <c r="AH31" s="137">
        <f t="shared" si="16"/>
        <v>956474.02305473527</v>
      </c>
      <c r="AI31" s="137">
        <f t="shared" si="16"/>
        <v>1075406.1171634223</v>
      </c>
      <c r="AJ31" s="137">
        <f t="shared" ref="AJ31:BO31" si="17">MAX(AJ29-AJ30,0)+AJ28+MAX(AJ27-MAX(AJ22-AJ24,0),0)+MAX(AJ24-AJ22,0)</f>
        <v>906262.54182688508</v>
      </c>
      <c r="AK31" s="137">
        <f t="shared" si="17"/>
        <v>649674.88282770757</v>
      </c>
      <c r="AL31" s="137">
        <f t="shared" si="17"/>
        <v>666166.06936814846</v>
      </c>
      <c r="AM31" s="137">
        <f t="shared" si="17"/>
        <v>753508.46779754944</v>
      </c>
      <c r="AN31" s="137">
        <f t="shared" si="17"/>
        <v>732110.72540401097</v>
      </c>
      <c r="AO31" s="137">
        <f t="shared" si="17"/>
        <v>448886.74946308916</v>
      </c>
      <c r="AP31" s="137">
        <f t="shared" si="17"/>
        <v>356938.83905887417</v>
      </c>
      <c r="AQ31" s="137">
        <f t="shared" si="17"/>
        <v>350379.99428490881</v>
      </c>
      <c r="AR31" s="137">
        <f t="shared" si="17"/>
        <v>501996.17397068138</v>
      </c>
      <c r="AS31" s="137">
        <f t="shared" si="17"/>
        <v>654544.33996769146</v>
      </c>
      <c r="AT31" s="137">
        <f t="shared" si="17"/>
        <v>806317.53179934097</v>
      </c>
      <c r="AU31" s="137">
        <f t="shared" si="17"/>
        <v>919480.4779463727</v>
      </c>
      <c r="AV31" s="137">
        <f t="shared" si="17"/>
        <v>741874.78058288177</v>
      </c>
      <c r="AW31" s="137">
        <f t="shared" si="17"/>
        <v>473941.39930508938</v>
      </c>
      <c r="AX31" s="137">
        <f t="shared" si="17"/>
        <v>485197.79178064532</v>
      </c>
      <c r="AY31" s="137">
        <f t="shared" si="17"/>
        <v>566886.05139691813</v>
      </c>
      <c r="AZ31" s="137">
        <f t="shared" si="17"/>
        <v>554830.48979988648</v>
      </c>
      <c r="BA31" s="137">
        <f t="shared" si="17"/>
        <v>274538.3802634161</v>
      </c>
      <c r="BB31" s="137">
        <f t="shared" si="17"/>
        <v>192668.16770827578</v>
      </c>
      <c r="BC31" s="137">
        <f t="shared" si="17"/>
        <v>208976.37041693085</v>
      </c>
      <c r="BD31" s="137">
        <f t="shared" si="17"/>
        <v>375034.92498786462</v>
      </c>
      <c r="BE31" s="137">
        <f t="shared" si="17"/>
        <v>541028.62395741662</v>
      </c>
      <c r="BF31" s="137">
        <f t="shared" si="17"/>
        <v>689996.91340867057</v>
      </c>
      <c r="BG31" s="137">
        <f t="shared" si="17"/>
        <v>797044.84885194036</v>
      </c>
      <c r="BH31" s="137">
        <f t="shared" si="17"/>
        <v>610568.01951150666</v>
      </c>
      <c r="BI31" s="137">
        <f t="shared" si="17"/>
        <v>330779.1654218224</v>
      </c>
      <c r="BJ31" s="137">
        <f t="shared" si="17"/>
        <v>336447.91520887392</v>
      </c>
      <c r="BK31" s="137">
        <f t="shared" si="17"/>
        <v>412145.70021836436</v>
      </c>
    </row>
    <row r="32" spans="1:63" ht="12.75" customHeight="1" x14ac:dyDescent="0.2">
      <c r="A32" s="127" t="s">
        <v>412</v>
      </c>
      <c r="B32" s="128">
        <f>AA32</f>
        <v>16130.024242355124</v>
      </c>
      <c r="C32" s="120" t="s">
        <v>397</v>
      </c>
      <c r="D32" s="128">
        <f>Premissas!$B$26</f>
        <v>786669</v>
      </c>
      <c r="E32" s="128">
        <f t="shared" ref="E32:AJ32" si="18">D34</f>
        <v>718368.17249193345</v>
      </c>
      <c r="F32" s="128">
        <f t="shared" si="18"/>
        <v>405496.92198568425</v>
      </c>
      <c r="G32" s="128">
        <f t="shared" si="18"/>
        <v>259218.4945221231</v>
      </c>
      <c r="H32" s="128">
        <f t="shared" si="18"/>
        <v>253108.67586322021</v>
      </c>
      <c r="I32" s="128">
        <f t="shared" si="18"/>
        <v>338877.53739198181</v>
      </c>
      <c r="J32" s="128">
        <f t="shared" si="18"/>
        <v>429258.89892074349</v>
      </c>
      <c r="K32" s="128">
        <f t="shared" si="18"/>
        <v>523278.3604495051</v>
      </c>
      <c r="L32" s="128">
        <f t="shared" si="18"/>
        <v>585071.97783106496</v>
      </c>
      <c r="M32" s="128">
        <f t="shared" si="18"/>
        <v>365068.07475412625</v>
      </c>
      <c r="N32" s="128">
        <f t="shared" si="18"/>
        <v>51756.248747635982</v>
      </c>
      <c r="O32" s="128">
        <f t="shared" si="18"/>
        <v>22221.982813689479</v>
      </c>
      <c r="P32" s="128">
        <f t="shared" si="18"/>
        <v>50720.251684725736</v>
      </c>
      <c r="Q32" s="128">
        <f t="shared" si="18"/>
        <v>0</v>
      </c>
      <c r="R32" s="128">
        <f t="shared" si="18"/>
        <v>0</v>
      </c>
      <c r="S32" s="128">
        <f t="shared" si="18"/>
        <v>0</v>
      </c>
      <c r="T32" s="128">
        <f t="shared" si="18"/>
        <v>32132.834934901541</v>
      </c>
      <c r="U32" s="128">
        <f t="shared" si="18"/>
        <v>116434.61400188222</v>
      </c>
      <c r="V32" s="128">
        <f t="shared" si="18"/>
        <v>204905.99256886292</v>
      </c>
      <c r="W32" s="128">
        <f t="shared" si="18"/>
        <v>296997.28063584358</v>
      </c>
      <c r="X32" s="128">
        <f t="shared" si="18"/>
        <v>358058.82092444249</v>
      </c>
      <c r="Y32" s="128">
        <f t="shared" si="18"/>
        <v>137676.19895750374</v>
      </c>
      <c r="Z32" s="128">
        <f t="shared" si="18"/>
        <v>0</v>
      </c>
      <c r="AA32" s="128">
        <f t="shared" si="18"/>
        <v>16130.024242355124</v>
      </c>
      <c r="AB32" s="128">
        <f t="shared" si="18"/>
        <v>44055.758422141385</v>
      </c>
      <c r="AC32" s="128">
        <f t="shared" si="18"/>
        <v>0</v>
      </c>
      <c r="AD32" s="128">
        <f t="shared" si="18"/>
        <v>0</v>
      </c>
      <c r="AE32" s="128">
        <f t="shared" si="18"/>
        <v>0</v>
      </c>
      <c r="AF32" s="128">
        <f t="shared" si="18"/>
        <v>31546.896510774077</v>
      </c>
      <c r="AG32" s="128">
        <f t="shared" si="18"/>
        <v>114362.97257442928</v>
      </c>
      <c r="AH32" s="128">
        <f t="shared" si="18"/>
        <v>200897.46619058447</v>
      </c>
      <c r="AI32" s="128">
        <f t="shared" si="18"/>
        <v>291033.76975923963</v>
      </c>
      <c r="AJ32" s="128">
        <f t="shared" si="18"/>
        <v>349551.9043211285</v>
      </c>
      <c r="AK32" s="128">
        <f t="shared" ref="AK32:BK32" si="19">AJ34</f>
        <v>121398.76503171632</v>
      </c>
      <c r="AL32" s="128">
        <f t="shared" si="19"/>
        <v>0</v>
      </c>
      <c r="AM32" s="128">
        <f t="shared" si="19"/>
        <v>15002.766985201502</v>
      </c>
      <c r="AN32" s="128">
        <f t="shared" si="19"/>
        <v>40208.612412719929</v>
      </c>
      <c r="AO32" s="128">
        <f t="shared" si="19"/>
        <v>0</v>
      </c>
      <c r="AP32" s="128">
        <f t="shared" si="19"/>
        <v>0</v>
      </c>
      <c r="AQ32" s="128">
        <f t="shared" si="19"/>
        <v>0</v>
      </c>
      <c r="AR32" s="128">
        <f t="shared" si="19"/>
        <v>30953.255922530927</v>
      </c>
      <c r="AS32" s="128">
        <f t="shared" si="19"/>
        <v>112264.45264517752</v>
      </c>
      <c r="AT32" s="128">
        <f t="shared" si="19"/>
        <v>196834.38253381161</v>
      </c>
      <c r="AU32" s="128">
        <f t="shared" si="19"/>
        <v>284988.11332518316</v>
      </c>
      <c r="AV32" s="128">
        <f t="shared" si="19"/>
        <v>338093.47287818906</v>
      </c>
      <c r="AW32" s="128">
        <f t="shared" si="19"/>
        <v>101986.85809210804</v>
      </c>
      <c r="AX32" s="128">
        <f t="shared" si="19"/>
        <v>0</v>
      </c>
      <c r="AY32" s="128">
        <f t="shared" si="19"/>
        <v>13854.980835935105</v>
      </c>
      <c r="AZ32" s="128">
        <f t="shared" si="19"/>
        <v>36290.03045291279</v>
      </c>
      <c r="BA32" s="128">
        <f t="shared" si="19"/>
        <v>0</v>
      </c>
      <c r="BB32" s="128">
        <f t="shared" si="19"/>
        <v>0</v>
      </c>
      <c r="BC32" s="128">
        <f t="shared" si="19"/>
        <v>0</v>
      </c>
      <c r="BD32" s="128">
        <f t="shared" si="19"/>
        <v>30351.685884586761</v>
      </c>
      <c r="BE32" s="128">
        <f t="shared" si="19"/>
        <v>110138.2576889125</v>
      </c>
      <c r="BF32" s="128">
        <f t="shared" si="19"/>
        <v>192715.14938717708</v>
      </c>
      <c r="BG32" s="128">
        <f t="shared" si="19"/>
        <v>278857.92298366543</v>
      </c>
      <c r="BH32" s="128">
        <f t="shared" si="19"/>
        <v>324353.26160893205</v>
      </c>
      <c r="BI32" s="128">
        <f t="shared" si="19"/>
        <v>80105.582673837722</v>
      </c>
      <c r="BJ32" s="128">
        <f t="shared" si="19"/>
        <v>0</v>
      </c>
      <c r="BK32" s="128">
        <f t="shared" si="19"/>
        <v>12686.114309556533</v>
      </c>
    </row>
    <row r="33" spans="1:63" ht="12.75" customHeight="1" x14ac:dyDescent="0.2">
      <c r="A33" s="127" t="s">
        <v>413</v>
      </c>
      <c r="B33" s="120">
        <f>SUM(D33:BQ33)</f>
        <v>2697471.3451283998</v>
      </c>
      <c r="C33" s="128">
        <f>B33/60</f>
        <v>44957.85575214</v>
      </c>
      <c r="D33" s="120">
        <f>MIN(D32,MAX(D22-D24-D28,0)+IF(Premissas!$B$8=0,0,MAX(D23-D26-(IF(Premissas!$B$8&gt;0,MAX(D24-D22,0)*Premissas!$B$8,0)),0)/Premissas!$B$8))</f>
        <v>68300.827508066592</v>
      </c>
      <c r="E33" s="120">
        <f>MIN(E32,MAX(E22-E24-E28,0)+IF(Premissas!$B$8=0,0,MAX(E23-E26-(IF(Premissas!$B$8&gt;0,MAX(E24-E22,0)*Premissas!$B$8,0)),0)/Premissas!$B$8))</f>
        <v>312871.2505062492</v>
      </c>
      <c r="F33" s="120">
        <f>MIN(F32,MAX(F22-F24-F28,0)+IF(Premissas!$B$8=0,0,MAX(F23-F26-(IF(Premissas!$B$8&gt;0,MAX(F24-F22,0)*Premissas!$B$8,0)),0)/Premissas!$B$8))</f>
        <v>146278.42746356115</v>
      </c>
      <c r="G33" s="120">
        <f>MIN(G32,MAX(G22-G24-G28,0)+IF(Premissas!$B$8=0,0,MAX(G23-G26-(IF(Premissas!$B$8&gt;0,MAX(G24-G22,0)*Premissas!$B$8,0)),0)/Premissas!$B$8))</f>
        <v>38821.111766123911</v>
      </c>
      <c r="H33" s="120">
        <f>MIN(H32,MAX(H22-H24-H28,0)+IF(Premissas!$B$8=0,0,MAX(H23-H26-(IF(Premissas!$B$8&gt;0,MAX(H24-H22,0)*Premissas!$B$8,0)),0)/Premissas!$B$8))</f>
        <v>0</v>
      </c>
      <c r="I33" s="120">
        <f>MIN(I32,MAX(I22-I24-I28,0)+IF(Premissas!$B$8=0,0,MAX(I23-I26-(IF(Premissas!$B$8&gt;0,MAX(I24-I22,0)*Premissas!$B$8,0)),0)/Premissas!$B$8))</f>
        <v>0</v>
      </c>
      <c r="J33" s="120">
        <f>MIN(J32,MAX(J22-J24-J28,0)+IF(Premissas!$B$8=0,0,MAX(J23-J26-(IF(Premissas!$B$8&gt;0,MAX(J24-J22,0)*Premissas!$B$8,0)),0)/Premissas!$B$8))</f>
        <v>0</v>
      </c>
      <c r="K33" s="120">
        <f>MIN(K32,MAX(K22-K24-K28,0)+IF(Premissas!$B$8=0,0,MAX(K23-K26-(IF(Premissas!$B$8&gt;0,MAX(K24-K22,0)*Premissas!$B$8,0)),0)/Premissas!$B$8))</f>
        <v>0</v>
      </c>
      <c r="L33" s="120">
        <f>MIN(L32,MAX(L22-L24-L28,0)+IF(Premissas!$B$8=0,0,MAX(L23-L26-(IF(Premissas!$B$8&gt;0,MAX(L24-L22,0)*Premissas!$B$8,0)),0)/Premissas!$B$8))</f>
        <v>220003.90307693873</v>
      </c>
      <c r="M33" s="120">
        <f>MIN(M32,MAX(M22-M24-M28,0)+IF(Premissas!$B$8=0,0,MAX(M23-M26-(IF(Premissas!$B$8&gt;0,MAX(M24-M22,0)*Premissas!$B$8,0)),0)/Premissas!$B$8))</f>
        <v>313311.82600649027</v>
      </c>
      <c r="N33" s="120">
        <f>MIN(N32,MAX(N22-N24-N28,0)+IF(Premissas!$B$8=0,0,MAX(N23-N26-(IF(Premissas!$B$8&gt;0,MAX(N24-N22,0)*Premissas!$B$8,0)),0)/Premissas!$B$8))</f>
        <v>45920.656652551625</v>
      </c>
      <c r="O33" s="120">
        <f>MIN(O32,MAX(O22-O24-O28,0)+IF(Premissas!$B$8=0,0,MAX(O23-O26-(IF(Premissas!$B$8&gt;0,MAX(O24-O22,0)*Premissas!$B$8,0)),0)/Premissas!$B$8))</f>
        <v>0</v>
      </c>
      <c r="P33" s="120">
        <f>MIN(P32,MAX(P22-P24-P28,0)+IF(Premissas!$B$8=0,0,MAX(P23-P26-(IF(Premissas!$B$8&gt;0,MAX(P24-P22,0)*Premissas!$B$8,0)),0)/Premissas!$B$8))</f>
        <v>50720.251684725736</v>
      </c>
      <c r="Q33" s="120">
        <f>MIN(Q32,MAX(Q22-Q24-Q28,0)+IF(Premissas!$B$8=0,0,MAX(Q23-Q26-(IF(Premissas!$B$8&gt;0,MAX(Q24-Q22,0)*Premissas!$B$8,0)),0)/Premissas!$B$8))</f>
        <v>0</v>
      </c>
      <c r="R33" s="120">
        <f>MIN(R32,MAX(R22-R24-R28,0)+IF(Premissas!$B$8=0,0,MAX(R23-R26-(IF(Premissas!$B$8&gt;0,MAX(R24-R22,0)*Premissas!$B$8,0)),0)/Premissas!$B$8))</f>
        <v>0</v>
      </c>
      <c r="S33" s="120">
        <f>MIN(S32,MAX(S22-S24-S28,0)+IF(Premissas!$B$8=0,0,MAX(S23-S26-(IF(Premissas!$B$8&gt;0,MAX(S24-S22,0)*Premissas!$B$8,0)),0)/Premissas!$B$8))</f>
        <v>0</v>
      </c>
      <c r="T33" s="120">
        <f>MIN(T32,MAX(T22-T24-T28,0)+IF(Premissas!$B$8=0,0,MAX(T23-T26-(IF(Premissas!$B$8&gt;0,MAX(T24-T22,0)*Premissas!$B$8,0)),0)/Premissas!$B$8))</f>
        <v>0</v>
      </c>
      <c r="U33" s="120">
        <f>MIN(U32,MAX(U22-U24-U28,0)+IF(Premissas!$B$8=0,0,MAX(U23-U26-(IF(Premissas!$B$8&gt;0,MAX(U24-U22,0)*Premissas!$B$8,0)),0)/Premissas!$B$8))</f>
        <v>0</v>
      </c>
      <c r="V33" s="120">
        <f>MIN(V32,MAX(V22-V24-V28,0)+IF(Premissas!$B$8=0,0,MAX(V23-V26-(IF(Premissas!$B$8&gt;0,MAX(V24-V22,0)*Premissas!$B$8,0)),0)/Premissas!$B$8))</f>
        <v>0</v>
      </c>
      <c r="W33" s="120">
        <f>MIN(W32,MAX(W22-W24-W28,0)+IF(Premissas!$B$8=0,0,MAX(W23-W26-(IF(Premissas!$B$8&gt;0,MAX(W24-W22,0)*Premissas!$B$8,0)),0)/Premissas!$B$8))</f>
        <v>0</v>
      </c>
      <c r="X33" s="120">
        <f>MIN(X32,MAX(X22-X24-X28,0)+IF(Premissas!$B$8=0,0,MAX(X23-X26-(IF(Premissas!$B$8&gt;0,MAX(X24-X22,0)*Premissas!$B$8,0)),0)/Premissas!$B$8))</f>
        <v>220382.62196693875</v>
      </c>
      <c r="Y33" s="120">
        <f>MIN(Y32,MAX(Y22-Y24-Y28,0)+IF(Premissas!$B$8=0,0,MAX(Y23-Y26-(IF(Premissas!$B$8&gt;0,MAX(Y24-Y22,0)*Premissas!$B$8,0)),0)/Premissas!$B$8))</f>
        <v>137676.19895750374</v>
      </c>
      <c r="Z33" s="120">
        <f>MIN(Z32,MAX(Z22-Z24-Z28,0)+IF(Premissas!$B$8=0,0,MAX(Z23-Z26-(IF(Premissas!$B$8&gt;0,MAX(Z24-Z22,0)*Premissas!$B$8,0)),0)/Premissas!$B$8))</f>
        <v>0</v>
      </c>
      <c r="AA33" s="120">
        <f>MIN(AA32,MAX(AA22-AA24-AA28,0)+IF(Premissas!$B$8=0,0,MAX(AA23-AA26-(IF(Premissas!$B$8&gt;0,MAX(AA24-AA22,0)*Premissas!$B$8,0)),0)/Premissas!$B$8))</f>
        <v>0</v>
      </c>
      <c r="AB33" s="120">
        <f>MIN(AB32,MAX(AB22-AB24-AB28,0)+IF(Premissas!$B$8=0,0,MAX(AB23-AB26-(IF(Premissas!$B$8&gt;0,MAX(AB24-AB22,0),0))*Premissas!$B$8,0)/Premissas!$B$8))</f>
        <v>44055.758422141385</v>
      </c>
      <c r="AC33" s="120">
        <f>MIN(AC32,MAX(AC22-AC24-AC28,0)+IF(Premissas!$B$8=0,0,MAX(AC23-AC26-(IF(Premissas!$B$8&gt;0,MAX(AC24-AC22,0),0))*Premissas!$B$8,0)/Premissas!$B$8))</f>
        <v>0</v>
      </c>
      <c r="AD33" s="120">
        <f>MIN(AD32,MAX(AD22-AD24-AD28,0)+IF(Premissas!$B$8=0,0,MAX(AD23-AD26-(IF(Premissas!$B$8&gt;0,MAX(AD24-AD22,0),0))*Premissas!$B$8,0)/Premissas!$B$8))</f>
        <v>0</v>
      </c>
      <c r="AE33" s="120">
        <f>MIN(AE32,MAX(AE22-AE24-AE28,0)+IF(Premissas!$B$8=0,0,MAX(AE23-AE26-(IF(Premissas!$B$8&gt;0,MAX(AE24-AE22,0),0))*Premissas!$B$8,0)/Premissas!$B$8))</f>
        <v>0</v>
      </c>
      <c r="AF33" s="120">
        <f>MIN(AF32,MAX(AF22-AF24-AF28,0)+IF(Premissas!$B$8=0,0,MAX(AF23-AF26-(IF(Premissas!$B$8&gt;0,MAX(AF24-AF22,0),0))*Premissas!$B$8,0)/Premissas!$B$8))</f>
        <v>0</v>
      </c>
      <c r="AG33" s="120">
        <f>MIN(AG32,MAX(AG22-AG24-AG28,0)+IF(Premissas!$B$8=0,0,MAX(AG23-AG26-(IF(Premissas!$B$8&gt;0,MAX(AG24-AG22,0),0))*Premissas!$B$8,0)/Premissas!$B$8))</f>
        <v>0</v>
      </c>
      <c r="AH33" s="120">
        <f>MIN(AH32,MAX(AH22-AH24-AH28,0)+IF(Premissas!$B$8=0,0,MAX(AH23-AH26-(IF(Premissas!$B$8&gt;0,MAX(AH24-AH22,0),0))*Premissas!$B$8,0)/Premissas!$B$8))</f>
        <v>0</v>
      </c>
      <c r="AI33" s="120">
        <f>MIN(AI32,MAX(AI22-AI24-AI28,0)+IF(Premissas!$B$8=0,0,MAX(AI23-AI26-(IF(Premissas!$B$8&gt;0,MAX(AI24-AI22,0),0))*Premissas!$B$8,0)/Premissas!$B$8))</f>
        <v>0</v>
      </c>
      <c r="AJ33" s="120">
        <f>MIN(AJ32,MAX(AJ22-AJ24-AJ28,0)+IF(Premissas!$B$8=0,0,MAX(AJ23-AJ26-(IF(Premissas!$B$8&gt;0,MAX(AJ24-AJ22,0),0))*Premissas!$B$8,0)/Premissas!$B$8))</f>
        <v>228153.13928941218</v>
      </c>
      <c r="AK33" s="120">
        <f>MIN(AK32,MAX(AK22-AK24-AK28,0)+IF(Premissas!$B$8=0,0,MAX(AK23-AK26-(IF(Premissas!$B$8&gt;0,MAX(AK24-AK22,0),0))*Premissas!$B$8,0)/Premissas!$B$8))</f>
        <v>121398.76503171632</v>
      </c>
      <c r="AL33" s="120">
        <f>MIN(AL32,MAX(AL22-AL24-AL28,0)+IF(Premissas!$B$8=0,0,MAX(AL23-AL26-(IF(Premissas!$B$8&gt;0,MAX(AL24-AL22,0),0))*Premissas!$B$8,0)/Premissas!$B$8))</f>
        <v>0</v>
      </c>
      <c r="AM33" s="120">
        <f>MIN(AM32,MAX(AM22-AM24-AM28,0)+IF(Premissas!$B$8=0,0,MAX(AM23-AM26-(IF(Premissas!$B$8&gt;0,MAX(AM24-AM22,0),0))*Premissas!$B$8,0)/Premissas!$B$8))</f>
        <v>0</v>
      </c>
      <c r="AN33" s="120">
        <f>MIN(AN32,MAX(AN22-AN24-AN28,0)+IF(Premissas!$B$8=0,0,MAX(AN23-AN26-(IF(Premissas!$B$8&gt;0,MAX(AN24-AN22,0),0))*Premissas!$B$8,0)/Premissas!$B$8))</f>
        <v>40208.612412719929</v>
      </c>
      <c r="AO33" s="120">
        <f>MIN(AO32,MAX(AO22-AO24-AO28,0)+IF(Premissas!$B$8=0,0,MAX(AO23-AO26-(IF(Premissas!$B$8&gt;0,MAX(AO24-AO22,0),0))*Premissas!$B$8,0)/Premissas!$B$8))</f>
        <v>0</v>
      </c>
      <c r="AP33" s="120">
        <f>MIN(AP32,MAX(AP22-AP24-AP28,0)+IF(Premissas!$B$8=0,0,MAX(AP23-AP26-(IF(Premissas!$B$8&gt;0,MAX(AP24-AP22,0),0))*Premissas!$B$8,0)/Premissas!$B$8))</f>
        <v>0</v>
      </c>
      <c r="AQ33" s="120">
        <f>MIN(AQ32,MAX(AQ22-AQ24-AQ28,0)+IF(Premissas!$B$8=0,0,MAX(AQ23-AQ26-(IF(Premissas!$B$8&gt;0,MAX(AQ24-AQ22,0),0))*Premissas!$B$8,0)/Premissas!$B$8))</f>
        <v>0</v>
      </c>
      <c r="AR33" s="120">
        <f>MIN(AR32,MAX(AR22-AR24-AR28,0)+IF(Premissas!$B$8=0,0,MAX(AR23-AR26-(IF(Premissas!$B$8&gt;0,MAX(AR24-AR22,0),0))*Premissas!$B$8,0)/Premissas!$B$8))</f>
        <v>0</v>
      </c>
      <c r="AS33" s="120">
        <f>MIN(AS32,MAX(AS22-AS24-AS28,0)+IF(Premissas!$B$8=0,0,MAX(AS23-AS26-(IF(Premissas!$B$8&gt;0,MAX(AS24-AS22,0),0))*Premissas!$B$8,0)/Premissas!$B$8))</f>
        <v>0</v>
      </c>
      <c r="AT33" s="120">
        <f>MIN(AT32,MAX(AT22-AT24-AT28,0)+IF(Premissas!$B$8=0,0,MAX(AT23-AT26-(IF(Premissas!$B$8&gt;0,MAX(AT24-AT22,0),0))*Premissas!$B$8,0)/Premissas!$B$8))</f>
        <v>0</v>
      </c>
      <c r="AU33" s="120">
        <f>MIN(AU32,MAX(AU22-AU24-AU28,0)+IF(Premissas!$B$8=0,0,MAX(AU23-AU26-(IF(Premissas!$B$8&gt;0,MAX(AU24-AU22,0),0))*Premissas!$B$8,0)/Premissas!$B$8))</f>
        <v>2826.1338601748462</v>
      </c>
      <c r="AV33" s="120">
        <f>MIN(AV32,MAX(AV22-AV24-AV28,0)+IF(Premissas!$B$8=0,0,MAX(AV23-AV26-(IF(Premissas!$B$8&gt;0,MAX(AV24-AV22,0),0))*Premissas!$B$8,0)/Premissas!$B$8))</f>
        <v>236106.61478608102</v>
      </c>
      <c r="AW33" s="120">
        <f>MIN(AW32,MAX(AW22-AW24-AW28,0)+IF(Premissas!$B$8=0,0,MAX(AW23-AW26-(IF(Premissas!$B$8&gt;0,MAX(AW24-AW22,0),0))*Premissas!$B$8,0)/Premissas!$B$8))</f>
        <v>101986.85809210804</v>
      </c>
      <c r="AX33" s="120">
        <f>MIN(AX32,MAX(AX22-AX24-AX28,0)+IF(Premissas!$B$8=0,0,MAX(AX23-AX26-(IF(Premissas!$B$8&gt;0,MAX(AX24-AX22,0),0))*Premissas!$B$8,0)/Premissas!$B$8))</f>
        <v>0</v>
      </c>
      <c r="AY33" s="120">
        <f>MIN(AY32,MAX(AY22-AY24-AY28,0)+IF(Premissas!$B$8=0,0,MAX(AY23-AY26-(IF(Premissas!$B$8&gt;0,MAX(AY24-AY22,0),0))*Premissas!$B$8,0)/Premissas!$B$8))</f>
        <v>0</v>
      </c>
      <c r="AZ33" s="120">
        <f>MIN(AZ32,MAX(AZ22-AZ24-AZ28,0)+IF(Premissas!$B$8=0,0,MAX(AZ23-AZ26-(IF(Premissas!$B$8&gt;0,MAX(AZ24-AZ22,0),0))*Premissas!$B$8,0)/Premissas!$B$8))</f>
        <v>36290.03045291279</v>
      </c>
      <c r="BA33" s="120">
        <f>MIN(BA32,MAX(BA22-BA24-BA28,0)+IF(Premissas!$B$8=0,0,MAX(BA23-BA26-(IF(Premissas!$B$8&gt;0,MAX(BA24-BA22,0),0))*Premissas!$B$8,0)/Premissas!$B$8))</f>
        <v>0</v>
      </c>
      <c r="BB33" s="120">
        <f>MIN(BB32,MAX(BB22-BB24-BB28,0)+IF(Premissas!$B$8=0,0,MAX(BB23-BB26-(IF(Premissas!$B$8&gt;0,MAX(BB24-BB22,0),0))*Premissas!$B$8,0)/Premissas!$B$8))</f>
        <v>0</v>
      </c>
      <c r="BC33" s="120">
        <f>MIN(BC32,MAX(BC22-BC24-BC28,0)+IF(Premissas!$B$8=0,0,MAX(BC23-BC26-(IF(Premissas!$B$8&gt;0,MAX(BC24-BC22,0),0))*Premissas!$B$8,0)/Premissas!$B$8))</f>
        <v>0</v>
      </c>
      <c r="BD33" s="120">
        <f>MIN(BD32,MAX(BD22-BD24-BD28,0)+IF(Premissas!$B$8=0,0,MAX(BD23-BD26-(IF(Premissas!$B$8&gt;0,MAX(BD24-BD22,0),0))*Premissas!$B$8,0)/Premissas!$B$8))</f>
        <v>0</v>
      </c>
      <c r="BE33" s="120">
        <f>MIN(BE32,MAX(BE22-BE24-BE28,0)+IF(Premissas!$B$8=0,0,MAX(BE23-BE26-(IF(Premissas!$B$8&gt;0,MAX(BE24-BE22,0),0))*Premissas!$B$8,0)/Premissas!$B$8))</f>
        <v>0</v>
      </c>
      <c r="BF33" s="120">
        <f>MIN(BF32,MAX(BF22-BF24-BF28,0)+IF(Premissas!$B$8=0,0,MAX(BF23-BF26-(IF(Premissas!$B$8&gt;0,MAX(BF24-BF22,0),0))*Premissas!$B$8,0)/Premissas!$B$8))</f>
        <v>0</v>
      </c>
      <c r="BG33" s="120">
        <f>MIN(BG32,MAX(BG22-BG24-BG28,0)+IF(Premissas!$B$8=0,0,MAX(BG23-BG26-(IF(Premissas!$B$8&gt;0,MAX(BG24-BG22,0),0))*Premissas!$B$8,0)/Premissas!$B$8))</f>
        <v>7805.0955830520152</v>
      </c>
      <c r="BH33" s="120">
        <f>MIN(BH32,MAX(BH22-BH24-BH28,0)+IF(Premissas!$B$8=0,0,MAX(BH23-BH26-(IF(Premissas!$B$8&gt;0,MAX(BH24-BH22,0),0))*Premissas!$B$8,0)/Premissas!$B$8))</f>
        <v>244247.67893509433</v>
      </c>
      <c r="BI33" s="120">
        <f>MIN(BI32,MAX(BI22-BI24-BI28,0)+IF(Premissas!$B$8=0,0,MAX(BI23-BI26-(IF(Premissas!$B$8&gt;0,MAX(BI24-BI22,0),0))*Premissas!$B$8,0)/Premissas!$B$8))</f>
        <v>80105.582673837722</v>
      </c>
      <c r="BJ33" s="120">
        <f>MIN(BJ32,MAX(BJ22-BJ24-BJ28,0)+IF(Premissas!$B$8=0,0,MAX(BJ23-BJ26-(IF(Premissas!$B$8&gt;0,MAX(BJ24-BJ22,0),0))*Premissas!$B$8,0)/Premissas!$B$8))</f>
        <v>0</v>
      </c>
      <c r="BK33" s="120">
        <f>MIN(BK32,MAX(BK22-BK24-BK28,0)+IF(Premissas!$B$8=0,0,MAX(BK23-BK26-(IF(Premissas!$B$8&gt;0,MAX(BK24-BK22,0),0))*Premissas!$B$8,0)/Premissas!$B$8))</f>
        <v>0</v>
      </c>
    </row>
    <row r="34" spans="1:63" ht="12.75" customHeight="1" x14ac:dyDescent="0.2">
      <c r="A34" s="127" t="s">
        <v>414</v>
      </c>
      <c r="B34" s="138">
        <f>AA34</f>
        <v>44055.758422141385</v>
      </c>
      <c r="C34" s="128" t="s">
        <v>397</v>
      </c>
      <c r="D34" s="138">
        <f t="shared" ref="D34:AI34" si="20">MAX(D32-D33,0)+D28+MAX(D24-D22,0)</f>
        <v>718368.17249193345</v>
      </c>
      <c r="E34" s="138">
        <f t="shared" si="20"/>
        <v>405496.92198568425</v>
      </c>
      <c r="F34" s="138">
        <f t="shared" si="20"/>
        <v>259218.4945221231</v>
      </c>
      <c r="G34" s="138">
        <f t="shared" si="20"/>
        <v>253108.67586322021</v>
      </c>
      <c r="H34" s="138">
        <f t="shared" si="20"/>
        <v>338877.53739198181</v>
      </c>
      <c r="I34" s="138">
        <f t="shared" si="20"/>
        <v>429258.89892074349</v>
      </c>
      <c r="J34" s="138">
        <f t="shared" si="20"/>
        <v>523278.3604495051</v>
      </c>
      <c r="K34" s="138">
        <f t="shared" si="20"/>
        <v>585071.97783106496</v>
      </c>
      <c r="L34" s="138">
        <f t="shared" si="20"/>
        <v>365068.07475412625</v>
      </c>
      <c r="M34" s="138">
        <f t="shared" si="20"/>
        <v>51756.248747635982</v>
      </c>
      <c r="N34" s="138">
        <f t="shared" si="20"/>
        <v>22221.982813689479</v>
      </c>
      <c r="O34" s="138">
        <f t="shared" si="20"/>
        <v>50720.251684725736</v>
      </c>
      <c r="P34" s="138">
        <f t="shared" si="20"/>
        <v>0</v>
      </c>
      <c r="Q34" s="138">
        <f t="shared" si="20"/>
        <v>0</v>
      </c>
      <c r="R34" s="138">
        <f t="shared" si="20"/>
        <v>0</v>
      </c>
      <c r="S34" s="138">
        <f t="shared" si="20"/>
        <v>32132.834934901541</v>
      </c>
      <c r="T34" s="138">
        <f t="shared" si="20"/>
        <v>116434.61400188222</v>
      </c>
      <c r="U34" s="138">
        <f t="shared" si="20"/>
        <v>204905.99256886292</v>
      </c>
      <c r="V34" s="138">
        <f t="shared" si="20"/>
        <v>296997.28063584358</v>
      </c>
      <c r="W34" s="138">
        <f t="shared" si="20"/>
        <v>358058.82092444249</v>
      </c>
      <c r="X34" s="138">
        <f t="shared" si="20"/>
        <v>137676.19895750374</v>
      </c>
      <c r="Y34" s="138">
        <f t="shared" si="20"/>
        <v>0</v>
      </c>
      <c r="Z34" s="138">
        <f t="shared" si="20"/>
        <v>16130.024242355124</v>
      </c>
      <c r="AA34" s="138">
        <f t="shared" si="20"/>
        <v>44055.758422141385</v>
      </c>
      <c r="AB34" s="138">
        <f t="shared" si="20"/>
        <v>0</v>
      </c>
      <c r="AC34" s="138">
        <f t="shared" si="20"/>
        <v>0</v>
      </c>
      <c r="AD34" s="138">
        <f t="shared" si="20"/>
        <v>0</v>
      </c>
      <c r="AE34" s="138">
        <f t="shared" si="20"/>
        <v>31546.896510774077</v>
      </c>
      <c r="AF34" s="138">
        <f t="shared" si="20"/>
        <v>114362.97257442928</v>
      </c>
      <c r="AG34" s="138">
        <f t="shared" si="20"/>
        <v>200897.46619058447</v>
      </c>
      <c r="AH34" s="138">
        <f t="shared" si="20"/>
        <v>291033.76975923963</v>
      </c>
      <c r="AI34" s="138">
        <f t="shared" si="20"/>
        <v>349551.9043211285</v>
      </c>
      <c r="AJ34" s="138">
        <f t="shared" ref="AJ34:BO34" si="21">MAX(AJ32-AJ33,0)+AJ28+MAX(AJ24-AJ22,0)</f>
        <v>121398.76503171632</v>
      </c>
      <c r="AK34" s="138">
        <f t="shared" si="21"/>
        <v>0</v>
      </c>
      <c r="AL34" s="138">
        <f t="shared" si="21"/>
        <v>15002.766985201502</v>
      </c>
      <c r="AM34" s="138">
        <f t="shared" si="21"/>
        <v>40208.612412719929</v>
      </c>
      <c r="AN34" s="138">
        <f t="shared" si="21"/>
        <v>0</v>
      </c>
      <c r="AO34" s="138">
        <f t="shared" si="21"/>
        <v>0</v>
      </c>
      <c r="AP34" s="138">
        <f t="shared" si="21"/>
        <v>0</v>
      </c>
      <c r="AQ34" s="138">
        <f t="shared" si="21"/>
        <v>30953.255922530927</v>
      </c>
      <c r="AR34" s="138">
        <f t="shared" si="21"/>
        <v>112264.45264517752</v>
      </c>
      <c r="AS34" s="138">
        <f t="shared" si="21"/>
        <v>196834.38253381161</v>
      </c>
      <c r="AT34" s="138">
        <f t="shared" si="21"/>
        <v>284988.11332518316</v>
      </c>
      <c r="AU34" s="138">
        <f t="shared" si="21"/>
        <v>338093.47287818906</v>
      </c>
      <c r="AV34" s="138">
        <f t="shared" si="21"/>
        <v>101986.85809210804</v>
      </c>
      <c r="AW34" s="138">
        <f t="shared" si="21"/>
        <v>0</v>
      </c>
      <c r="AX34" s="138">
        <f t="shared" si="21"/>
        <v>13854.980835935105</v>
      </c>
      <c r="AY34" s="138">
        <f t="shared" si="21"/>
        <v>36290.03045291279</v>
      </c>
      <c r="AZ34" s="138">
        <f t="shared" si="21"/>
        <v>0</v>
      </c>
      <c r="BA34" s="138">
        <f t="shared" si="21"/>
        <v>0</v>
      </c>
      <c r="BB34" s="138">
        <f t="shared" si="21"/>
        <v>0</v>
      </c>
      <c r="BC34" s="138">
        <f t="shared" si="21"/>
        <v>30351.685884586761</v>
      </c>
      <c r="BD34" s="138">
        <f t="shared" si="21"/>
        <v>110138.2576889125</v>
      </c>
      <c r="BE34" s="138">
        <f t="shared" si="21"/>
        <v>192715.14938717708</v>
      </c>
      <c r="BF34" s="138">
        <f t="shared" si="21"/>
        <v>278857.92298366543</v>
      </c>
      <c r="BG34" s="138">
        <f t="shared" si="21"/>
        <v>324353.26160893205</v>
      </c>
      <c r="BH34" s="138">
        <f t="shared" si="21"/>
        <v>80105.582673837722</v>
      </c>
      <c r="BI34" s="138">
        <f t="shared" si="21"/>
        <v>0</v>
      </c>
      <c r="BJ34" s="138">
        <f t="shared" si="21"/>
        <v>12686.114309556533</v>
      </c>
      <c r="BK34" s="138">
        <f t="shared" si="21"/>
        <v>32298.102930461122</v>
      </c>
    </row>
    <row r="35" spans="1:63" ht="12.75" customHeight="1" x14ac:dyDescent="0.2">
      <c r="A3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35" s="140">
        <f>SUM(D35:BQ35)</f>
        <v>3326978.8582771802</v>
      </c>
      <c r="C35" s="141">
        <f>B35/60</f>
        <v>55449.647637953007</v>
      </c>
      <c r="D35" s="142">
        <f>IF(D34&gt;0,0,MAX(D22-D24-D28-D32,0)*Premissas!$B$5*(1+Premissas!$B$126)*(1+Premissas!$B$124)^0+MAX(D23-D26-(IF(Premissas!$B$8&gt;0,MAX(D24+D28+D32-D22,0)*Premissas!$B$8,0)),0)*Premissas!$B$6*(1+Premissas!$B$126)*(1+Premissas!$B$124)^0)</f>
        <v>0</v>
      </c>
      <c r="E35" s="142">
        <f>IF(E34&gt;0,0,MAX(E22-E24-E28-E32,0)*Premissas!$B$5*(1+Premissas!$B$126)*(1+Premissas!$B$124)^0+MAX(E23-E26-(IF(Premissas!$B$8&gt;0,MAX(E24+E28+E32-E22,0)*Premissas!$B$8,0)),0)*Premissas!$B$6*(1+Premissas!$B$126)*(1+Premissas!$B$124)^0)</f>
        <v>0</v>
      </c>
      <c r="F35" s="142">
        <f>IF(F34&gt;0,0,MAX(F22-F24-F28-F32,0)*Premissas!$B$5*(1+Premissas!$B$126)*(1+Premissas!$B$124)^0+MAX(F23-F26-(IF(Premissas!$B$8&gt;0,MAX(F24+F28+F32-F22,0)*Premissas!$B$8,0)),0)*Premissas!$B$6*(1+Premissas!$B$126)*(1+Premissas!$B$124)^0)</f>
        <v>0</v>
      </c>
      <c r="G35" s="142">
        <f>IF(G34&gt;0,0,MAX(G22-G24-G28-G32,0)*Premissas!$B$5*(1+Premissas!$B$126)*(1+Premissas!$B$124)^0+MAX(G23-G26-(IF(Premissas!$B$8&gt;0,MAX(G24+G28+G32-G22,0)*Premissas!$B$8,0)),0)*Premissas!$B$6*(1+Premissas!$B$126)*(1+Premissas!$B$124)^0)</f>
        <v>0</v>
      </c>
      <c r="H35" s="142">
        <f>IF(H34&gt;0,0,MAX(H22-H24-H28-H32,0)*Premissas!$B$5*(1+Premissas!$B$126)*(1+Premissas!$B$124)^0+MAX(H23-H26-(IF(Premissas!$B$8&gt;0,MAX(H24+H28+H32-H22,0)*Premissas!$B$8,0)),0)*Premissas!$B$6*(1+Premissas!$B$126)*(1+Premissas!$B$124)^0)</f>
        <v>0</v>
      </c>
      <c r="I35" s="142">
        <f>IF(I34&gt;0,0,MAX(I22-I24-I28-I32,0)*Premissas!$B$5*(1+Premissas!$B$126)*(1+Premissas!$B$124)^0+MAX(I23-I26-(IF(Premissas!$B$8&gt;0,MAX(I24+I28+I32-I22,0)*Premissas!$B$8,0)),0)*Premissas!$B$6*(1+Premissas!$B$126)*(1+Premissas!$B$124)^0)</f>
        <v>0</v>
      </c>
      <c r="J35" s="142">
        <f>IF(J34&gt;0,0,MAX(J22-J24-J28-J32,0)*Premissas!$B$5*(1+Premissas!$B$126)*(1+Premissas!$B$124)^0+MAX(J23-J26-(IF(Premissas!$B$8&gt;0,MAX(J24+J28+J32-J22,0)*Premissas!$B$8,0)),0)*Premissas!$B$6*(1+Premissas!$B$126)*(1+Premissas!$B$124)^0)</f>
        <v>0</v>
      </c>
      <c r="K35" s="142">
        <f>IF(K34&gt;0,0,MAX(K22-K24-K28-K32,0)*Premissas!$B$5*(1+Premissas!$B$126)*(1+Premissas!$B$124)^0+MAX(K23-K26-(IF(Premissas!$B$8&gt;0,MAX(K24+K28+K32-K22,0)*Premissas!$B$8,0)),0)*Premissas!$B$6*(1+Premissas!$B$126)*(1+Premissas!$B$124)^0)</f>
        <v>0</v>
      </c>
      <c r="L35" s="142">
        <f>IF(L34&gt;0,0,MAX(L22-L24-L28-L32,0)*Premissas!$B$5*(1+Premissas!$B$126)*(1+Premissas!$B$124)^0+MAX(L23-L26-(IF(Premissas!$B$8&gt;0,MAX(L24+L28+L32-L22,0)*Premissas!$B$8,0)),0)*Premissas!$B$6*(1+Premissas!$B$126)*(1+Premissas!$B$124)^0)</f>
        <v>0</v>
      </c>
      <c r="M35" s="142">
        <f>IF(M34&gt;0,0,MAX(M22-M24-M28-M32,0)*Premissas!$B$5*(1+Premissas!$B$126)*(1+Premissas!$B$124)^0+MAX(M23-M26-(IF(Premissas!$B$8&gt;0,MAX(M24+M28+M32-M22,0)*Premissas!$B$8,0)),0)*Premissas!$B$6*(1+Premissas!$B$126)*(1+Premissas!$B$124)^0)</f>
        <v>0</v>
      </c>
      <c r="N35" s="142">
        <f>IF(N34&gt;0,0,MAX(N22-N24-N28-N32,0)*Premissas!$B$5*(1+Premissas!$B$126)*(1+Premissas!$B$124)^0+MAX(N23-N26-(IF(Premissas!$B$8&gt;0,MAX(N24+N28+N32-N22,0)*Premissas!$B$8,0)),0)*Premissas!$B$6*(1+Premissas!$B$126)*(1+Premissas!$B$124)^0)</f>
        <v>0</v>
      </c>
      <c r="O35" s="142">
        <f>IF(O34&gt;0,0,MAX(O22-O24-O28-O32,0)*Premissas!$B$5*(1+Premissas!$B$126)*(1+Premissas!$B$124)^0+MAX(O23-O26-(IF(Premissas!$B$8&gt;0,MAX(O24+O28+O32-O22,0)*Premissas!$B$8,0)),0)*Premissas!$B$6*(1+Premissas!$B$126)*(1+Premissas!$B$124)^0)</f>
        <v>0</v>
      </c>
      <c r="P35" s="142">
        <f>IF(P34&gt;0,0,MAX(P22-P24-P28-P32,0)*Premissas!$B$5*(1+Premissas!$B$126)*(1+Premissas!$B$124)^1+MAX(P23-P26-(IF(Premissas!$B$8&gt;0,MAX(P24+P28+P32-P22,0)*Premissas!$B$8,0)),0)*Premissas!$B$6*(1+Premissas!$B$126)*(1+Premissas!$B$124)^1)</f>
        <v>44220.37418883678</v>
      </c>
      <c r="Q35" s="142">
        <f>IF(Q34&gt;0,0,MAX(Q22-Q24-Q28-Q32,0)*Premissas!$B$5*(1+Premissas!$B$126)*(1+Premissas!$B$124)^1+MAX(Q23-Q26-(IF(Premissas!$B$8&gt;0,MAX(Q24+Q28+Q32-Q22,0)*Premissas!$B$8,0)),0)*Premissas!$B$6*(1+Premissas!$B$126)*(1+Premissas!$B$124)^1)</f>
        <v>296353.68452116009</v>
      </c>
      <c r="R35" s="142">
        <f>IF(R34&gt;0,0,MAX(R22-R24-R28-R32,0)*Premissas!$B$5*(1+Premissas!$B$126)*(1+Premissas!$B$124)^1+MAX(R23-R26-(IF(Premissas!$B$8&gt;0,MAX(R24+R28+R32-R22,0)*Premissas!$B$8,0)),0)*Premissas!$B$6*(1+Premissas!$B$126)*(1+Premissas!$B$124)^1)</f>
        <v>149985.51198620675</v>
      </c>
      <c r="S35" s="142">
        <f>IF(S34&gt;0,0,MAX(S22-S24-S28-S32,0)*Premissas!$B$5*(1+Premissas!$B$126)*(1+Premissas!$B$124)^1+MAX(S23-S26-(IF(Premissas!$B$8&gt;0,MAX(S24+S28+S32-S22,0)*Premissas!$B$8,0)),0)*Premissas!$B$6*(1+Premissas!$B$126)*(1+Premissas!$B$124)^1)</f>
        <v>0</v>
      </c>
      <c r="T35" s="142">
        <f>IF(T34&gt;0,0,MAX(T22-T24-T28-T32,0)*Premissas!$B$5*(1+Premissas!$B$126)*(1+Premissas!$B$124)^1+MAX(T23-T26-(IF(Premissas!$B$8&gt;0,MAX(T24+T28+T32-T22,0)*Premissas!$B$8,0)),0)*Premissas!$B$6*(1+Premissas!$B$126)*(1+Premissas!$B$124)^1)</f>
        <v>0</v>
      </c>
      <c r="U35" s="142">
        <f>IF(U34&gt;0,0,MAX(U22-U24-U28-U32,0)*Premissas!$B$5*(1+Premissas!$B$126)*(1+Premissas!$B$124)^1+MAX(U23-U26-(IF(Premissas!$B$8&gt;0,MAX(U24+U28+U32-U22,0)*Premissas!$B$8,0)),0)*Premissas!$B$6*(1+Premissas!$B$126)*(1+Premissas!$B$124)^1)</f>
        <v>0</v>
      </c>
      <c r="V35" s="142">
        <f>IF(V34&gt;0,0,MAX(V22-V24-V28-V32,0)*Premissas!$B$5*(1+Premissas!$B$126)*(1+Premissas!$B$124)^1+MAX(V23-V26-(IF(Premissas!$B$8&gt;0,MAX(V24+V28+V32-V22,0)*Premissas!$B$8,0)),0)*Premissas!$B$6*(1+Premissas!$B$126)*(1+Premissas!$B$124)^1)</f>
        <v>0</v>
      </c>
      <c r="W35" s="142">
        <f>IF(W34&gt;0,0,MAX(W22-W24-W28-W32,0)*Premissas!$B$5*(1+Premissas!$B$126)*(1+Premissas!$B$124)^1+MAX(W23-W26-(IF(Premissas!$B$8&gt;0,MAX(W24+W28+W32-W22,0)*Premissas!$B$8,0)),0)*Premissas!$B$6*(1+Premissas!$B$126)*(1+Premissas!$B$124)^1)</f>
        <v>0</v>
      </c>
      <c r="X35" s="142">
        <f>IF(X34&gt;0,0,MAX(X22-X24-X28-X32,0)*Premissas!$B$5*(1+Premissas!$B$126)*(1+Premissas!$B$124)^1+MAX(X23-X26-(IF(Premissas!$B$8&gt;0,MAX(X24+X28+X32-X22,0)*Premissas!$B$8,0)),0)*Premissas!$B$6*(1+Premissas!$B$126)*(1+Premissas!$B$124)^1)</f>
        <v>0</v>
      </c>
      <c r="Y35" s="142">
        <f>IF(Y34&gt;0,0,MAX(Y22-Y24-Y28-Y32,0)*Premissas!$B$5*(1+Premissas!$B$126)*(1+Premissas!$B$124)^1+MAX(Y23-Y26-(IF(Premissas!$B$8&gt;0,MAX(Y24+Y28+Y32-Y22,0)*Premissas!$B$8,0)),0)*Premissas!$B$6*(1+Premissas!$B$126)*(1+Premissas!$B$124)^1)</f>
        <v>205050.18548350022</v>
      </c>
      <c r="Z35" s="142">
        <f>IF(Z34&gt;0,0,MAX(Z22-Z24-Z28-Z32,0)*Premissas!$B$5*(1+Premissas!$B$126)*(1+Premissas!$B$124)^1+MAX(Z23-Z26-(IF(Premissas!$B$8&gt;0,MAX(Z24+Z28+Z32-Z22,0)*Premissas!$B$8,0)),0)*Premissas!$B$6*(1+Premissas!$B$126)*(1+Premissas!$B$124)^1)</f>
        <v>0</v>
      </c>
      <c r="AA35" s="142">
        <f>IF(AA34&gt;0,0,MAX(AA22-AA24-AA28-AA32,0)*Premissas!$B$5*(1+Premissas!$B$126)*(1+Premissas!$B$124)^1+MAX(AA23-AA26-(IF(Premissas!$B$8&gt;0,MAX(AA24+AA28+AA32-AA22,0)*Premissas!$B$8,0)),0)*Premissas!$B$6*(1+Premissas!$B$126)*(1+Premissas!$B$124)^1)</f>
        <v>0</v>
      </c>
      <c r="AB35" s="142">
        <f>IF(AB34&gt;0,0,MAX(AB22-AB24-AB28-AB32,0)*Premissas!$B$5*(1+Premissas!$B$126)*(1+Premissas!$B$124)^2+MAX(AB23-AB26-(IF(Premissas!$B$8&gt;0,MAX(AB24+AB26-AB22-AB23,0)*Premissas!$B$8,0)),0)*Premissas!$B$6*(1+Premissas!$B$126)*(1+Premissas!$B$124)^2)</f>
        <v>54517.513594387732</v>
      </c>
      <c r="AC35" s="142">
        <f>IF(AC34&gt;0,0,MAX(AC22-AC24-AC28-AC32,0)*Premissas!$B$5*(1+Premissas!$B$126)*(1+Premissas!$B$124)^2+MAX(AC23-AC26-(IF(Premissas!$B$8&gt;0,MAX(AC24+AC26-AC22-AC23,0)*Premissas!$B$8,0)),0)*Premissas!$B$6*(1+Premissas!$B$126)*(1+Premissas!$B$124)^2)</f>
        <v>323507.46191002365</v>
      </c>
      <c r="AD35" s="142">
        <f>IF(AD34&gt;0,0,MAX(AD22-AD24-AD28-AD32,0)*Premissas!$B$5*(1+Premissas!$B$126)*(1+Premissas!$B$124)^2+MAX(AD23-AD26-(IF(Premissas!$B$8&gt;0,MAX(AD24+AD26-AD22-AD23,0)*Premissas!$B$8,0)),0)*Premissas!$B$6*(1+Premissas!$B$126)*(1+Premissas!$B$124)^2)</f>
        <v>164543.22553973278</v>
      </c>
      <c r="AE35" s="142">
        <f>IF(AE34&gt;0,0,MAX(AE22-AE24-AE28-AE32,0)*Premissas!$B$5*(1+Premissas!$B$126)*(1+Premissas!$B$124)^2+MAX(AE23-AE26-(IF(Premissas!$B$8&gt;0,MAX(AE24+AE26-AE22-AE23,0)*Premissas!$B$8,0)),0)*Premissas!$B$6*(1+Premissas!$B$126)*(1+Premissas!$B$124)^2)</f>
        <v>0</v>
      </c>
      <c r="AF35" s="142">
        <f>IF(AF34&gt;0,0,MAX(AF22-AF24-AF28-AF32,0)*Premissas!$B$5*(1+Premissas!$B$126)*(1+Premissas!$B$124)^2+MAX(AF23-AF26-(IF(Premissas!$B$8&gt;0,MAX(AF24+AF26-AF22-AF23,0)*Premissas!$B$8,0)),0)*Premissas!$B$6*(1+Premissas!$B$126)*(1+Premissas!$B$124)^2)</f>
        <v>0</v>
      </c>
      <c r="AG35" s="142">
        <f>IF(AG34&gt;0,0,MAX(AG22-AG24-AG28-AG32,0)*Premissas!$B$5*(1+Premissas!$B$126)*(1+Premissas!$B$124)^2+MAX(AG23-AG26-(IF(Premissas!$B$8&gt;0,MAX(AG24+AG26-AG22-AG23,0)*Premissas!$B$8,0)),0)*Premissas!$B$6*(1+Premissas!$B$126)*(1+Premissas!$B$124)^2)</f>
        <v>0</v>
      </c>
      <c r="AH35" s="142">
        <f>IF(AH34&gt;0,0,MAX(AH22-AH24-AH28-AH32,0)*Premissas!$B$5*(1+Premissas!$B$126)*(1+Premissas!$B$124)^2+MAX(AH23-AH26-(IF(Premissas!$B$8&gt;0,MAX(AH24+AH26-AH22-AH23,0)*Premissas!$B$8,0)),0)*Premissas!$B$6*(1+Premissas!$B$126)*(1+Premissas!$B$124)^2)</f>
        <v>0</v>
      </c>
      <c r="AI35" s="142">
        <f>IF(AI34&gt;0,0,MAX(AI22-AI24-AI28-AI32,0)*Premissas!$B$5*(1+Premissas!$B$126)*(1+Premissas!$B$124)^2+MAX(AI23-AI26-(IF(Premissas!$B$8&gt;0,MAX(AI24+AI26-AI22-AI23,0)*Premissas!$B$8,0)),0)*Premissas!$B$6*(1+Premissas!$B$126)*(1+Premissas!$B$124)^2)</f>
        <v>0</v>
      </c>
      <c r="AJ35" s="142">
        <f>IF(AJ34&gt;0,0,MAX(AJ22-AJ24-AJ28-AJ32,0)*Premissas!$B$5*(1+Premissas!$B$126)*(1+Premissas!$B$124)^2+MAX(AJ23-AJ26-(IF(Premissas!$B$8&gt;0,MAX(AJ24+AJ26-AJ22-AJ23,0)*Premissas!$B$8,0)),0)*Premissas!$B$6*(1+Premissas!$B$126)*(1+Premissas!$B$124)^2)</f>
        <v>0</v>
      </c>
      <c r="AK35" s="142">
        <f>IF(AK34&gt;0,0,MAX(AK22-AK24-AK28-AK32,0)*Premissas!$B$5*(1+Premissas!$B$126)*(1+Premissas!$B$124)^2+MAX(AK23-AK26-(IF(Premissas!$B$8&gt;0,MAX(AK24+AK26-AK22-AK23,0)*Premissas!$B$8,0)),0)*Premissas!$B$6*(1+Premissas!$B$126)*(1+Premissas!$B$124)^2)</f>
        <v>237671.48452633154</v>
      </c>
      <c r="AL35" s="142">
        <f>IF(AL34&gt;0,0,MAX(AL22-AL24-AL28-AL32,0)*Premissas!$B$5*(1+Premissas!$B$126)*(1+Premissas!$B$124)^2+MAX(AL23-AL26-(IF(Premissas!$B$8&gt;0,MAX(AL24+AL26-AL22-AL23,0)*Premissas!$B$8,0)),0)*Premissas!$B$6*(1+Premissas!$B$126)*(1+Premissas!$B$124)^2)</f>
        <v>0</v>
      </c>
      <c r="AM35" s="142">
        <f>IF(AM34&gt;0,0,MAX(AM22-AM24-AM28-AM32,0)*Premissas!$B$5*(1+Premissas!$B$126)*(1+Premissas!$B$124)^2+MAX(AM23-AM26-(IF(Premissas!$B$8&gt;0,MAX(AM24+AM26-AM22-AM23,0)*Premissas!$B$8,0)),0)*Premissas!$B$6*(1+Premissas!$B$126)*(1+Premissas!$B$124)^2)</f>
        <v>0</v>
      </c>
      <c r="AN35" s="142">
        <f>IF(AN34&gt;0,0,MAX(AN22-AN24-AN28-AN32,0)*Premissas!$B$5*(1+Premissas!$B$126)*(1+Premissas!$B$124)^3+MAX(AN23-AN26-(IF(Premissas!$B$8&gt;0,MAX(AN24+AN26-AN22-AN23,0)*Premissas!$B$8,0)),0)*Premissas!$B$6*(1+Premissas!$B$126)*(1+Premissas!$B$124)^3)</f>
        <v>63984.457766858686</v>
      </c>
      <c r="AO35" s="142">
        <f>IF(AO34&gt;0,0,MAX(AO22-AO24-AO28-AO32,0)*Premissas!$B$5*(1+Premissas!$B$126)*(1+Premissas!$B$124)^3+MAX(AO23-AO26-(IF(Premissas!$B$8&gt;0,MAX(AO24+AO26-AO22-AO23,0)*Premissas!$B$8,0)),0)*Premissas!$B$6*(1+Premissas!$B$126)*(1+Premissas!$B$124)^3)</f>
        <v>353093.14039019862</v>
      </c>
      <c r="AP35" s="142">
        <f>IF(AP34&gt;0,0,MAX(AP22-AP24-AP28-AP32,0)*Premissas!$B$5*(1+Premissas!$B$126)*(1+Premissas!$B$124)^3+MAX(AP23-AP26-(IF(Premissas!$B$8&gt;0,MAX(AP24+AP26-AP22-AP23,0)*Premissas!$B$8,0)),0)*Premissas!$B$6*(1+Premissas!$B$126)*(1+Premissas!$B$124)^3)</f>
        <v>180446.82429777837</v>
      </c>
      <c r="AQ35" s="142">
        <f>IF(AQ34&gt;0,0,MAX(AQ22-AQ24-AQ28-AQ32,0)*Premissas!$B$5*(1+Premissas!$B$126)*(1+Premissas!$B$124)^3+MAX(AQ23-AQ26-(IF(Premissas!$B$8&gt;0,MAX(AQ24+AQ26-AQ22-AQ23,0)*Premissas!$B$8,0)),0)*Premissas!$B$6*(1+Premissas!$B$126)*(1+Premissas!$B$124)^3)</f>
        <v>0</v>
      </c>
      <c r="AR35" s="142">
        <f>IF(AR34&gt;0,0,MAX(AR22-AR24-AR28-AR32,0)*Premissas!$B$5*(1+Premissas!$B$126)*(1+Premissas!$B$124)^3+MAX(AR23-AR26-(IF(Premissas!$B$8&gt;0,MAX(AR24+AR26-AR22-AR23,0)*Premissas!$B$8,0)),0)*Premissas!$B$6*(1+Premissas!$B$126)*(1+Premissas!$B$124)^3)</f>
        <v>0</v>
      </c>
      <c r="AS35" s="142">
        <f>IF(AS34&gt;0,0,MAX(AS22-AS24-AS28-AS32,0)*Premissas!$B$5*(1+Premissas!$B$126)*(1+Premissas!$B$124)^3+MAX(AS23-AS26-(IF(Premissas!$B$8&gt;0,MAX(AS24+AS26-AS22-AS23,0)*Premissas!$B$8,0)),0)*Premissas!$B$6*(1+Premissas!$B$126)*(1+Premissas!$B$124)^3)</f>
        <v>0</v>
      </c>
      <c r="AT35" s="142">
        <f>IF(AT34&gt;0,0,MAX(AT22-AT24-AT28-AT32,0)*Premissas!$B$5*(1+Premissas!$B$126)*(1+Premissas!$B$124)^3+MAX(AT23-AT26-(IF(Premissas!$B$8&gt;0,MAX(AT24+AT26-AT22-AT23,0)*Premissas!$B$8,0)),0)*Premissas!$B$6*(1+Premissas!$B$126)*(1+Premissas!$B$124)^3)</f>
        <v>0</v>
      </c>
      <c r="AU35" s="142">
        <f>IF(AU34&gt;0,0,MAX(AU22-AU24-AU28-AU32,0)*Premissas!$B$5*(1+Premissas!$B$126)*(1+Premissas!$B$124)^3+MAX(AU23-AU26-(IF(Premissas!$B$8&gt;0,MAX(AU24+AU26-AU22-AU23,0)*Premissas!$B$8,0)),0)*Premissas!$B$6*(1+Premissas!$B$126)*(1+Premissas!$B$124)^3)</f>
        <v>0</v>
      </c>
      <c r="AV35" s="142">
        <f>IF(AV34&gt;0,0,MAX(AV22-AV24-AV28-AV32,0)*Premissas!$B$5*(1+Premissas!$B$126)*(1+Premissas!$B$124)^3+MAX(AV23-AV26-(IF(Premissas!$B$8&gt;0,MAX(AV24+AV26-AV22-AV23,0)*Premissas!$B$8,0)),0)*Premissas!$B$6*(1+Premissas!$B$126)*(1+Premissas!$B$124)^3)</f>
        <v>0</v>
      </c>
      <c r="AW35" s="142">
        <f>IF(AW34&gt;0,0,MAX(AW22-AW24-AW28-AW32,0)*Premissas!$B$5*(1+Premissas!$B$126)*(1+Premissas!$B$124)^3+MAX(AW23-AW26-(IF(Premissas!$B$8&gt;0,MAX(AW24+AW26-AW22-AW23,0)*Premissas!$B$8,0)),0)*Premissas!$B$6*(1+Premissas!$B$126)*(1+Premissas!$B$124)^3)</f>
        <v>275920.35358881764</v>
      </c>
      <c r="AX35" s="142">
        <f>IF(AX34&gt;0,0,MAX(AX22-AX24-AX28-AX32,0)*Premissas!$B$5*(1+Premissas!$B$126)*(1+Premissas!$B$124)^3+MAX(AX23-AX26-(IF(Premissas!$B$8&gt;0,MAX(AX24+AX26-AX22-AX23,0)*Premissas!$B$8,0)),0)*Premissas!$B$6*(1+Premissas!$B$126)*(1+Premissas!$B$124)^3)</f>
        <v>0</v>
      </c>
      <c r="AY35" s="142">
        <f>IF(AY34&gt;0,0,MAX(AY22-AY24-AY28-AY32,0)*Premissas!$B$5*(1+Premissas!$B$126)*(1+Premissas!$B$124)^3+MAX(AY23-AY26-(IF(Premissas!$B$8&gt;0,MAX(AY24+AY26-AY22-AY23,0)*Premissas!$B$8,0)),0)*Premissas!$B$6*(1+Premissas!$B$126)*(1+Premissas!$B$124)^3)</f>
        <v>0</v>
      </c>
      <c r="AZ35" s="142">
        <f>IF(AZ34&gt;0,0,MAX(AZ22-AZ24-AZ28-AZ32,0)*Premissas!$B$5*(1+Premissas!$B$126)*(1+Premissas!$B$124)^4+MAX(AZ23-AZ26-(IF(Premissas!$B$8&gt;0,MAX(AZ24+AZ26-AZ22-AZ23,0)*Premissas!$B$8,0)),0)*Premissas!$B$6*(1+Premissas!$B$126)*(1+Premissas!$B$124)^4)</f>
        <v>74530.182115034986</v>
      </c>
      <c r="BA35" s="142">
        <f>IF(BA34&gt;0,0,MAX(BA22-BA24-BA28-BA32,0)*Premissas!$B$5*(1+Premissas!$B$126)*(1+Premissas!$B$124)^4+MAX(BA23-BA26-(IF(Premissas!$B$8&gt;0,MAX(BA24+BA26-BA22-BA23,0)*Premissas!$B$8,0)),0)*Premissas!$B$6*(1+Premissas!$B$126)*(1+Premissas!$B$124)^4)</f>
        <v>385325.62494037382</v>
      </c>
      <c r="BB35" s="142">
        <f>IF(BB34&gt;0,0,MAX(BB22-BB24-BB28-BB32,0)*Premissas!$B$5*(1+Premissas!$B$126)*(1+Premissas!$B$124)^4+MAX(BB23-BB26-(IF(Premissas!$B$8&gt;0,MAX(BB24+BB26-BB22-BB23,0)*Premissas!$B$8,0)),0)*Premissas!$B$6*(1+Premissas!$B$126)*(1+Premissas!$B$124)^4)</f>
        <v>197817.46670165739</v>
      </c>
      <c r="BC35" s="142">
        <f>IF(BC34&gt;0,0,MAX(BC22-BC24-BC28-BC32,0)*Premissas!$B$5*(1+Premissas!$B$126)*(1+Premissas!$B$124)^4+MAX(BC23-BC26-(IF(Premissas!$B$8&gt;0,MAX(BC24+BC26-BC22-BC23,0)*Premissas!$B$8,0)),0)*Premissas!$B$6*(1+Premissas!$B$126)*(1+Premissas!$B$124)^4)</f>
        <v>0</v>
      </c>
      <c r="BD35" s="142">
        <f>IF(BD34&gt;0,0,MAX(BD22-BD24-BD28-BD32,0)*Premissas!$B$5*(1+Premissas!$B$126)*(1+Premissas!$B$124)^4+MAX(BD23-BD26-(IF(Premissas!$B$8&gt;0,MAX(BD24+BD26-BD22-BD23,0)*Premissas!$B$8,0)),0)*Premissas!$B$6*(1+Premissas!$B$126)*(1+Premissas!$B$124)^4)</f>
        <v>0</v>
      </c>
      <c r="BE35" s="142">
        <f>IF(BE34&gt;0,0,MAX(BE22-BE24-BE28-BE32,0)*Premissas!$B$5*(1+Premissas!$B$126)*(1+Premissas!$B$124)^4+MAX(BE23-BE26-(IF(Premissas!$B$8&gt;0,MAX(BE24+BE26-BE22-BE23,0)*Premissas!$B$8,0)),0)*Premissas!$B$6*(1+Premissas!$B$126)*(1+Premissas!$B$124)^4)</f>
        <v>0</v>
      </c>
      <c r="BF35" s="142">
        <f>IF(BF34&gt;0,0,MAX(BF22-BF24-BF28-BF32,0)*Premissas!$B$5*(1+Premissas!$B$126)*(1+Premissas!$B$124)^4+MAX(BF23-BF26-(IF(Premissas!$B$8&gt;0,MAX(BF24+BF26-BF22-BF23,0)*Premissas!$B$8,0)),0)*Premissas!$B$6*(1+Premissas!$B$126)*(1+Premissas!$B$124)^4)</f>
        <v>0</v>
      </c>
      <c r="BG35" s="142">
        <f>IF(BG34&gt;0,0,MAX(BG22-BG24-BG28-BG32,0)*Premissas!$B$5*(1+Premissas!$B$126)*(1+Premissas!$B$124)^4+MAX(BG23-BG26-(IF(Premissas!$B$8&gt;0,MAX(BG24+BG26-BG22-BG23,0)*Premissas!$B$8,0)),0)*Premissas!$B$6*(1+Premissas!$B$126)*(1+Premissas!$B$124)^4)</f>
        <v>0</v>
      </c>
      <c r="BH35" s="142">
        <f>IF(BH34&gt;0,0,MAX(BH22-BH24-BH28-BH32,0)*Premissas!$B$5*(1+Premissas!$B$126)*(1+Premissas!$B$124)^4+MAX(BH23-BH26-(IF(Premissas!$B$8&gt;0,MAX(BH24+BH26-BH22-BH23,0)*Premissas!$B$8,0)),0)*Premissas!$B$6*(1+Premissas!$B$126)*(1+Premissas!$B$124)^4)</f>
        <v>0</v>
      </c>
      <c r="BI35" s="142">
        <f>IF(BI34&gt;0,0,MAX(BI22-BI24-BI28-BI32,0)*Premissas!$B$5*(1+Premissas!$B$126)*(1+Premissas!$B$124)^4+MAX(BI23-BI26-(IF(Premissas!$B$8&gt;0,MAX(BI24+BI26-BI22-BI23,0)*Premissas!$B$8,0)),0)*Premissas!$B$6*(1+Premissas!$B$126)*(1+Premissas!$B$124)^4)</f>
        <v>320011.366726281</v>
      </c>
      <c r="BJ35" s="142">
        <f>IF(BJ34&gt;0,0,MAX(BJ22-BJ24-BJ28-BJ32,0)*Premissas!$B$5*(1+Premissas!$B$126)*(1+Premissas!$B$124)^4+MAX(BJ23-BJ26-(IF(Premissas!$B$8&gt;0,MAX(BJ24+BJ26-BJ22-BJ23,0)*Premissas!$B$8,0)),0)*Premissas!$B$6*(1+Premissas!$B$126)*(1+Premissas!$B$124)^4)</f>
        <v>0</v>
      </c>
      <c r="BK35" s="142">
        <f>IF(BK34&gt;0,0,MAX(BK22-BK24-BK28-BK32,0)*Premissas!$B$5*(1+Premissas!$B$126)*(1+Premissas!$B$124)^4+MAX(BK23-BK26-(IF(Premissas!$B$8&gt;0,MAX(BK24+BK26-BK22-BK23,0)*Premissas!$B$8,0)),0)*Premissas!$B$6*(1+Premissas!$B$126)*(1+Premissas!$B$124)^4)</f>
        <v>0</v>
      </c>
    </row>
    <row r="36" spans="1:63" ht="12.75" customHeight="1" x14ac:dyDescent="0.2">
      <c r="A36" s="143" t="s">
        <v>415</v>
      </c>
      <c r="B36" s="144">
        <f>SUM(D36:BQ36)</f>
        <v>0</v>
      </c>
      <c r="C36" s="124">
        <f>B36/60</f>
        <v>0</v>
      </c>
      <c r="D36" s="144">
        <f>IF(D31&gt;0,0,MAX(D22-D24-D27+D28-D29,0)*Premissas!$B$5*(1+Premissas!$B$126)*(1+Premissas!$B$124)^0+MAX(D23-D26-(IF(Premissas!$B$8&gt;0,MAX(D24+D27+D28+D29-D22,0)*Premissas!$B$8,0)),0)*Premissas!$B$6*(1+Premissas!$B$126)*(1+Premissas!$B$124)^0)</f>
        <v>0</v>
      </c>
      <c r="E36" s="144">
        <f>IF(E31&gt;0,0,MAX(E22-E24-E27+E28-E29,0)*Premissas!$B$5*(1+Premissas!$B$126)*(1+Premissas!$B$124)^0+MAX(E23-E26-(IF(Premissas!$B$8&gt;0,MAX(E24+E27+E28+E29-E22,0)*Premissas!$B$8,0)),0)*Premissas!$B$6*(1+Premissas!$B$126)*(1+Premissas!$B$124)^0)</f>
        <v>0</v>
      </c>
      <c r="F36" s="144">
        <f>IF(F31&gt;0,0,MAX(F22-F24-F27+F28-F29,0)*Premissas!$B$5*(1+Premissas!$B$126)*(1+Premissas!$B$124)^0+MAX(F23-F26-(IF(Premissas!$B$8&gt;0,MAX(F24+F27+F28+F29-F22,0)*Premissas!$B$8,0)),0)*Premissas!$B$6*(1+Premissas!$B$126)*(1+Premissas!$B$124)^0)</f>
        <v>0</v>
      </c>
      <c r="G36" s="144">
        <f>IF(G31&gt;0,0,MAX(G22-G24-G27+G28-G29,0)*Premissas!$B$5*(1+Premissas!$B$126)*(1+Premissas!$B$124)^0+MAX(G23-G26-(IF(Premissas!$B$8&gt;0,MAX(G24+G27+G28+G29-G22,0)*Premissas!$B$8,0)),0)*Premissas!$B$6*(1+Premissas!$B$126)*(1+Premissas!$B$124)^0)</f>
        <v>0</v>
      </c>
      <c r="H36" s="144">
        <f>IF(H31&gt;0,0,MAX(H22-H24-H27+H28-H29,0)*Premissas!$B$5*(1+Premissas!$B$126)*(1+Premissas!$B$124)^0+MAX(H23-H26-(IF(Premissas!$B$8&gt;0,MAX(H24+H27+H28+H29-H22,0)*Premissas!$B$8,0)),0)*Premissas!$B$6*(1+Premissas!$B$126)*(1+Premissas!$B$124)^0)</f>
        <v>0</v>
      </c>
      <c r="I36" s="144">
        <f>IF(I31&gt;0,0,MAX(I22-I24-I27+I28-I29,0)*Premissas!$B$5*(1+Premissas!$B$126)*(1+Premissas!$B$124)^0+MAX(I23-I26-(IF(Premissas!$B$8&gt;0,MAX(I24+I27+I28+I29-I22,0)*Premissas!$B$8,0)),0)*Premissas!$B$6*(1+Premissas!$B$126)*(1+Premissas!$B$124)^0)</f>
        <v>0</v>
      </c>
      <c r="J36" s="144">
        <f>IF(J31&gt;0,0,MAX(J22-J24-J27+J28-J29,0)*Premissas!$B$5*(1+Premissas!$B$126)*(1+Premissas!$B$124)^0+MAX(J23-J26-(IF(Premissas!$B$8&gt;0,MAX(J24+J27+J28+J29-J22,0)*Premissas!$B$8,0)),0)*Premissas!$B$6*(1+Premissas!$B$126)*(1+Premissas!$B$124)^0)</f>
        <v>0</v>
      </c>
      <c r="K36" s="144">
        <f>IF(K31&gt;0,0,MAX(K22-K24-K27+K28-K29,0)*Premissas!$B$5*(1+Premissas!$B$126)*(1+Premissas!$B$124)^0+MAX(K23-K26-(IF(Premissas!$B$8&gt;0,MAX(K24+K27+K28+K29-K22,0)*Premissas!$B$8,0)),0)*Premissas!$B$6*(1+Premissas!$B$126)*(1+Premissas!$B$124)^0)</f>
        <v>0</v>
      </c>
      <c r="L36" s="144">
        <f>IF(L31&gt;0,0,MAX(L22-L24-L27+L28-L29,0)*Premissas!$B$5*(1+Premissas!$B$126)*(1+Premissas!$B$124)^0+MAX(L23-L26-(IF(Premissas!$B$8&gt;0,MAX(L24+L27+L28+L29-L22,0)*Premissas!$B$8,0)),0)*Premissas!$B$6*(1+Premissas!$B$126)*(1+Premissas!$B$124)^0)</f>
        <v>0</v>
      </c>
      <c r="M36" s="144">
        <f>IF(M31&gt;0,0,MAX(M22-M24-M27+M28-M29,0)*Premissas!$B$5*(1+Premissas!$B$126)*(1+Premissas!$B$124)^0+MAX(M23-M26-(IF(Premissas!$B$8&gt;0,MAX(M24+M27+M28+M29-M22,0)*Premissas!$B$8,0)),0)*Premissas!$B$6*(1+Premissas!$B$126)*(1+Premissas!$B$124)^0)</f>
        <v>0</v>
      </c>
      <c r="N36" s="144">
        <f>IF(N31&gt;0,0,MAX(N22-N24-N27+N28-N29,0)*Premissas!$B$5*(1+Premissas!$B$126)*(1+Premissas!$B$124)^0+MAX(N23-N26-(IF(Premissas!$B$8&gt;0,MAX(N24+N27+N28+N29-N22,0)*Premissas!$B$8,0)),0)*Premissas!$B$6*(1+Premissas!$B$126)*(1+Premissas!$B$124)^0)</f>
        <v>0</v>
      </c>
      <c r="O36" s="144">
        <f>IF(O31&gt;0,0,MAX(O22-O24-O27+O28-O29,0)*Premissas!$B$5*(1+Premissas!$B$126)*(1+Premissas!$B$124)^0+MAX(O23-O26-(IF(Premissas!$B$8&gt;0,MAX(O24+O27+O28+O29-O22,0)*Premissas!$B$8,0)),0)*Premissas!$B$6*(1+Premissas!$B$126)*(1+Premissas!$B$124)^0)</f>
        <v>0</v>
      </c>
      <c r="P36" s="144">
        <f>IF(P31&gt;0,0,MAX(P22-P24-P27+P28-P29,0)*Premissas!$B$5*(1+Premissas!$B$126)*(1+Premissas!$B$124)^1+MAX(P23-P26-(IF(Premissas!$B$8&gt;0,MAX(P24+P27+P28+P29-P22,0)*Premissas!$B$8,0)),0)*Premissas!$B$6*(1+Premissas!$B$126)*(1+Premissas!$B$124)^1)</f>
        <v>0</v>
      </c>
      <c r="Q36" s="144">
        <f>IF(Q31&gt;0,0,MAX(Q22-Q24-Q27+Q28-Q29,0)*Premissas!$B$5*(1+Premissas!$B$126)*(1+Premissas!$B$124)^1+MAX(Q23-Q26-(IF(Premissas!$B$8&gt;0,MAX(Q24+Q27+Q28+Q29-Q22,0)*Premissas!$B$8,0)),0)*Premissas!$B$6*(1+Premissas!$B$126)*(1+Premissas!$B$124)^1)</f>
        <v>0</v>
      </c>
      <c r="R36" s="144">
        <f>IF(R31&gt;0,0,MAX(R22-R24-R27+R28-R29,0)*Premissas!$B$5*(1+Premissas!$B$126)*(1+Premissas!$B$124)^1+MAX(R23-R26-(IF(Premissas!$B$8&gt;0,MAX(R24+R27+R28+R29-R22,0)*Premissas!$B$8,0)),0)*Premissas!$B$6*(1+Premissas!$B$126)*(1+Premissas!$B$124)^1)</f>
        <v>0</v>
      </c>
      <c r="S36" s="144">
        <f>IF(S31&gt;0,0,MAX(S22-S24-S27+S28-S29,0)*Premissas!$B$5*(1+Premissas!$B$126)*(1+Premissas!$B$124)^1+MAX(S23-S26-(IF(Premissas!$B$8&gt;0,MAX(S24+S27+S28+S29-S22,0)*Premissas!$B$8,0)),0)*Premissas!$B$6*(1+Premissas!$B$126)*(1+Premissas!$B$124)^1)</f>
        <v>0</v>
      </c>
      <c r="T36" s="144">
        <f>IF(T31&gt;0,0,MAX(T22-T24-T27+T28-T29,0)*Premissas!$B$5*(1+Premissas!$B$126)*(1+Premissas!$B$124)^1+MAX(T23-T26-(IF(Premissas!$B$8&gt;0,MAX(T24+T27+T28+T29-T22,0)*Premissas!$B$8,0)),0)*Premissas!$B$6*(1+Premissas!$B$126)*(1+Premissas!$B$124)^1)</f>
        <v>0</v>
      </c>
      <c r="U36" s="144">
        <f>IF(U31&gt;0,0,MAX(U22-U24-U27+U28-U29,0)*Premissas!$B$5*(1+Premissas!$B$126)*(1+Premissas!$B$124)^1+MAX(U23-U26-(IF(Premissas!$B$8&gt;0,MAX(U24+U27+U28+U29-U22,0)*Premissas!$B$8,0)),0)*Premissas!$B$6*(1+Premissas!$B$126)*(1+Premissas!$B$124)^1)</f>
        <v>0</v>
      </c>
      <c r="V36" s="144">
        <f>IF(V31&gt;0,0,MAX(V22-V24-V27+V28-V29,0)*Premissas!$B$5*(1+Premissas!$B$126)*(1+Premissas!$B$124)^1+MAX(V23-V26-(IF(Premissas!$B$8&gt;0,MAX(V24+V27+V28+V29-V22,0)*Premissas!$B$8,0)),0)*Premissas!$B$6*(1+Premissas!$B$126)*(1+Premissas!$B$124)^1)</f>
        <v>0</v>
      </c>
      <c r="W36" s="144">
        <f>IF(W31&gt;0,0,MAX(W22-W24-W27+W28-W29,0)*Premissas!$B$5*(1+Premissas!$B$126)*(1+Premissas!$B$124)^1+MAX(W23-W26-(IF(Premissas!$B$8&gt;0,MAX(W24+W27+W28+W29-W22,0)*Premissas!$B$8,0)),0)*Premissas!$B$6*(1+Premissas!$B$126)*(1+Premissas!$B$124)^1)</f>
        <v>0</v>
      </c>
      <c r="X36" s="144">
        <f>IF(X31&gt;0,0,MAX(X22-X24-X27+X28-X29,0)*Premissas!$B$5*(1+Premissas!$B$126)*(1+Premissas!$B$124)^1+MAX(X23-X26-(IF(Premissas!$B$8&gt;0,MAX(X24+X27+X28+X29-X22,0)*Premissas!$B$8,0)),0)*Premissas!$B$6*(1+Premissas!$B$126)*(1+Premissas!$B$124)^1)</f>
        <v>0</v>
      </c>
      <c r="Y36" s="144">
        <f>IF(Y31&gt;0,0,MAX(Y22-Y24-Y27+Y28-Y29,0)*Premissas!$B$5*(1+Premissas!$B$126)*(1+Premissas!$B$124)^1+MAX(Y23-Y26-(IF(Premissas!$B$8&gt;0,MAX(Y24+Y27+Y28+Y29-Y22,0)*Premissas!$B$8,0)),0)*Premissas!$B$6*(1+Premissas!$B$126)*(1+Premissas!$B$124)^1)</f>
        <v>0</v>
      </c>
      <c r="Z36" s="144">
        <f>IF(Z31&gt;0,0,MAX(Z22-Z24-Z27+Z28-Z29,0)*Premissas!$B$5*(1+Premissas!$B$126)*(1+Premissas!$B$124)^1+MAX(Z23-Z26-(IF(Premissas!$B$8&gt;0,MAX(Z24+Z27+Z28+Z29-Z22,0)*Premissas!$B$8,0)),0)*Premissas!$B$6*(1+Premissas!$B$126)*(1+Premissas!$B$124)^1)</f>
        <v>0</v>
      </c>
      <c r="AA36" s="144">
        <f>IF(AA31&gt;0,0,MAX(AA22-AA24-AA27+AA28-AA29,0)*Premissas!$B$5*(1+Premissas!$B$126)*(1+Premissas!$B$124)^1+MAX(AA23-AA26-(IF(Premissas!$B$8&gt;0,MAX(AA24+AA27+AA28+AA29-AA22,0)*Premissas!$B$8,0)),0)*Premissas!$B$6*(1+Premissas!$B$126)*(1+Premissas!$B$124)^1)</f>
        <v>0</v>
      </c>
      <c r="AB36" s="144">
        <f>IF(AB31&gt;0,0,MAX(AB22-AB24-AB27+AB28-AB29,0)*Premissas!$B$5*(1+Premissas!$B$126)*(1+Premissas!$B$124)^2+MAX(AB23-AB26-(IF(Premissas!$B$8&gt;0,MAX(AB24+AB26-AB22-AB23,0)*Premissas!$B$8,0)),0)*Premissas!$B$6*(1+Premissas!$B$126)*(1+Premissas!$B$124)^2)</f>
        <v>0</v>
      </c>
      <c r="AC36" s="144">
        <f>IF(AC31&gt;0,0,MAX(AC22-AC24-AC27+AC28-AC29,0)*Premissas!$B$5*(1+Premissas!$B$126)*(1+Premissas!$B$124)^2+MAX(AC23-AC26-(IF(Premissas!$B$8&gt;0,MAX(AC24+AC26-AC22-AC23,0)*Premissas!$B$8,0)),0)*Premissas!$B$6*(1+Premissas!$B$126)*(1+Premissas!$B$124)^2)</f>
        <v>0</v>
      </c>
      <c r="AD36" s="144">
        <f>IF(AD31&gt;0,0,MAX(AD22-AD24-AD27+AD28-AD29,0)*Premissas!$B$5*(1+Premissas!$B$126)*(1+Premissas!$B$124)^2+MAX(AD23-AD26-(IF(Premissas!$B$8&gt;0,MAX(AD24+AD26-AD22-AD23,0)*Premissas!$B$8,0)),0)*Premissas!$B$6*(1+Premissas!$B$126)*(1+Premissas!$B$124)^2)</f>
        <v>0</v>
      </c>
      <c r="AE36" s="144">
        <f>IF(AE31&gt;0,0,MAX(AE22-AE24-AE27+AE28-AE29,0)*Premissas!$B$5*(1+Premissas!$B$126)*(1+Premissas!$B$124)^2+MAX(AE23-AE26-(IF(Premissas!$B$8&gt;0,MAX(AE24+AE26-AE22-AE23,0)*Premissas!$B$8,0)),0)*Premissas!$B$6*(1+Premissas!$B$126)*(1+Premissas!$B$124)^2)</f>
        <v>0</v>
      </c>
      <c r="AF36" s="144">
        <f>IF(AF31&gt;0,0,MAX(AF22-AF24-AF27+AF28-AF29,0)*Premissas!$B$5*(1+Premissas!$B$126)*(1+Premissas!$B$124)^2+MAX(AF23-AF26-(IF(Premissas!$B$8&gt;0,MAX(AF24+AF26-AF22-AF23,0)*Premissas!$B$8,0)),0)*Premissas!$B$6*(1+Premissas!$B$126)*(1+Premissas!$B$124)^2)</f>
        <v>0</v>
      </c>
      <c r="AG36" s="144">
        <f>IF(AG31&gt;0,0,MAX(AG22-AG24-AG27+AG28-AG29,0)*Premissas!$B$5*(1+Premissas!$B$126)*(1+Premissas!$B$124)^2+MAX(AG23-AG26-(IF(Premissas!$B$8&gt;0,MAX(AG24+AG26-AG22-AG23,0)*Premissas!$B$8,0)),0)*Premissas!$B$6*(1+Premissas!$B$126)*(1+Premissas!$B$124)^2)</f>
        <v>0</v>
      </c>
      <c r="AH36" s="144">
        <f>IF(AH31&gt;0,0,MAX(AH22-AH24-AH27+AH28-AH29,0)*Premissas!$B$5*(1+Premissas!$B$126)*(1+Premissas!$B$124)^2+MAX(AH23-AH26-(IF(Premissas!$B$8&gt;0,MAX(AH24+AH26-AH22-AH23,0)*Premissas!$B$8,0)),0)*Premissas!$B$6*(1+Premissas!$B$126)*(1+Premissas!$B$124)^2)</f>
        <v>0</v>
      </c>
      <c r="AI36" s="144">
        <f>IF(AI31&gt;0,0,MAX(AI22-AI24-AI27+AI28-AI29,0)*Premissas!$B$5*(1+Premissas!$B$126)*(1+Premissas!$B$124)^2+MAX(AI23-AI26-(IF(Premissas!$B$8&gt;0,MAX(AI24+AI26-AI22-AI23,0)*Premissas!$B$8,0)),0)*Premissas!$B$6*(1+Premissas!$B$126)*(1+Premissas!$B$124)^2)</f>
        <v>0</v>
      </c>
      <c r="AJ36" s="144">
        <f>IF(AJ31&gt;0,0,MAX(AJ22-AJ24-AJ27+AJ28-AJ29,0)*Premissas!$B$5*(1+Premissas!$B$126)*(1+Premissas!$B$124)^2+MAX(AJ23-AJ26-(IF(Premissas!$B$8&gt;0,MAX(AJ24+AJ26-AJ22-AJ23,0)*Premissas!$B$8,0)),0)*Premissas!$B$6*(1+Premissas!$B$126)*(1+Premissas!$B$124)^2)</f>
        <v>0</v>
      </c>
      <c r="AK36" s="144">
        <f>IF(AK31&gt;0,0,MAX(AK22-AK24-AK27+AK28-AK29,0)*Premissas!$B$5*(1+Premissas!$B$126)*(1+Premissas!$B$124)^2+MAX(AK23-AK26-(IF(Premissas!$B$8&gt;0,MAX(AK24+AK26-AK22-AK23,0)*Premissas!$B$8,0)),0)*Premissas!$B$6*(1+Premissas!$B$126)*(1+Premissas!$B$124)^2)</f>
        <v>0</v>
      </c>
      <c r="AL36" s="144">
        <f>IF(AL31&gt;0,0,MAX(AL22-AL24-AL27+AL28-AL29,0)*Premissas!$B$5*(1+Premissas!$B$126)*(1+Premissas!$B$124)^2+MAX(AL23-AL26-(IF(Premissas!$B$8&gt;0,MAX(AL24+AL26-AL22-AL23,0)*Premissas!$B$8,0)),0)*Premissas!$B$6*(1+Premissas!$B$126)*(1+Premissas!$B$124)^2)</f>
        <v>0</v>
      </c>
      <c r="AM36" s="144">
        <f>IF(AM31&gt;0,0,MAX(AM22-AM24-AM27+AM28-AM29,0)*Premissas!$B$5*(1+Premissas!$B$126)*(1+Premissas!$B$124)^2+MAX(AM23-AM26-(IF(Premissas!$B$8&gt;0,MAX(AM24+AM26-AM22-AM23,0)*Premissas!$B$8,0)),0)*Premissas!$B$6*(1+Premissas!$B$126)*(1+Premissas!$B$124)^2)</f>
        <v>0</v>
      </c>
      <c r="AN36" s="144">
        <f>IF(AN31&gt;0,0,MAX(AN22-AN24-AN27+AN28-AN29,0)*Premissas!$B$5*(1+Premissas!$B$126)*(1+Premissas!$B$124)^3+MAX(AN23-AN26-(IF(Premissas!$B$8&gt;0,MAX(AN24+AN26-AN22-AN23,0)*Premissas!$B$8,0)),0)*Premissas!$B$6*(1+Premissas!$B$126)*(1+Premissas!$B$124)^3)</f>
        <v>0</v>
      </c>
      <c r="AO36" s="144">
        <f>IF(AO31&gt;0,0,MAX(AO22-AO24-AO27+AO28-AO29,0)*Premissas!$B$5*(1+Premissas!$B$126)*(1+Premissas!$B$124)^3+MAX(AO23-AO26-(IF(Premissas!$B$8&gt;0,MAX(AO24+AO26-AO22-AO23,0)*Premissas!$B$8,0)),0)*Premissas!$B$6*(1+Premissas!$B$126)*(1+Premissas!$B$124)^3)</f>
        <v>0</v>
      </c>
      <c r="AP36" s="144">
        <f>IF(AP31&gt;0,0,MAX(AP22-AP24-AP27+AP28-AP29,0)*Premissas!$B$5*(1+Premissas!$B$126)*(1+Premissas!$B$124)^3+MAX(AP23-AP26-(IF(Premissas!$B$8&gt;0,MAX(AP24+AP26-AP22-AP23,0)*Premissas!$B$8,0)),0)*Premissas!$B$6*(1+Premissas!$B$126)*(1+Premissas!$B$124)^3)</f>
        <v>0</v>
      </c>
      <c r="AQ36" s="144">
        <f>IF(AQ31&gt;0,0,MAX(AQ22-AQ24-AQ27+AQ28-AQ29,0)*Premissas!$B$5*(1+Premissas!$B$126)*(1+Premissas!$B$124)^3+MAX(AQ23-AQ26-(IF(Premissas!$B$8&gt;0,MAX(AQ24+AQ26-AQ22-AQ23,0)*Premissas!$B$8,0)),0)*Premissas!$B$6*(1+Premissas!$B$126)*(1+Premissas!$B$124)^3)</f>
        <v>0</v>
      </c>
      <c r="AR36" s="144">
        <f>IF(AR31&gt;0,0,MAX(AR22-AR24-AR27+AR28-AR29,0)*Premissas!$B$5*(1+Premissas!$B$126)*(1+Premissas!$B$124)^3+MAX(AR23-AR26-(IF(Premissas!$B$8&gt;0,MAX(AR24+AR26-AR22-AR23,0)*Premissas!$B$8,0)),0)*Premissas!$B$6*(1+Premissas!$B$126)*(1+Premissas!$B$124)^3)</f>
        <v>0</v>
      </c>
      <c r="AS36" s="144">
        <f>IF(AS31&gt;0,0,MAX(AS22-AS24-AS27+AS28-AS29,0)*Premissas!$B$5*(1+Premissas!$B$126)*(1+Premissas!$B$124)^3+MAX(AS23-AS26-(IF(Premissas!$B$8&gt;0,MAX(AS24+AS26-AS22-AS23,0)*Premissas!$B$8,0)),0)*Premissas!$B$6*(1+Premissas!$B$126)*(1+Premissas!$B$124)^3)</f>
        <v>0</v>
      </c>
      <c r="AT36" s="144">
        <f>IF(AT31&gt;0,0,MAX(AT22-AT24-AT27+AT28-AT29,0)*Premissas!$B$5*(1+Premissas!$B$126)*(1+Premissas!$B$124)^3+MAX(AT23-AT26-(IF(Premissas!$B$8&gt;0,MAX(AT24+AT26-AT22-AT23,0)*Premissas!$B$8,0)),0)*Premissas!$B$6*(1+Premissas!$B$126)*(1+Premissas!$B$124)^3)</f>
        <v>0</v>
      </c>
      <c r="AU36" s="144">
        <f>IF(AU31&gt;0,0,MAX(AU22-AU24-AU27+AU28-AU29,0)*Premissas!$B$5*(1+Premissas!$B$126)*(1+Premissas!$B$124)^3+MAX(AU23-AU26-(IF(Premissas!$B$8&gt;0,MAX(AU24+AU26-AU22-AU23,0)*Premissas!$B$8,0)),0)*Premissas!$B$6*(1+Premissas!$B$126)*(1+Premissas!$B$124)^3)</f>
        <v>0</v>
      </c>
      <c r="AV36" s="144">
        <f>IF(AV31&gt;0,0,MAX(AV22-AV24-AV27+AV28-AV29,0)*Premissas!$B$5*(1+Premissas!$B$126)*(1+Premissas!$B$124)^3+MAX(AV23-AV26-(IF(Premissas!$B$8&gt;0,MAX(AV24+AV26-AV22-AV23,0)*Premissas!$B$8,0)),0)*Premissas!$B$6*(1+Premissas!$B$126)*(1+Premissas!$B$124)^3)</f>
        <v>0</v>
      </c>
      <c r="AW36" s="144">
        <f>IF(AW31&gt;0,0,MAX(AW22-AW24-AW27+AW28-AW29,0)*Premissas!$B$5*(1+Premissas!$B$126)*(1+Premissas!$B$124)^3+MAX(AW23-AW26-(IF(Premissas!$B$8&gt;0,MAX(AW24+AW26-AW22-AW23,0)*Premissas!$B$8,0)),0)*Premissas!$B$6*(1+Premissas!$B$126)*(1+Premissas!$B$124)^3)</f>
        <v>0</v>
      </c>
      <c r="AX36" s="144">
        <f>IF(AX31&gt;0,0,MAX(AX22-AX24-AX27+AX28-AX29,0)*Premissas!$B$5*(1+Premissas!$B$126)*(1+Premissas!$B$124)^3+MAX(AX23-AX26-(IF(Premissas!$B$8&gt;0,MAX(AX24+AX26-AX22-AX23,0)*Premissas!$B$8,0)),0)*Premissas!$B$6*(1+Premissas!$B$126)*(1+Premissas!$B$124)^3)</f>
        <v>0</v>
      </c>
      <c r="AY36" s="144">
        <f>IF(AY31&gt;0,0,MAX(AY22-AY24-AY27+AY28-AY29,0)*Premissas!$B$5*(1+Premissas!$B$126)*(1+Premissas!$B$124)^3+MAX(AY23-AY26-(IF(Premissas!$B$8&gt;0,MAX(AY24+AY26-AY22-AY23,0)*Premissas!$B$8,0)),0)*Premissas!$B$6*(1+Premissas!$B$126)*(1+Premissas!$B$124)^3)</f>
        <v>0</v>
      </c>
      <c r="AZ36" s="144">
        <f>IF(AZ31&gt;0,0,MAX(AZ22-AZ24-AZ27+AZ28-AZ29,0)*Premissas!$B$5*(1+Premissas!$B$126)*(1+Premissas!$B$124)^4+MAX(AZ23-AZ26-(IF(Premissas!$B$8&gt;0,MAX(AZ24+AZ26-AZ22-AZ23,0)*Premissas!$B$8,0)),0)*Premissas!$B$6*(1+Premissas!$B$126)*(1+Premissas!$B$124)^4)</f>
        <v>0</v>
      </c>
      <c r="BA36" s="144">
        <f>IF(BA31&gt;0,0,MAX(BA22-BA24-BA27+BA28-BA29,0)*Premissas!$B$5*(1+Premissas!$B$126)*(1+Premissas!$B$124)^4+MAX(BA23-BA26-(IF(Premissas!$B$8&gt;0,MAX(BA24+BA26-BA22-BA23,0)*Premissas!$B$8,0)),0)*Premissas!$B$6*(1+Premissas!$B$126)*(1+Premissas!$B$124)^4)</f>
        <v>0</v>
      </c>
      <c r="BB36" s="144">
        <f>IF(BB31&gt;0,0,MAX(BB22-BB24-BB27+BB28-BB29,0)*Premissas!$B$5*(1+Premissas!$B$126)*(1+Premissas!$B$124)^4+MAX(BB23-BB26-(IF(Premissas!$B$8&gt;0,MAX(BB24+BB26-BB22-BB23,0)*Premissas!$B$8,0)),0)*Premissas!$B$6*(1+Premissas!$B$126)*(1+Premissas!$B$124)^4)</f>
        <v>0</v>
      </c>
      <c r="BC36" s="144">
        <f>IF(BC31&gt;0,0,MAX(BC22-BC24-BC27+BC28-BC29,0)*Premissas!$B$5*(1+Premissas!$B$126)*(1+Premissas!$B$124)^4+MAX(BC23-BC26-(IF(Premissas!$B$8&gt;0,MAX(BC24+BC26-BC22-BC23,0)*Premissas!$B$8,0)),0)*Premissas!$B$6*(1+Premissas!$B$126)*(1+Premissas!$B$124)^4)</f>
        <v>0</v>
      </c>
      <c r="BD36" s="144">
        <f>IF(BD31&gt;0,0,MAX(BD22-BD24-BD27+BD28-BD29,0)*Premissas!$B$5*(1+Premissas!$B$126)*(1+Premissas!$B$124)^4+MAX(BD23-BD26-(IF(Premissas!$B$8&gt;0,MAX(BD24+BD26-BD22-BD23,0)*Premissas!$B$8,0)),0)*Premissas!$B$6*(1+Premissas!$B$126)*(1+Premissas!$B$124)^4)</f>
        <v>0</v>
      </c>
      <c r="BE36" s="144">
        <f>IF(BE31&gt;0,0,MAX(BE22-BE24-BE27+BE28-BE29,0)*Premissas!$B$5*(1+Premissas!$B$126)*(1+Premissas!$B$124)^4+MAX(BE23-BE26-(IF(Premissas!$B$8&gt;0,MAX(BE24+BE26-BE22-BE23,0)*Premissas!$B$8,0)),0)*Premissas!$B$6*(1+Premissas!$B$126)*(1+Premissas!$B$124)^4)</f>
        <v>0</v>
      </c>
      <c r="BF36" s="144">
        <f>IF(BF31&gt;0,0,MAX(BF22-BF24-BF27+BF28-BF29,0)*Premissas!$B$5*(1+Premissas!$B$126)*(1+Premissas!$B$124)^4+MAX(BF23-BF26-(IF(Premissas!$B$8&gt;0,MAX(BF24+BF26-BF22-BF23,0)*Premissas!$B$8,0)),0)*Premissas!$B$6*(1+Premissas!$B$126)*(1+Premissas!$B$124)^4)</f>
        <v>0</v>
      </c>
      <c r="BG36" s="144">
        <f>IF(BG31&gt;0,0,MAX(BG22-BG24-BG27+BG28-BG29,0)*Premissas!$B$5*(1+Premissas!$B$126)*(1+Premissas!$B$124)^4+MAX(BG23-BG26-(IF(Premissas!$B$8&gt;0,MAX(BG24+BG26-BG22-BG23,0)*Premissas!$B$8,0)),0)*Premissas!$B$6*(1+Premissas!$B$126)*(1+Premissas!$B$124)^4)</f>
        <v>0</v>
      </c>
      <c r="BH36" s="144">
        <f>IF(BH31&gt;0,0,MAX(BH22-BH24-BH27+BH28-BH29,0)*Premissas!$B$5*(1+Premissas!$B$126)*(1+Premissas!$B$124)^4+MAX(BH23-BH26-(IF(Premissas!$B$8&gt;0,MAX(BH24+BH26-BH22-BH23,0)*Premissas!$B$8,0)),0)*Premissas!$B$6*(1+Premissas!$B$126)*(1+Premissas!$B$124)^4)</f>
        <v>0</v>
      </c>
      <c r="BI36" s="144">
        <f>IF(BI31&gt;0,0,MAX(BI22-BI24-BI27+BI28-BI29,0)*Premissas!$B$5*(1+Premissas!$B$126)*(1+Premissas!$B$124)^4+MAX(BI23-BI26-(IF(Premissas!$B$8&gt;0,MAX(BI24+BI26-BI22-BI23,0)*Premissas!$B$8,0)),0)*Premissas!$B$6*(1+Premissas!$B$126)*(1+Premissas!$B$124)^4)</f>
        <v>0</v>
      </c>
      <c r="BJ36" s="144">
        <f>IF(BJ31&gt;0,0,MAX(BJ22-BJ24-BJ27+BJ28-BJ29,0)*Premissas!$B$5*(1+Premissas!$B$126)*(1+Premissas!$B$124)^4+MAX(BJ23-BJ26-(IF(Premissas!$B$8&gt;0,MAX(BJ24+BJ26-BJ22-BJ23,0)*Premissas!$B$8,0)),0)*Premissas!$B$6*(1+Premissas!$B$126)*(1+Premissas!$B$124)^4)</f>
        <v>0</v>
      </c>
      <c r="BK36" s="144">
        <f>IF(BK31&gt;0,0,MAX(BK22-BK24-BK27+BK28-BK29,0)*Premissas!$B$5*(1+Premissas!$B$126)*(1+Premissas!$B$124)^4+MAX(BK23-BK26-(IF(Premissas!$B$8&gt;0,MAX(BK24+BK26-BK22-BK23,0)*Premissas!$B$8,0)),0)*Premissas!$B$6*(1+Premissas!$B$126)*(1+Premissas!$B$124)^4)</f>
        <v>0</v>
      </c>
    </row>
    <row r="37" spans="1:63" ht="13.5" customHeight="1" x14ac:dyDescent="0.2">
      <c r="A37" s="41" t="s">
        <v>416</v>
      </c>
      <c r="B37" s="44">
        <f>SUM(D37:BQ37)</f>
        <v>3326978.8582771802</v>
      </c>
      <c r="C37" s="124">
        <f>B37/60</f>
        <v>55449.647637953007</v>
      </c>
      <c r="D37" s="145">
        <f t="shared" ref="D37:AI37" si="22">MAX(D35-D36,0)</f>
        <v>0</v>
      </c>
      <c r="E37" s="145">
        <f t="shared" si="22"/>
        <v>0</v>
      </c>
      <c r="F37" s="145">
        <f t="shared" si="22"/>
        <v>0</v>
      </c>
      <c r="G37" s="145">
        <f t="shared" si="22"/>
        <v>0</v>
      </c>
      <c r="H37" s="145">
        <f t="shared" si="22"/>
        <v>0</v>
      </c>
      <c r="I37" s="145">
        <f t="shared" si="22"/>
        <v>0</v>
      </c>
      <c r="J37" s="145">
        <f t="shared" si="22"/>
        <v>0</v>
      </c>
      <c r="K37" s="145">
        <f t="shared" si="22"/>
        <v>0</v>
      </c>
      <c r="L37" s="145">
        <f t="shared" si="22"/>
        <v>0</v>
      </c>
      <c r="M37" s="145">
        <f t="shared" si="22"/>
        <v>0</v>
      </c>
      <c r="N37" s="145">
        <f t="shared" si="22"/>
        <v>0</v>
      </c>
      <c r="O37" s="145">
        <f t="shared" si="22"/>
        <v>0</v>
      </c>
      <c r="P37" s="145">
        <f t="shared" si="22"/>
        <v>44220.37418883678</v>
      </c>
      <c r="Q37" s="145">
        <f t="shared" si="22"/>
        <v>296353.68452116009</v>
      </c>
      <c r="R37" s="145">
        <f t="shared" si="22"/>
        <v>149985.51198620675</v>
      </c>
      <c r="S37" s="145">
        <f t="shared" si="22"/>
        <v>0</v>
      </c>
      <c r="T37" s="145">
        <f t="shared" si="22"/>
        <v>0</v>
      </c>
      <c r="U37" s="145">
        <f t="shared" si="22"/>
        <v>0</v>
      </c>
      <c r="V37" s="145">
        <f t="shared" si="22"/>
        <v>0</v>
      </c>
      <c r="W37" s="145">
        <f t="shared" si="22"/>
        <v>0</v>
      </c>
      <c r="X37" s="145">
        <f t="shared" si="22"/>
        <v>0</v>
      </c>
      <c r="Y37" s="145">
        <f t="shared" si="22"/>
        <v>205050.18548350022</v>
      </c>
      <c r="Z37" s="145">
        <f t="shared" si="22"/>
        <v>0</v>
      </c>
      <c r="AA37" s="145">
        <f t="shared" si="22"/>
        <v>0</v>
      </c>
      <c r="AB37" s="145">
        <f t="shared" si="22"/>
        <v>54517.513594387732</v>
      </c>
      <c r="AC37" s="145">
        <f t="shared" si="22"/>
        <v>323507.46191002365</v>
      </c>
      <c r="AD37" s="145">
        <f t="shared" si="22"/>
        <v>164543.22553973278</v>
      </c>
      <c r="AE37" s="145">
        <f t="shared" si="22"/>
        <v>0</v>
      </c>
      <c r="AF37" s="145">
        <f t="shared" si="22"/>
        <v>0</v>
      </c>
      <c r="AG37" s="145">
        <f t="shared" si="22"/>
        <v>0</v>
      </c>
      <c r="AH37" s="145">
        <f t="shared" si="22"/>
        <v>0</v>
      </c>
      <c r="AI37" s="145">
        <f t="shared" si="22"/>
        <v>0</v>
      </c>
      <c r="AJ37" s="145">
        <f t="shared" ref="AJ37:BO37" si="23">MAX(AJ35-AJ36,0)</f>
        <v>0</v>
      </c>
      <c r="AK37" s="145">
        <f t="shared" si="23"/>
        <v>237671.48452633154</v>
      </c>
      <c r="AL37" s="145">
        <f t="shared" si="23"/>
        <v>0</v>
      </c>
      <c r="AM37" s="145">
        <f t="shared" si="23"/>
        <v>0</v>
      </c>
      <c r="AN37" s="145">
        <f t="shared" si="23"/>
        <v>63984.457766858686</v>
      </c>
      <c r="AO37" s="145">
        <f t="shared" si="23"/>
        <v>353093.14039019862</v>
      </c>
      <c r="AP37" s="145">
        <f t="shared" si="23"/>
        <v>180446.82429777837</v>
      </c>
      <c r="AQ37" s="145">
        <f t="shared" si="23"/>
        <v>0</v>
      </c>
      <c r="AR37" s="145">
        <f t="shared" si="23"/>
        <v>0</v>
      </c>
      <c r="AS37" s="145">
        <f t="shared" si="23"/>
        <v>0</v>
      </c>
      <c r="AT37" s="145">
        <f t="shared" si="23"/>
        <v>0</v>
      </c>
      <c r="AU37" s="145">
        <f t="shared" si="23"/>
        <v>0</v>
      </c>
      <c r="AV37" s="145">
        <f t="shared" si="23"/>
        <v>0</v>
      </c>
      <c r="AW37" s="145">
        <f t="shared" si="23"/>
        <v>275920.35358881764</v>
      </c>
      <c r="AX37" s="145">
        <f t="shared" si="23"/>
        <v>0</v>
      </c>
      <c r="AY37" s="145">
        <f t="shared" si="23"/>
        <v>0</v>
      </c>
      <c r="AZ37" s="145">
        <f t="shared" si="23"/>
        <v>74530.182115034986</v>
      </c>
      <c r="BA37" s="145">
        <f t="shared" si="23"/>
        <v>385325.62494037382</v>
      </c>
      <c r="BB37" s="145">
        <f t="shared" si="23"/>
        <v>197817.46670165739</v>
      </c>
      <c r="BC37" s="145">
        <f t="shared" si="23"/>
        <v>0</v>
      </c>
      <c r="BD37" s="145">
        <f t="shared" si="23"/>
        <v>0</v>
      </c>
      <c r="BE37" s="145">
        <f t="shared" si="23"/>
        <v>0</v>
      </c>
      <c r="BF37" s="145">
        <f t="shared" si="23"/>
        <v>0</v>
      </c>
      <c r="BG37" s="145">
        <f t="shared" si="23"/>
        <v>0</v>
      </c>
      <c r="BH37" s="145">
        <f t="shared" si="23"/>
        <v>0</v>
      </c>
      <c r="BI37" s="145">
        <f t="shared" si="23"/>
        <v>320011.366726281</v>
      </c>
      <c r="BJ37" s="145">
        <f t="shared" si="23"/>
        <v>0</v>
      </c>
      <c r="BK37" s="145">
        <f t="shared" si="23"/>
        <v>0</v>
      </c>
    </row>
    <row r="38" spans="1:63" ht="14.25" customHeight="1" x14ac:dyDescent="0.2">
      <c r="F38" s="146"/>
      <c r="H38" s="146"/>
    </row>
    <row r="39" spans="1:63" ht="15" customHeight="1" x14ac:dyDescent="0.2">
      <c r="A39" s="369" t="s">
        <v>417</v>
      </c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89"/>
    </row>
    <row r="40" spans="1:63" ht="12.75" customHeight="1" x14ac:dyDescent="0.2">
      <c r="A40" s="134" t="s">
        <v>403</v>
      </c>
      <c r="B40" s="121">
        <f t="shared" ref="B40:B46" si="24">SUM(D40:BQ40)</f>
        <v>6692611.3923417581</v>
      </c>
      <c r="C40" s="120">
        <f t="shared" ref="C40:C46" si="25">B40/60</f>
        <v>111543.52320569596</v>
      </c>
      <c r="D40" s="121">
        <f>Input_Consumo_GrupoA!$F$9</f>
        <v>182444.7</v>
      </c>
      <c r="E40" s="121">
        <f>Input_Consumo_GrupoA!$F$10</f>
        <v>234799.2</v>
      </c>
      <c r="F40" s="121">
        <f>Input_Consumo_GrupoA!$F$11</f>
        <v>134799.29999999999</v>
      </c>
      <c r="G40" s="121">
        <f>Input_Consumo_GrupoA!$F$12</f>
        <v>18637.2</v>
      </c>
      <c r="H40" s="121">
        <f>Input_Consumo_GrupoA!$F$13</f>
        <v>24382.799999999999</v>
      </c>
      <c r="I40" s="121">
        <f>Input_Consumo_GrupoA!$F$14</f>
        <v>20225.7</v>
      </c>
      <c r="J40" s="121">
        <f>Input_Consumo_GrupoA!$F$15</f>
        <v>17142.3</v>
      </c>
      <c r="K40" s="121">
        <f>Input_Consumo_GrupoA!$F$4*(1+Premissas!$B$21)</f>
        <v>75822.734999999986</v>
      </c>
      <c r="L40" s="121">
        <f>Input_Consumo_GrupoA!$F$5*(1+Premissas!$B$21)</f>
        <v>214709.005</v>
      </c>
      <c r="M40" s="121">
        <f>Input_Consumo_GrupoA!$F$6*(1+Premissas!$B$21)</f>
        <v>177591.70499999999</v>
      </c>
      <c r="N40" s="121">
        <f>Input_Consumo_GrupoA!$F$7*(1+Premissas!$B$21)</f>
        <v>80409.609999999986</v>
      </c>
      <c r="O40" s="121">
        <f>Input_Consumo_GrupoA!$F$8*(1+Premissas!$B$21)</f>
        <v>105195.23749999999</v>
      </c>
      <c r="P40" s="121">
        <f>Input_Consumo_GrupoA!$F$9*(1+Premissas!$B$21)</f>
        <v>187005.8175</v>
      </c>
      <c r="Q40" s="121">
        <f>Input_Consumo_GrupoA!$F$10*(1+Premissas!$B$21)</f>
        <v>240669.18</v>
      </c>
      <c r="R40" s="121">
        <f>Input_Consumo_GrupoA!$F$11*(1+Premissas!$B$21)</f>
        <v>138169.28249999997</v>
      </c>
      <c r="S40" s="121">
        <f>Input_Consumo_GrupoA!$F$12*(1+Premissas!$B$21)</f>
        <v>19103.129999999997</v>
      </c>
      <c r="T40" s="121">
        <f>Input_Consumo_GrupoA!$F$13*(1+Premissas!$B$21)</f>
        <v>24992.369999999995</v>
      </c>
      <c r="U40" s="121">
        <f>Input_Consumo_GrupoA!$F$14*(1+Premissas!$B$21)</f>
        <v>20731.342499999999</v>
      </c>
      <c r="V40" s="121">
        <f>Input_Consumo_GrupoA!$F$15*(1+Premissas!$B$21)</f>
        <v>17570.857499999998</v>
      </c>
      <c r="W40" s="121">
        <f>Input_Consumo_GrupoA!$F$4*(1+Premissas!$B$21)</f>
        <v>75822.734999999986</v>
      </c>
      <c r="X40" s="121">
        <f>Input_Consumo_GrupoA!$F$5*(1+Premissas!$B$21)</f>
        <v>214709.005</v>
      </c>
      <c r="Y40" s="121">
        <f>Input_Consumo_GrupoA!$F$6*(1+Premissas!$B$21)</f>
        <v>177591.70499999999</v>
      </c>
      <c r="Z40" s="121">
        <f>Input_Consumo_GrupoA!$F$7*(1+Premissas!$B$21)</f>
        <v>80409.609999999986</v>
      </c>
      <c r="AA40" s="121">
        <f>Input_Consumo_GrupoA!$F$8*(1+Premissas!$B$21)</f>
        <v>105195.23749999999</v>
      </c>
      <c r="AB40" s="121">
        <f>Input_Consumo_GrupoA!$F$9*(1+Premissas!$B$21)^2</f>
        <v>191680.96293750001</v>
      </c>
      <c r="AC40" s="121">
        <f>Input_Consumo_GrupoA!$F$10*(1+Premissas!$B$21)^2</f>
        <v>246685.90949999998</v>
      </c>
      <c r="AD40" s="121">
        <f>Input_Consumo_GrupoA!$F$11*(1+Premissas!$B$21)^2</f>
        <v>141623.51456249997</v>
      </c>
      <c r="AE40" s="121">
        <f>Input_Consumo_GrupoA!$F$12*(1+Premissas!$B$21)^2</f>
        <v>19580.70825</v>
      </c>
      <c r="AF40" s="121">
        <f>Input_Consumo_GrupoA!$F$13*(1+Premissas!$B$21)^2</f>
        <v>25617.179249999997</v>
      </c>
      <c r="AG40" s="121">
        <f>Input_Consumo_GrupoA!$F$14*(1+Premissas!$B$21)^2</f>
        <v>21249.6260625</v>
      </c>
      <c r="AH40" s="121">
        <f>Input_Consumo_GrupoA!$F$15*(1+Premissas!$B$21)^2</f>
        <v>18010.128937499998</v>
      </c>
      <c r="AI40" s="121">
        <f>Input_Consumo_GrupoA!$F$4*(1+Premissas!$B$21)^2</f>
        <v>77718.303374999989</v>
      </c>
      <c r="AJ40" s="121">
        <f>Input_Consumo_GrupoA!$F$5*(1+Premissas!$B$21)^2</f>
        <v>220076.730125</v>
      </c>
      <c r="AK40" s="121">
        <f>Input_Consumo_GrupoA!$F$6*(1+Premissas!$B$21)^2</f>
        <v>182031.49762499999</v>
      </c>
      <c r="AL40" s="121">
        <f>Input_Consumo_GrupoA!$F$7*(1+Premissas!$B$21)^2</f>
        <v>82419.850249999989</v>
      </c>
      <c r="AM40" s="121">
        <f>Input_Consumo_GrupoA!$F$8*(1+Premissas!$B$21)^2</f>
        <v>107825.11843749999</v>
      </c>
      <c r="AN40" s="121">
        <f>Input_Consumo_GrupoA!$F$9*(1+Premissas!$B$21)^3</f>
        <v>196472.9870109375</v>
      </c>
      <c r="AO40" s="121">
        <f>Input_Consumo_GrupoA!$F$10*(1+Premissas!$B$21)^3</f>
        <v>252853.05723749998</v>
      </c>
      <c r="AP40" s="121">
        <f>Input_Consumo_GrupoA!$F$11*(1+Premissas!$B$21)^3</f>
        <v>145164.10242656246</v>
      </c>
      <c r="AQ40" s="121">
        <f>Input_Consumo_GrupoA!$F$12*(1+Premissas!$B$21)^3</f>
        <v>20070.22595625</v>
      </c>
      <c r="AR40" s="121">
        <f>Input_Consumo_GrupoA!$F$13*(1+Premissas!$B$21)^3</f>
        <v>26257.608731249995</v>
      </c>
      <c r="AS40" s="121">
        <f>Input_Consumo_GrupoA!$F$14*(1+Premissas!$B$21)^3</f>
        <v>21780.866714062497</v>
      </c>
      <c r="AT40" s="121">
        <f>Input_Consumo_GrupoA!$F$15*(1+Premissas!$B$21)^3</f>
        <v>18460.382160937497</v>
      </c>
      <c r="AU40" s="121">
        <f>Input_Consumo_GrupoA!$F$4*(1+Premissas!$B$21)^3</f>
        <v>79661.26095937498</v>
      </c>
      <c r="AV40" s="121">
        <f>Input_Consumo_GrupoA!$F$5*(1+Premissas!$B$21)^3</f>
        <v>225578.64837812498</v>
      </c>
      <c r="AW40" s="121">
        <f>Input_Consumo_GrupoA!$F$6*(1+Premissas!$B$21)^3</f>
        <v>186582.28506562498</v>
      </c>
      <c r="AX40" s="121">
        <f>Input_Consumo_GrupoA!$F$7*(1+Premissas!$B$21)^3</f>
        <v>84480.346506249989</v>
      </c>
      <c r="AY40" s="121">
        <f>Input_Consumo_GrupoA!$F$8*(1+Premissas!$B$21)^3</f>
        <v>110520.74639843749</v>
      </c>
      <c r="AZ40" s="121">
        <f>Input_Consumo_GrupoA!$F$9*(1+Premissas!$B$21)^4</f>
        <v>201384.81168621092</v>
      </c>
      <c r="BA40" s="121">
        <f>Input_Consumo_GrupoA!$F$10*(1+Premissas!$B$21)^4</f>
        <v>259174.38366843745</v>
      </c>
      <c r="BB40" s="121">
        <f>Input_Consumo_GrupoA!$F$11*(1+Premissas!$B$21)^4</f>
        <v>148793.20498722652</v>
      </c>
      <c r="BC40" s="121">
        <f>Input_Consumo_GrupoA!$F$12*(1+Premissas!$B$21)^4</f>
        <v>20571.981605156245</v>
      </c>
      <c r="BD40" s="121">
        <f>Input_Consumo_GrupoA!$F$13*(1+Premissas!$B$21)^4</f>
        <v>26914.048949531243</v>
      </c>
      <c r="BE40" s="121">
        <f>Input_Consumo_GrupoA!$F$14*(1+Premissas!$B$21)^4</f>
        <v>22325.388381914057</v>
      </c>
      <c r="BF40" s="121">
        <f>Input_Consumo_GrupoA!$F$15*(1+Premissas!$B$21)^4</f>
        <v>18921.891714960933</v>
      </c>
      <c r="BG40" s="121">
        <f>Input_Consumo_GrupoA!$F$4*(1+Premissas!$B$21)^4</f>
        <v>81652.792483359357</v>
      </c>
      <c r="BH40" s="121">
        <f>Input_Consumo_GrupoA!$F$5*(1+Premissas!$B$21)^4</f>
        <v>231218.11458757808</v>
      </c>
      <c r="BI40" s="121">
        <f>Input_Consumo_GrupoA!$F$6*(1+Premissas!$B$21)^4</f>
        <v>191246.84219226558</v>
      </c>
      <c r="BJ40" s="121">
        <f>Input_Consumo_GrupoA!$F$7*(1+Premissas!$B$21)^4</f>
        <v>86592.35516890623</v>
      </c>
      <c r="BK40" s="121">
        <f>Input_Consumo_GrupoA!$F$8*(1+Premissas!$B$21)^4</f>
        <v>113283.76505839841</v>
      </c>
    </row>
    <row r="41" spans="1:63" ht="12.75" customHeight="1" x14ac:dyDescent="0.2">
      <c r="A41" s="134" t="s">
        <v>404</v>
      </c>
      <c r="B41" s="121">
        <f t="shared" si="24"/>
        <v>743623.5475527345</v>
      </c>
      <c r="C41" s="120">
        <f t="shared" si="25"/>
        <v>12393.725792545574</v>
      </c>
      <c r="D41" s="121">
        <f>Input_Consumo_GrupoA!$G$9</f>
        <v>20271.599999999999</v>
      </c>
      <c r="E41" s="121">
        <f>Input_Consumo_GrupoA!$G$10</f>
        <v>26088.799999999999</v>
      </c>
      <c r="F41" s="121">
        <f>Input_Consumo_GrupoA!$G$11</f>
        <v>14977.7</v>
      </c>
      <c r="G41" s="121">
        <f>Input_Consumo_GrupoA!$G$12</f>
        <v>2070.8000000000002</v>
      </c>
      <c r="H41" s="121">
        <f>Input_Consumo_GrupoA!$G$13</f>
        <v>2709.2</v>
      </c>
      <c r="I41" s="121">
        <f>Input_Consumo_GrupoA!$G$14</f>
        <v>2247.3000000000002</v>
      </c>
      <c r="J41" s="121">
        <f>Input_Consumo_GrupoA!$G$15</f>
        <v>1904.7</v>
      </c>
      <c r="K41" s="121">
        <f>Input_Consumo_GrupoA!$G$4*(1+Premissas!$B$21)</f>
        <v>8424.7824999999993</v>
      </c>
      <c r="L41" s="121">
        <f>Input_Consumo_GrupoA!$G$5*(1+Premissas!$B$21)</f>
        <v>23856.567499999997</v>
      </c>
      <c r="M41" s="121">
        <f>Input_Consumo_GrupoA!$G$6*(1+Premissas!$B$21)</f>
        <v>19732.377499999995</v>
      </c>
      <c r="N41" s="121">
        <f>Input_Consumo_GrupoA!$G$7*(1+Premissas!$B$21)</f>
        <v>8934.4124999999985</v>
      </c>
      <c r="O41" s="121">
        <f>Input_Consumo_GrupoA!$G$8*(1+Premissas!$B$21)</f>
        <v>11688.382499999998</v>
      </c>
      <c r="P41" s="121">
        <f>Input_Consumo_GrupoA!$G$9*(1+Premissas!$B$21)</f>
        <v>20778.389999999996</v>
      </c>
      <c r="Q41" s="121">
        <f>Input_Consumo_GrupoA!$G$10*(1+Premissas!$B$21)</f>
        <v>26741.019999999997</v>
      </c>
      <c r="R41" s="121">
        <f>Input_Consumo_GrupoA!$G$11*(1+Premissas!$B$21)</f>
        <v>15352.1425</v>
      </c>
      <c r="S41" s="121">
        <f>Input_Consumo_GrupoA!$G$12*(1+Premissas!$B$21)</f>
        <v>2122.5700000000002</v>
      </c>
      <c r="T41" s="121">
        <f>Input_Consumo_GrupoA!$G$13*(1+Premissas!$B$21)</f>
        <v>2776.9299999999994</v>
      </c>
      <c r="U41" s="121">
        <f>Input_Consumo_GrupoA!$G$14*(1+Premissas!$B$21)</f>
        <v>2303.4825000000001</v>
      </c>
      <c r="V41" s="121">
        <f>Input_Consumo_GrupoA!$G$15*(1+Premissas!$B$21)</f>
        <v>1952.3174999999999</v>
      </c>
      <c r="W41" s="121">
        <f>Input_Consumo_GrupoA!$G$4*(1+Premissas!$B$21)</f>
        <v>8424.7824999999993</v>
      </c>
      <c r="X41" s="121">
        <f>Input_Consumo_GrupoA!$G$5*(1+Premissas!$B$21)</f>
        <v>23856.567499999997</v>
      </c>
      <c r="Y41" s="121">
        <f>Input_Consumo_GrupoA!$G$6*(1+Premissas!$B$21)</f>
        <v>19732.377499999995</v>
      </c>
      <c r="Z41" s="121">
        <f>Input_Consumo_GrupoA!$G$7*(1+Premissas!$B$21)</f>
        <v>8934.4124999999985</v>
      </c>
      <c r="AA41" s="121">
        <f>Input_Consumo_GrupoA!$G$8*(1+Premissas!$B$21)</f>
        <v>11688.382499999998</v>
      </c>
      <c r="AB41" s="121">
        <f>Input_Consumo_GrupoA!$G$9*(1+Premissas!$B$21)^2</f>
        <v>21297.849749999998</v>
      </c>
      <c r="AC41" s="121">
        <f>Input_Consumo_GrupoA!$G$10*(1+Premissas!$B$21)^2</f>
        <v>27409.545499999997</v>
      </c>
      <c r="AD41" s="121">
        <f>Input_Consumo_GrupoA!$G$11*(1+Premissas!$B$21)^2</f>
        <v>15735.946062499999</v>
      </c>
      <c r="AE41" s="121">
        <f>Input_Consumo_GrupoA!$G$12*(1+Premissas!$B$21)^2</f>
        <v>2175.6342500000001</v>
      </c>
      <c r="AF41" s="121">
        <f>Input_Consumo_GrupoA!$G$13*(1+Premissas!$B$21)^2</f>
        <v>2846.3532499999997</v>
      </c>
      <c r="AG41" s="121">
        <f>Input_Consumo_GrupoA!$G$14*(1+Premissas!$B$21)^2</f>
        <v>2361.0695624999998</v>
      </c>
      <c r="AH41" s="121">
        <f>Input_Consumo_GrupoA!$G$15*(1+Premissas!$B$21)^2</f>
        <v>2001.1254374999999</v>
      </c>
      <c r="AI41" s="121">
        <f>Input_Consumo_GrupoA!$G$4*(1+Premissas!$B$21)^2</f>
        <v>8635.4020624999994</v>
      </c>
      <c r="AJ41" s="121">
        <f>Input_Consumo_GrupoA!$G$5*(1+Premissas!$B$21)^2</f>
        <v>24452.9816875</v>
      </c>
      <c r="AK41" s="121">
        <f>Input_Consumo_GrupoA!$G$6*(1+Premissas!$B$21)^2</f>
        <v>20225.686937499999</v>
      </c>
      <c r="AL41" s="121">
        <f>Input_Consumo_GrupoA!$G$7*(1+Premissas!$B$21)^2</f>
        <v>9157.7728124999994</v>
      </c>
      <c r="AM41" s="121">
        <f>Input_Consumo_GrupoA!$G$8*(1+Premissas!$B$21)^2</f>
        <v>11980.592062499998</v>
      </c>
      <c r="AN41" s="121">
        <f>Input_Consumo_GrupoA!$G$9*(1+Premissas!$B$21)^3</f>
        <v>21830.295993749995</v>
      </c>
      <c r="AO41" s="121">
        <f>Input_Consumo_GrupoA!$G$10*(1+Premissas!$B$21)^3</f>
        <v>28094.784137499995</v>
      </c>
      <c r="AP41" s="121">
        <f>Input_Consumo_GrupoA!$G$11*(1+Premissas!$B$21)^3</f>
        <v>16129.344714062499</v>
      </c>
      <c r="AQ41" s="121">
        <f>Input_Consumo_GrupoA!$G$12*(1+Premissas!$B$21)^3</f>
        <v>2230.0251062500001</v>
      </c>
      <c r="AR41" s="121">
        <f>Input_Consumo_GrupoA!$G$13*(1+Premissas!$B$21)^3</f>
        <v>2917.5120812499995</v>
      </c>
      <c r="AS41" s="121">
        <f>Input_Consumo_GrupoA!$G$14*(1+Premissas!$B$21)^3</f>
        <v>2420.0963015624998</v>
      </c>
      <c r="AT41" s="121">
        <f>Input_Consumo_GrupoA!$G$15*(1+Premissas!$B$21)^3</f>
        <v>2051.1535734374997</v>
      </c>
      <c r="AU41" s="121">
        <f>Input_Consumo_GrupoA!$G$4*(1+Premissas!$B$21)^3</f>
        <v>8851.2871140624975</v>
      </c>
      <c r="AV41" s="121">
        <f>Input_Consumo_GrupoA!$G$5*(1+Premissas!$B$21)^3</f>
        <v>25064.3062296875</v>
      </c>
      <c r="AW41" s="121">
        <f>Input_Consumo_GrupoA!$G$6*(1+Premissas!$B$21)^3</f>
        <v>20731.329110937495</v>
      </c>
      <c r="AX41" s="121">
        <f>Input_Consumo_GrupoA!$G$7*(1+Premissas!$B$21)^3</f>
        <v>9386.7171328124987</v>
      </c>
      <c r="AY41" s="121">
        <f>Input_Consumo_GrupoA!$G$8*(1+Premissas!$B$21)^3</f>
        <v>12280.106864062498</v>
      </c>
      <c r="AZ41" s="121">
        <f>Input_Consumo_GrupoA!$G$9*(1+Premissas!$B$21)^4</f>
        <v>22376.053393593742</v>
      </c>
      <c r="BA41" s="121">
        <f>Input_Consumo_GrupoA!$G$10*(1+Premissas!$B$21)^4</f>
        <v>28797.153740937494</v>
      </c>
      <c r="BB41" s="121">
        <f>Input_Consumo_GrupoA!$G$11*(1+Premissas!$B$21)^4</f>
        <v>16532.578331914061</v>
      </c>
      <c r="BC41" s="121">
        <f>Input_Consumo_GrupoA!$G$12*(1+Premissas!$B$21)^4</f>
        <v>2285.7757339062496</v>
      </c>
      <c r="BD41" s="121">
        <f>Input_Consumo_GrupoA!$G$13*(1+Premissas!$B$21)^4</f>
        <v>2990.4498832812492</v>
      </c>
      <c r="BE41" s="121">
        <f>Input_Consumo_GrupoA!$G$14*(1+Premissas!$B$21)^4</f>
        <v>2480.5987091015622</v>
      </c>
      <c r="BF41" s="121">
        <f>Input_Consumo_GrupoA!$G$15*(1+Premissas!$B$21)^4</f>
        <v>2102.4324127734371</v>
      </c>
      <c r="BG41" s="121">
        <f>Input_Consumo_GrupoA!$G$4*(1+Premissas!$B$21)^4</f>
        <v>9072.5692919140602</v>
      </c>
      <c r="BH41" s="121">
        <f>Input_Consumo_GrupoA!$G$5*(1+Premissas!$B$21)^4</f>
        <v>25690.913885429683</v>
      </c>
      <c r="BI41" s="121">
        <f>Input_Consumo_GrupoA!$G$6*(1+Premissas!$B$21)^4</f>
        <v>21249.612338710933</v>
      </c>
      <c r="BJ41" s="121">
        <f>Input_Consumo_GrupoA!$G$7*(1+Premissas!$B$21)^4</f>
        <v>9621.3850611328107</v>
      </c>
      <c r="BK41" s="121">
        <f>Input_Consumo_GrupoA!$G$8*(1+Premissas!$B$21)^4</f>
        <v>12587.10953566406</v>
      </c>
    </row>
    <row r="42" spans="1:63" ht="12.75" customHeight="1" x14ac:dyDescent="0.2">
      <c r="A42" s="74" t="s">
        <v>405</v>
      </c>
      <c r="B42" s="89">
        <f t="shared" si="24"/>
        <v>4482675.1920011044</v>
      </c>
      <c r="C42" s="120">
        <f t="shared" si="25"/>
        <v>74711.2532000184</v>
      </c>
      <c r="D42" s="89">
        <f>IF(Premissas!$B$24="Sim",Amandina!$L$8*1000,Amandina!$I$8)</f>
        <v>57829.519999999982</v>
      </c>
      <c r="E42" s="89">
        <f>IF(Premissas!$B$24="Sim",Amandina!$L$9*1000,Amandina!$I$9)</f>
        <v>70669.439999999988</v>
      </c>
      <c r="F42" s="89">
        <f>IF(Premissas!$B$24="Sim",Amandina!$L$10*1000,Amandina!$I$10)</f>
        <v>74466.16</v>
      </c>
      <c r="G42" s="89">
        <f>IF(Premissas!$B$24="Sim",Amandina!$L$11*1000,Amandina!$I$11)</f>
        <v>75546.720000000001</v>
      </c>
      <c r="H42" s="89">
        <f>IF(Premissas!$B$24="Sim",Amandina!$L$12*1000,Amandina!$I$12)</f>
        <v>76725.439999999988</v>
      </c>
      <c r="I42" s="89">
        <f>IF(Premissas!$B$24="Sim",Amandina!$L$13*1000,Amandina!$I$13)</f>
        <v>86384.48</v>
      </c>
      <c r="J42" s="89">
        <f>IF(Premissas!$B$24="Sim",Amandina!$L$14*1000,Amandina!$I$14)</f>
        <v>85283.12000000001</v>
      </c>
      <c r="K42" s="89">
        <f>IF(Premissas!$B$24="Sim",Amandina!$L$3*1000*(1-Premissas!$B$23),Amandina!$I$3*(1-Premissas!$B$23))</f>
        <v>90950.163999999961</v>
      </c>
      <c r="L42" s="89">
        <f>IF(Premissas!$B$24="Sim",Amandina!$L$4*1000*(1-Premissas!$B$23),Amandina!$I$4*(1-Premissas!$B$23))</f>
        <v>72540.992400000003</v>
      </c>
      <c r="M42" s="89">
        <f>IF(Premissas!$B$24="Sim",Amandina!$L$5*1000*(1-Premissas!$B$23),Amandina!$I$5*(1-Premissas!$B$23))</f>
        <v>82037.272399999987</v>
      </c>
      <c r="N42" s="89">
        <f>IF(Premissas!$B$24="Sim",Amandina!$L$6*1000*(1-Premissas!$B$23),Amandina!$I$6*(1-Premissas!$B$23))</f>
        <v>58672.921199999997</v>
      </c>
      <c r="O42" s="89">
        <f>IF(Premissas!$B$24="Sim",Amandina!$L$7*1000*(1-Premissas!$B$23),Amandina!$I$7*(1-Premissas!$B$23))</f>
        <v>72926.813599999994</v>
      </c>
      <c r="P42" s="89">
        <f>IF(Premissas!$B$24="Sim",Amandina!$L$8*1000*(1-Premissas!$B$23),Amandina!$I$8*(1-Premissas!$B$23))</f>
        <v>57540.372399999986</v>
      </c>
      <c r="Q42" s="89">
        <f>IF(Premissas!$B$24="Sim",Amandina!$L$9*1000*(1-Premissas!$B$23),Amandina!$I$9*(1-Premissas!$B$23))</f>
        <v>70316.092799999984</v>
      </c>
      <c r="R42" s="89">
        <f>IF(Premissas!$B$24="Sim",Amandina!$L$10*1000*(1-Premissas!$B$23),Amandina!$I$10*(1-Premissas!$B$23))</f>
        <v>74093.829200000007</v>
      </c>
      <c r="S42" s="89">
        <f>IF(Premissas!$B$24="Sim",Amandina!$L$11*1000*(1-Premissas!$B$23),Amandina!$I$11*(1-Premissas!$B$23))</f>
        <v>75168.986399999994</v>
      </c>
      <c r="T42" s="89">
        <f>IF(Premissas!$B$24="Sim",Amandina!$L$12*1000*(1-Premissas!$B$23),Amandina!$I$12*(1-Premissas!$B$23))</f>
        <v>76341.812799999985</v>
      </c>
      <c r="U42" s="89">
        <f>IF(Premissas!$B$24="Sim",Amandina!$L$13*1000*(1-Premissas!$B$23),Amandina!$I$13*(1-Premissas!$B$23))</f>
        <v>85952.5576</v>
      </c>
      <c r="V42" s="89">
        <f>IF(Premissas!$B$24="Sim",Amandina!$L$14*1000*(1-Premissas!$B$23),Amandina!$I$14*(1-Premissas!$B$23))</f>
        <v>84856.704400000002</v>
      </c>
      <c r="W42" s="89">
        <f>IF(Premissas!$B$24="Sim",Amandina!$L$3*1000*(1-Premissas!$B$23),Amandina!$I$3*(1-Premissas!$B$23))</f>
        <v>90950.163999999961</v>
      </c>
      <c r="X42" s="89">
        <f>IF(Premissas!$B$24="Sim",Amandina!$L$4*1000*(1-Premissas!$B$23),Amandina!$I$4*(1-Premissas!$B$23))</f>
        <v>72540.992400000003</v>
      </c>
      <c r="Y42" s="89">
        <f>IF(Premissas!$B$24="Sim",Amandina!$L$5*1000*(1-Premissas!$B$23),Amandina!$I$5*(1-Premissas!$B$23))</f>
        <v>82037.272399999987</v>
      </c>
      <c r="Z42" s="89">
        <f>IF(Premissas!$B$24="Sim",Amandina!$L$6*1000*(1-Premissas!$B$23),Amandina!$I$6*(1-Premissas!$B$23))</f>
        <v>58672.921199999997</v>
      </c>
      <c r="AA42" s="89">
        <f>IF(Premissas!$B$24="Sim",Amandina!$L$7*1000*(1-Premissas!$B$23),Amandina!$I$7*(1-Premissas!$B$23))</f>
        <v>72926.813599999994</v>
      </c>
      <c r="AB42" s="89">
        <f>P42*(1-Premissas!$B$23)</f>
        <v>57252.670537999984</v>
      </c>
      <c r="AC42" s="89">
        <f>Q42*(1-Premissas!$B$23)</f>
        <v>69964.512335999985</v>
      </c>
      <c r="AD42" s="89">
        <f>R42*(1-Premissas!$B$23)</f>
        <v>73723.360054000004</v>
      </c>
      <c r="AE42" s="89">
        <f>S42*(1-Premissas!$B$23)</f>
        <v>74793.141467999987</v>
      </c>
      <c r="AF42" s="89">
        <f>T42*(1-Premissas!$B$23)</f>
        <v>75960.10373599999</v>
      </c>
      <c r="AG42" s="89">
        <f>U42*(1-Premissas!$B$23)</f>
        <v>85522.794811999993</v>
      </c>
      <c r="AH42" s="89">
        <f>V42*(1-Premissas!$B$23)</f>
        <v>84432.420878000004</v>
      </c>
      <c r="AI42" s="89">
        <f>W42*(1-Premissas!$B$23)</f>
        <v>90495.41317999996</v>
      </c>
      <c r="AJ42" s="89">
        <f>X42*(1-Premissas!$B$23)</f>
        <v>72178.287437999999</v>
      </c>
      <c r="AK42" s="89">
        <f>Y42*(1-Premissas!$B$23)</f>
        <v>81627.086037999994</v>
      </c>
      <c r="AL42" s="89">
        <f>Z42*(1-Premissas!$B$23)</f>
        <v>58379.556593999994</v>
      </c>
      <c r="AM42" s="89">
        <f>AA42*(1-Premissas!$B$23)</f>
        <v>72562.179531999995</v>
      </c>
      <c r="AN42" s="89">
        <f>AB42*(1-Premissas!$B$23)</f>
        <v>56966.407185309981</v>
      </c>
      <c r="AO42" s="89">
        <f>AC42*(1-Premissas!$B$23)</f>
        <v>69614.689774319981</v>
      </c>
      <c r="AP42" s="89">
        <f>AD42*(1-Premissas!$B$23)</f>
        <v>73354.743253730005</v>
      </c>
      <c r="AQ42" s="89">
        <f>AE42*(1-Premissas!$B$23)</f>
        <v>74419.175760659986</v>
      </c>
      <c r="AR42" s="89">
        <f>AF42*(1-Premissas!$B$23)</f>
        <v>75580.30321731999</v>
      </c>
      <c r="AS42" s="89">
        <f>AG42*(1-Premissas!$B$23)</f>
        <v>85095.180837939988</v>
      </c>
      <c r="AT42" s="89">
        <f>AH42*(1-Premissas!$B$23)</f>
        <v>84010.25877361001</v>
      </c>
      <c r="AU42" s="89">
        <f>AI42*(1-Premissas!$B$23)</f>
        <v>90042.936114099954</v>
      </c>
      <c r="AV42" s="89">
        <f>AJ42*(1-Premissas!$B$23)</f>
        <v>71817.396000809997</v>
      </c>
      <c r="AW42" s="89">
        <f>AK42*(1-Premissas!$B$23)</f>
        <v>81218.950607809995</v>
      </c>
      <c r="AX42" s="89">
        <f>AL42*(1-Premissas!$B$23)</f>
        <v>58087.658811029993</v>
      </c>
      <c r="AY42" s="89">
        <f>AM42*(1-Premissas!$B$23)</f>
        <v>72199.36863433999</v>
      </c>
      <c r="AZ42" s="89">
        <f>AN42*(1-Premissas!$B$23)</f>
        <v>56681.575149383432</v>
      </c>
      <c r="BA42" s="89">
        <f>AO42*(1-Premissas!$B$23)</f>
        <v>69266.616325448384</v>
      </c>
      <c r="BB42" s="89">
        <f>AP42*(1-Premissas!$B$23)</f>
        <v>72987.969537461351</v>
      </c>
      <c r="BC42" s="89">
        <f>AQ42*(1-Premissas!$B$23)</f>
        <v>74047.079881856684</v>
      </c>
      <c r="BD42" s="89">
        <f>AR42*(1-Premissas!$B$23)</f>
        <v>75202.401701233393</v>
      </c>
      <c r="BE42" s="89">
        <f>AS42*(1-Premissas!$B$23)</f>
        <v>84669.704933750283</v>
      </c>
      <c r="BF42" s="89">
        <f>AT42*(1-Premissas!$B$23)</f>
        <v>83590.207479741963</v>
      </c>
      <c r="BG42" s="89">
        <f>AU42*(1-Premissas!$B$23)</f>
        <v>89592.721433529456</v>
      </c>
      <c r="BH42" s="89">
        <f>AV42*(1-Premissas!$B$23)</f>
        <v>71458.309020805944</v>
      </c>
      <c r="BI42" s="89">
        <f>AW42*(1-Premissas!$B$23)</f>
        <v>80812.85585477094</v>
      </c>
      <c r="BJ42" s="89">
        <f>AX42*(1-Premissas!$B$23)</f>
        <v>57797.220516974841</v>
      </c>
      <c r="BK42" s="89">
        <f>AY42*(1-Premissas!$B$23)</f>
        <v>71838.371791168291</v>
      </c>
    </row>
    <row r="43" spans="1:63" ht="12.75" customHeight="1" x14ac:dyDescent="0.2">
      <c r="A43" s="126" t="s">
        <v>406</v>
      </c>
      <c r="B43" s="120">
        <f t="shared" si="24"/>
        <v>3240284.7621251601</v>
      </c>
      <c r="C43" s="120">
        <f t="shared" si="25"/>
        <v>54004.746035419332</v>
      </c>
      <c r="D43" s="120">
        <f t="shared" ref="D43:AI43" si="26">MIN(D42,D40)</f>
        <v>57829.519999999982</v>
      </c>
      <c r="E43" s="120">
        <f t="shared" si="26"/>
        <v>70669.439999999988</v>
      </c>
      <c r="F43" s="120">
        <f t="shared" si="26"/>
        <v>74466.16</v>
      </c>
      <c r="G43" s="120">
        <f t="shared" si="26"/>
        <v>18637.2</v>
      </c>
      <c r="H43" s="120">
        <f t="shared" si="26"/>
        <v>24382.799999999999</v>
      </c>
      <c r="I43" s="120">
        <f t="shared" si="26"/>
        <v>20225.7</v>
      </c>
      <c r="J43" s="120">
        <f t="shared" si="26"/>
        <v>17142.3</v>
      </c>
      <c r="K43" s="120">
        <f t="shared" si="26"/>
        <v>75822.734999999986</v>
      </c>
      <c r="L43" s="120">
        <f t="shared" si="26"/>
        <v>72540.992400000003</v>
      </c>
      <c r="M43" s="120">
        <f t="shared" si="26"/>
        <v>82037.272399999987</v>
      </c>
      <c r="N43" s="120">
        <f t="shared" si="26"/>
        <v>58672.921199999997</v>
      </c>
      <c r="O43" s="120">
        <f t="shared" si="26"/>
        <v>72926.813599999994</v>
      </c>
      <c r="P43" s="120">
        <f t="shared" si="26"/>
        <v>57540.372399999986</v>
      </c>
      <c r="Q43" s="120">
        <f t="shared" si="26"/>
        <v>70316.092799999984</v>
      </c>
      <c r="R43" s="120">
        <f t="shared" si="26"/>
        <v>74093.829200000007</v>
      </c>
      <c r="S43" s="120">
        <f t="shared" si="26"/>
        <v>19103.129999999997</v>
      </c>
      <c r="T43" s="120">
        <f t="shared" si="26"/>
        <v>24992.369999999995</v>
      </c>
      <c r="U43" s="120">
        <f t="shared" si="26"/>
        <v>20731.342499999999</v>
      </c>
      <c r="V43" s="120">
        <f t="shared" si="26"/>
        <v>17570.857499999998</v>
      </c>
      <c r="W43" s="120">
        <f t="shared" si="26"/>
        <v>75822.734999999986</v>
      </c>
      <c r="X43" s="120">
        <f t="shared" si="26"/>
        <v>72540.992400000003</v>
      </c>
      <c r="Y43" s="120">
        <f t="shared" si="26"/>
        <v>82037.272399999987</v>
      </c>
      <c r="Z43" s="120">
        <f t="shared" si="26"/>
        <v>58672.921199999997</v>
      </c>
      <c r="AA43" s="120">
        <f t="shared" si="26"/>
        <v>72926.813599999994</v>
      </c>
      <c r="AB43" s="120">
        <f t="shared" si="26"/>
        <v>57252.670537999984</v>
      </c>
      <c r="AC43" s="120">
        <f t="shared" si="26"/>
        <v>69964.512335999985</v>
      </c>
      <c r="AD43" s="120">
        <f t="shared" si="26"/>
        <v>73723.360054000004</v>
      </c>
      <c r="AE43" s="120">
        <f t="shared" si="26"/>
        <v>19580.70825</v>
      </c>
      <c r="AF43" s="120">
        <f t="shared" si="26"/>
        <v>25617.179249999997</v>
      </c>
      <c r="AG43" s="120">
        <f t="shared" si="26"/>
        <v>21249.6260625</v>
      </c>
      <c r="AH43" s="120">
        <f t="shared" si="26"/>
        <v>18010.128937499998</v>
      </c>
      <c r="AI43" s="120">
        <f t="shared" si="26"/>
        <v>77718.303374999989</v>
      </c>
      <c r="AJ43" s="120">
        <f t="shared" ref="AJ43:BO43" si="27">MIN(AJ42,AJ40)</f>
        <v>72178.287437999999</v>
      </c>
      <c r="AK43" s="120">
        <f t="shared" si="27"/>
        <v>81627.086037999994</v>
      </c>
      <c r="AL43" s="120">
        <f t="shared" si="27"/>
        <v>58379.556593999994</v>
      </c>
      <c r="AM43" s="120">
        <f t="shared" si="27"/>
        <v>72562.179531999995</v>
      </c>
      <c r="AN43" s="120">
        <f t="shared" si="27"/>
        <v>56966.407185309981</v>
      </c>
      <c r="AO43" s="120">
        <f t="shared" si="27"/>
        <v>69614.689774319981</v>
      </c>
      <c r="AP43" s="120">
        <f t="shared" si="27"/>
        <v>73354.743253730005</v>
      </c>
      <c r="AQ43" s="120">
        <f t="shared" si="27"/>
        <v>20070.22595625</v>
      </c>
      <c r="AR43" s="120">
        <f t="shared" si="27"/>
        <v>26257.608731249995</v>
      </c>
      <c r="AS43" s="120">
        <f t="shared" si="27"/>
        <v>21780.866714062497</v>
      </c>
      <c r="AT43" s="120">
        <f t="shared" si="27"/>
        <v>18460.382160937497</v>
      </c>
      <c r="AU43" s="120">
        <f t="shared" si="27"/>
        <v>79661.26095937498</v>
      </c>
      <c r="AV43" s="120">
        <f t="shared" si="27"/>
        <v>71817.396000809997</v>
      </c>
      <c r="AW43" s="120">
        <f t="shared" si="27"/>
        <v>81218.950607809995</v>
      </c>
      <c r="AX43" s="120">
        <f t="shared" si="27"/>
        <v>58087.658811029993</v>
      </c>
      <c r="AY43" s="120">
        <f t="shared" si="27"/>
        <v>72199.36863433999</v>
      </c>
      <c r="AZ43" s="120">
        <f t="shared" si="27"/>
        <v>56681.575149383432</v>
      </c>
      <c r="BA43" s="120">
        <f t="shared" si="27"/>
        <v>69266.616325448384</v>
      </c>
      <c r="BB43" s="120">
        <f t="shared" si="27"/>
        <v>72987.969537461351</v>
      </c>
      <c r="BC43" s="120">
        <f t="shared" si="27"/>
        <v>20571.981605156245</v>
      </c>
      <c r="BD43" s="120">
        <f t="shared" si="27"/>
        <v>26914.048949531243</v>
      </c>
      <c r="BE43" s="120">
        <f t="shared" si="27"/>
        <v>22325.388381914057</v>
      </c>
      <c r="BF43" s="120">
        <f t="shared" si="27"/>
        <v>18921.891714960933</v>
      </c>
      <c r="BG43" s="120">
        <f t="shared" si="27"/>
        <v>81652.792483359357</v>
      </c>
      <c r="BH43" s="120">
        <f t="shared" si="27"/>
        <v>71458.309020805944</v>
      </c>
      <c r="BI43" s="120">
        <f t="shared" si="27"/>
        <v>80812.85585477094</v>
      </c>
      <c r="BJ43" s="120">
        <f t="shared" si="27"/>
        <v>57797.220516974841</v>
      </c>
      <c r="BK43" s="120">
        <f t="shared" si="27"/>
        <v>71838.371791168291</v>
      </c>
    </row>
    <row r="44" spans="1:63" ht="12.75" customHeight="1" x14ac:dyDescent="0.2">
      <c r="A44" s="126" t="s">
        <v>407</v>
      </c>
      <c r="B44" s="120">
        <f t="shared" si="24"/>
        <v>82591.019388169734</v>
      </c>
      <c r="C44" s="120">
        <f t="shared" si="25"/>
        <v>1376.5169898028289</v>
      </c>
      <c r="D44" s="120">
        <f>MIN((D42-D43)*Premissas!$B$8,D41)</f>
        <v>0</v>
      </c>
      <c r="E44" s="120">
        <f>MIN((E42-E43)*Premissas!$B$8,E41)</f>
        <v>0</v>
      </c>
      <c r="F44" s="120">
        <f>MIN((F42-F43)*Premissas!$B$8,F41)</f>
        <v>0</v>
      </c>
      <c r="G44" s="120">
        <f>MIN((G42-G43)*Premissas!$B$8,G41)</f>
        <v>2070.8000000000002</v>
      </c>
      <c r="H44" s="120">
        <f>MIN((H42-H43)*Premissas!$B$8,H41)</f>
        <v>2709.2</v>
      </c>
      <c r="I44" s="120">
        <f>MIN((I42-I43)*Premissas!$B$8,I41)</f>
        <v>2247.3000000000002</v>
      </c>
      <c r="J44" s="120">
        <f>MIN((J42-J43)*Premissas!$B$8,J41)</f>
        <v>1904.7</v>
      </c>
      <c r="K44" s="120">
        <f>MIN((K42-K43)*Premissas!$B$8,K41)</f>
        <v>8424.7824999999993</v>
      </c>
      <c r="L44" s="120">
        <f>MIN((L42-L43)*Premissas!$B$8,L41)</f>
        <v>0</v>
      </c>
      <c r="M44" s="120">
        <f>MIN((M42-M43)*Premissas!$B$8,M41)</f>
        <v>0</v>
      </c>
      <c r="N44" s="120">
        <f>MIN((N42-N43)*Premissas!$B$8,N41)</f>
        <v>0</v>
      </c>
      <c r="O44" s="120">
        <f>MIN((O42-O43)*Premissas!$B$8,O41)</f>
        <v>0</v>
      </c>
      <c r="P44" s="120">
        <f>MIN((P42-P43)*Premissas!$B$8,P41)</f>
        <v>0</v>
      </c>
      <c r="Q44" s="120">
        <f>MIN((Q42-Q43)*Premissas!$B$8,Q41)</f>
        <v>0</v>
      </c>
      <c r="R44" s="120">
        <f>MIN((R42-R43)*Premissas!$B$8,R41)</f>
        <v>0</v>
      </c>
      <c r="S44" s="120">
        <f>MIN((S42-S43)*Premissas!$B$8,S41)</f>
        <v>2122.5700000000002</v>
      </c>
      <c r="T44" s="120">
        <f>MIN((T42-T43)*Premissas!$B$8,T41)</f>
        <v>2776.9299999999994</v>
      </c>
      <c r="U44" s="120">
        <f>MIN((U42-U43)*Premissas!$B$8,U41)</f>
        <v>2303.4825000000001</v>
      </c>
      <c r="V44" s="120">
        <f>MIN((V42-V43)*Premissas!$B$8,V41)</f>
        <v>1952.3174999999999</v>
      </c>
      <c r="W44" s="120">
        <f>MIN((W42-W43)*Premissas!$B$8,W41)</f>
        <v>8424.7824999999993</v>
      </c>
      <c r="X44" s="120">
        <f>MIN((X42-X43)*Premissas!$B$8,X41)</f>
        <v>0</v>
      </c>
      <c r="Y44" s="120">
        <f>MIN((Y42-Y43)*Premissas!$B$8,Y41)</f>
        <v>0</v>
      </c>
      <c r="Z44" s="120">
        <f>MIN((Z42-Z43)*Premissas!$B$8,Z41)</f>
        <v>0</v>
      </c>
      <c r="AA44" s="120">
        <f>MIN((AA42-AA43)*Premissas!$B$8,AA41)</f>
        <v>0</v>
      </c>
      <c r="AB44" s="120">
        <f>MIN((AB42-AB43)*Premissas!$B$8,AB41)</f>
        <v>0</v>
      </c>
      <c r="AC44" s="120">
        <f>MIN((AC42-AC43)*Premissas!$B$8,AC41)</f>
        <v>0</v>
      </c>
      <c r="AD44" s="120">
        <f>MIN((AD42-AD43)*Premissas!$B$8,AD41)</f>
        <v>0</v>
      </c>
      <c r="AE44" s="120">
        <f>MIN((AE42-AE43)*Premissas!$B$8,AE41)</f>
        <v>2175.6342500000001</v>
      </c>
      <c r="AF44" s="120">
        <f>MIN((AF42-AF43)*Premissas!$B$8,AF41)</f>
        <v>2846.3532499999997</v>
      </c>
      <c r="AG44" s="120">
        <f>MIN((AG42-AG43)*Premissas!$B$8,AG41)</f>
        <v>2361.0695624999998</v>
      </c>
      <c r="AH44" s="120">
        <f>MIN((AH42-AH43)*Premissas!$B$8,AH41)</f>
        <v>2001.1254374999999</v>
      </c>
      <c r="AI44" s="120">
        <f>MIN((AI42-AI43)*Premissas!$B$8,AI41)</f>
        <v>7720.7864384978939</v>
      </c>
      <c r="AJ44" s="120">
        <f>MIN((AJ42-AJ43)*Premissas!$B$8,AJ41)</f>
        <v>0</v>
      </c>
      <c r="AK44" s="120">
        <f>MIN((AK42-AK43)*Premissas!$B$8,AK41)</f>
        <v>0</v>
      </c>
      <c r="AL44" s="120">
        <f>MIN((AL42-AL43)*Premissas!$B$8,AL41)</f>
        <v>0</v>
      </c>
      <c r="AM44" s="120">
        <f>MIN((AM42-AM43)*Premissas!$B$8,AM41)</f>
        <v>0</v>
      </c>
      <c r="AN44" s="120">
        <f>MIN((AN42-AN43)*Premissas!$B$8,AN41)</f>
        <v>0</v>
      </c>
      <c r="AO44" s="120">
        <f>MIN((AO42-AO43)*Premissas!$B$8,AO41)</f>
        <v>0</v>
      </c>
      <c r="AP44" s="120">
        <f>MIN((AP42-AP43)*Premissas!$B$8,AP41)</f>
        <v>0</v>
      </c>
      <c r="AQ44" s="120">
        <f>MIN((AQ42-AQ43)*Premissas!$B$8,AQ41)</f>
        <v>2230.0251062500001</v>
      </c>
      <c r="AR44" s="120">
        <f>MIN((AR42-AR43)*Premissas!$B$8,AR41)</f>
        <v>2917.5120812499995</v>
      </c>
      <c r="AS44" s="120">
        <f>MIN((AS42-AS43)*Premissas!$B$8,AS41)</f>
        <v>2420.0963015624998</v>
      </c>
      <c r="AT44" s="120">
        <f>MIN((AT42-AT43)*Premissas!$B$8,AT41)</f>
        <v>2051.1535734374997</v>
      </c>
      <c r="AU44" s="120">
        <f>MIN((AU42-AU43)*Premissas!$B$8,AU41)</f>
        <v>6273.3042109511152</v>
      </c>
      <c r="AV44" s="120">
        <f>MIN((AV42-AV43)*Premissas!$B$8,AV41)</f>
        <v>0</v>
      </c>
      <c r="AW44" s="120">
        <f>MIN((AW42-AW43)*Premissas!$B$8,AW41)</f>
        <v>0</v>
      </c>
      <c r="AX44" s="120">
        <f>MIN((AX42-AX43)*Premissas!$B$8,AX41)</f>
        <v>0</v>
      </c>
      <c r="AY44" s="120">
        <f>MIN((AY42-AY43)*Premissas!$B$8,AY41)</f>
        <v>0</v>
      </c>
      <c r="AZ44" s="120">
        <f>MIN((AZ42-AZ43)*Premissas!$B$8,AZ41)</f>
        <v>0</v>
      </c>
      <c r="BA44" s="120">
        <f>MIN((BA42-BA43)*Premissas!$B$8,BA41)</f>
        <v>0</v>
      </c>
      <c r="BB44" s="120">
        <f>MIN((BB42-BB43)*Premissas!$B$8,BB41)</f>
        <v>0</v>
      </c>
      <c r="BC44" s="120">
        <f>MIN((BC42-BC43)*Premissas!$B$8,BC41)</f>
        <v>2285.7757339062496</v>
      </c>
      <c r="BD44" s="120">
        <f>MIN((BD42-BD43)*Premissas!$B$8,BD41)</f>
        <v>2990.4498832812492</v>
      </c>
      <c r="BE44" s="120">
        <f>MIN((BE42-BE43)*Premissas!$B$8,BE41)</f>
        <v>2480.5987091015622</v>
      </c>
      <c r="BF44" s="120">
        <f>MIN((BF42-BF43)*Premissas!$B$8,BF41)</f>
        <v>2102.4324127734371</v>
      </c>
      <c r="BG44" s="120">
        <f>MIN((BG42-BG43)*Premissas!$B$8,BG41)</f>
        <v>4797.8374371582113</v>
      </c>
      <c r="BH44" s="120">
        <f>MIN((BH42-BH43)*Premissas!$B$8,BH41)</f>
        <v>0</v>
      </c>
      <c r="BI44" s="120">
        <f>MIN((BI42-BI43)*Premissas!$B$8,BI41)</f>
        <v>0</v>
      </c>
      <c r="BJ44" s="120">
        <f>MIN((BJ42-BJ43)*Premissas!$B$8,BJ41)</f>
        <v>0</v>
      </c>
      <c r="BK44" s="120">
        <f>MIN((BK42-BK43)*Premissas!$B$8,BK41)</f>
        <v>0</v>
      </c>
    </row>
    <row r="45" spans="1:63" ht="12.75" customHeight="1" x14ac:dyDescent="0.2">
      <c r="A45" s="122" t="str">
        <f>"  "&amp;INDEX(PVSYST_Helexia!$A$5:$A$7,MATCH(Premissas!$B$13,PVSYST_Helexia!$B$5:$B$7,0))&amp;" créditos recebidos (kWh)"</f>
        <v xml:space="preserve">  HCS03 créditos recebidos (kWh)</v>
      </c>
      <c r="B45" s="135">
        <f t="shared" si="24"/>
        <v>1856647.1110424665</v>
      </c>
      <c r="C45" s="120">
        <f t="shared" si="25"/>
        <v>30944.118517374442</v>
      </c>
      <c r="D45" s="136">
        <f>D6*Premissas!$B$35</f>
        <v>0</v>
      </c>
      <c r="E45" s="136">
        <f>E6*Premissas!$B$35</f>
        <v>0</v>
      </c>
      <c r="F45" s="136">
        <f>F6*Premissas!$B$35</f>
        <v>0</v>
      </c>
      <c r="G45" s="136">
        <f>G6*Premissas!$B$35</f>
        <v>0</v>
      </c>
      <c r="H45" s="136">
        <f>H6*Premissas!$C$35</f>
        <v>0</v>
      </c>
      <c r="I45" s="136">
        <f>I6*Premissas!$C$35</f>
        <v>0</v>
      </c>
      <c r="J45" s="136">
        <f>J6*Premissas!$C$35</f>
        <v>0</v>
      </c>
      <c r="K45" s="136">
        <f>K6*Premissas!$C$35</f>
        <v>0</v>
      </c>
      <c r="L45" s="136">
        <f>L6*Premissas!$C$35</f>
        <v>0</v>
      </c>
      <c r="M45" s="136">
        <f>M6*Premissas!$C$35</f>
        <v>0</v>
      </c>
      <c r="N45" s="136">
        <f>N6*Premissas!$D$35</f>
        <v>595.52541000000008</v>
      </c>
      <c r="O45" s="136">
        <f>O6*Premissas!$D$35</f>
        <v>557.34129000000007</v>
      </c>
      <c r="P45" s="136">
        <f>P6*Premissas!$D$35</f>
        <v>505.81720500000006</v>
      </c>
      <c r="Q45" s="136">
        <f>Q6*Premissas!$D$35</f>
        <v>532.41554499999995</v>
      </c>
      <c r="R45" s="136">
        <f>R6*Premissas!$D$35</f>
        <v>639.135265</v>
      </c>
      <c r="S45" s="136">
        <f>S6*Premissas!$D$35</f>
        <v>599.72729500000014</v>
      </c>
      <c r="T45" s="136">
        <f>T6*Premissas!$E$35</f>
        <v>23465.67006</v>
      </c>
      <c r="U45" s="136">
        <f>U6*Premissas!$E$35</f>
        <v>22689.072560000001</v>
      </c>
      <c r="V45" s="136">
        <f>V6*Premissas!$E$35</f>
        <v>21544.367845000001</v>
      </c>
      <c r="W45" s="136">
        <f>W6*Premissas!$E$35</f>
        <v>22232.433229999995</v>
      </c>
      <c r="X45" s="136">
        <f>X6*Premissas!$E$35</f>
        <v>19811.002225</v>
      </c>
      <c r="Y45" s="136">
        <f>Y6*Premissas!$E$35</f>
        <v>22723.242849999999</v>
      </c>
      <c r="Z45" s="136">
        <f>Z6*Premissas!$E$35</f>
        <v>22673.54061</v>
      </c>
      <c r="AA45" s="136">
        <f>AA6*Premissas!$E$35</f>
        <v>21219.750089999998</v>
      </c>
      <c r="AB45" s="136">
        <f>AB6*Premissas!$F$35</f>
        <v>45848.320106624997</v>
      </c>
      <c r="AC45" s="136">
        <f>AC6*Premissas!$F$35</f>
        <v>48259.248787124998</v>
      </c>
      <c r="AD45" s="136">
        <f>AD6*Premissas!$F$35</f>
        <v>57932.545456125008</v>
      </c>
      <c r="AE45" s="136">
        <f>AE6*Premissas!$F$35</f>
        <v>54360.525355874997</v>
      </c>
      <c r="AF45" s="136">
        <f>AF6*Premissas!$F$35</f>
        <v>55865.506909500007</v>
      </c>
      <c r="AG45" s="136">
        <f>AG6*Premissas!$F$35</f>
        <v>54016.635222000004</v>
      </c>
      <c r="AH45" s="136">
        <f>AH6*Premissas!$G$35</f>
        <v>50783.290793950007</v>
      </c>
      <c r="AI45" s="136">
        <f>AI6*Premissas!$G$35</f>
        <v>52405.163609300005</v>
      </c>
      <c r="AJ45" s="136">
        <f>AJ6*Premissas!$G$35</f>
        <v>46697.489299749999</v>
      </c>
      <c r="AK45" s="136">
        <f>AK6*Premissas!$G$35</f>
        <v>53562.075143500006</v>
      </c>
      <c r="AL45" s="136">
        <f>AL6*Premissas!$G$35</f>
        <v>53444.919545100005</v>
      </c>
      <c r="AM45" s="136">
        <f>AM6*Premissas!$G$35</f>
        <v>50018.118291900013</v>
      </c>
      <c r="AN45" s="136">
        <f>AN6*Premissas!$H$35</f>
        <v>45509.153015715754</v>
      </c>
      <c r="AO45" s="136">
        <f>AO6*Premissas!$H$35</f>
        <v>47902.246633446739</v>
      </c>
      <c r="AP45" s="136">
        <f>AP6*Premissas!$H$35</f>
        <v>57503.984216244746</v>
      </c>
      <c r="AQ45" s="136">
        <f>AQ6*Premissas!$H$35</f>
        <v>53958.388457459252</v>
      </c>
      <c r="AR45" s="136">
        <f>AR6*Premissas!$H$35</f>
        <v>55452.236774048994</v>
      </c>
      <c r="AS45" s="136">
        <f>AS6*Premissas!$H$35</f>
        <v>53617.042281924005</v>
      </c>
      <c r="AT45" s="136">
        <f>AT6*Premissas!$I$35</f>
        <v>50392.734604069003</v>
      </c>
      <c r="AU45" s="136">
        <f>AU6*Premissas!$I$35</f>
        <v>52002.134173646002</v>
      </c>
      <c r="AV45" s="136">
        <f>AV6*Premissas!$I$35</f>
        <v>46338.355552945002</v>
      </c>
      <c r="AW45" s="136">
        <f>AW6*Premissas!$I$35</f>
        <v>53150.148313570011</v>
      </c>
      <c r="AX45" s="136">
        <f>AX6*Premissas!$I$35</f>
        <v>53033.89371712201</v>
      </c>
      <c r="AY45" s="136">
        <f>AY6*Premissas!$I$35</f>
        <v>49633.446771017996</v>
      </c>
      <c r="AZ45" s="136">
        <f>AZ6*Premissas!$J$35</f>
        <v>28243.27838177155</v>
      </c>
      <c r="BA45" s="136">
        <f>BA6*Premissas!$J$35</f>
        <v>29728.447952294577</v>
      </c>
      <c r="BB45" s="136">
        <f>BB6*Premissas!$J$35</f>
        <v>35687.349173902323</v>
      </c>
      <c r="BC45" s="136">
        <f>BC6*Premissas!$J$35</f>
        <v>33486.929227391207</v>
      </c>
      <c r="BD45" s="136">
        <f>BD6*Premissas!$J$35</f>
        <v>34414.021275248371</v>
      </c>
      <c r="BE45" s="136">
        <f>BE6*Premissas!$J$35</f>
        <v>33275.087555522121</v>
      </c>
      <c r="BF45" s="136">
        <f>BF6*Premissas!$K$35</f>
        <v>39767.287140270426</v>
      </c>
      <c r="BG45" s="136">
        <f>BG6*Premissas!$K$35</f>
        <v>41037.34035944278</v>
      </c>
      <c r="BH45" s="136">
        <f>BH6*Premissas!$K$35</f>
        <v>36567.785125380236</v>
      </c>
      <c r="BI45" s="136">
        <f>BI6*Premissas!$K$35</f>
        <v>41943.292542870469</v>
      </c>
      <c r="BJ45" s="136">
        <f>BJ6*Premissas!$K$35</f>
        <v>41851.550549611973</v>
      </c>
      <c r="BK45" s="136">
        <f>BK6*Premissas!$K$35</f>
        <v>39168.097246800848</v>
      </c>
    </row>
    <row r="46" spans="1:63" ht="12.75" customHeight="1" x14ac:dyDescent="0.2">
      <c r="A46" s="131" t="s">
        <v>418</v>
      </c>
      <c r="B46" s="132">
        <f t="shared" si="24"/>
        <v>1192710.0520602912</v>
      </c>
      <c r="C46" s="120">
        <f t="shared" si="25"/>
        <v>19878.500867671519</v>
      </c>
      <c r="D46" s="132">
        <f t="shared" ref="D46:AI46" si="28">D20</f>
        <v>0</v>
      </c>
      <c r="E46" s="132">
        <f t="shared" si="28"/>
        <v>0</v>
      </c>
      <c r="F46" s="132">
        <f t="shared" si="28"/>
        <v>0</v>
      </c>
      <c r="G46" s="132">
        <f t="shared" si="28"/>
        <v>32711.293107221009</v>
      </c>
      <c r="H46" s="132">
        <f t="shared" si="28"/>
        <v>40823.761528761643</v>
      </c>
      <c r="I46" s="132">
        <f t="shared" si="28"/>
        <v>41560.461528761633</v>
      </c>
      <c r="J46" s="132">
        <f t="shared" si="28"/>
        <v>47597.361528761627</v>
      </c>
      <c r="K46" s="132">
        <f t="shared" si="28"/>
        <v>51288.174381559918</v>
      </c>
      <c r="L46" s="132">
        <f t="shared" si="28"/>
        <v>0</v>
      </c>
      <c r="M46" s="132">
        <f t="shared" si="28"/>
        <v>0</v>
      </c>
      <c r="N46" s="132">
        <f t="shared" si="28"/>
        <v>16386.390718605122</v>
      </c>
      <c r="O46" s="132">
        <f t="shared" si="28"/>
        <v>15046.461371036236</v>
      </c>
      <c r="P46" s="132">
        <f t="shared" si="28"/>
        <v>0</v>
      </c>
      <c r="Q46" s="132">
        <f t="shared" si="28"/>
        <v>0</v>
      </c>
      <c r="R46" s="132">
        <f t="shared" si="28"/>
        <v>0</v>
      </c>
      <c r="S46" s="132">
        <f t="shared" si="28"/>
        <v>32132.834934901541</v>
      </c>
      <c r="T46" s="132">
        <f t="shared" si="28"/>
        <v>40427.854566980684</v>
      </c>
      <c r="U46" s="132">
        <f t="shared" si="28"/>
        <v>41160.871066980675</v>
      </c>
      <c r="V46" s="132">
        <f t="shared" si="28"/>
        <v>47167.586566980666</v>
      </c>
      <c r="W46" s="132">
        <f t="shared" si="28"/>
        <v>50971.320241098918</v>
      </c>
      <c r="X46" s="132">
        <f t="shared" si="28"/>
        <v>0</v>
      </c>
      <c r="Y46" s="132">
        <f t="shared" si="28"/>
        <v>0</v>
      </c>
      <c r="Z46" s="132">
        <f t="shared" si="28"/>
        <v>16130.024242355124</v>
      </c>
      <c r="AA46" s="132">
        <f t="shared" si="28"/>
        <v>14863.108492286232</v>
      </c>
      <c r="AB46" s="132">
        <f t="shared" si="28"/>
        <v>0</v>
      </c>
      <c r="AC46" s="132">
        <f t="shared" si="28"/>
        <v>0</v>
      </c>
      <c r="AD46" s="132">
        <f t="shared" si="28"/>
        <v>0</v>
      </c>
      <c r="AE46" s="132">
        <f t="shared" si="28"/>
        <v>31546.896510774077</v>
      </c>
      <c r="AF46" s="132">
        <f t="shared" si="28"/>
        <v>40029.132436155196</v>
      </c>
      <c r="AG46" s="132">
        <f t="shared" si="28"/>
        <v>40758.483853655191</v>
      </c>
      <c r="AH46" s="132">
        <f t="shared" si="28"/>
        <v>46735.165776155176</v>
      </c>
      <c r="AI46" s="132">
        <f t="shared" si="28"/>
        <v>50654.540039626394</v>
      </c>
      <c r="AJ46" s="132">
        <f t="shared" ref="AJ46:BK46" si="29">AJ20</f>
        <v>0</v>
      </c>
      <c r="AK46" s="132">
        <f t="shared" si="29"/>
        <v>0</v>
      </c>
      <c r="AL46" s="132">
        <f t="shared" si="29"/>
        <v>15002.766985201502</v>
      </c>
      <c r="AM46" s="132">
        <f t="shared" si="29"/>
        <v>14140.06951845589</v>
      </c>
      <c r="AN46" s="132">
        <f t="shared" si="29"/>
        <v>0</v>
      </c>
      <c r="AO46" s="132">
        <f t="shared" si="29"/>
        <v>0</v>
      </c>
      <c r="AP46" s="132">
        <f t="shared" si="29"/>
        <v>0</v>
      </c>
      <c r="AQ46" s="132">
        <f t="shared" si="29"/>
        <v>30953.255922530927</v>
      </c>
      <c r="AR46" s="132">
        <f t="shared" si="29"/>
        <v>39627.489344534079</v>
      </c>
      <c r="AS46" s="132">
        <f t="shared" si="29"/>
        <v>40353.19400494657</v>
      </c>
      <c r="AT46" s="132">
        <f t="shared" si="29"/>
        <v>46299.992517834056</v>
      </c>
      <c r="AU46" s="132">
        <f t="shared" si="29"/>
        <v>50337.795649154556</v>
      </c>
      <c r="AV46" s="132">
        <f t="shared" si="29"/>
        <v>0</v>
      </c>
      <c r="AW46" s="132">
        <f t="shared" si="29"/>
        <v>0</v>
      </c>
      <c r="AX46" s="132">
        <f t="shared" si="29"/>
        <v>13854.980835935105</v>
      </c>
      <c r="AY46" s="132">
        <f t="shared" si="29"/>
        <v>13404.427653710472</v>
      </c>
      <c r="AZ46" s="132">
        <f t="shared" si="29"/>
        <v>0</v>
      </c>
      <c r="BA46" s="132">
        <f t="shared" si="29"/>
        <v>0</v>
      </c>
      <c r="BB46" s="132">
        <f t="shared" si="29"/>
        <v>0</v>
      </c>
      <c r="BC46" s="132">
        <f t="shared" si="29"/>
        <v>30351.685884586761</v>
      </c>
      <c r="BD46" s="132">
        <f t="shared" si="29"/>
        <v>39222.817032635059</v>
      </c>
      <c r="BE46" s="132">
        <f t="shared" si="29"/>
        <v>39944.89316974549</v>
      </c>
      <c r="BF46" s="132">
        <f t="shared" si="29"/>
        <v>45861.957690068535</v>
      </c>
      <c r="BG46" s="132">
        <f t="shared" si="29"/>
        <v>50021.048188378227</v>
      </c>
      <c r="BH46" s="132">
        <f t="shared" si="29"/>
        <v>0</v>
      </c>
      <c r="BI46" s="132">
        <f t="shared" si="29"/>
        <v>0</v>
      </c>
      <c r="BJ46" s="132">
        <f t="shared" si="29"/>
        <v>12686.114309556533</v>
      </c>
      <c r="BK46" s="132">
        <f t="shared" si="29"/>
        <v>12655.840460359959</v>
      </c>
    </row>
    <row r="47" spans="1:63" ht="12.75" customHeight="1" x14ac:dyDescent="0.2">
      <c r="A47" s="126" t="s">
        <v>409</v>
      </c>
      <c r="B47" s="120">
        <f>AA47</f>
        <v>263594.80355025025</v>
      </c>
      <c r="C47" s="120" t="s">
        <v>397</v>
      </c>
      <c r="D47" s="120">
        <f>Premissas!$B$28</f>
        <v>0</v>
      </c>
      <c r="E47" s="120">
        <f t="shared" ref="E47:AJ47" si="30">D49</f>
        <v>0</v>
      </c>
      <c r="F47" s="120">
        <f t="shared" si="30"/>
        <v>0</v>
      </c>
      <c r="G47" s="120">
        <f t="shared" si="30"/>
        <v>0</v>
      </c>
      <c r="H47" s="120">
        <f t="shared" si="30"/>
        <v>89620.813107221009</v>
      </c>
      <c r="I47" s="120">
        <f t="shared" si="30"/>
        <v>182787.21463598264</v>
      </c>
      <c r="J47" s="120">
        <f t="shared" si="30"/>
        <v>290506.45616474428</v>
      </c>
      <c r="K47" s="120">
        <f t="shared" si="30"/>
        <v>406244.63769350591</v>
      </c>
      <c r="L47" s="120">
        <f t="shared" si="30"/>
        <v>436499.49569350586</v>
      </c>
      <c r="M47" s="120">
        <f t="shared" si="30"/>
        <v>254851.3103227645</v>
      </c>
      <c r="N47" s="120">
        <f t="shared" si="30"/>
        <v>126641.81647485073</v>
      </c>
      <c r="O47" s="120">
        <f t="shared" si="30"/>
        <v>90715.116602912545</v>
      </c>
      <c r="P47" s="120">
        <f t="shared" si="30"/>
        <v>39660.959574913824</v>
      </c>
      <c r="Q47" s="120">
        <f t="shared" si="30"/>
        <v>0</v>
      </c>
      <c r="R47" s="120">
        <f t="shared" si="30"/>
        <v>0</v>
      </c>
      <c r="S47" s="120">
        <f t="shared" si="30"/>
        <v>0</v>
      </c>
      <c r="T47" s="120">
        <f t="shared" si="30"/>
        <v>88798.418629901542</v>
      </c>
      <c r="U47" s="120">
        <f t="shared" si="30"/>
        <v>204041.38605688221</v>
      </c>
      <c r="V47" s="120">
        <f t="shared" si="30"/>
        <v>333112.54478386289</v>
      </c>
      <c r="W47" s="120">
        <f t="shared" si="30"/>
        <v>469110.34609584359</v>
      </c>
      <c r="X47" s="120">
        <f t="shared" si="30"/>
        <v>543830.07055584353</v>
      </c>
      <c r="Y47" s="120">
        <f t="shared" si="30"/>
        <v>381992.88741010218</v>
      </c>
      <c r="Z47" s="120">
        <f t="shared" si="30"/>
        <v>276506.63641218841</v>
      </c>
      <c r="AA47" s="120">
        <f t="shared" si="30"/>
        <v>263594.80355025025</v>
      </c>
      <c r="AB47" s="120">
        <f t="shared" si="30"/>
        <v>233203.05532225152</v>
      </c>
      <c r="AC47" s="120">
        <f t="shared" si="30"/>
        <v>109377.32574366091</v>
      </c>
      <c r="AD47" s="120">
        <f t="shared" si="30"/>
        <v>0</v>
      </c>
      <c r="AE47" s="120">
        <f t="shared" si="30"/>
        <v>0</v>
      </c>
      <c r="AF47" s="120">
        <f t="shared" si="30"/>
        <v>141119.85508464905</v>
      </c>
      <c r="AG47" s="120">
        <f t="shared" si="30"/>
        <v>287357.41891630425</v>
      </c>
      <c r="AH47" s="120">
        <f t="shared" si="30"/>
        <v>446405.70674145943</v>
      </c>
      <c r="AI47" s="120">
        <f t="shared" si="30"/>
        <v>610346.45525206462</v>
      </c>
      <c r="AJ47" s="120">
        <f t="shared" si="30"/>
        <v>724669.67364021216</v>
      </c>
      <c r="AK47" s="120">
        <f t="shared" ref="AK47:BK47" si="31">AJ49</f>
        <v>583001.54316295229</v>
      </c>
      <c r="AL47" s="120">
        <f t="shared" si="31"/>
        <v>502687.76894034067</v>
      </c>
      <c r="AM47" s="120">
        <f t="shared" si="31"/>
        <v>531939.98692065547</v>
      </c>
      <c r="AN47" s="120">
        <f t="shared" si="31"/>
        <v>541008.58454706275</v>
      </c>
      <c r="AO47" s="120">
        <f t="shared" si="31"/>
        <v>410884.25651929248</v>
      </c>
      <c r="AP47" s="120">
        <f t="shared" si="31"/>
        <v>229054.14900412416</v>
      </c>
      <c r="AQ47" s="120">
        <f t="shared" si="31"/>
        <v>188056.36257677348</v>
      </c>
      <c r="AR47" s="120">
        <f t="shared" si="31"/>
        <v>327316.95676117367</v>
      </c>
      <c r="AS47" s="120">
        <f t="shared" si="31"/>
        <v>471719.37736582675</v>
      </c>
      <c r="AT47" s="120">
        <f t="shared" si="31"/>
        <v>629003.92777657474</v>
      </c>
      <c r="AU47" s="120">
        <f t="shared" si="31"/>
        <v>791246.5315111503</v>
      </c>
      <c r="AV47" s="120">
        <f t="shared" si="31"/>
        <v>899701.83915085241</v>
      </c>
      <c r="AW47" s="120">
        <f t="shared" si="31"/>
        <v>750800.08580922231</v>
      </c>
      <c r="AX47" s="120">
        <f t="shared" si="31"/>
        <v>664278.67594138789</v>
      </c>
      <c r="AY47" s="120">
        <f t="shared" si="31"/>
        <v>689240.80853288865</v>
      </c>
      <c r="AZ47" s="120">
        <f t="shared" si="31"/>
        <v>691542.62898631964</v>
      </c>
      <c r="BA47" s="120">
        <f t="shared" si="31"/>
        <v>538052.59708295879</v>
      </c>
      <c r="BB47" s="120">
        <f t="shared" si="31"/>
        <v>330216.94133969332</v>
      </c>
      <c r="BC47" s="120">
        <f t="shared" si="31"/>
        <v>262739.33330629842</v>
      </c>
      <c r="BD47" s="120">
        <f t="shared" si="31"/>
        <v>380053.0466949768</v>
      </c>
      <c r="BE47" s="120">
        <f t="shared" si="31"/>
        <v>501978.23775456235</v>
      </c>
      <c r="BF47" s="120">
        <f t="shared" si="31"/>
        <v>637542.53503166616</v>
      </c>
      <c r="BG47" s="120">
        <f t="shared" si="31"/>
        <v>787840.09562678612</v>
      </c>
      <c r="BH47" s="120">
        <f t="shared" si="31"/>
        <v>878720.3913913198</v>
      </c>
      <c r="BI47" s="120">
        <f t="shared" si="31"/>
        <v>713012.5430197363</v>
      </c>
      <c r="BJ47" s="120">
        <f t="shared" si="31"/>
        <v>609355.91990843299</v>
      </c>
      <c r="BK47" s="120">
        <f t="shared" si="31"/>
        <v>619176.04449267534</v>
      </c>
    </row>
    <row r="48" spans="1:63" ht="12.75" customHeight="1" x14ac:dyDescent="0.2">
      <c r="A48" s="126" t="s">
        <v>410</v>
      </c>
      <c r="B48" s="120">
        <f>SUM(D48:BQ48)</f>
        <v>2740504.0517050596</v>
      </c>
      <c r="C48" s="120">
        <f>B48/60</f>
        <v>45675.067528417661</v>
      </c>
      <c r="D48" s="120">
        <f>MIN(D47,MAX(D40-D42-D45+D46,0)+IF(Premissas!$B$8=0,0,MAX(D41-D44,0)/Premissas!$B$8))</f>
        <v>0</v>
      </c>
      <c r="E48" s="120">
        <f>MIN(E47,MAX(E40-E42-E45+E46,0)+IF(Premissas!$B$8=0,0,MAX(E41-E44,0)/Premissas!$B$8))</f>
        <v>0</v>
      </c>
      <c r="F48" s="120">
        <f>MIN(F47,MAX(F40-F42-F45+F46,0)+IF(Premissas!$B$8=0,0,MAX(F41-F44,0)/Premissas!$B$8))</f>
        <v>0</v>
      </c>
      <c r="G48" s="120">
        <f>MIN(G47,MAX(G40-G42-G45+G46,0)+IF(Premissas!$B$8=0,0,MAX(G41-G44,0)/Premissas!$B$8))</f>
        <v>0</v>
      </c>
      <c r="H48" s="120">
        <f>MIN(H47,MAX(H40-H42-H45+H46,0)+IF(Premissas!$B$8=0,0,MAX(H41-H44,0)/Premissas!$B$8))</f>
        <v>0</v>
      </c>
      <c r="I48" s="120">
        <f>MIN(I47,MAX(I40-I42-I45+I46,0)+IF(Premissas!$B$8=0,0,MAX(I41-I44,0)/Premissas!$B$8))</f>
        <v>0</v>
      </c>
      <c r="J48" s="120">
        <f>MIN(J47,MAX(J40-J42-J45+J46,0)+IF(Premissas!$B$8=0,0,MAX(J41-J44,0)/Premissas!$B$8))</f>
        <v>0</v>
      </c>
      <c r="K48" s="120">
        <f>MIN(K47,MAX(K40-K42-K45+K46,0)+IF(Premissas!$B$8=0,0,MAX(K41-K44,0)/Premissas!$B$8))</f>
        <v>36160.745381559944</v>
      </c>
      <c r="L48" s="120">
        <f>MIN(L47,MAX(L40-L42-L45+L46,0)+IF(Premissas!$B$8=0,0,MAX(L41-L44,0)/Premissas!$B$8))</f>
        <v>181648.18537074135</v>
      </c>
      <c r="M48" s="120">
        <f>MIN(M47,MAX(M40-M42-M45+M46,0)+IF(Premissas!$B$8=0,0,MAX(M41-M44,0)/Premissas!$B$8))</f>
        <v>128209.49384791378</v>
      </c>
      <c r="N48" s="120">
        <f>MIN(N47,MAX(N40-N42-N45+N46,0)+IF(Premissas!$B$8=0,0,MAX(N41-N44,0)/Premissas!$B$8))</f>
        <v>52313.090590543303</v>
      </c>
      <c r="O48" s="120">
        <f>MIN(O47,MAX(O40-O42-O45+O46,0)+IF(Premissas!$B$8=0,0,MAX(O41-O44,0)/Premissas!$B$8))</f>
        <v>66100.618399034953</v>
      </c>
      <c r="P48" s="120">
        <f>MIN(P47,MAX(P40-P42-P45+P46,0)+IF(Premissas!$B$8=0,0,MAX(P41-P44,0)/Premissas!$B$8))</f>
        <v>39660.959574913824</v>
      </c>
      <c r="Q48" s="120">
        <f>MIN(Q47,MAX(Q40-Q42-Q45+Q46,0)+IF(Premissas!$B$8=0,0,MAX(Q41-Q44,0)/Premissas!$B$8))</f>
        <v>0</v>
      </c>
      <c r="R48" s="120">
        <f>MIN(R47,MAX(R40-R42-R45+R46,0)+IF(Premissas!$B$8=0,0,MAX(R41-R44,0)/Premissas!$B$8))</f>
        <v>0</v>
      </c>
      <c r="S48" s="120">
        <f>MIN(S47,MAX(S40-S42-S45+S46,0)+IF(Premissas!$B$8=0,0,MAX(S41-S44,0)/Premissas!$B$8))</f>
        <v>0</v>
      </c>
      <c r="T48" s="120">
        <f>MIN(T47,MAX(T40-T42-T45+T46,0)+IF(Premissas!$B$8=0,0,MAX(T41-T44,0)/Premissas!$B$8))</f>
        <v>0</v>
      </c>
      <c r="U48" s="120">
        <f>MIN(U47,MAX(U40-U42-U45+U46,0)+IF(Premissas!$B$8=0,0,MAX(U41-U44,0)/Premissas!$B$8))</f>
        <v>0</v>
      </c>
      <c r="V48" s="120">
        <f>MIN(V47,MAX(V40-V42-V45+V46,0)+IF(Premissas!$B$8=0,0,MAX(V41-V44,0)/Premissas!$B$8))</f>
        <v>0</v>
      </c>
      <c r="W48" s="120">
        <f>MIN(W47,MAX(W40-W42-W45+W46,0)+IF(Premissas!$B$8=0,0,MAX(W41-W44,0)/Premissas!$B$8))</f>
        <v>13611.458011098948</v>
      </c>
      <c r="X48" s="120">
        <f>MIN(X47,MAX(X40-X42-X45+X46,0)+IF(Premissas!$B$8=0,0,MAX(X41-X44,0)/Premissas!$B$8))</f>
        <v>161837.18314574135</v>
      </c>
      <c r="Y48" s="120">
        <f>MIN(Y47,MAX(Y40-Y42-Y45+Y46,0)+IF(Premissas!$B$8=0,0,MAX(Y41-Y44,0)/Premissas!$B$8))</f>
        <v>105486.25099791377</v>
      </c>
      <c r="Z48" s="120">
        <f>MIN(Z47,MAX(Z40-Z42-Z45+Z46,0)+IF(Premissas!$B$8=0,0,MAX(Z41-Z44,0)/Premissas!$B$8))</f>
        <v>29978.708914293311</v>
      </c>
      <c r="AA48" s="120">
        <f>MIN(AA47,MAX(AA40-AA42-AA45+AA46,0)+IF(Premissas!$B$8=0,0,MAX(AA41-AA44,0)/Premissas!$B$8))</f>
        <v>45254.856720284952</v>
      </c>
      <c r="AB48" s="120">
        <f>MIN(AB47,MAX(AB40-AB42-AB45+AB46,0)+IF(Premissas!$B$8=0,0,MAX(AB41-AB44,0)/Premissas!$B$8))</f>
        <v>123825.7295785906</v>
      </c>
      <c r="AC48" s="120">
        <f>MIN(AC47,MAX(AC40-AC42-AC45+AC46,0)+IF(Premissas!$B$8=0,0,MAX(AC41-AC44,0)/Premissas!$B$8))</f>
        <v>109377.32574366091</v>
      </c>
      <c r="AD48" s="120">
        <f>MIN(AD47,MAX(AD40-AD42-AD45+AD46,0)+IF(Premissas!$B$8=0,0,MAX(AD41-AD44,0)/Premissas!$B$8))</f>
        <v>0</v>
      </c>
      <c r="AE48" s="120">
        <f>MIN(AE47,MAX(AE40-AE42-AE45+AE46,0)+IF(Premissas!$B$8=0,0,MAX(AE41-AE44,0)/Premissas!$B$8))</f>
        <v>0</v>
      </c>
      <c r="AF48" s="120">
        <f>MIN(AF47,MAX(AF40-AF42-AF45+AF46,0)+IF(Premissas!$B$8=0,0,MAX(AF41-AF44,0)/Premissas!$B$8))</f>
        <v>0</v>
      </c>
      <c r="AG48" s="120">
        <f>MIN(AG47,MAX(AG40-AG42-AG45+AG46,0)+IF(Premissas!$B$8=0,0,MAX(AG41-AG44,0)/Premissas!$B$8))</f>
        <v>0</v>
      </c>
      <c r="AH48" s="120">
        <f>MIN(AH47,MAX(AH40-AH42-AH45+AH46,0)+IF(Premissas!$B$8=0,0,MAX(AH41-AH44,0)/Premissas!$B$8))</f>
        <v>0</v>
      </c>
      <c r="AI48" s="120">
        <f>MIN(AI47,MAX(AI40-AI42-AI45+AI46,0)+IF(Premissas!$B$8=0,0,MAX(AI41-AI44,0)/Premissas!$B$8))</f>
        <v>1513.5950657789531</v>
      </c>
      <c r="AJ48" s="120">
        <f>MIN(AJ47,MAX(AJ40-AJ42-AJ45+AJ46,0)+IF(Premissas!$B$8=0,0,MAX(AJ41-AJ44,0)/Premissas!$B$8))</f>
        <v>141668.1304772599</v>
      </c>
      <c r="AK48" s="120">
        <f>MIN(AK47,MAX(AK40-AK42-AK45+AK46,0)+IF(Premissas!$B$8=0,0,MAX(AK41-AK44,0)/Premissas!$B$8))</f>
        <v>80313.77422261161</v>
      </c>
      <c r="AL48" s="120">
        <f>MIN(AL47,MAX(AL40-AL42-AL45+AL46,0)+IF(Premissas!$B$8=0,0,MAX(AL41-AL44,0)/Premissas!$B$8))</f>
        <v>15155.174893986652</v>
      </c>
      <c r="AM48" s="120">
        <f>MIN(AM47,MAX(AM40-AM42-AM45+AM46,0)+IF(Premissas!$B$8=0,0,MAX(AM41-AM44,0)/Premissas!$B$8))</f>
        <v>19826.651278448688</v>
      </c>
      <c r="AN48" s="120">
        <f>MIN(AN47,MAX(AN40-AN42-AN45+AN46,0)+IF(Premissas!$B$8=0,0,MAX(AN41-AN44,0)/Premissas!$B$8))</f>
        <v>130124.32802777024</v>
      </c>
      <c r="AO48" s="120">
        <f>MIN(AO47,MAX(AO40-AO42-AO45+AO46,0)+IF(Premissas!$B$8=0,0,MAX(AO41-AO44,0)/Premissas!$B$8))</f>
        <v>181830.10751516832</v>
      </c>
      <c r="AP48" s="120">
        <f>MIN(AP47,MAX(AP40-AP42-AP45+AP46,0)+IF(Premissas!$B$8=0,0,MAX(AP41-AP44,0)/Premissas!$B$8))</f>
        <v>40997.786427350686</v>
      </c>
      <c r="AQ48" s="120">
        <f>MIN(AQ47,MAX(AQ40-AQ42-AQ45+AQ46,0)+IF(Premissas!$B$8=0,0,MAX(AQ41-AQ44,0)/Premissas!$B$8))</f>
        <v>0</v>
      </c>
      <c r="AR48" s="120">
        <f>MIN(AR47,MAX(AR40-AR42-AR45+AR46,0)+IF(Premissas!$B$8=0,0,MAX(AR41-AR44,0)/Premissas!$B$8))</f>
        <v>0</v>
      </c>
      <c r="AS48" s="120">
        <f>MIN(AS47,MAX(AS40-AS42-AS45+AS46,0)+IF(Premissas!$B$8=0,0,MAX(AS41-AS44,0)/Premissas!$B$8))</f>
        <v>0</v>
      </c>
      <c r="AT48" s="120">
        <f>MIN(AT47,MAX(AT40-AT42-AT45+AT46,0)+IF(Premissas!$B$8=0,0,MAX(AT41-AT44,0)/Premissas!$B$8))</f>
        <v>0</v>
      </c>
      <c r="AU48" s="120">
        <f>MIN(AU47,MAX(AU40-AU42-AU45+AU46,0)+IF(Premissas!$B$8=0,0,MAX(AU41-AU44,0)/Premissas!$B$8))</f>
        <v>4266.2973378234201</v>
      </c>
      <c r="AV48" s="120">
        <f>MIN(AV47,MAX(AV40-AV42-AV45+AV46,0)+IF(Premissas!$B$8=0,0,MAX(AV41-AV44,0)/Premissas!$B$8))</f>
        <v>148901.75334163013</v>
      </c>
      <c r="AW48" s="120">
        <f>MIN(AW47,MAX(AW40-AW42-AW45+AW46,0)+IF(Premissas!$B$8=0,0,MAX(AW41-AW44,0)/Premissas!$B$8))</f>
        <v>86521.409867834387</v>
      </c>
      <c r="AX48" s="120">
        <f>MIN(AX47,MAX(AX40-AX42-AX45+AX46,0)+IF(Premissas!$B$8=0,0,MAX(AX41-AX44,0)/Premissas!$B$8))</f>
        <v>15534.054266336318</v>
      </c>
      <c r="AY48" s="120">
        <f>MIN(AY47,MAX(AY40-AY42-AY45+AY46,0)+IF(Premissas!$B$8=0,0,MAX(AY41-AY44,0)/Premissas!$B$8))</f>
        <v>22414.676207199882</v>
      </c>
      <c r="AZ48" s="120">
        <f>MIN(AZ47,MAX(AZ40-AZ42-AZ45+AZ46,0)+IF(Premissas!$B$8=0,0,MAX(AZ41-AZ44,0)/Premissas!$B$8))</f>
        <v>153490.03190336085</v>
      </c>
      <c r="BA48" s="120">
        <f>MIN(BA47,MAX(BA40-BA42-BA45+BA46,0)+IF(Premissas!$B$8=0,0,MAX(BA41-BA44,0)/Premissas!$B$8))</f>
        <v>207835.65574326547</v>
      </c>
      <c r="BB48" s="120">
        <f>MIN(BB47,MAX(BB40-BB42-BB45+BB46,0)+IF(Premissas!$B$8=0,0,MAX(BB41-BB44,0)/Premissas!$B$8))</f>
        <v>67477.608033394892</v>
      </c>
      <c r="BC48" s="120">
        <f>MIN(BC47,MAX(BC40-BC42-BC45+BC46,0)+IF(Premissas!$B$8=0,0,MAX(BC41-BC44,0)/Premissas!$B$8))</f>
        <v>0</v>
      </c>
      <c r="BD48" s="120">
        <f>MIN(BD47,MAX(BD40-BD42-BD45+BD46,0)+IF(Premissas!$B$8=0,0,MAX(BD41-BD44,0)/Premissas!$B$8))</f>
        <v>0</v>
      </c>
      <c r="BE48" s="120">
        <f>MIN(BE47,MAX(BE40-BE42-BE45+BE46,0)+IF(Premissas!$B$8=0,0,MAX(BE41-BE44,0)/Premissas!$B$8))</f>
        <v>0</v>
      </c>
      <c r="BF48" s="120">
        <f>MIN(BF47,MAX(BF40-BF42-BF45+BF46,0)+IF(Premissas!$B$8=0,0,MAX(BF41-BF44,0)/Premissas!$B$8))</f>
        <v>0</v>
      </c>
      <c r="BG48" s="120">
        <f>MIN(BG47,MAX(BG40-BG42-BG45+BG46,0)+IF(Premissas!$B$8=0,0,MAX(BG41-BG44,0)/Premissas!$B$8))</f>
        <v>8118.0217334573545</v>
      </c>
      <c r="BH48" s="120">
        <f>MIN(BH47,MAX(BH40-BH42-BH45+BH46,0)+IF(Premissas!$B$8=0,0,MAX(BH41-BH44,0)/Premissas!$B$8))</f>
        <v>165707.8483715835</v>
      </c>
      <c r="BI48" s="120">
        <f>MIN(BI47,MAX(BI40-BI42-BI45+BI46,0)+IF(Premissas!$B$8=0,0,MAX(BI41-BI44,0)/Premissas!$B$8))</f>
        <v>103656.62311130331</v>
      </c>
      <c r="BJ48" s="120">
        <f>MIN(BJ47,MAX(BJ40-BJ42-BJ45+BJ46,0)+IF(Premissas!$B$8=0,0,MAX(BJ41-BJ44,0)/Premissas!$B$8))</f>
        <v>15922.405622994725</v>
      </c>
      <c r="BK48" s="120">
        <f>MIN(BK47,MAX(BK40-BK42-BK45+BK46,0)+IF(Premissas!$B$8=0,0,MAX(BK41-BK44,0)/Premissas!$B$8))</f>
        <v>35763.511980209383</v>
      </c>
    </row>
    <row r="49" spans="1:63" ht="13.5" customHeight="1" x14ac:dyDescent="0.2">
      <c r="A49" s="41" t="s">
        <v>411</v>
      </c>
      <c r="B49" s="43">
        <f>AA49</f>
        <v>233203.05532225152</v>
      </c>
      <c r="C49" s="120" t="s">
        <v>397</v>
      </c>
      <c r="D49" s="137">
        <f t="shared" ref="D49:AI49" si="32">MAX(D47-D48,0)+D46+MAX(D45-MAX(D40-D42,0),0)+MAX(D42-D40,0)</f>
        <v>0</v>
      </c>
      <c r="E49" s="137">
        <f t="shared" si="32"/>
        <v>0</v>
      </c>
      <c r="F49" s="137">
        <f t="shared" si="32"/>
        <v>0</v>
      </c>
      <c r="G49" s="137">
        <f t="shared" si="32"/>
        <v>89620.813107221009</v>
      </c>
      <c r="H49" s="137">
        <f t="shared" si="32"/>
        <v>182787.21463598264</v>
      </c>
      <c r="I49" s="137">
        <f t="shared" si="32"/>
        <v>290506.45616474428</v>
      </c>
      <c r="J49" s="137">
        <f t="shared" si="32"/>
        <v>406244.63769350591</v>
      </c>
      <c r="K49" s="137">
        <f t="shared" si="32"/>
        <v>436499.49569350586</v>
      </c>
      <c r="L49" s="137">
        <f t="shared" si="32"/>
        <v>254851.3103227645</v>
      </c>
      <c r="M49" s="137">
        <f t="shared" si="32"/>
        <v>126641.81647485073</v>
      </c>
      <c r="N49" s="137">
        <f t="shared" si="32"/>
        <v>90715.116602912545</v>
      </c>
      <c r="O49" s="137">
        <f t="shared" si="32"/>
        <v>39660.959574913824</v>
      </c>
      <c r="P49" s="137">
        <f t="shared" si="32"/>
        <v>0</v>
      </c>
      <c r="Q49" s="137">
        <f t="shared" si="32"/>
        <v>0</v>
      </c>
      <c r="R49" s="137">
        <f t="shared" si="32"/>
        <v>0</v>
      </c>
      <c r="S49" s="137">
        <f t="shared" si="32"/>
        <v>88798.418629901542</v>
      </c>
      <c r="T49" s="137">
        <f t="shared" si="32"/>
        <v>204041.38605688221</v>
      </c>
      <c r="U49" s="137">
        <f t="shared" si="32"/>
        <v>333112.54478386289</v>
      </c>
      <c r="V49" s="137">
        <f t="shared" si="32"/>
        <v>469110.34609584359</v>
      </c>
      <c r="W49" s="137">
        <f t="shared" si="32"/>
        <v>543830.07055584353</v>
      </c>
      <c r="X49" s="137">
        <f t="shared" si="32"/>
        <v>381992.88741010218</v>
      </c>
      <c r="Y49" s="137">
        <f t="shared" si="32"/>
        <v>276506.63641218841</v>
      </c>
      <c r="Z49" s="137">
        <f t="shared" si="32"/>
        <v>263594.80355025025</v>
      </c>
      <c r="AA49" s="137">
        <f t="shared" si="32"/>
        <v>233203.05532225152</v>
      </c>
      <c r="AB49" s="137">
        <f t="shared" si="32"/>
        <v>109377.32574366091</v>
      </c>
      <c r="AC49" s="137">
        <f t="shared" si="32"/>
        <v>0</v>
      </c>
      <c r="AD49" s="137">
        <f t="shared" si="32"/>
        <v>0</v>
      </c>
      <c r="AE49" s="137">
        <f t="shared" si="32"/>
        <v>141119.85508464905</v>
      </c>
      <c r="AF49" s="137">
        <f t="shared" si="32"/>
        <v>287357.41891630425</v>
      </c>
      <c r="AG49" s="137">
        <f t="shared" si="32"/>
        <v>446405.70674145943</v>
      </c>
      <c r="AH49" s="137">
        <f t="shared" si="32"/>
        <v>610346.45525206462</v>
      </c>
      <c r="AI49" s="137">
        <f t="shared" si="32"/>
        <v>724669.67364021216</v>
      </c>
      <c r="AJ49" s="137">
        <f t="shared" ref="AJ49:BO49" si="33">MAX(AJ47-AJ48,0)+AJ46+MAX(AJ45-MAX(AJ40-AJ42,0),0)+MAX(AJ42-AJ40,0)</f>
        <v>583001.54316295229</v>
      </c>
      <c r="AK49" s="137">
        <f t="shared" si="33"/>
        <v>502687.76894034067</v>
      </c>
      <c r="AL49" s="137">
        <f t="shared" si="33"/>
        <v>531939.98692065547</v>
      </c>
      <c r="AM49" s="137">
        <f t="shared" si="33"/>
        <v>541008.58454706275</v>
      </c>
      <c r="AN49" s="137">
        <f t="shared" si="33"/>
        <v>410884.25651929248</v>
      </c>
      <c r="AO49" s="137">
        <f t="shared" si="33"/>
        <v>229054.14900412416</v>
      </c>
      <c r="AP49" s="137">
        <f t="shared" si="33"/>
        <v>188056.36257677348</v>
      </c>
      <c r="AQ49" s="137">
        <f t="shared" si="33"/>
        <v>327316.95676117367</v>
      </c>
      <c r="AR49" s="137">
        <f t="shared" si="33"/>
        <v>471719.37736582675</v>
      </c>
      <c r="AS49" s="137">
        <f t="shared" si="33"/>
        <v>629003.92777657474</v>
      </c>
      <c r="AT49" s="137">
        <f t="shared" si="33"/>
        <v>791246.5315111503</v>
      </c>
      <c r="AU49" s="137">
        <f t="shared" si="33"/>
        <v>899701.83915085241</v>
      </c>
      <c r="AV49" s="137">
        <f t="shared" si="33"/>
        <v>750800.08580922231</v>
      </c>
      <c r="AW49" s="137">
        <f t="shared" si="33"/>
        <v>664278.67594138789</v>
      </c>
      <c r="AX49" s="137">
        <f t="shared" si="33"/>
        <v>689240.80853288865</v>
      </c>
      <c r="AY49" s="137">
        <f t="shared" si="33"/>
        <v>691542.62898631964</v>
      </c>
      <c r="AZ49" s="137">
        <f t="shared" si="33"/>
        <v>538052.59708295879</v>
      </c>
      <c r="BA49" s="137">
        <f t="shared" si="33"/>
        <v>330216.94133969332</v>
      </c>
      <c r="BB49" s="137">
        <f t="shared" si="33"/>
        <v>262739.33330629842</v>
      </c>
      <c r="BC49" s="137">
        <f t="shared" si="33"/>
        <v>380053.0466949768</v>
      </c>
      <c r="BD49" s="137">
        <f t="shared" si="33"/>
        <v>501978.23775456235</v>
      </c>
      <c r="BE49" s="137">
        <f t="shared" si="33"/>
        <v>637542.53503166616</v>
      </c>
      <c r="BF49" s="137">
        <f t="shared" si="33"/>
        <v>787840.09562678612</v>
      </c>
      <c r="BG49" s="137">
        <f t="shared" si="33"/>
        <v>878720.3913913198</v>
      </c>
      <c r="BH49" s="137">
        <f t="shared" si="33"/>
        <v>713012.5430197363</v>
      </c>
      <c r="BI49" s="137">
        <f t="shared" si="33"/>
        <v>609355.91990843299</v>
      </c>
      <c r="BJ49" s="137">
        <f t="shared" si="33"/>
        <v>619176.04449267534</v>
      </c>
      <c r="BK49" s="137">
        <f t="shared" si="33"/>
        <v>596068.37297282589</v>
      </c>
    </row>
    <row r="50" spans="1:63" ht="12.75" customHeight="1" x14ac:dyDescent="0.2">
      <c r="A50" s="127" t="s">
        <v>412</v>
      </c>
      <c r="B50" s="128">
        <f>AA50</f>
        <v>152790.40156105941</v>
      </c>
      <c r="C50" s="120" t="s">
        <v>397</v>
      </c>
      <c r="D50" s="128">
        <f>Premissas!$B$28</f>
        <v>0</v>
      </c>
      <c r="E50" s="128">
        <f t="shared" ref="E50:AJ50" si="34">D52</f>
        <v>0</v>
      </c>
      <c r="F50" s="128">
        <f t="shared" si="34"/>
        <v>0</v>
      </c>
      <c r="G50" s="128">
        <f t="shared" si="34"/>
        <v>0</v>
      </c>
      <c r="H50" s="128">
        <f t="shared" si="34"/>
        <v>89620.813107221009</v>
      </c>
      <c r="I50" s="128">
        <f t="shared" si="34"/>
        <v>182787.21463598264</v>
      </c>
      <c r="J50" s="128">
        <f t="shared" si="34"/>
        <v>290506.45616474428</v>
      </c>
      <c r="K50" s="128">
        <f t="shared" si="34"/>
        <v>406244.63769350591</v>
      </c>
      <c r="L50" s="128">
        <f t="shared" si="34"/>
        <v>472660.2410750658</v>
      </c>
      <c r="M50" s="128">
        <f t="shared" si="34"/>
        <v>291012.05570432445</v>
      </c>
      <c r="N50" s="128">
        <f t="shared" si="34"/>
        <v>162802.56185641067</v>
      </c>
      <c r="O50" s="128">
        <f t="shared" si="34"/>
        <v>159053.11801168276</v>
      </c>
      <c r="P50" s="128">
        <f t="shared" si="34"/>
        <v>137534.54243575654</v>
      </c>
      <c r="Q50" s="128">
        <f t="shared" si="34"/>
        <v>0</v>
      </c>
      <c r="R50" s="128">
        <f t="shared" si="34"/>
        <v>0</v>
      </c>
      <c r="S50" s="128">
        <f t="shared" si="34"/>
        <v>0</v>
      </c>
      <c r="T50" s="128">
        <f t="shared" si="34"/>
        <v>88198.691334901538</v>
      </c>
      <c r="U50" s="128">
        <f t="shared" si="34"/>
        <v>179975.98870188222</v>
      </c>
      <c r="V50" s="128">
        <f t="shared" si="34"/>
        <v>286358.07486886287</v>
      </c>
      <c r="W50" s="128">
        <f t="shared" si="34"/>
        <v>400811.50833584357</v>
      </c>
      <c r="X50" s="128">
        <f t="shared" si="34"/>
        <v>466910.25757694244</v>
      </c>
      <c r="Y50" s="128">
        <f t="shared" si="34"/>
        <v>285262.07220620109</v>
      </c>
      <c r="Z50" s="128">
        <f t="shared" si="34"/>
        <v>157052.57835828731</v>
      </c>
      <c r="AA50" s="128">
        <f t="shared" si="34"/>
        <v>152790.40156105941</v>
      </c>
      <c r="AB50" s="128">
        <f t="shared" si="34"/>
        <v>130905.12022763316</v>
      </c>
      <c r="AC50" s="128">
        <f t="shared" si="34"/>
        <v>0</v>
      </c>
      <c r="AD50" s="128">
        <f t="shared" si="34"/>
        <v>0</v>
      </c>
      <c r="AE50" s="128">
        <f t="shared" si="34"/>
        <v>0</v>
      </c>
      <c r="AF50" s="128">
        <f t="shared" si="34"/>
        <v>86759.329728774072</v>
      </c>
      <c r="AG50" s="128">
        <f t="shared" si="34"/>
        <v>177131.38665092926</v>
      </c>
      <c r="AH50" s="128">
        <f t="shared" si="34"/>
        <v>282163.03925408446</v>
      </c>
      <c r="AI50" s="128">
        <f t="shared" si="34"/>
        <v>395320.49697073968</v>
      </c>
      <c r="AJ50" s="128">
        <f t="shared" si="34"/>
        <v>458752.14681536605</v>
      </c>
      <c r="AK50" s="128">
        <f t="shared" ref="AK50:BK50" si="35">AJ52</f>
        <v>270386.52703835617</v>
      </c>
      <c r="AL50" s="128">
        <f t="shared" si="35"/>
        <v>136510.67767224455</v>
      </c>
      <c r="AM50" s="128">
        <f t="shared" si="35"/>
        <v>127320.74309266091</v>
      </c>
      <c r="AN50" s="128">
        <f t="shared" si="35"/>
        <v>100511.29194562401</v>
      </c>
      <c r="AO50" s="128">
        <f t="shared" si="35"/>
        <v>0</v>
      </c>
      <c r="AP50" s="128">
        <f t="shared" si="35"/>
        <v>0</v>
      </c>
      <c r="AQ50" s="128">
        <f t="shared" si="35"/>
        <v>0</v>
      </c>
      <c r="AR50" s="128">
        <f t="shared" si="35"/>
        <v>85302.205726940912</v>
      </c>
      <c r="AS50" s="128">
        <f t="shared" si="35"/>
        <v>174252.38955754499</v>
      </c>
      <c r="AT50" s="128">
        <f t="shared" si="35"/>
        <v>277919.89768636902</v>
      </c>
      <c r="AU50" s="128">
        <f t="shared" si="35"/>
        <v>389769.76681687561</v>
      </c>
      <c r="AV50" s="128">
        <f t="shared" si="35"/>
        <v>450489.23762075516</v>
      </c>
      <c r="AW50" s="128">
        <f t="shared" si="35"/>
        <v>255249.12872618003</v>
      </c>
      <c r="AX50" s="128">
        <f t="shared" si="35"/>
        <v>115577.57054477563</v>
      </c>
      <c r="AY50" s="128">
        <f t="shared" si="35"/>
        <v>101360.79025508952</v>
      </c>
      <c r="AZ50" s="128">
        <f t="shared" si="35"/>
        <v>69525.950238003061</v>
      </c>
      <c r="BA50" s="128">
        <f t="shared" si="35"/>
        <v>0</v>
      </c>
      <c r="BB50" s="128">
        <f t="shared" si="35"/>
        <v>0</v>
      </c>
      <c r="BC50" s="128">
        <f t="shared" si="35"/>
        <v>0</v>
      </c>
      <c r="BD50" s="128">
        <f t="shared" si="35"/>
        <v>83826.7841612872</v>
      </c>
      <c r="BE50" s="128">
        <f t="shared" si="35"/>
        <v>171337.95394562441</v>
      </c>
      <c r="BF50" s="128">
        <f t="shared" si="35"/>
        <v>273627.16366720613</v>
      </c>
      <c r="BG50" s="128">
        <f t="shared" si="35"/>
        <v>384157.43712205568</v>
      </c>
      <c r="BH50" s="128">
        <f t="shared" si="35"/>
        <v>442118.41426060401</v>
      </c>
      <c r="BI50" s="128">
        <f t="shared" si="35"/>
        <v>239842.78076364027</v>
      </c>
      <c r="BJ50" s="128">
        <f t="shared" si="35"/>
        <v>94242.865109466482</v>
      </c>
      <c r="BK50" s="128">
        <f t="shared" si="35"/>
        <v>74897.55345365344</v>
      </c>
    </row>
    <row r="51" spans="1:63" ht="12.75" customHeight="1" x14ac:dyDescent="0.2">
      <c r="A51" s="127" t="s">
        <v>413</v>
      </c>
      <c r="B51" s="120">
        <f>SUM(D51:BQ51)</f>
        <v>2397167.0163285127</v>
      </c>
      <c r="C51" s="128">
        <f>B51/60</f>
        <v>39952.783605475212</v>
      </c>
      <c r="D51" s="120">
        <f>MIN(D50,MAX(D40-D42-D46,0)+IF(Premissas!$B$8=0,0,MAX(D41-D44-(IF(Premissas!$B$8&gt;0,MAX(D42-D40,0)*Premissas!$B$8,0)),0)/Premissas!$B$8))</f>
        <v>0</v>
      </c>
      <c r="E51" s="120">
        <f>MIN(E50,MAX(E40-E42-E46,0)+IF(Premissas!$B$8=0,0,MAX(E41-E44-(IF(Premissas!$B$8&gt;0,MAX(E42-E40,0)*Premissas!$B$8,0)),0)/Premissas!$B$8))</f>
        <v>0</v>
      </c>
      <c r="F51" s="120">
        <f>MIN(F50,MAX(F40-F42-F46,0)+IF(Premissas!$B$8=0,0,MAX(F41-F44-(IF(Premissas!$B$8&gt;0,MAX(F42-F40,0)*Premissas!$B$8,0)),0)/Premissas!$B$8))</f>
        <v>0</v>
      </c>
      <c r="G51" s="120">
        <f>MIN(G50,MAX(G40-G42-G46,0)+IF(Premissas!$B$8=0,0,MAX(G41-G44-(IF(Premissas!$B$8&gt;0,MAX(G42-G40,0)*Premissas!$B$8,0)),0)/Premissas!$B$8))</f>
        <v>0</v>
      </c>
      <c r="H51" s="120">
        <f>MIN(H50,MAX(H40-H42-H46,0)+IF(Premissas!$B$8=0,0,MAX(H41-H44-(IF(Premissas!$B$8&gt;0,MAX(H42-H40,0)*Premissas!$B$8,0)),0)/Premissas!$B$8))</f>
        <v>0</v>
      </c>
      <c r="I51" s="120">
        <f>MIN(I50,MAX(I40-I42-I46,0)+IF(Premissas!$B$8=0,0,MAX(I41-I44-(IF(Premissas!$B$8&gt;0,MAX(I42-I40,0)*Premissas!$B$8,0)),0)/Premissas!$B$8))</f>
        <v>0</v>
      </c>
      <c r="J51" s="120">
        <f>MIN(J50,MAX(J40-J42-J46,0)+IF(Premissas!$B$8=0,0,MAX(J41-J44-(IF(Premissas!$B$8&gt;0,MAX(J42-J40,0)*Premissas!$B$8,0)),0)/Premissas!$B$8))</f>
        <v>0</v>
      </c>
      <c r="K51" s="120">
        <f>MIN(K50,MAX(K40-K42-K46,0)+IF(Premissas!$B$8=0,0,MAX(K41-K44-(IF(Premissas!$B$8&gt;0,MAX(K42-K40,0)*Premissas!$B$8,0)),0)/Premissas!$B$8))</f>
        <v>0</v>
      </c>
      <c r="L51" s="120">
        <f>MIN(L50,MAX(L40-L42-L46,0)+IF(Premissas!$B$8=0,0,MAX(L41-L44-(IF(Premissas!$B$8&gt;0,MAX(L42-L40,0)*Premissas!$B$8,0)),0)/Premissas!$B$8))</f>
        <v>181648.18537074135</v>
      </c>
      <c r="M51" s="120">
        <f>MIN(M50,MAX(M40-M42-M46,0)+IF(Premissas!$B$8=0,0,MAX(M41-M44-(IF(Premissas!$B$8&gt;0,MAX(M42-M40,0)*Premissas!$B$8,0)),0)/Premissas!$B$8))</f>
        <v>128209.49384791378</v>
      </c>
      <c r="N51" s="120">
        <f>MIN(N50,MAX(N40-N42-N46,0)+IF(Premissas!$B$8=0,0,MAX(N41-N44-(IF(Premissas!$B$8&gt;0,MAX(N42-N40,0)*Premissas!$B$8,0)),0)/Premissas!$B$8))</f>
        <v>20135.834563333061</v>
      </c>
      <c r="O51" s="120">
        <f>MIN(O50,MAX(O40-O42-O46,0)+IF(Premissas!$B$8=0,0,MAX(O41-O44-(IF(Premissas!$B$8&gt;0,MAX(O42-O40,0)*Premissas!$B$8,0)),0)/Premissas!$B$8))</f>
        <v>36565.036946962478</v>
      </c>
      <c r="P51" s="120">
        <f>MIN(P50,MAX(P40-P42-P46,0)+IF(Premissas!$B$8=0,0,MAX(P41-P44-(IF(Premissas!$B$8&gt;0,MAX(P42-P40,0)*Premissas!$B$8,0)),0)/Premissas!$B$8))</f>
        <v>137534.54243575654</v>
      </c>
      <c r="Q51" s="120">
        <f>MIN(Q50,MAX(Q40-Q42-Q46,0)+IF(Premissas!$B$8=0,0,MAX(Q41-Q44-(IF(Premissas!$B$8&gt;0,MAX(Q42-Q40,0)*Premissas!$B$8,0)),0)/Premissas!$B$8))</f>
        <v>0</v>
      </c>
      <c r="R51" s="120">
        <f>MIN(R50,MAX(R40-R42-R46,0)+IF(Premissas!$B$8=0,0,MAX(R41-R44-(IF(Premissas!$B$8&gt;0,MAX(R42-R40,0)*Premissas!$B$8,0)),0)/Premissas!$B$8))</f>
        <v>0</v>
      </c>
      <c r="S51" s="120">
        <f>MIN(S50,MAX(S40-S42-S46,0)+IF(Premissas!$B$8=0,0,MAX(S41-S44-(IF(Premissas!$B$8&gt;0,MAX(S42-S40,0)*Premissas!$B$8,0)),0)/Premissas!$B$8))</f>
        <v>0</v>
      </c>
      <c r="T51" s="120">
        <f>MIN(T50,MAX(T40-T42-T46,0)+IF(Premissas!$B$8=0,0,MAX(T41-T44-(IF(Premissas!$B$8&gt;0,MAX(T42-T40,0)*Premissas!$B$8,0)),0)/Premissas!$B$8))</f>
        <v>0</v>
      </c>
      <c r="U51" s="120">
        <f>MIN(U50,MAX(U40-U42-U46,0)+IF(Premissas!$B$8=0,0,MAX(U41-U44-(IF(Premissas!$B$8&gt;0,MAX(U42-U40,0)*Premissas!$B$8,0)),0)/Premissas!$B$8))</f>
        <v>0</v>
      </c>
      <c r="V51" s="120">
        <f>MIN(V50,MAX(V40-V42-V46,0)+IF(Premissas!$B$8=0,0,MAX(V41-V44-(IF(Premissas!$B$8&gt;0,MAX(V42-V40,0)*Premissas!$B$8,0)),0)/Premissas!$B$8))</f>
        <v>0</v>
      </c>
      <c r="W51" s="120">
        <f>MIN(W50,MAX(W40-W42-W46,0)+IF(Premissas!$B$8=0,0,MAX(W41-W44-(IF(Premissas!$B$8&gt;0,MAX(W42-W40,0)*Premissas!$B$8,0)),0)/Premissas!$B$8))</f>
        <v>0</v>
      </c>
      <c r="X51" s="120">
        <f>MIN(X50,MAX(X40-X42-X46,0)+IF(Premissas!$B$8=0,0,MAX(X41-X44-(IF(Premissas!$B$8&gt;0,MAX(X42-X40,0)*Premissas!$B$8,0)),0)/Premissas!$B$8))</f>
        <v>181648.18537074135</v>
      </c>
      <c r="Y51" s="120">
        <f>MIN(Y50,MAX(Y40-Y42-Y46,0)+IF(Premissas!$B$8=0,0,MAX(Y41-Y44-(IF(Premissas!$B$8&gt;0,MAX(Y42-Y40,0)*Premissas!$B$8,0)),0)/Premissas!$B$8))</f>
        <v>128209.49384791378</v>
      </c>
      <c r="Z51" s="120">
        <f>MIN(Z50,MAX(Z40-Z42-Z46,0)+IF(Premissas!$B$8=0,0,MAX(Z41-Z44-(IF(Premissas!$B$8&gt;0,MAX(Z42-Z40,0)*Premissas!$B$8,0)),0)/Premissas!$B$8))</f>
        <v>20392.201039583058</v>
      </c>
      <c r="AA51" s="120">
        <f>MIN(AA50,MAX(AA40-AA42-AA46,0)+IF(Premissas!$B$8=0,0,MAX(AA41-AA44-(IF(Premissas!$B$8&gt;0,MAX(AA42-AA40,0)*Premissas!$B$8,0)),0)/Premissas!$B$8))</f>
        <v>36748.389825712482</v>
      </c>
      <c r="AB51" s="120">
        <f>MIN(AB50,MAX(AB40-AB42-AB46,0)+IF(Premissas!$B$8=0,0,MAX(AB41-AB44-(IF(Premissas!$B$8&gt;0,MAX(AB42-AB40,0),0))*Premissas!$B$8,0)/Premissas!$B$8))</f>
        <v>130905.12022763316</v>
      </c>
      <c r="AC51" s="120">
        <f>MIN(AC50,MAX(AC40-AC42-AC46,0)+IF(Premissas!$B$8=0,0,MAX(AC41-AC44-(IF(Premissas!$B$8&gt;0,MAX(AC42-AC40,0),0))*Premissas!$B$8,0)/Premissas!$B$8))</f>
        <v>0</v>
      </c>
      <c r="AD51" s="120">
        <f>MIN(AD50,MAX(AD40-AD42-AD46,0)+IF(Premissas!$B$8=0,0,MAX(AD41-AD44-(IF(Premissas!$B$8&gt;0,MAX(AD42-AD40,0),0))*Premissas!$B$8,0)/Premissas!$B$8))</f>
        <v>0</v>
      </c>
      <c r="AE51" s="120">
        <f>MIN(AE50,MAX(AE40-AE42-AE46,0)+IF(Premissas!$B$8=0,0,MAX(AE41-AE44-(IF(Premissas!$B$8&gt;0,MAX(AE42-AE40,0),0))*Premissas!$B$8,0)/Premissas!$B$8))</f>
        <v>0</v>
      </c>
      <c r="AF51" s="120">
        <f>MIN(AF50,MAX(AF40-AF42-AF46,0)+IF(Premissas!$B$8=0,0,MAX(AF41-AF44-(IF(Premissas!$B$8&gt;0,MAX(AF42-AF40,0),0))*Premissas!$B$8,0)/Premissas!$B$8))</f>
        <v>0</v>
      </c>
      <c r="AG51" s="120">
        <f>MIN(AG50,MAX(AG40-AG42-AG46,0)+IF(Premissas!$B$8=0,0,MAX(AG41-AG44-(IF(Premissas!$B$8&gt;0,MAX(AG42-AG40,0),0))*Premissas!$B$8,0)/Premissas!$B$8))</f>
        <v>0</v>
      </c>
      <c r="AH51" s="120">
        <f>MIN(AH50,MAX(AH40-AH42-AH46,0)+IF(Premissas!$B$8=0,0,MAX(AH41-AH44-(IF(Premissas!$B$8&gt;0,MAX(AH42-AH40,0),0))*Premissas!$B$8,0)/Premissas!$B$8))</f>
        <v>0</v>
      </c>
      <c r="AI51" s="120">
        <f>MIN(AI50,MAX(AI40-AI42-AI46,0)+IF(Premissas!$B$8=0,0,MAX(AI41-AI44-(IF(Premissas!$B$8&gt;0,MAX(AI42-AI40,0),0))*Premissas!$B$8,0)/Premissas!$B$8))</f>
        <v>0</v>
      </c>
      <c r="AJ51" s="120">
        <f>MIN(AJ50,MAX(AJ40-AJ42-AJ46,0)+IF(Premissas!$B$8=0,0,MAX(AJ41-AJ44-(IF(Premissas!$B$8&gt;0,MAX(AJ42-AJ40,0),0))*Premissas!$B$8,0)/Premissas!$B$8))</f>
        <v>188365.61977700988</v>
      </c>
      <c r="AK51" s="120">
        <f>MIN(AK50,MAX(AK40-AK42-AK46,0)+IF(Premissas!$B$8=0,0,MAX(AK41-AK44-(IF(Premissas!$B$8&gt;0,MAX(AK42-AK40,0),0))*Premissas!$B$8,0)/Premissas!$B$8))</f>
        <v>133875.84936611162</v>
      </c>
      <c r="AL51" s="120">
        <f>MIN(AL50,MAX(AL40-AL42-AL46,0)+IF(Premissas!$B$8=0,0,MAX(AL41-AL44-(IF(Premissas!$B$8&gt;0,MAX(AL42-AL40,0),0))*Premissas!$B$8,0)/Premissas!$B$8))</f>
        <v>24192.701564785144</v>
      </c>
      <c r="AM51" s="120">
        <f>MIN(AM50,MAX(AM40-AM42-AM46,0)+IF(Premissas!$B$8=0,0,MAX(AM41-AM44-(IF(Premissas!$B$8&gt;0,MAX(AM42-AM40,0),0))*Premissas!$B$8,0)/Premissas!$B$8))</f>
        <v>40949.52066549279</v>
      </c>
      <c r="AN51" s="120">
        <f>MIN(AN50,MAX(AN40-AN42-AN46,0)+IF(Premissas!$B$8=0,0,MAX(AN41-AN44-(IF(Premissas!$B$8&gt;0,MAX(AN42-AN40,0),0))*Premissas!$B$8,0)/Premissas!$B$8))</f>
        <v>100511.29194562401</v>
      </c>
      <c r="AO51" s="120">
        <f>MIN(AO50,MAX(AO40-AO42-AO46,0)+IF(Premissas!$B$8=0,0,MAX(AO41-AO44-(IF(Premissas!$B$8&gt;0,MAX(AO42-AO40,0),0))*Premissas!$B$8,0)/Premissas!$B$8))</f>
        <v>0</v>
      </c>
      <c r="AP51" s="120">
        <f>MIN(AP50,MAX(AP40-AP42-AP46,0)+IF(Premissas!$B$8=0,0,MAX(AP41-AP44-(IF(Premissas!$B$8&gt;0,MAX(AP42-AP40,0),0))*Premissas!$B$8,0)/Premissas!$B$8))</f>
        <v>0</v>
      </c>
      <c r="AQ51" s="120">
        <f>MIN(AQ50,MAX(AQ40-AQ42-AQ46,0)+IF(Premissas!$B$8=0,0,MAX(AQ41-AQ44-(IF(Premissas!$B$8&gt;0,MAX(AQ42-AQ40,0),0))*Premissas!$B$8,0)/Premissas!$B$8))</f>
        <v>0</v>
      </c>
      <c r="AR51" s="120">
        <f>MIN(AR50,MAX(AR40-AR42-AR46,0)+IF(Premissas!$B$8=0,0,MAX(AR41-AR44-(IF(Premissas!$B$8&gt;0,MAX(AR42-AR40,0),0))*Premissas!$B$8,0)/Premissas!$B$8))</f>
        <v>0</v>
      </c>
      <c r="AS51" s="120">
        <f>MIN(AS50,MAX(AS40-AS42-AS46,0)+IF(Premissas!$B$8=0,0,MAX(AS41-AS44-(IF(Premissas!$B$8&gt;0,MAX(AS42-AS40,0),0))*Premissas!$B$8,0)/Premissas!$B$8))</f>
        <v>0</v>
      </c>
      <c r="AT51" s="120">
        <f>MIN(AT50,MAX(AT40-AT42-AT46,0)+IF(Premissas!$B$8=0,0,MAX(AT41-AT44-(IF(Premissas!$B$8&gt;0,MAX(AT42-AT40,0),0))*Premissas!$B$8,0)/Premissas!$B$8))</f>
        <v>0</v>
      </c>
      <c r="AU51" s="120">
        <f>MIN(AU50,MAX(AU40-AU42-AU46,0)+IF(Premissas!$B$8=0,0,MAX(AU41-AU44-(IF(Premissas!$B$8&gt;0,MAX(AU42-AU40,0),0))*Premissas!$B$8,0)/Premissas!$B$8))</f>
        <v>0</v>
      </c>
      <c r="AV51" s="120">
        <f>MIN(AV50,MAX(AV40-AV42-AV46,0)+IF(Premissas!$B$8=0,0,MAX(AV41-AV44-(IF(Premissas!$B$8&gt;0,MAX(AV42-AV40,0),0))*Premissas!$B$8,0)/Premissas!$B$8))</f>
        <v>195240.10889457513</v>
      </c>
      <c r="AW51" s="120">
        <f>MIN(AW50,MAX(AW40-AW42-AW46,0)+IF(Premissas!$B$8=0,0,MAX(AW41-AW44-(IF(Premissas!$B$8&gt;0,MAX(AW42-AW40,0),0))*Premissas!$B$8,0)/Premissas!$B$8))</f>
        <v>139671.5581814044</v>
      </c>
      <c r="AX51" s="120">
        <f>MIN(AX50,MAX(AX40-AX42-AX46,0)+IF(Premissas!$B$8=0,0,MAX(AX41-AX44-(IF(Premissas!$B$8&gt;0,MAX(AX42-AX40,0),0))*Premissas!$B$8,0)/Premissas!$B$8))</f>
        <v>28071.761125621211</v>
      </c>
      <c r="AY51" s="120">
        <f>MIN(AY50,MAX(AY40-AY42-AY46,0)+IF(Premissas!$B$8=0,0,MAX(AY41-AY44-(IF(Premissas!$B$8&gt;0,MAX(AY42-AY40,0),0))*Premissas!$B$8,0)/Premissas!$B$8))</f>
        <v>45239.267670796937</v>
      </c>
      <c r="AZ51" s="120">
        <f>MIN(AZ50,MAX(AZ40-AZ42-AZ46,0)+IF(Premissas!$B$8=0,0,MAX(AZ41-AZ44-(IF(Premissas!$B$8&gt;0,MAX(AZ42-AZ40,0),0))*Premissas!$B$8,0)/Premissas!$B$8))</f>
        <v>69525.950238003061</v>
      </c>
      <c r="BA51" s="120">
        <f>MIN(BA50,MAX(BA40-BA42-BA46,0)+IF(Premissas!$B$8=0,0,MAX(BA41-BA44-(IF(Premissas!$B$8&gt;0,MAX(BA42-BA40,0),0))*Premissas!$B$8,0)/Premissas!$B$8))</f>
        <v>0</v>
      </c>
      <c r="BB51" s="120">
        <f>MIN(BB50,MAX(BB40-BB42-BB46,0)+IF(Premissas!$B$8=0,0,MAX(BB41-BB44-(IF(Premissas!$B$8&gt;0,MAX(BB42-BB40,0),0))*Premissas!$B$8,0)/Premissas!$B$8))</f>
        <v>0</v>
      </c>
      <c r="BC51" s="120">
        <f>MIN(BC50,MAX(BC40-BC42-BC46,0)+IF(Premissas!$B$8=0,0,MAX(BC41-BC44-(IF(Premissas!$B$8&gt;0,MAX(BC42-BC40,0),0))*Premissas!$B$8,0)/Premissas!$B$8))</f>
        <v>0</v>
      </c>
      <c r="BD51" s="120">
        <f>MIN(BD50,MAX(BD40-BD42-BD46,0)+IF(Premissas!$B$8=0,0,MAX(BD41-BD44-(IF(Premissas!$B$8&gt;0,MAX(BD42-BD40,0),0))*Premissas!$B$8,0)/Premissas!$B$8))</f>
        <v>0</v>
      </c>
      <c r="BE51" s="120">
        <f>MIN(BE50,MAX(BE40-BE42-BE46,0)+IF(Premissas!$B$8=0,0,MAX(BE41-BE44-(IF(Premissas!$B$8&gt;0,MAX(BE42-BE40,0),0))*Premissas!$B$8,0)/Premissas!$B$8))</f>
        <v>0</v>
      </c>
      <c r="BF51" s="120">
        <f>MIN(BF50,MAX(BF40-BF42-BF46,0)+IF(Premissas!$B$8=0,0,MAX(BF41-BF44-(IF(Premissas!$B$8&gt;0,MAX(BF42-BF40,0),0))*Premissas!$B$8,0)/Premissas!$B$8))</f>
        <v>0</v>
      </c>
      <c r="BG51" s="120">
        <f>MIN(BG50,MAX(BG40-BG42-BG46,0)+IF(Premissas!$B$8=0,0,MAX(BG41-BG44-(IF(Premissas!$B$8&gt;0,MAX(BG42-BG40,0),0))*Premissas!$B$8,0)/Premissas!$B$8))</f>
        <v>0</v>
      </c>
      <c r="BH51" s="120">
        <f>MIN(BH50,MAX(BH40-BH42-BH46,0)+IF(Premissas!$B$8=0,0,MAX(BH41-BH44-(IF(Premissas!$B$8&gt;0,MAX(BH42-BH40,0),0))*Premissas!$B$8,0)/Premissas!$B$8))</f>
        <v>202275.63349696374</v>
      </c>
      <c r="BI51" s="120">
        <f>MIN(BI50,MAX(BI40-BI42-BI46,0)+IF(Premissas!$B$8=0,0,MAX(BI41-BI44-(IF(Premissas!$B$8&gt;0,MAX(BI42-BI40,0),0))*Premissas!$B$8,0)/Premissas!$B$8))</f>
        <v>145599.91565417379</v>
      </c>
      <c r="BJ51" s="120">
        <f>MIN(BJ50,MAX(BJ40-BJ42-BJ46,0)+IF(Premissas!$B$8=0,0,MAX(BJ41-BJ44-(IF(Premissas!$B$8&gt;0,MAX(BJ42-BJ40,0),0))*Premissas!$B$8,0)/Premissas!$B$8))</f>
        <v>32031.425965369581</v>
      </c>
      <c r="BK51" s="120">
        <f>MIN(BK50,MAX(BK40-BK42-BK46,0)+IF(Premissas!$B$8=0,0,MAX(BK41-BK44-(IF(Premissas!$B$8&gt;0,MAX(BK42-BK40,0),0))*Premissas!$B$8,0)/Premissas!$B$8))</f>
        <v>49619.928306290312</v>
      </c>
    </row>
    <row r="52" spans="1:63" ht="12.75" customHeight="1" x14ac:dyDescent="0.2">
      <c r="A52" s="127" t="s">
        <v>414</v>
      </c>
      <c r="B52" s="138">
        <f>AA52</f>
        <v>130905.12022763316</v>
      </c>
      <c r="C52" s="128" t="s">
        <v>397</v>
      </c>
      <c r="D52" s="138">
        <f t="shared" ref="D52:AI52" si="36">MAX(D50-D51,0)+D46+MAX(D42-D40,0)</f>
        <v>0</v>
      </c>
      <c r="E52" s="138">
        <f t="shared" si="36"/>
        <v>0</v>
      </c>
      <c r="F52" s="138">
        <f t="shared" si="36"/>
        <v>0</v>
      </c>
      <c r="G52" s="138">
        <f t="shared" si="36"/>
        <v>89620.813107221009</v>
      </c>
      <c r="H52" s="138">
        <f t="shared" si="36"/>
        <v>182787.21463598264</v>
      </c>
      <c r="I52" s="138">
        <f t="shared" si="36"/>
        <v>290506.45616474428</v>
      </c>
      <c r="J52" s="138">
        <f t="shared" si="36"/>
        <v>406244.63769350591</v>
      </c>
      <c r="K52" s="138">
        <f t="shared" si="36"/>
        <v>472660.2410750658</v>
      </c>
      <c r="L52" s="138">
        <f t="shared" si="36"/>
        <v>291012.05570432445</v>
      </c>
      <c r="M52" s="138">
        <f t="shared" si="36"/>
        <v>162802.56185641067</v>
      </c>
      <c r="N52" s="138">
        <f t="shared" si="36"/>
        <v>159053.11801168276</v>
      </c>
      <c r="O52" s="138">
        <f t="shared" si="36"/>
        <v>137534.54243575654</v>
      </c>
      <c r="P52" s="138">
        <f t="shared" si="36"/>
        <v>0</v>
      </c>
      <c r="Q52" s="138">
        <f t="shared" si="36"/>
        <v>0</v>
      </c>
      <c r="R52" s="138">
        <f t="shared" si="36"/>
        <v>0</v>
      </c>
      <c r="S52" s="138">
        <f t="shared" si="36"/>
        <v>88198.691334901538</v>
      </c>
      <c r="T52" s="138">
        <f t="shared" si="36"/>
        <v>179975.98870188222</v>
      </c>
      <c r="U52" s="138">
        <f t="shared" si="36"/>
        <v>286358.07486886287</v>
      </c>
      <c r="V52" s="138">
        <f t="shared" si="36"/>
        <v>400811.50833584357</v>
      </c>
      <c r="W52" s="138">
        <f t="shared" si="36"/>
        <v>466910.25757694244</v>
      </c>
      <c r="X52" s="138">
        <f t="shared" si="36"/>
        <v>285262.07220620109</v>
      </c>
      <c r="Y52" s="138">
        <f t="shared" si="36"/>
        <v>157052.57835828731</v>
      </c>
      <c r="Z52" s="138">
        <f t="shared" si="36"/>
        <v>152790.40156105941</v>
      </c>
      <c r="AA52" s="138">
        <f t="shared" si="36"/>
        <v>130905.12022763316</v>
      </c>
      <c r="AB52" s="138">
        <f t="shared" si="36"/>
        <v>0</v>
      </c>
      <c r="AC52" s="138">
        <f t="shared" si="36"/>
        <v>0</v>
      </c>
      <c r="AD52" s="138">
        <f t="shared" si="36"/>
        <v>0</v>
      </c>
      <c r="AE52" s="138">
        <f t="shared" si="36"/>
        <v>86759.329728774072</v>
      </c>
      <c r="AF52" s="138">
        <f t="shared" si="36"/>
        <v>177131.38665092926</v>
      </c>
      <c r="AG52" s="138">
        <f t="shared" si="36"/>
        <v>282163.03925408446</v>
      </c>
      <c r="AH52" s="138">
        <f t="shared" si="36"/>
        <v>395320.49697073968</v>
      </c>
      <c r="AI52" s="138">
        <f t="shared" si="36"/>
        <v>458752.14681536605</v>
      </c>
      <c r="AJ52" s="138">
        <f t="shared" ref="AJ52:BO52" si="37">MAX(AJ50-AJ51,0)+AJ46+MAX(AJ42-AJ40,0)</f>
        <v>270386.52703835617</v>
      </c>
      <c r="AK52" s="138">
        <f t="shared" si="37"/>
        <v>136510.67767224455</v>
      </c>
      <c r="AL52" s="138">
        <f t="shared" si="37"/>
        <v>127320.74309266091</v>
      </c>
      <c r="AM52" s="138">
        <f t="shared" si="37"/>
        <v>100511.29194562401</v>
      </c>
      <c r="AN52" s="138">
        <f t="shared" si="37"/>
        <v>0</v>
      </c>
      <c r="AO52" s="138">
        <f t="shared" si="37"/>
        <v>0</v>
      </c>
      <c r="AP52" s="138">
        <f t="shared" si="37"/>
        <v>0</v>
      </c>
      <c r="AQ52" s="138">
        <f t="shared" si="37"/>
        <v>85302.205726940912</v>
      </c>
      <c r="AR52" s="138">
        <f t="shared" si="37"/>
        <v>174252.38955754499</v>
      </c>
      <c r="AS52" s="138">
        <f t="shared" si="37"/>
        <v>277919.89768636902</v>
      </c>
      <c r="AT52" s="138">
        <f t="shared" si="37"/>
        <v>389769.76681687561</v>
      </c>
      <c r="AU52" s="138">
        <f t="shared" si="37"/>
        <v>450489.23762075516</v>
      </c>
      <c r="AV52" s="138">
        <f t="shared" si="37"/>
        <v>255249.12872618003</v>
      </c>
      <c r="AW52" s="138">
        <f t="shared" si="37"/>
        <v>115577.57054477563</v>
      </c>
      <c r="AX52" s="138">
        <f t="shared" si="37"/>
        <v>101360.79025508952</v>
      </c>
      <c r="AY52" s="138">
        <f t="shared" si="37"/>
        <v>69525.950238003061</v>
      </c>
      <c r="AZ52" s="138">
        <f t="shared" si="37"/>
        <v>0</v>
      </c>
      <c r="BA52" s="138">
        <f t="shared" si="37"/>
        <v>0</v>
      </c>
      <c r="BB52" s="138">
        <f t="shared" si="37"/>
        <v>0</v>
      </c>
      <c r="BC52" s="138">
        <f t="shared" si="37"/>
        <v>83826.7841612872</v>
      </c>
      <c r="BD52" s="138">
        <f t="shared" si="37"/>
        <v>171337.95394562441</v>
      </c>
      <c r="BE52" s="138">
        <f t="shared" si="37"/>
        <v>273627.16366720613</v>
      </c>
      <c r="BF52" s="138">
        <f t="shared" si="37"/>
        <v>384157.43712205568</v>
      </c>
      <c r="BG52" s="138">
        <f t="shared" si="37"/>
        <v>442118.41426060401</v>
      </c>
      <c r="BH52" s="138">
        <f t="shared" si="37"/>
        <v>239842.78076364027</v>
      </c>
      <c r="BI52" s="138">
        <f t="shared" si="37"/>
        <v>94242.865109466482</v>
      </c>
      <c r="BJ52" s="138">
        <f t="shared" si="37"/>
        <v>74897.55345365344</v>
      </c>
      <c r="BK52" s="138">
        <f t="shared" si="37"/>
        <v>37933.46560772309</v>
      </c>
    </row>
    <row r="53" spans="1:63" ht="12.75" customHeight="1" x14ac:dyDescent="0.2">
      <c r="A5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53" s="140">
        <f>SUM(D53:BQ53)</f>
        <v>2180961.9796763184</v>
      </c>
      <c r="C53" s="141">
        <f>B53/60</f>
        <v>36349.366327938638</v>
      </c>
      <c r="D53" s="142">
        <f>IF(D52&gt;0,0,MAX(D40-D42-D46-D50,0)*Premissas!$B$5*(1+Premissas!$B$126)*(1+Premissas!$B$124)^0+MAX(D41-D44-(IF(Premissas!$B$8&gt;0,MAX(D42+D46+D50-D40,0)*Premissas!$B$8,0)),0)*Premissas!$B$6*(1+Premissas!$B$126)*(1+Premissas!$B$124)^0)</f>
        <v>141455.37863616418</v>
      </c>
      <c r="E53" s="142">
        <f>IF(E52&gt;0,0,MAX(E40-E42-E46-E50,0)*Premissas!$B$5*(1+Premissas!$B$126)*(1+Premissas!$B$124)^0+MAX(E41-E44-(IF(Premissas!$B$8&gt;0,MAX(E42+E46+E50-E40,0)*Premissas!$B$8,0)),0)*Premissas!$B$6*(1+Premissas!$B$126)*(1+Premissas!$B$124)^0)</f>
        <v>184269.46160231339</v>
      </c>
      <c r="F53" s="142">
        <f>IF(F52&gt;0,0,MAX(F40-F42-F46-F50,0)*Premissas!$B$5*(1+Premissas!$B$126)*(1+Premissas!$B$124)^0+MAX(F41-F44-(IF(Premissas!$B$8&gt;0,MAX(F42+F46+F50-F40,0)*Premissas!$B$8,0)),0)*Premissas!$B$6*(1+Premissas!$B$126)*(1+Premissas!$B$124)^0)</f>
        <v>85734.533660511443</v>
      </c>
      <c r="G53" s="142">
        <f>IF(G52&gt;0,0,MAX(G40-G42-G46-G50,0)*Premissas!$B$5*(1+Premissas!$B$126)*(1+Premissas!$B$124)^0+MAX(G41-G44-(IF(Premissas!$B$8&gt;0,MAX(G42+G46+G50-G40,0)*Premissas!$B$8,0)),0)*Premissas!$B$6*(1+Premissas!$B$126)*(1+Premissas!$B$124)^0)</f>
        <v>0</v>
      </c>
      <c r="H53" s="142">
        <f>IF(H52&gt;0,0,MAX(H40-H42-H46-H50,0)*Premissas!$B$5*(1+Premissas!$B$126)*(1+Premissas!$B$124)^0+MAX(H41-H44-(IF(Premissas!$B$8&gt;0,MAX(H42+H46+H50-H40,0)*Premissas!$B$8,0)),0)*Premissas!$B$6*(1+Premissas!$B$126)*(1+Premissas!$B$124)^0)</f>
        <v>0</v>
      </c>
      <c r="I53" s="142">
        <f>IF(I52&gt;0,0,MAX(I40-I42-I46-I50,0)*Premissas!$B$5*(1+Premissas!$B$126)*(1+Premissas!$B$124)^0+MAX(I41-I44-(IF(Premissas!$B$8&gt;0,MAX(I42+I46+I50-I40,0)*Premissas!$B$8,0)),0)*Premissas!$B$6*(1+Premissas!$B$126)*(1+Premissas!$B$124)^0)</f>
        <v>0</v>
      </c>
      <c r="J53" s="142">
        <f>IF(J52&gt;0,0,MAX(J40-J42-J46-J50,0)*Premissas!$B$5*(1+Premissas!$B$126)*(1+Premissas!$B$124)^0+MAX(J41-J44-(IF(Premissas!$B$8&gt;0,MAX(J42+J46+J50-J40,0)*Premissas!$B$8,0)),0)*Premissas!$B$6*(1+Premissas!$B$126)*(1+Premissas!$B$124)^0)</f>
        <v>0</v>
      </c>
      <c r="K53" s="142">
        <f>IF(K52&gt;0,0,MAX(K40-K42-K46-K50,0)*Premissas!$B$5*(1+Premissas!$B$126)*(1+Premissas!$B$124)^0+MAX(K41-K44-(IF(Premissas!$B$8&gt;0,MAX(K42+K46+K50-K40,0)*Premissas!$B$8,0)),0)*Premissas!$B$6*(1+Premissas!$B$126)*(1+Premissas!$B$124)^0)</f>
        <v>0</v>
      </c>
      <c r="L53" s="142">
        <f>IF(L52&gt;0,0,MAX(L40-L42-L46-L50,0)*Premissas!$B$5*(1+Premissas!$B$126)*(1+Premissas!$B$124)^0+MAX(L41-L44-(IF(Premissas!$B$8&gt;0,MAX(L42+L46+L50-L40,0)*Premissas!$B$8,0)),0)*Premissas!$B$6*(1+Premissas!$B$126)*(1+Premissas!$B$124)^0)</f>
        <v>0</v>
      </c>
      <c r="M53" s="142">
        <f>IF(M52&gt;0,0,MAX(M40-M42-M46-M50,0)*Premissas!$B$5*(1+Premissas!$B$126)*(1+Premissas!$B$124)^0+MAX(M41-M44-(IF(Premissas!$B$8&gt;0,MAX(M42+M46+M50-M40,0)*Premissas!$B$8,0)),0)*Premissas!$B$6*(1+Premissas!$B$126)*(1+Premissas!$B$124)^0)</f>
        <v>0</v>
      </c>
      <c r="N53" s="142">
        <f>IF(N52&gt;0,0,MAX(N40-N42-N46-N50,0)*Premissas!$B$5*(1+Premissas!$B$126)*(1+Premissas!$B$124)^0+MAX(N41-N44-(IF(Premissas!$B$8&gt;0,MAX(N42+N46+N50-N40,0)*Premissas!$B$8,0)),0)*Premissas!$B$6*(1+Premissas!$B$126)*(1+Premissas!$B$124)^0)</f>
        <v>0</v>
      </c>
      <c r="O53" s="142">
        <f>IF(O52&gt;0,0,MAX(O40-O42-O46-O50,0)*Premissas!$B$5*(1+Premissas!$B$126)*(1+Premissas!$B$124)^0+MAX(O41-O44-(IF(Premissas!$B$8&gt;0,MAX(O42+O46+O50-O40,0)*Premissas!$B$8,0)),0)*Premissas!$B$6*(1+Premissas!$B$126)*(1+Premissas!$B$124)^0)</f>
        <v>0</v>
      </c>
      <c r="P53" s="142">
        <f>IF(P52&gt;0,0,MAX(P40-P42-P46-P50,0)*Premissas!$B$5*(1+Premissas!$B$126)*(1+Premissas!$B$124)^1+MAX(P41-P44-(IF(Premissas!$B$8&gt;0,MAX(P42+P46+P50-P40,0)*Premissas!$B$8,0)),0)*Premissas!$B$6*(1+Premissas!$B$126)*(1+Premissas!$B$124)^1)</f>
        <v>56312.290660126899</v>
      </c>
      <c r="Q53" s="142">
        <f>IF(Q52&gt;0,0,MAX(Q40-Q42-Q46-Q50,0)*Premissas!$B$5*(1+Premissas!$B$126)*(1+Premissas!$B$124)^1+MAX(Q41-Q44-(IF(Premissas!$B$8&gt;0,MAX(Q42+Q46+Q50-Q40,0)*Premissas!$B$8,0)),0)*Premissas!$B$6*(1+Premissas!$B$126)*(1+Premissas!$B$124)^1)</f>
        <v>201538.49243632023</v>
      </c>
      <c r="R53" s="142">
        <f>IF(R52&gt;0,0,MAX(R40-R42-R46-R50,0)*Premissas!$B$5*(1+Premissas!$B$126)*(1+Premissas!$B$124)^1+MAX(R41-R44-(IF(Premissas!$B$8&gt;0,MAX(R42+R46+R50-R40,0)*Premissas!$B$8,0)),0)*Premissas!$B$6*(1+Premissas!$B$126)*(1+Premissas!$B$124)^1)</f>
        <v>94551.732645369455</v>
      </c>
      <c r="S53" s="142">
        <f>IF(S52&gt;0,0,MAX(S40-S42-S46-S50,0)*Premissas!$B$5*(1+Premissas!$B$126)*(1+Premissas!$B$124)^1+MAX(S41-S44-(IF(Premissas!$B$8&gt;0,MAX(S42+S46+S50-S40,0)*Premissas!$B$8,0)),0)*Premissas!$B$6*(1+Premissas!$B$126)*(1+Premissas!$B$124)^1)</f>
        <v>0</v>
      </c>
      <c r="T53" s="142">
        <f>IF(T52&gt;0,0,MAX(T40-T42-T46-T50,0)*Premissas!$B$5*(1+Premissas!$B$126)*(1+Premissas!$B$124)^1+MAX(T41-T44-(IF(Premissas!$B$8&gt;0,MAX(T42+T46+T50-T40,0)*Premissas!$B$8,0)),0)*Premissas!$B$6*(1+Premissas!$B$126)*(1+Premissas!$B$124)^1)</f>
        <v>0</v>
      </c>
      <c r="U53" s="142">
        <f>IF(U52&gt;0,0,MAX(U40-U42-U46-U50,0)*Premissas!$B$5*(1+Premissas!$B$126)*(1+Premissas!$B$124)^1+MAX(U41-U44-(IF(Premissas!$B$8&gt;0,MAX(U42+U46+U50-U40,0)*Premissas!$B$8,0)),0)*Premissas!$B$6*(1+Premissas!$B$126)*(1+Premissas!$B$124)^1)</f>
        <v>0</v>
      </c>
      <c r="V53" s="142">
        <f>IF(V52&gt;0,0,MAX(V40-V42-V46-V50,0)*Premissas!$B$5*(1+Premissas!$B$126)*(1+Premissas!$B$124)^1+MAX(V41-V44-(IF(Premissas!$B$8&gt;0,MAX(V42+V46+V50-V40,0)*Premissas!$B$8,0)),0)*Premissas!$B$6*(1+Premissas!$B$126)*(1+Premissas!$B$124)^1)</f>
        <v>0</v>
      </c>
      <c r="W53" s="142">
        <f>IF(W52&gt;0,0,MAX(W40-W42-W46-W50,0)*Premissas!$B$5*(1+Premissas!$B$126)*(1+Premissas!$B$124)^1+MAX(W41-W44-(IF(Premissas!$B$8&gt;0,MAX(W42+W46+W50-W40,0)*Premissas!$B$8,0)),0)*Premissas!$B$6*(1+Premissas!$B$126)*(1+Premissas!$B$124)^1)</f>
        <v>0</v>
      </c>
      <c r="X53" s="142">
        <f>IF(X52&gt;0,0,MAX(X40-X42-X46-X50,0)*Premissas!$B$5*(1+Premissas!$B$126)*(1+Premissas!$B$124)^1+MAX(X41-X44-(IF(Premissas!$B$8&gt;0,MAX(X42+X46+X50-X40,0)*Premissas!$B$8,0)),0)*Premissas!$B$6*(1+Premissas!$B$126)*(1+Premissas!$B$124)^1)</f>
        <v>0</v>
      </c>
      <c r="Y53" s="142">
        <f>IF(Y52&gt;0,0,MAX(Y40-Y42-Y46-Y50,0)*Premissas!$B$5*(1+Premissas!$B$126)*(1+Premissas!$B$124)^1+MAX(Y41-Y44-(IF(Premissas!$B$8&gt;0,MAX(Y42+Y46+Y50-Y40,0)*Premissas!$B$8,0)),0)*Premissas!$B$6*(1+Premissas!$B$126)*(1+Premissas!$B$124)^1)</f>
        <v>0</v>
      </c>
      <c r="Z53" s="142">
        <f>IF(Z52&gt;0,0,MAX(Z40-Z42-Z46-Z50,0)*Premissas!$B$5*(1+Premissas!$B$126)*(1+Premissas!$B$124)^1+MAX(Z41-Z44-(IF(Premissas!$B$8&gt;0,MAX(Z42+Z46+Z50-Z40,0)*Premissas!$B$8,0)),0)*Premissas!$B$6*(1+Premissas!$B$126)*(1+Premissas!$B$124)^1)</f>
        <v>0</v>
      </c>
      <c r="AA53" s="142">
        <f>IF(AA52&gt;0,0,MAX(AA40-AA42-AA46-AA50,0)*Premissas!$B$5*(1+Premissas!$B$126)*(1+Premissas!$B$124)^1+MAX(AA41-AA44-(IF(Premissas!$B$8&gt;0,MAX(AA42+AA46+AA50-AA40,0)*Premissas!$B$8,0)),0)*Premissas!$B$6*(1+Premissas!$B$126)*(1+Premissas!$B$124)^1)</f>
        <v>0</v>
      </c>
      <c r="AB53" s="142">
        <f>IF(AB52&gt;0,0,MAX(AB40-AB42-AB46-AB50,0)*Premissas!$B$5*(1+Premissas!$B$126)*(1+Premissas!$B$124)^2+MAX(AB41-AB44-(IF(Premissas!$B$8&gt;0,MAX(AB42+AB44-AB40-AB41,0)*Premissas!$B$8,0)),0)*Premissas!$B$6*(1+Premissas!$B$126)*(1+Premissas!$B$124)^2)</f>
        <v>82285.13748031242</v>
      </c>
      <c r="AC53" s="142">
        <f>IF(AC52&gt;0,0,MAX(AC40-AC42-AC46-AC50,0)*Premissas!$B$5*(1+Premissas!$B$126)*(1+Premissas!$B$124)^2+MAX(AC41-AC44-(IF(Premissas!$B$8&gt;0,MAX(AC42+AC44-AC40-AC41,0)*Premissas!$B$8,0)),0)*Premissas!$B$6*(1+Premissas!$B$126)*(1+Premissas!$B$124)^2)</f>
        <v>220374.03025304445</v>
      </c>
      <c r="AD53" s="142">
        <f>IF(AD52&gt;0,0,MAX(AD40-AD42-AD46-AD50,0)*Premissas!$B$5*(1+Premissas!$B$126)*(1+Premissas!$B$124)^2+MAX(AD41-AD44-(IF(Premissas!$B$8&gt;0,MAX(AD42+AD44-AD40-AD41,0)*Premissas!$B$8,0)),0)*Premissas!$B$6*(1+Premissas!$B$126)*(1+Premissas!$B$124)^2)</f>
        <v>104208.26289414805</v>
      </c>
      <c r="AE53" s="142">
        <f>IF(AE52&gt;0,0,MAX(AE40-AE42-AE46-AE50,0)*Premissas!$B$5*(1+Premissas!$B$126)*(1+Premissas!$B$124)^2+MAX(AE41-AE44-(IF(Premissas!$B$8&gt;0,MAX(AE42+AE44-AE40-AE41,0)*Premissas!$B$8,0)),0)*Premissas!$B$6*(1+Premissas!$B$126)*(1+Premissas!$B$124)^2)</f>
        <v>0</v>
      </c>
      <c r="AF53" s="142">
        <f>IF(AF52&gt;0,0,MAX(AF40-AF42-AF46-AF50,0)*Premissas!$B$5*(1+Premissas!$B$126)*(1+Premissas!$B$124)^2+MAX(AF41-AF44-(IF(Premissas!$B$8&gt;0,MAX(AF42+AF44-AF40-AF41,0)*Premissas!$B$8,0)),0)*Premissas!$B$6*(1+Premissas!$B$126)*(1+Premissas!$B$124)^2)</f>
        <v>0</v>
      </c>
      <c r="AG53" s="142">
        <f>IF(AG52&gt;0,0,MAX(AG40-AG42-AG46-AG50,0)*Premissas!$B$5*(1+Premissas!$B$126)*(1+Premissas!$B$124)^2+MAX(AG41-AG44-(IF(Premissas!$B$8&gt;0,MAX(AG42+AG44-AG40-AG41,0)*Premissas!$B$8,0)),0)*Premissas!$B$6*(1+Premissas!$B$126)*(1+Premissas!$B$124)^2)</f>
        <v>0</v>
      </c>
      <c r="AH53" s="142">
        <f>IF(AH52&gt;0,0,MAX(AH40-AH42-AH46-AH50,0)*Premissas!$B$5*(1+Premissas!$B$126)*(1+Premissas!$B$124)^2+MAX(AH41-AH44-(IF(Premissas!$B$8&gt;0,MAX(AH42+AH44-AH40-AH41,0)*Premissas!$B$8,0)),0)*Premissas!$B$6*(1+Premissas!$B$126)*(1+Premissas!$B$124)^2)</f>
        <v>0</v>
      </c>
      <c r="AI53" s="142">
        <f>IF(AI52&gt;0,0,MAX(AI40-AI42-AI46-AI50,0)*Premissas!$B$5*(1+Premissas!$B$126)*(1+Premissas!$B$124)^2+MAX(AI41-AI44-(IF(Premissas!$B$8&gt;0,MAX(AI42+AI44-AI40-AI41,0)*Premissas!$B$8,0)),0)*Premissas!$B$6*(1+Premissas!$B$126)*(1+Premissas!$B$124)^2)</f>
        <v>0</v>
      </c>
      <c r="AJ53" s="142">
        <f>IF(AJ52&gt;0,0,MAX(AJ40-AJ42-AJ46-AJ50,0)*Premissas!$B$5*(1+Premissas!$B$126)*(1+Premissas!$B$124)^2+MAX(AJ41-AJ44-(IF(Premissas!$B$8&gt;0,MAX(AJ42+AJ44-AJ40-AJ41,0)*Premissas!$B$8,0)),0)*Premissas!$B$6*(1+Premissas!$B$126)*(1+Premissas!$B$124)^2)</f>
        <v>0</v>
      </c>
      <c r="AK53" s="142">
        <f>IF(AK52&gt;0,0,MAX(AK40-AK42-AK46-AK50,0)*Premissas!$B$5*(1+Premissas!$B$126)*(1+Premissas!$B$124)^2+MAX(AK41-AK44-(IF(Premissas!$B$8&gt;0,MAX(AK42+AK44-AK40-AK41,0)*Premissas!$B$8,0)),0)*Premissas!$B$6*(1+Premissas!$B$126)*(1+Premissas!$B$124)^2)</f>
        <v>0</v>
      </c>
      <c r="AL53" s="142">
        <f>IF(AL52&gt;0,0,MAX(AL40-AL42-AL46-AL50,0)*Premissas!$B$5*(1+Premissas!$B$126)*(1+Premissas!$B$124)^2+MAX(AL41-AL44-(IF(Premissas!$B$8&gt;0,MAX(AL42+AL44-AL40-AL41,0)*Premissas!$B$8,0)),0)*Premissas!$B$6*(1+Premissas!$B$126)*(1+Premissas!$B$124)^2)</f>
        <v>0</v>
      </c>
      <c r="AM53" s="142">
        <f>IF(AM52&gt;0,0,MAX(AM40-AM42-AM46-AM50,0)*Premissas!$B$5*(1+Premissas!$B$126)*(1+Premissas!$B$124)^2+MAX(AM41-AM44-(IF(Premissas!$B$8&gt;0,MAX(AM42+AM44-AM40-AM41,0)*Premissas!$B$8,0)),0)*Premissas!$B$6*(1+Premissas!$B$126)*(1+Premissas!$B$124)^2)</f>
        <v>0</v>
      </c>
      <c r="AN53" s="142">
        <f>IF(AN52&gt;0,0,MAX(AN40-AN42-AN46-AN50,0)*Premissas!$B$5*(1+Premissas!$B$126)*(1+Premissas!$B$124)^3+MAX(AN41-AN44-(IF(Premissas!$B$8&gt;0,MAX(AN42+AN44-AN40-AN41,0)*Premissas!$B$8,0)),0)*Premissas!$B$6*(1+Premissas!$B$126)*(1+Premissas!$B$124)^3)</f>
        <v>114338.82463104345</v>
      </c>
      <c r="AO53" s="142">
        <f>IF(AO52&gt;0,0,MAX(AO40-AO42-AO46-AO50,0)*Premissas!$B$5*(1+Premissas!$B$126)*(1+Premissas!$B$124)^3+MAX(AO41-AO44-(IF(Premissas!$B$8&gt;0,MAX(AO42+AO44-AO40-AO41,0)*Premissas!$B$8,0)),0)*Premissas!$B$6*(1+Premissas!$B$126)*(1+Premissas!$B$124)^3)</f>
        <v>240915.55655560305</v>
      </c>
      <c r="AP53" s="142">
        <f>IF(AP52&gt;0,0,MAX(AP40-AP42-AP46-AP50,0)*Premissas!$B$5*(1+Premissas!$B$126)*(1+Premissas!$B$124)^3+MAX(AP41-AP44-(IF(Premissas!$B$8&gt;0,MAX(AP42+AP44-AP40-AP41,0)*Premissas!$B$8,0)),0)*Premissas!$B$6*(1+Premissas!$B$126)*(1+Premissas!$B$124)^3)</f>
        <v>114780.91896345597</v>
      </c>
      <c r="AQ53" s="142">
        <f>IF(AQ52&gt;0,0,MAX(AQ40-AQ42-AQ46-AQ50,0)*Premissas!$B$5*(1+Premissas!$B$126)*(1+Premissas!$B$124)^3+MAX(AQ41-AQ44-(IF(Premissas!$B$8&gt;0,MAX(AQ42+AQ44-AQ40-AQ41,0)*Premissas!$B$8,0)),0)*Premissas!$B$6*(1+Premissas!$B$126)*(1+Premissas!$B$124)^3)</f>
        <v>0</v>
      </c>
      <c r="AR53" s="142">
        <f>IF(AR52&gt;0,0,MAX(AR40-AR42-AR46-AR50,0)*Premissas!$B$5*(1+Premissas!$B$126)*(1+Premissas!$B$124)^3+MAX(AR41-AR44-(IF(Premissas!$B$8&gt;0,MAX(AR42+AR44-AR40-AR41,0)*Premissas!$B$8,0)),0)*Premissas!$B$6*(1+Premissas!$B$126)*(1+Premissas!$B$124)^3)</f>
        <v>0</v>
      </c>
      <c r="AS53" s="142">
        <f>IF(AS52&gt;0,0,MAX(AS40-AS42-AS46-AS50,0)*Premissas!$B$5*(1+Premissas!$B$126)*(1+Premissas!$B$124)^3+MAX(AS41-AS44-(IF(Premissas!$B$8&gt;0,MAX(AS42+AS44-AS40-AS41,0)*Premissas!$B$8,0)),0)*Premissas!$B$6*(1+Premissas!$B$126)*(1+Premissas!$B$124)^3)</f>
        <v>0</v>
      </c>
      <c r="AT53" s="142">
        <f>IF(AT52&gt;0,0,MAX(AT40-AT42-AT46-AT50,0)*Premissas!$B$5*(1+Premissas!$B$126)*(1+Premissas!$B$124)^3+MAX(AT41-AT44-(IF(Premissas!$B$8&gt;0,MAX(AT42+AT44-AT40-AT41,0)*Premissas!$B$8,0)),0)*Premissas!$B$6*(1+Premissas!$B$126)*(1+Premissas!$B$124)^3)</f>
        <v>0</v>
      </c>
      <c r="AU53" s="142">
        <f>IF(AU52&gt;0,0,MAX(AU40-AU42-AU46-AU50,0)*Premissas!$B$5*(1+Premissas!$B$126)*(1+Premissas!$B$124)^3+MAX(AU41-AU44-(IF(Premissas!$B$8&gt;0,MAX(AU42+AU44-AU40-AU41,0)*Premissas!$B$8,0)),0)*Premissas!$B$6*(1+Premissas!$B$126)*(1+Premissas!$B$124)^3)</f>
        <v>0</v>
      </c>
      <c r="AV53" s="142">
        <f>IF(AV52&gt;0,0,MAX(AV40-AV42-AV46-AV50,0)*Premissas!$B$5*(1+Premissas!$B$126)*(1+Premissas!$B$124)^3+MAX(AV41-AV44-(IF(Premissas!$B$8&gt;0,MAX(AV42+AV44-AV40-AV41,0)*Premissas!$B$8,0)),0)*Premissas!$B$6*(1+Premissas!$B$126)*(1+Premissas!$B$124)^3)</f>
        <v>0</v>
      </c>
      <c r="AW53" s="142">
        <f>IF(AW52&gt;0,0,MAX(AW40-AW42-AW46-AW50,0)*Premissas!$B$5*(1+Premissas!$B$126)*(1+Premissas!$B$124)^3+MAX(AW41-AW44-(IF(Premissas!$B$8&gt;0,MAX(AW42+AW44-AW40-AW41,0)*Premissas!$B$8,0)),0)*Premissas!$B$6*(1+Premissas!$B$126)*(1+Premissas!$B$124)^3)</f>
        <v>0</v>
      </c>
      <c r="AX53" s="142">
        <f>IF(AX52&gt;0,0,MAX(AX40-AX42-AX46-AX50,0)*Premissas!$B$5*(1+Premissas!$B$126)*(1+Premissas!$B$124)^3+MAX(AX41-AX44-(IF(Premissas!$B$8&gt;0,MAX(AX42+AX44-AX40-AX41,0)*Premissas!$B$8,0)),0)*Premissas!$B$6*(1+Premissas!$B$126)*(1+Premissas!$B$124)^3)</f>
        <v>0</v>
      </c>
      <c r="AY53" s="142">
        <f>IF(AY52&gt;0,0,MAX(AY40-AY42-AY46-AY50,0)*Premissas!$B$5*(1+Premissas!$B$126)*(1+Premissas!$B$124)^3+MAX(AY41-AY44-(IF(Premissas!$B$8&gt;0,MAX(AY42+AY44-AY40-AY41,0)*Premissas!$B$8,0)),0)*Premissas!$B$6*(1+Premissas!$B$126)*(1+Premissas!$B$124)^3)</f>
        <v>0</v>
      </c>
      <c r="AZ53" s="142">
        <f>IF(AZ52&gt;0,0,MAX(AZ40-AZ42-AZ46-AZ50,0)*Premissas!$B$5*(1+Premissas!$B$126)*(1+Premissas!$B$124)^4+MAX(AZ41-AZ44-(IF(Premissas!$B$8&gt;0,MAX(AZ42+AZ44-AZ40-AZ41,0)*Premissas!$B$8,0)),0)*Premissas!$B$6*(1+Premissas!$B$126)*(1+Premissas!$B$124)^4)</f>
        <v>150529.15616521274</v>
      </c>
      <c r="BA53" s="142">
        <f>IF(BA52&gt;0,0,MAX(BA40-BA42-BA46-BA50,0)*Premissas!$B$5*(1+Premissas!$B$126)*(1+Premissas!$B$124)^4+MAX(BA41-BA44-(IF(Premissas!$B$8&gt;0,MAX(BA42+BA44-BA40-BA41,0)*Premissas!$B$8,0)),0)*Premissas!$B$6*(1+Premissas!$B$126)*(1+Premissas!$B$124)^4)</f>
        <v>263314.8356292391</v>
      </c>
      <c r="BB53" s="142">
        <f>IF(BB52&gt;0,0,MAX(BB40-BB42-BB46-BB50,0)*Premissas!$B$5*(1+Premissas!$B$126)*(1+Premissas!$B$124)^4+MAX(BB41-BB44-(IF(Premissas!$B$8&gt;0,MAX(BB42+BB44-BB40-BB41,0)*Premissas!$B$8,0)),0)*Premissas!$B$6*(1+Premissas!$B$126)*(1+Premissas!$B$124)^4)</f>
        <v>126353.36746345338</v>
      </c>
      <c r="BC53" s="142">
        <f>IF(BC52&gt;0,0,MAX(BC40-BC42-BC46-BC50,0)*Premissas!$B$5*(1+Premissas!$B$126)*(1+Premissas!$B$124)^4+MAX(BC41-BC44-(IF(Premissas!$B$8&gt;0,MAX(BC42+BC44-BC40-BC41,0)*Premissas!$B$8,0)),0)*Premissas!$B$6*(1+Premissas!$B$126)*(1+Premissas!$B$124)^4)</f>
        <v>0</v>
      </c>
      <c r="BD53" s="142">
        <f>IF(BD52&gt;0,0,MAX(BD40-BD42-BD46-BD50,0)*Premissas!$B$5*(1+Premissas!$B$126)*(1+Premissas!$B$124)^4+MAX(BD41-BD44-(IF(Premissas!$B$8&gt;0,MAX(BD42+BD44-BD40-BD41,0)*Premissas!$B$8,0)),0)*Premissas!$B$6*(1+Premissas!$B$126)*(1+Premissas!$B$124)^4)</f>
        <v>0</v>
      </c>
      <c r="BE53" s="142">
        <f>IF(BE52&gt;0,0,MAX(BE40-BE42-BE46-BE50,0)*Premissas!$B$5*(1+Premissas!$B$126)*(1+Premissas!$B$124)^4+MAX(BE41-BE44-(IF(Premissas!$B$8&gt;0,MAX(BE42+BE44-BE40-BE41,0)*Premissas!$B$8,0)),0)*Premissas!$B$6*(1+Premissas!$B$126)*(1+Premissas!$B$124)^4)</f>
        <v>0</v>
      </c>
      <c r="BF53" s="142">
        <f>IF(BF52&gt;0,0,MAX(BF40-BF42-BF46-BF50,0)*Premissas!$B$5*(1+Premissas!$B$126)*(1+Premissas!$B$124)^4+MAX(BF41-BF44-(IF(Premissas!$B$8&gt;0,MAX(BF42+BF44-BF40-BF41,0)*Premissas!$B$8,0)),0)*Premissas!$B$6*(1+Premissas!$B$126)*(1+Premissas!$B$124)^4)</f>
        <v>0</v>
      </c>
      <c r="BG53" s="142">
        <f>IF(BG52&gt;0,0,MAX(BG40-BG42-BG46-BG50,0)*Premissas!$B$5*(1+Premissas!$B$126)*(1+Premissas!$B$124)^4+MAX(BG41-BG44-(IF(Premissas!$B$8&gt;0,MAX(BG42+BG44-BG40-BG41,0)*Premissas!$B$8,0)),0)*Premissas!$B$6*(1+Premissas!$B$126)*(1+Premissas!$B$124)^4)</f>
        <v>0</v>
      </c>
      <c r="BH53" s="142">
        <f>IF(BH52&gt;0,0,MAX(BH40-BH42-BH46-BH50,0)*Premissas!$B$5*(1+Premissas!$B$126)*(1+Premissas!$B$124)^4+MAX(BH41-BH44-(IF(Premissas!$B$8&gt;0,MAX(BH42+BH44-BH40-BH41,0)*Premissas!$B$8,0)),0)*Premissas!$B$6*(1+Premissas!$B$126)*(1+Premissas!$B$124)^4)</f>
        <v>0</v>
      </c>
      <c r="BI53" s="142">
        <f>IF(BI52&gt;0,0,MAX(BI40-BI42-BI46-BI50,0)*Premissas!$B$5*(1+Premissas!$B$126)*(1+Premissas!$B$124)^4+MAX(BI41-BI44-(IF(Premissas!$B$8&gt;0,MAX(BI42+BI44-BI40-BI41,0)*Premissas!$B$8,0)),0)*Premissas!$B$6*(1+Premissas!$B$126)*(1+Premissas!$B$124)^4)</f>
        <v>0</v>
      </c>
      <c r="BJ53" s="142">
        <f>IF(BJ52&gt;0,0,MAX(BJ40-BJ42-BJ46-BJ50,0)*Premissas!$B$5*(1+Premissas!$B$126)*(1+Premissas!$B$124)^4+MAX(BJ41-BJ44-(IF(Premissas!$B$8&gt;0,MAX(BJ42+BJ44-BJ40-BJ41,0)*Premissas!$B$8,0)),0)*Premissas!$B$6*(1+Premissas!$B$126)*(1+Premissas!$B$124)^4)</f>
        <v>0</v>
      </c>
      <c r="BK53" s="142">
        <f>IF(BK52&gt;0,0,MAX(BK40-BK42-BK46-BK50,0)*Premissas!$B$5*(1+Premissas!$B$126)*(1+Premissas!$B$124)^4+MAX(BK41-BK44-(IF(Premissas!$B$8&gt;0,MAX(BK42+BK44-BK40-BK41,0)*Premissas!$B$8,0)),0)*Premissas!$B$6*(1+Premissas!$B$126)*(1+Premissas!$B$124)^4)</f>
        <v>0</v>
      </c>
    </row>
    <row r="54" spans="1:63" ht="12.75" customHeight="1" x14ac:dyDescent="0.2">
      <c r="A54" s="143" t="s">
        <v>415</v>
      </c>
      <c r="B54" s="144">
        <f>SUM(D54:BQ54)</f>
        <v>1017665.8461374531</v>
      </c>
      <c r="C54" s="124">
        <f>B54/60</f>
        <v>16961.097435624219</v>
      </c>
      <c r="D54" s="144">
        <f>IF(D49&gt;0,0,MAX(D40-D42-D45+D46-D47,0)*Premissas!$B$5*(1+Premissas!$B$126)*(1+Premissas!$B$124)^0+MAX(D41-D44-(IF(Premissas!$B$8&gt;0,MAX(D42+D45+D46+D47-D40,0)*Premissas!$B$8,0)),0)*Premissas!$B$6*(1+Premissas!$B$126)*(1+Premissas!$B$124)^0)</f>
        <v>141455.37863616418</v>
      </c>
      <c r="E54" s="144">
        <f>IF(E49&gt;0,0,MAX(E40-E42-E45+E46-E47,0)*Premissas!$B$5*(1+Premissas!$B$126)*(1+Premissas!$B$124)^0+MAX(E41-E44-(IF(Premissas!$B$8&gt;0,MAX(E42+E45+E46+E47-E40,0)*Premissas!$B$8,0)),0)*Premissas!$B$6*(1+Premissas!$B$126)*(1+Premissas!$B$124)^0)</f>
        <v>184269.46160231339</v>
      </c>
      <c r="F54" s="144">
        <f>IF(F49&gt;0,0,MAX(F40-F42-F45+F46-F47,0)*Premissas!$B$5*(1+Premissas!$B$126)*(1+Premissas!$B$124)^0+MAX(F41-F44-(IF(Premissas!$B$8&gt;0,MAX(F42+F45+F46+F47-F40,0)*Premissas!$B$8,0)),0)*Premissas!$B$6*(1+Premissas!$B$126)*(1+Premissas!$B$124)^0)</f>
        <v>85734.533660511443</v>
      </c>
      <c r="G54" s="144">
        <f>IF(G49&gt;0,0,MAX(G40-G42-G45+G46-G47,0)*Premissas!$B$5*(1+Premissas!$B$126)*(1+Premissas!$B$124)^0+MAX(G41-G44-(IF(Premissas!$B$8&gt;0,MAX(G42+G45+G46+G47-G40,0)*Premissas!$B$8,0)),0)*Premissas!$B$6*(1+Premissas!$B$126)*(1+Premissas!$B$124)^0)</f>
        <v>0</v>
      </c>
      <c r="H54" s="144">
        <f>IF(H49&gt;0,0,MAX(H40-H42-H45+H46-H47,0)*Premissas!$B$5*(1+Premissas!$B$126)*(1+Premissas!$B$124)^0+MAX(H41-H44-(IF(Premissas!$B$8&gt;0,MAX(H42+H45+H46+H47-H40,0)*Premissas!$B$8,0)),0)*Premissas!$B$6*(1+Premissas!$B$126)*(1+Premissas!$B$124)^0)</f>
        <v>0</v>
      </c>
      <c r="I54" s="144">
        <f>IF(I49&gt;0,0,MAX(I40-I42-I45+I46-I47,0)*Premissas!$B$5*(1+Premissas!$B$126)*(1+Premissas!$B$124)^0+MAX(I41-I44-(IF(Premissas!$B$8&gt;0,MAX(I42+I45+I46+I47-I40,0)*Premissas!$B$8,0)),0)*Premissas!$B$6*(1+Premissas!$B$126)*(1+Premissas!$B$124)^0)</f>
        <v>0</v>
      </c>
      <c r="J54" s="144">
        <f>IF(J49&gt;0,0,MAX(J40-J42-J45+J46-J47,0)*Premissas!$B$5*(1+Premissas!$B$126)*(1+Premissas!$B$124)^0+MAX(J41-J44-(IF(Premissas!$B$8&gt;0,MAX(J42+J45+J46+J47-J40,0)*Premissas!$B$8,0)),0)*Premissas!$B$6*(1+Premissas!$B$126)*(1+Premissas!$B$124)^0)</f>
        <v>0</v>
      </c>
      <c r="K54" s="144">
        <f>IF(K49&gt;0,0,MAX(K40-K42-K45+K46-K47,0)*Premissas!$B$5*(1+Premissas!$B$126)*(1+Premissas!$B$124)^0+MAX(K41-K44-(IF(Premissas!$B$8&gt;0,MAX(K42+K45+K46+K47-K40,0)*Premissas!$B$8,0)),0)*Premissas!$B$6*(1+Premissas!$B$126)*(1+Premissas!$B$124)^0)</f>
        <v>0</v>
      </c>
      <c r="L54" s="144">
        <f>IF(L49&gt;0,0,MAX(L40-L42-L45+L46-L47,0)*Premissas!$B$5*(1+Premissas!$B$126)*(1+Premissas!$B$124)^0+MAX(L41-L44-(IF(Premissas!$B$8&gt;0,MAX(L42+L45+L46+L47-L40,0)*Premissas!$B$8,0)),0)*Premissas!$B$6*(1+Premissas!$B$126)*(1+Premissas!$B$124)^0)</f>
        <v>0</v>
      </c>
      <c r="M54" s="144">
        <f>IF(M49&gt;0,0,MAX(M40-M42-M45+M46-M47,0)*Premissas!$B$5*(1+Premissas!$B$126)*(1+Premissas!$B$124)^0+MAX(M41-M44-(IF(Premissas!$B$8&gt;0,MAX(M42+M45+M46+M47-M40,0)*Premissas!$B$8,0)),0)*Premissas!$B$6*(1+Premissas!$B$126)*(1+Premissas!$B$124)^0)</f>
        <v>0</v>
      </c>
      <c r="N54" s="144">
        <f>IF(N49&gt;0,0,MAX(N40-N42-N45+N46-N47,0)*Premissas!$B$5*(1+Premissas!$B$126)*(1+Premissas!$B$124)^0+MAX(N41-N44-(IF(Premissas!$B$8&gt;0,MAX(N42+N45+N46+N47-N40,0)*Premissas!$B$8,0)),0)*Premissas!$B$6*(1+Premissas!$B$126)*(1+Premissas!$B$124)^0)</f>
        <v>0</v>
      </c>
      <c r="O54" s="144">
        <f>IF(O49&gt;0,0,MAX(O40-O42-O45+O46-O47,0)*Premissas!$B$5*(1+Premissas!$B$126)*(1+Premissas!$B$124)^0+MAX(O41-O44-(IF(Premissas!$B$8&gt;0,MAX(O42+O45+O46+O47-O40,0)*Premissas!$B$8,0)),0)*Premissas!$B$6*(1+Premissas!$B$126)*(1+Premissas!$B$124)^0)</f>
        <v>0</v>
      </c>
      <c r="P54" s="144">
        <f>IF(P49&gt;0,0,MAX(P40-P42-P45+P46-P47,0)*Premissas!$B$5*(1+Premissas!$B$126)*(1+Premissas!$B$124)^1+MAX(P41-P44-(IF(Premissas!$B$8&gt;0,MAX(P42+P45+P46+P47-P40,0)*Premissas!$B$8,0)),0)*Premissas!$B$6*(1+Premissas!$B$126)*(1+Premissas!$B$124)^1)</f>
        <v>129586.67394395362</v>
      </c>
      <c r="Q54" s="144">
        <f>IF(Q49&gt;0,0,MAX(Q40-Q42-Q45+Q46-Q47,0)*Premissas!$B$5*(1+Premissas!$B$126)*(1+Premissas!$B$124)^1+MAX(Q41-Q44-(IF(Premissas!$B$8&gt;0,MAX(Q42+Q45+Q46+Q47-Q40,0)*Premissas!$B$8,0)),0)*Premissas!$B$6*(1+Premissas!$B$126)*(1+Premissas!$B$124)^1)</f>
        <v>201204.55984387605</v>
      </c>
      <c r="R54" s="144">
        <f>IF(R49&gt;0,0,MAX(R40-R42-R45+R46-R47,0)*Premissas!$B$5*(1+Premissas!$B$126)*(1+Premissas!$B$124)^1+MAX(R41-R44-(IF(Premissas!$B$8&gt;0,MAX(R42+R45+R46+R47-R40,0)*Premissas!$B$8,0)),0)*Premissas!$B$6*(1+Premissas!$B$126)*(1+Premissas!$B$124)^1)</f>
        <v>94150.865131322804</v>
      </c>
      <c r="S54" s="144">
        <f>IF(S49&gt;0,0,MAX(S40-S42-S45+S46-S47,0)*Premissas!$B$5*(1+Premissas!$B$126)*(1+Premissas!$B$124)^1+MAX(S41-S44-(IF(Premissas!$B$8&gt;0,MAX(S42+S45+S46+S47-S40,0)*Premissas!$B$8,0)),0)*Premissas!$B$6*(1+Premissas!$B$126)*(1+Premissas!$B$124)^1)</f>
        <v>0</v>
      </c>
      <c r="T54" s="144">
        <f>IF(T49&gt;0,0,MAX(T40-T42-T45+T46-T47,0)*Premissas!$B$5*(1+Premissas!$B$126)*(1+Premissas!$B$124)^1+MAX(T41-T44-(IF(Premissas!$B$8&gt;0,MAX(T42+T45+T46+T47-T40,0)*Premissas!$B$8,0)),0)*Premissas!$B$6*(1+Premissas!$B$126)*(1+Premissas!$B$124)^1)</f>
        <v>0</v>
      </c>
      <c r="U54" s="144">
        <f>IF(U49&gt;0,0,MAX(U40-U42-U45+U46-U47,0)*Premissas!$B$5*(1+Premissas!$B$126)*(1+Premissas!$B$124)^1+MAX(U41-U44-(IF(Premissas!$B$8&gt;0,MAX(U42+U45+U46+U47-U40,0)*Premissas!$B$8,0)),0)*Premissas!$B$6*(1+Premissas!$B$126)*(1+Premissas!$B$124)^1)</f>
        <v>0</v>
      </c>
      <c r="V54" s="144">
        <f>IF(V49&gt;0,0,MAX(V40-V42-V45+V46-V47,0)*Premissas!$B$5*(1+Premissas!$B$126)*(1+Premissas!$B$124)^1+MAX(V41-V44-(IF(Premissas!$B$8&gt;0,MAX(V42+V45+V46+V47-V40,0)*Premissas!$B$8,0)),0)*Premissas!$B$6*(1+Premissas!$B$126)*(1+Premissas!$B$124)^1)</f>
        <v>0</v>
      </c>
      <c r="W54" s="144">
        <f>IF(W49&gt;0,0,MAX(W40-W42-W45+W46-W47,0)*Premissas!$B$5*(1+Premissas!$B$126)*(1+Premissas!$B$124)^1+MAX(W41-W44-(IF(Premissas!$B$8&gt;0,MAX(W42+W45+W46+W47-W40,0)*Premissas!$B$8,0)),0)*Premissas!$B$6*(1+Premissas!$B$126)*(1+Premissas!$B$124)^1)</f>
        <v>0</v>
      </c>
      <c r="X54" s="144">
        <f>IF(X49&gt;0,0,MAX(X40-X42-X45+X46-X47,0)*Premissas!$B$5*(1+Premissas!$B$126)*(1+Premissas!$B$124)^1+MAX(X41-X44-(IF(Premissas!$B$8&gt;0,MAX(X42+X45+X46+X47-X40,0)*Premissas!$B$8,0)),0)*Premissas!$B$6*(1+Premissas!$B$126)*(1+Premissas!$B$124)^1)</f>
        <v>0</v>
      </c>
      <c r="Y54" s="144">
        <f>IF(Y49&gt;0,0,MAX(Y40-Y42-Y45+Y46-Y47,0)*Premissas!$B$5*(1+Premissas!$B$126)*(1+Premissas!$B$124)^1+MAX(Y41-Y44-(IF(Premissas!$B$8&gt;0,MAX(Y42+Y45+Y46+Y47-Y40,0)*Premissas!$B$8,0)),0)*Premissas!$B$6*(1+Premissas!$B$126)*(1+Premissas!$B$124)^1)</f>
        <v>0</v>
      </c>
      <c r="Z54" s="144">
        <f>IF(Z49&gt;0,0,MAX(Z40-Z42-Z45+Z46-Z47,0)*Premissas!$B$5*(1+Premissas!$B$126)*(1+Premissas!$B$124)^1+MAX(Z41-Z44-(IF(Premissas!$B$8&gt;0,MAX(Z42+Z45+Z46+Z47-Z40,0)*Premissas!$B$8,0)),0)*Premissas!$B$6*(1+Premissas!$B$126)*(1+Premissas!$B$124)^1)</f>
        <v>0</v>
      </c>
      <c r="AA54" s="144">
        <f>IF(AA49&gt;0,0,MAX(AA40-AA42-AA45+AA46-AA47,0)*Premissas!$B$5*(1+Premissas!$B$126)*(1+Premissas!$B$124)^1+MAX(AA41-AA44-(IF(Premissas!$B$8&gt;0,MAX(AA42+AA45+AA46+AA47-AA40,0)*Premissas!$B$8,0)),0)*Premissas!$B$6*(1+Premissas!$B$126)*(1+Premissas!$B$124)^1)</f>
        <v>0</v>
      </c>
      <c r="AB54" s="144">
        <f>IF(AB49&gt;0,0,MAX(AB40-AB42-AB45+AB46-AB47,0)*Premissas!$B$5*(1+Premissas!$B$126)*(1+Premissas!$B$124)^2+MAX(AB41-AB44-(IF(Premissas!$B$8&gt;0,MAX(AB42+AB44-AB40-AB41,0)*Premissas!$B$8,0)),0)*Premissas!$B$6*(1+Premissas!$B$126)*(1+Premissas!$B$124)^2)</f>
        <v>0</v>
      </c>
      <c r="AC54" s="144">
        <f>IF(AC49&gt;0,0,MAX(AC40-AC42-AC45+AC46-AC47,0)*Premissas!$B$5*(1+Premissas!$B$126)*(1+Premissas!$B$124)^2+MAX(AC41-AC44-(IF(Premissas!$B$8&gt;0,MAX(AC42+AC44-AC40-AC41,0)*Premissas!$B$8,0)),0)*Premissas!$B$6*(1+Premissas!$B$126)*(1+Premissas!$B$124)^2)</f>
        <v>115571.70071754932</v>
      </c>
      <c r="AD54" s="144">
        <f>IF(AD49&gt;0,0,MAX(AD40-AD42-AD45+AD46-AD47,0)*Premissas!$B$5*(1+Premissas!$B$126)*(1+Premissas!$B$124)^2+MAX(AD41-AD44-(IF(Premissas!$B$8&gt;0,MAX(AD42+AD44-AD40-AD41,0)*Premissas!$B$8,0)),0)*Premissas!$B$6*(1+Premissas!$B$126)*(1+Premissas!$B$124)^2)</f>
        <v>65692.672601762402</v>
      </c>
      <c r="AE54" s="144">
        <f>IF(AE49&gt;0,0,MAX(AE40-AE42-AE45+AE46-AE47,0)*Premissas!$B$5*(1+Premissas!$B$126)*(1+Premissas!$B$124)^2+MAX(AE41-AE44-(IF(Premissas!$B$8&gt;0,MAX(AE42+AE44-AE40-AE41,0)*Premissas!$B$8,0)),0)*Premissas!$B$6*(1+Premissas!$B$126)*(1+Premissas!$B$124)^2)</f>
        <v>0</v>
      </c>
      <c r="AF54" s="144">
        <f>IF(AF49&gt;0,0,MAX(AF40-AF42-AF45+AF46-AF47,0)*Premissas!$B$5*(1+Premissas!$B$126)*(1+Premissas!$B$124)^2+MAX(AF41-AF44-(IF(Premissas!$B$8&gt;0,MAX(AF42+AF44-AF40-AF41,0)*Premissas!$B$8,0)),0)*Premissas!$B$6*(1+Premissas!$B$126)*(1+Premissas!$B$124)^2)</f>
        <v>0</v>
      </c>
      <c r="AG54" s="144">
        <f>IF(AG49&gt;0,0,MAX(AG40-AG42-AG45+AG46-AG47,0)*Premissas!$B$5*(1+Premissas!$B$126)*(1+Premissas!$B$124)^2+MAX(AG41-AG44-(IF(Premissas!$B$8&gt;0,MAX(AG42+AG44-AG40-AG41,0)*Premissas!$B$8,0)),0)*Premissas!$B$6*(1+Premissas!$B$126)*(1+Premissas!$B$124)^2)</f>
        <v>0</v>
      </c>
      <c r="AH54" s="144">
        <f>IF(AH49&gt;0,0,MAX(AH40-AH42-AH45+AH46-AH47,0)*Premissas!$B$5*(1+Premissas!$B$126)*(1+Premissas!$B$124)^2+MAX(AH41-AH44-(IF(Premissas!$B$8&gt;0,MAX(AH42+AH44-AH40-AH41,0)*Premissas!$B$8,0)),0)*Premissas!$B$6*(1+Premissas!$B$126)*(1+Premissas!$B$124)^2)</f>
        <v>0</v>
      </c>
      <c r="AI54" s="144">
        <f>IF(AI49&gt;0,0,MAX(AI40-AI42-AI45+AI46-AI47,0)*Premissas!$B$5*(1+Premissas!$B$126)*(1+Premissas!$B$124)^2+MAX(AI41-AI44-(IF(Premissas!$B$8&gt;0,MAX(AI42+AI44-AI40-AI41,0)*Premissas!$B$8,0)),0)*Premissas!$B$6*(1+Premissas!$B$126)*(1+Premissas!$B$124)^2)</f>
        <v>0</v>
      </c>
      <c r="AJ54" s="144">
        <f>IF(AJ49&gt;0,0,MAX(AJ40-AJ42-AJ45+AJ46-AJ47,0)*Premissas!$B$5*(1+Premissas!$B$126)*(1+Premissas!$B$124)^2+MAX(AJ41-AJ44-(IF(Premissas!$B$8&gt;0,MAX(AJ42+AJ44-AJ40-AJ41,0)*Premissas!$B$8,0)),0)*Premissas!$B$6*(1+Premissas!$B$126)*(1+Premissas!$B$124)^2)</f>
        <v>0</v>
      </c>
      <c r="AK54" s="144">
        <f>IF(AK49&gt;0,0,MAX(AK40-AK42-AK45+AK46-AK47,0)*Premissas!$B$5*(1+Premissas!$B$126)*(1+Premissas!$B$124)^2+MAX(AK41-AK44-(IF(Premissas!$B$8&gt;0,MAX(AK42+AK44-AK40-AK41,0)*Premissas!$B$8,0)),0)*Premissas!$B$6*(1+Premissas!$B$126)*(1+Premissas!$B$124)^2)</f>
        <v>0</v>
      </c>
      <c r="AL54" s="144">
        <f>IF(AL49&gt;0,0,MAX(AL40-AL42-AL45+AL46-AL47,0)*Premissas!$B$5*(1+Premissas!$B$126)*(1+Premissas!$B$124)^2+MAX(AL41-AL44-(IF(Premissas!$B$8&gt;0,MAX(AL42+AL44-AL40-AL41,0)*Premissas!$B$8,0)),0)*Premissas!$B$6*(1+Premissas!$B$126)*(1+Premissas!$B$124)^2)</f>
        <v>0</v>
      </c>
      <c r="AM54" s="144">
        <f>IF(AM49&gt;0,0,MAX(AM40-AM42-AM45+AM46-AM47,0)*Premissas!$B$5*(1+Premissas!$B$126)*(1+Premissas!$B$124)^2+MAX(AM41-AM44-(IF(Premissas!$B$8&gt;0,MAX(AM42+AM44-AM40-AM41,0)*Premissas!$B$8,0)),0)*Premissas!$B$6*(1+Premissas!$B$126)*(1+Premissas!$B$124)^2)</f>
        <v>0</v>
      </c>
      <c r="AN54" s="144">
        <f>IF(AN49&gt;0,0,MAX(AN40-AN42-AN45+AN46-AN47,0)*Premissas!$B$5*(1+Premissas!$B$126)*(1+Premissas!$B$124)^3+MAX(AN41-AN44-(IF(Premissas!$B$8&gt;0,MAX(AN42+AN44-AN40-AN41,0)*Premissas!$B$8,0)),0)*Premissas!$B$6*(1+Premissas!$B$126)*(1+Premissas!$B$124)^3)</f>
        <v>0</v>
      </c>
      <c r="AO54" s="144">
        <f>IF(AO49&gt;0,0,MAX(AO40-AO42-AO45+AO46-AO47,0)*Premissas!$B$5*(1+Premissas!$B$126)*(1+Premissas!$B$124)^3+MAX(AO41-AO44-(IF(Premissas!$B$8&gt;0,MAX(AO42+AO44-AO40-AO41,0)*Premissas!$B$8,0)),0)*Premissas!$B$6*(1+Premissas!$B$126)*(1+Premissas!$B$124)^3)</f>
        <v>0</v>
      </c>
      <c r="AP54" s="144">
        <f>IF(AP49&gt;0,0,MAX(AP40-AP42-AP45+AP46-AP47,0)*Premissas!$B$5*(1+Premissas!$B$126)*(1+Premissas!$B$124)^3+MAX(AP41-AP44-(IF(Premissas!$B$8&gt;0,MAX(AP42+AP44-AP40-AP41,0)*Premissas!$B$8,0)),0)*Premissas!$B$6*(1+Premissas!$B$126)*(1+Premissas!$B$124)^3)</f>
        <v>0</v>
      </c>
      <c r="AQ54" s="144">
        <f>IF(AQ49&gt;0,0,MAX(AQ40-AQ42-AQ45+AQ46-AQ47,0)*Premissas!$B$5*(1+Premissas!$B$126)*(1+Premissas!$B$124)^3+MAX(AQ41-AQ44-(IF(Premissas!$B$8&gt;0,MAX(AQ42+AQ44-AQ40-AQ41,0)*Premissas!$B$8,0)),0)*Premissas!$B$6*(1+Premissas!$B$126)*(1+Premissas!$B$124)^3)</f>
        <v>0</v>
      </c>
      <c r="AR54" s="144">
        <f>IF(AR49&gt;0,0,MAX(AR40-AR42-AR45+AR46-AR47,0)*Premissas!$B$5*(1+Premissas!$B$126)*(1+Premissas!$B$124)^3+MAX(AR41-AR44-(IF(Premissas!$B$8&gt;0,MAX(AR42+AR44-AR40-AR41,0)*Premissas!$B$8,0)),0)*Premissas!$B$6*(1+Premissas!$B$126)*(1+Premissas!$B$124)^3)</f>
        <v>0</v>
      </c>
      <c r="AS54" s="144">
        <f>IF(AS49&gt;0,0,MAX(AS40-AS42-AS45+AS46-AS47,0)*Premissas!$B$5*(1+Premissas!$B$126)*(1+Premissas!$B$124)^3+MAX(AS41-AS44-(IF(Premissas!$B$8&gt;0,MAX(AS42+AS44-AS40-AS41,0)*Premissas!$B$8,0)),0)*Premissas!$B$6*(1+Premissas!$B$126)*(1+Premissas!$B$124)^3)</f>
        <v>0</v>
      </c>
      <c r="AT54" s="144">
        <f>IF(AT49&gt;0,0,MAX(AT40-AT42-AT45+AT46-AT47,0)*Premissas!$B$5*(1+Premissas!$B$126)*(1+Premissas!$B$124)^3+MAX(AT41-AT44-(IF(Premissas!$B$8&gt;0,MAX(AT42+AT44-AT40-AT41,0)*Premissas!$B$8,0)),0)*Premissas!$B$6*(1+Premissas!$B$126)*(1+Premissas!$B$124)^3)</f>
        <v>0</v>
      </c>
      <c r="AU54" s="144">
        <f>IF(AU49&gt;0,0,MAX(AU40-AU42-AU45+AU46-AU47,0)*Premissas!$B$5*(1+Premissas!$B$126)*(1+Premissas!$B$124)^3+MAX(AU41-AU44-(IF(Premissas!$B$8&gt;0,MAX(AU42+AU44-AU40-AU41,0)*Premissas!$B$8,0)),0)*Premissas!$B$6*(1+Premissas!$B$126)*(1+Premissas!$B$124)^3)</f>
        <v>0</v>
      </c>
      <c r="AV54" s="144">
        <f>IF(AV49&gt;0,0,MAX(AV40-AV42-AV45+AV46-AV47,0)*Premissas!$B$5*(1+Premissas!$B$126)*(1+Premissas!$B$124)^3+MAX(AV41-AV44-(IF(Premissas!$B$8&gt;0,MAX(AV42+AV44-AV40-AV41,0)*Premissas!$B$8,0)),0)*Premissas!$B$6*(1+Premissas!$B$126)*(1+Premissas!$B$124)^3)</f>
        <v>0</v>
      </c>
      <c r="AW54" s="144">
        <f>IF(AW49&gt;0,0,MAX(AW40-AW42-AW45+AW46-AW47,0)*Premissas!$B$5*(1+Premissas!$B$126)*(1+Premissas!$B$124)^3+MAX(AW41-AW44-(IF(Premissas!$B$8&gt;0,MAX(AW42+AW44-AW40-AW41,0)*Premissas!$B$8,0)),0)*Premissas!$B$6*(1+Premissas!$B$126)*(1+Premissas!$B$124)^3)</f>
        <v>0</v>
      </c>
      <c r="AX54" s="144">
        <f>IF(AX49&gt;0,0,MAX(AX40-AX42-AX45+AX46-AX47,0)*Premissas!$B$5*(1+Premissas!$B$126)*(1+Premissas!$B$124)^3+MAX(AX41-AX44-(IF(Premissas!$B$8&gt;0,MAX(AX42+AX44-AX40-AX41,0)*Premissas!$B$8,0)),0)*Premissas!$B$6*(1+Premissas!$B$126)*(1+Premissas!$B$124)^3)</f>
        <v>0</v>
      </c>
      <c r="AY54" s="144">
        <f>IF(AY49&gt;0,0,MAX(AY40-AY42-AY45+AY46-AY47,0)*Premissas!$B$5*(1+Premissas!$B$126)*(1+Premissas!$B$124)^3+MAX(AY41-AY44-(IF(Premissas!$B$8&gt;0,MAX(AY42+AY44-AY40-AY41,0)*Premissas!$B$8,0)),0)*Premissas!$B$6*(1+Premissas!$B$126)*(1+Premissas!$B$124)^3)</f>
        <v>0</v>
      </c>
      <c r="AZ54" s="144">
        <f>IF(AZ49&gt;0,0,MAX(AZ40-AZ42-AZ45+AZ46-AZ47,0)*Premissas!$B$5*(1+Premissas!$B$126)*(1+Premissas!$B$124)^4+MAX(AZ41-AZ44-(IF(Premissas!$B$8&gt;0,MAX(AZ42+AZ44-AZ40-AZ41,0)*Premissas!$B$8,0)),0)*Premissas!$B$6*(1+Premissas!$B$126)*(1+Premissas!$B$124)^4)</f>
        <v>0</v>
      </c>
      <c r="BA54" s="144">
        <f>IF(BA49&gt;0,0,MAX(BA40-BA42-BA45+BA46-BA47,0)*Premissas!$B$5*(1+Premissas!$B$126)*(1+Premissas!$B$124)^4+MAX(BA41-BA44-(IF(Premissas!$B$8&gt;0,MAX(BA42+BA44-BA40-BA41,0)*Premissas!$B$8,0)),0)*Premissas!$B$6*(1+Premissas!$B$126)*(1+Premissas!$B$124)^4)</f>
        <v>0</v>
      </c>
      <c r="BB54" s="144">
        <f>IF(BB49&gt;0,0,MAX(BB40-BB42-BB45+BB46-BB47,0)*Premissas!$B$5*(1+Premissas!$B$126)*(1+Premissas!$B$124)^4+MAX(BB41-BB44-(IF(Premissas!$B$8&gt;0,MAX(BB42+BB44-BB40-BB41,0)*Premissas!$B$8,0)),0)*Premissas!$B$6*(1+Premissas!$B$126)*(1+Premissas!$B$124)^4)</f>
        <v>0</v>
      </c>
      <c r="BC54" s="144">
        <f>IF(BC49&gt;0,0,MAX(BC40-BC42-BC45+BC46-BC47,0)*Premissas!$B$5*(1+Premissas!$B$126)*(1+Premissas!$B$124)^4+MAX(BC41-BC44-(IF(Premissas!$B$8&gt;0,MAX(BC42+BC44-BC40-BC41,0)*Premissas!$B$8,0)),0)*Premissas!$B$6*(1+Premissas!$B$126)*(1+Premissas!$B$124)^4)</f>
        <v>0</v>
      </c>
      <c r="BD54" s="144">
        <f>IF(BD49&gt;0,0,MAX(BD40-BD42-BD45+BD46-BD47,0)*Premissas!$B$5*(1+Premissas!$B$126)*(1+Premissas!$B$124)^4+MAX(BD41-BD44-(IF(Premissas!$B$8&gt;0,MAX(BD42+BD44-BD40-BD41,0)*Premissas!$B$8,0)),0)*Premissas!$B$6*(1+Premissas!$B$126)*(1+Premissas!$B$124)^4)</f>
        <v>0</v>
      </c>
      <c r="BE54" s="144">
        <f>IF(BE49&gt;0,0,MAX(BE40-BE42-BE45+BE46-BE47,0)*Premissas!$B$5*(1+Premissas!$B$126)*(1+Premissas!$B$124)^4+MAX(BE41-BE44-(IF(Premissas!$B$8&gt;0,MAX(BE42+BE44-BE40-BE41,0)*Premissas!$B$8,0)),0)*Premissas!$B$6*(1+Premissas!$B$126)*(1+Premissas!$B$124)^4)</f>
        <v>0</v>
      </c>
      <c r="BF54" s="144">
        <f>IF(BF49&gt;0,0,MAX(BF40-BF42-BF45+BF46-BF47,0)*Premissas!$B$5*(1+Premissas!$B$126)*(1+Premissas!$B$124)^4+MAX(BF41-BF44-(IF(Premissas!$B$8&gt;0,MAX(BF42+BF44-BF40-BF41,0)*Premissas!$B$8,0)),0)*Premissas!$B$6*(1+Premissas!$B$126)*(1+Premissas!$B$124)^4)</f>
        <v>0</v>
      </c>
      <c r="BG54" s="144">
        <f>IF(BG49&gt;0,0,MAX(BG40-BG42-BG45+BG46-BG47,0)*Premissas!$B$5*(1+Premissas!$B$126)*(1+Premissas!$B$124)^4+MAX(BG41-BG44-(IF(Premissas!$B$8&gt;0,MAX(BG42+BG44-BG40-BG41,0)*Premissas!$B$8,0)),0)*Premissas!$B$6*(1+Premissas!$B$126)*(1+Premissas!$B$124)^4)</f>
        <v>0</v>
      </c>
      <c r="BH54" s="144">
        <f>IF(BH49&gt;0,0,MAX(BH40-BH42-BH45+BH46-BH47,0)*Premissas!$B$5*(1+Premissas!$B$126)*(1+Premissas!$B$124)^4+MAX(BH41-BH44-(IF(Premissas!$B$8&gt;0,MAX(BH42+BH44-BH40-BH41,0)*Premissas!$B$8,0)),0)*Premissas!$B$6*(1+Premissas!$B$126)*(1+Premissas!$B$124)^4)</f>
        <v>0</v>
      </c>
      <c r="BI54" s="144">
        <f>IF(BI49&gt;0,0,MAX(BI40-BI42-BI45+BI46-BI47,0)*Premissas!$B$5*(1+Premissas!$B$126)*(1+Premissas!$B$124)^4+MAX(BI41-BI44-(IF(Premissas!$B$8&gt;0,MAX(BI42+BI44-BI40-BI41,0)*Premissas!$B$8,0)),0)*Premissas!$B$6*(1+Premissas!$B$126)*(1+Premissas!$B$124)^4)</f>
        <v>0</v>
      </c>
      <c r="BJ54" s="144">
        <f>IF(BJ49&gt;0,0,MAX(BJ40-BJ42-BJ45+BJ46-BJ47,0)*Premissas!$B$5*(1+Premissas!$B$126)*(1+Premissas!$B$124)^4+MAX(BJ41-BJ44-(IF(Premissas!$B$8&gt;0,MAX(BJ42+BJ44-BJ40-BJ41,0)*Premissas!$B$8,0)),0)*Premissas!$B$6*(1+Premissas!$B$126)*(1+Premissas!$B$124)^4)</f>
        <v>0</v>
      </c>
      <c r="BK54" s="144">
        <f>IF(BK49&gt;0,0,MAX(BK40-BK42-BK45+BK46-BK47,0)*Premissas!$B$5*(1+Premissas!$B$126)*(1+Premissas!$B$124)^4+MAX(BK41-BK44-(IF(Premissas!$B$8&gt;0,MAX(BK42+BK44-BK40-BK41,0)*Premissas!$B$8,0)),0)*Premissas!$B$6*(1+Premissas!$B$126)*(1+Premissas!$B$124)^4)</f>
        <v>0</v>
      </c>
    </row>
    <row r="55" spans="1:63" ht="13.5" customHeight="1" x14ac:dyDescent="0.2">
      <c r="A55" s="41" t="s">
        <v>416</v>
      </c>
      <c r="B55" s="44">
        <f>SUM(D55:BQ55)</f>
        <v>1236570.5168226918</v>
      </c>
      <c r="C55" s="124">
        <f>B55/60</f>
        <v>20609.508613711529</v>
      </c>
      <c r="D55" s="145">
        <f t="shared" ref="D55:AI55" si="38">MAX(D53-D54,0)</f>
        <v>0</v>
      </c>
      <c r="E55" s="145">
        <f t="shared" si="38"/>
        <v>0</v>
      </c>
      <c r="F55" s="145">
        <f t="shared" si="38"/>
        <v>0</v>
      </c>
      <c r="G55" s="145">
        <f t="shared" si="38"/>
        <v>0</v>
      </c>
      <c r="H55" s="145">
        <f t="shared" si="38"/>
        <v>0</v>
      </c>
      <c r="I55" s="145">
        <f t="shared" si="38"/>
        <v>0</v>
      </c>
      <c r="J55" s="145">
        <f t="shared" si="38"/>
        <v>0</v>
      </c>
      <c r="K55" s="145">
        <f t="shared" si="38"/>
        <v>0</v>
      </c>
      <c r="L55" s="145">
        <f t="shared" si="38"/>
        <v>0</v>
      </c>
      <c r="M55" s="145">
        <f t="shared" si="38"/>
        <v>0</v>
      </c>
      <c r="N55" s="145">
        <f t="shared" si="38"/>
        <v>0</v>
      </c>
      <c r="O55" s="145">
        <f t="shared" si="38"/>
        <v>0</v>
      </c>
      <c r="P55" s="145">
        <f t="shared" si="38"/>
        <v>0</v>
      </c>
      <c r="Q55" s="145">
        <f t="shared" si="38"/>
        <v>333.93259244418005</v>
      </c>
      <c r="R55" s="145">
        <f t="shared" si="38"/>
        <v>400.86751404665119</v>
      </c>
      <c r="S55" s="145">
        <f t="shared" si="38"/>
        <v>0</v>
      </c>
      <c r="T55" s="145">
        <f t="shared" si="38"/>
        <v>0</v>
      </c>
      <c r="U55" s="145">
        <f t="shared" si="38"/>
        <v>0</v>
      </c>
      <c r="V55" s="145">
        <f t="shared" si="38"/>
        <v>0</v>
      </c>
      <c r="W55" s="145">
        <f t="shared" si="38"/>
        <v>0</v>
      </c>
      <c r="X55" s="145">
        <f t="shared" si="38"/>
        <v>0</v>
      </c>
      <c r="Y55" s="145">
        <f t="shared" si="38"/>
        <v>0</v>
      </c>
      <c r="Z55" s="145">
        <f t="shared" si="38"/>
        <v>0</v>
      </c>
      <c r="AA55" s="145">
        <f t="shared" si="38"/>
        <v>0</v>
      </c>
      <c r="AB55" s="145">
        <f t="shared" si="38"/>
        <v>82285.13748031242</v>
      </c>
      <c r="AC55" s="145">
        <f t="shared" si="38"/>
        <v>104802.32953549513</v>
      </c>
      <c r="AD55" s="145">
        <f t="shared" si="38"/>
        <v>38515.590292385648</v>
      </c>
      <c r="AE55" s="145">
        <f t="shared" si="38"/>
        <v>0</v>
      </c>
      <c r="AF55" s="145">
        <f t="shared" si="38"/>
        <v>0</v>
      </c>
      <c r="AG55" s="145">
        <f t="shared" si="38"/>
        <v>0</v>
      </c>
      <c r="AH55" s="145">
        <f t="shared" si="38"/>
        <v>0</v>
      </c>
      <c r="AI55" s="145">
        <f t="shared" si="38"/>
        <v>0</v>
      </c>
      <c r="AJ55" s="145">
        <f t="shared" ref="AJ55:BO55" si="39">MAX(AJ53-AJ54,0)</f>
        <v>0</v>
      </c>
      <c r="AK55" s="145">
        <f t="shared" si="39"/>
        <v>0</v>
      </c>
      <c r="AL55" s="145">
        <f t="shared" si="39"/>
        <v>0</v>
      </c>
      <c r="AM55" s="145">
        <f t="shared" si="39"/>
        <v>0</v>
      </c>
      <c r="AN55" s="145">
        <f t="shared" si="39"/>
        <v>114338.82463104345</v>
      </c>
      <c r="AO55" s="145">
        <f t="shared" si="39"/>
        <v>240915.55655560305</v>
      </c>
      <c r="AP55" s="145">
        <f t="shared" si="39"/>
        <v>114780.91896345597</v>
      </c>
      <c r="AQ55" s="145">
        <f t="shared" si="39"/>
        <v>0</v>
      </c>
      <c r="AR55" s="145">
        <f t="shared" si="39"/>
        <v>0</v>
      </c>
      <c r="AS55" s="145">
        <f t="shared" si="39"/>
        <v>0</v>
      </c>
      <c r="AT55" s="145">
        <f t="shared" si="39"/>
        <v>0</v>
      </c>
      <c r="AU55" s="145">
        <f t="shared" si="39"/>
        <v>0</v>
      </c>
      <c r="AV55" s="145">
        <f t="shared" si="39"/>
        <v>0</v>
      </c>
      <c r="AW55" s="145">
        <f t="shared" si="39"/>
        <v>0</v>
      </c>
      <c r="AX55" s="145">
        <f t="shared" si="39"/>
        <v>0</v>
      </c>
      <c r="AY55" s="145">
        <f t="shared" si="39"/>
        <v>0</v>
      </c>
      <c r="AZ55" s="145">
        <f t="shared" si="39"/>
        <v>150529.15616521274</v>
      </c>
      <c r="BA55" s="145">
        <f t="shared" si="39"/>
        <v>263314.8356292391</v>
      </c>
      <c r="BB55" s="145">
        <f t="shared" si="39"/>
        <v>126353.36746345338</v>
      </c>
      <c r="BC55" s="145">
        <f t="shared" si="39"/>
        <v>0</v>
      </c>
      <c r="BD55" s="145">
        <f t="shared" si="39"/>
        <v>0</v>
      </c>
      <c r="BE55" s="145">
        <f t="shared" si="39"/>
        <v>0</v>
      </c>
      <c r="BF55" s="145">
        <f t="shared" si="39"/>
        <v>0</v>
      </c>
      <c r="BG55" s="145">
        <f t="shared" si="39"/>
        <v>0</v>
      </c>
      <c r="BH55" s="145">
        <f t="shared" si="39"/>
        <v>0</v>
      </c>
      <c r="BI55" s="145">
        <f t="shared" si="39"/>
        <v>0</v>
      </c>
      <c r="BJ55" s="145">
        <f t="shared" si="39"/>
        <v>0</v>
      </c>
      <c r="BK55" s="145">
        <f t="shared" si="39"/>
        <v>0</v>
      </c>
    </row>
    <row r="57" spans="1:63" ht="15" customHeight="1" x14ac:dyDescent="0.2">
      <c r="A57" s="298" t="s">
        <v>419</v>
      </c>
      <c r="B57" s="289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  <c r="W57" s="289"/>
      <c r="X57" s="289"/>
      <c r="Y57" s="289"/>
      <c r="Z57" s="289"/>
      <c r="AA57" s="289"/>
    </row>
    <row r="58" spans="1:63" ht="12.75" customHeight="1" x14ac:dyDescent="0.2">
      <c r="A58" s="147" t="s">
        <v>403</v>
      </c>
      <c r="B58" s="148">
        <f>SUM(D58:BQ58)</f>
        <v>269375.2118134374</v>
      </c>
      <c r="C58" s="120">
        <f>B58/60</f>
        <v>4489.5868635572897</v>
      </c>
      <c r="D58" s="148">
        <v>3657.4</v>
      </c>
      <c r="E58" s="148">
        <v>3450.6</v>
      </c>
      <c r="F58" s="148">
        <v>3408.8</v>
      </c>
      <c r="G58" s="148">
        <v>4205</v>
      </c>
      <c r="H58" s="148">
        <v>5428</v>
      </c>
      <c r="I58" s="148">
        <v>6374</v>
      </c>
      <c r="J58" s="148">
        <v>6073.1</v>
      </c>
      <c r="K58" s="148">
        <f>4121.3*(1+Premissas!$B$21)</f>
        <v>4224.3324999999995</v>
      </c>
      <c r="L58" s="148">
        <f>4332.7*(1+Premissas!$B$21)</f>
        <v>4441.017499999999</v>
      </c>
      <c r="M58" s="148">
        <f>5075.6*(1+Premissas!$B$21)</f>
        <v>5202.49</v>
      </c>
      <c r="N58" s="148">
        <f>4416*(1+Premissas!$B$21)</f>
        <v>4526.3999999999996</v>
      </c>
      <c r="O58" s="148">
        <f>4080.2*(1+Premissas!$B$21)</f>
        <v>4182.204999999999</v>
      </c>
      <c r="P58" s="148">
        <f>3657.4*(1+Premissas!$B$21)</f>
        <v>3748.8349999999996</v>
      </c>
      <c r="Q58" s="148">
        <f>3450.6*(1+Premissas!$B$21)</f>
        <v>3536.8649999999998</v>
      </c>
      <c r="R58" s="148">
        <f>3408.8*(1+Premissas!$B$21)</f>
        <v>3494.02</v>
      </c>
      <c r="S58" s="148">
        <f>4205*(1+Premissas!$B$21)</f>
        <v>4310.125</v>
      </c>
      <c r="T58" s="148">
        <f>5428*(1+Premissas!$B$21)</f>
        <v>5563.7</v>
      </c>
      <c r="U58" s="148">
        <f>6374*(1+Premissas!$B$21)</f>
        <v>6533.3499999999995</v>
      </c>
      <c r="V58" s="148">
        <f>6073.1*(1+Premissas!$B$21)</f>
        <v>6224.9274999999998</v>
      </c>
      <c r="W58" s="148">
        <f>4121.3*(1+Premissas!$B$21)</f>
        <v>4224.3324999999995</v>
      </c>
      <c r="X58" s="148">
        <f>4332.7*(1+Premissas!$B$21)</f>
        <v>4441.017499999999</v>
      </c>
      <c r="Y58" s="148">
        <f>5075.6*(1+Premissas!$B$21)</f>
        <v>5202.49</v>
      </c>
      <c r="Z58" s="148">
        <f>4416*(1+Premissas!$B$21)</f>
        <v>4526.3999999999996</v>
      </c>
      <c r="AA58" s="148">
        <f>4080.2*(1+Premissas!$B$21)</f>
        <v>4182.204999999999</v>
      </c>
      <c r="AB58" s="148">
        <f>4080.2*(1+Premissas!$B$21)^2</f>
        <v>4286.7601249999998</v>
      </c>
      <c r="AC58" s="148">
        <f>4080.2*(1+Premissas!$B$21)^2</f>
        <v>4286.7601249999998</v>
      </c>
      <c r="AD58" s="148">
        <f>4080.2*(1+Premissas!$B$21)^2</f>
        <v>4286.7601249999998</v>
      </c>
      <c r="AE58" s="148">
        <f>4080.2*(1+Premissas!$B$21)^2</f>
        <v>4286.7601249999998</v>
      </c>
      <c r="AF58" s="148">
        <f>4080.2*(1+Premissas!$B$21)^2</f>
        <v>4286.7601249999998</v>
      </c>
      <c r="AG58" s="148">
        <f>4080.2*(1+Premissas!$B$21)^2</f>
        <v>4286.7601249999998</v>
      </c>
      <c r="AH58" s="148">
        <f>4080.2*(1+Premissas!$B$21)^2</f>
        <v>4286.7601249999998</v>
      </c>
      <c r="AI58" s="148">
        <f>4080.2*(1+Premissas!$B$21)^2</f>
        <v>4286.7601249999998</v>
      </c>
      <c r="AJ58" s="148">
        <f>4080.2*(1+Premissas!$B$21)^2</f>
        <v>4286.7601249999998</v>
      </c>
      <c r="AK58" s="148">
        <f>4080.2*(1+Premissas!$B$21)^2</f>
        <v>4286.7601249999998</v>
      </c>
      <c r="AL58" s="148">
        <f>4080.2*(1+Premissas!$B$21)^2</f>
        <v>4286.7601249999998</v>
      </c>
      <c r="AM58" s="148">
        <f>4080.2*(1+Premissas!$B$21)^2</f>
        <v>4286.7601249999998</v>
      </c>
      <c r="AN58" s="148">
        <f>4080.2*(1+Premissas!$B$21)^3</f>
        <v>4393.9291281249989</v>
      </c>
      <c r="AO58" s="148">
        <f>4080.2*(1+Premissas!$B$21)^3</f>
        <v>4393.9291281249989</v>
      </c>
      <c r="AP58" s="148">
        <f>4080.2*(1+Premissas!$B$21)^3</f>
        <v>4393.9291281249989</v>
      </c>
      <c r="AQ58" s="148">
        <f>4080.2*(1+Premissas!$B$21)^3</f>
        <v>4393.9291281249989</v>
      </c>
      <c r="AR58" s="148">
        <f>4080.2*(1+Premissas!$B$21)^3</f>
        <v>4393.9291281249989</v>
      </c>
      <c r="AS58" s="148">
        <f>4080.2*(1+Premissas!$B$21)^3</f>
        <v>4393.9291281249989</v>
      </c>
      <c r="AT58" s="148">
        <f>4080.2*(1+Premissas!$B$21)^3</f>
        <v>4393.9291281249989</v>
      </c>
      <c r="AU58" s="148">
        <f>4080.2*(1+Premissas!$B$21)^3</f>
        <v>4393.9291281249989</v>
      </c>
      <c r="AV58" s="148">
        <f>4080.2*(1+Premissas!$B$21)^3</f>
        <v>4393.9291281249989</v>
      </c>
      <c r="AW58" s="148">
        <f>4080.2*(1+Premissas!$B$21)^3</f>
        <v>4393.9291281249989</v>
      </c>
      <c r="AX58" s="148">
        <f>4080.2*(1+Premissas!$B$21)^3</f>
        <v>4393.9291281249989</v>
      </c>
      <c r="AY58" s="148">
        <f>4080.2*(1+Premissas!$B$21)^3</f>
        <v>4393.9291281249989</v>
      </c>
      <c r="AZ58" s="148">
        <f>4080.2*(1+Premissas!$B$21)^4</f>
        <v>4503.7773563281235</v>
      </c>
      <c r="BA58" s="148">
        <f>4080.2*(1+Premissas!$B$21)^4</f>
        <v>4503.7773563281235</v>
      </c>
      <c r="BB58" s="148">
        <f>4080.2*(1+Premissas!$B$21)^4</f>
        <v>4503.7773563281235</v>
      </c>
      <c r="BC58" s="148">
        <f>4080.2*(1+Premissas!$B$21)^4</f>
        <v>4503.7773563281235</v>
      </c>
      <c r="BD58" s="148">
        <f>4080.2*(1+Premissas!$B$21)^4</f>
        <v>4503.7773563281235</v>
      </c>
      <c r="BE58" s="148">
        <f>4080.2*(1+Premissas!$B$21)^4</f>
        <v>4503.7773563281235</v>
      </c>
      <c r="BF58" s="148">
        <f>4080.2*(1+Premissas!$B$21)^4</f>
        <v>4503.7773563281235</v>
      </c>
      <c r="BG58" s="148">
        <f>4080.2*(1+Premissas!$B$21)^4</f>
        <v>4503.7773563281235</v>
      </c>
      <c r="BH58" s="148">
        <f>4080.2*(1+Premissas!$B$21)^4</f>
        <v>4503.7773563281235</v>
      </c>
      <c r="BI58" s="148">
        <f>4080.2*(1+Premissas!$B$21)^4</f>
        <v>4503.7773563281235</v>
      </c>
      <c r="BJ58" s="148">
        <f>4080.2*(1+Premissas!$B$21)^4</f>
        <v>4503.7773563281235</v>
      </c>
      <c r="BK58" s="148">
        <f>4080.2*(1+Premissas!$B$21)^4</f>
        <v>4503.7773563281235</v>
      </c>
    </row>
    <row r="59" spans="1:63" ht="12.75" customHeight="1" x14ac:dyDescent="0.2">
      <c r="A59" s="122" t="str">
        <f>"  "&amp;INDEX(PVSYST_Helexia!$A$5:$A$7,MATCH(Premissas!$B$13,PVSYST_Helexia!$B$5:$B$7,0))&amp;" créditos recebidos (kWh)"</f>
        <v xml:space="preserve">  HCS03 créditos recebidos (kWh)</v>
      </c>
      <c r="B59" s="135">
        <f>SUM(D59:BQ59)</f>
        <v>269692.61287609168</v>
      </c>
      <c r="C59" s="120">
        <f>B59/60</f>
        <v>4494.8768812681947</v>
      </c>
      <c r="D59" s="136">
        <f>D6*Premissas!$B$36</f>
        <v>3347.73</v>
      </c>
      <c r="E59" s="136">
        <f>E6*Premissas!$B$36</f>
        <v>3523.7699999999995</v>
      </c>
      <c r="F59" s="136">
        <f>F6*Premissas!$B$36</f>
        <v>4230.09</v>
      </c>
      <c r="G59" s="136">
        <f>G6*Premissas!$B$36</f>
        <v>3969.27</v>
      </c>
      <c r="H59" s="136">
        <f>H6*Premissas!$C$36</f>
        <v>8037.4559999999992</v>
      </c>
      <c r="I59" s="136">
        <f>I6*Premissas!$C$36</f>
        <v>7771.4559999999992</v>
      </c>
      <c r="J59" s="136">
        <f>J6*Premissas!$C$36</f>
        <v>7379.3719999999994</v>
      </c>
      <c r="K59" s="136">
        <f>K6*Premissas!$C$36</f>
        <v>7576.9727599999987</v>
      </c>
      <c r="L59" s="136">
        <f>L6*Premissas!$C$36</f>
        <v>6751.7316999999994</v>
      </c>
      <c r="M59" s="136">
        <f>M6*Premissas!$C$36</f>
        <v>7744.2441999999992</v>
      </c>
      <c r="N59" s="136">
        <f>N6*Premissas!$D$36</f>
        <v>4517.2781100000002</v>
      </c>
      <c r="O59" s="136">
        <f>O6*Premissas!$D$36</f>
        <v>4227.6375899999994</v>
      </c>
      <c r="P59" s="136">
        <f>P6*Premissas!$D$36</f>
        <v>3836.8085550000001</v>
      </c>
      <c r="Q59" s="136">
        <f>Q6*Premissas!$D$36</f>
        <v>4038.5666949999995</v>
      </c>
      <c r="R59" s="136">
        <f>R6*Premissas!$D$36</f>
        <v>4848.0748149999999</v>
      </c>
      <c r="S59" s="136">
        <f>S6*Premissas!$D$36</f>
        <v>4549.1509450000003</v>
      </c>
      <c r="T59" s="136">
        <f>T6*Premissas!$E$36</f>
        <v>10131.878040000001</v>
      </c>
      <c r="U59" s="136">
        <f>U6*Premissas!$E$36</f>
        <v>9796.5630400000009</v>
      </c>
      <c r="V59" s="136">
        <f>V6*Premissas!$E$36</f>
        <v>9302.3087300000007</v>
      </c>
      <c r="W59" s="136">
        <f>W6*Premissas!$E$36</f>
        <v>9599.3978200000001</v>
      </c>
      <c r="X59" s="136">
        <f>X6*Premissas!$E$36</f>
        <v>8553.8856500000002</v>
      </c>
      <c r="Y59" s="136">
        <f>Y6*Premissas!$E$36</f>
        <v>9811.3168999999998</v>
      </c>
      <c r="Z59" s="136">
        <f>Z6*Premissas!$E$36</f>
        <v>9789.8567400000011</v>
      </c>
      <c r="AA59" s="136">
        <f>AA6*Premissas!$E$36</f>
        <v>9162.1470599999993</v>
      </c>
      <c r="AB59" s="136">
        <f>AB6*Premissas!$F$36</f>
        <v>1914.9499160999999</v>
      </c>
      <c r="AC59" s="136">
        <f>AC6*Premissas!$F$36</f>
        <v>2015.6473388999998</v>
      </c>
      <c r="AD59" s="136">
        <f>AD6*Premissas!$F$36</f>
        <v>2419.6725813000003</v>
      </c>
      <c r="AE59" s="136">
        <f>AE6*Premissas!$F$36</f>
        <v>2270.4797738999996</v>
      </c>
      <c r="AF59" s="136">
        <f>AF6*Premissas!$F$36</f>
        <v>2333.3384412</v>
      </c>
      <c r="AG59" s="136">
        <f>AG6*Premissas!$F$36</f>
        <v>2256.1164911999999</v>
      </c>
      <c r="AH59" s="136">
        <f>AH6*Premissas!$G$36</f>
        <v>2348.2808885250001</v>
      </c>
      <c r="AI59" s="136">
        <f>AI6*Premissas!$G$36</f>
        <v>2423.2782523500005</v>
      </c>
      <c r="AJ59" s="136">
        <f>AJ6*Premissas!$G$36</f>
        <v>2159.3484776250002</v>
      </c>
      <c r="AK59" s="136">
        <f>AK6*Premissas!$G$36</f>
        <v>2476.7752432500001</v>
      </c>
      <c r="AL59" s="136">
        <f>AL6*Premissas!$G$36</f>
        <v>2471.3578264500002</v>
      </c>
      <c r="AM59" s="136">
        <f>AM6*Premissas!$G$36</f>
        <v>2312.8983850500003</v>
      </c>
      <c r="AN59" s="136">
        <f>AN6*Premissas!$H$36</f>
        <v>1954.2309400200002</v>
      </c>
      <c r="AO59" s="136">
        <f>AO6*Premissas!$H$36</f>
        <v>2056.9939509799997</v>
      </c>
      <c r="AP59" s="136">
        <f>AP6*Premissas!$H$36</f>
        <v>2469.3068906600001</v>
      </c>
      <c r="AQ59" s="136">
        <f>AQ6*Premissas!$H$36</f>
        <v>2317.0537179800003</v>
      </c>
      <c r="AR59" s="136">
        <f>AR6*Premissas!$H$36</f>
        <v>2381.2017938399999</v>
      </c>
      <c r="AS59" s="136">
        <f>AS6*Premissas!$H$36</f>
        <v>2302.3958038400001</v>
      </c>
      <c r="AT59" s="136">
        <f>AT6*Premissas!$I$36</f>
        <v>2377.5314048557498</v>
      </c>
      <c r="AU59" s="136">
        <f>AU6*Premissas!$I$36</f>
        <v>2453.4629463704996</v>
      </c>
      <c r="AV59" s="136">
        <f>AV6*Premissas!$I$36</f>
        <v>2186.2456253287501</v>
      </c>
      <c r="AW59" s="136">
        <f>AW6*Premissas!$I$36</f>
        <v>2507.6263032975003</v>
      </c>
      <c r="AX59" s="136">
        <f>AX6*Premissas!$I$36</f>
        <v>2502.1414063934999</v>
      </c>
      <c r="AY59" s="136">
        <f>AY6*Premissas!$I$36</f>
        <v>2341.7081719514995</v>
      </c>
      <c r="AZ59" s="136">
        <f>AZ6*Premissas!$J$36</f>
        <v>3694.4735921078104</v>
      </c>
      <c r="BA59" s="136">
        <f>BA6*Premissas!$J$36</f>
        <v>3888.7470643276897</v>
      </c>
      <c r="BB59" s="136">
        <f>BB6*Premissas!$J$36</f>
        <v>4668.22467679273</v>
      </c>
      <c r="BC59" s="136">
        <f>BC6*Premissas!$J$36</f>
        <v>4380.3900538411908</v>
      </c>
      <c r="BD59" s="136">
        <f>BD6*Premissas!$J$36</f>
        <v>4501.6619912545202</v>
      </c>
      <c r="BE59" s="136">
        <f>BE6*Premissas!$J$36</f>
        <v>4352.6792671595204</v>
      </c>
      <c r="BF59" s="136">
        <f>BF6*Premissas!$K$36</f>
        <v>4377.8004988605389</v>
      </c>
      <c r="BG59" s="136">
        <f>BG6*Premissas!$K$36</f>
        <v>4517.614904526692</v>
      </c>
      <c r="BH59" s="136">
        <f>BH6*Premissas!$K$36</f>
        <v>4025.5818155119441</v>
      </c>
      <c r="BI59" s="136">
        <f>BI6*Premissas!$K$36</f>
        <v>4617.3470765142874</v>
      </c>
      <c r="BJ59" s="136">
        <f>BJ6*Premissas!$K$36</f>
        <v>4607.247616059848</v>
      </c>
      <c r="BK59" s="136">
        <f>BK6*Premissas!$K$36</f>
        <v>4311.8383977674775</v>
      </c>
    </row>
    <row r="60" spans="1:63" ht="12.75" customHeight="1" x14ac:dyDescent="0.2">
      <c r="A60" s="126" t="s">
        <v>409</v>
      </c>
      <c r="B60" s="120">
        <f>AA60</f>
        <v>46665.078790000007</v>
      </c>
      <c r="C60" s="120" t="s">
        <v>397</v>
      </c>
      <c r="D60" s="120">
        <f>0</f>
        <v>0</v>
      </c>
      <c r="E60" s="120">
        <f t="shared" ref="E60:AJ60" si="40">D62</f>
        <v>0</v>
      </c>
      <c r="F60" s="120">
        <f t="shared" si="40"/>
        <v>73.169999999999618</v>
      </c>
      <c r="G60" s="120">
        <f t="shared" si="40"/>
        <v>894.45999999999958</v>
      </c>
      <c r="H60" s="120">
        <f t="shared" si="40"/>
        <v>658.72999999999956</v>
      </c>
      <c r="I60" s="120">
        <f t="shared" si="40"/>
        <v>3268.1859999999988</v>
      </c>
      <c r="J60" s="120">
        <f t="shared" si="40"/>
        <v>4665.641999999998</v>
      </c>
      <c r="K60" s="120">
        <f t="shared" si="40"/>
        <v>5971.913999999997</v>
      </c>
      <c r="L60" s="120">
        <f t="shared" si="40"/>
        <v>9324.5542599999972</v>
      </c>
      <c r="M60" s="120">
        <f t="shared" si="40"/>
        <v>11635.268459999998</v>
      </c>
      <c r="N60" s="120">
        <f t="shared" si="40"/>
        <v>14177.022659999997</v>
      </c>
      <c r="O60" s="120">
        <f t="shared" si="40"/>
        <v>14167.900769999997</v>
      </c>
      <c r="P60" s="120">
        <f t="shared" si="40"/>
        <v>14213.333359999997</v>
      </c>
      <c r="Q60" s="120">
        <f t="shared" si="40"/>
        <v>14301.306914999997</v>
      </c>
      <c r="R60" s="120">
        <f t="shared" si="40"/>
        <v>14803.008609999997</v>
      </c>
      <c r="S60" s="120">
        <f t="shared" si="40"/>
        <v>16157.063424999997</v>
      </c>
      <c r="T60" s="120">
        <f t="shared" si="40"/>
        <v>16396.089369999998</v>
      </c>
      <c r="U60" s="120">
        <f t="shared" si="40"/>
        <v>20964.26741</v>
      </c>
      <c r="V60" s="120">
        <f t="shared" si="40"/>
        <v>24227.480450000003</v>
      </c>
      <c r="W60" s="120">
        <f t="shared" si="40"/>
        <v>27304.861680000002</v>
      </c>
      <c r="X60" s="120">
        <f t="shared" si="40"/>
        <v>32679.927000000003</v>
      </c>
      <c r="Y60" s="120">
        <f t="shared" si="40"/>
        <v>36792.795150000005</v>
      </c>
      <c r="Z60" s="120">
        <f t="shared" si="40"/>
        <v>41401.622050000005</v>
      </c>
      <c r="AA60" s="120">
        <f t="shared" si="40"/>
        <v>46665.078790000007</v>
      </c>
      <c r="AB60" s="120">
        <f t="shared" si="40"/>
        <v>51645.020850000008</v>
      </c>
      <c r="AC60" s="120">
        <f t="shared" si="40"/>
        <v>49273.210641100006</v>
      </c>
      <c r="AD60" s="120">
        <f t="shared" si="40"/>
        <v>47002.097855000007</v>
      </c>
      <c r="AE60" s="120">
        <f t="shared" si="40"/>
        <v>45135.010311300008</v>
      </c>
      <c r="AF60" s="120">
        <f t="shared" si="40"/>
        <v>43118.729960200006</v>
      </c>
      <c r="AG60" s="120">
        <f t="shared" si="40"/>
        <v>41165.308276400006</v>
      </c>
      <c r="AH60" s="120">
        <f t="shared" si="40"/>
        <v>39134.664642600008</v>
      </c>
      <c r="AI60" s="120">
        <f t="shared" si="40"/>
        <v>37196.185406125005</v>
      </c>
      <c r="AJ60" s="120">
        <f t="shared" si="40"/>
        <v>35332.703533475003</v>
      </c>
      <c r="AK60" s="120">
        <f t="shared" ref="AK60:BK60" si="41">AJ62</f>
        <v>33205.291886100007</v>
      </c>
      <c r="AL60" s="120">
        <f t="shared" si="41"/>
        <v>31395.307004350008</v>
      </c>
      <c r="AM60" s="120">
        <f t="shared" si="41"/>
        <v>29579.904705800007</v>
      </c>
      <c r="AN60" s="120">
        <f t="shared" si="41"/>
        <v>27606.042965850007</v>
      </c>
      <c r="AO60" s="120">
        <f t="shared" si="41"/>
        <v>25166.344777745009</v>
      </c>
      <c r="AP60" s="120">
        <f t="shared" si="41"/>
        <v>22829.409600600011</v>
      </c>
      <c r="AQ60" s="120">
        <f t="shared" si="41"/>
        <v>20904.787363135012</v>
      </c>
      <c r="AR60" s="120">
        <f t="shared" si="41"/>
        <v>18827.911952990013</v>
      </c>
      <c r="AS60" s="120">
        <f t="shared" si="41"/>
        <v>16815.184618705014</v>
      </c>
      <c r="AT60" s="120">
        <f t="shared" si="41"/>
        <v>14723.651294420015</v>
      </c>
      <c r="AU60" s="120">
        <f t="shared" si="41"/>
        <v>12707.253571150766</v>
      </c>
      <c r="AV60" s="120">
        <f t="shared" si="41"/>
        <v>10766.787389396268</v>
      </c>
      <c r="AW60" s="120">
        <f t="shared" si="41"/>
        <v>8559.1038866000199</v>
      </c>
      <c r="AX60" s="120">
        <f t="shared" si="41"/>
        <v>6672.8010617725213</v>
      </c>
      <c r="AY60" s="120">
        <f t="shared" si="41"/>
        <v>4781.0133400410223</v>
      </c>
      <c r="AZ60" s="120">
        <f t="shared" si="41"/>
        <v>2728.7923838675229</v>
      </c>
      <c r="BA60" s="120">
        <f t="shared" si="41"/>
        <v>1919.4886196472098</v>
      </c>
      <c r="BB60" s="120">
        <f t="shared" si="41"/>
        <v>1304.4583276467761</v>
      </c>
      <c r="BC60" s="120">
        <f t="shared" si="41"/>
        <v>1468.9056481113826</v>
      </c>
      <c r="BD60" s="120">
        <f t="shared" si="41"/>
        <v>1345.5183456244499</v>
      </c>
      <c r="BE60" s="120">
        <f t="shared" si="41"/>
        <v>1343.4029805508467</v>
      </c>
      <c r="BF60" s="120">
        <f t="shared" si="41"/>
        <v>1192.3048913822436</v>
      </c>
      <c r="BG60" s="120">
        <f t="shared" si="41"/>
        <v>1066.328033914659</v>
      </c>
      <c r="BH60" s="120">
        <f t="shared" si="41"/>
        <v>1080.1655821132276</v>
      </c>
      <c r="BI60" s="120">
        <f t="shared" si="41"/>
        <v>601.97004129704828</v>
      </c>
      <c r="BJ60" s="120">
        <f t="shared" si="41"/>
        <v>715.53976148321226</v>
      </c>
      <c r="BK60" s="120">
        <f t="shared" si="41"/>
        <v>819.01002121493684</v>
      </c>
    </row>
    <row r="61" spans="1:63" ht="12.75" customHeight="1" x14ac:dyDescent="0.2">
      <c r="A61" s="126" t="s">
        <v>410</v>
      </c>
      <c r="B61" s="120">
        <f>SUM(D61:BQ61)</f>
        <v>51658.126525926775</v>
      </c>
      <c r="C61" s="120">
        <f>B61/60</f>
        <v>860.96877543211292</v>
      </c>
      <c r="D61" s="120">
        <f t="shared" ref="D61:AI61" si="42">MIN(D60,MAX(D58-D59,0))</f>
        <v>0</v>
      </c>
      <c r="E61" s="120">
        <f t="shared" si="42"/>
        <v>0</v>
      </c>
      <c r="F61" s="120">
        <f t="shared" si="42"/>
        <v>0</v>
      </c>
      <c r="G61" s="120">
        <f t="shared" si="42"/>
        <v>235.73000000000002</v>
      </c>
      <c r="H61" s="120">
        <f t="shared" si="42"/>
        <v>0</v>
      </c>
      <c r="I61" s="120">
        <f t="shared" si="42"/>
        <v>0</v>
      </c>
      <c r="J61" s="120">
        <f t="shared" si="42"/>
        <v>0</v>
      </c>
      <c r="K61" s="120">
        <f t="shared" si="42"/>
        <v>0</v>
      </c>
      <c r="L61" s="120">
        <f t="shared" si="42"/>
        <v>0</v>
      </c>
      <c r="M61" s="120">
        <f t="shared" si="42"/>
        <v>0</v>
      </c>
      <c r="N61" s="120">
        <f t="shared" si="42"/>
        <v>9.1218899999994392</v>
      </c>
      <c r="O61" s="120">
        <f t="shared" si="42"/>
        <v>0</v>
      </c>
      <c r="P61" s="120">
        <f t="shared" si="42"/>
        <v>0</v>
      </c>
      <c r="Q61" s="120">
        <f t="shared" si="42"/>
        <v>0</v>
      </c>
      <c r="R61" s="120">
        <f t="shared" si="42"/>
        <v>0</v>
      </c>
      <c r="S61" s="120">
        <f t="shared" si="42"/>
        <v>0</v>
      </c>
      <c r="T61" s="120">
        <f t="shared" si="42"/>
        <v>0</v>
      </c>
      <c r="U61" s="120">
        <f t="shared" si="42"/>
        <v>0</v>
      </c>
      <c r="V61" s="120">
        <f t="shared" si="42"/>
        <v>0</v>
      </c>
      <c r="W61" s="120">
        <f t="shared" si="42"/>
        <v>0</v>
      </c>
      <c r="X61" s="120">
        <f t="shared" si="42"/>
        <v>0</v>
      </c>
      <c r="Y61" s="120">
        <f t="shared" si="42"/>
        <v>0</v>
      </c>
      <c r="Z61" s="120">
        <f t="shared" si="42"/>
        <v>0</v>
      </c>
      <c r="AA61" s="120">
        <f t="shared" si="42"/>
        <v>0</v>
      </c>
      <c r="AB61" s="120">
        <f t="shared" si="42"/>
        <v>2371.8102088999999</v>
      </c>
      <c r="AC61" s="120">
        <f t="shared" si="42"/>
        <v>2271.1127861</v>
      </c>
      <c r="AD61" s="120">
        <f t="shared" si="42"/>
        <v>1867.0875436999995</v>
      </c>
      <c r="AE61" s="120">
        <f t="shared" si="42"/>
        <v>2016.2803511000002</v>
      </c>
      <c r="AF61" s="120">
        <f t="shared" si="42"/>
        <v>1953.4216837999998</v>
      </c>
      <c r="AG61" s="120">
        <f t="shared" si="42"/>
        <v>2030.6436337999999</v>
      </c>
      <c r="AH61" s="120">
        <f t="shared" si="42"/>
        <v>1938.4792364749997</v>
      </c>
      <c r="AI61" s="120">
        <f t="shared" si="42"/>
        <v>1863.4818726499993</v>
      </c>
      <c r="AJ61" s="120">
        <f t="shared" ref="AJ61:BO61" si="43">MIN(AJ60,MAX(AJ58-AJ59,0))</f>
        <v>2127.4116473749996</v>
      </c>
      <c r="AK61" s="120">
        <f t="shared" si="43"/>
        <v>1809.9848817499997</v>
      </c>
      <c r="AL61" s="120">
        <f t="shared" si="43"/>
        <v>1815.4022985499996</v>
      </c>
      <c r="AM61" s="120">
        <f t="shared" si="43"/>
        <v>1973.8617399499994</v>
      </c>
      <c r="AN61" s="120">
        <f t="shared" si="43"/>
        <v>2439.6981881049987</v>
      </c>
      <c r="AO61" s="120">
        <f t="shared" si="43"/>
        <v>2336.9351771449992</v>
      </c>
      <c r="AP61" s="120">
        <f t="shared" si="43"/>
        <v>1924.6222374649988</v>
      </c>
      <c r="AQ61" s="120">
        <f t="shared" si="43"/>
        <v>2076.8754101449986</v>
      </c>
      <c r="AR61" s="120">
        <f t="shared" si="43"/>
        <v>2012.727334284999</v>
      </c>
      <c r="AS61" s="120">
        <f t="shared" si="43"/>
        <v>2091.5333242849988</v>
      </c>
      <c r="AT61" s="120">
        <f t="shared" si="43"/>
        <v>2016.3977232692491</v>
      </c>
      <c r="AU61" s="120">
        <f t="shared" si="43"/>
        <v>1940.4661817544993</v>
      </c>
      <c r="AV61" s="120">
        <f t="shared" si="43"/>
        <v>2207.6835027962488</v>
      </c>
      <c r="AW61" s="120">
        <f t="shared" si="43"/>
        <v>1886.3028248274986</v>
      </c>
      <c r="AX61" s="120">
        <f t="shared" si="43"/>
        <v>1891.787721731499</v>
      </c>
      <c r="AY61" s="120">
        <f t="shared" si="43"/>
        <v>2052.2209561734994</v>
      </c>
      <c r="AZ61" s="120">
        <f t="shared" si="43"/>
        <v>809.30376422031304</v>
      </c>
      <c r="BA61" s="120">
        <f t="shared" si="43"/>
        <v>615.03029200043375</v>
      </c>
      <c r="BB61" s="120">
        <f t="shared" si="43"/>
        <v>0</v>
      </c>
      <c r="BC61" s="120">
        <f t="shared" si="43"/>
        <v>123.38730248693264</v>
      </c>
      <c r="BD61" s="120">
        <f t="shared" si="43"/>
        <v>2.1153650736032432</v>
      </c>
      <c r="BE61" s="120">
        <f t="shared" si="43"/>
        <v>151.09808916860311</v>
      </c>
      <c r="BF61" s="120">
        <f t="shared" si="43"/>
        <v>125.97685746758452</v>
      </c>
      <c r="BG61" s="120">
        <f t="shared" si="43"/>
        <v>0</v>
      </c>
      <c r="BH61" s="120">
        <f t="shared" si="43"/>
        <v>478.19554081617935</v>
      </c>
      <c r="BI61" s="120">
        <f t="shared" si="43"/>
        <v>0</v>
      </c>
      <c r="BJ61" s="120">
        <f t="shared" si="43"/>
        <v>0</v>
      </c>
      <c r="BK61" s="120">
        <f t="shared" si="43"/>
        <v>191.93895856064591</v>
      </c>
    </row>
    <row r="62" spans="1:63" ht="13.5" customHeight="1" x14ac:dyDescent="0.2">
      <c r="A62" s="41" t="s">
        <v>411</v>
      </c>
      <c r="B62" s="43">
        <f>AA62</f>
        <v>51645.020850000008</v>
      </c>
      <c r="C62" s="120" t="s">
        <v>397</v>
      </c>
      <c r="D62" s="137">
        <f t="shared" ref="D62:AI62" si="44">MAX(D60-D61,0)+MAX(D59-D58,0)</f>
        <v>0</v>
      </c>
      <c r="E62" s="137">
        <f t="shared" si="44"/>
        <v>73.169999999999618</v>
      </c>
      <c r="F62" s="137">
        <f t="shared" si="44"/>
        <v>894.45999999999958</v>
      </c>
      <c r="G62" s="137">
        <f t="shared" si="44"/>
        <v>658.72999999999956</v>
      </c>
      <c r="H62" s="137">
        <f t="shared" si="44"/>
        <v>3268.1859999999988</v>
      </c>
      <c r="I62" s="137">
        <f t="shared" si="44"/>
        <v>4665.641999999998</v>
      </c>
      <c r="J62" s="137">
        <f t="shared" si="44"/>
        <v>5971.913999999997</v>
      </c>
      <c r="K62" s="137">
        <f t="shared" si="44"/>
        <v>9324.5542599999972</v>
      </c>
      <c r="L62" s="137">
        <f t="shared" si="44"/>
        <v>11635.268459999998</v>
      </c>
      <c r="M62" s="137">
        <f t="shared" si="44"/>
        <v>14177.022659999997</v>
      </c>
      <c r="N62" s="137">
        <f t="shared" si="44"/>
        <v>14167.900769999997</v>
      </c>
      <c r="O62" s="137">
        <f t="shared" si="44"/>
        <v>14213.333359999997</v>
      </c>
      <c r="P62" s="137">
        <f t="shared" si="44"/>
        <v>14301.306914999997</v>
      </c>
      <c r="Q62" s="137">
        <f t="shared" si="44"/>
        <v>14803.008609999997</v>
      </c>
      <c r="R62" s="137">
        <f t="shared" si="44"/>
        <v>16157.063424999997</v>
      </c>
      <c r="S62" s="137">
        <f t="shared" si="44"/>
        <v>16396.089369999998</v>
      </c>
      <c r="T62" s="137">
        <f t="shared" si="44"/>
        <v>20964.26741</v>
      </c>
      <c r="U62" s="137">
        <f t="shared" si="44"/>
        <v>24227.480450000003</v>
      </c>
      <c r="V62" s="137">
        <f t="shared" si="44"/>
        <v>27304.861680000002</v>
      </c>
      <c r="W62" s="137">
        <f t="shared" si="44"/>
        <v>32679.927000000003</v>
      </c>
      <c r="X62" s="137">
        <f t="shared" si="44"/>
        <v>36792.795150000005</v>
      </c>
      <c r="Y62" s="137">
        <f t="shared" si="44"/>
        <v>41401.622050000005</v>
      </c>
      <c r="Z62" s="137">
        <f t="shared" si="44"/>
        <v>46665.078790000007</v>
      </c>
      <c r="AA62" s="137">
        <f t="shared" si="44"/>
        <v>51645.020850000008</v>
      </c>
      <c r="AB62" s="137">
        <f t="shared" si="44"/>
        <v>49273.210641100006</v>
      </c>
      <c r="AC62" s="137">
        <f t="shared" si="44"/>
        <v>47002.097855000007</v>
      </c>
      <c r="AD62" s="137">
        <f t="shared" si="44"/>
        <v>45135.010311300008</v>
      </c>
      <c r="AE62" s="137">
        <f t="shared" si="44"/>
        <v>43118.729960200006</v>
      </c>
      <c r="AF62" s="137">
        <f t="shared" si="44"/>
        <v>41165.308276400006</v>
      </c>
      <c r="AG62" s="137">
        <f t="shared" si="44"/>
        <v>39134.664642600008</v>
      </c>
      <c r="AH62" s="137">
        <f t="shared" si="44"/>
        <v>37196.185406125005</v>
      </c>
      <c r="AI62" s="137">
        <f t="shared" si="44"/>
        <v>35332.703533475003</v>
      </c>
      <c r="AJ62" s="137">
        <f t="shared" ref="AJ62:BO62" si="45">MAX(AJ60-AJ61,0)+MAX(AJ59-AJ58,0)</f>
        <v>33205.291886100007</v>
      </c>
      <c r="AK62" s="137">
        <f t="shared" si="45"/>
        <v>31395.307004350008</v>
      </c>
      <c r="AL62" s="137">
        <f t="shared" si="45"/>
        <v>29579.904705800007</v>
      </c>
      <c r="AM62" s="137">
        <f t="shared" si="45"/>
        <v>27606.042965850007</v>
      </c>
      <c r="AN62" s="137">
        <f t="shared" si="45"/>
        <v>25166.344777745009</v>
      </c>
      <c r="AO62" s="137">
        <f t="shared" si="45"/>
        <v>22829.409600600011</v>
      </c>
      <c r="AP62" s="137">
        <f t="shared" si="45"/>
        <v>20904.787363135012</v>
      </c>
      <c r="AQ62" s="137">
        <f t="shared" si="45"/>
        <v>18827.911952990013</v>
      </c>
      <c r="AR62" s="137">
        <f t="shared" si="45"/>
        <v>16815.184618705014</v>
      </c>
      <c r="AS62" s="137">
        <f t="shared" si="45"/>
        <v>14723.651294420015</v>
      </c>
      <c r="AT62" s="137">
        <f t="shared" si="45"/>
        <v>12707.253571150766</v>
      </c>
      <c r="AU62" s="137">
        <f t="shared" si="45"/>
        <v>10766.787389396268</v>
      </c>
      <c r="AV62" s="137">
        <f t="shared" si="45"/>
        <v>8559.1038866000199</v>
      </c>
      <c r="AW62" s="137">
        <f t="shared" si="45"/>
        <v>6672.8010617725213</v>
      </c>
      <c r="AX62" s="137">
        <f t="shared" si="45"/>
        <v>4781.0133400410223</v>
      </c>
      <c r="AY62" s="137">
        <f t="shared" si="45"/>
        <v>2728.7923838675229</v>
      </c>
      <c r="AZ62" s="137">
        <f t="shared" si="45"/>
        <v>1919.4886196472098</v>
      </c>
      <c r="BA62" s="137">
        <f t="shared" si="45"/>
        <v>1304.4583276467761</v>
      </c>
      <c r="BB62" s="137">
        <f t="shared" si="45"/>
        <v>1468.9056481113826</v>
      </c>
      <c r="BC62" s="137">
        <f t="shared" si="45"/>
        <v>1345.5183456244499</v>
      </c>
      <c r="BD62" s="137">
        <f t="shared" si="45"/>
        <v>1343.4029805508467</v>
      </c>
      <c r="BE62" s="137">
        <f t="shared" si="45"/>
        <v>1192.3048913822436</v>
      </c>
      <c r="BF62" s="137">
        <f t="shared" si="45"/>
        <v>1066.328033914659</v>
      </c>
      <c r="BG62" s="137">
        <f t="shared" si="45"/>
        <v>1080.1655821132276</v>
      </c>
      <c r="BH62" s="137">
        <f t="shared" si="45"/>
        <v>601.97004129704828</v>
      </c>
      <c r="BI62" s="137">
        <f t="shared" si="45"/>
        <v>715.53976148321226</v>
      </c>
      <c r="BJ62" s="137">
        <f t="shared" si="45"/>
        <v>819.01002121493684</v>
      </c>
      <c r="BK62" s="137">
        <f t="shared" si="45"/>
        <v>627.07106265429093</v>
      </c>
    </row>
    <row r="63" spans="1:63" ht="12.75" customHeight="1" x14ac:dyDescent="0.2">
      <c r="A63" s="127" t="s">
        <v>412</v>
      </c>
      <c r="B63" s="128">
        <f>AA63</f>
        <v>0</v>
      </c>
      <c r="C63" s="120" t="s">
        <v>397</v>
      </c>
      <c r="D63" s="128">
        <f>0</f>
        <v>0</v>
      </c>
      <c r="E63" s="128">
        <f t="shared" ref="E63:AJ63" si="46">D65</f>
        <v>0</v>
      </c>
      <c r="F63" s="128">
        <f t="shared" si="46"/>
        <v>0</v>
      </c>
      <c r="G63" s="128">
        <f t="shared" si="46"/>
        <v>0</v>
      </c>
      <c r="H63" s="128">
        <f t="shared" si="46"/>
        <v>0</v>
      </c>
      <c r="I63" s="128">
        <f t="shared" si="46"/>
        <v>0</v>
      </c>
      <c r="J63" s="128">
        <f t="shared" si="46"/>
        <v>0</v>
      </c>
      <c r="K63" s="128">
        <f t="shared" si="46"/>
        <v>0</v>
      </c>
      <c r="L63" s="128">
        <f t="shared" si="46"/>
        <v>0</v>
      </c>
      <c r="M63" s="128">
        <f t="shared" si="46"/>
        <v>0</v>
      </c>
      <c r="N63" s="128">
        <f t="shared" si="46"/>
        <v>0</v>
      </c>
      <c r="O63" s="128">
        <f t="shared" si="46"/>
        <v>0</v>
      </c>
      <c r="P63" s="128">
        <f t="shared" si="46"/>
        <v>0</v>
      </c>
      <c r="Q63" s="128">
        <f t="shared" si="46"/>
        <v>0</v>
      </c>
      <c r="R63" s="128">
        <f t="shared" si="46"/>
        <v>0</v>
      </c>
      <c r="S63" s="128">
        <f t="shared" si="46"/>
        <v>0</v>
      </c>
      <c r="T63" s="128">
        <f t="shared" si="46"/>
        <v>0</v>
      </c>
      <c r="U63" s="128">
        <f t="shared" si="46"/>
        <v>0</v>
      </c>
      <c r="V63" s="128">
        <f t="shared" si="46"/>
        <v>0</v>
      </c>
      <c r="W63" s="128">
        <f t="shared" si="46"/>
        <v>0</v>
      </c>
      <c r="X63" s="128">
        <f t="shared" si="46"/>
        <v>0</v>
      </c>
      <c r="Y63" s="128">
        <f t="shared" si="46"/>
        <v>0</v>
      </c>
      <c r="Z63" s="128">
        <f t="shared" si="46"/>
        <v>0</v>
      </c>
      <c r="AA63" s="128">
        <f t="shared" si="46"/>
        <v>0</v>
      </c>
      <c r="AB63" s="128">
        <f t="shared" si="46"/>
        <v>0</v>
      </c>
      <c r="AC63" s="128">
        <f t="shared" si="46"/>
        <v>0</v>
      </c>
      <c r="AD63" s="128">
        <f t="shared" si="46"/>
        <v>0</v>
      </c>
      <c r="AE63" s="128">
        <f t="shared" si="46"/>
        <v>0</v>
      </c>
      <c r="AF63" s="128">
        <f t="shared" si="46"/>
        <v>0</v>
      </c>
      <c r="AG63" s="128">
        <f t="shared" si="46"/>
        <v>0</v>
      </c>
      <c r="AH63" s="128">
        <f t="shared" si="46"/>
        <v>0</v>
      </c>
      <c r="AI63" s="128">
        <f t="shared" si="46"/>
        <v>0</v>
      </c>
      <c r="AJ63" s="128">
        <f t="shared" si="46"/>
        <v>0</v>
      </c>
      <c r="AK63" s="128">
        <f t="shared" ref="AK63:BK63" si="47">AJ65</f>
        <v>0</v>
      </c>
      <c r="AL63" s="128">
        <f t="shared" si="47"/>
        <v>0</v>
      </c>
      <c r="AM63" s="128">
        <f t="shared" si="47"/>
        <v>0</v>
      </c>
      <c r="AN63" s="128">
        <f t="shared" si="47"/>
        <v>0</v>
      </c>
      <c r="AO63" s="128">
        <f t="shared" si="47"/>
        <v>0</v>
      </c>
      <c r="AP63" s="128">
        <f t="shared" si="47"/>
        <v>0</v>
      </c>
      <c r="AQ63" s="128">
        <f t="shared" si="47"/>
        <v>0</v>
      </c>
      <c r="AR63" s="128">
        <f t="shared" si="47"/>
        <v>0</v>
      </c>
      <c r="AS63" s="128">
        <f t="shared" si="47"/>
        <v>0</v>
      </c>
      <c r="AT63" s="128">
        <f t="shared" si="47"/>
        <v>0</v>
      </c>
      <c r="AU63" s="128">
        <f t="shared" si="47"/>
        <v>0</v>
      </c>
      <c r="AV63" s="128">
        <f t="shared" si="47"/>
        <v>0</v>
      </c>
      <c r="AW63" s="128">
        <f t="shared" si="47"/>
        <v>0</v>
      </c>
      <c r="AX63" s="128">
        <f t="shared" si="47"/>
        <v>0</v>
      </c>
      <c r="AY63" s="128">
        <f t="shared" si="47"/>
        <v>0</v>
      </c>
      <c r="AZ63" s="128">
        <f t="shared" si="47"/>
        <v>0</v>
      </c>
      <c r="BA63" s="128">
        <f t="shared" si="47"/>
        <v>0</v>
      </c>
      <c r="BB63" s="128">
        <f t="shared" si="47"/>
        <v>0</v>
      </c>
      <c r="BC63" s="128">
        <f t="shared" si="47"/>
        <v>0</v>
      </c>
      <c r="BD63" s="128">
        <f t="shared" si="47"/>
        <v>0</v>
      </c>
      <c r="BE63" s="128">
        <f t="shared" si="47"/>
        <v>0</v>
      </c>
      <c r="BF63" s="128">
        <f t="shared" si="47"/>
        <v>0</v>
      </c>
      <c r="BG63" s="128">
        <f t="shared" si="47"/>
        <v>0</v>
      </c>
      <c r="BH63" s="128">
        <f t="shared" si="47"/>
        <v>0</v>
      </c>
      <c r="BI63" s="128">
        <f t="shared" si="47"/>
        <v>0</v>
      </c>
      <c r="BJ63" s="128">
        <f t="shared" si="47"/>
        <v>0</v>
      </c>
      <c r="BK63" s="128">
        <f t="shared" si="47"/>
        <v>0</v>
      </c>
    </row>
    <row r="64" spans="1:63" ht="12.75" customHeight="1" x14ac:dyDescent="0.2">
      <c r="A64" s="127" t="s">
        <v>420</v>
      </c>
      <c r="B64" s="128">
        <f>SUM(D64:BQ64)</f>
        <v>0</v>
      </c>
      <c r="C64" s="120">
        <f>B64/60</f>
        <v>0</v>
      </c>
      <c r="D64" s="128">
        <f t="shared" ref="D64:AI64" si="48">MIN(D63,D58)</f>
        <v>0</v>
      </c>
      <c r="E64" s="128">
        <f t="shared" si="48"/>
        <v>0</v>
      </c>
      <c r="F64" s="128">
        <f t="shared" si="48"/>
        <v>0</v>
      </c>
      <c r="G64" s="128">
        <f t="shared" si="48"/>
        <v>0</v>
      </c>
      <c r="H64" s="128">
        <f t="shared" si="48"/>
        <v>0</v>
      </c>
      <c r="I64" s="128">
        <f t="shared" si="48"/>
        <v>0</v>
      </c>
      <c r="J64" s="128">
        <f t="shared" si="48"/>
        <v>0</v>
      </c>
      <c r="K64" s="128">
        <f t="shared" si="48"/>
        <v>0</v>
      </c>
      <c r="L64" s="128">
        <f t="shared" si="48"/>
        <v>0</v>
      </c>
      <c r="M64" s="128">
        <f t="shared" si="48"/>
        <v>0</v>
      </c>
      <c r="N64" s="128">
        <f t="shared" si="48"/>
        <v>0</v>
      </c>
      <c r="O64" s="128">
        <f t="shared" si="48"/>
        <v>0</v>
      </c>
      <c r="P64" s="128">
        <f t="shared" si="48"/>
        <v>0</v>
      </c>
      <c r="Q64" s="128">
        <f t="shared" si="48"/>
        <v>0</v>
      </c>
      <c r="R64" s="128">
        <f t="shared" si="48"/>
        <v>0</v>
      </c>
      <c r="S64" s="128">
        <f t="shared" si="48"/>
        <v>0</v>
      </c>
      <c r="T64" s="128">
        <f t="shared" si="48"/>
        <v>0</v>
      </c>
      <c r="U64" s="128">
        <f t="shared" si="48"/>
        <v>0</v>
      </c>
      <c r="V64" s="128">
        <f t="shared" si="48"/>
        <v>0</v>
      </c>
      <c r="W64" s="128">
        <f t="shared" si="48"/>
        <v>0</v>
      </c>
      <c r="X64" s="128">
        <f t="shared" si="48"/>
        <v>0</v>
      </c>
      <c r="Y64" s="128">
        <f t="shared" si="48"/>
        <v>0</v>
      </c>
      <c r="Z64" s="128">
        <f t="shared" si="48"/>
        <v>0</v>
      </c>
      <c r="AA64" s="128">
        <f t="shared" si="48"/>
        <v>0</v>
      </c>
      <c r="AB64" s="128">
        <f t="shared" si="48"/>
        <v>0</v>
      </c>
      <c r="AC64" s="128">
        <f t="shared" si="48"/>
        <v>0</v>
      </c>
      <c r="AD64" s="128">
        <f t="shared" si="48"/>
        <v>0</v>
      </c>
      <c r="AE64" s="128">
        <f t="shared" si="48"/>
        <v>0</v>
      </c>
      <c r="AF64" s="128">
        <f t="shared" si="48"/>
        <v>0</v>
      </c>
      <c r="AG64" s="128">
        <f t="shared" si="48"/>
        <v>0</v>
      </c>
      <c r="AH64" s="128">
        <f t="shared" si="48"/>
        <v>0</v>
      </c>
      <c r="AI64" s="128">
        <f t="shared" si="48"/>
        <v>0</v>
      </c>
      <c r="AJ64" s="128">
        <f t="shared" ref="AJ64:BO64" si="49">MIN(AJ63,AJ58)</f>
        <v>0</v>
      </c>
      <c r="AK64" s="128">
        <f t="shared" si="49"/>
        <v>0</v>
      </c>
      <c r="AL64" s="128">
        <f t="shared" si="49"/>
        <v>0</v>
      </c>
      <c r="AM64" s="128">
        <f t="shared" si="49"/>
        <v>0</v>
      </c>
      <c r="AN64" s="128">
        <f t="shared" si="49"/>
        <v>0</v>
      </c>
      <c r="AO64" s="128">
        <f t="shared" si="49"/>
        <v>0</v>
      </c>
      <c r="AP64" s="128">
        <f t="shared" si="49"/>
        <v>0</v>
      </c>
      <c r="AQ64" s="128">
        <f t="shared" si="49"/>
        <v>0</v>
      </c>
      <c r="AR64" s="128">
        <f t="shared" si="49"/>
        <v>0</v>
      </c>
      <c r="AS64" s="128">
        <f t="shared" si="49"/>
        <v>0</v>
      </c>
      <c r="AT64" s="128">
        <f t="shared" si="49"/>
        <v>0</v>
      </c>
      <c r="AU64" s="128">
        <f t="shared" si="49"/>
        <v>0</v>
      </c>
      <c r="AV64" s="128">
        <f t="shared" si="49"/>
        <v>0</v>
      </c>
      <c r="AW64" s="128">
        <f t="shared" si="49"/>
        <v>0</v>
      </c>
      <c r="AX64" s="128">
        <f t="shared" si="49"/>
        <v>0</v>
      </c>
      <c r="AY64" s="128">
        <f t="shared" si="49"/>
        <v>0</v>
      </c>
      <c r="AZ64" s="128">
        <f t="shared" si="49"/>
        <v>0</v>
      </c>
      <c r="BA64" s="128">
        <f t="shared" si="49"/>
        <v>0</v>
      </c>
      <c r="BB64" s="128">
        <f t="shared" si="49"/>
        <v>0</v>
      </c>
      <c r="BC64" s="128">
        <f t="shared" si="49"/>
        <v>0</v>
      </c>
      <c r="BD64" s="128">
        <f t="shared" si="49"/>
        <v>0</v>
      </c>
      <c r="BE64" s="128">
        <f t="shared" si="49"/>
        <v>0</v>
      </c>
      <c r="BF64" s="128">
        <f t="shared" si="49"/>
        <v>0</v>
      </c>
      <c r="BG64" s="128">
        <f t="shared" si="49"/>
        <v>0</v>
      </c>
      <c r="BH64" s="128">
        <f t="shared" si="49"/>
        <v>0</v>
      </c>
      <c r="BI64" s="128">
        <f t="shared" si="49"/>
        <v>0</v>
      </c>
      <c r="BJ64" s="128">
        <f t="shared" si="49"/>
        <v>0</v>
      </c>
      <c r="BK64" s="128">
        <f t="shared" si="49"/>
        <v>0</v>
      </c>
    </row>
    <row r="65" spans="1:63" ht="12.75" customHeight="1" x14ac:dyDescent="0.2">
      <c r="A65" s="127" t="s">
        <v>421</v>
      </c>
      <c r="B65" s="128">
        <f>AA65</f>
        <v>0</v>
      </c>
      <c r="C65" s="120" t="s">
        <v>397</v>
      </c>
      <c r="D65" s="149">
        <f t="shared" ref="D65:AI65" si="50">MAX(D63-D64,0)</f>
        <v>0</v>
      </c>
      <c r="E65" s="149">
        <f t="shared" si="50"/>
        <v>0</v>
      </c>
      <c r="F65" s="149">
        <f t="shared" si="50"/>
        <v>0</v>
      </c>
      <c r="G65" s="149">
        <f t="shared" si="50"/>
        <v>0</v>
      </c>
      <c r="H65" s="149">
        <f t="shared" si="50"/>
        <v>0</v>
      </c>
      <c r="I65" s="149">
        <f t="shared" si="50"/>
        <v>0</v>
      </c>
      <c r="J65" s="149">
        <f t="shared" si="50"/>
        <v>0</v>
      </c>
      <c r="K65" s="149">
        <f t="shared" si="50"/>
        <v>0</v>
      </c>
      <c r="L65" s="149">
        <f t="shared" si="50"/>
        <v>0</v>
      </c>
      <c r="M65" s="149">
        <f t="shared" si="50"/>
        <v>0</v>
      </c>
      <c r="N65" s="149">
        <f t="shared" si="50"/>
        <v>0</v>
      </c>
      <c r="O65" s="149">
        <f t="shared" si="50"/>
        <v>0</v>
      </c>
      <c r="P65" s="149">
        <f t="shared" si="50"/>
        <v>0</v>
      </c>
      <c r="Q65" s="149">
        <f t="shared" si="50"/>
        <v>0</v>
      </c>
      <c r="R65" s="149">
        <f t="shared" si="50"/>
        <v>0</v>
      </c>
      <c r="S65" s="149">
        <f t="shared" si="50"/>
        <v>0</v>
      </c>
      <c r="T65" s="149">
        <f t="shared" si="50"/>
        <v>0</v>
      </c>
      <c r="U65" s="149">
        <f t="shared" si="50"/>
        <v>0</v>
      </c>
      <c r="V65" s="149">
        <f t="shared" si="50"/>
        <v>0</v>
      </c>
      <c r="W65" s="149">
        <f t="shared" si="50"/>
        <v>0</v>
      </c>
      <c r="X65" s="149">
        <f t="shared" si="50"/>
        <v>0</v>
      </c>
      <c r="Y65" s="149">
        <f t="shared" si="50"/>
        <v>0</v>
      </c>
      <c r="Z65" s="149">
        <f t="shared" si="50"/>
        <v>0</v>
      </c>
      <c r="AA65" s="149">
        <f t="shared" si="50"/>
        <v>0</v>
      </c>
      <c r="AB65" s="149">
        <f t="shared" si="50"/>
        <v>0</v>
      </c>
      <c r="AC65" s="149">
        <f t="shared" si="50"/>
        <v>0</v>
      </c>
      <c r="AD65" s="149">
        <f t="shared" si="50"/>
        <v>0</v>
      </c>
      <c r="AE65" s="149">
        <f t="shared" si="50"/>
        <v>0</v>
      </c>
      <c r="AF65" s="149">
        <f t="shared" si="50"/>
        <v>0</v>
      </c>
      <c r="AG65" s="149">
        <f t="shared" si="50"/>
        <v>0</v>
      </c>
      <c r="AH65" s="149">
        <f t="shared" si="50"/>
        <v>0</v>
      </c>
      <c r="AI65" s="149">
        <f t="shared" si="50"/>
        <v>0</v>
      </c>
      <c r="AJ65" s="149">
        <f t="shared" ref="AJ65:BO65" si="51">MAX(AJ63-AJ64,0)</f>
        <v>0</v>
      </c>
      <c r="AK65" s="149">
        <f t="shared" si="51"/>
        <v>0</v>
      </c>
      <c r="AL65" s="149">
        <f t="shared" si="51"/>
        <v>0</v>
      </c>
      <c r="AM65" s="149">
        <f t="shared" si="51"/>
        <v>0</v>
      </c>
      <c r="AN65" s="149">
        <f t="shared" si="51"/>
        <v>0</v>
      </c>
      <c r="AO65" s="149">
        <f t="shared" si="51"/>
        <v>0</v>
      </c>
      <c r="AP65" s="149">
        <f t="shared" si="51"/>
        <v>0</v>
      </c>
      <c r="AQ65" s="149">
        <f t="shared" si="51"/>
        <v>0</v>
      </c>
      <c r="AR65" s="149">
        <f t="shared" si="51"/>
        <v>0</v>
      </c>
      <c r="AS65" s="149">
        <f t="shared" si="51"/>
        <v>0</v>
      </c>
      <c r="AT65" s="149">
        <f t="shared" si="51"/>
        <v>0</v>
      </c>
      <c r="AU65" s="149">
        <f t="shared" si="51"/>
        <v>0</v>
      </c>
      <c r="AV65" s="149">
        <f t="shared" si="51"/>
        <v>0</v>
      </c>
      <c r="AW65" s="149">
        <f t="shared" si="51"/>
        <v>0</v>
      </c>
      <c r="AX65" s="149">
        <f t="shared" si="51"/>
        <v>0</v>
      </c>
      <c r="AY65" s="149">
        <f t="shared" si="51"/>
        <v>0</v>
      </c>
      <c r="AZ65" s="149">
        <f t="shared" si="51"/>
        <v>0</v>
      </c>
      <c r="BA65" s="149">
        <f t="shared" si="51"/>
        <v>0</v>
      </c>
      <c r="BB65" s="149">
        <f t="shared" si="51"/>
        <v>0</v>
      </c>
      <c r="BC65" s="149">
        <f t="shared" si="51"/>
        <v>0</v>
      </c>
      <c r="BD65" s="149">
        <f t="shared" si="51"/>
        <v>0</v>
      </c>
      <c r="BE65" s="149">
        <f t="shared" si="51"/>
        <v>0</v>
      </c>
      <c r="BF65" s="149">
        <f t="shared" si="51"/>
        <v>0</v>
      </c>
      <c r="BG65" s="149">
        <f t="shared" si="51"/>
        <v>0</v>
      </c>
      <c r="BH65" s="149">
        <f t="shared" si="51"/>
        <v>0</v>
      </c>
      <c r="BI65" s="149">
        <f t="shared" si="51"/>
        <v>0</v>
      </c>
      <c r="BJ65" s="149">
        <f t="shared" si="51"/>
        <v>0</v>
      </c>
      <c r="BK65" s="149">
        <f t="shared" si="51"/>
        <v>0</v>
      </c>
    </row>
    <row r="66" spans="1:63" ht="12.75" customHeight="1" x14ac:dyDescent="0.2">
      <c r="A6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66" s="142">
        <f>SUM(D66:BQ66)</f>
        <v>314381.25493385171</v>
      </c>
      <c r="C66" s="124">
        <f>B66/60</f>
        <v>5239.6875822308621</v>
      </c>
      <c r="D66" s="142">
        <f>D58*Premissas!$F$19*(1+Premissas!$B$127)*(1+Premissas!$B$124)^0</f>
        <v>3790.4003691128992</v>
      </c>
      <c r="E66" s="142">
        <f>E58*Premissas!$F$19*(1+Premissas!$B$127)*(1+Premissas!$B$124)^0</f>
        <v>3576.080142631643</v>
      </c>
      <c r="F66" s="142">
        <f>F58*Premissas!$F$19*(1+Premissas!$B$127)*(1+Premissas!$B$124)^0</f>
        <v>3532.7600968535171</v>
      </c>
      <c r="G66" s="142">
        <f>G58*Premissas!$F$19*(1+Premissas!$B$127)*(1+Premissas!$B$124)^0</f>
        <v>4357.9136961009845</v>
      </c>
      <c r="H66" s="142">
        <f>H58*Premissas!$F$19*(1+Premissas!$B$127)*(1+Premissas!$B$124)^0</f>
        <v>5625.3877627672173</v>
      </c>
      <c r="I66" s="142">
        <f>I58*Premissas!$F$19*(1+Premissas!$B$127)*(1+Premissas!$B$124)^0</f>
        <v>6605.7887987984959</v>
      </c>
      <c r="J66" s="142">
        <f>J58*Premissas!$F$19*(1+Premissas!$B$127)*(1+Premissas!$B$124)^0</f>
        <v>6293.9466510798793</v>
      </c>
      <c r="K66" s="142">
        <f>K58*Premissas!$F$19*(1+Premissas!$B$127)*(1+Premissas!$B$124)^0</f>
        <v>4377.949217273368</v>
      </c>
      <c r="L66" s="142">
        <f>L58*Premissas!$F$19*(1+Premissas!$B$127)*(1+Premissas!$B$124)^0</f>
        <v>4602.5139091258388</v>
      </c>
      <c r="M66" s="142">
        <f>M58*Premissas!$F$19*(1+Premissas!$B$127)*(1+Premissas!$B$124)^0</f>
        <v>5391.6771521589562</v>
      </c>
      <c r="N66" s="142">
        <f>N58*Premissas!$F$19*(1+Premissas!$B$127)*(1+Premissas!$B$124)^0</f>
        <v>4691.0013208160517</v>
      </c>
      <c r="O66" s="142">
        <f>O58*Premissas!$F$19*(1+Premissas!$B$127)*(1+Premissas!$B$124)^0</f>
        <v>4334.2897620456633</v>
      </c>
      <c r="P66" s="142">
        <f>P58*Premissas!$F$19*(1+Premissas!$B$127)*(1+Premissas!$B$124)^1</f>
        <v>4118.2700010411645</v>
      </c>
      <c r="Q66" s="142">
        <f>Q58*Premissas!$F$19*(1+Premissas!$B$127)*(1+Premissas!$B$124)^1</f>
        <v>3885.41107496928</v>
      </c>
      <c r="R66" s="142">
        <f>R58*Premissas!$F$19*(1+Premissas!$B$127)*(1+Premissas!$B$124)^1</f>
        <v>3838.3438452313458</v>
      </c>
      <c r="S66" s="142">
        <f>S58*Premissas!$F$19*(1+Premissas!$B$127)*(1+Premissas!$B$124)^1</f>
        <v>4734.8732308137196</v>
      </c>
      <c r="T66" s="142">
        <f>T58*Premissas!$F$19*(1+Premissas!$B$127)*(1+Premissas!$B$124)^1</f>
        <v>6111.9838042465808</v>
      </c>
      <c r="U66" s="142">
        <f>U58*Premissas!$F$19*(1+Premissas!$B$127)*(1+Premissas!$B$124)^1</f>
        <v>7177.1895298945665</v>
      </c>
      <c r="V66" s="142">
        <f>V58*Premissas!$F$19*(1+Premissas!$B$127)*(1+Premissas!$B$124)^1</f>
        <v>6838.3730363982886</v>
      </c>
      <c r="W66" s="142">
        <f>W58*Premissas!$F$19*(1+Premissas!$B$127)*(1+Premissas!$B$124)^1</f>
        <v>4640.6261703097707</v>
      </c>
      <c r="X66" s="142">
        <f>X58*Premissas!$F$19*(1+Premissas!$B$127)*(1+Premissas!$B$124)^1</f>
        <v>4878.6647436733892</v>
      </c>
      <c r="Y66" s="142">
        <f>Y58*Premissas!$F$19*(1+Premissas!$B$127)*(1+Premissas!$B$124)^1</f>
        <v>5715.1777812884939</v>
      </c>
      <c r="Z66" s="142">
        <f>Z58*Premissas!$F$19*(1+Premissas!$B$127)*(1+Premissas!$B$124)^1</f>
        <v>4972.4614000650154</v>
      </c>
      <c r="AA66" s="142">
        <f>AA58*Premissas!$F$19*(1+Premissas!$B$127)*(1+Premissas!$B$124)^1</f>
        <v>4594.3471477684034</v>
      </c>
      <c r="AB66" s="142">
        <f>AB58*Premissas!$F$19*(1+Premissas!$B$127)*(1+Premissas!$B$124)^2</f>
        <v>4991.7581760503717</v>
      </c>
      <c r="AC66" s="142">
        <f>AC58*Premissas!$F$19*(1+Premissas!$B$127)*(1+Premissas!$B$124)^2</f>
        <v>4991.7581760503717</v>
      </c>
      <c r="AD66" s="142">
        <f>AD58*Premissas!$F$19*(1+Premissas!$B$127)*(1+Premissas!$B$124)^2</f>
        <v>4991.7581760503717</v>
      </c>
      <c r="AE66" s="142">
        <f>AE58*Premissas!$F$19*(1+Premissas!$B$127)*(1+Premissas!$B$124)^2</f>
        <v>4991.7581760503717</v>
      </c>
      <c r="AF66" s="142">
        <f>AF58*Premissas!$F$19*(1+Premissas!$B$127)*(1+Premissas!$B$124)^2</f>
        <v>4991.7581760503717</v>
      </c>
      <c r="AG66" s="142">
        <f>AG58*Premissas!$F$19*(1+Premissas!$B$127)*(1+Premissas!$B$124)^2</f>
        <v>4991.7581760503717</v>
      </c>
      <c r="AH66" s="142">
        <f>AH58*Premissas!$F$19*(1+Premissas!$B$127)*(1+Premissas!$B$124)^2</f>
        <v>4991.7581760503717</v>
      </c>
      <c r="AI66" s="142">
        <f>AI58*Premissas!$F$19*(1+Premissas!$B$127)*(1+Premissas!$B$124)^2</f>
        <v>4991.7581760503717</v>
      </c>
      <c r="AJ66" s="142">
        <f>AJ58*Premissas!$F$19*(1+Premissas!$B$127)*(1+Premissas!$B$124)^2</f>
        <v>4991.7581760503717</v>
      </c>
      <c r="AK66" s="142">
        <f>AK58*Premissas!$F$19*(1+Premissas!$B$127)*(1+Premissas!$B$124)^2</f>
        <v>4991.7581760503717</v>
      </c>
      <c r="AL66" s="142">
        <f>AL58*Premissas!$F$19*(1+Premissas!$B$127)*(1+Premissas!$B$124)^2</f>
        <v>4991.7581760503717</v>
      </c>
      <c r="AM66" s="142">
        <f>AM58*Premissas!$F$19*(1+Premissas!$B$127)*(1+Premissas!$B$124)^2</f>
        <v>4991.7581760503717</v>
      </c>
      <c r="AN66" s="142">
        <f>AN58*Premissas!$F$19*(1+Premissas!$B$127)*(1+Premissas!$B$124)^3</f>
        <v>5423.5452582787284</v>
      </c>
      <c r="AO66" s="142">
        <f>AO58*Premissas!$F$19*(1+Premissas!$B$127)*(1+Premissas!$B$124)^3</f>
        <v>5423.5452582787284</v>
      </c>
      <c r="AP66" s="142">
        <f>AP58*Premissas!$F$19*(1+Premissas!$B$127)*(1+Premissas!$B$124)^3</f>
        <v>5423.5452582787284</v>
      </c>
      <c r="AQ66" s="142">
        <f>AQ58*Premissas!$F$19*(1+Premissas!$B$127)*(1+Premissas!$B$124)^3</f>
        <v>5423.5452582787284</v>
      </c>
      <c r="AR66" s="142">
        <f>AR58*Premissas!$F$19*(1+Premissas!$B$127)*(1+Premissas!$B$124)^3</f>
        <v>5423.5452582787284</v>
      </c>
      <c r="AS66" s="142">
        <f>AS58*Premissas!$F$19*(1+Premissas!$B$127)*(1+Premissas!$B$124)^3</f>
        <v>5423.5452582787284</v>
      </c>
      <c r="AT66" s="142">
        <f>AT58*Premissas!$F$19*(1+Premissas!$B$127)*(1+Premissas!$B$124)^3</f>
        <v>5423.5452582787284</v>
      </c>
      <c r="AU66" s="142">
        <f>AU58*Premissas!$F$19*(1+Premissas!$B$127)*(1+Premissas!$B$124)^3</f>
        <v>5423.5452582787284</v>
      </c>
      <c r="AV66" s="142">
        <f>AV58*Premissas!$F$19*(1+Premissas!$B$127)*(1+Premissas!$B$124)^3</f>
        <v>5423.5452582787284</v>
      </c>
      <c r="AW66" s="142">
        <f>AW58*Premissas!$F$19*(1+Premissas!$B$127)*(1+Premissas!$B$124)^3</f>
        <v>5423.5452582787284</v>
      </c>
      <c r="AX66" s="142">
        <f>AX58*Premissas!$F$19*(1+Premissas!$B$127)*(1+Premissas!$B$124)^3</f>
        <v>5423.5452582787284</v>
      </c>
      <c r="AY66" s="142">
        <f>AY58*Premissas!$F$19*(1+Premissas!$B$127)*(1+Premissas!$B$124)^3</f>
        <v>5423.5452582787284</v>
      </c>
      <c r="AZ66" s="142">
        <f>AZ58*Premissas!$F$19*(1+Premissas!$B$127)*(1+Premissas!$B$124)^4</f>
        <v>5892.6819231198378</v>
      </c>
      <c r="BA66" s="142">
        <f>BA58*Premissas!$F$19*(1+Premissas!$B$127)*(1+Premissas!$B$124)^4</f>
        <v>5892.6819231198378</v>
      </c>
      <c r="BB66" s="142">
        <f>BB58*Premissas!$F$19*(1+Premissas!$B$127)*(1+Premissas!$B$124)^4</f>
        <v>5892.6819231198378</v>
      </c>
      <c r="BC66" s="142">
        <f>BC58*Premissas!$F$19*(1+Premissas!$B$127)*(1+Premissas!$B$124)^4</f>
        <v>5892.6819231198378</v>
      </c>
      <c r="BD66" s="142">
        <f>BD58*Premissas!$F$19*(1+Premissas!$B$127)*(1+Premissas!$B$124)^4</f>
        <v>5892.6819231198378</v>
      </c>
      <c r="BE66" s="142">
        <f>BE58*Premissas!$F$19*(1+Premissas!$B$127)*(1+Premissas!$B$124)^4</f>
        <v>5892.6819231198378</v>
      </c>
      <c r="BF66" s="142">
        <f>BF58*Premissas!$F$19*(1+Premissas!$B$127)*(1+Premissas!$B$124)^4</f>
        <v>5892.6819231198378</v>
      </c>
      <c r="BG66" s="142">
        <f>BG58*Premissas!$F$19*(1+Premissas!$B$127)*(1+Premissas!$B$124)^4</f>
        <v>5892.6819231198378</v>
      </c>
      <c r="BH66" s="142">
        <f>BH58*Premissas!$F$19*(1+Premissas!$B$127)*(1+Premissas!$B$124)^4</f>
        <v>5892.6819231198378</v>
      </c>
      <c r="BI66" s="142">
        <f>BI58*Premissas!$F$19*(1+Premissas!$B$127)*(1+Premissas!$B$124)^4</f>
        <v>5892.6819231198378</v>
      </c>
      <c r="BJ66" s="142">
        <f>BJ58*Premissas!$F$19*(1+Premissas!$B$127)*(1+Premissas!$B$124)^4</f>
        <v>5892.6819231198378</v>
      </c>
      <c r="BK66" s="142">
        <f>BK58*Premissas!$F$19*(1+Premissas!$B$127)*(1+Premissas!$B$124)^4</f>
        <v>5892.6819231198378</v>
      </c>
    </row>
    <row r="67" spans="1:63" ht="12.75" customHeight="1" x14ac:dyDescent="0.2">
      <c r="A67" s="143" t="s">
        <v>415</v>
      </c>
      <c r="B67" s="144">
        <f>SUM(D67:BQ67)</f>
        <v>401.16383301771464</v>
      </c>
      <c r="C67" s="124">
        <f>B67/60</f>
        <v>6.6860638836285773</v>
      </c>
      <c r="D67" s="144">
        <f>IF(D62&gt;0,0,MAX(D58-D59-D60,0)*Premissas!$B$7*(1+Premissas!$B$127)*(1+Premissas!$B$124)^0)</f>
        <v>401.16383301771464</v>
      </c>
      <c r="E67" s="144">
        <f>IF(E62&gt;0,0,MAX(E58-E59-E60,0)*Premissas!$B$7*(1+Premissas!$B$127)*(1+Premissas!$B$124)^0)</f>
        <v>0</v>
      </c>
      <c r="F67" s="144">
        <f>IF(F62&gt;0,0,MAX(F58-F59-F60,0)*Premissas!$B$7*(1+Premissas!$B$127)*(1+Premissas!$B$124)^0)</f>
        <v>0</v>
      </c>
      <c r="G67" s="144">
        <f>IF(G62&gt;0,0,MAX(G58-G59-G60,0)*Premissas!$B$7*(1+Premissas!$B$127)*(1+Premissas!$B$124)^0)</f>
        <v>0</v>
      </c>
      <c r="H67" s="144">
        <f>IF(H62&gt;0,0,MAX(H58-H59-H60,0)*Premissas!$B$7*(1+Premissas!$B$127)*(1+Premissas!$B$124)^0)</f>
        <v>0</v>
      </c>
      <c r="I67" s="144">
        <f>IF(I62&gt;0,0,MAX(I58-I59-I60,0)*Premissas!$B$7*(1+Premissas!$B$127)*(1+Premissas!$B$124)^0)</f>
        <v>0</v>
      </c>
      <c r="J67" s="144">
        <f>IF(J62&gt;0,0,MAX(J58-J59-J60,0)*Premissas!$B$7*(1+Premissas!$B$127)*(1+Premissas!$B$124)^0)</f>
        <v>0</v>
      </c>
      <c r="K67" s="144">
        <f>IF(K62&gt;0,0,MAX(K58-K59-K60,0)*Premissas!$B$7*(1+Premissas!$B$127)*(1+Premissas!$B$124)^0)</f>
        <v>0</v>
      </c>
      <c r="L67" s="144">
        <f>IF(L62&gt;0,0,MAX(L58-L59-L60,0)*Premissas!$B$7*(1+Premissas!$B$127)*(1+Premissas!$B$124)^0)</f>
        <v>0</v>
      </c>
      <c r="M67" s="144">
        <f>IF(M62&gt;0,0,MAX(M58-M59-M60,0)*Premissas!$B$7*(1+Premissas!$B$127)*(1+Premissas!$B$124)^0)</f>
        <v>0</v>
      </c>
      <c r="N67" s="144">
        <f>IF(N62&gt;0,0,MAX(N58-N59-N60,0)*Premissas!$B$7*(1+Premissas!$B$127)*(1+Premissas!$B$124)^0)</f>
        <v>0</v>
      </c>
      <c r="O67" s="144">
        <f>IF(O62&gt;0,0,MAX(O58-O59-O60,0)*Premissas!$B$7*(1+Premissas!$B$127)*(1+Premissas!$B$124)^0)</f>
        <v>0</v>
      </c>
      <c r="P67" s="144">
        <f>IF(P62&gt;0,0,MAX(P58-P59-P60,0)*Premissas!$B$7*(1+Premissas!$B$127)*(1+Premissas!$B$124)^1)</f>
        <v>0</v>
      </c>
      <c r="Q67" s="144">
        <f>IF(Q62&gt;0,0,MAX(Q58-Q59-Q60,0)*Premissas!$B$7*(1+Premissas!$B$127)*(1+Premissas!$B$124)^1)</f>
        <v>0</v>
      </c>
      <c r="R67" s="144">
        <f>IF(R62&gt;0,0,MAX(R58-R59-R60,0)*Premissas!$B$7*(1+Premissas!$B$127)*(1+Premissas!$B$124)^1)</f>
        <v>0</v>
      </c>
      <c r="S67" s="144">
        <f>IF(S62&gt;0,0,MAX(S58-S59-S60,0)*Premissas!$B$7*(1+Premissas!$B$127)*(1+Premissas!$B$124)^1)</f>
        <v>0</v>
      </c>
      <c r="T67" s="144">
        <f>IF(T62&gt;0,0,MAX(T58-T59-T60,0)*Premissas!$B$7*(1+Premissas!$B$127)*(1+Premissas!$B$124)^1)</f>
        <v>0</v>
      </c>
      <c r="U67" s="144">
        <f>IF(U62&gt;0,0,MAX(U58-U59-U60,0)*Premissas!$B$7*(1+Premissas!$B$127)*(1+Premissas!$B$124)^1)</f>
        <v>0</v>
      </c>
      <c r="V67" s="144">
        <f>IF(V62&gt;0,0,MAX(V58-V59-V60,0)*Premissas!$B$7*(1+Premissas!$B$127)*(1+Premissas!$B$124)^1)</f>
        <v>0</v>
      </c>
      <c r="W67" s="144">
        <f>IF(W62&gt;0,0,MAX(W58-W59-W60,0)*Premissas!$B$7*(1+Premissas!$B$127)*(1+Premissas!$B$124)^1)</f>
        <v>0</v>
      </c>
      <c r="X67" s="144">
        <f>IF(X62&gt;0,0,MAX(X58-X59-X60,0)*Premissas!$B$7*(1+Premissas!$B$127)*(1+Premissas!$B$124)^1)</f>
        <v>0</v>
      </c>
      <c r="Y67" s="144">
        <f>IF(Y62&gt;0,0,MAX(Y58-Y59-Y60,0)*Premissas!$B$7*(1+Premissas!$B$127)*(1+Premissas!$B$124)^1)</f>
        <v>0</v>
      </c>
      <c r="Z67" s="144">
        <f>IF(Z62&gt;0,0,MAX(Z58-Z59-Z60,0)*Premissas!$B$7*(1+Premissas!$B$127)*(1+Premissas!$B$124)^1)</f>
        <v>0</v>
      </c>
      <c r="AA67" s="144">
        <f>IF(AA62&gt;0,0,MAX(AA58-AA59-AA60,0)*Premissas!$B$7*(1+Premissas!$B$127)*(1+Premissas!$B$124)^1)</f>
        <v>0</v>
      </c>
      <c r="AB67" s="144">
        <f>IF(AB62&gt;0,0,MAX(AB58-AB59-AB60,0)*Premissas!$B$7*(1+Premissas!$B$127)*(1+Premissas!$B$124)^2)</f>
        <v>0</v>
      </c>
      <c r="AC67" s="144">
        <f>IF(AC62&gt;0,0,MAX(AC58-AC59-AC60,0)*Premissas!$B$7*(1+Premissas!$B$127)*(1+Premissas!$B$124)^2)</f>
        <v>0</v>
      </c>
      <c r="AD67" s="144">
        <f>IF(AD62&gt;0,0,MAX(AD58-AD59-AD60,0)*Premissas!$B$7*(1+Premissas!$B$127)*(1+Premissas!$B$124)^2)</f>
        <v>0</v>
      </c>
      <c r="AE67" s="144">
        <f>IF(AE62&gt;0,0,MAX(AE58-AE59-AE60,0)*Premissas!$B$7*(1+Premissas!$B$127)*(1+Premissas!$B$124)^2)</f>
        <v>0</v>
      </c>
      <c r="AF67" s="144">
        <f>IF(AF62&gt;0,0,MAX(AF58-AF59-AF60,0)*Premissas!$B$7*(1+Premissas!$B$127)*(1+Premissas!$B$124)^2)</f>
        <v>0</v>
      </c>
      <c r="AG67" s="144">
        <f>IF(AG62&gt;0,0,MAX(AG58-AG59-AG60,0)*Premissas!$B$7*(1+Premissas!$B$127)*(1+Premissas!$B$124)^2)</f>
        <v>0</v>
      </c>
      <c r="AH67" s="144">
        <f>IF(AH62&gt;0,0,MAX(AH58-AH59-AH60,0)*Premissas!$B$7*(1+Premissas!$B$127)*(1+Premissas!$B$124)^2)</f>
        <v>0</v>
      </c>
      <c r="AI67" s="144">
        <f>IF(AI62&gt;0,0,MAX(AI58-AI59-AI60,0)*Premissas!$B$7*(1+Premissas!$B$127)*(1+Premissas!$B$124)^2)</f>
        <v>0</v>
      </c>
      <c r="AJ67" s="144">
        <f>IF(AJ62&gt;0,0,MAX(AJ58-AJ59-AJ60,0)*Premissas!$B$7*(1+Premissas!$B$127)*(1+Premissas!$B$124)^2)</f>
        <v>0</v>
      </c>
      <c r="AK67" s="144">
        <f>IF(AK62&gt;0,0,MAX(AK58-AK59-AK60,0)*Premissas!$B$7*(1+Premissas!$B$127)*(1+Premissas!$B$124)^2)</f>
        <v>0</v>
      </c>
      <c r="AL67" s="144">
        <f>IF(AL62&gt;0,0,MAX(AL58-AL59-AL60,0)*Premissas!$B$7*(1+Premissas!$B$127)*(1+Premissas!$B$124)^2)</f>
        <v>0</v>
      </c>
      <c r="AM67" s="144">
        <f>IF(AM62&gt;0,0,MAX(AM58-AM59-AM60,0)*Premissas!$B$7*(1+Premissas!$B$127)*(1+Premissas!$B$124)^2)</f>
        <v>0</v>
      </c>
      <c r="AN67" s="144">
        <f>IF(AN62&gt;0,0,MAX(AN58-AN59-AN60,0)*Premissas!$B$7*(1+Premissas!$B$127)*(1+Premissas!$B$124)^3)</f>
        <v>0</v>
      </c>
      <c r="AO67" s="144">
        <f>IF(AO62&gt;0,0,MAX(AO58-AO59-AO60,0)*Premissas!$B$7*(1+Premissas!$B$127)*(1+Premissas!$B$124)^3)</f>
        <v>0</v>
      </c>
      <c r="AP67" s="144">
        <f>IF(AP62&gt;0,0,MAX(AP58-AP59-AP60,0)*Premissas!$B$7*(1+Premissas!$B$127)*(1+Premissas!$B$124)^3)</f>
        <v>0</v>
      </c>
      <c r="AQ67" s="144">
        <f>IF(AQ62&gt;0,0,MAX(AQ58-AQ59-AQ60,0)*Premissas!$B$7*(1+Premissas!$B$127)*(1+Premissas!$B$124)^3)</f>
        <v>0</v>
      </c>
      <c r="AR67" s="144">
        <f>IF(AR62&gt;0,0,MAX(AR58-AR59-AR60,0)*Premissas!$B$7*(1+Premissas!$B$127)*(1+Premissas!$B$124)^3)</f>
        <v>0</v>
      </c>
      <c r="AS67" s="144">
        <f>IF(AS62&gt;0,0,MAX(AS58-AS59-AS60,0)*Premissas!$B$7*(1+Premissas!$B$127)*(1+Premissas!$B$124)^3)</f>
        <v>0</v>
      </c>
      <c r="AT67" s="144">
        <f>IF(AT62&gt;0,0,MAX(AT58-AT59-AT60,0)*Premissas!$B$7*(1+Premissas!$B$127)*(1+Premissas!$B$124)^3)</f>
        <v>0</v>
      </c>
      <c r="AU67" s="144">
        <f>IF(AU62&gt;0,0,MAX(AU58-AU59-AU60,0)*Premissas!$B$7*(1+Premissas!$B$127)*(1+Premissas!$B$124)^3)</f>
        <v>0</v>
      </c>
      <c r="AV67" s="144">
        <f>IF(AV62&gt;0,0,MAX(AV58-AV59-AV60,0)*Premissas!$B$7*(1+Premissas!$B$127)*(1+Premissas!$B$124)^3)</f>
        <v>0</v>
      </c>
      <c r="AW67" s="144">
        <f>IF(AW62&gt;0,0,MAX(AW58-AW59-AW60,0)*Premissas!$B$7*(1+Premissas!$B$127)*(1+Premissas!$B$124)^3)</f>
        <v>0</v>
      </c>
      <c r="AX67" s="144">
        <f>IF(AX62&gt;0,0,MAX(AX58-AX59-AX60,0)*Premissas!$B$7*(1+Premissas!$B$127)*(1+Premissas!$B$124)^3)</f>
        <v>0</v>
      </c>
      <c r="AY67" s="144">
        <f>IF(AY62&gt;0,0,MAX(AY58-AY59-AY60,0)*Premissas!$B$7*(1+Premissas!$B$127)*(1+Premissas!$B$124)^3)</f>
        <v>0</v>
      </c>
      <c r="AZ67" s="144">
        <f>IF(AZ62&gt;0,0,MAX(AZ58-AZ59-AZ60,0)*Premissas!$B$7*(1+Premissas!$B$127)*(1+Premissas!$B$124)^4)</f>
        <v>0</v>
      </c>
      <c r="BA67" s="144">
        <f>IF(BA62&gt;0,0,MAX(BA58-BA59-BA60,0)*Premissas!$B$7*(1+Premissas!$B$127)*(1+Premissas!$B$124)^4)</f>
        <v>0</v>
      </c>
      <c r="BB67" s="144">
        <f>IF(BB62&gt;0,0,MAX(BB58-BB59-BB60,0)*Premissas!$B$7*(1+Premissas!$B$127)*(1+Premissas!$B$124)^4)</f>
        <v>0</v>
      </c>
      <c r="BC67" s="144">
        <f>IF(BC62&gt;0,0,MAX(BC58-BC59-BC60,0)*Premissas!$B$7*(1+Premissas!$B$127)*(1+Premissas!$B$124)^4)</f>
        <v>0</v>
      </c>
      <c r="BD67" s="144">
        <f>IF(BD62&gt;0,0,MAX(BD58-BD59-BD60,0)*Premissas!$B$7*(1+Premissas!$B$127)*(1+Premissas!$B$124)^4)</f>
        <v>0</v>
      </c>
      <c r="BE67" s="144">
        <f>IF(BE62&gt;0,0,MAX(BE58-BE59-BE60,0)*Premissas!$B$7*(1+Premissas!$B$127)*(1+Premissas!$B$124)^4)</f>
        <v>0</v>
      </c>
      <c r="BF67" s="144">
        <f>IF(BF62&gt;0,0,MAX(BF58-BF59-BF60,0)*Premissas!$B$7*(1+Premissas!$B$127)*(1+Premissas!$B$124)^4)</f>
        <v>0</v>
      </c>
      <c r="BG67" s="144">
        <f>IF(BG62&gt;0,0,MAX(BG58-BG59-BG60,0)*Premissas!$B$7*(1+Premissas!$B$127)*(1+Premissas!$B$124)^4)</f>
        <v>0</v>
      </c>
      <c r="BH67" s="144">
        <f>IF(BH62&gt;0,0,MAX(BH58-BH59-BH60,0)*Premissas!$B$7*(1+Premissas!$B$127)*(1+Premissas!$B$124)^4)</f>
        <v>0</v>
      </c>
      <c r="BI67" s="144">
        <f>IF(BI62&gt;0,0,MAX(BI58-BI59-BI60,0)*Premissas!$B$7*(1+Premissas!$B$127)*(1+Premissas!$B$124)^4)</f>
        <v>0</v>
      </c>
      <c r="BJ67" s="144">
        <f>IF(BJ62&gt;0,0,MAX(BJ58-BJ59-BJ60,0)*Premissas!$B$7*(1+Premissas!$B$127)*(1+Premissas!$B$124)^4)</f>
        <v>0</v>
      </c>
      <c r="BK67" s="144">
        <f>IF(BK62&gt;0,0,MAX(BK58-BK59-BK60,0)*Premissas!$B$7*(1+Premissas!$B$127)*(1+Premissas!$B$124)^4)</f>
        <v>0</v>
      </c>
    </row>
    <row r="68" spans="1:63" ht="13.5" customHeight="1" x14ac:dyDescent="0.2">
      <c r="A68" s="41" t="s">
        <v>416</v>
      </c>
      <c r="B68" s="44">
        <f>SUM(D68:BQ68)</f>
        <v>313980.09110083396</v>
      </c>
      <c r="C68" s="124">
        <f>B68/60</f>
        <v>5233.0015183472324</v>
      </c>
      <c r="D68" s="145">
        <f t="shared" ref="D68:AI68" si="52">MAX(D66-D67,0)</f>
        <v>3389.2365360951844</v>
      </c>
      <c r="E68" s="145">
        <f t="shared" si="52"/>
        <v>3576.080142631643</v>
      </c>
      <c r="F68" s="145">
        <f t="shared" si="52"/>
        <v>3532.7600968535171</v>
      </c>
      <c r="G68" s="145">
        <f t="shared" si="52"/>
        <v>4357.9136961009845</v>
      </c>
      <c r="H68" s="145">
        <f t="shared" si="52"/>
        <v>5625.3877627672173</v>
      </c>
      <c r="I68" s="145">
        <f t="shared" si="52"/>
        <v>6605.7887987984959</v>
      </c>
      <c r="J68" s="145">
        <f t="shared" si="52"/>
        <v>6293.9466510798793</v>
      </c>
      <c r="K68" s="145">
        <f t="shared" si="52"/>
        <v>4377.949217273368</v>
      </c>
      <c r="L68" s="145">
        <f t="shared" si="52"/>
        <v>4602.5139091258388</v>
      </c>
      <c r="M68" s="145">
        <f t="shared" si="52"/>
        <v>5391.6771521589562</v>
      </c>
      <c r="N68" s="145">
        <f t="shared" si="52"/>
        <v>4691.0013208160517</v>
      </c>
      <c r="O68" s="145">
        <f t="shared" si="52"/>
        <v>4334.2897620456633</v>
      </c>
      <c r="P68" s="145">
        <f t="shared" si="52"/>
        <v>4118.2700010411645</v>
      </c>
      <c r="Q68" s="145">
        <f t="shared" si="52"/>
        <v>3885.41107496928</v>
      </c>
      <c r="R68" s="145">
        <f t="shared" si="52"/>
        <v>3838.3438452313458</v>
      </c>
      <c r="S68" s="145">
        <f t="shared" si="52"/>
        <v>4734.8732308137196</v>
      </c>
      <c r="T68" s="145">
        <f t="shared" si="52"/>
        <v>6111.9838042465808</v>
      </c>
      <c r="U68" s="145">
        <f t="shared" si="52"/>
        <v>7177.1895298945665</v>
      </c>
      <c r="V68" s="145">
        <f t="shared" si="52"/>
        <v>6838.3730363982886</v>
      </c>
      <c r="W68" s="145">
        <f t="shared" si="52"/>
        <v>4640.6261703097707</v>
      </c>
      <c r="X68" s="145">
        <f t="shared" si="52"/>
        <v>4878.6647436733892</v>
      </c>
      <c r="Y68" s="145">
        <f t="shared" si="52"/>
        <v>5715.1777812884939</v>
      </c>
      <c r="Z68" s="145">
        <f t="shared" si="52"/>
        <v>4972.4614000650154</v>
      </c>
      <c r="AA68" s="145">
        <f t="shared" si="52"/>
        <v>4594.3471477684034</v>
      </c>
      <c r="AB68" s="145">
        <f t="shared" si="52"/>
        <v>4991.7581760503717</v>
      </c>
      <c r="AC68" s="145">
        <f t="shared" si="52"/>
        <v>4991.7581760503717</v>
      </c>
      <c r="AD68" s="145">
        <f t="shared" si="52"/>
        <v>4991.7581760503717</v>
      </c>
      <c r="AE68" s="145">
        <f t="shared" si="52"/>
        <v>4991.7581760503717</v>
      </c>
      <c r="AF68" s="145">
        <f t="shared" si="52"/>
        <v>4991.7581760503717</v>
      </c>
      <c r="AG68" s="145">
        <f t="shared" si="52"/>
        <v>4991.7581760503717</v>
      </c>
      <c r="AH68" s="145">
        <f t="shared" si="52"/>
        <v>4991.7581760503717</v>
      </c>
      <c r="AI68" s="145">
        <f t="shared" si="52"/>
        <v>4991.7581760503717</v>
      </c>
      <c r="AJ68" s="145">
        <f t="shared" ref="AJ68:BO68" si="53">MAX(AJ66-AJ67,0)</f>
        <v>4991.7581760503717</v>
      </c>
      <c r="AK68" s="145">
        <f t="shared" si="53"/>
        <v>4991.7581760503717</v>
      </c>
      <c r="AL68" s="145">
        <f t="shared" si="53"/>
        <v>4991.7581760503717</v>
      </c>
      <c r="AM68" s="145">
        <f t="shared" si="53"/>
        <v>4991.7581760503717</v>
      </c>
      <c r="AN68" s="145">
        <f t="shared" si="53"/>
        <v>5423.5452582787284</v>
      </c>
      <c r="AO68" s="145">
        <f t="shared" si="53"/>
        <v>5423.5452582787284</v>
      </c>
      <c r="AP68" s="145">
        <f t="shared" si="53"/>
        <v>5423.5452582787284</v>
      </c>
      <c r="AQ68" s="145">
        <f t="shared" si="53"/>
        <v>5423.5452582787284</v>
      </c>
      <c r="AR68" s="145">
        <f t="shared" si="53"/>
        <v>5423.5452582787284</v>
      </c>
      <c r="AS68" s="145">
        <f t="shared" si="53"/>
        <v>5423.5452582787284</v>
      </c>
      <c r="AT68" s="145">
        <f t="shared" si="53"/>
        <v>5423.5452582787284</v>
      </c>
      <c r="AU68" s="145">
        <f t="shared" si="53"/>
        <v>5423.5452582787284</v>
      </c>
      <c r="AV68" s="145">
        <f t="shared" si="53"/>
        <v>5423.5452582787284</v>
      </c>
      <c r="AW68" s="145">
        <f t="shared" si="53"/>
        <v>5423.5452582787284</v>
      </c>
      <c r="AX68" s="145">
        <f t="shared" si="53"/>
        <v>5423.5452582787284</v>
      </c>
      <c r="AY68" s="145">
        <f t="shared" si="53"/>
        <v>5423.5452582787284</v>
      </c>
      <c r="AZ68" s="145">
        <f t="shared" si="53"/>
        <v>5892.6819231198378</v>
      </c>
      <c r="BA68" s="145">
        <f t="shared" si="53"/>
        <v>5892.6819231198378</v>
      </c>
      <c r="BB68" s="145">
        <f t="shared" si="53"/>
        <v>5892.6819231198378</v>
      </c>
      <c r="BC68" s="145">
        <f t="shared" si="53"/>
        <v>5892.6819231198378</v>
      </c>
      <c r="BD68" s="145">
        <f t="shared" si="53"/>
        <v>5892.6819231198378</v>
      </c>
      <c r="BE68" s="145">
        <f t="shared" si="53"/>
        <v>5892.6819231198378</v>
      </c>
      <c r="BF68" s="145">
        <f t="shared" si="53"/>
        <v>5892.6819231198378</v>
      </c>
      <c r="BG68" s="145">
        <f t="shared" si="53"/>
        <v>5892.6819231198378</v>
      </c>
      <c r="BH68" s="145">
        <f t="shared" si="53"/>
        <v>5892.6819231198378</v>
      </c>
      <c r="BI68" s="145">
        <f t="shared" si="53"/>
        <v>5892.6819231198378</v>
      </c>
      <c r="BJ68" s="145">
        <f t="shared" si="53"/>
        <v>5892.6819231198378</v>
      </c>
      <c r="BK68" s="145">
        <f t="shared" si="53"/>
        <v>5892.6819231198378</v>
      </c>
    </row>
    <row r="70" spans="1:63" ht="15" customHeight="1" x14ac:dyDescent="0.2">
      <c r="A70" s="298" t="s">
        <v>422</v>
      </c>
      <c r="B70" s="289"/>
      <c r="C70" s="289"/>
      <c r="D70" s="289"/>
      <c r="E70" s="289"/>
      <c r="F70" s="289"/>
      <c r="G70" s="289"/>
      <c r="H70" s="289"/>
      <c r="I70" s="289"/>
      <c r="J70" s="289"/>
      <c r="K70" s="289"/>
      <c r="L70" s="289"/>
      <c r="M70" s="289"/>
      <c r="N70" s="289"/>
      <c r="O70" s="289"/>
      <c r="P70" s="289"/>
      <c r="Q70" s="289"/>
      <c r="R70" s="289"/>
      <c r="S70" s="289"/>
      <c r="T70" s="289"/>
      <c r="U70" s="289"/>
      <c r="V70" s="289"/>
      <c r="W70" s="289"/>
      <c r="X70" s="289"/>
      <c r="Y70" s="289"/>
      <c r="Z70" s="289"/>
      <c r="AA70" s="289"/>
    </row>
    <row r="71" spans="1:63" ht="12.75" customHeight="1" x14ac:dyDescent="0.2">
      <c r="A71" s="147" t="s">
        <v>403</v>
      </c>
      <c r="B71" s="148">
        <f>SUM(D71:BQ71)</f>
        <v>28440.423984374997</v>
      </c>
      <c r="C71" s="120">
        <f>B71/60</f>
        <v>474.00706640624992</v>
      </c>
      <c r="D71" s="148">
        <v>450</v>
      </c>
      <c r="E71" s="148">
        <v>450</v>
      </c>
      <c r="F71" s="148">
        <v>450</v>
      </c>
      <c r="G71" s="148">
        <v>450</v>
      </c>
      <c r="H71" s="148">
        <v>450</v>
      </c>
      <c r="I71" s="148">
        <v>450</v>
      </c>
      <c r="J71" s="148">
        <v>450</v>
      </c>
      <c r="K71" s="148">
        <f>450*(1+Premissas!$B$21)</f>
        <v>461.24999999999994</v>
      </c>
      <c r="L71" s="148">
        <f>450*(1+Premissas!$B$21)</f>
        <v>461.24999999999994</v>
      </c>
      <c r="M71" s="148">
        <f>450*(1+Premissas!$B$21)</f>
        <v>461.24999999999994</v>
      </c>
      <c r="N71" s="148">
        <f>450*(1+Premissas!$B$21)</f>
        <v>461.24999999999994</v>
      </c>
      <c r="O71" s="148">
        <f>450*(1+Premissas!$B$21)</f>
        <v>461.24999999999994</v>
      </c>
      <c r="P71" s="148">
        <f>450*(1+Premissas!$B$21)</f>
        <v>461.24999999999994</v>
      </c>
      <c r="Q71" s="148">
        <f>450*(1+Premissas!$B$21)</f>
        <v>461.24999999999994</v>
      </c>
      <c r="R71" s="148">
        <f>450*(1+Premissas!$B$21)</f>
        <v>461.24999999999994</v>
      </c>
      <c r="S71" s="148">
        <f>450*(1+Premissas!$B$21)</f>
        <v>461.24999999999994</v>
      </c>
      <c r="T71" s="148">
        <f>450*(1+Premissas!$B$21)</f>
        <v>461.24999999999994</v>
      </c>
      <c r="U71" s="148">
        <f>450*(1+Premissas!$B$21)</f>
        <v>461.24999999999994</v>
      </c>
      <c r="V71" s="148">
        <f>450*(1+Premissas!$B$21)</f>
        <v>461.24999999999994</v>
      </c>
      <c r="W71" s="148">
        <f>450*(1+Premissas!$B$21)</f>
        <v>461.24999999999994</v>
      </c>
      <c r="X71" s="148">
        <f>450*(1+Premissas!$B$21)</f>
        <v>461.24999999999994</v>
      </c>
      <c r="Y71" s="148">
        <f>450*(1+Premissas!$B$21)</f>
        <v>461.24999999999994</v>
      </c>
      <c r="Z71" s="148">
        <f>450*(1+Premissas!$B$21)</f>
        <v>461.24999999999994</v>
      </c>
      <c r="AA71" s="148">
        <f>450*(1+Premissas!$B$21)</f>
        <v>461.24999999999994</v>
      </c>
      <c r="AB71" s="148">
        <f>450*(1+Premissas!$B$21)^2</f>
        <v>472.78124999999994</v>
      </c>
      <c r="AC71" s="148">
        <f>450*(1+Premissas!$B$21)^2</f>
        <v>472.78124999999994</v>
      </c>
      <c r="AD71" s="148">
        <f>450*(1+Premissas!$B$21)^2</f>
        <v>472.78124999999994</v>
      </c>
      <c r="AE71" s="148">
        <f>450*(1+Premissas!$B$21)^2</f>
        <v>472.78124999999994</v>
      </c>
      <c r="AF71" s="148">
        <f>450*(1+Premissas!$B$21)^2</f>
        <v>472.78124999999994</v>
      </c>
      <c r="AG71" s="148">
        <f>450*(1+Premissas!$B$21)^2</f>
        <v>472.78124999999994</v>
      </c>
      <c r="AH71" s="148">
        <f>450*(1+Premissas!$B$21)^2</f>
        <v>472.78124999999994</v>
      </c>
      <c r="AI71" s="148">
        <f>450*(1+Premissas!$B$21)^2</f>
        <v>472.78124999999994</v>
      </c>
      <c r="AJ71" s="148">
        <f>450*(1+Premissas!$B$21)^2</f>
        <v>472.78124999999994</v>
      </c>
      <c r="AK71" s="148">
        <f>450*(1+Premissas!$B$21)^2</f>
        <v>472.78124999999994</v>
      </c>
      <c r="AL71" s="148">
        <f>450*(1+Premissas!$B$21)^2</f>
        <v>472.78124999999994</v>
      </c>
      <c r="AM71" s="148">
        <f>450*(1+Premissas!$B$21)^2</f>
        <v>472.78124999999994</v>
      </c>
      <c r="AN71" s="148">
        <f>450*(1+Premissas!$B$21)^3</f>
        <v>484.60078124999995</v>
      </c>
      <c r="AO71" s="148">
        <f>450*(1+Premissas!$B$21)^3</f>
        <v>484.60078124999995</v>
      </c>
      <c r="AP71" s="148">
        <f>450*(1+Premissas!$B$21)^3</f>
        <v>484.60078124999995</v>
      </c>
      <c r="AQ71" s="148">
        <f>450*(1+Premissas!$B$21)^3</f>
        <v>484.60078124999995</v>
      </c>
      <c r="AR71" s="148">
        <f>450*(1+Premissas!$B$21)^3</f>
        <v>484.60078124999995</v>
      </c>
      <c r="AS71" s="148">
        <f>450*(1+Premissas!$B$21)^3</f>
        <v>484.60078124999995</v>
      </c>
      <c r="AT71" s="148">
        <f>450*(1+Premissas!$B$21)^3</f>
        <v>484.60078124999995</v>
      </c>
      <c r="AU71" s="148">
        <f>450*(1+Premissas!$B$21)^3</f>
        <v>484.60078124999995</v>
      </c>
      <c r="AV71" s="148">
        <f>450*(1+Premissas!$B$21)^3</f>
        <v>484.60078124999995</v>
      </c>
      <c r="AW71" s="148">
        <f>450*(1+Premissas!$B$21)^3</f>
        <v>484.60078124999995</v>
      </c>
      <c r="AX71" s="148">
        <f>450*(1+Premissas!$B$21)^3</f>
        <v>484.60078124999995</v>
      </c>
      <c r="AY71" s="148">
        <f>450*(1+Premissas!$B$21)^3</f>
        <v>484.60078124999995</v>
      </c>
      <c r="AZ71" s="148">
        <f>450*(1+Premissas!$B$21)^4</f>
        <v>496.71580078124987</v>
      </c>
      <c r="BA71" s="148">
        <f>450*(1+Premissas!$B$21)^4</f>
        <v>496.71580078124987</v>
      </c>
      <c r="BB71" s="148">
        <f>450*(1+Premissas!$B$21)^4</f>
        <v>496.71580078124987</v>
      </c>
      <c r="BC71" s="148">
        <f>450*(1+Premissas!$B$21)^4</f>
        <v>496.71580078124987</v>
      </c>
      <c r="BD71" s="148">
        <f>450*(1+Premissas!$B$21)^4</f>
        <v>496.71580078124987</v>
      </c>
      <c r="BE71" s="148">
        <f>450*(1+Premissas!$B$21)^4</f>
        <v>496.71580078124987</v>
      </c>
      <c r="BF71" s="148">
        <f>450*(1+Premissas!$B$21)^4</f>
        <v>496.71580078124987</v>
      </c>
      <c r="BG71" s="148">
        <f>450*(1+Premissas!$B$21)^4</f>
        <v>496.71580078124987</v>
      </c>
      <c r="BH71" s="148">
        <f>450*(1+Premissas!$B$21)^4</f>
        <v>496.71580078124987</v>
      </c>
      <c r="BI71" s="148">
        <f>450*(1+Premissas!$B$21)^4</f>
        <v>496.71580078124987</v>
      </c>
      <c r="BJ71" s="148">
        <f>450*(1+Premissas!$B$21)^4</f>
        <v>496.71580078124987</v>
      </c>
      <c r="BK71" s="148">
        <f>450*(1+Premissas!$B$21)^4</f>
        <v>496.71580078124987</v>
      </c>
    </row>
    <row r="72" spans="1:63" ht="12.75" customHeight="1" x14ac:dyDescent="0.2">
      <c r="A72" s="122" t="str">
        <f>"  "&amp;INDEX(PVSYST_Helexia!$A$5:$A$7,MATCH(Premissas!$B$13,PVSYST_Helexia!$B$5:$B$7,0))&amp;" créditos recebidos (kWh)"</f>
        <v xml:space="preserve">  HCS03 créditos recebidos (kWh)</v>
      </c>
      <c r="B72" s="135">
        <f>SUM(D72:BQ72)</f>
        <v>28446.266227594017</v>
      </c>
      <c r="C72" s="120">
        <f>B72/60</f>
        <v>474.10443712656695</v>
      </c>
      <c r="D72" s="136">
        <f>D6*Premissas!$B$37</f>
        <v>409.16699999999997</v>
      </c>
      <c r="E72" s="136">
        <f>E6*Premissas!$B$37</f>
        <v>430.68299999999994</v>
      </c>
      <c r="F72" s="136">
        <f>F6*Premissas!$B$37</f>
        <v>517.01099999999997</v>
      </c>
      <c r="G72" s="136">
        <f>G6*Premissas!$B$37</f>
        <v>485.13299999999998</v>
      </c>
      <c r="H72" s="136">
        <f>H6*Premissas!$C$37</f>
        <v>755.4</v>
      </c>
      <c r="I72" s="136">
        <f>I6*Premissas!$C$37</f>
        <v>730.4</v>
      </c>
      <c r="J72" s="136">
        <f>J6*Premissas!$C$37</f>
        <v>693.55000000000007</v>
      </c>
      <c r="K72" s="136">
        <f>K6*Premissas!$C$37</f>
        <v>712.12149999999997</v>
      </c>
      <c r="L72" s="136">
        <f>L6*Premissas!$C$37</f>
        <v>634.56124999999997</v>
      </c>
      <c r="M72" s="136">
        <f>M6*Premissas!$C$37</f>
        <v>727.84249999999997</v>
      </c>
      <c r="N72" s="136">
        <f>N6*Premissas!$D$37</f>
        <v>581.00040000000001</v>
      </c>
      <c r="O72" s="136">
        <f>O6*Premissas!$D$37</f>
        <v>543.74760000000003</v>
      </c>
      <c r="P72" s="136">
        <f>P6*Premissas!$D$37</f>
        <v>493.48020000000002</v>
      </c>
      <c r="Q72" s="136">
        <f>Q6*Premissas!$D$37</f>
        <v>519.42979999999989</v>
      </c>
      <c r="R72" s="136">
        <f>R6*Premissas!$D$37</f>
        <v>623.54660000000001</v>
      </c>
      <c r="S72" s="136">
        <f>S6*Premissas!$D$37</f>
        <v>585.09980000000007</v>
      </c>
      <c r="T72" s="136">
        <f>T6*Premissas!$E$37</f>
        <v>676.46069999999997</v>
      </c>
      <c r="U72" s="136">
        <f>U6*Premissas!$E$37</f>
        <v>654.07319999999993</v>
      </c>
      <c r="V72" s="136">
        <f>V6*Premissas!$E$37</f>
        <v>621.07402500000001</v>
      </c>
      <c r="W72" s="136">
        <f>W6*Premissas!$E$37</f>
        <v>640.9093499999999</v>
      </c>
      <c r="X72" s="136">
        <f>X6*Premissas!$E$37</f>
        <v>571.10512499999993</v>
      </c>
      <c r="Y72" s="136">
        <f>Y6*Premissas!$E$37</f>
        <v>655.05824999999993</v>
      </c>
      <c r="Z72" s="136">
        <f>Z6*Premissas!$E$37</f>
        <v>653.62545</v>
      </c>
      <c r="AA72" s="136">
        <f>AA6*Premissas!$E$37</f>
        <v>611.71604999999988</v>
      </c>
      <c r="AB72" s="136">
        <f>AB6*Premissas!$F$37</f>
        <v>319.15831935</v>
      </c>
      <c r="AC72" s="136">
        <f>AC6*Premissas!$F$37</f>
        <v>335.94122314999993</v>
      </c>
      <c r="AD72" s="136">
        <f>AD6*Premissas!$F$37</f>
        <v>403.27876355000006</v>
      </c>
      <c r="AE72" s="136">
        <f>AE6*Premissas!$F$37</f>
        <v>378.41329564999995</v>
      </c>
      <c r="AF72" s="136">
        <f>AF6*Premissas!$F$37</f>
        <v>388.88974020000001</v>
      </c>
      <c r="AG72" s="136">
        <f>AG6*Premissas!$F$37</f>
        <v>376.01941520000003</v>
      </c>
      <c r="AH72" s="136">
        <f>AH6*Premissas!$G$37</f>
        <v>370.78119292500003</v>
      </c>
      <c r="AI72" s="136">
        <f>AI6*Premissas!$G$37</f>
        <v>382.62288195000002</v>
      </c>
      <c r="AJ72" s="136">
        <f>AJ6*Premissas!$G$37</f>
        <v>340.94975962500001</v>
      </c>
      <c r="AK72" s="136">
        <f>AK6*Premissas!$G$37</f>
        <v>391.06977525000002</v>
      </c>
      <c r="AL72" s="136">
        <f>AL6*Premissas!$G$37</f>
        <v>390.21439365000003</v>
      </c>
      <c r="AM72" s="136">
        <f>AM6*Premissas!$G$37</f>
        <v>365.1944818500001</v>
      </c>
      <c r="AN72" s="136">
        <f>AN6*Premissas!$H$37</f>
        <v>317.56252775324998</v>
      </c>
      <c r="AO72" s="136">
        <f>AO6*Premissas!$H$37</f>
        <v>334.26151703424995</v>
      </c>
      <c r="AP72" s="136">
        <f>AP6*Premissas!$H$37</f>
        <v>401.26236973224997</v>
      </c>
      <c r="AQ72" s="136">
        <f>AQ6*Premissas!$H$37</f>
        <v>376.52122917175001</v>
      </c>
      <c r="AR72" s="136">
        <f>AR6*Premissas!$H$37</f>
        <v>386.94529149899995</v>
      </c>
      <c r="AS72" s="136">
        <f>AS6*Premissas!$H$37</f>
        <v>374.139318124</v>
      </c>
      <c r="AT72" s="136">
        <f>AT6*Premissas!$I$37</f>
        <v>368.927286960375</v>
      </c>
      <c r="AU72" s="136">
        <f>AU6*Premissas!$I$37</f>
        <v>380.70976754025003</v>
      </c>
      <c r="AV72" s="136">
        <f>AV6*Premissas!$I$37</f>
        <v>339.24501082687505</v>
      </c>
      <c r="AW72" s="136">
        <f>AW6*Premissas!$I$37</f>
        <v>389.11442637375006</v>
      </c>
      <c r="AX72" s="136">
        <f>AX6*Premissas!$I$37</f>
        <v>388.26332168175003</v>
      </c>
      <c r="AY72" s="136">
        <f>AY6*Premissas!$I$37</f>
        <v>363.36850944075002</v>
      </c>
      <c r="AZ72" s="136">
        <f>AZ6*Premissas!$J$37</f>
        <v>328.12758877273319</v>
      </c>
      <c r="BA72" s="136">
        <f>BA6*Premissas!$J$37</f>
        <v>345.3821405817356</v>
      </c>
      <c r="BB72" s="136">
        <f>BB6*Premissas!$J$37</f>
        <v>414.6120601098807</v>
      </c>
      <c r="BC72" s="136">
        <f>BC6*Premissas!$J$37</f>
        <v>389.04780083457945</v>
      </c>
      <c r="BD72" s="136">
        <f>BD6*Premissas!$J$37</f>
        <v>399.81866369694751</v>
      </c>
      <c r="BE72" s="136">
        <f>BE6*Premissas!$J$37</f>
        <v>386.58664543851006</v>
      </c>
      <c r="BF72" s="136">
        <f>BF6*Premissas!$K$37</f>
        <v>462.2522265877588</v>
      </c>
      <c r="BG72" s="136">
        <f>BG6*Premissas!$K$37</f>
        <v>477.01523836617247</v>
      </c>
      <c r="BH72" s="136">
        <f>BH6*Premissas!$K$37</f>
        <v>425.06143393604373</v>
      </c>
      <c r="BI72" s="136">
        <f>BI6*Premissas!$K$37</f>
        <v>487.54596460088749</v>
      </c>
      <c r="BJ72" s="136">
        <f>BJ6*Premissas!$K$37</f>
        <v>486.47956194420755</v>
      </c>
      <c r="BK72" s="136">
        <f>BK6*Premissas!$K$37</f>
        <v>455.28728423631753</v>
      </c>
    </row>
    <row r="73" spans="1:63" ht="12.75" customHeight="1" x14ac:dyDescent="0.2">
      <c r="A73" s="126" t="s">
        <v>409</v>
      </c>
      <c r="B73" s="120">
        <f>AA73</f>
        <v>3444.6297500000001</v>
      </c>
      <c r="C73" s="120" t="s">
        <v>397</v>
      </c>
      <c r="D73" s="120">
        <f>0</f>
        <v>0</v>
      </c>
      <c r="E73" s="120">
        <f t="shared" ref="E73:AJ73" si="54">D75</f>
        <v>0</v>
      </c>
      <c r="F73" s="120">
        <f t="shared" si="54"/>
        <v>0</v>
      </c>
      <c r="G73" s="120">
        <f t="shared" si="54"/>
        <v>67.010999999999967</v>
      </c>
      <c r="H73" s="120">
        <f t="shared" si="54"/>
        <v>102.14399999999995</v>
      </c>
      <c r="I73" s="120">
        <f t="shared" si="54"/>
        <v>407.54399999999993</v>
      </c>
      <c r="J73" s="120">
        <f t="shared" si="54"/>
        <v>687.94399999999996</v>
      </c>
      <c r="K73" s="120">
        <f t="shared" si="54"/>
        <v>931.49400000000003</v>
      </c>
      <c r="L73" s="120">
        <f t="shared" si="54"/>
        <v>1182.3655000000001</v>
      </c>
      <c r="M73" s="120">
        <f t="shared" si="54"/>
        <v>1355.6767500000001</v>
      </c>
      <c r="N73" s="120">
        <f t="shared" si="54"/>
        <v>1622.2692500000001</v>
      </c>
      <c r="O73" s="120">
        <f t="shared" si="54"/>
        <v>1742.0196500000002</v>
      </c>
      <c r="P73" s="120">
        <f t="shared" si="54"/>
        <v>1824.5172500000003</v>
      </c>
      <c r="Q73" s="120">
        <f t="shared" si="54"/>
        <v>1856.7474500000003</v>
      </c>
      <c r="R73" s="120">
        <f t="shared" si="54"/>
        <v>1914.9272500000002</v>
      </c>
      <c r="S73" s="120">
        <f t="shared" si="54"/>
        <v>2077.2238500000003</v>
      </c>
      <c r="T73" s="120">
        <f t="shared" si="54"/>
        <v>2201.0736500000003</v>
      </c>
      <c r="U73" s="120">
        <f t="shared" si="54"/>
        <v>2416.2843500000004</v>
      </c>
      <c r="V73" s="120">
        <f t="shared" si="54"/>
        <v>2609.1075500000002</v>
      </c>
      <c r="W73" s="120">
        <f t="shared" si="54"/>
        <v>2768.9315750000001</v>
      </c>
      <c r="X73" s="120">
        <f t="shared" si="54"/>
        <v>2948.590925</v>
      </c>
      <c r="Y73" s="120">
        <f t="shared" si="54"/>
        <v>3058.44605</v>
      </c>
      <c r="Z73" s="120">
        <f t="shared" si="54"/>
        <v>3252.2543000000001</v>
      </c>
      <c r="AA73" s="120">
        <f t="shared" si="54"/>
        <v>3444.6297500000001</v>
      </c>
      <c r="AB73" s="120">
        <f t="shared" si="54"/>
        <v>3595.0958000000001</v>
      </c>
      <c r="AC73" s="120">
        <f t="shared" si="54"/>
        <v>3441.4728693500001</v>
      </c>
      <c r="AD73" s="120">
        <f t="shared" si="54"/>
        <v>3304.6328425000002</v>
      </c>
      <c r="AE73" s="120">
        <f t="shared" si="54"/>
        <v>3235.13035605</v>
      </c>
      <c r="AF73" s="120">
        <f t="shared" si="54"/>
        <v>3140.7624016999998</v>
      </c>
      <c r="AG73" s="120">
        <f t="shared" si="54"/>
        <v>3056.8708919000001</v>
      </c>
      <c r="AH73" s="120">
        <f t="shared" si="54"/>
        <v>2960.1090571</v>
      </c>
      <c r="AI73" s="120">
        <f t="shared" si="54"/>
        <v>2858.1090000250001</v>
      </c>
      <c r="AJ73" s="120">
        <f t="shared" si="54"/>
        <v>2767.9506319750003</v>
      </c>
      <c r="AK73" s="120">
        <f t="shared" ref="AK73:BK73" si="55">AJ75</f>
        <v>2636.1191416000001</v>
      </c>
      <c r="AL73" s="120">
        <f t="shared" si="55"/>
        <v>2554.4076668500002</v>
      </c>
      <c r="AM73" s="120">
        <f t="shared" si="55"/>
        <v>2471.8408105000003</v>
      </c>
      <c r="AN73" s="120">
        <f t="shared" si="55"/>
        <v>2364.2540423500004</v>
      </c>
      <c r="AO73" s="120">
        <f t="shared" si="55"/>
        <v>2197.2157888532506</v>
      </c>
      <c r="AP73" s="120">
        <f t="shared" si="55"/>
        <v>2046.8765246375006</v>
      </c>
      <c r="AQ73" s="120">
        <f t="shared" si="55"/>
        <v>1963.5381131197505</v>
      </c>
      <c r="AR73" s="120">
        <f t="shared" si="55"/>
        <v>1855.4585610415006</v>
      </c>
      <c r="AS73" s="120">
        <f t="shared" si="55"/>
        <v>1757.8030712905006</v>
      </c>
      <c r="AT73" s="120">
        <f t="shared" si="55"/>
        <v>1647.3416081645007</v>
      </c>
      <c r="AU73" s="120">
        <f t="shared" si="55"/>
        <v>1531.6681138748759</v>
      </c>
      <c r="AV73" s="120">
        <f t="shared" si="55"/>
        <v>1427.7771001651258</v>
      </c>
      <c r="AW73" s="120">
        <f t="shared" si="55"/>
        <v>1282.421329742001</v>
      </c>
      <c r="AX73" s="120">
        <f t="shared" si="55"/>
        <v>1186.9349748657512</v>
      </c>
      <c r="AY73" s="120">
        <f t="shared" si="55"/>
        <v>1090.5975152975013</v>
      </c>
      <c r="AZ73" s="120">
        <f t="shared" si="55"/>
        <v>969.36524348825139</v>
      </c>
      <c r="BA73" s="120">
        <f t="shared" si="55"/>
        <v>800.77703147973466</v>
      </c>
      <c r="BB73" s="120">
        <f t="shared" si="55"/>
        <v>649.44337128022039</v>
      </c>
      <c r="BC73" s="120">
        <f t="shared" si="55"/>
        <v>567.33963060885117</v>
      </c>
      <c r="BD73" s="120">
        <f t="shared" si="55"/>
        <v>459.67163066218075</v>
      </c>
      <c r="BE73" s="120">
        <f t="shared" si="55"/>
        <v>362.77449357787839</v>
      </c>
      <c r="BF73" s="120">
        <f t="shared" si="55"/>
        <v>252.64533823513858</v>
      </c>
      <c r="BG73" s="120">
        <f t="shared" si="55"/>
        <v>218.18176404164751</v>
      </c>
      <c r="BH73" s="120">
        <f t="shared" si="55"/>
        <v>198.48120162657011</v>
      </c>
      <c r="BI73" s="120">
        <f t="shared" si="55"/>
        <v>126.82683478136397</v>
      </c>
      <c r="BJ73" s="120">
        <f t="shared" si="55"/>
        <v>117.65699860100159</v>
      </c>
      <c r="BK73" s="120">
        <f t="shared" si="55"/>
        <v>107.42075976395927</v>
      </c>
    </row>
    <row r="74" spans="1:63" ht="12.75" customHeight="1" x14ac:dyDescent="0.2">
      <c r="A74" s="126" t="s">
        <v>410</v>
      </c>
      <c r="B74" s="120">
        <f>SUM(D74:BQ74)</f>
        <v>3529.1035567809736</v>
      </c>
      <c r="C74" s="120">
        <f>B74/60</f>
        <v>58.818392613016229</v>
      </c>
      <c r="D74" s="120">
        <f t="shared" ref="D74:AI74" si="56">MIN(D73,MAX(D71-D72,0))</f>
        <v>0</v>
      </c>
      <c r="E74" s="120">
        <f t="shared" si="56"/>
        <v>0</v>
      </c>
      <c r="F74" s="120">
        <f t="shared" si="56"/>
        <v>0</v>
      </c>
      <c r="G74" s="120">
        <f t="shared" si="56"/>
        <v>0</v>
      </c>
      <c r="H74" s="120">
        <f t="shared" si="56"/>
        <v>0</v>
      </c>
      <c r="I74" s="120">
        <f t="shared" si="56"/>
        <v>0</v>
      </c>
      <c r="J74" s="120">
        <f t="shared" si="56"/>
        <v>0</v>
      </c>
      <c r="K74" s="120">
        <f t="shared" si="56"/>
        <v>0</v>
      </c>
      <c r="L74" s="120">
        <f t="shared" si="56"/>
        <v>0</v>
      </c>
      <c r="M74" s="120">
        <f t="shared" si="56"/>
        <v>0</v>
      </c>
      <c r="N74" s="120">
        <f t="shared" si="56"/>
        <v>0</v>
      </c>
      <c r="O74" s="120">
        <f t="shared" si="56"/>
        <v>0</v>
      </c>
      <c r="P74" s="120">
        <f t="shared" si="56"/>
        <v>0</v>
      </c>
      <c r="Q74" s="120">
        <f t="shared" si="56"/>
        <v>0</v>
      </c>
      <c r="R74" s="120">
        <f t="shared" si="56"/>
        <v>0</v>
      </c>
      <c r="S74" s="120">
        <f t="shared" si="56"/>
        <v>0</v>
      </c>
      <c r="T74" s="120">
        <f t="shared" si="56"/>
        <v>0</v>
      </c>
      <c r="U74" s="120">
        <f t="shared" si="56"/>
        <v>0</v>
      </c>
      <c r="V74" s="120">
        <f t="shared" si="56"/>
        <v>0</v>
      </c>
      <c r="W74" s="120">
        <f t="shared" si="56"/>
        <v>0</v>
      </c>
      <c r="X74" s="120">
        <f t="shared" si="56"/>
        <v>0</v>
      </c>
      <c r="Y74" s="120">
        <f t="shared" si="56"/>
        <v>0</v>
      </c>
      <c r="Z74" s="120">
        <f t="shared" si="56"/>
        <v>0</v>
      </c>
      <c r="AA74" s="120">
        <f t="shared" si="56"/>
        <v>0</v>
      </c>
      <c r="AB74" s="120">
        <f t="shared" si="56"/>
        <v>153.62293064999994</v>
      </c>
      <c r="AC74" s="120">
        <f t="shared" si="56"/>
        <v>136.84002685000002</v>
      </c>
      <c r="AD74" s="120">
        <f t="shared" si="56"/>
        <v>69.502486449999878</v>
      </c>
      <c r="AE74" s="120">
        <f t="shared" si="56"/>
        <v>94.367954349999991</v>
      </c>
      <c r="AF74" s="120">
        <f t="shared" si="56"/>
        <v>83.891509799999938</v>
      </c>
      <c r="AG74" s="120">
        <f t="shared" si="56"/>
        <v>96.761834799999917</v>
      </c>
      <c r="AH74" s="120">
        <f t="shared" si="56"/>
        <v>102.00005707499992</v>
      </c>
      <c r="AI74" s="120">
        <f t="shared" si="56"/>
        <v>90.158368049999922</v>
      </c>
      <c r="AJ74" s="120">
        <f t="shared" ref="AJ74:BO74" si="57">MIN(AJ73,MAX(AJ71-AJ72,0))</f>
        <v>131.83149037499993</v>
      </c>
      <c r="AK74" s="120">
        <f t="shared" si="57"/>
        <v>81.711474749999923</v>
      </c>
      <c r="AL74" s="120">
        <f t="shared" si="57"/>
        <v>82.56685634999991</v>
      </c>
      <c r="AM74" s="120">
        <f t="shared" si="57"/>
        <v>107.58676814999984</v>
      </c>
      <c r="AN74" s="120">
        <f t="shared" si="57"/>
        <v>167.03825349674997</v>
      </c>
      <c r="AO74" s="120">
        <f t="shared" si="57"/>
        <v>150.33926421575001</v>
      </c>
      <c r="AP74" s="120">
        <f t="shared" si="57"/>
        <v>83.338411517749989</v>
      </c>
      <c r="AQ74" s="120">
        <f t="shared" si="57"/>
        <v>108.07955207824995</v>
      </c>
      <c r="AR74" s="120">
        <f t="shared" si="57"/>
        <v>97.655489751000005</v>
      </c>
      <c r="AS74" s="120">
        <f t="shared" si="57"/>
        <v>110.46146312599996</v>
      </c>
      <c r="AT74" s="120">
        <f t="shared" si="57"/>
        <v>115.67349428962495</v>
      </c>
      <c r="AU74" s="120">
        <f t="shared" si="57"/>
        <v>103.89101370974993</v>
      </c>
      <c r="AV74" s="120">
        <f t="shared" si="57"/>
        <v>145.35577042312491</v>
      </c>
      <c r="AW74" s="120">
        <f t="shared" si="57"/>
        <v>95.486354876249891</v>
      </c>
      <c r="AX74" s="120">
        <f t="shared" si="57"/>
        <v>96.337459568249926</v>
      </c>
      <c r="AY74" s="120">
        <f t="shared" si="57"/>
        <v>121.23227180924994</v>
      </c>
      <c r="AZ74" s="120">
        <f t="shared" si="57"/>
        <v>168.58821200851668</v>
      </c>
      <c r="BA74" s="120">
        <f t="shared" si="57"/>
        <v>151.33366019951427</v>
      </c>
      <c r="BB74" s="120">
        <f t="shared" si="57"/>
        <v>82.103740671369167</v>
      </c>
      <c r="BC74" s="120">
        <f t="shared" si="57"/>
        <v>107.66799994667042</v>
      </c>
      <c r="BD74" s="120">
        <f t="shared" si="57"/>
        <v>96.897137084302358</v>
      </c>
      <c r="BE74" s="120">
        <f t="shared" si="57"/>
        <v>110.12915534273981</v>
      </c>
      <c r="BF74" s="120">
        <f t="shared" si="57"/>
        <v>34.46357419349107</v>
      </c>
      <c r="BG74" s="120">
        <f t="shared" si="57"/>
        <v>19.7005624150774</v>
      </c>
      <c r="BH74" s="120">
        <f t="shared" si="57"/>
        <v>71.654366845206141</v>
      </c>
      <c r="BI74" s="120">
        <f t="shared" si="57"/>
        <v>9.1698361803623811</v>
      </c>
      <c r="BJ74" s="120">
        <f t="shared" si="57"/>
        <v>10.236238837042322</v>
      </c>
      <c r="BK74" s="120">
        <f t="shared" si="57"/>
        <v>41.428516544932336</v>
      </c>
    </row>
    <row r="75" spans="1:63" ht="13.5" customHeight="1" x14ac:dyDescent="0.2">
      <c r="A75" s="41" t="s">
        <v>411</v>
      </c>
      <c r="B75" s="43">
        <f>AA75</f>
        <v>3595.0958000000001</v>
      </c>
      <c r="C75" s="120" t="s">
        <v>397</v>
      </c>
      <c r="D75" s="137">
        <f t="shared" ref="D75:AI75" si="58">MAX(D73-D74,0)+MAX(D72-D71,0)</f>
        <v>0</v>
      </c>
      <c r="E75" s="137">
        <f t="shared" si="58"/>
        <v>0</v>
      </c>
      <c r="F75" s="137">
        <f t="shared" si="58"/>
        <v>67.010999999999967</v>
      </c>
      <c r="G75" s="137">
        <f t="shared" si="58"/>
        <v>102.14399999999995</v>
      </c>
      <c r="H75" s="137">
        <f t="shared" si="58"/>
        <v>407.54399999999993</v>
      </c>
      <c r="I75" s="137">
        <f t="shared" si="58"/>
        <v>687.94399999999996</v>
      </c>
      <c r="J75" s="137">
        <f t="shared" si="58"/>
        <v>931.49400000000003</v>
      </c>
      <c r="K75" s="137">
        <f t="shared" si="58"/>
        <v>1182.3655000000001</v>
      </c>
      <c r="L75" s="137">
        <f t="shared" si="58"/>
        <v>1355.6767500000001</v>
      </c>
      <c r="M75" s="137">
        <f t="shared" si="58"/>
        <v>1622.2692500000001</v>
      </c>
      <c r="N75" s="137">
        <f t="shared" si="58"/>
        <v>1742.0196500000002</v>
      </c>
      <c r="O75" s="137">
        <f t="shared" si="58"/>
        <v>1824.5172500000003</v>
      </c>
      <c r="P75" s="137">
        <f t="shared" si="58"/>
        <v>1856.7474500000003</v>
      </c>
      <c r="Q75" s="137">
        <f t="shared" si="58"/>
        <v>1914.9272500000002</v>
      </c>
      <c r="R75" s="137">
        <f t="shared" si="58"/>
        <v>2077.2238500000003</v>
      </c>
      <c r="S75" s="137">
        <f t="shared" si="58"/>
        <v>2201.0736500000003</v>
      </c>
      <c r="T75" s="137">
        <f t="shared" si="58"/>
        <v>2416.2843500000004</v>
      </c>
      <c r="U75" s="137">
        <f t="shared" si="58"/>
        <v>2609.1075500000002</v>
      </c>
      <c r="V75" s="137">
        <f t="shared" si="58"/>
        <v>2768.9315750000001</v>
      </c>
      <c r="W75" s="137">
        <f t="shared" si="58"/>
        <v>2948.590925</v>
      </c>
      <c r="X75" s="137">
        <f t="shared" si="58"/>
        <v>3058.44605</v>
      </c>
      <c r="Y75" s="137">
        <f t="shared" si="58"/>
        <v>3252.2543000000001</v>
      </c>
      <c r="Z75" s="137">
        <f t="shared" si="58"/>
        <v>3444.6297500000001</v>
      </c>
      <c r="AA75" s="137">
        <f t="shared" si="58"/>
        <v>3595.0958000000001</v>
      </c>
      <c r="AB75" s="137">
        <f t="shared" si="58"/>
        <v>3441.4728693500001</v>
      </c>
      <c r="AC75" s="137">
        <f t="shared" si="58"/>
        <v>3304.6328425000002</v>
      </c>
      <c r="AD75" s="137">
        <f t="shared" si="58"/>
        <v>3235.13035605</v>
      </c>
      <c r="AE75" s="137">
        <f t="shared" si="58"/>
        <v>3140.7624016999998</v>
      </c>
      <c r="AF75" s="137">
        <f t="shared" si="58"/>
        <v>3056.8708919000001</v>
      </c>
      <c r="AG75" s="137">
        <f t="shared" si="58"/>
        <v>2960.1090571</v>
      </c>
      <c r="AH75" s="137">
        <f t="shared" si="58"/>
        <v>2858.1090000250001</v>
      </c>
      <c r="AI75" s="137">
        <f t="shared" si="58"/>
        <v>2767.9506319750003</v>
      </c>
      <c r="AJ75" s="137">
        <f t="shared" ref="AJ75:BO75" si="59">MAX(AJ73-AJ74,0)+MAX(AJ72-AJ71,0)</f>
        <v>2636.1191416000001</v>
      </c>
      <c r="AK75" s="137">
        <f t="shared" si="59"/>
        <v>2554.4076668500002</v>
      </c>
      <c r="AL75" s="137">
        <f t="shared" si="59"/>
        <v>2471.8408105000003</v>
      </c>
      <c r="AM75" s="137">
        <f t="shared" si="59"/>
        <v>2364.2540423500004</v>
      </c>
      <c r="AN75" s="137">
        <f t="shared" si="59"/>
        <v>2197.2157888532506</v>
      </c>
      <c r="AO75" s="137">
        <f t="shared" si="59"/>
        <v>2046.8765246375006</v>
      </c>
      <c r="AP75" s="137">
        <f t="shared" si="59"/>
        <v>1963.5381131197505</v>
      </c>
      <c r="AQ75" s="137">
        <f t="shared" si="59"/>
        <v>1855.4585610415006</v>
      </c>
      <c r="AR75" s="137">
        <f t="shared" si="59"/>
        <v>1757.8030712905006</v>
      </c>
      <c r="AS75" s="137">
        <f t="shared" si="59"/>
        <v>1647.3416081645007</v>
      </c>
      <c r="AT75" s="137">
        <f t="shared" si="59"/>
        <v>1531.6681138748759</v>
      </c>
      <c r="AU75" s="137">
        <f t="shared" si="59"/>
        <v>1427.7771001651258</v>
      </c>
      <c r="AV75" s="137">
        <f t="shared" si="59"/>
        <v>1282.421329742001</v>
      </c>
      <c r="AW75" s="137">
        <f t="shared" si="59"/>
        <v>1186.9349748657512</v>
      </c>
      <c r="AX75" s="137">
        <f t="shared" si="59"/>
        <v>1090.5975152975013</v>
      </c>
      <c r="AY75" s="137">
        <f t="shared" si="59"/>
        <v>969.36524348825139</v>
      </c>
      <c r="AZ75" s="137">
        <f t="shared" si="59"/>
        <v>800.77703147973466</v>
      </c>
      <c r="BA75" s="137">
        <f t="shared" si="59"/>
        <v>649.44337128022039</v>
      </c>
      <c r="BB75" s="137">
        <f t="shared" si="59"/>
        <v>567.33963060885117</v>
      </c>
      <c r="BC75" s="137">
        <f t="shared" si="59"/>
        <v>459.67163066218075</v>
      </c>
      <c r="BD75" s="137">
        <f t="shared" si="59"/>
        <v>362.77449357787839</v>
      </c>
      <c r="BE75" s="137">
        <f t="shared" si="59"/>
        <v>252.64533823513858</v>
      </c>
      <c r="BF75" s="137">
        <f t="shared" si="59"/>
        <v>218.18176404164751</v>
      </c>
      <c r="BG75" s="137">
        <f t="shared" si="59"/>
        <v>198.48120162657011</v>
      </c>
      <c r="BH75" s="137">
        <f t="shared" si="59"/>
        <v>126.82683478136397</v>
      </c>
      <c r="BI75" s="137">
        <f t="shared" si="59"/>
        <v>117.65699860100159</v>
      </c>
      <c r="BJ75" s="137">
        <f t="shared" si="59"/>
        <v>107.42075976395927</v>
      </c>
      <c r="BK75" s="137">
        <f t="shared" si="59"/>
        <v>65.992243219026932</v>
      </c>
    </row>
    <row r="76" spans="1:63" ht="12.75" customHeight="1" x14ac:dyDescent="0.2">
      <c r="A76" s="127" t="s">
        <v>412</v>
      </c>
      <c r="B76" s="128">
        <f>AA76</f>
        <v>0</v>
      </c>
      <c r="C76" s="120" t="s">
        <v>397</v>
      </c>
      <c r="D76" s="128">
        <f>0</f>
        <v>0</v>
      </c>
      <c r="E76" s="128">
        <f t="shared" ref="E76:AJ76" si="60">D78</f>
        <v>0</v>
      </c>
      <c r="F76" s="128">
        <f t="shared" si="60"/>
        <v>0</v>
      </c>
      <c r="G76" s="128">
        <f t="shared" si="60"/>
        <v>0</v>
      </c>
      <c r="H76" s="128">
        <f t="shared" si="60"/>
        <v>0</v>
      </c>
      <c r="I76" s="128">
        <f t="shared" si="60"/>
        <v>0</v>
      </c>
      <c r="J76" s="128">
        <f t="shared" si="60"/>
        <v>0</v>
      </c>
      <c r="K76" s="128">
        <f t="shared" si="60"/>
        <v>0</v>
      </c>
      <c r="L76" s="128">
        <f t="shared" si="60"/>
        <v>0</v>
      </c>
      <c r="M76" s="128">
        <f t="shared" si="60"/>
        <v>0</v>
      </c>
      <c r="N76" s="128">
        <f t="shared" si="60"/>
        <v>0</v>
      </c>
      <c r="O76" s="128">
        <f t="shared" si="60"/>
        <v>0</v>
      </c>
      <c r="P76" s="128">
        <f t="shared" si="60"/>
        <v>0</v>
      </c>
      <c r="Q76" s="128">
        <f t="shared" si="60"/>
        <v>0</v>
      </c>
      <c r="R76" s="128">
        <f t="shared" si="60"/>
        <v>0</v>
      </c>
      <c r="S76" s="128">
        <f t="shared" si="60"/>
        <v>0</v>
      </c>
      <c r="T76" s="128">
        <f t="shared" si="60"/>
        <v>0</v>
      </c>
      <c r="U76" s="128">
        <f t="shared" si="60"/>
        <v>0</v>
      </c>
      <c r="V76" s="128">
        <f t="shared" si="60"/>
        <v>0</v>
      </c>
      <c r="W76" s="128">
        <f t="shared" si="60"/>
        <v>0</v>
      </c>
      <c r="X76" s="128">
        <f t="shared" si="60"/>
        <v>0</v>
      </c>
      <c r="Y76" s="128">
        <f t="shared" si="60"/>
        <v>0</v>
      </c>
      <c r="Z76" s="128">
        <f t="shared" si="60"/>
        <v>0</v>
      </c>
      <c r="AA76" s="128">
        <f t="shared" si="60"/>
        <v>0</v>
      </c>
      <c r="AB76" s="128">
        <f t="shared" si="60"/>
        <v>0</v>
      </c>
      <c r="AC76" s="128">
        <f t="shared" si="60"/>
        <v>0</v>
      </c>
      <c r="AD76" s="128">
        <f t="shared" si="60"/>
        <v>0</v>
      </c>
      <c r="AE76" s="128">
        <f t="shared" si="60"/>
        <v>0</v>
      </c>
      <c r="AF76" s="128">
        <f t="shared" si="60"/>
        <v>0</v>
      </c>
      <c r="AG76" s="128">
        <f t="shared" si="60"/>
        <v>0</v>
      </c>
      <c r="AH76" s="128">
        <f t="shared" si="60"/>
        <v>0</v>
      </c>
      <c r="AI76" s="128">
        <f t="shared" si="60"/>
        <v>0</v>
      </c>
      <c r="AJ76" s="128">
        <f t="shared" si="60"/>
        <v>0</v>
      </c>
      <c r="AK76" s="128">
        <f t="shared" ref="AK76:BK76" si="61">AJ78</f>
        <v>0</v>
      </c>
      <c r="AL76" s="128">
        <f t="shared" si="61"/>
        <v>0</v>
      </c>
      <c r="AM76" s="128">
        <f t="shared" si="61"/>
        <v>0</v>
      </c>
      <c r="AN76" s="128">
        <f t="shared" si="61"/>
        <v>0</v>
      </c>
      <c r="AO76" s="128">
        <f t="shared" si="61"/>
        <v>0</v>
      </c>
      <c r="AP76" s="128">
        <f t="shared" si="61"/>
        <v>0</v>
      </c>
      <c r="AQ76" s="128">
        <f t="shared" si="61"/>
        <v>0</v>
      </c>
      <c r="AR76" s="128">
        <f t="shared" si="61"/>
        <v>0</v>
      </c>
      <c r="AS76" s="128">
        <f t="shared" si="61"/>
        <v>0</v>
      </c>
      <c r="AT76" s="128">
        <f t="shared" si="61"/>
        <v>0</v>
      </c>
      <c r="AU76" s="128">
        <f t="shared" si="61"/>
        <v>0</v>
      </c>
      <c r="AV76" s="128">
        <f t="shared" si="61"/>
        <v>0</v>
      </c>
      <c r="AW76" s="128">
        <f t="shared" si="61"/>
        <v>0</v>
      </c>
      <c r="AX76" s="128">
        <f t="shared" si="61"/>
        <v>0</v>
      </c>
      <c r="AY76" s="128">
        <f t="shared" si="61"/>
        <v>0</v>
      </c>
      <c r="AZ76" s="128">
        <f t="shared" si="61"/>
        <v>0</v>
      </c>
      <c r="BA76" s="128">
        <f t="shared" si="61"/>
        <v>0</v>
      </c>
      <c r="BB76" s="128">
        <f t="shared" si="61"/>
        <v>0</v>
      </c>
      <c r="BC76" s="128">
        <f t="shared" si="61"/>
        <v>0</v>
      </c>
      <c r="BD76" s="128">
        <f t="shared" si="61"/>
        <v>0</v>
      </c>
      <c r="BE76" s="128">
        <f t="shared" si="61"/>
        <v>0</v>
      </c>
      <c r="BF76" s="128">
        <f t="shared" si="61"/>
        <v>0</v>
      </c>
      <c r="BG76" s="128">
        <f t="shared" si="61"/>
        <v>0</v>
      </c>
      <c r="BH76" s="128">
        <f t="shared" si="61"/>
        <v>0</v>
      </c>
      <c r="BI76" s="128">
        <f t="shared" si="61"/>
        <v>0</v>
      </c>
      <c r="BJ76" s="128">
        <f t="shared" si="61"/>
        <v>0</v>
      </c>
      <c r="BK76" s="128">
        <f t="shared" si="61"/>
        <v>0</v>
      </c>
    </row>
    <row r="77" spans="1:63" ht="12.75" customHeight="1" x14ac:dyDescent="0.2">
      <c r="A77" s="127" t="s">
        <v>420</v>
      </c>
      <c r="B77" s="128">
        <f>SUM(D77:BQ77)</f>
        <v>0</v>
      </c>
      <c r="C77" s="120">
        <f>B77/60</f>
        <v>0</v>
      </c>
      <c r="D77" s="128">
        <f t="shared" ref="D77:AI77" si="62">MIN(D76,D71)</f>
        <v>0</v>
      </c>
      <c r="E77" s="128">
        <f t="shared" si="62"/>
        <v>0</v>
      </c>
      <c r="F77" s="128">
        <f t="shared" si="62"/>
        <v>0</v>
      </c>
      <c r="G77" s="128">
        <f t="shared" si="62"/>
        <v>0</v>
      </c>
      <c r="H77" s="128">
        <f t="shared" si="62"/>
        <v>0</v>
      </c>
      <c r="I77" s="128">
        <f t="shared" si="62"/>
        <v>0</v>
      </c>
      <c r="J77" s="128">
        <f t="shared" si="62"/>
        <v>0</v>
      </c>
      <c r="K77" s="128">
        <f t="shared" si="62"/>
        <v>0</v>
      </c>
      <c r="L77" s="128">
        <f t="shared" si="62"/>
        <v>0</v>
      </c>
      <c r="M77" s="128">
        <f t="shared" si="62"/>
        <v>0</v>
      </c>
      <c r="N77" s="128">
        <f t="shared" si="62"/>
        <v>0</v>
      </c>
      <c r="O77" s="128">
        <f t="shared" si="62"/>
        <v>0</v>
      </c>
      <c r="P77" s="128">
        <f t="shared" si="62"/>
        <v>0</v>
      </c>
      <c r="Q77" s="128">
        <f t="shared" si="62"/>
        <v>0</v>
      </c>
      <c r="R77" s="128">
        <f t="shared" si="62"/>
        <v>0</v>
      </c>
      <c r="S77" s="128">
        <f t="shared" si="62"/>
        <v>0</v>
      </c>
      <c r="T77" s="128">
        <f t="shared" si="62"/>
        <v>0</v>
      </c>
      <c r="U77" s="128">
        <f t="shared" si="62"/>
        <v>0</v>
      </c>
      <c r="V77" s="128">
        <f t="shared" si="62"/>
        <v>0</v>
      </c>
      <c r="W77" s="128">
        <f t="shared" si="62"/>
        <v>0</v>
      </c>
      <c r="X77" s="128">
        <f t="shared" si="62"/>
        <v>0</v>
      </c>
      <c r="Y77" s="128">
        <f t="shared" si="62"/>
        <v>0</v>
      </c>
      <c r="Z77" s="128">
        <f t="shared" si="62"/>
        <v>0</v>
      </c>
      <c r="AA77" s="128">
        <f t="shared" si="62"/>
        <v>0</v>
      </c>
      <c r="AB77" s="128">
        <f t="shared" si="62"/>
        <v>0</v>
      </c>
      <c r="AC77" s="128">
        <f t="shared" si="62"/>
        <v>0</v>
      </c>
      <c r="AD77" s="128">
        <f t="shared" si="62"/>
        <v>0</v>
      </c>
      <c r="AE77" s="128">
        <f t="shared" si="62"/>
        <v>0</v>
      </c>
      <c r="AF77" s="128">
        <f t="shared" si="62"/>
        <v>0</v>
      </c>
      <c r="AG77" s="128">
        <f t="shared" si="62"/>
        <v>0</v>
      </c>
      <c r="AH77" s="128">
        <f t="shared" si="62"/>
        <v>0</v>
      </c>
      <c r="AI77" s="128">
        <f t="shared" si="62"/>
        <v>0</v>
      </c>
      <c r="AJ77" s="128">
        <f t="shared" ref="AJ77:BO77" si="63">MIN(AJ76,AJ71)</f>
        <v>0</v>
      </c>
      <c r="AK77" s="128">
        <f t="shared" si="63"/>
        <v>0</v>
      </c>
      <c r="AL77" s="128">
        <f t="shared" si="63"/>
        <v>0</v>
      </c>
      <c r="AM77" s="128">
        <f t="shared" si="63"/>
        <v>0</v>
      </c>
      <c r="AN77" s="128">
        <f t="shared" si="63"/>
        <v>0</v>
      </c>
      <c r="AO77" s="128">
        <f t="shared" si="63"/>
        <v>0</v>
      </c>
      <c r="AP77" s="128">
        <f t="shared" si="63"/>
        <v>0</v>
      </c>
      <c r="AQ77" s="128">
        <f t="shared" si="63"/>
        <v>0</v>
      </c>
      <c r="AR77" s="128">
        <f t="shared" si="63"/>
        <v>0</v>
      </c>
      <c r="AS77" s="128">
        <f t="shared" si="63"/>
        <v>0</v>
      </c>
      <c r="AT77" s="128">
        <f t="shared" si="63"/>
        <v>0</v>
      </c>
      <c r="AU77" s="128">
        <f t="shared" si="63"/>
        <v>0</v>
      </c>
      <c r="AV77" s="128">
        <f t="shared" si="63"/>
        <v>0</v>
      </c>
      <c r="AW77" s="128">
        <f t="shared" si="63"/>
        <v>0</v>
      </c>
      <c r="AX77" s="128">
        <f t="shared" si="63"/>
        <v>0</v>
      </c>
      <c r="AY77" s="128">
        <f t="shared" si="63"/>
        <v>0</v>
      </c>
      <c r="AZ77" s="128">
        <f t="shared" si="63"/>
        <v>0</v>
      </c>
      <c r="BA77" s="128">
        <f t="shared" si="63"/>
        <v>0</v>
      </c>
      <c r="BB77" s="128">
        <f t="shared" si="63"/>
        <v>0</v>
      </c>
      <c r="BC77" s="128">
        <f t="shared" si="63"/>
        <v>0</v>
      </c>
      <c r="BD77" s="128">
        <f t="shared" si="63"/>
        <v>0</v>
      </c>
      <c r="BE77" s="128">
        <f t="shared" si="63"/>
        <v>0</v>
      </c>
      <c r="BF77" s="128">
        <f t="shared" si="63"/>
        <v>0</v>
      </c>
      <c r="BG77" s="128">
        <f t="shared" si="63"/>
        <v>0</v>
      </c>
      <c r="BH77" s="128">
        <f t="shared" si="63"/>
        <v>0</v>
      </c>
      <c r="BI77" s="128">
        <f t="shared" si="63"/>
        <v>0</v>
      </c>
      <c r="BJ77" s="128">
        <f t="shared" si="63"/>
        <v>0</v>
      </c>
      <c r="BK77" s="128">
        <f t="shared" si="63"/>
        <v>0</v>
      </c>
    </row>
    <row r="78" spans="1:63" ht="12.75" customHeight="1" x14ac:dyDescent="0.2">
      <c r="A78" s="127" t="s">
        <v>421</v>
      </c>
      <c r="B78" s="128">
        <f>AA78</f>
        <v>0</v>
      </c>
      <c r="C78" s="120" t="s">
        <v>397</v>
      </c>
      <c r="D78" s="149">
        <f t="shared" ref="D78:AI78" si="64">MAX(D76-D77,0)</f>
        <v>0</v>
      </c>
      <c r="E78" s="149">
        <f t="shared" si="64"/>
        <v>0</v>
      </c>
      <c r="F78" s="149">
        <f t="shared" si="64"/>
        <v>0</v>
      </c>
      <c r="G78" s="149">
        <f t="shared" si="64"/>
        <v>0</v>
      </c>
      <c r="H78" s="149">
        <f t="shared" si="64"/>
        <v>0</v>
      </c>
      <c r="I78" s="149">
        <f t="shared" si="64"/>
        <v>0</v>
      </c>
      <c r="J78" s="149">
        <f t="shared" si="64"/>
        <v>0</v>
      </c>
      <c r="K78" s="149">
        <f t="shared" si="64"/>
        <v>0</v>
      </c>
      <c r="L78" s="149">
        <f t="shared" si="64"/>
        <v>0</v>
      </c>
      <c r="M78" s="149">
        <f t="shared" si="64"/>
        <v>0</v>
      </c>
      <c r="N78" s="149">
        <f t="shared" si="64"/>
        <v>0</v>
      </c>
      <c r="O78" s="149">
        <f t="shared" si="64"/>
        <v>0</v>
      </c>
      <c r="P78" s="149">
        <f t="shared" si="64"/>
        <v>0</v>
      </c>
      <c r="Q78" s="149">
        <f t="shared" si="64"/>
        <v>0</v>
      </c>
      <c r="R78" s="149">
        <f t="shared" si="64"/>
        <v>0</v>
      </c>
      <c r="S78" s="149">
        <f t="shared" si="64"/>
        <v>0</v>
      </c>
      <c r="T78" s="149">
        <f t="shared" si="64"/>
        <v>0</v>
      </c>
      <c r="U78" s="149">
        <f t="shared" si="64"/>
        <v>0</v>
      </c>
      <c r="V78" s="149">
        <f t="shared" si="64"/>
        <v>0</v>
      </c>
      <c r="W78" s="149">
        <f t="shared" si="64"/>
        <v>0</v>
      </c>
      <c r="X78" s="149">
        <f t="shared" si="64"/>
        <v>0</v>
      </c>
      <c r="Y78" s="149">
        <f t="shared" si="64"/>
        <v>0</v>
      </c>
      <c r="Z78" s="149">
        <f t="shared" si="64"/>
        <v>0</v>
      </c>
      <c r="AA78" s="149">
        <f t="shared" si="64"/>
        <v>0</v>
      </c>
      <c r="AB78" s="149">
        <f t="shared" si="64"/>
        <v>0</v>
      </c>
      <c r="AC78" s="149">
        <f t="shared" si="64"/>
        <v>0</v>
      </c>
      <c r="AD78" s="149">
        <f t="shared" si="64"/>
        <v>0</v>
      </c>
      <c r="AE78" s="149">
        <f t="shared" si="64"/>
        <v>0</v>
      </c>
      <c r="AF78" s="149">
        <f t="shared" si="64"/>
        <v>0</v>
      </c>
      <c r="AG78" s="149">
        <f t="shared" si="64"/>
        <v>0</v>
      </c>
      <c r="AH78" s="149">
        <f t="shared" si="64"/>
        <v>0</v>
      </c>
      <c r="AI78" s="149">
        <f t="shared" si="64"/>
        <v>0</v>
      </c>
      <c r="AJ78" s="149">
        <f t="shared" ref="AJ78:BO78" si="65">MAX(AJ76-AJ77,0)</f>
        <v>0</v>
      </c>
      <c r="AK78" s="149">
        <f t="shared" si="65"/>
        <v>0</v>
      </c>
      <c r="AL78" s="149">
        <f t="shared" si="65"/>
        <v>0</v>
      </c>
      <c r="AM78" s="149">
        <f t="shared" si="65"/>
        <v>0</v>
      </c>
      <c r="AN78" s="149">
        <f t="shared" si="65"/>
        <v>0</v>
      </c>
      <c r="AO78" s="149">
        <f t="shared" si="65"/>
        <v>0</v>
      </c>
      <c r="AP78" s="149">
        <f t="shared" si="65"/>
        <v>0</v>
      </c>
      <c r="AQ78" s="149">
        <f t="shared" si="65"/>
        <v>0</v>
      </c>
      <c r="AR78" s="149">
        <f t="shared" si="65"/>
        <v>0</v>
      </c>
      <c r="AS78" s="149">
        <f t="shared" si="65"/>
        <v>0</v>
      </c>
      <c r="AT78" s="149">
        <f t="shared" si="65"/>
        <v>0</v>
      </c>
      <c r="AU78" s="149">
        <f t="shared" si="65"/>
        <v>0</v>
      </c>
      <c r="AV78" s="149">
        <f t="shared" si="65"/>
        <v>0</v>
      </c>
      <c r="AW78" s="149">
        <f t="shared" si="65"/>
        <v>0</v>
      </c>
      <c r="AX78" s="149">
        <f t="shared" si="65"/>
        <v>0</v>
      </c>
      <c r="AY78" s="149">
        <f t="shared" si="65"/>
        <v>0</v>
      </c>
      <c r="AZ78" s="149">
        <f t="shared" si="65"/>
        <v>0</v>
      </c>
      <c r="BA78" s="149">
        <f t="shared" si="65"/>
        <v>0</v>
      </c>
      <c r="BB78" s="149">
        <f t="shared" si="65"/>
        <v>0</v>
      </c>
      <c r="BC78" s="149">
        <f t="shared" si="65"/>
        <v>0</v>
      </c>
      <c r="BD78" s="149">
        <f t="shared" si="65"/>
        <v>0</v>
      </c>
      <c r="BE78" s="149">
        <f t="shared" si="65"/>
        <v>0</v>
      </c>
      <c r="BF78" s="149">
        <f t="shared" si="65"/>
        <v>0</v>
      </c>
      <c r="BG78" s="149">
        <f t="shared" si="65"/>
        <v>0</v>
      </c>
      <c r="BH78" s="149">
        <f t="shared" si="65"/>
        <v>0</v>
      </c>
      <c r="BI78" s="149">
        <f t="shared" si="65"/>
        <v>0</v>
      </c>
      <c r="BJ78" s="149">
        <f t="shared" si="65"/>
        <v>0</v>
      </c>
      <c r="BK78" s="149">
        <f t="shared" si="65"/>
        <v>0</v>
      </c>
    </row>
    <row r="79" spans="1:63" ht="12.75" customHeight="1" x14ac:dyDescent="0.2">
      <c r="A7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79" s="142">
        <f>SUM(D79:BQ79)</f>
        <v>33318.160857858398</v>
      </c>
      <c r="C79" s="124">
        <f>B79/60</f>
        <v>555.30268096430666</v>
      </c>
      <c r="D79" s="142">
        <f>D71*Premissas!$F$19*(1+Premissas!$B$127)*(1+Premissas!$B$124)^0</f>
        <v>466.36412919035507</v>
      </c>
      <c r="E79" s="142">
        <f>E71*Premissas!$F$19*(1+Premissas!$B$127)*(1+Premissas!$B$124)^0</f>
        <v>466.36412919035507</v>
      </c>
      <c r="F79" s="142">
        <f>F71*Premissas!$F$19*(1+Premissas!$B$127)*(1+Premissas!$B$124)^0</f>
        <v>466.36412919035507</v>
      </c>
      <c r="G79" s="142">
        <f>G71*Premissas!$F$19*(1+Premissas!$B$127)*(1+Premissas!$B$124)^0</f>
        <v>466.36412919035507</v>
      </c>
      <c r="H79" s="142">
        <f>H71*Premissas!$F$19*(1+Premissas!$B$127)*(1+Premissas!$B$124)^0</f>
        <v>466.36412919035507</v>
      </c>
      <c r="I79" s="142">
        <f>I71*Premissas!$F$19*(1+Premissas!$B$127)*(1+Premissas!$B$124)^0</f>
        <v>466.36412919035507</v>
      </c>
      <c r="J79" s="142">
        <f>J71*Premissas!$F$19*(1+Premissas!$B$127)*(1+Premissas!$B$124)^0</f>
        <v>466.36412919035507</v>
      </c>
      <c r="K79" s="142">
        <f>K71*Premissas!$F$19*(1+Premissas!$B$127)*(1+Premissas!$B$124)^0</f>
        <v>478.02323242011386</v>
      </c>
      <c r="L79" s="142">
        <f>L71*Premissas!$F$19*(1+Premissas!$B$127)*(1+Premissas!$B$124)^0</f>
        <v>478.02323242011386</v>
      </c>
      <c r="M79" s="142">
        <f>M71*Premissas!$F$19*(1+Premissas!$B$127)*(1+Premissas!$B$124)^0</f>
        <v>478.02323242011386</v>
      </c>
      <c r="N79" s="142">
        <f>N71*Premissas!$F$19*(1+Premissas!$B$127)*(1+Premissas!$B$124)^0</f>
        <v>478.02323242011386</v>
      </c>
      <c r="O79" s="142">
        <f>O71*Premissas!$F$19*(1+Premissas!$B$127)*(1+Premissas!$B$124)^0</f>
        <v>478.02323242011386</v>
      </c>
      <c r="P79" s="142">
        <f>P71*Premissas!$F$19*(1+Premissas!$B$127)*(1+Premissas!$B$124)^1</f>
        <v>506.70462636532073</v>
      </c>
      <c r="Q79" s="142">
        <f>Q71*Premissas!$F$19*(1+Premissas!$B$127)*(1+Premissas!$B$124)^1</f>
        <v>506.70462636532073</v>
      </c>
      <c r="R79" s="142">
        <f>R71*Premissas!$F$19*(1+Premissas!$B$127)*(1+Premissas!$B$124)^1</f>
        <v>506.70462636532073</v>
      </c>
      <c r="S79" s="142">
        <f>S71*Premissas!$F$19*(1+Premissas!$B$127)*(1+Premissas!$B$124)^1</f>
        <v>506.70462636532073</v>
      </c>
      <c r="T79" s="142">
        <f>T71*Premissas!$F$19*(1+Premissas!$B$127)*(1+Premissas!$B$124)^1</f>
        <v>506.70462636532073</v>
      </c>
      <c r="U79" s="142">
        <f>U71*Premissas!$F$19*(1+Premissas!$B$127)*(1+Premissas!$B$124)^1</f>
        <v>506.70462636532073</v>
      </c>
      <c r="V79" s="142">
        <f>V71*Premissas!$F$19*(1+Premissas!$B$127)*(1+Premissas!$B$124)^1</f>
        <v>506.70462636532073</v>
      </c>
      <c r="W79" s="142">
        <f>W71*Premissas!$F$19*(1+Premissas!$B$127)*(1+Premissas!$B$124)^1</f>
        <v>506.70462636532073</v>
      </c>
      <c r="X79" s="142">
        <f>X71*Premissas!$F$19*(1+Premissas!$B$127)*(1+Premissas!$B$124)^1</f>
        <v>506.70462636532073</v>
      </c>
      <c r="Y79" s="142">
        <f>Y71*Premissas!$F$19*(1+Premissas!$B$127)*(1+Premissas!$B$124)^1</f>
        <v>506.70462636532073</v>
      </c>
      <c r="Z79" s="142">
        <f>Z71*Premissas!$F$19*(1+Premissas!$B$127)*(1+Premissas!$B$124)^1</f>
        <v>506.70462636532073</v>
      </c>
      <c r="AA79" s="142">
        <f>AA71*Premissas!$F$19*(1+Premissas!$B$127)*(1+Premissas!$B$124)^1</f>
        <v>506.70462636532073</v>
      </c>
      <c r="AB79" s="142">
        <f>AB71*Premissas!$F$19*(1+Premissas!$B$127)*(1+Premissas!$B$124)^2</f>
        <v>550.53457654592103</v>
      </c>
      <c r="AC79" s="142">
        <f>AC71*Premissas!$F$19*(1+Premissas!$B$127)*(1+Premissas!$B$124)^2</f>
        <v>550.53457654592103</v>
      </c>
      <c r="AD79" s="142">
        <f>AD71*Premissas!$F$19*(1+Premissas!$B$127)*(1+Premissas!$B$124)^2</f>
        <v>550.53457654592103</v>
      </c>
      <c r="AE79" s="142">
        <f>AE71*Premissas!$F$19*(1+Premissas!$B$127)*(1+Premissas!$B$124)^2</f>
        <v>550.53457654592103</v>
      </c>
      <c r="AF79" s="142">
        <f>AF71*Premissas!$F$19*(1+Premissas!$B$127)*(1+Premissas!$B$124)^2</f>
        <v>550.53457654592103</v>
      </c>
      <c r="AG79" s="142">
        <f>AG71*Premissas!$F$19*(1+Premissas!$B$127)*(1+Premissas!$B$124)^2</f>
        <v>550.53457654592103</v>
      </c>
      <c r="AH79" s="142">
        <f>AH71*Premissas!$F$19*(1+Premissas!$B$127)*(1+Premissas!$B$124)^2</f>
        <v>550.53457654592103</v>
      </c>
      <c r="AI79" s="142">
        <f>AI71*Premissas!$F$19*(1+Premissas!$B$127)*(1+Premissas!$B$124)^2</f>
        <v>550.53457654592103</v>
      </c>
      <c r="AJ79" s="142">
        <f>AJ71*Premissas!$F$19*(1+Premissas!$B$127)*(1+Premissas!$B$124)^2</f>
        <v>550.53457654592103</v>
      </c>
      <c r="AK79" s="142">
        <f>AK71*Premissas!$F$19*(1+Premissas!$B$127)*(1+Premissas!$B$124)^2</f>
        <v>550.53457654592103</v>
      </c>
      <c r="AL79" s="142">
        <f>AL71*Premissas!$F$19*(1+Premissas!$B$127)*(1+Premissas!$B$124)^2</f>
        <v>550.53457654592103</v>
      </c>
      <c r="AM79" s="142">
        <f>AM71*Premissas!$F$19*(1+Premissas!$B$127)*(1+Premissas!$B$124)^2</f>
        <v>550.53457654592103</v>
      </c>
      <c r="AN79" s="142">
        <f>AN71*Premissas!$F$19*(1+Premissas!$B$127)*(1+Premissas!$B$124)^3</f>
        <v>598.15581741714334</v>
      </c>
      <c r="AO79" s="142">
        <f>AO71*Premissas!$F$19*(1+Premissas!$B$127)*(1+Premissas!$B$124)^3</f>
        <v>598.15581741714334</v>
      </c>
      <c r="AP79" s="142">
        <f>AP71*Premissas!$F$19*(1+Premissas!$B$127)*(1+Premissas!$B$124)^3</f>
        <v>598.15581741714334</v>
      </c>
      <c r="AQ79" s="142">
        <f>AQ71*Premissas!$F$19*(1+Premissas!$B$127)*(1+Premissas!$B$124)^3</f>
        <v>598.15581741714334</v>
      </c>
      <c r="AR79" s="142">
        <f>AR71*Premissas!$F$19*(1+Premissas!$B$127)*(1+Premissas!$B$124)^3</f>
        <v>598.15581741714334</v>
      </c>
      <c r="AS79" s="142">
        <f>AS71*Premissas!$F$19*(1+Premissas!$B$127)*(1+Premissas!$B$124)^3</f>
        <v>598.15581741714334</v>
      </c>
      <c r="AT79" s="142">
        <f>AT71*Premissas!$F$19*(1+Premissas!$B$127)*(1+Premissas!$B$124)^3</f>
        <v>598.15581741714334</v>
      </c>
      <c r="AU79" s="142">
        <f>AU71*Premissas!$F$19*(1+Premissas!$B$127)*(1+Premissas!$B$124)^3</f>
        <v>598.15581741714334</v>
      </c>
      <c r="AV79" s="142">
        <f>AV71*Premissas!$F$19*(1+Premissas!$B$127)*(1+Premissas!$B$124)^3</f>
        <v>598.15581741714334</v>
      </c>
      <c r="AW79" s="142">
        <f>AW71*Premissas!$F$19*(1+Premissas!$B$127)*(1+Premissas!$B$124)^3</f>
        <v>598.15581741714334</v>
      </c>
      <c r="AX79" s="142">
        <f>AX71*Premissas!$F$19*(1+Premissas!$B$127)*(1+Premissas!$B$124)^3</f>
        <v>598.15581741714334</v>
      </c>
      <c r="AY79" s="142">
        <f>AY71*Premissas!$F$19*(1+Premissas!$B$127)*(1+Premissas!$B$124)^3</f>
        <v>598.15581741714334</v>
      </c>
      <c r="AZ79" s="142">
        <f>AZ71*Premissas!$F$19*(1+Premissas!$B$127)*(1+Premissas!$B$124)^4</f>
        <v>649.89629562372613</v>
      </c>
      <c r="BA79" s="142">
        <f>BA71*Premissas!$F$19*(1+Premissas!$B$127)*(1+Premissas!$B$124)^4</f>
        <v>649.89629562372613</v>
      </c>
      <c r="BB79" s="142">
        <f>BB71*Premissas!$F$19*(1+Premissas!$B$127)*(1+Premissas!$B$124)^4</f>
        <v>649.89629562372613</v>
      </c>
      <c r="BC79" s="142">
        <f>BC71*Premissas!$F$19*(1+Premissas!$B$127)*(1+Premissas!$B$124)^4</f>
        <v>649.89629562372613</v>
      </c>
      <c r="BD79" s="142">
        <f>BD71*Premissas!$F$19*(1+Premissas!$B$127)*(1+Premissas!$B$124)^4</f>
        <v>649.89629562372613</v>
      </c>
      <c r="BE79" s="142">
        <f>BE71*Premissas!$F$19*(1+Premissas!$B$127)*(1+Premissas!$B$124)^4</f>
        <v>649.89629562372613</v>
      </c>
      <c r="BF79" s="142">
        <f>BF71*Premissas!$F$19*(1+Premissas!$B$127)*(1+Premissas!$B$124)^4</f>
        <v>649.89629562372613</v>
      </c>
      <c r="BG79" s="142">
        <f>BG71*Premissas!$F$19*(1+Premissas!$B$127)*(1+Premissas!$B$124)^4</f>
        <v>649.89629562372613</v>
      </c>
      <c r="BH79" s="142">
        <f>BH71*Premissas!$F$19*(1+Premissas!$B$127)*(1+Premissas!$B$124)^4</f>
        <v>649.89629562372613</v>
      </c>
      <c r="BI79" s="142">
        <f>BI71*Premissas!$F$19*(1+Premissas!$B$127)*(1+Premissas!$B$124)^4</f>
        <v>649.89629562372613</v>
      </c>
      <c r="BJ79" s="142">
        <f>BJ71*Premissas!$F$19*(1+Premissas!$B$127)*(1+Premissas!$B$124)^4</f>
        <v>649.89629562372613</v>
      </c>
      <c r="BK79" s="142">
        <f>BK71*Premissas!$F$19*(1+Premissas!$B$127)*(1+Premissas!$B$124)^4</f>
        <v>649.89629562372613</v>
      </c>
    </row>
    <row r="80" spans="1:63" ht="12.75" customHeight="1" x14ac:dyDescent="0.2">
      <c r="A80" s="143" t="s">
        <v>415</v>
      </c>
      <c r="B80" s="144">
        <f>SUM(D80:BQ80)</f>
        <v>77.921673252221936</v>
      </c>
      <c r="C80" s="124">
        <f>B80/60</f>
        <v>1.2986945542036989</v>
      </c>
      <c r="D80" s="144">
        <f>IF(D75&gt;0,0,MAX(D71-D72-D73,0)*Premissas!$B$7*(1+Premissas!$B$127)*(1+Premissas!$B$124)^0)</f>
        <v>52.897351353416056</v>
      </c>
      <c r="E80" s="144">
        <f>IF(E75&gt;0,0,MAX(E71-E72-E73,0)*Premissas!$B$7*(1+Premissas!$B$127)*(1+Premissas!$B$124)^0)</f>
        <v>25.024321898805884</v>
      </c>
      <c r="F80" s="144">
        <f>IF(F75&gt;0,0,MAX(F71-F72-F73,0)*Premissas!$B$7*(1+Premissas!$B$127)*(1+Premissas!$B$124)^0)</f>
        <v>0</v>
      </c>
      <c r="G80" s="144">
        <f>IF(G75&gt;0,0,MAX(G71-G72-G73,0)*Premissas!$B$7*(1+Premissas!$B$127)*(1+Premissas!$B$124)^0)</f>
        <v>0</v>
      </c>
      <c r="H80" s="144">
        <f>IF(H75&gt;0,0,MAX(H71-H72-H73,0)*Premissas!$B$7*(1+Premissas!$B$127)*(1+Premissas!$B$124)^0)</f>
        <v>0</v>
      </c>
      <c r="I80" s="144">
        <f>IF(I75&gt;0,0,MAX(I71-I72-I73,0)*Premissas!$B$7*(1+Premissas!$B$127)*(1+Premissas!$B$124)^0)</f>
        <v>0</v>
      </c>
      <c r="J80" s="144">
        <f>IF(J75&gt;0,0,MAX(J71-J72-J73,0)*Premissas!$B$7*(1+Premissas!$B$127)*(1+Premissas!$B$124)^0)</f>
        <v>0</v>
      </c>
      <c r="K80" s="144">
        <f>IF(K75&gt;0,0,MAX(K71-K72-K73,0)*Premissas!$B$7*(1+Premissas!$B$127)*(1+Premissas!$B$124)^0)</f>
        <v>0</v>
      </c>
      <c r="L80" s="144">
        <f>IF(L75&gt;0,0,MAX(L71-L72-L73,0)*Premissas!$B$7*(1+Premissas!$B$127)*(1+Premissas!$B$124)^0)</f>
        <v>0</v>
      </c>
      <c r="M80" s="144">
        <f>IF(M75&gt;0,0,MAX(M71-M72-M73,0)*Premissas!$B$7*(1+Premissas!$B$127)*(1+Premissas!$B$124)^0)</f>
        <v>0</v>
      </c>
      <c r="N80" s="144">
        <f>IF(N75&gt;0,0,MAX(N71-N72-N73,0)*Premissas!$B$7*(1+Premissas!$B$127)*(1+Premissas!$B$124)^0)</f>
        <v>0</v>
      </c>
      <c r="O80" s="144">
        <f>IF(O75&gt;0,0,MAX(O71-O72-O73,0)*Premissas!$B$7*(1+Premissas!$B$127)*(1+Premissas!$B$124)^0)</f>
        <v>0</v>
      </c>
      <c r="P80" s="144">
        <f>IF(P75&gt;0,0,MAX(P71-P72-P73,0)*Premissas!$B$7*(1+Premissas!$B$127)*(1+Premissas!$B$124)^1)</f>
        <v>0</v>
      </c>
      <c r="Q80" s="144">
        <f>IF(Q75&gt;0,0,MAX(Q71-Q72-Q73,0)*Premissas!$B$7*(1+Premissas!$B$127)*(1+Premissas!$B$124)^1)</f>
        <v>0</v>
      </c>
      <c r="R80" s="144">
        <f>IF(R75&gt;0,0,MAX(R71-R72-R73,0)*Premissas!$B$7*(1+Premissas!$B$127)*(1+Premissas!$B$124)^1)</f>
        <v>0</v>
      </c>
      <c r="S80" s="144">
        <f>IF(S75&gt;0,0,MAX(S71-S72-S73,0)*Premissas!$B$7*(1+Premissas!$B$127)*(1+Premissas!$B$124)^1)</f>
        <v>0</v>
      </c>
      <c r="T80" s="144">
        <f>IF(T75&gt;0,0,MAX(T71-T72-T73,0)*Premissas!$B$7*(1+Premissas!$B$127)*(1+Premissas!$B$124)^1)</f>
        <v>0</v>
      </c>
      <c r="U80" s="144">
        <f>IF(U75&gt;0,0,MAX(U71-U72-U73,0)*Premissas!$B$7*(1+Premissas!$B$127)*(1+Premissas!$B$124)^1)</f>
        <v>0</v>
      </c>
      <c r="V80" s="144">
        <f>IF(V75&gt;0,0,MAX(V71-V72-V73,0)*Premissas!$B$7*(1+Premissas!$B$127)*(1+Premissas!$B$124)^1)</f>
        <v>0</v>
      </c>
      <c r="W80" s="144">
        <f>IF(W75&gt;0,0,MAX(W71-W72-W73,0)*Premissas!$B$7*(1+Premissas!$B$127)*(1+Premissas!$B$124)^1)</f>
        <v>0</v>
      </c>
      <c r="X80" s="144">
        <f>IF(X75&gt;0,0,MAX(X71-X72-X73,0)*Premissas!$B$7*(1+Premissas!$B$127)*(1+Premissas!$B$124)^1)</f>
        <v>0</v>
      </c>
      <c r="Y80" s="144">
        <f>IF(Y75&gt;0,0,MAX(Y71-Y72-Y73,0)*Premissas!$B$7*(1+Premissas!$B$127)*(1+Premissas!$B$124)^1)</f>
        <v>0</v>
      </c>
      <c r="Z80" s="144">
        <f>IF(Z75&gt;0,0,MAX(Z71-Z72-Z73,0)*Premissas!$B$7*(1+Premissas!$B$127)*(1+Premissas!$B$124)^1)</f>
        <v>0</v>
      </c>
      <c r="AA80" s="144">
        <f>IF(AA75&gt;0,0,MAX(AA71-AA72-AA73,0)*Premissas!$B$7*(1+Premissas!$B$127)*(1+Premissas!$B$124)^1)</f>
        <v>0</v>
      </c>
      <c r="AB80" s="144">
        <f>IF(AB75&gt;0,0,MAX(AB71-AB72-AB73,0)*Premissas!$B$7*(1+Premissas!$B$127)*(1+Premissas!$B$124)^2)</f>
        <v>0</v>
      </c>
      <c r="AC80" s="144">
        <f>IF(AC75&gt;0,0,MAX(AC71-AC72-AC73,0)*Premissas!$B$7*(1+Premissas!$B$127)*(1+Premissas!$B$124)^2)</f>
        <v>0</v>
      </c>
      <c r="AD80" s="144">
        <f>IF(AD75&gt;0,0,MAX(AD71-AD72-AD73,0)*Premissas!$B$7*(1+Premissas!$B$127)*(1+Premissas!$B$124)^2)</f>
        <v>0</v>
      </c>
      <c r="AE80" s="144">
        <f>IF(AE75&gt;0,0,MAX(AE71-AE72-AE73,0)*Premissas!$B$7*(1+Premissas!$B$127)*(1+Premissas!$B$124)^2)</f>
        <v>0</v>
      </c>
      <c r="AF80" s="144">
        <f>IF(AF75&gt;0,0,MAX(AF71-AF72-AF73,0)*Premissas!$B$7*(1+Premissas!$B$127)*(1+Premissas!$B$124)^2)</f>
        <v>0</v>
      </c>
      <c r="AG80" s="144">
        <f>IF(AG75&gt;0,0,MAX(AG71-AG72-AG73,0)*Premissas!$B$7*(1+Premissas!$B$127)*(1+Premissas!$B$124)^2)</f>
        <v>0</v>
      </c>
      <c r="AH80" s="144">
        <f>IF(AH75&gt;0,0,MAX(AH71-AH72-AH73,0)*Premissas!$B$7*(1+Premissas!$B$127)*(1+Premissas!$B$124)^2)</f>
        <v>0</v>
      </c>
      <c r="AI80" s="144">
        <f>IF(AI75&gt;0,0,MAX(AI71-AI72-AI73,0)*Premissas!$B$7*(1+Premissas!$B$127)*(1+Premissas!$B$124)^2)</f>
        <v>0</v>
      </c>
      <c r="AJ80" s="144">
        <f>IF(AJ75&gt;0,0,MAX(AJ71-AJ72-AJ73,0)*Premissas!$B$7*(1+Premissas!$B$127)*(1+Premissas!$B$124)^2)</f>
        <v>0</v>
      </c>
      <c r="AK80" s="144">
        <f>IF(AK75&gt;0,0,MAX(AK71-AK72-AK73,0)*Premissas!$B$7*(1+Premissas!$B$127)*(1+Premissas!$B$124)^2)</f>
        <v>0</v>
      </c>
      <c r="AL80" s="144">
        <f>IF(AL75&gt;0,0,MAX(AL71-AL72-AL73,0)*Premissas!$B$7*(1+Premissas!$B$127)*(1+Premissas!$B$124)^2)</f>
        <v>0</v>
      </c>
      <c r="AM80" s="144">
        <f>IF(AM75&gt;0,0,MAX(AM71-AM72-AM73,0)*Premissas!$B$7*(1+Premissas!$B$127)*(1+Premissas!$B$124)^2)</f>
        <v>0</v>
      </c>
      <c r="AN80" s="144">
        <f>IF(AN75&gt;0,0,MAX(AN71-AN72-AN73,0)*Premissas!$B$7*(1+Premissas!$B$127)*(1+Premissas!$B$124)^3)</f>
        <v>0</v>
      </c>
      <c r="AO80" s="144">
        <f>IF(AO75&gt;0,0,MAX(AO71-AO72-AO73,0)*Premissas!$B$7*(1+Premissas!$B$127)*(1+Premissas!$B$124)^3)</f>
        <v>0</v>
      </c>
      <c r="AP80" s="144">
        <f>IF(AP75&gt;0,0,MAX(AP71-AP72-AP73,0)*Premissas!$B$7*(1+Premissas!$B$127)*(1+Premissas!$B$124)^3)</f>
        <v>0</v>
      </c>
      <c r="AQ80" s="144">
        <f>IF(AQ75&gt;0,0,MAX(AQ71-AQ72-AQ73,0)*Premissas!$B$7*(1+Premissas!$B$127)*(1+Premissas!$B$124)^3)</f>
        <v>0</v>
      </c>
      <c r="AR80" s="144">
        <f>IF(AR75&gt;0,0,MAX(AR71-AR72-AR73,0)*Premissas!$B$7*(1+Premissas!$B$127)*(1+Premissas!$B$124)^3)</f>
        <v>0</v>
      </c>
      <c r="AS80" s="144">
        <f>IF(AS75&gt;0,0,MAX(AS71-AS72-AS73,0)*Premissas!$B$7*(1+Premissas!$B$127)*(1+Premissas!$B$124)^3)</f>
        <v>0</v>
      </c>
      <c r="AT80" s="144">
        <f>IF(AT75&gt;0,0,MAX(AT71-AT72-AT73,0)*Premissas!$B$7*(1+Premissas!$B$127)*(1+Premissas!$B$124)^3)</f>
        <v>0</v>
      </c>
      <c r="AU80" s="144">
        <f>IF(AU75&gt;0,0,MAX(AU71-AU72-AU73,0)*Premissas!$B$7*(1+Premissas!$B$127)*(1+Premissas!$B$124)^3)</f>
        <v>0</v>
      </c>
      <c r="AV80" s="144">
        <f>IF(AV75&gt;0,0,MAX(AV71-AV72-AV73,0)*Premissas!$B$7*(1+Premissas!$B$127)*(1+Premissas!$B$124)^3)</f>
        <v>0</v>
      </c>
      <c r="AW80" s="144">
        <f>IF(AW75&gt;0,0,MAX(AW71-AW72-AW73,0)*Premissas!$B$7*(1+Premissas!$B$127)*(1+Premissas!$B$124)^3)</f>
        <v>0</v>
      </c>
      <c r="AX80" s="144">
        <f>IF(AX75&gt;0,0,MAX(AX71-AX72-AX73,0)*Premissas!$B$7*(1+Premissas!$B$127)*(1+Premissas!$B$124)^3)</f>
        <v>0</v>
      </c>
      <c r="AY80" s="144">
        <f>IF(AY75&gt;0,0,MAX(AY71-AY72-AY73,0)*Premissas!$B$7*(1+Premissas!$B$127)*(1+Premissas!$B$124)^3)</f>
        <v>0</v>
      </c>
      <c r="AZ80" s="144">
        <f>IF(AZ75&gt;0,0,MAX(AZ71-AZ72-AZ73,0)*Premissas!$B$7*(1+Premissas!$B$127)*(1+Premissas!$B$124)^4)</f>
        <v>0</v>
      </c>
      <c r="BA80" s="144">
        <f>IF(BA75&gt;0,0,MAX(BA71-BA72-BA73,0)*Premissas!$B$7*(1+Premissas!$B$127)*(1+Premissas!$B$124)^4)</f>
        <v>0</v>
      </c>
      <c r="BB80" s="144">
        <f>IF(BB75&gt;0,0,MAX(BB71-BB72-BB73,0)*Premissas!$B$7*(1+Premissas!$B$127)*(1+Premissas!$B$124)^4)</f>
        <v>0</v>
      </c>
      <c r="BC80" s="144">
        <f>IF(BC75&gt;0,0,MAX(BC71-BC72-BC73,0)*Premissas!$B$7*(1+Premissas!$B$127)*(1+Premissas!$B$124)^4)</f>
        <v>0</v>
      </c>
      <c r="BD80" s="144">
        <f>IF(BD75&gt;0,0,MAX(BD71-BD72-BD73,0)*Premissas!$B$7*(1+Premissas!$B$127)*(1+Premissas!$B$124)^4)</f>
        <v>0</v>
      </c>
      <c r="BE80" s="144">
        <f>IF(BE75&gt;0,0,MAX(BE71-BE72-BE73,0)*Premissas!$B$7*(1+Premissas!$B$127)*(1+Premissas!$B$124)^4)</f>
        <v>0</v>
      </c>
      <c r="BF80" s="144">
        <f>IF(BF75&gt;0,0,MAX(BF71-BF72-BF73,0)*Premissas!$B$7*(1+Premissas!$B$127)*(1+Premissas!$B$124)^4)</f>
        <v>0</v>
      </c>
      <c r="BG80" s="144">
        <f>IF(BG75&gt;0,0,MAX(BG71-BG72-BG73,0)*Premissas!$B$7*(1+Premissas!$B$127)*(1+Premissas!$B$124)^4)</f>
        <v>0</v>
      </c>
      <c r="BH80" s="144">
        <f>IF(BH75&gt;0,0,MAX(BH71-BH72-BH73,0)*Premissas!$B$7*(1+Premissas!$B$127)*(1+Premissas!$B$124)^4)</f>
        <v>0</v>
      </c>
      <c r="BI80" s="144">
        <f>IF(BI75&gt;0,0,MAX(BI71-BI72-BI73,0)*Premissas!$B$7*(1+Premissas!$B$127)*(1+Premissas!$B$124)^4)</f>
        <v>0</v>
      </c>
      <c r="BJ80" s="144">
        <f>IF(BJ75&gt;0,0,MAX(BJ71-BJ72-BJ73,0)*Premissas!$B$7*(1+Premissas!$B$127)*(1+Premissas!$B$124)^4)</f>
        <v>0</v>
      </c>
      <c r="BK80" s="144">
        <f>IF(BK75&gt;0,0,MAX(BK71-BK72-BK73,0)*Premissas!$B$7*(1+Premissas!$B$127)*(1+Premissas!$B$124)^4)</f>
        <v>0</v>
      </c>
    </row>
    <row r="81" spans="1:63" ht="13.5" customHeight="1" x14ac:dyDescent="0.2">
      <c r="A81" s="41" t="s">
        <v>416</v>
      </c>
      <c r="B81" s="44">
        <f>SUM(D81:BQ81)</f>
        <v>33240.23918460618</v>
      </c>
      <c r="C81" s="124">
        <f>B81/60</f>
        <v>554.00398641010304</v>
      </c>
      <c r="D81" s="145">
        <f t="shared" ref="D81:AI81" si="66">MAX(D79-D80,0)</f>
        <v>413.466777836939</v>
      </c>
      <c r="E81" s="145">
        <f t="shared" si="66"/>
        <v>441.33980729154916</v>
      </c>
      <c r="F81" s="145">
        <f t="shared" si="66"/>
        <v>466.36412919035507</v>
      </c>
      <c r="G81" s="145">
        <f t="shared" si="66"/>
        <v>466.36412919035507</v>
      </c>
      <c r="H81" s="145">
        <f t="shared" si="66"/>
        <v>466.36412919035507</v>
      </c>
      <c r="I81" s="145">
        <f t="shared" si="66"/>
        <v>466.36412919035507</v>
      </c>
      <c r="J81" s="145">
        <f t="shared" si="66"/>
        <v>466.36412919035507</v>
      </c>
      <c r="K81" s="145">
        <f t="shared" si="66"/>
        <v>478.02323242011386</v>
      </c>
      <c r="L81" s="145">
        <f t="shared" si="66"/>
        <v>478.02323242011386</v>
      </c>
      <c r="M81" s="145">
        <f t="shared" si="66"/>
        <v>478.02323242011386</v>
      </c>
      <c r="N81" s="145">
        <f t="shared" si="66"/>
        <v>478.02323242011386</v>
      </c>
      <c r="O81" s="145">
        <f t="shared" si="66"/>
        <v>478.02323242011386</v>
      </c>
      <c r="P81" s="145">
        <f t="shared" si="66"/>
        <v>506.70462636532073</v>
      </c>
      <c r="Q81" s="145">
        <f t="shared" si="66"/>
        <v>506.70462636532073</v>
      </c>
      <c r="R81" s="145">
        <f t="shared" si="66"/>
        <v>506.70462636532073</v>
      </c>
      <c r="S81" s="145">
        <f t="shared" si="66"/>
        <v>506.70462636532073</v>
      </c>
      <c r="T81" s="145">
        <f t="shared" si="66"/>
        <v>506.70462636532073</v>
      </c>
      <c r="U81" s="145">
        <f t="shared" si="66"/>
        <v>506.70462636532073</v>
      </c>
      <c r="V81" s="145">
        <f t="shared" si="66"/>
        <v>506.70462636532073</v>
      </c>
      <c r="W81" s="145">
        <f t="shared" si="66"/>
        <v>506.70462636532073</v>
      </c>
      <c r="X81" s="145">
        <f t="shared" si="66"/>
        <v>506.70462636532073</v>
      </c>
      <c r="Y81" s="145">
        <f t="shared" si="66"/>
        <v>506.70462636532073</v>
      </c>
      <c r="Z81" s="145">
        <f t="shared" si="66"/>
        <v>506.70462636532073</v>
      </c>
      <c r="AA81" s="145">
        <f t="shared" si="66"/>
        <v>506.70462636532073</v>
      </c>
      <c r="AB81" s="145">
        <f t="shared" si="66"/>
        <v>550.53457654592103</v>
      </c>
      <c r="AC81" s="145">
        <f t="shared" si="66"/>
        <v>550.53457654592103</v>
      </c>
      <c r="AD81" s="145">
        <f t="shared" si="66"/>
        <v>550.53457654592103</v>
      </c>
      <c r="AE81" s="145">
        <f t="shared" si="66"/>
        <v>550.53457654592103</v>
      </c>
      <c r="AF81" s="145">
        <f t="shared" si="66"/>
        <v>550.53457654592103</v>
      </c>
      <c r="AG81" s="145">
        <f t="shared" si="66"/>
        <v>550.53457654592103</v>
      </c>
      <c r="AH81" s="145">
        <f t="shared" si="66"/>
        <v>550.53457654592103</v>
      </c>
      <c r="AI81" s="145">
        <f t="shared" si="66"/>
        <v>550.53457654592103</v>
      </c>
      <c r="AJ81" s="145">
        <f t="shared" ref="AJ81:BO81" si="67">MAX(AJ79-AJ80,0)</f>
        <v>550.53457654592103</v>
      </c>
      <c r="AK81" s="145">
        <f t="shared" si="67"/>
        <v>550.53457654592103</v>
      </c>
      <c r="AL81" s="145">
        <f t="shared" si="67"/>
        <v>550.53457654592103</v>
      </c>
      <c r="AM81" s="145">
        <f t="shared" si="67"/>
        <v>550.53457654592103</v>
      </c>
      <c r="AN81" s="145">
        <f t="shared" si="67"/>
        <v>598.15581741714334</v>
      </c>
      <c r="AO81" s="145">
        <f t="shared" si="67"/>
        <v>598.15581741714334</v>
      </c>
      <c r="AP81" s="145">
        <f t="shared" si="67"/>
        <v>598.15581741714334</v>
      </c>
      <c r="AQ81" s="145">
        <f t="shared" si="67"/>
        <v>598.15581741714334</v>
      </c>
      <c r="AR81" s="145">
        <f t="shared" si="67"/>
        <v>598.15581741714334</v>
      </c>
      <c r="AS81" s="145">
        <f t="shared" si="67"/>
        <v>598.15581741714334</v>
      </c>
      <c r="AT81" s="145">
        <f t="shared" si="67"/>
        <v>598.15581741714334</v>
      </c>
      <c r="AU81" s="145">
        <f t="shared" si="67"/>
        <v>598.15581741714334</v>
      </c>
      <c r="AV81" s="145">
        <f t="shared" si="67"/>
        <v>598.15581741714334</v>
      </c>
      <c r="AW81" s="145">
        <f t="shared" si="67"/>
        <v>598.15581741714334</v>
      </c>
      <c r="AX81" s="145">
        <f t="shared" si="67"/>
        <v>598.15581741714334</v>
      </c>
      <c r="AY81" s="145">
        <f t="shared" si="67"/>
        <v>598.15581741714334</v>
      </c>
      <c r="AZ81" s="145">
        <f t="shared" si="67"/>
        <v>649.89629562372613</v>
      </c>
      <c r="BA81" s="145">
        <f t="shared" si="67"/>
        <v>649.89629562372613</v>
      </c>
      <c r="BB81" s="145">
        <f t="shared" si="67"/>
        <v>649.89629562372613</v>
      </c>
      <c r="BC81" s="145">
        <f t="shared" si="67"/>
        <v>649.89629562372613</v>
      </c>
      <c r="BD81" s="145">
        <f t="shared" si="67"/>
        <v>649.89629562372613</v>
      </c>
      <c r="BE81" s="145">
        <f t="shared" si="67"/>
        <v>649.89629562372613</v>
      </c>
      <c r="BF81" s="145">
        <f t="shared" si="67"/>
        <v>649.89629562372613</v>
      </c>
      <c r="BG81" s="145">
        <f t="shared" si="67"/>
        <v>649.89629562372613</v>
      </c>
      <c r="BH81" s="145">
        <f t="shared" si="67"/>
        <v>649.89629562372613</v>
      </c>
      <c r="BI81" s="145">
        <f t="shared" si="67"/>
        <v>649.89629562372613</v>
      </c>
      <c r="BJ81" s="145">
        <f t="shared" si="67"/>
        <v>649.89629562372613</v>
      </c>
      <c r="BK81" s="145">
        <f t="shared" si="67"/>
        <v>649.89629562372613</v>
      </c>
    </row>
    <row r="83" spans="1:63" ht="15" customHeight="1" x14ac:dyDescent="0.2">
      <c r="A83" s="298" t="s">
        <v>423</v>
      </c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89"/>
      <c r="P83" s="289"/>
      <c r="Q83" s="289"/>
      <c r="R83" s="289"/>
      <c r="S83" s="289"/>
      <c r="T83" s="289"/>
      <c r="U83" s="289"/>
      <c r="V83" s="289"/>
      <c r="W83" s="289"/>
      <c r="X83" s="289"/>
      <c r="Y83" s="289"/>
      <c r="Z83" s="289"/>
      <c r="AA83" s="289"/>
    </row>
    <row r="84" spans="1:63" ht="12.75" customHeight="1" x14ac:dyDescent="0.2">
      <c r="A84" s="147" t="s">
        <v>403</v>
      </c>
      <c r="B84" s="148">
        <f>SUM(D84:BQ84)</f>
        <v>37820.510601562535</v>
      </c>
      <c r="C84" s="120">
        <f>B84/60</f>
        <v>630.34184335937562</v>
      </c>
      <c r="D84" s="148">
        <v>364</v>
      </c>
      <c r="E84" s="148">
        <v>293</v>
      </c>
      <c r="F84" s="148">
        <v>369</v>
      </c>
      <c r="G84" s="148">
        <v>674</v>
      </c>
      <c r="H84" s="148">
        <v>752</v>
      </c>
      <c r="I84" s="148">
        <v>769</v>
      </c>
      <c r="J84" s="148">
        <v>670</v>
      </c>
      <c r="K84" s="148">
        <f>389*(1+Premissas!$B$21)</f>
        <v>398.72499999999997</v>
      </c>
      <c r="L84" s="148">
        <f>895*(1+Premissas!$B$21)</f>
        <v>917.37499999999989</v>
      </c>
      <c r="M84" s="148">
        <f>944*(1+Premissas!$B$21)</f>
        <v>967.59999999999991</v>
      </c>
      <c r="N84" s="148">
        <f>528*(1+Premissas!$B$21)</f>
        <v>541.19999999999993</v>
      </c>
      <c r="O84" s="148">
        <f>595*(1+Premissas!$B$21)</f>
        <v>609.875</v>
      </c>
      <c r="P84" s="148">
        <f>364*(1+Premissas!$B$21)</f>
        <v>373.09999999999997</v>
      </c>
      <c r="Q84" s="148">
        <f>293*(1+Premissas!$B$21)</f>
        <v>300.32499999999999</v>
      </c>
      <c r="R84" s="148">
        <f>369*(1+Premissas!$B$21)</f>
        <v>378.22499999999997</v>
      </c>
      <c r="S84" s="148">
        <f>674*(1+Premissas!$B$21)</f>
        <v>690.84999999999991</v>
      </c>
      <c r="T84" s="148">
        <f>752*(1+Premissas!$B$21)</f>
        <v>770.8</v>
      </c>
      <c r="U84" s="148">
        <f>769*(1+Premissas!$B$21)</f>
        <v>788.22499999999991</v>
      </c>
      <c r="V84" s="148">
        <f>670*(1+Premissas!$B$21)</f>
        <v>686.74999999999989</v>
      </c>
      <c r="W84" s="148">
        <f>389*(1+Premissas!$B$21)</f>
        <v>398.72499999999997</v>
      </c>
      <c r="X84" s="148">
        <f>895*(1+Premissas!$B$21)</f>
        <v>917.37499999999989</v>
      </c>
      <c r="Y84" s="148">
        <f>944*(1+Premissas!$B$21)</f>
        <v>967.59999999999991</v>
      </c>
      <c r="Z84" s="148">
        <f>528*(1+Premissas!$B$21)</f>
        <v>541.19999999999993</v>
      </c>
      <c r="AA84" s="148">
        <f>595*(1+Premissas!$B$21)</f>
        <v>609.875</v>
      </c>
      <c r="AB84" s="148">
        <f>595*(1+Premissas!$B$21)^2</f>
        <v>625.12187499999993</v>
      </c>
      <c r="AC84" s="148">
        <f>595*(1+Premissas!$B$21)^2</f>
        <v>625.12187499999993</v>
      </c>
      <c r="AD84" s="148">
        <f>595*(1+Premissas!$B$21)^2</f>
        <v>625.12187499999993</v>
      </c>
      <c r="AE84" s="148">
        <f>595*(1+Premissas!$B$21)^2</f>
        <v>625.12187499999993</v>
      </c>
      <c r="AF84" s="148">
        <f>595*(1+Premissas!$B$21)^2</f>
        <v>625.12187499999993</v>
      </c>
      <c r="AG84" s="148">
        <f>595*(1+Premissas!$B$21)^2</f>
        <v>625.12187499999993</v>
      </c>
      <c r="AH84" s="148">
        <f>595*(1+Premissas!$B$21)^2</f>
        <v>625.12187499999993</v>
      </c>
      <c r="AI84" s="148">
        <f>595*(1+Premissas!$B$21)^2</f>
        <v>625.12187499999993</v>
      </c>
      <c r="AJ84" s="148">
        <f>595*(1+Premissas!$B$21)^2</f>
        <v>625.12187499999993</v>
      </c>
      <c r="AK84" s="148">
        <f>595*(1+Premissas!$B$21)^2</f>
        <v>625.12187499999993</v>
      </c>
      <c r="AL84" s="148">
        <f>595*(1+Premissas!$B$21)^2</f>
        <v>625.12187499999993</v>
      </c>
      <c r="AM84" s="148">
        <f>595*(1+Premissas!$B$21)^2</f>
        <v>625.12187499999993</v>
      </c>
      <c r="AN84" s="148">
        <f>595*(1+Premissas!$B$21)^3</f>
        <v>640.74992187499993</v>
      </c>
      <c r="AO84" s="148">
        <f>595*(1+Premissas!$B$21)^3</f>
        <v>640.74992187499993</v>
      </c>
      <c r="AP84" s="148">
        <f>595*(1+Premissas!$B$21)^3</f>
        <v>640.74992187499993</v>
      </c>
      <c r="AQ84" s="148">
        <f>595*(1+Premissas!$B$21)^3</f>
        <v>640.74992187499993</v>
      </c>
      <c r="AR84" s="148">
        <f>595*(1+Premissas!$B$21)^3</f>
        <v>640.74992187499993</v>
      </c>
      <c r="AS84" s="148">
        <f>595*(1+Premissas!$B$21)^3</f>
        <v>640.74992187499993</v>
      </c>
      <c r="AT84" s="148">
        <f>595*(1+Premissas!$B$21)^3</f>
        <v>640.74992187499993</v>
      </c>
      <c r="AU84" s="148">
        <f>595*(1+Premissas!$B$21)^3</f>
        <v>640.74992187499993</v>
      </c>
      <c r="AV84" s="148">
        <f>595*(1+Premissas!$B$21)^3</f>
        <v>640.74992187499993</v>
      </c>
      <c r="AW84" s="148">
        <f>595*(1+Premissas!$B$21)^3</f>
        <v>640.74992187499993</v>
      </c>
      <c r="AX84" s="148">
        <f>595*(1+Premissas!$B$21)^3</f>
        <v>640.74992187499993</v>
      </c>
      <c r="AY84" s="148">
        <f>595*(1+Premissas!$B$21)^3</f>
        <v>640.74992187499993</v>
      </c>
      <c r="AZ84" s="148">
        <f>595*(1+Premissas!$B$21)^4</f>
        <v>656.7686699218749</v>
      </c>
      <c r="BA84" s="148">
        <f>595*(1+Premissas!$B$21)^4</f>
        <v>656.7686699218749</v>
      </c>
      <c r="BB84" s="148">
        <f>595*(1+Premissas!$B$21)^4</f>
        <v>656.7686699218749</v>
      </c>
      <c r="BC84" s="148">
        <f>595*(1+Premissas!$B$21)^4</f>
        <v>656.7686699218749</v>
      </c>
      <c r="BD84" s="148">
        <f>595*(1+Premissas!$B$21)^4</f>
        <v>656.7686699218749</v>
      </c>
      <c r="BE84" s="148">
        <f>595*(1+Premissas!$B$21)^4</f>
        <v>656.7686699218749</v>
      </c>
      <c r="BF84" s="148">
        <f>595*(1+Premissas!$B$21)^4</f>
        <v>656.7686699218749</v>
      </c>
      <c r="BG84" s="148">
        <f>595*(1+Premissas!$B$21)^4</f>
        <v>656.7686699218749</v>
      </c>
      <c r="BH84" s="148">
        <f>595*(1+Premissas!$B$21)^4</f>
        <v>656.7686699218749</v>
      </c>
      <c r="BI84" s="148">
        <f>595*(1+Premissas!$B$21)^4</f>
        <v>656.7686699218749</v>
      </c>
      <c r="BJ84" s="148">
        <f>595*(1+Premissas!$B$21)^4</f>
        <v>656.7686699218749</v>
      </c>
      <c r="BK84" s="148">
        <f>595*(1+Premissas!$B$21)^4</f>
        <v>656.7686699218749</v>
      </c>
    </row>
    <row r="85" spans="1:63" ht="12.75" customHeight="1" x14ac:dyDescent="0.2">
      <c r="A85" s="122" t="str">
        <f>"  "&amp;INDEX(PVSYST_Helexia!$A$5:$A$7,MATCH(Premissas!$B$13,PVSYST_Helexia!$B$5:$B$7,0))&amp;" créditos recebidos (kWh)"</f>
        <v xml:space="preserve">  HCS03 créditos recebidos (kWh)</v>
      </c>
      <c r="B85" s="135">
        <f>SUM(D85:BQ85)</f>
        <v>37348.970524093391</v>
      </c>
      <c r="C85" s="120">
        <f>B85/60</f>
        <v>622.48284206822314</v>
      </c>
      <c r="D85" s="136">
        <f>D6*Premissas!$B$38</f>
        <v>384.36899999999997</v>
      </c>
      <c r="E85" s="136">
        <f>E6*Premissas!$B$38</f>
        <v>404.58099999999996</v>
      </c>
      <c r="F85" s="136">
        <f>F6*Premissas!$B$38</f>
        <v>485.67699999999996</v>
      </c>
      <c r="G85" s="136">
        <f>G6*Premissas!$B$38</f>
        <v>455.73099999999999</v>
      </c>
      <c r="H85" s="136">
        <f>H6*Premissas!$C$38</f>
        <v>1163.316</v>
      </c>
      <c r="I85" s="136">
        <f>I6*Premissas!$C$38</f>
        <v>1124.816</v>
      </c>
      <c r="J85" s="136">
        <f>J6*Premissas!$C$38</f>
        <v>1068.067</v>
      </c>
      <c r="K85" s="136">
        <f>K6*Premissas!$C$38</f>
        <v>1096.6671099999999</v>
      </c>
      <c r="L85" s="136">
        <f>L6*Premissas!$C$38</f>
        <v>977.22432500000002</v>
      </c>
      <c r="M85" s="136">
        <f>M6*Premissas!$C$38</f>
        <v>1120.87745</v>
      </c>
      <c r="N85" s="136">
        <f>N6*Premissas!$D$38</f>
        <v>566.47538999999995</v>
      </c>
      <c r="O85" s="136">
        <f>O6*Premissas!$D$38</f>
        <v>530.15391</v>
      </c>
      <c r="P85" s="136">
        <f>P6*Premissas!$D$38</f>
        <v>481.14319499999999</v>
      </c>
      <c r="Q85" s="136">
        <f>Q6*Premissas!$D$38</f>
        <v>506.44405499999993</v>
      </c>
      <c r="R85" s="136">
        <f>R6*Premissas!$D$38</f>
        <v>607.95793499999991</v>
      </c>
      <c r="S85" s="136">
        <f>S6*Premissas!$D$38</f>
        <v>570.47230500000001</v>
      </c>
      <c r="T85" s="136">
        <f>T6*Premissas!$E$38</f>
        <v>1082.3371199999999</v>
      </c>
      <c r="U85" s="136">
        <f>U6*Premissas!$E$38</f>
        <v>1046.51712</v>
      </c>
      <c r="V85" s="136">
        <f>V6*Premissas!$E$38</f>
        <v>993.7184400000001</v>
      </c>
      <c r="W85" s="136">
        <f>W6*Premissas!$E$38</f>
        <v>1025.4549599999998</v>
      </c>
      <c r="X85" s="136">
        <f>X6*Premissas!$E$38</f>
        <v>913.76819999999998</v>
      </c>
      <c r="Y85" s="136">
        <f>Y6*Premissas!$E$38</f>
        <v>1048.0932</v>
      </c>
      <c r="Z85" s="136">
        <f>Z6*Premissas!$E$38</f>
        <v>1045.80072</v>
      </c>
      <c r="AA85" s="136">
        <f>AA6*Premissas!$E$38</f>
        <v>978.74567999999988</v>
      </c>
      <c r="AB85" s="136">
        <f>AB6*Premissas!$F$38</f>
        <v>392.81023920000001</v>
      </c>
      <c r="AC85" s="136">
        <f>AC6*Premissas!$F$38</f>
        <v>413.4661208</v>
      </c>
      <c r="AD85" s="136">
        <f>AD6*Premissas!$F$38</f>
        <v>496.34309360000009</v>
      </c>
      <c r="AE85" s="136">
        <f>AE6*Premissas!$F$38</f>
        <v>465.73944080000001</v>
      </c>
      <c r="AF85" s="136">
        <f>AF6*Premissas!$F$38</f>
        <v>478.63352640000005</v>
      </c>
      <c r="AG85" s="136">
        <f>AG6*Premissas!$F$38</f>
        <v>462.79312640000006</v>
      </c>
      <c r="AH85" s="136">
        <f>AH6*Premissas!$G$38</f>
        <v>466.90965034999999</v>
      </c>
      <c r="AI85" s="136">
        <f>AI6*Premissas!$G$38</f>
        <v>481.8214069</v>
      </c>
      <c r="AJ85" s="136">
        <f>AJ6*Premissas!$G$38</f>
        <v>429.34414175000001</v>
      </c>
      <c r="AK85" s="136">
        <f>AK6*Premissas!$G$38</f>
        <v>492.4582355</v>
      </c>
      <c r="AL85" s="136">
        <f>AL6*Premissas!$G$38</f>
        <v>491.38108829999999</v>
      </c>
      <c r="AM85" s="136">
        <f>AM6*Premissas!$G$38</f>
        <v>459.87453270000003</v>
      </c>
      <c r="AN85" s="136">
        <f>AN6*Premissas!$H$38</f>
        <v>390.84618800400006</v>
      </c>
      <c r="AO85" s="136">
        <f>AO6*Premissas!$H$38</f>
        <v>411.39879019599999</v>
      </c>
      <c r="AP85" s="136">
        <f>AP6*Premissas!$H$38</f>
        <v>493.86137813200003</v>
      </c>
      <c r="AQ85" s="136">
        <f>AQ6*Premissas!$H$38</f>
        <v>463.41074359600009</v>
      </c>
      <c r="AR85" s="136">
        <f>AR6*Premissas!$H$38</f>
        <v>476.24035876800002</v>
      </c>
      <c r="AS85" s="136">
        <f>AS6*Premissas!$H$38</f>
        <v>460.47916076800004</v>
      </c>
      <c r="AT85" s="136">
        <f>AT6*Premissas!$I$38</f>
        <v>464.57510209824994</v>
      </c>
      <c r="AU85" s="136">
        <f>AU6*Premissas!$I$38</f>
        <v>479.41229986549996</v>
      </c>
      <c r="AV85" s="136">
        <f>AV6*Premissas!$I$38</f>
        <v>427.19742104124998</v>
      </c>
      <c r="AW85" s="136">
        <f>AW6*Premissas!$I$38</f>
        <v>489.99594432250001</v>
      </c>
      <c r="AX85" s="136">
        <f>AX6*Premissas!$I$38</f>
        <v>488.92418285849999</v>
      </c>
      <c r="AY85" s="136">
        <f>AY6*Premissas!$I$38</f>
        <v>457.57516003649994</v>
      </c>
      <c r="AZ85" s="136">
        <f>AZ6*Premissas!$J$38</f>
        <v>449.65632535522695</v>
      </c>
      <c r="BA85" s="136">
        <f>BA6*Premissas!$J$38</f>
        <v>473.30145190830439</v>
      </c>
      <c r="BB85" s="136">
        <f>BB6*Premissas!$J$38</f>
        <v>568.17208237279942</v>
      </c>
      <c r="BC85" s="136">
        <f>BC6*Premissas!$J$38</f>
        <v>533.13957892146072</v>
      </c>
      <c r="BD85" s="136">
        <f>BD6*Premissas!$J$38</f>
        <v>547.89965025137258</v>
      </c>
      <c r="BE85" s="136">
        <f>BE6*Premissas!$J$38</f>
        <v>529.76688448981008</v>
      </c>
      <c r="BF85" s="136">
        <f>BF6*Premissas!$K$38</f>
        <v>584.61311009628321</v>
      </c>
      <c r="BG85" s="136">
        <f>BG6*Premissas!$K$38</f>
        <v>603.28397793368879</v>
      </c>
      <c r="BH85" s="136">
        <f>BH6*Premissas!$K$38</f>
        <v>537.57769586029065</v>
      </c>
      <c r="BI85" s="136">
        <f>BI6*Premissas!$K$38</f>
        <v>616.60224934818132</v>
      </c>
      <c r="BJ85" s="136">
        <f>BJ6*Premissas!$K$38</f>
        <v>615.25356363532137</v>
      </c>
      <c r="BK85" s="136">
        <f>BK6*Premissas!$K$38</f>
        <v>575.80450653416631</v>
      </c>
    </row>
    <row r="86" spans="1:63" ht="12.75" customHeight="1" x14ac:dyDescent="0.2">
      <c r="A86" s="126" t="s">
        <v>409</v>
      </c>
      <c r="B86" s="120">
        <f>AA86</f>
        <v>4560.7124350000013</v>
      </c>
      <c r="C86" s="120" t="s">
        <v>397</v>
      </c>
      <c r="D86" s="120">
        <f>0</f>
        <v>0</v>
      </c>
      <c r="E86" s="120">
        <f t="shared" ref="E86:AJ86" si="68">D88</f>
        <v>20.368999999999971</v>
      </c>
      <c r="F86" s="120">
        <f t="shared" si="68"/>
        <v>131.94999999999993</v>
      </c>
      <c r="G86" s="120">
        <f t="shared" si="68"/>
        <v>248.6269999999999</v>
      </c>
      <c r="H86" s="120">
        <f t="shared" si="68"/>
        <v>30.35799999999989</v>
      </c>
      <c r="I86" s="120">
        <f t="shared" si="68"/>
        <v>441.67399999999992</v>
      </c>
      <c r="J86" s="120">
        <f t="shared" si="68"/>
        <v>797.49</v>
      </c>
      <c r="K86" s="120">
        <f t="shared" si="68"/>
        <v>1195.557</v>
      </c>
      <c r="L86" s="120">
        <f t="shared" si="68"/>
        <v>1893.49911</v>
      </c>
      <c r="M86" s="120">
        <f t="shared" si="68"/>
        <v>1953.3484350000001</v>
      </c>
      <c r="N86" s="120">
        <f t="shared" si="68"/>
        <v>2106.6258850000004</v>
      </c>
      <c r="O86" s="120">
        <f t="shared" si="68"/>
        <v>2131.9012750000002</v>
      </c>
      <c r="P86" s="120">
        <f t="shared" si="68"/>
        <v>2052.1801850000002</v>
      </c>
      <c r="Q86" s="120">
        <f t="shared" si="68"/>
        <v>2160.2233800000004</v>
      </c>
      <c r="R86" s="120">
        <f t="shared" si="68"/>
        <v>2366.3424350000005</v>
      </c>
      <c r="S86" s="120">
        <f t="shared" si="68"/>
        <v>2596.0753700000005</v>
      </c>
      <c r="T86" s="120">
        <f t="shared" si="68"/>
        <v>2475.6976750000003</v>
      </c>
      <c r="U86" s="120">
        <f t="shared" si="68"/>
        <v>2787.2347950000003</v>
      </c>
      <c r="V86" s="120">
        <f t="shared" si="68"/>
        <v>3045.5269150000004</v>
      </c>
      <c r="W86" s="120">
        <f t="shared" si="68"/>
        <v>3352.4953550000005</v>
      </c>
      <c r="X86" s="120">
        <f t="shared" si="68"/>
        <v>3979.2253150000006</v>
      </c>
      <c r="Y86" s="120">
        <f t="shared" si="68"/>
        <v>3975.6185150000006</v>
      </c>
      <c r="Z86" s="120">
        <f t="shared" si="68"/>
        <v>4056.1117150000009</v>
      </c>
      <c r="AA86" s="120">
        <f t="shared" si="68"/>
        <v>4560.7124350000013</v>
      </c>
      <c r="AB86" s="120">
        <f t="shared" si="68"/>
        <v>4929.5831150000013</v>
      </c>
      <c r="AC86" s="120">
        <f t="shared" si="68"/>
        <v>4697.2714792000015</v>
      </c>
      <c r="AD86" s="120">
        <f t="shared" si="68"/>
        <v>4485.6157250000015</v>
      </c>
      <c r="AE86" s="120">
        <f t="shared" si="68"/>
        <v>4356.8369436000012</v>
      </c>
      <c r="AF86" s="120">
        <f t="shared" si="68"/>
        <v>4197.4545094000014</v>
      </c>
      <c r="AG86" s="120">
        <f t="shared" si="68"/>
        <v>4050.9661608000015</v>
      </c>
      <c r="AH86" s="120">
        <f t="shared" si="68"/>
        <v>3888.6374122000016</v>
      </c>
      <c r="AI86" s="120">
        <f t="shared" si="68"/>
        <v>3730.4251875500017</v>
      </c>
      <c r="AJ86" s="120">
        <f t="shared" si="68"/>
        <v>3587.124719450002</v>
      </c>
      <c r="AK86" s="120">
        <f t="shared" ref="AK86:BK86" si="69">AJ88</f>
        <v>3391.346986200002</v>
      </c>
      <c r="AL86" s="120">
        <f t="shared" si="69"/>
        <v>3258.6833467000019</v>
      </c>
      <c r="AM86" s="120">
        <f t="shared" si="69"/>
        <v>3124.9425600000022</v>
      </c>
      <c r="AN86" s="120">
        <f t="shared" si="69"/>
        <v>2959.6952177000021</v>
      </c>
      <c r="AO86" s="120">
        <f t="shared" si="69"/>
        <v>2709.7914838290021</v>
      </c>
      <c r="AP86" s="120">
        <f t="shared" si="69"/>
        <v>2480.4403521500021</v>
      </c>
      <c r="AQ86" s="120">
        <f t="shared" si="69"/>
        <v>2333.5518084070022</v>
      </c>
      <c r="AR86" s="120">
        <f t="shared" si="69"/>
        <v>2156.2126301280023</v>
      </c>
      <c r="AS86" s="120">
        <f t="shared" si="69"/>
        <v>1991.7030670210024</v>
      </c>
      <c r="AT86" s="120">
        <f t="shared" si="69"/>
        <v>1811.4323059140024</v>
      </c>
      <c r="AU86" s="120">
        <f t="shared" si="69"/>
        <v>1635.2574861372525</v>
      </c>
      <c r="AV86" s="120">
        <f t="shared" si="69"/>
        <v>1473.9198641277526</v>
      </c>
      <c r="AW86" s="120">
        <f t="shared" si="69"/>
        <v>1260.3673632940026</v>
      </c>
      <c r="AX86" s="120">
        <f t="shared" si="69"/>
        <v>1109.6133857415027</v>
      </c>
      <c r="AY86" s="120">
        <f t="shared" si="69"/>
        <v>957.78764672500279</v>
      </c>
      <c r="AZ86" s="120">
        <f t="shared" si="69"/>
        <v>774.6128848865028</v>
      </c>
      <c r="BA86" s="120">
        <f t="shared" si="69"/>
        <v>567.50054031985485</v>
      </c>
      <c r="BB86" s="120">
        <f t="shared" si="69"/>
        <v>384.03332230628433</v>
      </c>
      <c r="BC86" s="120">
        <f t="shared" si="69"/>
        <v>295.43673475720885</v>
      </c>
      <c r="BD86" s="120">
        <f t="shared" si="69"/>
        <v>171.80764375679468</v>
      </c>
      <c r="BE86" s="120">
        <f t="shared" si="69"/>
        <v>62.93862408629235</v>
      </c>
      <c r="BF86" s="120">
        <f t="shared" si="69"/>
        <v>0</v>
      </c>
      <c r="BG86" s="120">
        <f t="shared" si="69"/>
        <v>0</v>
      </c>
      <c r="BH86" s="120">
        <f t="shared" si="69"/>
        <v>0</v>
      </c>
      <c r="BI86" s="120">
        <f t="shared" si="69"/>
        <v>0</v>
      </c>
      <c r="BJ86" s="120">
        <f t="shared" si="69"/>
        <v>0</v>
      </c>
      <c r="BK86" s="120">
        <f t="shared" si="69"/>
        <v>0</v>
      </c>
    </row>
    <row r="87" spans="1:63" ht="12.75" customHeight="1" x14ac:dyDescent="0.2">
      <c r="A87" s="126" t="s">
        <v>410</v>
      </c>
      <c r="B87" s="120">
        <f>SUM(D87:BQ87)</f>
        <v>5351.5577000000012</v>
      </c>
      <c r="C87" s="120">
        <f>B87/60</f>
        <v>89.19262833333336</v>
      </c>
      <c r="D87" s="120">
        <f t="shared" ref="D87:AI87" si="70">MIN(D86,MAX(D84-D85,0))</f>
        <v>0</v>
      </c>
      <c r="E87" s="120">
        <f t="shared" si="70"/>
        <v>0</v>
      </c>
      <c r="F87" s="120">
        <f t="shared" si="70"/>
        <v>0</v>
      </c>
      <c r="G87" s="120">
        <f t="shared" si="70"/>
        <v>218.26900000000001</v>
      </c>
      <c r="H87" s="120">
        <f t="shared" si="70"/>
        <v>0</v>
      </c>
      <c r="I87" s="120">
        <f t="shared" si="70"/>
        <v>0</v>
      </c>
      <c r="J87" s="120">
        <f t="shared" si="70"/>
        <v>0</v>
      </c>
      <c r="K87" s="120">
        <f t="shared" si="70"/>
        <v>0</v>
      </c>
      <c r="L87" s="120">
        <f t="shared" si="70"/>
        <v>0</v>
      </c>
      <c r="M87" s="120">
        <f t="shared" si="70"/>
        <v>0</v>
      </c>
      <c r="N87" s="120">
        <f t="shared" si="70"/>
        <v>0</v>
      </c>
      <c r="O87" s="120">
        <f t="shared" si="70"/>
        <v>79.721090000000004</v>
      </c>
      <c r="P87" s="120">
        <f t="shared" si="70"/>
        <v>0</v>
      </c>
      <c r="Q87" s="120">
        <f t="shared" si="70"/>
        <v>0</v>
      </c>
      <c r="R87" s="120">
        <f t="shared" si="70"/>
        <v>0</v>
      </c>
      <c r="S87" s="120">
        <f t="shared" si="70"/>
        <v>120.3776949999999</v>
      </c>
      <c r="T87" s="120">
        <f t="shared" si="70"/>
        <v>0</v>
      </c>
      <c r="U87" s="120">
        <f t="shared" si="70"/>
        <v>0</v>
      </c>
      <c r="V87" s="120">
        <f t="shared" si="70"/>
        <v>0</v>
      </c>
      <c r="W87" s="120">
        <f t="shared" si="70"/>
        <v>0</v>
      </c>
      <c r="X87" s="120">
        <f t="shared" si="70"/>
        <v>3.6067999999999074</v>
      </c>
      <c r="Y87" s="120">
        <f t="shared" si="70"/>
        <v>0</v>
      </c>
      <c r="Z87" s="120">
        <f t="shared" si="70"/>
        <v>0</v>
      </c>
      <c r="AA87" s="120">
        <f t="shared" si="70"/>
        <v>0</v>
      </c>
      <c r="AB87" s="120">
        <f t="shared" si="70"/>
        <v>232.31163579999992</v>
      </c>
      <c r="AC87" s="120">
        <f t="shared" si="70"/>
        <v>211.65575419999993</v>
      </c>
      <c r="AD87" s="120">
        <f t="shared" si="70"/>
        <v>128.77878139999984</v>
      </c>
      <c r="AE87" s="120">
        <f t="shared" si="70"/>
        <v>159.38243419999992</v>
      </c>
      <c r="AF87" s="120">
        <f t="shared" si="70"/>
        <v>146.48834859999988</v>
      </c>
      <c r="AG87" s="120">
        <f t="shared" si="70"/>
        <v>162.32874859999987</v>
      </c>
      <c r="AH87" s="120">
        <f t="shared" si="70"/>
        <v>158.21222464999994</v>
      </c>
      <c r="AI87" s="120">
        <f t="shared" si="70"/>
        <v>143.30046809999993</v>
      </c>
      <c r="AJ87" s="120">
        <f t="shared" ref="AJ87:BO87" si="71">MIN(AJ86,MAX(AJ84-AJ85,0))</f>
        <v>195.77773324999993</v>
      </c>
      <c r="AK87" s="120">
        <f t="shared" si="71"/>
        <v>132.66363949999993</v>
      </c>
      <c r="AL87" s="120">
        <f t="shared" si="71"/>
        <v>133.74078669999994</v>
      </c>
      <c r="AM87" s="120">
        <f t="shared" si="71"/>
        <v>165.2473422999999</v>
      </c>
      <c r="AN87" s="120">
        <f t="shared" si="71"/>
        <v>249.90373387099987</v>
      </c>
      <c r="AO87" s="120">
        <f t="shared" si="71"/>
        <v>229.35113167899993</v>
      </c>
      <c r="AP87" s="120">
        <f t="shared" si="71"/>
        <v>146.8885437429999</v>
      </c>
      <c r="AQ87" s="120">
        <f t="shared" si="71"/>
        <v>177.33917827899984</v>
      </c>
      <c r="AR87" s="120">
        <f t="shared" si="71"/>
        <v>164.50956310699991</v>
      </c>
      <c r="AS87" s="120">
        <f t="shared" si="71"/>
        <v>180.27076110699988</v>
      </c>
      <c r="AT87" s="120">
        <f t="shared" si="71"/>
        <v>176.17481977674998</v>
      </c>
      <c r="AU87" s="120">
        <f t="shared" si="71"/>
        <v>161.33762200949997</v>
      </c>
      <c r="AV87" s="120">
        <f t="shared" si="71"/>
        <v>213.55250083374995</v>
      </c>
      <c r="AW87" s="120">
        <f t="shared" si="71"/>
        <v>150.75397755249992</v>
      </c>
      <c r="AX87" s="120">
        <f t="shared" si="71"/>
        <v>151.82573901649994</v>
      </c>
      <c r="AY87" s="120">
        <f t="shared" si="71"/>
        <v>183.17476183849999</v>
      </c>
      <c r="AZ87" s="120">
        <f t="shared" si="71"/>
        <v>207.11234456664795</v>
      </c>
      <c r="BA87" s="120">
        <f t="shared" si="71"/>
        <v>183.46721801357052</v>
      </c>
      <c r="BB87" s="120">
        <f t="shared" si="71"/>
        <v>88.59658754907548</v>
      </c>
      <c r="BC87" s="120">
        <f t="shared" si="71"/>
        <v>123.62909100041418</v>
      </c>
      <c r="BD87" s="120">
        <f t="shared" si="71"/>
        <v>108.86901967050233</v>
      </c>
      <c r="BE87" s="120">
        <f t="shared" si="71"/>
        <v>62.93862408629235</v>
      </c>
      <c r="BF87" s="120">
        <f t="shared" si="71"/>
        <v>0</v>
      </c>
      <c r="BG87" s="120">
        <f t="shared" si="71"/>
        <v>0</v>
      </c>
      <c r="BH87" s="120">
        <f t="shared" si="71"/>
        <v>0</v>
      </c>
      <c r="BI87" s="120">
        <f t="shared" si="71"/>
        <v>0</v>
      </c>
      <c r="BJ87" s="120">
        <f t="shared" si="71"/>
        <v>0</v>
      </c>
      <c r="BK87" s="120">
        <f t="shared" si="71"/>
        <v>0</v>
      </c>
    </row>
    <row r="88" spans="1:63" ht="13.5" customHeight="1" x14ac:dyDescent="0.2">
      <c r="A88" s="41" t="s">
        <v>411</v>
      </c>
      <c r="B88" s="43">
        <f>AA88</f>
        <v>4929.5831150000013</v>
      </c>
      <c r="C88" s="120" t="s">
        <v>397</v>
      </c>
      <c r="D88" s="137">
        <f t="shared" ref="D88:AI88" si="72">MAX(D86-D87,0)+MAX(D85-D84,0)</f>
        <v>20.368999999999971</v>
      </c>
      <c r="E88" s="137">
        <f t="shared" si="72"/>
        <v>131.94999999999993</v>
      </c>
      <c r="F88" s="137">
        <f t="shared" si="72"/>
        <v>248.6269999999999</v>
      </c>
      <c r="G88" s="137">
        <f t="shared" si="72"/>
        <v>30.35799999999989</v>
      </c>
      <c r="H88" s="137">
        <f t="shared" si="72"/>
        <v>441.67399999999992</v>
      </c>
      <c r="I88" s="137">
        <f t="shared" si="72"/>
        <v>797.49</v>
      </c>
      <c r="J88" s="137">
        <f t="shared" si="72"/>
        <v>1195.557</v>
      </c>
      <c r="K88" s="137">
        <f t="shared" si="72"/>
        <v>1893.49911</v>
      </c>
      <c r="L88" s="137">
        <f t="shared" si="72"/>
        <v>1953.3484350000001</v>
      </c>
      <c r="M88" s="137">
        <f t="shared" si="72"/>
        <v>2106.6258850000004</v>
      </c>
      <c r="N88" s="137">
        <f t="shared" si="72"/>
        <v>2131.9012750000002</v>
      </c>
      <c r="O88" s="137">
        <f t="shared" si="72"/>
        <v>2052.1801850000002</v>
      </c>
      <c r="P88" s="137">
        <f t="shared" si="72"/>
        <v>2160.2233800000004</v>
      </c>
      <c r="Q88" s="137">
        <f t="shared" si="72"/>
        <v>2366.3424350000005</v>
      </c>
      <c r="R88" s="137">
        <f t="shared" si="72"/>
        <v>2596.0753700000005</v>
      </c>
      <c r="S88" s="137">
        <f t="shared" si="72"/>
        <v>2475.6976750000003</v>
      </c>
      <c r="T88" s="137">
        <f t="shared" si="72"/>
        <v>2787.2347950000003</v>
      </c>
      <c r="U88" s="137">
        <f t="shared" si="72"/>
        <v>3045.5269150000004</v>
      </c>
      <c r="V88" s="137">
        <f t="shared" si="72"/>
        <v>3352.4953550000005</v>
      </c>
      <c r="W88" s="137">
        <f t="shared" si="72"/>
        <v>3979.2253150000006</v>
      </c>
      <c r="X88" s="137">
        <f t="shared" si="72"/>
        <v>3975.6185150000006</v>
      </c>
      <c r="Y88" s="137">
        <f t="shared" si="72"/>
        <v>4056.1117150000009</v>
      </c>
      <c r="Z88" s="137">
        <f t="shared" si="72"/>
        <v>4560.7124350000013</v>
      </c>
      <c r="AA88" s="137">
        <f t="shared" si="72"/>
        <v>4929.5831150000013</v>
      </c>
      <c r="AB88" s="137">
        <f t="shared" si="72"/>
        <v>4697.2714792000015</v>
      </c>
      <c r="AC88" s="137">
        <f t="shared" si="72"/>
        <v>4485.6157250000015</v>
      </c>
      <c r="AD88" s="137">
        <f t="shared" si="72"/>
        <v>4356.8369436000012</v>
      </c>
      <c r="AE88" s="137">
        <f t="shared" si="72"/>
        <v>4197.4545094000014</v>
      </c>
      <c r="AF88" s="137">
        <f t="shared" si="72"/>
        <v>4050.9661608000015</v>
      </c>
      <c r="AG88" s="137">
        <f t="shared" si="72"/>
        <v>3888.6374122000016</v>
      </c>
      <c r="AH88" s="137">
        <f t="shared" si="72"/>
        <v>3730.4251875500017</v>
      </c>
      <c r="AI88" s="137">
        <f t="shared" si="72"/>
        <v>3587.124719450002</v>
      </c>
      <c r="AJ88" s="137">
        <f t="shared" ref="AJ88:BO88" si="73">MAX(AJ86-AJ87,0)+MAX(AJ85-AJ84,0)</f>
        <v>3391.346986200002</v>
      </c>
      <c r="AK88" s="137">
        <f t="shared" si="73"/>
        <v>3258.6833467000019</v>
      </c>
      <c r="AL88" s="137">
        <f t="shared" si="73"/>
        <v>3124.9425600000022</v>
      </c>
      <c r="AM88" s="137">
        <f t="shared" si="73"/>
        <v>2959.6952177000021</v>
      </c>
      <c r="AN88" s="137">
        <f t="shared" si="73"/>
        <v>2709.7914838290021</v>
      </c>
      <c r="AO88" s="137">
        <f t="shared" si="73"/>
        <v>2480.4403521500021</v>
      </c>
      <c r="AP88" s="137">
        <f t="shared" si="73"/>
        <v>2333.5518084070022</v>
      </c>
      <c r="AQ88" s="137">
        <f t="shared" si="73"/>
        <v>2156.2126301280023</v>
      </c>
      <c r="AR88" s="137">
        <f t="shared" si="73"/>
        <v>1991.7030670210024</v>
      </c>
      <c r="AS88" s="137">
        <f t="shared" si="73"/>
        <v>1811.4323059140024</v>
      </c>
      <c r="AT88" s="137">
        <f t="shared" si="73"/>
        <v>1635.2574861372525</v>
      </c>
      <c r="AU88" s="137">
        <f t="shared" si="73"/>
        <v>1473.9198641277526</v>
      </c>
      <c r="AV88" s="137">
        <f t="shared" si="73"/>
        <v>1260.3673632940026</v>
      </c>
      <c r="AW88" s="137">
        <f t="shared" si="73"/>
        <v>1109.6133857415027</v>
      </c>
      <c r="AX88" s="137">
        <f t="shared" si="73"/>
        <v>957.78764672500279</v>
      </c>
      <c r="AY88" s="137">
        <f t="shared" si="73"/>
        <v>774.6128848865028</v>
      </c>
      <c r="AZ88" s="137">
        <f t="shared" si="73"/>
        <v>567.50054031985485</v>
      </c>
      <c r="BA88" s="137">
        <f t="shared" si="73"/>
        <v>384.03332230628433</v>
      </c>
      <c r="BB88" s="137">
        <f t="shared" si="73"/>
        <v>295.43673475720885</v>
      </c>
      <c r="BC88" s="137">
        <f t="shared" si="73"/>
        <v>171.80764375679468</v>
      </c>
      <c r="BD88" s="137">
        <f t="shared" si="73"/>
        <v>62.93862408629235</v>
      </c>
      <c r="BE88" s="137">
        <f t="shared" si="73"/>
        <v>0</v>
      </c>
      <c r="BF88" s="137">
        <f t="shared" si="73"/>
        <v>0</v>
      </c>
      <c r="BG88" s="137">
        <f t="shared" si="73"/>
        <v>0</v>
      </c>
      <c r="BH88" s="137">
        <f t="shared" si="73"/>
        <v>0</v>
      </c>
      <c r="BI88" s="137">
        <f t="shared" si="73"/>
        <v>0</v>
      </c>
      <c r="BJ88" s="137">
        <f t="shared" si="73"/>
        <v>0</v>
      </c>
      <c r="BK88" s="137">
        <f t="shared" si="73"/>
        <v>0</v>
      </c>
    </row>
    <row r="89" spans="1:63" ht="12.75" customHeight="1" x14ac:dyDescent="0.2">
      <c r="A89" s="127" t="s">
        <v>412</v>
      </c>
      <c r="B89" s="128">
        <f>AA89</f>
        <v>0</v>
      </c>
      <c r="C89" s="120" t="s">
        <v>397</v>
      </c>
      <c r="D89" s="128">
        <f>0</f>
        <v>0</v>
      </c>
      <c r="E89" s="128">
        <f t="shared" ref="E89:AJ89" si="74">D91</f>
        <v>0</v>
      </c>
      <c r="F89" s="128">
        <f t="shared" si="74"/>
        <v>0</v>
      </c>
      <c r="G89" s="128">
        <f t="shared" si="74"/>
        <v>0</v>
      </c>
      <c r="H89" s="128">
        <f t="shared" si="74"/>
        <v>0</v>
      </c>
      <c r="I89" s="128">
        <f t="shared" si="74"/>
        <v>0</v>
      </c>
      <c r="J89" s="128">
        <f t="shared" si="74"/>
        <v>0</v>
      </c>
      <c r="K89" s="128">
        <f t="shared" si="74"/>
        <v>0</v>
      </c>
      <c r="L89" s="128">
        <f t="shared" si="74"/>
        <v>0</v>
      </c>
      <c r="M89" s="128">
        <f t="shared" si="74"/>
        <v>0</v>
      </c>
      <c r="N89" s="128">
        <f t="shared" si="74"/>
        <v>0</v>
      </c>
      <c r="O89" s="128">
        <f t="shared" si="74"/>
        <v>0</v>
      </c>
      <c r="P89" s="128">
        <f t="shared" si="74"/>
        <v>0</v>
      </c>
      <c r="Q89" s="128">
        <f t="shared" si="74"/>
        <v>0</v>
      </c>
      <c r="R89" s="128">
        <f t="shared" si="74"/>
        <v>0</v>
      </c>
      <c r="S89" s="128">
        <f t="shared" si="74"/>
        <v>0</v>
      </c>
      <c r="T89" s="128">
        <f t="shared" si="74"/>
        <v>0</v>
      </c>
      <c r="U89" s="128">
        <f t="shared" si="74"/>
        <v>0</v>
      </c>
      <c r="V89" s="128">
        <f t="shared" si="74"/>
        <v>0</v>
      </c>
      <c r="W89" s="128">
        <f t="shared" si="74"/>
        <v>0</v>
      </c>
      <c r="X89" s="128">
        <f t="shared" si="74"/>
        <v>0</v>
      </c>
      <c r="Y89" s="128">
        <f t="shared" si="74"/>
        <v>0</v>
      </c>
      <c r="Z89" s="128">
        <f t="shared" si="74"/>
        <v>0</v>
      </c>
      <c r="AA89" s="128">
        <f t="shared" si="74"/>
        <v>0</v>
      </c>
      <c r="AB89" s="128">
        <f t="shared" si="74"/>
        <v>0</v>
      </c>
      <c r="AC89" s="128">
        <f t="shared" si="74"/>
        <v>0</v>
      </c>
      <c r="AD89" s="128">
        <f t="shared" si="74"/>
        <v>0</v>
      </c>
      <c r="AE89" s="128">
        <f t="shared" si="74"/>
        <v>0</v>
      </c>
      <c r="AF89" s="128">
        <f t="shared" si="74"/>
        <v>0</v>
      </c>
      <c r="AG89" s="128">
        <f t="shared" si="74"/>
        <v>0</v>
      </c>
      <c r="AH89" s="128">
        <f t="shared" si="74"/>
        <v>0</v>
      </c>
      <c r="AI89" s="128">
        <f t="shared" si="74"/>
        <v>0</v>
      </c>
      <c r="AJ89" s="128">
        <f t="shared" si="74"/>
        <v>0</v>
      </c>
      <c r="AK89" s="128">
        <f t="shared" ref="AK89:BK89" si="75">AJ91</f>
        <v>0</v>
      </c>
      <c r="AL89" s="128">
        <f t="shared" si="75"/>
        <v>0</v>
      </c>
      <c r="AM89" s="128">
        <f t="shared" si="75"/>
        <v>0</v>
      </c>
      <c r="AN89" s="128">
        <f t="shared" si="75"/>
        <v>0</v>
      </c>
      <c r="AO89" s="128">
        <f t="shared" si="75"/>
        <v>0</v>
      </c>
      <c r="AP89" s="128">
        <f t="shared" si="75"/>
        <v>0</v>
      </c>
      <c r="AQ89" s="128">
        <f t="shared" si="75"/>
        <v>0</v>
      </c>
      <c r="AR89" s="128">
        <f t="shared" si="75"/>
        <v>0</v>
      </c>
      <c r="AS89" s="128">
        <f t="shared" si="75"/>
        <v>0</v>
      </c>
      <c r="AT89" s="128">
        <f t="shared" si="75"/>
        <v>0</v>
      </c>
      <c r="AU89" s="128">
        <f t="shared" si="75"/>
        <v>0</v>
      </c>
      <c r="AV89" s="128">
        <f t="shared" si="75"/>
        <v>0</v>
      </c>
      <c r="AW89" s="128">
        <f t="shared" si="75"/>
        <v>0</v>
      </c>
      <c r="AX89" s="128">
        <f t="shared" si="75"/>
        <v>0</v>
      </c>
      <c r="AY89" s="128">
        <f t="shared" si="75"/>
        <v>0</v>
      </c>
      <c r="AZ89" s="128">
        <f t="shared" si="75"/>
        <v>0</v>
      </c>
      <c r="BA89" s="128">
        <f t="shared" si="75"/>
        <v>0</v>
      </c>
      <c r="BB89" s="128">
        <f t="shared" si="75"/>
        <v>0</v>
      </c>
      <c r="BC89" s="128">
        <f t="shared" si="75"/>
        <v>0</v>
      </c>
      <c r="BD89" s="128">
        <f t="shared" si="75"/>
        <v>0</v>
      </c>
      <c r="BE89" s="128">
        <f t="shared" si="75"/>
        <v>0</v>
      </c>
      <c r="BF89" s="128">
        <f t="shared" si="75"/>
        <v>0</v>
      </c>
      <c r="BG89" s="128">
        <f t="shared" si="75"/>
        <v>0</v>
      </c>
      <c r="BH89" s="128">
        <f t="shared" si="75"/>
        <v>0</v>
      </c>
      <c r="BI89" s="128">
        <f t="shared" si="75"/>
        <v>0</v>
      </c>
      <c r="BJ89" s="128">
        <f t="shared" si="75"/>
        <v>0</v>
      </c>
      <c r="BK89" s="128">
        <f t="shared" si="75"/>
        <v>0</v>
      </c>
    </row>
    <row r="90" spans="1:63" ht="12.75" customHeight="1" x14ac:dyDescent="0.2">
      <c r="A90" s="127" t="s">
        <v>420</v>
      </c>
      <c r="B90" s="128">
        <f>SUM(D90:BQ90)</f>
        <v>0</v>
      </c>
      <c r="C90" s="120">
        <f>B90/60</f>
        <v>0</v>
      </c>
      <c r="D90" s="128">
        <f t="shared" ref="D90:AI90" si="76">MIN(D89,D84)</f>
        <v>0</v>
      </c>
      <c r="E90" s="128">
        <f t="shared" si="76"/>
        <v>0</v>
      </c>
      <c r="F90" s="128">
        <f t="shared" si="76"/>
        <v>0</v>
      </c>
      <c r="G90" s="128">
        <f t="shared" si="76"/>
        <v>0</v>
      </c>
      <c r="H90" s="128">
        <f t="shared" si="76"/>
        <v>0</v>
      </c>
      <c r="I90" s="128">
        <f t="shared" si="76"/>
        <v>0</v>
      </c>
      <c r="J90" s="128">
        <f t="shared" si="76"/>
        <v>0</v>
      </c>
      <c r="K90" s="128">
        <f t="shared" si="76"/>
        <v>0</v>
      </c>
      <c r="L90" s="128">
        <f t="shared" si="76"/>
        <v>0</v>
      </c>
      <c r="M90" s="128">
        <f t="shared" si="76"/>
        <v>0</v>
      </c>
      <c r="N90" s="128">
        <f t="shared" si="76"/>
        <v>0</v>
      </c>
      <c r="O90" s="128">
        <f t="shared" si="76"/>
        <v>0</v>
      </c>
      <c r="P90" s="128">
        <f t="shared" si="76"/>
        <v>0</v>
      </c>
      <c r="Q90" s="128">
        <f t="shared" si="76"/>
        <v>0</v>
      </c>
      <c r="R90" s="128">
        <f t="shared" si="76"/>
        <v>0</v>
      </c>
      <c r="S90" s="128">
        <f t="shared" si="76"/>
        <v>0</v>
      </c>
      <c r="T90" s="128">
        <f t="shared" si="76"/>
        <v>0</v>
      </c>
      <c r="U90" s="128">
        <f t="shared" si="76"/>
        <v>0</v>
      </c>
      <c r="V90" s="128">
        <f t="shared" si="76"/>
        <v>0</v>
      </c>
      <c r="W90" s="128">
        <f t="shared" si="76"/>
        <v>0</v>
      </c>
      <c r="X90" s="128">
        <f t="shared" si="76"/>
        <v>0</v>
      </c>
      <c r="Y90" s="128">
        <f t="shared" si="76"/>
        <v>0</v>
      </c>
      <c r="Z90" s="128">
        <f t="shared" si="76"/>
        <v>0</v>
      </c>
      <c r="AA90" s="128">
        <f t="shared" si="76"/>
        <v>0</v>
      </c>
      <c r="AB90" s="128">
        <f t="shared" si="76"/>
        <v>0</v>
      </c>
      <c r="AC90" s="128">
        <f t="shared" si="76"/>
        <v>0</v>
      </c>
      <c r="AD90" s="128">
        <f t="shared" si="76"/>
        <v>0</v>
      </c>
      <c r="AE90" s="128">
        <f t="shared" si="76"/>
        <v>0</v>
      </c>
      <c r="AF90" s="128">
        <f t="shared" si="76"/>
        <v>0</v>
      </c>
      <c r="AG90" s="128">
        <f t="shared" si="76"/>
        <v>0</v>
      </c>
      <c r="AH90" s="128">
        <f t="shared" si="76"/>
        <v>0</v>
      </c>
      <c r="AI90" s="128">
        <f t="shared" si="76"/>
        <v>0</v>
      </c>
      <c r="AJ90" s="128">
        <f t="shared" ref="AJ90:BO90" si="77">MIN(AJ89,AJ84)</f>
        <v>0</v>
      </c>
      <c r="AK90" s="128">
        <f t="shared" si="77"/>
        <v>0</v>
      </c>
      <c r="AL90" s="128">
        <f t="shared" si="77"/>
        <v>0</v>
      </c>
      <c r="AM90" s="128">
        <f t="shared" si="77"/>
        <v>0</v>
      </c>
      <c r="AN90" s="128">
        <f t="shared" si="77"/>
        <v>0</v>
      </c>
      <c r="AO90" s="128">
        <f t="shared" si="77"/>
        <v>0</v>
      </c>
      <c r="AP90" s="128">
        <f t="shared" si="77"/>
        <v>0</v>
      </c>
      <c r="AQ90" s="128">
        <f t="shared" si="77"/>
        <v>0</v>
      </c>
      <c r="AR90" s="128">
        <f t="shared" si="77"/>
        <v>0</v>
      </c>
      <c r="AS90" s="128">
        <f t="shared" si="77"/>
        <v>0</v>
      </c>
      <c r="AT90" s="128">
        <f t="shared" si="77"/>
        <v>0</v>
      </c>
      <c r="AU90" s="128">
        <f t="shared" si="77"/>
        <v>0</v>
      </c>
      <c r="AV90" s="128">
        <f t="shared" si="77"/>
        <v>0</v>
      </c>
      <c r="AW90" s="128">
        <f t="shared" si="77"/>
        <v>0</v>
      </c>
      <c r="AX90" s="128">
        <f t="shared" si="77"/>
        <v>0</v>
      </c>
      <c r="AY90" s="128">
        <f t="shared" si="77"/>
        <v>0</v>
      </c>
      <c r="AZ90" s="128">
        <f t="shared" si="77"/>
        <v>0</v>
      </c>
      <c r="BA90" s="128">
        <f t="shared" si="77"/>
        <v>0</v>
      </c>
      <c r="BB90" s="128">
        <f t="shared" si="77"/>
        <v>0</v>
      </c>
      <c r="BC90" s="128">
        <f t="shared" si="77"/>
        <v>0</v>
      </c>
      <c r="BD90" s="128">
        <f t="shared" si="77"/>
        <v>0</v>
      </c>
      <c r="BE90" s="128">
        <f t="shared" si="77"/>
        <v>0</v>
      </c>
      <c r="BF90" s="128">
        <f t="shared" si="77"/>
        <v>0</v>
      </c>
      <c r="BG90" s="128">
        <f t="shared" si="77"/>
        <v>0</v>
      </c>
      <c r="BH90" s="128">
        <f t="shared" si="77"/>
        <v>0</v>
      </c>
      <c r="BI90" s="128">
        <f t="shared" si="77"/>
        <v>0</v>
      </c>
      <c r="BJ90" s="128">
        <f t="shared" si="77"/>
        <v>0</v>
      </c>
      <c r="BK90" s="128">
        <f t="shared" si="77"/>
        <v>0</v>
      </c>
    </row>
    <row r="91" spans="1:63" ht="12.75" customHeight="1" x14ac:dyDescent="0.2">
      <c r="A91" s="127" t="s">
        <v>421</v>
      </c>
      <c r="B91" s="128">
        <f>AA91</f>
        <v>0</v>
      </c>
      <c r="C91" s="120" t="s">
        <v>397</v>
      </c>
      <c r="D91" s="149">
        <f t="shared" ref="D91:AI91" si="78">MAX(D89-D90,0)</f>
        <v>0</v>
      </c>
      <c r="E91" s="149">
        <f t="shared" si="78"/>
        <v>0</v>
      </c>
      <c r="F91" s="149">
        <f t="shared" si="78"/>
        <v>0</v>
      </c>
      <c r="G91" s="149">
        <f t="shared" si="78"/>
        <v>0</v>
      </c>
      <c r="H91" s="149">
        <f t="shared" si="78"/>
        <v>0</v>
      </c>
      <c r="I91" s="149">
        <f t="shared" si="78"/>
        <v>0</v>
      </c>
      <c r="J91" s="149">
        <f t="shared" si="78"/>
        <v>0</v>
      </c>
      <c r="K91" s="149">
        <f t="shared" si="78"/>
        <v>0</v>
      </c>
      <c r="L91" s="149">
        <f t="shared" si="78"/>
        <v>0</v>
      </c>
      <c r="M91" s="149">
        <f t="shared" si="78"/>
        <v>0</v>
      </c>
      <c r="N91" s="149">
        <f t="shared" si="78"/>
        <v>0</v>
      </c>
      <c r="O91" s="149">
        <f t="shared" si="78"/>
        <v>0</v>
      </c>
      <c r="P91" s="149">
        <f t="shared" si="78"/>
        <v>0</v>
      </c>
      <c r="Q91" s="149">
        <f t="shared" si="78"/>
        <v>0</v>
      </c>
      <c r="R91" s="149">
        <f t="shared" si="78"/>
        <v>0</v>
      </c>
      <c r="S91" s="149">
        <f t="shared" si="78"/>
        <v>0</v>
      </c>
      <c r="T91" s="149">
        <f t="shared" si="78"/>
        <v>0</v>
      </c>
      <c r="U91" s="149">
        <f t="shared" si="78"/>
        <v>0</v>
      </c>
      <c r="V91" s="149">
        <f t="shared" si="78"/>
        <v>0</v>
      </c>
      <c r="W91" s="149">
        <f t="shared" si="78"/>
        <v>0</v>
      </c>
      <c r="X91" s="149">
        <f t="shared" si="78"/>
        <v>0</v>
      </c>
      <c r="Y91" s="149">
        <f t="shared" si="78"/>
        <v>0</v>
      </c>
      <c r="Z91" s="149">
        <f t="shared" si="78"/>
        <v>0</v>
      </c>
      <c r="AA91" s="149">
        <f t="shared" si="78"/>
        <v>0</v>
      </c>
      <c r="AB91" s="149">
        <f t="shared" si="78"/>
        <v>0</v>
      </c>
      <c r="AC91" s="149">
        <f t="shared" si="78"/>
        <v>0</v>
      </c>
      <c r="AD91" s="149">
        <f t="shared" si="78"/>
        <v>0</v>
      </c>
      <c r="AE91" s="149">
        <f t="shared" si="78"/>
        <v>0</v>
      </c>
      <c r="AF91" s="149">
        <f t="shared" si="78"/>
        <v>0</v>
      </c>
      <c r="AG91" s="149">
        <f t="shared" si="78"/>
        <v>0</v>
      </c>
      <c r="AH91" s="149">
        <f t="shared" si="78"/>
        <v>0</v>
      </c>
      <c r="AI91" s="149">
        <f t="shared" si="78"/>
        <v>0</v>
      </c>
      <c r="AJ91" s="149">
        <f t="shared" ref="AJ91:BO91" si="79">MAX(AJ89-AJ90,0)</f>
        <v>0</v>
      </c>
      <c r="AK91" s="149">
        <f t="shared" si="79"/>
        <v>0</v>
      </c>
      <c r="AL91" s="149">
        <f t="shared" si="79"/>
        <v>0</v>
      </c>
      <c r="AM91" s="149">
        <f t="shared" si="79"/>
        <v>0</v>
      </c>
      <c r="AN91" s="149">
        <f t="shared" si="79"/>
        <v>0</v>
      </c>
      <c r="AO91" s="149">
        <f t="shared" si="79"/>
        <v>0</v>
      </c>
      <c r="AP91" s="149">
        <f t="shared" si="79"/>
        <v>0</v>
      </c>
      <c r="AQ91" s="149">
        <f t="shared" si="79"/>
        <v>0</v>
      </c>
      <c r="AR91" s="149">
        <f t="shared" si="79"/>
        <v>0</v>
      </c>
      <c r="AS91" s="149">
        <f t="shared" si="79"/>
        <v>0</v>
      </c>
      <c r="AT91" s="149">
        <f t="shared" si="79"/>
        <v>0</v>
      </c>
      <c r="AU91" s="149">
        <f t="shared" si="79"/>
        <v>0</v>
      </c>
      <c r="AV91" s="149">
        <f t="shared" si="79"/>
        <v>0</v>
      </c>
      <c r="AW91" s="149">
        <f t="shared" si="79"/>
        <v>0</v>
      </c>
      <c r="AX91" s="149">
        <f t="shared" si="79"/>
        <v>0</v>
      </c>
      <c r="AY91" s="149">
        <f t="shared" si="79"/>
        <v>0</v>
      </c>
      <c r="AZ91" s="149">
        <f t="shared" si="79"/>
        <v>0</v>
      </c>
      <c r="BA91" s="149">
        <f t="shared" si="79"/>
        <v>0</v>
      </c>
      <c r="BB91" s="149">
        <f t="shared" si="79"/>
        <v>0</v>
      </c>
      <c r="BC91" s="149">
        <f t="shared" si="79"/>
        <v>0</v>
      </c>
      <c r="BD91" s="149">
        <f t="shared" si="79"/>
        <v>0</v>
      </c>
      <c r="BE91" s="149">
        <f t="shared" si="79"/>
        <v>0</v>
      </c>
      <c r="BF91" s="149">
        <f t="shared" si="79"/>
        <v>0</v>
      </c>
      <c r="BG91" s="149">
        <f t="shared" si="79"/>
        <v>0</v>
      </c>
      <c r="BH91" s="149">
        <f t="shared" si="79"/>
        <v>0</v>
      </c>
      <c r="BI91" s="149">
        <f t="shared" si="79"/>
        <v>0</v>
      </c>
      <c r="BJ91" s="149">
        <f t="shared" si="79"/>
        <v>0</v>
      </c>
      <c r="BK91" s="149">
        <f t="shared" si="79"/>
        <v>0</v>
      </c>
    </row>
    <row r="92" spans="1:63" ht="12.75" customHeight="1" x14ac:dyDescent="0.2">
      <c r="A9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92" s="142">
        <f>SUM(D92:BQ92)</f>
        <v>44284.316769570702</v>
      </c>
      <c r="C92" s="124">
        <f>B92/60</f>
        <v>738.07194615951164</v>
      </c>
      <c r="D92" s="142">
        <f>D84*Premissas!$F$19*(1+Premissas!$B$127)*(1+Premissas!$B$124)^0</f>
        <v>377.23676227842054</v>
      </c>
      <c r="E92" s="142">
        <f>E84*Premissas!$F$19*(1+Premissas!$B$127)*(1+Premissas!$B$124)^0</f>
        <v>303.65486633949786</v>
      </c>
      <c r="F92" s="142">
        <f>F84*Premissas!$F$19*(1+Premissas!$B$127)*(1+Premissas!$B$124)^0</f>
        <v>382.41858593609118</v>
      </c>
      <c r="G92" s="142">
        <f>G84*Premissas!$F$19*(1+Premissas!$B$127)*(1+Premissas!$B$124)^0</f>
        <v>698.50982905399849</v>
      </c>
      <c r="H92" s="142">
        <f>H84*Premissas!$F$19*(1+Premissas!$B$127)*(1+Premissas!$B$124)^0</f>
        <v>779.34627811365999</v>
      </c>
      <c r="I92" s="142">
        <f>I84*Premissas!$F$19*(1+Premissas!$B$127)*(1+Premissas!$B$124)^0</f>
        <v>796.96447854974019</v>
      </c>
      <c r="J92" s="142">
        <f>J84*Premissas!$F$19*(1+Premissas!$B$127)*(1+Premissas!$B$124)^0</f>
        <v>694.36437012786212</v>
      </c>
      <c r="K92" s="142">
        <f>K84*Premissas!$F$19*(1+Premissas!$B$127)*(1+Premissas!$B$124)^0</f>
        <v>413.22452758094295</v>
      </c>
      <c r="L92" s="142">
        <f>L84*Premissas!$F$19*(1+Premissas!$B$127)*(1+Premissas!$B$124)^0</f>
        <v>950.73509559111551</v>
      </c>
      <c r="M92" s="142">
        <f>M84*Premissas!$F$19*(1+Premissas!$B$127)*(1+Premissas!$B$124)^0</f>
        <v>1002.7865142324167</v>
      </c>
      <c r="N92" s="142">
        <f>N84*Premissas!$F$19*(1+Premissas!$B$127)*(1+Premissas!$B$124)^0</f>
        <v>560.88059270626695</v>
      </c>
      <c r="O92" s="142">
        <f>O84*Premissas!$F$19*(1+Premissas!$B$127)*(1+Premissas!$B$124)^0</f>
        <v>632.05294064437294</v>
      </c>
      <c r="P92" s="142">
        <f>P84*Premissas!$F$19*(1+Premissas!$B$127)*(1+Premissas!$B$124)^1</f>
        <v>409.86774221550388</v>
      </c>
      <c r="Q92" s="142">
        <f>Q84*Premissas!$F$19*(1+Premissas!$B$127)*(1+Premissas!$B$124)^1</f>
        <v>329.92101227786452</v>
      </c>
      <c r="R92" s="142">
        <f>R84*Premissas!$F$19*(1+Premissas!$B$127)*(1+Premissas!$B$124)^1</f>
        <v>415.49779361956303</v>
      </c>
      <c r="S92" s="142">
        <f>S84*Premissas!$F$19*(1+Premissas!$B$127)*(1+Premissas!$B$124)^1</f>
        <v>758.93092926716929</v>
      </c>
      <c r="T92" s="142">
        <f>T84*Premissas!$F$19*(1+Premissas!$B$127)*(1+Premissas!$B$124)^1</f>
        <v>846.7597311704917</v>
      </c>
      <c r="U92" s="142">
        <f>U84*Premissas!$F$19*(1+Premissas!$B$127)*(1+Premissas!$B$124)^1</f>
        <v>865.90190594429259</v>
      </c>
      <c r="V92" s="142">
        <f>V84*Premissas!$F$19*(1+Premissas!$B$127)*(1+Premissas!$B$124)^1</f>
        <v>754.42688814392204</v>
      </c>
      <c r="W92" s="142">
        <f>W84*Premissas!$F$19*(1+Premissas!$B$127)*(1+Premissas!$B$124)^1</f>
        <v>438.01799923579955</v>
      </c>
      <c r="X92" s="142">
        <f>X84*Premissas!$F$19*(1+Premissas!$B$127)*(1+Premissas!$B$124)^1</f>
        <v>1007.7792013265824</v>
      </c>
      <c r="Y92" s="142">
        <f>Y84*Premissas!$F$19*(1+Premissas!$B$127)*(1+Premissas!$B$124)^1</f>
        <v>1062.9537050863619</v>
      </c>
      <c r="Z92" s="142">
        <f>Z84*Premissas!$F$19*(1+Premissas!$B$127)*(1+Premissas!$B$124)^1</f>
        <v>594.53342826864298</v>
      </c>
      <c r="AA92" s="142">
        <f>AA84*Premissas!$F$19*(1+Premissas!$B$127)*(1+Premissas!$B$124)^1</f>
        <v>669.97611708303532</v>
      </c>
      <c r="AB92" s="142">
        <f>AB84*Premissas!$F$19*(1+Premissas!$B$127)*(1+Premissas!$B$124)^2</f>
        <v>727.92905121071794</v>
      </c>
      <c r="AC92" s="142">
        <f>AC84*Premissas!$F$19*(1+Premissas!$B$127)*(1+Premissas!$B$124)^2</f>
        <v>727.92905121071794</v>
      </c>
      <c r="AD92" s="142">
        <f>AD84*Premissas!$F$19*(1+Premissas!$B$127)*(1+Premissas!$B$124)^2</f>
        <v>727.92905121071794</v>
      </c>
      <c r="AE92" s="142">
        <f>AE84*Premissas!$F$19*(1+Premissas!$B$127)*(1+Premissas!$B$124)^2</f>
        <v>727.92905121071794</v>
      </c>
      <c r="AF92" s="142">
        <f>AF84*Premissas!$F$19*(1+Premissas!$B$127)*(1+Premissas!$B$124)^2</f>
        <v>727.92905121071794</v>
      </c>
      <c r="AG92" s="142">
        <f>AG84*Premissas!$F$19*(1+Premissas!$B$127)*(1+Premissas!$B$124)^2</f>
        <v>727.92905121071794</v>
      </c>
      <c r="AH92" s="142">
        <f>AH84*Premissas!$F$19*(1+Premissas!$B$127)*(1+Premissas!$B$124)^2</f>
        <v>727.92905121071794</v>
      </c>
      <c r="AI92" s="142">
        <f>AI84*Premissas!$F$19*(1+Premissas!$B$127)*(1+Premissas!$B$124)^2</f>
        <v>727.92905121071794</v>
      </c>
      <c r="AJ92" s="142">
        <f>AJ84*Premissas!$F$19*(1+Premissas!$B$127)*(1+Premissas!$B$124)^2</f>
        <v>727.92905121071794</v>
      </c>
      <c r="AK92" s="142">
        <f>AK84*Premissas!$F$19*(1+Premissas!$B$127)*(1+Premissas!$B$124)^2</f>
        <v>727.92905121071794</v>
      </c>
      <c r="AL92" s="142">
        <f>AL84*Premissas!$F$19*(1+Premissas!$B$127)*(1+Premissas!$B$124)^2</f>
        <v>727.92905121071794</v>
      </c>
      <c r="AM92" s="142">
        <f>AM84*Premissas!$F$19*(1+Premissas!$B$127)*(1+Premissas!$B$124)^2</f>
        <v>727.92905121071794</v>
      </c>
      <c r="AN92" s="142">
        <f>AN84*Premissas!$F$19*(1+Premissas!$B$127)*(1+Premissas!$B$124)^3</f>
        <v>790.89491414044494</v>
      </c>
      <c r="AO92" s="142">
        <f>AO84*Premissas!$F$19*(1+Premissas!$B$127)*(1+Premissas!$B$124)^3</f>
        <v>790.89491414044494</v>
      </c>
      <c r="AP92" s="142">
        <f>AP84*Premissas!$F$19*(1+Premissas!$B$127)*(1+Premissas!$B$124)^3</f>
        <v>790.89491414044494</v>
      </c>
      <c r="AQ92" s="142">
        <f>AQ84*Premissas!$F$19*(1+Premissas!$B$127)*(1+Premissas!$B$124)^3</f>
        <v>790.89491414044494</v>
      </c>
      <c r="AR92" s="142">
        <f>AR84*Premissas!$F$19*(1+Premissas!$B$127)*(1+Premissas!$B$124)^3</f>
        <v>790.89491414044494</v>
      </c>
      <c r="AS92" s="142">
        <f>AS84*Premissas!$F$19*(1+Premissas!$B$127)*(1+Premissas!$B$124)^3</f>
        <v>790.89491414044494</v>
      </c>
      <c r="AT92" s="142">
        <f>AT84*Premissas!$F$19*(1+Premissas!$B$127)*(1+Premissas!$B$124)^3</f>
        <v>790.89491414044494</v>
      </c>
      <c r="AU92" s="142">
        <f>AU84*Premissas!$F$19*(1+Premissas!$B$127)*(1+Premissas!$B$124)^3</f>
        <v>790.89491414044494</v>
      </c>
      <c r="AV92" s="142">
        <f>AV84*Premissas!$F$19*(1+Premissas!$B$127)*(1+Premissas!$B$124)^3</f>
        <v>790.89491414044494</v>
      </c>
      <c r="AW92" s="142">
        <f>AW84*Premissas!$F$19*(1+Premissas!$B$127)*(1+Premissas!$B$124)^3</f>
        <v>790.89491414044494</v>
      </c>
      <c r="AX92" s="142">
        <f>AX84*Premissas!$F$19*(1+Premissas!$B$127)*(1+Premissas!$B$124)^3</f>
        <v>790.89491414044494</v>
      </c>
      <c r="AY92" s="142">
        <f>AY84*Premissas!$F$19*(1+Premissas!$B$127)*(1+Premissas!$B$124)^3</f>
        <v>790.89491414044494</v>
      </c>
      <c r="AZ92" s="142">
        <f>AZ84*Premissas!$F$19*(1+Premissas!$B$127)*(1+Premissas!$B$124)^4</f>
        <v>859.30732421359357</v>
      </c>
      <c r="BA92" s="142">
        <f>BA84*Premissas!$F$19*(1+Premissas!$B$127)*(1+Premissas!$B$124)^4</f>
        <v>859.30732421359357</v>
      </c>
      <c r="BB92" s="142">
        <f>BB84*Premissas!$F$19*(1+Premissas!$B$127)*(1+Premissas!$B$124)^4</f>
        <v>859.30732421359357</v>
      </c>
      <c r="BC92" s="142">
        <f>BC84*Premissas!$F$19*(1+Premissas!$B$127)*(1+Premissas!$B$124)^4</f>
        <v>859.30732421359357</v>
      </c>
      <c r="BD92" s="142">
        <f>BD84*Premissas!$F$19*(1+Premissas!$B$127)*(1+Premissas!$B$124)^4</f>
        <v>859.30732421359357</v>
      </c>
      <c r="BE92" s="142">
        <f>BE84*Premissas!$F$19*(1+Premissas!$B$127)*(1+Premissas!$B$124)^4</f>
        <v>859.30732421359357</v>
      </c>
      <c r="BF92" s="142">
        <f>BF84*Premissas!$F$19*(1+Premissas!$B$127)*(1+Premissas!$B$124)^4</f>
        <v>859.30732421359357</v>
      </c>
      <c r="BG92" s="142">
        <f>BG84*Premissas!$F$19*(1+Premissas!$B$127)*(1+Premissas!$B$124)^4</f>
        <v>859.30732421359357</v>
      </c>
      <c r="BH92" s="142">
        <f>BH84*Premissas!$F$19*(1+Premissas!$B$127)*(1+Premissas!$B$124)^4</f>
        <v>859.30732421359357</v>
      </c>
      <c r="BI92" s="142">
        <f>BI84*Premissas!$F$19*(1+Premissas!$B$127)*(1+Premissas!$B$124)^4</f>
        <v>859.30732421359357</v>
      </c>
      <c r="BJ92" s="142">
        <f>BJ84*Premissas!$F$19*(1+Premissas!$B$127)*(1+Premissas!$B$124)^4</f>
        <v>859.30732421359357</v>
      </c>
      <c r="BK92" s="142">
        <f>BK84*Premissas!$F$19*(1+Premissas!$B$127)*(1+Premissas!$B$124)^4</f>
        <v>859.30732421359357</v>
      </c>
    </row>
    <row r="93" spans="1:63" ht="12.75" customHeight="1" x14ac:dyDescent="0.2">
      <c r="A93" s="143" t="s">
        <v>415</v>
      </c>
      <c r="B93" s="144">
        <f>SUM(D93:BQ93)</f>
        <v>771.19589588072597</v>
      </c>
      <c r="C93" s="124">
        <f>B93/60</f>
        <v>12.853264931345432</v>
      </c>
      <c r="D93" s="144">
        <f>IF(D88&gt;0,0,MAX(D84-D85-D86,0)*Premissas!$B$7*(1+Premissas!$B$127)*(1+Premissas!$B$124)^0)</f>
        <v>0</v>
      </c>
      <c r="E93" s="144">
        <f>IF(E88&gt;0,0,MAX(E84-E85-E86,0)*Premissas!$B$7*(1+Premissas!$B$127)*(1+Premissas!$B$124)^0)</f>
        <v>0</v>
      </c>
      <c r="F93" s="144">
        <f>IF(F88&gt;0,0,MAX(F84-F85-F86,0)*Premissas!$B$7*(1+Premissas!$B$127)*(1+Premissas!$B$124)^0)</f>
        <v>0</v>
      </c>
      <c r="G93" s="144">
        <f>IF(G88&gt;0,0,MAX(G84-G85-G86,0)*Premissas!$B$7*(1+Premissas!$B$127)*(1+Premissas!$B$124)^0)</f>
        <v>0</v>
      </c>
      <c r="H93" s="144">
        <f>IF(H88&gt;0,0,MAX(H84-H85-H86,0)*Premissas!$B$7*(1+Premissas!$B$127)*(1+Premissas!$B$124)^0)</f>
        <v>0</v>
      </c>
      <c r="I93" s="144">
        <f>IF(I88&gt;0,0,MAX(I84-I85-I86,0)*Premissas!$B$7*(1+Premissas!$B$127)*(1+Premissas!$B$124)^0)</f>
        <v>0</v>
      </c>
      <c r="J93" s="144">
        <f>IF(J88&gt;0,0,MAX(J84-J85-J86,0)*Premissas!$B$7*(1+Premissas!$B$127)*(1+Premissas!$B$124)^0)</f>
        <v>0</v>
      </c>
      <c r="K93" s="144">
        <f>IF(K88&gt;0,0,MAX(K84-K85-K86,0)*Premissas!$B$7*(1+Premissas!$B$127)*(1+Premissas!$B$124)^0)</f>
        <v>0</v>
      </c>
      <c r="L93" s="144">
        <f>IF(L88&gt;0,0,MAX(L84-L85-L86,0)*Premissas!$B$7*(1+Premissas!$B$127)*(1+Premissas!$B$124)^0)</f>
        <v>0</v>
      </c>
      <c r="M93" s="144">
        <f>IF(M88&gt;0,0,MAX(M84-M85-M86,0)*Premissas!$B$7*(1+Premissas!$B$127)*(1+Premissas!$B$124)^0)</f>
        <v>0</v>
      </c>
      <c r="N93" s="144">
        <f>IF(N88&gt;0,0,MAX(N84-N85-N86,0)*Premissas!$B$7*(1+Premissas!$B$127)*(1+Premissas!$B$124)^0)</f>
        <v>0</v>
      </c>
      <c r="O93" s="144">
        <f>IF(O88&gt;0,0,MAX(O84-O85-O86,0)*Premissas!$B$7*(1+Premissas!$B$127)*(1+Premissas!$B$124)^0)</f>
        <v>0</v>
      </c>
      <c r="P93" s="144">
        <f>IF(P88&gt;0,0,MAX(P84-P85-P86,0)*Premissas!$B$7*(1+Premissas!$B$127)*(1+Premissas!$B$124)^1)</f>
        <v>0</v>
      </c>
      <c r="Q93" s="144">
        <f>IF(Q88&gt;0,0,MAX(Q84-Q85-Q86,0)*Premissas!$B$7*(1+Premissas!$B$127)*(1+Premissas!$B$124)^1)</f>
        <v>0</v>
      </c>
      <c r="R93" s="144">
        <f>IF(R88&gt;0,0,MAX(R84-R85-R86,0)*Premissas!$B$7*(1+Premissas!$B$127)*(1+Premissas!$B$124)^1)</f>
        <v>0</v>
      </c>
      <c r="S93" s="144">
        <f>IF(S88&gt;0,0,MAX(S84-S85-S86,0)*Premissas!$B$7*(1+Premissas!$B$127)*(1+Premissas!$B$124)^1)</f>
        <v>0</v>
      </c>
      <c r="T93" s="144">
        <f>IF(T88&gt;0,0,MAX(T84-T85-T86,0)*Premissas!$B$7*(1+Premissas!$B$127)*(1+Premissas!$B$124)^1)</f>
        <v>0</v>
      </c>
      <c r="U93" s="144">
        <f>IF(U88&gt;0,0,MAX(U84-U85-U86,0)*Premissas!$B$7*(1+Premissas!$B$127)*(1+Premissas!$B$124)^1)</f>
        <v>0</v>
      </c>
      <c r="V93" s="144">
        <f>IF(V88&gt;0,0,MAX(V84-V85-V86,0)*Premissas!$B$7*(1+Premissas!$B$127)*(1+Premissas!$B$124)^1)</f>
        <v>0</v>
      </c>
      <c r="W93" s="144">
        <f>IF(W88&gt;0,0,MAX(W84-W85-W86,0)*Premissas!$B$7*(1+Premissas!$B$127)*(1+Premissas!$B$124)^1)</f>
        <v>0</v>
      </c>
      <c r="X93" s="144">
        <f>IF(X88&gt;0,0,MAX(X84-X85-X86,0)*Premissas!$B$7*(1+Premissas!$B$127)*(1+Premissas!$B$124)^1)</f>
        <v>0</v>
      </c>
      <c r="Y93" s="144">
        <f>IF(Y88&gt;0,0,MAX(Y84-Y85-Y86,0)*Premissas!$B$7*(1+Premissas!$B$127)*(1+Premissas!$B$124)^1)</f>
        <v>0</v>
      </c>
      <c r="Z93" s="144">
        <f>IF(Z88&gt;0,0,MAX(Z84-Z85-Z86,0)*Premissas!$B$7*(1+Premissas!$B$127)*(1+Premissas!$B$124)^1)</f>
        <v>0</v>
      </c>
      <c r="AA93" s="144">
        <f>IF(AA88&gt;0,0,MAX(AA84-AA85-AA86,0)*Premissas!$B$7*(1+Premissas!$B$127)*(1+Premissas!$B$124)^1)</f>
        <v>0</v>
      </c>
      <c r="AB93" s="144">
        <f>IF(AB88&gt;0,0,MAX(AB84-AB85-AB86,0)*Premissas!$B$7*(1+Premissas!$B$127)*(1+Premissas!$B$124)^2)</f>
        <v>0</v>
      </c>
      <c r="AC93" s="144">
        <f>IF(AC88&gt;0,0,MAX(AC84-AC85-AC86,0)*Premissas!$B$7*(1+Premissas!$B$127)*(1+Premissas!$B$124)^2)</f>
        <v>0</v>
      </c>
      <c r="AD93" s="144">
        <f>IF(AD88&gt;0,0,MAX(AD84-AD85-AD86,0)*Premissas!$B$7*(1+Premissas!$B$127)*(1+Premissas!$B$124)^2)</f>
        <v>0</v>
      </c>
      <c r="AE93" s="144">
        <f>IF(AE88&gt;0,0,MAX(AE84-AE85-AE86,0)*Premissas!$B$7*(1+Premissas!$B$127)*(1+Premissas!$B$124)^2)</f>
        <v>0</v>
      </c>
      <c r="AF93" s="144">
        <f>IF(AF88&gt;0,0,MAX(AF84-AF85-AF86,0)*Premissas!$B$7*(1+Premissas!$B$127)*(1+Premissas!$B$124)^2)</f>
        <v>0</v>
      </c>
      <c r="AG93" s="144">
        <f>IF(AG88&gt;0,0,MAX(AG84-AG85-AG86,0)*Premissas!$B$7*(1+Premissas!$B$127)*(1+Premissas!$B$124)^2)</f>
        <v>0</v>
      </c>
      <c r="AH93" s="144">
        <f>IF(AH88&gt;0,0,MAX(AH84-AH85-AH86,0)*Premissas!$B$7*(1+Premissas!$B$127)*(1+Premissas!$B$124)^2)</f>
        <v>0</v>
      </c>
      <c r="AI93" s="144">
        <f>IF(AI88&gt;0,0,MAX(AI84-AI85-AI86,0)*Premissas!$B$7*(1+Premissas!$B$127)*(1+Premissas!$B$124)^2)</f>
        <v>0</v>
      </c>
      <c r="AJ93" s="144">
        <f>IF(AJ88&gt;0,0,MAX(AJ84-AJ85-AJ86,0)*Premissas!$B$7*(1+Premissas!$B$127)*(1+Premissas!$B$124)^2)</f>
        <v>0</v>
      </c>
      <c r="AK93" s="144">
        <f>IF(AK88&gt;0,0,MAX(AK84-AK85-AK86,0)*Premissas!$B$7*(1+Premissas!$B$127)*(1+Premissas!$B$124)^2)</f>
        <v>0</v>
      </c>
      <c r="AL93" s="144">
        <f>IF(AL88&gt;0,0,MAX(AL84-AL85-AL86,0)*Premissas!$B$7*(1+Premissas!$B$127)*(1+Premissas!$B$124)^2)</f>
        <v>0</v>
      </c>
      <c r="AM93" s="144">
        <f>IF(AM88&gt;0,0,MAX(AM84-AM85-AM86,0)*Premissas!$B$7*(1+Premissas!$B$127)*(1+Premissas!$B$124)^2)</f>
        <v>0</v>
      </c>
      <c r="AN93" s="144">
        <f>IF(AN88&gt;0,0,MAX(AN84-AN85-AN86,0)*Premissas!$B$7*(1+Premissas!$B$127)*(1+Premissas!$B$124)^3)</f>
        <v>0</v>
      </c>
      <c r="AO93" s="144">
        <f>IF(AO88&gt;0,0,MAX(AO84-AO85-AO86,0)*Premissas!$B$7*(1+Premissas!$B$127)*(1+Premissas!$B$124)^3)</f>
        <v>0</v>
      </c>
      <c r="AP93" s="144">
        <f>IF(AP88&gt;0,0,MAX(AP84-AP85-AP86,0)*Premissas!$B$7*(1+Premissas!$B$127)*(1+Premissas!$B$124)^3)</f>
        <v>0</v>
      </c>
      <c r="AQ93" s="144">
        <f>IF(AQ88&gt;0,0,MAX(AQ84-AQ85-AQ86,0)*Premissas!$B$7*(1+Premissas!$B$127)*(1+Premissas!$B$124)^3)</f>
        <v>0</v>
      </c>
      <c r="AR93" s="144">
        <f>IF(AR88&gt;0,0,MAX(AR84-AR85-AR86,0)*Premissas!$B$7*(1+Premissas!$B$127)*(1+Premissas!$B$124)^3)</f>
        <v>0</v>
      </c>
      <c r="AS93" s="144">
        <f>IF(AS88&gt;0,0,MAX(AS84-AS85-AS86,0)*Premissas!$B$7*(1+Premissas!$B$127)*(1+Premissas!$B$124)^3)</f>
        <v>0</v>
      </c>
      <c r="AT93" s="144">
        <f>IF(AT88&gt;0,0,MAX(AT84-AT85-AT86,0)*Premissas!$B$7*(1+Premissas!$B$127)*(1+Premissas!$B$124)^3)</f>
        <v>0</v>
      </c>
      <c r="AU93" s="144">
        <f>IF(AU88&gt;0,0,MAX(AU84-AU85-AU86,0)*Premissas!$B$7*(1+Premissas!$B$127)*(1+Premissas!$B$124)^3)</f>
        <v>0</v>
      </c>
      <c r="AV93" s="144">
        <f>IF(AV88&gt;0,0,MAX(AV84-AV85-AV86,0)*Premissas!$B$7*(1+Premissas!$B$127)*(1+Premissas!$B$124)^3)</f>
        <v>0</v>
      </c>
      <c r="AW93" s="144">
        <f>IF(AW88&gt;0,0,MAX(AW84-AW85-AW86,0)*Premissas!$B$7*(1+Premissas!$B$127)*(1+Premissas!$B$124)^3)</f>
        <v>0</v>
      </c>
      <c r="AX93" s="144">
        <f>IF(AX88&gt;0,0,MAX(AX84-AX85-AX86,0)*Premissas!$B$7*(1+Premissas!$B$127)*(1+Premissas!$B$124)^3)</f>
        <v>0</v>
      </c>
      <c r="AY93" s="144">
        <f>IF(AY88&gt;0,0,MAX(AY84-AY85-AY86,0)*Premissas!$B$7*(1+Premissas!$B$127)*(1+Premissas!$B$124)^3)</f>
        <v>0</v>
      </c>
      <c r="AZ93" s="144">
        <f>IF(AZ88&gt;0,0,MAX(AZ84-AZ85-AZ86,0)*Premissas!$B$7*(1+Premissas!$B$127)*(1+Premissas!$B$124)^4)</f>
        <v>0</v>
      </c>
      <c r="BA93" s="144">
        <f>IF(BA88&gt;0,0,MAX(BA84-BA85-BA86,0)*Premissas!$B$7*(1+Premissas!$B$127)*(1+Premissas!$B$124)^4)</f>
        <v>0</v>
      </c>
      <c r="BB93" s="144">
        <f>IF(BB88&gt;0,0,MAX(BB84-BB85-BB86,0)*Premissas!$B$7*(1+Premissas!$B$127)*(1+Premissas!$B$124)^4)</f>
        <v>0</v>
      </c>
      <c r="BC93" s="144">
        <f>IF(BC88&gt;0,0,MAX(BC84-BC85-BC86,0)*Premissas!$B$7*(1+Premissas!$B$127)*(1+Premissas!$B$124)^4)</f>
        <v>0</v>
      </c>
      <c r="BD93" s="144">
        <f>IF(BD88&gt;0,0,MAX(BD84-BD85-BD86,0)*Premissas!$B$7*(1+Premissas!$B$127)*(1+Premissas!$B$124)^4)</f>
        <v>0</v>
      </c>
      <c r="BE93" s="144">
        <f>IF(BE88&gt;0,0,MAX(BE84-BE85-BE86,0)*Premissas!$B$7*(1+Premissas!$B$127)*(1+Premissas!$B$124)^4)</f>
        <v>104.7742269801935</v>
      </c>
      <c r="BF93" s="144">
        <f>IF(BF88&gt;0,0,MAX(BF84-BF85-BF86,0)*Premissas!$B$7*(1+Premissas!$B$127)*(1+Premissas!$B$124)^4)</f>
        <v>118.00920910295295</v>
      </c>
      <c r="BG93" s="144">
        <f>IF(BG88&gt;0,0,MAX(BG84-BG85-BG86,0)*Premissas!$B$7*(1+Premissas!$B$127)*(1+Premissas!$B$124)^4)</f>
        <v>87.473317591838537</v>
      </c>
      <c r="BH93" s="144">
        <f>IF(BH88&gt;0,0,MAX(BH84-BH85-BH86,0)*Premissas!$B$7*(1+Premissas!$B$127)*(1+Premissas!$B$124)^4)</f>
        <v>194.93484099099771</v>
      </c>
      <c r="BI93" s="144">
        <f>IF(BI88&gt;0,0,MAX(BI84-BI85-BI86,0)*Premissas!$B$7*(1+Premissas!$B$127)*(1+Premissas!$B$124)^4)</f>
        <v>65.691507845761336</v>
      </c>
      <c r="BJ93" s="144">
        <f>IF(BJ88&gt;0,0,MAX(BJ84-BJ85-BJ86,0)*Premissas!$B$7*(1+Premissas!$B$127)*(1+Premissas!$B$124)^4)</f>
        <v>67.897260731439943</v>
      </c>
      <c r="BK93" s="144">
        <f>IF(BK88&gt;0,0,MAX(BK84-BK85-BK86,0)*Premissas!$B$7*(1+Premissas!$B$127)*(1+Premissas!$B$124)^4)</f>
        <v>132.41553263754199</v>
      </c>
    </row>
    <row r="94" spans="1:63" ht="13.5" customHeight="1" x14ac:dyDescent="0.2">
      <c r="A94" s="41" t="s">
        <v>416</v>
      </c>
      <c r="B94" s="44">
        <f>SUM(D94:BQ94)</f>
        <v>43513.120873689972</v>
      </c>
      <c r="C94" s="124">
        <f>B94/60</f>
        <v>725.21868122816625</v>
      </c>
      <c r="D94" s="145">
        <f t="shared" ref="D94:AI94" si="80">MAX(D92-D93,0)</f>
        <v>377.23676227842054</v>
      </c>
      <c r="E94" s="145">
        <f t="shared" si="80"/>
        <v>303.65486633949786</v>
      </c>
      <c r="F94" s="145">
        <f t="shared" si="80"/>
        <v>382.41858593609118</v>
      </c>
      <c r="G94" s="145">
        <f t="shared" si="80"/>
        <v>698.50982905399849</v>
      </c>
      <c r="H94" s="145">
        <f t="shared" si="80"/>
        <v>779.34627811365999</v>
      </c>
      <c r="I94" s="145">
        <f t="shared" si="80"/>
        <v>796.96447854974019</v>
      </c>
      <c r="J94" s="145">
        <f t="shared" si="80"/>
        <v>694.36437012786212</v>
      </c>
      <c r="K94" s="145">
        <f t="shared" si="80"/>
        <v>413.22452758094295</v>
      </c>
      <c r="L94" s="145">
        <f t="shared" si="80"/>
        <v>950.73509559111551</v>
      </c>
      <c r="M94" s="145">
        <f t="shared" si="80"/>
        <v>1002.7865142324167</v>
      </c>
      <c r="N94" s="145">
        <f t="shared" si="80"/>
        <v>560.88059270626695</v>
      </c>
      <c r="O94" s="145">
        <f t="shared" si="80"/>
        <v>632.05294064437294</v>
      </c>
      <c r="P94" s="145">
        <f t="shared" si="80"/>
        <v>409.86774221550388</v>
      </c>
      <c r="Q94" s="145">
        <f t="shared" si="80"/>
        <v>329.92101227786452</v>
      </c>
      <c r="R94" s="145">
        <f t="shared" si="80"/>
        <v>415.49779361956303</v>
      </c>
      <c r="S94" s="145">
        <f t="shared" si="80"/>
        <v>758.93092926716929</v>
      </c>
      <c r="T94" s="145">
        <f t="shared" si="80"/>
        <v>846.7597311704917</v>
      </c>
      <c r="U94" s="145">
        <f t="shared" si="80"/>
        <v>865.90190594429259</v>
      </c>
      <c r="V94" s="145">
        <f t="shared" si="80"/>
        <v>754.42688814392204</v>
      </c>
      <c r="W94" s="145">
        <f t="shared" si="80"/>
        <v>438.01799923579955</v>
      </c>
      <c r="X94" s="145">
        <f t="shared" si="80"/>
        <v>1007.7792013265824</v>
      </c>
      <c r="Y94" s="145">
        <f t="shared" si="80"/>
        <v>1062.9537050863619</v>
      </c>
      <c r="Z94" s="145">
        <f t="shared" si="80"/>
        <v>594.53342826864298</v>
      </c>
      <c r="AA94" s="145">
        <f t="shared" si="80"/>
        <v>669.97611708303532</v>
      </c>
      <c r="AB94" s="145">
        <f t="shared" si="80"/>
        <v>727.92905121071794</v>
      </c>
      <c r="AC94" s="145">
        <f t="shared" si="80"/>
        <v>727.92905121071794</v>
      </c>
      <c r="AD94" s="145">
        <f t="shared" si="80"/>
        <v>727.92905121071794</v>
      </c>
      <c r="AE94" s="145">
        <f t="shared" si="80"/>
        <v>727.92905121071794</v>
      </c>
      <c r="AF94" s="145">
        <f t="shared" si="80"/>
        <v>727.92905121071794</v>
      </c>
      <c r="AG94" s="145">
        <f t="shared" si="80"/>
        <v>727.92905121071794</v>
      </c>
      <c r="AH94" s="145">
        <f t="shared" si="80"/>
        <v>727.92905121071794</v>
      </c>
      <c r="AI94" s="145">
        <f t="shared" si="80"/>
        <v>727.92905121071794</v>
      </c>
      <c r="AJ94" s="145">
        <f t="shared" ref="AJ94:BO94" si="81">MAX(AJ92-AJ93,0)</f>
        <v>727.92905121071794</v>
      </c>
      <c r="AK94" s="145">
        <f t="shared" si="81"/>
        <v>727.92905121071794</v>
      </c>
      <c r="AL94" s="145">
        <f t="shared" si="81"/>
        <v>727.92905121071794</v>
      </c>
      <c r="AM94" s="145">
        <f t="shared" si="81"/>
        <v>727.92905121071794</v>
      </c>
      <c r="AN94" s="145">
        <f t="shared" si="81"/>
        <v>790.89491414044494</v>
      </c>
      <c r="AO94" s="145">
        <f t="shared" si="81"/>
        <v>790.89491414044494</v>
      </c>
      <c r="AP94" s="145">
        <f t="shared" si="81"/>
        <v>790.89491414044494</v>
      </c>
      <c r="AQ94" s="145">
        <f t="shared" si="81"/>
        <v>790.89491414044494</v>
      </c>
      <c r="AR94" s="145">
        <f t="shared" si="81"/>
        <v>790.89491414044494</v>
      </c>
      <c r="AS94" s="145">
        <f t="shared" si="81"/>
        <v>790.89491414044494</v>
      </c>
      <c r="AT94" s="145">
        <f t="shared" si="81"/>
        <v>790.89491414044494</v>
      </c>
      <c r="AU94" s="145">
        <f t="shared" si="81"/>
        <v>790.89491414044494</v>
      </c>
      <c r="AV94" s="145">
        <f t="shared" si="81"/>
        <v>790.89491414044494</v>
      </c>
      <c r="AW94" s="145">
        <f t="shared" si="81"/>
        <v>790.89491414044494</v>
      </c>
      <c r="AX94" s="145">
        <f t="shared" si="81"/>
        <v>790.89491414044494</v>
      </c>
      <c r="AY94" s="145">
        <f t="shared" si="81"/>
        <v>790.89491414044494</v>
      </c>
      <c r="AZ94" s="145">
        <f t="shared" si="81"/>
        <v>859.30732421359357</v>
      </c>
      <c r="BA94" s="145">
        <f t="shared" si="81"/>
        <v>859.30732421359357</v>
      </c>
      <c r="BB94" s="145">
        <f t="shared" si="81"/>
        <v>859.30732421359357</v>
      </c>
      <c r="BC94" s="145">
        <f t="shared" si="81"/>
        <v>859.30732421359357</v>
      </c>
      <c r="BD94" s="145">
        <f t="shared" si="81"/>
        <v>859.30732421359357</v>
      </c>
      <c r="BE94" s="145">
        <f t="shared" si="81"/>
        <v>754.5330972334001</v>
      </c>
      <c r="BF94" s="145">
        <f t="shared" si="81"/>
        <v>741.29811511064065</v>
      </c>
      <c r="BG94" s="145">
        <f t="shared" si="81"/>
        <v>771.83400662175507</v>
      </c>
      <c r="BH94" s="145">
        <f t="shared" si="81"/>
        <v>664.37248322259586</v>
      </c>
      <c r="BI94" s="145">
        <f t="shared" si="81"/>
        <v>793.61581636783228</v>
      </c>
      <c r="BJ94" s="145">
        <f t="shared" si="81"/>
        <v>791.41006348215365</v>
      </c>
      <c r="BK94" s="145">
        <f t="shared" si="81"/>
        <v>726.89179157605156</v>
      </c>
    </row>
    <row r="96" spans="1:63" ht="15" customHeight="1" x14ac:dyDescent="0.2">
      <c r="A96" s="298" t="s">
        <v>424</v>
      </c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89"/>
      <c r="P96" s="289"/>
      <c r="Q96" s="289"/>
      <c r="R96" s="289"/>
      <c r="S96" s="289"/>
      <c r="T96" s="289"/>
      <c r="U96" s="289"/>
      <c r="V96" s="289"/>
      <c r="W96" s="289"/>
      <c r="X96" s="289"/>
      <c r="Y96" s="289"/>
      <c r="Z96" s="289"/>
      <c r="AA96" s="289"/>
    </row>
    <row r="97" spans="1:63" ht="12.75" customHeight="1" x14ac:dyDescent="0.2">
      <c r="A97" s="147" t="s">
        <v>403</v>
      </c>
      <c r="B97" s="148">
        <f>SUM(D97:BQ97)</f>
        <v>67184.654746875007</v>
      </c>
      <c r="C97" s="120">
        <f>B97/60</f>
        <v>1119.7442457812501</v>
      </c>
      <c r="D97" s="148">
        <v>1067</v>
      </c>
      <c r="E97" s="148">
        <v>899</v>
      </c>
      <c r="F97" s="148">
        <v>816</v>
      </c>
      <c r="G97" s="148">
        <v>719</v>
      </c>
      <c r="H97" s="148">
        <v>943</v>
      </c>
      <c r="I97" s="148">
        <v>925</v>
      </c>
      <c r="J97" s="148">
        <v>838</v>
      </c>
      <c r="K97" s="148">
        <f>876*(1+Premissas!$B$21)</f>
        <v>897.9</v>
      </c>
      <c r="L97" s="148">
        <f>887*(1+Premissas!$B$21)</f>
        <v>909.17499999999995</v>
      </c>
      <c r="M97" s="148">
        <f>1030*(1+Premissas!$B$21)</f>
        <v>1055.75</v>
      </c>
      <c r="N97" s="148">
        <f>1026*(1+Premissas!$B$21)</f>
        <v>1051.6499999999999</v>
      </c>
      <c r="O97" s="148">
        <f>1146*(1+Premissas!$B$21)</f>
        <v>1174.6499999999999</v>
      </c>
      <c r="P97" s="148">
        <f>1067*(1+Premissas!$B$21)</f>
        <v>1093.675</v>
      </c>
      <c r="Q97" s="148">
        <f>899*(1+Premissas!$B$21)</f>
        <v>921.47499999999991</v>
      </c>
      <c r="R97" s="148">
        <f>816*(1+Premissas!$B$21)</f>
        <v>836.4</v>
      </c>
      <c r="S97" s="148">
        <f>719*(1+Premissas!$B$21)</f>
        <v>736.97499999999991</v>
      </c>
      <c r="T97" s="148">
        <f>943*(1+Premissas!$B$21)</f>
        <v>966.57499999999993</v>
      </c>
      <c r="U97" s="148">
        <f>925*(1+Premissas!$B$21)</f>
        <v>948.12499999999989</v>
      </c>
      <c r="V97" s="148">
        <f>838*(1+Premissas!$B$21)</f>
        <v>858.94999999999993</v>
      </c>
      <c r="W97" s="148">
        <f>876*(1+Premissas!$B$21)</f>
        <v>897.9</v>
      </c>
      <c r="X97" s="148">
        <f>887*(1+Premissas!$B$21)</f>
        <v>909.17499999999995</v>
      </c>
      <c r="Y97" s="148">
        <f>1030*(1+Premissas!$B$21)</f>
        <v>1055.75</v>
      </c>
      <c r="Z97" s="148">
        <f>1026*(1+Premissas!$B$21)</f>
        <v>1051.6499999999999</v>
      </c>
      <c r="AA97" s="148">
        <f>1146*(1+Premissas!$B$21)</f>
        <v>1174.6499999999999</v>
      </c>
      <c r="AB97" s="148">
        <f>1146*(1+Premissas!$B$21)^2</f>
        <v>1204.0162499999999</v>
      </c>
      <c r="AC97" s="148">
        <f>1146*(1+Premissas!$B$21)^2</f>
        <v>1204.0162499999999</v>
      </c>
      <c r="AD97" s="148">
        <f>1146*(1+Premissas!$B$21)^2</f>
        <v>1204.0162499999999</v>
      </c>
      <c r="AE97" s="148">
        <f>1146*(1+Premissas!$B$21)^2</f>
        <v>1204.0162499999999</v>
      </c>
      <c r="AF97" s="148">
        <f>1146*(1+Premissas!$B$21)^2</f>
        <v>1204.0162499999999</v>
      </c>
      <c r="AG97" s="148">
        <f>1146*(1+Premissas!$B$21)^2</f>
        <v>1204.0162499999999</v>
      </c>
      <c r="AH97" s="148">
        <f>1146*(1+Premissas!$B$21)^2</f>
        <v>1204.0162499999999</v>
      </c>
      <c r="AI97" s="148">
        <f>1146*(1+Premissas!$B$21)^2</f>
        <v>1204.0162499999999</v>
      </c>
      <c r="AJ97" s="148">
        <f>1146*(1+Premissas!$B$21)^2</f>
        <v>1204.0162499999999</v>
      </c>
      <c r="AK97" s="148">
        <f>1146*(1+Premissas!$B$21)^2</f>
        <v>1204.0162499999999</v>
      </c>
      <c r="AL97" s="148">
        <f>1146*(1+Premissas!$B$21)^2</f>
        <v>1204.0162499999999</v>
      </c>
      <c r="AM97" s="148">
        <f>1146*(1+Premissas!$B$21)^2</f>
        <v>1204.0162499999999</v>
      </c>
      <c r="AN97" s="148">
        <f>1146*(1+Premissas!$B$21)^3</f>
        <v>1234.1166562499998</v>
      </c>
      <c r="AO97" s="148">
        <f>1146*(1+Premissas!$B$21)^3</f>
        <v>1234.1166562499998</v>
      </c>
      <c r="AP97" s="148">
        <f>1146*(1+Premissas!$B$21)^3</f>
        <v>1234.1166562499998</v>
      </c>
      <c r="AQ97" s="148">
        <f>1146*(1+Premissas!$B$21)^3</f>
        <v>1234.1166562499998</v>
      </c>
      <c r="AR97" s="148">
        <f>1146*(1+Premissas!$B$21)^3</f>
        <v>1234.1166562499998</v>
      </c>
      <c r="AS97" s="148">
        <f>1146*(1+Premissas!$B$21)^3</f>
        <v>1234.1166562499998</v>
      </c>
      <c r="AT97" s="148">
        <f>1146*(1+Premissas!$B$21)^3</f>
        <v>1234.1166562499998</v>
      </c>
      <c r="AU97" s="148">
        <f>1146*(1+Premissas!$B$21)^3</f>
        <v>1234.1166562499998</v>
      </c>
      <c r="AV97" s="148">
        <f>1146*(1+Premissas!$B$21)^3</f>
        <v>1234.1166562499998</v>
      </c>
      <c r="AW97" s="148">
        <f>1146*(1+Premissas!$B$21)^3</f>
        <v>1234.1166562499998</v>
      </c>
      <c r="AX97" s="148">
        <f>1146*(1+Premissas!$B$21)^3</f>
        <v>1234.1166562499998</v>
      </c>
      <c r="AY97" s="148">
        <f>1146*(1+Premissas!$B$21)^3</f>
        <v>1234.1166562499998</v>
      </c>
      <c r="AZ97" s="148">
        <f>1146*(1+Premissas!$B$21)^4</f>
        <v>1264.9695726562497</v>
      </c>
      <c r="BA97" s="148">
        <f>1146*(1+Premissas!$B$21)^4</f>
        <v>1264.9695726562497</v>
      </c>
      <c r="BB97" s="148">
        <f>1146*(1+Premissas!$B$21)^4</f>
        <v>1264.9695726562497</v>
      </c>
      <c r="BC97" s="148">
        <f>1146*(1+Premissas!$B$21)^4</f>
        <v>1264.9695726562497</v>
      </c>
      <c r="BD97" s="148">
        <f>1146*(1+Premissas!$B$21)^4</f>
        <v>1264.9695726562497</v>
      </c>
      <c r="BE97" s="148">
        <f>1146*(1+Premissas!$B$21)^4</f>
        <v>1264.9695726562497</v>
      </c>
      <c r="BF97" s="148">
        <f>1146*(1+Premissas!$B$21)^4</f>
        <v>1264.9695726562497</v>
      </c>
      <c r="BG97" s="148">
        <f>1146*(1+Premissas!$B$21)^4</f>
        <v>1264.9695726562497</v>
      </c>
      <c r="BH97" s="148">
        <f>1146*(1+Premissas!$B$21)^4</f>
        <v>1264.9695726562497</v>
      </c>
      <c r="BI97" s="148">
        <f>1146*(1+Premissas!$B$21)^4</f>
        <v>1264.9695726562497</v>
      </c>
      <c r="BJ97" s="148">
        <f>1146*(1+Premissas!$B$21)^4</f>
        <v>1264.9695726562497</v>
      </c>
      <c r="BK97" s="148">
        <f>1146*(1+Premissas!$B$21)^4</f>
        <v>1264.9695726562497</v>
      </c>
    </row>
    <row r="98" spans="1:63" ht="12.75" customHeight="1" x14ac:dyDescent="0.2">
      <c r="A98" s="122" t="str">
        <f>"  "&amp;INDEX(PVSYST_Helexia!$A$5:$A$7,MATCH(Premissas!$B$13,PVSYST_Helexia!$B$5:$B$7,0))&amp;" créditos recebidos (kWh)"</f>
        <v xml:space="preserve">  HCS03 créditos recebidos (kWh)</v>
      </c>
      <c r="B98" s="135">
        <f>SUM(D98:BQ98)</f>
        <v>67022.085589719049</v>
      </c>
      <c r="C98" s="120">
        <f>B98/60</f>
        <v>1117.0347598286507</v>
      </c>
      <c r="D98" s="136">
        <f>D6*Premissas!$B$39</f>
        <v>793.53600000000006</v>
      </c>
      <c r="E98" s="136">
        <f>E6*Premissas!$B$39</f>
        <v>835.2639999999999</v>
      </c>
      <c r="F98" s="136">
        <f>F6*Premissas!$B$39</f>
        <v>1002.6880000000001</v>
      </c>
      <c r="G98" s="136">
        <f>G6*Premissas!$B$39</f>
        <v>940.86400000000003</v>
      </c>
      <c r="H98" s="136">
        <f>H6*Premissas!$C$39</f>
        <v>1722.3120000000001</v>
      </c>
      <c r="I98" s="136">
        <f>I6*Premissas!$C$39</f>
        <v>1665.3120000000001</v>
      </c>
      <c r="J98" s="136">
        <f>J6*Premissas!$C$39</f>
        <v>1581.2940000000001</v>
      </c>
      <c r="K98" s="136">
        <f>K6*Premissas!$C$39</f>
        <v>1623.6370199999999</v>
      </c>
      <c r="L98" s="136">
        <f>L6*Premissas!$C$39</f>
        <v>1446.7996500000002</v>
      </c>
      <c r="M98" s="136">
        <f>M6*Premissas!$C$39</f>
        <v>1659.4809</v>
      </c>
      <c r="N98" s="136">
        <f>N6*Premissas!$D$39</f>
        <v>1176.5258100000001</v>
      </c>
      <c r="O98" s="136">
        <f>O6*Premissas!$D$39</f>
        <v>1101.08889</v>
      </c>
      <c r="P98" s="136">
        <f>P6*Premissas!$D$39</f>
        <v>999.29740500000003</v>
      </c>
      <c r="Q98" s="136">
        <f>Q6*Premissas!$D$39</f>
        <v>1051.8453449999997</v>
      </c>
      <c r="R98" s="136">
        <f>R6*Premissas!$D$39</f>
        <v>1262.6818649999998</v>
      </c>
      <c r="S98" s="136">
        <f>S6*Premissas!$D$39</f>
        <v>1184.8270950000001</v>
      </c>
      <c r="T98" s="136">
        <f>T6*Premissas!$E$39</f>
        <v>1428.0836999999999</v>
      </c>
      <c r="U98" s="136">
        <f>U6*Premissas!$E$39</f>
        <v>1380.8212000000001</v>
      </c>
      <c r="V98" s="136">
        <f>V6*Premissas!$E$39</f>
        <v>1311.1562750000001</v>
      </c>
      <c r="W98" s="136">
        <f>W6*Premissas!$E$39</f>
        <v>1353.0308499999999</v>
      </c>
      <c r="X98" s="136">
        <f>X6*Premissas!$E$39</f>
        <v>1205.666375</v>
      </c>
      <c r="Y98" s="136">
        <f>Y6*Premissas!$E$39</f>
        <v>1382.90075</v>
      </c>
      <c r="Z98" s="136">
        <f>Z6*Premissas!$E$39</f>
        <v>1379.8759500000001</v>
      </c>
      <c r="AA98" s="136">
        <f>AA6*Premissas!$E$39</f>
        <v>1291.4005499999998</v>
      </c>
      <c r="AB98" s="136">
        <f>AB6*Premissas!$F$39</f>
        <v>859.27239825000004</v>
      </c>
      <c r="AC98" s="136">
        <f>AC6*Premissas!$F$39</f>
        <v>904.45713924999995</v>
      </c>
      <c r="AD98" s="136">
        <f>AD6*Premissas!$F$39</f>
        <v>1085.7505172500003</v>
      </c>
      <c r="AE98" s="136">
        <f>AE6*Premissas!$F$39</f>
        <v>1018.80502675</v>
      </c>
      <c r="AF98" s="136">
        <f>AF6*Premissas!$F$39</f>
        <v>1047.010839</v>
      </c>
      <c r="AG98" s="136">
        <f>AG6*Premissas!$F$39</f>
        <v>1012.3599640000001</v>
      </c>
      <c r="AH98" s="136">
        <f>AH6*Premissas!$G$39</f>
        <v>1029.9477581250001</v>
      </c>
      <c r="AI98" s="136">
        <f>AI6*Premissas!$G$39</f>
        <v>1062.84133875</v>
      </c>
      <c r="AJ98" s="136">
        <f>AJ6*Premissas!$G$39</f>
        <v>947.082665625</v>
      </c>
      <c r="AK98" s="136">
        <f>AK6*Premissas!$G$39</f>
        <v>1086.30493125</v>
      </c>
      <c r="AL98" s="136">
        <f>AL6*Premissas!$G$39</f>
        <v>1083.9288712500002</v>
      </c>
      <c r="AM98" s="136">
        <f>AM6*Premissas!$G$39</f>
        <v>1014.4291162500001</v>
      </c>
      <c r="AN98" s="136">
        <f>AN6*Premissas!$H$39</f>
        <v>867.18997963387505</v>
      </c>
      <c r="AO98" s="136">
        <f>AO6*Premissas!$H$39</f>
        <v>912.79106574737489</v>
      </c>
      <c r="AP98" s="136">
        <f>AP6*Premissas!$H$39</f>
        <v>1095.754932730375</v>
      </c>
      <c r="AQ98" s="136">
        <f>AQ6*Premissas!$H$39</f>
        <v>1028.1925873536252</v>
      </c>
      <c r="AR98" s="136">
        <f>AR6*Premissas!$H$39</f>
        <v>1056.6582960165001</v>
      </c>
      <c r="AS98" s="136">
        <f>AS6*Premissas!$H$39</f>
        <v>1021.6881379540001</v>
      </c>
      <c r="AT98" s="136">
        <f>AT6*Premissas!$I$39</f>
        <v>1038.4619929255</v>
      </c>
      <c r="AU98" s="136">
        <f>AU6*Premissas!$I$39</f>
        <v>1071.627493817</v>
      </c>
      <c r="AV98" s="136">
        <f>AV6*Premissas!$I$39</f>
        <v>954.91188232750005</v>
      </c>
      <c r="AW98" s="136">
        <f>AW6*Premissas!$I$39</f>
        <v>1095.285052015</v>
      </c>
      <c r="AX98" s="136">
        <f>AX6*Premissas!$I$39</f>
        <v>1092.8893499190001</v>
      </c>
      <c r="AY98" s="136">
        <f>AY6*Premissas!$I$39</f>
        <v>1022.8150636109999</v>
      </c>
      <c r="AZ98" s="136">
        <f>AZ6*Premissas!$J$39</f>
        <v>1190.9816185084387</v>
      </c>
      <c r="BA98" s="136">
        <f>BA6*Premissas!$J$39</f>
        <v>1253.6092510003737</v>
      </c>
      <c r="BB98" s="136">
        <f>BB6*Premissas!$J$39</f>
        <v>1504.8882181766039</v>
      </c>
      <c r="BC98" s="136">
        <f>BC6*Premissas!$J$39</f>
        <v>1412.0994252514363</v>
      </c>
      <c r="BD98" s="136">
        <f>BD6*Premissas!$J$39</f>
        <v>1451.1936682333651</v>
      </c>
      <c r="BE98" s="136">
        <f>BE6*Premissas!$J$39</f>
        <v>1403.1663427027402</v>
      </c>
      <c r="BF98" s="136">
        <f>BF6*Premissas!$K$39</f>
        <v>598.20876381945266</v>
      </c>
      <c r="BG98" s="136">
        <f>BG6*Premissas!$K$39</f>
        <v>617.31383788563505</v>
      </c>
      <c r="BH98" s="136">
        <f>BH6*Premissas!$K$39</f>
        <v>550.07950274076256</v>
      </c>
      <c r="BI98" s="136">
        <f>BI6*Premissas!$K$39</f>
        <v>630.94183654232506</v>
      </c>
      <c r="BJ98" s="136">
        <f>BJ6*Premissas!$K$39</f>
        <v>629.56178604544516</v>
      </c>
      <c r="BK98" s="136">
        <f>BK6*Premissas!$K$39</f>
        <v>589.19530901170515</v>
      </c>
    </row>
    <row r="99" spans="1:63" ht="12.75" customHeight="1" x14ac:dyDescent="0.2">
      <c r="A99" s="126" t="s">
        <v>409</v>
      </c>
      <c r="B99" s="120">
        <f>AA99</f>
        <v>8253.4140800000023</v>
      </c>
      <c r="C99" s="120" t="s">
        <v>397</v>
      </c>
      <c r="D99" s="120">
        <f>0</f>
        <v>0</v>
      </c>
      <c r="E99" s="120">
        <f t="shared" ref="E99:AJ99" si="82">D101</f>
        <v>0</v>
      </c>
      <c r="F99" s="120">
        <f t="shared" si="82"/>
        <v>0</v>
      </c>
      <c r="G99" s="120">
        <f t="shared" si="82"/>
        <v>186.6880000000001</v>
      </c>
      <c r="H99" s="120">
        <f t="shared" si="82"/>
        <v>408.55200000000013</v>
      </c>
      <c r="I99" s="120">
        <f t="shared" si="82"/>
        <v>1187.8640000000003</v>
      </c>
      <c r="J99" s="120">
        <f t="shared" si="82"/>
        <v>1928.1760000000004</v>
      </c>
      <c r="K99" s="120">
        <f t="shared" si="82"/>
        <v>2671.4700000000003</v>
      </c>
      <c r="L99" s="120">
        <f t="shared" si="82"/>
        <v>3397.2070200000003</v>
      </c>
      <c r="M99" s="120">
        <f t="shared" si="82"/>
        <v>3934.8316700000005</v>
      </c>
      <c r="N99" s="120">
        <f t="shared" si="82"/>
        <v>4538.5625700000001</v>
      </c>
      <c r="O99" s="120">
        <f t="shared" si="82"/>
        <v>4663.4383800000005</v>
      </c>
      <c r="P99" s="120">
        <f t="shared" si="82"/>
        <v>4589.8772700000009</v>
      </c>
      <c r="Q99" s="120">
        <f t="shared" si="82"/>
        <v>4495.4996750000009</v>
      </c>
      <c r="R99" s="120">
        <f t="shared" si="82"/>
        <v>4625.8700200000003</v>
      </c>
      <c r="S99" s="120">
        <f t="shared" si="82"/>
        <v>5052.1518850000002</v>
      </c>
      <c r="T99" s="120">
        <f t="shared" si="82"/>
        <v>5500.0039800000004</v>
      </c>
      <c r="U99" s="120">
        <f t="shared" si="82"/>
        <v>5961.5126800000007</v>
      </c>
      <c r="V99" s="120">
        <f t="shared" si="82"/>
        <v>6394.208880000001</v>
      </c>
      <c r="W99" s="120">
        <f t="shared" si="82"/>
        <v>6846.4151550000015</v>
      </c>
      <c r="X99" s="120">
        <f t="shared" si="82"/>
        <v>7301.5460050000011</v>
      </c>
      <c r="Y99" s="120">
        <f t="shared" si="82"/>
        <v>7598.0373800000016</v>
      </c>
      <c r="Z99" s="120">
        <f t="shared" si="82"/>
        <v>7925.1881300000014</v>
      </c>
      <c r="AA99" s="120">
        <f t="shared" si="82"/>
        <v>8253.4140800000023</v>
      </c>
      <c r="AB99" s="120">
        <f t="shared" si="82"/>
        <v>8370.1646300000029</v>
      </c>
      <c r="AC99" s="120">
        <f t="shared" si="82"/>
        <v>8025.4207782500034</v>
      </c>
      <c r="AD99" s="120">
        <f t="shared" si="82"/>
        <v>7725.861667500003</v>
      </c>
      <c r="AE99" s="120">
        <f t="shared" si="82"/>
        <v>7607.5959347500029</v>
      </c>
      <c r="AF99" s="120">
        <f t="shared" si="82"/>
        <v>7422.3847115000026</v>
      </c>
      <c r="AG99" s="120">
        <f t="shared" si="82"/>
        <v>7265.3793005000025</v>
      </c>
      <c r="AH99" s="120">
        <f t="shared" si="82"/>
        <v>7073.723014500003</v>
      </c>
      <c r="AI99" s="120">
        <f t="shared" si="82"/>
        <v>6899.6545226250037</v>
      </c>
      <c r="AJ99" s="120">
        <f t="shared" si="82"/>
        <v>6758.4796113750035</v>
      </c>
      <c r="AK99" s="120">
        <f t="shared" ref="AK99:BK99" si="83">AJ101</f>
        <v>6501.546027000004</v>
      </c>
      <c r="AL99" s="120">
        <f t="shared" si="83"/>
        <v>6383.834708250004</v>
      </c>
      <c r="AM99" s="120">
        <f t="shared" si="83"/>
        <v>6263.7473295000045</v>
      </c>
      <c r="AN99" s="120">
        <f t="shared" si="83"/>
        <v>6074.1601957500043</v>
      </c>
      <c r="AO99" s="120">
        <f t="shared" si="83"/>
        <v>5707.2335191338798</v>
      </c>
      <c r="AP99" s="120">
        <f t="shared" si="83"/>
        <v>5385.9079286312553</v>
      </c>
      <c r="AQ99" s="120">
        <f t="shared" si="83"/>
        <v>5247.5462051116301</v>
      </c>
      <c r="AR99" s="120">
        <f t="shared" si="83"/>
        <v>5041.6221362152555</v>
      </c>
      <c r="AS99" s="120">
        <f t="shared" si="83"/>
        <v>4864.1637759817559</v>
      </c>
      <c r="AT99" s="120">
        <f t="shared" si="83"/>
        <v>4651.7352576857566</v>
      </c>
      <c r="AU99" s="120">
        <f t="shared" si="83"/>
        <v>4456.0805943612568</v>
      </c>
      <c r="AV99" s="120">
        <f t="shared" si="83"/>
        <v>4293.5914319282565</v>
      </c>
      <c r="AW99" s="120">
        <f t="shared" si="83"/>
        <v>4014.3866580057565</v>
      </c>
      <c r="AX99" s="120">
        <f t="shared" si="83"/>
        <v>3875.5550537707568</v>
      </c>
      <c r="AY99" s="120">
        <f t="shared" si="83"/>
        <v>3734.3277474397573</v>
      </c>
      <c r="AZ99" s="120">
        <f t="shared" si="83"/>
        <v>3523.0261548007575</v>
      </c>
      <c r="BA99" s="120">
        <f t="shared" si="83"/>
        <v>3449.0382006529462</v>
      </c>
      <c r="BB99" s="120">
        <f t="shared" si="83"/>
        <v>3437.6778789970704</v>
      </c>
      <c r="BC99" s="120">
        <f t="shared" si="83"/>
        <v>3677.5965245174248</v>
      </c>
      <c r="BD99" s="120">
        <f t="shared" si="83"/>
        <v>3824.7263771126113</v>
      </c>
      <c r="BE99" s="120">
        <f t="shared" si="83"/>
        <v>4010.9504726897267</v>
      </c>
      <c r="BF99" s="120">
        <f t="shared" si="83"/>
        <v>4149.1472427362169</v>
      </c>
      <c r="BG99" s="120">
        <f t="shared" si="83"/>
        <v>3482.3864338994199</v>
      </c>
      <c r="BH99" s="120">
        <f t="shared" si="83"/>
        <v>2834.7306991288051</v>
      </c>
      <c r="BI99" s="120">
        <f t="shared" si="83"/>
        <v>2119.8406292133177</v>
      </c>
      <c r="BJ99" s="120">
        <f t="shared" si="83"/>
        <v>1485.812893099393</v>
      </c>
      <c r="BK99" s="120">
        <f t="shared" si="83"/>
        <v>850.40510648858844</v>
      </c>
    </row>
    <row r="100" spans="1:63" ht="12.75" customHeight="1" x14ac:dyDescent="0.2">
      <c r="A100" s="126" t="s">
        <v>410</v>
      </c>
      <c r="B100" s="120">
        <f>SUM(D100:BQ100)</f>
        <v>9074.9418558951038</v>
      </c>
      <c r="C100" s="120">
        <f>B100/60</f>
        <v>151.24903093158505</v>
      </c>
      <c r="D100" s="120">
        <f t="shared" ref="D100:AI100" si="84">MIN(D99,MAX(D97-D98,0))</f>
        <v>0</v>
      </c>
      <c r="E100" s="120">
        <f t="shared" si="84"/>
        <v>0</v>
      </c>
      <c r="F100" s="120">
        <f t="shared" si="84"/>
        <v>0</v>
      </c>
      <c r="G100" s="120">
        <f t="shared" si="84"/>
        <v>0</v>
      </c>
      <c r="H100" s="120">
        <f t="shared" si="84"/>
        <v>0</v>
      </c>
      <c r="I100" s="120">
        <f t="shared" si="84"/>
        <v>0</v>
      </c>
      <c r="J100" s="120">
        <f t="shared" si="84"/>
        <v>0</v>
      </c>
      <c r="K100" s="120">
        <f t="shared" si="84"/>
        <v>0</v>
      </c>
      <c r="L100" s="120">
        <f t="shared" si="84"/>
        <v>0</v>
      </c>
      <c r="M100" s="120">
        <f t="shared" si="84"/>
        <v>0</v>
      </c>
      <c r="N100" s="120">
        <f t="shared" si="84"/>
        <v>0</v>
      </c>
      <c r="O100" s="120">
        <f t="shared" si="84"/>
        <v>73.561109999999871</v>
      </c>
      <c r="P100" s="120">
        <f t="shared" si="84"/>
        <v>94.377594999999928</v>
      </c>
      <c r="Q100" s="120">
        <f t="shared" si="84"/>
        <v>0</v>
      </c>
      <c r="R100" s="120">
        <f t="shared" si="84"/>
        <v>0</v>
      </c>
      <c r="S100" s="120">
        <f t="shared" si="84"/>
        <v>0</v>
      </c>
      <c r="T100" s="120">
        <f t="shared" si="84"/>
        <v>0</v>
      </c>
      <c r="U100" s="120">
        <f t="shared" si="84"/>
        <v>0</v>
      </c>
      <c r="V100" s="120">
        <f t="shared" si="84"/>
        <v>0</v>
      </c>
      <c r="W100" s="120">
        <f t="shared" si="84"/>
        <v>0</v>
      </c>
      <c r="X100" s="120">
        <f t="shared" si="84"/>
        <v>0</v>
      </c>
      <c r="Y100" s="120">
        <f t="shared" si="84"/>
        <v>0</v>
      </c>
      <c r="Z100" s="120">
        <f t="shared" si="84"/>
        <v>0</v>
      </c>
      <c r="AA100" s="120">
        <f t="shared" si="84"/>
        <v>0</v>
      </c>
      <c r="AB100" s="120">
        <f t="shared" si="84"/>
        <v>344.74385174999986</v>
      </c>
      <c r="AC100" s="120">
        <f t="shared" si="84"/>
        <v>299.55911074999995</v>
      </c>
      <c r="AD100" s="120">
        <f t="shared" si="84"/>
        <v>118.26573274999964</v>
      </c>
      <c r="AE100" s="120">
        <f t="shared" si="84"/>
        <v>185.21122324999988</v>
      </c>
      <c r="AF100" s="120">
        <f t="shared" si="84"/>
        <v>157.00541099999987</v>
      </c>
      <c r="AG100" s="120">
        <f t="shared" si="84"/>
        <v>191.6562859999998</v>
      </c>
      <c r="AH100" s="120">
        <f t="shared" si="84"/>
        <v>174.06849187499984</v>
      </c>
      <c r="AI100" s="120">
        <f t="shared" si="84"/>
        <v>141.17491124999992</v>
      </c>
      <c r="AJ100" s="120">
        <f t="shared" ref="AJ100:BO100" si="85">MIN(AJ99,MAX(AJ97-AJ98,0))</f>
        <v>256.9335843749999</v>
      </c>
      <c r="AK100" s="120">
        <f t="shared" si="85"/>
        <v>117.71131874999992</v>
      </c>
      <c r="AL100" s="120">
        <f t="shared" si="85"/>
        <v>120.08737874999974</v>
      </c>
      <c r="AM100" s="120">
        <f t="shared" si="85"/>
        <v>189.58713374999979</v>
      </c>
      <c r="AN100" s="120">
        <f t="shared" si="85"/>
        <v>366.92667661612472</v>
      </c>
      <c r="AO100" s="120">
        <f t="shared" si="85"/>
        <v>321.32559050262489</v>
      </c>
      <c r="AP100" s="120">
        <f t="shared" si="85"/>
        <v>138.36172351962477</v>
      </c>
      <c r="AQ100" s="120">
        <f t="shared" si="85"/>
        <v>205.92406889637459</v>
      </c>
      <c r="AR100" s="120">
        <f t="shared" si="85"/>
        <v>177.45836023349966</v>
      </c>
      <c r="AS100" s="120">
        <f t="shared" si="85"/>
        <v>212.42851829599965</v>
      </c>
      <c r="AT100" s="120">
        <f t="shared" si="85"/>
        <v>195.65466332449978</v>
      </c>
      <c r="AU100" s="120">
        <f t="shared" si="85"/>
        <v>162.48916243299982</v>
      </c>
      <c r="AV100" s="120">
        <f t="shared" si="85"/>
        <v>279.20477392249973</v>
      </c>
      <c r="AW100" s="120">
        <f t="shared" si="85"/>
        <v>138.83160423499976</v>
      </c>
      <c r="AX100" s="120">
        <f t="shared" si="85"/>
        <v>141.22730633099968</v>
      </c>
      <c r="AY100" s="120">
        <f t="shared" si="85"/>
        <v>211.30159263899986</v>
      </c>
      <c r="AZ100" s="120">
        <f t="shared" si="85"/>
        <v>73.987954147811024</v>
      </c>
      <c r="BA100" s="120">
        <f t="shared" si="85"/>
        <v>11.360321655876078</v>
      </c>
      <c r="BB100" s="120">
        <f t="shared" si="85"/>
        <v>0</v>
      </c>
      <c r="BC100" s="120">
        <f t="shared" si="85"/>
        <v>0</v>
      </c>
      <c r="BD100" s="120">
        <f t="shared" si="85"/>
        <v>0</v>
      </c>
      <c r="BE100" s="120">
        <f t="shared" si="85"/>
        <v>0</v>
      </c>
      <c r="BF100" s="120">
        <f t="shared" si="85"/>
        <v>666.76080883679708</v>
      </c>
      <c r="BG100" s="120">
        <f t="shared" si="85"/>
        <v>647.65573477061469</v>
      </c>
      <c r="BH100" s="120">
        <f t="shared" si="85"/>
        <v>714.89006991548717</v>
      </c>
      <c r="BI100" s="120">
        <f t="shared" si="85"/>
        <v>634.02773611392468</v>
      </c>
      <c r="BJ100" s="120">
        <f t="shared" si="85"/>
        <v>635.40778661080458</v>
      </c>
      <c r="BK100" s="120">
        <f t="shared" si="85"/>
        <v>675.77426364454459</v>
      </c>
    </row>
    <row r="101" spans="1:63" ht="13.5" customHeight="1" x14ac:dyDescent="0.2">
      <c r="A101" s="41" t="s">
        <v>411</v>
      </c>
      <c r="B101" s="43">
        <f>AA101</f>
        <v>8370.1646300000029</v>
      </c>
      <c r="C101" s="120" t="s">
        <v>397</v>
      </c>
      <c r="D101" s="137">
        <f t="shared" ref="D101:AI101" si="86">MAX(D99-D100,0)+MAX(D98-D97,0)</f>
        <v>0</v>
      </c>
      <c r="E101" s="137">
        <f t="shared" si="86"/>
        <v>0</v>
      </c>
      <c r="F101" s="137">
        <f t="shared" si="86"/>
        <v>186.6880000000001</v>
      </c>
      <c r="G101" s="137">
        <f t="shared" si="86"/>
        <v>408.55200000000013</v>
      </c>
      <c r="H101" s="137">
        <f t="shared" si="86"/>
        <v>1187.8640000000003</v>
      </c>
      <c r="I101" s="137">
        <f t="shared" si="86"/>
        <v>1928.1760000000004</v>
      </c>
      <c r="J101" s="137">
        <f t="shared" si="86"/>
        <v>2671.4700000000003</v>
      </c>
      <c r="K101" s="137">
        <f t="shared" si="86"/>
        <v>3397.2070200000003</v>
      </c>
      <c r="L101" s="137">
        <f t="shared" si="86"/>
        <v>3934.8316700000005</v>
      </c>
      <c r="M101" s="137">
        <f t="shared" si="86"/>
        <v>4538.5625700000001</v>
      </c>
      <c r="N101" s="137">
        <f t="shared" si="86"/>
        <v>4663.4383800000005</v>
      </c>
      <c r="O101" s="137">
        <f t="shared" si="86"/>
        <v>4589.8772700000009</v>
      </c>
      <c r="P101" s="137">
        <f t="shared" si="86"/>
        <v>4495.4996750000009</v>
      </c>
      <c r="Q101" s="137">
        <f t="shared" si="86"/>
        <v>4625.8700200000003</v>
      </c>
      <c r="R101" s="137">
        <f t="shared" si="86"/>
        <v>5052.1518850000002</v>
      </c>
      <c r="S101" s="137">
        <f t="shared" si="86"/>
        <v>5500.0039800000004</v>
      </c>
      <c r="T101" s="137">
        <f t="shared" si="86"/>
        <v>5961.5126800000007</v>
      </c>
      <c r="U101" s="137">
        <f t="shared" si="86"/>
        <v>6394.208880000001</v>
      </c>
      <c r="V101" s="137">
        <f t="shared" si="86"/>
        <v>6846.4151550000015</v>
      </c>
      <c r="W101" s="137">
        <f t="shared" si="86"/>
        <v>7301.5460050000011</v>
      </c>
      <c r="X101" s="137">
        <f t="shared" si="86"/>
        <v>7598.0373800000016</v>
      </c>
      <c r="Y101" s="137">
        <f t="shared" si="86"/>
        <v>7925.1881300000014</v>
      </c>
      <c r="Z101" s="137">
        <f t="shared" si="86"/>
        <v>8253.4140800000023</v>
      </c>
      <c r="AA101" s="137">
        <f t="shared" si="86"/>
        <v>8370.1646300000029</v>
      </c>
      <c r="AB101" s="137">
        <f t="shared" si="86"/>
        <v>8025.4207782500034</v>
      </c>
      <c r="AC101" s="137">
        <f t="shared" si="86"/>
        <v>7725.861667500003</v>
      </c>
      <c r="AD101" s="137">
        <f t="shared" si="86"/>
        <v>7607.5959347500029</v>
      </c>
      <c r="AE101" s="137">
        <f t="shared" si="86"/>
        <v>7422.3847115000026</v>
      </c>
      <c r="AF101" s="137">
        <f t="shared" si="86"/>
        <v>7265.3793005000025</v>
      </c>
      <c r="AG101" s="137">
        <f t="shared" si="86"/>
        <v>7073.723014500003</v>
      </c>
      <c r="AH101" s="137">
        <f t="shared" si="86"/>
        <v>6899.6545226250037</v>
      </c>
      <c r="AI101" s="137">
        <f t="shared" si="86"/>
        <v>6758.4796113750035</v>
      </c>
      <c r="AJ101" s="137">
        <f t="shared" ref="AJ101:BO101" si="87">MAX(AJ99-AJ100,0)+MAX(AJ98-AJ97,0)</f>
        <v>6501.546027000004</v>
      </c>
      <c r="AK101" s="137">
        <f t="shared" si="87"/>
        <v>6383.834708250004</v>
      </c>
      <c r="AL101" s="137">
        <f t="shared" si="87"/>
        <v>6263.7473295000045</v>
      </c>
      <c r="AM101" s="137">
        <f t="shared" si="87"/>
        <v>6074.1601957500043</v>
      </c>
      <c r="AN101" s="137">
        <f t="shared" si="87"/>
        <v>5707.2335191338798</v>
      </c>
      <c r="AO101" s="137">
        <f t="shared" si="87"/>
        <v>5385.9079286312553</v>
      </c>
      <c r="AP101" s="137">
        <f t="shared" si="87"/>
        <v>5247.5462051116301</v>
      </c>
      <c r="AQ101" s="137">
        <f t="shared" si="87"/>
        <v>5041.6221362152555</v>
      </c>
      <c r="AR101" s="137">
        <f t="shared" si="87"/>
        <v>4864.1637759817559</v>
      </c>
      <c r="AS101" s="137">
        <f t="shared" si="87"/>
        <v>4651.7352576857566</v>
      </c>
      <c r="AT101" s="137">
        <f t="shared" si="87"/>
        <v>4456.0805943612568</v>
      </c>
      <c r="AU101" s="137">
        <f t="shared" si="87"/>
        <v>4293.5914319282565</v>
      </c>
      <c r="AV101" s="137">
        <f t="shared" si="87"/>
        <v>4014.3866580057565</v>
      </c>
      <c r="AW101" s="137">
        <f t="shared" si="87"/>
        <v>3875.5550537707568</v>
      </c>
      <c r="AX101" s="137">
        <f t="shared" si="87"/>
        <v>3734.3277474397573</v>
      </c>
      <c r="AY101" s="137">
        <f t="shared" si="87"/>
        <v>3523.0261548007575</v>
      </c>
      <c r="AZ101" s="137">
        <f t="shared" si="87"/>
        <v>3449.0382006529462</v>
      </c>
      <c r="BA101" s="137">
        <f t="shared" si="87"/>
        <v>3437.6778789970704</v>
      </c>
      <c r="BB101" s="137">
        <f t="shared" si="87"/>
        <v>3677.5965245174248</v>
      </c>
      <c r="BC101" s="137">
        <f t="shared" si="87"/>
        <v>3824.7263771126113</v>
      </c>
      <c r="BD101" s="137">
        <f t="shared" si="87"/>
        <v>4010.9504726897267</v>
      </c>
      <c r="BE101" s="137">
        <f t="shared" si="87"/>
        <v>4149.1472427362169</v>
      </c>
      <c r="BF101" s="137">
        <f t="shared" si="87"/>
        <v>3482.3864338994199</v>
      </c>
      <c r="BG101" s="137">
        <f t="shared" si="87"/>
        <v>2834.7306991288051</v>
      </c>
      <c r="BH101" s="137">
        <f t="shared" si="87"/>
        <v>2119.8406292133177</v>
      </c>
      <c r="BI101" s="137">
        <f t="shared" si="87"/>
        <v>1485.812893099393</v>
      </c>
      <c r="BJ101" s="137">
        <f t="shared" si="87"/>
        <v>850.40510648858844</v>
      </c>
      <c r="BK101" s="137">
        <f t="shared" si="87"/>
        <v>174.63084284404385</v>
      </c>
    </row>
    <row r="102" spans="1:63" ht="12.75" customHeight="1" x14ac:dyDescent="0.2">
      <c r="A102" s="127" t="s">
        <v>412</v>
      </c>
      <c r="B102" s="128">
        <f>AA102</f>
        <v>0</v>
      </c>
      <c r="C102" s="120" t="s">
        <v>397</v>
      </c>
      <c r="D102" s="128">
        <f>0</f>
        <v>0</v>
      </c>
      <c r="E102" s="128">
        <f t="shared" ref="E102:AJ102" si="88">D104</f>
        <v>0</v>
      </c>
      <c r="F102" s="128">
        <f t="shared" si="88"/>
        <v>0</v>
      </c>
      <c r="G102" s="128">
        <f t="shared" si="88"/>
        <v>0</v>
      </c>
      <c r="H102" s="128">
        <f t="shared" si="88"/>
        <v>0</v>
      </c>
      <c r="I102" s="128">
        <f t="shared" si="88"/>
        <v>0</v>
      </c>
      <c r="J102" s="128">
        <f t="shared" si="88"/>
        <v>0</v>
      </c>
      <c r="K102" s="128">
        <f t="shared" si="88"/>
        <v>0</v>
      </c>
      <c r="L102" s="128">
        <f t="shared" si="88"/>
        <v>0</v>
      </c>
      <c r="M102" s="128">
        <f t="shared" si="88"/>
        <v>0</v>
      </c>
      <c r="N102" s="128">
        <f t="shared" si="88"/>
        <v>0</v>
      </c>
      <c r="O102" s="128">
        <f t="shared" si="88"/>
        <v>0</v>
      </c>
      <c r="P102" s="128">
        <f t="shared" si="88"/>
        <v>0</v>
      </c>
      <c r="Q102" s="128">
        <f t="shared" si="88"/>
        <v>0</v>
      </c>
      <c r="R102" s="128">
        <f t="shared" si="88"/>
        <v>0</v>
      </c>
      <c r="S102" s="128">
        <f t="shared" si="88"/>
        <v>0</v>
      </c>
      <c r="T102" s="128">
        <f t="shared" si="88"/>
        <v>0</v>
      </c>
      <c r="U102" s="128">
        <f t="shared" si="88"/>
        <v>0</v>
      </c>
      <c r="V102" s="128">
        <f t="shared" si="88"/>
        <v>0</v>
      </c>
      <c r="W102" s="128">
        <f t="shared" si="88"/>
        <v>0</v>
      </c>
      <c r="X102" s="128">
        <f t="shared" si="88"/>
        <v>0</v>
      </c>
      <c r="Y102" s="128">
        <f t="shared" si="88"/>
        <v>0</v>
      </c>
      <c r="Z102" s="128">
        <f t="shared" si="88"/>
        <v>0</v>
      </c>
      <c r="AA102" s="128">
        <f t="shared" si="88"/>
        <v>0</v>
      </c>
      <c r="AB102" s="128">
        <f t="shared" si="88"/>
        <v>0</v>
      </c>
      <c r="AC102" s="128">
        <f t="shared" si="88"/>
        <v>0</v>
      </c>
      <c r="AD102" s="128">
        <f t="shared" si="88"/>
        <v>0</v>
      </c>
      <c r="AE102" s="128">
        <f t="shared" si="88"/>
        <v>0</v>
      </c>
      <c r="AF102" s="128">
        <f t="shared" si="88"/>
        <v>0</v>
      </c>
      <c r="AG102" s="128">
        <f t="shared" si="88"/>
        <v>0</v>
      </c>
      <c r="AH102" s="128">
        <f t="shared" si="88"/>
        <v>0</v>
      </c>
      <c r="AI102" s="128">
        <f t="shared" si="88"/>
        <v>0</v>
      </c>
      <c r="AJ102" s="128">
        <f t="shared" si="88"/>
        <v>0</v>
      </c>
      <c r="AK102" s="128">
        <f t="shared" ref="AK102:BK102" si="89">AJ104</f>
        <v>0</v>
      </c>
      <c r="AL102" s="128">
        <f t="shared" si="89"/>
        <v>0</v>
      </c>
      <c r="AM102" s="128">
        <f t="shared" si="89"/>
        <v>0</v>
      </c>
      <c r="AN102" s="128">
        <f t="shared" si="89"/>
        <v>0</v>
      </c>
      <c r="AO102" s="128">
        <f t="shared" si="89"/>
        <v>0</v>
      </c>
      <c r="AP102" s="128">
        <f t="shared" si="89"/>
        <v>0</v>
      </c>
      <c r="AQ102" s="128">
        <f t="shared" si="89"/>
        <v>0</v>
      </c>
      <c r="AR102" s="128">
        <f t="shared" si="89"/>
        <v>0</v>
      </c>
      <c r="AS102" s="128">
        <f t="shared" si="89"/>
        <v>0</v>
      </c>
      <c r="AT102" s="128">
        <f t="shared" si="89"/>
        <v>0</v>
      </c>
      <c r="AU102" s="128">
        <f t="shared" si="89"/>
        <v>0</v>
      </c>
      <c r="AV102" s="128">
        <f t="shared" si="89"/>
        <v>0</v>
      </c>
      <c r="AW102" s="128">
        <f t="shared" si="89"/>
        <v>0</v>
      </c>
      <c r="AX102" s="128">
        <f t="shared" si="89"/>
        <v>0</v>
      </c>
      <c r="AY102" s="128">
        <f t="shared" si="89"/>
        <v>0</v>
      </c>
      <c r="AZ102" s="128">
        <f t="shared" si="89"/>
        <v>0</v>
      </c>
      <c r="BA102" s="128">
        <f t="shared" si="89"/>
        <v>0</v>
      </c>
      <c r="BB102" s="128">
        <f t="shared" si="89"/>
        <v>0</v>
      </c>
      <c r="BC102" s="128">
        <f t="shared" si="89"/>
        <v>0</v>
      </c>
      <c r="BD102" s="128">
        <f t="shared" si="89"/>
        <v>0</v>
      </c>
      <c r="BE102" s="128">
        <f t="shared" si="89"/>
        <v>0</v>
      </c>
      <c r="BF102" s="128">
        <f t="shared" si="89"/>
        <v>0</v>
      </c>
      <c r="BG102" s="128">
        <f t="shared" si="89"/>
        <v>0</v>
      </c>
      <c r="BH102" s="128">
        <f t="shared" si="89"/>
        <v>0</v>
      </c>
      <c r="BI102" s="128">
        <f t="shared" si="89"/>
        <v>0</v>
      </c>
      <c r="BJ102" s="128">
        <f t="shared" si="89"/>
        <v>0</v>
      </c>
      <c r="BK102" s="128">
        <f t="shared" si="89"/>
        <v>0</v>
      </c>
    </row>
    <row r="103" spans="1:63" ht="12.75" customHeight="1" x14ac:dyDescent="0.2">
      <c r="A103" s="127" t="s">
        <v>420</v>
      </c>
      <c r="B103" s="128">
        <f>SUM(D103:BQ103)</f>
        <v>0</v>
      </c>
      <c r="C103" s="120">
        <f>B103/60</f>
        <v>0</v>
      </c>
      <c r="D103" s="128">
        <f t="shared" ref="D103:AI103" si="90">MIN(D102,D97)</f>
        <v>0</v>
      </c>
      <c r="E103" s="128">
        <f t="shared" si="90"/>
        <v>0</v>
      </c>
      <c r="F103" s="128">
        <f t="shared" si="90"/>
        <v>0</v>
      </c>
      <c r="G103" s="128">
        <f t="shared" si="90"/>
        <v>0</v>
      </c>
      <c r="H103" s="128">
        <f t="shared" si="90"/>
        <v>0</v>
      </c>
      <c r="I103" s="128">
        <f t="shared" si="90"/>
        <v>0</v>
      </c>
      <c r="J103" s="128">
        <f t="shared" si="90"/>
        <v>0</v>
      </c>
      <c r="K103" s="128">
        <f t="shared" si="90"/>
        <v>0</v>
      </c>
      <c r="L103" s="128">
        <f t="shared" si="90"/>
        <v>0</v>
      </c>
      <c r="M103" s="128">
        <f t="shared" si="90"/>
        <v>0</v>
      </c>
      <c r="N103" s="128">
        <f t="shared" si="90"/>
        <v>0</v>
      </c>
      <c r="O103" s="128">
        <f t="shared" si="90"/>
        <v>0</v>
      </c>
      <c r="P103" s="128">
        <f t="shared" si="90"/>
        <v>0</v>
      </c>
      <c r="Q103" s="128">
        <f t="shared" si="90"/>
        <v>0</v>
      </c>
      <c r="R103" s="128">
        <f t="shared" si="90"/>
        <v>0</v>
      </c>
      <c r="S103" s="128">
        <f t="shared" si="90"/>
        <v>0</v>
      </c>
      <c r="T103" s="128">
        <f t="shared" si="90"/>
        <v>0</v>
      </c>
      <c r="U103" s="128">
        <f t="shared" si="90"/>
        <v>0</v>
      </c>
      <c r="V103" s="128">
        <f t="shared" si="90"/>
        <v>0</v>
      </c>
      <c r="W103" s="128">
        <f t="shared" si="90"/>
        <v>0</v>
      </c>
      <c r="X103" s="128">
        <f t="shared" si="90"/>
        <v>0</v>
      </c>
      <c r="Y103" s="128">
        <f t="shared" si="90"/>
        <v>0</v>
      </c>
      <c r="Z103" s="128">
        <f t="shared" si="90"/>
        <v>0</v>
      </c>
      <c r="AA103" s="128">
        <f t="shared" si="90"/>
        <v>0</v>
      </c>
      <c r="AB103" s="128">
        <f t="shared" si="90"/>
        <v>0</v>
      </c>
      <c r="AC103" s="128">
        <f t="shared" si="90"/>
        <v>0</v>
      </c>
      <c r="AD103" s="128">
        <f t="shared" si="90"/>
        <v>0</v>
      </c>
      <c r="AE103" s="128">
        <f t="shared" si="90"/>
        <v>0</v>
      </c>
      <c r="AF103" s="128">
        <f t="shared" si="90"/>
        <v>0</v>
      </c>
      <c r="AG103" s="128">
        <f t="shared" si="90"/>
        <v>0</v>
      </c>
      <c r="AH103" s="128">
        <f t="shared" si="90"/>
        <v>0</v>
      </c>
      <c r="AI103" s="128">
        <f t="shared" si="90"/>
        <v>0</v>
      </c>
      <c r="AJ103" s="128">
        <f t="shared" ref="AJ103:BO103" si="91">MIN(AJ102,AJ97)</f>
        <v>0</v>
      </c>
      <c r="AK103" s="128">
        <f t="shared" si="91"/>
        <v>0</v>
      </c>
      <c r="AL103" s="128">
        <f t="shared" si="91"/>
        <v>0</v>
      </c>
      <c r="AM103" s="128">
        <f t="shared" si="91"/>
        <v>0</v>
      </c>
      <c r="AN103" s="128">
        <f t="shared" si="91"/>
        <v>0</v>
      </c>
      <c r="AO103" s="128">
        <f t="shared" si="91"/>
        <v>0</v>
      </c>
      <c r="AP103" s="128">
        <f t="shared" si="91"/>
        <v>0</v>
      </c>
      <c r="AQ103" s="128">
        <f t="shared" si="91"/>
        <v>0</v>
      </c>
      <c r="AR103" s="128">
        <f t="shared" si="91"/>
        <v>0</v>
      </c>
      <c r="AS103" s="128">
        <f t="shared" si="91"/>
        <v>0</v>
      </c>
      <c r="AT103" s="128">
        <f t="shared" si="91"/>
        <v>0</v>
      </c>
      <c r="AU103" s="128">
        <f t="shared" si="91"/>
        <v>0</v>
      </c>
      <c r="AV103" s="128">
        <f t="shared" si="91"/>
        <v>0</v>
      </c>
      <c r="AW103" s="128">
        <f t="shared" si="91"/>
        <v>0</v>
      </c>
      <c r="AX103" s="128">
        <f t="shared" si="91"/>
        <v>0</v>
      </c>
      <c r="AY103" s="128">
        <f t="shared" si="91"/>
        <v>0</v>
      </c>
      <c r="AZ103" s="128">
        <f t="shared" si="91"/>
        <v>0</v>
      </c>
      <c r="BA103" s="128">
        <f t="shared" si="91"/>
        <v>0</v>
      </c>
      <c r="BB103" s="128">
        <f t="shared" si="91"/>
        <v>0</v>
      </c>
      <c r="BC103" s="128">
        <f t="shared" si="91"/>
        <v>0</v>
      </c>
      <c r="BD103" s="128">
        <f t="shared" si="91"/>
        <v>0</v>
      </c>
      <c r="BE103" s="128">
        <f t="shared" si="91"/>
        <v>0</v>
      </c>
      <c r="BF103" s="128">
        <f t="shared" si="91"/>
        <v>0</v>
      </c>
      <c r="BG103" s="128">
        <f t="shared" si="91"/>
        <v>0</v>
      </c>
      <c r="BH103" s="128">
        <f t="shared" si="91"/>
        <v>0</v>
      </c>
      <c r="BI103" s="128">
        <f t="shared" si="91"/>
        <v>0</v>
      </c>
      <c r="BJ103" s="128">
        <f t="shared" si="91"/>
        <v>0</v>
      </c>
      <c r="BK103" s="128">
        <f t="shared" si="91"/>
        <v>0</v>
      </c>
    </row>
    <row r="104" spans="1:63" ht="12.75" customHeight="1" x14ac:dyDescent="0.2">
      <c r="A104" s="127" t="s">
        <v>421</v>
      </c>
      <c r="B104" s="128">
        <f>AA104</f>
        <v>0</v>
      </c>
      <c r="C104" s="120" t="s">
        <v>397</v>
      </c>
      <c r="D104" s="149">
        <f t="shared" ref="D104:AI104" si="92">MAX(D102-D103,0)</f>
        <v>0</v>
      </c>
      <c r="E104" s="149">
        <f t="shared" si="92"/>
        <v>0</v>
      </c>
      <c r="F104" s="149">
        <f t="shared" si="92"/>
        <v>0</v>
      </c>
      <c r="G104" s="149">
        <f t="shared" si="92"/>
        <v>0</v>
      </c>
      <c r="H104" s="149">
        <f t="shared" si="92"/>
        <v>0</v>
      </c>
      <c r="I104" s="149">
        <f t="shared" si="92"/>
        <v>0</v>
      </c>
      <c r="J104" s="149">
        <f t="shared" si="92"/>
        <v>0</v>
      </c>
      <c r="K104" s="149">
        <f t="shared" si="92"/>
        <v>0</v>
      </c>
      <c r="L104" s="149">
        <f t="shared" si="92"/>
        <v>0</v>
      </c>
      <c r="M104" s="149">
        <f t="shared" si="92"/>
        <v>0</v>
      </c>
      <c r="N104" s="149">
        <f t="shared" si="92"/>
        <v>0</v>
      </c>
      <c r="O104" s="149">
        <f t="shared" si="92"/>
        <v>0</v>
      </c>
      <c r="P104" s="149">
        <f t="shared" si="92"/>
        <v>0</v>
      </c>
      <c r="Q104" s="149">
        <f t="shared" si="92"/>
        <v>0</v>
      </c>
      <c r="R104" s="149">
        <f t="shared" si="92"/>
        <v>0</v>
      </c>
      <c r="S104" s="149">
        <f t="shared" si="92"/>
        <v>0</v>
      </c>
      <c r="T104" s="149">
        <f t="shared" si="92"/>
        <v>0</v>
      </c>
      <c r="U104" s="149">
        <f t="shared" si="92"/>
        <v>0</v>
      </c>
      <c r="V104" s="149">
        <f t="shared" si="92"/>
        <v>0</v>
      </c>
      <c r="W104" s="149">
        <f t="shared" si="92"/>
        <v>0</v>
      </c>
      <c r="X104" s="149">
        <f t="shared" si="92"/>
        <v>0</v>
      </c>
      <c r="Y104" s="149">
        <f t="shared" si="92"/>
        <v>0</v>
      </c>
      <c r="Z104" s="149">
        <f t="shared" si="92"/>
        <v>0</v>
      </c>
      <c r="AA104" s="149">
        <f t="shared" si="92"/>
        <v>0</v>
      </c>
      <c r="AB104" s="149">
        <f t="shared" si="92"/>
        <v>0</v>
      </c>
      <c r="AC104" s="149">
        <f t="shared" si="92"/>
        <v>0</v>
      </c>
      <c r="AD104" s="149">
        <f t="shared" si="92"/>
        <v>0</v>
      </c>
      <c r="AE104" s="149">
        <f t="shared" si="92"/>
        <v>0</v>
      </c>
      <c r="AF104" s="149">
        <f t="shared" si="92"/>
        <v>0</v>
      </c>
      <c r="AG104" s="149">
        <f t="shared" si="92"/>
        <v>0</v>
      </c>
      <c r="AH104" s="149">
        <f t="shared" si="92"/>
        <v>0</v>
      </c>
      <c r="AI104" s="149">
        <f t="shared" si="92"/>
        <v>0</v>
      </c>
      <c r="AJ104" s="149">
        <f t="shared" ref="AJ104:BO104" si="93">MAX(AJ102-AJ103,0)</f>
        <v>0</v>
      </c>
      <c r="AK104" s="149">
        <f t="shared" si="93"/>
        <v>0</v>
      </c>
      <c r="AL104" s="149">
        <f t="shared" si="93"/>
        <v>0</v>
      </c>
      <c r="AM104" s="149">
        <f t="shared" si="93"/>
        <v>0</v>
      </c>
      <c r="AN104" s="149">
        <f t="shared" si="93"/>
        <v>0</v>
      </c>
      <c r="AO104" s="149">
        <f t="shared" si="93"/>
        <v>0</v>
      </c>
      <c r="AP104" s="149">
        <f t="shared" si="93"/>
        <v>0</v>
      </c>
      <c r="AQ104" s="149">
        <f t="shared" si="93"/>
        <v>0</v>
      </c>
      <c r="AR104" s="149">
        <f t="shared" si="93"/>
        <v>0</v>
      </c>
      <c r="AS104" s="149">
        <f t="shared" si="93"/>
        <v>0</v>
      </c>
      <c r="AT104" s="149">
        <f t="shared" si="93"/>
        <v>0</v>
      </c>
      <c r="AU104" s="149">
        <f t="shared" si="93"/>
        <v>0</v>
      </c>
      <c r="AV104" s="149">
        <f t="shared" si="93"/>
        <v>0</v>
      </c>
      <c r="AW104" s="149">
        <f t="shared" si="93"/>
        <v>0</v>
      </c>
      <c r="AX104" s="149">
        <f t="shared" si="93"/>
        <v>0</v>
      </c>
      <c r="AY104" s="149">
        <f t="shared" si="93"/>
        <v>0</v>
      </c>
      <c r="AZ104" s="149">
        <f t="shared" si="93"/>
        <v>0</v>
      </c>
      <c r="BA104" s="149">
        <f t="shared" si="93"/>
        <v>0</v>
      </c>
      <c r="BB104" s="149">
        <f t="shared" si="93"/>
        <v>0</v>
      </c>
      <c r="BC104" s="149">
        <f t="shared" si="93"/>
        <v>0</v>
      </c>
      <c r="BD104" s="149">
        <f t="shared" si="93"/>
        <v>0</v>
      </c>
      <c r="BE104" s="149">
        <f t="shared" si="93"/>
        <v>0</v>
      </c>
      <c r="BF104" s="149">
        <f t="shared" si="93"/>
        <v>0</v>
      </c>
      <c r="BG104" s="149">
        <f t="shared" si="93"/>
        <v>0</v>
      </c>
      <c r="BH104" s="149">
        <f t="shared" si="93"/>
        <v>0</v>
      </c>
      <c r="BI104" s="149">
        <f t="shared" si="93"/>
        <v>0</v>
      </c>
      <c r="BJ104" s="149">
        <f t="shared" si="93"/>
        <v>0</v>
      </c>
      <c r="BK104" s="149">
        <f t="shared" si="93"/>
        <v>0</v>
      </c>
    </row>
    <row r="105" spans="1:63" ht="12.75" customHeight="1" x14ac:dyDescent="0.2">
      <c r="A105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05" s="142">
        <f>SUM(D105:BQ105)</f>
        <v>79251.501644002958</v>
      </c>
      <c r="C105" s="124">
        <f>B105/60</f>
        <v>1320.8583607333826</v>
      </c>
      <c r="D105" s="142">
        <f>D97*Premissas!$F$19*(1+Premissas!$B$127)*(1+Premissas!$B$124)^0</f>
        <v>1105.8011685469087</v>
      </c>
      <c r="E105" s="142">
        <f>E97*Premissas!$F$19*(1+Premissas!$B$127)*(1+Premissas!$B$124)^0</f>
        <v>931.69189364917611</v>
      </c>
      <c r="F105" s="142">
        <f>F97*Premissas!$F$19*(1+Premissas!$B$127)*(1+Premissas!$B$124)^0</f>
        <v>845.67362093184386</v>
      </c>
      <c r="G105" s="142">
        <f>G97*Premissas!$F$19*(1+Premissas!$B$127)*(1+Premissas!$B$124)^0</f>
        <v>745.14624197303408</v>
      </c>
      <c r="H105" s="142">
        <f>H97*Premissas!$F$19*(1+Premissas!$B$127)*(1+Premissas!$B$124)^0</f>
        <v>977.29194183667744</v>
      </c>
      <c r="I105" s="142">
        <f>I97*Premissas!$F$19*(1+Premissas!$B$127)*(1+Premissas!$B$124)^0</f>
        <v>958.6373766690632</v>
      </c>
      <c r="J105" s="142">
        <f>J97*Premissas!$F$19*(1+Premissas!$B$127)*(1+Premissas!$B$124)^0</f>
        <v>868.47364502559458</v>
      </c>
      <c r="K105" s="142">
        <f>K97*Premissas!$F$19*(1+Premissas!$B$127)*(1+Premissas!$B$124)^0</f>
        <v>930.55189244448843</v>
      </c>
      <c r="L105" s="142">
        <f>L97*Premissas!$F$19*(1+Premissas!$B$127)*(1+Premissas!$B$124)^0</f>
        <v>942.23690479253571</v>
      </c>
      <c r="M105" s="142">
        <f>M97*Premissas!$F$19*(1+Premissas!$B$127)*(1+Premissas!$B$124)^0</f>
        <v>1094.1420653171497</v>
      </c>
      <c r="N105" s="142">
        <f>N97*Premissas!$F$19*(1+Premissas!$B$127)*(1+Premissas!$B$124)^0</f>
        <v>1089.8929699178598</v>
      </c>
      <c r="O105" s="142">
        <f>O97*Premissas!$F$19*(1+Premissas!$B$127)*(1+Premissas!$B$124)^0</f>
        <v>1217.3658318965568</v>
      </c>
      <c r="P105" s="142">
        <f>P97*Premissas!$F$19*(1+Premissas!$B$127)*(1+Premissas!$B$124)^1</f>
        <v>1201.4529696262161</v>
      </c>
      <c r="Q105" s="142">
        <f>Q97*Premissas!$F$19*(1+Premissas!$B$127)*(1+Premissas!$B$124)^1</f>
        <v>1012.2832424498298</v>
      </c>
      <c r="R105" s="142">
        <f>R97*Premissas!$F$19*(1+Premissas!$B$127)*(1+Premissas!$B$124)^1</f>
        <v>918.82438914244847</v>
      </c>
      <c r="S105" s="142">
        <f>S97*Premissas!$F$19*(1+Premissas!$B$127)*(1+Premissas!$B$124)^1</f>
        <v>809.60139190370148</v>
      </c>
      <c r="T105" s="142">
        <f>T97*Premissas!$F$19*(1+Premissas!$B$127)*(1+Premissas!$B$124)^1</f>
        <v>1061.8276948055502</v>
      </c>
      <c r="U105" s="142">
        <f>U97*Premissas!$F$19*(1+Premissas!$B$127)*(1+Premissas!$B$124)^1</f>
        <v>1041.559509750937</v>
      </c>
      <c r="V105" s="142">
        <f>V97*Premissas!$F$19*(1+Premissas!$B$127)*(1+Premissas!$B$124)^1</f>
        <v>943.5966153203085</v>
      </c>
      <c r="W105" s="142">
        <f>W97*Premissas!$F$19*(1+Premissas!$B$127)*(1+Premissas!$B$124)^1</f>
        <v>986.38500599115775</v>
      </c>
      <c r="X105" s="142">
        <f>X97*Premissas!$F$19*(1+Premissas!$B$127)*(1+Premissas!$B$124)^1</f>
        <v>998.77111908008794</v>
      </c>
      <c r="Y105" s="142">
        <f>Y97*Premissas!$F$19*(1+Premissas!$B$127)*(1+Premissas!$B$124)^1</f>
        <v>1159.7905892361787</v>
      </c>
      <c r="Z105" s="142">
        <f>Z97*Premissas!$F$19*(1+Premissas!$B$127)*(1+Premissas!$B$124)^1</f>
        <v>1155.2865481129313</v>
      </c>
      <c r="AA105" s="142">
        <f>AA97*Premissas!$F$19*(1+Premissas!$B$127)*(1+Premissas!$B$124)^1</f>
        <v>1290.4077818103501</v>
      </c>
      <c r="AB105" s="142">
        <f>AB97*Premissas!$F$19*(1+Premissas!$B$127)*(1+Premissas!$B$124)^2</f>
        <v>1402.0280549369456</v>
      </c>
      <c r="AC105" s="142">
        <f>AC97*Premissas!$F$19*(1+Premissas!$B$127)*(1+Premissas!$B$124)^2</f>
        <v>1402.0280549369456</v>
      </c>
      <c r="AD105" s="142">
        <f>AD97*Premissas!$F$19*(1+Premissas!$B$127)*(1+Premissas!$B$124)^2</f>
        <v>1402.0280549369456</v>
      </c>
      <c r="AE105" s="142">
        <f>AE97*Premissas!$F$19*(1+Premissas!$B$127)*(1+Premissas!$B$124)^2</f>
        <v>1402.0280549369456</v>
      </c>
      <c r="AF105" s="142">
        <f>AF97*Premissas!$F$19*(1+Premissas!$B$127)*(1+Premissas!$B$124)^2</f>
        <v>1402.0280549369456</v>
      </c>
      <c r="AG105" s="142">
        <f>AG97*Premissas!$F$19*(1+Premissas!$B$127)*(1+Premissas!$B$124)^2</f>
        <v>1402.0280549369456</v>
      </c>
      <c r="AH105" s="142">
        <f>AH97*Premissas!$F$19*(1+Premissas!$B$127)*(1+Premissas!$B$124)^2</f>
        <v>1402.0280549369456</v>
      </c>
      <c r="AI105" s="142">
        <f>AI97*Premissas!$F$19*(1+Premissas!$B$127)*(1+Premissas!$B$124)^2</f>
        <v>1402.0280549369456</v>
      </c>
      <c r="AJ105" s="142">
        <f>AJ97*Premissas!$F$19*(1+Premissas!$B$127)*(1+Premissas!$B$124)^2</f>
        <v>1402.0280549369456</v>
      </c>
      <c r="AK105" s="142">
        <f>AK97*Premissas!$F$19*(1+Premissas!$B$127)*(1+Premissas!$B$124)^2</f>
        <v>1402.0280549369456</v>
      </c>
      <c r="AL105" s="142">
        <f>AL97*Premissas!$F$19*(1+Premissas!$B$127)*(1+Premissas!$B$124)^2</f>
        <v>1402.0280549369456</v>
      </c>
      <c r="AM105" s="142">
        <f>AM97*Premissas!$F$19*(1+Premissas!$B$127)*(1+Premissas!$B$124)^2</f>
        <v>1402.0280549369456</v>
      </c>
      <c r="AN105" s="142">
        <f>AN97*Premissas!$F$19*(1+Premissas!$B$127)*(1+Premissas!$B$124)^3</f>
        <v>1523.3034816889915</v>
      </c>
      <c r="AO105" s="142">
        <f>AO97*Premissas!$F$19*(1+Premissas!$B$127)*(1+Premissas!$B$124)^3</f>
        <v>1523.3034816889915</v>
      </c>
      <c r="AP105" s="142">
        <f>AP97*Premissas!$F$19*(1+Premissas!$B$127)*(1+Premissas!$B$124)^3</f>
        <v>1523.3034816889915</v>
      </c>
      <c r="AQ105" s="142">
        <f>AQ97*Premissas!$F$19*(1+Premissas!$B$127)*(1+Premissas!$B$124)^3</f>
        <v>1523.3034816889915</v>
      </c>
      <c r="AR105" s="142">
        <f>AR97*Premissas!$F$19*(1+Premissas!$B$127)*(1+Premissas!$B$124)^3</f>
        <v>1523.3034816889915</v>
      </c>
      <c r="AS105" s="142">
        <f>AS97*Premissas!$F$19*(1+Premissas!$B$127)*(1+Premissas!$B$124)^3</f>
        <v>1523.3034816889915</v>
      </c>
      <c r="AT105" s="142">
        <f>AT97*Premissas!$F$19*(1+Premissas!$B$127)*(1+Premissas!$B$124)^3</f>
        <v>1523.3034816889915</v>
      </c>
      <c r="AU105" s="142">
        <f>AU97*Premissas!$F$19*(1+Premissas!$B$127)*(1+Premissas!$B$124)^3</f>
        <v>1523.3034816889915</v>
      </c>
      <c r="AV105" s="142">
        <f>AV97*Premissas!$F$19*(1+Premissas!$B$127)*(1+Premissas!$B$124)^3</f>
        <v>1523.3034816889915</v>
      </c>
      <c r="AW105" s="142">
        <f>AW97*Premissas!$F$19*(1+Premissas!$B$127)*(1+Premissas!$B$124)^3</f>
        <v>1523.3034816889915</v>
      </c>
      <c r="AX105" s="142">
        <f>AX97*Premissas!$F$19*(1+Premissas!$B$127)*(1+Premissas!$B$124)^3</f>
        <v>1523.3034816889915</v>
      </c>
      <c r="AY105" s="142">
        <f>AY97*Premissas!$F$19*(1+Premissas!$B$127)*(1+Premissas!$B$124)^3</f>
        <v>1523.3034816889915</v>
      </c>
      <c r="AZ105" s="142">
        <f>AZ97*Premissas!$F$19*(1+Premissas!$B$127)*(1+Premissas!$B$124)^4</f>
        <v>1655.0692328550892</v>
      </c>
      <c r="BA105" s="142">
        <f>BA97*Premissas!$F$19*(1+Premissas!$B$127)*(1+Premissas!$B$124)^4</f>
        <v>1655.0692328550892</v>
      </c>
      <c r="BB105" s="142">
        <f>BB97*Premissas!$F$19*(1+Premissas!$B$127)*(1+Premissas!$B$124)^4</f>
        <v>1655.0692328550892</v>
      </c>
      <c r="BC105" s="142">
        <f>BC97*Premissas!$F$19*(1+Premissas!$B$127)*(1+Premissas!$B$124)^4</f>
        <v>1655.0692328550892</v>
      </c>
      <c r="BD105" s="142">
        <f>BD97*Premissas!$F$19*(1+Premissas!$B$127)*(1+Premissas!$B$124)^4</f>
        <v>1655.0692328550892</v>
      </c>
      <c r="BE105" s="142">
        <f>BE97*Premissas!$F$19*(1+Premissas!$B$127)*(1+Premissas!$B$124)^4</f>
        <v>1655.0692328550892</v>
      </c>
      <c r="BF105" s="142">
        <f>BF97*Premissas!$F$19*(1+Premissas!$B$127)*(1+Premissas!$B$124)^4</f>
        <v>1655.0692328550892</v>
      </c>
      <c r="BG105" s="142">
        <f>BG97*Premissas!$F$19*(1+Premissas!$B$127)*(1+Premissas!$B$124)^4</f>
        <v>1655.0692328550892</v>
      </c>
      <c r="BH105" s="142">
        <f>BH97*Premissas!$F$19*(1+Premissas!$B$127)*(1+Premissas!$B$124)^4</f>
        <v>1655.0692328550892</v>
      </c>
      <c r="BI105" s="142">
        <f>BI97*Premissas!$F$19*(1+Premissas!$B$127)*(1+Premissas!$B$124)^4</f>
        <v>1655.0692328550892</v>
      </c>
      <c r="BJ105" s="142">
        <f>BJ97*Premissas!$F$19*(1+Premissas!$B$127)*(1+Premissas!$B$124)^4</f>
        <v>1655.0692328550892</v>
      </c>
      <c r="BK105" s="142">
        <f>BK97*Premissas!$F$19*(1+Premissas!$B$127)*(1+Premissas!$B$124)^4</f>
        <v>1655.0692328550892</v>
      </c>
    </row>
    <row r="106" spans="1:63" ht="12.75" customHeight="1" x14ac:dyDescent="0.2">
      <c r="A106" s="143" t="s">
        <v>415</v>
      </c>
      <c r="B106" s="144">
        <f>SUM(D106:BQ106)</f>
        <v>436.82773434163266</v>
      </c>
      <c r="C106" s="124">
        <f>B106/60</f>
        <v>7.2804622390272113</v>
      </c>
      <c r="D106" s="144">
        <f>IF(D101&gt;0,0,MAX(D97-D98-D99,0)*Premissas!$B$7*(1+Premissas!$B$127)*(1+Premissas!$B$124)^0)</f>
        <v>354.26055618030898</v>
      </c>
      <c r="E106" s="144">
        <f>IF(E101&gt;0,0,MAX(E97-E98-E99,0)*Premissas!$B$7*(1+Premissas!$B$127)*(1+Premissas!$B$124)^0)</f>
        <v>82.567178161323667</v>
      </c>
      <c r="F106" s="144">
        <f>IF(F101&gt;0,0,MAX(F97-F98-F99,0)*Premissas!$B$7*(1+Premissas!$B$127)*(1+Premissas!$B$124)^0)</f>
        <v>0</v>
      </c>
      <c r="G106" s="144">
        <f>IF(G101&gt;0,0,MAX(G97-G98-G99,0)*Premissas!$B$7*(1+Premissas!$B$127)*(1+Premissas!$B$124)^0)</f>
        <v>0</v>
      </c>
      <c r="H106" s="144">
        <f>IF(H101&gt;0,0,MAX(H97-H98-H99,0)*Premissas!$B$7*(1+Premissas!$B$127)*(1+Premissas!$B$124)^0)</f>
        <v>0</v>
      </c>
      <c r="I106" s="144">
        <f>IF(I101&gt;0,0,MAX(I97-I98-I99,0)*Premissas!$B$7*(1+Premissas!$B$127)*(1+Premissas!$B$124)^0)</f>
        <v>0</v>
      </c>
      <c r="J106" s="144">
        <f>IF(J101&gt;0,0,MAX(J97-J98-J99,0)*Premissas!$B$7*(1+Premissas!$B$127)*(1+Premissas!$B$124)^0)</f>
        <v>0</v>
      </c>
      <c r="K106" s="144">
        <f>IF(K101&gt;0,0,MAX(K97-K98-K99,0)*Premissas!$B$7*(1+Premissas!$B$127)*(1+Premissas!$B$124)^0)</f>
        <v>0</v>
      </c>
      <c r="L106" s="144">
        <f>IF(L101&gt;0,0,MAX(L97-L98-L99,0)*Premissas!$B$7*(1+Premissas!$B$127)*(1+Premissas!$B$124)^0)</f>
        <v>0</v>
      </c>
      <c r="M106" s="144">
        <f>IF(M101&gt;0,0,MAX(M97-M98-M99,0)*Premissas!$B$7*(1+Premissas!$B$127)*(1+Premissas!$B$124)^0)</f>
        <v>0</v>
      </c>
      <c r="N106" s="144">
        <f>IF(N101&gt;0,0,MAX(N97-N98-N99,0)*Premissas!$B$7*(1+Premissas!$B$127)*(1+Premissas!$B$124)^0)</f>
        <v>0</v>
      </c>
      <c r="O106" s="144">
        <f>IF(O101&gt;0,0,MAX(O97-O98-O99,0)*Premissas!$B$7*(1+Premissas!$B$127)*(1+Premissas!$B$124)^0)</f>
        <v>0</v>
      </c>
      <c r="P106" s="144">
        <f>IF(P101&gt;0,0,MAX(P97-P98-P99,0)*Premissas!$B$7*(1+Premissas!$B$127)*(1+Premissas!$B$124)^1)</f>
        <v>0</v>
      </c>
      <c r="Q106" s="144">
        <f>IF(Q101&gt;0,0,MAX(Q97-Q98-Q99,0)*Premissas!$B$7*(1+Premissas!$B$127)*(1+Premissas!$B$124)^1)</f>
        <v>0</v>
      </c>
      <c r="R106" s="144">
        <f>IF(R101&gt;0,0,MAX(R97-R98-R99,0)*Premissas!$B$7*(1+Premissas!$B$127)*(1+Premissas!$B$124)^1)</f>
        <v>0</v>
      </c>
      <c r="S106" s="144">
        <f>IF(S101&gt;0,0,MAX(S97-S98-S99,0)*Premissas!$B$7*(1+Premissas!$B$127)*(1+Premissas!$B$124)^1)</f>
        <v>0</v>
      </c>
      <c r="T106" s="144">
        <f>IF(T101&gt;0,0,MAX(T97-T98-T99,0)*Premissas!$B$7*(1+Premissas!$B$127)*(1+Premissas!$B$124)^1)</f>
        <v>0</v>
      </c>
      <c r="U106" s="144">
        <f>IF(U101&gt;0,0,MAX(U97-U98-U99,0)*Premissas!$B$7*(1+Premissas!$B$127)*(1+Premissas!$B$124)^1)</f>
        <v>0</v>
      </c>
      <c r="V106" s="144">
        <f>IF(V101&gt;0,0,MAX(V97-V98-V99,0)*Premissas!$B$7*(1+Premissas!$B$127)*(1+Premissas!$B$124)^1)</f>
        <v>0</v>
      </c>
      <c r="W106" s="144">
        <f>IF(W101&gt;0,0,MAX(W97-W98-W99,0)*Premissas!$B$7*(1+Premissas!$B$127)*(1+Premissas!$B$124)^1)</f>
        <v>0</v>
      </c>
      <c r="X106" s="144">
        <f>IF(X101&gt;0,0,MAX(X97-X98-X99,0)*Premissas!$B$7*(1+Premissas!$B$127)*(1+Premissas!$B$124)^1)</f>
        <v>0</v>
      </c>
      <c r="Y106" s="144">
        <f>IF(Y101&gt;0,0,MAX(Y97-Y98-Y99,0)*Premissas!$B$7*(1+Premissas!$B$127)*(1+Premissas!$B$124)^1)</f>
        <v>0</v>
      </c>
      <c r="Z106" s="144">
        <f>IF(Z101&gt;0,0,MAX(Z97-Z98-Z99,0)*Premissas!$B$7*(1+Premissas!$B$127)*(1+Premissas!$B$124)^1)</f>
        <v>0</v>
      </c>
      <c r="AA106" s="144">
        <f>IF(AA101&gt;0,0,MAX(AA97-AA98-AA99,0)*Premissas!$B$7*(1+Premissas!$B$127)*(1+Premissas!$B$124)^1)</f>
        <v>0</v>
      </c>
      <c r="AB106" s="144">
        <f>IF(AB101&gt;0,0,MAX(AB97-AB98-AB99,0)*Premissas!$B$7*(1+Premissas!$B$127)*(1+Premissas!$B$124)^2)</f>
        <v>0</v>
      </c>
      <c r="AC106" s="144">
        <f>IF(AC101&gt;0,0,MAX(AC97-AC98-AC99,0)*Premissas!$B$7*(1+Premissas!$B$127)*(1+Premissas!$B$124)^2)</f>
        <v>0</v>
      </c>
      <c r="AD106" s="144">
        <f>IF(AD101&gt;0,0,MAX(AD97-AD98-AD99,0)*Premissas!$B$7*(1+Premissas!$B$127)*(1+Premissas!$B$124)^2)</f>
        <v>0</v>
      </c>
      <c r="AE106" s="144">
        <f>IF(AE101&gt;0,0,MAX(AE97-AE98-AE99,0)*Premissas!$B$7*(1+Premissas!$B$127)*(1+Premissas!$B$124)^2)</f>
        <v>0</v>
      </c>
      <c r="AF106" s="144">
        <f>IF(AF101&gt;0,0,MAX(AF97-AF98-AF99,0)*Premissas!$B$7*(1+Premissas!$B$127)*(1+Premissas!$B$124)^2)</f>
        <v>0</v>
      </c>
      <c r="AG106" s="144">
        <f>IF(AG101&gt;0,0,MAX(AG97-AG98-AG99,0)*Premissas!$B$7*(1+Premissas!$B$127)*(1+Premissas!$B$124)^2)</f>
        <v>0</v>
      </c>
      <c r="AH106" s="144">
        <f>IF(AH101&gt;0,0,MAX(AH97-AH98-AH99,0)*Premissas!$B$7*(1+Premissas!$B$127)*(1+Premissas!$B$124)^2)</f>
        <v>0</v>
      </c>
      <c r="AI106" s="144">
        <f>IF(AI101&gt;0,0,MAX(AI97-AI98-AI99,0)*Premissas!$B$7*(1+Premissas!$B$127)*(1+Premissas!$B$124)^2)</f>
        <v>0</v>
      </c>
      <c r="AJ106" s="144">
        <f>IF(AJ101&gt;0,0,MAX(AJ97-AJ98-AJ99,0)*Premissas!$B$7*(1+Premissas!$B$127)*(1+Premissas!$B$124)^2)</f>
        <v>0</v>
      </c>
      <c r="AK106" s="144">
        <f>IF(AK101&gt;0,0,MAX(AK97-AK98-AK99,0)*Premissas!$B$7*(1+Premissas!$B$127)*(1+Premissas!$B$124)^2)</f>
        <v>0</v>
      </c>
      <c r="AL106" s="144">
        <f>IF(AL101&gt;0,0,MAX(AL97-AL98-AL99,0)*Premissas!$B$7*(1+Premissas!$B$127)*(1+Premissas!$B$124)^2)</f>
        <v>0</v>
      </c>
      <c r="AM106" s="144">
        <f>IF(AM101&gt;0,0,MAX(AM97-AM98-AM99,0)*Premissas!$B$7*(1+Premissas!$B$127)*(1+Premissas!$B$124)^2)</f>
        <v>0</v>
      </c>
      <c r="AN106" s="144">
        <f>IF(AN101&gt;0,0,MAX(AN97-AN98-AN99,0)*Premissas!$B$7*(1+Premissas!$B$127)*(1+Premissas!$B$124)^3)</f>
        <v>0</v>
      </c>
      <c r="AO106" s="144">
        <f>IF(AO101&gt;0,0,MAX(AO97-AO98-AO99,0)*Premissas!$B$7*(1+Premissas!$B$127)*(1+Premissas!$B$124)^3)</f>
        <v>0</v>
      </c>
      <c r="AP106" s="144">
        <f>IF(AP101&gt;0,0,MAX(AP97-AP98-AP99,0)*Premissas!$B$7*(1+Premissas!$B$127)*(1+Premissas!$B$124)^3)</f>
        <v>0</v>
      </c>
      <c r="AQ106" s="144">
        <f>IF(AQ101&gt;0,0,MAX(AQ97-AQ98-AQ99,0)*Premissas!$B$7*(1+Premissas!$B$127)*(1+Premissas!$B$124)^3)</f>
        <v>0</v>
      </c>
      <c r="AR106" s="144">
        <f>IF(AR101&gt;0,0,MAX(AR97-AR98-AR99,0)*Premissas!$B$7*(1+Premissas!$B$127)*(1+Premissas!$B$124)^3)</f>
        <v>0</v>
      </c>
      <c r="AS106" s="144">
        <f>IF(AS101&gt;0,0,MAX(AS97-AS98-AS99,0)*Premissas!$B$7*(1+Premissas!$B$127)*(1+Premissas!$B$124)^3)</f>
        <v>0</v>
      </c>
      <c r="AT106" s="144">
        <f>IF(AT101&gt;0,0,MAX(AT97-AT98-AT99,0)*Premissas!$B$7*(1+Premissas!$B$127)*(1+Premissas!$B$124)^3)</f>
        <v>0</v>
      </c>
      <c r="AU106" s="144">
        <f>IF(AU101&gt;0,0,MAX(AU97-AU98-AU99,0)*Premissas!$B$7*(1+Premissas!$B$127)*(1+Premissas!$B$124)^3)</f>
        <v>0</v>
      </c>
      <c r="AV106" s="144">
        <f>IF(AV101&gt;0,0,MAX(AV97-AV98-AV99,0)*Premissas!$B$7*(1+Premissas!$B$127)*(1+Premissas!$B$124)^3)</f>
        <v>0</v>
      </c>
      <c r="AW106" s="144">
        <f>IF(AW101&gt;0,0,MAX(AW97-AW98-AW99,0)*Premissas!$B$7*(1+Premissas!$B$127)*(1+Premissas!$B$124)^3)</f>
        <v>0</v>
      </c>
      <c r="AX106" s="144">
        <f>IF(AX101&gt;0,0,MAX(AX97-AX98-AX99,0)*Premissas!$B$7*(1+Premissas!$B$127)*(1+Premissas!$B$124)^3)</f>
        <v>0</v>
      </c>
      <c r="AY106" s="144">
        <f>IF(AY101&gt;0,0,MAX(AY97-AY98-AY99,0)*Premissas!$B$7*(1+Premissas!$B$127)*(1+Premissas!$B$124)^3)</f>
        <v>0</v>
      </c>
      <c r="AZ106" s="144">
        <f>IF(AZ101&gt;0,0,MAX(AZ97-AZ98-AZ99,0)*Premissas!$B$7*(1+Premissas!$B$127)*(1+Premissas!$B$124)^4)</f>
        <v>0</v>
      </c>
      <c r="BA106" s="144">
        <f>IF(BA101&gt;0,0,MAX(BA97-BA98-BA99,0)*Premissas!$B$7*(1+Premissas!$B$127)*(1+Premissas!$B$124)^4)</f>
        <v>0</v>
      </c>
      <c r="BB106" s="144">
        <f>IF(BB101&gt;0,0,MAX(BB97-BB98-BB99,0)*Premissas!$B$7*(1+Premissas!$B$127)*(1+Premissas!$B$124)^4)</f>
        <v>0</v>
      </c>
      <c r="BC106" s="144">
        <f>IF(BC101&gt;0,0,MAX(BC97-BC98-BC99,0)*Premissas!$B$7*(1+Premissas!$B$127)*(1+Premissas!$B$124)^4)</f>
        <v>0</v>
      </c>
      <c r="BD106" s="144">
        <f>IF(BD101&gt;0,0,MAX(BD97-BD98-BD99,0)*Premissas!$B$7*(1+Premissas!$B$127)*(1+Premissas!$B$124)^4)</f>
        <v>0</v>
      </c>
      <c r="BE106" s="144">
        <f>IF(BE101&gt;0,0,MAX(BE97-BE98-BE99,0)*Premissas!$B$7*(1+Premissas!$B$127)*(1+Premissas!$B$124)^4)</f>
        <v>0</v>
      </c>
      <c r="BF106" s="144">
        <f>IF(BF101&gt;0,0,MAX(BF97-BF98-BF99,0)*Premissas!$B$7*(1+Premissas!$B$127)*(1+Premissas!$B$124)^4)</f>
        <v>0</v>
      </c>
      <c r="BG106" s="144">
        <f>IF(BG101&gt;0,0,MAX(BG97-BG98-BG99,0)*Premissas!$B$7*(1+Premissas!$B$127)*(1+Premissas!$B$124)^4)</f>
        <v>0</v>
      </c>
      <c r="BH106" s="144">
        <f>IF(BH101&gt;0,0,MAX(BH97-BH98-BH99,0)*Premissas!$B$7*(1+Premissas!$B$127)*(1+Premissas!$B$124)^4)</f>
        <v>0</v>
      </c>
      <c r="BI106" s="144">
        <f>IF(BI101&gt;0,0,MAX(BI97-BI98-BI99,0)*Premissas!$B$7*(1+Premissas!$B$127)*(1+Premissas!$B$124)^4)</f>
        <v>0</v>
      </c>
      <c r="BJ106" s="144">
        <f>IF(BJ101&gt;0,0,MAX(BJ97-BJ98-BJ99,0)*Premissas!$B$7*(1+Premissas!$B$127)*(1+Premissas!$B$124)^4)</f>
        <v>0</v>
      </c>
      <c r="BK106" s="144">
        <f>IF(BK101&gt;0,0,MAX(BK97-BK98-BK99,0)*Premissas!$B$7*(1+Premissas!$B$127)*(1+Premissas!$B$124)^4)</f>
        <v>0</v>
      </c>
    </row>
    <row r="107" spans="1:63" ht="13.5" customHeight="1" x14ac:dyDescent="0.2">
      <c r="A107" s="41" t="s">
        <v>416</v>
      </c>
      <c r="B107" s="44">
        <f>SUM(D107:BQ107)</f>
        <v>78814.673909661331</v>
      </c>
      <c r="C107" s="124">
        <f>B107/60</f>
        <v>1313.5778984943556</v>
      </c>
      <c r="D107" s="145">
        <f t="shared" ref="D107:AI107" si="94">MAX(D105-D106,0)</f>
        <v>751.5406123665997</v>
      </c>
      <c r="E107" s="145">
        <f t="shared" si="94"/>
        <v>849.12471548785243</v>
      </c>
      <c r="F107" s="145">
        <f t="shared" si="94"/>
        <v>845.67362093184386</v>
      </c>
      <c r="G107" s="145">
        <f t="shared" si="94"/>
        <v>745.14624197303408</v>
      </c>
      <c r="H107" s="145">
        <f t="shared" si="94"/>
        <v>977.29194183667744</v>
      </c>
      <c r="I107" s="145">
        <f t="shared" si="94"/>
        <v>958.6373766690632</v>
      </c>
      <c r="J107" s="145">
        <f t="shared" si="94"/>
        <v>868.47364502559458</v>
      </c>
      <c r="K107" s="145">
        <f t="shared" si="94"/>
        <v>930.55189244448843</v>
      </c>
      <c r="L107" s="145">
        <f t="shared" si="94"/>
        <v>942.23690479253571</v>
      </c>
      <c r="M107" s="145">
        <f t="shared" si="94"/>
        <v>1094.1420653171497</v>
      </c>
      <c r="N107" s="145">
        <f t="shared" si="94"/>
        <v>1089.8929699178598</v>
      </c>
      <c r="O107" s="145">
        <f t="shared" si="94"/>
        <v>1217.3658318965568</v>
      </c>
      <c r="P107" s="145">
        <f t="shared" si="94"/>
        <v>1201.4529696262161</v>
      </c>
      <c r="Q107" s="145">
        <f t="shared" si="94"/>
        <v>1012.2832424498298</v>
      </c>
      <c r="R107" s="145">
        <f t="shared" si="94"/>
        <v>918.82438914244847</v>
      </c>
      <c r="S107" s="145">
        <f t="shared" si="94"/>
        <v>809.60139190370148</v>
      </c>
      <c r="T107" s="145">
        <f t="shared" si="94"/>
        <v>1061.8276948055502</v>
      </c>
      <c r="U107" s="145">
        <f t="shared" si="94"/>
        <v>1041.559509750937</v>
      </c>
      <c r="V107" s="145">
        <f t="shared" si="94"/>
        <v>943.5966153203085</v>
      </c>
      <c r="W107" s="145">
        <f t="shared" si="94"/>
        <v>986.38500599115775</v>
      </c>
      <c r="X107" s="145">
        <f t="shared" si="94"/>
        <v>998.77111908008794</v>
      </c>
      <c r="Y107" s="145">
        <f t="shared" si="94"/>
        <v>1159.7905892361787</v>
      </c>
      <c r="Z107" s="145">
        <f t="shared" si="94"/>
        <v>1155.2865481129313</v>
      </c>
      <c r="AA107" s="145">
        <f t="shared" si="94"/>
        <v>1290.4077818103501</v>
      </c>
      <c r="AB107" s="145">
        <f t="shared" si="94"/>
        <v>1402.0280549369456</v>
      </c>
      <c r="AC107" s="145">
        <f t="shared" si="94"/>
        <v>1402.0280549369456</v>
      </c>
      <c r="AD107" s="145">
        <f t="shared" si="94"/>
        <v>1402.0280549369456</v>
      </c>
      <c r="AE107" s="145">
        <f t="shared" si="94"/>
        <v>1402.0280549369456</v>
      </c>
      <c r="AF107" s="145">
        <f t="shared" si="94"/>
        <v>1402.0280549369456</v>
      </c>
      <c r="AG107" s="145">
        <f t="shared" si="94"/>
        <v>1402.0280549369456</v>
      </c>
      <c r="AH107" s="145">
        <f t="shared" si="94"/>
        <v>1402.0280549369456</v>
      </c>
      <c r="AI107" s="145">
        <f t="shared" si="94"/>
        <v>1402.0280549369456</v>
      </c>
      <c r="AJ107" s="145">
        <f t="shared" ref="AJ107:BO107" si="95">MAX(AJ105-AJ106,0)</f>
        <v>1402.0280549369456</v>
      </c>
      <c r="AK107" s="145">
        <f t="shared" si="95"/>
        <v>1402.0280549369456</v>
      </c>
      <c r="AL107" s="145">
        <f t="shared" si="95"/>
        <v>1402.0280549369456</v>
      </c>
      <c r="AM107" s="145">
        <f t="shared" si="95"/>
        <v>1402.0280549369456</v>
      </c>
      <c r="AN107" s="145">
        <f t="shared" si="95"/>
        <v>1523.3034816889915</v>
      </c>
      <c r="AO107" s="145">
        <f t="shared" si="95"/>
        <v>1523.3034816889915</v>
      </c>
      <c r="AP107" s="145">
        <f t="shared" si="95"/>
        <v>1523.3034816889915</v>
      </c>
      <c r="AQ107" s="145">
        <f t="shared" si="95"/>
        <v>1523.3034816889915</v>
      </c>
      <c r="AR107" s="145">
        <f t="shared" si="95"/>
        <v>1523.3034816889915</v>
      </c>
      <c r="AS107" s="145">
        <f t="shared" si="95"/>
        <v>1523.3034816889915</v>
      </c>
      <c r="AT107" s="145">
        <f t="shared" si="95"/>
        <v>1523.3034816889915</v>
      </c>
      <c r="AU107" s="145">
        <f t="shared" si="95"/>
        <v>1523.3034816889915</v>
      </c>
      <c r="AV107" s="145">
        <f t="shared" si="95"/>
        <v>1523.3034816889915</v>
      </c>
      <c r="AW107" s="145">
        <f t="shared" si="95"/>
        <v>1523.3034816889915</v>
      </c>
      <c r="AX107" s="145">
        <f t="shared" si="95"/>
        <v>1523.3034816889915</v>
      </c>
      <c r="AY107" s="145">
        <f t="shared" si="95"/>
        <v>1523.3034816889915</v>
      </c>
      <c r="AZ107" s="145">
        <f t="shared" si="95"/>
        <v>1655.0692328550892</v>
      </c>
      <c r="BA107" s="145">
        <f t="shared" si="95"/>
        <v>1655.0692328550892</v>
      </c>
      <c r="BB107" s="145">
        <f t="shared" si="95"/>
        <v>1655.0692328550892</v>
      </c>
      <c r="BC107" s="145">
        <f t="shared" si="95"/>
        <v>1655.0692328550892</v>
      </c>
      <c r="BD107" s="145">
        <f t="shared" si="95"/>
        <v>1655.0692328550892</v>
      </c>
      <c r="BE107" s="145">
        <f t="shared" si="95"/>
        <v>1655.0692328550892</v>
      </c>
      <c r="BF107" s="145">
        <f t="shared" si="95"/>
        <v>1655.0692328550892</v>
      </c>
      <c r="BG107" s="145">
        <f t="shared" si="95"/>
        <v>1655.0692328550892</v>
      </c>
      <c r="BH107" s="145">
        <f t="shared" si="95"/>
        <v>1655.0692328550892</v>
      </c>
      <c r="BI107" s="145">
        <f t="shared" si="95"/>
        <v>1655.0692328550892</v>
      </c>
      <c r="BJ107" s="145">
        <f t="shared" si="95"/>
        <v>1655.0692328550892</v>
      </c>
      <c r="BK107" s="145">
        <f t="shared" si="95"/>
        <v>1655.0692328550892</v>
      </c>
    </row>
    <row r="109" spans="1:63" ht="15" customHeight="1" x14ac:dyDescent="0.2">
      <c r="A109" s="298" t="s">
        <v>425</v>
      </c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89"/>
      <c r="P109" s="289"/>
      <c r="Q109" s="289"/>
      <c r="R109" s="289"/>
      <c r="S109" s="289"/>
      <c r="T109" s="289"/>
      <c r="U109" s="289"/>
      <c r="V109" s="289"/>
      <c r="W109" s="289"/>
      <c r="X109" s="289"/>
      <c r="Y109" s="289"/>
      <c r="Z109" s="289"/>
      <c r="AA109" s="289"/>
    </row>
    <row r="110" spans="1:63" ht="12.75" customHeight="1" x14ac:dyDescent="0.2">
      <c r="A110" s="147" t="s">
        <v>403</v>
      </c>
      <c r="B110" s="148">
        <f>SUM(D110:BQ110)</f>
        <v>476846.69934687502</v>
      </c>
      <c r="C110" s="120">
        <f>B110/60</f>
        <v>7947.4449891145832</v>
      </c>
      <c r="D110" s="148">
        <v>6483</v>
      </c>
      <c r="E110" s="148">
        <v>8738</v>
      </c>
      <c r="F110" s="148">
        <v>8554</v>
      </c>
      <c r="G110" s="148">
        <v>11071</v>
      </c>
      <c r="H110" s="148">
        <v>10947</v>
      </c>
      <c r="I110" s="148">
        <v>12098</v>
      </c>
      <c r="J110" s="148">
        <v>11642</v>
      </c>
      <c r="K110" s="148">
        <f>10042*(1+Premissas!$B$21)</f>
        <v>10293.049999999999</v>
      </c>
      <c r="L110" s="148">
        <f>10825*(1+Premissas!$B$21)</f>
        <v>11095.624999999998</v>
      </c>
      <c r="M110" s="148">
        <f>8490*(1+Premissas!$B$21)</f>
        <v>8702.25</v>
      </c>
      <c r="N110" s="148">
        <f>7229*(1+Premissas!$B$21)</f>
        <v>7409.7249999999995</v>
      </c>
      <c r="O110" s="148">
        <f>6394*(1+Premissas!$B$21)</f>
        <v>6553.8499999999995</v>
      </c>
      <c r="P110" s="148">
        <f>6483*(1+Premissas!$B$21)</f>
        <v>6645.0749999999998</v>
      </c>
      <c r="Q110" s="148">
        <f>8738*(1+Premissas!$B$21)</f>
        <v>8956.4499999999989</v>
      </c>
      <c r="R110" s="148">
        <f>8554*(1+Premissas!$B$21)</f>
        <v>8767.8499999999985</v>
      </c>
      <c r="S110" s="148">
        <f>11071*(1+Premissas!$B$21)</f>
        <v>11347.775</v>
      </c>
      <c r="T110" s="148">
        <f>10947*(1+Premissas!$B$21)</f>
        <v>11220.674999999999</v>
      </c>
      <c r="U110" s="148">
        <f>12098*(1+Premissas!$B$21)</f>
        <v>12400.449999999999</v>
      </c>
      <c r="V110" s="148">
        <f>11642*(1+Premissas!$B$21)</f>
        <v>11933.05</v>
      </c>
      <c r="W110" s="148">
        <f>10042*(1+Premissas!$B$21)</f>
        <v>10293.049999999999</v>
      </c>
      <c r="X110" s="148">
        <f>10825*(1+Premissas!$B$21)</f>
        <v>11095.624999999998</v>
      </c>
      <c r="Y110" s="148">
        <f>8490*(1+Premissas!$B$21)</f>
        <v>8702.25</v>
      </c>
      <c r="Z110" s="148">
        <f>7229*(1+Premissas!$B$21)</f>
        <v>7409.7249999999995</v>
      </c>
      <c r="AA110" s="148">
        <f>6394*(1+Premissas!$B$21)</f>
        <v>6553.8499999999995</v>
      </c>
      <c r="AB110" s="148">
        <f>6394*(1+Premissas!$B$21)^2</f>
        <v>6717.6962499999991</v>
      </c>
      <c r="AC110" s="148">
        <f>6394*(1+Premissas!$B$21)^2</f>
        <v>6717.6962499999991</v>
      </c>
      <c r="AD110" s="148">
        <f>6394*(1+Premissas!$B$21)^2</f>
        <v>6717.6962499999991</v>
      </c>
      <c r="AE110" s="148">
        <f>6394*(1+Premissas!$B$21)^2</f>
        <v>6717.6962499999991</v>
      </c>
      <c r="AF110" s="148">
        <f>6394*(1+Premissas!$B$21)^2</f>
        <v>6717.6962499999991</v>
      </c>
      <c r="AG110" s="148">
        <f>6394*(1+Premissas!$B$21)^2</f>
        <v>6717.6962499999991</v>
      </c>
      <c r="AH110" s="148">
        <f>6394*(1+Premissas!$B$21)^2</f>
        <v>6717.6962499999991</v>
      </c>
      <c r="AI110" s="148">
        <f>6394*(1+Premissas!$B$21)^2</f>
        <v>6717.6962499999991</v>
      </c>
      <c r="AJ110" s="148">
        <f>6394*(1+Premissas!$B$21)^2</f>
        <v>6717.6962499999991</v>
      </c>
      <c r="AK110" s="148">
        <f>6394*(1+Premissas!$B$21)^2</f>
        <v>6717.6962499999991</v>
      </c>
      <c r="AL110" s="148">
        <f>6394*(1+Premissas!$B$21)^2</f>
        <v>6717.6962499999991</v>
      </c>
      <c r="AM110" s="148">
        <f>6394*(1+Premissas!$B$21)^2</f>
        <v>6717.6962499999991</v>
      </c>
      <c r="AN110" s="148">
        <f>6394*(1+Premissas!$B$21)^3</f>
        <v>6885.6386562499993</v>
      </c>
      <c r="AO110" s="148">
        <f>6394*(1+Premissas!$B$21)^3</f>
        <v>6885.6386562499993</v>
      </c>
      <c r="AP110" s="148">
        <f>6394*(1+Premissas!$B$21)^3</f>
        <v>6885.6386562499993</v>
      </c>
      <c r="AQ110" s="148">
        <f>6394*(1+Premissas!$B$21)^3</f>
        <v>6885.6386562499993</v>
      </c>
      <c r="AR110" s="148">
        <f>6394*(1+Premissas!$B$21)^3</f>
        <v>6885.6386562499993</v>
      </c>
      <c r="AS110" s="148">
        <f>6394*(1+Premissas!$B$21)^3</f>
        <v>6885.6386562499993</v>
      </c>
      <c r="AT110" s="148">
        <f>6394*(1+Premissas!$B$21)^3</f>
        <v>6885.6386562499993</v>
      </c>
      <c r="AU110" s="148">
        <f>6394*(1+Premissas!$B$21)^3</f>
        <v>6885.6386562499993</v>
      </c>
      <c r="AV110" s="148">
        <f>6394*(1+Premissas!$B$21)^3</f>
        <v>6885.6386562499993</v>
      </c>
      <c r="AW110" s="148">
        <f>6394*(1+Premissas!$B$21)^3</f>
        <v>6885.6386562499993</v>
      </c>
      <c r="AX110" s="148">
        <f>6394*(1+Premissas!$B$21)^3</f>
        <v>6885.6386562499993</v>
      </c>
      <c r="AY110" s="148">
        <f>6394*(1+Premissas!$B$21)^3</f>
        <v>6885.6386562499993</v>
      </c>
      <c r="AZ110" s="148">
        <f>6394*(1+Premissas!$B$21)^4</f>
        <v>7057.7796226562486</v>
      </c>
      <c r="BA110" s="148">
        <f>6394*(1+Premissas!$B$21)^4</f>
        <v>7057.7796226562486</v>
      </c>
      <c r="BB110" s="148">
        <f>6394*(1+Premissas!$B$21)^4</f>
        <v>7057.7796226562486</v>
      </c>
      <c r="BC110" s="148">
        <f>6394*(1+Premissas!$B$21)^4</f>
        <v>7057.7796226562486</v>
      </c>
      <c r="BD110" s="148">
        <f>6394*(1+Premissas!$B$21)^4</f>
        <v>7057.7796226562486</v>
      </c>
      <c r="BE110" s="148">
        <f>6394*(1+Premissas!$B$21)^4</f>
        <v>7057.7796226562486</v>
      </c>
      <c r="BF110" s="148">
        <f>6394*(1+Premissas!$B$21)^4</f>
        <v>7057.7796226562486</v>
      </c>
      <c r="BG110" s="148">
        <f>6394*(1+Premissas!$B$21)^4</f>
        <v>7057.7796226562486</v>
      </c>
      <c r="BH110" s="148">
        <f>6394*(1+Premissas!$B$21)^4</f>
        <v>7057.7796226562486</v>
      </c>
      <c r="BI110" s="148">
        <f>6394*(1+Premissas!$B$21)^4</f>
        <v>7057.7796226562486</v>
      </c>
      <c r="BJ110" s="148">
        <f>6394*(1+Premissas!$B$21)^4</f>
        <v>7057.7796226562486</v>
      </c>
      <c r="BK110" s="148">
        <f>6394*(1+Premissas!$B$21)^4</f>
        <v>7057.7796226562486</v>
      </c>
    </row>
    <row r="111" spans="1:63" ht="12.75" customHeight="1" x14ac:dyDescent="0.2">
      <c r="A111" s="122" t="str">
        <f>"  "&amp;INDEX(PVSYST_Helexia!$A$5:$A$7,MATCH(Premissas!$B$13,PVSYST_Helexia!$B$5:$B$7,0))&amp;" créditos recebidos (kWh)"</f>
        <v xml:space="preserve">  HCS03 créditos recebidos (kWh)</v>
      </c>
      <c r="B111" s="135">
        <f>SUM(D111:BQ111)</f>
        <v>475141.10097947315</v>
      </c>
      <c r="C111" s="120">
        <f>B111/60</f>
        <v>7919.0183496578857</v>
      </c>
      <c r="D111" s="136">
        <f>D6*Premissas!$B$40</f>
        <v>7315.41</v>
      </c>
      <c r="E111" s="136">
        <f>E6*Premissas!$B$40</f>
        <v>7700.0899999999983</v>
      </c>
      <c r="F111" s="136">
        <f>F6*Premissas!$B$40</f>
        <v>9243.5299999999988</v>
      </c>
      <c r="G111" s="136">
        <f>G6*Premissas!$B$40</f>
        <v>8673.59</v>
      </c>
      <c r="H111" s="136">
        <f>H6*Premissas!$C$40</f>
        <v>16120.236000000001</v>
      </c>
      <c r="I111" s="136">
        <f>I6*Premissas!$C$40</f>
        <v>15586.736000000001</v>
      </c>
      <c r="J111" s="136">
        <f>J6*Premissas!$C$40</f>
        <v>14800.357</v>
      </c>
      <c r="K111" s="136">
        <f>K6*Premissas!$C$40</f>
        <v>15196.67281</v>
      </c>
      <c r="L111" s="136">
        <f>L6*Premissas!$C$40</f>
        <v>13541.537075</v>
      </c>
      <c r="M111" s="136">
        <f>M6*Premissas!$C$40</f>
        <v>15532.158950000001</v>
      </c>
      <c r="N111" s="136">
        <f>N6*Premissas!$D$40</f>
        <v>10559.682270000001</v>
      </c>
      <c r="O111" s="136">
        <f>O6*Premissas!$D$40</f>
        <v>9882.6126299999996</v>
      </c>
      <c r="P111" s="136">
        <f>P6*Premissas!$D$40</f>
        <v>8969.0026350000007</v>
      </c>
      <c r="Q111" s="136">
        <f>Q6*Premissas!$D$40</f>
        <v>9440.6366149999994</v>
      </c>
      <c r="R111" s="136">
        <f>R6*Premissas!$D$40</f>
        <v>11332.959455</v>
      </c>
      <c r="S111" s="136">
        <f>S6*Premissas!$D$40</f>
        <v>10634.188865</v>
      </c>
      <c r="T111" s="136">
        <f>T6*Premissas!$E$40</f>
        <v>31628.295840000002</v>
      </c>
      <c r="U111" s="136">
        <f>U6*Premissas!$E$40</f>
        <v>30581.555840000001</v>
      </c>
      <c r="V111" s="136">
        <f>V6*Premissas!$E$40</f>
        <v>29038.661080000002</v>
      </c>
      <c r="W111" s="136">
        <f>W6*Premissas!$E$40</f>
        <v>29966.072719999996</v>
      </c>
      <c r="X111" s="136">
        <f>X6*Premissas!$E$40</f>
        <v>26702.3374</v>
      </c>
      <c r="Y111" s="136">
        <f>Y6*Premissas!$E$40</f>
        <v>30627.612400000002</v>
      </c>
      <c r="Z111" s="136">
        <f>Z6*Premissas!$E$40</f>
        <v>30560.621040000002</v>
      </c>
      <c r="AA111" s="136">
        <f>AA6*Premissas!$E$40</f>
        <v>28601.123759999999</v>
      </c>
      <c r="AB111" s="136">
        <f>AB6*Premissas!$F$40</f>
        <v>736.51919850000002</v>
      </c>
      <c r="AC111" s="136">
        <f>AC6*Premissas!$F$40</f>
        <v>775.24897649999991</v>
      </c>
      <c r="AD111" s="136">
        <f>AD6*Premissas!$F$40</f>
        <v>930.64330050000012</v>
      </c>
      <c r="AE111" s="136">
        <f>AE6*Premissas!$F$40</f>
        <v>873.26145150000002</v>
      </c>
      <c r="AF111" s="136">
        <f>AF6*Premissas!$F$40</f>
        <v>897.43786200000011</v>
      </c>
      <c r="AG111" s="136">
        <f>AG6*Premissas!$F$40</f>
        <v>867.73711200000014</v>
      </c>
      <c r="AH111" s="136">
        <f>AH6*Premissas!$G$40</f>
        <v>878.88875360000009</v>
      </c>
      <c r="AI111" s="136">
        <f>AI6*Premissas!$G$40</f>
        <v>906.95794240000009</v>
      </c>
      <c r="AJ111" s="136">
        <f>AJ6*Premissas!$G$40</f>
        <v>808.17720800000006</v>
      </c>
      <c r="AK111" s="136">
        <f>AK6*Premissas!$G$40</f>
        <v>926.98020800000006</v>
      </c>
      <c r="AL111" s="136">
        <f>AL6*Premissas!$G$40</f>
        <v>924.95263680000016</v>
      </c>
      <c r="AM111" s="136">
        <f>AM6*Premissas!$G$40</f>
        <v>865.64617920000012</v>
      </c>
      <c r="AN111" s="136">
        <f>AN6*Premissas!$H$40</f>
        <v>745.0505458826251</v>
      </c>
      <c r="AO111" s="136">
        <f>AO6*Premissas!$H$40</f>
        <v>784.22894381112496</v>
      </c>
      <c r="AP111" s="136">
        <f>AP6*Premissas!$H$40</f>
        <v>941.42325206412511</v>
      </c>
      <c r="AQ111" s="136">
        <f>AQ6*Premissas!$H$40</f>
        <v>883.37672997987511</v>
      </c>
      <c r="AR111" s="136">
        <f>AR6*Premissas!$H$40</f>
        <v>907.83318390149998</v>
      </c>
      <c r="AS111" s="136">
        <f>AS6*Premissas!$H$40</f>
        <v>877.78840021400015</v>
      </c>
      <c r="AT111" s="136">
        <f>AT6*Premissas!$I$40</f>
        <v>888.158283423125</v>
      </c>
      <c r="AU111" s="136">
        <f>AU6*Premissas!$I$40</f>
        <v>916.52351444874989</v>
      </c>
      <c r="AV111" s="136">
        <f>AV6*Premissas!$I$40</f>
        <v>816.70095199062496</v>
      </c>
      <c r="AW111" s="136">
        <f>AW6*Premissas!$I$40</f>
        <v>936.75695238125002</v>
      </c>
      <c r="AX111" s="136">
        <f>AX6*Premissas!$I$40</f>
        <v>934.70799664125002</v>
      </c>
      <c r="AY111" s="136">
        <f>AY6*Premissas!$I$40</f>
        <v>874.77604124624986</v>
      </c>
      <c r="AZ111" s="136">
        <f>AZ6*Premissas!$J$40</f>
        <v>911.4655243687032</v>
      </c>
      <c r="BA111" s="136">
        <f>BA6*Premissas!$J$40</f>
        <v>959.39483494926549</v>
      </c>
      <c r="BB111" s="136">
        <f>BB6*Premissas!$J$40</f>
        <v>1151.7001669718907</v>
      </c>
      <c r="BC111" s="136">
        <f>BC6*Premissas!$J$40</f>
        <v>1080.6883356516096</v>
      </c>
      <c r="BD111" s="136">
        <f>BD6*Premissas!$J$40</f>
        <v>1110.6073991581875</v>
      </c>
      <c r="BE111" s="136">
        <f>BE6*Premissas!$J$40</f>
        <v>1073.85179288475</v>
      </c>
      <c r="BF111" s="136">
        <f>BF6*Premissas!$K$40</f>
        <v>4255.4396153520156</v>
      </c>
      <c r="BG111" s="136">
        <f>BG6*Premissas!$K$40</f>
        <v>4391.3461649591763</v>
      </c>
      <c r="BH111" s="136">
        <f>BH6*Premissas!$K$40</f>
        <v>3913.0655535876972</v>
      </c>
      <c r="BI111" s="136">
        <f>BI6*Premissas!$K$40</f>
        <v>4488.2907917669945</v>
      </c>
      <c r="BJ111" s="136">
        <f>BJ6*Premissas!$K$40</f>
        <v>4478.4736143687342</v>
      </c>
      <c r="BK111" s="136">
        <f>BK6*Premissas!$K$40</f>
        <v>4191.3211754696295</v>
      </c>
    </row>
    <row r="112" spans="1:63" ht="12.75" customHeight="1" x14ac:dyDescent="0.2">
      <c r="A112" s="126" t="s">
        <v>409</v>
      </c>
      <c r="B112" s="120">
        <f>AA112</f>
        <v>173188.46162500003</v>
      </c>
      <c r="C112" s="120" t="s">
        <v>397</v>
      </c>
      <c r="D112" s="120">
        <f>0</f>
        <v>0</v>
      </c>
      <c r="E112" s="120">
        <f t="shared" ref="E112:AJ112" si="96">D114</f>
        <v>832.40999999999985</v>
      </c>
      <c r="F112" s="120">
        <f t="shared" si="96"/>
        <v>0</v>
      </c>
      <c r="G112" s="120">
        <f t="shared" si="96"/>
        <v>689.52999999999884</v>
      </c>
      <c r="H112" s="120">
        <f t="shared" si="96"/>
        <v>0</v>
      </c>
      <c r="I112" s="120">
        <f t="shared" si="96"/>
        <v>5173.2360000000008</v>
      </c>
      <c r="J112" s="120">
        <f t="shared" si="96"/>
        <v>8661.9720000000016</v>
      </c>
      <c r="K112" s="120">
        <f t="shared" si="96"/>
        <v>11820.329000000002</v>
      </c>
      <c r="L112" s="120">
        <f t="shared" si="96"/>
        <v>16723.951810000002</v>
      </c>
      <c r="M112" s="120">
        <f t="shared" si="96"/>
        <v>19169.863885000006</v>
      </c>
      <c r="N112" s="120">
        <f t="shared" si="96"/>
        <v>25999.772835000007</v>
      </c>
      <c r="O112" s="120">
        <f t="shared" si="96"/>
        <v>29149.73010500001</v>
      </c>
      <c r="P112" s="120">
        <f t="shared" si="96"/>
        <v>32478.492735000011</v>
      </c>
      <c r="Q112" s="120">
        <f t="shared" si="96"/>
        <v>34802.420370000014</v>
      </c>
      <c r="R112" s="120">
        <f t="shared" si="96"/>
        <v>35286.606985000013</v>
      </c>
      <c r="S112" s="120">
        <f t="shared" si="96"/>
        <v>37851.716440000018</v>
      </c>
      <c r="T112" s="120">
        <f t="shared" si="96"/>
        <v>37138.130305000021</v>
      </c>
      <c r="U112" s="120">
        <f t="shared" si="96"/>
        <v>57545.751145000024</v>
      </c>
      <c r="V112" s="120">
        <f t="shared" si="96"/>
        <v>75726.85698500002</v>
      </c>
      <c r="W112" s="120">
        <f t="shared" si="96"/>
        <v>92832.468065000023</v>
      </c>
      <c r="X112" s="120">
        <f t="shared" si="96"/>
        <v>112505.49078500002</v>
      </c>
      <c r="Y112" s="120">
        <f t="shared" si="96"/>
        <v>128112.20318500002</v>
      </c>
      <c r="Z112" s="120">
        <f t="shared" si="96"/>
        <v>150037.56558500003</v>
      </c>
      <c r="AA112" s="120">
        <f t="shared" si="96"/>
        <v>173188.46162500003</v>
      </c>
      <c r="AB112" s="120">
        <f t="shared" si="96"/>
        <v>195235.73538500004</v>
      </c>
      <c r="AC112" s="120">
        <f t="shared" si="96"/>
        <v>189254.55833350003</v>
      </c>
      <c r="AD112" s="120">
        <f t="shared" si="96"/>
        <v>183312.11106000002</v>
      </c>
      <c r="AE112" s="120">
        <f t="shared" si="96"/>
        <v>177525.05811050002</v>
      </c>
      <c r="AF112" s="120">
        <f t="shared" si="96"/>
        <v>171680.62331200001</v>
      </c>
      <c r="AG112" s="120">
        <f t="shared" si="96"/>
        <v>165860.36492400002</v>
      </c>
      <c r="AH112" s="120">
        <f t="shared" si="96"/>
        <v>160010.40578600002</v>
      </c>
      <c r="AI112" s="120">
        <f t="shared" si="96"/>
        <v>154171.59828960002</v>
      </c>
      <c r="AJ112" s="120">
        <f t="shared" si="96"/>
        <v>148360.85998200002</v>
      </c>
      <c r="AK112" s="120">
        <f t="shared" ref="AK112:BK112" si="97">AJ114</f>
        <v>142451.34094000002</v>
      </c>
      <c r="AL112" s="120">
        <f t="shared" si="97"/>
        <v>136660.62489800004</v>
      </c>
      <c r="AM112" s="120">
        <f t="shared" si="97"/>
        <v>130867.88128480004</v>
      </c>
      <c r="AN112" s="120">
        <f t="shared" si="97"/>
        <v>125015.83121400003</v>
      </c>
      <c r="AO112" s="120">
        <f t="shared" si="97"/>
        <v>118875.24310363266</v>
      </c>
      <c r="AP112" s="120">
        <f t="shared" si="97"/>
        <v>112773.83339119378</v>
      </c>
      <c r="AQ112" s="120">
        <f t="shared" si="97"/>
        <v>106829.61798700791</v>
      </c>
      <c r="AR112" s="120">
        <f t="shared" si="97"/>
        <v>100827.35606073779</v>
      </c>
      <c r="AS112" s="120">
        <f t="shared" si="97"/>
        <v>94849.550588389291</v>
      </c>
      <c r="AT112" s="120">
        <f t="shared" si="97"/>
        <v>88841.700332353299</v>
      </c>
      <c r="AU112" s="120">
        <f t="shared" si="97"/>
        <v>82844.219959526425</v>
      </c>
      <c r="AV112" s="120">
        <f t="shared" si="97"/>
        <v>76875.10481772518</v>
      </c>
      <c r="AW112" s="120">
        <f t="shared" si="97"/>
        <v>70806.16711346581</v>
      </c>
      <c r="AX112" s="120">
        <f t="shared" si="97"/>
        <v>64857.285409597062</v>
      </c>
      <c r="AY112" s="120">
        <f t="shared" si="97"/>
        <v>58906.354749988313</v>
      </c>
      <c r="AZ112" s="120">
        <f t="shared" si="97"/>
        <v>52895.492134984568</v>
      </c>
      <c r="BA112" s="120">
        <f t="shared" si="97"/>
        <v>46749.17803669702</v>
      </c>
      <c r="BB112" s="120">
        <f t="shared" si="97"/>
        <v>40650.793248990034</v>
      </c>
      <c r="BC112" s="120">
        <f t="shared" si="97"/>
        <v>34744.71379330568</v>
      </c>
      <c r="BD112" s="120">
        <f t="shared" si="97"/>
        <v>28767.622506301042</v>
      </c>
      <c r="BE112" s="120">
        <f t="shared" si="97"/>
        <v>22820.45028280298</v>
      </c>
      <c r="BF112" s="120">
        <f t="shared" si="97"/>
        <v>16836.522453031481</v>
      </c>
      <c r="BG112" s="120">
        <f t="shared" si="97"/>
        <v>14034.182445727249</v>
      </c>
      <c r="BH112" s="120">
        <f t="shared" si="97"/>
        <v>11367.748988030176</v>
      </c>
      <c r="BI112" s="120">
        <f t="shared" si="97"/>
        <v>8223.0349189616245</v>
      </c>
      <c r="BJ112" s="120">
        <f t="shared" si="97"/>
        <v>5653.5460880723704</v>
      </c>
      <c r="BK112" s="120">
        <f t="shared" si="97"/>
        <v>3074.2400797848559</v>
      </c>
    </row>
    <row r="113" spans="1:63" ht="12.75" customHeight="1" x14ac:dyDescent="0.2">
      <c r="A113" s="126" t="s">
        <v>410</v>
      </c>
      <c r="B113" s="120">
        <f>SUM(D113:BQ113)</f>
        <v>197263.47988740177</v>
      </c>
      <c r="C113" s="120">
        <f>B113/60</f>
        <v>3287.7246647900297</v>
      </c>
      <c r="D113" s="120">
        <f t="shared" ref="D113:AI113" si="98">MIN(D112,MAX(D110-D111,0))</f>
        <v>0</v>
      </c>
      <c r="E113" s="120">
        <f t="shared" si="98"/>
        <v>832.40999999999985</v>
      </c>
      <c r="F113" s="120">
        <f t="shared" si="98"/>
        <v>0</v>
      </c>
      <c r="G113" s="120">
        <f t="shared" si="98"/>
        <v>689.52999999999884</v>
      </c>
      <c r="H113" s="120">
        <f t="shared" si="98"/>
        <v>0</v>
      </c>
      <c r="I113" s="120">
        <f t="shared" si="98"/>
        <v>0</v>
      </c>
      <c r="J113" s="120">
        <f t="shared" si="98"/>
        <v>0</v>
      </c>
      <c r="K113" s="120">
        <f t="shared" si="98"/>
        <v>0</v>
      </c>
      <c r="L113" s="120">
        <f t="shared" si="98"/>
        <v>0</v>
      </c>
      <c r="M113" s="120">
        <f t="shared" si="98"/>
        <v>0</v>
      </c>
      <c r="N113" s="120">
        <f t="shared" si="98"/>
        <v>0</v>
      </c>
      <c r="O113" s="120">
        <f t="shared" si="98"/>
        <v>0</v>
      </c>
      <c r="P113" s="120">
        <f t="shared" si="98"/>
        <v>0</v>
      </c>
      <c r="Q113" s="120">
        <f t="shared" si="98"/>
        <v>0</v>
      </c>
      <c r="R113" s="120">
        <f t="shared" si="98"/>
        <v>0</v>
      </c>
      <c r="S113" s="120">
        <f t="shared" si="98"/>
        <v>713.58613499999956</v>
      </c>
      <c r="T113" s="120">
        <f t="shared" si="98"/>
        <v>0</v>
      </c>
      <c r="U113" s="120">
        <f t="shared" si="98"/>
        <v>0</v>
      </c>
      <c r="V113" s="120">
        <f t="shared" si="98"/>
        <v>0</v>
      </c>
      <c r="W113" s="120">
        <f t="shared" si="98"/>
        <v>0</v>
      </c>
      <c r="X113" s="120">
        <f t="shared" si="98"/>
        <v>0</v>
      </c>
      <c r="Y113" s="120">
        <f t="shared" si="98"/>
        <v>0</v>
      </c>
      <c r="Z113" s="120">
        <f t="shared" si="98"/>
        <v>0</v>
      </c>
      <c r="AA113" s="120">
        <f t="shared" si="98"/>
        <v>0</v>
      </c>
      <c r="AB113" s="120">
        <f t="shared" si="98"/>
        <v>5981.1770514999989</v>
      </c>
      <c r="AC113" s="120">
        <f t="shared" si="98"/>
        <v>5942.447273499999</v>
      </c>
      <c r="AD113" s="120">
        <f t="shared" si="98"/>
        <v>5787.0529494999992</v>
      </c>
      <c r="AE113" s="120">
        <f t="shared" si="98"/>
        <v>5844.4347984999986</v>
      </c>
      <c r="AF113" s="120">
        <f t="shared" si="98"/>
        <v>5820.2583879999993</v>
      </c>
      <c r="AG113" s="120">
        <f t="shared" si="98"/>
        <v>5849.9591379999993</v>
      </c>
      <c r="AH113" s="120">
        <f t="shared" si="98"/>
        <v>5838.8074963999989</v>
      </c>
      <c r="AI113" s="120">
        <f t="shared" si="98"/>
        <v>5810.7383075999987</v>
      </c>
      <c r="AJ113" s="120">
        <f t="shared" ref="AJ113:BO113" si="99">MIN(AJ112,MAX(AJ110-AJ111,0))</f>
        <v>5909.519041999999</v>
      </c>
      <c r="AK113" s="120">
        <f t="shared" si="99"/>
        <v>5790.7160419999991</v>
      </c>
      <c r="AL113" s="120">
        <f t="shared" si="99"/>
        <v>5792.7436131999984</v>
      </c>
      <c r="AM113" s="120">
        <f t="shared" si="99"/>
        <v>5852.050070799999</v>
      </c>
      <c r="AN113" s="120">
        <f t="shared" si="99"/>
        <v>6140.5881103673746</v>
      </c>
      <c r="AO113" s="120">
        <f t="shared" si="99"/>
        <v>6101.4097124388745</v>
      </c>
      <c r="AP113" s="120">
        <f t="shared" si="99"/>
        <v>5944.2154041858739</v>
      </c>
      <c r="AQ113" s="120">
        <f t="shared" si="99"/>
        <v>6002.2619262701246</v>
      </c>
      <c r="AR113" s="120">
        <f t="shared" si="99"/>
        <v>5977.8054723484993</v>
      </c>
      <c r="AS113" s="120">
        <f t="shared" si="99"/>
        <v>6007.8502560359993</v>
      </c>
      <c r="AT113" s="120">
        <f t="shared" si="99"/>
        <v>5997.4803728268744</v>
      </c>
      <c r="AU113" s="120">
        <f t="shared" si="99"/>
        <v>5969.1151418012496</v>
      </c>
      <c r="AV113" s="120">
        <f t="shared" si="99"/>
        <v>6068.9377042593742</v>
      </c>
      <c r="AW113" s="120">
        <f t="shared" si="99"/>
        <v>5948.8817038687494</v>
      </c>
      <c r="AX113" s="120">
        <f t="shared" si="99"/>
        <v>5950.930659608749</v>
      </c>
      <c r="AY113" s="120">
        <f t="shared" si="99"/>
        <v>6010.8626150037489</v>
      </c>
      <c r="AZ113" s="120">
        <f t="shared" si="99"/>
        <v>6146.3140982875457</v>
      </c>
      <c r="BA113" s="120">
        <f t="shared" si="99"/>
        <v>6098.3847877069829</v>
      </c>
      <c r="BB113" s="120">
        <f t="shared" si="99"/>
        <v>5906.0794556843575</v>
      </c>
      <c r="BC113" s="120">
        <f t="shared" si="99"/>
        <v>5977.0912870046395</v>
      </c>
      <c r="BD113" s="120">
        <f t="shared" si="99"/>
        <v>5947.1722234980607</v>
      </c>
      <c r="BE113" s="120">
        <f t="shared" si="99"/>
        <v>5983.9278297714991</v>
      </c>
      <c r="BF113" s="120">
        <f t="shared" si="99"/>
        <v>2802.340007304233</v>
      </c>
      <c r="BG113" s="120">
        <f t="shared" si="99"/>
        <v>2666.4334576970723</v>
      </c>
      <c r="BH113" s="120">
        <f t="shared" si="99"/>
        <v>3144.7140690685515</v>
      </c>
      <c r="BI113" s="120">
        <f t="shared" si="99"/>
        <v>2569.4888308892541</v>
      </c>
      <c r="BJ113" s="120">
        <f t="shared" si="99"/>
        <v>2579.3060082875145</v>
      </c>
      <c r="BK113" s="120">
        <f t="shared" si="99"/>
        <v>2866.4584471866192</v>
      </c>
    </row>
    <row r="114" spans="1:63" ht="13.5" customHeight="1" x14ac:dyDescent="0.2">
      <c r="A114" s="41" t="s">
        <v>411</v>
      </c>
      <c r="B114" s="43">
        <f>AA114</f>
        <v>195235.73538500004</v>
      </c>
      <c r="C114" s="120" t="s">
        <v>397</v>
      </c>
      <c r="D114" s="137">
        <f t="shared" ref="D114:AI114" si="100">MAX(D112-D113,0)+MAX(D111-D110,0)</f>
        <v>832.40999999999985</v>
      </c>
      <c r="E114" s="137">
        <f t="shared" si="100"/>
        <v>0</v>
      </c>
      <c r="F114" s="137">
        <f t="shared" si="100"/>
        <v>689.52999999999884</v>
      </c>
      <c r="G114" s="137">
        <f t="shared" si="100"/>
        <v>0</v>
      </c>
      <c r="H114" s="137">
        <f t="shared" si="100"/>
        <v>5173.2360000000008</v>
      </c>
      <c r="I114" s="137">
        <f t="shared" si="100"/>
        <v>8661.9720000000016</v>
      </c>
      <c r="J114" s="137">
        <f t="shared" si="100"/>
        <v>11820.329000000002</v>
      </c>
      <c r="K114" s="137">
        <f t="shared" si="100"/>
        <v>16723.951810000002</v>
      </c>
      <c r="L114" s="137">
        <f t="shared" si="100"/>
        <v>19169.863885000006</v>
      </c>
      <c r="M114" s="137">
        <f t="shared" si="100"/>
        <v>25999.772835000007</v>
      </c>
      <c r="N114" s="137">
        <f t="shared" si="100"/>
        <v>29149.73010500001</v>
      </c>
      <c r="O114" s="137">
        <f t="shared" si="100"/>
        <v>32478.492735000011</v>
      </c>
      <c r="P114" s="137">
        <f t="shared" si="100"/>
        <v>34802.420370000014</v>
      </c>
      <c r="Q114" s="137">
        <f t="shared" si="100"/>
        <v>35286.606985000013</v>
      </c>
      <c r="R114" s="137">
        <f t="shared" si="100"/>
        <v>37851.716440000018</v>
      </c>
      <c r="S114" s="137">
        <f t="shared" si="100"/>
        <v>37138.130305000021</v>
      </c>
      <c r="T114" s="137">
        <f t="shared" si="100"/>
        <v>57545.751145000024</v>
      </c>
      <c r="U114" s="137">
        <f t="shared" si="100"/>
        <v>75726.85698500002</v>
      </c>
      <c r="V114" s="137">
        <f t="shared" si="100"/>
        <v>92832.468065000023</v>
      </c>
      <c r="W114" s="137">
        <f t="shared" si="100"/>
        <v>112505.49078500002</v>
      </c>
      <c r="X114" s="137">
        <f t="shared" si="100"/>
        <v>128112.20318500002</v>
      </c>
      <c r="Y114" s="137">
        <f t="shared" si="100"/>
        <v>150037.56558500003</v>
      </c>
      <c r="Z114" s="137">
        <f t="shared" si="100"/>
        <v>173188.46162500003</v>
      </c>
      <c r="AA114" s="137">
        <f t="shared" si="100"/>
        <v>195235.73538500004</v>
      </c>
      <c r="AB114" s="137">
        <f t="shared" si="100"/>
        <v>189254.55833350003</v>
      </c>
      <c r="AC114" s="137">
        <f t="shared" si="100"/>
        <v>183312.11106000002</v>
      </c>
      <c r="AD114" s="137">
        <f t="shared" si="100"/>
        <v>177525.05811050002</v>
      </c>
      <c r="AE114" s="137">
        <f t="shared" si="100"/>
        <v>171680.62331200001</v>
      </c>
      <c r="AF114" s="137">
        <f t="shared" si="100"/>
        <v>165860.36492400002</v>
      </c>
      <c r="AG114" s="137">
        <f t="shared" si="100"/>
        <v>160010.40578600002</v>
      </c>
      <c r="AH114" s="137">
        <f t="shared" si="100"/>
        <v>154171.59828960002</v>
      </c>
      <c r="AI114" s="137">
        <f t="shared" si="100"/>
        <v>148360.85998200002</v>
      </c>
      <c r="AJ114" s="137">
        <f t="shared" ref="AJ114:BO114" si="101">MAX(AJ112-AJ113,0)+MAX(AJ111-AJ110,0)</f>
        <v>142451.34094000002</v>
      </c>
      <c r="AK114" s="137">
        <f t="shared" si="101"/>
        <v>136660.62489800004</v>
      </c>
      <c r="AL114" s="137">
        <f t="shared" si="101"/>
        <v>130867.88128480004</v>
      </c>
      <c r="AM114" s="137">
        <f t="shared" si="101"/>
        <v>125015.83121400003</v>
      </c>
      <c r="AN114" s="137">
        <f t="shared" si="101"/>
        <v>118875.24310363266</v>
      </c>
      <c r="AO114" s="137">
        <f t="shared" si="101"/>
        <v>112773.83339119378</v>
      </c>
      <c r="AP114" s="137">
        <f t="shared" si="101"/>
        <v>106829.61798700791</v>
      </c>
      <c r="AQ114" s="137">
        <f t="shared" si="101"/>
        <v>100827.35606073779</v>
      </c>
      <c r="AR114" s="137">
        <f t="shared" si="101"/>
        <v>94849.550588389291</v>
      </c>
      <c r="AS114" s="137">
        <f t="shared" si="101"/>
        <v>88841.700332353299</v>
      </c>
      <c r="AT114" s="137">
        <f t="shared" si="101"/>
        <v>82844.219959526425</v>
      </c>
      <c r="AU114" s="137">
        <f t="shared" si="101"/>
        <v>76875.10481772518</v>
      </c>
      <c r="AV114" s="137">
        <f t="shared" si="101"/>
        <v>70806.16711346581</v>
      </c>
      <c r="AW114" s="137">
        <f t="shared" si="101"/>
        <v>64857.285409597062</v>
      </c>
      <c r="AX114" s="137">
        <f t="shared" si="101"/>
        <v>58906.354749988313</v>
      </c>
      <c r="AY114" s="137">
        <f t="shared" si="101"/>
        <v>52895.492134984568</v>
      </c>
      <c r="AZ114" s="137">
        <f t="shared" si="101"/>
        <v>46749.17803669702</v>
      </c>
      <c r="BA114" s="137">
        <f t="shared" si="101"/>
        <v>40650.793248990034</v>
      </c>
      <c r="BB114" s="137">
        <f t="shared" si="101"/>
        <v>34744.71379330568</v>
      </c>
      <c r="BC114" s="137">
        <f t="shared" si="101"/>
        <v>28767.622506301042</v>
      </c>
      <c r="BD114" s="137">
        <f t="shared" si="101"/>
        <v>22820.45028280298</v>
      </c>
      <c r="BE114" s="137">
        <f t="shared" si="101"/>
        <v>16836.522453031481</v>
      </c>
      <c r="BF114" s="137">
        <f t="shared" si="101"/>
        <v>14034.182445727249</v>
      </c>
      <c r="BG114" s="137">
        <f t="shared" si="101"/>
        <v>11367.748988030176</v>
      </c>
      <c r="BH114" s="137">
        <f t="shared" si="101"/>
        <v>8223.0349189616245</v>
      </c>
      <c r="BI114" s="137">
        <f t="shared" si="101"/>
        <v>5653.5460880723704</v>
      </c>
      <c r="BJ114" s="137">
        <f t="shared" si="101"/>
        <v>3074.2400797848559</v>
      </c>
      <c r="BK114" s="137">
        <f t="shared" si="101"/>
        <v>207.78163259823668</v>
      </c>
    </row>
    <row r="115" spans="1:63" ht="12.75" customHeight="1" x14ac:dyDescent="0.2">
      <c r="A115" s="127" t="s">
        <v>412</v>
      </c>
      <c r="B115" s="128">
        <f>AA115</f>
        <v>0</v>
      </c>
      <c r="C115" s="120" t="s">
        <v>397</v>
      </c>
      <c r="D115" s="128">
        <f>0</f>
        <v>0</v>
      </c>
      <c r="E115" s="128">
        <f t="shared" ref="E115:AJ115" si="102">D117</f>
        <v>0</v>
      </c>
      <c r="F115" s="128">
        <f t="shared" si="102"/>
        <v>0</v>
      </c>
      <c r="G115" s="128">
        <f t="shared" si="102"/>
        <v>0</v>
      </c>
      <c r="H115" s="128">
        <f t="shared" si="102"/>
        <v>0</v>
      </c>
      <c r="I115" s="128">
        <f t="shared" si="102"/>
        <v>0</v>
      </c>
      <c r="J115" s="128">
        <f t="shared" si="102"/>
        <v>0</v>
      </c>
      <c r="K115" s="128">
        <f t="shared" si="102"/>
        <v>0</v>
      </c>
      <c r="L115" s="128">
        <f t="shared" si="102"/>
        <v>0</v>
      </c>
      <c r="M115" s="128">
        <f t="shared" si="102"/>
        <v>0</v>
      </c>
      <c r="N115" s="128">
        <f t="shared" si="102"/>
        <v>0</v>
      </c>
      <c r="O115" s="128">
        <f t="shared" si="102"/>
        <v>0</v>
      </c>
      <c r="P115" s="128">
        <f t="shared" si="102"/>
        <v>0</v>
      </c>
      <c r="Q115" s="128">
        <f t="shared" si="102"/>
        <v>0</v>
      </c>
      <c r="R115" s="128">
        <f t="shared" si="102"/>
        <v>0</v>
      </c>
      <c r="S115" s="128">
        <f t="shared" si="102"/>
        <v>0</v>
      </c>
      <c r="T115" s="128">
        <f t="shared" si="102"/>
        <v>0</v>
      </c>
      <c r="U115" s="128">
        <f t="shared" si="102"/>
        <v>0</v>
      </c>
      <c r="V115" s="128">
        <f t="shared" si="102"/>
        <v>0</v>
      </c>
      <c r="W115" s="128">
        <f t="shared" si="102"/>
        <v>0</v>
      </c>
      <c r="X115" s="128">
        <f t="shared" si="102"/>
        <v>0</v>
      </c>
      <c r="Y115" s="128">
        <f t="shared" si="102"/>
        <v>0</v>
      </c>
      <c r="Z115" s="128">
        <f t="shared" si="102"/>
        <v>0</v>
      </c>
      <c r="AA115" s="128">
        <f t="shared" si="102"/>
        <v>0</v>
      </c>
      <c r="AB115" s="128">
        <f t="shared" si="102"/>
        <v>0</v>
      </c>
      <c r="AC115" s="128">
        <f t="shared" si="102"/>
        <v>0</v>
      </c>
      <c r="AD115" s="128">
        <f t="shared" si="102"/>
        <v>0</v>
      </c>
      <c r="AE115" s="128">
        <f t="shared" si="102"/>
        <v>0</v>
      </c>
      <c r="AF115" s="128">
        <f t="shared" si="102"/>
        <v>0</v>
      </c>
      <c r="AG115" s="128">
        <f t="shared" si="102"/>
        <v>0</v>
      </c>
      <c r="AH115" s="128">
        <f t="shared" si="102"/>
        <v>0</v>
      </c>
      <c r="AI115" s="128">
        <f t="shared" si="102"/>
        <v>0</v>
      </c>
      <c r="AJ115" s="128">
        <f t="shared" si="102"/>
        <v>0</v>
      </c>
      <c r="AK115" s="128">
        <f t="shared" ref="AK115:BK115" si="103">AJ117</f>
        <v>0</v>
      </c>
      <c r="AL115" s="128">
        <f t="shared" si="103"/>
        <v>0</v>
      </c>
      <c r="AM115" s="128">
        <f t="shared" si="103"/>
        <v>0</v>
      </c>
      <c r="AN115" s="128">
        <f t="shared" si="103"/>
        <v>0</v>
      </c>
      <c r="AO115" s="128">
        <f t="shared" si="103"/>
        <v>0</v>
      </c>
      <c r="AP115" s="128">
        <f t="shared" si="103"/>
        <v>0</v>
      </c>
      <c r="AQ115" s="128">
        <f t="shared" si="103"/>
        <v>0</v>
      </c>
      <c r="AR115" s="128">
        <f t="shared" si="103"/>
        <v>0</v>
      </c>
      <c r="AS115" s="128">
        <f t="shared" si="103"/>
        <v>0</v>
      </c>
      <c r="AT115" s="128">
        <f t="shared" si="103"/>
        <v>0</v>
      </c>
      <c r="AU115" s="128">
        <f t="shared" si="103"/>
        <v>0</v>
      </c>
      <c r="AV115" s="128">
        <f t="shared" si="103"/>
        <v>0</v>
      </c>
      <c r="AW115" s="128">
        <f t="shared" si="103"/>
        <v>0</v>
      </c>
      <c r="AX115" s="128">
        <f t="shared" si="103"/>
        <v>0</v>
      </c>
      <c r="AY115" s="128">
        <f t="shared" si="103"/>
        <v>0</v>
      </c>
      <c r="AZ115" s="128">
        <f t="shared" si="103"/>
        <v>0</v>
      </c>
      <c r="BA115" s="128">
        <f t="shared" si="103"/>
        <v>0</v>
      </c>
      <c r="BB115" s="128">
        <f t="shared" si="103"/>
        <v>0</v>
      </c>
      <c r="BC115" s="128">
        <f t="shared" si="103"/>
        <v>0</v>
      </c>
      <c r="BD115" s="128">
        <f t="shared" si="103"/>
        <v>0</v>
      </c>
      <c r="BE115" s="128">
        <f t="shared" si="103"/>
        <v>0</v>
      </c>
      <c r="BF115" s="128">
        <f t="shared" si="103"/>
        <v>0</v>
      </c>
      <c r="BG115" s="128">
        <f t="shared" si="103"/>
        <v>0</v>
      </c>
      <c r="BH115" s="128">
        <f t="shared" si="103"/>
        <v>0</v>
      </c>
      <c r="BI115" s="128">
        <f t="shared" si="103"/>
        <v>0</v>
      </c>
      <c r="BJ115" s="128">
        <f t="shared" si="103"/>
        <v>0</v>
      </c>
      <c r="BK115" s="128">
        <f t="shared" si="103"/>
        <v>0</v>
      </c>
    </row>
    <row r="116" spans="1:63" ht="12.75" customHeight="1" x14ac:dyDescent="0.2">
      <c r="A116" s="127" t="s">
        <v>420</v>
      </c>
      <c r="B116" s="128">
        <f>SUM(D116:BQ116)</f>
        <v>0</v>
      </c>
      <c r="C116" s="120">
        <f>B116/60</f>
        <v>0</v>
      </c>
      <c r="D116" s="128">
        <f t="shared" ref="D116:AI116" si="104">MIN(D115,D110)</f>
        <v>0</v>
      </c>
      <c r="E116" s="128">
        <f t="shared" si="104"/>
        <v>0</v>
      </c>
      <c r="F116" s="128">
        <f t="shared" si="104"/>
        <v>0</v>
      </c>
      <c r="G116" s="128">
        <f t="shared" si="104"/>
        <v>0</v>
      </c>
      <c r="H116" s="128">
        <f t="shared" si="104"/>
        <v>0</v>
      </c>
      <c r="I116" s="128">
        <f t="shared" si="104"/>
        <v>0</v>
      </c>
      <c r="J116" s="128">
        <f t="shared" si="104"/>
        <v>0</v>
      </c>
      <c r="K116" s="128">
        <f t="shared" si="104"/>
        <v>0</v>
      </c>
      <c r="L116" s="128">
        <f t="shared" si="104"/>
        <v>0</v>
      </c>
      <c r="M116" s="128">
        <f t="shared" si="104"/>
        <v>0</v>
      </c>
      <c r="N116" s="128">
        <f t="shared" si="104"/>
        <v>0</v>
      </c>
      <c r="O116" s="128">
        <f t="shared" si="104"/>
        <v>0</v>
      </c>
      <c r="P116" s="128">
        <f t="shared" si="104"/>
        <v>0</v>
      </c>
      <c r="Q116" s="128">
        <f t="shared" si="104"/>
        <v>0</v>
      </c>
      <c r="R116" s="128">
        <f t="shared" si="104"/>
        <v>0</v>
      </c>
      <c r="S116" s="128">
        <f t="shared" si="104"/>
        <v>0</v>
      </c>
      <c r="T116" s="128">
        <f t="shared" si="104"/>
        <v>0</v>
      </c>
      <c r="U116" s="128">
        <f t="shared" si="104"/>
        <v>0</v>
      </c>
      <c r="V116" s="128">
        <f t="shared" si="104"/>
        <v>0</v>
      </c>
      <c r="W116" s="128">
        <f t="shared" si="104"/>
        <v>0</v>
      </c>
      <c r="X116" s="128">
        <f t="shared" si="104"/>
        <v>0</v>
      </c>
      <c r="Y116" s="128">
        <f t="shared" si="104"/>
        <v>0</v>
      </c>
      <c r="Z116" s="128">
        <f t="shared" si="104"/>
        <v>0</v>
      </c>
      <c r="AA116" s="128">
        <f t="shared" si="104"/>
        <v>0</v>
      </c>
      <c r="AB116" s="128">
        <f t="shared" si="104"/>
        <v>0</v>
      </c>
      <c r="AC116" s="128">
        <f t="shared" si="104"/>
        <v>0</v>
      </c>
      <c r="AD116" s="128">
        <f t="shared" si="104"/>
        <v>0</v>
      </c>
      <c r="AE116" s="128">
        <f t="shared" si="104"/>
        <v>0</v>
      </c>
      <c r="AF116" s="128">
        <f t="shared" si="104"/>
        <v>0</v>
      </c>
      <c r="AG116" s="128">
        <f t="shared" si="104"/>
        <v>0</v>
      </c>
      <c r="AH116" s="128">
        <f t="shared" si="104"/>
        <v>0</v>
      </c>
      <c r="AI116" s="128">
        <f t="shared" si="104"/>
        <v>0</v>
      </c>
      <c r="AJ116" s="128">
        <f t="shared" ref="AJ116:BO116" si="105">MIN(AJ115,AJ110)</f>
        <v>0</v>
      </c>
      <c r="AK116" s="128">
        <f t="shared" si="105"/>
        <v>0</v>
      </c>
      <c r="AL116" s="128">
        <f t="shared" si="105"/>
        <v>0</v>
      </c>
      <c r="AM116" s="128">
        <f t="shared" si="105"/>
        <v>0</v>
      </c>
      <c r="AN116" s="128">
        <f t="shared" si="105"/>
        <v>0</v>
      </c>
      <c r="AO116" s="128">
        <f t="shared" si="105"/>
        <v>0</v>
      </c>
      <c r="AP116" s="128">
        <f t="shared" si="105"/>
        <v>0</v>
      </c>
      <c r="AQ116" s="128">
        <f t="shared" si="105"/>
        <v>0</v>
      </c>
      <c r="AR116" s="128">
        <f t="shared" si="105"/>
        <v>0</v>
      </c>
      <c r="AS116" s="128">
        <f t="shared" si="105"/>
        <v>0</v>
      </c>
      <c r="AT116" s="128">
        <f t="shared" si="105"/>
        <v>0</v>
      </c>
      <c r="AU116" s="128">
        <f t="shared" si="105"/>
        <v>0</v>
      </c>
      <c r="AV116" s="128">
        <f t="shared" si="105"/>
        <v>0</v>
      </c>
      <c r="AW116" s="128">
        <f t="shared" si="105"/>
        <v>0</v>
      </c>
      <c r="AX116" s="128">
        <f t="shared" si="105"/>
        <v>0</v>
      </c>
      <c r="AY116" s="128">
        <f t="shared" si="105"/>
        <v>0</v>
      </c>
      <c r="AZ116" s="128">
        <f t="shared" si="105"/>
        <v>0</v>
      </c>
      <c r="BA116" s="128">
        <f t="shared" si="105"/>
        <v>0</v>
      </c>
      <c r="BB116" s="128">
        <f t="shared" si="105"/>
        <v>0</v>
      </c>
      <c r="BC116" s="128">
        <f t="shared" si="105"/>
        <v>0</v>
      </c>
      <c r="BD116" s="128">
        <f t="shared" si="105"/>
        <v>0</v>
      </c>
      <c r="BE116" s="128">
        <f t="shared" si="105"/>
        <v>0</v>
      </c>
      <c r="BF116" s="128">
        <f t="shared" si="105"/>
        <v>0</v>
      </c>
      <c r="BG116" s="128">
        <f t="shared" si="105"/>
        <v>0</v>
      </c>
      <c r="BH116" s="128">
        <f t="shared" si="105"/>
        <v>0</v>
      </c>
      <c r="BI116" s="128">
        <f t="shared" si="105"/>
        <v>0</v>
      </c>
      <c r="BJ116" s="128">
        <f t="shared" si="105"/>
        <v>0</v>
      </c>
      <c r="BK116" s="128">
        <f t="shared" si="105"/>
        <v>0</v>
      </c>
    </row>
    <row r="117" spans="1:63" ht="12.75" customHeight="1" x14ac:dyDescent="0.2">
      <c r="A117" s="127" t="s">
        <v>421</v>
      </c>
      <c r="B117" s="128">
        <f>AA117</f>
        <v>0</v>
      </c>
      <c r="C117" s="120" t="s">
        <v>397</v>
      </c>
      <c r="D117" s="149">
        <f t="shared" ref="D117:AI117" si="106">MAX(D115-D116,0)</f>
        <v>0</v>
      </c>
      <c r="E117" s="149">
        <f t="shared" si="106"/>
        <v>0</v>
      </c>
      <c r="F117" s="149">
        <f t="shared" si="106"/>
        <v>0</v>
      </c>
      <c r="G117" s="149">
        <f t="shared" si="106"/>
        <v>0</v>
      </c>
      <c r="H117" s="149">
        <f t="shared" si="106"/>
        <v>0</v>
      </c>
      <c r="I117" s="149">
        <f t="shared" si="106"/>
        <v>0</v>
      </c>
      <c r="J117" s="149">
        <f t="shared" si="106"/>
        <v>0</v>
      </c>
      <c r="K117" s="149">
        <f t="shared" si="106"/>
        <v>0</v>
      </c>
      <c r="L117" s="149">
        <f t="shared" si="106"/>
        <v>0</v>
      </c>
      <c r="M117" s="149">
        <f t="shared" si="106"/>
        <v>0</v>
      </c>
      <c r="N117" s="149">
        <f t="shared" si="106"/>
        <v>0</v>
      </c>
      <c r="O117" s="149">
        <f t="shared" si="106"/>
        <v>0</v>
      </c>
      <c r="P117" s="149">
        <f t="shared" si="106"/>
        <v>0</v>
      </c>
      <c r="Q117" s="149">
        <f t="shared" si="106"/>
        <v>0</v>
      </c>
      <c r="R117" s="149">
        <f t="shared" si="106"/>
        <v>0</v>
      </c>
      <c r="S117" s="149">
        <f t="shared" si="106"/>
        <v>0</v>
      </c>
      <c r="T117" s="149">
        <f t="shared" si="106"/>
        <v>0</v>
      </c>
      <c r="U117" s="149">
        <f t="shared" si="106"/>
        <v>0</v>
      </c>
      <c r="V117" s="149">
        <f t="shared" si="106"/>
        <v>0</v>
      </c>
      <c r="W117" s="149">
        <f t="shared" si="106"/>
        <v>0</v>
      </c>
      <c r="X117" s="149">
        <f t="shared" si="106"/>
        <v>0</v>
      </c>
      <c r="Y117" s="149">
        <f t="shared" si="106"/>
        <v>0</v>
      </c>
      <c r="Z117" s="149">
        <f t="shared" si="106"/>
        <v>0</v>
      </c>
      <c r="AA117" s="149">
        <f t="shared" si="106"/>
        <v>0</v>
      </c>
      <c r="AB117" s="149">
        <f t="shared" si="106"/>
        <v>0</v>
      </c>
      <c r="AC117" s="149">
        <f t="shared" si="106"/>
        <v>0</v>
      </c>
      <c r="AD117" s="149">
        <f t="shared" si="106"/>
        <v>0</v>
      </c>
      <c r="AE117" s="149">
        <f t="shared" si="106"/>
        <v>0</v>
      </c>
      <c r="AF117" s="149">
        <f t="shared" si="106"/>
        <v>0</v>
      </c>
      <c r="AG117" s="149">
        <f t="shared" si="106"/>
        <v>0</v>
      </c>
      <c r="AH117" s="149">
        <f t="shared" si="106"/>
        <v>0</v>
      </c>
      <c r="AI117" s="149">
        <f t="shared" si="106"/>
        <v>0</v>
      </c>
      <c r="AJ117" s="149">
        <f t="shared" ref="AJ117:BO117" si="107">MAX(AJ115-AJ116,0)</f>
        <v>0</v>
      </c>
      <c r="AK117" s="149">
        <f t="shared" si="107"/>
        <v>0</v>
      </c>
      <c r="AL117" s="149">
        <f t="shared" si="107"/>
        <v>0</v>
      </c>
      <c r="AM117" s="149">
        <f t="shared" si="107"/>
        <v>0</v>
      </c>
      <c r="AN117" s="149">
        <f t="shared" si="107"/>
        <v>0</v>
      </c>
      <c r="AO117" s="149">
        <f t="shared" si="107"/>
        <v>0</v>
      </c>
      <c r="AP117" s="149">
        <f t="shared" si="107"/>
        <v>0</v>
      </c>
      <c r="AQ117" s="149">
        <f t="shared" si="107"/>
        <v>0</v>
      </c>
      <c r="AR117" s="149">
        <f t="shared" si="107"/>
        <v>0</v>
      </c>
      <c r="AS117" s="149">
        <f t="shared" si="107"/>
        <v>0</v>
      </c>
      <c r="AT117" s="149">
        <f t="shared" si="107"/>
        <v>0</v>
      </c>
      <c r="AU117" s="149">
        <f t="shared" si="107"/>
        <v>0</v>
      </c>
      <c r="AV117" s="149">
        <f t="shared" si="107"/>
        <v>0</v>
      </c>
      <c r="AW117" s="149">
        <f t="shared" si="107"/>
        <v>0</v>
      </c>
      <c r="AX117" s="149">
        <f t="shared" si="107"/>
        <v>0</v>
      </c>
      <c r="AY117" s="149">
        <f t="shared" si="107"/>
        <v>0</v>
      </c>
      <c r="AZ117" s="149">
        <f t="shared" si="107"/>
        <v>0</v>
      </c>
      <c r="BA117" s="149">
        <f t="shared" si="107"/>
        <v>0</v>
      </c>
      <c r="BB117" s="149">
        <f t="shared" si="107"/>
        <v>0</v>
      </c>
      <c r="BC117" s="149">
        <f t="shared" si="107"/>
        <v>0</v>
      </c>
      <c r="BD117" s="149">
        <f t="shared" si="107"/>
        <v>0</v>
      </c>
      <c r="BE117" s="149">
        <f t="shared" si="107"/>
        <v>0</v>
      </c>
      <c r="BF117" s="149">
        <f t="shared" si="107"/>
        <v>0</v>
      </c>
      <c r="BG117" s="149">
        <f t="shared" si="107"/>
        <v>0</v>
      </c>
      <c r="BH117" s="149">
        <f t="shared" si="107"/>
        <v>0</v>
      </c>
      <c r="BI117" s="149">
        <f t="shared" si="107"/>
        <v>0</v>
      </c>
      <c r="BJ117" s="149">
        <f t="shared" si="107"/>
        <v>0</v>
      </c>
      <c r="BK117" s="149">
        <f t="shared" si="107"/>
        <v>0</v>
      </c>
    </row>
    <row r="118" spans="1:63" ht="12.75" customHeight="1" x14ac:dyDescent="0.2">
      <c r="A118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18" s="142">
        <f>SUM(D118:BQ118)</f>
        <v>551079.89482059109</v>
      </c>
      <c r="C118" s="124">
        <f>B118/60</f>
        <v>9184.6649136765172</v>
      </c>
      <c r="D118" s="142">
        <f>D110*Premissas!$F$19*(1+Premissas!$B$127)*(1+Premissas!$B$124)^0</f>
        <v>6718.7525545357157</v>
      </c>
      <c r="E118" s="142">
        <f>E110*Premissas!$F$19*(1+Premissas!$B$127)*(1+Premissas!$B$124)^0</f>
        <v>9055.7550241451609</v>
      </c>
      <c r="F118" s="142">
        <f>F110*Premissas!$F$19*(1+Premissas!$B$127)*(1+Premissas!$B$124)^0</f>
        <v>8865.0639135428846</v>
      </c>
      <c r="G118" s="142">
        <f>G110*Premissas!$F$19*(1+Premissas!$B$127)*(1+Premissas!$B$124)^0</f>
        <v>11473.59394281427</v>
      </c>
      <c r="H118" s="142">
        <f>H110*Premissas!$F$19*(1+Premissas!$B$127)*(1+Premissas!$B$124)^0</f>
        <v>11345.084716104038</v>
      </c>
      <c r="I118" s="142">
        <f>I110*Premissas!$F$19*(1+Premissas!$B$127)*(1+Premissas!$B$124)^0</f>
        <v>12537.940522099812</v>
      </c>
      <c r="J118" s="142">
        <f>J110*Premissas!$F$19*(1+Premissas!$B$127)*(1+Premissas!$B$124)^0</f>
        <v>12065.358204520253</v>
      </c>
      <c r="K118" s="142">
        <f>K110*Premissas!$F$19*(1+Premissas!$B$127)*(1+Premissas!$B$124)^0</f>
        <v>10667.353999917299</v>
      </c>
      <c r="L118" s="142">
        <f>L110*Premissas!$F$19*(1+Premissas!$B$127)*(1+Premissas!$B$124)^0</f>
        <v>11499.114424328294</v>
      </c>
      <c r="M118" s="142">
        <f>M110*Premissas!$F$19*(1+Premissas!$B$127)*(1+Premissas!$B$124)^0</f>
        <v>9018.7049849928171</v>
      </c>
      <c r="N118" s="142">
        <f>N110*Premissas!$F$19*(1+Premissas!$B$127)*(1+Premissas!$B$124)^0</f>
        <v>7679.1776603666749</v>
      </c>
      <c r="O118" s="142">
        <f>O110*Premissas!$F$19*(1+Premissas!$B$127)*(1+Premissas!$B$124)^0</f>
        <v>6792.1789957649071</v>
      </c>
      <c r="P118" s="142">
        <f>P110*Premissas!$F$19*(1+Premissas!$B$127)*(1+Premissas!$B$124)^1</f>
        <v>7299.9246505030551</v>
      </c>
      <c r="Q118" s="142">
        <f>Q110*Premissas!$F$19*(1+Premissas!$B$127)*(1+Premissas!$B$124)^1</f>
        <v>9839.0778337337179</v>
      </c>
      <c r="R118" s="142">
        <f>R110*Premissas!$F$19*(1+Premissas!$B$127)*(1+Premissas!$B$124)^1</f>
        <v>9631.8919420643415</v>
      </c>
      <c r="S118" s="142">
        <f>S110*Premissas!$F$19*(1+Premissas!$B$127)*(1+Premissas!$B$124)^1</f>
        <v>12466.059818867705</v>
      </c>
      <c r="T118" s="142">
        <f>T110*Premissas!$F$19*(1+Premissas!$B$127)*(1+Premissas!$B$124)^1</f>
        <v>12326.434544047039</v>
      </c>
      <c r="U118" s="142">
        <f>U110*Premissas!$F$19*(1+Premissas!$B$127)*(1+Premissas!$B$124)^1</f>
        <v>13622.472377261445</v>
      </c>
      <c r="V118" s="142">
        <f>V110*Premissas!$F$19*(1+Premissas!$B$127)*(1+Premissas!$B$124)^1</f>
        <v>13109.011689211255</v>
      </c>
      <c r="W118" s="142">
        <f>W110*Premissas!$F$19*(1+Premissas!$B$127)*(1+Premissas!$B$124)^1</f>
        <v>11307.395239912337</v>
      </c>
      <c r="X118" s="142">
        <f>X110*Premissas!$F$19*(1+Premissas!$B$127)*(1+Premissas!$B$124)^1</f>
        <v>12189.061289787993</v>
      </c>
      <c r="Y118" s="142">
        <f>Y110*Premissas!$F$19*(1+Premissas!$B$127)*(1+Premissas!$B$124)^1</f>
        <v>9559.8272840923873</v>
      </c>
      <c r="Z118" s="142">
        <f>Z110*Premissas!$F$19*(1+Premissas!$B$127)*(1+Premissas!$B$124)^1</f>
        <v>8139.9283199886759</v>
      </c>
      <c r="AA118" s="142">
        <f>AA110*Premissas!$F$19*(1+Premissas!$B$127)*(1+Premissas!$B$124)^1</f>
        <v>7199.7097355108017</v>
      </c>
      <c r="AB118" s="142">
        <f>AB110*Premissas!$F$19*(1+Premissas!$B$127)*(1+Premissas!$B$124)^2</f>
        <v>7822.484627632487</v>
      </c>
      <c r="AC118" s="142">
        <f>AC110*Premissas!$F$19*(1+Premissas!$B$127)*(1+Premissas!$B$124)^2</f>
        <v>7822.484627632487</v>
      </c>
      <c r="AD118" s="142">
        <f>AD110*Premissas!$F$19*(1+Premissas!$B$127)*(1+Premissas!$B$124)^2</f>
        <v>7822.484627632487</v>
      </c>
      <c r="AE118" s="142">
        <f>AE110*Premissas!$F$19*(1+Premissas!$B$127)*(1+Premissas!$B$124)^2</f>
        <v>7822.484627632487</v>
      </c>
      <c r="AF118" s="142">
        <f>AF110*Premissas!$F$19*(1+Premissas!$B$127)*(1+Premissas!$B$124)^2</f>
        <v>7822.484627632487</v>
      </c>
      <c r="AG118" s="142">
        <f>AG110*Premissas!$F$19*(1+Premissas!$B$127)*(1+Premissas!$B$124)^2</f>
        <v>7822.484627632487</v>
      </c>
      <c r="AH118" s="142">
        <f>AH110*Premissas!$F$19*(1+Premissas!$B$127)*(1+Premissas!$B$124)^2</f>
        <v>7822.484627632487</v>
      </c>
      <c r="AI118" s="142">
        <f>AI110*Premissas!$F$19*(1+Premissas!$B$127)*(1+Premissas!$B$124)^2</f>
        <v>7822.484627632487</v>
      </c>
      <c r="AJ118" s="142">
        <f>AJ110*Premissas!$F$19*(1+Premissas!$B$127)*(1+Premissas!$B$124)^2</f>
        <v>7822.484627632487</v>
      </c>
      <c r="AK118" s="142">
        <f>AK110*Premissas!$F$19*(1+Premissas!$B$127)*(1+Premissas!$B$124)^2</f>
        <v>7822.484627632487</v>
      </c>
      <c r="AL118" s="142">
        <f>AL110*Premissas!$F$19*(1+Premissas!$B$127)*(1+Premissas!$B$124)^2</f>
        <v>7822.484627632487</v>
      </c>
      <c r="AM118" s="142">
        <f>AM110*Premissas!$F$19*(1+Premissas!$B$127)*(1+Premissas!$B$124)^2</f>
        <v>7822.484627632487</v>
      </c>
      <c r="AN118" s="142">
        <f>AN110*Premissas!$F$19*(1+Premissas!$B$127)*(1+Premissas!$B$124)^3</f>
        <v>8499.1295479226992</v>
      </c>
      <c r="AO118" s="142">
        <f>AO110*Premissas!$F$19*(1+Premissas!$B$127)*(1+Premissas!$B$124)^3</f>
        <v>8499.1295479226992</v>
      </c>
      <c r="AP118" s="142">
        <f>AP110*Premissas!$F$19*(1+Premissas!$B$127)*(1+Premissas!$B$124)^3</f>
        <v>8499.1295479226992</v>
      </c>
      <c r="AQ118" s="142">
        <f>AQ110*Premissas!$F$19*(1+Premissas!$B$127)*(1+Premissas!$B$124)^3</f>
        <v>8499.1295479226992</v>
      </c>
      <c r="AR118" s="142">
        <f>AR110*Premissas!$F$19*(1+Premissas!$B$127)*(1+Premissas!$B$124)^3</f>
        <v>8499.1295479226992</v>
      </c>
      <c r="AS118" s="142">
        <f>AS110*Premissas!$F$19*(1+Premissas!$B$127)*(1+Premissas!$B$124)^3</f>
        <v>8499.1295479226992</v>
      </c>
      <c r="AT118" s="142">
        <f>AT110*Premissas!$F$19*(1+Premissas!$B$127)*(1+Premissas!$B$124)^3</f>
        <v>8499.1295479226992</v>
      </c>
      <c r="AU118" s="142">
        <f>AU110*Premissas!$F$19*(1+Premissas!$B$127)*(1+Premissas!$B$124)^3</f>
        <v>8499.1295479226992</v>
      </c>
      <c r="AV118" s="142">
        <f>AV110*Premissas!$F$19*(1+Premissas!$B$127)*(1+Premissas!$B$124)^3</f>
        <v>8499.1295479226992</v>
      </c>
      <c r="AW118" s="142">
        <f>AW110*Premissas!$F$19*(1+Premissas!$B$127)*(1+Premissas!$B$124)^3</f>
        <v>8499.1295479226992</v>
      </c>
      <c r="AX118" s="142">
        <f>AX110*Premissas!$F$19*(1+Premissas!$B$127)*(1+Premissas!$B$124)^3</f>
        <v>8499.1295479226992</v>
      </c>
      <c r="AY118" s="142">
        <f>AY110*Premissas!$F$19*(1+Premissas!$B$127)*(1+Premissas!$B$124)^3</f>
        <v>8499.1295479226992</v>
      </c>
      <c r="AZ118" s="142">
        <f>AZ110*Premissas!$F$19*(1+Premissas!$B$127)*(1+Premissas!$B$124)^4</f>
        <v>9234.3042538180107</v>
      </c>
      <c r="BA118" s="142">
        <f>BA110*Premissas!$F$19*(1+Premissas!$B$127)*(1+Premissas!$B$124)^4</f>
        <v>9234.3042538180107</v>
      </c>
      <c r="BB118" s="142">
        <f>BB110*Premissas!$F$19*(1+Premissas!$B$127)*(1+Premissas!$B$124)^4</f>
        <v>9234.3042538180107</v>
      </c>
      <c r="BC118" s="142">
        <f>BC110*Premissas!$F$19*(1+Premissas!$B$127)*(1+Premissas!$B$124)^4</f>
        <v>9234.3042538180107</v>
      </c>
      <c r="BD118" s="142">
        <f>BD110*Premissas!$F$19*(1+Premissas!$B$127)*(1+Premissas!$B$124)^4</f>
        <v>9234.3042538180107</v>
      </c>
      <c r="BE118" s="142">
        <f>BE110*Premissas!$F$19*(1+Premissas!$B$127)*(1+Premissas!$B$124)^4</f>
        <v>9234.3042538180107</v>
      </c>
      <c r="BF118" s="142">
        <f>BF110*Premissas!$F$19*(1+Premissas!$B$127)*(1+Premissas!$B$124)^4</f>
        <v>9234.3042538180107</v>
      </c>
      <c r="BG118" s="142">
        <f>BG110*Premissas!$F$19*(1+Premissas!$B$127)*(1+Premissas!$B$124)^4</f>
        <v>9234.3042538180107</v>
      </c>
      <c r="BH118" s="142">
        <f>BH110*Premissas!$F$19*(1+Premissas!$B$127)*(1+Premissas!$B$124)^4</f>
        <v>9234.3042538180107</v>
      </c>
      <c r="BI118" s="142">
        <f>BI110*Premissas!$F$19*(1+Premissas!$B$127)*(1+Premissas!$B$124)^4</f>
        <v>9234.3042538180107</v>
      </c>
      <c r="BJ118" s="142">
        <f>BJ110*Premissas!$F$19*(1+Premissas!$B$127)*(1+Premissas!$B$124)^4</f>
        <v>9234.3042538180107</v>
      </c>
      <c r="BK118" s="142">
        <f>BK110*Premissas!$F$19*(1+Premissas!$B$127)*(1+Premissas!$B$124)^4</f>
        <v>9234.3042538180107</v>
      </c>
    </row>
    <row r="119" spans="1:63" ht="12.75" customHeight="1" x14ac:dyDescent="0.2">
      <c r="A119" s="143" t="s">
        <v>415</v>
      </c>
      <c r="B119" s="144">
        <f>SUM(D119:BQ119)</f>
        <v>2478.6994375284526</v>
      </c>
      <c r="C119" s="124">
        <f>B119/60</f>
        <v>41.311657292140879</v>
      </c>
      <c r="D119" s="144">
        <f>IF(D114&gt;0,0,MAX(D110-D111-D112,0)*Premissas!$B$7*(1+Premissas!$B$127)*(1+Premissas!$B$124)^0)</f>
        <v>0</v>
      </c>
      <c r="E119" s="144">
        <f>IF(E114&gt;0,0,MAX(E110-E111-E112,0)*Premissas!$B$7*(1+Premissas!$B$127)*(1+Premissas!$B$124)^0)</f>
        <v>266.21619041283003</v>
      </c>
      <c r="F119" s="144">
        <f>IF(F114&gt;0,0,MAX(F110-F111-F112,0)*Premissas!$B$7*(1+Premissas!$B$127)*(1+Premissas!$B$124)^0)</f>
        <v>0</v>
      </c>
      <c r="G119" s="144">
        <f>IF(G114&gt;0,0,MAX(G110-G111-G112,0)*Premissas!$B$7*(1+Premissas!$B$127)*(1+Premissas!$B$124)^0)</f>
        <v>2212.4832471156224</v>
      </c>
      <c r="H119" s="144">
        <f>IF(H114&gt;0,0,MAX(H110-H111-H112,0)*Premissas!$B$7*(1+Premissas!$B$127)*(1+Premissas!$B$124)^0)</f>
        <v>0</v>
      </c>
      <c r="I119" s="144">
        <f>IF(I114&gt;0,0,MAX(I110-I111-I112,0)*Premissas!$B$7*(1+Premissas!$B$127)*(1+Premissas!$B$124)^0)</f>
        <v>0</v>
      </c>
      <c r="J119" s="144">
        <f>IF(J114&gt;0,0,MAX(J110-J111-J112,0)*Premissas!$B$7*(1+Premissas!$B$127)*(1+Premissas!$B$124)^0)</f>
        <v>0</v>
      </c>
      <c r="K119" s="144">
        <f>IF(K114&gt;0,0,MAX(K110-K111-K112,0)*Premissas!$B$7*(1+Premissas!$B$127)*(1+Premissas!$B$124)^0)</f>
        <v>0</v>
      </c>
      <c r="L119" s="144">
        <f>IF(L114&gt;0,0,MAX(L110-L111-L112,0)*Premissas!$B$7*(1+Premissas!$B$127)*(1+Premissas!$B$124)^0)</f>
        <v>0</v>
      </c>
      <c r="M119" s="144">
        <f>IF(M114&gt;0,0,MAX(M110-M111-M112,0)*Premissas!$B$7*(1+Premissas!$B$127)*(1+Premissas!$B$124)^0)</f>
        <v>0</v>
      </c>
      <c r="N119" s="144">
        <f>IF(N114&gt;0,0,MAX(N110-N111-N112,0)*Premissas!$B$7*(1+Premissas!$B$127)*(1+Premissas!$B$124)^0)</f>
        <v>0</v>
      </c>
      <c r="O119" s="144">
        <f>IF(O114&gt;0,0,MAX(O110-O111-O112,0)*Premissas!$B$7*(1+Premissas!$B$127)*(1+Premissas!$B$124)^0)</f>
        <v>0</v>
      </c>
      <c r="P119" s="144">
        <f>IF(P114&gt;0,0,MAX(P110-P111-P112,0)*Premissas!$B$7*(1+Premissas!$B$127)*(1+Premissas!$B$124)^1)</f>
        <v>0</v>
      </c>
      <c r="Q119" s="144">
        <f>IF(Q114&gt;0,0,MAX(Q110-Q111-Q112,0)*Premissas!$B$7*(1+Premissas!$B$127)*(1+Premissas!$B$124)^1)</f>
        <v>0</v>
      </c>
      <c r="R119" s="144">
        <f>IF(R114&gt;0,0,MAX(R110-R111-R112,0)*Premissas!$B$7*(1+Premissas!$B$127)*(1+Premissas!$B$124)^1)</f>
        <v>0</v>
      </c>
      <c r="S119" s="144">
        <f>IF(S114&gt;0,0,MAX(S110-S111-S112,0)*Premissas!$B$7*(1+Premissas!$B$127)*(1+Premissas!$B$124)^1)</f>
        <v>0</v>
      </c>
      <c r="T119" s="144">
        <f>IF(T114&gt;0,0,MAX(T110-T111-T112,0)*Premissas!$B$7*(1+Premissas!$B$127)*(1+Premissas!$B$124)^1)</f>
        <v>0</v>
      </c>
      <c r="U119" s="144">
        <f>IF(U114&gt;0,0,MAX(U110-U111-U112,0)*Premissas!$B$7*(1+Premissas!$B$127)*(1+Premissas!$B$124)^1)</f>
        <v>0</v>
      </c>
      <c r="V119" s="144">
        <f>IF(V114&gt;0,0,MAX(V110-V111-V112,0)*Premissas!$B$7*(1+Premissas!$B$127)*(1+Premissas!$B$124)^1)</f>
        <v>0</v>
      </c>
      <c r="W119" s="144">
        <f>IF(W114&gt;0,0,MAX(W110-W111-W112,0)*Premissas!$B$7*(1+Premissas!$B$127)*(1+Premissas!$B$124)^1)</f>
        <v>0</v>
      </c>
      <c r="X119" s="144">
        <f>IF(X114&gt;0,0,MAX(X110-X111-X112,0)*Premissas!$B$7*(1+Premissas!$B$127)*(1+Premissas!$B$124)^1)</f>
        <v>0</v>
      </c>
      <c r="Y119" s="144">
        <f>IF(Y114&gt;0,0,MAX(Y110-Y111-Y112,0)*Premissas!$B$7*(1+Premissas!$B$127)*(1+Premissas!$B$124)^1)</f>
        <v>0</v>
      </c>
      <c r="Z119" s="144">
        <f>IF(Z114&gt;0,0,MAX(Z110-Z111-Z112,0)*Premissas!$B$7*(1+Premissas!$B$127)*(1+Premissas!$B$124)^1)</f>
        <v>0</v>
      </c>
      <c r="AA119" s="144">
        <f>IF(AA114&gt;0,0,MAX(AA110-AA111-AA112,0)*Premissas!$B$7*(1+Premissas!$B$127)*(1+Premissas!$B$124)^1)</f>
        <v>0</v>
      </c>
      <c r="AB119" s="144">
        <f>IF(AB114&gt;0,0,MAX(AB110-AB111-AB112,0)*Premissas!$B$7*(1+Premissas!$B$127)*(1+Premissas!$B$124)^2)</f>
        <v>0</v>
      </c>
      <c r="AC119" s="144">
        <f>IF(AC114&gt;0,0,MAX(AC110-AC111-AC112,0)*Premissas!$B$7*(1+Premissas!$B$127)*(1+Premissas!$B$124)^2)</f>
        <v>0</v>
      </c>
      <c r="AD119" s="144">
        <f>IF(AD114&gt;0,0,MAX(AD110-AD111-AD112,0)*Premissas!$B$7*(1+Premissas!$B$127)*(1+Premissas!$B$124)^2)</f>
        <v>0</v>
      </c>
      <c r="AE119" s="144">
        <f>IF(AE114&gt;0,0,MAX(AE110-AE111-AE112,0)*Premissas!$B$7*(1+Premissas!$B$127)*(1+Premissas!$B$124)^2)</f>
        <v>0</v>
      </c>
      <c r="AF119" s="144">
        <f>IF(AF114&gt;0,0,MAX(AF110-AF111-AF112,0)*Premissas!$B$7*(1+Premissas!$B$127)*(1+Premissas!$B$124)^2)</f>
        <v>0</v>
      </c>
      <c r="AG119" s="144">
        <f>IF(AG114&gt;0,0,MAX(AG110-AG111-AG112,0)*Premissas!$B$7*(1+Premissas!$B$127)*(1+Premissas!$B$124)^2)</f>
        <v>0</v>
      </c>
      <c r="AH119" s="144">
        <f>IF(AH114&gt;0,0,MAX(AH110-AH111-AH112,0)*Premissas!$B$7*(1+Premissas!$B$127)*(1+Premissas!$B$124)^2)</f>
        <v>0</v>
      </c>
      <c r="AI119" s="144">
        <f>IF(AI114&gt;0,0,MAX(AI110-AI111-AI112,0)*Premissas!$B$7*(1+Premissas!$B$127)*(1+Premissas!$B$124)^2)</f>
        <v>0</v>
      </c>
      <c r="AJ119" s="144">
        <f>IF(AJ114&gt;0,0,MAX(AJ110-AJ111-AJ112,0)*Premissas!$B$7*(1+Premissas!$B$127)*(1+Premissas!$B$124)^2)</f>
        <v>0</v>
      </c>
      <c r="AK119" s="144">
        <f>IF(AK114&gt;0,0,MAX(AK110-AK111-AK112,0)*Premissas!$B$7*(1+Premissas!$B$127)*(1+Premissas!$B$124)^2)</f>
        <v>0</v>
      </c>
      <c r="AL119" s="144">
        <f>IF(AL114&gt;0,0,MAX(AL110-AL111-AL112,0)*Premissas!$B$7*(1+Premissas!$B$127)*(1+Premissas!$B$124)^2)</f>
        <v>0</v>
      </c>
      <c r="AM119" s="144">
        <f>IF(AM114&gt;0,0,MAX(AM110-AM111-AM112,0)*Premissas!$B$7*(1+Premissas!$B$127)*(1+Premissas!$B$124)^2)</f>
        <v>0</v>
      </c>
      <c r="AN119" s="144">
        <f>IF(AN114&gt;0,0,MAX(AN110-AN111-AN112,0)*Premissas!$B$7*(1+Premissas!$B$127)*(1+Premissas!$B$124)^3)</f>
        <v>0</v>
      </c>
      <c r="AO119" s="144">
        <f>IF(AO114&gt;0,0,MAX(AO110-AO111-AO112,0)*Premissas!$B$7*(1+Premissas!$B$127)*(1+Premissas!$B$124)^3)</f>
        <v>0</v>
      </c>
      <c r="AP119" s="144">
        <f>IF(AP114&gt;0,0,MAX(AP110-AP111-AP112,0)*Premissas!$B$7*(1+Premissas!$B$127)*(1+Premissas!$B$124)^3)</f>
        <v>0</v>
      </c>
      <c r="AQ119" s="144">
        <f>IF(AQ114&gt;0,0,MAX(AQ110-AQ111-AQ112,0)*Premissas!$B$7*(1+Premissas!$B$127)*(1+Premissas!$B$124)^3)</f>
        <v>0</v>
      </c>
      <c r="AR119" s="144">
        <f>IF(AR114&gt;0,0,MAX(AR110-AR111-AR112,0)*Premissas!$B$7*(1+Premissas!$B$127)*(1+Premissas!$B$124)^3)</f>
        <v>0</v>
      </c>
      <c r="AS119" s="144">
        <f>IF(AS114&gt;0,0,MAX(AS110-AS111-AS112,0)*Premissas!$B$7*(1+Premissas!$B$127)*(1+Premissas!$B$124)^3)</f>
        <v>0</v>
      </c>
      <c r="AT119" s="144">
        <f>IF(AT114&gt;0,0,MAX(AT110-AT111-AT112,0)*Premissas!$B$7*(1+Premissas!$B$127)*(1+Premissas!$B$124)^3)</f>
        <v>0</v>
      </c>
      <c r="AU119" s="144">
        <f>IF(AU114&gt;0,0,MAX(AU110-AU111-AU112,0)*Premissas!$B$7*(1+Premissas!$B$127)*(1+Premissas!$B$124)^3)</f>
        <v>0</v>
      </c>
      <c r="AV119" s="144">
        <f>IF(AV114&gt;0,0,MAX(AV110-AV111-AV112,0)*Premissas!$B$7*(1+Premissas!$B$127)*(1+Premissas!$B$124)^3)</f>
        <v>0</v>
      </c>
      <c r="AW119" s="144">
        <f>IF(AW114&gt;0,0,MAX(AW110-AW111-AW112,0)*Premissas!$B$7*(1+Premissas!$B$127)*(1+Premissas!$B$124)^3)</f>
        <v>0</v>
      </c>
      <c r="AX119" s="144">
        <f>IF(AX114&gt;0,0,MAX(AX110-AX111-AX112,0)*Premissas!$B$7*(1+Premissas!$B$127)*(1+Premissas!$B$124)^3)</f>
        <v>0</v>
      </c>
      <c r="AY119" s="144">
        <f>IF(AY114&gt;0,0,MAX(AY110-AY111-AY112,0)*Premissas!$B$7*(1+Premissas!$B$127)*(1+Premissas!$B$124)^3)</f>
        <v>0</v>
      </c>
      <c r="AZ119" s="144">
        <f>IF(AZ114&gt;0,0,MAX(AZ110-AZ111-AZ112,0)*Premissas!$B$7*(1+Premissas!$B$127)*(1+Premissas!$B$124)^4)</f>
        <v>0</v>
      </c>
      <c r="BA119" s="144">
        <f>IF(BA114&gt;0,0,MAX(BA110-BA111-BA112,0)*Premissas!$B$7*(1+Premissas!$B$127)*(1+Premissas!$B$124)^4)</f>
        <v>0</v>
      </c>
      <c r="BB119" s="144">
        <f>IF(BB114&gt;0,0,MAX(BB110-BB111-BB112,0)*Premissas!$B$7*(1+Premissas!$B$127)*(1+Premissas!$B$124)^4)</f>
        <v>0</v>
      </c>
      <c r="BC119" s="144">
        <f>IF(BC114&gt;0,0,MAX(BC110-BC111-BC112,0)*Premissas!$B$7*(1+Premissas!$B$127)*(1+Premissas!$B$124)^4)</f>
        <v>0</v>
      </c>
      <c r="BD119" s="144">
        <f>IF(BD114&gt;0,0,MAX(BD110-BD111-BD112,0)*Premissas!$B$7*(1+Premissas!$B$127)*(1+Premissas!$B$124)^4)</f>
        <v>0</v>
      </c>
      <c r="BE119" s="144">
        <f>IF(BE114&gt;0,0,MAX(BE110-BE111-BE112,0)*Premissas!$B$7*(1+Premissas!$B$127)*(1+Premissas!$B$124)^4)</f>
        <v>0</v>
      </c>
      <c r="BF119" s="144">
        <f>IF(BF114&gt;0,0,MAX(BF110-BF111-BF112,0)*Premissas!$B$7*(1+Premissas!$B$127)*(1+Premissas!$B$124)^4)</f>
        <v>0</v>
      </c>
      <c r="BG119" s="144">
        <f>IF(BG114&gt;0,0,MAX(BG110-BG111-BG112,0)*Premissas!$B$7*(1+Premissas!$B$127)*(1+Premissas!$B$124)^4)</f>
        <v>0</v>
      </c>
      <c r="BH119" s="144">
        <f>IF(BH114&gt;0,0,MAX(BH110-BH111-BH112,0)*Premissas!$B$7*(1+Premissas!$B$127)*(1+Premissas!$B$124)^4)</f>
        <v>0</v>
      </c>
      <c r="BI119" s="144">
        <f>IF(BI114&gt;0,0,MAX(BI110-BI111-BI112,0)*Premissas!$B$7*(1+Premissas!$B$127)*(1+Premissas!$B$124)^4)</f>
        <v>0</v>
      </c>
      <c r="BJ119" s="144">
        <f>IF(BJ114&gt;0,0,MAX(BJ110-BJ111-BJ112,0)*Premissas!$B$7*(1+Premissas!$B$127)*(1+Premissas!$B$124)^4)</f>
        <v>0</v>
      </c>
      <c r="BK119" s="144">
        <f>IF(BK114&gt;0,0,MAX(BK110-BK111-BK112,0)*Premissas!$B$7*(1+Premissas!$B$127)*(1+Premissas!$B$124)^4)</f>
        <v>0</v>
      </c>
    </row>
    <row r="120" spans="1:63" ht="13.5" customHeight="1" x14ac:dyDescent="0.2">
      <c r="A120" s="41" t="s">
        <v>416</v>
      </c>
      <c r="B120" s="44">
        <f>SUM(D120:BQ120)</f>
        <v>548601.1953830627</v>
      </c>
      <c r="C120" s="124">
        <f>B120/60</f>
        <v>9143.3532563843783</v>
      </c>
      <c r="D120" s="145">
        <f t="shared" ref="D120:AI120" si="108">MAX(D118-D119,0)</f>
        <v>6718.7525545357157</v>
      </c>
      <c r="E120" s="145">
        <f t="shared" si="108"/>
        <v>8789.5388337323311</v>
      </c>
      <c r="F120" s="145">
        <f t="shared" si="108"/>
        <v>8865.0639135428846</v>
      </c>
      <c r="G120" s="145">
        <f t="shared" si="108"/>
        <v>9261.1106956986478</v>
      </c>
      <c r="H120" s="145">
        <f t="shared" si="108"/>
        <v>11345.084716104038</v>
      </c>
      <c r="I120" s="145">
        <f t="shared" si="108"/>
        <v>12537.940522099812</v>
      </c>
      <c r="J120" s="145">
        <f t="shared" si="108"/>
        <v>12065.358204520253</v>
      </c>
      <c r="K120" s="145">
        <f t="shared" si="108"/>
        <v>10667.353999917299</v>
      </c>
      <c r="L120" s="145">
        <f t="shared" si="108"/>
        <v>11499.114424328294</v>
      </c>
      <c r="M120" s="145">
        <f t="shared" si="108"/>
        <v>9018.7049849928171</v>
      </c>
      <c r="N120" s="145">
        <f t="shared" si="108"/>
        <v>7679.1776603666749</v>
      </c>
      <c r="O120" s="145">
        <f t="shared" si="108"/>
        <v>6792.1789957649071</v>
      </c>
      <c r="P120" s="145">
        <f t="shared" si="108"/>
        <v>7299.9246505030551</v>
      </c>
      <c r="Q120" s="145">
        <f t="shared" si="108"/>
        <v>9839.0778337337179</v>
      </c>
      <c r="R120" s="145">
        <f t="shared" si="108"/>
        <v>9631.8919420643415</v>
      </c>
      <c r="S120" s="145">
        <f t="shared" si="108"/>
        <v>12466.059818867705</v>
      </c>
      <c r="T120" s="145">
        <f t="shared" si="108"/>
        <v>12326.434544047039</v>
      </c>
      <c r="U120" s="145">
        <f t="shared" si="108"/>
        <v>13622.472377261445</v>
      </c>
      <c r="V120" s="145">
        <f t="shared" si="108"/>
        <v>13109.011689211255</v>
      </c>
      <c r="W120" s="145">
        <f t="shared" si="108"/>
        <v>11307.395239912337</v>
      </c>
      <c r="X120" s="145">
        <f t="shared" si="108"/>
        <v>12189.061289787993</v>
      </c>
      <c r="Y120" s="145">
        <f t="shared" si="108"/>
        <v>9559.8272840923873</v>
      </c>
      <c r="Z120" s="145">
        <f t="shared" si="108"/>
        <v>8139.9283199886759</v>
      </c>
      <c r="AA120" s="145">
        <f t="shared" si="108"/>
        <v>7199.7097355108017</v>
      </c>
      <c r="AB120" s="145">
        <f t="shared" si="108"/>
        <v>7822.484627632487</v>
      </c>
      <c r="AC120" s="145">
        <f t="shared" si="108"/>
        <v>7822.484627632487</v>
      </c>
      <c r="AD120" s="145">
        <f t="shared" si="108"/>
        <v>7822.484627632487</v>
      </c>
      <c r="AE120" s="145">
        <f t="shared" si="108"/>
        <v>7822.484627632487</v>
      </c>
      <c r="AF120" s="145">
        <f t="shared" si="108"/>
        <v>7822.484627632487</v>
      </c>
      <c r="AG120" s="145">
        <f t="shared" si="108"/>
        <v>7822.484627632487</v>
      </c>
      <c r="AH120" s="145">
        <f t="shared" si="108"/>
        <v>7822.484627632487</v>
      </c>
      <c r="AI120" s="145">
        <f t="shared" si="108"/>
        <v>7822.484627632487</v>
      </c>
      <c r="AJ120" s="145">
        <f t="shared" ref="AJ120:BO120" si="109">MAX(AJ118-AJ119,0)</f>
        <v>7822.484627632487</v>
      </c>
      <c r="AK120" s="145">
        <f t="shared" si="109"/>
        <v>7822.484627632487</v>
      </c>
      <c r="AL120" s="145">
        <f t="shared" si="109"/>
        <v>7822.484627632487</v>
      </c>
      <c r="AM120" s="145">
        <f t="shared" si="109"/>
        <v>7822.484627632487</v>
      </c>
      <c r="AN120" s="145">
        <f t="shared" si="109"/>
        <v>8499.1295479226992</v>
      </c>
      <c r="AO120" s="145">
        <f t="shared" si="109"/>
        <v>8499.1295479226992</v>
      </c>
      <c r="AP120" s="145">
        <f t="shared" si="109"/>
        <v>8499.1295479226992</v>
      </c>
      <c r="AQ120" s="145">
        <f t="shared" si="109"/>
        <v>8499.1295479226992</v>
      </c>
      <c r="AR120" s="145">
        <f t="shared" si="109"/>
        <v>8499.1295479226992</v>
      </c>
      <c r="AS120" s="145">
        <f t="shared" si="109"/>
        <v>8499.1295479226992</v>
      </c>
      <c r="AT120" s="145">
        <f t="shared" si="109"/>
        <v>8499.1295479226992</v>
      </c>
      <c r="AU120" s="145">
        <f t="shared" si="109"/>
        <v>8499.1295479226992</v>
      </c>
      <c r="AV120" s="145">
        <f t="shared" si="109"/>
        <v>8499.1295479226992</v>
      </c>
      <c r="AW120" s="145">
        <f t="shared" si="109"/>
        <v>8499.1295479226992</v>
      </c>
      <c r="AX120" s="145">
        <f t="shared" si="109"/>
        <v>8499.1295479226992</v>
      </c>
      <c r="AY120" s="145">
        <f t="shared" si="109"/>
        <v>8499.1295479226992</v>
      </c>
      <c r="AZ120" s="145">
        <f t="shared" si="109"/>
        <v>9234.3042538180107</v>
      </c>
      <c r="BA120" s="145">
        <f t="shared" si="109"/>
        <v>9234.3042538180107</v>
      </c>
      <c r="BB120" s="145">
        <f t="shared" si="109"/>
        <v>9234.3042538180107</v>
      </c>
      <c r="BC120" s="145">
        <f t="shared" si="109"/>
        <v>9234.3042538180107</v>
      </c>
      <c r="BD120" s="145">
        <f t="shared" si="109"/>
        <v>9234.3042538180107</v>
      </c>
      <c r="BE120" s="145">
        <f t="shared" si="109"/>
        <v>9234.3042538180107</v>
      </c>
      <c r="BF120" s="145">
        <f t="shared" si="109"/>
        <v>9234.3042538180107</v>
      </c>
      <c r="BG120" s="145">
        <f t="shared" si="109"/>
        <v>9234.3042538180107</v>
      </c>
      <c r="BH120" s="145">
        <f t="shared" si="109"/>
        <v>9234.3042538180107</v>
      </c>
      <c r="BI120" s="145">
        <f t="shared" si="109"/>
        <v>9234.3042538180107</v>
      </c>
      <c r="BJ120" s="145">
        <f t="shared" si="109"/>
        <v>9234.3042538180107</v>
      </c>
      <c r="BK120" s="145">
        <f t="shared" si="109"/>
        <v>9234.3042538180107</v>
      </c>
    </row>
    <row r="122" spans="1:63" ht="15" customHeight="1" x14ac:dyDescent="0.2">
      <c r="A122" s="298" t="s">
        <v>426</v>
      </c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</row>
    <row r="123" spans="1:63" ht="12.75" customHeight="1" x14ac:dyDescent="0.2">
      <c r="A123" s="147" t="s">
        <v>403</v>
      </c>
      <c r="B123" s="148">
        <f>SUM(D123:BQ123)</f>
        <v>185135.29440937517</v>
      </c>
      <c r="C123" s="120">
        <f>B123/60</f>
        <v>3085.5882401562531</v>
      </c>
      <c r="D123" s="148">
        <v>2632</v>
      </c>
      <c r="E123" s="148">
        <v>2764</v>
      </c>
      <c r="F123" s="148">
        <v>3150</v>
      </c>
      <c r="G123" s="148">
        <v>3035</v>
      </c>
      <c r="H123" s="148">
        <v>3101</v>
      </c>
      <c r="I123" s="148">
        <v>3722</v>
      </c>
      <c r="J123" s="148">
        <v>3167</v>
      </c>
      <c r="K123" s="148">
        <f>4423*(1+Premissas!$B$21)</f>
        <v>4533.5749999999998</v>
      </c>
      <c r="L123" s="148">
        <f>4767*(1+Premissas!$B$21)</f>
        <v>4886.1749999999993</v>
      </c>
      <c r="M123" s="148">
        <f>3538*(1+Premissas!$B$21)</f>
        <v>3626.45</v>
      </c>
      <c r="N123" s="148">
        <f>3021*(1+Premissas!$B$21)</f>
        <v>3096.5249999999996</v>
      </c>
      <c r="O123" s="148">
        <f>2674*(1+Premissas!$B$21)</f>
        <v>2740.85</v>
      </c>
      <c r="P123" s="148">
        <f>2632*(1+Premissas!$B$21)</f>
        <v>2697.7999999999997</v>
      </c>
      <c r="Q123" s="148">
        <f>2764*(1+Premissas!$B$21)</f>
        <v>2833.1</v>
      </c>
      <c r="R123" s="148">
        <f>3150*(1+Premissas!$B$21)</f>
        <v>3228.7499999999995</v>
      </c>
      <c r="S123" s="148">
        <f>3035*(1+Premissas!$B$21)</f>
        <v>3110.8749999999995</v>
      </c>
      <c r="T123" s="148">
        <f>3101*(1+Premissas!$B$21)</f>
        <v>3178.5249999999996</v>
      </c>
      <c r="U123" s="148">
        <f>3722*(1+Premissas!$B$21)</f>
        <v>3815.0499999999997</v>
      </c>
      <c r="V123" s="148">
        <f>3167*(1+Premissas!$B$21)</f>
        <v>3246.1749999999997</v>
      </c>
      <c r="W123" s="148">
        <f>4423*(1+Premissas!$B$21)</f>
        <v>4533.5749999999998</v>
      </c>
      <c r="X123" s="148">
        <f>4767*(1+Premissas!$B$21)</f>
        <v>4886.1749999999993</v>
      </c>
      <c r="Y123" s="148">
        <f>3538*(1+Premissas!$B$21)</f>
        <v>3626.45</v>
      </c>
      <c r="Z123" s="148">
        <f>3021*(1+Premissas!$B$21)</f>
        <v>3096.5249999999996</v>
      </c>
      <c r="AA123" s="148">
        <f>2674*(1+Premissas!$B$21)</f>
        <v>2740.85</v>
      </c>
      <c r="AB123" s="148">
        <f>2674*(1+Premissas!$B$21)^2</f>
        <v>2809.3712499999997</v>
      </c>
      <c r="AC123" s="148">
        <f>2674*(1+Premissas!$B$21)^2</f>
        <v>2809.3712499999997</v>
      </c>
      <c r="AD123" s="148">
        <f>2674*(1+Premissas!$B$21)^2</f>
        <v>2809.3712499999997</v>
      </c>
      <c r="AE123" s="148">
        <f>2674*(1+Premissas!$B$21)^2</f>
        <v>2809.3712499999997</v>
      </c>
      <c r="AF123" s="148">
        <f>2674*(1+Premissas!$B$21)^2</f>
        <v>2809.3712499999997</v>
      </c>
      <c r="AG123" s="148">
        <f>2674*(1+Premissas!$B$21)^2</f>
        <v>2809.3712499999997</v>
      </c>
      <c r="AH123" s="148">
        <f>2674*(1+Premissas!$B$21)^2</f>
        <v>2809.3712499999997</v>
      </c>
      <c r="AI123" s="148">
        <f>2674*(1+Premissas!$B$21)^2</f>
        <v>2809.3712499999997</v>
      </c>
      <c r="AJ123" s="148">
        <f>2674*(1+Premissas!$B$21)^2</f>
        <v>2809.3712499999997</v>
      </c>
      <c r="AK123" s="148">
        <f>2674*(1+Premissas!$B$21)^2</f>
        <v>2809.3712499999997</v>
      </c>
      <c r="AL123" s="148">
        <f>2674*(1+Premissas!$B$21)^2</f>
        <v>2809.3712499999997</v>
      </c>
      <c r="AM123" s="148">
        <f>2674*(1+Premissas!$B$21)^2</f>
        <v>2809.3712499999997</v>
      </c>
      <c r="AN123" s="148">
        <f>2674*(1+Premissas!$B$21)^3</f>
        <v>2879.6055312499998</v>
      </c>
      <c r="AO123" s="148">
        <f>2674*(1+Premissas!$B$21)^3</f>
        <v>2879.6055312499998</v>
      </c>
      <c r="AP123" s="148">
        <f>2674*(1+Premissas!$B$21)^3</f>
        <v>2879.6055312499998</v>
      </c>
      <c r="AQ123" s="148">
        <f>2674*(1+Premissas!$B$21)^3</f>
        <v>2879.6055312499998</v>
      </c>
      <c r="AR123" s="148">
        <f>2674*(1+Premissas!$B$21)^3</f>
        <v>2879.6055312499998</v>
      </c>
      <c r="AS123" s="148">
        <f>2674*(1+Premissas!$B$21)^3</f>
        <v>2879.6055312499998</v>
      </c>
      <c r="AT123" s="148">
        <f>2674*(1+Premissas!$B$21)^3</f>
        <v>2879.6055312499998</v>
      </c>
      <c r="AU123" s="148">
        <f>2674*(1+Premissas!$B$21)^3</f>
        <v>2879.6055312499998</v>
      </c>
      <c r="AV123" s="148">
        <f>2674*(1+Premissas!$B$21)^3</f>
        <v>2879.6055312499998</v>
      </c>
      <c r="AW123" s="148">
        <f>2674*(1+Premissas!$B$21)^3</f>
        <v>2879.6055312499998</v>
      </c>
      <c r="AX123" s="148">
        <f>2674*(1+Premissas!$B$21)^3</f>
        <v>2879.6055312499998</v>
      </c>
      <c r="AY123" s="148">
        <f>2674*(1+Premissas!$B$21)^3</f>
        <v>2879.6055312499998</v>
      </c>
      <c r="AZ123" s="148">
        <f>2674*(1+Premissas!$B$21)^4</f>
        <v>2951.5956695312493</v>
      </c>
      <c r="BA123" s="148">
        <f>2674*(1+Premissas!$B$21)^4</f>
        <v>2951.5956695312493</v>
      </c>
      <c r="BB123" s="148">
        <f>2674*(1+Premissas!$B$21)^4</f>
        <v>2951.5956695312493</v>
      </c>
      <c r="BC123" s="148">
        <f>2674*(1+Premissas!$B$21)^4</f>
        <v>2951.5956695312493</v>
      </c>
      <c r="BD123" s="148">
        <f>2674*(1+Premissas!$B$21)^4</f>
        <v>2951.5956695312493</v>
      </c>
      <c r="BE123" s="148">
        <f>2674*(1+Premissas!$B$21)^4</f>
        <v>2951.5956695312493</v>
      </c>
      <c r="BF123" s="148">
        <f>2674*(1+Premissas!$B$21)^4</f>
        <v>2951.5956695312493</v>
      </c>
      <c r="BG123" s="148">
        <f>2674*(1+Premissas!$B$21)^4</f>
        <v>2951.5956695312493</v>
      </c>
      <c r="BH123" s="148">
        <f>2674*(1+Premissas!$B$21)^4</f>
        <v>2951.5956695312493</v>
      </c>
      <c r="BI123" s="148">
        <f>2674*(1+Premissas!$B$21)^4</f>
        <v>2951.5956695312493</v>
      </c>
      <c r="BJ123" s="148">
        <f>2674*(1+Premissas!$B$21)^4</f>
        <v>2951.5956695312493</v>
      </c>
      <c r="BK123" s="148">
        <f>2674*(1+Premissas!$B$21)^4</f>
        <v>2951.5956695312493</v>
      </c>
    </row>
    <row r="124" spans="1:63" ht="12.75" customHeight="1" x14ac:dyDescent="0.2">
      <c r="A124" s="122" t="str">
        <f>"  "&amp;INDEX(PVSYST_Helexia!$A$5:$A$7,MATCH(Premissas!$B$13,PVSYST_Helexia!$B$5:$B$7,0))&amp;" créditos recebidos (kWh)"</f>
        <v xml:space="preserve">  HCS03 créditos recebidos (kWh)</v>
      </c>
      <c r="B124" s="135">
        <f>SUM(D124:BQ124)</f>
        <v>185409.03223402239</v>
      </c>
      <c r="C124" s="120">
        <f>B124/60</f>
        <v>3090.1505372337065</v>
      </c>
      <c r="D124" s="136">
        <f>D6*Premissas!$B$41</f>
        <v>2640.9870000000001</v>
      </c>
      <c r="E124" s="136">
        <f>E6*Premissas!$B$41</f>
        <v>2779.8629999999998</v>
      </c>
      <c r="F124" s="136">
        <f>F6*Premissas!$B$41</f>
        <v>3337.0709999999999</v>
      </c>
      <c r="G124" s="136">
        <f>G6*Premissas!$B$41</f>
        <v>3131.3130000000001</v>
      </c>
      <c r="H124" s="136">
        <f>H6*Premissas!$C$41</f>
        <v>5408.6639999999998</v>
      </c>
      <c r="I124" s="136">
        <f>I6*Premissas!$C$41</f>
        <v>5229.6639999999998</v>
      </c>
      <c r="J124" s="136">
        <f>J6*Premissas!$C$41</f>
        <v>4965.8180000000002</v>
      </c>
      <c r="K124" s="136">
        <f>K6*Premissas!$C$41</f>
        <v>5098.7899399999997</v>
      </c>
      <c r="L124" s="136">
        <f>L6*Premissas!$C$41</f>
        <v>4543.4585499999994</v>
      </c>
      <c r="M124" s="136">
        <f>M6*Premissas!$C$41</f>
        <v>5211.3522999999996</v>
      </c>
      <c r="N124" s="136">
        <f>N6*Premissas!$D$41</f>
        <v>3776.5025999999998</v>
      </c>
      <c r="O124" s="136">
        <f>O6*Premissas!$D$41</f>
        <v>3534.3593999999998</v>
      </c>
      <c r="P124" s="136">
        <f>P6*Premissas!$D$41</f>
        <v>3207.6212999999998</v>
      </c>
      <c r="Q124" s="136">
        <f>Q6*Premissas!$D$41</f>
        <v>3376.2936999999993</v>
      </c>
      <c r="R124" s="136">
        <f>R6*Premissas!$D$41</f>
        <v>4053.0528999999997</v>
      </c>
      <c r="S124" s="136">
        <f>S6*Premissas!$D$41</f>
        <v>3803.1487000000002</v>
      </c>
      <c r="T124" s="136">
        <f>T6*Premissas!$E$41</f>
        <v>6599.2499400000006</v>
      </c>
      <c r="U124" s="136">
        <f>U6*Premissas!$E$41</f>
        <v>6380.8474400000005</v>
      </c>
      <c r="V124" s="136">
        <f>V6*Premissas!$E$41</f>
        <v>6058.9221550000011</v>
      </c>
      <c r="W124" s="136">
        <f>W6*Premissas!$E$41</f>
        <v>6252.42677</v>
      </c>
      <c r="X124" s="136">
        <f>X6*Premissas!$E$41</f>
        <v>5571.4477750000005</v>
      </c>
      <c r="Y124" s="136">
        <f>Y6*Premissas!$E$41</f>
        <v>6390.4571500000002</v>
      </c>
      <c r="Z124" s="136">
        <f>Z6*Premissas!$E$41</f>
        <v>6376.4793900000004</v>
      </c>
      <c r="AA124" s="136">
        <f>AA6*Premissas!$E$41</f>
        <v>5967.6299099999997</v>
      </c>
      <c r="AB124" s="136">
        <f>AB6*Premissas!$F$41</f>
        <v>1362.560517225</v>
      </c>
      <c r="AC124" s="136">
        <f>AC6*Premissas!$F$41</f>
        <v>1434.210606525</v>
      </c>
      <c r="AD124" s="136">
        <f>AD6*Premissas!$F$41</f>
        <v>1721.6901059250004</v>
      </c>
      <c r="AE124" s="136">
        <f>AE6*Premissas!$F$41</f>
        <v>1615.5336852749999</v>
      </c>
      <c r="AF124" s="136">
        <f>AF6*Premissas!$F$41</f>
        <v>1660.2600447000002</v>
      </c>
      <c r="AG124" s="136">
        <f>AG6*Premissas!$F$41</f>
        <v>1605.3136572000003</v>
      </c>
      <c r="AH124" s="136">
        <f>AH6*Premissas!$G$41</f>
        <v>1661.6490497750001</v>
      </c>
      <c r="AI124" s="136">
        <f>AI6*Premissas!$G$41</f>
        <v>1714.7173598500001</v>
      </c>
      <c r="AJ124" s="136">
        <f>AJ6*Premissas!$G$41</f>
        <v>1527.9600338749999</v>
      </c>
      <c r="AK124" s="136">
        <f>AK6*Premissas!$G$41</f>
        <v>1752.5719557499999</v>
      </c>
      <c r="AL124" s="136">
        <f>AL6*Premissas!$G$41</f>
        <v>1748.7385789500001</v>
      </c>
      <c r="AM124" s="136">
        <f>AM6*Premissas!$G$41</f>
        <v>1636.6123075500002</v>
      </c>
      <c r="AN124" s="136">
        <f>AN6*Premissas!$H$41</f>
        <v>1380.1756013891249</v>
      </c>
      <c r="AO124" s="136">
        <f>AO6*Premissas!$H$41</f>
        <v>1452.7519778796247</v>
      </c>
      <c r="AP124" s="136">
        <f>AP6*Premissas!$H$41</f>
        <v>1743.9479915286249</v>
      </c>
      <c r="AQ124" s="136">
        <f>AQ6*Premissas!$H$41</f>
        <v>1636.419188323375</v>
      </c>
      <c r="AR124" s="136">
        <f>AR6*Premissas!$H$41</f>
        <v>1681.7237668994999</v>
      </c>
      <c r="AS124" s="136">
        <f>AS6*Premissas!$H$41</f>
        <v>1626.067036462</v>
      </c>
      <c r="AT124" s="136">
        <f>AT6*Premissas!$I$41</f>
        <v>1680.6687517083751</v>
      </c>
      <c r="AU124" s="136">
        <f>AU6*Premissas!$I$41</f>
        <v>1734.3444965722499</v>
      </c>
      <c r="AV124" s="136">
        <f>AV6*Premissas!$I$41</f>
        <v>1545.4494937668751</v>
      </c>
      <c r="AW124" s="136">
        <f>AW6*Premissas!$I$41</f>
        <v>1772.6323868137501</v>
      </c>
      <c r="AX124" s="136">
        <f>AX6*Premissas!$I$41</f>
        <v>1768.7551321057501</v>
      </c>
      <c r="AY124" s="136">
        <f>AY6*Premissas!$I$41</f>
        <v>1655.3454318967499</v>
      </c>
      <c r="AZ124" s="136">
        <f>AZ6*Premissas!$J$41</f>
        <v>2199.6701321431374</v>
      </c>
      <c r="BA124" s="136">
        <f>BA6*Premissas!$J$41</f>
        <v>2315.3395350108945</v>
      </c>
      <c r="BB124" s="136">
        <f>BB6*Premissas!$J$41</f>
        <v>2779.4364029588301</v>
      </c>
      <c r="BC124" s="136">
        <f>BC6*Premissas!$J$41</f>
        <v>2608.0611833725511</v>
      </c>
      <c r="BD124" s="136">
        <f>BD6*Premissas!$J$41</f>
        <v>2680.2658566350929</v>
      </c>
      <c r="BE124" s="136">
        <f>BE6*Premissas!$J$41</f>
        <v>2591.5623268285303</v>
      </c>
      <c r="BF124" s="136">
        <f>BF6*Premissas!$K$41</f>
        <v>2882.278589311908</v>
      </c>
      <c r="BG124" s="136">
        <f>BG6*Premissas!$K$41</f>
        <v>2974.3303098126048</v>
      </c>
      <c r="BH124" s="136">
        <f>BH6*Premissas!$K$41</f>
        <v>2650.3830586600375</v>
      </c>
      <c r="BI124" s="136">
        <f>BI6*Premissas!$K$41</f>
        <v>3039.9924851584751</v>
      </c>
      <c r="BJ124" s="136">
        <f>BJ6*Premissas!$K$41</f>
        <v>3033.3431509462353</v>
      </c>
      <c r="BK124" s="136">
        <f>BK6*Premissas!$K$41</f>
        <v>2838.8501252382152</v>
      </c>
    </row>
    <row r="125" spans="1:63" ht="12.75" customHeight="1" x14ac:dyDescent="0.2">
      <c r="A125" s="126" t="s">
        <v>409</v>
      </c>
      <c r="B125" s="120">
        <f>AA125</f>
        <v>29020.215010000007</v>
      </c>
      <c r="C125" s="120" t="s">
        <v>397</v>
      </c>
      <c r="D125" s="120">
        <f>0</f>
        <v>0</v>
      </c>
      <c r="E125" s="120">
        <f t="shared" ref="E125:AJ125" si="110">D127</f>
        <v>8.98700000000008</v>
      </c>
      <c r="F125" s="120">
        <f t="shared" si="110"/>
        <v>24.849999999999909</v>
      </c>
      <c r="G125" s="120">
        <f t="shared" si="110"/>
        <v>211.92099999999982</v>
      </c>
      <c r="H125" s="120">
        <f t="shared" si="110"/>
        <v>308.23399999999992</v>
      </c>
      <c r="I125" s="120">
        <f t="shared" si="110"/>
        <v>2615.8979999999997</v>
      </c>
      <c r="J125" s="120">
        <f t="shared" si="110"/>
        <v>4123.5619999999999</v>
      </c>
      <c r="K125" s="120">
        <f t="shared" si="110"/>
        <v>5922.38</v>
      </c>
      <c r="L125" s="120">
        <f t="shared" si="110"/>
        <v>6487.59494</v>
      </c>
      <c r="M125" s="120">
        <f t="shared" si="110"/>
        <v>6144.8784900000001</v>
      </c>
      <c r="N125" s="120">
        <f t="shared" si="110"/>
        <v>7729.7807899999998</v>
      </c>
      <c r="O125" s="120">
        <f t="shared" si="110"/>
        <v>8409.7583899999991</v>
      </c>
      <c r="P125" s="120">
        <f t="shared" si="110"/>
        <v>9203.2677899999981</v>
      </c>
      <c r="Q125" s="120">
        <f t="shared" si="110"/>
        <v>9713.0890899999977</v>
      </c>
      <c r="R125" s="120">
        <f t="shared" si="110"/>
        <v>10256.282789999997</v>
      </c>
      <c r="S125" s="120">
        <f t="shared" si="110"/>
        <v>11080.585689999998</v>
      </c>
      <c r="T125" s="120">
        <f t="shared" si="110"/>
        <v>11772.859389999998</v>
      </c>
      <c r="U125" s="120">
        <f t="shared" si="110"/>
        <v>15193.584329999998</v>
      </c>
      <c r="V125" s="120">
        <f t="shared" si="110"/>
        <v>17759.38177</v>
      </c>
      <c r="W125" s="120">
        <f t="shared" si="110"/>
        <v>20572.128925000001</v>
      </c>
      <c r="X125" s="120">
        <f t="shared" si="110"/>
        <v>22290.980695000002</v>
      </c>
      <c r="Y125" s="120">
        <f t="shared" si="110"/>
        <v>22976.253470000003</v>
      </c>
      <c r="Z125" s="120">
        <f t="shared" si="110"/>
        <v>25740.260620000005</v>
      </c>
      <c r="AA125" s="120">
        <f t="shared" si="110"/>
        <v>29020.215010000007</v>
      </c>
      <c r="AB125" s="120">
        <f t="shared" si="110"/>
        <v>32246.994920000008</v>
      </c>
      <c r="AC125" s="120">
        <f t="shared" si="110"/>
        <v>30800.184187225008</v>
      </c>
      <c r="AD125" s="120">
        <f t="shared" si="110"/>
        <v>29425.023543750009</v>
      </c>
      <c r="AE125" s="120">
        <f t="shared" si="110"/>
        <v>28337.34239967501</v>
      </c>
      <c r="AF125" s="120">
        <f t="shared" si="110"/>
        <v>27143.50483495001</v>
      </c>
      <c r="AG125" s="120">
        <f t="shared" si="110"/>
        <v>25994.393629650011</v>
      </c>
      <c r="AH125" s="120">
        <f t="shared" si="110"/>
        <v>24790.336036850011</v>
      </c>
      <c r="AI125" s="120">
        <f t="shared" si="110"/>
        <v>23642.613836625012</v>
      </c>
      <c r="AJ125" s="120">
        <f t="shared" si="110"/>
        <v>22547.959946475014</v>
      </c>
      <c r="AK125" s="120">
        <f t="shared" ref="AK125:BK125" si="111">AJ127</f>
        <v>21266.548730350012</v>
      </c>
      <c r="AL125" s="120">
        <f t="shared" si="111"/>
        <v>20209.749436100014</v>
      </c>
      <c r="AM125" s="120">
        <f t="shared" si="111"/>
        <v>19149.116765050014</v>
      </c>
      <c r="AN125" s="120">
        <f t="shared" si="111"/>
        <v>17976.357822600014</v>
      </c>
      <c r="AO125" s="120">
        <f t="shared" si="111"/>
        <v>16476.927892739139</v>
      </c>
      <c r="AP125" s="120">
        <f t="shared" si="111"/>
        <v>15050.074339368764</v>
      </c>
      <c r="AQ125" s="120">
        <f t="shared" si="111"/>
        <v>13914.41679964739</v>
      </c>
      <c r="AR125" s="120">
        <f t="shared" si="111"/>
        <v>12671.230456720765</v>
      </c>
      <c r="AS125" s="120">
        <f t="shared" si="111"/>
        <v>11473.348692370266</v>
      </c>
      <c r="AT125" s="120">
        <f t="shared" si="111"/>
        <v>10219.810197582266</v>
      </c>
      <c r="AU125" s="120">
        <f t="shared" si="111"/>
        <v>9020.8734180406427</v>
      </c>
      <c r="AV125" s="120">
        <f t="shared" si="111"/>
        <v>7875.6123833628926</v>
      </c>
      <c r="AW125" s="120">
        <f t="shared" si="111"/>
        <v>6541.4563458797675</v>
      </c>
      <c r="AX125" s="120">
        <f t="shared" si="111"/>
        <v>5434.4832014435178</v>
      </c>
      <c r="AY125" s="120">
        <f t="shared" si="111"/>
        <v>4323.6328022992684</v>
      </c>
      <c r="AZ125" s="120">
        <f t="shared" si="111"/>
        <v>3099.3727029460188</v>
      </c>
      <c r="BA125" s="120">
        <f t="shared" si="111"/>
        <v>2347.4471655579068</v>
      </c>
      <c r="BB125" s="120">
        <f t="shared" si="111"/>
        <v>1711.191031037552</v>
      </c>
      <c r="BC125" s="120">
        <f t="shared" si="111"/>
        <v>1539.0317644651327</v>
      </c>
      <c r="BD125" s="120">
        <f t="shared" si="111"/>
        <v>1195.4972783064345</v>
      </c>
      <c r="BE125" s="120">
        <f t="shared" si="111"/>
        <v>924.16746541027806</v>
      </c>
      <c r="BF125" s="120">
        <f t="shared" si="111"/>
        <v>564.13412270755907</v>
      </c>
      <c r="BG125" s="120">
        <f t="shared" si="111"/>
        <v>494.81704248821779</v>
      </c>
      <c r="BH125" s="120">
        <f t="shared" si="111"/>
        <v>517.55168276957329</v>
      </c>
      <c r="BI125" s="120">
        <f t="shared" si="111"/>
        <v>216.33907189836145</v>
      </c>
      <c r="BJ125" s="120">
        <f t="shared" si="111"/>
        <v>304.73588752558726</v>
      </c>
      <c r="BK125" s="120">
        <f t="shared" si="111"/>
        <v>386.4833689405732</v>
      </c>
    </row>
    <row r="126" spans="1:63" ht="12.75" customHeight="1" x14ac:dyDescent="0.2">
      <c r="A126" s="126" t="s">
        <v>410</v>
      </c>
      <c r="B126" s="120">
        <f>SUM(D126:BQ126)</f>
        <v>32508.852482676044</v>
      </c>
      <c r="C126" s="120">
        <f>B126/60</f>
        <v>541.81420804460072</v>
      </c>
      <c r="D126" s="120">
        <f t="shared" ref="D126:AI126" si="112">MIN(D125,MAX(D123-D124,0))</f>
        <v>0</v>
      </c>
      <c r="E126" s="120">
        <f t="shared" si="112"/>
        <v>0</v>
      </c>
      <c r="F126" s="120">
        <f t="shared" si="112"/>
        <v>0</v>
      </c>
      <c r="G126" s="120">
        <f t="shared" si="112"/>
        <v>0</v>
      </c>
      <c r="H126" s="120">
        <f t="shared" si="112"/>
        <v>0</v>
      </c>
      <c r="I126" s="120">
        <f t="shared" si="112"/>
        <v>0</v>
      </c>
      <c r="J126" s="120">
        <f t="shared" si="112"/>
        <v>0</v>
      </c>
      <c r="K126" s="120">
        <f t="shared" si="112"/>
        <v>0</v>
      </c>
      <c r="L126" s="120">
        <f t="shared" si="112"/>
        <v>342.7164499999999</v>
      </c>
      <c r="M126" s="120">
        <f t="shared" si="112"/>
        <v>0</v>
      </c>
      <c r="N126" s="120">
        <f t="shared" si="112"/>
        <v>0</v>
      </c>
      <c r="O126" s="120">
        <f t="shared" si="112"/>
        <v>0</v>
      </c>
      <c r="P126" s="120">
        <f t="shared" si="112"/>
        <v>0</v>
      </c>
      <c r="Q126" s="120">
        <f t="shared" si="112"/>
        <v>0</v>
      </c>
      <c r="R126" s="120">
        <f t="shared" si="112"/>
        <v>0</v>
      </c>
      <c r="S126" s="120">
        <f t="shared" si="112"/>
        <v>0</v>
      </c>
      <c r="T126" s="120">
        <f t="shared" si="112"/>
        <v>0</v>
      </c>
      <c r="U126" s="120">
        <f t="shared" si="112"/>
        <v>0</v>
      </c>
      <c r="V126" s="120">
        <f t="shared" si="112"/>
        <v>0</v>
      </c>
      <c r="W126" s="120">
        <f t="shared" si="112"/>
        <v>0</v>
      </c>
      <c r="X126" s="120">
        <f t="shared" si="112"/>
        <v>0</v>
      </c>
      <c r="Y126" s="120">
        <f t="shared" si="112"/>
        <v>0</v>
      </c>
      <c r="Z126" s="120">
        <f t="shared" si="112"/>
        <v>0</v>
      </c>
      <c r="AA126" s="120">
        <f t="shared" si="112"/>
        <v>0</v>
      </c>
      <c r="AB126" s="120">
        <f t="shared" si="112"/>
        <v>1446.8107327749997</v>
      </c>
      <c r="AC126" s="120">
        <f t="shared" si="112"/>
        <v>1375.1606434749997</v>
      </c>
      <c r="AD126" s="120">
        <f t="shared" si="112"/>
        <v>1087.6811440749993</v>
      </c>
      <c r="AE126" s="120">
        <f t="shared" si="112"/>
        <v>1193.8375647249998</v>
      </c>
      <c r="AF126" s="120">
        <f t="shared" si="112"/>
        <v>1149.1112052999995</v>
      </c>
      <c r="AG126" s="120">
        <f t="shared" si="112"/>
        <v>1204.0575927999994</v>
      </c>
      <c r="AH126" s="120">
        <f t="shared" si="112"/>
        <v>1147.7222002249996</v>
      </c>
      <c r="AI126" s="120">
        <f t="shared" si="112"/>
        <v>1094.6538901499996</v>
      </c>
      <c r="AJ126" s="120">
        <f t="shared" ref="AJ126:BO126" si="113">MIN(AJ125,MAX(AJ123-AJ124,0))</f>
        <v>1281.4112161249998</v>
      </c>
      <c r="AK126" s="120">
        <f t="shared" si="113"/>
        <v>1056.7992942499998</v>
      </c>
      <c r="AL126" s="120">
        <f t="shared" si="113"/>
        <v>1060.6326710499995</v>
      </c>
      <c r="AM126" s="120">
        <f t="shared" si="113"/>
        <v>1172.7589424499995</v>
      </c>
      <c r="AN126" s="120">
        <f t="shared" si="113"/>
        <v>1499.4299298608748</v>
      </c>
      <c r="AO126" s="120">
        <f t="shared" si="113"/>
        <v>1426.853553370375</v>
      </c>
      <c r="AP126" s="120">
        <f t="shared" si="113"/>
        <v>1135.6575397213749</v>
      </c>
      <c r="AQ126" s="120">
        <f t="shared" si="113"/>
        <v>1243.1863429266248</v>
      </c>
      <c r="AR126" s="120">
        <f t="shared" si="113"/>
        <v>1197.8817643504999</v>
      </c>
      <c r="AS126" s="120">
        <f t="shared" si="113"/>
        <v>1253.5384947879998</v>
      </c>
      <c r="AT126" s="120">
        <f t="shared" si="113"/>
        <v>1198.9367795416247</v>
      </c>
      <c r="AU126" s="120">
        <f t="shared" si="113"/>
        <v>1145.2610346777499</v>
      </c>
      <c r="AV126" s="120">
        <f t="shared" si="113"/>
        <v>1334.1560374831247</v>
      </c>
      <c r="AW126" s="120">
        <f t="shared" si="113"/>
        <v>1106.9731444362496</v>
      </c>
      <c r="AX126" s="120">
        <f t="shared" si="113"/>
        <v>1110.8503991442496</v>
      </c>
      <c r="AY126" s="120">
        <f t="shared" si="113"/>
        <v>1224.2600993532499</v>
      </c>
      <c r="AZ126" s="120">
        <f t="shared" si="113"/>
        <v>751.92553738811193</v>
      </c>
      <c r="BA126" s="120">
        <f t="shared" si="113"/>
        <v>636.25613452035486</v>
      </c>
      <c r="BB126" s="120">
        <f t="shared" si="113"/>
        <v>172.15926657241926</v>
      </c>
      <c r="BC126" s="120">
        <f t="shared" si="113"/>
        <v>343.5344861586982</v>
      </c>
      <c r="BD126" s="120">
        <f t="shared" si="113"/>
        <v>271.32981289615645</v>
      </c>
      <c r="BE126" s="120">
        <f t="shared" si="113"/>
        <v>360.03334270271898</v>
      </c>
      <c r="BF126" s="120">
        <f t="shared" si="113"/>
        <v>69.317080219341278</v>
      </c>
      <c r="BG126" s="120">
        <f t="shared" si="113"/>
        <v>0</v>
      </c>
      <c r="BH126" s="120">
        <f t="shared" si="113"/>
        <v>301.21261087121184</v>
      </c>
      <c r="BI126" s="120">
        <f t="shared" si="113"/>
        <v>0</v>
      </c>
      <c r="BJ126" s="120">
        <f t="shared" si="113"/>
        <v>0</v>
      </c>
      <c r="BK126" s="120">
        <f t="shared" si="113"/>
        <v>112.74554429303407</v>
      </c>
    </row>
    <row r="127" spans="1:63" ht="13.5" customHeight="1" x14ac:dyDescent="0.2">
      <c r="A127" s="41" t="s">
        <v>411</v>
      </c>
      <c r="B127" s="43">
        <f>AA127</f>
        <v>32246.994920000008</v>
      </c>
      <c r="C127" s="120" t="s">
        <v>397</v>
      </c>
      <c r="D127" s="137">
        <f t="shared" ref="D127:AI127" si="114">MAX(D125-D126,0)+MAX(D124-D123,0)</f>
        <v>8.98700000000008</v>
      </c>
      <c r="E127" s="137">
        <f t="shared" si="114"/>
        <v>24.849999999999909</v>
      </c>
      <c r="F127" s="137">
        <f t="shared" si="114"/>
        <v>211.92099999999982</v>
      </c>
      <c r="G127" s="137">
        <f t="shared" si="114"/>
        <v>308.23399999999992</v>
      </c>
      <c r="H127" s="137">
        <f t="shared" si="114"/>
        <v>2615.8979999999997</v>
      </c>
      <c r="I127" s="137">
        <f t="shared" si="114"/>
        <v>4123.5619999999999</v>
      </c>
      <c r="J127" s="137">
        <f t="shared" si="114"/>
        <v>5922.38</v>
      </c>
      <c r="K127" s="137">
        <f t="shared" si="114"/>
        <v>6487.59494</v>
      </c>
      <c r="L127" s="137">
        <f t="shared" si="114"/>
        <v>6144.8784900000001</v>
      </c>
      <c r="M127" s="137">
        <f t="shared" si="114"/>
        <v>7729.7807899999998</v>
      </c>
      <c r="N127" s="137">
        <f t="shared" si="114"/>
        <v>8409.7583899999991</v>
      </c>
      <c r="O127" s="137">
        <f t="shared" si="114"/>
        <v>9203.2677899999981</v>
      </c>
      <c r="P127" s="137">
        <f t="shared" si="114"/>
        <v>9713.0890899999977</v>
      </c>
      <c r="Q127" s="137">
        <f t="shared" si="114"/>
        <v>10256.282789999997</v>
      </c>
      <c r="R127" s="137">
        <f t="shared" si="114"/>
        <v>11080.585689999998</v>
      </c>
      <c r="S127" s="137">
        <f t="shared" si="114"/>
        <v>11772.859389999998</v>
      </c>
      <c r="T127" s="137">
        <f t="shared" si="114"/>
        <v>15193.584329999998</v>
      </c>
      <c r="U127" s="137">
        <f t="shared" si="114"/>
        <v>17759.38177</v>
      </c>
      <c r="V127" s="137">
        <f t="shared" si="114"/>
        <v>20572.128925000001</v>
      </c>
      <c r="W127" s="137">
        <f t="shared" si="114"/>
        <v>22290.980695000002</v>
      </c>
      <c r="X127" s="137">
        <f t="shared" si="114"/>
        <v>22976.253470000003</v>
      </c>
      <c r="Y127" s="137">
        <f t="shared" si="114"/>
        <v>25740.260620000005</v>
      </c>
      <c r="Z127" s="137">
        <f t="shared" si="114"/>
        <v>29020.215010000007</v>
      </c>
      <c r="AA127" s="137">
        <f t="shared" si="114"/>
        <v>32246.994920000008</v>
      </c>
      <c r="AB127" s="137">
        <f t="shared" si="114"/>
        <v>30800.184187225008</v>
      </c>
      <c r="AC127" s="137">
        <f t="shared" si="114"/>
        <v>29425.023543750009</v>
      </c>
      <c r="AD127" s="137">
        <f t="shared" si="114"/>
        <v>28337.34239967501</v>
      </c>
      <c r="AE127" s="137">
        <f t="shared" si="114"/>
        <v>27143.50483495001</v>
      </c>
      <c r="AF127" s="137">
        <f t="shared" si="114"/>
        <v>25994.393629650011</v>
      </c>
      <c r="AG127" s="137">
        <f t="shared" si="114"/>
        <v>24790.336036850011</v>
      </c>
      <c r="AH127" s="137">
        <f t="shared" si="114"/>
        <v>23642.613836625012</v>
      </c>
      <c r="AI127" s="137">
        <f t="shared" si="114"/>
        <v>22547.959946475014</v>
      </c>
      <c r="AJ127" s="137">
        <f t="shared" ref="AJ127:BO127" si="115">MAX(AJ125-AJ126,0)+MAX(AJ124-AJ123,0)</f>
        <v>21266.548730350012</v>
      </c>
      <c r="AK127" s="137">
        <f t="shared" si="115"/>
        <v>20209.749436100014</v>
      </c>
      <c r="AL127" s="137">
        <f t="shared" si="115"/>
        <v>19149.116765050014</v>
      </c>
      <c r="AM127" s="137">
        <f t="shared" si="115"/>
        <v>17976.357822600014</v>
      </c>
      <c r="AN127" s="137">
        <f t="shared" si="115"/>
        <v>16476.927892739139</v>
      </c>
      <c r="AO127" s="137">
        <f t="shared" si="115"/>
        <v>15050.074339368764</v>
      </c>
      <c r="AP127" s="137">
        <f t="shared" si="115"/>
        <v>13914.41679964739</v>
      </c>
      <c r="AQ127" s="137">
        <f t="shared" si="115"/>
        <v>12671.230456720765</v>
      </c>
      <c r="AR127" s="137">
        <f t="shared" si="115"/>
        <v>11473.348692370266</v>
      </c>
      <c r="AS127" s="137">
        <f t="shared" si="115"/>
        <v>10219.810197582266</v>
      </c>
      <c r="AT127" s="137">
        <f t="shared" si="115"/>
        <v>9020.8734180406427</v>
      </c>
      <c r="AU127" s="137">
        <f t="shared" si="115"/>
        <v>7875.6123833628926</v>
      </c>
      <c r="AV127" s="137">
        <f t="shared" si="115"/>
        <v>6541.4563458797675</v>
      </c>
      <c r="AW127" s="137">
        <f t="shared" si="115"/>
        <v>5434.4832014435178</v>
      </c>
      <c r="AX127" s="137">
        <f t="shared" si="115"/>
        <v>4323.6328022992684</v>
      </c>
      <c r="AY127" s="137">
        <f t="shared" si="115"/>
        <v>3099.3727029460188</v>
      </c>
      <c r="AZ127" s="137">
        <f t="shared" si="115"/>
        <v>2347.4471655579068</v>
      </c>
      <c r="BA127" s="137">
        <f t="shared" si="115"/>
        <v>1711.191031037552</v>
      </c>
      <c r="BB127" s="137">
        <f t="shared" si="115"/>
        <v>1539.0317644651327</v>
      </c>
      <c r="BC127" s="137">
        <f t="shared" si="115"/>
        <v>1195.4972783064345</v>
      </c>
      <c r="BD127" s="137">
        <f t="shared" si="115"/>
        <v>924.16746541027806</v>
      </c>
      <c r="BE127" s="137">
        <f t="shared" si="115"/>
        <v>564.13412270755907</v>
      </c>
      <c r="BF127" s="137">
        <f t="shared" si="115"/>
        <v>494.81704248821779</v>
      </c>
      <c r="BG127" s="137">
        <f t="shared" si="115"/>
        <v>517.55168276957329</v>
      </c>
      <c r="BH127" s="137">
        <f t="shared" si="115"/>
        <v>216.33907189836145</v>
      </c>
      <c r="BI127" s="137">
        <f t="shared" si="115"/>
        <v>304.73588752558726</v>
      </c>
      <c r="BJ127" s="137">
        <f t="shared" si="115"/>
        <v>386.4833689405732</v>
      </c>
      <c r="BK127" s="137">
        <f t="shared" si="115"/>
        <v>273.73782464753913</v>
      </c>
    </row>
    <row r="128" spans="1:63" ht="12.75" customHeight="1" x14ac:dyDescent="0.2">
      <c r="A128" s="127" t="s">
        <v>412</v>
      </c>
      <c r="B128" s="128">
        <f>AA128</f>
        <v>0</v>
      </c>
      <c r="C128" s="120" t="s">
        <v>397</v>
      </c>
      <c r="D128" s="128">
        <f>0</f>
        <v>0</v>
      </c>
      <c r="E128" s="128">
        <f t="shared" ref="E128:AJ128" si="116">D130</f>
        <v>0</v>
      </c>
      <c r="F128" s="128">
        <f t="shared" si="116"/>
        <v>0</v>
      </c>
      <c r="G128" s="128">
        <f t="shared" si="116"/>
        <v>0</v>
      </c>
      <c r="H128" s="128">
        <f t="shared" si="116"/>
        <v>0</v>
      </c>
      <c r="I128" s="128">
        <f t="shared" si="116"/>
        <v>0</v>
      </c>
      <c r="J128" s="128">
        <f t="shared" si="116"/>
        <v>0</v>
      </c>
      <c r="K128" s="128">
        <f t="shared" si="116"/>
        <v>0</v>
      </c>
      <c r="L128" s="128">
        <f t="shared" si="116"/>
        <v>0</v>
      </c>
      <c r="M128" s="128">
        <f t="shared" si="116"/>
        <v>0</v>
      </c>
      <c r="N128" s="128">
        <f t="shared" si="116"/>
        <v>0</v>
      </c>
      <c r="O128" s="128">
        <f t="shared" si="116"/>
        <v>0</v>
      </c>
      <c r="P128" s="128">
        <f t="shared" si="116"/>
        <v>0</v>
      </c>
      <c r="Q128" s="128">
        <f t="shared" si="116"/>
        <v>0</v>
      </c>
      <c r="R128" s="128">
        <f t="shared" si="116"/>
        <v>0</v>
      </c>
      <c r="S128" s="128">
        <f t="shared" si="116"/>
        <v>0</v>
      </c>
      <c r="T128" s="128">
        <f t="shared" si="116"/>
        <v>0</v>
      </c>
      <c r="U128" s="128">
        <f t="shared" si="116"/>
        <v>0</v>
      </c>
      <c r="V128" s="128">
        <f t="shared" si="116"/>
        <v>0</v>
      </c>
      <c r="W128" s="128">
        <f t="shared" si="116"/>
        <v>0</v>
      </c>
      <c r="X128" s="128">
        <f t="shared" si="116"/>
        <v>0</v>
      </c>
      <c r="Y128" s="128">
        <f t="shared" si="116"/>
        <v>0</v>
      </c>
      <c r="Z128" s="128">
        <f t="shared" si="116"/>
        <v>0</v>
      </c>
      <c r="AA128" s="128">
        <f t="shared" si="116"/>
        <v>0</v>
      </c>
      <c r="AB128" s="128">
        <f t="shared" si="116"/>
        <v>0</v>
      </c>
      <c r="AC128" s="128">
        <f t="shared" si="116"/>
        <v>0</v>
      </c>
      <c r="AD128" s="128">
        <f t="shared" si="116"/>
        <v>0</v>
      </c>
      <c r="AE128" s="128">
        <f t="shared" si="116"/>
        <v>0</v>
      </c>
      <c r="AF128" s="128">
        <f t="shared" si="116"/>
        <v>0</v>
      </c>
      <c r="AG128" s="128">
        <f t="shared" si="116"/>
        <v>0</v>
      </c>
      <c r="AH128" s="128">
        <f t="shared" si="116"/>
        <v>0</v>
      </c>
      <c r="AI128" s="128">
        <f t="shared" si="116"/>
        <v>0</v>
      </c>
      <c r="AJ128" s="128">
        <f t="shared" si="116"/>
        <v>0</v>
      </c>
      <c r="AK128" s="128">
        <f t="shared" ref="AK128:BK128" si="117">AJ130</f>
        <v>0</v>
      </c>
      <c r="AL128" s="128">
        <f t="shared" si="117"/>
        <v>0</v>
      </c>
      <c r="AM128" s="128">
        <f t="shared" si="117"/>
        <v>0</v>
      </c>
      <c r="AN128" s="128">
        <f t="shared" si="117"/>
        <v>0</v>
      </c>
      <c r="AO128" s="128">
        <f t="shared" si="117"/>
        <v>0</v>
      </c>
      <c r="AP128" s="128">
        <f t="shared" si="117"/>
        <v>0</v>
      </c>
      <c r="AQ128" s="128">
        <f t="shared" si="117"/>
        <v>0</v>
      </c>
      <c r="AR128" s="128">
        <f t="shared" si="117"/>
        <v>0</v>
      </c>
      <c r="AS128" s="128">
        <f t="shared" si="117"/>
        <v>0</v>
      </c>
      <c r="AT128" s="128">
        <f t="shared" si="117"/>
        <v>0</v>
      </c>
      <c r="AU128" s="128">
        <f t="shared" si="117"/>
        <v>0</v>
      </c>
      <c r="AV128" s="128">
        <f t="shared" si="117"/>
        <v>0</v>
      </c>
      <c r="AW128" s="128">
        <f t="shared" si="117"/>
        <v>0</v>
      </c>
      <c r="AX128" s="128">
        <f t="shared" si="117"/>
        <v>0</v>
      </c>
      <c r="AY128" s="128">
        <f t="shared" si="117"/>
        <v>0</v>
      </c>
      <c r="AZ128" s="128">
        <f t="shared" si="117"/>
        <v>0</v>
      </c>
      <c r="BA128" s="128">
        <f t="shared" si="117"/>
        <v>0</v>
      </c>
      <c r="BB128" s="128">
        <f t="shared" si="117"/>
        <v>0</v>
      </c>
      <c r="BC128" s="128">
        <f t="shared" si="117"/>
        <v>0</v>
      </c>
      <c r="BD128" s="128">
        <f t="shared" si="117"/>
        <v>0</v>
      </c>
      <c r="BE128" s="128">
        <f t="shared" si="117"/>
        <v>0</v>
      </c>
      <c r="BF128" s="128">
        <f t="shared" si="117"/>
        <v>0</v>
      </c>
      <c r="BG128" s="128">
        <f t="shared" si="117"/>
        <v>0</v>
      </c>
      <c r="BH128" s="128">
        <f t="shared" si="117"/>
        <v>0</v>
      </c>
      <c r="BI128" s="128">
        <f t="shared" si="117"/>
        <v>0</v>
      </c>
      <c r="BJ128" s="128">
        <f t="shared" si="117"/>
        <v>0</v>
      </c>
      <c r="BK128" s="128">
        <f t="shared" si="117"/>
        <v>0</v>
      </c>
    </row>
    <row r="129" spans="1:63" ht="12.75" customHeight="1" x14ac:dyDescent="0.2">
      <c r="A129" s="127" t="s">
        <v>420</v>
      </c>
      <c r="B129" s="128">
        <f>SUM(D129:BQ129)</f>
        <v>0</v>
      </c>
      <c r="C129" s="120">
        <f>B129/60</f>
        <v>0</v>
      </c>
      <c r="D129" s="128">
        <f t="shared" ref="D129:AI129" si="118">MIN(D128,D123)</f>
        <v>0</v>
      </c>
      <c r="E129" s="128">
        <f t="shared" si="118"/>
        <v>0</v>
      </c>
      <c r="F129" s="128">
        <f t="shared" si="118"/>
        <v>0</v>
      </c>
      <c r="G129" s="128">
        <f t="shared" si="118"/>
        <v>0</v>
      </c>
      <c r="H129" s="128">
        <f t="shared" si="118"/>
        <v>0</v>
      </c>
      <c r="I129" s="128">
        <f t="shared" si="118"/>
        <v>0</v>
      </c>
      <c r="J129" s="128">
        <f t="shared" si="118"/>
        <v>0</v>
      </c>
      <c r="K129" s="128">
        <f t="shared" si="118"/>
        <v>0</v>
      </c>
      <c r="L129" s="128">
        <f t="shared" si="118"/>
        <v>0</v>
      </c>
      <c r="M129" s="128">
        <f t="shared" si="118"/>
        <v>0</v>
      </c>
      <c r="N129" s="128">
        <f t="shared" si="118"/>
        <v>0</v>
      </c>
      <c r="O129" s="128">
        <f t="shared" si="118"/>
        <v>0</v>
      </c>
      <c r="P129" s="128">
        <f t="shared" si="118"/>
        <v>0</v>
      </c>
      <c r="Q129" s="128">
        <f t="shared" si="118"/>
        <v>0</v>
      </c>
      <c r="R129" s="128">
        <f t="shared" si="118"/>
        <v>0</v>
      </c>
      <c r="S129" s="128">
        <f t="shared" si="118"/>
        <v>0</v>
      </c>
      <c r="T129" s="128">
        <f t="shared" si="118"/>
        <v>0</v>
      </c>
      <c r="U129" s="128">
        <f t="shared" si="118"/>
        <v>0</v>
      </c>
      <c r="V129" s="128">
        <f t="shared" si="118"/>
        <v>0</v>
      </c>
      <c r="W129" s="128">
        <f t="shared" si="118"/>
        <v>0</v>
      </c>
      <c r="X129" s="128">
        <f t="shared" si="118"/>
        <v>0</v>
      </c>
      <c r="Y129" s="128">
        <f t="shared" si="118"/>
        <v>0</v>
      </c>
      <c r="Z129" s="128">
        <f t="shared" si="118"/>
        <v>0</v>
      </c>
      <c r="AA129" s="128">
        <f t="shared" si="118"/>
        <v>0</v>
      </c>
      <c r="AB129" s="128">
        <f t="shared" si="118"/>
        <v>0</v>
      </c>
      <c r="AC129" s="128">
        <f t="shared" si="118"/>
        <v>0</v>
      </c>
      <c r="AD129" s="128">
        <f t="shared" si="118"/>
        <v>0</v>
      </c>
      <c r="AE129" s="128">
        <f t="shared" si="118"/>
        <v>0</v>
      </c>
      <c r="AF129" s="128">
        <f t="shared" si="118"/>
        <v>0</v>
      </c>
      <c r="AG129" s="128">
        <f t="shared" si="118"/>
        <v>0</v>
      </c>
      <c r="AH129" s="128">
        <f t="shared" si="118"/>
        <v>0</v>
      </c>
      <c r="AI129" s="128">
        <f t="shared" si="118"/>
        <v>0</v>
      </c>
      <c r="AJ129" s="128">
        <f t="shared" ref="AJ129:BO129" si="119">MIN(AJ128,AJ123)</f>
        <v>0</v>
      </c>
      <c r="AK129" s="128">
        <f t="shared" si="119"/>
        <v>0</v>
      </c>
      <c r="AL129" s="128">
        <f t="shared" si="119"/>
        <v>0</v>
      </c>
      <c r="AM129" s="128">
        <f t="shared" si="119"/>
        <v>0</v>
      </c>
      <c r="AN129" s="128">
        <f t="shared" si="119"/>
        <v>0</v>
      </c>
      <c r="AO129" s="128">
        <f t="shared" si="119"/>
        <v>0</v>
      </c>
      <c r="AP129" s="128">
        <f t="shared" si="119"/>
        <v>0</v>
      </c>
      <c r="AQ129" s="128">
        <f t="shared" si="119"/>
        <v>0</v>
      </c>
      <c r="AR129" s="128">
        <f t="shared" si="119"/>
        <v>0</v>
      </c>
      <c r="AS129" s="128">
        <f t="shared" si="119"/>
        <v>0</v>
      </c>
      <c r="AT129" s="128">
        <f t="shared" si="119"/>
        <v>0</v>
      </c>
      <c r="AU129" s="128">
        <f t="shared" si="119"/>
        <v>0</v>
      </c>
      <c r="AV129" s="128">
        <f t="shared" si="119"/>
        <v>0</v>
      </c>
      <c r="AW129" s="128">
        <f t="shared" si="119"/>
        <v>0</v>
      </c>
      <c r="AX129" s="128">
        <f t="shared" si="119"/>
        <v>0</v>
      </c>
      <c r="AY129" s="128">
        <f t="shared" si="119"/>
        <v>0</v>
      </c>
      <c r="AZ129" s="128">
        <f t="shared" si="119"/>
        <v>0</v>
      </c>
      <c r="BA129" s="128">
        <f t="shared" si="119"/>
        <v>0</v>
      </c>
      <c r="BB129" s="128">
        <f t="shared" si="119"/>
        <v>0</v>
      </c>
      <c r="BC129" s="128">
        <f t="shared" si="119"/>
        <v>0</v>
      </c>
      <c r="BD129" s="128">
        <f t="shared" si="119"/>
        <v>0</v>
      </c>
      <c r="BE129" s="128">
        <f t="shared" si="119"/>
        <v>0</v>
      </c>
      <c r="BF129" s="128">
        <f t="shared" si="119"/>
        <v>0</v>
      </c>
      <c r="BG129" s="128">
        <f t="shared" si="119"/>
        <v>0</v>
      </c>
      <c r="BH129" s="128">
        <f t="shared" si="119"/>
        <v>0</v>
      </c>
      <c r="BI129" s="128">
        <f t="shared" si="119"/>
        <v>0</v>
      </c>
      <c r="BJ129" s="128">
        <f t="shared" si="119"/>
        <v>0</v>
      </c>
      <c r="BK129" s="128">
        <f t="shared" si="119"/>
        <v>0</v>
      </c>
    </row>
    <row r="130" spans="1:63" ht="12.75" customHeight="1" x14ac:dyDescent="0.2">
      <c r="A130" s="127" t="s">
        <v>421</v>
      </c>
      <c r="B130" s="128">
        <f>AA130</f>
        <v>0</v>
      </c>
      <c r="C130" s="120" t="s">
        <v>397</v>
      </c>
      <c r="D130" s="149">
        <f t="shared" ref="D130:AI130" si="120">MAX(D128-D129,0)</f>
        <v>0</v>
      </c>
      <c r="E130" s="149">
        <f t="shared" si="120"/>
        <v>0</v>
      </c>
      <c r="F130" s="149">
        <f t="shared" si="120"/>
        <v>0</v>
      </c>
      <c r="G130" s="149">
        <f t="shared" si="120"/>
        <v>0</v>
      </c>
      <c r="H130" s="149">
        <f t="shared" si="120"/>
        <v>0</v>
      </c>
      <c r="I130" s="149">
        <f t="shared" si="120"/>
        <v>0</v>
      </c>
      <c r="J130" s="149">
        <f t="shared" si="120"/>
        <v>0</v>
      </c>
      <c r="K130" s="149">
        <f t="shared" si="120"/>
        <v>0</v>
      </c>
      <c r="L130" s="149">
        <f t="shared" si="120"/>
        <v>0</v>
      </c>
      <c r="M130" s="149">
        <f t="shared" si="120"/>
        <v>0</v>
      </c>
      <c r="N130" s="149">
        <f t="shared" si="120"/>
        <v>0</v>
      </c>
      <c r="O130" s="149">
        <f t="shared" si="120"/>
        <v>0</v>
      </c>
      <c r="P130" s="149">
        <f t="shared" si="120"/>
        <v>0</v>
      </c>
      <c r="Q130" s="149">
        <f t="shared" si="120"/>
        <v>0</v>
      </c>
      <c r="R130" s="149">
        <f t="shared" si="120"/>
        <v>0</v>
      </c>
      <c r="S130" s="149">
        <f t="shared" si="120"/>
        <v>0</v>
      </c>
      <c r="T130" s="149">
        <f t="shared" si="120"/>
        <v>0</v>
      </c>
      <c r="U130" s="149">
        <f t="shared" si="120"/>
        <v>0</v>
      </c>
      <c r="V130" s="149">
        <f t="shared" si="120"/>
        <v>0</v>
      </c>
      <c r="W130" s="149">
        <f t="shared" si="120"/>
        <v>0</v>
      </c>
      <c r="X130" s="149">
        <f t="shared" si="120"/>
        <v>0</v>
      </c>
      <c r="Y130" s="149">
        <f t="shared" si="120"/>
        <v>0</v>
      </c>
      <c r="Z130" s="149">
        <f t="shared" si="120"/>
        <v>0</v>
      </c>
      <c r="AA130" s="149">
        <f t="shared" si="120"/>
        <v>0</v>
      </c>
      <c r="AB130" s="149">
        <f t="shared" si="120"/>
        <v>0</v>
      </c>
      <c r="AC130" s="149">
        <f t="shared" si="120"/>
        <v>0</v>
      </c>
      <c r="AD130" s="149">
        <f t="shared" si="120"/>
        <v>0</v>
      </c>
      <c r="AE130" s="149">
        <f t="shared" si="120"/>
        <v>0</v>
      </c>
      <c r="AF130" s="149">
        <f t="shared" si="120"/>
        <v>0</v>
      </c>
      <c r="AG130" s="149">
        <f t="shared" si="120"/>
        <v>0</v>
      </c>
      <c r="AH130" s="149">
        <f t="shared" si="120"/>
        <v>0</v>
      </c>
      <c r="AI130" s="149">
        <f t="shared" si="120"/>
        <v>0</v>
      </c>
      <c r="AJ130" s="149">
        <f t="shared" ref="AJ130:BO130" si="121">MAX(AJ128-AJ129,0)</f>
        <v>0</v>
      </c>
      <c r="AK130" s="149">
        <f t="shared" si="121"/>
        <v>0</v>
      </c>
      <c r="AL130" s="149">
        <f t="shared" si="121"/>
        <v>0</v>
      </c>
      <c r="AM130" s="149">
        <f t="shared" si="121"/>
        <v>0</v>
      </c>
      <c r="AN130" s="149">
        <f t="shared" si="121"/>
        <v>0</v>
      </c>
      <c r="AO130" s="149">
        <f t="shared" si="121"/>
        <v>0</v>
      </c>
      <c r="AP130" s="149">
        <f t="shared" si="121"/>
        <v>0</v>
      </c>
      <c r="AQ130" s="149">
        <f t="shared" si="121"/>
        <v>0</v>
      </c>
      <c r="AR130" s="149">
        <f t="shared" si="121"/>
        <v>0</v>
      </c>
      <c r="AS130" s="149">
        <f t="shared" si="121"/>
        <v>0</v>
      </c>
      <c r="AT130" s="149">
        <f t="shared" si="121"/>
        <v>0</v>
      </c>
      <c r="AU130" s="149">
        <f t="shared" si="121"/>
        <v>0</v>
      </c>
      <c r="AV130" s="149">
        <f t="shared" si="121"/>
        <v>0</v>
      </c>
      <c r="AW130" s="149">
        <f t="shared" si="121"/>
        <v>0</v>
      </c>
      <c r="AX130" s="149">
        <f t="shared" si="121"/>
        <v>0</v>
      </c>
      <c r="AY130" s="149">
        <f t="shared" si="121"/>
        <v>0</v>
      </c>
      <c r="AZ130" s="149">
        <f t="shared" si="121"/>
        <v>0</v>
      </c>
      <c r="BA130" s="149">
        <f t="shared" si="121"/>
        <v>0</v>
      </c>
      <c r="BB130" s="149">
        <f t="shared" si="121"/>
        <v>0</v>
      </c>
      <c r="BC130" s="149">
        <f t="shared" si="121"/>
        <v>0</v>
      </c>
      <c r="BD130" s="149">
        <f t="shared" si="121"/>
        <v>0</v>
      </c>
      <c r="BE130" s="149">
        <f t="shared" si="121"/>
        <v>0</v>
      </c>
      <c r="BF130" s="149">
        <f t="shared" si="121"/>
        <v>0</v>
      </c>
      <c r="BG130" s="149">
        <f t="shared" si="121"/>
        <v>0</v>
      </c>
      <c r="BH130" s="149">
        <f t="shared" si="121"/>
        <v>0</v>
      </c>
      <c r="BI130" s="149">
        <f t="shared" si="121"/>
        <v>0</v>
      </c>
      <c r="BJ130" s="149">
        <f t="shared" si="121"/>
        <v>0</v>
      </c>
      <c r="BK130" s="149">
        <f t="shared" si="121"/>
        <v>0</v>
      </c>
    </row>
    <row r="131" spans="1:63" ht="12.75" customHeight="1" x14ac:dyDescent="0.2">
      <c r="A131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31" s="142">
        <f>SUM(D131:BQ131)</f>
        <v>215210.57147545886</v>
      </c>
      <c r="C131" s="124">
        <f>B131/60</f>
        <v>3586.8428579243141</v>
      </c>
      <c r="D131" s="142">
        <f>D123*Premissas!$F$19*(1+Premissas!$B$127)*(1+Premissas!$B$124)^0</f>
        <v>2727.7119733978102</v>
      </c>
      <c r="E131" s="142">
        <f>E123*Premissas!$F$19*(1+Premissas!$B$127)*(1+Premissas!$B$124)^0</f>
        <v>2864.5121179603143</v>
      </c>
      <c r="F131" s="142">
        <f>F123*Premissas!$F$19*(1+Premissas!$B$127)*(1+Premissas!$B$124)^0</f>
        <v>3264.5489043324856</v>
      </c>
      <c r="G131" s="142">
        <f>G123*Premissas!$F$19*(1+Premissas!$B$127)*(1+Premissas!$B$124)^0</f>
        <v>3145.3669602060618</v>
      </c>
      <c r="H131" s="142">
        <f>H123*Premissas!$F$19*(1+Premissas!$B$127)*(1+Premissas!$B$124)^0</f>
        <v>3213.7670324873138</v>
      </c>
      <c r="I131" s="142">
        <f>I123*Premissas!$F$19*(1+Premissas!$B$127)*(1+Premissas!$B$124)^0</f>
        <v>3857.3495307700036</v>
      </c>
      <c r="J131" s="142">
        <f>J123*Premissas!$F$19*(1+Premissas!$B$127)*(1+Premissas!$B$124)^0</f>
        <v>3282.1671047685659</v>
      </c>
      <c r="K131" s="142">
        <f>K123*Premissas!$F$19*(1+Premissas!$B$127)*(1+Premissas!$B$124)^0</f>
        <v>4698.4372377648087</v>
      </c>
      <c r="L131" s="142">
        <f>L123*Premissas!$F$19*(1+Premissas!$B$127)*(1+Premissas!$B$124)^0</f>
        <v>5063.8594421037405</v>
      </c>
      <c r="M131" s="142">
        <f>M123*Premissas!$F$19*(1+Premissas!$B$127)*(1+Premissas!$B$124)^0</f>
        <v>3758.3248806719184</v>
      </c>
      <c r="N131" s="142">
        <f>N123*Premissas!$F$19*(1+Premissas!$B$127)*(1+Premissas!$B$124)^0</f>
        <v>3209.129300313698</v>
      </c>
      <c r="O131" s="142">
        <f>O123*Premissas!$F$19*(1+Premissas!$B$127)*(1+Premissas!$B$124)^0</f>
        <v>2840.5202744252992</v>
      </c>
      <c r="P131" s="142">
        <f>P123*Premissas!$F$19*(1+Premissas!$B$127)*(1+Premissas!$B$124)^1</f>
        <v>2963.6590590967207</v>
      </c>
      <c r="Q131" s="142">
        <f>Q123*Premissas!$F$19*(1+Premissas!$B$127)*(1+Premissas!$B$124)^1</f>
        <v>3112.2924161638816</v>
      </c>
      <c r="R131" s="142">
        <f>R123*Premissas!$F$19*(1+Premissas!$B$127)*(1+Premissas!$B$124)^1</f>
        <v>3546.9323845572453</v>
      </c>
      <c r="S131" s="142">
        <f>S123*Premissas!$F$19*(1+Premissas!$B$127)*(1+Premissas!$B$124)^1</f>
        <v>3417.4412022638858</v>
      </c>
      <c r="T131" s="142">
        <f>T123*Premissas!$F$19*(1+Premissas!$B$127)*(1+Premissas!$B$124)^1</f>
        <v>3491.757880797466</v>
      </c>
      <c r="U131" s="142">
        <f>U123*Premissas!$F$19*(1+Premissas!$B$127)*(1+Premissas!$B$124)^1</f>
        <v>4191.0102651816087</v>
      </c>
      <c r="V131" s="142">
        <f>V123*Premissas!$F$19*(1+Premissas!$B$127)*(1+Premissas!$B$124)^1</f>
        <v>3566.0745593310467</v>
      </c>
      <c r="W131" s="142">
        <f>W123*Premissas!$F$19*(1+Premissas!$B$127)*(1+Premissas!$B$124)^1</f>
        <v>4980.3434720306977</v>
      </c>
      <c r="X131" s="142">
        <f>X123*Premissas!$F$19*(1+Premissas!$B$127)*(1+Premissas!$B$124)^1</f>
        <v>5367.6910086299649</v>
      </c>
      <c r="Y131" s="142">
        <f>Y123*Premissas!$F$19*(1+Premissas!$B$127)*(1+Premissas!$B$124)^1</f>
        <v>3983.8243735122337</v>
      </c>
      <c r="Z131" s="142">
        <f>Z123*Premissas!$F$19*(1+Premissas!$B$127)*(1+Premissas!$B$124)^1</f>
        <v>3401.6770583325201</v>
      </c>
      <c r="AA131" s="142">
        <f>AA123*Premissas!$F$19*(1+Premissas!$B$127)*(1+Premissas!$B$124)^1</f>
        <v>3010.9514908908172</v>
      </c>
      <c r="AB131" s="142">
        <f>AB123*Premissas!$F$19*(1+Premissas!$B$127)*(1+Premissas!$B$124)^2</f>
        <v>3271.3987948528729</v>
      </c>
      <c r="AC131" s="142">
        <f>AC123*Premissas!$F$19*(1+Premissas!$B$127)*(1+Premissas!$B$124)^2</f>
        <v>3271.3987948528729</v>
      </c>
      <c r="AD131" s="142">
        <f>AD123*Premissas!$F$19*(1+Premissas!$B$127)*(1+Premissas!$B$124)^2</f>
        <v>3271.3987948528729</v>
      </c>
      <c r="AE131" s="142">
        <f>AE123*Premissas!$F$19*(1+Premissas!$B$127)*(1+Premissas!$B$124)^2</f>
        <v>3271.3987948528729</v>
      </c>
      <c r="AF131" s="142">
        <f>AF123*Premissas!$F$19*(1+Premissas!$B$127)*(1+Premissas!$B$124)^2</f>
        <v>3271.3987948528729</v>
      </c>
      <c r="AG131" s="142">
        <f>AG123*Premissas!$F$19*(1+Premissas!$B$127)*(1+Premissas!$B$124)^2</f>
        <v>3271.3987948528729</v>
      </c>
      <c r="AH131" s="142">
        <f>AH123*Premissas!$F$19*(1+Premissas!$B$127)*(1+Premissas!$B$124)^2</f>
        <v>3271.3987948528729</v>
      </c>
      <c r="AI131" s="142">
        <f>AI123*Premissas!$F$19*(1+Premissas!$B$127)*(1+Premissas!$B$124)^2</f>
        <v>3271.3987948528729</v>
      </c>
      <c r="AJ131" s="142">
        <f>AJ123*Premissas!$F$19*(1+Premissas!$B$127)*(1+Premissas!$B$124)^2</f>
        <v>3271.3987948528729</v>
      </c>
      <c r="AK131" s="142">
        <f>AK123*Premissas!$F$19*(1+Premissas!$B$127)*(1+Premissas!$B$124)^2</f>
        <v>3271.3987948528729</v>
      </c>
      <c r="AL131" s="142">
        <f>AL123*Premissas!$F$19*(1+Premissas!$B$127)*(1+Premissas!$B$124)^2</f>
        <v>3271.3987948528729</v>
      </c>
      <c r="AM131" s="142">
        <f>AM123*Premissas!$F$19*(1+Premissas!$B$127)*(1+Premissas!$B$124)^2</f>
        <v>3271.3987948528729</v>
      </c>
      <c r="AN131" s="142">
        <f>AN123*Premissas!$F$19*(1+Premissas!$B$127)*(1+Premissas!$B$124)^3</f>
        <v>3554.3747906076478</v>
      </c>
      <c r="AO131" s="142">
        <f>AO123*Premissas!$F$19*(1+Premissas!$B$127)*(1+Premissas!$B$124)^3</f>
        <v>3554.3747906076478</v>
      </c>
      <c r="AP131" s="142">
        <f>AP123*Premissas!$F$19*(1+Premissas!$B$127)*(1+Premissas!$B$124)^3</f>
        <v>3554.3747906076478</v>
      </c>
      <c r="AQ131" s="142">
        <f>AQ123*Premissas!$F$19*(1+Premissas!$B$127)*(1+Premissas!$B$124)^3</f>
        <v>3554.3747906076478</v>
      </c>
      <c r="AR131" s="142">
        <f>AR123*Premissas!$F$19*(1+Premissas!$B$127)*(1+Premissas!$B$124)^3</f>
        <v>3554.3747906076478</v>
      </c>
      <c r="AS131" s="142">
        <f>AS123*Premissas!$F$19*(1+Premissas!$B$127)*(1+Premissas!$B$124)^3</f>
        <v>3554.3747906076478</v>
      </c>
      <c r="AT131" s="142">
        <f>AT123*Premissas!$F$19*(1+Premissas!$B$127)*(1+Premissas!$B$124)^3</f>
        <v>3554.3747906076478</v>
      </c>
      <c r="AU131" s="142">
        <f>AU123*Premissas!$F$19*(1+Premissas!$B$127)*(1+Premissas!$B$124)^3</f>
        <v>3554.3747906076478</v>
      </c>
      <c r="AV131" s="142">
        <f>AV123*Premissas!$F$19*(1+Premissas!$B$127)*(1+Premissas!$B$124)^3</f>
        <v>3554.3747906076478</v>
      </c>
      <c r="AW131" s="142">
        <f>AW123*Premissas!$F$19*(1+Premissas!$B$127)*(1+Premissas!$B$124)^3</f>
        <v>3554.3747906076478</v>
      </c>
      <c r="AX131" s="142">
        <f>AX123*Premissas!$F$19*(1+Premissas!$B$127)*(1+Premissas!$B$124)^3</f>
        <v>3554.3747906076478</v>
      </c>
      <c r="AY131" s="142">
        <f>AY123*Premissas!$F$19*(1+Premissas!$B$127)*(1+Premissas!$B$124)^3</f>
        <v>3554.3747906076478</v>
      </c>
      <c r="AZ131" s="142">
        <f>AZ123*Premissas!$F$19*(1+Premissas!$B$127)*(1+Premissas!$B$124)^4</f>
        <v>3861.828209995208</v>
      </c>
      <c r="BA131" s="142">
        <f>BA123*Premissas!$F$19*(1+Premissas!$B$127)*(1+Premissas!$B$124)^4</f>
        <v>3861.828209995208</v>
      </c>
      <c r="BB131" s="142">
        <f>BB123*Premissas!$F$19*(1+Premissas!$B$127)*(1+Premissas!$B$124)^4</f>
        <v>3861.828209995208</v>
      </c>
      <c r="BC131" s="142">
        <f>BC123*Premissas!$F$19*(1+Premissas!$B$127)*(1+Premissas!$B$124)^4</f>
        <v>3861.828209995208</v>
      </c>
      <c r="BD131" s="142">
        <f>BD123*Premissas!$F$19*(1+Premissas!$B$127)*(1+Premissas!$B$124)^4</f>
        <v>3861.828209995208</v>
      </c>
      <c r="BE131" s="142">
        <f>BE123*Premissas!$F$19*(1+Premissas!$B$127)*(1+Premissas!$B$124)^4</f>
        <v>3861.828209995208</v>
      </c>
      <c r="BF131" s="142">
        <f>BF123*Premissas!$F$19*(1+Premissas!$B$127)*(1+Premissas!$B$124)^4</f>
        <v>3861.828209995208</v>
      </c>
      <c r="BG131" s="142">
        <f>BG123*Premissas!$F$19*(1+Premissas!$B$127)*(1+Premissas!$B$124)^4</f>
        <v>3861.828209995208</v>
      </c>
      <c r="BH131" s="142">
        <f>BH123*Premissas!$F$19*(1+Premissas!$B$127)*(1+Premissas!$B$124)^4</f>
        <v>3861.828209995208</v>
      </c>
      <c r="BI131" s="142">
        <f>BI123*Premissas!$F$19*(1+Premissas!$B$127)*(1+Premissas!$B$124)^4</f>
        <v>3861.828209995208</v>
      </c>
      <c r="BJ131" s="142">
        <f>BJ123*Premissas!$F$19*(1+Premissas!$B$127)*(1+Premissas!$B$124)^4</f>
        <v>3861.828209995208</v>
      </c>
      <c r="BK131" s="142">
        <f>BK123*Premissas!$F$19*(1+Premissas!$B$127)*(1+Premissas!$B$124)^4</f>
        <v>3861.828209995208</v>
      </c>
    </row>
    <row r="132" spans="1:63" ht="12.75" customHeight="1" x14ac:dyDescent="0.2">
      <c r="A132" s="143" t="s">
        <v>415</v>
      </c>
      <c r="B132" s="144">
        <f>SUM(D132:BQ132)</f>
        <v>0</v>
      </c>
      <c r="C132" s="124">
        <f>B132/60</f>
        <v>0</v>
      </c>
      <c r="D132" s="144">
        <f>IF(D127&gt;0,0,MAX(D123-D124-D125,0)*Premissas!$B$7*(1+Premissas!$B$127)*(1+Premissas!$B$124)^0)</f>
        <v>0</v>
      </c>
      <c r="E132" s="144">
        <f>IF(E127&gt;0,0,MAX(E123-E124-E125,0)*Premissas!$B$7*(1+Premissas!$B$127)*(1+Premissas!$B$124)^0)</f>
        <v>0</v>
      </c>
      <c r="F132" s="144">
        <f>IF(F127&gt;0,0,MAX(F123-F124-F125,0)*Premissas!$B$7*(1+Premissas!$B$127)*(1+Premissas!$B$124)^0)</f>
        <v>0</v>
      </c>
      <c r="G132" s="144">
        <f>IF(G127&gt;0,0,MAX(G123-G124-G125,0)*Premissas!$B$7*(1+Premissas!$B$127)*(1+Premissas!$B$124)^0)</f>
        <v>0</v>
      </c>
      <c r="H132" s="144">
        <f>IF(H127&gt;0,0,MAX(H123-H124-H125,0)*Premissas!$B$7*(1+Premissas!$B$127)*(1+Premissas!$B$124)^0)</f>
        <v>0</v>
      </c>
      <c r="I132" s="144">
        <f>IF(I127&gt;0,0,MAX(I123-I124-I125,0)*Premissas!$B$7*(1+Premissas!$B$127)*(1+Premissas!$B$124)^0)</f>
        <v>0</v>
      </c>
      <c r="J132" s="144">
        <f>IF(J127&gt;0,0,MAX(J123-J124-J125,0)*Premissas!$B$7*(1+Premissas!$B$127)*(1+Premissas!$B$124)^0)</f>
        <v>0</v>
      </c>
      <c r="K132" s="144">
        <f>IF(K127&gt;0,0,MAX(K123-K124-K125,0)*Premissas!$B$7*(1+Premissas!$B$127)*(1+Premissas!$B$124)^0)</f>
        <v>0</v>
      </c>
      <c r="L132" s="144">
        <f>IF(L127&gt;0,0,MAX(L123-L124-L125,0)*Premissas!$B$7*(1+Premissas!$B$127)*(1+Premissas!$B$124)^0)</f>
        <v>0</v>
      </c>
      <c r="M132" s="144">
        <f>IF(M127&gt;0,0,MAX(M123-M124-M125,0)*Premissas!$B$7*(1+Premissas!$B$127)*(1+Premissas!$B$124)^0)</f>
        <v>0</v>
      </c>
      <c r="N132" s="144">
        <f>IF(N127&gt;0,0,MAX(N123-N124-N125,0)*Premissas!$B$7*(1+Premissas!$B$127)*(1+Premissas!$B$124)^0)</f>
        <v>0</v>
      </c>
      <c r="O132" s="144">
        <f>IF(O127&gt;0,0,MAX(O123-O124-O125,0)*Premissas!$B$7*(1+Premissas!$B$127)*(1+Premissas!$B$124)^0)</f>
        <v>0</v>
      </c>
      <c r="P132" s="144">
        <f>IF(P127&gt;0,0,MAX(P123-P124-P125,0)*Premissas!$B$7*(1+Premissas!$B$127)*(1+Premissas!$B$124)^1)</f>
        <v>0</v>
      </c>
      <c r="Q132" s="144">
        <f>IF(Q127&gt;0,0,MAX(Q123-Q124-Q125,0)*Premissas!$B$7*(1+Premissas!$B$127)*(1+Premissas!$B$124)^1)</f>
        <v>0</v>
      </c>
      <c r="R132" s="144">
        <f>IF(R127&gt;0,0,MAX(R123-R124-R125,0)*Premissas!$B$7*(1+Premissas!$B$127)*(1+Premissas!$B$124)^1)</f>
        <v>0</v>
      </c>
      <c r="S132" s="144">
        <f>IF(S127&gt;0,0,MAX(S123-S124-S125,0)*Premissas!$B$7*(1+Premissas!$B$127)*(1+Premissas!$B$124)^1)</f>
        <v>0</v>
      </c>
      <c r="T132" s="144">
        <f>IF(T127&gt;0,0,MAX(T123-T124-T125,0)*Premissas!$B$7*(1+Premissas!$B$127)*(1+Premissas!$B$124)^1)</f>
        <v>0</v>
      </c>
      <c r="U132" s="144">
        <f>IF(U127&gt;0,0,MAX(U123-U124-U125,0)*Premissas!$B$7*(1+Premissas!$B$127)*(1+Premissas!$B$124)^1)</f>
        <v>0</v>
      </c>
      <c r="V132" s="144">
        <f>IF(V127&gt;0,0,MAX(V123-V124-V125,0)*Premissas!$B$7*(1+Premissas!$B$127)*(1+Premissas!$B$124)^1)</f>
        <v>0</v>
      </c>
      <c r="W132" s="144">
        <f>IF(W127&gt;0,0,MAX(W123-W124-W125,0)*Premissas!$B$7*(1+Premissas!$B$127)*(1+Premissas!$B$124)^1)</f>
        <v>0</v>
      </c>
      <c r="X132" s="144">
        <f>IF(X127&gt;0,0,MAX(X123-X124-X125,0)*Premissas!$B$7*(1+Premissas!$B$127)*(1+Premissas!$B$124)^1)</f>
        <v>0</v>
      </c>
      <c r="Y132" s="144">
        <f>IF(Y127&gt;0,0,MAX(Y123-Y124-Y125,0)*Premissas!$B$7*(1+Premissas!$B$127)*(1+Premissas!$B$124)^1)</f>
        <v>0</v>
      </c>
      <c r="Z132" s="144">
        <f>IF(Z127&gt;0,0,MAX(Z123-Z124-Z125,0)*Premissas!$B$7*(1+Premissas!$B$127)*(1+Premissas!$B$124)^1)</f>
        <v>0</v>
      </c>
      <c r="AA132" s="144">
        <f>IF(AA127&gt;0,0,MAX(AA123-AA124-AA125,0)*Premissas!$B$7*(1+Premissas!$B$127)*(1+Premissas!$B$124)^1)</f>
        <v>0</v>
      </c>
      <c r="AB132" s="144">
        <f>IF(AB127&gt;0,0,MAX(AB123-AB124-AB125,0)*Premissas!$B$7*(1+Premissas!$B$127)*(1+Premissas!$B$124)^2)</f>
        <v>0</v>
      </c>
      <c r="AC132" s="144">
        <f>IF(AC127&gt;0,0,MAX(AC123-AC124-AC125,0)*Premissas!$B$7*(1+Premissas!$B$127)*(1+Premissas!$B$124)^2)</f>
        <v>0</v>
      </c>
      <c r="AD132" s="144">
        <f>IF(AD127&gt;0,0,MAX(AD123-AD124-AD125,0)*Premissas!$B$7*(1+Premissas!$B$127)*(1+Premissas!$B$124)^2)</f>
        <v>0</v>
      </c>
      <c r="AE132" s="144">
        <f>IF(AE127&gt;0,0,MAX(AE123-AE124-AE125,0)*Premissas!$B$7*(1+Premissas!$B$127)*(1+Premissas!$B$124)^2)</f>
        <v>0</v>
      </c>
      <c r="AF132" s="144">
        <f>IF(AF127&gt;0,0,MAX(AF123-AF124-AF125,0)*Premissas!$B$7*(1+Premissas!$B$127)*(1+Premissas!$B$124)^2)</f>
        <v>0</v>
      </c>
      <c r="AG132" s="144">
        <f>IF(AG127&gt;0,0,MAX(AG123-AG124-AG125,0)*Premissas!$B$7*(1+Premissas!$B$127)*(1+Premissas!$B$124)^2)</f>
        <v>0</v>
      </c>
      <c r="AH132" s="144">
        <f>IF(AH127&gt;0,0,MAX(AH123-AH124-AH125,0)*Premissas!$B$7*(1+Premissas!$B$127)*(1+Premissas!$B$124)^2)</f>
        <v>0</v>
      </c>
      <c r="AI132" s="144">
        <f>IF(AI127&gt;0,0,MAX(AI123-AI124-AI125,0)*Premissas!$B$7*(1+Premissas!$B$127)*(1+Premissas!$B$124)^2)</f>
        <v>0</v>
      </c>
      <c r="AJ132" s="144">
        <f>IF(AJ127&gt;0,0,MAX(AJ123-AJ124-AJ125,0)*Premissas!$B$7*(1+Premissas!$B$127)*(1+Premissas!$B$124)^2)</f>
        <v>0</v>
      </c>
      <c r="AK132" s="144">
        <f>IF(AK127&gt;0,0,MAX(AK123-AK124-AK125,0)*Premissas!$B$7*(1+Premissas!$B$127)*(1+Premissas!$B$124)^2)</f>
        <v>0</v>
      </c>
      <c r="AL132" s="144">
        <f>IF(AL127&gt;0,0,MAX(AL123-AL124-AL125,0)*Premissas!$B$7*(1+Premissas!$B$127)*(1+Premissas!$B$124)^2)</f>
        <v>0</v>
      </c>
      <c r="AM132" s="144">
        <f>IF(AM127&gt;0,0,MAX(AM123-AM124-AM125,0)*Premissas!$B$7*(1+Premissas!$B$127)*(1+Premissas!$B$124)^2)</f>
        <v>0</v>
      </c>
      <c r="AN132" s="144">
        <f>IF(AN127&gt;0,0,MAX(AN123-AN124-AN125,0)*Premissas!$B$7*(1+Premissas!$B$127)*(1+Premissas!$B$124)^3)</f>
        <v>0</v>
      </c>
      <c r="AO132" s="144">
        <f>IF(AO127&gt;0,0,MAX(AO123-AO124-AO125,0)*Premissas!$B$7*(1+Premissas!$B$127)*(1+Premissas!$B$124)^3)</f>
        <v>0</v>
      </c>
      <c r="AP132" s="144">
        <f>IF(AP127&gt;0,0,MAX(AP123-AP124-AP125,0)*Premissas!$B$7*(1+Premissas!$B$127)*(1+Premissas!$B$124)^3)</f>
        <v>0</v>
      </c>
      <c r="AQ132" s="144">
        <f>IF(AQ127&gt;0,0,MAX(AQ123-AQ124-AQ125,0)*Premissas!$B$7*(1+Premissas!$B$127)*(1+Premissas!$B$124)^3)</f>
        <v>0</v>
      </c>
      <c r="AR132" s="144">
        <f>IF(AR127&gt;0,0,MAX(AR123-AR124-AR125,0)*Premissas!$B$7*(1+Premissas!$B$127)*(1+Premissas!$B$124)^3)</f>
        <v>0</v>
      </c>
      <c r="AS132" s="144">
        <f>IF(AS127&gt;0,0,MAX(AS123-AS124-AS125,0)*Premissas!$B$7*(1+Premissas!$B$127)*(1+Premissas!$B$124)^3)</f>
        <v>0</v>
      </c>
      <c r="AT132" s="144">
        <f>IF(AT127&gt;0,0,MAX(AT123-AT124-AT125,0)*Premissas!$B$7*(1+Premissas!$B$127)*(1+Premissas!$B$124)^3)</f>
        <v>0</v>
      </c>
      <c r="AU132" s="144">
        <f>IF(AU127&gt;0,0,MAX(AU123-AU124-AU125,0)*Premissas!$B$7*(1+Premissas!$B$127)*(1+Premissas!$B$124)^3)</f>
        <v>0</v>
      </c>
      <c r="AV132" s="144">
        <f>IF(AV127&gt;0,0,MAX(AV123-AV124-AV125,0)*Premissas!$B$7*(1+Premissas!$B$127)*(1+Premissas!$B$124)^3)</f>
        <v>0</v>
      </c>
      <c r="AW132" s="144">
        <f>IF(AW127&gt;0,0,MAX(AW123-AW124-AW125,0)*Premissas!$B$7*(1+Premissas!$B$127)*(1+Premissas!$B$124)^3)</f>
        <v>0</v>
      </c>
      <c r="AX132" s="144">
        <f>IF(AX127&gt;0,0,MAX(AX123-AX124-AX125,0)*Premissas!$B$7*(1+Premissas!$B$127)*(1+Premissas!$B$124)^3)</f>
        <v>0</v>
      </c>
      <c r="AY132" s="144">
        <f>IF(AY127&gt;0,0,MAX(AY123-AY124-AY125,0)*Premissas!$B$7*(1+Premissas!$B$127)*(1+Premissas!$B$124)^3)</f>
        <v>0</v>
      </c>
      <c r="AZ132" s="144">
        <f>IF(AZ127&gt;0,0,MAX(AZ123-AZ124-AZ125,0)*Premissas!$B$7*(1+Premissas!$B$127)*(1+Premissas!$B$124)^4)</f>
        <v>0</v>
      </c>
      <c r="BA132" s="144">
        <f>IF(BA127&gt;0,0,MAX(BA123-BA124-BA125,0)*Premissas!$B$7*(1+Premissas!$B$127)*(1+Premissas!$B$124)^4)</f>
        <v>0</v>
      </c>
      <c r="BB132" s="144">
        <f>IF(BB127&gt;0,0,MAX(BB123-BB124-BB125,0)*Premissas!$B$7*(1+Premissas!$B$127)*(1+Premissas!$B$124)^4)</f>
        <v>0</v>
      </c>
      <c r="BC132" s="144">
        <f>IF(BC127&gt;0,0,MAX(BC123-BC124-BC125,0)*Premissas!$B$7*(1+Premissas!$B$127)*(1+Premissas!$B$124)^4)</f>
        <v>0</v>
      </c>
      <c r="BD132" s="144">
        <f>IF(BD127&gt;0,0,MAX(BD123-BD124-BD125,0)*Premissas!$B$7*(1+Premissas!$B$127)*(1+Premissas!$B$124)^4)</f>
        <v>0</v>
      </c>
      <c r="BE132" s="144">
        <f>IF(BE127&gt;0,0,MAX(BE123-BE124-BE125,0)*Premissas!$B$7*(1+Premissas!$B$127)*(1+Premissas!$B$124)^4)</f>
        <v>0</v>
      </c>
      <c r="BF132" s="144">
        <f>IF(BF127&gt;0,0,MAX(BF123-BF124-BF125,0)*Premissas!$B$7*(1+Premissas!$B$127)*(1+Premissas!$B$124)^4)</f>
        <v>0</v>
      </c>
      <c r="BG132" s="144">
        <f>IF(BG127&gt;0,0,MAX(BG123-BG124-BG125,0)*Premissas!$B$7*(1+Premissas!$B$127)*(1+Premissas!$B$124)^4)</f>
        <v>0</v>
      </c>
      <c r="BH132" s="144">
        <f>IF(BH127&gt;0,0,MAX(BH123-BH124-BH125,0)*Premissas!$B$7*(1+Premissas!$B$127)*(1+Premissas!$B$124)^4)</f>
        <v>0</v>
      </c>
      <c r="BI132" s="144">
        <f>IF(BI127&gt;0,0,MAX(BI123-BI124-BI125,0)*Premissas!$B$7*(1+Premissas!$B$127)*(1+Premissas!$B$124)^4)</f>
        <v>0</v>
      </c>
      <c r="BJ132" s="144">
        <f>IF(BJ127&gt;0,0,MAX(BJ123-BJ124-BJ125,0)*Premissas!$B$7*(1+Premissas!$B$127)*(1+Premissas!$B$124)^4)</f>
        <v>0</v>
      </c>
      <c r="BK132" s="144">
        <f>IF(BK127&gt;0,0,MAX(BK123-BK124-BK125,0)*Premissas!$B$7*(1+Premissas!$B$127)*(1+Premissas!$B$124)^4)</f>
        <v>0</v>
      </c>
    </row>
    <row r="133" spans="1:63" ht="13.5" customHeight="1" x14ac:dyDescent="0.2">
      <c r="A133" s="41" t="s">
        <v>416</v>
      </c>
      <c r="B133" s="44">
        <f>SUM(D133:BQ133)</f>
        <v>215210.57147545886</v>
      </c>
      <c r="C133" s="124">
        <f>B133/60</f>
        <v>3586.8428579243141</v>
      </c>
      <c r="D133" s="145">
        <f t="shared" ref="D133:AI133" si="122">MAX(D131-D132,0)</f>
        <v>2727.7119733978102</v>
      </c>
      <c r="E133" s="145">
        <f t="shared" si="122"/>
        <v>2864.5121179603143</v>
      </c>
      <c r="F133" s="145">
        <f t="shared" si="122"/>
        <v>3264.5489043324856</v>
      </c>
      <c r="G133" s="145">
        <f t="shared" si="122"/>
        <v>3145.3669602060618</v>
      </c>
      <c r="H133" s="145">
        <f t="shared" si="122"/>
        <v>3213.7670324873138</v>
      </c>
      <c r="I133" s="145">
        <f t="shared" si="122"/>
        <v>3857.3495307700036</v>
      </c>
      <c r="J133" s="145">
        <f t="shared" si="122"/>
        <v>3282.1671047685659</v>
      </c>
      <c r="K133" s="145">
        <f t="shared" si="122"/>
        <v>4698.4372377648087</v>
      </c>
      <c r="L133" s="145">
        <f t="shared" si="122"/>
        <v>5063.8594421037405</v>
      </c>
      <c r="M133" s="145">
        <f t="shared" si="122"/>
        <v>3758.3248806719184</v>
      </c>
      <c r="N133" s="145">
        <f t="shared" si="122"/>
        <v>3209.129300313698</v>
      </c>
      <c r="O133" s="145">
        <f t="shared" si="122"/>
        <v>2840.5202744252992</v>
      </c>
      <c r="P133" s="145">
        <f t="shared" si="122"/>
        <v>2963.6590590967207</v>
      </c>
      <c r="Q133" s="145">
        <f t="shared" si="122"/>
        <v>3112.2924161638816</v>
      </c>
      <c r="R133" s="145">
        <f t="shared" si="122"/>
        <v>3546.9323845572453</v>
      </c>
      <c r="S133" s="145">
        <f t="shared" si="122"/>
        <v>3417.4412022638858</v>
      </c>
      <c r="T133" s="145">
        <f t="shared" si="122"/>
        <v>3491.757880797466</v>
      </c>
      <c r="U133" s="145">
        <f t="shared" si="122"/>
        <v>4191.0102651816087</v>
      </c>
      <c r="V133" s="145">
        <f t="shared" si="122"/>
        <v>3566.0745593310467</v>
      </c>
      <c r="W133" s="145">
        <f t="shared" si="122"/>
        <v>4980.3434720306977</v>
      </c>
      <c r="X133" s="145">
        <f t="shared" si="122"/>
        <v>5367.6910086299649</v>
      </c>
      <c r="Y133" s="145">
        <f t="shared" si="122"/>
        <v>3983.8243735122337</v>
      </c>
      <c r="Z133" s="145">
        <f t="shared" si="122"/>
        <v>3401.6770583325201</v>
      </c>
      <c r="AA133" s="145">
        <f t="shared" si="122"/>
        <v>3010.9514908908172</v>
      </c>
      <c r="AB133" s="145">
        <f t="shared" si="122"/>
        <v>3271.3987948528729</v>
      </c>
      <c r="AC133" s="145">
        <f t="shared" si="122"/>
        <v>3271.3987948528729</v>
      </c>
      <c r="AD133" s="145">
        <f t="shared" si="122"/>
        <v>3271.3987948528729</v>
      </c>
      <c r="AE133" s="145">
        <f t="shared" si="122"/>
        <v>3271.3987948528729</v>
      </c>
      <c r="AF133" s="145">
        <f t="shared" si="122"/>
        <v>3271.3987948528729</v>
      </c>
      <c r="AG133" s="145">
        <f t="shared" si="122"/>
        <v>3271.3987948528729</v>
      </c>
      <c r="AH133" s="145">
        <f t="shared" si="122"/>
        <v>3271.3987948528729</v>
      </c>
      <c r="AI133" s="145">
        <f t="shared" si="122"/>
        <v>3271.3987948528729</v>
      </c>
      <c r="AJ133" s="145">
        <f t="shared" ref="AJ133:BO133" si="123">MAX(AJ131-AJ132,0)</f>
        <v>3271.3987948528729</v>
      </c>
      <c r="AK133" s="145">
        <f t="shared" si="123"/>
        <v>3271.3987948528729</v>
      </c>
      <c r="AL133" s="145">
        <f t="shared" si="123"/>
        <v>3271.3987948528729</v>
      </c>
      <c r="AM133" s="145">
        <f t="shared" si="123"/>
        <v>3271.3987948528729</v>
      </c>
      <c r="AN133" s="145">
        <f t="shared" si="123"/>
        <v>3554.3747906076478</v>
      </c>
      <c r="AO133" s="145">
        <f t="shared" si="123"/>
        <v>3554.3747906076478</v>
      </c>
      <c r="AP133" s="145">
        <f t="shared" si="123"/>
        <v>3554.3747906076478</v>
      </c>
      <c r="AQ133" s="145">
        <f t="shared" si="123"/>
        <v>3554.3747906076478</v>
      </c>
      <c r="AR133" s="145">
        <f t="shared" si="123"/>
        <v>3554.3747906076478</v>
      </c>
      <c r="AS133" s="145">
        <f t="shared" si="123"/>
        <v>3554.3747906076478</v>
      </c>
      <c r="AT133" s="145">
        <f t="shared" si="123"/>
        <v>3554.3747906076478</v>
      </c>
      <c r="AU133" s="145">
        <f t="shared" si="123"/>
        <v>3554.3747906076478</v>
      </c>
      <c r="AV133" s="145">
        <f t="shared" si="123"/>
        <v>3554.3747906076478</v>
      </c>
      <c r="AW133" s="145">
        <f t="shared" si="123"/>
        <v>3554.3747906076478</v>
      </c>
      <c r="AX133" s="145">
        <f t="shared" si="123"/>
        <v>3554.3747906076478</v>
      </c>
      <c r="AY133" s="145">
        <f t="shared" si="123"/>
        <v>3554.3747906076478</v>
      </c>
      <c r="AZ133" s="145">
        <f t="shared" si="123"/>
        <v>3861.828209995208</v>
      </c>
      <c r="BA133" s="145">
        <f t="shared" si="123"/>
        <v>3861.828209995208</v>
      </c>
      <c r="BB133" s="145">
        <f t="shared" si="123"/>
        <v>3861.828209995208</v>
      </c>
      <c r="BC133" s="145">
        <f t="shared" si="123"/>
        <v>3861.828209995208</v>
      </c>
      <c r="BD133" s="145">
        <f t="shared" si="123"/>
        <v>3861.828209995208</v>
      </c>
      <c r="BE133" s="145">
        <f t="shared" si="123"/>
        <v>3861.828209995208</v>
      </c>
      <c r="BF133" s="145">
        <f t="shared" si="123"/>
        <v>3861.828209995208</v>
      </c>
      <c r="BG133" s="145">
        <f t="shared" si="123"/>
        <v>3861.828209995208</v>
      </c>
      <c r="BH133" s="145">
        <f t="shared" si="123"/>
        <v>3861.828209995208</v>
      </c>
      <c r="BI133" s="145">
        <f t="shared" si="123"/>
        <v>3861.828209995208</v>
      </c>
      <c r="BJ133" s="145">
        <f t="shared" si="123"/>
        <v>3861.828209995208</v>
      </c>
      <c r="BK133" s="145">
        <f t="shared" si="123"/>
        <v>3861.828209995208</v>
      </c>
    </row>
    <row r="135" spans="1:63" ht="15" customHeight="1" x14ac:dyDescent="0.2">
      <c r="A135" s="298" t="s">
        <v>427</v>
      </c>
      <c r="B135" s="289"/>
      <c r="C135" s="289"/>
      <c r="D135" s="289"/>
      <c r="E135" s="289"/>
      <c r="F135" s="289"/>
      <c r="G135" s="289"/>
      <c r="H135" s="289"/>
      <c r="I135" s="289"/>
      <c r="J135" s="289"/>
      <c r="K135" s="289"/>
      <c r="L135" s="289"/>
      <c r="M135" s="289"/>
      <c r="N135" s="289"/>
      <c r="O135" s="289"/>
      <c r="P135" s="289"/>
      <c r="Q135" s="289"/>
      <c r="R135" s="289"/>
      <c r="S135" s="289"/>
      <c r="T135" s="289"/>
      <c r="U135" s="289"/>
      <c r="V135" s="289"/>
      <c r="W135" s="289"/>
      <c r="X135" s="289"/>
      <c r="Y135" s="289"/>
      <c r="Z135" s="289"/>
      <c r="AA135" s="289"/>
    </row>
    <row r="136" spans="1:63" ht="12.75" customHeight="1" x14ac:dyDescent="0.2">
      <c r="A136" s="147" t="s">
        <v>403</v>
      </c>
      <c r="B136" s="148">
        <f>SUM(D136:BQ136)</f>
        <v>146482.90861562506</v>
      </c>
      <c r="C136" s="120">
        <f>B136/60</f>
        <v>2441.3818102604178</v>
      </c>
      <c r="D136" s="148">
        <v>1362</v>
      </c>
      <c r="E136" s="148">
        <v>1317</v>
      </c>
      <c r="F136" s="148">
        <v>1448</v>
      </c>
      <c r="G136" s="148">
        <v>2469</v>
      </c>
      <c r="H136" s="148">
        <v>2593</v>
      </c>
      <c r="I136" s="148">
        <v>2090</v>
      </c>
      <c r="J136" s="148">
        <v>3227</v>
      </c>
      <c r="K136" s="148">
        <f>3370*(1+Premissas!$B$21)</f>
        <v>3454.2499999999995</v>
      </c>
      <c r="L136" s="148">
        <f>3394*(1+Premissas!$B$21)</f>
        <v>3478.85</v>
      </c>
      <c r="M136" s="148">
        <f>3281*(1+Premissas!$B$21)</f>
        <v>3363.0249999999996</v>
      </c>
      <c r="N136" s="148">
        <f>2511*(1+Premissas!$B$21)</f>
        <v>2573.7749999999996</v>
      </c>
      <c r="O136" s="148">
        <f>2238*(1+Premissas!$B$21)</f>
        <v>2293.9499999999998</v>
      </c>
      <c r="P136" s="148">
        <f>1362*(1+Premissas!$B$21)</f>
        <v>1396.05</v>
      </c>
      <c r="Q136" s="148">
        <f>1317*(1+Premissas!$B$21)</f>
        <v>1349.925</v>
      </c>
      <c r="R136" s="148">
        <f>1448*(1+Premissas!$B$21)</f>
        <v>1484.1999999999998</v>
      </c>
      <c r="S136" s="148">
        <f>2469*(1+Premissas!$B$21)</f>
        <v>2530.7249999999999</v>
      </c>
      <c r="T136" s="148">
        <f>2593*(1+Premissas!$B$21)</f>
        <v>2657.8249999999998</v>
      </c>
      <c r="U136" s="148">
        <f>2090*(1+Premissas!$B$21)</f>
        <v>2142.25</v>
      </c>
      <c r="V136" s="148">
        <f>3227*(1+Premissas!$B$21)</f>
        <v>3307.6749999999997</v>
      </c>
      <c r="W136" s="148">
        <f>3370*(1+Premissas!$B$21)</f>
        <v>3454.2499999999995</v>
      </c>
      <c r="X136" s="148">
        <f>3394*(1+Premissas!$B$21)</f>
        <v>3478.85</v>
      </c>
      <c r="Y136" s="148">
        <f>3281*(1+Premissas!$B$21)</f>
        <v>3363.0249999999996</v>
      </c>
      <c r="Z136" s="148">
        <f>2511*(1+Premissas!$B$21)</f>
        <v>2573.7749999999996</v>
      </c>
      <c r="AA136" s="148">
        <f>2238*(1+Premissas!$B$21)</f>
        <v>2293.9499999999998</v>
      </c>
      <c r="AB136" s="148">
        <f>2238*(1+Premissas!$B$21)^2</f>
        <v>2351.2987499999999</v>
      </c>
      <c r="AC136" s="148">
        <f>2238*(1+Premissas!$B$21)^2</f>
        <v>2351.2987499999999</v>
      </c>
      <c r="AD136" s="148">
        <f>2238*(1+Premissas!$B$21)^2</f>
        <v>2351.2987499999999</v>
      </c>
      <c r="AE136" s="148">
        <f>2238*(1+Premissas!$B$21)^2</f>
        <v>2351.2987499999999</v>
      </c>
      <c r="AF136" s="148">
        <f>2238*(1+Premissas!$B$21)^2</f>
        <v>2351.2987499999999</v>
      </c>
      <c r="AG136" s="148">
        <f>2238*(1+Premissas!$B$21)^2</f>
        <v>2351.2987499999999</v>
      </c>
      <c r="AH136" s="148">
        <f>2238*(1+Premissas!$B$21)^2</f>
        <v>2351.2987499999999</v>
      </c>
      <c r="AI136" s="148">
        <f>2238*(1+Premissas!$B$21)^2</f>
        <v>2351.2987499999999</v>
      </c>
      <c r="AJ136" s="148">
        <f>2238*(1+Premissas!$B$21)^2</f>
        <v>2351.2987499999999</v>
      </c>
      <c r="AK136" s="148">
        <f>2238*(1+Premissas!$B$21)^2</f>
        <v>2351.2987499999999</v>
      </c>
      <c r="AL136" s="148">
        <f>2238*(1+Premissas!$B$21)^2</f>
        <v>2351.2987499999999</v>
      </c>
      <c r="AM136" s="148">
        <f>2238*(1+Premissas!$B$21)^2</f>
        <v>2351.2987499999999</v>
      </c>
      <c r="AN136" s="148">
        <f>2238*(1+Premissas!$B$21)^3</f>
        <v>2410.0812187499996</v>
      </c>
      <c r="AO136" s="148">
        <f>2238*(1+Premissas!$B$21)^3</f>
        <v>2410.0812187499996</v>
      </c>
      <c r="AP136" s="148">
        <f>2238*(1+Premissas!$B$21)^3</f>
        <v>2410.0812187499996</v>
      </c>
      <c r="AQ136" s="148">
        <f>2238*(1+Premissas!$B$21)^3</f>
        <v>2410.0812187499996</v>
      </c>
      <c r="AR136" s="148">
        <f>2238*(1+Premissas!$B$21)^3</f>
        <v>2410.0812187499996</v>
      </c>
      <c r="AS136" s="148">
        <f>2238*(1+Premissas!$B$21)^3</f>
        <v>2410.0812187499996</v>
      </c>
      <c r="AT136" s="148">
        <f>2238*(1+Premissas!$B$21)^3</f>
        <v>2410.0812187499996</v>
      </c>
      <c r="AU136" s="148">
        <f>2238*(1+Premissas!$B$21)^3</f>
        <v>2410.0812187499996</v>
      </c>
      <c r="AV136" s="148">
        <f>2238*(1+Premissas!$B$21)^3</f>
        <v>2410.0812187499996</v>
      </c>
      <c r="AW136" s="148">
        <f>2238*(1+Premissas!$B$21)^3</f>
        <v>2410.0812187499996</v>
      </c>
      <c r="AX136" s="148">
        <f>2238*(1+Premissas!$B$21)^3</f>
        <v>2410.0812187499996</v>
      </c>
      <c r="AY136" s="148">
        <f>2238*(1+Premissas!$B$21)^3</f>
        <v>2410.0812187499996</v>
      </c>
      <c r="AZ136" s="148">
        <f>2238*(1+Premissas!$B$21)^4</f>
        <v>2470.3332492187496</v>
      </c>
      <c r="BA136" s="148">
        <f>2238*(1+Premissas!$B$21)^4</f>
        <v>2470.3332492187496</v>
      </c>
      <c r="BB136" s="148">
        <f>2238*(1+Premissas!$B$21)^4</f>
        <v>2470.3332492187496</v>
      </c>
      <c r="BC136" s="148">
        <f>2238*(1+Premissas!$B$21)^4</f>
        <v>2470.3332492187496</v>
      </c>
      <c r="BD136" s="148">
        <f>2238*(1+Premissas!$B$21)^4</f>
        <v>2470.3332492187496</v>
      </c>
      <c r="BE136" s="148">
        <f>2238*(1+Premissas!$B$21)^4</f>
        <v>2470.3332492187496</v>
      </c>
      <c r="BF136" s="148">
        <f>2238*(1+Premissas!$B$21)^4</f>
        <v>2470.3332492187496</v>
      </c>
      <c r="BG136" s="148">
        <f>2238*(1+Premissas!$B$21)^4</f>
        <v>2470.3332492187496</v>
      </c>
      <c r="BH136" s="148">
        <f>2238*(1+Premissas!$B$21)^4</f>
        <v>2470.3332492187496</v>
      </c>
      <c r="BI136" s="148">
        <f>2238*(1+Premissas!$B$21)^4</f>
        <v>2470.3332492187496</v>
      </c>
      <c r="BJ136" s="148">
        <f>2238*(1+Premissas!$B$21)^4</f>
        <v>2470.3332492187496</v>
      </c>
      <c r="BK136" s="148">
        <f>2238*(1+Premissas!$B$21)^4</f>
        <v>2470.3332492187496</v>
      </c>
    </row>
    <row r="137" spans="1:63" ht="12.75" customHeight="1" x14ac:dyDescent="0.2">
      <c r="A137" s="122" t="str">
        <f>"  "&amp;INDEX(PVSYST_Helexia!$A$5:$A$7,MATCH(Premissas!$B$13,PVSYST_Helexia!$B$5:$B$7,0))&amp;" créditos recebidos (kWh)"</f>
        <v xml:space="preserve">  HCS03 créditos recebidos (kWh)</v>
      </c>
      <c r="B137" s="135">
        <f>SUM(D137:BQ137)</f>
        <v>146711.30844788477</v>
      </c>
      <c r="C137" s="120">
        <f>B137/60</f>
        <v>2445.1884741314129</v>
      </c>
      <c r="D137" s="136">
        <f>D6*Premissas!$B$42</f>
        <v>1500.279</v>
      </c>
      <c r="E137" s="136">
        <f>E6*Premissas!$B$42</f>
        <v>1579.1709999999998</v>
      </c>
      <c r="F137" s="136">
        <f>F6*Premissas!$B$42</f>
        <v>1895.7069999999999</v>
      </c>
      <c r="G137" s="136">
        <f>G6*Premissas!$B$42</f>
        <v>1778.8209999999999</v>
      </c>
      <c r="H137" s="136">
        <f>H6*Premissas!$C$42</f>
        <v>4471.9679999999998</v>
      </c>
      <c r="I137" s="136">
        <f>I6*Premissas!$C$42</f>
        <v>4323.9679999999998</v>
      </c>
      <c r="J137" s="136">
        <f>J6*Premissas!$C$42</f>
        <v>4105.8159999999998</v>
      </c>
      <c r="K137" s="136">
        <f>K6*Premissas!$C$42</f>
        <v>4215.7592800000002</v>
      </c>
      <c r="L137" s="136">
        <f>L6*Premissas!$C$42</f>
        <v>3756.6026000000002</v>
      </c>
      <c r="M137" s="136">
        <f>M6*Premissas!$C$42</f>
        <v>4308.8276000000005</v>
      </c>
      <c r="N137" s="136">
        <f>N6*Premissas!$D$42</f>
        <v>2309.4765900000002</v>
      </c>
      <c r="O137" s="136">
        <f>O6*Premissas!$D$42</f>
        <v>2161.39671</v>
      </c>
      <c r="P137" s="136">
        <f>P6*Premissas!$D$42</f>
        <v>1961.5837950000002</v>
      </c>
      <c r="Q137" s="136">
        <f>Q6*Premissas!$D$42</f>
        <v>2064.733455</v>
      </c>
      <c r="R137" s="136">
        <f>R6*Premissas!$D$42</f>
        <v>2478.5977349999998</v>
      </c>
      <c r="S137" s="136">
        <f>S6*Premissas!$D$42</f>
        <v>2325.7717050000001</v>
      </c>
      <c r="T137" s="136">
        <f>T6*Premissas!$E$42</f>
        <v>4299.2835599999999</v>
      </c>
      <c r="U137" s="136">
        <f>U6*Premissas!$E$42</f>
        <v>4156.99856</v>
      </c>
      <c r="V137" s="136">
        <f>V6*Premissas!$E$42</f>
        <v>3947.2704700000004</v>
      </c>
      <c r="W137" s="136">
        <f>W6*Premissas!$E$42</f>
        <v>4073.3349799999996</v>
      </c>
      <c r="X137" s="136">
        <f>X6*Premissas!$E$42</f>
        <v>3629.6903499999999</v>
      </c>
      <c r="Y137" s="136">
        <f>Y6*Premissas!$E$42</f>
        <v>4163.2591000000002</v>
      </c>
      <c r="Z137" s="136">
        <f>Z6*Premissas!$E$42</f>
        <v>4154.1528600000001</v>
      </c>
      <c r="AA137" s="136">
        <f>AA6*Premissas!$E$42</f>
        <v>3887.7953399999997</v>
      </c>
      <c r="AB137" s="136">
        <f>AB6*Premissas!$F$42</f>
        <v>1497.58903695</v>
      </c>
      <c r="AC137" s="136">
        <f>AC6*Premissas!$F$42</f>
        <v>1576.33958555</v>
      </c>
      <c r="AD137" s="136">
        <f>AD6*Premissas!$F$42</f>
        <v>1892.3080443500003</v>
      </c>
      <c r="AE137" s="136">
        <f>AE6*Premissas!$F$42</f>
        <v>1775.63161805</v>
      </c>
      <c r="AF137" s="136">
        <f>AF6*Premissas!$F$42</f>
        <v>1824.7903194000003</v>
      </c>
      <c r="AG137" s="136">
        <f>AG6*Premissas!$F$42</f>
        <v>1764.3987944000003</v>
      </c>
      <c r="AH137" s="136">
        <f>AH6*Premissas!$G$42</f>
        <v>1826.4406910749999</v>
      </c>
      <c r="AI137" s="136">
        <f>AI6*Premissas!$G$42</f>
        <v>1884.7719740499999</v>
      </c>
      <c r="AJ137" s="136">
        <f>AJ6*Premissas!$G$42</f>
        <v>1679.4932603749999</v>
      </c>
      <c r="AK137" s="136">
        <f>AK6*Premissas!$G$42</f>
        <v>1926.3807447499998</v>
      </c>
      <c r="AL137" s="136">
        <f>AL6*Premissas!$G$42</f>
        <v>1922.16719835</v>
      </c>
      <c r="AM137" s="136">
        <f>AM6*Premissas!$G$42</f>
        <v>1798.9209661500001</v>
      </c>
      <c r="AN137" s="136">
        <f>AN6*Premissas!$H$42</f>
        <v>1526.7429218906252</v>
      </c>
      <c r="AO137" s="136">
        <f>AO6*Premissas!$H$42</f>
        <v>1607.0265242031248</v>
      </c>
      <c r="AP137" s="136">
        <f>AP6*Premissas!$H$42</f>
        <v>1929.1460083281252</v>
      </c>
      <c r="AQ137" s="136">
        <f>AQ6*Premissas!$H$42</f>
        <v>1810.1982171718753</v>
      </c>
      <c r="AR137" s="136">
        <f>AR6*Premissas!$H$42</f>
        <v>1860.3139014375001</v>
      </c>
      <c r="AS137" s="136">
        <f>AS6*Premissas!$H$42</f>
        <v>1798.7467217500002</v>
      </c>
      <c r="AT137" s="136">
        <f>AT6*Premissas!$I$42</f>
        <v>1858.3004083929998</v>
      </c>
      <c r="AU137" s="136">
        <f>AU6*Premissas!$I$42</f>
        <v>1917.6491994619998</v>
      </c>
      <c r="AV137" s="136">
        <f>AV6*Premissas!$I$42</f>
        <v>1708.7896841649999</v>
      </c>
      <c r="AW137" s="136">
        <f>AW6*Premissas!$I$42</f>
        <v>1959.98377729</v>
      </c>
      <c r="AX137" s="136">
        <f>AX6*Premissas!$I$42</f>
        <v>1955.696731434</v>
      </c>
      <c r="AY137" s="136">
        <f>AY6*Premissas!$I$42</f>
        <v>1830.3006401459998</v>
      </c>
      <c r="AZ137" s="136">
        <f>AZ6*Premissas!$J$42</f>
        <v>1664.9436911801645</v>
      </c>
      <c r="BA137" s="136">
        <f>BA6*Premissas!$J$42</f>
        <v>1752.4945651739918</v>
      </c>
      <c r="BB137" s="136">
        <f>BB6*Premissas!$J$42</f>
        <v>2103.7723050019872</v>
      </c>
      <c r="BC137" s="136">
        <f>BC6*Premissas!$J$42</f>
        <v>1974.0573597902735</v>
      </c>
      <c r="BD137" s="136">
        <f>BD6*Premissas!$J$42</f>
        <v>2028.7095157956226</v>
      </c>
      <c r="BE137" s="136">
        <f>BE6*Premissas!$J$42</f>
        <v>1961.5692750028102</v>
      </c>
      <c r="BF137" s="136">
        <f>BF6*Premissas!$K$42</f>
        <v>2406.4307090009797</v>
      </c>
      <c r="BG137" s="136">
        <f>BG6*Premissas!$K$42</f>
        <v>2483.2852114944862</v>
      </c>
      <c r="BH137" s="136">
        <f>BH6*Premissas!$K$42</f>
        <v>2212.8198178435223</v>
      </c>
      <c r="BI137" s="136">
        <f>BI6*Premissas!$K$42</f>
        <v>2538.1069333634441</v>
      </c>
      <c r="BJ137" s="136">
        <f>BJ6*Premissas!$K$42</f>
        <v>2532.5553665919042</v>
      </c>
      <c r="BK137" s="136">
        <f>BK6*Premissas!$K$42</f>
        <v>2370.1720385243589</v>
      </c>
    </row>
    <row r="138" spans="1:63" ht="12.75" customHeight="1" x14ac:dyDescent="0.2">
      <c r="A138" s="126" t="s">
        <v>409</v>
      </c>
      <c r="B138" s="120">
        <f>AA138</f>
        <v>16254.069350000002</v>
      </c>
      <c r="C138" s="120" t="s">
        <v>397</v>
      </c>
      <c r="D138" s="120">
        <f>0</f>
        <v>0</v>
      </c>
      <c r="E138" s="120">
        <f t="shared" ref="E138:AJ138" si="124">D140</f>
        <v>138.279</v>
      </c>
      <c r="F138" s="120">
        <f t="shared" si="124"/>
        <v>400.44999999999982</v>
      </c>
      <c r="G138" s="120">
        <f t="shared" si="124"/>
        <v>848.1569999999997</v>
      </c>
      <c r="H138" s="120">
        <f t="shared" si="124"/>
        <v>157.97799999999961</v>
      </c>
      <c r="I138" s="120">
        <f t="shared" si="124"/>
        <v>2036.9459999999995</v>
      </c>
      <c r="J138" s="120">
        <f t="shared" si="124"/>
        <v>4270.9139999999989</v>
      </c>
      <c r="K138" s="120">
        <f t="shared" si="124"/>
        <v>5149.7299999999987</v>
      </c>
      <c r="L138" s="120">
        <f t="shared" si="124"/>
        <v>5911.2392799999998</v>
      </c>
      <c r="M138" s="120">
        <f t="shared" si="124"/>
        <v>6188.9918799999996</v>
      </c>
      <c r="N138" s="120">
        <f t="shared" si="124"/>
        <v>7134.7944800000005</v>
      </c>
      <c r="O138" s="120">
        <f t="shared" si="124"/>
        <v>6870.4960700000011</v>
      </c>
      <c r="P138" s="120">
        <f t="shared" si="124"/>
        <v>6737.9427800000012</v>
      </c>
      <c r="Q138" s="120">
        <f t="shared" si="124"/>
        <v>7303.4765750000015</v>
      </c>
      <c r="R138" s="120">
        <f t="shared" si="124"/>
        <v>8018.2850300000018</v>
      </c>
      <c r="S138" s="120">
        <f t="shared" si="124"/>
        <v>9012.6827650000014</v>
      </c>
      <c r="T138" s="120">
        <f t="shared" si="124"/>
        <v>8807.729470000002</v>
      </c>
      <c r="U138" s="120">
        <f t="shared" si="124"/>
        <v>10449.188030000001</v>
      </c>
      <c r="V138" s="120">
        <f t="shared" si="124"/>
        <v>12463.936590000001</v>
      </c>
      <c r="W138" s="120">
        <f t="shared" si="124"/>
        <v>13103.532060000001</v>
      </c>
      <c r="X138" s="120">
        <f t="shared" si="124"/>
        <v>13722.617040000001</v>
      </c>
      <c r="Y138" s="120">
        <f t="shared" si="124"/>
        <v>13873.457390000001</v>
      </c>
      <c r="Z138" s="120">
        <f t="shared" si="124"/>
        <v>14673.691490000001</v>
      </c>
      <c r="AA138" s="120">
        <f t="shared" si="124"/>
        <v>16254.069350000002</v>
      </c>
      <c r="AB138" s="120">
        <f t="shared" si="124"/>
        <v>17847.914690000001</v>
      </c>
      <c r="AC138" s="120">
        <f t="shared" si="124"/>
        <v>16994.204976950001</v>
      </c>
      <c r="AD138" s="120">
        <f t="shared" si="124"/>
        <v>16219.245812500001</v>
      </c>
      <c r="AE138" s="120">
        <f t="shared" si="124"/>
        <v>15760.255106850002</v>
      </c>
      <c r="AF138" s="120">
        <f t="shared" si="124"/>
        <v>15184.587974900001</v>
      </c>
      <c r="AG138" s="120">
        <f t="shared" si="124"/>
        <v>14658.079544300002</v>
      </c>
      <c r="AH138" s="120">
        <f t="shared" si="124"/>
        <v>14071.179588700003</v>
      </c>
      <c r="AI138" s="120">
        <f t="shared" si="124"/>
        <v>13546.321529775003</v>
      </c>
      <c r="AJ138" s="120">
        <f t="shared" si="124"/>
        <v>13079.794753825003</v>
      </c>
      <c r="AK138" s="120">
        <f t="shared" ref="AK138:BK138" si="125">AJ140</f>
        <v>12407.989264200003</v>
      </c>
      <c r="AL138" s="120">
        <f t="shared" si="125"/>
        <v>11983.071258950004</v>
      </c>
      <c r="AM138" s="120">
        <f t="shared" si="125"/>
        <v>11553.939707300004</v>
      </c>
      <c r="AN138" s="120">
        <f t="shared" si="125"/>
        <v>11001.561923450005</v>
      </c>
      <c r="AO138" s="120">
        <f t="shared" si="125"/>
        <v>10118.22362659063</v>
      </c>
      <c r="AP138" s="120">
        <f t="shared" si="125"/>
        <v>9315.1689320437563</v>
      </c>
      <c r="AQ138" s="120">
        <f t="shared" si="125"/>
        <v>8834.2337216218821</v>
      </c>
      <c r="AR138" s="120">
        <f t="shared" si="125"/>
        <v>8234.350720043758</v>
      </c>
      <c r="AS138" s="120">
        <f t="shared" si="125"/>
        <v>7684.5834027312585</v>
      </c>
      <c r="AT138" s="120">
        <f t="shared" si="125"/>
        <v>7073.2489057312596</v>
      </c>
      <c r="AU138" s="120">
        <f t="shared" si="125"/>
        <v>6521.46809537426</v>
      </c>
      <c r="AV138" s="120">
        <f t="shared" si="125"/>
        <v>6029.0360760862604</v>
      </c>
      <c r="AW138" s="120">
        <f t="shared" si="125"/>
        <v>5327.7445415012608</v>
      </c>
      <c r="AX138" s="120">
        <f t="shared" si="125"/>
        <v>4877.6471000412612</v>
      </c>
      <c r="AY138" s="120">
        <f t="shared" si="125"/>
        <v>4423.2626127252615</v>
      </c>
      <c r="AZ138" s="120">
        <f t="shared" si="125"/>
        <v>3843.4820341212617</v>
      </c>
      <c r="BA138" s="120">
        <f t="shared" si="125"/>
        <v>3038.0924760826765</v>
      </c>
      <c r="BB138" s="120">
        <f t="shared" si="125"/>
        <v>2320.2537920379186</v>
      </c>
      <c r="BC138" s="120">
        <f t="shared" si="125"/>
        <v>1953.6928478211562</v>
      </c>
      <c r="BD138" s="120">
        <f t="shared" si="125"/>
        <v>1457.41695839268</v>
      </c>
      <c r="BE138" s="120">
        <f t="shared" si="125"/>
        <v>1015.793224969553</v>
      </c>
      <c r="BF138" s="120">
        <f t="shared" si="125"/>
        <v>507.0292507536135</v>
      </c>
      <c r="BG138" s="120">
        <f t="shared" si="125"/>
        <v>443.12671053584359</v>
      </c>
      <c r="BH138" s="120">
        <f t="shared" si="125"/>
        <v>456.07867281158019</v>
      </c>
      <c r="BI138" s="120">
        <f t="shared" si="125"/>
        <v>198.56524143635284</v>
      </c>
      <c r="BJ138" s="120">
        <f t="shared" si="125"/>
        <v>266.33892558104731</v>
      </c>
      <c r="BK138" s="120">
        <f t="shared" si="125"/>
        <v>328.56104295420187</v>
      </c>
    </row>
    <row r="139" spans="1:63" ht="12.75" customHeight="1" x14ac:dyDescent="0.2">
      <c r="A139" s="126" t="s">
        <v>410</v>
      </c>
      <c r="B139" s="120">
        <f>SUM(D139:BQ139)</f>
        <v>19054.446616533776</v>
      </c>
      <c r="C139" s="120">
        <f>B139/60</f>
        <v>317.57411027556293</v>
      </c>
      <c r="D139" s="120">
        <f t="shared" ref="D139:AI139" si="126">MIN(D138,MAX(D136-D137,0))</f>
        <v>0</v>
      </c>
      <c r="E139" s="120">
        <f t="shared" si="126"/>
        <v>0</v>
      </c>
      <c r="F139" s="120">
        <f t="shared" si="126"/>
        <v>0</v>
      </c>
      <c r="G139" s="120">
        <f t="shared" si="126"/>
        <v>690.17900000000009</v>
      </c>
      <c r="H139" s="120">
        <f t="shared" si="126"/>
        <v>0</v>
      </c>
      <c r="I139" s="120">
        <f t="shared" si="126"/>
        <v>0</v>
      </c>
      <c r="J139" s="120">
        <f t="shared" si="126"/>
        <v>0</v>
      </c>
      <c r="K139" s="120">
        <f t="shared" si="126"/>
        <v>0</v>
      </c>
      <c r="L139" s="120">
        <f t="shared" si="126"/>
        <v>0</v>
      </c>
      <c r="M139" s="120">
        <f t="shared" si="126"/>
        <v>0</v>
      </c>
      <c r="N139" s="120">
        <f t="shared" si="126"/>
        <v>264.29840999999942</v>
      </c>
      <c r="O139" s="120">
        <f t="shared" si="126"/>
        <v>132.55328999999983</v>
      </c>
      <c r="P139" s="120">
        <f t="shared" si="126"/>
        <v>0</v>
      </c>
      <c r="Q139" s="120">
        <f t="shared" si="126"/>
        <v>0</v>
      </c>
      <c r="R139" s="120">
        <f t="shared" si="126"/>
        <v>0</v>
      </c>
      <c r="S139" s="120">
        <f t="shared" si="126"/>
        <v>204.9532949999998</v>
      </c>
      <c r="T139" s="120">
        <f t="shared" si="126"/>
        <v>0</v>
      </c>
      <c r="U139" s="120">
        <f t="shared" si="126"/>
        <v>0</v>
      </c>
      <c r="V139" s="120">
        <f t="shared" si="126"/>
        <v>0</v>
      </c>
      <c r="W139" s="120">
        <f t="shared" si="126"/>
        <v>0</v>
      </c>
      <c r="X139" s="120">
        <f t="shared" si="126"/>
        <v>0</v>
      </c>
      <c r="Y139" s="120">
        <f t="shared" si="126"/>
        <v>0</v>
      </c>
      <c r="Z139" s="120">
        <f t="shared" si="126"/>
        <v>0</v>
      </c>
      <c r="AA139" s="120">
        <f t="shared" si="126"/>
        <v>0</v>
      </c>
      <c r="AB139" s="120">
        <f t="shared" si="126"/>
        <v>853.70971304999989</v>
      </c>
      <c r="AC139" s="120">
        <f t="shared" si="126"/>
        <v>774.95916444999989</v>
      </c>
      <c r="AD139" s="120">
        <f t="shared" si="126"/>
        <v>458.99070564999965</v>
      </c>
      <c r="AE139" s="120">
        <f t="shared" si="126"/>
        <v>575.66713194999988</v>
      </c>
      <c r="AF139" s="120">
        <f t="shared" si="126"/>
        <v>526.50843059999966</v>
      </c>
      <c r="AG139" s="120">
        <f t="shared" si="126"/>
        <v>586.89995559999966</v>
      </c>
      <c r="AH139" s="120">
        <f t="shared" si="126"/>
        <v>524.85805892500002</v>
      </c>
      <c r="AI139" s="120">
        <f t="shared" si="126"/>
        <v>466.52677595</v>
      </c>
      <c r="AJ139" s="120">
        <f t="shared" ref="AJ139:BO139" si="127">MIN(AJ138,MAX(AJ136-AJ137,0))</f>
        <v>671.80548962500006</v>
      </c>
      <c r="AK139" s="120">
        <f t="shared" si="127"/>
        <v>424.91800525000008</v>
      </c>
      <c r="AL139" s="120">
        <f t="shared" si="127"/>
        <v>429.13155164999989</v>
      </c>
      <c r="AM139" s="120">
        <f t="shared" si="127"/>
        <v>552.37778384999979</v>
      </c>
      <c r="AN139" s="120">
        <f t="shared" si="127"/>
        <v>883.3382968593744</v>
      </c>
      <c r="AO139" s="120">
        <f t="shared" si="127"/>
        <v>803.05469454687477</v>
      </c>
      <c r="AP139" s="120">
        <f t="shared" si="127"/>
        <v>480.93521042187444</v>
      </c>
      <c r="AQ139" s="120">
        <f t="shared" si="127"/>
        <v>599.88300157812432</v>
      </c>
      <c r="AR139" s="120">
        <f t="shared" si="127"/>
        <v>549.76731731249947</v>
      </c>
      <c r="AS139" s="120">
        <f t="shared" si="127"/>
        <v>611.33449699999937</v>
      </c>
      <c r="AT139" s="120">
        <f t="shared" si="127"/>
        <v>551.78081035699984</v>
      </c>
      <c r="AU139" s="120">
        <f t="shared" si="127"/>
        <v>492.43201928799976</v>
      </c>
      <c r="AV139" s="120">
        <f t="shared" si="127"/>
        <v>701.29153458499968</v>
      </c>
      <c r="AW139" s="120">
        <f t="shared" si="127"/>
        <v>450.09744145999957</v>
      </c>
      <c r="AX139" s="120">
        <f t="shared" si="127"/>
        <v>454.38448731599965</v>
      </c>
      <c r="AY139" s="120">
        <f t="shared" si="127"/>
        <v>579.78057860399986</v>
      </c>
      <c r="AZ139" s="120">
        <f t="shared" si="127"/>
        <v>805.38955803858516</v>
      </c>
      <c r="BA139" s="120">
        <f t="shared" si="127"/>
        <v>717.83868404475788</v>
      </c>
      <c r="BB139" s="120">
        <f t="shared" si="127"/>
        <v>366.56094421676244</v>
      </c>
      <c r="BC139" s="120">
        <f t="shared" si="127"/>
        <v>496.27588942847615</v>
      </c>
      <c r="BD139" s="120">
        <f t="shared" si="127"/>
        <v>441.62373342312708</v>
      </c>
      <c r="BE139" s="120">
        <f t="shared" si="127"/>
        <v>508.76397421593947</v>
      </c>
      <c r="BF139" s="120">
        <f t="shared" si="127"/>
        <v>63.902540217769911</v>
      </c>
      <c r="BG139" s="120">
        <f t="shared" si="127"/>
        <v>0</v>
      </c>
      <c r="BH139" s="120">
        <f t="shared" si="127"/>
        <v>257.51343137522736</v>
      </c>
      <c r="BI139" s="120">
        <f t="shared" si="127"/>
        <v>0</v>
      </c>
      <c r="BJ139" s="120">
        <f t="shared" si="127"/>
        <v>0</v>
      </c>
      <c r="BK139" s="120">
        <f t="shared" si="127"/>
        <v>100.16121069439077</v>
      </c>
    </row>
    <row r="140" spans="1:63" ht="13.5" customHeight="1" x14ac:dyDescent="0.2">
      <c r="A140" s="41" t="s">
        <v>411</v>
      </c>
      <c r="B140" s="43">
        <f>AA140</f>
        <v>17847.914690000001</v>
      </c>
      <c r="C140" s="120" t="s">
        <v>397</v>
      </c>
      <c r="D140" s="137">
        <f t="shared" ref="D140:AI140" si="128">MAX(D138-D139,0)+MAX(D137-D136,0)</f>
        <v>138.279</v>
      </c>
      <c r="E140" s="137">
        <f t="shared" si="128"/>
        <v>400.44999999999982</v>
      </c>
      <c r="F140" s="137">
        <f t="shared" si="128"/>
        <v>848.1569999999997</v>
      </c>
      <c r="G140" s="137">
        <f t="shared" si="128"/>
        <v>157.97799999999961</v>
      </c>
      <c r="H140" s="137">
        <f t="shared" si="128"/>
        <v>2036.9459999999995</v>
      </c>
      <c r="I140" s="137">
        <f t="shared" si="128"/>
        <v>4270.9139999999989</v>
      </c>
      <c r="J140" s="137">
        <f t="shared" si="128"/>
        <v>5149.7299999999987</v>
      </c>
      <c r="K140" s="137">
        <f t="shared" si="128"/>
        <v>5911.2392799999998</v>
      </c>
      <c r="L140" s="137">
        <f t="shared" si="128"/>
        <v>6188.9918799999996</v>
      </c>
      <c r="M140" s="137">
        <f t="shared" si="128"/>
        <v>7134.7944800000005</v>
      </c>
      <c r="N140" s="137">
        <f t="shared" si="128"/>
        <v>6870.4960700000011</v>
      </c>
      <c r="O140" s="137">
        <f t="shared" si="128"/>
        <v>6737.9427800000012</v>
      </c>
      <c r="P140" s="137">
        <f t="shared" si="128"/>
        <v>7303.4765750000015</v>
      </c>
      <c r="Q140" s="137">
        <f t="shared" si="128"/>
        <v>8018.2850300000018</v>
      </c>
      <c r="R140" s="137">
        <f t="shared" si="128"/>
        <v>9012.6827650000014</v>
      </c>
      <c r="S140" s="137">
        <f t="shared" si="128"/>
        <v>8807.729470000002</v>
      </c>
      <c r="T140" s="137">
        <f t="shared" si="128"/>
        <v>10449.188030000001</v>
      </c>
      <c r="U140" s="137">
        <f t="shared" si="128"/>
        <v>12463.936590000001</v>
      </c>
      <c r="V140" s="137">
        <f t="shared" si="128"/>
        <v>13103.532060000001</v>
      </c>
      <c r="W140" s="137">
        <f t="shared" si="128"/>
        <v>13722.617040000001</v>
      </c>
      <c r="X140" s="137">
        <f t="shared" si="128"/>
        <v>13873.457390000001</v>
      </c>
      <c r="Y140" s="137">
        <f t="shared" si="128"/>
        <v>14673.691490000001</v>
      </c>
      <c r="Z140" s="137">
        <f t="shared" si="128"/>
        <v>16254.069350000002</v>
      </c>
      <c r="AA140" s="137">
        <f t="shared" si="128"/>
        <v>17847.914690000001</v>
      </c>
      <c r="AB140" s="137">
        <f t="shared" si="128"/>
        <v>16994.204976950001</v>
      </c>
      <c r="AC140" s="137">
        <f t="shared" si="128"/>
        <v>16219.245812500001</v>
      </c>
      <c r="AD140" s="137">
        <f t="shared" si="128"/>
        <v>15760.255106850002</v>
      </c>
      <c r="AE140" s="137">
        <f t="shared" si="128"/>
        <v>15184.587974900001</v>
      </c>
      <c r="AF140" s="137">
        <f t="shared" si="128"/>
        <v>14658.079544300002</v>
      </c>
      <c r="AG140" s="137">
        <f t="shared" si="128"/>
        <v>14071.179588700003</v>
      </c>
      <c r="AH140" s="137">
        <f t="shared" si="128"/>
        <v>13546.321529775003</v>
      </c>
      <c r="AI140" s="137">
        <f t="shared" si="128"/>
        <v>13079.794753825003</v>
      </c>
      <c r="AJ140" s="137">
        <f t="shared" ref="AJ140:BO140" si="129">MAX(AJ138-AJ139,0)+MAX(AJ137-AJ136,0)</f>
        <v>12407.989264200003</v>
      </c>
      <c r="AK140" s="137">
        <f t="shared" si="129"/>
        <v>11983.071258950004</v>
      </c>
      <c r="AL140" s="137">
        <f t="shared" si="129"/>
        <v>11553.939707300004</v>
      </c>
      <c r="AM140" s="137">
        <f t="shared" si="129"/>
        <v>11001.561923450005</v>
      </c>
      <c r="AN140" s="137">
        <f t="shared" si="129"/>
        <v>10118.22362659063</v>
      </c>
      <c r="AO140" s="137">
        <f t="shared" si="129"/>
        <v>9315.1689320437563</v>
      </c>
      <c r="AP140" s="137">
        <f t="shared" si="129"/>
        <v>8834.2337216218821</v>
      </c>
      <c r="AQ140" s="137">
        <f t="shared" si="129"/>
        <v>8234.350720043758</v>
      </c>
      <c r="AR140" s="137">
        <f t="shared" si="129"/>
        <v>7684.5834027312585</v>
      </c>
      <c r="AS140" s="137">
        <f t="shared" si="129"/>
        <v>7073.2489057312596</v>
      </c>
      <c r="AT140" s="137">
        <f t="shared" si="129"/>
        <v>6521.46809537426</v>
      </c>
      <c r="AU140" s="137">
        <f t="shared" si="129"/>
        <v>6029.0360760862604</v>
      </c>
      <c r="AV140" s="137">
        <f t="shared" si="129"/>
        <v>5327.7445415012608</v>
      </c>
      <c r="AW140" s="137">
        <f t="shared" si="129"/>
        <v>4877.6471000412612</v>
      </c>
      <c r="AX140" s="137">
        <f t="shared" si="129"/>
        <v>4423.2626127252615</v>
      </c>
      <c r="AY140" s="137">
        <f t="shared" si="129"/>
        <v>3843.4820341212617</v>
      </c>
      <c r="AZ140" s="137">
        <f t="shared" si="129"/>
        <v>3038.0924760826765</v>
      </c>
      <c r="BA140" s="137">
        <f t="shared" si="129"/>
        <v>2320.2537920379186</v>
      </c>
      <c r="BB140" s="137">
        <f t="shared" si="129"/>
        <v>1953.6928478211562</v>
      </c>
      <c r="BC140" s="137">
        <f t="shared" si="129"/>
        <v>1457.41695839268</v>
      </c>
      <c r="BD140" s="137">
        <f t="shared" si="129"/>
        <v>1015.793224969553</v>
      </c>
      <c r="BE140" s="137">
        <f t="shared" si="129"/>
        <v>507.0292507536135</v>
      </c>
      <c r="BF140" s="137">
        <f t="shared" si="129"/>
        <v>443.12671053584359</v>
      </c>
      <c r="BG140" s="137">
        <f t="shared" si="129"/>
        <v>456.07867281158019</v>
      </c>
      <c r="BH140" s="137">
        <f t="shared" si="129"/>
        <v>198.56524143635284</v>
      </c>
      <c r="BI140" s="137">
        <f t="shared" si="129"/>
        <v>266.33892558104731</v>
      </c>
      <c r="BJ140" s="137">
        <f t="shared" si="129"/>
        <v>328.56104295420187</v>
      </c>
      <c r="BK140" s="137">
        <f t="shared" si="129"/>
        <v>228.39983225981109</v>
      </c>
    </row>
    <row r="141" spans="1:63" ht="12.75" customHeight="1" x14ac:dyDescent="0.2">
      <c r="A141" s="127" t="s">
        <v>412</v>
      </c>
      <c r="B141" s="128">
        <f>AA141</f>
        <v>0</v>
      </c>
      <c r="C141" s="120" t="s">
        <v>397</v>
      </c>
      <c r="D141" s="128">
        <f>0</f>
        <v>0</v>
      </c>
      <c r="E141" s="128">
        <f t="shared" ref="E141:AJ141" si="130">D143</f>
        <v>0</v>
      </c>
      <c r="F141" s="128">
        <f t="shared" si="130"/>
        <v>0</v>
      </c>
      <c r="G141" s="128">
        <f t="shared" si="130"/>
        <v>0</v>
      </c>
      <c r="H141" s="128">
        <f t="shared" si="130"/>
        <v>0</v>
      </c>
      <c r="I141" s="128">
        <f t="shared" si="130"/>
        <v>0</v>
      </c>
      <c r="J141" s="128">
        <f t="shared" si="130"/>
        <v>0</v>
      </c>
      <c r="K141" s="128">
        <f t="shared" si="130"/>
        <v>0</v>
      </c>
      <c r="L141" s="128">
        <f t="shared" si="130"/>
        <v>0</v>
      </c>
      <c r="M141" s="128">
        <f t="shared" si="130"/>
        <v>0</v>
      </c>
      <c r="N141" s="128">
        <f t="shared" si="130"/>
        <v>0</v>
      </c>
      <c r="O141" s="128">
        <f t="shared" si="130"/>
        <v>0</v>
      </c>
      <c r="P141" s="128">
        <f t="shared" si="130"/>
        <v>0</v>
      </c>
      <c r="Q141" s="128">
        <f t="shared" si="130"/>
        <v>0</v>
      </c>
      <c r="R141" s="128">
        <f t="shared" si="130"/>
        <v>0</v>
      </c>
      <c r="S141" s="128">
        <f t="shared" si="130"/>
        <v>0</v>
      </c>
      <c r="T141" s="128">
        <f t="shared" si="130"/>
        <v>0</v>
      </c>
      <c r="U141" s="128">
        <f t="shared" si="130"/>
        <v>0</v>
      </c>
      <c r="V141" s="128">
        <f t="shared" si="130"/>
        <v>0</v>
      </c>
      <c r="W141" s="128">
        <f t="shared" si="130"/>
        <v>0</v>
      </c>
      <c r="X141" s="128">
        <f t="shared" si="130"/>
        <v>0</v>
      </c>
      <c r="Y141" s="128">
        <f t="shared" si="130"/>
        <v>0</v>
      </c>
      <c r="Z141" s="128">
        <f t="shared" si="130"/>
        <v>0</v>
      </c>
      <c r="AA141" s="128">
        <f t="shared" si="130"/>
        <v>0</v>
      </c>
      <c r="AB141" s="128">
        <f t="shared" si="130"/>
        <v>0</v>
      </c>
      <c r="AC141" s="128">
        <f t="shared" si="130"/>
        <v>0</v>
      </c>
      <c r="AD141" s="128">
        <f t="shared" si="130"/>
        <v>0</v>
      </c>
      <c r="AE141" s="128">
        <f t="shared" si="130"/>
        <v>0</v>
      </c>
      <c r="AF141" s="128">
        <f t="shared" si="130"/>
        <v>0</v>
      </c>
      <c r="AG141" s="128">
        <f t="shared" si="130"/>
        <v>0</v>
      </c>
      <c r="AH141" s="128">
        <f t="shared" si="130"/>
        <v>0</v>
      </c>
      <c r="AI141" s="128">
        <f t="shared" si="130"/>
        <v>0</v>
      </c>
      <c r="AJ141" s="128">
        <f t="shared" si="130"/>
        <v>0</v>
      </c>
      <c r="AK141" s="128">
        <f t="shared" ref="AK141:BK141" si="131">AJ143</f>
        <v>0</v>
      </c>
      <c r="AL141" s="128">
        <f t="shared" si="131"/>
        <v>0</v>
      </c>
      <c r="AM141" s="128">
        <f t="shared" si="131"/>
        <v>0</v>
      </c>
      <c r="AN141" s="128">
        <f t="shared" si="131"/>
        <v>0</v>
      </c>
      <c r="AO141" s="128">
        <f t="shared" si="131"/>
        <v>0</v>
      </c>
      <c r="AP141" s="128">
        <f t="shared" si="131"/>
        <v>0</v>
      </c>
      <c r="AQ141" s="128">
        <f t="shared" si="131"/>
        <v>0</v>
      </c>
      <c r="AR141" s="128">
        <f t="shared" si="131"/>
        <v>0</v>
      </c>
      <c r="AS141" s="128">
        <f t="shared" si="131"/>
        <v>0</v>
      </c>
      <c r="AT141" s="128">
        <f t="shared" si="131"/>
        <v>0</v>
      </c>
      <c r="AU141" s="128">
        <f t="shared" si="131"/>
        <v>0</v>
      </c>
      <c r="AV141" s="128">
        <f t="shared" si="131"/>
        <v>0</v>
      </c>
      <c r="AW141" s="128">
        <f t="shared" si="131"/>
        <v>0</v>
      </c>
      <c r="AX141" s="128">
        <f t="shared" si="131"/>
        <v>0</v>
      </c>
      <c r="AY141" s="128">
        <f t="shared" si="131"/>
        <v>0</v>
      </c>
      <c r="AZ141" s="128">
        <f t="shared" si="131"/>
        <v>0</v>
      </c>
      <c r="BA141" s="128">
        <f t="shared" si="131"/>
        <v>0</v>
      </c>
      <c r="BB141" s="128">
        <f t="shared" si="131"/>
        <v>0</v>
      </c>
      <c r="BC141" s="128">
        <f t="shared" si="131"/>
        <v>0</v>
      </c>
      <c r="BD141" s="128">
        <f t="shared" si="131"/>
        <v>0</v>
      </c>
      <c r="BE141" s="128">
        <f t="shared" si="131"/>
        <v>0</v>
      </c>
      <c r="BF141" s="128">
        <f t="shared" si="131"/>
        <v>0</v>
      </c>
      <c r="BG141" s="128">
        <f t="shared" si="131"/>
        <v>0</v>
      </c>
      <c r="BH141" s="128">
        <f t="shared" si="131"/>
        <v>0</v>
      </c>
      <c r="BI141" s="128">
        <f t="shared" si="131"/>
        <v>0</v>
      </c>
      <c r="BJ141" s="128">
        <f t="shared" si="131"/>
        <v>0</v>
      </c>
      <c r="BK141" s="128">
        <f t="shared" si="131"/>
        <v>0</v>
      </c>
    </row>
    <row r="142" spans="1:63" ht="12.75" customHeight="1" x14ac:dyDescent="0.2">
      <c r="A142" s="127" t="s">
        <v>420</v>
      </c>
      <c r="B142" s="128">
        <f>SUM(D142:BQ142)</f>
        <v>0</v>
      </c>
      <c r="C142" s="120">
        <f>B142/60</f>
        <v>0</v>
      </c>
      <c r="D142" s="128">
        <f t="shared" ref="D142:AI142" si="132">MIN(D141,D136)</f>
        <v>0</v>
      </c>
      <c r="E142" s="128">
        <f t="shared" si="132"/>
        <v>0</v>
      </c>
      <c r="F142" s="128">
        <f t="shared" si="132"/>
        <v>0</v>
      </c>
      <c r="G142" s="128">
        <f t="shared" si="132"/>
        <v>0</v>
      </c>
      <c r="H142" s="128">
        <f t="shared" si="132"/>
        <v>0</v>
      </c>
      <c r="I142" s="128">
        <f t="shared" si="132"/>
        <v>0</v>
      </c>
      <c r="J142" s="128">
        <f t="shared" si="132"/>
        <v>0</v>
      </c>
      <c r="K142" s="128">
        <f t="shared" si="132"/>
        <v>0</v>
      </c>
      <c r="L142" s="128">
        <f t="shared" si="132"/>
        <v>0</v>
      </c>
      <c r="M142" s="128">
        <f t="shared" si="132"/>
        <v>0</v>
      </c>
      <c r="N142" s="128">
        <f t="shared" si="132"/>
        <v>0</v>
      </c>
      <c r="O142" s="128">
        <f t="shared" si="132"/>
        <v>0</v>
      </c>
      <c r="P142" s="128">
        <f t="shared" si="132"/>
        <v>0</v>
      </c>
      <c r="Q142" s="128">
        <f t="shared" si="132"/>
        <v>0</v>
      </c>
      <c r="R142" s="128">
        <f t="shared" si="132"/>
        <v>0</v>
      </c>
      <c r="S142" s="128">
        <f t="shared" si="132"/>
        <v>0</v>
      </c>
      <c r="T142" s="128">
        <f t="shared" si="132"/>
        <v>0</v>
      </c>
      <c r="U142" s="128">
        <f t="shared" si="132"/>
        <v>0</v>
      </c>
      <c r="V142" s="128">
        <f t="shared" si="132"/>
        <v>0</v>
      </c>
      <c r="W142" s="128">
        <f t="shared" si="132"/>
        <v>0</v>
      </c>
      <c r="X142" s="128">
        <f t="shared" si="132"/>
        <v>0</v>
      </c>
      <c r="Y142" s="128">
        <f t="shared" si="132"/>
        <v>0</v>
      </c>
      <c r="Z142" s="128">
        <f t="shared" si="132"/>
        <v>0</v>
      </c>
      <c r="AA142" s="128">
        <f t="shared" si="132"/>
        <v>0</v>
      </c>
      <c r="AB142" s="128">
        <f t="shared" si="132"/>
        <v>0</v>
      </c>
      <c r="AC142" s="128">
        <f t="shared" si="132"/>
        <v>0</v>
      </c>
      <c r="AD142" s="128">
        <f t="shared" si="132"/>
        <v>0</v>
      </c>
      <c r="AE142" s="128">
        <f t="shared" si="132"/>
        <v>0</v>
      </c>
      <c r="AF142" s="128">
        <f t="shared" si="132"/>
        <v>0</v>
      </c>
      <c r="AG142" s="128">
        <f t="shared" si="132"/>
        <v>0</v>
      </c>
      <c r="AH142" s="128">
        <f t="shared" si="132"/>
        <v>0</v>
      </c>
      <c r="AI142" s="128">
        <f t="shared" si="132"/>
        <v>0</v>
      </c>
      <c r="AJ142" s="128">
        <f t="shared" ref="AJ142:BO142" si="133">MIN(AJ141,AJ136)</f>
        <v>0</v>
      </c>
      <c r="AK142" s="128">
        <f t="shared" si="133"/>
        <v>0</v>
      </c>
      <c r="AL142" s="128">
        <f t="shared" si="133"/>
        <v>0</v>
      </c>
      <c r="AM142" s="128">
        <f t="shared" si="133"/>
        <v>0</v>
      </c>
      <c r="AN142" s="128">
        <f t="shared" si="133"/>
        <v>0</v>
      </c>
      <c r="AO142" s="128">
        <f t="shared" si="133"/>
        <v>0</v>
      </c>
      <c r="AP142" s="128">
        <f t="shared" si="133"/>
        <v>0</v>
      </c>
      <c r="AQ142" s="128">
        <f t="shared" si="133"/>
        <v>0</v>
      </c>
      <c r="AR142" s="128">
        <f t="shared" si="133"/>
        <v>0</v>
      </c>
      <c r="AS142" s="128">
        <f t="shared" si="133"/>
        <v>0</v>
      </c>
      <c r="AT142" s="128">
        <f t="shared" si="133"/>
        <v>0</v>
      </c>
      <c r="AU142" s="128">
        <f t="shared" si="133"/>
        <v>0</v>
      </c>
      <c r="AV142" s="128">
        <f t="shared" si="133"/>
        <v>0</v>
      </c>
      <c r="AW142" s="128">
        <f t="shared" si="133"/>
        <v>0</v>
      </c>
      <c r="AX142" s="128">
        <f t="shared" si="133"/>
        <v>0</v>
      </c>
      <c r="AY142" s="128">
        <f t="shared" si="133"/>
        <v>0</v>
      </c>
      <c r="AZ142" s="128">
        <f t="shared" si="133"/>
        <v>0</v>
      </c>
      <c r="BA142" s="128">
        <f t="shared" si="133"/>
        <v>0</v>
      </c>
      <c r="BB142" s="128">
        <f t="shared" si="133"/>
        <v>0</v>
      </c>
      <c r="BC142" s="128">
        <f t="shared" si="133"/>
        <v>0</v>
      </c>
      <c r="BD142" s="128">
        <f t="shared" si="133"/>
        <v>0</v>
      </c>
      <c r="BE142" s="128">
        <f t="shared" si="133"/>
        <v>0</v>
      </c>
      <c r="BF142" s="128">
        <f t="shared" si="133"/>
        <v>0</v>
      </c>
      <c r="BG142" s="128">
        <f t="shared" si="133"/>
        <v>0</v>
      </c>
      <c r="BH142" s="128">
        <f t="shared" si="133"/>
        <v>0</v>
      </c>
      <c r="BI142" s="128">
        <f t="shared" si="133"/>
        <v>0</v>
      </c>
      <c r="BJ142" s="128">
        <f t="shared" si="133"/>
        <v>0</v>
      </c>
      <c r="BK142" s="128">
        <f t="shared" si="133"/>
        <v>0</v>
      </c>
    </row>
    <row r="143" spans="1:63" ht="12.75" customHeight="1" x14ac:dyDescent="0.2">
      <c r="A143" s="127" t="s">
        <v>421</v>
      </c>
      <c r="B143" s="128">
        <f>AA143</f>
        <v>0</v>
      </c>
      <c r="C143" s="120" t="s">
        <v>397</v>
      </c>
      <c r="D143" s="149">
        <f t="shared" ref="D143:AI143" si="134">MAX(D141-D142,0)</f>
        <v>0</v>
      </c>
      <c r="E143" s="149">
        <f t="shared" si="134"/>
        <v>0</v>
      </c>
      <c r="F143" s="149">
        <f t="shared" si="134"/>
        <v>0</v>
      </c>
      <c r="G143" s="149">
        <f t="shared" si="134"/>
        <v>0</v>
      </c>
      <c r="H143" s="149">
        <f t="shared" si="134"/>
        <v>0</v>
      </c>
      <c r="I143" s="149">
        <f t="shared" si="134"/>
        <v>0</v>
      </c>
      <c r="J143" s="149">
        <f t="shared" si="134"/>
        <v>0</v>
      </c>
      <c r="K143" s="149">
        <f t="shared" si="134"/>
        <v>0</v>
      </c>
      <c r="L143" s="149">
        <f t="shared" si="134"/>
        <v>0</v>
      </c>
      <c r="M143" s="149">
        <f t="shared" si="134"/>
        <v>0</v>
      </c>
      <c r="N143" s="149">
        <f t="shared" si="134"/>
        <v>0</v>
      </c>
      <c r="O143" s="149">
        <f t="shared" si="134"/>
        <v>0</v>
      </c>
      <c r="P143" s="149">
        <f t="shared" si="134"/>
        <v>0</v>
      </c>
      <c r="Q143" s="149">
        <f t="shared" si="134"/>
        <v>0</v>
      </c>
      <c r="R143" s="149">
        <f t="shared" si="134"/>
        <v>0</v>
      </c>
      <c r="S143" s="149">
        <f t="shared" si="134"/>
        <v>0</v>
      </c>
      <c r="T143" s="149">
        <f t="shared" si="134"/>
        <v>0</v>
      </c>
      <c r="U143" s="149">
        <f t="shared" si="134"/>
        <v>0</v>
      </c>
      <c r="V143" s="149">
        <f t="shared" si="134"/>
        <v>0</v>
      </c>
      <c r="W143" s="149">
        <f t="shared" si="134"/>
        <v>0</v>
      </c>
      <c r="X143" s="149">
        <f t="shared" si="134"/>
        <v>0</v>
      </c>
      <c r="Y143" s="149">
        <f t="shared" si="134"/>
        <v>0</v>
      </c>
      <c r="Z143" s="149">
        <f t="shared" si="134"/>
        <v>0</v>
      </c>
      <c r="AA143" s="149">
        <f t="shared" si="134"/>
        <v>0</v>
      </c>
      <c r="AB143" s="149">
        <f t="shared" si="134"/>
        <v>0</v>
      </c>
      <c r="AC143" s="149">
        <f t="shared" si="134"/>
        <v>0</v>
      </c>
      <c r="AD143" s="149">
        <f t="shared" si="134"/>
        <v>0</v>
      </c>
      <c r="AE143" s="149">
        <f t="shared" si="134"/>
        <v>0</v>
      </c>
      <c r="AF143" s="149">
        <f t="shared" si="134"/>
        <v>0</v>
      </c>
      <c r="AG143" s="149">
        <f t="shared" si="134"/>
        <v>0</v>
      </c>
      <c r="AH143" s="149">
        <f t="shared" si="134"/>
        <v>0</v>
      </c>
      <c r="AI143" s="149">
        <f t="shared" si="134"/>
        <v>0</v>
      </c>
      <c r="AJ143" s="149">
        <f t="shared" ref="AJ143:BO143" si="135">MAX(AJ141-AJ142,0)</f>
        <v>0</v>
      </c>
      <c r="AK143" s="149">
        <f t="shared" si="135"/>
        <v>0</v>
      </c>
      <c r="AL143" s="149">
        <f t="shared" si="135"/>
        <v>0</v>
      </c>
      <c r="AM143" s="149">
        <f t="shared" si="135"/>
        <v>0</v>
      </c>
      <c r="AN143" s="149">
        <f t="shared" si="135"/>
        <v>0</v>
      </c>
      <c r="AO143" s="149">
        <f t="shared" si="135"/>
        <v>0</v>
      </c>
      <c r="AP143" s="149">
        <f t="shared" si="135"/>
        <v>0</v>
      </c>
      <c r="AQ143" s="149">
        <f t="shared" si="135"/>
        <v>0</v>
      </c>
      <c r="AR143" s="149">
        <f t="shared" si="135"/>
        <v>0</v>
      </c>
      <c r="AS143" s="149">
        <f t="shared" si="135"/>
        <v>0</v>
      </c>
      <c r="AT143" s="149">
        <f t="shared" si="135"/>
        <v>0</v>
      </c>
      <c r="AU143" s="149">
        <f t="shared" si="135"/>
        <v>0</v>
      </c>
      <c r="AV143" s="149">
        <f t="shared" si="135"/>
        <v>0</v>
      </c>
      <c r="AW143" s="149">
        <f t="shared" si="135"/>
        <v>0</v>
      </c>
      <c r="AX143" s="149">
        <f t="shared" si="135"/>
        <v>0</v>
      </c>
      <c r="AY143" s="149">
        <f t="shared" si="135"/>
        <v>0</v>
      </c>
      <c r="AZ143" s="149">
        <f t="shared" si="135"/>
        <v>0</v>
      </c>
      <c r="BA143" s="149">
        <f t="shared" si="135"/>
        <v>0</v>
      </c>
      <c r="BB143" s="149">
        <f t="shared" si="135"/>
        <v>0</v>
      </c>
      <c r="BC143" s="149">
        <f t="shared" si="135"/>
        <v>0</v>
      </c>
      <c r="BD143" s="149">
        <f t="shared" si="135"/>
        <v>0</v>
      </c>
      <c r="BE143" s="149">
        <f t="shared" si="135"/>
        <v>0</v>
      </c>
      <c r="BF143" s="149">
        <f t="shared" si="135"/>
        <v>0</v>
      </c>
      <c r="BG143" s="149">
        <f t="shared" si="135"/>
        <v>0</v>
      </c>
      <c r="BH143" s="149">
        <f t="shared" si="135"/>
        <v>0</v>
      </c>
      <c r="BI143" s="149">
        <f t="shared" si="135"/>
        <v>0</v>
      </c>
      <c r="BJ143" s="149">
        <f t="shared" si="135"/>
        <v>0</v>
      </c>
      <c r="BK143" s="149">
        <f t="shared" si="135"/>
        <v>0</v>
      </c>
    </row>
    <row r="144" spans="1:63" ht="12.75" customHeight="1" x14ac:dyDescent="0.2">
      <c r="A14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44" s="142">
        <f>SUM(D144:BQ144)</f>
        <v>171080.54099223376</v>
      </c>
      <c r="C144" s="124">
        <f>B144/60</f>
        <v>2851.3423498705624</v>
      </c>
      <c r="D144" s="142">
        <f>D136*Premissas!$F$19*(1+Premissas!$B$127)*(1+Premissas!$B$124)^0</f>
        <v>1411.5287643494746</v>
      </c>
      <c r="E144" s="142">
        <f>E136*Premissas!$F$19*(1+Premissas!$B$127)*(1+Premissas!$B$124)^0</f>
        <v>1364.8923514304392</v>
      </c>
      <c r="F144" s="142">
        <f>F136*Premissas!$F$19*(1+Premissas!$B$127)*(1+Premissas!$B$124)^0</f>
        <v>1500.6561312614092</v>
      </c>
      <c r="G144" s="142">
        <f>G136*Premissas!$F$19*(1+Premissas!$B$127)*(1+Premissas!$B$124)^0</f>
        <v>2558.7845221577481</v>
      </c>
      <c r="H144" s="142">
        <f>H136*Premissas!$F$19*(1+Premissas!$B$127)*(1+Premissas!$B$124)^0</f>
        <v>2687.2937488679795</v>
      </c>
      <c r="I144" s="142">
        <f>I136*Premissas!$F$19*(1+Premissas!$B$127)*(1+Premissas!$B$124)^0</f>
        <v>2166.0022889063157</v>
      </c>
      <c r="J144" s="142">
        <f>J136*Premissas!$F$19*(1+Premissas!$B$127)*(1+Premissas!$B$124)^0</f>
        <v>3344.348988660613</v>
      </c>
      <c r="K144" s="142">
        <f>K136*Premissas!$F$19*(1+Premissas!$B$127)*(1+Premissas!$B$124)^0</f>
        <v>3579.8628739017418</v>
      </c>
      <c r="L144" s="142">
        <f>L136*Premissas!$F$19*(1+Premissas!$B$127)*(1+Premissas!$B$124)^0</f>
        <v>3605.3574462974816</v>
      </c>
      <c r="M144" s="142">
        <f>M136*Premissas!$F$19*(1+Premissas!$B$127)*(1+Premissas!$B$124)^0</f>
        <v>3485.3205012675417</v>
      </c>
      <c r="N144" s="142">
        <f>N136*Premissas!$F$19*(1+Premissas!$B$127)*(1+Premissas!$B$124)^0</f>
        <v>2667.3696369042354</v>
      </c>
      <c r="O144" s="142">
        <f>O136*Premissas!$F$19*(1+Premissas!$B$127)*(1+Premissas!$B$124)^0</f>
        <v>2377.3688759027</v>
      </c>
      <c r="P144" s="142">
        <f>P136*Premissas!$F$19*(1+Premissas!$B$127)*(1+Premissas!$B$124)^1</f>
        <v>1533.6260024657042</v>
      </c>
      <c r="Q144" s="142">
        <f>Q136*Premissas!$F$19*(1+Premissas!$B$127)*(1+Premissas!$B$124)^1</f>
        <v>1482.9555398291723</v>
      </c>
      <c r="R144" s="142">
        <f>R136*Premissas!$F$19*(1+Premissas!$B$127)*(1+Premissas!$B$124)^1</f>
        <v>1630.462886615521</v>
      </c>
      <c r="S144" s="142">
        <f>S136*Premissas!$F$19*(1+Premissas!$B$127)*(1+Premissas!$B$124)^1</f>
        <v>2780.1193833243933</v>
      </c>
      <c r="T144" s="142">
        <f>T136*Premissas!$F$19*(1+Premissas!$B$127)*(1+Premissas!$B$124)^1</f>
        <v>2919.7446581450599</v>
      </c>
      <c r="U144" s="142">
        <f>U136*Premissas!$F$19*(1+Premissas!$B$127)*(1+Premissas!$B$124)^1</f>
        <v>2353.361486896712</v>
      </c>
      <c r="V144" s="142">
        <f>V136*Premissas!$F$19*(1+Premissas!$B$127)*(1+Premissas!$B$124)^1</f>
        <v>3633.6351761797559</v>
      </c>
      <c r="W144" s="142">
        <f>W136*Premissas!$F$19*(1+Premissas!$B$127)*(1+Premissas!$B$124)^1</f>
        <v>3794.6546463358463</v>
      </c>
      <c r="X144" s="142">
        <f>X136*Premissas!$F$19*(1+Premissas!$B$127)*(1+Premissas!$B$124)^1</f>
        <v>3821.6788930753305</v>
      </c>
      <c r="Y144" s="142">
        <f>Y136*Premissas!$F$19*(1+Premissas!$B$127)*(1+Premissas!$B$124)^1</f>
        <v>3694.4397313435943</v>
      </c>
      <c r="Z144" s="142">
        <f>Z136*Premissas!$F$19*(1+Premissas!$B$127)*(1+Premissas!$B$124)^1</f>
        <v>2827.4118151184898</v>
      </c>
      <c r="AA144" s="142">
        <f>AA136*Premissas!$F$19*(1+Premissas!$B$127)*(1+Premissas!$B$124)^1</f>
        <v>2520.0110084568623</v>
      </c>
      <c r="AB144" s="142">
        <f>AB136*Premissas!$F$19*(1+Premissas!$B$127)*(1+Premissas!$B$124)^2</f>
        <v>2737.9919606883809</v>
      </c>
      <c r="AC144" s="142">
        <f>AC136*Premissas!$F$19*(1+Premissas!$B$127)*(1+Premissas!$B$124)^2</f>
        <v>2737.9919606883809</v>
      </c>
      <c r="AD144" s="142">
        <f>AD136*Premissas!$F$19*(1+Premissas!$B$127)*(1+Premissas!$B$124)^2</f>
        <v>2737.9919606883809</v>
      </c>
      <c r="AE144" s="142">
        <f>AE136*Premissas!$F$19*(1+Premissas!$B$127)*(1+Premissas!$B$124)^2</f>
        <v>2737.9919606883809</v>
      </c>
      <c r="AF144" s="142">
        <f>AF136*Premissas!$F$19*(1+Premissas!$B$127)*(1+Premissas!$B$124)^2</f>
        <v>2737.9919606883809</v>
      </c>
      <c r="AG144" s="142">
        <f>AG136*Premissas!$F$19*(1+Premissas!$B$127)*(1+Premissas!$B$124)^2</f>
        <v>2737.9919606883809</v>
      </c>
      <c r="AH144" s="142">
        <f>AH136*Premissas!$F$19*(1+Premissas!$B$127)*(1+Premissas!$B$124)^2</f>
        <v>2737.9919606883809</v>
      </c>
      <c r="AI144" s="142">
        <f>AI136*Premissas!$F$19*(1+Premissas!$B$127)*(1+Premissas!$B$124)^2</f>
        <v>2737.9919606883809</v>
      </c>
      <c r="AJ144" s="142">
        <f>AJ136*Premissas!$F$19*(1+Premissas!$B$127)*(1+Premissas!$B$124)^2</f>
        <v>2737.9919606883809</v>
      </c>
      <c r="AK144" s="142">
        <f>AK136*Premissas!$F$19*(1+Premissas!$B$127)*(1+Premissas!$B$124)^2</f>
        <v>2737.9919606883809</v>
      </c>
      <c r="AL144" s="142">
        <f>AL136*Premissas!$F$19*(1+Premissas!$B$127)*(1+Premissas!$B$124)^2</f>
        <v>2737.9919606883809</v>
      </c>
      <c r="AM144" s="142">
        <f>AM136*Premissas!$F$19*(1+Premissas!$B$127)*(1+Premissas!$B$124)^2</f>
        <v>2737.9919606883809</v>
      </c>
      <c r="AN144" s="142">
        <f>AN136*Premissas!$F$19*(1+Premissas!$B$127)*(1+Premissas!$B$124)^3</f>
        <v>2974.8282652879261</v>
      </c>
      <c r="AO144" s="142">
        <f>AO136*Premissas!$F$19*(1+Premissas!$B$127)*(1+Premissas!$B$124)^3</f>
        <v>2974.8282652879261</v>
      </c>
      <c r="AP144" s="142">
        <f>AP136*Premissas!$F$19*(1+Premissas!$B$127)*(1+Premissas!$B$124)^3</f>
        <v>2974.8282652879261</v>
      </c>
      <c r="AQ144" s="142">
        <f>AQ136*Premissas!$F$19*(1+Premissas!$B$127)*(1+Premissas!$B$124)^3</f>
        <v>2974.8282652879261</v>
      </c>
      <c r="AR144" s="142">
        <f>AR136*Premissas!$F$19*(1+Premissas!$B$127)*(1+Premissas!$B$124)^3</f>
        <v>2974.8282652879261</v>
      </c>
      <c r="AS144" s="142">
        <f>AS136*Premissas!$F$19*(1+Premissas!$B$127)*(1+Premissas!$B$124)^3</f>
        <v>2974.8282652879261</v>
      </c>
      <c r="AT144" s="142">
        <f>AT136*Premissas!$F$19*(1+Premissas!$B$127)*(1+Premissas!$B$124)^3</f>
        <v>2974.8282652879261</v>
      </c>
      <c r="AU144" s="142">
        <f>AU136*Premissas!$F$19*(1+Premissas!$B$127)*(1+Premissas!$B$124)^3</f>
        <v>2974.8282652879261</v>
      </c>
      <c r="AV144" s="142">
        <f>AV136*Premissas!$F$19*(1+Premissas!$B$127)*(1+Premissas!$B$124)^3</f>
        <v>2974.8282652879261</v>
      </c>
      <c r="AW144" s="142">
        <f>AW136*Premissas!$F$19*(1+Premissas!$B$127)*(1+Premissas!$B$124)^3</f>
        <v>2974.8282652879261</v>
      </c>
      <c r="AX144" s="142">
        <f>AX136*Premissas!$F$19*(1+Premissas!$B$127)*(1+Premissas!$B$124)^3</f>
        <v>2974.8282652879261</v>
      </c>
      <c r="AY144" s="142">
        <f>AY136*Premissas!$F$19*(1+Premissas!$B$127)*(1+Premissas!$B$124)^3</f>
        <v>2974.8282652879261</v>
      </c>
      <c r="AZ144" s="142">
        <f>AZ136*Premissas!$F$19*(1+Premissas!$B$127)*(1+Premissas!$B$124)^4</f>
        <v>3232.150910235332</v>
      </c>
      <c r="BA144" s="142">
        <f>BA136*Premissas!$F$19*(1+Premissas!$B$127)*(1+Premissas!$B$124)^4</f>
        <v>3232.150910235332</v>
      </c>
      <c r="BB144" s="142">
        <f>BB136*Premissas!$F$19*(1+Premissas!$B$127)*(1+Premissas!$B$124)^4</f>
        <v>3232.150910235332</v>
      </c>
      <c r="BC144" s="142">
        <f>BC136*Premissas!$F$19*(1+Premissas!$B$127)*(1+Premissas!$B$124)^4</f>
        <v>3232.150910235332</v>
      </c>
      <c r="BD144" s="142">
        <f>BD136*Premissas!$F$19*(1+Premissas!$B$127)*(1+Premissas!$B$124)^4</f>
        <v>3232.150910235332</v>
      </c>
      <c r="BE144" s="142">
        <f>BE136*Premissas!$F$19*(1+Premissas!$B$127)*(1+Premissas!$B$124)^4</f>
        <v>3232.150910235332</v>
      </c>
      <c r="BF144" s="142">
        <f>BF136*Premissas!$F$19*(1+Premissas!$B$127)*(1+Premissas!$B$124)^4</f>
        <v>3232.150910235332</v>
      </c>
      <c r="BG144" s="142">
        <f>BG136*Premissas!$F$19*(1+Premissas!$B$127)*(1+Premissas!$B$124)^4</f>
        <v>3232.150910235332</v>
      </c>
      <c r="BH144" s="142">
        <f>BH136*Premissas!$F$19*(1+Premissas!$B$127)*(1+Premissas!$B$124)^4</f>
        <v>3232.150910235332</v>
      </c>
      <c r="BI144" s="142">
        <f>BI136*Premissas!$F$19*(1+Premissas!$B$127)*(1+Premissas!$B$124)^4</f>
        <v>3232.150910235332</v>
      </c>
      <c r="BJ144" s="142">
        <f>BJ136*Premissas!$F$19*(1+Premissas!$B$127)*(1+Premissas!$B$124)^4</f>
        <v>3232.150910235332</v>
      </c>
      <c r="BK144" s="142">
        <f>BK136*Premissas!$F$19*(1+Premissas!$B$127)*(1+Premissas!$B$124)^4</f>
        <v>3232.150910235332</v>
      </c>
    </row>
    <row r="145" spans="1:63" ht="12.75" customHeight="1" x14ac:dyDescent="0.2">
      <c r="A145" s="143" t="s">
        <v>415</v>
      </c>
      <c r="B145" s="144">
        <f>SUM(D145:BQ145)</f>
        <v>0</v>
      </c>
      <c r="C145" s="124">
        <f>B145/60</f>
        <v>0</v>
      </c>
      <c r="D145" s="144">
        <f>IF(D140&gt;0,0,MAX(D136-D137-D138,0)*Premissas!$B$7*(1+Premissas!$B$127)*(1+Premissas!$B$124)^0)</f>
        <v>0</v>
      </c>
      <c r="E145" s="144">
        <f>IF(E140&gt;0,0,MAX(E136-E137-E138,0)*Premissas!$B$7*(1+Premissas!$B$127)*(1+Premissas!$B$124)^0)</f>
        <v>0</v>
      </c>
      <c r="F145" s="144">
        <f>IF(F140&gt;0,0,MAX(F136-F137-F138,0)*Premissas!$B$7*(1+Premissas!$B$127)*(1+Premissas!$B$124)^0)</f>
        <v>0</v>
      </c>
      <c r="G145" s="144">
        <f>IF(G140&gt;0,0,MAX(G136-G137-G138,0)*Premissas!$B$7*(1+Premissas!$B$127)*(1+Premissas!$B$124)^0)</f>
        <v>0</v>
      </c>
      <c r="H145" s="144">
        <f>IF(H140&gt;0,0,MAX(H136-H137-H138,0)*Premissas!$B$7*(1+Premissas!$B$127)*(1+Premissas!$B$124)^0)</f>
        <v>0</v>
      </c>
      <c r="I145" s="144">
        <f>IF(I140&gt;0,0,MAX(I136-I137-I138,0)*Premissas!$B$7*(1+Premissas!$B$127)*(1+Premissas!$B$124)^0)</f>
        <v>0</v>
      </c>
      <c r="J145" s="144">
        <f>IF(J140&gt;0,0,MAX(J136-J137-J138,0)*Premissas!$B$7*(1+Premissas!$B$127)*(1+Premissas!$B$124)^0)</f>
        <v>0</v>
      </c>
      <c r="K145" s="144">
        <f>IF(K140&gt;0,0,MAX(K136-K137-K138,0)*Premissas!$B$7*(1+Premissas!$B$127)*(1+Premissas!$B$124)^0)</f>
        <v>0</v>
      </c>
      <c r="L145" s="144">
        <f>IF(L140&gt;0,0,MAX(L136-L137-L138,0)*Premissas!$B$7*(1+Premissas!$B$127)*(1+Premissas!$B$124)^0)</f>
        <v>0</v>
      </c>
      <c r="M145" s="144">
        <f>IF(M140&gt;0,0,MAX(M136-M137-M138,0)*Premissas!$B$7*(1+Premissas!$B$127)*(1+Premissas!$B$124)^0)</f>
        <v>0</v>
      </c>
      <c r="N145" s="144">
        <f>IF(N140&gt;0,0,MAX(N136-N137-N138,0)*Premissas!$B$7*(1+Premissas!$B$127)*(1+Premissas!$B$124)^0)</f>
        <v>0</v>
      </c>
      <c r="O145" s="144">
        <f>IF(O140&gt;0,0,MAX(O136-O137-O138,0)*Premissas!$B$7*(1+Premissas!$B$127)*(1+Premissas!$B$124)^0)</f>
        <v>0</v>
      </c>
      <c r="P145" s="144">
        <f>IF(P140&gt;0,0,MAX(P136-P137-P138,0)*Premissas!$B$7*(1+Premissas!$B$127)*(1+Premissas!$B$124)^1)</f>
        <v>0</v>
      </c>
      <c r="Q145" s="144">
        <f>IF(Q140&gt;0,0,MAX(Q136-Q137-Q138,0)*Premissas!$B$7*(1+Premissas!$B$127)*(1+Premissas!$B$124)^1)</f>
        <v>0</v>
      </c>
      <c r="R145" s="144">
        <f>IF(R140&gt;0,0,MAX(R136-R137-R138,0)*Premissas!$B$7*(1+Premissas!$B$127)*(1+Premissas!$B$124)^1)</f>
        <v>0</v>
      </c>
      <c r="S145" s="144">
        <f>IF(S140&gt;0,0,MAX(S136-S137-S138,0)*Premissas!$B$7*(1+Premissas!$B$127)*(1+Premissas!$B$124)^1)</f>
        <v>0</v>
      </c>
      <c r="T145" s="144">
        <f>IF(T140&gt;0,0,MAX(T136-T137-T138,0)*Premissas!$B$7*(1+Premissas!$B$127)*(1+Premissas!$B$124)^1)</f>
        <v>0</v>
      </c>
      <c r="U145" s="144">
        <f>IF(U140&gt;0,0,MAX(U136-U137-U138,0)*Premissas!$B$7*(1+Premissas!$B$127)*(1+Premissas!$B$124)^1)</f>
        <v>0</v>
      </c>
      <c r="V145" s="144">
        <f>IF(V140&gt;0,0,MAX(V136-V137-V138,0)*Premissas!$B$7*(1+Premissas!$B$127)*(1+Premissas!$B$124)^1)</f>
        <v>0</v>
      </c>
      <c r="W145" s="144">
        <f>IF(W140&gt;0,0,MAX(W136-W137-W138,0)*Premissas!$B$7*(1+Premissas!$B$127)*(1+Premissas!$B$124)^1)</f>
        <v>0</v>
      </c>
      <c r="X145" s="144">
        <f>IF(X140&gt;0,0,MAX(X136-X137-X138,0)*Premissas!$B$7*(1+Premissas!$B$127)*(1+Premissas!$B$124)^1)</f>
        <v>0</v>
      </c>
      <c r="Y145" s="144">
        <f>IF(Y140&gt;0,0,MAX(Y136-Y137-Y138,0)*Premissas!$B$7*(1+Premissas!$B$127)*(1+Premissas!$B$124)^1)</f>
        <v>0</v>
      </c>
      <c r="Z145" s="144">
        <f>IF(Z140&gt;0,0,MAX(Z136-Z137-Z138,0)*Premissas!$B$7*(1+Premissas!$B$127)*(1+Premissas!$B$124)^1)</f>
        <v>0</v>
      </c>
      <c r="AA145" s="144">
        <f>IF(AA140&gt;0,0,MAX(AA136-AA137-AA138,0)*Premissas!$B$7*(1+Premissas!$B$127)*(1+Premissas!$B$124)^1)</f>
        <v>0</v>
      </c>
      <c r="AB145" s="144">
        <f>IF(AB140&gt;0,0,MAX(AB136-AB137-AB138,0)*Premissas!$B$7*(1+Premissas!$B$127)*(1+Premissas!$B$124)^2)</f>
        <v>0</v>
      </c>
      <c r="AC145" s="144">
        <f>IF(AC140&gt;0,0,MAX(AC136-AC137-AC138,0)*Premissas!$B$7*(1+Premissas!$B$127)*(1+Premissas!$B$124)^2)</f>
        <v>0</v>
      </c>
      <c r="AD145" s="144">
        <f>IF(AD140&gt;0,0,MAX(AD136-AD137-AD138,0)*Premissas!$B$7*(1+Premissas!$B$127)*(1+Premissas!$B$124)^2)</f>
        <v>0</v>
      </c>
      <c r="AE145" s="144">
        <f>IF(AE140&gt;0,0,MAX(AE136-AE137-AE138,0)*Premissas!$B$7*(1+Premissas!$B$127)*(1+Premissas!$B$124)^2)</f>
        <v>0</v>
      </c>
      <c r="AF145" s="144">
        <f>IF(AF140&gt;0,0,MAX(AF136-AF137-AF138,0)*Premissas!$B$7*(1+Premissas!$B$127)*(1+Premissas!$B$124)^2)</f>
        <v>0</v>
      </c>
      <c r="AG145" s="144">
        <f>IF(AG140&gt;0,0,MAX(AG136-AG137-AG138,0)*Premissas!$B$7*(1+Premissas!$B$127)*(1+Premissas!$B$124)^2)</f>
        <v>0</v>
      </c>
      <c r="AH145" s="144">
        <f>IF(AH140&gt;0,0,MAX(AH136-AH137-AH138,0)*Premissas!$B$7*(1+Premissas!$B$127)*(1+Premissas!$B$124)^2)</f>
        <v>0</v>
      </c>
      <c r="AI145" s="144">
        <f>IF(AI140&gt;0,0,MAX(AI136-AI137-AI138,0)*Premissas!$B$7*(1+Premissas!$B$127)*(1+Premissas!$B$124)^2)</f>
        <v>0</v>
      </c>
      <c r="AJ145" s="144">
        <f>IF(AJ140&gt;0,0,MAX(AJ136-AJ137-AJ138,0)*Premissas!$B$7*(1+Premissas!$B$127)*(1+Premissas!$B$124)^2)</f>
        <v>0</v>
      </c>
      <c r="AK145" s="144">
        <f>IF(AK140&gt;0,0,MAX(AK136-AK137-AK138,0)*Premissas!$B$7*(1+Premissas!$B$127)*(1+Premissas!$B$124)^2)</f>
        <v>0</v>
      </c>
      <c r="AL145" s="144">
        <f>IF(AL140&gt;0,0,MAX(AL136-AL137-AL138,0)*Premissas!$B$7*(1+Premissas!$B$127)*(1+Premissas!$B$124)^2)</f>
        <v>0</v>
      </c>
      <c r="AM145" s="144">
        <f>IF(AM140&gt;0,0,MAX(AM136-AM137-AM138,0)*Premissas!$B$7*(1+Premissas!$B$127)*(1+Premissas!$B$124)^2)</f>
        <v>0</v>
      </c>
      <c r="AN145" s="144">
        <f>IF(AN140&gt;0,0,MAX(AN136-AN137-AN138,0)*Premissas!$B$7*(1+Premissas!$B$127)*(1+Premissas!$B$124)^3)</f>
        <v>0</v>
      </c>
      <c r="AO145" s="144">
        <f>IF(AO140&gt;0,0,MAX(AO136-AO137-AO138,0)*Premissas!$B$7*(1+Premissas!$B$127)*(1+Premissas!$B$124)^3)</f>
        <v>0</v>
      </c>
      <c r="AP145" s="144">
        <f>IF(AP140&gt;0,0,MAX(AP136-AP137-AP138,0)*Premissas!$B$7*(1+Premissas!$B$127)*(1+Premissas!$B$124)^3)</f>
        <v>0</v>
      </c>
      <c r="AQ145" s="144">
        <f>IF(AQ140&gt;0,0,MAX(AQ136-AQ137-AQ138,0)*Premissas!$B$7*(1+Premissas!$B$127)*(1+Premissas!$B$124)^3)</f>
        <v>0</v>
      </c>
      <c r="AR145" s="144">
        <f>IF(AR140&gt;0,0,MAX(AR136-AR137-AR138,0)*Premissas!$B$7*(1+Premissas!$B$127)*(1+Premissas!$B$124)^3)</f>
        <v>0</v>
      </c>
      <c r="AS145" s="144">
        <f>IF(AS140&gt;0,0,MAX(AS136-AS137-AS138,0)*Premissas!$B$7*(1+Premissas!$B$127)*(1+Premissas!$B$124)^3)</f>
        <v>0</v>
      </c>
      <c r="AT145" s="144">
        <f>IF(AT140&gt;0,0,MAX(AT136-AT137-AT138,0)*Premissas!$B$7*(1+Premissas!$B$127)*(1+Premissas!$B$124)^3)</f>
        <v>0</v>
      </c>
      <c r="AU145" s="144">
        <f>IF(AU140&gt;0,0,MAX(AU136-AU137-AU138,0)*Premissas!$B$7*(1+Premissas!$B$127)*(1+Premissas!$B$124)^3)</f>
        <v>0</v>
      </c>
      <c r="AV145" s="144">
        <f>IF(AV140&gt;0,0,MAX(AV136-AV137-AV138,0)*Premissas!$B$7*(1+Premissas!$B$127)*(1+Premissas!$B$124)^3)</f>
        <v>0</v>
      </c>
      <c r="AW145" s="144">
        <f>IF(AW140&gt;0,0,MAX(AW136-AW137-AW138,0)*Premissas!$B$7*(1+Premissas!$B$127)*(1+Premissas!$B$124)^3)</f>
        <v>0</v>
      </c>
      <c r="AX145" s="144">
        <f>IF(AX140&gt;0,0,MAX(AX136-AX137-AX138,0)*Premissas!$B$7*(1+Premissas!$B$127)*(1+Premissas!$B$124)^3)</f>
        <v>0</v>
      </c>
      <c r="AY145" s="144">
        <f>IF(AY140&gt;0,0,MAX(AY136-AY137-AY138,0)*Premissas!$B$7*(1+Premissas!$B$127)*(1+Premissas!$B$124)^3)</f>
        <v>0</v>
      </c>
      <c r="AZ145" s="144">
        <f>IF(AZ140&gt;0,0,MAX(AZ136-AZ137-AZ138,0)*Premissas!$B$7*(1+Premissas!$B$127)*(1+Premissas!$B$124)^4)</f>
        <v>0</v>
      </c>
      <c r="BA145" s="144">
        <f>IF(BA140&gt;0,0,MAX(BA136-BA137-BA138,0)*Premissas!$B$7*(1+Premissas!$B$127)*(1+Premissas!$B$124)^4)</f>
        <v>0</v>
      </c>
      <c r="BB145" s="144">
        <f>IF(BB140&gt;0,0,MAX(BB136-BB137-BB138,0)*Premissas!$B$7*(1+Premissas!$B$127)*(1+Premissas!$B$124)^4)</f>
        <v>0</v>
      </c>
      <c r="BC145" s="144">
        <f>IF(BC140&gt;0,0,MAX(BC136-BC137-BC138,0)*Premissas!$B$7*(1+Premissas!$B$127)*(1+Premissas!$B$124)^4)</f>
        <v>0</v>
      </c>
      <c r="BD145" s="144">
        <f>IF(BD140&gt;0,0,MAX(BD136-BD137-BD138,0)*Premissas!$B$7*(1+Premissas!$B$127)*(1+Premissas!$B$124)^4)</f>
        <v>0</v>
      </c>
      <c r="BE145" s="144">
        <f>IF(BE140&gt;0,0,MAX(BE136-BE137-BE138,0)*Premissas!$B$7*(1+Premissas!$B$127)*(1+Premissas!$B$124)^4)</f>
        <v>0</v>
      </c>
      <c r="BF145" s="144">
        <f>IF(BF140&gt;0,0,MAX(BF136-BF137-BF138,0)*Premissas!$B$7*(1+Premissas!$B$127)*(1+Premissas!$B$124)^4)</f>
        <v>0</v>
      </c>
      <c r="BG145" s="144">
        <f>IF(BG140&gt;0,0,MAX(BG136-BG137-BG138,0)*Premissas!$B$7*(1+Premissas!$B$127)*(1+Premissas!$B$124)^4)</f>
        <v>0</v>
      </c>
      <c r="BH145" s="144">
        <f>IF(BH140&gt;0,0,MAX(BH136-BH137-BH138,0)*Premissas!$B$7*(1+Premissas!$B$127)*(1+Premissas!$B$124)^4)</f>
        <v>0</v>
      </c>
      <c r="BI145" s="144">
        <f>IF(BI140&gt;0,0,MAX(BI136-BI137-BI138,0)*Premissas!$B$7*(1+Premissas!$B$127)*(1+Premissas!$B$124)^4)</f>
        <v>0</v>
      </c>
      <c r="BJ145" s="144">
        <f>IF(BJ140&gt;0,0,MAX(BJ136-BJ137-BJ138,0)*Premissas!$B$7*(1+Premissas!$B$127)*(1+Premissas!$B$124)^4)</f>
        <v>0</v>
      </c>
      <c r="BK145" s="144">
        <f>IF(BK140&gt;0,0,MAX(BK136-BK137-BK138,0)*Premissas!$B$7*(1+Premissas!$B$127)*(1+Premissas!$B$124)^4)</f>
        <v>0</v>
      </c>
    </row>
    <row r="146" spans="1:63" ht="13.5" customHeight="1" x14ac:dyDescent="0.2">
      <c r="A146" s="41" t="s">
        <v>416</v>
      </c>
      <c r="B146" s="44">
        <f>SUM(D146:BQ146)</f>
        <v>171080.54099223376</v>
      </c>
      <c r="C146" s="124">
        <f>B146/60</f>
        <v>2851.3423498705624</v>
      </c>
      <c r="D146" s="145">
        <f t="shared" ref="D146:AI146" si="136">MAX(D144-D145,0)</f>
        <v>1411.5287643494746</v>
      </c>
      <c r="E146" s="145">
        <f t="shared" si="136"/>
        <v>1364.8923514304392</v>
      </c>
      <c r="F146" s="145">
        <f t="shared" si="136"/>
        <v>1500.6561312614092</v>
      </c>
      <c r="G146" s="145">
        <f t="shared" si="136"/>
        <v>2558.7845221577481</v>
      </c>
      <c r="H146" s="145">
        <f t="shared" si="136"/>
        <v>2687.2937488679795</v>
      </c>
      <c r="I146" s="145">
        <f t="shared" si="136"/>
        <v>2166.0022889063157</v>
      </c>
      <c r="J146" s="145">
        <f t="shared" si="136"/>
        <v>3344.348988660613</v>
      </c>
      <c r="K146" s="145">
        <f t="shared" si="136"/>
        <v>3579.8628739017418</v>
      </c>
      <c r="L146" s="145">
        <f t="shared" si="136"/>
        <v>3605.3574462974816</v>
      </c>
      <c r="M146" s="145">
        <f t="shared" si="136"/>
        <v>3485.3205012675417</v>
      </c>
      <c r="N146" s="145">
        <f t="shared" si="136"/>
        <v>2667.3696369042354</v>
      </c>
      <c r="O146" s="145">
        <f t="shared" si="136"/>
        <v>2377.3688759027</v>
      </c>
      <c r="P146" s="145">
        <f t="shared" si="136"/>
        <v>1533.6260024657042</v>
      </c>
      <c r="Q146" s="145">
        <f t="shared" si="136"/>
        <v>1482.9555398291723</v>
      </c>
      <c r="R146" s="145">
        <f t="shared" si="136"/>
        <v>1630.462886615521</v>
      </c>
      <c r="S146" s="145">
        <f t="shared" si="136"/>
        <v>2780.1193833243933</v>
      </c>
      <c r="T146" s="145">
        <f t="shared" si="136"/>
        <v>2919.7446581450599</v>
      </c>
      <c r="U146" s="145">
        <f t="shared" si="136"/>
        <v>2353.361486896712</v>
      </c>
      <c r="V146" s="145">
        <f t="shared" si="136"/>
        <v>3633.6351761797559</v>
      </c>
      <c r="W146" s="145">
        <f t="shared" si="136"/>
        <v>3794.6546463358463</v>
      </c>
      <c r="X146" s="145">
        <f t="shared" si="136"/>
        <v>3821.6788930753305</v>
      </c>
      <c r="Y146" s="145">
        <f t="shared" si="136"/>
        <v>3694.4397313435943</v>
      </c>
      <c r="Z146" s="145">
        <f t="shared" si="136"/>
        <v>2827.4118151184898</v>
      </c>
      <c r="AA146" s="145">
        <f t="shared" si="136"/>
        <v>2520.0110084568623</v>
      </c>
      <c r="AB146" s="145">
        <f t="shared" si="136"/>
        <v>2737.9919606883809</v>
      </c>
      <c r="AC146" s="145">
        <f t="shared" si="136"/>
        <v>2737.9919606883809</v>
      </c>
      <c r="AD146" s="145">
        <f t="shared" si="136"/>
        <v>2737.9919606883809</v>
      </c>
      <c r="AE146" s="145">
        <f t="shared" si="136"/>
        <v>2737.9919606883809</v>
      </c>
      <c r="AF146" s="145">
        <f t="shared" si="136"/>
        <v>2737.9919606883809</v>
      </c>
      <c r="AG146" s="145">
        <f t="shared" si="136"/>
        <v>2737.9919606883809</v>
      </c>
      <c r="AH146" s="145">
        <f t="shared" si="136"/>
        <v>2737.9919606883809</v>
      </c>
      <c r="AI146" s="145">
        <f t="shared" si="136"/>
        <v>2737.9919606883809</v>
      </c>
      <c r="AJ146" s="145">
        <f t="shared" ref="AJ146:BO146" si="137">MAX(AJ144-AJ145,0)</f>
        <v>2737.9919606883809</v>
      </c>
      <c r="AK146" s="145">
        <f t="shared" si="137"/>
        <v>2737.9919606883809</v>
      </c>
      <c r="AL146" s="145">
        <f t="shared" si="137"/>
        <v>2737.9919606883809</v>
      </c>
      <c r="AM146" s="145">
        <f t="shared" si="137"/>
        <v>2737.9919606883809</v>
      </c>
      <c r="AN146" s="145">
        <f t="shared" si="137"/>
        <v>2974.8282652879261</v>
      </c>
      <c r="AO146" s="145">
        <f t="shared" si="137"/>
        <v>2974.8282652879261</v>
      </c>
      <c r="AP146" s="145">
        <f t="shared" si="137"/>
        <v>2974.8282652879261</v>
      </c>
      <c r="AQ146" s="145">
        <f t="shared" si="137"/>
        <v>2974.8282652879261</v>
      </c>
      <c r="AR146" s="145">
        <f t="shared" si="137"/>
        <v>2974.8282652879261</v>
      </c>
      <c r="AS146" s="145">
        <f t="shared" si="137"/>
        <v>2974.8282652879261</v>
      </c>
      <c r="AT146" s="145">
        <f t="shared" si="137"/>
        <v>2974.8282652879261</v>
      </c>
      <c r="AU146" s="145">
        <f t="shared" si="137"/>
        <v>2974.8282652879261</v>
      </c>
      <c r="AV146" s="145">
        <f t="shared" si="137"/>
        <v>2974.8282652879261</v>
      </c>
      <c r="AW146" s="145">
        <f t="shared" si="137"/>
        <v>2974.8282652879261</v>
      </c>
      <c r="AX146" s="145">
        <f t="shared" si="137"/>
        <v>2974.8282652879261</v>
      </c>
      <c r="AY146" s="145">
        <f t="shared" si="137"/>
        <v>2974.8282652879261</v>
      </c>
      <c r="AZ146" s="145">
        <f t="shared" si="137"/>
        <v>3232.150910235332</v>
      </c>
      <c r="BA146" s="145">
        <f t="shared" si="137"/>
        <v>3232.150910235332</v>
      </c>
      <c r="BB146" s="145">
        <f t="shared" si="137"/>
        <v>3232.150910235332</v>
      </c>
      <c r="BC146" s="145">
        <f t="shared" si="137"/>
        <v>3232.150910235332</v>
      </c>
      <c r="BD146" s="145">
        <f t="shared" si="137"/>
        <v>3232.150910235332</v>
      </c>
      <c r="BE146" s="145">
        <f t="shared" si="137"/>
        <v>3232.150910235332</v>
      </c>
      <c r="BF146" s="145">
        <f t="shared" si="137"/>
        <v>3232.150910235332</v>
      </c>
      <c r="BG146" s="145">
        <f t="shared" si="137"/>
        <v>3232.150910235332</v>
      </c>
      <c r="BH146" s="145">
        <f t="shared" si="137"/>
        <v>3232.150910235332</v>
      </c>
      <c r="BI146" s="145">
        <f t="shared" si="137"/>
        <v>3232.150910235332</v>
      </c>
      <c r="BJ146" s="145">
        <f t="shared" si="137"/>
        <v>3232.150910235332</v>
      </c>
      <c r="BK146" s="145">
        <f t="shared" si="137"/>
        <v>3232.150910235332</v>
      </c>
    </row>
    <row r="148" spans="1:63" ht="15" customHeight="1" x14ac:dyDescent="0.2">
      <c r="A148" s="298" t="s">
        <v>428</v>
      </c>
      <c r="B148" s="289"/>
      <c r="C148" s="289"/>
      <c r="D148" s="289"/>
      <c r="E148" s="289"/>
      <c r="F148" s="289"/>
      <c r="G148" s="289"/>
      <c r="H148" s="289"/>
      <c r="I148" s="289"/>
      <c r="J148" s="289"/>
      <c r="K148" s="289"/>
      <c r="L148" s="289"/>
      <c r="M148" s="289"/>
      <c r="N148" s="289"/>
      <c r="O148" s="289"/>
      <c r="P148" s="289"/>
      <c r="Q148" s="289"/>
      <c r="R148" s="289"/>
      <c r="S148" s="289"/>
      <c r="T148" s="289"/>
      <c r="U148" s="289"/>
      <c r="V148" s="289"/>
      <c r="W148" s="289"/>
      <c r="X148" s="289"/>
      <c r="Y148" s="289"/>
      <c r="Z148" s="289"/>
      <c r="AA148" s="289"/>
    </row>
    <row r="149" spans="1:63" ht="12.75" customHeight="1" x14ac:dyDescent="0.2">
      <c r="A149" s="147" t="s">
        <v>403</v>
      </c>
      <c r="B149" s="148">
        <f>SUM(D149:BQ149)</f>
        <v>56093.899542187472</v>
      </c>
      <c r="C149" s="120">
        <f>B149/60</f>
        <v>934.89832570312456</v>
      </c>
      <c r="D149" s="148">
        <v>500</v>
      </c>
      <c r="E149" s="148">
        <v>392</v>
      </c>
      <c r="F149" s="148">
        <v>608</v>
      </c>
      <c r="G149" s="148">
        <v>989</v>
      </c>
      <c r="H149" s="148">
        <v>934</v>
      </c>
      <c r="I149" s="148">
        <v>1294</v>
      </c>
      <c r="J149" s="148">
        <v>1255</v>
      </c>
      <c r="K149" s="148">
        <f>1933*(1+Premissas!$B$21)</f>
        <v>1981.3249999999998</v>
      </c>
      <c r="L149" s="148">
        <f>1676*(1+Premissas!$B$21)</f>
        <v>1717.8999999999999</v>
      </c>
      <c r="M149" s="148">
        <f>1511*(1+Premissas!$B$21)</f>
        <v>1548.7749999999999</v>
      </c>
      <c r="N149" s="148">
        <f>1029*(1+Premissas!$B$21)</f>
        <v>1054.7249999999999</v>
      </c>
      <c r="O149" s="148">
        <f>769*(1+Premissas!$B$21)</f>
        <v>788.22499999999991</v>
      </c>
      <c r="P149" s="148">
        <f>500*(1+Premissas!$B$21)</f>
        <v>512.5</v>
      </c>
      <c r="Q149" s="148">
        <f>392*(1+Premissas!$B$21)</f>
        <v>401.79999999999995</v>
      </c>
      <c r="R149" s="148">
        <f>608*(1+Premissas!$B$21)</f>
        <v>623.19999999999993</v>
      </c>
      <c r="S149" s="148">
        <f>989*(1+Premissas!$B$21)</f>
        <v>1013.7249999999999</v>
      </c>
      <c r="T149" s="148">
        <f>934*(1+Premissas!$B$21)</f>
        <v>957.34999999999991</v>
      </c>
      <c r="U149" s="148">
        <f>1294*(1+Premissas!$B$21)</f>
        <v>1326.35</v>
      </c>
      <c r="V149" s="148">
        <f>1255*(1+Premissas!$B$21)</f>
        <v>1286.375</v>
      </c>
      <c r="W149" s="148">
        <f>1933*(1+Premissas!$B$21)</f>
        <v>1981.3249999999998</v>
      </c>
      <c r="X149" s="148">
        <f>1676*(1+Premissas!$B$21)</f>
        <v>1717.8999999999999</v>
      </c>
      <c r="Y149" s="148">
        <f>1511*(1+Premissas!$B$21)</f>
        <v>1548.7749999999999</v>
      </c>
      <c r="Z149" s="148">
        <f>1029*(1+Premissas!$B$21)</f>
        <v>1054.7249999999999</v>
      </c>
      <c r="AA149" s="148">
        <f>769*(1+Premissas!$B$21)</f>
        <v>788.22499999999991</v>
      </c>
      <c r="AB149" s="148">
        <f>769*(1+Premissas!$B$21)^2</f>
        <v>807.93062499999996</v>
      </c>
      <c r="AC149" s="148">
        <f>769*(1+Premissas!$B$21)^2</f>
        <v>807.93062499999996</v>
      </c>
      <c r="AD149" s="148">
        <f>769*(1+Premissas!$B$21)^2</f>
        <v>807.93062499999996</v>
      </c>
      <c r="AE149" s="148">
        <f>769*(1+Premissas!$B$21)^2</f>
        <v>807.93062499999996</v>
      </c>
      <c r="AF149" s="148">
        <f>769*(1+Premissas!$B$21)^2</f>
        <v>807.93062499999996</v>
      </c>
      <c r="AG149" s="148">
        <f>769*(1+Premissas!$B$21)^2</f>
        <v>807.93062499999996</v>
      </c>
      <c r="AH149" s="148">
        <f>769*(1+Premissas!$B$21)^2</f>
        <v>807.93062499999996</v>
      </c>
      <c r="AI149" s="148">
        <f>769*(1+Premissas!$B$21)^2</f>
        <v>807.93062499999996</v>
      </c>
      <c r="AJ149" s="148">
        <f>769*(1+Premissas!$B$21)^2</f>
        <v>807.93062499999996</v>
      </c>
      <c r="AK149" s="148">
        <f>769*(1+Premissas!$B$21)^2</f>
        <v>807.93062499999996</v>
      </c>
      <c r="AL149" s="148">
        <f>769*(1+Premissas!$B$21)^2</f>
        <v>807.93062499999996</v>
      </c>
      <c r="AM149" s="148">
        <f>769*(1+Premissas!$B$21)^2</f>
        <v>807.93062499999996</v>
      </c>
      <c r="AN149" s="148">
        <f>769*(1+Premissas!$B$21)^3</f>
        <v>828.12889062499994</v>
      </c>
      <c r="AO149" s="148">
        <f>769*(1+Premissas!$B$21)^3</f>
        <v>828.12889062499994</v>
      </c>
      <c r="AP149" s="148">
        <f>769*(1+Premissas!$B$21)^3</f>
        <v>828.12889062499994</v>
      </c>
      <c r="AQ149" s="148">
        <f>769*(1+Premissas!$B$21)^3</f>
        <v>828.12889062499994</v>
      </c>
      <c r="AR149" s="148">
        <f>769*(1+Premissas!$B$21)^3</f>
        <v>828.12889062499994</v>
      </c>
      <c r="AS149" s="148">
        <f>769*(1+Premissas!$B$21)^3</f>
        <v>828.12889062499994</v>
      </c>
      <c r="AT149" s="148">
        <f>769*(1+Premissas!$B$21)^3</f>
        <v>828.12889062499994</v>
      </c>
      <c r="AU149" s="148">
        <f>769*(1+Premissas!$B$21)^3</f>
        <v>828.12889062499994</v>
      </c>
      <c r="AV149" s="148">
        <f>769*(1+Premissas!$B$21)^3</f>
        <v>828.12889062499994</v>
      </c>
      <c r="AW149" s="148">
        <f>769*(1+Premissas!$B$21)^3</f>
        <v>828.12889062499994</v>
      </c>
      <c r="AX149" s="148">
        <f>769*(1+Premissas!$B$21)^3</f>
        <v>828.12889062499994</v>
      </c>
      <c r="AY149" s="148">
        <f>769*(1+Premissas!$B$21)^3</f>
        <v>828.12889062499994</v>
      </c>
      <c r="AZ149" s="148">
        <f>769*(1+Premissas!$B$21)^4</f>
        <v>848.83211289062478</v>
      </c>
      <c r="BA149" s="148">
        <f>769*(1+Premissas!$B$21)^4</f>
        <v>848.83211289062478</v>
      </c>
      <c r="BB149" s="148">
        <f>769*(1+Premissas!$B$21)^4</f>
        <v>848.83211289062478</v>
      </c>
      <c r="BC149" s="148">
        <f>769*(1+Premissas!$B$21)^4</f>
        <v>848.83211289062478</v>
      </c>
      <c r="BD149" s="148">
        <f>769*(1+Premissas!$B$21)^4</f>
        <v>848.83211289062478</v>
      </c>
      <c r="BE149" s="148">
        <f>769*(1+Premissas!$B$21)^4</f>
        <v>848.83211289062478</v>
      </c>
      <c r="BF149" s="148">
        <f>769*(1+Premissas!$B$21)^4</f>
        <v>848.83211289062478</v>
      </c>
      <c r="BG149" s="148">
        <f>769*(1+Premissas!$B$21)^4</f>
        <v>848.83211289062478</v>
      </c>
      <c r="BH149" s="148">
        <f>769*(1+Premissas!$B$21)^4</f>
        <v>848.83211289062478</v>
      </c>
      <c r="BI149" s="148">
        <f>769*(1+Premissas!$B$21)^4</f>
        <v>848.83211289062478</v>
      </c>
      <c r="BJ149" s="148">
        <f>769*(1+Premissas!$B$21)^4</f>
        <v>848.83211289062478</v>
      </c>
      <c r="BK149" s="148">
        <f>769*(1+Premissas!$B$21)^4</f>
        <v>848.83211289062478</v>
      </c>
    </row>
    <row r="150" spans="1:63" ht="12.75" customHeight="1" x14ac:dyDescent="0.2">
      <c r="A150" s="122" t="str">
        <f>"  "&amp;INDEX(PVSYST_Helexia!$A$5:$A$7,MATCH(Premissas!$B$13,PVSYST_Helexia!$B$5:$B$7,0))&amp;" créditos recebidos (kWh)"</f>
        <v xml:space="preserve">  HCS03 créditos recebidos (kWh)</v>
      </c>
      <c r="B150" s="135">
        <f>SUM(D150:BQ150)</f>
        <v>55215.103724664397</v>
      </c>
      <c r="C150" s="120">
        <f>B150/60</f>
        <v>920.25172874440659</v>
      </c>
      <c r="D150" s="136">
        <f>D6*Premissas!$B$43</f>
        <v>570.35400000000004</v>
      </c>
      <c r="E150" s="136">
        <f>E6*Premissas!$B$43</f>
        <v>600.34599999999989</v>
      </c>
      <c r="F150" s="136">
        <f>F6*Premissas!$B$43</f>
        <v>720.68200000000002</v>
      </c>
      <c r="G150" s="136">
        <f>G6*Premissas!$B$43</f>
        <v>676.24599999999998</v>
      </c>
      <c r="H150" s="136">
        <f>H6*Premissas!$C$43</f>
        <v>2371.9559999999997</v>
      </c>
      <c r="I150" s="136">
        <f>I6*Premissas!$C$43</f>
        <v>2293.4559999999997</v>
      </c>
      <c r="J150" s="136">
        <f>J6*Premissas!$C$43</f>
        <v>2177.7469999999998</v>
      </c>
      <c r="K150" s="136">
        <f>K6*Premissas!$C$43</f>
        <v>2236.0615099999995</v>
      </c>
      <c r="L150" s="136">
        <f>L6*Premissas!$C$43</f>
        <v>1992.5223249999999</v>
      </c>
      <c r="M150" s="136">
        <f>M6*Premissas!$C$43</f>
        <v>2285.4254499999997</v>
      </c>
      <c r="N150" s="136">
        <f>N6*Premissas!$D$43</f>
        <v>871.50060000000008</v>
      </c>
      <c r="O150" s="136">
        <f>O6*Premissas!$D$43</f>
        <v>815.62139999999999</v>
      </c>
      <c r="P150" s="136">
        <f>P6*Premissas!$D$43</f>
        <v>740.22030000000007</v>
      </c>
      <c r="Q150" s="136">
        <f>Q6*Premissas!$D$43</f>
        <v>779.14469999999994</v>
      </c>
      <c r="R150" s="136">
        <f>R6*Premissas!$D$43</f>
        <v>935.31989999999996</v>
      </c>
      <c r="S150" s="136">
        <f>S6*Premissas!$D$43</f>
        <v>877.64970000000005</v>
      </c>
      <c r="T150" s="136">
        <f>T6*Premissas!$E$43</f>
        <v>2209.77162</v>
      </c>
      <c r="U150" s="136">
        <f>U6*Premissas!$E$43</f>
        <v>2136.6391199999998</v>
      </c>
      <c r="V150" s="136">
        <f>V6*Premissas!$E$43</f>
        <v>2028.841815</v>
      </c>
      <c r="W150" s="136">
        <f>W6*Premissas!$E$43</f>
        <v>2093.6372099999999</v>
      </c>
      <c r="X150" s="136">
        <f>X6*Premissas!$E$43</f>
        <v>1865.6100750000001</v>
      </c>
      <c r="Y150" s="136">
        <f>Y6*Premissas!$E$43</f>
        <v>2139.8569499999999</v>
      </c>
      <c r="Z150" s="136">
        <f>Z6*Premissas!$E$43</f>
        <v>2135.1764699999999</v>
      </c>
      <c r="AA150" s="136">
        <f>AA6*Premissas!$E$43</f>
        <v>1998.2724299999998</v>
      </c>
      <c r="AB150" s="136">
        <f>AB6*Premissas!$F$43</f>
        <v>380.53491922500001</v>
      </c>
      <c r="AC150" s="136">
        <f>AC6*Premissas!$F$43</f>
        <v>400.54530452499995</v>
      </c>
      <c r="AD150" s="136">
        <f>AD6*Premissas!$F$43</f>
        <v>480.83237192500007</v>
      </c>
      <c r="AE150" s="136">
        <f>AE6*Premissas!$F$43</f>
        <v>451.18508327499995</v>
      </c>
      <c r="AF150" s="136">
        <f>AF6*Premissas!$F$43</f>
        <v>463.67622870000002</v>
      </c>
      <c r="AG150" s="136">
        <f>AG6*Premissas!$F$43</f>
        <v>448.33084120000001</v>
      </c>
      <c r="AH150" s="136">
        <f>AH6*Premissas!$G$43</f>
        <v>453.17701357499999</v>
      </c>
      <c r="AI150" s="136">
        <f>AI6*Premissas!$G$43</f>
        <v>467.65018905000005</v>
      </c>
      <c r="AJ150" s="136">
        <f>AJ6*Premissas!$G$43</f>
        <v>416.71637287499999</v>
      </c>
      <c r="AK150" s="136">
        <f>AK6*Premissas!$G$43</f>
        <v>477.97416974999999</v>
      </c>
      <c r="AL150" s="136">
        <f>AL6*Premissas!$G$43</f>
        <v>476.92870335000003</v>
      </c>
      <c r="AM150" s="136">
        <f>AM6*Premissas!$G$43</f>
        <v>446.34881115000007</v>
      </c>
      <c r="AN150" s="136">
        <f>AN6*Premissas!$H$43</f>
        <v>378.63224462887501</v>
      </c>
      <c r="AO150" s="136">
        <f>AO6*Premissas!$H$43</f>
        <v>398.54257800237491</v>
      </c>
      <c r="AP150" s="136">
        <f>AP6*Premissas!$H$43</f>
        <v>478.42821006537497</v>
      </c>
      <c r="AQ150" s="136">
        <f>AQ6*Premissas!$H$43</f>
        <v>448.92915785862505</v>
      </c>
      <c r="AR150" s="136">
        <f>AR6*Premissas!$H$43</f>
        <v>461.35784755649996</v>
      </c>
      <c r="AS150" s="136">
        <f>AS6*Premissas!$H$43</f>
        <v>446.08918699400004</v>
      </c>
      <c r="AT150" s="136">
        <f>AT6*Premissas!$I$43</f>
        <v>450.911128507125</v>
      </c>
      <c r="AU150" s="136">
        <f>AU6*Premissas!$I$43</f>
        <v>465.31193810474997</v>
      </c>
      <c r="AV150" s="136">
        <f>AV6*Premissas!$I$43</f>
        <v>414.632791010625</v>
      </c>
      <c r="AW150" s="136">
        <f>AW6*Premissas!$I$43</f>
        <v>475.58429890125007</v>
      </c>
      <c r="AX150" s="136">
        <f>AX6*Premissas!$I$43</f>
        <v>474.54405983325006</v>
      </c>
      <c r="AY150" s="136">
        <f>AY6*Premissas!$I$43</f>
        <v>444.11706709424999</v>
      </c>
      <c r="AZ150" s="136">
        <f>AZ6*Premissas!$J$43</f>
        <v>437.50345169697749</v>
      </c>
      <c r="BA150" s="136">
        <f>BA6*Premissas!$J$43</f>
        <v>460.50952077564745</v>
      </c>
      <c r="BB150" s="136">
        <f>BB6*Premissas!$J$43</f>
        <v>552.81608014650749</v>
      </c>
      <c r="BC150" s="136">
        <f>BC6*Premissas!$J$43</f>
        <v>518.7304011127726</v>
      </c>
      <c r="BD150" s="136">
        <f>BD6*Premissas!$J$43</f>
        <v>533.09155159593001</v>
      </c>
      <c r="BE150" s="136">
        <f>BE6*Premissas!$J$43</f>
        <v>515.44886058468001</v>
      </c>
      <c r="BF150" s="136">
        <f>BF6*Premissas!$K$43</f>
        <v>652.59137871212999</v>
      </c>
      <c r="BG150" s="136">
        <f>BG6*Premissas!$K$43</f>
        <v>673.43327769341988</v>
      </c>
      <c r="BH150" s="136">
        <f>BH6*Premissas!$K$43</f>
        <v>600.08673026265001</v>
      </c>
      <c r="BI150" s="136">
        <f>BI6*Premissas!$K$43</f>
        <v>688.30018531889993</v>
      </c>
      <c r="BJ150" s="136">
        <f>BJ6*Premissas!$K$43</f>
        <v>686.79467568593998</v>
      </c>
      <c r="BK150" s="136">
        <f>BK6*Premissas!$K$43</f>
        <v>642.75851892186006</v>
      </c>
    </row>
    <row r="151" spans="1:63" ht="12.75" customHeight="1" x14ac:dyDescent="0.2">
      <c r="A151" s="126" t="s">
        <v>409</v>
      </c>
      <c r="B151" s="120">
        <f>AA151</f>
        <v>10066.811145</v>
      </c>
      <c r="C151" s="120" t="s">
        <v>397</v>
      </c>
      <c r="D151" s="120">
        <f>0</f>
        <v>0</v>
      </c>
      <c r="E151" s="120">
        <f t="shared" ref="E151:AJ151" si="138">D153</f>
        <v>70.354000000000042</v>
      </c>
      <c r="F151" s="120">
        <f t="shared" si="138"/>
        <v>278.69999999999993</v>
      </c>
      <c r="G151" s="120">
        <f t="shared" si="138"/>
        <v>391.38199999999995</v>
      </c>
      <c r="H151" s="120">
        <f t="shared" si="138"/>
        <v>78.627999999999929</v>
      </c>
      <c r="I151" s="120">
        <f t="shared" si="138"/>
        <v>1516.5839999999996</v>
      </c>
      <c r="J151" s="120">
        <f t="shared" si="138"/>
        <v>2516.0399999999991</v>
      </c>
      <c r="K151" s="120">
        <f t="shared" si="138"/>
        <v>3438.7869999999989</v>
      </c>
      <c r="L151" s="120">
        <f t="shared" si="138"/>
        <v>3693.5235099999986</v>
      </c>
      <c r="M151" s="120">
        <f t="shared" si="138"/>
        <v>3968.1458349999984</v>
      </c>
      <c r="N151" s="120">
        <f t="shared" si="138"/>
        <v>4704.7962849999985</v>
      </c>
      <c r="O151" s="120">
        <f t="shared" si="138"/>
        <v>4521.5718849999985</v>
      </c>
      <c r="P151" s="120">
        <f t="shared" si="138"/>
        <v>4548.968284999999</v>
      </c>
      <c r="Q151" s="120">
        <f t="shared" si="138"/>
        <v>4776.688584999999</v>
      </c>
      <c r="R151" s="120">
        <f t="shared" si="138"/>
        <v>5154.0332849999986</v>
      </c>
      <c r="S151" s="120">
        <f t="shared" si="138"/>
        <v>5466.1531849999983</v>
      </c>
      <c r="T151" s="120">
        <f t="shared" si="138"/>
        <v>5330.0778849999988</v>
      </c>
      <c r="U151" s="120">
        <f t="shared" si="138"/>
        <v>6582.4995049999989</v>
      </c>
      <c r="V151" s="120">
        <f t="shared" si="138"/>
        <v>7392.7886249999992</v>
      </c>
      <c r="W151" s="120">
        <f t="shared" si="138"/>
        <v>8135.255439999999</v>
      </c>
      <c r="X151" s="120">
        <f t="shared" si="138"/>
        <v>8247.567649999999</v>
      </c>
      <c r="Y151" s="120">
        <f t="shared" si="138"/>
        <v>8395.2777249999999</v>
      </c>
      <c r="Z151" s="120">
        <f t="shared" si="138"/>
        <v>8986.3596749999997</v>
      </c>
      <c r="AA151" s="120">
        <f t="shared" si="138"/>
        <v>10066.811145</v>
      </c>
      <c r="AB151" s="120">
        <f t="shared" si="138"/>
        <v>11276.858575</v>
      </c>
      <c r="AC151" s="120">
        <f t="shared" si="138"/>
        <v>10849.462869225001</v>
      </c>
      <c r="AD151" s="120">
        <f t="shared" si="138"/>
        <v>10442.077548750001</v>
      </c>
      <c r="AE151" s="120">
        <f t="shared" si="138"/>
        <v>10114.979295675001</v>
      </c>
      <c r="AF151" s="120">
        <f t="shared" si="138"/>
        <v>9758.2337539500004</v>
      </c>
      <c r="AG151" s="120">
        <f t="shared" si="138"/>
        <v>9413.9793576499997</v>
      </c>
      <c r="AH151" s="120">
        <f t="shared" si="138"/>
        <v>9054.3795738499994</v>
      </c>
      <c r="AI151" s="120">
        <f t="shared" si="138"/>
        <v>8699.6259624249997</v>
      </c>
      <c r="AJ151" s="120">
        <f t="shared" si="138"/>
        <v>8359.3455264749991</v>
      </c>
      <c r="AK151" s="120">
        <f t="shared" ref="AK151:BK151" si="139">AJ153</f>
        <v>7968.1312743499993</v>
      </c>
      <c r="AL151" s="120">
        <f t="shared" si="139"/>
        <v>7638.1748190999997</v>
      </c>
      <c r="AM151" s="120">
        <f t="shared" si="139"/>
        <v>7307.1728974500002</v>
      </c>
      <c r="AN151" s="120">
        <f t="shared" si="139"/>
        <v>6945.5910836000003</v>
      </c>
      <c r="AO151" s="120">
        <f t="shared" si="139"/>
        <v>6496.0944376038751</v>
      </c>
      <c r="AP151" s="120">
        <f t="shared" si="139"/>
        <v>6066.5081249812501</v>
      </c>
      <c r="AQ151" s="120">
        <f t="shared" si="139"/>
        <v>5716.8074444216254</v>
      </c>
      <c r="AR151" s="120">
        <f t="shared" si="139"/>
        <v>5337.6077116552506</v>
      </c>
      <c r="AS151" s="120">
        <f t="shared" si="139"/>
        <v>4970.8366685867504</v>
      </c>
      <c r="AT151" s="120">
        <f t="shared" si="139"/>
        <v>4588.7969649557508</v>
      </c>
      <c r="AU151" s="120">
        <f t="shared" si="139"/>
        <v>4211.5792028378755</v>
      </c>
      <c r="AV151" s="120">
        <f t="shared" si="139"/>
        <v>3848.7622503176253</v>
      </c>
      <c r="AW151" s="120">
        <f t="shared" si="139"/>
        <v>3435.2661507032503</v>
      </c>
      <c r="AX151" s="120">
        <f t="shared" si="139"/>
        <v>3082.7215589795005</v>
      </c>
      <c r="AY151" s="120">
        <f t="shared" si="139"/>
        <v>2729.1367281877506</v>
      </c>
      <c r="AZ151" s="120">
        <f t="shared" si="139"/>
        <v>2345.1249046570006</v>
      </c>
      <c r="BA151" s="120">
        <f t="shared" si="139"/>
        <v>1933.7962434633532</v>
      </c>
      <c r="BB151" s="120">
        <f t="shared" si="139"/>
        <v>1545.4736513483758</v>
      </c>
      <c r="BC151" s="120">
        <f t="shared" si="139"/>
        <v>1249.4576186042586</v>
      </c>
      <c r="BD151" s="120">
        <f t="shared" si="139"/>
        <v>919.35590682640645</v>
      </c>
      <c r="BE151" s="120">
        <f t="shared" si="139"/>
        <v>603.61534553171168</v>
      </c>
      <c r="BF151" s="120">
        <f t="shared" si="139"/>
        <v>270.2320932257669</v>
      </c>
      <c r="BG151" s="120">
        <f t="shared" si="139"/>
        <v>73.991359047272113</v>
      </c>
      <c r="BH151" s="120">
        <f t="shared" si="139"/>
        <v>0</v>
      </c>
      <c r="BI151" s="120">
        <f t="shared" si="139"/>
        <v>0</v>
      </c>
      <c r="BJ151" s="120">
        <f t="shared" si="139"/>
        <v>0</v>
      </c>
      <c r="BK151" s="120">
        <f t="shared" si="139"/>
        <v>0</v>
      </c>
    </row>
    <row r="152" spans="1:63" ht="12.75" customHeight="1" x14ac:dyDescent="0.2">
      <c r="A152" s="126" t="s">
        <v>410</v>
      </c>
      <c r="B152" s="120">
        <f>SUM(D152:BQ152)</f>
        <v>11908.912274999997</v>
      </c>
      <c r="C152" s="120">
        <f>B152/60</f>
        <v>198.48187124999995</v>
      </c>
      <c r="D152" s="120">
        <f t="shared" ref="D152:AI152" si="140">MIN(D151,MAX(D149-D150,0))</f>
        <v>0</v>
      </c>
      <c r="E152" s="120">
        <f t="shared" si="140"/>
        <v>0</v>
      </c>
      <c r="F152" s="120">
        <f t="shared" si="140"/>
        <v>0</v>
      </c>
      <c r="G152" s="120">
        <f t="shared" si="140"/>
        <v>312.75400000000002</v>
      </c>
      <c r="H152" s="120">
        <f t="shared" si="140"/>
        <v>0</v>
      </c>
      <c r="I152" s="120">
        <f t="shared" si="140"/>
        <v>0</v>
      </c>
      <c r="J152" s="120">
        <f t="shared" si="140"/>
        <v>0</v>
      </c>
      <c r="K152" s="120">
        <f t="shared" si="140"/>
        <v>0</v>
      </c>
      <c r="L152" s="120">
        <f t="shared" si="140"/>
        <v>0</v>
      </c>
      <c r="M152" s="120">
        <f t="shared" si="140"/>
        <v>0</v>
      </c>
      <c r="N152" s="120">
        <f t="shared" si="140"/>
        <v>183.22439999999983</v>
      </c>
      <c r="O152" s="120">
        <f t="shared" si="140"/>
        <v>0</v>
      </c>
      <c r="P152" s="120">
        <f t="shared" si="140"/>
        <v>0</v>
      </c>
      <c r="Q152" s="120">
        <f t="shared" si="140"/>
        <v>0</v>
      </c>
      <c r="R152" s="120">
        <f t="shared" si="140"/>
        <v>0</v>
      </c>
      <c r="S152" s="120">
        <f t="shared" si="140"/>
        <v>136.07529999999986</v>
      </c>
      <c r="T152" s="120">
        <f t="shared" si="140"/>
        <v>0</v>
      </c>
      <c r="U152" s="120">
        <f t="shared" si="140"/>
        <v>0</v>
      </c>
      <c r="V152" s="120">
        <f t="shared" si="140"/>
        <v>0</v>
      </c>
      <c r="W152" s="120">
        <f t="shared" si="140"/>
        <v>0</v>
      </c>
      <c r="X152" s="120">
        <f t="shared" si="140"/>
        <v>0</v>
      </c>
      <c r="Y152" s="120">
        <f t="shared" si="140"/>
        <v>0</v>
      </c>
      <c r="Z152" s="120">
        <f t="shared" si="140"/>
        <v>0</v>
      </c>
      <c r="AA152" s="120">
        <f t="shared" si="140"/>
        <v>0</v>
      </c>
      <c r="AB152" s="120">
        <f t="shared" si="140"/>
        <v>427.39570577499995</v>
      </c>
      <c r="AC152" s="120">
        <f t="shared" si="140"/>
        <v>407.38532047500001</v>
      </c>
      <c r="AD152" s="120">
        <f t="shared" si="140"/>
        <v>327.09825307499989</v>
      </c>
      <c r="AE152" s="120">
        <f t="shared" si="140"/>
        <v>356.74554172500001</v>
      </c>
      <c r="AF152" s="120">
        <f t="shared" si="140"/>
        <v>344.25439629999994</v>
      </c>
      <c r="AG152" s="120">
        <f t="shared" si="140"/>
        <v>359.59978379999995</v>
      </c>
      <c r="AH152" s="120">
        <f t="shared" si="140"/>
        <v>354.75361142499997</v>
      </c>
      <c r="AI152" s="120">
        <f t="shared" si="140"/>
        <v>340.28043594999991</v>
      </c>
      <c r="AJ152" s="120">
        <f t="shared" ref="AJ152:BO152" si="141">MIN(AJ151,MAX(AJ149-AJ150,0))</f>
        <v>391.21425212499997</v>
      </c>
      <c r="AK152" s="120">
        <f t="shared" si="141"/>
        <v>329.95645524999998</v>
      </c>
      <c r="AL152" s="120">
        <f t="shared" si="141"/>
        <v>331.00192164999993</v>
      </c>
      <c r="AM152" s="120">
        <f t="shared" si="141"/>
        <v>361.58181384999989</v>
      </c>
      <c r="AN152" s="120">
        <f t="shared" si="141"/>
        <v>449.49664599612493</v>
      </c>
      <c r="AO152" s="120">
        <f t="shared" si="141"/>
        <v>429.58631262262503</v>
      </c>
      <c r="AP152" s="120">
        <f t="shared" si="141"/>
        <v>349.70068055962497</v>
      </c>
      <c r="AQ152" s="120">
        <f t="shared" si="141"/>
        <v>379.19973276637489</v>
      </c>
      <c r="AR152" s="120">
        <f t="shared" si="141"/>
        <v>366.77104306849998</v>
      </c>
      <c r="AS152" s="120">
        <f t="shared" si="141"/>
        <v>382.0397036309999</v>
      </c>
      <c r="AT152" s="120">
        <f t="shared" si="141"/>
        <v>377.21776211787494</v>
      </c>
      <c r="AU152" s="120">
        <f t="shared" si="141"/>
        <v>362.81695252024997</v>
      </c>
      <c r="AV152" s="120">
        <f t="shared" si="141"/>
        <v>413.49609961437494</v>
      </c>
      <c r="AW152" s="120">
        <f t="shared" si="141"/>
        <v>352.54459172374987</v>
      </c>
      <c r="AX152" s="120">
        <f t="shared" si="141"/>
        <v>353.58483079174988</v>
      </c>
      <c r="AY152" s="120">
        <f t="shared" si="141"/>
        <v>384.01182353074995</v>
      </c>
      <c r="AZ152" s="120">
        <f t="shared" si="141"/>
        <v>411.32866119364729</v>
      </c>
      <c r="BA152" s="120">
        <f t="shared" si="141"/>
        <v>388.32259211497734</v>
      </c>
      <c r="BB152" s="120">
        <f t="shared" si="141"/>
        <v>296.0160327441173</v>
      </c>
      <c r="BC152" s="120">
        <f t="shared" si="141"/>
        <v>330.10171177785219</v>
      </c>
      <c r="BD152" s="120">
        <f t="shared" si="141"/>
        <v>315.74056129469477</v>
      </c>
      <c r="BE152" s="120">
        <f t="shared" si="141"/>
        <v>333.38325230594478</v>
      </c>
      <c r="BF152" s="120">
        <f t="shared" si="141"/>
        <v>196.24073417849479</v>
      </c>
      <c r="BG152" s="120">
        <f t="shared" si="141"/>
        <v>73.991359047272113</v>
      </c>
      <c r="BH152" s="120">
        <f t="shared" si="141"/>
        <v>0</v>
      </c>
      <c r="BI152" s="120">
        <f t="shared" si="141"/>
        <v>0</v>
      </c>
      <c r="BJ152" s="120">
        <f t="shared" si="141"/>
        <v>0</v>
      </c>
      <c r="BK152" s="120">
        <f t="shared" si="141"/>
        <v>0</v>
      </c>
    </row>
    <row r="153" spans="1:63" ht="13.5" customHeight="1" x14ac:dyDescent="0.2">
      <c r="A153" s="41" t="s">
        <v>411</v>
      </c>
      <c r="B153" s="43">
        <f>AA153</f>
        <v>11276.858575</v>
      </c>
      <c r="C153" s="120" t="s">
        <v>397</v>
      </c>
      <c r="D153" s="137">
        <f t="shared" ref="D153:AI153" si="142">MAX(D151-D152,0)+MAX(D150-D149,0)</f>
        <v>70.354000000000042</v>
      </c>
      <c r="E153" s="137">
        <f t="shared" si="142"/>
        <v>278.69999999999993</v>
      </c>
      <c r="F153" s="137">
        <f t="shared" si="142"/>
        <v>391.38199999999995</v>
      </c>
      <c r="G153" s="137">
        <f t="shared" si="142"/>
        <v>78.627999999999929</v>
      </c>
      <c r="H153" s="137">
        <f t="shared" si="142"/>
        <v>1516.5839999999996</v>
      </c>
      <c r="I153" s="137">
        <f t="shared" si="142"/>
        <v>2516.0399999999991</v>
      </c>
      <c r="J153" s="137">
        <f t="shared" si="142"/>
        <v>3438.7869999999989</v>
      </c>
      <c r="K153" s="137">
        <f t="shared" si="142"/>
        <v>3693.5235099999986</v>
      </c>
      <c r="L153" s="137">
        <f t="shared" si="142"/>
        <v>3968.1458349999984</v>
      </c>
      <c r="M153" s="137">
        <f t="shared" si="142"/>
        <v>4704.7962849999985</v>
      </c>
      <c r="N153" s="137">
        <f t="shared" si="142"/>
        <v>4521.5718849999985</v>
      </c>
      <c r="O153" s="137">
        <f t="shared" si="142"/>
        <v>4548.968284999999</v>
      </c>
      <c r="P153" s="137">
        <f t="shared" si="142"/>
        <v>4776.688584999999</v>
      </c>
      <c r="Q153" s="137">
        <f t="shared" si="142"/>
        <v>5154.0332849999986</v>
      </c>
      <c r="R153" s="137">
        <f t="shared" si="142"/>
        <v>5466.1531849999983</v>
      </c>
      <c r="S153" s="137">
        <f t="shared" si="142"/>
        <v>5330.0778849999988</v>
      </c>
      <c r="T153" s="137">
        <f t="shared" si="142"/>
        <v>6582.4995049999989</v>
      </c>
      <c r="U153" s="137">
        <f t="shared" si="142"/>
        <v>7392.7886249999992</v>
      </c>
      <c r="V153" s="137">
        <f t="shared" si="142"/>
        <v>8135.255439999999</v>
      </c>
      <c r="W153" s="137">
        <f t="shared" si="142"/>
        <v>8247.567649999999</v>
      </c>
      <c r="X153" s="137">
        <f t="shared" si="142"/>
        <v>8395.2777249999999</v>
      </c>
      <c r="Y153" s="137">
        <f t="shared" si="142"/>
        <v>8986.3596749999997</v>
      </c>
      <c r="Z153" s="137">
        <f t="shared" si="142"/>
        <v>10066.811145</v>
      </c>
      <c r="AA153" s="137">
        <f t="shared" si="142"/>
        <v>11276.858575</v>
      </c>
      <c r="AB153" s="137">
        <f t="shared" si="142"/>
        <v>10849.462869225001</v>
      </c>
      <c r="AC153" s="137">
        <f t="shared" si="142"/>
        <v>10442.077548750001</v>
      </c>
      <c r="AD153" s="137">
        <f t="shared" si="142"/>
        <v>10114.979295675001</v>
      </c>
      <c r="AE153" s="137">
        <f t="shared" si="142"/>
        <v>9758.2337539500004</v>
      </c>
      <c r="AF153" s="137">
        <f t="shared" si="142"/>
        <v>9413.9793576499997</v>
      </c>
      <c r="AG153" s="137">
        <f t="shared" si="142"/>
        <v>9054.3795738499994</v>
      </c>
      <c r="AH153" s="137">
        <f t="shared" si="142"/>
        <v>8699.6259624249997</v>
      </c>
      <c r="AI153" s="137">
        <f t="shared" si="142"/>
        <v>8359.3455264749991</v>
      </c>
      <c r="AJ153" s="137">
        <f t="shared" ref="AJ153:BO153" si="143">MAX(AJ151-AJ152,0)+MAX(AJ150-AJ149,0)</f>
        <v>7968.1312743499993</v>
      </c>
      <c r="AK153" s="137">
        <f t="shared" si="143"/>
        <v>7638.1748190999997</v>
      </c>
      <c r="AL153" s="137">
        <f t="shared" si="143"/>
        <v>7307.1728974500002</v>
      </c>
      <c r="AM153" s="137">
        <f t="shared" si="143"/>
        <v>6945.5910836000003</v>
      </c>
      <c r="AN153" s="137">
        <f t="shared" si="143"/>
        <v>6496.0944376038751</v>
      </c>
      <c r="AO153" s="137">
        <f t="shared" si="143"/>
        <v>6066.5081249812501</v>
      </c>
      <c r="AP153" s="137">
        <f t="shared" si="143"/>
        <v>5716.8074444216254</v>
      </c>
      <c r="AQ153" s="137">
        <f t="shared" si="143"/>
        <v>5337.6077116552506</v>
      </c>
      <c r="AR153" s="137">
        <f t="shared" si="143"/>
        <v>4970.8366685867504</v>
      </c>
      <c r="AS153" s="137">
        <f t="shared" si="143"/>
        <v>4588.7969649557508</v>
      </c>
      <c r="AT153" s="137">
        <f t="shared" si="143"/>
        <v>4211.5792028378755</v>
      </c>
      <c r="AU153" s="137">
        <f t="shared" si="143"/>
        <v>3848.7622503176253</v>
      </c>
      <c r="AV153" s="137">
        <f t="shared" si="143"/>
        <v>3435.2661507032503</v>
      </c>
      <c r="AW153" s="137">
        <f t="shared" si="143"/>
        <v>3082.7215589795005</v>
      </c>
      <c r="AX153" s="137">
        <f t="shared" si="143"/>
        <v>2729.1367281877506</v>
      </c>
      <c r="AY153" s="137">
        <f t="shared" si="143"/>
        <v>2345.1249046570006</v>
      </c>
      <c r="AZ153" s="137">
        <f t="shared" si="143"/>
        <v>1933.7962434633532</v>
      </c>
      <c r="BA153" s="137">
        <f t="shared" si="143"/>
        <v>1545.4736513483758</v>
      </c>
      <c r="BB153" s="137">
        <f t="shared" si="143"/>
        <v>1249.4576186042586</v>
      </c>
      <c r="BC153" s="137">
        <f t="shared" si="143"/>
        <v>919.35590682640645</v>
      </c>
      <c r="BD153" s="137">
        <f t="shared" si="143"/>
        <v>603.61534553171168</v>
      </c>
      <c r="BE153" s="137">
        <f t="shared" si="143"/>
        <v>270.2320932257669</v>
      </c>
      <c r="BF153" s="137">
        <f t="shared" si="143"/>
        <v>73.991359047272113</v>
      </c>
      <c r="BG153" s="137">
        <f t="shared" si="143"/>
        <v>0</v>
      </c>
      <c r="BH153" s="137">
        <f t="shared" si="143"/>
        <v>0</v>
      </c>
      <c r="BI153" s="137">
        <f t="shared" si="143"/>
        <v>0</v>
      </c>
      <c r="BJ153" s="137">
        <f t="shared" si="143"/>
        <v>0</v>
      </c>
      <c r="BK153" s="137">
        <f t="shared" si="143"/>
        <v>0</v>
      </c>
    </row>
    <row r="154" spans="1:63" ht="12.75" customHeight="1" x14ac:dyDescent="0.2">
      <c r="A154" s="127" t="s">
        <v>412</v>
      </c>
      <c r="B154" s="128">
        <f>AA154</f>
        <v>0</v>
      </c>
      <c r="C154" s="120" t="s">
        <v>397</v>
      </c>
      <c r="D154" s="128">
        <f>0</f>
        <v>0</v>
      </c>
      <c r="E154" s="128">
        <f t="shared" ref="E154:AJ154" si="144">D156</f>
        <v>0</v>
      </c>
      <c r="F154" s="128">
        <f t="shared" si="144"/>
        <v>0</v>
      </c>
      <c r="G154" s="128">
        <f t="shared" si="144"/>
        <v>0</v>
      </c>
      <c r="H154" s="128">
        <f t="shared" si="144"/>
        <v>0</v>
      </c>
      <c r="I154" s="128">
        <f t="shared" si="144"/>
        <v>0</v>
      </c>
      <c r="J154" s="128">
        <f t="shared" si="144"/>
        <v>0</v>
      </c>
      <c r="K154" s="128">
        <f t="shared" si="144"/>
        <v>0</v>
      </c>
      <c r="L154" s="128">
        <f t="shared" si="144"/>
        <v>0</v>
      </c>
      <c r="M154" s="128">
        <f t="shared" si="144"/>
        <v>0</v>
      </c>
      <c r="N154" s="128">
        <f t="shared" si="144"/>
        <v>0</v>
      </c>
      <c r="O154" s="128">
        <f t="shared" si="144"/>
        <v>0</v>
      </c>
      <c r="P154" s="128">
        <f t="shared" si="144"/>
        <v>0</v>
      </c>
      <c r="Q154" s="128">
        <f t="shared" si="144"/>
        <v>0</v>
      </c>
      <c r="R154" s="128">
        <f t="shared" si="144"/>
        <v>0</v>
      </c>
      <c r="S154" s="128">
        <f t="shared" si="144"/>
        <v>0</v>
      </c>
      <c r="T154" s="128">
        <f t="shared" si="144"/>
        <v>0</v>
      </c>
      <c r="U154" s="128">
        <f t="shared" si="144"/>
        <v>0</v>
      </c>
      <c r="V154" s="128">
        <f t="shared" si="144"/>
        <v>0</v>
      </c>
      <c r="W154" s="128">
        <f t="shared" si="144"/>
        <v>0</v>
      </c>
      <c r="X154" s="128">
        <f t="shared" si="144"/>
        <v>0</v>
      </c>
      <c r="Y154" s="128">
        <f t="shared" si="144"/>
        <v>0</v>
      </c>
      <c r="Z154" s="128">
        <f t="shared" si="144"/>
        <v>0</v>
      </c>
      <c r="AA154" s="128">
        <f t="shared" si="144"/>
        <v>0</v>
      </c>
      <c r="AB154" s="128">
        <f t="shared" si="144"/>
        <v>0</v>
      </c>
      <c r="AC154" s="128">
        <f t="shared" si="144"/>
        <v>0</v>
      </c>
      <c r="AD154" s="128">
        <f t="shared" si="144"/>
        <v>0</v>
      </c>
      <c r="AE154" s="128">
        <f t="shared" si="144"/>
        <v>0</v>
      </c>
      <c r="AF154" s="128">
        <f t="shared" si="144"/>
        <v>0</v>
      </c>
      <c r="AG154" s="128">
        <f t="shared" si="144"/>
        <v>0</v>
      </c>
      <c r="AH154" s="128">
        <f t="shared" si="144"/>
        <v>0</v>
      </c>
      <c r="AI154" s="128">
        <f t="shared" si="144"/>
        <v>0</v>
      </c>
      <c r="AJ154" s="128">
        <f t="shared" si="144"/>
        <v>0</v>
      </c>
      <c r="AK154" s="128">
        <f t="shared" ref="AK154:BK154" si="145">AJ156</f>
        <v>0</v>
      </c>
      <c r="AL154" s="128">
        <f t="shared" si="145"/>
        <v>0</v>
      </c>
      <c r="AM154" s="128">
        <f t="shared" si="145"/>
        <v>0</v>
      </c>
      <c r="AN154" s="128">
        <f t="shared" si="145"/>
        <v>0</v>
      </c>
      <c r="AO154" s="128">
        <f t="shared" si="145"/>
        <v>0</v>
      </c>
      <c r="AP154" s="128">
        <f t="shared" si="145"/>
        <v>0</v>
      </c>
      <c r="AQ154" s="128">
        <f t="shared" si="145"/>
        <v>0</v>
      </c>
      <c r="AR154" s="128">
        <f t="shared" si="145"/>
        <v>0</v>
      </c>
      <c r="AS154" s="128">
        <f t="shared" si="145"/>
        <v>0</v>
      </c>
      <c r="AT154" s="128">
        <f t="shared" si="145"/>
        <v>0</v>
      </c>
      <c r="AU154" s="128">
        <f t="shared" si="145"/>
        <v>0</v>
      </c>
      <c r="AV154" s="128">
        <f t="shared" si="145"/>
        <v>0</v>
      </c>
      <c r="AW154" s="128">
        <f t="shared" si="145"/>
        <v>0</v>
      </c>
      <c r="AX154" s="128">
        <f t="shared" si="145"/>
        <v>0</v>
      </c>
      <c r="AY154" s="128">
        <f t="shared" si="145"/>
        <v>0</v>
      </c>
      <c r="AZ154" s="128">
        <f t="shared" si="145"/>
        <v>0</v>
      </c>
      <c r="BA154" s="128">
        <f t="shared" si="145"/>
        <v>0</v>
      </c>
      <c r="BB154" s="128">
        <f t="shared" si="145"/>
        <v>0</v>
      </c>
      <c r="BC154" s="128">
        <f t="shared" si="145"/>
        <v>0</v>
      </c>
      <c r="BD154" s="128">
        <f t="shared" si="145"/>
        <v>0</v>
      </c>
      <c r="BE154" s="128">
        <f t="shared" si="145"/>
        <v>0</v>
      </c>
      <c r="BF154" s="128">
        <f t="shared" si="145"/>
        <v>0</v>
      </c>
      <c r="BG154" s="128">
        <f t="shared" si="145"/>
        <v>0</v>
      </c>
      <c r="BH154" s="128">
        <f t="shared" si="145"/>
        <v>0</v>
      </c>
      <c r="BI154" s="128">
        <f t="shared" si="145"/>
        <v>0</v>
      </c>
      <c r="BJ154" s="128">
        <f t="shared" si="145"/>
        <v>0</v>
      </c>
      <c r="BK154" s="128">
        <f t="shared" si="145"/>
        <v>0</v>
      </c>
    </row>
    <row r="155" spans="1:63" ht="12.75" customHeight="1" x14ac:dyDescent="0.2">
      <c r="A155" s="127" t="s">
        <v>420</v>
      </c>
      <c r="B155" s="128">
        <f>SUM(D155:BQ155)</f>
        <v>0</v>
      </c>
      <c r="C155" s="120">
        <f>B155/60</f>
        <v>0</v>
      </c>
      <c r="D155" s="128">
        <f t="shared" ref="D155:AI155" si="146">MIN(D154,D149)</f>
        <v>0</v>
      </c>
      <c r="E155" s="128">
        <f t="shared" si="146"/>
        <v>0</v>
      </c>
      <c r="F155" s="128">
        <f t="shared" si="146"/>
        <v>0</v>
      </c>
      <c r="G155" s="128">
        <f t="shared" si="146"/>
        <v>0</v>
      </c>
      <c r="H155" s="128">
        <f t="shared" si="146"/>
        <v>0</v>
      </c>
      <c r="I155" s="128">
        <f t="shared" si="146"/>
        <v>0</v>
      </c>
      <c r="J155" s="128">
        <f t="shared" si="146"/>
        <v>0</v>
      </c>
      <c r="K155" s="128">
        <f t="shared" si="146"/>
        <v>0</v>
      </c>
      <c r="L155" s="128">
        <f t="shared" si="146"/>
        <v>0</v>
      </c>
      <c r="M155" s="128">
        <f t="shared" si="146"/>
        <v>0</v>
      </c>
      <c r="N155" s="128">
        <f t="shared" si="146"/>
        <v>0</v>
      </c>
      <c r="O155" s="128">
        <f t="shared" si="146"/>
        <v>0</v>
      </c>
      <c r="P155" s="128">
        <f t="shared" si="146"/>
        <v>0</v>
      </c>
      <c r="Q155" s="128">
        <f t="shared" si="146"/>
        <v>0</v>
      </c>
      <c r="R155" s="128">
        <f t="shared" si="146"/>
        <v>0</v>
      </c>
      <c r="S155" s="128">
        <f t="shared" si="146"/>
        <v>0</v>
      </c>
      <c r="T155" s="128">
        <f t="shared" si="146"/>
        <v>0</v>
      </c>
      <c r="U155" s="128">
        <f t="shared" si="146"/>
        <v>0</v>
      </c>
      <c r="V155" s="128">
        <f t="shared" si="146"/>
        <v>0</v>
      </c>
      <c r="W155" s="128">
        <f t="shared" si="146"/>
        <v>0</v>
      </c>
      <c r="X155" s="128">
        <f t="shared" si="146"/>
        <v>0</v>
      </c>
      <c r="Y155" s="128">
        <f t="shared" si="146"/>
        <v>0</v>
      </c>
      <c r="Z155" s="128">
        <f t="shared" si="146"/>
        <v>0</v>
      </c>
      <c r="AA155" s="128">
        <f t="shared" si="146"/>
        <v>0</v>
      </c>
      <c r="AB155" s="128">
        <f t="shared" si="146"/>
        <v>0</v>
      </c>
      <c r="AC155" s="128">
        <f t="shared" si="146"/>
        <v>0</v>
      </c>
      <c r="AD155" s="128">
        <f t="shared" si="146"/>
        <v>0</v>
      </c>
      <c r="AE155" s="128">
        <f t="shared" si="146"/>
        <v>0</v>
      </c>
      <c r="AF155" s="128">
        <f t="shared" si="146"/>
        <v>0</v>
      </c>
      <c r="AG155" s="128">
        <f t="shared" si="146"/>
        <v>0</v>
      </c>
      <c r="AH155" s="128">
        <f t="shared" si="146"/>
        <v>0</v>
      </c>
      <c r="AI155" s="128">
        <f t="shared" si="146"/>
        <v>0</v>
      </c>
      <c r="AJ155" s="128">
        <f t="shared" ref="AJ155:BO155" si="147">MIN(AJ154,AJ149)</f>
        <v>0</v>
      </c>
      <c r="AK155" s="128">
        <f t="shared" si="147"/>
        <v>0</v>
      </c>
      <c r="AL155" s="128">
        <f t="shared" si="147"/>
        <v>0</v>
      </c>
      <c r="AM155" s="128">
        <f t="shared" si="147"/>
        <v>0</v>
      </c>
      <c r="AN155" s="128">
        <f t="shared" si="147"/>
        <v>0</v>
      </c>
      <c r="AO155" s="128">
        <f t="shared" si="147"/>
        <v>0</v>
      </c>
      <c r="AP155" s="128">
        <f t="shared" si="147"/>
        <v>0</v>
      </c>
      <c r="AQ155" s="128">
        <f t="shared" si="147"/>
        <v>0</v>
      </c>
      <c r="AR155" s="128">
        <f t="shared" si="147"/>
        <v>0</v>
      </c>
      <c r="AS155" s="128">
        <f t="shared" si="147"/>
        <v>0</v>
      </c>
      <c r="AT155" s="128">
        <f t="shared" si="147"/>
        <v>0</v>
      </c>
      <c r="AU155" s="128">
        <f t="shared" si="147"/>
        <v>0</v>
      </c>
      <c r="AV155" s="128">
        <f t="shared" si="147"/>
        <v>0</v>
      </c>
      <c r="AW155" s="128">
        <f t="shared" si="147"/>
        <v>0</v>
      </c>
      <c r="AX155" s="128">
        <f t="shared" si="147"/>
        <v>0</v>
      </c>
      <c r="AY155" s="128">
        <f t="shared" si="147"/>
        <v>0</v>
      </c>
      <c r="AZ155" s="128">
        <f t="shared" si="147"/>
        <v>0</v>
      </c>
      <c r="BA155" s="128">
        <f t="shared" si="147"/>
        <v>0</v>
      </c>
      <c r="BB155" s="128">
        <f t="shared" si="147"/>
        <v>0</v>
      </c>
      <c r="BC155" s="128">
        <f t="shared" si="147"/>
        <v>0</v>
      </c>
      <c r="BD155" s="128">
        <f t="shared" si="147"/>
        <v>0</v>
      </c>
      <c r="BE155" s="128">
        <f t="shared" si="147"/>
        <v>0</v>
      </c>
      <c r="BF155" s="128">
        <f t="shared" si="147"/>
        <v>0</v>
      </c>
      <c r="BG155" s="128">
        <f t="shared" si="147"/>
        <v>0</v>
      </c>
      <c r="BH155" s="128">
        <f t="shared" si="147"/>
        <v>0</v>
      </c>
      <c r="BI155" s="128">
        <f t="shared" si="147"/>
        <v>0</v>
      </c>
      <c r="BJ155" s="128">
        <f t="shared" si="147"/>
        <v>0</v>
      </c>
      <c r="BK155" s="128">
        <f t="shared" si="147"/>
        <v>0</v>
      </c>
    </row>
    <row r="156" spans="1:63" ht="12.75" customHeight="1" x14ac:dyDescent="0.2">
      <c r="A156" s="127" t="s">
        <v>421</v>
      </c>
      <c r="B156" s="128">
        <f>AA156</f>
        <v>0</v>
      </c>
      <c r="C156" s="120" t="s">
        <v>397</v>
      </c>
      <c r="D156" s="149">
        <f t="shared" ref="D156:AI156" si="148">MAX(D154-D155,0)</f>
        <v>0</v>
      </c>
      <c r="E156" s="149">
        <f t="shared" si="148"/>
        <v>0</v>
      </c>
      <c r="F156" s="149">
        <f t="shared" si="148"/>
        <v>0</v>
      </c>
      <c r="G156" s="149">
        <f t="shared" si="148"/>
        <v>0</v>
      </c>
      <c r="H156" s="149">
        <f t="shared" si="148"/>
        <v>0</v>
      </c>
      <c r="I156" s="149">
        <f t="shared" si="148"/>
        <v>0</v>
      </c>
      <c r="J156" s="149">
        <f t="shared" si="148"/>
        <v>0</v>
      </c>
      <c r="K156" s="149">
        <f t="shared" si="148"/>
        <v>0</v>
      </c>
      <c r="L156" s="149">
        <f t="shared" si="148"/>
        <v>0</v>
      </c>
      <c r="M156" s="149">
        <f t="shared" si="148"/>
        <v>0</v>
      </c>
      <c r="N156" s="149">
        <f t="shared" si="148"/>
        <v>0</v>
      </c>
      <c r="O156" s="149">
        <f t="shared" si="148"/>
        <v>0</v>
      </c>
      <c r="P156" s="149">
        <f t="shared" si="148"/>
        <v>0</v>
      </c>
      <c r="Q156" s="149">
        <f t="shared" si="148"/>
        <v>0</v>
      </c>
      <c r="R156" s="149">
        <f t="shared" si="148"/>
        <v>0</v>
      </c>
      <c r="S156" s="149">
        <f t="shared" si="148"/>
        <v>0</v>
      </c>
      <c r="T156" s="149">
        <f t="shared" si="148"/>
        <v>0</v>
      </c>
      <c r="U156" s="149">
        <f t="shared" si="148"/>
        <v>0</v>
      </c>
      <c r="V156" s="149">
        <f t="shared" si="148"/>
        <v>0</v>
      </c>
      <c r="W156" s="149">
        <f t="shared" si="148"/>
        <v>0</v>
      </c>
      <c r="X156" s="149">
        <f t="shared" si="148"/>
        <v>0</v>
      </c>
      <c r="Y156" s="149">
        <f t="shared" si="148"/>
        <v>0</v>
      </c>
      <c r="Z156" s="149">
        <f t="shared" si="148"/>
        <v>0</v>
      </c>
      <c r="AA156" s="149">
        <f t="shared" si="148"/>
        <v>0</v>
      </c>
      <c r="AB156" s="149">
        <f t="shared" si="148"/>
        <v>0</v>
      </c>
      <c r="AC156" s="149">
        <f t="shared" si="148"/>
        <v>0</v>
      </c>
      <c r="AD156" s="149">
        <f t="shared" si="148"/>
        <v>0</v>
      </c>
      <c r="AE156" s="149">
        <f t="shared" si="148"/>
        <v>0</v>
      </c>
      <c r="AF156" s="149">
        <f t="shared" si="148"/>
        <v>0</v>
      </c>
      <c r="AG156" s="149">
        <f t="shared" si="148"/>
        <v>0</v>
      </c>
      <c r="AH156" s="149">
        <f t="shared" si="148"/>
        <v>0</v>
      </c>
      <c r="AI156" s="149">
        <f t="shared" si="148"/>
        <v>0</v>
      </c>
      <c r="AJ156" s="149">
        <f t="shared" ref="AJ156:BO156" si="149">MAX(AJ154-AJ155,0)</f>
        <v>0</v>
      </c>
      <c r="AK156" s="149">
        <f t="shared" si="149"/>
        <v>0</v>
      </c>
      <c r="AL156" s="149">
        <f t="shared" si="149"/>
        <v>0</v>
      </c>
      <c r="AM156" s="149">
        <f t="shared" si="149"/>
        <v>0</v>
      </c>
      <c r="AN156" s="149">
        <f t="shared" si="149"/>
        <v>0</v>
      </c>
      <c r="AO156" s="149">
        <f t="shared" si="149"/>
        <v>0</v>
      </c>
      <c r="AP156" s="149">
        <f t="shared" si="149"/>
        <v>0</v>
      </c>
      <c r="AQ156" s="149">
        <f t="shared" si="149"/>
        <v>0</v>
      </c>
      <c r="AR156" s="149">
        <f t="shared" si="149"/>
        <v>0</v>
      </c>
      <c r="AS156" s="149">
        <f t="shared" si="149"/>
        <v>0</v>
      </c>
      <c r="AT156" s="149">
        <f t="shared" si="149"/>
        <v>0</v>
      </c>
      <c r="AU156" s="149">
        <f t="shared" si="149"/>
        <v>0</v>
      </c>
      <c r="AV156" s="149">
        <f t="shared" si="149"/>
        <v>0</v>
      </c>
      <c r="AW156" s="149">
        <f t="shared" si="149"/>
        <v>0</v>
      </c>
      <c r="AX156" s="149">
        <f t="shared" si="149"/>
        <v>0</v>
      </c>
      <c r="AY156" s="149">
        <f t="shared" si="149"/>
        <v>0</v>
      </c>
      <c r="AZ156" s="149">
        <f t="shared" si="149"/>
        <v>0</v>
      </c>
      <c r="BA156" s="149">
        <f t="shared" si="149"/>
        <v>0</v>
      </c>
      <c r="BB156" s="149">
        <f t="shared" si="149"/>
        <v>0</v>
      </c>
      <c r="BC156" s="149">
        <f t="shared" si="149"/>
        <v>0</v>
      </c>
      <c r="BD156" s="149">
        <f t="shared" si="149"/>
        <v>0</v>
      </c>
      <c r="BE156" s="149">
        <f t="shared" si="149"/>
        <v>0</v>
      </c>
      <c r="BF156" s="149">
        <f t="shared" si="149"/>
        <v>0</v>
      </c>
      <c r="BG156" s="149">
        <f t="shared" si="149"/>
        <v>0</v>
      </c>
      <c r="BH156" s="149">
        <f t="shared" si="149"/>
        <v>0</v>
      </c>
      <c r="BI156" s="149">
        <f t="shared" si="149"/>
        <v>0</v>
      </c>
      <c r="BJ156" s="149">
        <f t="shared" si="149"/>
        <v>0</v>
      </c>
      <c r="BK156" s="149">
        <f t="shared" si="149"/>
        <v>0</v>
      </c>
    </row>
    <row r="157" spans="1:63" ht="12.75" customHeight="1" x14ac:dyDescent="0.2">
      <c r="A157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57" s="142">
        <f>SUM(D157:BQ157)</f>
        <v>64935.270903917903</v>
      </c>
      <c r="C157" s="124">
        <f>B157/60</f>
        <v>1082.2545150652984</v>
      </c>
      <c r="D157" s="142">
        <f>D149*Premissas!$F$19*(1+Premissas!$B$127)*(1+Premissas!$B$124)^0</f>
        <v>518.18236576706124</v>
      </c>
      <c r="E157" s="142">
        <f>E149*Premissas!$F$19*(1+Premissas!$B$127)*(1+Premissas!$B$124)^0</f>
        <v>406.25497476137599</v>
      </c>
      <c r="F157" s="142">
        <f>F149*Premissas!$F$19*(1+Premissas!$B$127)*(1+Premissas!$B$124)^0</f>
        <v>630.10975677274644</v>
      </c>
      <c r="G157" s="142">
        <f>G149*Premissas!$F$19*(1+Premissas!$B$127)*(1+Premissas!$B$124)^0</f>
        <v>1024.9647194872471</v>
      </c>
      <c r="H157" s="142">
        <f>H149*Premissas!$F$19*(1+Premissas!$B$127)*(1+Premissas!$B$124)^0</f>
        <v>967.96465925287032</v>
      </c>
      <c r="I157" s="142">
        <f>I149*Premissas!$F$19*(1+Premissas!$B$127)*(1+Premissas!$B$124)^0</f>
        <v>1341.0559626051543</v>
      </c>
      <c r="J157" s="142">
        <f>J149*Premissas!$F$19*(1+Premissas!$B$127)*(1+Premissas!$B$124)^0</f>
        <v>1300.6377380753236</v>
      </c>
      <c r="K157" s="142">
        <f>K149*Premissas!$F$19*(1+Premissas!$B$127)*(1+Premissas!$B$124)^0</f>
        <v>2053.3753517068449</v>
      </c>
      <c r="L157" s="142">
        <f>L149*Premissas!$F$19*(1+Premissas!$B$127)*(1+Premissas!$B$124)^0</f>
        <v>1780.3709723024688</v>
      </c>
      <c r="M157" s="142">
        <f>M149*Premissas!$F$19*(1+Premissas!$B$127)*(1+Premissas!$B$124)^0</f>
        <v>1605.0957870817601</v>
      </c>
      <c r="N157" s="142">
        <f>N149*Premissas!$F$19*(1+Premissas!$B$127)*(1+Premissas!$B$124)^0</f>
        <v>1093.0797914673271</v>
      </c>
      <c r="O157" s="142">
        <f>O149*Premissas!$F$19*(1+Premissas!$B$127)*(1+Premissas!$B$124)^0</f>
        <v>816.88859051348356</v>
      </c>
      <c r="P157" s="142">
        <f>P149*Premissas!$F$19*(1+Premissas!$B$127)*(1+Premissas!$B$124)^1</f>
        <v>563.00514040591202</v>
      </c>
      <c r="Q157" s="142">
        <f>Q149*Premissas!$F$19*(1+Premissas!$B$127)*(1+Premissas!$B$124)^1</f>
        <v>441.39603007823501</v>
      </c>
      <c r="R157" s="142">
        <f>R149*Premissas!$F$19*(1+Premissas!$B$127)*(1+Premissas!$B$124)^1</f>
        <v>684.61425073358896</v>
      </c>
      <c r="S157" s="142">
        <f>S149*Premissas!$F$19*(1+Premissas!$B$127)*(1+Premissas!$B$124)^1</f>
        <v>1113.6241677228938</v>
      </c>
      <c r="T157" s="142">
        <f>T149*Premissas!$F$19*(1+Premissas!$B$127)*(1+Premissas!$B$124)^1</f>
        <v>1051.6936022782436</v>
      </c>
      <c r="U157" s="142">
        <f>U149*Premissas!$F$19*(1+Premissas!$B$127)*(1+Premissas!$B$124)^1</f>
        <v>1457.0573033705002</v>
      </c>
      <c r="V157" s="142">
        <f>V149*Premissas!$F$19*(1+Premissas!$B$127)*(1+Premissas!$B$124)^1</f>
        <v>1413.1429024188392</v>
      </c>
      <c r="W157" s="142">
        <f>W149*Premissas!$F$19*(1+Premissas!$B$127)*(1+Premissas!$B$124)^1</f>
        <v>2176.5778728092555</v>
      </c>
      <c r="X157" s="142">
        <f>X149*Premissas!$F$19*(1+Premissas!$B$127)*(1+Premissas!$B$124)^1</f>
        <v>1887.193230640617</v>
      </c>
      <c r="Y157" s="142">
        <f>Y149*Premissas!$F$19*(1+Premissas!$B$127)*(1+Premissas!$B$124)^1</f>
        <v>1701.4015343066658</v>
      </c>
      <c r="Z157" s="142">
        <f>Z149*Premissas!$F$19*(1+Premissas!$B$127)*(1+Premissas!$B$124)^1</f>
        <v>1158.6645789553668</v>
      </c>
      <c r="AA157" s="142">
        <f>AA149*Premissas!$F$19*(1+Premissas!$B$127)*(1+Premissas!$B$124)^1</f>
        <v>865.90190594429259</v>
      </c>
      <c r="AB157" s="142">
        <f>AB149*Premissas!$F$19*(1+Premissas!$B$127)*(1+Premissas!$B$124)^2</f>
        <v>940.80242080847404</v>
      </c>
      <c r="AC157" s="142">
        <f>AC149*Premissas!$F$19*(1+Premissas!$B$127)*(1+Premissas!$B$124)^2</f>
        <v>940.80242080847404</v>
      </c>
      <c r="AD157" s="142">
        <f>AD149*Premissas!$F$19*(1+Premissas!$B$127)*(1+Premissas!$B$124)^2</f>
        <v>940.80242080847404</v>
      </c>
      <c r="AE157" s="142">
        <f>AE149*Premissas!$F$19*(1+Premissas!$B$127)*(1+Premissas!$B$124)^2</f>
        <v>940.80242080847404</v>
      </c>
      <c r="AF157" s="142">
        <f>AF149*Premissas!$F$19*(1+Premissas!$B$127)*(1+Premissas!$B$124)^2</f>
        <v>940.80242080847404</v>
      </c>
      <c r="AG157" s="142">
        <f>AG149*Premissas!$F$19*(1+Premissas!$B$127)*(1+Premissas!$B$124)^2</f>
        <v>940.80242080847404</v>
      </c>
      <c r="AH157" s="142">
        <f>AH149*Premissas!$F$19*(1+Premissas!$B$127)*(1+Premissas!$B$124)^2</f>
        <v>940.80242080847404</v>
      </c>
      <c r="AI157" s="142">
        <f>AI149*Premissas!$F$19*(1+Premissas!$B$127)*(1+Premissas!$B$124)^2</f>
        <v>940.80242080847404</v>
      </c>
      <c r="AJ157" s="142">
        <f>AJ149*Premissas!$F$19*(1+Premissas!$B$127)*(1+Premissas!$B$124)^2</f>
        <v>940.80242080847404</v>
      </c>
      <c r="AK157" s="142">
        <f>AK149*Premissas!$F$19*(1+Premissas!$B$127)*(1+Premissas!$B$124)^2</f>
        <v>940.80242080847404</v>
      </c>
      <c r="AL157" s="142">
        <f>AL149*Premissas!$F$19*(1+Premissas!$B$127)*(1+Premissas!$B$124)^2</f>
        <v>940.80242080847404</v>
      </c>
      <c r="AM157" s="142">
        <f>AM149*Premissas!$F$19*(1+Premissas!$B$127)*(1+Premissas!$B$124)^2</f>
        <v>940.80242080847404</v>
      </c>
      <c r="AN157" s="142">
        <f>AN149*Premissas!$F$19*(1+Premissas!$B$127)*(1+Premissas!$B$124)^3</f>
        <v>1022.1818302084071</v>
      </c>
      <c r="AO157" s="142">
        <f>AO149*Premissas!$F$19*(1+Premissas!$B$127)*(1+Premissas!$B$124)^3</f>
        <v>1022.1818302084071</v>
      </c>
      <c r="AP157" s="142">
        <f>AP149*Premissas!$F$19*(1+Premissas!$B$127)*(1+Premissas!$B$124)^3</f>
        <v>1022.1818302084071</v>
      </c>
      <c r="AQ157" s="142">
        <f>AQ149*Premissas!$F$19*(1+Premissas!$B$127)*(1+Premissas!$B$124)^3</f>
        <v>1022.1818302084071</v>
      </c>
      <c r="AR157" s="142">
        <f>AR149*Premissas!$F$19*(1+Premissas!$B$127)*(1+Premissas!$B$124)^3</f>
        <v>1022.1818302084071</v>
      </c>
      <c r="AS157" s="142">
        <f>AS149*Premissas!$F$19*(1+Premissas!$B$127)*(1+Premissas!$B$124)^3</f>
        <v>1022.1818302084071</v>
      </c>
      <c r="AT157" s="142">
        <f>AT149*Premissas!$F$19*(1+Premissas!$B$127)*(1+Premissas!$B$124)^3</f>
        <v>1022.1818302084071</v>
      </c>
      <c r="AU157" s="142">
        <f>AU149*Premissas!$F$19*(1+Premissas!$B$127)*(1+Premissas!$B$124)^3</f>
        <v>1022.1818302084071</v>
      </c>
      <c r="AV157" s="142">
        <f>AV149*Premissas!$F$19*(1+Premissas!$B$127)*(1+Premissas!$B$124)^3</f>
        <v>1022.1818302084071</v>
      </c>
      <c r="AW157" s="142">
        <f>AW149*Premissas!$F$19*(1+Premissas!$B$127)*(1+Premissas!$B$124)^3</f>
        <v>1022.1818302084071</v>
      </c>
      <c r="AX157" s="142">
        <f>AX149*Premissas!$F$19*(1+Premissas!$B$127)*(1+Premissas!$B$124)^3</f>
        <v>1022.1818302084071</v>
      </c>
      <c r="AY157" s="142">
        <f>AY149*Premissas!$F$19*(1+Premissas!$B$127)*(1+Premissas!$B$124)^3</f>
        <v>1022.1818302084071</v>
      </c>
      <c r="AZ157" s="142">
        <f>AZ149*Premissas!$F$19*(1+Premissas!$B$127)*(1+Premissas!$B$124)^4</f>
        <v>1110.6005585214343</v>
      </c>
      <c r="BA157" s="142">
        <f>BA149*Premissas!$F$19*(1+Premissas!$B$127)*(1+Premissas!$B$124)^4</f>
        <v>1110.6005585214343</v>
      </c>
      <c r="BB157" s="142">
        <f>BB149*Premissas!$F$19*(1+Premissas!$B$127)*(1+Premissas!$B$124)^4</f>
        <v>1110.6005585214343</v>
      </c>
      <c r="BC157" s="142">
        <f>BC149*Premissas!$F$19*(1+Premissas!$B$127)*(1+Premissas!$B$124)^4</f>
        <v>1110.6005585214343</v>
      </c>
      <c r="BD157" s="142">
        <f>BD149*Premissas!$F$19*(1+Premissas!$B$127)*(1+Premissas!$B$124)^4</f>
        <v>1110.6005585214343</v>
      </c>
      <c r="BE157" s="142">
        <f>BE149*Premissas!$F$19*(1+Premissas!$B$127)*(1+Premissas!$B$124)^4</f>
        <v>1110.6005585214343</v>
      </c>
      <c r="BF157" s="142">
        <f>BF149*Premissas!$F$19*(1+Premissas!$B$127)*(1+Premissas!$B$124)^4</f>
        <v>1110.6005585214343</v>
      </c>
      <c r="BG157" s="142">
        <f>BG149*Premissas!$F$19*(1+Premissas!$B$127)*(1+Premissas!$B$124)^4</f>
        <v>1110.6005585214343</v>
      </c>
      <c r="BH157" s="142">
        <f>BH149*Premissas!$F$19*(1+Premissas!$B$127)*(1+Premissas!$B$124)^4</f>
        <v>1110.6005585214343</v>
      </c>
      <c r="BI157" s="142">
        <f>BI149*Premissas!$F$19*(1+Premissas!$B$127)*(1+Premissas!$B$124)^4</f>
        <v>1110.6005585214343</v>
      </c>
      <c r="BJ157" s="142">
        <f>BJ149*Premissas!$F$19*(1+Premissas!$B$127)*(1+Premissas!$B$124)^4</f>
        <v>1110.6005585214343</v>
      </c>
      <c r="BK157" s="142">
        <f>BK149*Premissas!$F$19*(1+Premissas!$B$127)*(1+Premissas!$B$124)^4</f>
        <v>1110.6005585214343</v>
      </c>
    </row>
    <row r="158" spans="1:63" ht="12.75" customHeight="1" x14ac:dyDescent="0.2">
      <c r="A158" s="143" t="s">
        <v>415</v>
      </c>
      <c r="B158" s="144">
        <f>SUM(D158:BQ158)</f>
        <v>1437.2558350257584</v>
      </c>
      <c r="C158" s="124">
        <f>B158/60</f>
        <v>23.954263917095975</v>
      </c>
      <c r="D158" s="144">
        <f>IF(D153&gt;0,0,MAX(D149-D150-D151,0)*Premissas!$B$7*(1+Premissas!$B$127)*(1+Premissas!$B$124)^0)</f>
        <v>0</v>
      </c>
      <c r="E158" s="144">
        <f>IF(E153&gt;0,0,MAX(E149-E150-E151,0)*Premissas!$B$7*(1+Premissas!$B$127)*(1+Premissas!$B$124)^0)</f>
        <v>0</v>
      </c>
      <c r="F158" s="144">
        <f>IF(F153&gt;0,0,MAX(F149-F150-F151,0)*Premissas!$B$7*(1+Premissas!$B$127)*(1+Premissas!$B$124)^0)</f>
        <v>0</v>
      </c>
      <c r="G158" s="144">
        <f>IF(G153&gt;0,0,MAX(G149-G150-G151,0)*Premissas!$B$7*(1+Premissas!$B$127)*(1+Premissas!$B$124)^0)</f>
        <v>0</v>
      </c>
      <c r="H158" s="144">
        <f>IF(H153&gt;0,0,MAX(H149-H150-H151,0)*Premissas!$B$7*(1+Premissas!$B$127)*(1+Premissas!$B$124)^0)</f>
        <v>0</v>
      </c>
      <c r="I158" s="144">
        <f>IF(I153&gt;0,0,MAX(I149-I150-I151,0)*Premissas!$B$7*(1+Premissas!$B$127)*(1+Premissas!$B$124)^0)</f>
        <v>0</v>
      </c>
      <c r="J158" s="144">
        <f>IF(J153&gt;0,0,MAX(J149-J150-J151,0)*Premissas!$B$7*(1+Premissas!$B$127)*(1+Premissas!$B$124)^0)</f>
        <v>0</v>
      </c>
      <c r="K158" s="144">
        <f>IF(K153&gt;0,0,MAX(K149-K150-K151,0)*Premissas!$B$7*(1+Premissas!$B$127)*(1+Premissas!$B$124)^0)</f>
        <v>0</v>
      </c>
      <c r="L158" s="144">
        <f>IF(L153&gt;0,0,MAX(L149-L150-L151,0)*Premissas!$B$7*(1+Premissas!$B$127)*(1+Premissas!$B$124)^0)</f>
        <v>0</v>
      </c>
      <c r="M158" s="144">
        <f>IF(M153&gt;0,0,MAX(M149-M150-M151,0)*Premissas!$B$7*(1+Premissas!$B$127)*(1+Premissas!$B$124)^0)</f>
        <v>0</v>
      </c>
      <c r="N158" s="144">
        <f>IF(N153&gt;0,0,MAX(N149-N150-N151,0)*Premissas!$B$7*(1+Premissas!$B$127)*(1+Premissas!$B$124)^0)</f>
        <v>0</v>
      </c>
      <c r="O158" s="144">
        <f>IF(O153&gt;0,0,MAX(O149-O150-O151,0)*Premissas!$B$7*(1+Premissas!$B$127)*(1+Premissas!$B$124)^0)</f>
        <v>0</v>
      </c>
      <c r="P158" s="144">
        <f>IF(P153&gt;0,0,MAX(P149-P150-P151,0)*Premissas!$B$7*(1+Premissas!$B$127)*(1+Premissas!$B$124)^1)</f>
        <v>0</v>
      </c>
      <c r="Q158" s="144">
        <f>IF(Q153&gt;0,0,MAX(Q149-Q150-Q151,0)*Premissas!$B$7*(1+Premissas!$B$127)*(1+Premissas!$B$124)^1)</f>
        <v>0</v>
      </c>
      <c r="R158" s="144">
        <f>IF(R153&gt;0,0,MAX(R149-R150-R151,0)*Premissas!$B$7*(1+Premissas!$B$127)*(1+Premissas!$B$124)^1)</f>
        <v>0</v>
      </c>
      <c r="S158" s="144">
        <f>IF(S153&gt;0,0,MAX(S149-S150-S151,0)*Premissas!$B$7*(1+Premissas!$B$127)*(1+Premissas!$B$124)^1)</f>
        <v>0</v>
      </c>
      <c r="T158" s="144">
        <f>IF(T153&gt;0,0,MAX(T149-T150-T151,0)*Premissas!$B$7*(1+Premissas!$B$127)*(1+Premissas!$B$124)^1)</f>
        <v>0</v>
      </c>
      <c r="U158" s="144">
        <f>IF(U153&gt;0,0,MAX(U149-U150-U151,0)*Premissas!$B$7*(1+Premissas!$B$127)*(1+Premissas!$B$124)^1)</f>
        <v>0</v>
      </c>
      <c r="V158" s="144">
        <f>IF(V153&gt;0,0,MAX(V149-V150-V151,0)*Premissas!$B$7*(1+Premissas!$B$127)*(1+Premissas!$B$124)^1)</f>
        <v>0</v>
      </c>
      <c r="W158" s="144">
        <f>IF(W153&gt;0,0,MAX(W149-W150-W151,0)*Premissas!$B$7*(1+Premissas!$B$127)*(1+Premissas!$B$124)^1)</f>
        <v>0</v>
      </c>
      <c r="X158" s="144">
        <f>IF(X153&gt;0,0,MAX(X149-X150-X151,0)*Premissas!$B$7*(1+Premissas!$B$127)*(1+Premissas!$B$124)^1)</f>
        <v>0</v>
      </c>
      <c r="Y158" s="144">
        <f>IF(Y153&gt;0,0,MAX(Y149-Y150-Y151,0)*Premissas!$B$7*(1+Premissas!$B$127)*(1+Premissas!$B$124)^1)</f>
        <v>0</v>
      </c>
      <c r="Z158" s="144">
        <f>IF(Z153&gt;0,0,MAX(Z149-Z150-Z151,0)*Premissas!$B$7*(1+Premissas!$B$127)*(1+Premissas!$B$124)^1)</f>
        <v>0</v>
      </c>
      <c r="AA158" s="144">
        <f>IF(AA153&gt;0,0,MAX(AA149-AA150-AA151,0)*Premissas!$B$7*(1+Premissas!$B$127)*(1+Premissas!$B$124)^1)</f>
        <v>0</v>
      </c>
      <c r="AB158" s="144">
        <f>IF(AB153&gt;0,0,MAX(AB149-AB150-AB151,0)*Premissas!$B$7*(1+Premissas!$B$127)*(1+Premissas!$B$124)^2)</f>
        <v>0</v>
      </c>
      <c r="AC158" s="144">
        <f>IF(AC153&gt;0,0,MAX(AC149-AC150-AC151,0)*Premissas!$B$7*(1+Premissas!$B$127)*(1+Premissas!$B$124)^2)</f>
        <v>0</v>
      </c>
      <c r="AD158" s="144">
        <f>IF(AD153&gt;0,0,MAX(AD149-AD150-AD151,0)*Premissas!$B$7*(1+Premissas!$B$127)*(1+Premissas!$B$124)^2)</f>
        <v>0</v>
      </c>
      <c r="AE158" s="144">
        <f>IF(AE153&gt;0,0,MAX(AE149-AE150-AE151,0)*Premissas!$B$7*(1+Premissas!$B$127)*(1+Premissas!$B$124)^2)</f>
        <v>0</v>
      </c>
      <c r="AF158" s="144">
        <f>IF(AF153&gt;0,0,MAX(AF149-AF150-AF151,0)*Premissas!$B$7*(1+Premissas!$B$127)*(1+Premissas!$B$124)^2)</f>
        <v>0</v>
      </c>
      <c r="AG158" s="144">
        <f>IF(AG153&gt;0,0,MAX(AG149-AG150-AG151,0)*Premissas!$B$7*(1+Premissas!$B$127)*(1+Premissas!$B$124)^2)</f>
        <v>0</v>
      </c>
      <c r="AH158" s="144">
        <f>IF(AH153&gt;0,0,MAX(AH149-AH150-AH151,0)*Premissas!$B$7*(1+Premissas!$B$127)*(1+Premissas!$B$124)^2)</f>
        <v>0</v>
      </c>
      <c r="AI158" s="144">
        <f>IF(AI153&gt;0,0,MAX(AI149-AI150-AI151,0)*Premissas!$B$7*(1+Premissas!$B$127)*(1+Premissas!$B$124)^2)</f>
        <v>0</v>
      </c>
      <c r="AJ158" s="144">
        <f>IF(AJ153&gt;0,0,MAX(AJ149-AJ150-AJ151,0)*Premissas!$B$7*(1+Premissas!$B$127)*(1+Premissas!$B$124)^2)</f>
        <v>0</v>
      </c>
      <c r="AK158" s="144">
        <f>IF(AK153&gt;0,0,MAX(AK149-AK150-AK151,0)*Premissas!$B$7*(1+Premissas!$B$127)*(1+Premissas!$B$124)^2)</f>
        <v>0</v>
      </c>
      <c r="AL158" s="144">
        <f>IF(AL153&gt;0,0,MAX(AL149-AL150-AL151,0)*Premissas!$B$7*(1+Premissas!$B$127)*(1+Premissas!$B$124)^2)</f>
        <v>0</v>
      </c>
      <c r="AM158" s="144">
        <f>IF(AM153&gt;0,0,MAX(AM149-AM150-AM151,0)*Premissas!$B$7*(1+Premissas!$B$127)*(1+Premissas!$B$124)^2)</f>
        <v>0</v>
      </c>
      <c r="AN158" s="144">
        <f>IF(AN153&gt;0,0,MAX(AN149-AN150-AN151,0)*Premissas!$B$7*(1+Premissas!$B$127)*(1+Premissas!$B$124)^3)</f>
        <v>0</v>
      </c>
      <c r="AO158" s="144">
        <f>IF(AO153&gt;0,0,MAX(AO149-AO150-AO151,0)*Premissas!$B$7*(1+Premissas!$B$127)*(1+Premissas!$B$124)^3)</f>
        <v>0</v>
      </c>
      <c r="AP158" s="144">
        <f>IF(AP153&gt;0,0,MAX(AP149-AP150-AP151,0)*Premissas!$B$7*(1+Premissas!$B$127)*(1+Premissas!$B$124)^3)</f>
        <v>0</v>
      </c>
      <c r="AQ158" s="144">
        <f>IF(AQ153&gt;0,0,MAX(AQ149-AQ150-AQ151,0)*Premissas!$B$7*(1+Premissas!$B$127)*(1+Premissas!$B$124)^3)</f>
        <v>0</v>
      </c>
      <c r="AR158" s="144">
        <f>IF(AR153&gt;0,0,MAX(AR149-AR150-AR151,0)*Premissas!$B$7*(1+Premissas!$B$127)*(1+Premissas!$B$124)^3)</f>
        <v>0</v>
      </c>
      <c r="AS158" s="144">
        <f>IF(AS153&gt;0,0,MAX(AS149-AS150-AS151,0)*Premissas!$B$7*(1+Premissas!$B$127)*(1+Premissas!$B$124)^3)</f>
        <v>0</v>
      </c>
      <c r="AT158" s="144">
        <f>IF(AT153&gt;0,0,MAX(AT149-AT150-AT151,0)*Premissas!$B$7*(1+Premissas!$B$127)*(1+Premissas!$B$124)^3)</f>
        <v>0</v>
      </c>
      <c r="AU158" s="144">
        <f>IF(AU153&gt;0,0,MAX(AU149-AU150-AU151,0)*Premissas!$B$7*(1+Premissas!$B$127)*(1+Premissas!$B$124)^3)</f>
        <v>0</v>
      </c>
      <c r="AV158" s="144">
        <f>IF(AV153&gt;0,0,MAX(AV149-AV150-AV151,0)*Premissas!$B$7*(1+Premissas!$B$127)*(1+Premissas!$B$124)^3)</f>
        <v>0</v>
      </c>
      <c r="AW158" s="144">
        <f>IF(AW153&gt;0,0,MAX(AW149-AW150-AW151,0)*Premissas!$B$7*(1+Premissas!$B$127)*(1+Premissas!$B$124)^3)</f>
        <v>0</v>
      </c>
      <c r="AX158" s="144">
        <f>IF(AX153&gt;0,0,MAX(AX149-AX150-AX151,0)*Premissas!$B$7*(1+Premissas!$B$127)*(1+Premissas!$B$124)^3)</f>
        <v>0</v>
      </c>
      <c r="AY158" s="144">
        <f>IF(AY153&gt;0,0,MAX(AY149-AY150-AY151,0)*Premissas!$B$7*(1+Premissas!$B$127)*(1+Premissas!$B$124)^3)</f>
        <v>0</v>
      </c>
      <c r="AZ158" s="144">
        <f>IF(AZ153&gt;0,0,MAX(AZ149-AZ150-AZ151,0)*Premissas!$B$7*(1+Premissas!$B$127)*(1+Premissas!$B$124)^4)</f>
        <v>0</v>
      </c>
      <c r="BA158" s="144">
        <f>IF(BA153&gt;0,0,MAX(BA149-BA150-BA151,0)*Premissas!$B$7*(1+Premissas!$B$127)*(1+Premissas!$B$124)^4)</f>
        <v>0</v>
      </c>
      <c r="BB158" s="144">
        <f>IF(BB153&gt;0,0,MAX(BB149-BB150-BB151,0)*Premissas!$B$7*(1+Premissas!$B$127)*(1+Premissas!$B$124)^4)</f>
        <v>0</v>
      </c>
      <c r="BC158" s="144">
        <f>IF(BC153&gt;0,0,MAX(BC149-BC150-BC151,0)*Premissas!$B$7*(1+Premissas!$B$127)*(1+Premissas!$B$124)^4)</f>
        <v>0</v>
      </c>
      <c r="BD158" s="144">
        <f>IF(BD153&gt;0,0,MAX(BD149-BD150-BD151,0)*Premissas!$B$7*(1+Premissas!$B$127)*(1+Premissas!$B$124)^4)</f>
        <v>0</v>
      </c>
      <c r="BE158" s="144">
        <f>IF(BE153&gt;0,0,MAX(BE149-BE150-BE151,0)*Premissas!$B$7*(1+Premissas!$B$127)*(1+Premissas!$B$124)^4)</f>
        <v>0</v>
      </c>
      <c r="BF158" s="144">
        <f>IF(BF153&gt;0,0,MAX(BF149-BF150-BF151,0)*Premissas!$B$7*(1+Premissas!$B$127)*(1+Premissas!$B$124)^4)</f>
        <v>0</v>
      </c>
      <c r="BG158" s="144">
        <f>IF(BG153&gt;0,0,MAX(BG149-BG150-BG151,0)*Premissas!$B$7*(1+Premissas!$B$127)*(1+Premissas!$B$124)^4)</f>
        <v>165.85022812525867</v>
      </c>
      <c r="BH158" s="144">
        <f>IF(BH153&gt;0,0,MAX(BH149-BH150-BH151,0)*Premissas!$B$7*(1+Premissas!$B$127)*(1+Premissas!$B$124)^4)</f>
        <v>406.81890547161316</v>
      </c>
      <c r="BI158" s="144">
        <f>IF(BI153&gt;0,0,MAX(BI149-BI150-BI151,0)*Premissas!$B$7*(1+Premissas!$B$127)*(1+Premissas!$B$124)^4)</f>
        <v>262.54727777460533</v>
      </c>
      <c r="BJ158" s="144">
        <f>IF(BJ153&gt;0,0,MAX(BJ149-BJ150-BJ151,0)*Premissas!$B$7*(1+Premissas!$B$127)*(1+Premissas!$B$124)^4)</f>
        <v>265.00951355396757</v>
      </c>
      <c r="BK158" s="144">
        <f>IF(BK153&gt;0,0,MAX(BK149-BK150-BK151,0)*Premissas!$B$7*(1+Premissas!$B$127)*(1+Premissas!$B$124)^4)</f>
        <v>337.02991010031377</v>
      </c>
    </row>
    <row r="159" spans="1:63" ht="13.5" customHeight="1" x14ac:dyDescent="0.2">
      <c r="A159" s="41" t="s">
        <v>416</v>
      </c>
      <c r="B159" s="44">
        <f>SUM(D159:BQ159)</f>
        <v>63498.015068892135</v>
      </c>
      <c r="C159" s="124">
        <f>B159/60</f>
        <v>1058.3002511482023</v>
      </c>
      <c r="D159" s="145">
        <f t="shared" ref="D159:AI159" si="150">MAX(D157-D158,0)</f>
        <v>518.18236576706124</v>
      </c>
      <c r="E159" s="145">
        <f t="shared" si="150"/>
        <v>406.25497476137599</v>
      </c>
      <c r="F159" s="145">
        <f t="shared" si="150"/>
        <v>630.10975677274644</v>
      </c>
      <c r="G159" s="145">
        <f t="shared" si="150"/>
        <v>1024.9647194872471</v>
      </c>
      <c r="H159" s="145">
        <f t="shared" si="150"/>
        <v>967.96465925287032</v>
      </c>
      <c r="I159" s="145">
        <f t="shared" si="150"/>
        <v>1341.0559626051543</v>
      </c>
      <c r="J159" s="145">
        <f t="shared" si="150"/>
        <v>1300.6377380753236</v>
      </c>
      <c r="K159" s="145">
        <f t="shared" si="150"/>
        <v>2053.3753517068449</v>
      </c>
      <c r="L159" s="145">
        <f t="shared" si="150"/>
        <v>1780.3709723024688</v>
      </c>
      <c r="M159" s="145">
        <f t="shared" si="150"/>
        <v>1605.0957870817601</v>
      </c>
      <c r="N159" s="145">
        <f t="shared" si="150"/>
        <v>1093.0797914673271</v>
      </c>
      <c r="O159" s="145">
        <f t="shared" si="150"/>
        <v>816.88859051348356</v>
      </c>
      <c r="P159" s="145">
        <f t="shared" si="150"/>
        <v>563.00514040591202</v>
      </c>
      <c r="Q159" s="145">
        <f t="shared" si="150"/>
        <v>441.39603007823501</v>
      </c>
      <c r="R159" s="145">
        <f t="shared" si="150"/>
        <v>684.61425073358896</v>
      </c>
      <c r="S159" s="145">
        <f t="shared" si="150"/>
        <v>1113.6241677228938</v>
      </c>
      <c r="T159" s="145">
        <f t="shared" si="150"/>
        <v>1051.6936022782436</v>
      </c>
      <c r="U159" s="145">
        <f t="shared" si="150"/>
        <v>1457.0573033705002</v>
      </c>
      <c r="V159" s="145">
        <f t="shared" si="150"/>
        <v>1413.1429024188392</v>
      </c>
      <c r="W159" s="145">
        <f t="shared" si="150"/>
        <v>2176.5778728092555</v>
      </c>
      <c r="X159" s="145">
        <f t="shared" si="150"/>
        <v>1887.193230640617</v>
      </c>
      <c r="Y159" s="145">
        <f t="shared" si="150"/>
        <v>1701.4015343066658</v>
      </c>
      <c r="Z159" s="145">
        <f t="shared" si="150"/>
        <v>1158.6645789553668</v>
      </c>
      <c r="AA159" s="145">
        <f t="shared" si="150"/>
        <v>865.90190594429259</v>
      </c>
      <c r="AB159" s="145">
        <f t="shared" si="150"/>
        <v>940.80242080847404</v>
      </c>
      <c r="AC159" s="145">
        <f t="shared" si="150"/>
        <v>940.80242080847404</v>
      </c>
      <c r="AD159" s="145">
        <f t="shared" si="150"/>
        <v>940.80242080847404</v>
      </c>
      <c r="AE159" s="145">
        <f t="shared" si="150"/>
        <v>940.80242080847404</v>
      </c>
      <c r="AF159" s="145">
        <f t="shared" si="150"/>
        <v>940.80242080847404</v>
      </c>
      <c r="AG159" s="145">
        <f t="shared" si="150"/>
        <v>940.80242080847404</v>
      </c>
      <c r="AH159" s="145">
        <f t="shared" si="150"/>
        <v>940.80242080847404</v>
      </c>
      <c r="AI159" s="145">
        <f t="shared" si="150"/>
        <v>940.80242080847404</v>
      </c>
      <c r="AJ159" s="145">
        <f t="shared" ref="AJ159:BO159" si="151">MAX(AJ157-AJ158,0)</f>
        <v>940.80242080847404</v>
      </c>
      <c r="AK159" s="145">
        <f t="shared" si="151"/>
        <v>940.80242080847404</v>
      </c>
      <c r="AL159" s="145">
        <f t="shared" si="151"/>
        <v>940.80242080847404</v>
      </c>
      <c r="AM159" s="145">
        <f t="shared" si="151"/>
        <v>940.80242080847404</v>
      </c>
      <c r="AN159" s="145">
        <f t="shared" si="151"/>
        <v>1022.1818302084071</v>
      </c>
      <c r="AO159" s="145">
        <f t="shared" si="151"/>
        <v>1022.1818302084071</v>
      </c>
      <c r="AP159" s="145">
        <f t="shared" si="151"/>
        <v>1022.1818302084071</v>
      </c>
      <c r="AQ159" s="145">
        <f t="shared" si="151"/>
        <v>1022.1818302084071</v>
      </c>
      <c r="AR159" s="145">
        <f t="shared" si="151"/>
        <v>1022.1818302084071</v>
      </c>
      <c r="AS159" s="145">
        <f t="shared" si="151"/>
        <v>1022.1818302084071</v>
      </c>
      <c r="AT159" s="145">
        <f t="shared" si="151"/>
        <v>1022.1818302084071</v>
      </c>
      <c r="AU159" s="145">
        <f t="shared" si="151"/>
        <v>1022.1818302084071</v>
      </c>
      <c r="AV159" s="145">
        <f t="shared" si="151"/>
        <v>1022.1818302084071</v>
      </c>
      <c r="AW159" s="145">
        <f t="shared" si="151"/>
        <v>1022.1818302084071</v>
      </c>
      <c r="AX159" s="145">
        <f t="shared" si="151"/>
        <v>1022.1818302084071</v>
      </c>
      <c r="AY159" s="145">
        <f t="shared" si="151"/>
        <v>1022.1818302084071</v>
      </c>
      <c r="AZ159" s="145">
        <f t="shared" si="151"/>
        <v>1110.6005585214343</v>
      </c>
      <c r="BA159" s="145">
        <f t="shared" si="151"/>
        <v>1110.6005585214343</v>
      </c>
      <c r="BB159" s="145">
        <f t="shared" si="151"/>
        <v>1110.6005585214343</v>
      </c>
      <c r="BC159" s="145">
        <f t="shared" si="151"/>
        <v>1110.6005585214343</v>
      </c>
      <c r="BD159" s="145">
        <f t="shared" si="151"/>
        <v>1110.6005585214343</v>
      </c>
      <c r="BE159" s="145">
        <f t="shared" si="151"/>
        <v>1110.6005585214343</v>
      </c>
      <c r="BF159" s="145">
        <f t="shared" si="151"/>
        <v>1110.6005585214343</v>
      </c>
      <c r="BG159" s="145">
        <f t="shared" si="151"/>
        <v>944.75033039617563</v>
      </c>
      <c r="BH159" s="145">
        <f t="shared" si="151"/>
        <v>703.78165304982122</v>
      </c>
      <c r="BI159" s="145">
        <f t="shared" si="151"/>
        <v>848.05328074682893</v>
      </c>
      <c r="BJ159" s="145">
        <f t="shared" si="151"/>
        <v>845.59104496746681</v>
      </c>
      <c r="BK159" s="145">
        <f t="shared" si="151"/>
        <v>773.5706484211205</v>
      </c>
    </row>
    <row r="161" spans="1:63" ht="15" customHeight="1" x14ac:dyDescent="0.2">
      <c r="A161" s="298" t="s">
        <v>429</v>
      </c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89"/>
      <c r="P161" s="289"/>
      <c r="Q161" s="289"/>
      <c r="R161" s="289"/>
      <c r="S161" s="289"/>
      <c r="T161" s="289"/>
      <c r="U161" s="289"/>
      <c r="V161" s="289"/>
      <c r="W161" s="289"/>
      <c r="X161" s="289"/>
      <c r="Y161" s="289"/>
      <c r="Z161" s="289"/>
      <c r="AA161" s="289"/>
    </row>
    <row r="162" spans="1:63" ht="12.75" customHeight="1" x14ac:dyDescent="0.2">
      <c r="A162" s="147" t="s">
        <v>403</v>
      </c>
      <c r="B162" s="148">
        <f>SUM(D162:BQ162)</f>
        <v>22984.131275000011</v>
      </c>
      <c r="C162" s="120">
        <f>B162/60</f>
        <v>383.06885458333352</v>
      </c>
      <c r="D162" s="148">
        <v>275</v>
      </c>
      <c r="E162" s="148">
        <v>1194</v>
      </c>
      <c r="F162" s="148">
        <v>1194</v>
      </c>
      <c r="G162" s="148">
        <v>523</v>
      </c>
      <c r="H162" s="148">
        <v>596</v>
      </c>
      <c r="I162" s="148">
        <v>467</v>
      </c>
      <c r="J162" s="148">
        <v>518</v>
      </c>
      <c r="K162" s="148">
        <f>264*(1+Premissas!$B$21)</f>
        <v>270.59999999999997</v>
      </c>
      <c r="L162" s="148">
        <f>305*(1+Premissas!$B$21)</f>
        <v>312.625</v>
      </c>
      <c r="M162" s="148">
        <f>258*(1+Premissas!$B$21)</f>
        <v>264.45</v>
      </c>
      <c r="N162" s="148">
        <f>259*(1+Premissas!$B$21)</f>
        <v>265.47499999999997</v>
      </c>
      <c r="O162" s="148">
        <f>272*(1+Premissas!$B$21)</f>
        <v>278.79999999999995</v>
      </c>
      <c r="P162" s="148">
        <f>275*(1+Premissas!$B$21)</f>
        <v>281.875</v>
      </c>
      <c r="Q162" s="148">
        <f>1194*(1+Premissas!$B$21)</f>
        <v>1223.8499999999999</v>
      </c>
      <c r="R162" s="148">
        <f>1194*(1+Premissas!$B$21)</f>
        <v>1223.8499999999999</v>
      </c>
      <c r="S162" s="148">
        <f>523*(1+Premissas!$B$21)</f>
        <v>536.07499999999993</v>
      </c>
      <c r="T162" s="148">
        <f>596*(1+Premissas!$B$21)</f>
        <v>610.9</v>
      </c>
      <c r="U162" s="148">
        <f>467*(1+Premissas!$B$21)</f>
        <v>478.67499999999995</v>
      </c>
      <c r="V162" s="148">
        <f>518*(1+Premissas!$B$21)</f>
        <v>530.94999999999993</v>
      </c>
      <c r="W162" s="148">
        <f>264*(1+Premissas!$B$21)</f>
        <v>270.59999999999997</v>
      </c>
      <c r="X162" s="148">
        <f>305*(1+Premissas!$B$21)</f>
        <v>312.625</v>
      </c>
      <c r="Y162" s="148">
        <f>258*(1+Premissas!$B$21)</f>
        <v>264.45</v>
      </c>
      <c r="Z162" s="148">
        <f>259*(1+Premissas!$B$21)</f>
        <v>265.47499999999997</v>
      </c>
      <c r="AA162" s="148">
        <f>272*(1+Premissas!$B$21)</f>
        <v>278.79999999999995</v>
      </c>
      <c r="AB162" s="148">
        <f>272*(1+Premissas!$B$21)^2</f>
        <v>285.77</v>
      </c>
      <c r="AC162" s="148">
        <f>272*(1+Premissas!$B$21)^2</f>
        <v>285.77</v>
      </c>
      <c r="AD162" s="148">
        <f>272*(1+Premissas!$B$21)^2</f>
        <v>285.77</v>
      </c>
      <c r="AE162" s="148">
        <f>272*(1+Premissas!$B$21)^2</f>
        <v>285.77</v>
      </c>
      <c r="AF162" s="148">
        <f>272*(1+Premissas!$B$21)^2</f>
        <v>285.77</v>
      </c>
      <c r="AG162" s="148">
        <f>272*(1+Premissas!$B$21)^2</f>
        <v>285.77</v>
      </c>
      <c r="AH162" s="148">
        <f>272*(1+Premissas!$B$21)^2</f>
        <v>285.77</v>
      </c>
      <c r="AI162" s="148">
        <f>272*(1+Premissas!$B$21)^2</f>
        <v>285.77</v>
      </c>
      <c r="AJ162" s="148">
        <f>272*(1+Premissas!$B$21)^2</f>
        <v>285.77</v>
      </c>
      <c r="AK162" s="148">
        <f>272*(1+Premissas!$B$21)^2</f>
        <v>285.77</v>
      </c>
      <c r="AL162" s="148">
        <f>272*(1+Premissas!$B$21)^2</f>
        <v>285.77</v>
      </c>
      <c r="AM162" s="148">
        <f>272*(1+Premissas!$B$21)^2</f>
        <v>285.77</v>
      </c>
      <c r="AN162" s="148">
        <f>272*(1+Premissas!$B$21)^3</f>
        <v>292.91424999999998</v>
      </c>
      <c r="AO162" s="148">
        <f>272*(1+Premissas!$B$21)^3</f>
        <v>292.91424999999998</v>
      </c>
      <c r="AP162" s="148">
        <f>272*(1+Premissas!$B$21)^3</f>
        <v>292.91424999999998</v>
      </c>
      <c r="AQ162" s="148">
        <f>272*(1+Premissas!$B$21)^3</f>
        <v>292.91424999999998</v>
      </c>
      <c r="AR162" s="148">
        <f>272*(1+Premissas!$B$21)^3</f>
        <v>292.91424999999998</v>
      </c>
      <c r="AS162" s="148">
        <f>272*(1+Premissas!$B$21)^3</f>
        <v>292.91424999999998</v>
      </c>
      <c r="AT162" s="148">
        <f>272*(1+Premissas!$B$21)^3</f>
        <v>292.91424999999998</v>
      </c>
      <c r="AU162" s="148">
        <f>272*(1+Premissas!$B$21)^3</f>
        <v>292.91424999999998</v>
      </c>
      <c r="AV162" s="148">
        <f>272*(1+Premissas!$B$21)^3</f>
        <v>292.91424999999998</v>
      </c>
      <c r="AW162" s="148">
        <f>272*(1+Premissas!$B$21)^3</f>
        <v>292.91424999999998</v>
      </c>
      <c r="AX162" s="148">
        <f>272*(1+Premissas!$B$21)^3</f>
        <v>292.91424999999998</v>
      </c>
      <c r="AY162" s="148">
        <f>272*(1+Premissas!$B$21)^3</f>
        <v>292.91424999999998</v>
      </c>
      <c r="AZ162" s="148">
        <f>272*(1+Premissas!$B$21)^4</f>
        <v>300.23710624999995</v>
      </c>
      <c r="BA162" s="148">
        <f>272*(1+Premissas!$B$21)^4</f>
        <v>300.23710624999995</v>
      </c>
      <c r="BB162" s="148">
        <f>272*(1+Premissas!$B$21)^4</f>
        <v>300.23710624999995</v>
      </c>
      <c r="BC162" s="148">
        <f>272*(1+Premissas!$B$21)^4</f>
        <v>300.23710624999995</v>
      </c>
      <c r="BD162" s="148">
        <f>272*(1+Premissas!$B$21)^4</f>
        <v>300.23710624999995</v>
      </c>
      <c r="BE162" s="148">
        <f>272*(1+Premissas!$B$21)^4</f>
        <v>300.23710624999995</v>
      </c>
      <c r="BF162" s="148">
        <f>272*(1+Premissas!$B$21)^4</f>
        <v>300.23710624999995</v>
      </c>
      <c r="BG162" s="148">
        <f>272*(1+Premissas!$B$21)^4</f>
        <v>300.23710624999995</v>
      </c>
      <c r="BH162" s="148">
        <f>272*(1+Premissas!$B$21)^4</f>
        <v>300.23710624999995</v>
      </c>
      <c r="BI162" s="148">
        <f>272*(1+Premissas!$B$21)^4</f>
        <v>300.23710624999995</v>
      </c>
      <c r="BJ162" s="148">
        <f>272*(1+Premissas!$B$21)^4</f>
        <v>300.23710624999995</v>
      </c>
      <c r="BK162" s="148">
        <f>272*(1+Premissas!$B$21)^4</f>
        <v>300.23710624999995</v>
      </c>
    </row>
    <row r="163" spans="1:63" ht="12.75" customHeight="1" x14ac:dyDescent="0.2">
      <c r="A163" s="122" t="str">
        <f>"  "&amp;INDEX(PVSYST_Helexia!$A$5:$A$7,MATCH(Premissas!$B$13,PVSYST_Helexia!$B$5:$B$7,0))&amp;" créditos recebidos (kWh)"</f>
        <v xml:space="preserve">  HCS03 créditos recebidos (kWh)</v>
      </c>
      <c r="B163" s="135">
        <f>SUM(D163:BQ163)</f>
        <v>30331.431821498372</v>
      </c>
      <c r="C163" s="120">
        <f>B163/60</f>
        <v>505.52386369163952</v>
      </c>
      <c r="D163" s="136">
        <f>D6*Premissas!$B$44</f>
        <v>731.54099999999994</v>
      </c>
      <c r="E163" s="136">
        <f>E6*Premissas!$B$44</f>
        <v>770.0089999999999</v>
      </c>
      <c r="F163" s="136">
        <f>F6*Premissas!$B$44</f>
        <v>924.35299999999995</v>
      </c>
      <c r="G163" s="136">
        <f>G6*Premissas!$B$44</f>
        <v>867.35899999999992</v>
      </c>
      <c r="H163" s="136">
        <f>H6*Premissas!$C$44</f>
        <v>649.64400000000001</v>
      </c>
      <c r="I163" s="136">
        <f>I6*Premissas!$C$44</f>
        <v>628.14400000000001</v>
      </c>
      <c r="J163" s="136">
        <f>J6*Premissas!$C$44</f>
        <v>596.45299999999997</v>
      </c>
      <c r="K163" s="136">
        <f>K6*Premissas!$C$44</f>
        <v>612.42448999999999</v>
      </c>
      <c r="L163" s="136">
        <f>L6*Premissas!$C$44</f>
        <v>545.72267499999998</v>
      </c>
      <c r="M163" s="136">
        <f>M6*Premissas!$C$44</f>
        <v>625.94455000000005</v>
      </c>
      <c r="N163" s="136">
        <f>N6*Premissas!$D$44</f>
        <v>856.97559000000001</v>
      </c>
      <c r="O163" s="136">
        <f>O6*Premissas!$D$44</f>
        <v>802.02770999999996</v>
      </c>
      <c r="P163" s="136">
        <f>P6*Premissas!$D$44</f>
        <v>727.88329499999998</v>
      </c>
      <c r="Q163" s="136">
        <f>Q6*Premissas!$D$44</f>
        <v>766.15895499999988</v>
      </c>
      <c r="R163" s="136">
        <f>R6*Premissas!$D$44</f>
        <v>919.73123499999997</v>
      </c>
      <c r="S163" s="136">
        <f>S6*Premissas!$D$44</f>
        <v>863.0222050000001</v>
      </c>
      <c r="T163" s="136">
        <f>T6*Premissas!$E$44</f>
        <v>646.39578000000006</v>
      </c>
      <c r="U163" s="136">
        <f>U6*Premissas!$E$44</f>
        <v>625.00328000000002</v>
      </c>
      <c r="V163" s="136">
        <f>V6*Premissas!$E$44</f>
        <v>593.4707350000001</v>
      </c>
      <c r="W163" s="136">
        <f>W6*Premissas!$E$44</f>
        <v>612.42448999999999</v>
      </c>
      <c r="X163" s="136">
        <f>X6*Premissas!$E$44</f>
        <v>545.72267499999998</v>
      </c>
      <c r="Y163" s="136">
        <f>Y6*Premissas!$E$44</f>
        <v>625.94455000000005</v>
      </c>
      <c r="Z163" s="136">
        <f>Z6*Premissas!$E$44</f>
        <v>624.57542999999998</v>
      </c>
      <c r="AA163" s="136">
        <f>AA6*Premissas!$E$44</f>
        <v>584.52866999999992</v>
      </c>
      <c r="AB163" s="136">
        <f>AB6*Premissas!$F$44</f>
        <v>306.882999375</v>
      </c>
      <c r="AC163" s="136">
        <f>AC6*Premissas!$F$44</f>
        <v>323.02040687499999</v>
      </c>
      <c r="AD163" s="136">
        <f>AD6*Premissas!$F$44</f>
        <v>387.76804187500005</v>
      </c>
      <c r="AE163" s="136">
        <f>AE6*Premissas!$F$44</f>
        <v>363.85893812500001</v>
      </c>
      <c r="AF163" s="136">
        <f>AF6*Premissas!$F$44</f>
        <v>373.93244250000004</v>
      </c>
      <c r="AG163" s="136">
        <f>AG6*Premissas!$F$44</f>
        <v>361.55713000000003</v>
      </c>
      <c r="AH163" s="136">
        <f>AH6*Premissas!$G$44</f>
        <v>357.04855615000002</v>
      </c>
      <c r="AI163" s="136">
        <f>AI6*Premissas!$G$44</f>
        <v>368.45166410000002</v>
      </c>
      <c r="AJ163" s="136">
        <f>AJ6*Premissas!$G$44</f>
        <v>328.32199075</v>
      </c>
      <c r="AK163" s="136">
        <f>AK6*Premissas!$G$44</f>
        <v>376.58570950000001</v>
      </c>
      <c r="AL163" s="136">
        <f>AL6*Premissas!$G$44</f>
        <v>375.76200870000002</v>
      </c>
      <c r="AM163" s="136">
        <f>AM6*Premissas!$G$44</f>
        <v>351.66876030000003</v>
      </c>
      <c r="AN163" s="136">
        <f>AN6*Premissas!$H$44</f>
        <v>305.348584378125</v>
      </c>
      <c r="AO163" s="136">
        <f>AO6*Premissas!$H$44</f>
        <v>321.40530484062498</v>
      </c>
      <c r="AP163" s="136">
        <f>AP6*Premissas!$H$44</f>
        <v>385.82920166562502</v>
      </c>
      <c r="AQ163" s="136">
        <f>AQ6*Premissas!$H$44</f>
        <v>362.03964343437502</v>
      </c>
      <c r="AR163" s="136">
        <f>AR6*Premissas!$H$44</f>
        <v>372.0627802875</v>
      </c>
      <c r="AS163" s="136">
        <f>AS6*Premissas!$H$44</f>
        <v>359.74934435000006</v>
      </c>
      <c r="AT163" s="136">
        <f>AT6*Premissas!$I$44</f>
        <v>368.927286960375</v>
      </c>
      <c r="AU163" s="136">
        <f>AU6*Premissas!$I$44</f>
        <v>380.70976754025003</v>
      </c>
      <c r="AV163" s="136">
        <f>AV6*Premissas!$I$44</f>
        <v>339.24501082687505</v>
      </c>
      <c r="AW163" s="136">
        <f>AW6*Premissas!$I$44</f>
        <v>389.11442637375006</v>
      </c>
      <c r="AX163" s="136">
        <f>AX6*Premissas!$I$44</f>
        <v>388.26332168175003</v>
      </c>
      <c r="AY163" s="136">
        <f>AY6*Premissas!$I$44</f>
        <v>363.36850944075002</v>
      </c>
      <c r="AZ163" s="136">
        <f>AZ6*Premissas!$J$44</f>
        <v>328.12758877273319</v>
      </c>
      <c r="BA163" s="136">
        <f>BA6*Premissas!$J$44</f>
        <v>345.3821405817356</v>
      </c>
      <c r="BB163" s="136">
        <f>BB6*Premissas!$J$44</f>
        <v>414.6120601098807</v>
      </c>
      <c r="BC163" s="136">
        <f>BC6*Premissas!$J$44</f>
        <v>389.04780083457945</v>
      </c>
      <c r="BD163" s="136">
        <f>BD6*Premissas!$J$44</f>
        <v>399.81866369694751</v>
      </c>
      <c r="BE163" s="136">
        <f>BE6*Premissas!$J$44</f>
        <v>386.58664543851006</v>
      </c>
      <c r="BF163" s="136">
        <f>BF6*Premissas!$K$44</f>
        <v>448.65657286458946</v>
      </c>
      <c r="BG163" s="136">
        <f>BG6*Premissas!$K$44</f>
        <v>462.98537841422626</v>
      </c>
      <c r="BH163" s="136">
        <f>BH6*Premissas!$K$44</f>
        <v>412.55962705557192</v>
      </c>
      <c r="BI163" s="136">
        <f>BI6*Premissas!$K$44</f>
        <v>473.2063774067438</v>
      </c>
      <c r="BJ163" s="136">
        <f>BJ6*Premissas!$K$44</f>
        <v>472.17133953408381</v>
      </c>
      <c r="BK163" s="136">
        <f>BK6*Premissas!$K$44</f>
        <v>441.8964817587788</v>
      </c>
    </row>
    <row r="164" spans="1:63" ht="12.75" customHeight="1" x14ac:dyDescent="0.2">
      <c r="A164" s="126" t="s">
        <v>409</v>
      </c>
      <c r="B164" s="120">
        <f>AA164</f>
        <v>4239.7526450000014</v>
      </c>
      <c r="C164" s="120" t="s">
        <v>397</v>
      </c>
      <c r="D164" s="120">
        <f>0</f>
        <v>0</v>
      </c>
      <c r="E164" s="120">
        <f t="shared" ref="E164:AJ164" si="152">D166</f>
        <v>456.54099999999994</v>
      </c>
      <c r="F164" s="120">
        <f t="shared" si="152"/>
        <v>32.549999999999841</v>
      </c>
      <c r="G164" s="120">
        <f t="shared" si="152"/>
        <v>0</v>
      </c>
      <c r="H164" s="120">
        <f t="shared" si="152"/>
        <v>344.35899999999992</v>
      </c>
      <c r="I164" s="120">
        <f t="shared" si="152"/>
        <v>398.00299999999993</v>
      </c>
      <c r="J164" s="120">
        <f t="shared" si="152"/>
        <v>559.14699999999993</v>
      </c>
      <c r="K164" s="120">
        <f t="shared" si="152"/>
        <v>637.59999999999991</v>
      </c>
      <c r="L164" s="120">
        <f t="shared" si="152"/>
        <v>979.42448999999988</v>
      </c>
      <c r="M164" s="120">
        <f t="shared" si="152"/>
        <v>1212.5221649999999</v>
      </c>
      <c r="N164" s="120">
        <f t="shared" si="152"/>
        <v>1574.016715</v>
      </c>
      <c r="O164" s="120">
        <f t="shared" si="152"/>
        <v>2165.5173050000003</v>
      </c>
      <c r="P164" s="120">
        <f t="shared" si="152"/>
        <v>2688.7450150000004</v>
      </c>
      <c r="Q164" s="120">
        <f t="shared" si="152"/>
        <v>3134.7533100000005</v>
      </c>
      <c r="R164" s="120">
        <f t="shared" si="152"/>
        <v>2677.0622650000005</v>
      </c>
      <c r="S164" s="120">
        <f t="shared" si="152"/>
        <v>2372.9435000000003</v>
      </c>
      <c r="T164" s="120">
        <f t="shared" si="152"/>
        <v>2699.8907050000007</v>
      </c>
      <c r="U164" s="120">
        <f t="shared" si="152"/>
        <v>2735.3864850000009</v>
      </c>
      <c r="V164" s="120">
        <f t="shared" si="152"/>
        <v>2881.7147650000011</v>
      </c>
      <c r="W164" s="120">
        <f t="shared" si="152"/>
        <v>2944.2355000000011</v>
      </c>
      <c r="X164" s="120">
        <f t="shared" si="152"/>
        <v>3286.0599900000011</v>
      </c>
      <c r="Y164" s="120">
        <f t="shared" si="152"/>
        <v>3519.1576650000011</v>
      </c>
      <c r="Z164" s="120">
        <f t="shared" si="152"/>
        <v>3880.652215000001</v>
      </c>
      <c r="AA164" s="120">
        <f t="shared" si="152"/>
        <v>4239.7526450000014</v>
      </c>
      <c r="AB164" s="120">
        <f t="shared" si="152"/>
        <v>4545.4813150000009</v>
      </c>
      <c r="AC164" s="120">
        <f t="shared" si="152"/>
        <v>4566.594314375001</v>
      </c>
      <c r="AD164" s="120">
        <f t="shared" si="152"/>
        <v>4603.8447212500014</v>
      </c>
      <c r="AE164" s="120">
        <f t="shared" si="152"/>
        <v>4705.8427631250015</v>
      </c>
      <c r="AF164" s="120">
        <f t="shared" si="152"/>
        <v>4783.9317012500014</v>
      </c>
      <c r="AG164" s="120">
        <f t="shared" si="152"/>
        <v>4872.0941437500014</v>
      </c>
      <c r="AH164" s="120">
        <f t="shared" si="152"/>
        <v>4947.8812737500011</v>
      </c>
      <c r="AI164" s="120">
        <f t="shared" si="152"/>
        <v>5019.1598299000016</v>
      </c>
      <c r="AJ164" s="120">
        <f t="shared" si="152"/>
        <v>5101.8414940000021</v>
      </c>
      <c r="AK164" s="120">
        <f t="shared" ref="AK164:BK164" si="153">AJ166</f>
        <v>5144.3934847500022</v>
      </c>
      <c r="AL164" s="120">
        <f t="shared" si="153"/>
        <v>5235.2091942500019</v>
      </c>
      <c r="AM164" s="120">
        <f t="shared" si="153"/>
        <v>5325.201202950002</v>
      </c>
      <c r="AN164" s="120">
        <f t="shared" si="153"/>
        <v>5391.0999632500025</v>
      </c>
      <c r="AO164" s="120">
        <f t="shared" si="153"/>
        <v>5403.5342976281272</v>
      </c>
      <c r="AP164" s="120">
        <f t="shared" si="153"/>
        <v>5432.0253524687523</v>
      </c>
      <c r="AQ164" s="120">
        <f t="shared" si="153"/>
        <v>5524.9403041343776</v>
      </c>
      <c r="AR164" s="120">
        <f t="shared" si="153"/>
        <v>5594.0656975687525</v>
      </c>
      <c r="AS164" s="120">
        <f t="shared" si="153"/>
        <v>5673.2142278562524</v>
      </c>
      <c r="AT164" s="120">
        <f t="shared" si="153"/>
        <v>5740.0493222062523</v>
      </c>
      <c r="AU164" s="120">
        <f t="shared" si="153"/>
        <v>5816.0623591666272</v>
      </c>
      <c r="AV164" s="120">
        <f t="shared" si="153"/>
        <v>5903.8578767068775</v>
      </c>
      <c r="AW164" s="120">
        <f t="shared" si="153"/>
        <v>5950.1886375337526</v>
      </c>
      <c r="AX164" s="120">
        <f t="shared" si="153"/>
        <v>6046.3888139075025</v>
      </c>
      <c r="AY164" s="120">
        <f t="shared" si="153"/>
        <v>6141.737885589253</v>
      </c>
      <c r="AZ164" s="120">
        <f t="shared" si="153"/>
        <v>6212.1921450300033</v>
      </c>
      <c r="BA164" s="120">
        <f t="shared" si="153"/>
        <v>6240.0826275527361</v>
      </c>
      <c r="BB164" s="120">
        <f t="shared" si="153"/>
        <v>6285.2276618844717</v>
      </c>
      <c r="BC164" s="120">
        <f t="shared" si="153"/>
        <v>6399.6026157443521</v>
      </c>
      <c r="BD164" s="120">
        <f t="shared" si="153"/>
        <v>6488.4133103289314</v>
      </c>
      <c r="BE164" s="120">
        <f t="shared" si="153"/>
        <v>6587.9948677758794</v>
      </c>
      <c r="BF164" s="120">
        <f t="shared" si="153"/>
        <v>6674.3444069643892</v>
      </c>
      <c r="BG164" s="120">
        <f t="shared" si="153"/>
        <v>6822.7638735789787</v>
      </c>
      <c r="BH164" s="120">
        <f t="shared" si="153"/>
        <v>6985.5121457432051</v>
      </c>
      <c r="BI164" s="120">
        <f t="shared" si="153"/>
        <v>7097.834666548777</v>
      </c>
      <c r="BJ164" s="120">
        <f t="shared" si="153"/>
        <v>7270.8039377055211</v>
      </c>
      <c r="BK164" s="120">
        <f t="shared" si="153"/>
        <v>7442.7381709896054</v>
      </c>
    </row>
    <row r="165" spans="1:63" ht="12.75" customHeight="1" x14ac:dyDescent="0.2">
      <c r="A165" s="126" t="s">
        <v>410</v>
      </c>
      <c r="B165" s="120">
        <f>SUM(D165:BQ165)</f>
        <v>1218.3508099999999</v>
      </c>
      <c r="C165" s="120">
        <f>B165/60</f>
        <v>20.30584683333333</v>
      </c>
      <c r="D165" s="120">
        <f t="shared" ref="D165:AI165" si="154">MIN(D164,MAX(D162-D163,0))</f>
        <v>0</v>
      </c>
      <c r="E165" s="120">
        <f t="shared" si="154"/>
        <v>423.9910000000001</v>
      </c>
      <c r="F165" s="120">
        <f t="shared" si="154"/>
        <v>32.549999999999841</v>
      </c>
      <c r="G165" s="120">
        <f t="shared" si="154"/>
        <v>0</v>
      </c>
      <c r="H165" s="120">
        <f t="shared" si="154"/>
        <v>0</v>
      </c>
      <c r="I165" s="120">
        <f t="shared" si="154"/>
        <v>0</v>
      </c>
      <c r="J165" s="120">
        <f t="shared" si="154"/>
        <v>0</v>
      </c>
      <c r="K165" s="120">
        <f t="shared" si="154"/>
        <v>0</v>
      </c>
      <c r="L165" s="120">
        <f t="shared" si="154"/>
        <v>0</v>
      </c>
      <c r="M165" s="120">
        <f t="shared" si="154"/>
        <v>0</v>
      </c>
      <c r="N165" s="120">
        <f t="shared" si="154"/>
        <v>0</v>
      </c>
      <c r="O165" s="120">
        <f t="shared" si="154"/>
        <v>0</v>
      </c>
      <c r="P165" s="120">
        <f t="shared" si="154"/>
        <v>0</v>
      </c>
      <c r="Q165" s="120">
        <f t="shared" si="154"/>
        <v>457.69104500000003</v>
      </c>
      <c r="R165" s="120">
        <f t="shared" si="154"/>
        <v>304.11876499999994</v>
      </c>
      <c r="S165" s="120">
        <f t="shared" si="154"/>
        <v>0</v>
      </c>
      <c r="T165" s="120">
        <f t="shared" si="154"/>
        <v>0</v>
      </c>
      <c r="U165" s="120">
        <f t="shared" si="154"/>
        <v>0</v>
      </c>
      <c r="V165" s="120">
        <f t="shared" si="154"/>
        <v>0</v>
      </c>
      <c r="W165" s="120">
        <f t="shared" si="154"/>
        <v>0</v>
      </c>
      <c r="X165" s="120">
        <f t="shared" si="154"/>
        <v>0</v>
      </c>
      <c r="Y165" s="120">
        <f t="shared" si="154"/>
        <v>0</v>
      </c>
      <c r="Z165" s="120">
        <f t="shared" si="154"/>
        <v>0</v>
      </c>
      <c r="AA165" s="120">
        <f t="shared" si="154"/>
        <v>0</v>
      </c>
      <c r="AB165" s="120">
        <f t="shared" si="154"/>
        <v>0</v>
      </c>
      <c r="AC165" s="120">
        <f t="shared" si="154"/>
        <v>0</v>
      </c>
      <c r="AD165" s="120">
        <f t="shared" si="154"/>
        <v>0</v>
      </c>
      <c r="AE165" s="120">
        <f t="shared" si="154"/>
        <v>0</v>
      </c>
      <c r="AF165" s="120">
        <f t="shared" si="154"/>
        <v>0</v>
      </c>
      <c r="AG165" s="120">
        <f t="shared" si="154"/>
        <v>0</v>
      </c>
      <c r="AH165" s="120">
        <f t="shared" si="154"/>
        <v>0</v>
      </c>
      <c r="AI165" s="120">
        <f t="shared" si="154"/>
        <v>0</v>
      </c>
      <c r="AJ165" s="120">
        <f t="shared" ref="AJ165:BO165" si="155">MIN(AJ164,MAX(AJ162-AJ163,0))</f>
        <v>0</v>
      </c>
      <c r="AK165" s="120">
        <f t="shared" si="155"/>
        <v>0</v>
      </c>
      <c r="AL165" s="120">
        <f t="shared" si="155"/>
        <v>0</v>
      </c>
      <c r="AM165" s="120">
        <f t="shared" si="155"/>
        <v>0</v>
      </c>
      <c r="AN165" s="120">
        <f t="shared" si="155"/>
        <v>0</v>
      </c>
      <c r="AO165" s="120">
        <f t="shared" si="155"/>
        <v>0</v>
      </c>
      <c r="AP165" s="120">
        <f t="shared" si="155"/>
        <v>0</v>
      </c>
      <c r="AQ165" s="120">
        <f t="shared" si="155"/>
        <v>0</v>
      </c>
      <c r="AR165" s="120">
        <f t="shared" si="155"/>
        <v>0</v>
      </c>
      <c r="AS165" s="120">
        <f t="shared" si="155"/>
        <v>0</v>
      </c>
      <c r="AT165" s="120">
        <f t="shared" si="155"/>
        <v>0</v>
      </c>
      <c r="AU165" s="120">
        <f t="shared" si="155"/>
        <v>0</v>
      </c>
      <c r="AV165" s="120">
        <f t="shared" si="155"/>
        <v>0</v>
      </c>
      <c r="AW165" s="120">
        <f t="shared" si="155"/>
        <v>0</v>
      </c>
      <c r="AX165" s="120">
        <f t="shared" si="155"/>
        <v>0</v>
      </c>
      <c r="AY165" s="120">
        <f t="shared" si="155"/>
        <v>0</v>
      </c>
      <c r="AZ165" s="120">
        <f t="shared" si="155"/>
        <v>0</v>
      </c>
      <c r="BA165" s="120">
        <f t="shared" si="155"/>
        <v>0</v>
      </c>
      <c r="BB165" s="120">
        <f t="shared" si="155"/>
        <v>0</v>
      </c>
      <c r="BC165" s="120">
        <f t="shared" si="155"/>
        <v>0</v>
      </c>
      <c r="BD165" s="120">
        <f t="shared" si="155"/>
        <v>0</v>
      </c>
      <c r="BE165" s="120">
        <f t="shared" si="155"/>
        <v>0</v>
      </c>
      <c r="BF165" s="120">
        <f t="shared" si="155"/>
        <v>0</v>
      </c>
      <c r="BG165" s="120">
        <f t="shared" si="155"/>
        <v>0</v>
      </c>
      <c r="BH165" s="120">
        <f t="shared" si="155"/>
        <v>0</v>
      </c>
      <c r="BI165" s="120">
        <f t="shared" si="155"/>
        <v>0</v>
      </c>
      <c r="BJ165" s="120">
        <f t="shared" si="155"/>
        <v>0</v>
      </c>
      <c r="BK165" s="120">
        <f t="shared" si="155"/>
        <v>0</v>
      </c>
    </row>
    <row r="166" spans="1:63" ht="13.5" customHeight="1" x14ac:dyDescent="0.2">
      <c r="A166" s="41" t="s">
        <v>411</v>
      </c>
      <c r="B166" s="43">
        <f>AA166</f>
        <v>4545.4813150000009</v>
      </c>
      <c r="C166" s="120" t="s">
        <v>397</v>
      </c>
      <c r="D166" s="137">
        <f t="shared" ref="D166:AI166" si="156">MAX(D164-D165,0)+MAX(D163-D162,0)</f>
        <v>456.54099999999994</v>
      </c>
      <c r="E166" s="137">
        <f t="shared" si="156"/>
        <v>32.549999999999841</v>
      </c>
      <c r="F166" s="137">
        <f t="shared" si="156"/>
        <v>0</v>
      </c>
      <c r="G166" s="137">
        <f t="shared" si="156"/>
        <v>344.35899999999992</v>
      </c>
      <c r="H166" s="137">
        <f t="shared" si="156"/>
        <v>398.00299999999993</v>
      </c>
      <c r="I166" s="137">
        <f t="shared" si="156"/>
        <v>559.14699999999993</v>
      </c>
      <c r="J166" s="137">
        <f t="shared" si="156"/>
        <v>637.59999999999991</v>
      </c>
      <c r="K166" s="137">
        <f t="shared" si="156"/>
        <v>979.42448999999988</v>
      </c>
      <c r="L166" s="137">
        <f t="shared" si="156"/>
        <v>1212.5221649999999</v>
      </c>
      <c r="M166" s="137">
        <f t="shared" si="156"/>
        <v>1574.016715</v>
      </c>
      <c r="N166" s="137">
        <f t="shared" si="156"/>
        <v>2165.5173050000003</v>
      </c>
      <c r="O166" s="137">
        <f t="shared" si="156"/>
        <v>2688.7450150000004</v>
      </c>
      <c r="P166" s="137">
        <f t="shared" si="156"/>
        <v>3134.7533100000005</v>
      </c>
      <c r="Q166" s="137">
        <f t="shared" si="156"/>
        <v>2677.0622650000005</v>
      </c>
      <c r="R166" s="137">
        <f t="shared" si="156"/>
        <v>2372.9435000000003</v>
      </c>
      <c r="S166" s="137">
        <f t="shared" si="156"/>
        <v>2699.8907050000007</v>
      </c>
      <c r="T166" s="137">
        <f t="shared" si="156"/>
        <v>2735.3864850000009</v>
      </c>
      <c r="U166" s="137">
        <f t="shared" si="156"/>
        <v>2881.7147650000011</v>
      </c>
      <c r="V166" s="137">
        <f t="shared" si="156"/>
        <v>2944.2355000000011</v>
      </c>
      <c r="W166" s="137">
        <f t="shared" si="156"/>
        <v>3286.0599900000011</v>
      </c>
      <c r="X166" s="137">
        <f t="shared" si="156"/>
        <v>3519.1576650000011</v>
      </c>
      <c r="Y166" s="137">
        <f t="shared" si="156"/>
        <v>3880.652215000001</v>
      </c>
      <c r="Z166" s="137">
        <f t="shared" si="156"/>
        <v>4239.7526450000014</v>
      </c>
      <c r="AA166" s="137">
        <f t="shared" si="156"/>
        <v>4545.4813150000009</v>
      </c>
      <c r="AB166" s="137">
        <f t="shared" si="156"/>
        <v>4566.594314375001</v>
      </c>
      <c r="AC166" s="137">
        <f t="shared" si="156"/>
        <v>4603.8447212500014</v>
      </c>
      <c r="AD166" s="137">
        <f t="shared" si="156"/>
        <v>4705.8427631250015</v>
      </c>
      <c r="AE166" s="137">
        <f t="shared" si="156"/>
        <v>4783.9317012500014</v>
      </c>
      <c r="AF166" s="137">
        <f t="shared" si="156"/>
        <v>4872.0941437500014</v>
      </c>
      <c r="AG166" s="137">
        <f t="shared" si="156"/>
        <v>4947.8812737500011</v>
      </c>
      <c r="AH166" s="137">
        <f t="shared" si="156"/>
        <v>5019.1598299000016</v>
      </c>
      <c r="AI166" s="137">
        <f t="shared" si="156"/>
        <v>5101.8414940000021</v>
      </c>
      <c r="AJ166" s="137">
        <f t="shared" ref="AJ166:BO166" si="157">MAX(AJ164-AJ165,0)+MAX(AJ163-AJ162,0)</f>
        <v>5144.3934847500022</v>
      </c>
      <c r="AK166" s="137">
        <f t="shared" si="157"/>
        <v>5235.2091942500019</v>
      </c>
      <c r="AL166" s="137">
        <f t="shared" si="157"/>
        <v>5325.201202950002</v>
      </c>
      <c r="AM166" s="137">
        <f t="shared" si="157"/>
        <v>5391.0999632500025</v>
      </c>
      <c r="AN166" s="137">
        <f t="shared" si="157"/>
        <v>5403.5342976281272</v>
      </c>
      <c r="AO166" s="137">
        <f t="shared" si="157"/>
        <v>5432.0253524687523</v>
      </c>
      <c r="AP166" s="137">
        <f t="shared" si="157"/>
        <v>5524.9403041343776</v>
      </c>
      <c r="AQ166" s="137">
        <f t="shared" si="157"/>
        <v>5594.0656975687525</v>
      </c>
      <c r="AR166" s="137">
        <f t="shared" si="157"/>
        <v>5673.2142278562524</v>
      </c>
      <c r="AS166" s="137">
        <f t="shared" si="157"/>
        <v>5740.0493222062523</v>
      </c>
      <c r="AT166" s="137">
        <f t="shared" si="157"/>
        <v>5816.0623591666272</v>
      </c>
      <c r="AU166" s="137">
        <f t="shared" si="157"/>
        <v>5903.8578767068775</v>
      </c>
      <c r="AV166" s="137">
        <f t="shared" si="157"/>
        <v>5950.1886375337526</v>
      </c>
      <c r="AW166" s="137">
        <f t="shared" si="157"/>
        <v>6046.3888139075025</v>
      </c>
      <c r="AX166" s="137">
        <f t="shared" si="157"/>
        <v>6141.737885589253</v>
      </c>
      <c r="AY166" s="137">
        <f t="shared" si="157"/>
        <v>6212.1921450300033</v>
      </c>
      <c r="AZ166" s="137">
        <f t="shared" si="157"/>
        <v>6240.0826275527361</v>
      </c>
      <c r="BA166" s="137">
        <f t="shared" si="157"/>
        <v>6285.2276618844717</v>
      </c>
      <c r="BB166" s="137">
        <f t="shared" si="157"/>
        <v>6399.6026157443521</v>
      </c>
      <c r="BC166" s="137">
        <f t="shared" si="157"/>
        <v>6488.4133103289314</v>
      </c>
      <c r="BD166" s="137">
        <f t="shared" si="157"/>
        <v>6587.9948677758794</v>
      </c>
      <c r="BE166" s="137">
        <f t="shared" si="157"/>
        <v>6674.3444069643892</v>
      </c>
      <c r="BF166" s="137">
        <f t="shared" si="157"/>
        <v>6822.7638735789787</v>
      </c>
      <c r="BG166" s="137">
        <f t="shared" si="157"/>
        <v>6985.5121457432051</v>
      </c>
      <c r="BH166" s="137">
        <f t="shared" si="157"/>
        <v>7097.834666548777</v>
      </c>
      <c r="BI166" s="137">
        <f t="shared" si="157"/>
        <v>7270.8039377055211</v>
      </c>
      <c r="BJ166" s="137">
        <f t="shared" si="157"/>
        <v>7442.7381709896054</v>
      </c>
      <c r="BK166" s="137">
        <f t="shared" si="157"/>
        <v>7584.3975464983841</v>
      </c>
    </row>
    <row r="167" spans="1:63" ht="12.75" customHeight="1" x14ac:dyDescent="0.2">
      <c r="A167" s="127" t="s">
        <v>412</v>
      </c>
      <c r="B167" s="128">
        <f>AA167</f>
        <v>0</v>
      </c>
      <c r="C167" s="120" t="s">
        <v>397</v>
      </c>
      <c r="D167" s="128">
        <f>0</f>
        <v>0</v>
      </c>
      <c r="E167" s="128">
        <f t="shared" ref="E167:AJ167" si="158">D169</f>
        <v>0</v>
      </c>
      <c r="F167" s="128">
        <f t="shared" si="158"/>
        <v>0</v>
      </c>
      <c r="G167" s="128">
        <f t="shared" si="158"/>
        <v>0</v>
      </c>
      <c r="H167" s="128">
        <f t="shared" si="158"/>
        <v>0</v>
      </c>
      <c r="I167" s="128">
        <f t="shared" si="158"/>
        <v>0</v>
      </c>
      <c r="J167" s="128">
        <f t="shared" si="158"/>
        <v>0</v>
      </c>
      <c r="K167" s="128">
        <f t="shared" si="158"/>
        <v>0</v>
      </c>
      <c r="L167" s="128">
        <f t="shared" si="158"/>
        <v>0</v>
      </c>
      <c r="M167" s="128">
        <f t="shared" si="158"/>
        <v>0</v>
      </c>
      <c r="N167" s="128">
        <f t="shared" si="158"/>
        <v>0</v>
      </c>
      <c r="O167" s="128">
        <f t="shared" si="158"/>
        <v>0</v>
      </c>
      <c r="P167" s="128">
        <f t="shared" si="158"/>
        <v>0</v>
      </c>
      <c r="Q167" s="128">
        <f t="shared" si="158"/>
        <v>0</v>
      </c>
      <c r="R167" s="128">
        <f t="shared" si="158"/>
        <v>0</v>
      </c>
      <c r="S167" s="128">
        <f t="shared" si="158"/>
        <v>0</v>
      </c>
      <c r="T167" s="128">
        <f t="shared" si="158"/>
        <v>0</v>
      </c>
      <c r="U167" s="128">
        <f t="shared" si="158"/>
        <v>0</v>
      </c>
      <c r="V167" s="128">
        <f t="shared" si="158"/>
        <v>0</v>
      </c>
      <c r="W167" s="128">
        <f t="shared" si="158"/>
        <v>0</v>
      </c>
      <c r="X167" s="128">
        <f t="shared" si="158"/>
        <v>0</v>
      </c>
      <c r="Y167" s="128">
        <f t="shared" si="158"/>
        <v>0</v>
      </c>
      <c r="Z167" s="128">
        <f t="shared" si="158"/>
        <v>0</v>
      </c>
      <c r="AA167" s="128">
        <f t="shared" si="158"/>
        <v>0</v>
      </c>
      <c r="AB167" s="128">
        <f t="shared" si="158"/>
        <v>0</v>
      </c>
      <c r="AC167" s="128">
        <f t="shared" si="158"/>
        <v>0</v>
      </c>
      <c r="AD167" s="128">
        <f t="shared" si="158"/>
        <v>0</v>
      </c>
      <c r="AE167" s="128">
        <f t="shared" si="158"/>
        <v>0</v>
      </c>
      <c r="AF167" s="128">
        <f t="shared" si="158"/>
        <v>0</v>
      </c>
      <c r="AG167" s="128">
        <f t="shared" si="158"/>
        <v>0</v>
      </c>
      <c r="AH167" s="128">
        <f t="shared" si="158"/>
        <v>0</v>
      </c>
      <c r="AI167" s="128">
        <f t="shared" si="158"/>
        <v>0</v>
      </c>
      <c r="AJ167" s="128">
        <f t="shared" si="158"/>
        <v>0</v>
      </c>
      <c r="AK167" s="128">
        <f t="shared" ref="AK167:BK167" si="159">AJ169</f>
        <v>0</v>
      </c>
      <c r="AL167" s="128">
        <f t="shared" si="159"/>
        <v>0</v>
      </c>
      <c r="AM167" s="128">
        <f t="shared" si="159"/>
        <v>0</v>
      </c>
      <c r="AN167" s="128">
        <f t="shared" si="159"/>
        <v>0</v>
      </c>
      <c r="AO167" s="128">
        <f t="shared" si="159"/>
        <v>0</v>
      </c>
      <c r="AP167" s="128">
        <f t="shared" si="159"/>
        <v>0</v>
      </c>
      <c r="AQ167" s="128">
        <f t="shared" si="159"/>
        <v>0</v>
      </c>
      <c r="AR167" s="128">
        <f t="shared" si="159"/>
        <v>0</v>
      </c>
      <c r="AS167" s="128">
        <f t="shared" si="159"/>
        <v>0</v>
      </c>
      <c r="AT167" s="128">
        <f t="shared" si="159"/>
        <v>0</v>
      </c>
      <c r="AU167" s="128">
        <f t="shared" si="159"/>
        <v>0</v>
      </c>
      <c r="AV167" s="128">
        <f t="shared" si="159"/>
        <v>0</v>
      </c>
      <c r="AW167" s="128">
        <f t="shared" si="159"/>
        <v>0</v>
      </c>
      <c r="AX167" s="128">
        <f t="shared" si="159"/>
        <v>0</v>
      </c>
      <c r="AY167" s="128">
        <f t="shared" si="159"/>
        <v>0</v>
      </c>
      <c r="AZ167" s="128">
        <f t="shared" si="159"/>
        <v>0</v>
      </c>
      <c r="BA167" s="128">
        <f t="shared" si="159"/>
        <v>0</v>
      </c>
      <c r="BB167" s="128">
        <f t="shared" si="159"/>
        <v>0</v>
      </c>
      <c r="BC167" s="128">
        <f t="shared" si="159"/>
        <v>0</v>
      </c>
      <c r="BD167" s="128">
        <f t="shared" si="159"/>
        <v>0</v>
      </c>
      <c r="BE167" s="128">
        <f t="shared" si="159"/>
        <v>0</v>
      </c>
      <c r="BF167" s="128">
        <f t="shared" si="159"/>
        <v>0</v>
      </c>
      <c r="BG167" s="128">
        <f t="shared" si="159"/>
        <v>0</v>
      </c>
      <c r="BH167" s="128">
        <f t="shared" si="159"/>
        <v>0</v>
      </c>
      <c r="BI167" s="128">
        <f t="shared" si="159"/>
        <v>0</v>
      </c>
      <c r="BJ167" s="128">
        <f t="shared" si="159"/>
        <v>0</v>
      </c>
      <c r="BK167" s="128">
        <f t="shared" si="159"/>
        <v>0</v>
      </c>
    </row>
    <row r="168" spans="1:63" ht="12.75" customHeight="1" x14ac:dyDescent="0.2">
      <c r="A168" s="127" t="s">
        <v>420</v>
      </c>
      <c r="B168" s="128">
        <f>SUM(D168:BQ168)</f>
        <v>0</v>
      </c>
      <c r="C168" s="120">
        <f>B168/60</f>
        <v>0</v>
      </c>
      <c r="D168" s="128">
        <f t="shared" ref="D168:AI168" si="160">MIN(D167,D162)</f>
        <v>0</v>
      </c>
      <c r="E168" s="128">
        <f t="shared" si="160"/>
        <v>0</v>
      </c>
      <c r="F168" s="128">
        <f t="shared" si="160"/>
        <v>0</v>
      </c>
      <c r="G168" s="128">
        <f t="shared" si="160"/>
        <v>0</v>
      </c>
      <c r="H168" s="128">
        <f t="shared" si="160"/>
        <v>0</v>
      </c>
      <c r="I168" s="128">
        <f t="shared" si="160"/>
        <v>0</v>
      </c>
      <c r="J168" s="128">
        <f t="shared" si="160"/>
        <v>0</v>
      </c>
      <c r="K168" s="128">
        <f t="shared" si="160"/>
        <v>0</v>
      </c>
      <c r="L168" s="128">
        <f t="shared" si="160"/>
        <v>0</v>
      </c>
      <c r="M168" s="128">
        <f t="shared" si="160"/>
        <v>0</v>
      </c>
      <c r="N168" s="128">
        <f t="shared" si="160"/>
        <v>0</v>
      </c>
      <c r="O168" s="128">
        <f t="shared" si="160"/>
        <v>0</v>
      </c>
      <c r="P168" s="128">
        <f t="shared" si="160"/>
        <v>0</v>
      </c>
      <c r="Q168" s="128">
        <f t="shared" si="160"/>
        <v>0</v>
      </c>
      <c r="R168" s="128">
        <f t="shared" si="160"/>
        <v>0</v>
      </c>
      <c r="S168" s="128">
        <f t="shared" si="160"/>
        <v>0</v>
      </c>
      <c r="T168" s="128">
        <f t="shared" si="160"/>
        <v>0</v>
      </c>
      <c r="U168" s="128">
        <f t="shared" si="160"/>
        <v>0</v>
      </c>
      <c r="V168" s="128">
        <f t="shared" si="160"/>
        <v>0</v>
      </c>
      <c r="W168" s="128">
        <f t="shared" si="160"/>
        <v>0</v>
      </c>
      <c r="X168" s="128">
        <f t="shared" si="160"/>
        <v>0</v>
      </c>
      <c r="Y168" s="128">
        <f t="shared" si="160"/>
        <v>0</v>
      </c>
      <c r="Z168" s="128">
        <f t="shared" si="160"/>
        <v>0</v>
      </c>
      <c r="AA168" s="128">
        <f t="shared" si="160"/>
        <v>0</v>
      </c>
      <c r="AB168" s="128">
        <f t="shared" si="160"/>
        <v>0</v>
      </c>
      <c r="AC168" s="128">
        <f t="shared" si="160"/>
        <v>0</v>
      </c>
      <c r="AD168" s="128">
        <f t="shared" si="160"/>
        <v>0</v>
      </c>
      <c r="AE168" s="128">
        <f t="shared" si="160"/>
        <v>0</v>
      </c>
      <c r="AF168" s="128">
        <f t="shared" si="160"/>
        <v>0</v>
      </c>
      <c r="AG168" s="128">
        <f t="shared" si="160"/>
        <v>0</v>
      </c>
      <c r="AH168" s="128">
        <f t="shared" si="160"/>
        <v>0</v>
      </c>
      <c r="AI168" s="128">
        <f t="shared" si="160"/>
        <v>0</v>
      </c>
      <c r="AJ168" s="128">
        <f t="shared" ref="AJ168:BO168" si="161">MIN(AJ167,AJ162)</f>
        <v>0</v>
      </c>
      <c r="AK168" s="128">
        <f t="shared" si="161"/>
        <v>0</v>
      </c>
      <c r="AL168" s="128">
        <f t="shared" si="161"/>
        <v>0</v>
      </c>
      <c r="AM168" s="128">
        <f t="shared" si="161"/>
        <v>0</v>
      </c>
      <c r="AN168" s="128">
        <f t="shared" si="161"/>
        <v>0</v>
      </c>
      <c r="AO168" s="128">
        <f t="shared" si="161"/>
        <v>0</v>
      </c>
      <c r="AP168" s="128">
        <f t="shared" si="161"/>
        <v>0</v>
      </c>
      <c r="AQ168" s="128">
        <f t="shared" si="161"/>
        <v>0</v>
      </c>
      <c r="AR168" s="128">
        <f t="shared" si="161"/>
        <v>0</v>
      </c>
      <c r="AS168" s="128">
        <f t="shared" si="161"/>
        <v>0</v>
      </c>
      <c r="AT168" s="128">
        <f t="shared" si="161"/>
        <v>0</v>
      </c>
      <c r="AU168" s="128">
        <f t="shared" si="161"/>
        <v>0</v>
      </c>
      <c r="AV168" s="128">
        <f t="shared" si="161"/>
        <v>0</v>
      </c>
      <c r="AW168" s="128">
        <f t="shared" si="161"/>
        <v>0</v>
      </c>
      <c r="AX168" s="128">
        <f t="shared" si="161"/>
        <v>0</v>
      </c>
      <c r="AY168" s="128">
        <f t="shared" si="161"/>
        <v>0</v>
      </c>
      <c r="AZ168" s="128">
        <f t="shared" si="161"/>
        <v>0</v>
      </c>
      <c r="BA168" s="128">
        <f t="shared" si="161"/>
        <v>0</v>
      </c>
      <c r="BB168" s="128">
        <f t="shared" si="161"/>
        <v>0</v>
      </c>
      <c r="BC168" s="128">
        <f t="shared" si="161"/>
        <v>0</v>
      </c>
      <c r="BD168" s="128">
        <f t="shared" si="161"/>
        <v>0</v>
      </c>
      <c r="BE168" s="128">
        <f t="shared" si="161"/>
        <v>0</v>
      </c>
      <c r="BF168" s="128">
        <f t="shared" si="161"/>
        <v>0</v>
      </c>
      <c r="BG168" s="128">
        <f t="shared" si="161"/>
        <v>0</v>
      </c>
      <c r="BH168" s="128">
        <f t="shared" si="161"/>
        <v>0</v>
      </c>
      <c r="BI168" s="128">
        <f t="shared" si="161"/>
        <v>0</v>
      </c>
      <c r="BJ168" s="128">
        <f t="shared" si="161"/>
        <v>0</v>
      </c>
      <c r="BK168" s="128">
        <f t="shared" si="161"/>
        <v>0</v>
      </c>
    </row>
    <row r="169" spans="1:63" ht="12.75" customHeight="1" x14ac:dyDescent="0.2">
      <c r="A169" s="127" t="s">
        <v>421</v>
      </c>
      <c r="B169" s="128">
        <f>AA169</f>
        <v>0</v>
      </c>
      <c r="C169" s="120" t="s">
        <v>397</v>
      </c>
      <c r="D169" s="149">
        <f t="shared" ref="D169:AI169" si="162">MAX(D167-D168,0)</f>
        <v>0</v>
      </c>
      <c r="E169" s="149">
        <f t="shared" si="162"/>
        <v>0</v>
      </c>
      <c r="F169" s="149">
        <f t="shared" si="162"/>
        <v>0</v>
      </c>
      <c r="G169" s="149">
        <f t="shared" si="162"/>
        <v>0</v>
      </c>
      <c r="H169" s="149">
        <f t="shared" si="162"/>
        <v>0</v>
      </c>
      <c r="I169" s="149">
        <f t="shared" si="162"/>
        <v>0</v>
      </c>
      <c r="J169" s="149">
        <f t="shared" si="162"/>
        <v>0</v>
      </c>
      <c r="K169" s="149">
        <f t="shared" si="162"/>
        <v>0</v>
      </c>
      <c r="L169" s="149">
        <f t="shared" si="162"/>
        <v>0</v>
      </c>
      <c r="M169" s="149">
        <f t="shared" si="162"/>
        <v>0</v>
      </c>
      <c r="N169" s="149">
        <f t="shared" si="162"/>
        <v>0</v>
      </c>
      <c r="O169" s="149">
        <f t="shared" si="162"/>
        <v>0</v>
      </c>
      <c r="P169" s="149">
        <f t="shared" si="162"/>
        <v>0</v>
      </c>
      <c r="Q169" s="149">
        <f t="shared" si="162"/>
        <v>0</v>
      </c>
      <c r="R169" s="149">
        <f t="shared" si="162"/>
        <v>0</v>
      </c>
      <c r="S169" s="149">
        <f t="shared" si="162"/>
        <v>0</v>
      </c>
      <c r="T169" s="149">
        <f t="shared" si="162"/>
        <v>0</v>
      </c>
      <c r="U169" s="149">
        <f t="shared" si="162"/>
        <v>0</v>
      </c>
      <c r="V169" s="149">
        <f t="shared" si="162"/>
        <v>0</v>
      </c>
      <c r="W169" s="149">
        <f t="shared" si="162"/>
        <v>0</v>
      </c>
      <c r="X169" s="149">
        <f t="shared" si="162"/>
        <v>0</v>
      </c>
      <c r="Y169" s="149">
        <f t="shared" si="162"/>
        <v>0</v>
      </c>
      <c r="Z169" s="149">
        <f t="shared" si="162"/>
        <v>0</v>
      </c>
      <c r="AA169" s="149">
        <f t="shared" si="162"/>
        <v>0</v>
      </c>
      <c r="AB169" s="149">
        <f t="shared" si="162"/>
        <v>0</v>
      </c>
      <c r="AC169" s="149">
        <f t="shared" si="162"/>
        <v>0</v>
      </c>
      <c r="AD169" s="149">
        <f t="shared" si="162"/>
        <v>0</v>
      </c>
      <c r="AE169" s="149">
        <f t="shared" si="162"/>
        <v>0</v>
      </c>
      <c r="AF169" s="149">
        <f t="shared" si="162"/>
        <v>0</v>
      </c>
      <c r="AG169" s="149">
        <f t="shared" si="162"/>
        <v>0</v>
      </c>
      <c r="AH169" s="149">
        <f t="shared" si="162"/>
        <v>0</v>
      </c>
      <c r="AI169" s="149">
        <f t="shared" si="162"/>
        <v>0</v>
      </c>
      <c r="AJ169" s="149">
        <f t="shared" ref="AJ169:BO169" si="163">MAX(AJ167-AJ168,0)</f>
        <v>0</v>
      </c>
      <c r="AK169" s="149">
        <f t="shared" si="163"/>
        <v>0</v>
      </c>
      <c r="AL169" s="149">
        <f t="shared" si="163"/>
        <v>0</v>
      </c>
      <c r="AM169" s="149">
        <f t="shared" si="163"/>
        <v>0</v>
      </c>
      <c r="AN169" s="149">
        <f t="shared" si="163"/>
        <v>0</v>
      </c>
      <c r="AO169" s="149">
        <f t="shared" si="163"/>
        <v>0</v>
      </c>
      <c r="AP169" s="149">
        <f t="shared" si="163"/>
        <v>0</v>
      </c>
      <c r="AQ169" s="149">
        <f t="shared" si="163"/>
        <v>0</v>
      </c>
      <c r="AR169" s="149">
        <f t="shared" si="163"/>
        <v>0</v>
      </c>
      <c r="AS169" s="149">
        <f t="shared" si="163"/>
        <v>0</v>
      </c>
      <c r="AT169" s="149">
        <f t="shared" si="163"/>
        <v>0</v>
      </c>
      <c r="AU169" s="149">
        <f t="shared" si="163"/>
        <v>0</v>
      </c>
      <c r="AV169" s="149">
        <f t="shared" si="163"/>
        <v>0</v>
      </c>
      <c r="AW169" s="149">
        <f t="shared" si="163"/>
        <v>0</v>
      </c>
      <c r="AX169" s="149">
        <f t="shared" si="163"/>
        <v>0</v>
      </c>
      <c r="AY169" s="149">
        <f t="shared" si="163"/>
        <v>0</v>
      </c>
      <c r="AZ169" s="149">
        <f t="shared" si="163"/>
        <v>0</v>
      </c>
      <c r="BA169" s="149">
        <f t="shared" si="163"/>
        <v>0</v>
      </c>
      <c r="BB169" s="149">
        <f t="shared" si="163"/>
        <v>0</v>
      </c>
      <c r="BC169" s="149">
        <f t="shared" si="163"/>
        <v>0</v>
      </c>
      <c r="BD169" s="149">
        <f t="shared" si="163"/>
        <v>0</v>
      </c>
      <c r="BE169" s="149">
        <f t="shared" si="163"/>
        <v>0</v>
      </c>
      <c r="BF169" s="149">
        <f t="shared" si="163"/>
        <v>0</v>
      </c>
      <c r="BG169" s="149">
        <f t="shared" si="163"/>
        <v>0</v>
      </c>
      <c r="BH169" s="149">
        <f t="shared" si="163"/>
        <v>0</v>
      </c>
      <c r="BI169" s="149">
        <f t="shared" si="163"/>
        <v>0</v>
      </c>
      <c r="BJ169" s="149">
        <f t="shared" si="163"/>
        <v>0</v>
      </c>
      <c r="BK169" s="149">
        <f t="shared" si="163"/>
        <v>0</v>
      </c>
    </row>
    <row r="170" spans="1:63" ht="12.75" customHeight="1" x14ac:dyDescent="0.2">
      <c r="A170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70" s="142">
        <f>SUM(D170:BQ170)</f>
        <v>26325.480321724033</v>
      </c>
      <c r="C170" s="124">
        <f>B170/60</f>
        <v>438.75800536206719</v>
      </c>
      <c r="D170" s="142">
        <f>D162*Premissas!$F$19*(1+Premissas!$B$127)*(1+Premissas!$B$124)^0</f>
        <v>285.00030117188368</v>
      </c>
      <c r="E170" s="142">
        <f>E162*Premissas!$F$19*(1+Premissas!$B$127)*(1+Premissas!$B$124)^0</f>
        <v>1237.419489451742</v>
      </c>
      <c r="F170" s="142">
        <f>F162*Premissas!$F$19*(1+Premissas!$B$127)*(1+Premissas!$B$124)^0</f>
        <v>1237.419489451742</v>
      </c>
      <c r="G170" s="142">
        <f>G162*Premissas!$F$19*(1+Premissas!$B$127)*(1+Premissas!$B$124)^0</f>
        <v>542.018754592346</v>
      </c>
      <c r="H170" s="142">
        <f>H162*Premissas!$F$19*(1+Premissas!$B$127)*(1+Premissas!$B$124)^0</f>
        <v>617.67337999433698</v>
      </c>
      <c r="I170" s="142">
        <f>I162*Premissas!$F$19*(1+Premissas!$B$127)*(1+Premissas!$B$124)^0</f>
        <v>483.98232962643516</v>
      </c>
      <c r="J170" s="142">
        <f>J162*Premissas!$F$19*(1+Premissas!$B$127)*(1+Premissas!$B$124)^0</f>
        <v>536.83693093467537</v>
      </c>
      <c r="K170" s="142">
        <f>K162*Premissas!$F$19*(1+Premissas!$B$127)*(1+Premissas!$B$124)^0</f>
        <v>280.44029635313348</v>
      </c>
      <c r="L170" s="142">
        <f>L162*Premissas!$F$19*(1+Premissas!$B$127)*(1+Premissas!$B$124)^0</f>
        <v>323.99352419585506</v>
      </c>
      <c r="M170" s="142">
        <f>M162*Premissas!$F$19*(1+Premissas!$B$127)*(1+Premissas!$B$124)^0</f>
        <v>274.06665325419868</v>
      </c>
      <c r="N170" s="142">
        <f>N162*Premissas!$F$19*(1+Premissas!$B$127)*(1+Premissas!$B$124)^0</f>
        <v>275.1289271040211</v>
      </c>
      <c r="O170" s="142">
        <f>O162*Premissas!$F$19*(1+Premissas!$B$127)*(1+Premissas!$B$124)^0</f>
        <v>288.93848715171328</v>
      </c>
      <c r="P170" s="142">
        <f>P162*Premissas!$F$19*(1+Premissas!$B$127)*(1+Premissas!$B$124)^1</f>
        <v>309.65282722325162</v>
      </c>
      <c r="Q170" s="142">
        <f>Q162*Premissas!$F$19*(1+Premissas!$B$127)*(1+Premissas!$B$124)^1</f>
        <v>1344.4562752893178</v>
      </c>
      <c r="R170" s="142">
        <f>R162*Premissas!$F$19*(1+Premissas!$B$127)*(1+Premissas!$B$124)^1</f>
        <v>1344.4562752893178</v>
      </c>
      <c r="S170" s="142">
        <f>S162*Premissas!$F$19*(1+Premissas!$B$127)*(1+Premissas!$B$124)^1</f>
        <v>588.90337686458395</v>
      </c>
      <c r="T170" s="142">
        <f>T162*Premissas!$F$19*(1+Premissas!$B$127)*(1+Premissas!$B$124)^1</f>
        <v>671.1021273638471</v>
      </c>
      <c r="U170" s="142">
        <f>U162*Premissas!$F$19*(1+Premissas!$B$127)*(1+Premissas!$B$124)^1</f>
        <v>525.84680113912179</v>
      </c>
      <c r="V170" s="142">
        <f>V162*Premissas!$F$19*(1+Premissas!$B$127)*(1+Premissas!$B$124)^1</f>
        <v>583.2733254605248</v>
      </c>
      <c r="W170" s="142">
        <f>W162*Premissas!$F$19*(1+Premissas!$B$127)*(1+Premissas!$B$124)^1</f>
        <v>297.26671413432149</v>
      </c>
      <c r="X170" s="142">
        <f>X162*Premissas!$F$19*(1+Premissas!$B$127)*(1+Premissas!$B$124)^1</f>
        <v>343.43313564760638</v>
      </c>
      <c r="Y170" s="142">
        <f>Y162*Premissas!$F$19*(1+Premissas!$B$127)*(1+Premissas!$B$124)^1</f>
        <v>290.51065244945062</v>
      </c>
      <c r="Z170" s="142">
        <f>Z162*Premissas!$F$19*(1+Premissas!$B$127)*(1+Premissas!$B$124)^1</f>
        <v>291.6366627302624</v>
      </c>
      <c r="AA170" s="142">
        <f>AA162*Premissas!$F$19*(1+Premissas!$B$127)*(1+Premissas!$B$124)^1</f>
        <v>306.2747963808161</v>
      </c>
      <c r="AB170" s="142">
        <f>AB162*Premissas!$F$19*(1+Premissas!$B$127)*(1+Premissas!$B$124)^2</f>
        <v>332.76756626775676</v>
      </c>
      <c r="AC170" s="142">
        <f>AC162*Premissas!$F$19*(1+Premissas!$B$127)*(1+Premissas!$B$124)^2</f>
        <v>332.76756626775676</v>
      </c>
      <c r="AD170" s="142">
        <f>AD162*Premissas!$F$19*(1+Premissas!$B$127)*(1+Premissas!$B$124)^2</f>
        <v>332.76756626775676</v>
      </c>
      <c r="AE170" s="142">
        <f>AE162*Premissas!$F$19*(1+Premissas!$B$127)*(1+Premissas!$B$124)^2</f>
        <v>332.76756626775676</v>
      </c>
      <c r="AF170" s="142">
        <f>AF162*Premissas!$F$19*(1+Premissas!$B$127)*(1+Premissas!$B$124)^2</f>
        <v>332.76756626775676</v>
      </c>
      <c r="AG170" s="142">
        <f>AG162*Premissas!$F$19*(1+Premissas!$B$127)*(1+Premissas!$B$124)^2</f>
        <v>332.76756626775676</v>
      </c>
      <c r="AH170" s="142">
        <f>AH162*Premissas!$F$19*(1+Premissas!$B$127)*(1+Premissas!$B$124)^2</f>
        <v>332.76756626775676</v>
      </c>
      <c r="AI170" s="142">
        <f>AI162*Premissas!$F$19*(1+Premissas!$B$127)*(1+Premissas!$B$124)^2</f>
        <v>332.76756626775676</v>
      </c>
      <c r="AJ170" s="142">
        <f>AJ162*Premissas!$F$19*(1+Premissas!$B$127)*(1+Premissas!$B$124)^2</f>
        <v>332.76756626775676</v>
      </c>
      <c r="AK170" s="142">
        <f>AK162*Premissas!$F$19*(1+Premissas!$B$127)*(1+Premissas!$B$124)^2</f>
        <v>332.76756626775676</v>
      </c>
      <c r="AL170" s="142">
        <f>AL162*Premissas!$F$19*(1+Premissas!$B$127)*(1+Premissas!$B$124)^2</f>
        <v>332.76756626775676</v>
      </c>
      <c r="AM170" s="142">
        <f>AM162*Premissas!$F$19*(1+Premissas!$B$127)*(1+Premissas!$B$124)^2</f>
        <v>332.76756626775676</v>
      </c>
      <c r="AN170" s="142">
        <f>AN162*Premissas!$F$19*(1+Premissas!$B$127)*(1+Premissas!$B$124)^3</f>
        <v>361.55196074991773</v>
      </c>
      <c r="AO170" s="142">
        <f>AO162*Premissas!$F$19*(1+Premissas!$B$127)*(1+Premissas!$B$124)^3</f>
        <v>361.55196074991773</v>
      </c>
      <c r="AP170" s="142">
        <f>AP162*Premissas!$F$19*(1+Premissas!$B$127)*(1+Premissas!$B$124)^3</f>
        <v>361.55196074991773</v>
      </c>
      <c r="AQ170" s="142">
        <f>AQ162*Premissas!$F$19*(1+Premissas!$B$127)*(1+Premissas!$B$124)^3</f>
        <v>361.55196074991773</v>
      </c>
      <c r="AR170" s="142">
        <f>AR162*Premissas!$F$19*(1+Premissas!$B$127)*(1+Premissas!$B$124)^3</f>
        <v>361.55196074991773</v>
      </c>
      <c r="AS170" s="142">
        <f>AS162*Premissas!$F$19*(1+Premissas!$B$127)*(1+Premissas!$B$124)^3</f>
        <v>361.55196074991773</v>
      </c>
      <c r="AT170" s="142">
        <f>AT162*Premissas!$F$19*(1+Premissas!$B$127)*(1+Premissas!$B$124)^3</f>
        <v>361.55196074991773</v>
      </c>
      <c r="AU170" s="142">
        <f>AU162*Premissas!$F$19*(1+Premissas!$B$127)*(1+Premissas!$B$124)^3</f>
        <v>361.55196074991773</v>
      </c>
      <c r="AV170" s="142">
        <f>AV162*Premissas!$F$19*(1+Premissas!$B$127)*(1+Premissas!$B$124)^3</f>
        <v>361.55196074991773</v>
      </c>
      <c r="AW170" s="142">
        <f>AW162*Premissas!$F$19*(1+Premissas!$B$127)*(1+Premissas!$B$124)^3</f>
        <v>361.55196074991773</v>
      </c>
      <c r="AX170" s="142">
        <f>AX162*Premissas!$F$19*(1+Premissas!$B$127)*(1+Premissas!$B$124)^3</f>
        <v>361.55196074991773</v>
      </c>
      <c r="AY170" s="142">
        <f>AY162*Premissas!$F$19*(1+Premissas!$B$127)*(1+Premissas!$B$124)^3</f>
        <v>361.55196074991773</v>
      </c>
      <c r="AZ170" s="142">
        <f>AZ162*Premissas!$F$19*(1+Premissas!$B$127)*(1+Premissas!$B$124)^4</f>
        <v>392.8262053547856</v>
      </c>
      <c r="BA170" s="142">
        <f>BA162*Premissas!$F$19*(1+Premissas!$B$127)*(1+Premissas!$B$124)^4</f>
        <v>392.8262053547856</v>
      </c>
      <c r="BB170" s="142">
        <f>BB162*Premissas!$F$19*(1+Premissas!$B$127)*(1+Premissas!$B$124)^4</f>
        <v>392.8262053547856</v>
      </c>
      <c r="BC170" s="142">
        <f>BC162*Premissas!$F$19*(1+Premissas!$B$127)*(1+Premissas!$B$124)^4</f>
        <v>392.8262053547856</v>
      </c>
      <c r="BD170" s="142">
        <f>BD162*Premissas!$F$19*(1+Premissas!$B$127)*(1+Premissas!$B$124)^4</f>
        <v>392.8262053547856</v>
      </c>
      <c r="BE170" s="142">
        <f>BE162*Premissas!$F$19*(1+Premissas!$B$127)*(1+Premissas!$B$124)^4</f>
        <v>392.8262053547856</v>
      </c>
      <c r="BF170" s="142">
        <f>BF162*Premissas!$F$19*(1+Premissas!$B$127)*(1+Premissas!$B$124)^4</f>
        <v>392.8262053547856</v>
      </c>
      <c r="BG170" s="142">
        <f>BG162*Premissas!$F$19*(1+Premissas!$B$127)*(1+Premissas!$B$124)^4</f>
        <v>392.8262053547856</v>
      </c>
      <c r="BH170" s="142">
        <f>BH162*Premissas!$F$19*(1+Premissas!$B$127)*(1+Premissas!$B$124)^4</f>
        <v>392.8262053547856</v>
      </c>
      <c r="BI170" s="142">
        <f>BI162*Premissas!$F$19*(1+Premissas!$B$127)*(1+Premissas!$B$124)^4</f>
        <v>392.8262053547856</v>
      </c>
      <c r="BJ170" s="142">
        <f>BJ162*Premissas!$F$19*(1+Premissas!$B$127)*(1+Premissas!$B$124)^4</f>
        <v>392.8262053547856</v>
      </c>
      <c r="BK170" s="142">
        <f>BK162*Premissas!$F$19*(1+Premissas!$B$127)*(1+Premissas!$B$124)^4</f>
        <v>392.8262053547856</v>
      </c>
    </row>
    <row r="171" spans="1:63" ht="12.75" customHeight="1" x14ac:dyDescent="0.2">
      <c r="A171" s="143" t="s">
        <v>415</v>
      </c>
      <c r="B171" s="144">
        <f>SUM(D171:BQ171)</f>
        <v>307.14871094068252</v>
      </c>
      <c r="C171" s="124">
        <f>B171/60</f>
        <v>5.1191451823447087</v>
      </c>
      <c r="D171" s="144">
        <f>IF(D166&gt;0,0,MAX(D162-D163-D164,0)*Premissas!$B$7*(1+Premissas!$B$127)*(1+Premissas!$B$124)^0)</f>
        <v>0</v>
      </c>
      <c r="E171" s="144">
        <f>IF(E166&gt;0,0,MAX(E162-E163-E164,0)*Premissas!$B$7*(1+Premissas!$B$127)*(1+Premissas!$B$124)^0)</f>
        <v>0</v>
      </c>
      <c r="F171" s="144">
        <f>IF(F166&gt;0,0,MAX(F162-F163-F164,0)*Premissas!$B$7*(1+Premissas!$B$127)*(1+Premissas!$B$124)^0)</f>
        <v>307.14871094068252</v>
      </c>
      <c r="G171" s="144">
        <f>IF(G166&gt;0,0,MAX(G162-G163-G164,0)*Premissas!$B$7*(1+Premissas!$B$127)*(1+Premissas!$B$124)^0)</f>
        <v>0</v>
      </c>
      <c r="H171" s="144">
        <f>IF(H166&gt;0,0,MAX(H162-H163-H164,0)*Premissas!$B$7*(1+Premissas!$B$127)*(1+Premissas!$B$124)^0)</f>
        <v>0</v>
      </c>
      <c r="I171" s="144">
        <f>IF(I166&gt;0,0,MAX(I162-I163-I164,0)*Premissas!$B$7*(1+Premissas!$B$127)*(1+Premissas!$B$124)^0)</f>
        <v>0</v>
      </c>
      <c r="J171" s="144">
        <f>IF(J166&gt;0,0,MAX(J162-J163-J164,0)*Premissas!$B$7*(1+Premissas!$B$127)*(1+Premissas!$B$124)^0)</f>
        <v>0</v>
      </c>
      <c r="K171" s="144">
        <f>IF(K166&gt;0,0,MAX(K162-K163-K164,0)*Premissas!$B$7*(1+Premissas!$B$127)*(1+Premissas!$B$124)^0)</f>
        <v>0</v>
      </c>
      <c r="L171" s="144">
        <f>IF(L166&gt;0,0,MAX(L162-L163-L164,0)*Premissas!$B$7*(1+Premissas!$B$127)*(1+Premissas!$B$124)^0)</f>
        <v>0</v>
      </c>
      <c r="M171" s="144">
        <f>IF(M166&gt;0,0,MAX(M162-M163-M164,0)*Premissas!$B$7*(1+Premissas!$B$127)*(1+Premissas!$B$124)^0)</f>
        <v>0</v>
      </c>
      <c r="N171" s="144">
        <f>IF(N166&gt;0,0,MAX(N162-N163-N164,0)*Premissas!$B$7*(1+Premissas!$B$127)*(1+Premissas!$B$124)^0)</f>
        <v>0</v>
      </c>
      <c r="O171" s="144">
        <f>IF(O166&gt;0,0,MAX(O162-O163-O164,0)*Premissas!$B$7*(1+Premissas!$B$127)*(1+Premissas!$B$124)^0)</f>
        <v>0</v>
      </c>
      <c r="P171" s="144">
        <f>IF(P166&gt;0,0,MAX(P162-P163-P164,0)*Premissas!$B$7*(1+Premissas!$B$127)*(1+Premissas!$B$124)^1)</f>
        <v>0</v>
      </c>
      <c r="Q171" s="144">
        <f>IF(Q166&gt;0,0,MAX(Q162-Q163-Q164,0)*Premissas!$B$7*(1+Premissas!$B$127)*(1+Premissas!$B$124)^1)</f>
        <v>0</v>
      </c>
      <c r="R171" s="144">
        <f>IF(R166&gt;0,0,MAX(R162-R163-R164,0)*Premissas!$B$7*(1+Premissas!$B$127)*(1+Premissas!$B$124)^1)</f>
        <v>0</v>
      </c>
      <c r="S171" s="144">
        <f>IF(S166&gt;0,0,MAX(S162-S163-S164,0)*Premissas!$B$7*(1+Premissas!$B$127)*(1+Premissas!$B$124)^1)</f>
        <v>0</v>
      </c>
      <c r="T171" s="144">
        <f>IF(T166&gt;0,0,MAX(T162-T163-T164,0)*Premissas!$B$7*(1+Premissas!$B$127)*(1+Premissas!$B$124)^1)</f>
        <v>0</v>
      </c>
      <c r="U171" s="144">
        <f>IF(U166&gt;0,0,MAX(U162-U163-U164,0)*Premissas!$B$7*(1+Premissas!$B$127)*(1+Premissas!$B$124)^1)</f>
        <v>0</v>
      </c>
      <c r="V171" s="144">
        <f>IF(V166&gt;0,0,MAX(V162-V163-V164,0)*Premissas!$B$7*(1+Premissas!$B$127)*(1+Premissas!$B$124)^1)</f>
        <v>0</v>
      </c>
      <c r="W171" s="144">
        <f>IF(W166&gt;0,0,MAX(W162-W163-W164,0)*Premissas!$B$7*(1+Premissas!$B$127)*(1+Premissas!$B$124)^1)</f>
        <v>0</v>
      </c>
      <c r="X171" s="144">
        <f>IF(X166&gt;0,0,MAX(X162-X163-X164,0)*Premissas!$B$7*(1+Premissas!$B$127)*(1+Premissas!$B$124)^1)</f>
        <v>0</v>
      </c>
      <c r="Y171" s="144">
        <f>IF(Y166&gt;0,0,MAX(Y162-Y163-Y164,0)*Premissas!$B$7*(1+Premissas!$B$127)*(1+Premissas!$B$124)^1)</f>
        <v>0</v>
      </c>
      <c r="Z171" s="144">
        <f>IF(Z166&gt;0,0,MAX(Z162-Z163-Z164,0)*Premissas!$B$7*(1+Premissas!$B$127)*(1+Premissas!$B$124)^1)</f>
        <v>0</v>
      </c>
      <c r="AA171" s="144">
        <f>IF(AA166&gt;0,0,MAX(AA162-AA163-AA164,0)*Premissas!$B$7*(1+Premissas!$B$127)*(1+Premissas!$B$124)^1)</f>
        <v>0</v>
      </c>
      <c r="AB171" s="144">
        <f>IF(AB166&gt;0,0,MAX(AB162-AB163-AB164,0)*Premissas!$B$7*(1+Premissas!$B$127)*(1+Premissas!$B$124)^2)</f>
        <v>0</v>
      </c>
      <c r="AC171" s="144">
        <f>IF(AC166&gt;0,0,MAX(AC162-AC163-AC164,0)*Premissas!$B$7*(1+Premissas!$B$127)*(1+Premissas!$B$124)^2)</f>
        <v>0</v>
      </c>
      <c r="AD171" s="144">
        <f>IF(AD166&gt;0,0,MAX(AD162-AD163-AD164,0)*Premissas!$B$7*(1+Premissas!$B$127)*(1+Premissas!$B$124)^2)</f>
        <v>0</v>
      </c>
      <c r="AE171" s="144">
        <f>IF(AE166&gt;0,0,MAX(AE162-AE163-AE164,0)*Premissas!$B$7*(1+Premissas!$B$127)*(1+Premissas!$B$124)^2)</f>
        <v>0</v>
      </c>
      <c r="AF171" s="144">
        <f>IF(AF166&gt;0,0,MAX(AF162-AF163-AF164,0)*Premissas!$B$7*(1+Premissas!$B$127)*(1+Premissas!$B$124)^2)</f>
        <v>0</v>
      </c>
      <c r="AG171" s="144">
        <f>IF(AG166&gt;0,0,MAX(AG162-AG163-AG164,0)*Premissas!$B$7*(1+Premissas!$B$127)*(1+Premissas!$B$124)^2)</f>
        <v>0</v>
      </c>
      <c r="AH171" s="144">
        <f>IF(AH166&gt;0,0,MAX(AH162-AH163-AH164,0)*Premissas!$B$7*(1+Premissas!$B$127)*(1+Premissas!$B$124)^2)</f>
        <v>0</v>
      </c>
      <c r="AI171" s="144">
        <f>IF(AI166&gt;0,0,MAX(AI162-AI163-AI164,0)*Premissas!$B$7*(1+Premissas!$B$127)*(1+Premissas!$B$124)^2)</f>
        <v>0</v>
      </c>
      <c r="AJ171" s="144">
        <f>IF(AJ166&gt;0,0,MAX(AJ162-AJ163-AJ164,0)*Premissas!$B$7*(1+Premissas!$B$127)*(1+Premissas!$B$124)^2)</f>
        <v>0</v>
      </c>
      <c r="AK171" s="144">
        <f>IF(AK166&gt;0,0,MAX(AK162-AK163-AK164,0)*Premissas!$B$7*(1+Premissas!$B$127)*(1+Premissas!$B$124)^2)</f>
        <v>0</v>
      </c>
      <c r="AL171" s="144">
        <f>IF(AL166&gt;0,0,MAX(AL162-AL163-AL164,0)*Premissas!$B$7*(1+Premissas!$B$127)*(1+Premissas!$B$124)^2)</f>
        <v>0</v>
      </c>
      <c r="AM171" s="144">
        <f>IF(AM166&gt;0,0,MAX(AM162-AM163-AM164,0)*Premissas!$B$7*(1+Premissas!$B$127)*(1+Premissas!$B$124)^2)</f>
        <v>0</v>
      </c>
      <c r="AN171" s="144">
        <f>IF(AN166&gt;0,0,MAX(AN162-AN163-AN164,0)*Premissas!$B$7*(1+Premissas!$B$127)*(1+Premissas!$B$124)^3)</f>
        <v>0</v>
      </c>
      <c r="AO171" s="144">
        <f>IF(AO166&gt;0,0,MAX(AO162-AO163-AO164,0)*Premissas!$B$7*(1+Premissas!$B$127)*(1+Premissas!$B$124)^3)</f>
        <v>0</v>
      </c>
      <c r="AP171" s="144">
        <f>IF(AP166&gt;0,0,MAX(AP162-AP163-AP164,0)*Premissas!$B$7*(1+Premissas!$B$127)*(1+Premissas!$B$124)^3)</f>
        <v>0</v>
      </c>
      <c r="AQ171" s="144">
        <f>IF(AQ166&gt;0,0,MAX(AQ162-AQ163-AQ164,0)*Premissas!$B$7*(1+Premissas!$B$127)*(1+Premissas!$B$124)^3)</f>
        <v>0</v>
      </c>
      <c r="AR171" s="144">
        <f>IF(AR166&gt;0,0,MAX(AR162-AR163-AR164,0)*Premissas!$B$7*(1+Premissas!$B$127)*(1+Premissas!$B$124)^3)</f>
        <v>0</v>
      </c>
      <c r="AS171" s="144">
        <f>IF(AS166&gt;0,0,MAX(AS162-AS163-AS164,0)*Premissas!$B$7*(1+Premissas!$B$127)*(1+Premissas!$B$124)^3)</f>
        <v>0</v>
      </c>
      <c r="AT171" s="144">
        <f>IF(AT166&gt;0,0,MAX(AT162-AT163-AT164,0)*Premissas!$B$7*(1+Premissas!$B$127)*(1+Premissas!$B$124)^3)</f>
        <v>0</v>
      </c>
      <c r="AU171" s="144">
        <f>IF(AU166&gt;0,0,MAX(AU162-AU163-AU164,0)*Premissas!$B$7*(1+Premissas!$B$127)*(1+Premissas!$B$124)^3)</f>
        <v>0</v>
      </c>
      <c r="AV171" s="144">
        <f>IF(AV166&gt;0,0,MAX(AV162-AV163-AV164,0)*Premissas!$B$7*(1+Premissas!$B$127)*(1+Premissas!$B$124)^3)</f>
        <v>0</v>
      </c>
      <c r="AW171" s="144">
        <f>IF(AW166&gt;0,0,MAX(AW162-AW163-AW164,0)*Premissas!$B$7*(1+Premissas!$B$127)*(1+Premissas!$B$124)^3)</f>
        <v>0</v>
      </c>
      <c r="AX171" s="144">
        <f>IF(AX166&gt;0,0,MAX(AX162-AX163-AX164,0)*Premissas!$B$7*(1+Premissas!$B$127)*(1+Premissas!$B$124)^3)</f>
        <v>0</v>
      </c>
      <c r="AY171" s="144">
        <f>IF(AY166&gt;0,0,MAX(AY162-AY163-AY164,0)*Premissas!$B$7*(1+Premissas!$B$127)*(1+Premissas!$B$124)^3)</f>
        <v>0</v>
      </c>
      <c r="AZ171" s="144">
        <f>IF(AZ166&gt;0,0,MAX(AZ162-AZ163-AZ164,0)*Premissas!$B$7*(1+Premissas!$B$127)*(1+Premissas!$B$124)^4)</f>
        <v>0</v>
      </c>
      <c r="BA171" s="144">
        <f>IF(BA166&gt;0,0,MAX(BA162-BA163-BA164,0)*Premissas!$B$7*(1+Premissas!$B$127)*(1+Premissas!$B$124)^4)</f>
        <v>0</v>
      </c>
      <c r="BB171" s="144">
        <f>IF(BB166&gt;0,0,MAX(BB162-BB163-BB164,0)*Premissas!$B$7*(1+Premissas!$B$127)*(1+Premissas!$B$124)^4)</f>
        <v>0</v>
      </c>
      <c r="BC171" s="144">
        <f>IF(BC166&gt;0,0,MAX(BC162-BC163-BC164,0)*Premissas!$B$7*(1+Premissas!$B$127)*(1+Premissas!$B$124)^4)</f>
        <v>0</v>
      </c>
      <c r="BD171" s="144">
        <f>IF(BD166&gt;0,0,MAX(BD162-BD163-BD164,0)*Premissas!$B$7*(1+Premissas!$B$127)*(1+Premissas!$B$124)^4)</f>
        <v>0</v>
      </c>
      <c r="BE171" s="144">
        <f>IF(BE166&gt;0,0,MAX(BE162-BE163-BE164,0)*Premissas!$B$7*(1+Premissas!$B$127)*(1+Premissas!$B$124)^4)</f>
        <v>0</v>
      </c>
      <c r="BF171" s="144">
        <f>IF(BF166&gt;0,0,MAX(BF162-BF163-BF164,0)*Premissas!$B$7*(1+Premissas!$B$127)*(1+Premissas!$B$124)^4)</f>
        <v>0</v>
      </c>
      <c r="BG171" s="144">
        <f>IF(BG166&gt;0,0,MAX(BG162-BG163-BG164,0)*Premissas!$B$7*(1+Premissas!$B$127)*(1+Premissas!$B$124)^4)</f>
        <v>0</v>
      </c>
      <c r="BH171" s="144">
        <f>IF(BH166&gt;0,0,MAX(BH162-BH163-BH164,0)*Premissas!$B$7*(1+Premissas!$B$127)*(1+Premissas!$B$124)^4)</f>
        <v>0</v>
      </c>
      <c r="BI171" s="144">
        <f>IF(BI166&gt;0,0,MAX(BI162-BI163-BI164,0)*Premissas!$B$7*(1+Premissas!$B$127)*(1+Premissas!$B$124)^4)</f>
        <v>0</v>
      </c>
      <c r="BJ171" s="144">
        <f>IF(BJ166&gt;0,0,MAX(BJ162-BJ163-BJ164,0)*Premissas!$B$7*(1+Premissas!$B$127)*(1+Premissas!$B$124)^4)</f>
        <v>0</v>
      </c>
      <c r="BK171" s="144">
        <f>IF(BK166&gt;0,0,MAX(BK162-BK163-BK164,0)*Premissas!$B$7*(1+Premissas!$B$127)*(1+Premissas!$B$124)^4)</f>
        <v>0</v>
      </c>
    </row>
    <row r="172" spans="1:63" ht="13.5" customHeight="1" x14ac:dyDescent="0.2">
      <c r="A172" s="41" t="s">
        <v>416</v>
      </c>
      <c r="B172" s="44">
        <f>SUM(D172:BQ172)</f>
        <v>26018.331610783353</v>
      </c>
      <c r="C172" s="124">
        <f>B172/60</f>
        <v>433.63886017972254</v>
      </c>
      <c r="D172" s="145">
        <f t="shared" ref="D172:AI172" si="164">MAX(D170-D171,0)</f>
        <v>285.00030117188368</v>
      </c>
      <c r="E172" s="145">
        <f t="shared" si="164"/>
        <v>1237.419489451742</v>
      </c>
      <c r="F172" s="145">
        <f t="shared" si="164"/>
        <v>930.27077851105946</v>
      </c>
      <c r="G172" s="145">
        <f t="shared" si="164"/>
        <v>542.018754592346</v>
      </c>
      <c r="H172" s="145">
        <f t="shared" si="164"/>
        <v>617.67337999433698</v>
      </c>
      <c r="I172" s="145">
        <f t="shared" si="164"/>
        <v>483.98232962643516</v>
      </c>
      <c r="J172" s="145">
        <f t="shared" si="164"/>
        <v>536.83693093467537</v>
      </c>
      <c r="K172" s="145">
        <f t="shared" si="164"/>
        <v>280.44029635313348</v>
      </c>
      <c r="L172" s="145">
        <f t="shared" si="164"/>
        <v>323.99352419585506</v>
      </c>
      <c r="M172" s="145">
        <f t="shared" si="164"/>
        <v>274.06665325419868</v>
      </c>
      <c r="N172" s="145">
        <f t="shared" si="164"/>
        <v>275.1289271040211</v>
      </c>
      <c r="O172" s="145">
        <f t="shared" si="164"/>
        <v>288.93848715171328</v>
      </c>
      <c r="P172" s="145">
        <f t="shared" si="164"/>
        <v>309.65282722325162</v>
      </c>
      <c r="Q172" s="145">
        <f t="shared" si="164"/>
        <v>1344.4562752893178</v>
      </c>
      <c r="R172" s="145">
        <f t="shared" si="164"/>
        <v>1344.4562752893178</v>
      </c>
      <c r="S172" s="145">
        <f t="shared" si="164"/>
        <v>588.90337686458395</v>
      </c>
      <c r="T172" s="145">
        <f t="shared" si="164"/>
        <v>671.1021273638471</v>
      </c>
      <c r="U172" s="145">
        <f t="shared" si="164"/>
        <v>525.84680113912179</v>
      </c>
      <c r="V172" s="145">
        <f t="shared" si="164"/>
        <v>583.2733254605248</v>
      </c>
      <c r="W172" s="145">
        <f t="shared" si="164"/>
        <v>297.26671413432149</v>
      </c>
      <c r="X172" s="145">
        <f t="shared" si="164"/>
        <v>343.43313564760638</v>
      </c>
      <c r="Y172" s="145">
        <f t="shared" si="164"/>
        <v>290.51065244945062</v>
      </c>
      <c r="Z172" s="145">
        <f t="shared" si="164"/>
        <v>291.6366627302624</v>
      </c>
      <c r="AA172" s="145">
        <f t="shared" si="164"/>
        <v>306.2747963808161</v>
      </c>
      <c r="AB172" s="145">
        <f t="shared" si="164"/>
        <v>332.76756626775676</v>
      </c>
      <c r="AC172" s="145">
        <f t="shared" si="164"/>
        <v>332.76756626775676</v>
      </c>
      <c r="AD172" s="145">
        <f t="shared" si="164"/>
        <v>332.76756626775676</v>
      </c>
      <c r="AE172" s="145">
        <f t="shared" si="164"/>
        <v>332.76756626775676</v>
      </c>
      <c r="AF172" s="145">
        <f t="shared" si="164"/>
        <v>332.76756626775676</v>
      </c>
      <c r="AG172" s="145">
        <f t="shared" si="164"/>
        <v>332.76756626775676</v>
      </c>
      <c r="AH172" s="145">
        <f t="shared" si="164"/>
        <v>332.76756626775676</v>
      </c>
      <c r="AI172" s="145">
        <f t="shared" si="164"/>
        <v>332.76756626775676</v>
      </c>
      <c r="AJ172" s="145">
        <f t="shared" ref="AJ172:BO172" si="165">MAX(AJ170-AJ171,0)</f>
        <v>332.76756626775676</v>
      </c>
      <c r="AK172" s="145">
        <f t="shared" si="165"/>
        <v>332.76756626775676</v>
      </c>
      <c r="AL172" s="145">
        <f t="shared" si="165"/>
        <v>332.76756626775676</v>
      </c>
      <c r="AM172" s="145">
        <f t="shared" si="165"/>
        <v>332.76756626775676</v>
      </c>
      <c r="AN172" s="145">
        <f t="shared" si="165"/>
        <v>361.55196074991773</v>
      </c>
      <c r="AO172" s="145">
        <f t="shared" si="165"/>
        <v>361.55196074991773</v>
      </c>
      <c r="AP172" s="145">
        <f t="shared" si="165"/>
        <v>361.55196074991773</v>
      </c>
      <c r="AQ172" s="145">
        <f t="shared" si="165"/>
        <v>361.55196074991773</v>
      </c>
      <c r="AR172" s="145">
        <f t="shared" si="165"/>
        <v>361.55196074991773</v>
      </c>
      <c r="AS172" s="145">
        <f t="shared" si="165"/>
        <v>361.55196074991773</v>
      </c>
      <c r="AT172" s="145">
        <f t="shared" si="165"/>
        <v>361.55196074991773</v>
      </c>
      <c r="AU172" s="145">
        <f t="shared" si="165"/>
        <v>361.55196074991773</v>
      </c>
      <c r="AV172" s="145">
        <f t="shared" si="165"/>
        <v>361.55196074991773</v>
      </c>
      <c r="AW172" s="145">
        <f t="shared" si="165"/>
        <v>361.55196074991773</v>
      </c>
      <c r="AX172" s="145">
        <f t="shared" si="165"/>
        <v>361.55196074991773</v>
      </c>
      <c r="AY172" s="145">
        <f t="shared" si="165"/>
        <v>361.55196074991773</v>
      </c>
      <c r="AZ172" s="145">
        <f t="shared" si="165"/>
        <v>392.8262053547856</v>
      </c>
      <c r="BA172" s="145">
        <f t="shared" si="165"/>
        <v>392.8262053547856</v>
      </c>
      <c r="BB172" s="145">
        <f t="shared" si="165"/>
        <v>392.8262053547856</v>
      </c>
      <c r="BC172" s="145">
        <f t="shared" si="165"/>
        <v>392.8262053547856</v>
      </c>
      <c r="BD172" s="145">
        <f t="shared" si="165"/>
        <v>392.8262053547856</v>
      </c>
      <c r="BE172" s="145">
        <f t="shared" si="165"/>
        <v>392.8262053547856</v>
      </c>
      <c r="BF172" s="145">
        <f t="shared" si="165"/>
        <v>392.8262053547856</v>
      </c>
      <c r="BG172" s="145">
        <f t="shared" si="165"/>
        <v>392.8262053547856</v>
      </c>
      <c r="BH172" s="145">
        <f t="shared" si="165"/>
        <v>392.8262053547856</v>
      </c>
      <c r="BI172" s="145">
        <f t="shared" si="165"/>
        <v>392.8262053547856</v>
      </c>
      <c r="BJ172" s="145">
        <f t="shared" si="165"/>
        <v>392.8262053547856</v>
      </c>
      <c r="BK172" s="145">
        <f t="shared" si="165"/>
        <v>392.8262053547856</v>
      </c>
    </row>
    <row r="174" spans="1:63" ht="15" customHeight="1" x14ac:dyDescent="0.2">
      <c r="A174" s="298" t="s">
        <v>430</v>
      </c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89"/>
    </row>
    <row r="175" spans="1:63" ht="12.75" customHeight="1" x14ac:dyDescent="0.2">
      <c r="A175" s="147" t="s">
        <v>403</v>
      </c>
      <c r="B175" s="148">
        <f>SUM(D175:BQ175)</f>
        <v>49753.240623437508</v>
      </c>
      <c r="C175" s="120">
        <f>B175/60</f>
        <v>829.22067705729182</v>
      </c>
      <c r="D175" s="148">
        <v>554</v>
      </c>
      <c r="E175" s="148">
        <v>475</v>
      </c>
      <c r="F175" s="148">
        <v>525</v>
      </c>
      <c r="G175" s="148">
        <v>750</v>
      </c>
      <c r="H175" s="148">
        <v>939</v>
      </c>
      <c r="I175" s="148">
        <v>900</v>
      </c>
      <c r="J175" s="148">
        <v>1260</v>
      </c>
      <c r="K175" s="148">
        <f>1140*(1+Premissas!$B$21)</f>
        <v>1168.5</v>
      </c>
      <c r="L175" s="148">
        <f>1100*(1+Premissas!$B$21)</f>
        <v>1127.5</v>
      </c>
      <c r="M175" s="148">
        <f>1180*(1+Premissas!$B$21)</f>
        <v>1209.5</v>
      </c>
      <c r="N175" s="148">
        <f>915*(1+Premissas!$B$21)</f>
        <v>937.87499999999989</v>
      </c>
      <c r="O175" s="148">
        <f>733*(1+Premissas!$B$21)</f>
        <v>751.32499999999993</v>
      </c>
      <c r="P175" s="148">
        <f>554*(1+Premissas!$B$21)</f>
        <v>567.84999999999991</v>
      </c>
      <c r="Q175" s="148">
        <f>475*(1+Premissas!$B$21)</f>
        <v>486.87499999999994</v>
      </c>
      <c r="R175" s="148">
        <f>525*(1+Premissas!$B$21)</f>
        <v>538.125</v>
      </c>
      <c r="S175" s="148">
        <f>750*(1+Premissas!$B$21)</f>
        <v>768.74999999999989</v>
      </c>
      <c r="T175" s="148">
        <f>939*(1+Premissas!$B$21)</f>
        <v>962.47499999999991</v>
      </c>
      <c r="U175" s="148">
        <f>900*(1+Premissas!$B$21)</f>
        <v>922.49999999999989</v>
      </c>
      <c r="V175" s="148">
        <f>1260*(1+Premissas!$B$21)</f>
        <v>1291.5</v>
      </c>
      <c r="W175" s="148">
        <f>1140*(1+Premissas!$B$21)</f>
        <v>1168.5</v>
      </c>
      <c r="X175" s="148">
        <f>1100*(1+Premissas!$B$21)</f>
        <v>1127.5</v>
      </c>
      <c r="Y175" s="148">
        <f>1180*(1+Premissas!$B$21)</f>
        <v>1209.5</v>
      </c>
      <c r="Z175" s="148">
        <f>915*(1+Premissas!$B$21)</f>
        <v>937.87499999999989</v>
      </c>
      <c r="AA175" s="148">
        <f>733*(1+Premissas!$B$21)</f>
        <v>751.32499999999993</v>
      </c>
      <c r="AB175" s="148">
        <f>733*(1+Premissas!$B$21)^2</f>
        <v>770.10812499999997</v>
      </c>
      <c r="AC175" s="148">
        <f>733*(1+Premissas!$B$21)^2</f>
        <v>770.10812499999997</v>
      </c>
      <c r="AD175" s="148">
        <f>733*(1+Premissas!$B$21)^2</f>
        <v>770.10812499999997</v>
      </c>
      <c r="AE175" s="148">
        <f>733*(1+Premissas!$B$21)^2</f>
        <v>770.10812499999997</v>
      </c>
      <c r="AF175" s="148">
        <f>733*(1+Premissas!$B$21)^2</f>
        <v>770.10812499999997</v>
      </c>
      <c r="AG175" s="148">
        <f>733*(1+Premissas!$B$21)^2</f>
        <v>770.10812499999997</v>
      </c>
      <c r="AH175" s="148">
        <f>733*(1+Premissas!$B$21)^2</f>
        <v>770.10812499999997</v>
      </c>
      <c r="AI175" s="148">
        <f>733*(1+Premissas!$B$21)^2</f>
        <v>770.10812499999997</v>
      </c>
      <c r="AJ175" s="148">
        <f>733*(1+Premissas!$B$21)^2</f>
        <v>770.10812499999997</v>
      </c>
      <c r="AK175" s="148">
        <f>733*(1+Premissas!$B$21)^2</f>
        <v>770.10812499999997</v>
      </c>
      <c r="AL175" s="148">
        <f>733*(1+Premissas!$B$21)^2</f>
        <v>770.10812499999997</v>
      </c>
      <c r="AM175" s="148">
        <f>733*(1+Premissas!$B$21)^2</f>
        <v>770.10812499999997</v>
      </c>
      <c r="AN175" s="148">
        <f>733*(1+Premissas!$B$21)^3</f>
        <v>789.3608281249999</v>
      </c>
      <c r="AO175" s="148">
        <f>733*(1+Premissas!$B$21)^3</f>
        <v>789.3608281249999</v>
      </c>
      <c r="AP175" s="148">
        <f>733*(1+Premissas!$B$21)^3</f>
        <v>789.3608281249999</v>
      </c>
      <c r="AQ175" s="148">
        <f>733*(1+Premissas!$B$21)^3</f>
        <v>789.3608281249999</v>
      </c>
      <c r="AR175" s="148">
        <f>733*(1+Premissas!$B$21)^3</f>
        <v>789.3608281249999</v>
      </c>
      <c r="AS175" s="148">
        <f>733*(1+Premissas!$B$21)^3</f>
        <v>789.3608281249999</v>
      </c>
      <c r="AT175" s="148">
        <f>733*(1+Premissas!$B$21)^3</f>
        <v>789.3608281249999</v>
      </c>
      <c r="AU175" s="148">
        <f>733*(1+Premissas!$B$21)^3</f>
        <v>789.3608281249999</v>
      </c>
      <c r="AV175" s="148">
        <f>733*(1+Premissas!$B$21)^3</f>
        <v>789.3608281249999</v>
      </c>
      <c r="AW175" s="148">
        <f>733*(1+Premissas!$B$21)^3</f>
        <v>789.3608281249999</v>
      </c>
      <c r="AX175" s="148">
        <f>733*(1+Premissas!$B$21)^3</f>
        <v>789.3608281249999</v>
      </c>
      <c r="AY175" s="148">
        <f>733*(1+Premissas!$B$21)^3</f>
        <v>789.3608281249999</v>
      </c>
      <c r="AZ175" s="148">
        <f>733*(1+Premissas!$B$21)^4</f>
        <v>809.09484882812478</v>
      </c>
      <c r="BA175" s="148">
        <f>733*(1+Premissas!$B$21)^4</f>
        <v>809.09484882812478</v>
      </c>
      <c r="BB175" s="148">
        <f>733*(1+Premissas!$B$21)^4</f>
        <v>809.09484882812478</v>
      </c>
      <c r="BC175" s="148">
        <f>733*(1+Premissas!$B$21)^4</f>
        <v>809.09484882812478</v>
      </c>
      <c r="BD175" s="148">
        <f>733*(1+Premissas!$B$21)^4</f>
        <v>809.09484882812478</v>
      </c>
      <c r="BE175" s="148">
        <f>733*(1+Premissas!$B$21)^4</f>
        <v>809.09484882812478</v>
      </c>
      <c r="BF175" s="148">
        <f>733*(1+Premissas!$B$21)^4</f>
        <v>809.09484882812478</v>
      </c>
      <c r="BG175" s="148">
        <f>733*(1+Premissas!$B$21)^4</f>
        <v>809.09484882812478</v>
      </c>
      <c r="BH175" s="148">
        <f>733*(1+Premissas!$B$21)^4</f>
        <v>809.09484882812478</v>
      </c>
      <c r="BI175" s="148">
        <f>733*(1+Premissas!$B$21)^4</f>
        <v>809.09484882812478</v>
      </c>
      <c r="BJ175" s="148">
        <f>733*(1+Premissas!$B$21)^4</f>
        <v>809.09484882812478</v>
      </c>
      <c r="BK175" s="148">
        <f>733*(1+Premissas!$B$21)^4</f>
        <v>809.09484882812478</v>
      </c>
    </row>
    <row r="176" spans="1:63" ht="12.75" customHeight="1" x14ac:dyDescent="0.2">
      <c r="A176" s="122" t="str">
        <f>"  "&amp;INDEX(PVSYST_Helexia!$A$5:$A$7,MATCH(Premissas!$B$13,PVSYST_Helexia!$B$5:$B$7,0))&amp;" créditos recebidos (kWh)"</f>
        <v xml:space="preserve">  HCS03 créditos recebidos (kWh)</v>
      </c>
      <c r="B176" s="135">
        <f>SUM(D176:BQ176)</f>
        <v>49603.404706338137</v>
      </c>
      <c r="C176" s="120">
        <f>B176/60</f>
        <v>826.72341177230226</v>
      </c>
      <c r="D176" s="136">
        <f>D6*Premissas!$B$45</f>
        <v>520.75799999999992</v>
      </c>
      <c r="E176" s="136">
        <f>E6*Premissas!$B$45</f>
        <v>548.14199999999994</v>
      </c>
      <c r="F176" s="136">
        <f>F6*Premissas!$B$45</f>
        <v>658.01400000000001</v>
      </c>
      <c r="G176" s="136">
        <f>G6*Premissas!$B$45</f>
        <v>617.44200000000001</v>
      </c>
      <c r="H176" s="136">
        <f>H6*Premissas!$C$45</f>
        <v>1722.3120000000001</v>
      </c>
      <c r="I176" s="136">
        <f>I6*Premissas!$C$45</f>
        <v>1665.3120000000001</v>
      </c>
      <c r="J176" s="136">
        <f>J6*Premissas!$C$45</f>
        <v>1581.2940000000001</v>
      </c>
      <c r="K176" s="136">
        <f>K6*Premissas!$C$45</f>
        <v>1623.6370199999999</v>
      </c>
      <c r="L176" s="136">
        <f>L6*Premissas!$C$45</f>
        <v>1446.7996500000002</v>
      </c>
      <c r="M176" s="136">
        <f>M6*Premissas!$C$45</f>
        <v>1659.4809</v>
      </c>
      <c r="N176" s="136">
        <f>N6*Premissas!$D$45</f>
        <v>798.87554999999998</v>
      </c>
      <c r="O176" s="136">
        <f>O6*Premissas!$D$45</f>
        <v>747.65294999999992</v>
      </c>
      <c r="P176" s="136">
        <f>P6*Premissas!$D$45</f>
        <v>678.53527499999996</v>
      </c>
      <c r="Q176" s="136">
        <f>Q6*Premissas!$D$45</f>
        <v>714.21597499999984</v>
      </c>
      <c r="R176" s="136">
        <f>R6*Premissas!$D$45</f>
        <v>857.37657499999989</v>
      </c>
      <c r="S176" s="136">
        <f>S6*Premissas!$D$45</f>
        <v>804.51222500000006</v>
      </c>
      <c r="T176" s="136">
        <f>T6*Premissas!$E$45</f>
        <v>1533.3109200000001</v>
      </c>
      <c r="U176" s="136">
        <f>U6*Premissas!$E$45</f>
        <v>1482.5659200000002</v>
      </c>
      <c r="V176" s="136">
        <f>V6*Premissas!$E$45</f>
        <v>1407.7677900000003</v>
      </c>
      <c r="W176" s="136">
        <f>W6*Premissas!$E$45</f>
        <v>1452.72786</v>
      </c>
      <c r="X176" s="136">
        <f>X6*Premissas!$E$45</f>
        <v>1294.50495</v>
      </c>
      <c r="Y176" s="136">
        <f>Y6*Premissas!$E$45</f>
        <v>1484.7987000000001</v>
      </c>
      <c r="Z176" s="136">
        <f>Z6*Premissas!$E$45</f>
        <v>1481.5510200000001</v>
      </c>
      <c r="AA176" s="136">
        <f>AA6*Premissas!$E$45</f>
        <v>1386.55638</v>
      </c>
      <c r="AB176" s="136">
        <f>AB6*Premissas!$F$45</f>
        <v>491.01279900000003</v>
      </c>
      <c r="AC176" s="136">
        <f>AC6*Premissas!$F$45</f>
        <v>516.83265099999994</v>
      </c>
      <c r="AD176" s="136">
        <f>AD6*Premissas!$F$45</f>
        <v>620.42886700000008</v>
      </c>
      <c r="AE176" s="136">
        <f>AE6*Premissas!$F$45</f>
        <v>582.17430100000001</v>
      </c>
      <c r="AF176" s="136">
        <f>AF6*Premissas!$F$45</f>
        <v>598.29190800000003</v>
      </c>
      <c r="AG176" s="136">
        <f>AG6*Premissas!$F$45</f>
        <v>578.49140800000009</v>
      </c>
      <c r="AH176" s="136">
        <f>AH6*Premissas!$G$45</f>
        <v>576.77074455000002</v>
      </c>
      <c r="AI176" s="136">
        <f>AI6*Premissas!$G$45</f>
        <v>595.19114969999998</v>
      </c>
      <c r="AJ176" s="136">
        <f>AJ6*Premissas!$G$45</f>
        <v>530.36629274999996</v>
      </c>
      <c r="AK176" s="136">
        <f>AK6*Premissas!$G$45</f>
        <v>608.33076149999999</v>
      </c>
      <c r="AL176" s="136">
        <f>AL6*Premissas!$G$45</f>
        <v>607.00016790000006</v>
      </c>
      <c r="AM176" s="136">
        <f>AM6*Premissas!$G$45</f>
        <v>568.08030510000003</v>
      </c>
      <c r="AN176" s="136">
        <f>AN6*Premissas!$H$45</f>
        <v>488.55773500500004</v>
      </c>
      <c r="AO176" s="136">
        <f>AO6*Premissas!$H$45</f>
        <v>514.24848774499992</v>
      </c>
      <c r="AP176" s="136">
        <f>AP6*Premissas!$H$45</f>
        <v>617.32672266500003</v>
      </c>
      <c r="AQ176" s="136">
        <f>AQ6*Premissas!$H$45</f>
        <v>579.26342949500008</v>
      </c>
      <c r="AR176" s="136">
        <f>AR6*Premissas!$H$45</f>
        <v>595.30044845999998</v>
      </c>
      <c r="AS176" s="136">
        <f>AS6*Premissas!$H$45</f>
        <v>575.59895096000002</v>
      </c>
      <c r="AT176" s="136">
        <f>AT6*Premissas!$I$45</f>
        <v>587.550864418375</v>
      </c>
      <c r="AU176" s="136">
        <f>AU6*Premissas!$I$45</f>
        <v>606.31555571224999</v>
      </c>
      <c r="AV176" s="136">
        <f>AV6*Premissas!$I$45</f>
        <v>540.279091316875</v>
      </c>
      <c r="AW176" s="136">
        <f>AW6*Premissas!$I$45</f>
        <v>619.70075311375001</v>
      </c>
      <c r="AX176" s="136">
        <f>AX6*Premissas!$I$45</f>
        <v>618.34529008575009</v>
      </c>
      <c r="AY176" s="136">
        <f>AY6*Premissas!$I$45</f>
        <v>578.69799651674998</v>
      </c>
      <c r="AZ176" s="136">
        <f>AZ6*Premissas!$J$45</f>
        <v>595.49080925421936</v>
      </c>
      <c r="BA176" s="136">
        <f>BA6*Premissas!$J$45</f>
        <v>626.80462550018683</v>
      </c>
      <c r="BB176" s="136">
        <f>BB6*Premissas!$J$45</f>
        <v>752.44410908830196</v>
      </c>
      <c r="BC176" s="136">
        <f>BC6*Premissas!$J$45</f>
        <v>706.04971262571814</v>
      </c>
      <c r="BD176" s="136">
        <f>BD6*Premissas!$J$45</f>
        <v>725.59683411668254</v>
      </c>
      <c r="BE176" s="136">
        <f>BE6*Premissas!$J$45</f>
        <v>701.58317135137008</v>
      </c>
      <c r="BF176" s="136">
        <f>BF6*Premissas!$K$45</f>
        <v>584.61311009628321</v>
      </c>
      <c r="BG176" s="136">
        <f>BG6*Premissas!$K$45</f>
        <v>603.28397793368879</v>
      </c>
      <c r="BH176" s="136">
        <f>BH6*Premissas!$K$45</f>
        <v>537.57769586029065</v>
      </c>
      <c r="BI176" s="136">
        <f>BI6*Premissas!$K$45</f>
        <v>616.60224934818132</v>
      </c>
      <c r="BJ176" s="136">
        <f>BJ6*Premissas!$K$45</f>
        <v>615.25356363532137</v>
      </c>
      <c r="BK176" s="136">
        <f>BK6*Premissas!$K$45</f>
        <v>575.80450653416631</v>
      </c>
    </row>
    <row r="177" spans="1:63" ht="12.75" customHeight="1" x14ac:dyDescent="0.2">
      <c r="A177" s="126" t="s">
        <v>409</v>
      </c>
      <c r="B177" s="120">
        <f>AA177</f>
        <v>6235.6792800000003</v>
      </c>
      <c r="C177" s="120" t="s">
        <v>397</v>
      </c>
      <c r="D177" s="120">
        <f>0</f>
        <v>0</v>
      </c>
      <c r="E177" s="120">
        <f t="shared" ref="E177:AJ177" si="166">D179</f>
        <v>0</v>
      </c>
      <c r="F177" s="120">
        <f t="shared" si="166"/>
        <v>73.141999999999939</v>
      </c>
      <c r="G177" s="120">
        <f t="shared" si="166"/>
        <v>206.15599999999995</v>
      </c>
      <c r="H177" s="120">
        <f t="shared" si="166"/>
        <v>73.597999999999956</v>
      </c>
      <c r="I177" s="120">
        <f t="shared" si="166"/>
        <v>856.91000000000008</v>
      </c>
      <c r="J177" s="120">
        <f t="shared" si="166"/>
        <v>1622.2220000000002</v>
      </c>
      <c r="K177" s="120">
        <f t="shared" si="166"/>
        <v>1943.5160000000003</v>
      </c>
      <c r="L177" s="120">
        <f t="shared" si="166"/>
        <v>2398.6530200000002</v>
      </c>
      <c r="M177" s="120">
        <f t="shared" si="166"/>
        <v>2717.9526700000006</v>
      </c>
      <c r="N177" s="120">
        <f t="shared" si="166"/>
        <v>3167.9335700000006</v>
      </c>
      <c r="O177" s="120">
        <f t="shared" si="166"/>
        <v>3028.9341200000008</v>
      </c>
      <c r="P177" s="120">
        <f t="shared" si="166"/>
        <v>3025.2620700000007</v>
      </c>
      <c r="Q177" s="120">
        <f t="shared" si="166"/>
        <v>3135.9473450000005</v>
      </c>
      <c r="R177" s="120">
        <f t="shared" si="166"/>
        <v>3363.2883200000006</v>
      </c>
      <c r="S177" s="120">
        <f t="shared" si="166"/>
        <v>3682.5398950000003</v>
      </c>
      <c r="T177" s="120">
        <f t="shared" si="166"/>
        <v>3718.3021200000003</v>
      </c>
      <c r="U177" s="120">
        <f t="shared" si="166"/>
        <v>4289.1380400000007</v>
      </c>
      <c r="V177" s="120">
        <f t="shared" si="166"/>
        <v>4849.2039600000007</v>
      </c>
      <c r="W177" s="120">
        <f t="shared" si="166"/>
        <v>4965.4717500000006</v>
      </c>
      <c r="X177" s="120">
        <f t="shared" si="166"/>
        <v>5249.6996100000006</v>
      </c>
      <c r="Y177" s="120">
        <f t="shared" si="166"/>
        <v>5416.7045600000001</v>
      </c>
      <c r="Z177" s="120">
        <f t="shared" si="166"/>
        <v>5692.0032600000004</v>
      </c>
      <c r="AA177" s="120">
        <f t="shared" si="166"/>
        <v>6235.6792800000003</v>
      </c>
      <c r="AB177" s="120">
        <f t="shared" si="166"/>
        <v>6870.9106600000005</v>
      </c>
      <c r="AC177" s="120">
        <f t="shared" si="166"/>
        <v>6591.8153340000008</v>
      </c>
      <c r="AD177" s="120">
        <f t="shared" si="166"/>
        <v>6338.5398600000008</v>
      </c>
      <c r="AE177" s="120">
        <f t="shared" si="166"/>
        <v>6188.8606020000007</v>
      </c>
      <c r="AF177" s="120">
        <f t="shared" si="166"/>
        <v>6000.9267780000009</v>
      </c>
      <c r="AG177" s="120">
        <f t="shared" si="166"/>
        <v>5829.1105610000013</v>
      </c>
      <c r="AH177" s="120">
        <f t="shared" si="166"/>
        <v>5637.4938440000014</v>
      </c>
      <c r="AI177" s="120">
        <f t="shared" si="166"/>
        <v>5444.1564635500017</v>
      </c>
      <c r="AJ177" s="120">
        <f t="shared" si="166"/>
        <v>5269.2394882500021</v>
      </c>
      <c r="AK177" s="120">
        <f t="shared" ref="AK177:BK177" si="167">AJ179</f>
        <v>5029.4976560000023</v>
      </c>
      <c r="AL177" s="120">
        <f t="shared" si="167"/>
        <v>4867.720292500002</v>
      </c>
      <c r="AM177" s="120">
        <f t="shared" si="167"/>
        <v>4704.6123354000019</v>
      </c>
      <c r="AN177" s="120">
        <f t="shared" si="167"/>
        <v>4502.5845155000025</v>
      </c>
      <c r="AO177" s="120">
        <f t="shared" si="167"/>
        <v>4201.7814223800024</v>
      </c>
      <c r="AP177" s="120">
        <f t="shared" si="167"/>
        <v>3926.6690820000022</v>
      </c>
      <c r="AQ177" s="120">
        <f t="shared" si="167"/>
        <v>3754.6349765400023</v>
      </c>
      <c r="AR177" s="120">
        <f t="shared" si="167"/>
        <v>3544.5375779100023</v>
      </c>
      <c r="AS177" s="120">
        <f t="shared" si="167"/>
        <v>3350.4771982450025</v>
      </c>
      <c r="AT177" s="120">
        <f t="shared" si="167"/>
        <v>3136.7153210800025</v>
      </c>
      <c r="AU177" s="120">
        <f t="shared" si="167"/>
        <v>2934.9053573733777</v>
      </c>
      <c r="AV177" s="120">
        <f t="shared" si="167"/>
        <v>2751.8600849606278</v>
      </c>
      <c r="AW177" s="120">
        <f t="shared" si="167"/>
        <v>2502.778348152503</v>
      </c>
      <c r="AX177" s="120">
        <f t="shared" si="167"/>
        <v>2333.1182731412532</v>
      </c>
      <c r="AY177" s="120">
        <f t="shared" si="167"/>
        <v>2162.1027351020034</v>
      </c>
      <c r="AZ177" s="120">
        <f t="shared" si="167"/>
        <v>1951.4399034937535</v>
      </c>
      <c r="BA177" s="120">
        <f t="shared" si="167"/>
        <v>1737.8358639198482</v>
      </c>
      <c r="BB177" s="120">
        <f t="shared" si="167"/>
        <v>1555.5456405919103</v>
      </c>
      <c r="BC177" s="120">
        <f t="shared" si="167"/>
        <v>1498.8949008520876</v>
      </c>
      <c r="BD177" s="120">
        <f t="shared" si="167"/>
        <v>1395.849764649681</v>
      </c>
      <c r="BE177" s="120">
        <f t="shared" si="167"/>
        <v>1312.3517499382388</v>
      </c>
      <c r="BF177" s="120">
        <f t="shared" si="167"/>
        <v>1204.8400724614839</v>
      </c>
      <c r="BG177" s="120">
        <f t="shared" si="167"/>
        <v>980.35833372964237</v>
      </c>
      <c r="BH177" s="120">
        <f t="shared" si="167"/>
        <v>774.54746283520637</v>
      </c>
      <c r="BI177" s="120">
        <f t="shared" si="167"/>
        <v>503.03030986737224</v>
      </c>
      <c r="BJ177" s="120">
        <f t="shared" si="167"/>
        <v>310.53771038742877</v>
      </c>
      <c r="BK177" s="120">
        <f t="shared" si="167"/>
        <v>116.69642519462536</v>
      </c>
    </row>
    <row r="178" spans="1:63" ht="12.75" customHeight="1" x14ac:dyDescent="0.2">
      <c r="A178" s="126" t="s">
        <v>410</v>
      </c>
      <c r="B178" s="120">
        <f>SUM(D178:BQ178)</f>
        <v>7146.1401600000027</v>
      </c>
      <c r="C178" s="120">
        <f>B178/60</f>
        <v>119.10233600000005</v>
      </c>
      <c r="D178" s="120">
        <f t="shared" ref="D178:AI178" si="168">MIN(D177,MAX(D175-D176,0))</f>
        <v>0</v>
      </c>
      <c r="E178" s="120">
        <f t="shared" si="168"/>
        <v>0</v>
      </c>
      <c r="F178" s="120">
        <f t="shared" si="168"/>
        <v>0</v>
      </c>
      <c r="G178" s="120">
        <f t="shared" si="168"/>
        <v>132.55799999999999</v>
      </c>
      <c r="H178" s="120">
        <f t="shared" si="168"/>
        <v>0</v>
      </c>
      <c r="I178" s="120">
        <f t="shared" si="168"/>
        <v>0</v>
      </c>
      <c r="J178" s="120">
        <f t="shared" si="168"/>
        <v>0</v>
      </c>
      <c r="K178" s="120">
        <f t="shared" si="168"/>
        <v>0</v>
      </c>
      <c r="L178" s="120">
        <f t="shared" si="168"/>
        <v>0</v>
      </c>
      <c r="M178" s="120">
        <f t="shared" si="168"/>
        <v>0</v>
      </c>
      <c r="N178" s="120">
        <f t="shared" si="168"/>
        <v>138.99944999999991</v>
      </c>
      <c r="O178" s="120">
        <f t="shared" si="168"/>
        <v>3.6720500000000129</v>
      </c>
      <c r="P178" s="120">
        <f t="shared" si="168"/>
        <v>0</v>
      </c>
      <c r="Q178" s="120">
        <f t="shared" si="168"/>
        <v>0</v>
      </c>
      <c r="R178" s="120">
        <f t="shared" si="168"/>
        <v>0</v>
      </c>
      <c r="S178" s="120">
        <f t="shared" si="168"/>
        <v>0</v>
      </c>
      <c r="T178" s="120">
        <f t="shared" si="168"/>
        <v>0</v>
      </c>
      <c r="U178" s="120">
        <f t="shared" si="168"/>
        <v>0</v>
      </c>
      <c r="V178" s="120">
        <f t="shared" si="168"/>
        <v>0</v>
      </c>
      <c r="W178" s="120">
        <f t="shared" si="168"/>
        <v>0</v>
      </c>
      <c r="X178" s="120">
        <f t="shared" si="168"/>
        <v>0</v>
      </c>
      <c r="Y178" s="120">
        <f t="shared" si="168"/>
        <v>0</v>
      </c>
      <c r="Z178" s="120">
        <f t="shared" si="168"/>
        <v>0</v>
      </c>
      <c r="AA178" s="120">
        <f t="shared" si="168"/>
        <v>0</v>
      </c>
      <c r="AB178" s="120">
        <f t="shared" si="168"/>
        <v>279.09532599999994</v>
      </c>
      <c r="AC178" s="120">
        <f t="shared" si="168"/>
        <v>253.27547400000003</v>
      </c>
      <c r="AD178" s="120">
        <f t="shared" si="168"/>
        <v>149.67925799999989</v>
      </c>
      <c r="AE178" s="120">
        <f t="shared" si="168"/>
        <v>187.93382399999996</v>
      </c>
      <c r="AF178" s="120">
        <f t="shared" si="168"/>
        <v>171.81621699999994</v>
      </c>
      <c r="AG178" s="120">
        <f t="shared" si="168"/>
        <v>191.61671699999988</v>
      </c>
      <c r="AH178" s="120">
        <f t="shared" si="168"/>
        <v>193.33738044999996</v>
      </c>
      <c r="AI178" s="120">
        <f t="shared" si="168"/>
        <v>174.91697529999999</v>
      </c>
      <c r="AJ178" s="120">
        <f t="shared" ref="AJ178:BO178" si="169">MIN(AJ177,MAX(AJ175-AJ176,0))</f>
        <v>239.74183225000002</v>
      </c>
      <c r="AK178" s="120">
        <f t="shared" si="169"/>
        <v>161.77736349999998</v>
      </c>
      <c r="AL178" s="120">
        <f t="shared" si="169"/>
        <v>163.10795709999991</v>
      </c>
      <c r="AM178" s="120">
        <f t="shared" si="169"/>
        <v>202.02781989999994</v>
      </c>
      <c r="AN178" s="120">
        <f t="shared" si="169"/>
        <v>300.80309311999986</v>
      </c>
      <c r="AO178" s="120">
        <f t="shared" si="169"/>
        <v>275.11234037999998</v>
      </c>
      <c r="AP178" s="120">
        <f t="shared" si="169"/>
        <v>172.03410545999986</v>
      </c>
      <c r="AQ178" s="120">
        <f t="shared" si="169"/>
        <v>210.09739862999982</v>
      </c>
      <c r="AR178" s="120">
        <f t="shared" si="169"/>
        <v>194.06037966499991</v>
      </c>
      <c r="AS178" s="120">
        <f t="shared" si="169"/>
        <v>213.76187716499987</v>
      </c>
      <c r="AT178" s="120">
        <f t="shared" si="169"/>
        <v>201.8099637066249</v>
      </c>
      <c r="AU178" s="120">
        <f t="shared" si="169"/>
        <v>183.04527241274991</v>
      </c>
      <c r="AV178" s="120">
        <f t="shared" si="169"/>
        <v>249.0817368081249</v>
      </c>
      <c r="AW178" s="120">
        <f t="shared" si="169"/>
        <v>169.66007501124989</v>
      </c>
      <c r="AX178" s="120">
        <f t="shared" si="169"/>
        <v>171.0155380392498</v>
      </c>
      <c r="AY178" s="120">
        <f t="shared" si="169"/>
        <v>210.66283160824992</v>
      </c>
      <c r="AZ178" s="120">
        <f t="shared" si="169"/>
        <v>213.60403957390542</v>
      </c>
      <c r="BA178" s="120">
        <f t="shared" si="169"/>
        <v>182.29022332793795</v>
      </c>
      <c r="BB178" s="120">
        <f t="shared" si="169"/>
        <v>56.650739739822825</v>
      </c>
      <c r="BC178" s="120">
        <f t="shared" si="169"/>
        <v>103.04513620240664</v>
      </c>
      <c r="BD178" s="120">
        <f t="shared" si="169"/>
        <v>83.498014711442238</v>
      </c>
      <c r="BE178" s="120">
        <f t="shared" si="169"/>
        <v>107.5116774767547</v>
      </c>
      <c r="BF178" s="120">
        <f t="shared" si="169"/>
        <v>224.48173873184157</v>
      </c>
      <c r="BG178" s="120">
        <f t="shared" si="169"/>
        <v>205.81087089443599</v>
      </c>
      <c r="BH178" s="120">
        <f t="shared" si="169"/>
        <v>271.51715296783414</v>
      </c>
      <c r="BI178" s="120">
        <f t="shared" si="169"/>
        <v>192.49259947994346</v>
      </c>
      <c r="BJ178" s="120">
        <f t="shared" si="169"/>
        <v>193.84128519280341</v>
      </c>
      <c r="BK178" s="120">
        <f t="shared" si="169"/>
        <v>116.69642519462536</v>
      </c>
    </row>
    <row r="179" spans="1:63" ht="13.5" customHeight="1" x14ac:dyDescent="0.2">
      <c r="A179" s="41" t="s">
        <v>411</v>
      </c>
      <c r="B179" s="43">
        <f>AA179</f>
        <v>6870.9106600000005</v>
      </c>
      <c r="C179" s="120" t="s">
        <v>397</v>
      </c>
      <c r="D179" s="137">
        <f t="shared" ref="D179:AI179" si="170">MAX(D177-D178,0)+MAX(D176-D175,0)</f>
        <v>0</v>
      </c>
      <c r="E179" s="137">
        <f t="shared" si="170"/>
        <v>73.141999999999939</v>
      </c>
      <c r="F179" s="137">
        <f t="shared" si="170"/>
        <v>206.15599999999995</v>
      </c>
      <c r="G179" s="137">
        <f t="shared" si="170"/>
        <v>73.597999999999956</v>
      </c>
      <c r="H179" s="137">
        <f t="shared" si="170"/>
        <v>856.91000000000008</v>
      </c>
      <c r="I179" s="137">
        <f t="shared" si="170"/>
        <v>1622.2220000000002</v>
      </c>
      <c r="J179" s="137">
        <f t="shared" si="170"/>
        <v>1943.5160000000003</v>
      </c>
      <c r="K179" s="137">
        <f t="shared" si="170"/>
        <v>2398.6530200000002</v>
      </c>
      <c r="L179" s="137">
        <f t="shared" si="170"/>
        <v>2717.9526700000006</v>
      </c>
      <c r="M179" s="137">
        <f t="shared" si="170"/>
        <v>3167.9335700000006</v>
      </c>
      <c r="N179" s="137">
        <f t="shared" si="170"/>
        <v>3028.9341200000008</v>
      </c>
      <c r="O179" s="137">
        <f t="shared" si="170"/>
        <v>3025.2620700000007</v>
      </c>
      <c r="P179" s="137">
        <f t="shared" si="170"/>
        <v>3135.9473450000005</v>
      </c>
      <c r="Q179" s="137">
        <f t="shared" si="170"/>
        <v>3363.2883200000006</v>
      </c>
      <c r="R179" s="137">
        <f t="shared" si="170"/>
        <v>3682.5398950000003</v>
      </c>
      <c r="S179" s="137">
        <f t="shared" si="170"/>
        <v>3718.3021200000003</v>
      </c>
      <c r="T179" s="137">
        <f t="shared" si="170"/>
        <v>4289.1380400000007</v>
      </c>
      <c r="U179" s="137">
        <f t="shared" si="170"/>
        <v>4849.2039600000007</v>
      </c>
      <c r="V179" s="137">
        <f t="shared" si="170"/>
        <v>4965.4717500000006</v>
      </c>
      <c r="W179" s="137">
        <f t="shared" si="170"/>
        <v>5249.6996100000006</v>
      </c>
      <c r="X179" s="137">
        <f t="shared" si="170"/>
        <v>5416.7045600000001</v>
      </c>
      <c r="Y179" s="137">
        <f t="shared" si="170"/>
        <v>5692.0032600000004</v>
      </c>
      <c r="Z179" s="137">
        <f t="shared" si="170"/>
        <v>6235.6792800000003</v>
      </c>
      <c r="AA179" s="137">
        <f t="shared" si="170"/>
        <v>6870.9106600000005</v>
      </c>
      <c r="AB179" s="137">
        <f t="shared" si="170"/>
        <v>6591.8153340000008</v>
      </c>
      <c r="AC179" s="137">
        <f t="shared" si="170"/>
        <v>6338.5398600000008</v>
      </c>
      <c r="AD179" s="137">
        <f t="shared" si="170"/>
        <v>6188.8606020000007</v>
      </c>
      <c r="AE179" s="137">
        <f t="shared" si="170"/>
        <v>6000.9267780000009</v>
      </c>
      <c r="AF179" s="137">
        <f t="shared" si="170"/>
        <v>5829.1105610000013</v>
      </c>
      <c r="AG179" s="137">
        <f t="shared" si="170"/>
        <v>5637.4938440000014</v>
      </c>
      <c r="AH179" s="137">
        <f t="shared" si="170"/>
        <v>5444.1564635500017</v>
      </c>
      <c r="AI179" s="137">
        <f t="shared" si="170"/>
        <v>5269.2394882500021</v>
      </c>
      <c r="AJ179" s="137">
        <f t="shared" ref="AJ179:BO179" si="171">MAX(AJ177-AJ178,0)+MAX(AJ176-AJ175,0)</f>
        <v>5029.4976560000023</v>
      </c>
      <c r="AK179" s="137">
        <f t="shared" si="171"/>
        <v>4867.720292500002</v>
      </c>
      <c r="AL179" s="137">
        <f t="shared" si="171"/>
        <v>4704.6123354000019</v>
      </c>
      <c r="AM179" s="137">
        <f t="shared" si="171"/>
        <v>4502.5845155000025</v>
      </c>
      <c r="AN179" s="137">
        <f t="shared" si="171"/>
        <v>4201.7814223800024</v>
      </c>
      <c r="AO179" s="137">
        <f t="shared" si="171"/>
        <v>3926.6690820000022</v>
      </c>
      <c r="AP179" s="137">
        <f t="shared" si="171"/>
        <v>3754.6349765400023</v>
      </c>
      <c r="AQ179" s="137">
        <f t="shared" si="171"/>
        <v>3544.5375779100023</v>
      </c>
      <c r="AR179" s="137">
        <f t="shared" si="171"/>
        <v>3350.4771982450025</v>
      </c>
      <c r="AS179" s="137">
        <f t="shared" si="171"/>
        <v>3136.7153210800025</v>
      </c>
      <c r="AT179" s="137">
        <f t="shared" si="171"/>
        <v>2934.9053573733777</v>
      </c>
      <c r="AU179" s="137">
        <f t="shared" si="171"/>
        <v>2751.8600849606278</v>
      </c>
      <c r="AV179" s="137">
        <f t="shared" si="171"/>
        <v>2502.778348152503</v>
      </c>
      <c r="AW179" s="137">
        <f t="shared" si="171"/>
        <v>2333.1182731412532</v>
      </c>
      <c r="AX179" s="137">
        <f t="shared" si="171"/>
        <v>2162.1027351020034</v>
      </c>
      <c r="AY179" s="137">
        <f t="shared" si="171"/>
        <v>1951.4399034937535</v>
      </c>
      <c r="AZ179" s="137">
        <f t="shared" si="171"/>
        <v>1737.8358639198482</v>
      </c>
      <c r="BA179" s="137">
        <f t="shared" si="171"/>
        <v>1555.5456405919103</v>
      </c>
      <c r="BB179" s="137">
        <f t="shared" si="171"/>
        <v>1498.8949008520876</v>
      </c>
      <c r="BC179" s="137">
        <f t="shared" si="171"/>
        <v>1395.849764649681</v>
      </c>
      <c r="BD179" s="137">
        <f t="shared" si="171"/>
        <v>1312.3517499382388</v>
      </c>
      <c r="BE179" s="137">
        <f t="shared" si="171"/>
        <v>1204.8400724614839</v>
      </c>
      <c r="BF179" s="137">
        <f t="shared" si="171"/>
        <v>980.35833372964237</v>
      </c>
      <c r="BG179" s="137">
        <f t="shared" si="171"/>
        <v>774.54746283520637</v>
      </c>
      <c r="BH179" s="137">
        <f t="shared" si="171"/>
        <v>503.03030986737224</v>
      </c>
      <c r="BI179" s="137">
        <f t="shared" si="171"/>
        <v>310.53771038742877</v>
      </c>
      <c r="BJ179" s="137">
        <f t="shared" si="171"/>
        <v>116.69642519462536</v>
      </c>
      <c r="BK179" s="137">
        <f t="shared" si="171"/>
        <v>0</v>
      </c>
    </row>
    <row r="180" spans="1:63" ht="12.75" customHeight="1" x14ac:dyDescent="0.2">
      <c r="A180" s="127" t="s">
        <v>412</v>
      </c>
      <c r="B180" s="128">
        <f>AA180</f>
        <v>0</v>
      </c>
      <c r="C180" s="120" t="s">
        <v>397</v>
      </c>
      <c r="D180" s="128">
        <f>0</f>
        <v>0</v>
      </c>
      <c r="E180" s="128">
        <f t="shared" ref="E180:AJ180" si="172">D182</f>
        <v>0</v>
      </c>
      <c r="F180" s="128">
        <f t="shared" si="172"/>
        <v>0</v>
      </c>
      <c r="G180" s="128">
        <f t="shared" si="172"/>
        <v>0</v>
      </c>
      <c r="H180" s="128">
        <f t="shared" si="172"/>
        <v>0</v>
      </c>
      <c r="I180" s="128">
        <f t="shared" si="172"/>
        <v>0</v>
      </c>
      <c r="J180" s="128">
        <f t="shared" si="172"/>
        <v>0</v>
      </c>
      <c r="K180" s="128">
        <f t="shared" si="172"/>
        <v>0</v>
      </c>
      <c r="L180" s="128">
        <f t="shared" si="172"/>
        <v>0</v>
      </c>
      <c r="M180" s="128">
        <f t="shared" si="172"/>
        <v>0</v>
      </c>
      <c r="N180" s="128">
        <f t="shared" si="172"/>
        <v>0</v>
      </c>
      <c r="O180" s="128">
        <f t="shared" si="172"/>
        <v>0</v>
      </c>
      <c r="P180" s="128">
        <f t="shared" si="172"/>
        <v>0</v>
      </c>
      <c r="Q180" s="128">
        <f t="shared" si="172"/>
        <v>0</v>
      </c>
      <c r="R180" s="128">
        <f t="shared" si="172"/>
        <v>0</v>
      </c>
      <c r="S180" s="128">
        <f t="shared" si="172"/>
        <v>0</v>
      </c>
      <c r="T180" s="128">
        <f t="shared" si="172"/>
        <v>0</v>
      </c>
      <c r="U180" s="128">
        <f t="shared" si="172"/>
        <v>0</v>
      </c>
      <c r="V180" s="128">
        <f t="shared" si="172"/>
        <v>0</v>
      </c>
      <c r="W180" s="128">
        <f t="shared" si="172"/>
        <v>0</v>
      </c>
      <c r="X180" s="128">
        <f t="shared" si="172"/>
        <v>0</v>
      </c>
      <c r="Y180" s="128">
        <f t="shared" si="172"/>
        <v>0</v>
      </c>
      <c r="Z180" s="128">
        <f t="shared" si="172"/>
        <v>0</v>
      </c>
      <c r="AA180" s="128">
        <f t="shared" si="172"/>
        <v>0</v>
      </c>
      <c r="AB180" s="128">
        <f t="shared" si="172"/>
        <v>0</v>
      </c>
      <c r="AC180" s="128">
        <f t="shared" si="172"/>
        <v>0</v>
      </c>
      <c r="AD180" s="128">
        <f t="shared" si="172"/>
        <v>0</v>
      </c>
      <c r="AE180" s="128">
        <f t="shared" si="172"/>
        <v>0</v>
      </c>
      <c r="AF180" s="128">
        <f t="shared" si="172"/>
        <v>0</v>
      </c>
      <c r="AG180" s="128">
        <f t="shared" si="172"/>
        <v>0</v>
      </c>
      <c r="AH180" s="128">
        <f t="shared" si="172"/>
        <v>0</v>
      </c>
      <c r="AI180" s="128">
        <f t="shared" si="172"/>
        <v>0</v>
      </c>
      <c r="AJ180" s="128">
        <f t="shared" si="172"/>
        <v>0</v>
      </c>
      <c r="AK180" s="128">
        <f t="shared" ref="AK180:BK180" si="173">AJ182</f>
        <v>0</v>
      </c>
      <c r="AL180" s="128">
        <f t="shared" si="173"/>
        <v>0</v>
      </c>
      <c r="AM180" s="128">
        <f t="shared" si="173"/>
        <v>0</v>
      </c>
      <c r="AN180" s="128">
        <f t="shared" si="173"/>
        <v>0</v>
      </c>
      <c r="AO180" s="128">
        <f t="shared" si="173"/>
        <v>0</v>
      </c>
      <c r="AP180" s="128">
        <f t="shared" si="173"/>
        <v>0</v>
      </c>
      <c r="AQ180" s="128">
        <f t="shared" si="173"/>
        <v>0</v>
      </c>
      <c r="AR180" s="128">
        <f t="shared" si="173"/>
        <v>0</v>
      </c>
      <c r="AS180" s="128">
        <f t="shared" si="173"/>
        <v>0</v>
      </c>
      <c r="AT180" s="128">
        <f t="shared" si="173"/>
        <v>0</v>
      </c>
      <c r="AU180" s="128">
        <f t="shared" si="173"/>
        <v>0</v>
      </c>
      <c r="AV180" s="128">
        <f t="shared" si="173"/>
        <v>0</v>
      </c>
      <c r="AW180" s="128">
        <f t="shared" si="173"/>
        <v>0</v>
      </c>
      <c r="AX180" s="128">
        <f t="shared" si="173"/>
        <v>0</v>
      </c>
      <c r="AY180" s="128">
        <f t="shared" si="173"/>
        <v>0</v>
      </c>
      <c r="AZ180" s="128">
        <f t="shared" si="173"/>
        <v>0</v>
      </c>
      <c r="BA180" s="128">
        <f t="shared" si="173"/>
        <v>0</v>
      </c>
      <c r="BB180" s="128">
        <f t="shared" si="173"/>
        <v>0</v>
      </c>
      <c r="BC180" s="128">
        <f t="shared" si="173"/>
        <v>0</v>
      </c>
      <c r="BD180" s="128">
        <f t="shared" si="173"/>
        <v>0</v>
      </c>
      <c r="BE180" s="128">
        <f t="shared" si="173"/>
        <v>0</v>
      </c>
      <c r="BF180" s="128">
        <f t="shared" si="173"/>
        <v>0</v>
      </c>
      <c r="BG180" s="128">
        <f t="shared" si="173"/>
        <v>0</v>
      </c>
      <c r="BH180" s="128">
        <f t="shared" si="173"/>
        <v>0</v>
      </c>
      <c r="BI180" s="128">
        <f t="shared" si="173"/>
        <v>0</v>
      </c>
      <c r="BJ180" s="128">
        <f t="shared" si="173"/>
        <v>0</v>
      </c>
      <c r="BK180" s="128">
        <f t="shared" si="173"/>
        <v>0</v>
      </c>
    </row>
    <row r="181" spans="1:63" ht="12.75" customHeight="1" x14ac:dyDescent="0.2">
      <c r="A181" s="127" t="s">
        <v>420</v>
      </c>
      <c r="B181" s="128">
        <f>SUM(D181:BQ181)</f>
        <v>0</v>
      </c>
      <c r="C181" s="120">
        <f>B181/60</f>
        <v>0</v>
      </c>
      <c r="D181" s="128">
        <f t="shared" ref="D181:AI181" si="174">MIN(D180,D175)</f>
        <v>0</v>
      </c>
      <c r="E181" s="128">
        <f t="shared" si="174"/>
        <v>0</v>
      </c>
      <c r="F181" s="128">
        <f t="shared" si="174"/>
        <v>0</v>
      </c>
      <c r="G181" s="128">
        <f t="shared" si="174"/>
        <v>0</v>
      </c>
      <c r="H181" s="128">
        <f t="shared" si="174"/>
        <v>0</v>
      </c>
      <c r="I181" s="128">
        <f t="shared" si="174"/>
        <v>0</v>
      </c>
      <c r="J181" s="128">
        <f t="shared" si="174"/>
        <v>0</v>
      </c>
      <c r="K181" s="128">
        <f t="shared" si="174"/>
        <v>0</v>
      </c>
      <c r="L181" s="128">
        <f t="shared" si="174"/>
        <v>0</v>
      </c>
      <c r="M181" s="128">
        <f t="shared" si="174"/>
        <v>0</v>
      </c>
      <c r="N181" s="128">
        <f t="shared" si="174"/>
        <v>0</v>
      </c>
      <c r="O181" s="128">
        <f t="shared" si="174"/>
        <v>0</v>
      </c>
      <c r="P181" s="128">
        <f t="shared" si="174"/>
        <v>0</v>
      </c>
      <c r="Q181" s="128">
        <f t="shared" si="174"/>
        <v>0</v>
      </c>
      <c r="R181" s="128">
        <f t="shared" si="174"/>
        <v>0</v>
      </c>
      <c r="S181" s="128">
        <f t="shared" si="174"/>
        <v>0</v>
      </c>
      <c r="T181" s="128">
        <f t="shared" si="174"/>
        <v>0</v>
      </c>
      <c r="U181" s="128">
        <f t="shared" si="174"/>
        <v>0</v>
      </c>
      <c r="V181" s="128">
        <f t="shared" si="174"/>
        <v>0</v>
      </c>
      <c r="W181" s="128">
        <f t="shared" si="174"/>
        <v>0</v>
      </c>
      <c r="X181" s="128">
        <f t="shared" si="174"/>
        <v>0</v>
      </c>
      <c r="Y181" s="128">
        <f t="shared" si="174"/>
        <v>0</v>
      </c>
      <c r="Z181" s="128">
        <f t="shared" si="174"/>
        <v>0</v>
      </c>
      <c r="AA181" s="128">
        <f t="shared" si="174"/>
        <v>0</v>
      </c>
      <c r="AB181" s="128">
        <f t="shared" si="174"/>
        <v>0</v>
      </c>
      <c r="AC181" s="128">
        <f t="shared" si="174"/>
        <v>0</v>
      </c>
      <c r="AD181" s="128">
        <f t="shared" si="174"/>
        <v>0</v>
      </c>
      <c r="AE181" s="128">
        <f t="shared" si="174"/>
        <v>0</v>
      </c>
      <c r="AF181" s="128">
        <f t="shared" si="174"/>
        <v>0</v>
      </c>
      <c r="AG181" s="128">
        <f t="shared" si="174"/>
        <v>0</v>
      </c>
      <c r="AH181" s="128">
        <f t="shared" si="174"/>
        <v>0</v>
      </c>
      <c r="AI181" s="128">
        <f t="shared" si="174"/>
        <v>0</v>
      </c>
      <c r="AJ181" s="128">
        <f t="shared" ref="AJ181:BO181" si="175">MIN(AJ180,AJ175)</f>
        <v>0</v>
      </c>
      <c r="AK181" s="128">
        <f t="shared" si="175"/>
        <v>0</v>
      </c>
      <c r="AL181" s="128">
        <f t="shared" si="175"/>
        <v>0</v>
      </c>
      <c r="AM181" s="128">
        <f t="shared" si="175"/>
        <v>0</v>
      </c>
      <c r="AN181" s="128">
        <f t="shared" si="175"/>
        <v>0</v>
      </c>
      <c r="AO181" s="128">
        <f t="shared" si="175"/>
        <v>0</v>
      </c>
      <c r="AP181" s="128">
        <f t="shared" si="175"/>
        <v>0</v>
      </c>
      <c r="AQ181" s="128">
        <f t="shared" si="175"/>
        <v>0</v>
      </c>
      <c r="AR181" s="128">
        <f t="shared" si="175"/>
        <v>0</v>
      </c>
      <c r="AS181" s="128">
        <f t="shared" si="175"/>
        <v>0</v>
      </c>
      <c r="AT181" s="128">
        <f t="shared" si="175"/>
        <v>0</v>
      </c>
      <c r="AU181" s="128">
        <f t="shared" si="175"/>
        <v>0</v>
      </c>
      <c r="AV181" s="128">
        <f t="shared" si="175"/>
        <v>0</v>
      </c>
      <c r="AW181" s="128">
        <f t="shared" si="175"/>
        <v>0</v>
      </c>
      <c r="AX181" s="128">
        <f t="shared" si="175"/>
        <v>0</v>
      </c>
      <c r="AY181" s="128">
        <f t="shared" si="175"/>
        <v>0</v>
      </c>
      <c r="AZ181" s="128">
        <f t="shared" si="175"/>
        <v>0</v>
      </c>
      <c r="BA181" s="128">
        <f t="shared" si="175"/>
        <v>0</v>
      </c>
      <c r="BB181" s="128">
        <f t="shared" si="175"/>
        <v>0</v>
      </c>
      <c r="BC181" s="128">
        <f t="shared" si="175"/>
        <v>0</v>
      </c>
      <c r="BD181" s="128">
        <f t="shared" si="175"/>
        <v>0</v>
      </c>
      <c r="BE181" s="128">
        <f t="shared" si="175"/>
        <v>0</v>
      </c>
      <c r="BF181" s="128">
        <f t="shared" si="175"/>
        <v>0</v>
      </c>
      <c r="BG181" s="128">
        <f t="shared" si="175"/>
        <v>0</v>
      </c>
      <c r="BH181" s="128">
        <f t="shared" si="175"/>
        <v>0</v>
      </c>
      <c r="BI181" s="128">
        <f t="shared" si="175"/>
        <v>0</v>
      </c>
      <c r="BJ181" s="128">
        <f t="shared" si="175"/>
        <v>0</v>
      </c>
      <c r="BK181" s="128">
        <f t="shared" si="175"/>
        <v>0</v>
      </c>
    </row>
    <row r="182" spans="1:63" ht="12.75" customHeight="1" x14ac:dyDescent="0.2">
      <c r="A182" s="127" t="s">
        <v>421</v>
      </c>
      <c r="B182" s="128">
        <f>AA182</f>
        <v>0</v>
      </c>
      <c r="C182" s="120" t="s">
        <v>397</v>
      </c>
      <c r="D182" s="149">
        <f t="shared" ref="D182:AI182" si="176">MAX(D180-D181,0)</f>
        <v>0</v>
      </c>
      <c r="E182" s="149">
        <f t="shared" si="176"/>
        <v>0</v>
      </c>
      <c r="F182" s="149">
        <f t="shared" si="176"/>
        <v>0</v>
      </c>
      <c r="G182" s="149">
        <f t="shared" si="176"/>
        <v>0</v>
      </c>
      <c r="H182" s="149">
        <f t="shared" si="176"/>
        <v>0</v>
      </c>
      <c r="I182" s="149">
        <f t="shared" si="176"/>
        <v>0</v>
      </c>
      <c r="J182" s="149">
        <f t="shared" si="176"/>
        <v>0</v>
      </c>
      <c r="K182" s="149">
        <f t="shared" si="176"/>
        <v>0</v>
      </c>
      <c r="L182" s="149">
        <f t="shared" si="176"/>
        <v>0</v>
      </c>
      <c r="M182" s="149">
        <f t="shared" si="176"/>
        <v>0</v>
      </c>
      <c r="N182" s="149">
        <f t="shared" si="176"/>
        <v>0</v>
      </c>
      <c r="O182" s="149">
        <f t="shared" si="176"/>
        <v>0</v>
      </c>
      <c r="P182" s="149">
        <f t="shared" si="176"/>
        <v>0</v>
      </c>
      <c r="Q182" s="149">
        <f t="shared" si="176"/>
        <v>0</v>
      </c>
      <c r="R182" s="149">
        <f t="shared" si="176"/>
        <v>0</v>
      </c>
      <c r="S182" s="149">
        <f t="shared" si="176"/>
        <v>0</v>
      </c>
      <c r="T182" s="149">
        <f t="shared" si="176"/>
        <v>0</v>
      </c>
      <c r="U182" s="149">
        <f t="shared" si="176"/>
        <v>0</v>
      </c>
      <c r="V182" s="149">
        <f t="shared" si="176"/>
        <v>0</v>
      </c>
      <c r="W182" s="149">
        <f t="shared" si="176"/>
        <v>0</v>
      </c>
      <c r="X182" s="149">
        <f t="shared" si="176"/>
        <v>0</v>
      </c>
      <c r="Y182" s="149">
        <f t="shared" si="176"/>
        <v>0</v>
      </c>
      <c r="Z182" s="149">
        <f t="shared" si="176"/>
        <v>0</v>
      </c>
      <c r="AA182" s="149">
        <f t="shared" si="176"/>
        <v>0</v>
      </c>
      <c r="AB182" s="149">
        <f t="shared" si="176"/>
        <v>0</v>
      </c>
      <c r="AC182" s="149">
        <f t="shared" si="176"/>
        <v>0</v>
      </c>
      <c r="AD182" s="149">
        <f t="shared" si="176"/>
        <v>0</v>
      </c>
      <c r="AE182" s="149">
        <f t="shared" si="176"/>
        <v>0</v>
      </c>
      <c r="AF182" s="149">
        <f t="shared" si="176"/>
        <v>0</v>
      </c>
      <c r="AG182" s="149">
        <f t="shared" si="176"/>
        <v>0</v>
      </c>
      <c r="AH182" s="149">
        <f t="shared" si="176"/>
        <v>0</v>
      </c>
      <c r="AI182" s="149">
        <f t="shared" si="176"/>
        <v>0</v>
      </c>
      <c r="AJ182" s="149">
        <f t="shared" ref="AJ182:BO182" si="177">MAX(AJ180-AJ181,0)</f>
        <v>0</v>
      </c>
      <c r="AK182" s="149">
        <f t="shared" si="177"/>
        <v>0</v>
      </c>
      <c r="AL182" s="149">
        <f t="shared" si="177"/>
        <v>0</v>
      </c>
      <c r="AM182" s="149">
        <f t="shared" si="177"/>
        <v>0</v>
      </c>
      <c r="AN182" s="149">
        <f t="shared" si="177"/>
        <v>0</v>
      </c>
      <c r="AO182" s="149">
        <f t="shared" si="177"/>
        <v>0</v>
      </c>
      <c r="AP182" s="149">
        <f t="shared" si="177"/>
        <v>0</v>
      </c>
      <c r="AQ182" s="149">
        <f t="shared" si="177"/>
        <v>0</v>
      </c>
      <c r="AR182" s="149">
        <f t="shared" si="177"/>
        <v>0</v>
      </c>
      <c r="AS182" s="149">
        <f t="shared" si="177"/>
        <v>0</v>
      </c>
      <c r="AT182" s="149">
        <f t="shared" si="177"/>
        <v>0</v>
      </c>
      <c r="AU182" s="149">
        <f t="shared" si="177"/>
        <v>0</v>
      </c>
      <c r="AV182" s="149">
        <f t="shared" si="177"/>
        <v>0</v>
      </c>
      <c r="AW182" s="149">
        <f t="shared" si="177"/>
        <v>0</v>
      </c>
      <c r="AX182" s="149">
        <f t="shared" si="177"/>
        <v>0</v>
      </c>
      <c r="AY182" s="149">
        <f t="shared" si="177"/>
        <v>0</v>
      </c>
      <c r="AZ182" s="149">
        <f t="shared" si="177"/>
        <v>0</v>
      </c>
      <c r="BA182" s="149">
        <f t="shared" si="177"/>
        <v>0</v>
      </c>
      <c r="BB182" s="149">
        <f t="shared" si="177"/>
        <v>0</v>
      </c>
      <c r="BC182" s="149">
        <f t="shared" si="177"/>
        <v>0</v>
      </c>
      <c r="BD182" s="149">
        <f t="shared" si="177"/>
        <v>0</v>
      </c>
      <c r="BE182" s="149">
        <f t="shared" si="177"/>
        <v>0</v>
      </c>
      <c r="BF182" s="149">
        <f t="shared" si="177"/>
        <v>0</v>
      </c>
      <c r="BG182" s="149">
        <f t="shared" si="177"/>
        <v>0</v>
      </c>
      <c r="BH182" s="149">
        <f t="shared" si="177"/>
        <v>0</v>
      </c>
      <c r="BI182" s="149">
        <f t="shared" si="177"/>
        <v>0</v>
      </c>
      <c r="BJ182" s="149">
        <f t="shared" si="177"/>
        <v>0</v>
      </c>
      <c r="BK182" s="149">
        <f t="shared" si="177"/>
        <v>0</v>
      </c>
    </row>
    <row r="183" spans="1:63" ht="12.75" customHeight="1" x14ac:dyDescent="0.2">
      <c r="A183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83" s="142">
        <f>SUM(D183:BQ183)</f>
        <v>57929.91065821622</v>
      </c>
      <c r="C183" s="124">
        <f>B183/60</f>
        <v>965.49851097027033</v>
      </c>
      <c r="D183" s="142">
        <f>D175*Premissas!$F$19*(1+Premissas!$B$127)*(1+Premissas!$B$124)^0</f>
        <v>574.14606126990373</v>
      </c>
      <c r="E183" s="142">
        <f>E175*Premissas!$F$19*(1+Premissas!$B$127)*(1+Premissas!$B$124)^0</f>
        <v>492.27324747870819</v>
      </c>
      <c r="F183" s="142">
        <f>F175*Premissas!$F$19*(1+Premissas!$B$127)*(1+Premissas!$B$124)^0</f>
        <v>544.0914840554143</v>
      </c>
      <c r="G183" s="142">
        <f>G175*Premissas!$F$19*(1+Premissas!$B$127)*(1+Premissas!$B$124)^0</f>
        <v>777.27354865059181</v>
      </c>
      <c r="H183" s="142">
        <f>H175*Premissas!$F$19*(1+Premissas!$B$127)*(1+Premissas!$B$124)^0</f>
        <v>973.14648291054107</v>
      </c>
      <c r="I183" s="142">
        <f>I175*Premissas!$F$19*(1+Premissas!$B$127)*(1+Premissas!$B$124)^0</f>
        <v>932.72825838071014</v>
      </c>
      <c r="J183" s="142">
        <f>J175*Premissas!$F$19*(1+Premissas!$B$127)*(1+Premissas!$B$124)^0</f>
        <v>1305.8195617329943</v>
      </c>
      <c r="K183" s="142">
        <f>K175*Premissas!$F$19*(1+Premissas!$B$127)*(1+Premissas!$B$124)^0</f>
        <v>1210.992188797622</v>
      </c>
      <c r="L183" s="142">
        <f>L175*Premissas!$F$19*(1+Premissas!$B$127)*(1+Premissas!$B$124)^0</f>
        <v>1168.501234804723</v>
      </c>
      <c r="M183" s="142">
        <f>M175*Premissas!$F$19*(1+Premissas!$B$127)*(1+Premissas!$B$124)^0</f>
        <v>1253.4831427905212</v>
      </c>
      <c r="N183" s="142">
        <f>N175*Premissas!$F$19*(1+Premissas!$B$127)*(1+Premissas!$B$124)^0</f>
        <v>971.98057258756489</v>
      </c>
      <c r="O183" s="142">
        <f>O175*Premissas!$F$19*(1+Premissas!$B$127)*(1+Premissas!$B$124)^0</f>
        <v>778.64673191987447</v>
      </c>
      <c r="P183" s="142">
        <f>P175*Premissas!$F$19*(1+Premissas!$B$127)*(1+Premissas!$B$124)^1</f>
        <v>623.80969556975037</v>
      </c>
      <c r="Q183" s="142">
        <f>Q175*Premissas!$F$19*(1+Premissas!$B$127)*(1+Premissas!$B$124)^1</f>
        <v>534.8548833856164</v>
      </c>
      <c r="R183" s="142">
        <f>R175*Premissas!$F$19*(1+Premissas!$B$127)*(1+Premissas!$B$124)^1</f>
        <v>591.15539742620763</v>
      </c>
      <c r="S183" s="142">
        <f>S175*Premissas!$F$19*(1+Premissas!$B$127)*(1+Premissas!$B$124)^1</f>
        <v>844.50771060886802</v>
      </c>
      <c r="T183" s="142">
        <f>T175*Premissas!$F$19*(1+Premissas!$B$127)*(1+Premissas!$B$124)^1</f>
        <v>1057.3236536823026</v>
      </c>
      <c r="U183" s="142">
        <f>U175*Premissas!$F$19*(1+Premissas!$B$127)*(1+Premissas!$B$124)^1</f>
        <v>1013.4092527306415</v>
      </c>
      <c r="V183" s="142">
        <f>V175*Premissas!$F$19*(1+Premissas!$B$127)*(1+Premissas!$B$124)^1</f>
        <v>1418.7729538228982</v>
      </c>
      <c r="W183" s="142">
        <f>W175*Premissas!$F$19*(1+Premissas!$B$127)*(1+Premissas!$B$124)^1</f>
        <v>1283.6517201254794</v>
      </c>
      <c r="X183" s="142">
        <f>X175*Premissas!$F$19*(1+Premissas!$B$127)*(1+Premissas!$B$124)^1</f>
        <v>1238.6113088930065</v>
      </c>
      <c r="Y183" s="142">
        <f>Y175*Premissas!$F$19*(1+Premissas!$B$127)*(1+Premissas!$B$124)^1</f>
        <v>1328.6921313579526</v>
      </c>
      <c r="Z183" s="142">
        <f>Z175*Premissas!$F$19*(1+Premissas!$B$127)*(1+Premissas!$B$124)^1</f>
        <v>1030.2994069428189</v>
      </c>
      <c r="AA183" s="142">
        <f>AA175*Premissas!$F$19*(1+Premissas!$B$127)*(1+Premissas!$B$124)^1</f>
        <v>825.36553583506702</v>
      </c>
      <c r="AB183" s="142">
        <f>AB175*Premissas!$F$19*(1+Premissas!$B$127)*(1+Premissas!$B$124)^2</f>
        <v>896.75965468480035</v>
      </c>
      <c r="AC183" s="142">
        <f>AC175*Premissas!$F$19*(1+Premissas!$B$127)*(1+Premissas!$B$124)^2</f>
        <v>896.75965468480035</v>
      </c>
      <c r="AD183" s="142">
        <f>AD175*Premissas!$F$19*(1+Premissas!$B$127)*(1+Premissas!$B$124)^2</f>
        <v>896.75965468480035</v>
      </c>
      <c r="AE183" s="142">
        <f>AE175*Premissas!$F$19*(1+Premissas!$B$127)*(1+Premissas!$B$124)^2</f>
        <v>896.75965468480035</v>
      </c>
      <c r="AF183" s="142">
        <f>AF175*Premissas!$F$19*(1+Premissas!$B$127)*(1+Premissas!$B$124)^2</f>
        <v>896.75965468480035</v>
      </c>
      <c r="AG183" s="142">
        <f>AG175*Premissas!$F$19*(1+Premissas!$B$127)*(1+Premissas!$B$124)^2</f>
        <v>896.75965468480035</v>
      </c>
      <c r="AH183" s="142">
        <f>AH175*Premissas!$F$19*(1+Premissas!$B$127)*(1+Premissas!$B$124)^2</f>
        <v>896.75965468480035</v>
      </c>
      <c r="AI183" s="142">
        <f>AI175*Premissas!$F$19*(1+Premissas!$B$127)*(1+Premissas!$B$124)^2</f>
        <v>896.75965468480035</v>
      </c>
      <c r="AJ183" s="142">
        <f>AJ175*Premissas!$F$19*(1+Premissas!$B$127)*(1+Premissas!$B$124)^2</f>
        <v>896.75965468480035</v>
      </c>
      <c r="AK183" s="142">
        <f>AK175*Premissas!$F$19*(1+Premissas!$B$127)*(1+Premissas!$B$124)^2</f>
        <v>896.75965468480035</v>
      </c>
      <c r="AL183" s="142">
        <f>AL175*Premissas!$F$19*(1+Premissas!$B$127)*(1+Premissas!$B$124)^2</f>
        <v>896.75965468480035</v>
      </c>
      <c r="AM183" s="142">
        <f>AM175*Premissas!$F$19*(1+Premissas!$B$127)*(1+Premissas!$B$124)^2</f>
        <v>896.75965468480035</v>
      </c>
      <c r="AN183" s="142">
        <f>AN175*Premissas!$F$19*(1+Premissas!$B$127)*(1+Premissas!$B$124)^3</f>
        <v>974.32936481503555</v>
      </c>
      <c r="AO183" s="142">
        <f>AO175*Premissas!$F$19*(1+Premissas!$B$127)*(1+Premissas!$B$124)^3</f>
        <v>974.32936481503555</v>
      </c>
      <c r="AP183" s="142">
        <f>AP175*Premissas!$F$19*(1+Premissas!$B$127)*(1+Premissas!$B$124)^3</f>
        <v>974.32936481503555</v>
      </c>
      <c r="AQ183" s="142">
        <f>AQ175*Premissas!$F$19*(1+Premissas!$B$127)*(1+Premissas!$B$124)^3</f>
        <v>974.32936481503555</v>
      </c>
      <c r="AR183" s="142">
        <f>AR175*Premissas!$F$19*(1+Premissas!$B$127)*(1+Premissas!$B$124)^3</f>
        <v>974.32936481503555</v>
      </c>
      <c r="AS183" s="142">
        <f>AS175*Premissas!$F$19*(1+Premissas!$B$127)*(1+Premissas!$B$124)^3</f>
        <v>974.32936481503555</v>
      </c>
      <c r="AT183" s="142">
        <f>AT175*Premissas!$F$19*(1+Premissas!$B$127)*(1+Premissas!$B$124)^3</f>
        <v>974.32936481503555</v>
      </c>
      <c r="AU183" s="142">
        <f>AU175*Premissas!$F$19*(1+Premissas!$B$127)*(1+Premissas!$B$124)^3</f>
        <v>974.32936481503555</v>
      </c>
      <c r="AV183" s="142">
        <f>AV175*Premissas!$F$19*(1+Premissas!$B$127)*(1+Premissas!$B$124)^3</f>
        <v>974.32936481503555</v>
      </c>
      <c r="AW183" s="142">
        <f>AW175*Premissas!$F$19*(1+Premissas!$B$127)*(1+Premissas!$B$124)^3</f>
        <v>974.32936481503555</v>
      </c>
      <c r="AX183" s="142">
        <f>AX175*Premissas!$F$19*(1+Premissas!$B$127)*(1+Premissas!$B$124)^3</f>
        <v>974.32936481503555</v>
      </c>
      <c r="AY183" s="142">
        <f>AY175*Premissas!$F$19*(1+Premissas!$B$127)*(1+Premissas!$B$124)^3</f>
        <v>974.32936481503555</v>
      </c>
      <c r="AZ183" s="142">
        <f>AZ175*Premissas!$F$19*(1+Premissas!$B$127)*(1+Premissas!$B$124)^4</f>
        <v>1058.6088548715361</v>
      </c>
      <c r="BA183" s="142">
        <f>BA175*Premissas!$F$19*(1+Premissas!$B$127)*(1+Premissas!$B$124)^4</f>
        <v>1058.6088548715361</v>
      </c>
      <c r="BB183" s="142">
        <f>BB175*Premissas!$F$19*(1+Premissas!$B$127)*(1+Premissas!$B$124)^4</f>
        <v>1058.6088548715361</v>
      </c>
      <c r="BC183" s="142">
        <f>BC175*Premissas!$F$19*(1+Premissas!$B$127)*(1+Premissas!$B$124)^4</f>
        <v>1058.6088548715361</v>
      </c>
      <c r="BD183" s="142">
        <f>BD175*Premissas!$F$19*(1+Premissas!$B$127)*(1+Premissas!$B$124)^4</f>
        <v>1058.6088548715361</v>
      </c>
      <c r="BE183" s="142">
        <f>BE175*Premissas!$F$19*(1+Premissas!$B$127)*(1+Premissas!$B$124)^4</f>
        <v>1058.6088548715361</v>
      </c>
      <c r="BF183" s="142">
        <f>BF175*Premissas!$F$19*(1+Premissas!$B$127)*(1+Premissas!$B$124)^4</f>
        <v>1058.6088548715361</v>
      </c>
      <c r="BG183" s="142">
        <f>BG175*Premissas!$F$19*(1+Premissas!$B$127)*(1+Premissas!$B$124)^4</f>
        <v>1058.6088548715361</v>
      </c>
      <c r="BH183" s="142">
        <f>BH175*Premissas!$F$19*(1+Premissas!$B$127)*(1+Premissas!$B$124)^4</f>
        <v>1058.6088548715361</v>
      </c>
      <c r="BI183" s="142">
        <f>BI175*Premissas!$F$19*(1+Premissas!$B$127)*(1+Premissas!$B$124)^4</f>
        <v>1058.6088548715361</v>
      </c>
      <c r="BJ183" s="142">
        <f>BJ175*Premissas!$F$19*(1+Premissas!$B$127)*(1+Premissas!$B$124)^4</f>
        <v>1058.6088548715361</v>
      </c>
      <c r="BK183" s="142">
        <f>BK175*Premissas!$F$19*(1+Premissas!$B$127)*(1+Premissas!$B$124)^4</f>
        <v>1058.6088548715361</v>
      </c>
    </row>
    <row r="184" spans="1:63" ht="12.75" customHeight="1" x14ac:dyDescent="0.2">
      <c r="A184" s="143" t="s">
        <v>415</v>
      </c>
      <c r="B184" s="144">
        <f>SUM(D184:BQ184)</f>
        <v>233.75094335091117</v>
      </c>
      <c r="C184" s="124">
        <f>B184/60</f>
        <v>3.8958490558485197</v>
      </c>
      <c r="D184" s="144">
        <f>IF(D179&gt;0,0,MAX(D175-D176-D177,0)*Premissas!$B$7*(1+Premissas!$B$127)*(1+Premissas!$B$124)^0)</f>
        <v>43.063545507071723</v>
      </c>
      <c r="E184" s="144">
        <f>IF(E179&gt;0,0,MAX(E175-E176-E177,0)*Premissas!$B$7*(1+Premissas!$B$127)*(1+Premissas!$B$124)^0)</f>
        <v>0</v>
      </c>
      <c r="F184" s="144">
        <f>IF(F179&gt;0,0,MAX(F175-F176-F177,0)*Premissas!$B$7*(1+Premissas!$B$127)*(1+Premissas!$B$124)^0)</f>
        <v>0</v>
      </c>
      <c r="G184" s="144">
        <f>IF(G179&gt;0,0,MAX(G175-G176-G177,0)*Premissas!$B$7*(1+Premissas!$B$127)*(1+Premissas!$B$124)^0)</f>
        <v>0</v>
      </c>
      <c r="H184" s="144">
        <f>IF(H179&gt;0,0,MAX(H175-H176-H177,0)*Premissas!$B$7*(1+Premissas!$B$127)*(1+Premissas!$B$124)^0)</f>
        <v>0</v>
      </c>
      <c r="I184" s="144">
        <f>IF(I179&gt;0,0,MAX(I175-I176-I177,0)*Premissas!$B$7*(1+Premissas!$B$127)*(1+Premissas!$B$124)^0)</f>
        <v>0</v>
      </c>
      <c r="J184" s="144">
        <f>IF(J179&gt;0,0,MAX(J175-J176-J177,0)*Premissas!$B$7*(1+Premissas!$B$127)*(1+Premissas!$B$124)^0)</f>
        <v>0</v>
      </c>
      <c r="K184" s="144">
        <f>IF(K179&gt;0,0,MAX(K175-K176-K177,0)*Premissas!$B$7*(1+Premissas!$B$127)*(1+Premissas!$B$124)^0)</f>
        <v>0</v>
      </c>
      <c r="L184" s="144">
        <f>IF(L179&gt;0,0,MAX(L175-L176-L177,0)*Premissas!$B$7*(1+Premissas!$B$127)*(1+Premissas!$B$124)^0)</f>
        <v>0</v>
      </c>
      <c r="M184" s="144">
        <f>IF(M179&gt;0,0,MAX(M175-M176-M177,0)*Premissas!$B$7*(1+Premissas!$B$127)*(1+Premissas!$B$124)^0)</f>
        <v>0</v>
      </c>
      <c r="N184" s="144">
        <f>IF(N179&gt;0,0,MAX(N175-N176-N177,0)*Premissas!$B$7*(1+Premissas!$B$127)*(1+Premissas!$B$124)^0)</f>
        <v>0</v>
      </c>
      <c r="O184" s="144">
        <f>IF(O179&gt;0,0,MAX(O175-O176-O177,0)*Premissas!$B$7*(1+Premissas!$B$127)*(1+Premissas!$B$124)^0)</f>
        <v>0</v>
      </c>
      <c r="P184" s="144">
        <f>IF(P179&gt;0,0,MAX(P175-P176-P177,0)*Premissas!$B$7*(1+Premissas!$B$127)*(1+Premissas!$B$124)^1)</f>
        <v>0</v>
      </c>
      <c r="Q184" s="144">
        <f>IF(Q179&gt;0,0,MAX(Q175-Q176-Q177,0)*Premissas!$B$7*(1+Premissas!$B$127)*(1+Premissas!$B$124)^1)</f>
        <v>0</v>
      </c>
      <c r="R184" s="144">
        <f>IF(R179&gt;0,0,MAX(R175-R176-R177,0)*Premissas!$B$7*(1+Premissas!$B$127)*(1+Premissas!$B$124)^1)</f>
        <v>0</v>
      </c>
      <c r="S184" s="144">
        <f>IF(S179&gt;0,0,MAX(S175-S176-S177,0)*Premissas!$B$7*(1+Premissas!$B$127)*(1+Premissas!$B$124)^1)</f>
        <v>0</v>
      </c>
      <c r="T184" s="144">
        <f>IF(T179&gt;0,0,MAX(T175-T176-T177,0)*Premissas!$B$7*(1+Premissas!$B$127)*(1+Premissas!$B$124)^1)</f>
        <v>0</v>
      </c>
      <c r="U184" s="144">
        <f>IF(U179&gt;0,0,MAX(U175-U176-U177,0)*Premissas!$B$7*(1+Premissas!$B$127)*(1+Premissas!$B$124)^1)</f>
        <v>0</v>
      </c>
      <c r="V184" s="144">
        <f>IF(V179&gt;0,0,MAX(V175-V176-V177,0)*Premissas!$B$7*(1+Premissas!$B$127)*(1+Premissas!$B$124)^1)</f>
        <v>0</v>
      </c>
      <c r="W184" s="144">
        <f>IF(W179&gt;0,0,MAX(W175-W176-W177,0)*Premissas!$B$7*(1+Premissas!$B$127)*(1+Premissas!$B$124)^1)</f>
        <v>0</v>
      </c>
      <c r="X184" s="144">
        <f>IF(X179&gt;0,0,MAX(X175-X176-X177,0)*Premissas!$B$7*(1+Premissas!$B$127)*(1+Premissas!$B$124)^1)</f>
        <v>0</v>
      </c>
      <c r="Y184" s="144">
        <f>IF(Y179&gt;0,0,MAX(Y175-Y176-Y177,0)*Premissas!$B$7*(1+Premissas!$B$127)*(1+Premissas!$B$124)^1)</f>
        <v>0</v>
      </c>
      <c r="Z184" s="144">
        <f>IF(Z179&gt;0,0,MAX(Z175-Z176-Z177,0)*Premissas!$B$7*(1+Premissas!$B$127)*(1+Premissas!$B$124)^1)</f>
        <v>0</v>
      </c>
      <c r="AA184" s="144">
        <f>IF(AA179&gt;0,0,MAX(AA175-AA176-AA177,0)*Premissas!$B$7*(1+Premissas!$B$127)*(1+Premissas!$B$124)^1)</f>
        <v>0</v>
      </c>
      <c r="AB184" s="144">
        <f>IF(AB179&gt;0,0,MAX(AB175-AB176-AB177,0)*Premissas!$B$7*(1+Premissas!$B$127)*(1+Premissas!$B$124)^2)</f>
        <v>0</v>
      </c>
      <c r="AC184" s="144">
        <f>IF(AC179&gt;0,0,MAX(AC175-AC176-AC177,0)*Premissas!$B$7*(1+Premissas!$B$127)*(1+Premissas!$B$124)^2)</f>
        <v>0</v>
      </c>
      <c r="AD184" s="144">
        <f>IF(AD179&gt;0,0,MAX(AD175-AD176-AD177,0)*Premissas!$B$7*(1+Premissas!$B$127)*(1+Premissas!$B$124)^2)</f>
        <v>0</v>
      </c>
      <c r="AE184" s="144">
        <f>IF(AE179&gt;0,0,MAX(AE175-AE176-AE177,0)*Premissas!$B$7*(1+Premissas!$B$127)*(1+Premissas!$B$124)^2)</f>
        <v>0</v>
      </c>
      <c r="AF184" s="144">
        <f>IF(AF179&gt;0,0,MAX(AF175-AF176-AF177,0)*Premissas!$B$7*(1+Premissas!$B$127)*(1+Premissas!$B$124)^2)</f>
        <v>0</v>
      </c>
      <c r="AG184" s="144">
        <f>IF(AG179&gt;0,0,MAX(AG175-AG176-AG177,0)*Premissas!$B$7*(1+Premissas!$B$127)*(1+Premissas!$B$124)^2)</f>
        <v>0</v>
      </c>
      <c r="AH184" s="144">
        <f>IF(AH179&gt;0,0,MAX(AH175-AH176-AH177,0)*Premissas!$B$7*(1+Premissas!$B$127)*(1+Premissas!$B$124)^2)</f>
        <v>0</v>
      </c>
      <c r="AI184" s="144">
        <f>IF(AI179&gt;0,0,MAX(AI175-AI176-AI177,0)*Premissas!$B$7*(1+Premissas!$B$127)*(1+Premissas!$B$124)^2)</f>
        <v>0</v>
      </c>
      <c r="AJ184" s="144">
        <f>IF(AJ179&gt;0,0,MAX(AJ175-AJ176-AJ177,0)*Premissas!$B$7*(1+Premissas!$B$127)*(1+Premissas!$B$124)^2)</f>
        <v>0</v>
      </c>
      <c r="AK184" s="144">
        <f>IF(AK179&gt;0,0,MAX(AK175-AK176-AK177,0)*Premissas!$B$7*(1+Premissas!$B$127)*(1+Premissas!$B$124)^2)</f>
        <v>0</v>
      </c>
      <c r="AL184" s="144">
        <f>IF(AL179&gt;0,0,MAX(AL175-AL176-AL177,0)*Premissas!$B$7*(1+Premissas!$B$127)*(1+Premissas!$B$124)^2)</f>
        <v>0</v>
      </c>
      <c r="AM184" s="144">
        <f>IF(AM179&gt;0,0,MAX(AM175-AM176-AM177,0)*Premissas!$B$7*(1+Premissas!$B$127)*(1+Premissas!$B$124)^2)</f>
        <v>0</v>
      </c>
      <c r="AN184" s="144">
        <f>IF(AN179&gt;0,0,MAX(AN175-AN176-AN177,0)*Premissas!$B$7*(1+Premissas!$B$127)*(1+Premissas!$B$124)^3)</f>
        <v>0</v>
      </c>
      <c r="AO184" s="144">
        <f>IF(AO179&gt;0,0,MAX(AO175-AO176-AO177,0)*Premissas!$B$7*(1+Premissas!$B$127)*(1+Premissas!$B$124)^3)</f>
        <v>0</v>
      </c>
      <c r="AP184" s="144">
        <f>IF(AP179&gt;0,0,MAX(AP175-AP176-AP177,0)*Premissas!$B$7*(1+Premissas!$B$127)*(1+Premissas!$B$124)^3)</f>
        <v>0</v>
      </c>
      <c r="AQ184" s="144">
        <f>IF(AQ179&gt;0,0,MAX(AQ175-AQ176-AQ177,0)*Premissas!$B$7*(1+Premissas!$B$127)*(1+Premissas!$B$124)^3)</f>
        <v>0</v>
      </c>
      <c r="AR184" s="144">
        <f>IF(AR179&gt;0,0,MAX(AR175-AR176-AR177,0)*Premissas!$B$7*(1+Premissas!$B$127)*(1+Premissas!$B$124)^3)</f>
        <v>0</v>
      </c>
      <c r="AS184" s="144">
        <f>IF(AS179&gt;0,0,MAX(AS175-AS176-AS177,0)*Premissas!$B$7*(1+Premissas!$B$127)*(1+Premissas!$B$124)^3)</f>
        <v>0</v>
      </c>
      <c r="AT184" s="144">
        <f>IF(AT179&gt;0,0,MAX(AT175-AT176-AT177,0)*Premissas!$B$7*(1+Premissas!$B$127)*(1+Premissas!$B$124)^3)</f>
        <v>0</v>
      </c>
      <c r="AU184" s="144">
        <f>IF(AU179&gt;0,0,MAX(AU175-AU176-AU177,0)*Premissas!$B$7*(1+Premissas!$B$127)*(1+Premissas!$B$124)^3)</f>
        <v>0</v>
      </c>
      <c r="AV184" s="144">
        <f>IF(AV179&gt;0,0,MAX(AV175-AV176-AV177,0)*Premissas!$B$7*(1+Premissas!$B$127)*(1+Premissas!$B$124)^3)</f>
        <v>0</v>
      </c>
      <c r="AW184" s="144">
        <f>IF(AW179&gt;0,0,MAX(AW175-AW176-AW177,0)*Premissas!$B$7*(1+Premissas!$B$127)*(1+Premissas!$B$124)^3)</f>
        <v>0</v>
      </c>
      <c r="AX184" s="144">
        <f>IF(AX179&gt;0,0,MAX(AX175-AX176-AX177,0)*Premissas!$B$7*(1+Premissas!$B$127)*(1+Premissas!$B$124)^3)</f>
        <v>0</v>
      </c>
      <c r="AY184" s="144">
        <f>IF(AY179&gt;0,0,MAX(AY175-AY176-AY177,0)*Premissas!$B$7*(1+Premissas!$B$127)*(1+Premissas!$B$124)^3)</f>
        <v>0</v>
      </c>
      <c r="AZ184" s="144">
        <f>IF(AZ179&gt;0,0,MAX(AZ175-AZ176-AZ177,0)*Premissas!$B$7*(1+Premissas!$B$127)*(1+Premissas!$B$124)^4)</f>
        <v>0</v>
      </c>
      <c r="BA184" s="144">
        <f>IF(BA179&gt;0,0,MAX(BA175-BA176-BA177,0)*Premissas!$B$7*(1+Premissas!$B$127)*(1+Premissas!$B$124)^4)</f>
        <v>0</v>
      </c>
      <c r="BB184" s="144">
        <f>IF(BB179&gt;0,0,MAX(BB175-BB176-BB177,0)*Premissas!$B$7*(1+Premissas!$B$127)*(1+Premissas!$B$124)^4)</f>
        <v>0</v>
      </c>
      <c r="BC184" s="144">
        <f>IF(BC179&gt;0,0,MAX(BC175-BC176-BC177,0)*Premissas!$B$7*(1+Premissas!$B$127)*(1+Premissas!$B$124)^4)</f>
        <v>0</v>
      </c>
      <c r="BD184" s="144">
        <f>IF(BD179&gt;0,0,MAX(BD175-BD176-BD177,0)*Premissas!$B$7*(1+Premissas!$B$127)*(1+Premissas!$B$124)^4)</f>
        <v>0</v>
      </c>
      <c r="BE184" s="144">
        <f>IF(BE179&gt;0,0,MAX(BE175-BE176-BE177,0)*Premissas!$B$7*(1+Premissas!$B$127)*(1+Premissas!$B$124)^4)</f>
        <v>0</v>
      </c>
      <c r="BF184" s="144">
        <f>IF(BF179&gt;0,0,MAX(BF175-BF176-BF177,0)*Premissas!$B$7*(1+Premissas!$B$127)*(1+Premissas!$B$124)^4)</f>
        <v>0</v>
      </c>
      <c r="BG184" s="144">
        <f>IF(BG179&gt;0,0,MAX(BG175-BG176-BG177,0)*Premissas!$B$7*(1+Premissas!$B$127)*(1+Premissas!$B$124)^4)</f>
        <v>0</v>
      </c>
      <c r="BH184" s="144">
        <f>IF(BH179&gt;0,0,MAX(BH175-BH176-BH177,0)*Premissas!$B$7*(1+Premissas!$B$127)*(1+Premissas!$B$124)^4)</f>
        <v>0</v>
      </c>
      <c r="BI184" s="144">
        <f>IF(BI179&gt;0,0,MAX(BI175-BI176-BI177,0)*Premissas!$B$7*(1+Premissas!$B$127)*(1+Premissas!$B$124)^4)</f>
        <v>0</v>
      </c>
      <c r="BJ184" s="144">
        <f>IF(BJ179&gt;0,0,MAX(BJ175-BJ176-BJ177,0)*Premissas!$B$7*(1+Premissas!$B$127)*(1+Premissas!$B$124)^4)</f>
        <v>0</v>
      </c>
      <c r="BK184" s="144">
        <f>IF(BK179&gt;0,0,MAX(BK175-BK176-BK177,0)*Premissas!$B$7*(1+Premissas!$B$127)*(1+Premissas!$B$124)^4)</f>
        <v>190.68739784383945</v>
      </c>
    </row>
    <row r="185" spans="1:63" ht="13.5" customHeight="1" x14ac:dyDescent="0.2">
      <c r="A185" s="41" t="s">
        <v>416</v>
      </c>
      <c r="B185" s="44">
        <f>SUM(D185:BQ185)</f>
        <v>57696.159714865309</v>
      </c>
      <c r="C185" s="124">
        <f>B185/60</f>
        <v>961.60266191442179</v>
      </c>
      <c r="D185" s="145">
        <f t="shared" ref="D185:AI185" si="178">MAX(D183-D184,0)</f>
        <v>531.08251576283203</v>
      </c>
      <c r="E185" s="145">
        <f t="shared" si="178"/>
        <v>492.27324747870819</v>
      </c>
      <c r="F185" s="145">
        <f t="shared" si="178"/>
        <v>544.0914840554143</v>
      </c>
      <c r="G185" s="145">
        <f t="shared" si="178"/>
        <v>777.27354865059181</v>
      </c>
      <c r="H185" s="145">
        <f t="shared" si="178"/>
        <v>973.14648291054107</v>
      </c>
      <c r="I185" s="145">
        <f t="shared" si="178"/>
        <v>932.72825838071014</v>
      </c>
      <c r="J185" s="145">
        <f t="shared" si="178"/>
        <v>1305.8195617329943</v>
      </c>
      <c r="K185" s="145">
        <f t="shared" si="178"/>
        <v>1210.992188797622</v>
      </c>
      <c r="L185" s="145">
        <f t="shared" si="178"/>
        <v>1168.501234804723</v>
      </c>
      <c r="M185" s="145">
        <f t="shared" si="178"/>
        <v>1253.4831427905212</v>
      </c>
      <c r="N185" s="145">
        <f t="shared" si="178"/>
        <v>971.98057258756489</v>
      </c>
      <c r="O185" s="145">
        <f t="shared" si="178"/>
        <v>778.64673191987447</v>
      </c>
      <c r="P185" s="145">
        <f t="shared" si="178"/>
        <v>623.80969556975037</v>
      </c>
      <c r="Q185" s="145">
        <f t="shared" si="178"/>
        <v>534.8548833856164</v>
      </c>
      <c r="R185" s="145">
        <f t="shared" si="178"/>
        <v>591.15539742620763</v>
      </c>
      <c r="S185" s="145">
        <f t="shared" si="178"/>
        <v>844.50771060886802</v>
      </c>
      <c r="T185" s="145">
        <f t="shared" si="178"/>
        <v>1057.3236536823026</v>
      </c>
      <c r="U185" s="145">
        <f t="shared" si="178"/>
        <v>1013.4092527306415</v>
      </c>
      <c r="V185" s="145">
        <f t="shared" si="178"/>
        <v>1418.7729538228982</v>
      </c>
      <c r="W185" s="145">
        <f t="shared" si="178"/>
        <v>1283.6517201254794</v>
      </c>
      <c r="X185" s="145">
        <f t="shared" si="178"/>
        <v>1238.6113088930065</v>
      </c>
      <c r="Y185" s="145">
        <f t="shared" si="178"/>
        <v>1328.6921313579526</v>
      </c>
      <c r="Z185" s="145">
        <f t="shared" si="178"/>
        <v>1030.2994069428189</v>
      </c>
      <c r="AA185" s="145">
        <f t="shared" si="178"/>
        <v>825.36553583506702</v>
      </c>
      <c r="AB185" s="145">
        <f t="shared" si="178"/>
        <v>896.75965468480035</v>
      </c>
      <c r="AC185" s="145">
        <f t="shared" si="178"/>
        <v>896.75965468480035</v>
      </c>
      <c r="AD185" s="145">
        <f t="shared" si="178"/>
        <v>896.75965468480035</v>
      </c>
      <c r="AE185" s="145">
        <f t="shared" si="178"/>
        <v>896.75965468480035</v>
      </c>
      <c r="AF185" s="145">
        <f t="shared" si="178"/>
        <v>896.75965468480035</v>
      </c>
      <c r="AG185" s="145">
        <f t="shared" si="178"/>
        <v>896.75965468480035</v>
      </c>
      <c r="AH185" s="145">
        <f t="shared" si="178"/>
        <v>896.75965468480035</v>
      </c>
      <c r="AI185" s="145">
        <f t="shared" si="178"/>
        <v>896.75965468480035</v>
      </c>
      <c r="AJ185" s="145">
        <f t="shared" ref="AJ185:BO185" si="179">MAX(AJ183-AJ184,0)</f>
        <v>896.75965468480035</v>
      </c>
      <c r="AK185" s="145">
        <f t="shared" si="179"/>
        <v>896.75965468480035</v>
      </c>
      <c r="AL185" s="145">
        <f t="shared" si="179"/>
        <v>896.75965468480035</v>
      </c>
      <c r="AM185" s="145">
        <f t="shared" si="179"/>
        <v>896.75965468480035</v>
      </c>
      <c r="AN185" s="145">
        <f t="shared" si="179"/>
        <v>974.32936481503555</v>
      </c>
      <c r="AO185" s="145">
        <f t="shared" si="179"/>
        <v>974.32936481503555</v>
      </c>
      <c r="AP185" s="145">
        <f t="shared" si="179"/>
        <v>974.32936481503555</v>
      </c>
      <c r="AQ185" s="145">
        <f t="shared" si="179"/>
        <v>974.32936481503555</v>
      </c>
      <c r="AR185" s="145">
        <f t="shared" si="179"/>
        <v>974.32936481503555</v>
      </c>
      <c r="AS185" s="145">
        <f t="shared" si="179"/>
        <v>974.32936481503555</v>
      </c>
      <c r="AT185" s="145">
        <f t="shared" si="179"/>
        <v>974.32936481503555</v>
      </c>
      <c r="AU185" s="145">
        <f t="shared" si="179"/>
        <v>974.32936481503555</v>
      </c>
      <c r="AV185" s="145">
        <f t="shared" si="179"/>
        <v>974.32936481503555</v>
      </c>
      <c r="AW185" s="145">
        <f t="shared" si="179"/>
        <v>974.32936481503555</v>
      </c>
      <c r="AX185" s="145">
        <f t="shared" si="179"/>
        <v>974.32936481503555</v>
      </c>
      <c r="AY185" s="145">
        <f t="shared" si="179"/>
        <v>974.32936481503555</v>
      </c>
      <c r="AZ185" s="145">
        <f t="shared" si="179"/>
        <v>1058.6088548715361</v>
      </c>
      <c r="BA185" s="145">
        <f t="shared" si="179"/>
        <v>1058.6088548715361</v>
      </c>
      <c r="BB185" s="145">
        <f t="shared" si="179"/>
        <v>1058.6088548715361</v>
      </c>
      <c r="BC185" s="145">
        <f t="shared" si="179"/>
        <v>1058.6088548715361</v>
      </c>
      <c r="BD185" s="145">
        <f t="shared" si="179"/>
        <v>1058.6088548715361</v>
      </c>
      <c r="BE185" s="145">
        <f t="shared" si="179"/>
        <v>1058.6088548715361</v>
      </c>
      <c r="BF185" s="145">
        <f t="shared" si="179"/>
        <v>1058.6088548715361</v>
      </c>
      <c r="BG185" s="145">
        <f t="shared" si="179"/>
        <v>1058.6088548715361</v>
      </c>
      <c r="BH185" s="145">
        <f t="shared" si="179"/>
        <v>1058.6088548715361</v>
      </c>
      <c r="BI185" s="145">
        <f t="shared" si="179"/>
        <v>1058.6088548715361</v>
      </c>
      <c r="BJ185" s="145">
        <f t="shared" si="179"/>
        <v>1058.6088548715361</v>
      </c>
      <c r="BK185" s="145">
        <f t="shared" si="179"/>
        <v>867.92145702769665</v>
      </c>
    </row>
    <row r="187" spans="1:63" ht="15" customHeight="1" x14ac:dyDescent="0.2">
      <c r="A187" s="298" t="s">
        <v>431</v>
      </c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89"/>
      <c r="P187" s="289"/>
      <c r="Q187" s="289"/>
      <c r="R187" s="289"/>
      <c r="S187" s="289"/>
      <c r="T187" s="289"/>
      <c r="U187" s="289"/>
      <c r="V187" s="289"/>
      <c r="W187" s="289"/>
      <c r="X187" s="289"/>
      <c r="Y187" s="289"/>
      <c r="Z187" s="289"/>
      <c r="AA187" s="289"/>
    </row>
    <row r="188" spans="1:63" ht="12.75" customHeight="1" x14ac:dyDescent="0.2">
      <c r="A188" s="147" t="s">
        <v>403</v>
      </c>
      <c r="B188" s="148">
        <f>SUM(D188:BQ188)</f>
        <v>95642.808899999989</v>
      </c>
      <c r="C188" s="120">
        <f>B188/60</f>
        <v>1594.0468149999999</v>
      </c>
      <c r="D188" s="148">
        <v>1737</v>
      </c>
      <c r="E188" s="148">
        <v>1294</v>
      </c>
      <c r="F188" s="148">
        <v>2459</v>
      </c>
      <c r="G188" s="148">
        <v>7235</v>
      </c>
      <c r="H188" s="148">
        <v>5439</v>
      </c>
      <c r="I188" s="148">
        <v>4046</v>
      </c>
      <c r="J188" s="148">
        <v>4877</v>
      </c>
      <c r="K188" s="148">
        <f>0*(1+Premissas!$B$21)</f>
        <v>0</v>
      </c>
      <c r="L188" s="148">
        <f>875*(1+Premissas!$B$21)</f>
        <v>896.87499999999989</v>
      </c>
      <c r="M188" s="148">
        <f>1347*(1+Premissas!$B$21)</f>
        <v>1380.675</v>
      </c>
      <c r="N188" s="148">
        <f>1107*(1+Premissas!$B$21)</f>
        <v>1134.675</v>
      </c>
      <c r="O188" s="148">
        <f>832*(1+Premissas!$B$21)</f>
        <v>852.8</v>
      </c>
      <c r="P188" s="148">
        <f>1737*(1+Premissas!$B$21)</f>
        <v>1780.425</v>
      </c>
      <c r="Q188" s="148">
        <f>1294*(1+Premissas!$B$21)</f>
        <v>1326.35</v>
      </c>
      <c r="R188" s="148">
        <f>2459*(1+Premissas!$B$21)</f>
        <v>2520.4749999999999</v>
      </c>
      <c r="S188" s="148">
        <f>7235*(1+Premissas!$B$21)</f>
        <v>7415.8749999999991</v>
      </c>
      <c r="T188" s="148">
        <f>5439*(1+Premissas!$B$21)</f>
        <v>5574.9749999999995</v>
      </c>
      <c r="U188" s="148">
        <f>4046*(1+Premissas!$B$21)</f>
        <v>4147.1499999999996</v>
      </c>
      <c r="V188" s="148">
        <f>4877*(1+Premissas!$B$21)</f>
        <v>4998.9249999999993</v>
      </c>
      <c r="W188" s="148">
        <f>0*(1+Premissas!$B$21)</f>
        <v>0</v>
      </c>
      <c r="X188" s="148">
        <f>875*(1+Premissas!$B$21)</f>
        <v>896.87499999999989</v>
      </c>
      <c r="Y188" s="148">
        <f>1347*(1+Premissas!$B$21)</f>
        <v>1380.675</v>
      </c>
      <c r="Z188" s="148">
        <f>1107*(1+Premissas!$B$21)</f>
        <v>1134.675</v>
      </c>
      <c r="AA188" s="148">
        <f>832*(1+Premissas!$B$21)</f>
        <v>852.8</v>
      </c>
      <c r="AB188" s="148">
        <f>832*(1+Premissas!$B$21)^2</f>
        <v>874.11999999999989</v>
      </c>
      <c r="AC188" s="148">
        <f>832*(1+Premissas!$B$21)^2</f>
        <v>874.11999999999989</v>
      </c>
      <c r="AD188" s="148">
        <f>832*(1+Premissas!$B$21)^2</f>
        <v>874.11999999999989</v>
      </c>
      <c r="AE188" s="148">
        <f>832*(1+Premissas!$B$21)^2</f>
        <v>874.11999999999989</v>
      </c>
      <c r="AF188" s="148">
        <f>832*(1+Premissas!$B$21)^2</f>
        <v>874.11999999999989</v>
      </c>
      <c r="AG188" s="148">
        <f>832*(1+Premissas!$B$21)^2</f>
        <v>874.11999999999989</v>
      </c>
      <c r="AH188" s="148">
        <f>832*(1+Premissas!$B$21)^2</f>
        <v>874.11999999999989</v>
      </c>
      <c r="AI188" s="148">
        <f>832*(1+Premissas!$B$21)^2</f>
        <v>874.11999999999989</v>
      </c>
      <c r="AJ188" s="148">
        <f>832*(1+Premissas!$B$21)^2</f>
        <v>874.11999999999989</v>
      </c>
      <c r="AK188" s="148">
        <f>832*(1+Premissas!$B$21)^2</f>
        <v>874.11999999999989</v>
      </c>
      <c r="AL188" s="148">
        <f>832*(1+Premissas!$B$21)^2</f>
        <v>874.11999999999989</v>
      </c>
      <c r="AM188" s="148">
        <f>832*(1+Premissas!$B$21)^2</f>
        <v>874.11999999999989</v>
      </c>
      <c r="AN188" s="148">
        <f>832*(1+Premissas!$B$21)^3</f>
        <v>895.97299999999996</v>
      </c>
      <c r="AO188" s="148">
        <f>832*(1+Premissas!$B$21)^3</f>
        <v>895.97299999999996</v>
      </c>
      <c r="AP188" s="148">
        <f>832*(1+Premissas!$B$21)^3</f>
        <v>895.97299999999996</v>
      </c>
      <c r="AQ188" s="148">
        <f>832*(1+Premissas!$B$21)^3</f>
        <v>895.97299999999996</v>
      </c>
      <c r="AR188" s="148">
        <f>832*(1+Premissas!$B$21)^3</f>
        <v>895.97299999999996</v>
      </c>
      <c r="AS188" s="148">
        <f>832*(1+Premissas!$B$21)^3</f>
        <v>895.97299999999996</v>
      </c>
      <c r="AT188" s="148">
        <f>832*(1+Premissas!$B$21)^3</f>
        <v>895.97299999999996</v>
      </c>
      <c r="AU188" s="148">
        <f>832*(1+Premissas!$B$21)^3</f>
        <v>895.97299999999996</v>
      </c>
      <c r="AV188" s="148">
        <f>832*(1+Premissas!$B$21)^3</f>
        <v>895.97299999999996</v>
      </c>
      <c r="AW188" s="148">
        <f>832*(1+Premissas!$B$21)^3</f>
        <v>895.97299999999996</v>
      </c>
      <c r="AX188" s="148">
        <f>832*(1+Premissas!$B$21)^3</f>
        <v>895.97299999999996</v>
      </c>
      <c r="AY188" s="148">
        <f>832*(1+Premissas!$B$21)^3</f>
        <v>895.97299999999996</v>
      </c>
      <c r="AZ188" s="148">
        <f>832*(1+Premissas!$B$21)^4</f>
        <v>918.37232499999982</v>
      </c>
      <c r="BA188" s="148">
        <f>832*(1+Premissas!$B$21)^4</f>
        <v>918.37232499999982</v>
      </c>
      <c r="BB188" s="148">
        <f>832*(1+Premissas!$B$21)^4</f>
        <v>918.37232499999982</v>
      </c>
      <c r="BC188" s="148">
        <f>832*(1+Premissas!$B$21)^4</f>
        <v>918.37232499999982</v>
      </c>
      <c r="BD188" s="148">
        <f>832*(1+Premissas!$B$21)^4</f>
        <v>918.37232499999982</v>
      </c>
      <c r="BE188" s="148">
        <f>832*(1+Premissas!$B$21)^4</f>
        <v>918.37232499999982</v>
      </c>
      <c r="BF188" s="148">
        <f>832*(1+Premissas!$B$21)^4</f>
        <v>918.37232499999982</v>
      </c>
      <c r="BG188" s="148">
        <f>832*(1+Premissas!$B$21)^4</f>
        <v>918.37232499999982</v>
      </c>
      <c r="BH188" s="148">
        <f>832*(1+Premissas!$B$21)^4</f>
        <v>918.37232499999982</v>
      </c>
      <c r="BI188" s="148">
        <f>832*(1+Premissas!$B$21)^4</f>
        <v>918.37232499999982</v>
      </c>
      <c r="BJ188" s="148">
        <f>832*(1+Premissas!$B$21)^4</f>
        <v>918.37232499999982</v>
      </c>
      <c r="BK188" s="148">
        <f>832*(1+Premissas!$B$21)^4</f>
        <v>918.37232499999982</v>
      </c>
    </row>
    <row r="189" spans="1:63" ht="12.75" customHeight="1" x14ac:dyDescent="0.2">
      <c r="A189" s="122" t="str">
        <f>"  "&amp;INDEX(PVSYST_Helexia!$A$5:$A$7,MATCH(Premissas!$B$13,PVSYST_Helexia!$B$5:$B$7,0))&amp;" créditos recebidos (kWh)"</f>
        <v xml:space="preserve">  HCS03 créditos recebidos (kWh)</v>
      </c>
      <c r="B189" s="135">
        <f>SUM(D189:BQ189)</f>
        <v>110202.68618149837</v>
      </c>
      <c r="C189" s="120">
        <f>B189/60</f>
        <v>1836.7114363583062</v>
      </c>
      <c r="D189" s="136">
        <f>D6*Premissas!$B$46</f>
        <v>2901.366</v>
      </c>
      <c r="E189" s="136">
        <f>E6*Premissas!$B$46</f>
        <v>3053.9339999999997</v>
      </c>
      <c r="F189" s="136">
        <f>F6*Premissas!$B$46</f>
        <v>3666.078</v>
      </c>
      <c r="G189" s="136">
        <f>G6*Premissas!$B$46</f>
        <v>3440.0340000000001</v>
      </c>
      <c r="H189" s="136">
        <f>H6*Premissas!$C$46</f>
        <v>7297.1640000000007</v>
      </c>
      <c r="I189" s="136">
        <f>I6*Premissas!$C$46</f>
        <v>7055.6640000000007</v>
      </c>
      <c r="J189" s="136">
        <f>J6*Premissas!$C$46</f>
        <v>6699.6930000000002</v>
      </c>
      <c r="K189" s="136">
        <f>K6*Premissas!$C$46</f>
        <v>6879.0936899999997</v>
      </c>
      <c r="L189" s="136">
        <f>L6*Premissas!$C$46</f>
        <v>6129.8616750000001</v>
      </c>
      <c r="M189" s="136">
        <f>M6*Premissas!$C$46</f>
        <v>7030.9585500000003</v>
      </c>
      <c r="N189" s="136">
        <f>N6*Premissas!$D$46</f>
        <v>2135.1764699999999</v>
      </c>
      <c r="O189" s="136">
        <f>O6*Premissas!$D$46</f>
        <v>1998.2724299999998</v>
      </c>
      <c r="P189" s="136">
        <f>P6*Premissas!$D$46</f>
        <v>1813.5397350000001</v>
      </c>
      <c r="Q189" s="136">
        <f>Q6*Premissas!$D$46</f>
        <v>1908.9045149999997</v>
      </c>
      <c r="R189" s="136">
        <f>R6*Premissas!$D$46</f>
        <v>2291.5337549999999</v>
      </c>
      <c r="S189" s="136">
        <f>S6*Premissas!$D$46</f>
        <v>2150.2417650000002</v>
      </c>
      <c r="T189" s="136">
        <f>T6*Premissas!$E$46</f>
        <v>4013.6668200000004</v>
      </c>
      <c r="U189" s="136">
        <f>U6*Premissas!$E$46</f>
        <v>3880.8343200000004</v>
      </c>
      <c r="V189" s="136">
        <f>V6*Premissas!$E$46</f>
        <v>3685.0392150000007</v>
      </c>
      <c r="W189" s="136">
        <f>W6*Premissas!$E$46</f>
        <v>3802.7288100000001</v>
      </c>
      <c r="X189" s="136">
        <f>X6*Premissas!$E$46</f>
        <v>3388.5570750000002</v>
      </c>
      <c r="Y189" s="136">
        <f>Y6*Premissas!$E$46</f>
        <v>3886.6789500000004</v>
      </c>
      <c r="Z189" s="136">
        <f>Z6*Premissas!$E$46</f>
        <v>3878.1776700000005</v>
      </c>
      <c r="AA189" s="136">
        <f>AA6*Premissas!$E$46</f>
        <v>3629.51523</v>
      </c>
      <c r="AB189" s="136">
        <f>AB6*Premissas!$F$46</f>
        <v>306.882999375</v>
      </c>
      <c r="AC189" s="136">
        <f>AC6*Premissas!$F$46</f>
        <v>323.02040687499999</v>
      </c>
      <c r="AD189" s="136">
        <f>AD6*Premissas!$F$46</f>
        <v>387.76804187500005</v>
      </c>
      <c r="AE189" s="136">
        <f>AE6*Premissas!$F$46</f>
        <v>363.85893812500001</v>
      </c>
      <c r="AF189" s="136">
        <f>AF6*Premissas!$F$46</f>
        <v>373.93244250000004</v>
      </c>
      <c r="AG189" s="136">
        <f>AG6*Premissas!$F$46</f>
        <v>361.55713000000003</v>
      </c>
      <c r="AH189" s="136">
        <f>AH6*Premissas!$G$46</f>
        <v>357.04855615000002</v>
      </c>
      <c r="AI189" s="136">
        <f>AI6*Premissas!$G$46</f>
        <v>368.45166410000002</v>
      </c>
      <c r="AJ189" s="136">
        <f>AJ6*Premissas!$G$46</f>
        <v>328.32199075</v>
      </c>
      <c r="AK189" s="136">
        <f>AK6*Premissas!$G$46</f>
        <v>376.58570950000001</v>
      </c>
      <c r="AL189" s="136">
        <f>AL6*Premissas!$G$46</f>
        <v>375.76200870000002</v>
      </c>
      <c r="AM189" s="136">
        <f>AM6*Premissas!$G$46</f>
        <v>351.66876030000003</v>
      </c>
      <c r="AN189" s="136">
        <f>AN6*Premissas!$H$46</f>
        <v>305.348584378125</v>
      </c>
      <c r="AO189" s="136">
        <f>AO6*Premissas!$H$46</f>
        <v>321.40530484062498</v>
      </c>
      <c r="AP189" s="136">
        <f>AP6*Premissas!$H$46</f>
        <v>385.82920166562502</v>
      </c>
      <c r="AQ189" s="136">
        <f>AQ6*Premissas!$H$46</f>
        <v>362.03964343437502</v>
      </c>
      <c r="AR189" s="136">
        <f>AR6*Premissas!$H$46</f>
        <v>372.0627802875</v>
      </c>
      <c r="AS189" s="136">
        <f>AS6*Premissas!$H$46</f>
        <v>359.74934435000006</v>
      </c>
      <c r="AT189" s="136">
        <f>AT6*Premissas!$I$46</f>
        <v>368.927286960375</v>
      </c>
      <c r="AU189" s="136">
        <f>AU6*Premissas!$I$46</f>
        <v>380.70976754025003</v>
      </c>
      <c r="AV189" s="136">
        <f>AV6*Premissas!$I$46</f>
        <v>339.24501082687505</v>
      </c>
      <c r="AW189" s="136">
        <f>AW6*Premissas!$I$46</f>
        <v>389.11442637375006</v>
      </c>
      <c r="AX189" s="136">
        <f>AX6*Premissas!$I$46</f>
        <v>388.26332168175003</v>
      </c>
      <c r="AY189" s="136">
        <f>AY6*Premissas!$I$46</f>
        <v>363.36850944075002</v>
      </c>
      <c r="AZ189" s="136">
        <f>AZ6*Premissas!$J$46</f>
        <v>328.12758877273319</v>
      </c>
      <c r="BA189" s="136">
        <f>BA6*Premissas!$J$46</f>
        <v>345.3821405817356</v>
      </c>
      <c r="BB189" s="136">
        <f>BB6*Premissas!$J$46</f>
        <v>414.6120601098807</v>
      </c>
      <c r="BC189" s="136">
        <f>BC6*Premissas!$J$46</f>
        <v>389.04780083457945</v>
      </c>
      <c r="BD189" s="136">
        <f>BD6*Premissas!$J$46</f>
        <v>399.81866369694751</v>
      </c>
      <c r="BE189" s="136">
        <f>BE6*Premissas!$J$46</f>
        <v>386.58664543851006</v>
      </c>
      <c r="BF189" s="136">
        <f>BF6*Premissas!$K$46</f>
        <v>448.65657286458946</v>
      </c>
      <c r="BG189" s="136">
        <f>BG6*Premissas!$K$46</f>
        <v>462.98537841422626</v>
      </c>
      <c r="BH189" s="136">
        <f>BH6*Premissas!$K$46</f>
        <v>412.55962705557192</v>
      </c>
      <c r="BI189" s="136">
        <f>BI6*Premissas!$K$46</f>
        <v>473.2063774067438</v>
      </c>
      <c r="BJ189" s="136">
        <f>BJ6*Premissas!$K$46</f>
        <v>472.17133953408381</v>
      </c>
      <c r="BK189" s="136">
        <f>BK6*Premissas!$K$46</f>
        <v>441.8964817587788</v>
      </c>
    </row>
    <row r="190" spans="1:63" ht="12.75" customHeight="1" x14ac:dyDescent="0.2">
      <c r="A190" s="126" t="s">
        <v>409</v>
      </c>
      <c r="B190" s="120">
        <f>AA190</f>
        <v>30458.773445000006</v>
      </c>
      <c r="C190" s="120" t="s">
        <v>397</v>
      </c>
      <c r="D190" s="120">
        <f>0</f>
        <v>0</v>
      </c>
      <c r="E190" s="120">
        <f t="shared" ref="E190:AJ190" si="180">D192</f>
        <v>1164.366</v>
      </c>
      <c r="F190" s="120">
        <f t="shared" si="180"/>
        <v>2924.2999999999997</v>
      </c>
      <c r="G190" s="120">
        <f t="shared" si="180"/>
        <v>4131.3779999999997</v>
      </c>
      <c r="H190" s="120">
        <f t="shared" si="180"/>
        <v>336.41199999999981</v>
      </c>
      <c r="I190" s="120">
        <f t="shared" si="180"/>
        <v>2194.5760000000005</v>
      </c>
      <c r="J190" s="120">
        <f t="shared" si="180"/>
        <v>5204.2400000000016</v>
      </c>
      <c r="K190" s="120">
        <f t="shared" si="180"/>
        <v>7026.9330000000018</v>
      </c>
      <c r="L190" s="120">
        <f t="shared" si="180"/>
        <v>13906.026690000002</v>
      </c>
      <c r="M190" s="120">
        <f t="shared" si="180"/>
        <v>19139.013365000003</v>
      </c>
      <c r="N190" s="120">
        <f t="shared" si="180"/>
        <v>24789.296915000003</v>
      </c>
      <c r="O190" s="120">
        <f t="shared" si="180"/>
        <v>25789.798385000002</v>
      </c>
      <c r="P190" s="120">
        <f t="shared" si="180"/>
        <v>26935.270815000003</v>
      </c>
      <c r="Q190" s="120">
        <f t="shared" si="180"/>
        <v>26968.385550000003</v>
      </c>
      <c r="R190" s="120">
        <f t="shared" si="180"/>
        <v>27550.940065000003</v>
      </c>
      <c r="S190" s="120">
        <f t="shared" si="180"/>
        <v>27321.998820000001</v>
      </c>
      <c r="T190" s="120">
        <f t="shared" si="180"/>
        <v>22056.365585</v>
      </c>
      <c r="U190" s="120">
        <f t="shared" si="180"/>
        <v>20495.057405</v>
      </c>
      <c r="V190" s="120">
        <f t="shared" si="180"/>
        <v>20228.741725</v>
      </c>
      <c r="W190" s="120">
        <f t="shared" si="180"/>
        <v>18914.855940000001</v>
      </c>
      <c r="X190" s="120">
        <f t="shared" si="180"/>
        <v>22717.584750000002</v>
      </c>
      <c r="Y190" s="120">
        <f t="shared" si="180"/>
        <v>25209.266825000002</v>
      </c>
      <c r="Z190" s="120">
        <f t="shared" si="180"/>
        <v>27715.270775000005</v>
      </c>
      <c r="AA190" s="120">
        <f t="shared" si="180"/>
        <v>30458.773445000006</v>
      </c>
      <c r="AB190" s="120">
        <f t="shared" si="180"/>
        <v>33235.488675000008</v>
      </c>
      <c r="AC190" s="120">
        <f t="shared" si="180"/>
        <v>32668.251674375009</v>
      </c>
      <c r="AD190" s="120">
        <f t="shared" si="180"/>
        <v>32117.152081250009</v>
      </c>
      <c r="AE190" s="120">
        <f t="shared" si="180"/>
        <v>31630.800123125009</v>
      </c>
      <c r="AF190" s="120">
        <f t="shared" si="180"/>
        <v>31120.539061250009</v>
      </c>
      <c r="AG190" s="120">
        <f t="shared" si="180"/>
        <v>30620.351503750007</v>
      </c>
      <c r="AH190" s="120">
        <f t="shared" si="180"/>
        <v>30107.788633750006</v>
      </c>
      <c r="AI190" s="120">
        <f t="shared" si="180"/>
        <v>29590.717189900006</v>
      </c>
      <c r="AJ190" s="120">
        <f t="shared" si="180"/>
        <v>29085.048854000008</v>
      </c>
      <c r="AK190" s="120">
        <f t="shared" ref="AK190:BK190" si="181">AJ192</f>
        <v>28539.250844750008</v>
      </c>
      <c r="AL190" s="120">
        <f t="shared" si="181"/>
        <v>28041.716554250008</v>
      </c>
      <c r="AM190" s="120">
        <f t="shared" si="181"/>
        <v>27543.358562950008</v>
      </c>
      <c r="AN190" s="120">
        <f t="shared" si="181"/>
        <v>27020.907323250009</v>
      </c>
      <c r="AO190" s="120">
        <f t="shared" si="181"/>
        <v>26430.282907628134</v>
      </c>
      <c r="AP190" s="120">
        <f t="shared" si="181"/>
        <v>25855.71521246876</v>
      </c>
      <c r="AQ190" s="120">
        <f t="shared" si="181"/>
        <v>25345.571414134385</v>
      </c>
      <c r="AR190" s="120">
        <f t="shared" si="181"/>
        <v>24811.638057568762</v>
      </c>
      <c r="AS190" s="120">
        <f t="shared" si="181"/>
        <v>24287.727837856262</v>
      </c>
      <c r="AT190" s="120">
        <f t="shared" si="181"/>
        <v>23751.504182206263</v>
      </c>
      <c r="AU190" s="120">
        <f t="shared" si="181"/>
        <v>23224.458469166639</v>
      </c>
      <c r="AV190" s="120">
        <f t="shared" si="181"/>
        <v>22709.195236706888</v>
      </c>
      <c r="AW190" s="120">
        <f t="shared" si="181"/>
        <v>22152.467247533765</v>
      </c>
      <c r="AX190" s="120">
        <f t="shared" si="181"/>
        <v>21645.608673907514</v>
      </c>
      <c r="AY190" s="120">
        <f t="shared" si="181"/>
        <v>21137.898995589265</v>
      </c>
      <c r="AZ190" s="120">
        <f t="shared" si="181"/>
        <v>20605.294505030015</v>
      </c>
      <c r="BA190" s="120">
        <f t="shared" si="181"/>
        <v>20015.04976880275</v>
      </c>
      <c r="BB190" s="120">
        <f t="shared" si="181"/>
        <v>19442.059584384486</v>
      </c>
      <c r="BC190" s="120">
        <f t="shared" si="181"/>
        <v>18938.299319494367</v>
      </c>
      <c r="BD190" s="120">
        <f t="shared" si="181"/>
        <v>18408.974795328948</v>
      </c>
      <c r="BE190" s="120">
        <f t="shared" si="181"/>
        <v>17890.421134025895</v>
      </c>
      <c r="BF190" s="120">
        <f t="shared" si="181"/>
        <v>17358.635454464405</v>
      </c>
      <c r="BG190" s="120">
        <f t="shared" si="181"/>
        <v>16888.919702328996</v>
      </c>
      <c r="BH190" s="120">
        <f t="shared" si="181"/>
        <v>16433.532755743221</v>
      </c>
      <c r="BI190" s="120">
        <f t="shared" si="181"/>
        <v>15927.720057798793</v>
      </c>
      <c r="BJ190" s="120">
        <f t="shared" si="181"/>
        <v>15482.554110205538</v>
      </c>
      <c r="BK190" s="120">
        <f t="shared" si="181"/>
        <v>15036.353124739622</v>
      </c>
    </row>
    <row r="191" spans="1:63" ht="12.75" customHeight="1" x14ac:dyDescent="0.2">
      <c r="A191" s="126" t="s">
        <v>410</v>
      </c>
      <c r="B191" s="120">
        <f>SUM(D191:BQ191)</f>
        <v>31106.661518501609</v>
      </c>
      <c r="C191" s="120">
        <f>B191/60</f>
        <v>518.4443586416935</v>
      </c>
      <c r="D191" s="120">
        <f t="shared" ref="D191:AI191" si="182">MIN(D190,MAX(D188-D189,0))</f>
        <v>0</v>
      </c>
      <c r="E191" s="120">
        <f t="shared" si="182"/>
        <v>0</v>
      </c>
      <c r="F191" s="120">
        <f t="shared" si="182"/>
        <v>0</v>
      </c>
      <c r="G191" s="120">
        <f t="shared" si="182"/>
        <v>3794.9659999999999</v>
      </c>
      <c r="H191" s="120">
        <f t="shared" si="182"/>
        <v>0</v>
      </c>
      <c r="I191" s="120">
        <f t="shared" si="182"/>
        <v>0</v>
      </c>
      <c r="J191" s="120">
        <f t="shared" si="182"/>
        <v>0</v>
      </c>
      <c r="K191" s="120">
        <f t="shared" si="182"/>
        <v>0</v>
      </c>
      <c r="L191" s="120">
        <f t="shared" si="182"/>
        <v>0</v>
      </c>
      <c r="M191" s="120">
        <f t="shared" si="182"/>
        <v>0</v>
      </c>
      <c r="N191" s="120">
        <f t="shared" si="182"/>
        <v>0</v>
      </c>
      <c r="O191" s="120">
        <f t="shared" si="182"/>
        <v>0</v>
      </c>
      <c r="P191" s="120">
        <f t="shared" si="182"/>
        <v>0</v>
      </c>
      <c r="Q191" s="120">
        <f t="shared" si="182"/>
        <v>0</v>
      </c>
      <c r="R191" s="120">
        <f t="shared" si="182"/>
        <v>228.94124499999998</v>
      </c>
      <c r="S191" s="120">
        <f t="shared" si="182"/>
        <v>5265.6332349999993</v>
      </c>
      <c r="T191" s="120">
        <f t="shared" si="182"/>
        <v>1561.3081799999991</v>
      </c>
      <c r="U191" s="120">
        <f t="shared" si="182"/>
        <v>266.31567999999925</v>
      </c>
      <c r="V191" s="120">
        <f t="shared" si="182"/>
        <v>1313.8857849999986</v>
      </c>
      <c r="W191" s="120">
        <f t="shared" si="182"/>
        <v>0</v>
      </c>
      <c r="X191" s="120">
        <f t="shared" si="182"/>
        <v>0</v>
      </c>
      <c r="Y191" s="120">
        <f t="shared" si="182"/>
        <v>0</v>
      </c>
      <c r="Z191" s="120">
        <f t="shared" si="182"/>
        <v>0</v>
      </c>
      <c r="AA191" s="120">
        <f t="shared" si="182"/>
        <v>0</v>
      </c>
      <c r="AB191" s="120">
        <f t="shared" si="182"/>
        <v>567.23700062499984</v>
      </c>
      <c r="AC191" s="120">
        <f t="shared" si="182"/>
        <v>551.09959312499996</v>
      </c>
      <c r="AD191" s="120">
        <f t="shared" si="182"/>
        <v>486.35195812499984</v>
      </c>
      <c r="AE191" s="120">
        <f t="shared" si="182"/>
        <v>510.26106187499988</v>
      </c>
      <c r="AF191" s="120">
        <f t="shared" si="182"/>
        <v>500.18755749999985</v>
      </c>
      <c r="AG191" s="120">
        <f t="shared" si="182"/>
        <v>512.56286999999986</v>
      </c>
      <c r="AH191" s="120">
        <f t="shared" si="182"/>
        <v>517.07144384999992</v>
      </c>
      <c r="AI191" s="120">
        <f t="shared" si="182"/>
        <v>505.66833589999987</v>
      </c>
      <c r="AJ191" s="120">
        <f t="shared" ref="AJ191:BO191" si="183">MIN(AJ190,MAX(AJ188-AJ189,0))</f>
        <v>545.79800924999995</v>
      </c>
      <c r="AK191" s="120">
        <f t="shared" si="183"/>
        <v>497.53429049999988</v>
      </c>
      <c r="AL191" s="120">
        <f t="shared" si="183"/>
        <v>498.35799129999987</v>
      </c>
      <c r="AM191" s="120">
        <f t="shared" si="183"/>
        <v>522.45123969999986</v>
      </c>
      <c r="AN191" s="120">
        <f t="shared" si="183"/>
        <v>590.62441562187496</v>
      </c>
      <c r="AO191" s="120">
        <f t="shared" si="183"/>
        <v>574.56769515937503</v>
      </c>
      <c r="AP191" s="120">
        <f t="shared" si="183"/>
        <v>510.14379833437494</v>
      </c>
      <c r="AQ191" s="120">
        <f t="shared" si="183"/>
        <v>533.93335656562499</v>
      </c>
      <c r="AR191" s="120">
        <f t="shared" si="183"/>
        <v>523.91021971249995</v>
      </c>
      <c r="AS191" s="120">
        <f t="shared" si="183"/>
        <v>536.22365564999996</v>
      </c>
      <c r="AT191" s="120">
        <f t="shared" si="183"/>
        <v>527.04571303962496</v>
      </c>
      <c r="AU191" s="120">
        <f t="shared" si="183"/>
        <v>515.26323245974993</v>
      </c>
      <c r="AV191" s="120">
        <f t="shared" si="183"/>
        <v>556.72798917312491</v>
      </c>
      <c r="AW191" s="120">
        <f t="shared" si="183"/>
        <v>506.85857362624989</v>
      </c>
      <c r="AX191" s="120">
        <f t="shared" si="183"/>
        <v>507.70967831824993</v>
      </c>
      <c r="AY191" s="120">
        <f t="shared" si="183"/>
        <v>532.60449055924994</v>
      </c>
      <c r="AZ191" s="120">
        <f t="shared" si="183"/>
        <v>590.24473622726669</v>
      </c>
      <c r="BA191" s="120">
        <f t="shared" si="183"/>
        <v>572.99018441826422</v>
      </c>
      <c r="BB191" s="120">
        <f t="shared" si="183"/>
        <v>503.76026489011912</v>
      </c>
      <c r="BC191" s="120">
        <f t="shared" si="183"/>
        <v>529.32452416542037</v>
      </c>
      <c r="BD191" s="120">
        <f t="shared" si="183"/>
        <v>518.55366130305231</v>
      </c>
      <c r="BE191" s="120">
        <f t="shared" si="183"/>
        <v>531.78567956148981</v>
      </c>
      <c r="BF191" s="120">
        <f t="shared" si="183"/>
        <v>469.71575213541036</v>
      </c>
      <c r="BG191" s="120">
        <f t="shared" si="183"/>
        <v>455.38694658577356</v>
      </c>
      <c r="BH191" s="120">
        <f t="shared" si="183"/>
        <v>505.8126979444279</v>
      </c>
      <c r="BI191" s="120">
        <f t="shared" si="183"/>
        <v>445.16594759325602</v>
      </c>
      <c r="BJ191" s="120">
        <f t="shared" si="183"/>
        <v>446.20098546591601</v>
      </c>
      <c r="BK191" s="120">
        <f t="shared" si="183"/>
        <v>476.47584324122101</v>
      </c>
    </row>
    <row r="192" spans="1:63" ht="13.5" customHeight="1" x14ac:dyDescent="0.2">
      <c r="A192" s="41" t="s">
        <v>411</v>
      </c>
      <c r="B192" s="43">
        <f>AA192</f>
        <v>33235.488675000008</v>
      </c>
      <c r="C192" s="120" t="s">
        <v>397</v>
      </c>
      <c r="D192" s="137">
        <f t="shared" ref="D192:AI192" si="184">MAX(D190-D191,0)+MAX(D189-D188,0)</f>
        <v>1164.366</v>
      </c>
      <c r="E192" s="137">
        <f t="shared" si="184"/>
        <v>2924.2999999999997</v>
      </c>
      <c r="F192" s="137">
        <f t="shared" si="184"/>
        <v>4131.3779999999997</v>
      </c>
      <c r="G192" s="137">
        <f t="shared" si="184"/>
        <v>336.41199999999981</v>
      </c>
      <c r="H192" s="137">
        <f t="shared" si="184"/>
        <v>2194.5760000000005</v>
      </c>
      <c r="I192" s="137">
        <f t="shared" si="184"/>
        <v>5204.2400000000016</v>
      </c>
      <c r="J192" s="137">
        <f t="shared" si="184"/>
        <v>7026.9330000000018</v>
      </c>
      <c r="K192" s="137">
        <f t="shared" si="184"/>
        <v>13906.026690000002</v>
      </c>
      <c r="L192" s="137">
        <f t="shared" si="184"/>
        <v>19139.013365000003</v>
      </c>
      <c r="M192" s="137">
        <f t="shared" si="184"/>
        <v>24789.296915000003</v>
      </c>
      <c r="N192" s="137">
        <f t="shared" si="184"/>
        <v>25789.798385000002</v>
      </c>
      <c r="O192" s="137">
        <f t="shared" si="184"/>
        <v>26935.270815000003</v>
      </c>
      <c r="P192" s="137">
        <f t="shared" si="184"/>
        <v>26968.385550000003</v>
      </c>
      <c r="Q192" s="137">
        <f t="shared" si="184"/>
        <v>27550.940065000003</v>
      </c>
      <c r="R192" s="137">
        <f t="shared" si="184"/>
        <v>27321.998820000001</v>
      </c>
      <c r="S192" s="137">
        <f t="shared" si="184"/>
        <v>22056.365585</v>
      </c>
      <c r="T192" s="137">
        <f t="shared" si="184"/>
        <v>20495.057405</v>
      </c>
      <c r="U192" s="137">
        <f t="shared" si="184"/>
        <v>20228.741725</v>
      </c>
      <c r="V192" s="137">
        <f t="shared" si="184"/>
        <v>18914.855940000001</v>
      </c>
      <c r="W192" s="137">
        <f t="shared" si="184"/>
        <v>22717.584750000002</v>
      </c>
      <c r="X192" s="137">
        <f t="shared" si="184"/>
        <v>25209.266825000002</v>
      </c>
      <c r="Y192" s="137">
        <f t="shared" si="184"/>
        <v>27715.270775000005</v>
      </c>
      <c r="Z192" s="137">
        <f t="shared" si="184"/>
        <v>30458.773445000006</v>
      </c>
      <c r="AA192" s="137">
        <f t="shared" si="184"/>
        <v>33235.488675000008</v>
      </c>
      <c r="AB192" s="137">
        <f t="shared" si="184"/>
        <v>32668.251674375009</v>
      </c>
      <c r="AC192" s="137">
        <f t="shared" si="184"/>
        <v>32117.152081250009</v>
      </c>
      <c r="AD192" s="137">
        <f t="shared" si="184"/>
        <v>31630.800123125009</v>
      </c>
      <c r="AE192" s="137">
        <f t="shared" si="184"/>
        <v>31120.539061250009</v>
      </c>
      <c r="AF192" s="137">
        <f t="shared" si="184"/>
        <v>30620.351503750007</v>
      </c>
      <c r="AG192" s="137">
        <f t="shared" si="184"/>
        <v>30107.788633750006</v>
      </c>
      <c r="AH192" s="137">
        <f t="shared" si="184"/>
        <v>29590.717189900006</v>
      </c>
      <c r="AI192" s="137">
        <f t="shared" si="184"/>
        <v>29085.048854000008</v>
      </c>
      <c r="AJ192" s="137">
        <f t="shared" ref="AJ192:BO192" si="185">MAX(AJ190-AJ191,0)+MAX(AJ189-AJ188,0)</f>
        <v>28539.250844750008</v>
      </c>
      <c r="AK192" s="137">
        <f t="shared" si="185"/>
        <v>28041.716554250008</v>
      </c>
      <c r="AL192" s="137">
        <f t="shared" si="185"/>
        <v>27543.358562950008</v>
      </c>
      <c r="AM192" s="137">
        <f t="shared" si="185"/>
        <v>27020.907323250009</v>
      </c>
      <c r="AN192" s="137">
        <f t="shared" si="185"/>
        <v>26430.282907628134</v>
      </c>
      <c r="AO192" s="137">
        <f t="shared" si="185"/>
        <v>25855.71521246876</v>
      </c>
      <c r="AP192" s="137">
        <f t="shared" si="185"/>
        <v>25345.571414134385</v>
      </c>
      <c r="AQ192" s="137">
        <f t="shared" si="185"/>
        <v>24811.638057568762</v>
      </c>
      <c r="AR192" s="137">
        <f t="shared" si="185"/>
        <v>24287.727837856262</v>
      </c>
      <c r="AS192" s="137">
        <f t="shared" si="185"/>
        <v>23751.504182206263</v>
      </c>
      <c r="AT192" s="137">
        <f t="shared" si="185"/>
        <v>23224.458469166639</v>
      </c>
      <c r="AU192" s="137">
        <f t="shared" si="185"/>
        <v>22709.195236706888</v>
      </c>
      <c r="AV192" s="137">
        <f t="shared" si="185"/>
        <v>22152.467247533765</v>
      </c>
      <c r="AW192" s="137">
        <f t="shared" si="185"/>
        <v>21645.608673907514</v>
      </c>
      <c r="AX192" s="137">
        <f t="shared" si="185"/>
        <v>21137.898995589265</v>
      </c>
      <c r="AY192" s="137">
        <f t="shared" si="185"/>
        <v>20605.294505030015</v>
      </c>
      <c r="AZ192" s="137">
        <f t="shared" si="185"/>
        <v>20015.04976880275</v>
      </c>
      <c r="BA192" s="137">
        <f t="shared" si="185"/>
        <v>19442.059584384486</v>
      </c>
      <c r="BB192" s="137">
        <f t="shared" si="185"/>
        <v>18938.299319494367</v>
      </c>
      <c r="BC192" s="137">
        <f t="shared" si="185"/>
        <v>18408.974795328948</v>
      </c>
      <c r="BD192" s="137">
        <f t="shared" si="185"/>
        <v>17890.421134025895</v>
      </c>
      <c r="BE192" s="137">
        <f t="shared" si="185"/>
        <v>17358.635454464405</v>
      </c>
      <c r="BF192" s="137">
        <f t="shared" si="185"/>
        <v>16888.919702328996</v>
      </c>
      <c r="BG192" s="137">
        <f t="shared" si="185"/>
        <v>16433.532755743221</v>
      </c>
      <c r="BH192" s="137">
        <f t="shared" si="185"/>
        <v>15927.720057798793</v>
      </c>
      <c r="BI192" s="137">
        <f t="shared" si="185"/>
        <v>15482.554110205538</v>
      </c>
      <c r="BJ192" s="137">
        <f t="shared" si="185"/>
        <v>15036.353124739622</v>
      </c>
      <c r="BK192" s="137">
        <f t="shared" si="185"/>
        <v>14559.8772814984</v>
      </c>
    </row>
    <row r="193" spans="1:63" ht="12.75" customHeight="1" x14ac:dyDescent="0.2">
      <c r="A193" s="127" t="s">
        <v>412</v>
      </c>
      <c r="B193" s="128">
        <f>AA193</f>
        <v>0</v>
      </c>
      <c r="C193" s="120" t="s">
        <v>397</v>
      </c>
      <c r="D193" s="128">
        <f>0</f>
        <v>0</v>
      </c>
      <c r="E193" s="128">
        <f t="shared" ref="E193:AJ193" si="186">D195</f>
        <v>0</v>
      </c>
      <c r="F193" s="128">
        <f t="shared" si="186"/>
        <v>0</v>
      </c>
      <c r="G193" s="128">
        <f t="shared" si="186"/>
        <v>0</v>
      </c>
      <c r="H193" s="128">
        <f t="shared" si="186"/>
        <v>0</v>
      </c>
      <c r="I193" s="128">
        <f t="shared" si="186"/>
        <v>0</v>
      </c>
      <c r="J193" s="128">
        <f t="shared" si="186"/>
        <v>0</v>
      </c>
      <c r="K193" s="128">
        <f t="shared" si="186"/>
        <v>0</v>
      </c>
      <c r="L193" s="128">
        <f t="shared" si="186"/>
        <v>0</v>
      </c>
      <c r="M193" s="128">
        <f t="shared" si="186"/>
        <v>0</v>
      </c>
      <c r="N193" s="128">
        <f t="shared" si="186"/>
        <v>0</v>
      </c>
      <c r="O193" s="128">
        <f t="shared" si="186"/>
        <v>0</v>
      </c>
      <c r="P193" s="128">
        <f t="shared" si="186"/>
        <v>0</v>
      </c>
      <c r="Q193" s="128">
        <f t="shared" si="186"/>
        <v>0</v>
      </c>
      <c r="R193" s="128">
        <f t="shared" si="186"/>
        <v>0</v>
      </c>
      <c r="S193" s="128">
        <f t="shared" si="186"/>
        <v>0</v>
      </c>
      <c r="T193" s="128">
        <f t="shared" si="186"/>
        <v>0</v>
      </c>
      <c r="U193" s="128">
        <f t="shared" si="186"/>
        <v>0</v>
      </c>
      <c r="V193" s="128">
        <f t="shared" si="186"/>
        <v>0</v>
      </c>
      <c r="W193" s="128">
        <f t="shared" si="186"/>
        <v>0</v>
      </c>
      <c r="X193" s="128">
        <f t="shared" si="186"/>
        <v>0</v>
      </c>
      <c r="Y193" s="128">
        <f t="shared" si="186"/>
        <v>0</v>
      </c>
      <c r="Z193" s="128">
        <f t="shared" si="186"/>
        <v>0</v>
      </c>
      <c r="AA193" s="128">
        <f t="shared" si="186"/>
        <v>0</v>
      </c>
      <c r="AB193" s="128">
        <f t="shared" si="186"/>
        <v>0</v>
      </c>
      <c r="AC193" s="128">
        <f t="shared" si="186"/>
        <v>0</v>
      </c>
      <c r="AD193" s="128">
        <f t="shared" si="186"/>
        <v>0</v>
      </c>
      <c r="AE193" s="128">
        <f t="shared" si="186"/>
        <v>0</v>
      </c>
      <c r="AF193" s="128">
        <f t="shared" si="186"/>
        <v>0</v>
      </c>
      <c r="AG193" s="128">
        <f t="shared" si="186"/>
        <v>0</v>
      </c>
      <c r="AH193" s="128">
        <f t="shared" si="186"/>
        <v>0</v>
      </c>
      <c r="AI193" s="128">
        <f t="shared" si="186"/>
        <v>0</v>
      </c>
      <c r="AJ193" s="128">
        <f t="shared" si="186"/>
        <v>0</v>
      </c>
      <c r="AK193" s="128">
        <f t="shared" ref="AK193:BK193" si="187">AJ195</f>
        <v>0</v>
      </c>
      <c r="AL193" s="128">
        <f t="shared" si="187"/>
        <v>0</v>
      </c>
      <c r="AM193" s="128">
        <f t="shared" si="187"/>
        <v>0</v>
      </c>
      <c r="AN193" s="128">
        <f t="shared" si="187"/>
        <v>0</v>
      </c>
      <c r="AO193" s="128">
        <f t="shared" si="187"/>
        <v>0</v>
      </c>
      <c r="AP193" s="128">
        <f t="shared" si="187"/>
        <v>0</v>
      </c>
      <c r="AQ193" s="128">
        <f t="shared" si="187"/>
        <v>0</v>
      </c>
      <c r="AR193" s="128">
        <f t="shared" si="187"/>
        <v>0</v>
      </c>
      <c r="AS193" s="128">
        <f t="shared" si="187"/>
        <v>0</v>
      </c>
      <c r="AT193" s="128">
        <f t="shared" si="187"/>
        <v>0</v>
      </c>
      <c r="AU193" s="128">
        <f t="shared" si="187"/>
        <v>0</v>
      </c>
      <c r="AV193" s="128">
        <f t="shared" si="187"/>
        <v>0</v>
      </c>
      <c r="AW193" s="128">
        <f t="shared" si="187"/>
        <v>0</v>
      </c>
      <c r="AX193" s="128">
        <f t="shared" si="187"/>
        <v>0</v>
      </c>
      <c r="AY193" s="128">
        <f t="shared" si="187"/>
        <v>0</v>
      </c>
      <c r="AZ193" s="128">
        <f t="shared" si="187"/>
        <v>0</v>
      </c>
      <c r="BA193" s="128">
        <f t="shared" si="187"/>
        <v>0</v>
      </c>
      <c r="BB193" s="128">
        <f t="shared" si="187"/>
        <v>0</v>
      </c>
      <c r="BC193" s="128">
        <f t="shared" si="187"/>
        <v>0</v>
      </c>
      <c r="BD193" s="128">
        <f t="shared" si="187"/>
        <v>0</v>
      </c>
      <c r="BE193" s="128">
        <f t="shared" si="187"/>
        <v>0</v>
      </c>
      <c r="BF193" s="128">
        <f t="shared" si="187"/>
        <v>0</v>
      </c>
      <c r="BG193" s="128">
        <f t="shared" si="187"/>
        <v>0</v>
      </c>
      <c r="BH193" s="128">
        <f t="shared" si="187"/>
        <v>0</v>
      </c>
      <c r="BI193" s="128">
        <f t="shared" si="187"/>
        <v>0</v>
      </c>
      <c r="BJ193" s="128">
        <f t="shared" si="187"/>
        <v>0</v>
      </c>
      <c r="BK193" s="128">
        <f t="shared" si="187"/>
        <v>0</v>
      </c>
    </row>
    <row r="194" spans="1:63" ht="12.75" customHeight="1" x14ac:dyDescent="0.2">
      <c r="A194" s="127" t="s">
        <v>420</v>
      </c>
      <c r="B194" s="128">
        <f>SUM(D194:BQ194)</f>
        <v>0</v>
      </c>
      <c r="C194" s="120">
        <f>B194/60</f>
        <v>0</v>
      </c>
      <c r="D194" s="128">
        <f t="shared" ref="D194:AI194" si="188">MIN(D193,D188)</f>
        <v>0</v>
      </c>
      <c r="E194" s="128">
        <f t="shared" si="188"/>
        <v>0</v>
      </c>
      <c r="F194" s="128">
        <f t="shared" si="188"/>
        <v>0</v>
      </c>
      <c r="G194" s="128">
        <f t="shared" si="188"/>
        <v>0</v>
      </c>
      <c r="H194" s="128">
        <f t="shared" si="188"/>
        <v>0</v>
      </c>
      <c r="I194" s="128">
        <f t="shared" si="188"/>
        <v>0</v>
      </c>
      <c r="J194" s="128">
        <f t="shared" si="188"/>
        <v>0</v>
      </c>
      <c r="K194" s="128">
        <f t="shared" si="188"/>
        <v>0</v>
      </c>
      <c r="L194" s="128">
        <f t="shared" si="188"/>
        <v>0</v>
      </c>
      <c r="M194" s="128">
        <f t="shared" si="188"/>
        <v>0</v>
      </c>
      <c r="N194" s="128">
        <f t="shared" si="188"/>
        <v>0</v>
      </c>
      <c r="O194" s="128">
        <f t="shared" si="188"/>
        <v>0</v>
      </c>
      <c r="P194" s="128">
        <f t="shared" si="188"/>
        <v>0</v>
      </c>
      <c r="Q194" s="128">
        <f t="shared" si="188"/>
        <v>0</v>
      </c>
      <c r="R194" s="128">
        <f t="shared" si="188"/>
        <v>0</v>
      </c>
      <c r="S194" s="128">
        <f t="shared" si="188"/>
        <v>0</v>
      </c>
      <c r="T194" s="128">
        <f t="shared" si="188"/>
        <v>0</v>
      </c>
      <c r="U194" s="128">
        <f t="shared" si="188"/>
        <v>0</v>
      </c>
      <c r="V194" s="128">
        <f t="shared" si="188"/>
        <v>0</v>
      </c>
      <c r="W194" s="128">
        <f t="shared" si="188"/>
        <v>0</v>
      </c>
      <c r="X194" s="128">
        <f t="shared" si="188"/>
        <v>0</v>
      </c>
      <c r="Y194" s="128">
        <f t="shared" si="188"/>
        <v>0</v>
      </c>
      <c r="Z194" s="128">
        <f t="shared" si="188"/>
        <v>0</v>
      </c>
      <c r="AA194" s="128">
        <f t="shared" si="188"/>
        <v>0</v>
      </c>
      <c r="AB194" s="128">
        <f t="shared" si="188"/>
        <v>0</v>
      </c>
      <c r="AC194" s="128">
        <f t="shared" si="188"/>
        <v>0</v>
      </c>
      <c r="AD194" s="128">
        <f t="shared" si="188"/>
        <v>0</v>
      </c>
      <c r="AE194" s="128">
        <f t="shared" si="188"/>
        <v>0</v>
      </c>
      <c r="AF194" s="128">
        <f t="shared" si="188"/>
        <v>0</v>
      </c>
      <c r="AG194" s="128">
        <f t="shared" si="188"/>
        <v>0</v>
      </c>
      <c r="AH194" s="128">
        <f t="shared" si="188"/>
        <v>0</v>
      </c>
      <c r="AI194" s="128">
        <f t="shared" si="188"/>
        <v>0</v>
      </c>
      <c r="AJ194" s="128">
        <f t="shared" ref="AJ194:BO194" si="189">MIN(AJ193,AJ188)</f>
        <v>0</v>
      </c>
      <c r="AK194" s="128">
        <f t="shared" si="189"/>
        <v>0</v>
      </c>
      <c r="AL194" s="128">
        <f t="shared" si="189"/>
        <v>0</v>
      </c>
      <c r="AM194" s="128">
        <f t="shared" si="189"/>
        <v>0</v>
      </c>
      <c r="AN194" s="128">
        <f t="shared" si="189"/>
        <v>0</v>
      </c>
      <c r="AO194" s="128">
        <f t="shared" si="189"/>
        <v>0</v>
      </c>
      <c r="AP194" s="128">
        <f t="shared" si="189"/>
        <v>0</v>
      </c>
      <c r="AQ194" s="128">
        <f t="shared" si="189"/>
        <v>0</v>
      </c>
      <c r="AR194" s="128">
        <f t="shared" si="189"/>
        <v>0</v>
      </c>
      <c r="AS194" s="128">
        <f t="shared" si="189"/>
        <v>0</v>
      </c>
      <c r="AT194" s="128">
        <f t="shared" si="189"/>
        <v>0</v>
      </c>
      <c r="AU194" s="128">
        <f t="shared" si="189"/>
        <v>0</v>
      </c>
      <c r="AV194" s="128">
        <f t="shared" si="189"/>
        <v>0</v>
      </c>
      <c r="AW194" s="128">
        <f t="shared" si="189"/>
        <v>0</v>
      </c>
      <c r="AX194" s="128">
        <f t="shared" si="189"/>
        <v>0</v>
      </c>
      <c r="AY194" s="128">
        <f t="shared" si="189"/>
        <v>0</v>
      </c>
      <c r="AZ194" s="128">
        <f t="shared" si="189"/>
        <v>0</v>
      </c>
      <c r="BA194" s="128">
        <f t="shared" si="189"/>
        <v>0</v>
      </c>
      <c r="BB194" s="128">
        <f t="shared" si="189"/>
        <v>0</v>
      </c>
      <c r="BC194" s="128">
        <f t="shared" si="189"/>
        <v>0</v>
      </c>
      <c r="BD194" s="128">
        <f t="shared" si="189"/>
        <v>0</v>
      </c>
      <c r="BE194" s="128">
        <f t="shared" si="189"/>
        <v>0</v>
      </c>
      <c r="BF194" s="128">
        <f t="shared" si="189"/>
        <v>0</v>
      </c>
      <c r="BG194" s="128">
        <f t="shared" si="189"/>
        <v>0</v>
      </c>
      <c r="BH194" s="128">
        <f t="shared" si="189"/>
        <v>0</v>
      </c>
      <c r="BI194" s="128">
        <f t="shared" si="189"/>
        <v>0</v>
      </c>
      <c r="BJ194" s="128">
        <f t="shared" si="189"/>
        <v>0</v>
      </c>
      <c r="BK194" s="128">
        <f t="shared" si="189"/>
        <v>0</v>
      </c>
    </row>
    <row r="195" spans="1:63" ht="12.75" customHeight="1" x14ac:dyDescent="0.2">
      <c r="A195" s="127" t="s">
        <v>421</v>
      </c>
      <c r="B195" s="128">
        <f>AA195</f>
        <v>0</v>
      </c>
      <c r="C195" s="120" t="s">
        <v>397</v>
      </c>
      <c r="D195" s="149">
        <f t="shared" ref="D195:AI195" si="190">MAX(D193-D194,0)</f>
        <v>0</v>
      </c>
      <c r="E195" s="149">
        <f t="shared" si="190"/>
        <v>0</v>
      </c>
      <c r="F195" s="149">
        <f t="shared" si="190"/>
        <v>0</v>
      </c>
      <c r="G195" s="149">
        <f t="shared" si="190"/>
        <v>0</v>
      </c>
      <c r="H195" s="149">
        <f t="shared" si="190"/>
        <v>0</v>
      </c>
      <c r="I195" s="149">
        <f t="shared" si="190"/>
        <v>0</v>
      </c>
      <c r="J195" s="149">
        <f t="shared" si="190"/>
        <v>0</v>
      </c>
      <c r="K195" s="149">
        <f t="shared" si="190"/>
        <v>0</v>
      </c>
      <c r="L195" s="149">
        <f t="shared" si="190"/>
        <v>0</v>
      </c>
      <c r="M195" s="149">
        <f t="shared" si="190"/>
        <v>0</v>
      </c>
      <c r="N195" s="149">
        <f t="shared" si="190"/>
        <v>0</v>
      </c>
      <c r="O195" s="149">
        <f t="shared" si="190"/>
        <v>0</v>
      </c>
      <c r="P195" s="149">
        <f t="shared" si="190"/>
        <v>0</v>
      </c>
      <c r="Q195" s="149">
        <f t="shared" si="190"/>
        <v>0</v>
      </c>
      <c r="R195" s="149">
        <f t="shared" si="190"/>
        <v>0</v>
      </c>
      <c r="S195" s="149">
        <f t="shared" si="190"/>
        <v>0</v>
      </c>
      <c r="T195" s="149">
        <f t="shared" si="190"/>
        <v>0</v>
      </c>
      <c r="U195" s="149">
        <f t="shared" si="190"/>
        <v>0</v>
      </c>
      <c r="V195" s="149">
        <f t="shared" si="190"/>
        <v>0</v>
      </c>
      <c r="W195" s="149">
        <f t="shared" si="190"/>
        <v>0</v>
      </c>
      <c r="X195" s="149">
        <f t="shared" si="190"/>
        <v>0</v>
      </c>
      <c r="Y195" s="149">
        <f t="shared" si="190"/>
        <v>0</v>
      </c>
      <c r="Z195" s="149">
        <f t="shared" si="190"/>
        <v>0</v>
      </c>
      <c r="AA195" s="149">
        <f t="shared" si="190"/>
        <v>0</v>
      </c>
      <c r="AB195" s="149">
        <f t="shared" si="190"/>
        <v>0</v>
      </c>
      <c r="AC195" s="149">
        <f t="shared" si="190"/>
        <v>0</v>
      </c>
      <c r="AD195" s="149">
        <f t="shared" si="190"/>
        <v>0</v>
      </c>
      <c r="AE195" s="149">
        <f t="shared" si="190"/>
        <v>0</v>
      </c>
      <c r="AF195" s="149">
        <f t="shared" si="190"/>
        <v>0</v>
      </c>
      <c r="AG195" s="149">
        <f t="shared" si="190"/>
        <v>0</v>
      </c>
      <c r="AH195" s="149">
        <f t="shared" si="190"/>
        <v>0</v>
      </c>
      <c r="AI195" s="149">
        <f t="shared" si="190"/>
        <v>0</v>
      </c>
      <c r="AJ195" s="149">
        <f t="shared" ref="AJ195:BO195" si="191">MAX(AJ193-AJ194,0)</f>
        <v>0</v>
      </c>
      <c r="AK195" s="149">
        <f t="shared" si="191"/>
        <v>0</v>
      </c>
      <c r="AL195" s="149">
        <f t="shared" si="191"/>
        <v>0</v>
      </c>
      <c r="AM195" s="149">
        <f t="shared" si="191"/>
        <v>0</v>
      </c>
      <c r="AN195" s="149">
        <f t="shared" si="191"/>
        <v>0</v>
      </c>
      <c r="AO195" s="149">
        <f t="shared" si="191"/>
        <v>0</v>
      </c>
      <c r="AP195" s="149">
        <f t="shared" si="191"/>
        <v>0</v>
      </c>
      <c r="AQ195" s="149">
        <f t="shared" si="191"/>
        <v>0</v>
      </c>
      <c r="AR195" s="149">
        <f t="shared" si="191"/>
        <v>0</v>
      </c>
      <c r="AS195" s="149">
        <f t="shared" si="191"/>
        <v>0</v>
      </c>
      <c r="AT195" s="149">
        <f t="shared" si="191"/>
        <v>0</v>
      </c>
      <c r="AU195" s="149">
        <f t="shared" si="191"/>
        <v>0</v>
      </c>
      <c r="AV195" s="149">
        <f t="shared" si="191"/>
        <v>0</v>
      </c>
      <c r="AW195" s="149">
        <f t="shared" si="191"/>
        <v>0</v>
      </c>
      <c r="AX195" s="149">
        <f t="shared" si="191"/>
        <v>0</v>
      </c>
      <c r="AY195" s="149">
        <f t="shared" si="191"/>
        <v>0</v>
      </c>
      <c r="AZ195" s="149">
        <f t="shared" si="191"/>
        <v>0</v>
      </c>
      <c r="BA195" s="149">
        <f t="shared" si="191"/>
        <v>0</v>
      </c>
      <c r="BB195" s="149">
        <f t="shared" si="191"/>
        <v>0</v>
      </c>
      <c r="BC195" s="149">
        <f t="shared" si="191"/>
        <v>0</v>
      </c>
      <c r="BD195" s="149">
        <f t="shared" si="191"/>
        <v>0</v>
      </c>
      <c r="BE195" s="149">
        <f t="shared" si="191"/>
        <v>0</v>
      </c>
      <c r="BF195" s="149">
        <f t="shared" si="191"/>
        <v>0</v>
      </c>
      <c r="BG195" s="149">
        <f t="shared" si="191"/>
        <v>0</v>
      </c>
      <c r="BH195" s="149">
        <f t="shared" si="191"/>
        <v>0</v>
      </c>
      <c r="BI195" s="149">
        <f t="shared" si="191"/>
        <v>0</v>
      </c>
      <c r="BJ195" s="149">
        <f t="shared" si="191"/>
        <v>0</v>
      </c>
      <c r="BK195" s="149">
        <f t="shared" si="191"/>
        <v>0</v>
      </c>
    </row>
    <row r="196" spans="1:63" ht="12.75" customHeight="1" x14ac:dyDescent="0.2">
      <c r="A19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196" s="142">
        <f>SUM(D196:BQ196)</f>
        <v>107582.34557994963</v>
      </c>
      <c r="C196" s="124">
        <f>B196/60</f>
        <v>1793.0390929991604</v>
      </c>
      <c r="D196" s="142">
        <f>D188*Premissas!$F$19*(1+Premissas!$B$127)*(1+Premissas!$B$124)^0</f>
        <v>1800.1655386747707</v>
      </c>
      <c r="E196" s="142">
        <f>E188*Premissas!$F$19*(1+Premissas!$B$127)*(1+Premissas!$B$124)^0</f>
        <v>1341.0559626051543</v>
      </c>
      <c r="F196" s="142">
        <f>F188*Premissas!$F$19*(1+Premissas!$B$127)*(1+Premissas!$B$124)^0</f>
        <v>2548.4208748424066</v>
      </c>
      <c r="G196" s="142">
        <f>G188*Premissas!$F$19*(1+Premissas!$B$127)*(1+Premissas!$B$124)^0</f>
        <v>7498.0988326493762</v>
      </c>
      <c r="H196" s="142">
        <f>H188*Premissas!$F$19*(1+Premissas!$B$127)*(1+Premissas!$B$124)^0</f>
        <v>5636.7877748140918</v>
      </c>
      <c r="I196" s="142">
        <f>I188*Premissas!$F$19*(1+Premissas!$B$127)*(1+Premissas!$B$124)^0</f>
        <v>4193.1317037870595</v>
      </c>
      <c r="J196" s="142">
        <f>J188*Premissas!$F$19*(1+Premissas!$B$127)*(1+Premissas!$B$124)^0</f>
        <v>5054.3507956919148</v>
      </c>
      <c r="K196" s="142">
        <f>K188*Premissas!$F$19*(1+Premissas!$B$127)*(1+Premissas!$B$124)^0</f>
        <v>0</v>
      </c>
      <c r="L196" s="142">
        <f>L188*Premissas!$F$19*(1+Premissas!$B$127)*(1+Premissas!$B$124)^0</f>
        <v>929.48961859466601</v>
      </c>
      <c r="M196" s="142">
        <f>M188*Premissas!$F$19*(1+Premissas!$B$127)*(1+Premissas!$B$124)^0</f>
        <v>1430.8828757108743</v>
      </c>
      <c r="N196" s="142">
        <f>N188*Premissas!$F$19*(1+Premissas!$B$127)*(1+Premissas!$B$124)^0</f>
        <v>1175.9371517534803</v>
      </c>
      <c r="O196" s="142">
        <f>O188*Premissas!$F$19*(1+Premissas!$B$127)*(1+Premissas!$B$124)^0</f>
        <v>883.81184305229965</v>
      </c>
      <c r="P196" s="142">
        <f>P188*Premissas!$F$19*(1+Premissas!$B$127)*(1+Premissas!$B$124)^1</f>
        <v>1955.8798577701382</v>
      </c>
      <c r="Q196" s="142">
        <f>Q188*Premissas!$F$19*(1+Premissas!$B$127)*(1+Premissas!$B$124)^1</f>
        <v>1457.0573033705002</v>
      </c>
      <c r="R196" s="142">
        <f>R188*Premissas!$F$19*(1+Premissas!$B$127)*(1+Premissas!$B$124)^1</f>
        <v>2768.8592805162757</v>
      </c>
      <c r="S196" s="142">
        <f>S188*Premissas!$F$19*(1+Premissas!$B$127)*(1+Premissas!$B$124)^1</f>
        <v>8146.6843816735463</v>
      </c>
      <c r="T196" s="142">
        <f>T188*Premissas!$F$19*(1+Premissas!$B$127)*(1+Premissas!$B$124)^1</f>
        <v>6124.3699173355108</v>
      </c>
      <c r="U196" s="142">
        <f>U188*Premissas!$F$19*(1+Premissas!$B$127)*(1+Premissas!$B$124)^1</f>
        <v>4555.8375961646398</v>
      </c>
      <c r="V196" s="142">
        <f>V188*Premissas!$F$19*(1+Premissas!$B$127)*(1+Premissas!$B$124)^1</f>
        <v>5491.5521395192654</v>
      </c>
      <c r="W196" s="142">
        <f>W188*Premissas!$F$19*(1+Premissas!$B$127)*(1+Premissas!$B$124)^1</f>
        <v>0</v>
      </c>
      <c r="X196" s="142">
        <f>X188*Premissas!$F$19*(1+Premissas!$B$127)*(1+Premissas!$B$124)^1</f>
        <v>985.25899571034597</v>
      </c>
      <c r="Y196" s="142">
        <f>Y188*Premissas!$F$19*(1+Premissas!$B$127)*(1+Premissas!$B$124)^1</f>
        <v>1516.7358482535267</v>
      </c>
      <c r="Z196" s="142">
        <f>Z188*Premissas!$F$19*(1+Premissas!$B$127)*(1+Premissas!$B$124)^1</f>
        <v>1246.4933808586891</v>
      </c>
      <c r="AA196" s="142">
        <f>AA188*Premissas!$F$19*(1+Premissas!$B$127)*(1+Premissas!$B$124)^1</f>
        <v>936.84055363543769</v>
      </c>
      <c r="AB196" s="142">
        <f>AB188*Premissas!$F$19*(1+Premissas!$B$127)*(1+Premissas!$B$124)^2</f>
        <v>1017.8772615249029</v>
      </c>
      <c r="AC196" s="142">
        <f>AC188*Premissas!$F$19*(1+Premissas!$B$127)*(1+Premissas!$B$124)^2</f>
        <v>1017.8772615249029</v>
      </c>
      <c r="AD196" s="142">
        <f>AD188*Premissas!$F$19*(1+Premissas!$B$127)*(1+Premissas!$B$124)^2</f>
        <v>1017.8772615249029</v>
      </c>
      <c r="AE196" s="142">
        <f>AE188*Premissas!$F$19*(1+Premissas!$B$127)*(1+Premissas!$B$124)^2</f>
        <v>1017.8772615249029</v>
      </c>
      <c r="AF196" s="142">
        <f>AF188*Premissas!$F$19*(1+Premissas!$B$127)*(1+Premissas!$B$124)^2</f>
        <v>1017.8772615249029</v>
      </c>
      <c r="AG196" s="142">
        <f>AG188*Premissas!$F$19*(1+Premissas!$B$127)*(1+Premissas!$B$124)^2</f>
        <v>1017.8772615249029</v>
      </c>
      <c r="AH196" s="142">
        <f>AH188*Premissas!$F$19*(1+Premissas!$B$127)*(1+Premissas!$B$124)^2</f>
        <v>1017.8772615249029</v>
      </c>
      <c r="AI196" s="142">
        <f>AI188*Premissas!$F$19*(1+Premissas!$B$127)*(1+Premissas!$B$124)^2</f>
        <v>1017.8772615249029</v>
      </c>
      <c r="AJ196" s="142">
        <f>AJ188*Premissas!$F$19*(1+Premissas!$B$127)*(1+Premissas!$B$124)^2</f>
        <v>1017.8772615249029</v>
      </c>
      <c r="AK196" s="142">
        <f>AK188*Premissas!$F$19*(1+Premissas!$B$127)*(1+Premissas!$B$124)^2</f>
        <v>1017.8772615249029</v>
      </c>
      <c r="AL196" s="142">
        <f>AL188*Premissas!$F$19*(1+Premissas!$B$127)*(1+Premissas!$B$124)^2</f>
        <v>1017.8772615249029</v>
      </c>
      <c r="AM196" s="142">
        <f>AM188*Premissas!$F$19*(1+Premissas!$B$127)*(1+Premissas!$B$124)^2</f>
        <v>1017.8772615249029</v>
      </c>
      <c r="AN196" s="142">
        <f>AN188*Premissas!$F$19*(1+Premissas!$B$127)*(1+Premissas!$B$124)^3</f>
        <v>1105.9236446468071</v>
      </c>
      <c r="AO196" s="142">
        <f>AO188*Premissas!$F$19*(1+Premissas!$B$127)*(1+Premissas!$B$124)^3</f>
        <v>1105.9236446468071</v>
      </c>
      <c r="AP196" s="142">
        <f>AP188*Premissas!$F$19*(1+Premissas!$B$127)*(1+Premissas!$B$124)^3</f>
        <v>1105.9236446468071</v>
      </c>
      <c r="AQ196" s="142">
        <f>AQ188*Premissas!$F$19*(1+Premissas!$B$127)*(1+Premissas!$B$124)^3</f>
        <v>1105.9236446468071</v>
      </c>
      <c r="AR196" s="142">
        <f>AR188*Premissas!$F$19*(1+Premissas!$B$127)*(1+Premissas!$B$124)^3</f>
        <v>1105.9236446468071</v>
      </c>
      <c r="AS196" s="142">
        <f>AS188*Premissas!$F$19*(1+Premissas!$B$127)*(1+Premissas!$B$124)^3</f>
        <v>1105.9236446468071</v>
      </c>
      <c r="AT196" s="142">
        <f>AT188*Premissas!$F$19*(1+Premissas!$B$127)*(1+Premissas!$B$124)^3</f>
        <v>1105.9236446468071</v>
      </c>
      <c r="AU196" s="142">
        <f>AU188*Premissas!$F$19*(1+Premissas!$B$127)*(1+Premissas!$B$124)^3</f>
        <v>1105.9236446468071</v>
      </c>
      <c r="AV196" s="142">
        <f>AV188*Premissas!$F$19*(1+Premissas!$B$127)*(1+Premissas!$B$124)^3</f>
        <v>1105.9236446468071</v>
      </c>
      <c r="AW196" s="142">
        <f>AW188*Premissas!$F$19*(1+Premissas!$B$127)*(1+Premissas!$B$124)^3</f>
        <v>1105.9236446468071</v>
      </c>
      <c r="AX196" s="142">
        <f>AX188*Premissas!$F$19*(1+Premissas!$B$127)*(1+Premissas!$B$124)^3</f>
        <v>1105.9236446468071</v>
      </c>
      <c r="AY196" s="142">
        <f>AY188*Premissas!$F$19*(1+Premissas!$B$127)*(1+Premissas!$B$124)^3</f>
        <v>1105.9236446468071</v>
      </c>
      <c r="AZ196" s="142">
        <f>AZ188*Premissas!$F$19*(1+Premissas!$B$127)*(1+Premissas!$B$124)^4</f>
        <v>1201.586039908756</v>
      </c>
      <c r="BA196" s="142">
        <f>BA188*Premissas!$F$19*(1+Premissas!$B$127)*(1+Premissas!$B$124)^4</f>
        <v>1201.586039908756</v>
      </c>
      <c r="BB196" s="142">
        <f>BB188*Premissas!$F$19*(1+Premissas!$B$127)*(1+Premissas!$B$124)^4</f>
        <v>1201.586039908756</v>
      </c>
      <c r="BC196" s="142">
        <f>BC188*Premissas!$F$19*(1+Premissas!$B$127)*(1+Premissas!$B$124)^4</f>
        <v>1201.586039908756</v>
      </c>
      <c r="BD196" s="142">
        <f>BD188*Premissas!$F$19*(1+Premissas!$B$127)*(1+Premissas!$B$124)^4</f>
        <v>1201.586039908756</v>
      </c>
      <c r="BE196" s="142">
        <f>BE188*Premissas!$F$19*(1+Premissas!$B$127)*(1+Premissas!$B$124)^4</f>
        <v>1201.586039908756</v>
      </c>
      <c r="BF196" s="142">
        <f>BF188*Premissas!$F$19*(1+Premissas!$B$127)*(1+Premissas!$B$124)^4</f>
        <v>1201.586039908756</v>
      </c>
      <c r="BG196" s="142">
        <f>BG188*Premissas!$F$19*(1+Premissas!$B$127)*(1+Premissas!$B$124)^4</f>
        <v>1201.586039908756</v>
      </c>
      <c r="BH196" s="142">
        <f>BH188*Premissas!$F$19*(1+Premissas!$B$127)*(1+Premissas!$B$124)^4</f>
        <v>1201.586039908756</v>
      </c>
      <c r="BI196" s="142">
        <f>BI188*Premissas!$F$19*(1+Premissas!$B$127)*(1+Premissas!$B$124)^4</f>
        <v>1201.586039908756</v>
      </c>
      <c r="BJ196" s="142">
        <f>BJ188*Premissas!$F$19*(1+Premissas!$B$127)*(1+Premissas!$B$124)^4</f>
        <v>1201.586039908756</v>
      </c>
      <c r="BK196" s="142">
        <f>BK188*Premissas!$F$19*(1+Premissas!$B$127)*(1+Premissas!$B$124)^4</f>
        <v>1201.586039908756</v>
      </c>
    </row>
    <row r="197" spans="1:63" ht="12.75" customHeight="1" x14ac:dyDescent="0.2">
      <c r="A197" s="143" t="s">
        <v>415</v>
      </c>
      <c r="B197" s="144">
        <f>SUM(D197:BQ197)</f>
        <v>0</v>
      </c>
      <c r="C197" s="124">
        <f>B197/60</f>
        <v>0</v>
      </c>
      <c r="D197" s="144">
        <f>IF(D192&gt;0,0,MAX(D188-D189-D190,0)*Premissas!$B$7*(1+Premissas!$B$127)*(1+Premissas!$B$124)^0)</f>
        <v>0</v>
      </c>
      <c r="E197" s="144">
        <f>IF(E192&gt;0,0,MAX(E188-E189-E190,0)*Premissas!$B$7*(1+Premissas!$B$127)*(1+Premissas!$B$124)^0)</f>
        <v>0</v>
      </c>
      <c r="F197" s="144">
        <f>IF(F192&gt;0,0,MAX(F188-F189-F190,0)*Premissas!$B$7*(1+Premissas!$B$127)*(1+Premissas!$B$124)^0)</f>
        <v>0</v>
      </c>
      <c r="G197" s="144">
        <f>IF(G192&gt;0,0,MAX(G188-G189-G190,0)*Premissas!$B$7*(1+Premissas!$B$127)*(1+Premissas!$B$124)^0)</f>
        <v>0</v>
      </c>
      <c r="H197" s="144">
        <f>IF(H192&gt;0,0,MAX(H188-H189-H190,0)*Premissas!$B$7*(1+Premissas!$B$127)*(1+Premissas!$B$124)^0)</f>
        <v>0</v>
      </c>
      <c r="I197" s="144">
        <f>IF(I192&gt;0,0,MAX(I188-I189-I190,0)*Premissas!$B$7*(1+Premissas!$B$127)*(1+Premissas!$B$124)^0)</f>
        <v>0</v>
      </c>
      <c r="J197" s="144">
        <f>IF(J192&gt;0,0,MAX(J188-J189-J190,0)*Premissas!$B$7*(1+Premissas!$B$127)*(1+Premissas!$B$124)^0)</f>
        <v>0</v>
      </c>
      <c r="K197" s="144">
        <f>IF(K192&gt;0,0,MAX(K188-K189-K190,0)*Premissas!$B$7*(1+Premissas!$B$127)*(1+Premissas!$B$124)^0)</f>
        <v>0</v>
      </c>
      <c r="L197" s="144">
        <f>IF(L192&gt;0,0,MAX(L188-L189-L190,0)*Premissas!$B$7*(1+Premissas!$B$127)*(1+Premissas!$B$124)^0)</f>
        <v>0</v>
      </c>
      <c r="M197" s="144">
        <f>IF(M192&gt;0,0,MAX(M188-M189-M190,0)*Premissas!$B$7*(1+Premissas!$B$127)*(1+Premissas!$B$124)^0)</f>
        <v>0</v>
      </c>
      <c r="N197" s="144">
        <f>IF(N192&gt;0,0,MAX(N188-N189-N190,0)*Premissas!$B$7*(1+Premissas!$B$127)*(1+Premissas!$B$124)^0)</f>
        <v>0</v>
      </c>
      <c r="O197" s="144">
        <f>IF(O192&gt;0,0,MAX(O188-O189-O190,0)*Premissas!$B$7*(1+Premissas!$B$127)*(1+Premissas!$B$124)^0)</f>
        <v>0</v>
      </c>
      <c r="P197" s="144">
        <f>IF(P192&gt;0,0,MAX(P188-P189-P190,0)*Premissas!$B$7*(1+Premissas!$B$127)*(1+Premissas!$B$124)^1)</f>
        <v>0</v>
      </c>
      <c r="Q197" s="144">
        <f>IF(Q192&gt;0,0,MAX(Q188-Q189-Q190,0)*Premissas!$B$7*(1+Premissas!$B$127)*(1+Premissas!$B$124)^1)</f>
        <v>0</v>
      </c>
      <c r="R197" s="144">
        <f>IF(R192&gt;0,0,MAX(R188-R189-R190,0)*Premissas!$B$7*(1+Premissas!$B$127)*(1+Premissas!$B$124)^1)</f>
        <v>0</v>
      </c>
      <c r="S197" s="144">
        <f>IF(S192&gt;0,0,MAX(S188-S189-S190,0)*Premissas!$B$7*(1+Premissas!$B$127)*(1+Premissas!$B$124)^1)</f>
        <v>0</v>
      </c>
      <c r="T197" s="144">
        <f>IF(T192&gt;0,0,MAX(T188-T189-T190,0)*Premissas!$B$7*(1+Premissas!$B$127)*(1+Premissas!$B$124)^1)</f>
        <v>0</v>
      </c>
      <c r="U197" s="144">
        <f>IF(U192&gt;0,0,MAX(U188-U189-U190,0)*Premissas!$B$7*(1+Premissas!$B$127)*(1+Premissas!$B$124)^1)</f>
        <v>0</v>
      </c>
      <c r="V197" s="144">
        <f>IF(V192&gt;0,0,MAX(V188-V189-V190,0)*Premissas!$B$7*(1+Premissas!$B$127)*(1+Premissas!$B$124)^1)</f>
        <v>0</v>
      </c>
      <c r="W197" s="144">
        <f>IF(W192&gt;0,0,MAX(W188-W189-W190,0)*Premissas!$B$7*(1+Premissas!$B$127)*(1+Premissas!$B$124)^1)</f>
        <v>0</v>
      </c>
      <c r="X197" s="144">
        <f>IF(X192&gt;0,0,MAX(X188-X189-X190,0)*Premissas!$B$7*(1+Premissas!$B$127)*(1+Premissas!$B$124)^1)</f>
        <v>0</v>
      </c>
      <c r="Y197" s="144">
        <f>IF(Y192&gt;0,0,MAX(Y188-Y189-Y190,0)*Premissas!$B$7*(1+Premissas!$B$127)*(1+Premissas!$B$124)^1)</f>
        <v>0</v>
      </c>
      <c r="Z197" s="144">
        <f>IF(Z192&gt;0,0,MAX(Z188-Z189-Z190,0)*Premissas!$B$7*(1+Premissas!$B$127)*(1+Premissas!$B$124)^1)</f>
        <v>0</v>
      </c>
      <c r="AA197" s="144">
        <f>IF(AA192&gt;0,0,MAX(AA188-AA189-AA190,0)*Premissas!$B$7*(1+Premissas!$B$127)*(1+Premissas!$B$124)^1)</f>
        <v>0</v>
      </c>
      <c r="AB197" s="144">
        <f>IF(AB192&gt;0,0,MAX(AB188-AB189-AB190,0)*Premissas!$B$7*(1+Premissas!$B$127)*(1+Premissas!$B$124)^2)</f>
        <v>0</v>
      </c>
      <c r="AC197" s="144">
        <f>IF(AC192&gt;0,0,MAX(AC188-AC189-AC190,0)*Premissas!$B$7*(1+Premissas!$B$127)*(1+Premissas!$B$124)^2)</f>
        <v>0</v>
      </c>
      <c r="AD197" s="144">
        <f>IF(AD192&gt;0,0,MAX(AD188-AD189-AD190,0)*Premissas!$B$7*(1+Premissas!$B$127)*(1+Premissas!$B$124)^2)</f>
        <v>0</v>
      </c>
      <c r="AE197" s="144">
        <f>IF(AE192&gt;0,0,MAX(AE188-AE189-AE190,0)*Premissas!$B$7*(1+Premissas!$B$127)*(1+Premissas!$B$124)^2)</f>
        <v>0</v>
      </c>
      <c r="AF197" s="144">
        <f>IF(AF192&gt;0,0,MAX(AF188-AF189-AF190,0)*Premissas!$B$7*(1+Premissas!$B$127)*(1+Premissas!$B$124)^2)</f>
        <v>0</v>
      </c>
      <c r="AG197" s="144">
        <f>IF(AG192&gt;0,0,MAX(AG188-AG189-AG190,0)*Premissas!$B$7*(1+Premissas!$B$127)*(1+Premissas!$B$124)^2)</f>
        <v>0</v>
      </c>
      <c r="AH197" s="144">
        <f>IF(AH192&gt;0,0,MAX(AH188-AH189-AH190,0)*Premissas!$B$7*(1+Premissas!$B$127)*(1+Premissas!$B$124)^2)</f>
        <v>0</v>
      </c>
      <c r="AI197" s="144">
        <f>IF(AI192&gt;0,0,MAX(AI188-AI189-AI190,0)*Premissas!$B$7*(1+Premissas!$B$127)*(1+Premissas!$B$124)^2)</f>
        <v>0</v>
      </c>
      <c r="AJ197" s="144">
        <f>IF(AJ192&gt;0,0,MAX(AJ188-AJ189-AJ190,0)*Premissas!$B$7*(1+Premissas!$B$127)*(1+Premissas!$B$124)^2)</f>
        <v>0</v>
      </c>
      <c r="AK197" s="144">
        <f>IF(AK192&gt;0,0,MAX(AK188-AK189-AK190,0)*Premissas!$B$7*(1+Premissas!$B$127)*(1+Premissas!$B$124)^2)</f>
        <v>0</v>
      </c>
      <c r="AL197" s="144">
        <f>IF(AL192&gt;0,0,MAX(AL188-AL189-AL190,0)*Premissas!$B$7*(1+Premissas!$B$127)*(1+Premissas!$B$124)^2)</f>
        <v>0</v>
      </c>
      <c r="AM197" s="144">
        <f>IF(AM192&gt;0,0,MAX(AM188-AM189-AM190,0)*Premissas!$B$7*(1+Premissas!$B$127)*(1+Premissas!$B$124)^2)</f>
        <v>0</v>
      </c>
      <c r="AN197" s="144">
        <f>IF(AN192&gt;0,0,MAX(AN188-AN189-AN190,0)*Premissas!$B$7*(1+Premissas!$B$127)*(1+Premissas!$B$124)^3)</f>
        <v>0</v>
      </c>
      <c r="AO197" s="144">
        <f>IF(AO192&gt;0,0,MAX(AO188-AO189-AO190,0)*Premissas!$B$7*(1+Premissas!$B$127)*(1+Premissas!$B$124)^3)</f>
        <v>0</v>
      </c>
      <c r="AP197" s="144">
        <f>IF(AP192&gt;0,0,MAX(AP188-AP189-AP190,0)*Premissas!$B$7*(1+Premissas!$B$127)*(1+Premissas!$B$124)^3)</f>
        <v>0</v>
      </c>
      <c r="AQ197" s="144">
        <f>IF(AQ192&gt;0,0,MAX(AQ188-AQ189-AQ190,0)*Premissas!$B$7*(1+Premissas!$B$127)*(1+Premissas!$B$124)^3)</f>
        <v>0</v>
      </c>
      <c r="AR197" s="144">
        <f>IF(AR192&gt;0,0,MAX(AR188-AR189-AR190,0)*Premissas!$B$7*(1+Premissas!$B$127)*(1+Premissas!$B$124)^3)</f>
        <v>0</v>
      </c>
      <c r="AS197" s="144">
        <f>IF(AS192&gt;0,0,MAX(AS188-AS189-AS190,0)*Premissas!$B$7*(1+Premissas!$B$127)*(1+Premissas!$B$124)^3)</f>
        <v>0</v>
      </c>
      <c r="AT197" s="144">
        <f>IF(AT192&gt;0,0,MAX(AT188-AT189-AT190,0)*Premissas!$B$7*(1+Premissas!$B$127)*(1+Premissas!$B$124)^3)</f>
        <v>0</v>
      </c>
      <c r="AU197" s="144">
        <f>IF(AU192&gt;0,0,MAX(AU188-AU189-AU190,0)*Premissas!$B$7*(1+Premissas!$B$127)*(1+Premissas!$B$124)^3)</f>
        <v>0</v>
      </c>
      <c r="AV197" s="144">
        <f>IF(AV192&gt;0,0,MAX(AV188-AV189-AV190,0)*Premissas!$B$7*(1+Premissas!$B$127)*(1+Premissas!$B$124)^3)</f>
        <v>0</v>
      </c>
      <c r="AW197" s="144">
        <f>IF(AW192&gt;0,0,MAX(AW188-AW189-AW190,0)*Premissas!$B$7*(1+Premissas!$B$127)*(1+Premissas!$B$124)^3)</f>
        <v>0</v>
      </c>
      <c r="AX197" s="144">
        <f>IF(AX192&gt;0,0,MAX(AX188-AX189-AX190,0)*Premissas!$B$7*(1+Premissas!$B$127)*(1+Premissas!$B$124)^3)</f>
        <v>0</v>
      </c>
      <c r="AY197" s="144">
        <f>IF(AY192&gt;0,0,MAX(AY188-AY189-AY190,0)*Premissas!$B$7*(1+Premissas!$B$127)*(1+Premissas!$B$124)^3)</f>
        <v>0</v>
      </c>
      <c r="AZ197" s="144">
        <f>IF(AZ192&gt;0,0,MAX(AZ188-AZ189-AZ190,0)*Premissas!$B$7*(1+Premissas!$B$127)*(1+Premissas!$B$124)^4)</f>
        <v>0</v>
      </c>
      <c r="BA197" s="144">
        <f>IF(BA192&gt;0,0,MAX(BA188-BA189-BA190,0)*Premissas!$B$7*(1+Premissas!$B$127)*(1+Premissas!$B$124)^4)</f>
        <v>0</v>
      </c>
      <c r="BB197" s="144">
        <f>IF(BB192&gt;0,0,MAX(BB188-BB189-BB190,0)*Premissas!$B$7*(1+Premissas!$B$127)*(1+Premissas!$B$124)^4)</f>
        <v>0</v>
      </c>
      <c r="BC197" s="144">
        <f>IF(BC192&gt;0,0,MAX(BC188-BC189-BC190,0)*Premissas!$B$7*(1+Premissas!$B$127)*(1+Premissas!$B$124)^4)</f>
        <v>0</v>
      </c>
      <c r="BD197" s="144">
        <f>IF(BD192&gt;0,0,MAX(BD188-BD189-BD190,0)*Premissas!$B$7*(1+Premissas!$B$127)*(1+Premissas!$B$124)^4)</f>
        <v>0</v>
      </c>
      <c r="BE197" s="144">
        <f>IF(BE192&gt;0,0,MAX(BE188-BE189-BE190,0)*Premissas!$B$7*(1+Premissas!$B$127)*(1+Premissas!$B$124)^4)</f>
        <v>0</v>
      </c>
      <c r="BF197" s="144">
        <f>IF(BF192&gt;0,0,MAX(BF188-BF189-BF190,0)*Premissas!$B$7*(1+Premissas!$B$127)*(1+Premissas!$B$124)^4)</f>
        <v>0</v>
      </c>
      <c r="BG197" s="144">
        <f>IF(BG192&gt;0,0,MAX(BG188-BG189-BG190,0)*Premissas!$B$7*(1+Premissas!$B$127)*(1+Premissas!$B$124)^4)</f>
        <v>0</v>
      </c>
      <c r="BH197" s="144">
        <f>IF(BH192&gt;0,0,MAX(BH188-BH189-BH190,0)*Premissas!$B$7*(1+Premissas!$B$127)*(1+Premissas!$B$124)^4)</f>
        <v>0</v>
      </c>
      <c r="BI197" s="144">
        <f>IF(BI192&gt;0,0,MAX(BI188-BI189-BI190,0)*Premissas!$B$7*(1+Premissas!$B$127)*(1+Premissas!$B$124)^4)</f>
        <v>0</v>
      </c>
      <c r="BJ197" s="144">
        <f>IF(BJ192&gt;0,0,MAX(BJ188-BJ189-BJ190,0)*Premissas!$B$7*(1+Premissas!$B$127)*(1+Premissas!$B$124)^4)</f>
        <v>0</v>
      </c>
      <c r="BK197" s="144">
        <f>IF(BK192&gt;0,0,MAX(BK188-BK189-BK190,0)*Premissas!$B$7*(1+Premissas!$B$127)*(1+Premissas!$B$124)^4)</f>
        <v>0</v>
      </c>
    </row>
    <row r="198" spans="1:63" ht="13.5" customHeight="1" x14ac:dyDescent="0.2">
      <c r="A198" s="41" t="s">
        <v>416</v>
      </c>
      <c r="B198" s="44">
        <f>SUM(D198:BQ198)</f>
        <v>107582.34557994963</v>
      </c>
      <c r="C198" s="124">
        <f>B198/60</f>
        <v>1793.0390929991604</v>
      </c>
      <c r="D198" s="145">
        <f t="shared" ref="D198:AI198" si="192">MAX(D196-D197,0)</f>
        <v>1800.1655386747707</v>
      </c>
      <c r="E198" s="145">
        <f t="shared" si="192"/>
        <v>1341.0559626051543</v>
      </c>
      <c r="F198" s="145">
        <f t="shared" si="192"/>
        <v>2548.4208748424066</v>
      </c>
      <c r="G198" s="145">
        <f t="shared" si="192"/>
        <v>7498.0988326493762</v>
      </c>
      <c r="H198" s="145">
        <f t="shared" si="192"/>
        <v>5636.7877748140918</v>
      </c>
      <c r="I198" s="145">
        <f t="shared" si="192"/>
        <v>4193.1317037870595</v>
      </c>
      <c r="J198" s="145">
        <f t="shared" si="192"/>
        <v>5054.3507956919148</v>
      </c>
      <c r="K198" s="145">
        <f t="shared" si="192"/>
        <v>0</v>
      </c>
      <c r="L198" s="145">
        <f t="shared" si="192"/>
        <v>929.48961859466601</v>
      </c>
      <c r="M198" s="145">
        <f t="shared" si="192"/>
        <v>1430.8828757108743</v>
      </c>
      <c r="N198" s="145">
        <f t="shared" si="192"/>
        <v>1175.9371517534803</v>
      </c>
      <c r="O198" s="145">
        <f t="shared" si="192"/>
        <v>883.81184305229965</v>
      </c>
      <c r="P198" s="145">
        <f t="shared" si="192"/>
        <v>1955.8798577701382</v>
      </c>
      <c r="Q198" s="145">
        <f t="shared" si="192"/>
        <v>1457.0573033705002</v>
      </c>
      <c r="R198" s="145">
        <f t="shared" si="192"/>
        <v>2768.8592805162757</v>
      </c>
      <c r="S198" s="145">
        <f t="shared" si="192"/>
        <v>8146.6843816735463</v>
      </c>
      <c r="T198" s="145">
        <f t="shared" si="192"/>
        <v>6124.3699173355108</v>
      </c>
      <c r="U198" s="145">
        <f t="shared" si="192"/>
        <v>4555.8375961646398</v>
      </c>
      <c r="V198" s="145">
        <f t="shared" si="192"/>
        <v>5491.5521395192654</v>
      </c>
      <c r="W198" s="145">
        <f t="shared" si="192"/>
        <v>0</v>
      </c>
      <c r="X198" s="145">
        <f t="shared" si="192"/>
        <v>985.25899571034597</v>
      </c>
      <c r="Y198" s="145">
        <f t="shared" si="192"/>
        <v>1516.7358482535267</v>
      </c>
      <c r="Z198" s="145">
        <f t="shared" si="192"/>
        <v>1246.4933808586891</v>
      </c>
      <c r="AA198" s="145">
        <f t="shared" si="192"/>
        <v>936.84055363543769</v>
      </c>
      <c r="AB198" s="145">
        <f t="shared" si="192"/>
        <v>1017.8772615249029</v>
      </c>
      <c r="AC198" s="145">
        <f t="shared" si="192"/>
        <v>1017.8772615249029</v>
      </c>
      <c r="AD198" s="145">
        <f t="shared" si="192"/>
        <v>1017.8772615249029</v>
      </c>
      <c r="AE198" s="145">
        <f t="shared" si="192"/>
        <v>1017.8772615249029</v>
      </c>
      <c r="AF198" s="145">
        <f t="shared" si="192"/>
        <v>1017.8772615249029</v>
      </c>
      <c r="AG198" s="145">
        <f t="shared" si="192"/>
        <v>1017.8772615249029</v>
      </c>
      <c r="AH198" s="145">
        <f t="shared" si="192"/>
        <v>1017.8772615249029</v>
      </c>
      <c r="AI198" s="145">
        <f t="shared" si="192"/>
        <v>1017.8772615249029</v>
      </c>
      <c r="AJ198" s="145">
        <f t="shared" ref="AJ198:BO198" si="193">MAX(AJ196-AJ197,0)</f>
        <v>1017.8772615249029</v>
      </c>
      <c r="AK198" s="145">
        <f t="shared" si="193"/>
        <v>1017.8772615249029</v>
      </c>
      <c r="AL198" s="145">
        <f t="shared" si="193"/>
        <v>1017.8772615249029</v>
      </c>
      <c r="AM198" s="145">
        <f t="shared" si="193"/>
        <v>1017.8772615249029</v>
      </c>
      <c r="AN198" s="145">
        <f t="shared" si="193"/>
        <v>1105.9236446468071</v>
      </c>
      <c r="AO198" s="145">
        <f t="shared" si="193"/>
        <v>1105.9236446468071</v>
      </c>
      <c r="AP198" s="145">
        <f t="shared" si="193"/>
        <v>1105.9236446468071</v>
      </c>
      <c r="AQ198" s="145">
        <f t="shared" si="193"/>
        <v>1105.9236446468071</v>
      </c>
      <c r="AR198" s="145">
        <f t="shared" si="193"/>
        <v>1105.9236446468071</v>
      </c>
      <c r="AS198" s="145">
        <f t="shared" si="193"/>
        <v>1105.9236446468071</v>
      </c>
      <c r="AT198" s="145">
        <f t="shared" si="193"/>
        <v>1105.9236446468071</v>
      </c>
      <c r="AU198" s="145">
        <f t="shared" si="193"/>
        <v>1105.9236446468071</v>
      </c>
      <c r="AV198" s="145">
        <f t="shared" si="193"/>
        <v>1105.9236446468071</v>
      </c>
      <c r="AW198" s="145">
        <f t="shared" si="193"/>
        <v>1105.9236446468071</v>
      </c>
      <c r="AX198" s="145">
        <f t="shared" si="193"/>
        <v>1105.9236446468071</v>
      </c>
      <c r="AY198" s="145">
        <f t="shared" si="193"/>
        <v>1105.9236446468071</v>
      </c>
      <c r="AZ198" s="145">
        <f t="shared" si="193"/>
        <v>1201.586039908756</v>
      </c>
      <c r="BA198" s="145">
        <f t="shared" si="193"/>
        <v>1201.586039908756</v>
      </c>
      <c r="BB198" s="145">
        <f t="shared" si="193"/>
        <v>1201.586039908756</v>
      </c>
      <c r="BC198" s="145">
        <f t="shared" si="193"/>
        <v>1201.586039908756</v>
      </c>
      <c r="BD198" s="145">
        <f t="shared" si="193"/>
        <v>1201.586039908756</v>
      </c>
      <c r="BE198" s="145">
        <f t="shared" si="193"/>
        <v>1201.586039908756</v>
      </c>
      <c r="BF198" s="145">
        <f t="shared" si="193"/>
        <v>1201.586039908756</v>
      </c>
      <c r="BG198" s="145">
        <f t="shared" si="193"/>
        <v>1201.586039908756</v>
      </c>
      <c r="BH198" s="145">
        <f t="shared" si="193"/>
        <v>1201.586039908756</v>
      </c>
      <c r="BI198" s="145">
        <f t="shared" si="193"/>
        <v>1201.586039908756</v>
      </c>
      <c r="BJ198" s="145">
        <f t="shared" si="193"/>
        <v>1201.586039908756</v>
      </c>
      <c r="BK198" s="145">
        <f t="shared" si="193"/>
        <v>1201.586039908756</v>
      </c>
    </row>
    <row r="200" spans="1:63" ht="15" customHeight="1" x14ac:dyDescent="0.2">
      <c r="A200" s="298" t="s">
        <v>432</v>
      </c>
      <c r="B200" s="289"/>
      <c r="C200" s="289"/>
      <c r="D200" s="289"/>
      <c r="E200" s="289"/>
      <c r="F200" s="289"/>
      <c r="G200" s="289"/>
      <c r="H200" s="289"/>
      <c r="I200" s="289"/>
      <c r="J200" s="289"/>
      <c r="K200" s="289"/>
      <c r="L200" s="289"/>
      <c r="M200" s="289"/>
      <c r="N200" s="289"/>
      <c r="O200" s="289"/>
      <c r="P200" s="289"/>
      <c r="Q200" s="289"/>
      <c r="R200" s="289"/>
      <c r="S200" s="289"/>
      <c r="T200" s="289"/>
      <c r="U200" s="289"/>
      <c r="V200" s="289"/>
      <c r="W200" s="289"/>
      <c r="X200" s="289"/>
      <c r="Y200" s="289"/>
      <c r="Z200" s="289"/>
      <c r="AA200" s="289"/>
    </row>
    <row r="201" spans="1:63" ht="12.75" customHeight="1" x14ac:dyDescent="0.2">
      <c r="A201" s="147" t="s">
        <v>403</v>
      </c>
      <c r="B201" s="148">
        <f>SUM(D201:BQ201)</f>
        <v>573475.36662500026</v>
      </c>
      <c r="C201" s="120">
        <f>B201/60</f>
        <v>9557.9227770833368</v>
      </c>
      <c r="D201" s="148">
        <v>8000</v>
      </c>
      <c r="E201" s="148">
        <v>7600</v>
      </c>
      <c r="F201" s="148">
        <v>8880</v>
      </c>
      <c r="G201" s="148">
        <v>8800</v>
      </c>
      <c r="H201" s="148">
        <v>9480</v>
      </c>
      <c r="I201" s="148">
        <v>8920</v>
      </c>
      <c r="J201" s="148">
        <v>9160</v>
      </c>
      <c r="K201" s="148">
        <f>11760*(1+Premissas!$B$21)</f>
        <v>12053.999999999998</v>
      </c>
      <c r="L201" s="148">
        <f>11640*(1+Premissas!$B$21)</f>
        <v>11930.999999999998</v>
      </c>
      <c r="M201" s="148">
        <f>10000*(1+Premissas!$B$21)</f>
        <v>10250</v>
      </c>
      <c r="N201" s="148">
        <f>9400*(1+Premissas!$B$21)</f>
        <v>9635</v>
      </c>
      <c r="O201" s="148">
        <f>8880*(1+Premissas!$B$21)</f>
        <v>9102</v>
      </c>
      <c r="P201" s="148">
        <f>8000*(1+Premissas!$B$21)</f>
        <v>8200</v>
      </c>
      <c r="Q201" s="148">
        <f>7600*(1+Premissas!$B$21)</f>
        <v>7789.9999999999991</v>
      </c>
      <c r="R201" s="148">
        <f>8880*(1+Premissas!$B$21)</f>
        <v>9102</v>
      </c>
      <c r="S201" s="148">
        <f>8800*(1+Premissas!$B$21)</f>
        <v>9020</v>
      </c>
      <c r="T201" s="148">
        <f>9480*(1+Premissas!$B$21)</f>
        <v>9717</v>
      </c>
      <c r="U201" s="148">
        <f>8920*(1+Premissas!$B$21)</f>
        <v>9143</v>
      </c>
      <c r="V201" s="148">
        <f>9160*(1+Premissas!$B$21)</f>
        <v>9389</v>
      </c>
      <c r="W201" s="148">
        <f>11760*(1+Premissas!$B$21)</f>
        <v>12053.999999999998</v>
      </c>
      <c r="X201" s="148">
        <f>11640*(1+Premissas!$B$21)</f>
        <v>11930.999999999998</v>
      </c>
      <c r="Y201" s="148">
        <f>10000*(1+Premissas!$B$21)</f>
        <v>10250</v>
      </c>
      <c r="Z201" s="148">
        <f>9400*(1+Premissas!$B$21)</f>
        <v>9635</v>
      </c>
      <c r="AA201" s="148">
        <f>8880*(1+Premissas!$B$21)</f>
        <v>9102</v>
      </c>
      <c r="AB201" s="148">
        <f>8880*(1+Premissas!$B$21)^2</f>
        <v>9329.5499999999993</v>
      </c>
      <c r="AC201" s="148">
        <f>8880*(1+Premissas!$B$21)^2</f>
        <v>9329.5499999999993</v>
      </c>
      <c r="AD201" s="148">
        <f>8880*(1+Premissas!$B$21)^2</f>
        <v>9329.5499999999993</v>
      </c>
      <c r="AE201" s="148">
        <f>8880*(1+Premissas!$B$21)^2</f>
        <v>9329.5499999999993</v>
      </c>
      <c r="AF201" s="148">
        <f>8880*(1+Premissas!$B$21)^2</f>
        <v>9329.5499999999993</v>
      </c>
      <c r="AG201" s="148">
        <f>8880*(1+Premissas!$B$21)^2</f>
        <v>9329.5499999999993</v>
      </c>
      <c r="AH201" s="148">
        <f>8880*(1+Premissas!$B$21)^2</f>
        <v>9329.5499999999993</v>
      </c>
      <c r="AI201" s="148">
        <f>8880*(1+Premissas!$B$21)^2</f>
        <v>9329.5499999999993</v>
      </c>
      <c r="AJ201" s="148">
        <f>8880*(1+Premissas!$B$21)^2</f>
        <v>9329.5499999999993</v>
      </c>
      <c r="AK201" s="148">
        <f>8880*(1+Premissas!$B$21)^2</f>
        <v>9329.5499999999993</v>
      </c>
      <c r="AL201" s="148">
        <f>8880*(1+Premissas!$B$21)^2</f>
        <v>9329.5499999999993</v>
      </c>
      <c r="AM201" s="148">
        <f>8880*(1+Premissas!$B$21)^2</f>
        <v>9329.5499999999993</v>
      </c>
      <c r="AN201" s="148">
        <f>8880*(1+Premissas!$B$21)^3</f>
        <v>9562.7887499999997</v>
      </c>
      <c r="AO201" s="148">
        <f>8880*(1+Premissas!$B$21)^3</f>
        <v>9562.7887499999997</v>
      </c>
      <c r="AP201" s="148">
        <f>8880*(1+Premissas!$B$21)^3</f>
        <v>9562.7887499999997</v>
      </c>
      <c r="AQ201" s="148">
        <f>8880*(1+Premissas!$B$21)^3</f>
        <v>9562.7887499999997</v>
      </c>
      <c r="AR201" s="148">
        <f>8880*(1+Premissas!$B$21)^3</f>
        <v>9562.7887499999997</v>
      </c>
      <c r="AS201" s="148">
        <f>8880*(1+Premissas!$B$21)^3</f>
        <v>9562.7887499999997</v>
      </c>
      <c r="AT201" s="148">
        <f>8880*(1+Premissas!$B$21)^3</f>
        <v>9562.7887499999997</v>
      </c>
      <c r="AU201" s="148">
        <f>8880*(1+Premissas!$B$21)^3</f>
        <v>9562.7887499999997</v>
      </c>
      <c r="AV201" s="148">
        <f>8880*(1+Premissas!$B$21)^3</f>
        <v>9562.7887499999997</v>
      </c>
      <c r="AW201" s="148">
        <f>8880*(1+Premissas!$B$21)^3</f>
        <v>9562.7887499999997</v>
      </c>
      <c r="AX201" s="148">
        <f>8880*(1+Premissas!$B$21)^3</f>
        <v>9562.7887499999997</v>
      </c>
      <c r="AY201" s="148">
        <f>8880*(1+Premissas!$B$21)^3</f>
        <v>9562.7887499999997</v>
      </c>
      <c r="AZ201" s="148">
        <f>8880*(1+Premissas!$B$21)^4</f>
        <v>9801.8584687499988</v>
      </c>
      <c r="BA201" s="148">
        <f>8880*(1+Premissas!$B$21)^4</f>
        <v>9801.8584687499988</v>
      </c>
      <c r="BB201" s="148">
        <f>8880*(1+Premissas!$B$21)^4</f>
        <v>9801.8584687499988</v>
      </c>
      <c r="BC201" s="148">
        <f>8880*(1+Premissas!$B$21)^4</f>
        <v>9801.8584687499988</v>
      </c>
      <c r="BD201" s="148">
        <f>8880*(1+Premissas!$B$21)^4</f>
        <v>9801.8584687499988</v>
      </c>
      <c r="BE201" s="148">
        <f>8880*(1+Premissas!$B$21)^4</f>
        <v>9801.8584687499988</v>
      </c>
      <c r="BF201" s="148">
        <f>8880*(1+Premissas!$B$21)^4</f>
        <v>9801.8584687499988</v>
      </c>
      <c r="BG201" s="148">
        <f>8880*(1+Premissas!$B$21)^4</f>
        <v>9801.8584687499988</v>
      </c>
      <c r="BH201" s="148">
        <f>8880*(1+Premissas!$B$21)^4</f>
        <v>9801.8584687499988</v>
      </c>
      <c r="BI201" s="148">
        <f>8880*(1+Premissas!$B$21)^4</f>
        <v>9801.8584687499988</v>
      </c>
      <c r="BJ201" s="148">
        <f>8880*(1+Premissas!$B$21)^4</f>
        <v>9801.8584687499988</v>
      </c>
      <c r="BK201" s="148">
        <f>8880*(1+Premissas!$B$21)^4</f>
        <v>9801.8584687499988</v>
      </c>
    </row>
    <row r="202" spans="1:63" ht="12.75" customHeight="1" x14ac:dyDescent="0.2">
      <c r="A202" s="122" t="str">
        <f>"  "&amp;INDEX(PVSYST_Helexia!$A$5:$A$7,MATCH(Premissas!$B$13,PVSYST_Helexia!$B$5:$B$7,0))&amp;" créditos recebidos (kWh)"</f>
        <v xml:space="preserve">  HCS03 créditos recebidos (kWh)</v>
      </c>
      <c r="B202" s="135">
        <f>SUM(D202:BQ202)</f>
        <v>571337.10564797628</v>
      </c>
      <c r="C202" s="120">
        <f>B202/60</f>
        <v>9522.285094132938</v>
      </c>
      <c r="D202" s="136">
        <f>D6*Premissas!$B$47</f>
        <v>6943.4400000000005</v>
      </c>
      <c r="E202" s="136">
        <f>E6*Premissas!$B$47</f>
        <v>7308.5599999999995</v>
      </c>
      <c r="F202" s="136">
        <f>F6*Premissas!$B$47</f>
        <v>8773.52</v>
      </c>
      <c r="G202" s="136">
        <f>G6*Premissas!$B$47</f>
        <v>8232.56</v>
      </c>
      <c r="H202" s="136">
        <f>H6*Premissas!$C$47</f>
        <v>15002.244000000001</v>
      </c>
      <c r="I202" s="136">
        <f>I6*Premissas!$C$47</f>
        <v>14505.744000000001</v>
      </c>
      <c r="J202" s="136">
        <f>J6*Premissas!$C$47</f>
        <v>13773.903</v>
      </c>
      <c r="K202" s="136">
        <f>K6*Premissas!$C$47</f>
        <v>14142.732989999999</v>
      </c>
      <c r="L202" s="136">
        <f>L6*Premissas!$C$47</f>
        <v>12602.386425000001</v>
      </c>
      <c r="M202" s="136">
        <f>M6*Premissas!$C$47</f>
        <v>14454.95205</v>
      </c>
      <c r="N202" s="136">
        <f>N6*Premissas!$D$47</f>
        <v>11968.608240000001</v>
      </c>
      <c r="O202" s="136">
        <f>O6*Premissas!$D$47</f>
        <v>11201.200559999999</v>
      </c>
      <c r="P202" s="136">
        <f>P6*Premissas!$D$47</f>
        <v>10165.69212</v>
      </c>
      <c r="Q202" s="136">
        <f>Q6*Premissas!$D$47</f>
        <v>10700.253879999998</v>
      </c>
      <c r="R202" s="136">
        <f>R6*Premissas!$D$47</f>
        <v>12845.059960000001</v>
      </c>
      <c r="S202" s="136">
        <f>S6*Premissas!$D$47</f>
        <v>12053.055880000002</v>
      </c>
      <c r="T202" s="136">
        <f>T6*Premissas!$E$47</f>
        <v>15378.20658</v>
      </c>
      <c r="U202" s="136">
        <f>U6*Premissas!$E$47</f>
        <v>14869.264080000001</v>
      </c>
      <c r="V202" s="136">
        <f>V6*Premissas!$E$47</f>
        <v>14119.082835000001</v>
      </c>
      <c r="W202" s="136">
        <f>W6*Premissas!$E$47</f>
        <v>14570.005889999999</v>
      </c>
      <c r="X202" s="136">
        <f>X6*Premissas!$E$47</f>
        <v>12983.123175000001</v>
      </c>
      <c r="Y202" s="136">
        <f>Y6*Premissas!$E$47</f>
        <v>14891.65755</v>
      </c>
      <c r="Z202" s="136">
        <f>Z6*Premissas!$E$47</f>
        <v>14859.085230000001</v>
      </c>
      <c r="AA202" s="136">
        <f>AA6*Premissas!$E$47</f>
        <v>13906.344869999999</v>
      </c>
      <c r="AB202" s="136">
        <f>AB6*Premissas!$F$47</f>
        <v>6334.0651071000002</v>
      </c>
      <c r="AC202" s="136">
        <f>AC6*Premissas!$F$47</f>
        <v>6667.1411978999995</v>
      </c>
      <c r="AD202" s="136">
        <f>AD6*Premissas!$F$47</f>
        <v>8003.5323843000015</v>
      </c>
      <c r="AE202" s="136">
        <f>AE6*Premissas!$F$47</f>
        <v>7510.0484828999997</v>
      </c>
      <c r="AF202" s="136">
        <f>AF6*Premissas!$F$47</f>
        <v>7717.9656132000009</v>
      </c>
      <c r="AG202" s="136">
        <f>AG6*Premissas!$F$47</f>
        <v>7462.539163200001</v>
      </c>
      <c r="AH202" s="136">
        <f>AH6*Premissas!$G$47</f>
        <v>7292.0301275250004</v>
      </c>
      <c r="AI202" s="136">
        <f>AI6*Premissas!$G$47</f>
        <v>7524.9166783500004</v>
      </c>
      <c r="AJ202" s="136">
        <f>AJ6*Premissas!$G$47</f>
        <v>6705.3452726250007</v>
      </c>
      <c r="AK202" s="136">
        <f>AK6*Premissas!$G$47</f>
        <v>7691.0389132500004</v>
      </c>
      <c r="AL202" s="136">
        <f>AL6*Premissas!$G$47</f>
        <v>7674.2164084500009</v>
      </c>
      <c r="AM202" s="136">
        <f>AM6*Premissas!$G$47</f>
        <v>7182.1581430500009</v>
      </c>
      <c r="AN202" s="136">
        <f>AN6*Premissas!$H$47</f>
        <v>6351.2505550650003</v>
      </c>
      <c r="AO202" s="136">
        <f>AO6*Premissas!$H$47</f>
        <v>6685.2303406849987</v>
      </c>
      <c r="AP202" s="136">
        <f>AP6*Premissas!$H$47</f>
        <v>8025.247394645</v>
      </c>
      <c r="AQ202" s="136">
        <f>AQ6*Premissas!$H$47</f>
        <v>7530.4245834350004</v>
      </c>
      <c r="AR202" s="136">
        <f>AR6*Premissas!$H$47</f>
        <v>7738.905829979999</v>
      </c>
      <c r="AS202" s="136">
        <f>AS6*Premissas!$H$47</f>
        <v>7482.7863624800002</v>
      </c>
      <c r="AT202" s="136">
        <f>AT6*Premissas!$I$47</f>
        <v>7310.2258712518751</v>
      </c>
      <c r="AU202" s="136">
        <f>AU6*Premissas!$I$47</f>
        <v>7543.6935420012496</v>
      </c>
      <c r="AV202" s="136">
        <f>AV6*Premissas!$I$47</f>
        <v>6722.077066384375</v>
      </c>
      <c r="AW202" s="136">
        <f>AW6*Premissas!$I$47</f>
        <v>7710.2303003687502</v>
      </c>
      <c r="AX202" s="136">
        <f>AX6*Premissas!$I$47</f>
        <v>7693.3658185087506</v>
      </c>
      <c r="AY202" s="136">
        <f>AY6*Premissas!$I$47</f>
        <v>7200.079724103749</v>
      </c>
      <c r="AZ202" s="136">
        <f>AZ6*Premissas!$J$47</f>
        <v>5493.0988935287178</v>
      </c>
      <c r="BA202" s="136">
        <f>BA6*Premissas!$J$47</f>
        <v>5781.952871960907</v>
      </c>
      <c r="BB202" s="136">
        <f>BB6*Premissas!$J$47</f>
        <v>6940.9130062839276</v>
      </c>
      <c r="BC202" s="136">
        <f>BC6*Premissas!$J$47</f>
        <v>6512.9483695270328</v>
      </c>
      <c r="BD202" s="136">
        <f>BD6*Premissas!$J$47</f>
        <v>6693.2605922600096</v>
      </c>
      <c r="BE202" s="136">
        <f>BE6*Premissas!$J$47</f>
        <v>6471.7468051187598</v>
      </c>
      <c r="BF202" s="136">
        <f>BF6*Premissas!$K$47</f>
        <v>9503.3619524953956</v>
      </c>
      <c r="BG202" s="136">
        <f>BG6*Premissas!$K$47</f>
        <v>9806.8721064104284</v>
      </c>
      <c r="BH202" s="136">
        <f>BH6*Premissas!$K$47</f>
        <v>8738.7630094498418</v>
      </c>
      <c r="BI202" s="136">
        <f>BI6*Premissas!$K$47</f>
        <v>10023.371448706483</v>
      </c>
      <c r="BJ202" s="136">
        <f>BJ6*Premissas!$K$47</f>
        <v>10001.447464676503</v>
      </c>
      <c r="BK202" s="136">
        <f>BK6*Premissas!$K$47</f>
        <v>9360.1709317995883</v>
      </c>
    </row>
    <row r="203" spans="1:63" ht="12.75" customHeight="1" x14ac:dyDescent="0.2">
      <c r="A203" s="126" t="s">
        <v>409</v>
      </c>
      <c r="B203" s="120">
        <f>AA203</f>
        <v>68323.258444999999</v>
      </c>
      <c r="C203" s="120" t="s">
        <v>397</v>
      </c>
      <c r="D203" s="120">
        <f>0</f>
        <v>0</v>
      </c>
      <c r="E203" s="120">
        <f t="shared" ref="E203:AJ203" si="194">D205</f>
        <v>0</v>
      </c>
      <c r="F203" s="120">
        <f t="shared" si="194"/>
        <v>0</v>
      </c>
      <c r="G203" s="120">
        <f t="shared" si="194"/>
        <v>0</v>
      </c>
      <c r="H203" s="120">
        <f t="shared" si="194"/>
        <v>0</v>
      </c>
      <c r="I203" s="120">
        <f t="shared" si="194"/>
        <v>5522.2440000000006</v>
      </c>
      <c r="J203" s="120">
        <f t="shared" si="194"/>
        <v>11107.988000000001</v>
      </c>
      <c r="K203" s="120">
        <f t="shared" si="194"/>
        <v>15721.891000000001</v>
      </c>
      <c r="L203" s="120">
        <f t="shared" si="194"/>
        <v>17810.62399</v>
      </c>
      <c r="M203" s="120">
        <f t="shared" si="194"/>
        <v>18482.010415000004</v>
      </c>
      <c r="N203" s="120">
        <f t="shared" si="194"/>
        <v>22686.962465000004</v>
      </c>
      <c r="O203" s="120">
        <f t="shared" si="194"/>
        <v>25020.570705000006</v>
      </c>
      <c r="P203" s="120">
        <f t="shared" si="194"/>
        <v>27119.771265000003</v>
      </c>
      <c r="Q203" s="120">
        <f t="shared" si="194"/>
        <v>29085.463385000003</v>
      </c>
      <c r="R203" s="120">
        <f t="shared" si="194"/>
        <v>31995.717265000003</v>
      </c>
      <c r="S203" s="120">
        <f t="shared" si="194"/>
        <v>35738.777225000005</v>
      </c>
      <c r="T203" s="120">
        <f t="shared" si="194"/>
        <v>38771.833105000005</v>
      </c>
      <c r="U203" s="120">
        <f t="shared" si="194"/>
        <v>44433.039685000003</v>
      </c>
      <c r="V203" s="120">
        <f t="shared" si="194"/>
        <v>50159.303765000004</v>
      </c>
      <c r="W203" s="120">
        <f t="shared" si="194"/>
        <v>54889.386600000005</v>
      </c>
      <c r="X203" s="120">
        <f t="shared" si="194"/>
        <v>57405.392490000006</v>
      </c>
      <c r="Y203" s="120">
        <f t="shared" si="194"/>
        <v>58457.515665000006</v>
      </c>
      <c r="Z203" s="120">
        <f t="shared" si="194"/>
        <v>63099.173215000003</v>
      </c>
      <c r="AA203" s="120">
        <f t="shared" si="194"/>
        <v>68323.258444999999</v>
      </c>
      <c r="AB203" s="120">
        <f t="shared" si="194"/>
        <v>73127.603315</v>
      </c>
      <c r="AC203" s="120">
        <f t="shared" si="194"/>
        <v>70132.1184221</v>
      </c>
      <c r="AD203" s="120">
        <f t="shared" si="194"/>
        <v>67469.709619999994</v>
      </c>
      <c r="AE203" s="120">
        <f t="shared" si="194"/>
        <v>66143.692004299999</v>
      </c>
      <c r="AF203" s="120">
        <f t="shared" si="194"/>
        <v>64324.190487200001</v>
      </c>
      <c r="AG203" s="120">
        <f t="shared" si="194"/>
        <v>62712.6061004</v>
      </c>
      <c r="AH203" s="120">
        <f t="shared" si="194"/>
        <v>60845.5952636</v>
      </c>
      <c r="AI203" s="120">
        <f t="shared" si="194"/>
        <v>58808.075391124999</v>
      </c>
      <c r="AJ203" s="120">
        <f t="shared" si="194"/>
        <v>57003.442069475001</v>
      </c>
      <c r="AK203" s="120">
        <f t="shared" ref="AK203:BK203" si="195">AJ205</f>
        <v>54379.237342100001</v>
      </c>
      <c r="AL203" s="120">
        <f t="shared" si="195"/>
        <v>52740.726255350004</v>
      </c>
      <c r="AM203" s="120">
        <f t="shared" si="195"/>
        <v>51085.392663800005</v>
      </c>
      <c r="AN203" s="120">
        <f t="shared" si="195"/>
        <v>48938.000806850003</v>
      </c>
      <c r="AO203" s="120">
        <f t="shared" si="195"/>
        <v>45726.462611915005</v>
      </c>
      <c r="AP203" s="120">
        <f t="shared" si="195"/>
        <v>42848.904202600002</v>
      </c>
      <c r="AQ203" s="120">
        <f t="shared" si="195"/>
        <v>41311.362847245</v>
      </c>
      <c r="AR203" s="120">
        <f t="shared" si="195"/>
        <v>39278.998680680001</v>
      </c>
      <c r="AS203" s="120">
        <f t="shared" si="195"/>
        <v>37455.115760660003</v>
      </c>
      <c r="AT203" s="120">
        <f t="shared" si="195"/>
        <v>35375.113373140004</v>
      </c>
      <c r="AU203" s="120">
        <f t="shared" si="195"/>
        <v>33122.550494391879</v>
      </c>
      <c r="AV203" s="120">
        <f t="shared" si="195"/>
        <v>31103.455286393128</v>
      </c>
      <c r="AW203" s="120">
        <f t="shared" si="195"/>
        <v>28262.743602777504</v>
      </c>
      <c r="AX203" s="120">
        <f t="shared" si="195"/>
        <v>26410.185153146253</v>
      </c>
      <c r="AY203" s="120">
        <f t="shared" si="195"/>
        <v>24540.762221655004</v>
      </c>
      <c r="AZ203" s="120">
        <f t="shared" si="195"/>
        <v>22178.053195758752</v>
      </c>
      <c r="BA203" s="120">
        <f t="shared" si="195"/>
        <v>17869.293620537472</v>
      </c>
      <c r="BB203" s="120">
        <f t="shared" si="195"/>
        <v>13849.388023748379</v>
      </c>
      <c r="BC203" s="120">
        <f t="shared" si="195"/>
        <v>10988.442561282307</v>
      </c>
      <c r="BD203" s="120">
        <f t="shared" si="195"/>
        <v>7699.532462059341</v>
      </c>
      <c r="BE203" s="120">
        <f t="shared" si="195"/>
        <v>4590.9345855693518</v>
      </c>
      <c r="BF203" s="120">
        <f t="shared" si="195"/>
        <v>1260.8229219381128</v>
      </c>
      <c r="BG203" s="120">
        <f t="shared" si="195"/>
        <v>962.32640568350962</v>
      </c>
      <c r="BH203" s="120">
        <f t="shared" si="195"/>
        <v>967.34004334393921</v>
      </c>
      <c r="BI203" s="120">
        <f t="shared" si="195"/>
        <v>0</v>
      </c>
      <c r="BJ203" s="120">
        <f t="shared" si="195"/>
        <v>221.51297995648383</v>
      </c>
      <c r="BK203" s="120">
        <f t="shared" si="195"/>
        <v>421.10197588298797</v>
      </c>
    </row>
    <row r="204" spans="1:63" ht="12.75" customHeight="1" x14ac:dyDescent="0.2">
      <c r="A204" s="126" t="s">
        <v>410</v>
      </c>
      <c r="B204" s="120">
        <f>SUM(D204:BQ204)</f>
        <v>73553.7189285434</v>
      </c>
      <c r="C204" s="120">
        <f>B204/60</f>
        <v>1225.8953154757232</v>
      </c>
      <c r="D204" s="120">
        <f t="shared" ref="D204:AI204" si="196">MIN(D203,MAX(D201-D202,0))</f>
        <v>0</v>
      </c>
      <c r="E204" s="120">
        <f t="shared" si="196"/>
        <v>0</v>
      </c>
      <c r="F204" s="120">
        <f t="shared" si="196"/>
        <v>0</v>
      </c>
      <c r="G204" s="120">
        <f t="shared" si="196"/>
        <v>0</v>
      </c>
      <c r="H204" s="120">
        <f t="shared" si="196"/>
        <v>0</v>
      </c>
      <c r="I204" s="120">
        <f t="shared" si="196"/>
        <v>0</v>
      </c>
      <c r="J204" s="120">
        <f t="shared" si="196"/>
        <v>0</v>
      </c>
      <c r="K204" s="120">
        <f t="shared" si="196"/>
        <v>0</v>
      </c>
      <c r="L204" s="120">
        <f t="shared" si="196"/>
        <v>0</v>
      </c>
      <c r="M204" s="120">
        <f t="shared" si="196"/>
        <v>0</v>
      </c>
      <c r="N204" s="120">
        <f t="shared" si="196"/>
        <v>0</v>
      </c>
      <c r="O204" s="120">
        <f t="shared" si="196"/>
        <v>0</v>
      </c>
      <c r="P204" s="120">
        <f t="shared" si="196"/>
        <v>0</v>
      </c>
      <c r="Q204" s="120">
        <f t="shared" si="196"/>
        <v>0</v>
      </c>
      <c r="R204" s="120">
        <f t="shared" si="196"/>
        <v>0</v>
      </c>
      <c r="S204" s="120">
        <f t="shared" si="196"/>
        <v>0</v>
      </c>
      <c r="T204" s="120">
        <f t="shared" si="196"/>
        <v>0</v>
      </c>
      <c r="U204" s="120">
        <f t="shared" si="196"/>
        <v>0</v>
      </c>
      <c r="V204" s="120">
        <f t="shared" si="196"/>
        <v>0</v>
      </c>
      <c r="W204" s="120">
        <f t="shared" si="196"/>
        <v>0</v>
      </c>
      <c r="X204" s="120">
        <f t="shared" si="196"/>
        <v>0</v>
      </c>
      <c r="Y204" s="120">
        <f t="shared" si="196"/>
        <v>0</v>
      </c>
      <c r="Z204" s="120">
        <f t="shared" si="196"/>
        <v>0</v>
      </c>
      <c r="AA204" s="120">
        <f t="shared" si="196"/>
        <v>0</v>
      </c>
      <c r="AB204" s="120">
        <f t="shared" si="196"/>
        <v>2995.4848928999991</v>
      </c>
      <c r="AC204" s="120">
        <f t="shared" si="196"/>
        <v>2662.4088020999998</v>
      </c>
      <c r="AD204" s="120">
        <f t="shared" si="196"/>
        <v>1326.0176156999978</v>
      </c>
      <c r="AE204" s="120">
        <f t="shared" si="196"/>
        <v>1819.5015170999995</v>
      </c>
      <c r="AF204" s="120">
        <f t="shared" si="196"/>
        <v>1611.5843867999984</v>
      </c>
      <c r="AG204" s="120">
        <f t="shared" si="196"/>
        <v>1867.0108367999983</v>
      </c>
      <c r="AH204" s="120">
        <f t="shared" si="196"/>
        <v>2037.5198724749989</v>
      </c>
      <c r="AI204" s="120">
        <f t="shared" si="196"/>
        <v>1804.6333216499988</v>
      </c>
      <c r="AJ204" s="120">
        <f t="shared" ref="AJ204:BO204" si="197">MIN(AJ203,MAX(AJ201-AJ202,0))</f>
        <v>2624.2047273749986</v>
      </c>
      <c r="AK204" s="120">
        <f t="shared" si="197"/>
        <v>1638.5110867499989</v>
      </c>
      <c r="AL204" s="120">
        <f t="shared" si="197"/>
        <v>1655.3335915499983</v>
      </c>
      <c r="AM204" s="120">
        <f t="shared" si="197"/>
        <v>2147.3918569499983</v>
      </c>
      <c r="AN204" s="120">
        <f t="shared" si="197"/>
        <v>3211.5381949349994</v>
      </c>
      <c r="AO204" s="120">
        <f t="shared" si="197"/>
        <v>2877.558409315001</v>
      </c>
      <c r="AP204" s="120">
        <f t="shared" si="197"/>
        <v>1537.5413553549997</v>
      </c>
      <c r="AQ204" s="120">
        <f t="shared" si="197"/>
        <v>2032.3641665649993</v>
      </c>
      <c r="AR204" s="120">
        <f t="shared" si="197"/>
        <v>1823.8829200200007</v>
      </c>
      <c r="AS204" s="120">
        <f t="shared" si="197"/>
        <v>2080.0023875199995</v>
      </c>
      <c r="AT204" s="120">
        <f t="shared" si="197"/>
        <v>2252.5628787481246</v>
      </c>
      <c r="AU204" s="120">
        <f t="shared" si="197"/>
        <v>2019.0952079987501</v>
      </c>
      <c r="AV204" s="120">
        <f t="shared" si="197"/>
        <v>2840.7116836156247</v>
      </c>
      <c r="AW204" s="120">
        <f t="shared" si="197"/>
        <v>1852.5584496312495</v>
      </c>
      <c r="AX204" s="120">
        <f t="shared" si="197"/>
        <v>1869.4229314912491</v>
      </c>
      <c r="AY204" s="120">
        <f t="shared" si="197"/>
        <v>2362.7090258962508</v>
      </c>
      <c r="AZ204" s="120">
        <f t="shared" si="197"/>
        <v>4308.759575221281</v>
      </c>
      <c r="BA204" s="120">
        <f t="shared" si="197"/>
        <v>4019.9055967890918</v>
      </c>
      <c r="BB204" s="120">
        <f t="shared" si="197"/>
        <v>2860.9454624660711</v>
      </c>
      <c r="BC204" s="120">
        <f t="shared" si="197"/>
        <v>3288.910099222966</v>
      </c>
      <c r="BD204" s="120">
        <f t="shared" si="197"/>
        <v>3108.5978764899892</v>
      </c>
      <c r="BE204" s="120">
        <f t="shared" si="197"/>
        <v>3330.111663631239</v>
      </c>
      <c r="BF204" s="120">
        <f t="shared" si="197"/>
        <v>298.49651625460319</v>
      </c>
      <c r="BG204" s="120">
        <f t="shared" si="197"/>
        <v>0</v>
      </c>
      <c r="BH204" s="120">
        <f t="shared" si="197"/>
        <v>967.34004334393921</v>
      </c>
      <c r="BI204" s="120">
        <f t="shared" si="197"/>
        <v>0</v>
      </c>
      <c r="BJ204" s="120">
        <f t="shared" si="197"/>
        <v>0</v>
      </c>
      <c r="BK204" s="120">
        <f t="shared" si="197"/>
        <v>421.10197588298797</v>
      </c>
    </row>
    <row r="205" spans="1:63" ht="13.5" customHeight="1" x14ac:dyDescent="0.2">
      <c r="A205" s="41" t="s">
        <v>411</v>
      </c>
      <c r="B205" s="43">
        <f>AA205</f>
        <v>73127.603315</v>
      </c>
      <c r="C205" s="120" t="s">
        <v>397</v>
      </c>
      <c r="D205" s="137">
        <f t="shared" ref="D205:AI205" si="198">MAX(D203-D204,0)+MAX(D202-D201,0)</f>
        <v>0</v>
      </c>
      <c r="E205" s="137">
        <f t="shared" si="198"/>
        <v>0</v>
      </c>
      <c r="F205" s="137">
        <f t="shared" si="198"/>
        <v>0</v>
      </c>
      <c r="G205" s="137">
        <f t="shared" si="198"/>
        <v>0</v>
      </c>
      <c r="H205" s="137">
        <f t="shared" si="198"/>
        <v>5522.2440000000006</v>
      </c>
      <c r="I205" s="137">
        <f t="shared" si="198"/>
        <v>11107.988000000001</v>
      </c>
      <c r="J205" s="137">
        <f t="shared" si="198"/>
        <v>15721.891000000001</v>
      </c>
      <c r="K205" s="137">
        <f t="shared" si="198"/>
        <v>17810.62399</v>
      </c>
      <c r="L205" s="137">
        <f t="shared" si="198"/>
        <v>18482.010415000004</v>
      </c>
      <c r="M205" s="137">
        <f t="shared" si="198"/>
        <v>22686.962465000004</v>
      </c>
      <c r="N205" s="137">
        <f t="shared" si="198"/>
        <v>25020.570705000006</v>
      </c>
      <c r="O205" s="137">
        <f t="shared" si="198"/>
        <v>27119.771265000003</v>
      </c>
      <c r="P205" s="137">
        <f t="shared" si="198"/>
        <v>29085.463385000003</v>
      </c>
      <c r="Q205" s="137">
        <f t="shared" si="198"/>
        <v>31995.717265000003</v>
      </c>
      <c r="R205" s="137">
        <f t="shared" si="198"/>
        <v>35738.777225000005</v>
      </c>
      <c r="S205" s="137">
        <f t="shared" si="198"/>
        <v>38771.833105000005</v>
      </c>
      <c r="T205" s="137">
        <f t="shared" si="198"/>
        <v>44433.039685000003</v>
      </c>
      <c r="U205" s="137">
        <f t="shared" si="198"/>
        <v>50159.303765000004</v>
      </c>
      <c r="V205" s="137">
        <f t="shared" si="198"/>
        <v>54889.386600000005</v>
      </c>
      <c r="W205" s="137">
        <f t="shared" si="198"/>
        <v>57405.392490000006</v>
      </c>
      <c r="X205" s="137">
        <f t="shared" si="198"/>
        <v>58457.515665000006</v>
      </c>
      <c r="Y205" s="137">
        <f t="shared" si="198"/>
        <v>63099.173215000003</v>
      </c>
      <c r="Z205" s="137">
        <f t="shared" si="198"/>
        <v>68323.258444999999</v>
      </c>
      <c r="AA205" s="137">
        <f t="shared" si="198"/>
        <v>73127.603315</v>
      </c>
      <c r="AB205" s="137">
        <f t="shared" si="198"/>
        <v>70132.1184221</v>
      </c>
      <c r="AC205" s="137">
        <f t="shared" si="198"/>
        <v>67469.709619999994</v>
      </c>
      <c r="AD205" s="137">
        <f t="shared" si="198"/>
        <v>66143.692004299999</v>
      </c>
      <c r="AE205" s="137">
        <f t="shared" si="198"/>
        <v>64324.190487200001</v>
      </c>
      <c r="AF205" s="137">
        <f t="shared" si="198"/>
        <v>62712.6061004</v>
      </c>
      <c r="AG205" s="137">
        <f t="shared" si="198"/>
        <v>60845.5952636</v>
      </c>
      <c r="AH205" s="137">
        <f t="shared" si="198"/>
        <v>58808.075391124999</v>
      </c>
      <c r="AI205" s="137">
        <f t="shared" si="198"/>
        <v>57003.442069475001</v>
      </c>
      <c r="AJ205" s="137">
        <f t="shared" ref="AJ205:BO205" si="199">MAX(AJ203-AJ204,0)+MAX(AJ202-AJ201,0)</f>
        <v>54379.237342100001</v>
      </c>
      <c r="AK205" s="137">
        <f t="shared" si="199"/>
        <v>52740.726255350004</v>
      </c>
      <c r="AL205" s="137">
        <f t="shared" si="199"/>
        <v>51085.392663800005</v>
      </c>
      <c r="AM205" s="137">
        <f t="shared" si="199"/>
        <v>48938.000806850003</v>
      </c>
      <c r="AN205" s="137">
        <f t="shared" si="199"/>
        <v>45726.462611915005</v>
      </c>
      <c r="AO205" s="137">
        <f t="shared" si="199"/>
        <v>42848.904202600002</v>
      </c>
      <c r="AP205" s="137">
        <f t="shared" si="199"/>
        <v>41311.362847245</v>
      </c>
      <c r="AQ205" s="137">
        <f t="shared" si="199"/>
        <v>39278.998680680001</v>
      </c>
      <c r="AR205" s="137">
        <f t="shared" si="199"/>
        <v>37455.115760660003</v>
      </c>
      <c r="AS205" s="137">
        <f t="shared" si="199"/>
        <v>35375.113373140004</v>
      </c>
      <c r="AT205" s="137">
        <f t="shared" si="199"/>
        <v>33122.550494391879</v>
      </c>
      <c r="AU205" s="137">
        <f t="shared" si="199"/>
        <v>31103.455286393128</v>
      </c>
      <c r="AV205" s="137">
        <f t="shared" si="199"/>
        <v>28262.743602777504</v>
      </c>
      <c r="AW205" s="137">
        <f t="shared" si="199"/>
        <v>26410.185153146253</v>
      </c>
      <c r="AX205" s="137">
        <f t="shared" si="199"/>
        <v>24540.762221655004</v>
      </c>
      <c r="AY205" s="137">
        <f t="shared" si="199"/>
        <v>22178.053195758752</v>
      </c>
      <c r="AZ205" s="137">
        <f t="shared" si="199"/>
        <v>17869.293620537472</v>
      </c>
      <c r="BA205" s="137">
        <f t="shared" si="199"/>
        <v>13849.388023748379</v>
      </c>
      <c r="BB205" s="137">
        <f t="shared" si="199"/>
        <v>10988.442561282307</v>
      </c>
      <c r="BC205" s="137">
        <f t="shared" si="199"/>
        <v>7699.532462059341</v>
      </c>
      <c r="BD205" s="137">
        <f t="shared" si="199"/>
        <v>4590.9345855693518</v>
      </c>
      <c r="BE205" s="137">
        <f t="shared" si="199"/>
        <v>1260.8229219381128</v>
      </c>
      <c r="BF205" s="137">
        <f t="shared" si="199"/>
        <v>962.32640568350962</v>
      </c>
      <c r="BG205" s="137">
        <f t="shared" si="199"/>
        <v>967.34004334393921</v>
      </c>
      <c r="BH205" s="137">
        <f t="shared" si="199"/>
        <v>0</v>
      </c>
      <c r="BI205" s="137">
        <f t="shared" si="199"/>
        <v>221.51297995648383</v>
      </c>
      <c r="BJ205" s="137">
        <f t="shared" si="199"/>
        <v>421.10197588298797</v>
      </c>
      <c r="BK205" s="137">
        <f t="shared" si="199"/>
        <v>0</v>
      </c>
    </row>
    <row r="206" spans="1:63" ht="12.75" customHeight="1" x14ac:dyDescent="0.2">
      <c r="A206" s="127" t="s">
        <v>412</v>
      </c>
      <c r="B206" s="128">
        <f>AA206</f>
        <v>0</v>
      </c>
      <c r="C206" s="120" t="s">
        <v>397</v>
      </c>
      <c r="D206" s="128">
        <f>0</f>
        <v>0</v>
      </c>
      <c r="E206" s="128">
        <f t="shared" ref="E206:AJ206" si="200">D208</f>
        <v>0</v>
      </c>
      <c r="F206" s="128">
        <f t="shared" si="200"/>
        <v>0</v>
      </c>
      <c r="G206" s="128">
        <f t="shared" si="200"/>
        <v>0</v>
      </c>
      <c r="H206" s="128">
        <f t="shared" si="200"/>
        <v>0</v>
      </c>
      <c r="I206" s="128">
        <f t="shared" si="200"/>
        <v>0</v>
      </c>
      <c r="J206" s="128">
        <f t="shared" si="200"/>
        <v>0</v>
      </c>
      <c r="K206" s="128">
        <f t="shared" si="200"/>
        <v>0</v>
      </c>
      <c r="L206" s="128">
        <f t="shared" si="200"/>
        <v>0</v>
      </c>
      <c r="M206" s="128">
        <f t="shared" si="200"/>
        <v>0</v>
      </c>
      <c r="N206" s="128">
        <f t="shared" si="200"/>
        <v>0</v>
      </c>
      <c r="O206" s="128">
        <f t="shared" si="200"/>
        <v>0</v>
      </c>
      <c r="P206" s="128">
        <f t="shared" si="200"/>
        <v>0</v>
      </c>
      <c r="Q206" s="128">
        <f t="shared" si="200"/>
        <v>0</v>
      </c>
      <c r="R206" s="128">
        <f t="shared" si="200"/>
        <v>0</v>
      </c>
      <c r="S206" s="128">
        <f t="shared" si="200"/>
        <v>0</v>
      </c>
      <c r="T206" s="128">
        <f t="shared" si="200"/>
        <v>0</v>
      </c>
      <c r="U206" s="128">
        <f t="shared" si="200"/>
        <v>0</v>
      </c>
      <c r="V206" s="128">
        <f t="shared" si="200"/>
        <v>0</v>
      </c>
      <c r="W206" s="128">
        <f t="shared" si="200"/>
        <v>0</v>
      </c>
      <c r="X206" s="128">
        <f t="shared" si="200"/>
        <v>0</v>
      </c>
      <c r="Y206" s="128">
        <f t="shared" si="200"/>
        <v>0</v>
      </c>
      <c r="Z206" s="128">
        <f t="shared" si="200"/>
        <v>0</v>
      </c>
      <c r="AA206" s="128">
        <f t="shared" si="200"/>
        <v>0</v>
      </c>
      <c r="AB206" s="128">
        <f t="shared" si="200"/>
        <v>0</v>
      </c>
      <c r="AC206" s="128">
        <f t="shared" si="200"/>
        <v>0</v>
      </c>
      <c r="AD206" s="128">
        <f t="shared" si="200"/>
        <v>0</v>
      </c>
      <c r="AE206" s="128">
        <f t="shared" si="200"/>
        <v>0</v>
      </c>
      <c r="AF206" s="128">
        <f t="shared" si="200"/>
        <v>0</v>
      </c>
      <c r="AG206" s="128">
        <f t="shared" si="200"/>
        <v>0</v>
      </c>
      <c r="AH206" s="128">
        <f t="shared" si="200"/>
        <v>0</v>
      </c>
      <c r="AI206" s="128">
        <f t="shared" si="200"/>
        <v>0</v>
      </c>
      <c r="AJ206" s="128">
        <f t="shared" si="200"/>
        <v>0</v>
      </c>
      <c r="AK206" s="128">
        <f t="shared" ref="AK206:BK206" si="201">AJ208</f>
        <v>0</v>
      </c>
      <c r="AL206" s="128">
        <f t="shared" si="201"/>
        <v>0</v>
      </c>
      <c r="AM206" s="128">
        <f t="shared" si="201"/>
        <v>0</v>
      </c>
      <c r="AN206" s="128">
        <f t="shared" si="201"/>
        <v>0</v>
      </c>
      <c r="AO206" s="128">
        <f t="shared" si="201"/>
        <v>0</v>
      </c>
      <c r="AP206" s="128">
        <f t="shared" si="201"/>
        <v>0</v>
      </c>
      <c r="AQ206" s="128">
        <f t="shared" si="201"/>
        <v>0</v>
      </c>
      <c r="AR206" s="128">
        <f t="shared" si="201"/>
        <v>0</v>
      </c>
      <c r="AS206" s="128">
        <f t="shared" si="201"/>
        <v>0</v>
      </c>
      <c r="AT206" s="128">
        <f t="shared" si="201"/>
        <v>0</v>
      </c>
      <c r="AU206" s="128">
        <f t="shared" si="201"/>
        <v>0</v>
      </c>
      <c r="AV206" s="128">
        <f t="shared" si="201"/>
        <v>0</v>
      </c>
      <c r="AW206" s="128">
        <f t="shared" si="201"/>
        <v>0</v>
      </c>
      <c r="AX206" s="128">
        <f t="shared" si="201"/>
        <v>0</v>
      </c>
      <c r="AY206" s="128">
        <f t="shared" si="201"/>
        <v>0</v>
      </c>
      <c r="AZ206" s="128">
        <f t="shared" si="201"/>
        <v>0</v>
      </c>
      <c r="BA206" s="128">
        <f t="shared" si="201"/>
        <v>0</v>
      </c>
      <c r="BB206" s="128">
        <f t="shared" si="201"/>
        <v>0</v>
      </c>
      <c r="BC206" s="128">
        <f t="shared" si="201"/>
        <v>0</v>
      </c>
      <c r="BD206" s="128">
        <f t="shared" si="201"/>
        <v>0</v>
      </c>
      <c r="BE206" s="128">
        <f t="shared" si="201"/>
        <v>0</v>
      </c>
      <c r="BF206" s="128">
        <f t="shared" si="201"/>
        <v>0</v>
      </c>
      <c r="BG206" s="128">
        <f t="shared" si="201"/>
        <v>0</v>
      </c>
      <c r="BH206" s="128">
        <f t="shared" si="201"/>
        <v>0</v>
      </c>
      <c r="BI206" s="128">
        <f t="shared" si="201"/>
        <v>0</v>
      </c>
      <c r="BJ206" s="128">
        <f t="shared" si="201"/>
        <v>0</v>
      </c>
      <c r="BK206" s="128">
        <f t="shared" si="201"/>
        <v>0</v>
      </c>
    </row>
    <row r="207" spans="1:63" ht="12.75" customHeight="1" x14ac:dyDescent="0.2">
      <c r="A207" s="127" t="s">
        <v>420</v>
      </c>
      <c r="B207" s="128">
        <f>SUM(D207:BQ207)</f>
        <v>0</v>
      </c>
      <c r="C207" s="120">
        <f>B207/60</f>
        <v>0</v>
      </c>
      <c r="D207" s="128">
        <f t="shared" ref="D207:AI207" si="202">MIN(D206,D201)</f>
        <v>0</v>
      </c>
      <c r="E207" s="128">
        <f t="shared" si="202"/>
        <v>0</v>
      </c>
      <c r="F207" s="128">
        <f t="shared" si="202"/>
        <v>0</v>
      </c>
      <c r="G207" s="128">
        <f t="shared" si="202"/>
        <v>0</v>
      </c>
      <c r="H207" s="128">
        <f t="shared" si="202"/>
        <v>0</v>
      </c>
      <c r="I207" s="128">
        <f t="shared" si="202"/>
        <v>0</v>
      </c>
      <c r="J207" s="128">
        <f t="shared" si="202"/>
        <v>0</v>
      </c>
      <c r="K207" s="128">
        <f t="shared" si="202"/>
        <v>0</v>
      </c>
      <c r="L207" s="128">
        <f t="shared" si="202"/>
        <v>0</v>
      </c>
      <c r="M207" s="128">
        <f t="shared" si="202"/>
        <v>0</v>
      </c>
      <c r="N207" s="128">
        <f t="shared" si="202"/>
        <v>0</v>
      </c>
      <c r="O207" s="128">
        <f t="shared" si="202"/>
        <v>0</v>
      </c>
      <c r="P207" s="128">
        <f t="shared" si="202"/>
        <v>0</v>
      </c>
      <c r="Q207" s="128">
        <f t="shared" si="202"/>
        <v>0</v>
      </c>
      <c r="R207" s="128">
        <f t="shared" si="202"/>
        <v>0</v>
      </c>
      <c r="S207" s="128">
        <f t="shared" si="202"/>
        <v>0</v>
      </c>
      <c r="T207" s="128">
        <f t="shared" si="202"/>
        <v>0</v>
      </c>
      <c r="U207" s="128">
        <f t="shared" si="202"/>
        <v>0</v>
      </c>
      <c r="V207" s="128">
        <f t="shared" si="202"/>
        <v>0</v>
      </c>
      <c r="W207" s="128">
        <f t="shared" si="202"/>
        <v>0</v>
      </c>
      <c r="X207" s="128">
        <f t="shared" si="202"/>
        <v>0</v>
      </c>
      <c r="Y207" s="128">
        <f t="shared" si="202"/>
        <v>0</v>
      </c>
      <c r="Z207" s="128">
        <f t="shared" si="202"/>
        <v>0</v>
      </c>
      <c r="AA207" s="128">
        <f t="shared" si="202"/>
        <v>0</v>
      </c>
      <c r="AB207" s="128">
        <f t="shared" si="202"/>
        <v>0</v>
      </c>
      <c r="AC207" s="128">
        <f t="shared" si="202"/>
        <v>0</v>
      </c>
      <c r="AD207" s="128">
        <f t="shared" si="202"/>
        <v>0</v>
      </c>
      <c r="AE207" s="128">
        <f t="shared" si="202"/>
        <v>0</v>
      </c>
      <c r="AF207" s="128">
        <f t="shared" si="202"/>
        <v>0</v>
      </c>
      <c r="AG207" s="128">
        <f t="shared" si="202"/>
        <v>0</v>
      </c>
      <c r="AH207" s="128">
        <f t="shared" si="202"/>
        <v>0</v>
      </c>
      <c r="AI207" s="128">
        <f t="shared" si="202"/>
        <v>0</v>
      </c>
      <c r="AJ207" s="128">
        <f t="shared" ref="AJ207:BO207" si="203">MIN(AJ206,AJ201)</f>
        <v>0</v>
      </c>
      <c r="AK207" s="128">
        <f t="shared" si="203"/>
        <v>0</v>
      </c>
      <c r="AL207" s="128">
        <f t="shared" si="203"/>
        <v>0</v>
      </c>
      <c r="AM207" s="128">
        <f t="shared" si="203"/>
        <v>0</v>
      </c>
      <c r="AN207" s="128">
        <f t="shared" si="203"/>
        <v>0</v>
      </c>
      <c r="AO207" s="128">
        <f t="shared" si="203"/>
        <v>0</v>
      </c>
      <c r="AP207" s="128">
        <f t="shared" si="203"/>
        <v>0</v>
      </c>
      <c r="AQ207" s="128">
        <f t="shared" si="203"/>
        <v>0</v>
      </c>
      <c r="AR207" s="128">
        <f t="shared" si="203"/>
        <v>0</v>
      </c>
      <c r="AS207" s="128">
        <f t="shared" si="203"/>
        <v>0</v>
      </c>
      <c r="AT207" s="128">
        <f t="shared" si="203"/>
        <v>0</v>
      </c>
      <c r="AU207" s="128">
        <f t="shared" si="203"/>
        <v>0</v>
      </c>
      <c r="AV207" s="128">
        <f t="shared" si="203"/>
        <v>0</v>
      </c>
      <c r="AW207" s="128">
        <f t="shared" si="203"/>
        <v>0</v>
      </c>
      <c r="AX207" s="128">
        <f t="shared" si="203"/>
        <v>0</v>
      </c>
      <c r="AY207" s="128">
        <f t="shared" si="203"/>
        <v>0</v>
      </c>
      <c r="AZ207" s="128">
        <f t="shared" si="203"/>
        <v>0</v>
      </c>
      <c r="BA207" s="128">
        <f t="shared" si="203"/>
        <v>0</v>
      </c>
      <c r="BB207" s="128">
        <f t="shared" si="203"/>
        <v>0</v>
      </c>
      <c r="BC207" s="128">
        <f t="shared" si="203"/>
        <v>0</v>
      </c>
      <c r="BD207" s="128">
        <f t="shared" si="203"/>
        <v>0</v>
      </c>
      <c r="BE207" s="128">
        <f t="shared" si="203"/>
        <v>0</v>
      </c>
      <c r="BF207" s="128">
        <f t="shared" si="203"/>
        <v>0</v>
      </c>
      <c r="BG207" s="128">
        <f t="shared" si="203"/>
        <v>0</v>
      </c>
      <c r="BH207" s="128">
        <f t="shared" si="203"/>
        <v>0</v>
      </c>
      <c r="BI207" s="128">
        <f t="shared" si="203"/>
        <v>0</v>
      </c>
      <c r="BJ207" s="128">
        <f t="shared" si="203"/>
        <v>0</v>
      </c>
      <c r="BK207" s="128">
        <f t="shared" si="203"/>
        <v>0</v>
      </c>
    </row>
    <row r="208" spans="1:63" ht="12.75" customHeight="1" x14ac:dyDescent="0.2">
      <c r="A208" s="127" t="s">
        <v>421</v>
      </c>
      <c r="B208" s="128">
        <f>AA208</f>
        <v>0</v>
      </c>
      <c r="C208" s="120" t="s">
        <v>397</v>
      </c>
      <c r="D208" s="149">
        <f t="shared" ref="D208:AI208" si="204">MAX(D206-D207,0)</f>
        <v>0</v>
      </c>
      <c r="E208" s="149">
        <f t="shared" si="204"/>
        <v>0</v>
      </c>
      <c r="F208" s="149">
        <f t="shared" si="204"/>
        <v>0</v>
      </c>
      <c r="G208" s="149">
        <f t="shared" si="204"/>
        <v>0</v>
      </c>
      <c r="H208" s="149">
        <f t="shared" si="204"/>
        <v>0</v>
      </c>
      <c r="I208" s="149">
        <f t="shared" si="204"/>
        <v>0</v>
      </c>
      <c r="J208" s="149">
        <f t="shared" si="204"/>
        <v>0</v>
      </c>
      <c r="K208" s="149">
        <f t="shared" si="204"/>
        <v>0</v>
      </c>
      <c r="L208" s="149">
        <f t="shared" si="204"/>
        <v>0</v>
      </c>
      <c r="M208" s="149">
        <f t="shared" si="204"/>
        <v>0</v>
      </c>
      <c r="N208" s="149">
        <f t="shared" si="204"/>
        <v>0</v>
      </c>
      <c r="O208" s="149">
        <f t="shared" si="204"/>
        <v>0</v>
      </c>
      <c r="P208" s="149">
        <f t="shared" si="204"/>
        <v>0</v>
      </c>
      <c r="Q208" s="149">
        <f t="shared" si="204"/>
        <v>0</v>
      </c>
      <c r="R208" s="149">
        <f t="shared" si="204"/>
        <v>0</v>
      </c>
      <c r="S208" s="149">
        <f t="shared" si="204"/>
        <v>0</v>
      </c>
      <c r="T208" s="149">
        <f t="shared" si="204"/>
        <v>0</v>
      </c>
      <c r="U208" s="149">
        <f t="shared" si="204"/>
        <v>0</v>
      </c>
      <c r="V208" s="149">
        <f t="shared" si="204"/>
        <v>0</v>
      </c>
      <c r="W208" s="149">
        <f t="shared" si="204"/>
        <v>0</v>
      </c>
      <c r="X208" s="149">
        <f t="shared" si="204"/>
        <v>0</v>
      </c>
      <c r="Y208" s="149">
        <f t="shared" si="204"/>
        <v>0</v>
      </c>
      <c r="Z208" s="149">
        <f t="shared" si="204"/>
        <v>0</v>
      </c>
      <c r="AA208" s="149">
        <f t="shared" si="204"/>
        <v>0</v>
      </c>
      <c r="AB208" s="149">
        <f t="shared" si="204"/>
        <v>0</v>
      </c>
      <c r="AC208" s="149">
        <f t="shared" si="204"/>
        <v>0</v>
      </c>
      <c r="AD208" s="149">
        <f t="shared" si="204"/>
        <v>0</v>
      </c>
      <c r="AE208" s="149">
        <f t="shared" si="204"/>
        <v>0</v>
      </c>
      <c r="AF208" s="149">
        <f t="shared" si="204"/>
        <v>0</v>
      </c>
      <c r="AG208" s="149">
        <f t="shared" si="204"/>
        <v>0</v>
      </c>
      <c r="AH208" s="149">
        <f t="shared" si="204"/>
        <v>0</v>
      </c>
      <c r="AI208" s="149">
        <f t="shared" si="204"/>
        <v>0</v>
      </c>
      <c r="AJ208" s="149">
        <f t="shared" ref="AJ208:BO208" si="205">MAX(AJ206-AJ207,0)</f>
        <v>0</v>
      </c>
      <c r="AK208" s="149">
        <f t="shared" si="205"/>
        <v>0</v>
      </c>
      <c r="AL208" s="149">
        <f t="shared" si="205"/>
        <v>0</v>
      </c>
      <c r="AM208" s="149">
        <f t="shared" si="205"/>
        <v>0</v>
      </c>
      <c r="AN208" s="149">
        <f t="shared" si="205"/>
        <v>0</v>
      </c>
      <c r="AO208" s="149">
        <f t="shared" si="205"/>
        <v>0</v>
      </c>
      <c r="AP208" s="149">
        <f t="shared" si="205"/>
        <v>0</v>
      </c>
      <c r="AQ208" s="149">
        <f t="shared" si="205"/>
        <v>0</v>
      </c>
      <c r="AR208" s="149">
        <f t="shared" si="205"/>
        <v>0</v>
      </c>
      <c r="AS208" s="149">
        <f t="shared" si="205"/>
        <v>0</v>
      </c>
      <c r="AT208" s="149">
        <f t="shared" si="205"/>
        <v>0</v>
      </c>
      <c r="AU208" s="149">
        <f t="shared" si="205"/>
        <v>0</v>
      </c>
      <c r="AV208" s="149">
        <f t="shared" si="205"/>
        <v>0</v>
      </c>
      <c r="AW208" s="149">
        <f t="shared" si="205"/>
        <v>0</v>
      </c>
      <c r="AX208" s="149">
        <f t="shared" si="205"/>
        <v>0</v>
      </c>
      <c r="AY208" s="149">
        <f t="shared" si="205"/>
        <v>0</v>
      </c>
      <c r="AZ208" s="149">
        <f t="shared" si="205"/>
        <v>0</v>
      </c>
      <c r="BA208" s="149">
        <f t="shared" si="205"/>
        <v>0</v>
      </c>
      <c r="BB208" s="149">
        <f t="shared" si="205"/>
        <v>0</v>
      </c>
      <c r="BC208" s="149">
        <f t="shared" si="205"/>
        <v>0</v>
      </c>
      <c r="BD208" s="149">
        <f t="shared" si="205"/>
        <v>0</v>
      </c>
      <c r="BE208" s="149">
        <f t="shared" si="205"/>
        <v>0</v>
      </c>
      <c r="BF208" s="149">
        <f t="shared" si="205"/>
        <v>0</v>
      </c>
      <c r="BG208" s="149">
        <f t="shared" si="205"/>
        <v>0</v>
      </c>
      <c r="BH208" s="149">
        <f t="shared" si="205"/>
        <v>0</v>
      </c>
      <c r="BI208" s="149">
        <f t="shared" si="205"/>
        <v>0</v>
      </c>
      <c r="BJ208" s="149">
        <f t="shared" si="205"/>
        <v>0</v>
      </c>
      <c r="BK208" s="149">
        <f t="shared" si="205"/>
        <v>0</v>
      </c>
    </row>
    <row r="209" spans="1:63" ht="12.75" customHeight="1" x14ac:dyDescent="0.2">
      <c r="A209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09" s="142">
        <f>SUM(D209:BQ209)</f>
        <v>670554.74771645968</v>
      </c>
      <c r="C209" s="124">
        <f>B209/60</f>
        <v>11175.912461940994</v>
      </c>
      <c r="D209" s="142">
        <f>D201*Premissas!$F$19*(1+Premissas!$B$127)*(1+Premissas!$B$124)^0</f>
        <v>8290.9178522729799</v>
      </c>
      <c r="E209" s="142">
        <f>E201*Premissas!$F$19*(1+Premissas!$B$127)*(1+Premissas!$B$124)^0</f>
        <v>7876.371959659331</v>
      </c>
      <c r="F209" s="142">
        <f>F201*Premissas!$F$19*(1+Premissas!$B$127)*(1+Premissas!$B$124)^0</f>
        <v>9202.9188160230078</v>
      </c>
      <c r="G209" s="142">
        <f>G201*Premissas!$F$19*(1+Premissas!$B$127)*(1+Premissas!$B$124)^0</f>
        <v>9120.0096375002777</v>
      </c>
      <c r="H209" s="142">
        <f>H201*Premissas!$F$19*(1+Premissas!$B$127)*(1+Premissas!$B$124)^0</f>
        <v>9824.7376549434794</v>
      </c>
      <c r="I209" s="142">
        <f>I201*Premissas!$F$19*(1+Premissas!$B$127)*(1+Premissas!$B$124)^0</f>
        <v>9244.373405284372</v>
      </c>
      <c r="J209" s="142">
        <f>J201*Premissas!$F$19*(1+Premissas!$B$127)*(1+Premissas!$B$124)^0</f>
        <v>9493.1009408525624</v>
      </c>
      <c r="K209" s="142">
        <f>K201*Premissas!$F$19*(1+Premissas!$B$127)*(1+Premissas!$B$124)^0</f>
        <v>12492.340473912311</v>
      </c>
      <c r="L209" s="142">
        <f>L201*Premissas!$F$19*(1+Premissas!$B$127)*(1+Premissas!$B$124)^0</f>
        <v>12364.867611933612</v>
      </c>
      <c r="M209" s="142">
        <f>M201*Premissas!$F$19*(1+Premissas!$B$127)*(1+Premissas!$B$124)^0</f>
        <v>10622.738498224755</v>
      </c>
      <c r="N209" s="142">
        <f>N201*Premissas!$F$19*(1+Premissas!$B$127)*(1+Premissas!$B$124)^0</f>
        <v>9985.3741883312687</v>
      </c>
      <c r="O209" s="142">
        <f>O201*Premissas!$F$19*(1+Premissas!$B$127)*(1+Premissas!$B$124)^0</f>
        <v>9432.9917864235831</v>
      </c>
      <c r="P209" s="142">
        <f>P201*Premissas!$F$19*(1+Premissas!$B$127)*(1+Premissas!$B$124)^1</f>
        <v>9008.0822464945923</v>
      </c>
      <c r="Q209" s="142">
        <f>Q201*Premissas!$F$19*(1+Premissas!$B$127)*(1+Premissas!$B$124)^1</f>
        <v>8557.6781341698625</v>
      </c>
      <c r="R209" s="142">
        <f>R201*Premissas!$F$19*(1+Premissas!$B$127)*(1+Premissas!$B$124)^1</f>
        <v>9998.9712936089982</v>
      </c>
      <c r="S209" s="142">
        <f>S201*Premissas!$F$19*(1+Premissas!$B$127)*(1+Premissas!$B$124)^1</f>
        <v>9908.8904711440518</v>
      </c>
      <c r="T209" s="142">
        <f>T201*Premissas!$F$19*(1+Premissas!$B$127)*(1+Premissas!$B$124)^1</f>
        <v>10674.577462096093</v>
      </c>
      <c r="U209" s="142">
        <f>U201*Premissas!$F$19*(1+Premissas!$B$127)*(1+Premissas!$B$124)^1</f>
        <v>10044.01170484147</v>
      </c>
      <c r="V209" s="142">
        <f>V201*Premissas!$F$19*(1+Premissas!$B$127)*(1+Premissas!$B$124)^1</f>
        <v>10314.254172236309</v>
      </c>
      <c r="W209" s="142">
        <f>W201*Premissas!$F$19*(1+Premissas!$B$127)*(1+Premissas!$B$124)^1</f>
        <v>13241.880902347049</v>
      </c>
      <c r="X209" s="142">
        <f>X201*Premissas!$F$19*(1+Premissas!$B$127)*(1+Premissas!$B$124)^1</f>
        <v>13106.759668649629</v>
      </c>
      <c r="Y209" s="142">
        <f>Y201*Premissas!$F$19*(1+Premissas!$B$127)*(1+Premissas!$B$124)^1</f>
        <v>11260.102808118241</v>
      </c>
      <c r="Z209" s="142">
        <f>Z201*Premissas!$F$19*(1+Premissas!$B$127)*(1+Premissas!$B$124)^1</f>
        <v>10584.496639631145</v>
      </c>
      <c r="AA209" s="142">
        <f>AA201*Premissas!$F$19*(1+Premissas!$B$127)*(1+Premissas!$B$124)^1</f>
        <v>9998.9712936089982</v>
      </c>
      <c r="AB209" s="142">
        <f>AB201*Premissas!$F$19*(1+Premissas!$B$127)*(1+Premissas!$B$124)^2</f>
        <v>10863.882310506177</v>
      </c>
      <c r="AC209" s="142">
        <f>AC201*Premissas!$F$19*(1+Premissas!$B$127)*(1+Premissas!$B$124)^2</f>
        <v>10863.882310506177</v>
      </c>
      <c r="AD209" s="142">
        <f>AD201*Premissas!$F$19*(1+Premissas!$B$127)*(1+Premissas!$B$124)^2</f>
        <v>10863.882310506177</v>
      </c>
      <c r="AE209" s="142">
        <f>AE201*Premissas!$F$19*(1+Premissas!$B$127)*(1+Premissas!$B$124)^2</f>
        <v>10863.882310506177</v>
      </c>
      <c r="AF209" s="142">
        <f>AF201*Premissas!$F$19*(1+Premissas!$B$127)*(1+Premissas!$B$124)^2</f>
        <v>10863.882310506177</v>
      </c>
      <c r="AG209" s="142">
        <f>AG201*Premissas!$F$19*(1+Premissas!$B$127)*(1+Premissas!$B$124)^2</f>
        <v>10863.882310506177</v>
      </c>
      <c r="AH209" s="142">
        <f>AH201*Premissas!$F$19*(1+Premissas!$B$127)*(1+Premissas!$B$124)^2</f>
        <v>10863.882310506177</v>
      </c>
      <c r="AI209" s="142">
        <f>AI201*Premissas!$F$19*(1+Premissas!$B$127)*(1+Premissas!$B$124)^2</f>
        <v>10863.882310506177</v>
      </c>
      <c r="AJ209" s="142">
        <f>AJ201*Premissas!$F$19*(1+Premissas!$B$127)*(1+Premissas!$B$124)^2</f>
        <v>10863.882310506177</v>
      </c>
      <c r="AK209" s="142">
        <f>AK201*Premissas!$F$19*(1+Premissas!$B$127)*(1+Premissas!$B$124)^2</f>
        <v>10863.882310506177</v>
      </c>
      <c r="AL209" s="142">
        <f>AL201*Premissas!$F$19*(1+Premissas!$B$127)*(1+Premissas!$B$124)^2</f>
        <v>10863.882310506177</v>
      </c>
      <c r="AM209" s="142">
        <f>AM201*Premissas!$F$19*(1+Premissas!$B$127)*(1+Premissas!$B$124)^2</f>
        <v>10863.882310506177</v>
      </c>
      <c r="AN209" s="142">
        <f>AN201*Premissas!$F$19*(1+Premissas!$B$127)*(1+Premissas!$B$124)^3</f>
        <v>11803.608130364963</v>
      </c>
      <c r="AO209" s="142">
        <f>AO201*Premissas!$F$19*(1+Premissas!$B$127)*(1+Premissas!$B$124)^3</f>
        <v>11803.608130364963</v>
      </c>
      <c r="AP209" s="142">
        <f>AP201*Premissas!$F$19*(1+Premissas!$B$127)*(1+Premissas!$B$124)^3</f>
        <v>11803.608130364963</v>
      </c>
      <c r="AQ209" s="142">
        <f>AQ201*Premissas!$F$19*(1+Premissas!$B$127)*(1+Premissas!$B$124)^3</f>
        <v>11803.608130364963</v>
      </c>
      <c r="AR209" s="142">
        <f>AR201*Premissas!$F$19*(1+Premissas!$B$127)*(1+Premissas!$B$124)^3</f>
        <v>11803.608130364963</v>
      </c>
      <c r="AS209" s="142">
        <f>AS201*Premissas!$F$19*(1+Premissas!$B$127)*(1+Premissas!$B$124)^3</f>
        <v>11803.608130364963</v>
      </c>
      <c r="AT209" s="142">
        <f>AT201*Premissas!$F$19*(1+Premissas!$B$127)*(1+Premissas!$B$124)^3</f>
        <v>11803.608130364963</v>
      </c>
      <c r="AU209" s="142">
        <f>AU201*Premissas!$F$19*(1+Premissas!$B$127)*(1+Premissas!$B$124)^3</f>
        <v>11803.608130364963</v>
      </c>
      <c r="AV209" s="142">
        <f>AV201*Premissas!$F$19*(1+Premissas!$B$127)*(1+Premissas!$B$124)^3</f>
        <v>11803.608130364963</v>
      </c>
      <c r="AW209" s="142">
        <f>AW201*Premissas!$F$19*(1+Premissas!$B$127)*(1+Premissas!$B$124)^3</f>
        <v>11803.608130364963</v>
      </c>
      <c r="AX209" s="142">
        <f>AX201*Premissas!$F$19*(1+Premissas!$B$127)*(1+Premissas!$B$124)^3</f>
        <v>11803.608130364963</v>
      </c>
      <c r="AY209" s="142">
        <f>AY201*Premissas!$F$19*(1+Premissas!$B$127)*(1+Premissas!$B$124)^3</f>
        <v>11803.608130364963</v>
      </c>
      <c r="AZ209" s="142">
        <f>AZ201*Premissas!$F$19*(1+Premissas!$B$127)*(1+Premissas!$B$124)^4</f>
        <v>12824.62023364153</v>
      </c>
      <c r="BA209" s="142">
        <f>BA201*Premissas!$F$19*(1+Premissas!$B$127)*(1+Premissas!$B$124)^4</f>
        <v>12824.62023364153</v>
      </c>
      <c r="BB209" s="142">
        <f>BB201*Premissas!$F$19*(1+Premissas!$B$127)*(1+Premissas!$B$124)^4</f>
        <v>12824.62023364153</v>
      </c>
      <c r="BC209" s="142">
        <f>BC201*Premissas!$F$19*(1+Premissas!$B$127)*(1+Premissas!$B$124)^4</f>
        <v>12824.62023364153</v>
      </c>
      <c r="BD209" s="142">
        <f>BD201*Premissas!$F$19*(1+Premissas!$B$127)*(1+Premissas!$B$124)^4</f>
        <v>12824.62023364153</v>
      </c>
      <c r="BE209" s="142">
        <f>BE201*Premissas!$F$19*(1+Premissas!$B$127)*(1+Premissas!$B$124)^4</f>
        <v>12824.62023364153</v>
      </c>
      <c r="BF209" s="142">
        <f>BF201*Premissas!$F$19*(1+Premissas!$B$127)*(1+Premissas!$B$124)^4</f>
        <v>12824.62023364153</v>
      </c>
      <c r="BG209" s="142">
        <f>BG201*Premissas!$F$19*(1+Premissas!$B$127)*(1+Premissas!$B$124)^4</f>
        <v>12824.62023364153</v>
      </c>
      <c r="BH209" s="142">
        <f>BH201*Premissas!$F$19*(1+Premissas!$B$127)*(1+Premissas!$B$124)^4</f>
        <v>12824.62023364153</v>
      </c>
      <c r="BI209" s="142">
        <f>BI201*Premissas!$F$19*(1+Premissas!$B$127)*(1+Premissas!$B$124)^4</f>
        <v>12824.62023364153</v>
      </c>
      <c r="BJ209" s="142">
        <f>BJ201*Premissas!$F$19*(1+Premissas!$B$127)*(1+Premissas!$B$124)^4</f>
        <v>12824.62023364153</v>
      </c>
      <c r="BK209" s="142">
        <f>BK201*Premissas!$F$19*(1+Premissas!$B$127)*(1+Premissas!$B$124)^4</f>
        <v>12824.62023364153</v>
      </c>
    </row>
    <row r="210" spans="1:63" ht="12.75" customHeight="1" x14ac:dyDescent="0.2">
      <c r="A210" s="143" t="s">
        <v>415</v>
      </c>
      <c r="B210" s="144">
        <f>SUM(D210:BQ210)</f>
        <v>2809.5819410674844</v>
      </c>
      <c r="C210" s="124">
        <f>B210/60</f>
        <v>46.826365684458075</v>
      </c>
      <c r="D210" s="144">
        <f>IF(D205&gt;0,0,MAX(D201-D202-D203,0)*Premissas!$B$7*(1+Premissas!$B$127)*(1+Premissas!$B$124)^0)</f>
        <v>1368.7269009371146</v>
      </c>
      <c r="E210" s="144">
        <f>IF(E205&gt;0,0,MAX(E201-E202-E203,0)*Premissas!$B$7*(1+Premissas!$B$127)*(1+Premissas!$B$124)^0)</f>
        <v>377.54767169788141</v>
      </c>
      <c r="F210" s="144">
        <f>IF(F205&gt;0,0,MAX(F201-F202-F203,0)*Premissas!$B$7*(1+Premissas!$B$127)*(1+Premissas!$B$124)^0)</f>
        <v>137.94014576719113</v>
      </c>
      <c r="G210" s="144">
        <f>IF(G205&gt;0,0,MAX(G201-G202-G203,0)*Premissas!$B$7*(1+Premissas!$B$127)*(1+Premissas!$B$124)^0)</f>
        <v>735.09350407715374</v>
      </c>
      <c r="H210" s="144">
        <f>IF(H205&gt;0,0,MAX(H201-H202-H203,0)*Premissas!$B$7*(1+Premissas!$B$127)*(1+Premissas!$B$124)^0)</f>
        <v>0</v>
      </c>
      <c r="I210" s="144">
        <f>IF(I205&gt;0,0,MAX(I201-I202-I203,0)*Premissas!$B$7*(1+Premissas!$B$127)*(1+Premissas!$B$124)^0)</f>
        <v>0</v>
      </c>
      <c r="J210" s="144">
        <f>IF(J205&gt;0,0,MAX(J201-J202-J203,0)*Premissas!$B$7*(1+Premissas!$B$127)*(1+Premissas!$B$124)^0)</f>
        <v>0</v>
      </c>
      <c r="K210" s="144">
        <f>IF(K205&gt;0,0,MAX(K201-K202-K203,0)*Premissas!$B$7*(1+Premissas!$B$127)*(1+Premissas!$B$124)^0)</f>
        <v>0</v>
      </c>
      <c r="L210" s="144">
        <f>IF(L205&gt;0,0,MAX(L201-L202-L203,0)*Premissas!$B$7*(1+Premissas!$B$127)*(1+Premissas!$B$124)^0)</f>
        <v>0</v>
      </c>
      <c r="M210" s="144">
        <f>IF(M205&gt;0,0,MAX(M201-M202-M203,0)*Premissas!$B$7*(1+Premissas!$B$127)*(1+Premissas!$B$124)^0)</f>
        <v>0</v>
      </c>
      <c r="N210" s="144">
        <f>IF(N205&gt;0,0,MAX(N201-N202-N203,0)*Premissas!$B$7*(1+Premissas!$B$127)*(1+Premissas!$B$124)^0)</f>
        <v>0</v>
      </c>
      <c r="O210" s="144">
        <f>IF(O205&gt;0,0,MAX(O201-O202-O203,0)*Premissas!$B$7*(1+Premissas!$B$127)*(1+Premissas!$B$124)^0)</f>
        <v>0</v>
      </c>
      <c r="P210" s="144">
        <f>IF(P205&gt;0,0,MAX(P201-P202-P203,0)*Premissas!$B$7*(1+Premissas!$B$127)*(1+Premissas!$B$124)^1)</f>
        <v>0</v>
      </c>
      <c r="Q210" s="144">
        <f>IF(Q205&gt;0,0,MAX(Q201-Q202-Q203,0)*Premissas!$B$7*(1+Premissas!$B$127)*(1+Premissas!$B$124)^1)</f>
        <v>0</v>
      </c>
      <c r="R210" s="144">
        <f>IF(R205&gt;0,0,MAX(R201-R202-R203,0)*Premissas!$B$7*(1+Premissas!$B$127)*(1+Premissas!$B$124)^1)</f>
        <v>0</v>
      </c>
      <c r="S210" s="144">
        <f>IF(S205&gt;0,0,MAX(S201-S202-S203,0)*Premissas!$B$7*(1+Premissas!$B$127)*(1+Premissas!$B$124)^1)</f>
        <v>0</v>
      </c>
      <c r="T210" s="144">
        <f>IF(T205&gt;0,0,MAX(T201-T202-T203,0)*Premissas!$B$7*(1+Premissas!$B$127)*(1+Premissas!$B$124)^1)</f>
        <v>0</v>
      </c>
      <c r="U210" s="144">
        <f>IF(U205&gt;0,0,MAX(U201-U202-U203,0)*Premissas!$B$7*(1+Premissas!$B$127)*(1+Premissas!$B$124)^1)</f>
        <v>0</v>
      </c>
      <c r="V210" s="144">
        <f>IF(V205&gt;0,0,MAX(V201-V202-V203,0)*Premissas!$B$7*(1+Premissas!$B$127)*(1+Premissas!$B$124)^1)</f>
        <v>0</v>
      </c>
      <c r="W210" s="144">
        <f>IF(W205&gt;0,0,MAX(W201-W202-W203,0)*Premissas!$B$7*(1+Premissas!$B$127)*(1+Premissas!$B$124)^1)</f>
        <v>0</v>
      </c>
      <c r="X210" s="144">
        <f>IF(X205&gt;0,0,MAX(X201-X202-X203,0)*Premissas!$B$7*(1+Premissas!$B$127)*(1+Premissas!$B$124)^1)</f>
        <v>0</v>
      </c>
      <c r="Y210" s="144">
        <f>IF(Y205&gt;0,0,MAX(Y201-Y202-Y203,0)*Premissas!$B$7*(1+Premissas!$B$127)*(1+Premissas!$B$124)^1)</f>
        <v>0</v>
      </c>
      <c r="Z210" s="144">
        <f>IF(Z205&gt;0,0,MAX(Z201-Z202-Z203,0)*Premissas!$B$7*(1+Premissas!$B$127)*(1+Premissas!$B$124)^1)</f>
        <v>0</v>
      </c>
      <c r="AA210" s="144">
        <f>IF(AA205&gt;0,0,MAX(AA201-AA202-AA203,0)*Premissas!$B$7*(1+Premissas!$B$127)*(1+Premissas!$B$124)^1)</f>
        <v>0</v>
      </c>
      <c r="AB210" s="144">
        <f>IF(AB205&gt;0,0,MAX(AB201-AB202-AB203,0)*Premissas!$B$7*(1+Premissas!$B$127)*(1+Premissas!$B$124)^2)</f>
        <v>0</v>
      </c>
      <c r="AC210" s="144">
        <f>IF(AC205&gt;0,0,MAX(AC201-AC202-AC203,0)*Premissas!$B$7*(1+Premissas!$B$127)*(1+Premissas!$B$124)^2)</f>
        <v>0</v>
      </c>
      <c r="AD210" s="144">
        <f>IF(AD205&gt;0,0,MAX(AD201-AD202-AD203,0)*Premissas!$B$7*(1+Premissas!$B$127)*(1+Premissas!$B$124)^2)</f>
        <v>0</v>
      </c>
      <c r="AE210" s="144">
        <f>IF(AE205&gt;0,0,MAX(AE201-AE202-AE203,0)*Premissas!$B$7*(1+Premissas!$B$127)*(1+Premissas!$B$124)^2)</f>
        <v>0</v>
      </c>
      <c r="AF210" s="144">
        <f>IF(AF205&gt;0,0,MAX(AF201-AF202-AF203,0)*Premissas!$B$7*(1+Premissas!$B$127)*(1+Premissas!$B$124)^2)</f>
        <v>0</v>
      </c>
      <c r="AG210" s="144">
        <f>IF(AG205&gt;0,0,MAX(AG201-AG202-AG203,0)*Premissas!$B$7*(1+Premissas!$B$127)*(1+Premissas!$B$124)^2)</f>
        <v>0</v>
      </c>
      <c r="AH210" s="144">
        <f>IF(AH205&gt;0,0,MAX(AH201-AH202-AH203,0)*Premissas!$B$7*(1+Premissas!$B$127)*(1+Premissas!$B$124)^2)</f>
        <v>0</v>
      </c>
      <c r="AI210" s="144">
        <f>IF(AI205&gt;0,0,MAX(AI201-AI202-AI203,0)*Premissas!$B$7*(1+Premissas!$B$127)*(1+Premissas!$B$124)^2)</f>
        <v>0</v>
      </c>
      <c r="AJ210" s="144">
        <f>IF(AJ205&gt;0,0,MAX(AJ201-AJ202-AJ203,0)*Premissas!$B$7*(1+Premissas!$B$127)*(1+Premissas!$B$124)^2)</f>
        <v>0</v>
      </c>
      <c r="AK210" s="144">
        <f>IF(AK205&gt;0,0,MAX(AK201-AK202-AK203,0)*Premissas!$B$7*(1+Premissas!$B$127)*(1+Premissas!$B$124)^2)</f>
        <v>0</v>
      </c>
      <c r="AL210" s="144">
        <f>IF(AL205&gt;0,0,MAX(AL201-AL202-AL203,0)*Premissas!$B$7*(1+Premissas!$B$127)*(1+Premissas!$B$124)^2)</f>
        <v>0</v>
      </c>
      <c r="AM210" s="144">
        <f>IF(AM205&gt;0,0,MAX(AM201-AM202-AM203,0)*Premissas!$B$7*(1+Premissas!$B$127)*(1+Premissas!$B$124)^2)</f>
        <v>0</v>
      </c>
      <c r="AN210" s="144">
        <f>IF(AN205&gt;0,0,MAX(AN201-AN202-AN203,0)*Premissas!$B$7*(1+Premissas!$B$127)*(1+Premissas!$B$124)^3)</f>
        <v>0</v>
      </c>
      <c r="AO210" s="144">
        <f>IF(AO205&gt;0,0,MAX(AO201-AO202-AO203,0)*Premissas!$B$7*(1+Premissas!$B$127)*(1+Premissas!$B$124)^3)</f>
        <v>0</v>
      </c>
      <c r="AP210" s="144">
        <f>IF(AP205&gt;0,0,MAX(AP201-AP202-AP203,0)*Premissas!$B$7*(1+Premissas!$B$127)*(1+Premissas!$B$124)^3)</f>
        <v>0</v>
      </c>
      <c r="AQ210" s="144">
        <f>IF(AQ205&gt;0,0,MAX(AQ201-AQ202-AQ203,0)*Premissas!$B$7*(1+Premissas!$B$127)*(1+Premissas!$B$124)^3)</f>
        <v>0</v>
      </c>
      <c r="AR210" s="144">
        <f>IF(AR205&gt;0,0,MAX(AR201-AR202-AR203,0)*Premissas!$B$7*(1+Premissas!$B$127)*(1+Premissas!$B$124)^3)</f>
        <v>0</v>
      </c>
      <c r="AS210" s="144">
        <f>IF(AS205&gt;0,0,MAX(AS201-AS202-AS203,0)*Premissas!$B$7*(1+Premissas!$B$127)*(1+Premissas!$B$124)^3)</f>
        <v>0</v>
      </c>
      <c r="AT210" s="144">
        <f>IF(AT205&gt;0,0,MAX(AT201-AT202-AT203,0)*Premissas!$B$7*(1+Premissas!$B$127)*(1+Premissas!$B$124)^3)</f>
        <v>0</v>
      </c>
      <c r="AU210" s="144">
        <f>IF(AU205&gt;0,0,MAX(AU201-AU202-AU203,0)*Premissas!$B$7*(1+Premissas!$B$127)*(1+Premissas!$B$124)^3)</f>
        <v>0</v>
      </c>
      <c r="AV210" s="144">
        <f>IF(AV205&gt;0,0,MAX(AV201-AV202-AV203,0)*Premissas!$B$7*(1+Premissas!$B$127)*(1+Premissas!$B$124)^3)</f>
        <v>0</v>
      </c>
      <c r="AW210" s="144">
        <f>IF(AW205&gt;0,0,MAX(AW201-AW202-AW203,0)*Premissas!$B$7*(1+Premissas!$B$127)*(1+Premissas!$B$124)^3)</f>
        <v>0</v>
      </c>
      <c r="AX210" s="144">
        <f>IF(AX205&gt;0,0,MAX(AX201-AX202-AX203,0)*Premissas!$B$7*(1+Premissas!$B$127)*(1+Premissas!$B$124)^3)</f>
        <v>0</v>
      </c>
      <c r="AY210" s="144">
        <f>IF(AY205&gt;0,0,MAX(AY201-AY202-AY203,0)*Premissas!$B$7*(1+Premissas!$B$127)*(1+Premissas!$B$124)^3)</f>
        <v>0</v>
      </c>
      <c r="AZ210" s="144">
        <f>IF(AZ205&gt;0,0,MAX(AZ201-AZ202-AZ203,0)*Premissas!$B$7*(1+Premissas!$B$127)*(1+Premissas!$B$124)^4)</f>
        <v>0</v>
      </c>
      <c r="BA210" s="144">
        <f>IF(BA205&gt;0,0,MAX(BA201-BA202-BA203,0)*Premissas!$B$7*(1+Premissas!$B$127)*(1+Premissas!$B$124)^4)</f>
        <v>0</v>
      </c>
      <c r="BB210" s="144">
        <f>IF(BB205&gt;0,0,MAX(BB201-BB202-BB203,0)*Premissas!$B$7*(1+Premissas!$B$127)*(1+Premissas!$B$124)^4)</f>
        <v>0</v>
      </c>
      <c r="BC210" s="144">
        <f>IF(BC205&gt;0,0,MAX(BC201-BC202-BC203,0)*Premissas!$B$7*(1+Premissas!$B$127)*(1+Premissas!$B$124)^4)</f>
        <v>0</v>
      </c>
      <c r="BD210" s="144">
        <f>IF(BD205&gt;0,0,MAX(BD201-BD202-BD203,0)*Premissas!$B$7*(1+Premissas!$B$127)*(1+Premissas!$B$124)^4)</f>
        <v>0</v>
      </c>
      <c r="BE210" s="144">
        <f>IF(BE205&gt;0,0,MAX(BE201-BE202-BE203,0)*Premissas!$B$7*(1+Premissas!$B$127)*(1+Premissas!$B$124)^4)</f>
        <v>0</v>
      </c>
      <c r="BF210" s="144">
        <f>IF(BF205&gt;0,0,MAX(BF201-BF202-BF203,0)*Premissas!$B$7*(1+Premissas!$B$127)*(1+Premissas!$B$124)^4)</f>
        <v>0</v>
      </c>
      <c r="BG210" s="144">
        <f>IF(BG205&gt;0,0,MAX(BG201-BG202-BG203,0)*Premissas!$B$7*(1+Premissas!$B$127)*(1+Premissas!$B$124)^4)</f>
        <v>0</v>
      </c>
      <c r="BH210" s="144">
        <f>IF(BH205&gt;0,0,MAX(BH201-BH202-BH203,0)*Premissas!$B$7*(1+Premissas!$B$127)*(1+Premissas!$B$124)^4)</f>
        <v>156.60637838069579</v>
      </c>
      <c r="BI210" s="144">
        <f>IF(BI205&gt;0,0,MAX(BI201-BI202-BI203,0)*Premissas!$B$7*(1+Premissas!$B$127)*(1+Premissas!$B$124)^4)</f>
        <v>0</v>
      </c>
      <c r="BJ210" s="144">
        <f>IF(BJ205&gt;0,0,MAX(BJ201-BJ202-BJ203,0)*Premissas!$B$7*(1+Premissas!$B$127)*(1+Premissas!$B$124)^4)</f>
        <v>0</v>
      </c>
      <c r="BK210" s="144">
        <f>IF(BK205&gt;0,0,MAX(BK201-BK202-BK203,0)*Premissas!$B$7*(1+Premissas!$B$127)*(1+Premissas!$B$124)^4)</f>
        <v>33.667340207448142</v>
      </c>
    </row>
    <row r="211" spans="1:63" ht="13.5" customHeight="1" x14ac:dyDescent="0.2">
      <c r="A211" s="41" t="s">
        <v>416</v>
      </c>
      <c r="B211" s="44">
        <f>SUM(D211:BQ211)</f>
        <v>667745.1657753922</v>
      </c>
      <c r="C211" s="124">
        <f>B211/60</f>
        <v>11129.086096256537</v>
      </c>
      <c r="D211" s="145">
        <f t="shared" ref="D211:AI211" si="206">MAX(D209-D210,0)</f>
        <v>6922.1909513358651</v>
      </c>
      <c r="E211" s="145">
        <f t="shared" si="206"/>
        <v>7498.82428796145</v>
      </c>
      <c r="F211" s="145">
        <f t="shared" si="206"/>
        <v>9064.9786702558158</v>
      </c>
      <c r="G211" s="145">
        <f t="shared" si="206"/>
        <v>8384.9161334231248</v>
      </c>
      <c r="H211" s="145">
        <f t="shared" si="206"/>
        <v>9824.7376549434794</v>
      </c>
      <c r="I211" s="145">
        <f t="shared" si="206"/>
        <v>9244.373405284372</v>
      </c>
      <c r="J211" s="145">
        <f t="shared" si="206"/>
        <v>9493.1009408525624</v>
      </c>
      <c r="K211" s="145">
        <f t="shared" si="206"/>
        <v>12492.340473912311</v>
      </c>
      <c r="L211" s="145">
        <f t="shared" si="206"/>
        <v>12364.867611933612</v>
      </c>
      <c r="M211" s="145">
        <f t="shared" si="206"/>
        <v>10622.738498224755</v>
      </c>
      <c r="N211" s="145">
        <f t="shared" si="206"/>
        <v>9985.3741883312687</v>
      </c>
      <c r="O211" s="145">
        <f t="shared" si="206"/>
        <v>9432.9917864235831</v>
      </c>
      <c r="P211" s="145">
        <f t="shared" si="206"/>
        <v>9008.0822464945923</v>
      </c>
      <c r="Q211" s="145">
        <f t="shared" si="206"/>
        <v>8557.6781341698625</v>
      </c>
      <c r="R211" s="145">
        <f t="shared" si="206"/>
        <v>9998.9712936089982</v>
      </c>
      <c r="S211" s="145">
        <f t="shared" si="206"/>
        <v>9908.8904711440518</v>
      </c>
      <c r="T211" s="145">
        <f t="shared" si="206"/>
        <v>10674.577462096093</v>
      </c>
      <c r="U211" s="145">
        <f t="shared" si="206"/>
        <v>10044.01170484147</v>
      </c>
      <c r="V211" s="145">
        <f t="shared" si="206"/>
        <v>10314.254172236309</v>
      </c>
      <c r="W211" s="145">
        <f t="shared" si="206"/>
        <v>13241.880902347049</v>
      </c>
      <c r="X211" s="145">
        <f t="shared" si="206"/>
        <v>13106.759668649629</v>
      </c>
      <c r="Y211" s="145">
        <f t="shared" si="206"/>
        <v>11260.102808118241</v>
      </c>
      <c r="Z211" s="145">
        <f t="shared" si="206"/>
        <v>10584.496639631145</v>
      </c>
      <c r="AA211" s="145">
        <f t="shared" si="206"/>
        <v>9998.9712936089982</v>
      </c>
      <c r="AB211" s="145">
        <f t="shared" si="206"/>
        <v>10863.882310506177</v>
      </c>
      <c r="AC211" s="145">
        <f t="shared" si="206"/>
        <v>10863.882310506177</v>
      </c>
      <c r="AD211" s="145">
        <f t="shared" si="206"/>
        <v>10863.882310506177</v>
      </c>
      <c r="AE211" s="145">
        <f t="shared" si="206"/>
        <v>10863.882310506177</v>
      </c>
      <c r="AF211" s="145">
        <f t="shared" si="206"/>
        <v>10863.882310506177</v>
      </c>
      <c r="AG211" s="145">
        <f t="shared" si="206"/>
        <v>10863.882310506177</v>
      </c>
      <c r="AH211" s="145">
        <f t="shared" si="206"/>
        <v>10863.882310506177</v>
      </c>
      <c r="AI211" s="145">
        <f t="shared" si="206"/>
        <v>10863.882310506177</v>
      </c>
      <c r="AJ211" s="145">
        <f t="shared" ref="AJ211:BO211" si="207">MAX(AJ209-AJ210,0)</f>
        <v>10863.882310506177</v>
      </c>
      <c r="AK211" s="145">
        <f t="shared" si="207"/>
        <v>10863.882310506177</v>
      </c>
      <c r="AL211" s="145">
        <f t="shared" si="207"/>
        <v>10863.882310506177</v>
      </c>
      <c r="AM211" s="145">
        <f t="shared" si="207"/>
        <v>10863.882310506177</v>
      </c>
      <c r="AN211" s="145">
        <f t="shared" si="207"/>
        <v>11803.608130364963</v>
      </c>
      <c r="AO211" s="145">
        <f t="shared" si="207"/>
        <v>11803.608130364963</v>
      </c>
      <c r="AP211" s="145">
        <f t="shared" si="207"/>
        <v>11803.608130364963</v>
      </c>
      <c r="AQ211" s="145">
        <f t="shared" si="207"/>
        <v>11803.608130364963</v>
      </c>
      <c r="AR211" s="145">
        <f t="shared" si="207"/>
        <v>11803.608130364963</v>
      </c>
      <c r="AS211" s="145">
        <f t="shared" si="207"/>
        <v>11803.608130364963</v>
      </c>
      <c r="AT211" s="145">
        <f t="shared" si="207"/>
        <v>11803.608130364963</v>
      </c>
      <c r="AU211" s="145">
        <f t="shared" si="207"/>
        <v>11803.608130364963</v>
      </c>
      <c r="AV211" s="145">
        <f t="shared" si="207"/>
        <v>11803.608130364963</v>
      </c>
      <c r="AW211" s="145">
        <f t="shared" si="207"/>
        <v>11803.608130364963</v>
      </c>
      <c r="AX211" s="145">
        <f t="shared" si="207"/>
        <v>11803.608130364963</v>
      </c>
      <c r="AY211" s="145">
        <f t="shared" si="207"/>
        <v>11803.608130364963</v>
      </c>
      <c r="AZ211" s="145">
        <f t="shared" si="207"/>
        <v>12824.62023364153</v>
      </c>
      <c r="BA211" s="145">
        <f t="shared" si="207"/>
        <v>12824.62023364153</v>
      </c>
      <c r="BB211" s="145">
        <f t="shared" si="207"/>
        <v>12824.62023364153</v>
      </c>
      <c r="BC211" s="145">
        <f t="shared" si="207"/>
        <v>12824.62023364153</v>
      </c>
      <c r="BD211" s="145">
        <f t="shared" si="207"/>
        <v>12824.62023364153</v>
      </c>
      <c r="BE211" s="145">
        <f t="shared" si="207"/>
        <v>12824.62023364153</v>
      </c>
      <c r="BF211" s="145">
        <f t="shared" si="207"/>
        <v>12824.62023364153</v>
      </c>
      <c r="BG211" s="145">
        <f t="shared" si="207"/>
        <v>12824.62023364153</v>
      </c>
      <c r="BH211" s="145">
        <f t="shared" si="207"/>
        <v>12668.013855260833</v>
      </c>
      <c r="BI211" s="145">
        <f t="shared" si="207"/>
        <v>12824.62023364153</v>
      </c>
      <c r="BJ211" s="145">
        <f t="shared" si="207"/>
        <v>12824.62023364153</v>
      </c>
      <c r="BK211" s="145">
        <f t="shared" si="207"/>
        <v>12790.952893434081</v>
      </c>
    </row>
    <row r="213" spans="1:63" ht="15" customHeight="1" x14ac:dyDescent="0.2">
      <c r="A213" s="298" t="s">
        <v>433</v>
      </c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89"/>
      <c r="P213" s="289"/>
      <c r="Q213" s="289"/>
      <c r="R213" s="289"/>
      <c r="S213" s="289"/>
      <c r="T213" s="289"/>
      <c r="U213" s="289"/>
      <c r="V213" s="289"/>
      <c r="W213" s="289"/>
      <c r="X213" s="289"/>
      <c r="Y213" s="289"/>
      <c r="Z213" s="289"/>
      <c r="AA213" s="289"/>
    </row>
    <row r="214" spans="1:63" ht="12.75" customHeight="1" x14ac:dyDescent="0.2">
      <c r="A214" s="74" t="s">
        <v>403</v>
      </c>
      <c r="B214" s="89">
        <f>SUM(D214:BQ214)</f>
        <v>9984.3998078124896</v>
      </c>
      <c r="C214" s="150">
        <f>B214/60</f>
        <v>166.40666346354149</v>
      </c>
      <c r="D214" s="89">
        <f>158</f>
        <v>158</v>
      </c>
      <c r="E214" s="89">
        <f>156</f>
        <v>156</v>
      </c>
      <c r="F214" s="89">
        <f>155</f>
        <v>155</v>
      </c>
      <c r="G214" s="89">
        <f>153</f>
        <v>153</v>
      </c>
      <c r="H214" s="89">
        <f>151</f>
        <v>151</v>
      </c>
      <c r="I214" s="89">
        <f>150</f>
        <v>150</v>
      </c>
      <c r="J214" s="89">
        <f>148</f>
        <v>148</v>
      </c>
      <c r="K214" s="89">
        <f>163*(1+Premissas!$B$21)</f>
        <v>167.07499999999999</v>
      </c>
      <c r="L214" s="89">
        <f>162*(1+Premissas!$B$21)</f>
        <v>166.04999999999998</v>
      </c>
      <c r="M214" s="89">
        <f>161*(1+Premissas!$B$21)</f>
        <v>165.02499999999998</v>
      </c>
      <c r="N214" s="89">
        <f>160*(1+Premissas!$B$21)</f>
        <v>164</v>
      </c>
      <c r="O214" s="89">
        <f>159*(1+Premissas!$B$21)</f>
        <v>162.97499999999999</v>
      </c>
      <c r="P214" s="89">
        <f>158*(1+Premissas!$B$21)</f>
        <v>161.94999999999999</v>
      </c>
      <c r="Q214" s="89">
        <f>156*(1+Premissas!$B$21)</f>
        <v>159.89999999999998</v>
      </c>
      <c r="R214" s="89">
        <f>155*(1+Premissas!$B$21)</f>
        <v>158.875</v>
      </c>
      <c r="S214" s="89">
        <f>153*(1+Premissas!$B$21)</f>
        <v>156.82499999999999</v>
      </c>
      <c r="T214" s="89">
        <f>151*(1+Premissas!$B$21)</f>
        <v>154.77499999999998</v>
      </c>
      <c r="U214" s="89">
        <f>150*(1+Premissas!$B$21)</f>
        <v>153.75</v>
      </c>
      <c r="V214" s="89">
        <f>148*(1+Premissas!$B$21)</f>
        <v>151.69999999999999</v>
      </c>
      <c r="W214" s="89">
        <f>163*(1+Premissas!$B$21)</f>
        <v>167.07499999999999</v>
      </c>
      <c r="X214" s="89">
        <f>162*(1+Premissas!$B$21)</f>
        <v>166.04999999999998</v>
      </c>
      <c r="Y214" s="89">
        <f>161*(1+Premissas!$B$21)</f>
        <v>165.02499999999998</v>
      </c>
      <c r="Z214" s="89">
        <f>160*(1+Premissas!$B$21)</f>
        <v>164</v>
      </c>
      <c r="AA214" s="89">
        <f>159*(1+Premissas!$B$21)</f>
        <v>162.97499999999999</v>
      </c>
      <c r="AB214" s="89">
        <f>159*(1+Premissas!$B$21)^2</f>
        <v>167.049375</v>
      </c>
      <c r="AC214" s="89">
        <f>159*(1+Premissas!$B$21)^2</f>
        <v>167.049375</v>
      </c>
      <c r="AD214" s="89">
        <f>159*(1+Premissas!$B$21)^2</f>
        <v>167.049375</v>
      </c>
      <c r="AE214" s="89">
        <f>159*(1+Premissas!$B$21)^2</f>
        <v>167.049375</v>
      </c>
      <c r="AF214" s="89">
        <f>159*(1+Premissas!$B$21)^2</f>
        <v>167.049375</v>
      </c>
      <c r="AG214" s="89">
        <f>159*(1+Premissas!$B$21)^2</f>
        <v>167.049375</v>
      </c>
      <c r="AH214" s="89">
        <f>159*(1+Premissas!$B$21)^2</f>
        <v>167.049375</v>
      </c>
      <c r="AI214" s="89">
        <f>159*(1+Premissas!$B$21)^2</f>
        <v>167.049375</v>
      </c>
      <c r="AJ214" s="89">
        <f>159*(1+Premissas!$B$21)^2</f>
        <v>167.049375</v>
      </c>
      <c r="AK214" s="89">
        <f>159*(1+Premissas!$B$21)^2</f>
        <v>167.049375</v>
      </c>
      <c r="AL214" s="89">
        <f>159*(1+Premissas!$B$21)^2</f>
        <v>167.049375</v>
      </c>
      <c r="AM214" s="89">
        <f>159*(1+Premissas!$B$21)^2</f>
        <v>167.049375</v>
      </c>
      <c r="AN214" s="89">
        <f>159*(1+Premissas!$B$21)^3</f>
        <v>171.22560937499998</v>
      </c>
      <c r="AO214" s="89">
        <f>159*(1+Premissas!$B$21)^3</f>
        <v>171.22560937499998</v>
      </c>
      <c r="AP214" s="89">
        <f>159*(1+Premissas!$B$21)^3</f>
        <v>171.22560937499998</v>
      </c>
      <c r="AQ214" s="89">
        <f>159*(1+Premissas!$B$21)^3</f>
        <v>171.22560937499998</v>
      </c>
      <c r="AR214" s="89">
        <f>159*(1+Premissas!$B$21)^3</f>
        <v>171.22560937499998</v>
      </c>
      <c r="AS214" s="89">
        <f>159*(1+Premissas!$B$21)^3</f>
        <v>171.22560937499998</v>
      </c>
      <c r="AT214" s="89">
        <f>159*(1+Premissas!$B$21)^3</f>
        <v>171.22560937499998</v>
      </c>
      <c r="AU214" s="89">
        <f>159*(1+Premissas!$B$21)^3</f>
        <v>171.22560937499998</v>
      </c>
      <c r="AV214" s="89">
        <f>159*(1+Premissas!$B$21)^3</f>
        <v>171.22560937499998</v>
      </c>
      <c r="AW214" s="89">
        <f>159*(1+Premissas!$B$21)^3</f>
        <v>171.22560937499998</v>
      </c>
      <c r="AX214" s="89">
        <f>159*(1+Premissas!$B$21)^3</f>
        <v>171.22560937499998</v>
      </c>
      <c r="AY214" s="89">
        <f>159*(1+Premissas!$B$21)^3</f>
        <v>171.22560937499998</v>
      </c>
      <c r="AZ214" s="89">
        <f>159*(1+Premissas!$B$21)^4</f>
        <v>175.50624960937498</v>
      </c>
      <c r="BA214" s="89">
        <f>159*(1+Premissas!$B$21)^4</f>
        <v>175.50624960937498</v>
      </c>
      <c r="BB214" s="89">
        <f>159*(1+Premissas!$B$21)^4</f>
        <v>175.50624960937498</v>
      </c>
      <c r="BC214" s="89">
        <f>159*(1+Premissas!$B$21)^4</f>
        <v>175.50624960937498</v>
      </c>
      <c r="BD214" s="89">
        <f>159*(1+Premissas!$B$21)^4</f>
        <v>175.50624960937498</v>
      </c>
      <c r="BE214" s="89">
        <f>159*(1+Premissas!$B$21)^4</f>
        <v>175.50624960937498</v>
      </c>
      <c r="BF214" s="89">
        <f>159*(1+Premissas!$B$21)^4</f>
        <v>175.50624960937498</v>
      </c>
      <c r="BG214" s="89">
        <f>159*(1+Premissas!$B$21)^4</f>
        <v>175.50624960937498</v>
      </c>
      <c r="BH214" s="89">
        <f>159*(1+Premissas!$B$21)^4</f>
        <v>175.50624960937498</v>
      </c>
      <c r="BI214" s="89">
        <f>159*(1+Premissas!$B$21)^4</f>
        <v>175.50624960937498</v>
      </c>
      <c r="BJ214" s="89">
        <f>159*(1+Premissas!$B$21)^4</f>
        <v>175.50624960937498</v>
      </c>
      <c r="BK214" s="89">
        <f>159*(1+Premissas!$B$21)^4</f>
        <v>175.50624960937498</v>
      </c>
    </row>
    <row r="215" spans="1:63" ht="12.75" customHeight="1" x14ac:dyDescent="0.2">
      <c r="A215" s="151" t="str">
        <f>"  "&amp;INDEX(PVSYST_Helexia!$A$5:$A$7,MATCH(Premissas!$B$13,PVSYST_Helexia!$B$5:$B$7,0))&amp;" créditos recebidos (kWh)"</f>
        <v xml:space="preserve">  HCS03 créditos recebidos (kWh)</v>
      </c>
      <c r="B215" s="152">
        <f>SUM(D215:BQ215)</f>
        <v>18710.224456498385</v>
      </c>
      <c r="C215" s="150">
        <f>B215/60</f>
        <v>311.83707427497308</v>
      </c>
      <c r="D215" s="153">
        <f>D6*Premissas!$B$48</f>
        <v>136.38900000000001</v>
      </c>
      <c r="E215" s="153">
        <f>E6*Premissas!$B$48</f>
        <v>143.56099999999998</v>
      </c>
      <c r="F215" s="153">
        <f>F6*Premissas!$B$48</f>
        <v>172.33700000000002</v>
      </c>
      <c r="G215" s="153">
        <f>G6*Premissas!$B$48</f>
        <v>161.71100000000001</v>
      </c>
      <c r="H215" s="153">
        <f>H6*Premissas!$C$48</f>
        <v>271.94400000000002</v>
      </c>
      <c r="I215" s="153">
        <f>I6*Premissas!$C$48</f>
        <v>262.94400000000002</v>
      </c>
      <c r="J215" s="153">
        <f>J6*Premissas!$C$48</f>
        <v>249.678</v>
      </c>
      <c r="K215" s="153">
        <f>K6*Premissas!$C$48</f>
        <v>256.36373999999995</v>
      </c>
      <c r="L215" s="153">
        <f>L6*Premissas!$C$48</f>
        <v>228.44204999999999</v>
      </c>
      <c r="M215" s="153">
        <f>M6*Premissas!$C$48</f>
        <v>262.02330000000001</v>
      </c>
      <c r="N215" s="153">
        <f>N6*Premissas!$D$48</f>
        <v>203.35014000000001</v>
      </c>
      <c r="O215" s="153">
        <f>O6*Premissas!$D$48</f>
        <v>190.31165999999999</v>
      </c>
      <c r="P215" s="153">
        <f>P6*Premissas!$D$48</f>
        <v>172.71807000000001</v>
      </c>
      <c r="Q215" s="153">
        <f>Q6*Premissas!$D$48</f>
        <v>181.80042999999998</v>
      </c>
      <c r="R215" s="153">
        <f>R6*Premissas!$D$48</f>
        <v>218.24131</v>
      </c>
      <c r="S215" s="153">
        <f>S6*Premissas!$D$48</f>
        <v>204.78493</v>
      </c>
      <c r="T215" s="153">
        <f>T6*Premissas!$E$48</f>
        <v>240.51936000000003</v>
      </c>
      <c r="U215" s="153">
        <f>U6*Premissas!$E$48</f>
        <v>232.55936000000003</v>
      </c>
      <c r="V215" s="153">
        <f>V6*Premissas!$E$48</f>
        <v>220.82632000000004</v>
      </c>
      <c r="W215" s="153">
        <f>W6*Premissas!$E$48</f>
        <v>227.87887999999998</v>
      </c>
      <c r="X215" s="153">
        <f>X6*Premissas!$E$48</f>
        <v>203.05960000000002</v>
      </c>
      <c r="Y215" s="153">
        <f>Y6*Premissas!$E$48</f>
        <v>232.90960000000001</v>
      </c>
      <c r="Z215" s="153">
        <f>Z6*Premissas!$E$48</f>
        <v>232.40016000000003</v>
      </c>
      <c r="AA215" s="153">
        <f>AA6*Premissas!$E$48</f>
        <v>217.49904000000001</v>
      </c>
      <c r="AB215" s="153">
        <f>AB6*Premissas!$F$48</f>
        <v>306.882999375</v>
      </c>
      <c r="AC215" s="153">
        <f>AC6*Premissas!$F$48</f>
        <v>323.02040687499999</v>
      </c>
      <c r="AD215" s="153">
        <f>AD6*Premissas!$F$48</f>
        <v>387.76804187500005</v>
      </c>
      <c r="AE215" s="153">
        <f>AE6*Premissas!$F$48</f>
        <v>363.85893812500001</v>
      </c>
      <c r="AF215" s="153">
        <f>AF6*Premissas!$F$48</f>
        <v>373.93244250000004</v>
      </c>
      <c r="AG215" s="153">
        <f>AG6*Premissas!$F$48</f>
        <v>361.55713000000003</v>
      </c>
      <c r="AH215" s="153">
        <f>AH6*Premissas!$G$48</f>
        <v>357.04855615000002</v>
      </c>
      <c r="AI215" s="153">
        <f>AI6*Premissas!$G$48</f>
        <v>368.45166410000002</v>
      </c>
      <c r="AJ215" s="153">
        <f>AJ6*Premissas!$G$48</f>
        <v>328.32199075</v>
      </c>
      <c r="AK215" s="153">
        <f>AK6*Premissas!$G$48</f>
        <v>376.58570950000001</v>
      </c>
      <c r="AL215" s="153">
        <f>AL6*Premissas!$G$48</f>
        <v>375.76200870000002</v>
      </c>
      <c r="AM215" s="153">
        <f>AM6*Premissas!$G$48</f>
        <v>351.66876030000003</v>
      </c>
      <c r="AN215" s="153">
        <f>AN6*Premissas!$H$48</f>
        <v>305.348584378125</v>
      </c>
      <c r="AO215" s="153">
        <f>AO6*Premissas!$H$48</f>
        <v>321.40530484062498</v>
      </c>
      <c r="AP215" s="153">
        <f>AP6*Premissas!$H$48</f>
        <v>385.82920166562502</v>
      </c>
      <c r="AQ215" s="153">
        <f>AQ6*Premissas!$H$48</f>
        <v>362.03964343437502</v>
      </c>
      <c r="AR215" s="153">
        <f>AR6*Premissas!$H$48</f>
        <v>372.0627802875</v>
      </c>
      <c r="AS215" s="153">
        <f>AS6*Premissas!$H$48</f>
        <v>359.74934435000006</v>
      </c>
      <c r="AT215" s="153">
        <f>AT6*Premissas!$I$48</f>
        <v>368.927286960375</v>
      </c>
      <c r="AU215" s="153">
        <f>AU6*Premissas!$I$48</f>
        <v>380.70976754025003</v>
      </c>
      <c r="AV215" s="153">
        <f>AV6*Premissas!$I$48</f>
        <v>339.24501082687505</v>
      </c>
      <c r="AW215" s="153">
        <f>AW6*Premissas!$I$48</f>
        <v>389.11442637375006</v>
      </c>
      <c r="AX215" s="153">
        <f>AX6*Premissas!$I$48</f>
        <v>388.26332168175003</v>
      </c>
      <c r="AY215" s="153">
        <f>AY6*Premissas!$I$48</f>
        <v>363.36850944075002</v>
      </c>
      <c r="AZ215" s="153">
        <f>AZ6*Premissas!$J$48</f>
        <v>328.12758877273319</v>
      </c>
      <c r="BA215" s="153">
        <f>BA6*Premissas!$J$48</f>
        <v>345.3821405817356</v>
      </c>
      <c r="BB215" s="153">
        <f>BB6*Premissas!$J$48</f>
        <v>414.6120601098807</v>
      </c>
      <c r="BC215" s="153">
        <f>BC6*Premissas!$J$48</f>
        <v>389.04780083457945</v>
      </c>
      <c r="BD215" s="153">
        <f>BD6*Premissas!$J$48</f>
        <v>399.81866369694751</v>
      </c>
      <c r="BE215" s="153">
        <f>BE6*Premissas!$J$48</f>
        <v>386.58664543851006</v>
      </c>
      <c r="BF215" s="153">
        <f>BF6*Premissas!$K$48</f>
        <v>448.65657286458946</v>
      </c>
      <c r="BG215" s="153">
        <f>BG6*Premissas!$K$48</f>
        <v>462.98537841422626</v>
      </c>
      <c r="BH215" s="153">
        <f>BH6*Premissas!$K$48</f>
        <v>412.55962705557192</v>
      </c>
      <c r="BI215" s="153">
        <f>BI6*Premissas!$K$48</f>
        <v>473.2063774067438</v>
      </c>
      <c r="BJ215" s="153">
        <f>BJ6*Premissas!$K$48</f>
        <v>472.17133953408381</v>
      </c>
      <c r="BK215" s="153">
        <f>BK6*Premissas!$K$48</f>
        <v>441.8964817587788</v>
      </c>
    </row>
    <row r="216" spans="1:63" ht="12.75" customHeight="1" x14ac:dyDescent="0.2">
      <c r="A216" s="126" t="s">
        <v>434</v>
      </c>
      <c r="B216" s="150">
        <f>AA216</f>
        <v>1284.7529100000006</v>
      </c>
      <c r="C216" s="150" t="s">
        <v>397</v>
      </c>
      <c r="D216" s="120">
        <f>0</f>
        <v>0</v>
      </c>
      <c r="E216" s="120">
        <f t="shared" ref="E216:AJ216" si="208">D218</f>
        <v>0</v>
      </c>
      <c r="F216" s="120">
        <f t="shared" si="208"/>
        <v>0</v>
      </c>
      <c r="G216" s="120">
        <f t="shared" si="208"/>
        <v>17.337000000000018</v>
      </c>
      <c r="H216" s="120">
        <f t="shared" si="208"/>
        <v>26.04800000000003</v>
      </c>
      <c r="I216" s="120">
        <f t="shared" si="208"/>
        <v>146.99200000000005</v>
      </c>
      <c r="J216" s="120">
        <f t="shared" si="208"/>
        <v>259.93600000000004</v>
      </c>
      <c r="K216" s="120">
        <f t="shared" si="208"/>
        <v>361.61400000000003</v>
      </c>
      <c r="L216" s="120">
        <f t="shared" si="208"/>
        <v>450.90273999999999</v>
      </c>
      <c r="M216" s="120">
        <f t="shared" si="208"/>
        <v>513.29479000000003</v>
      </c>
      <c r="N216" s="120">
        <f t="shared" si="208"/>
        <v>610.29309000000012</v>
      </c>
      <c r="O216" s="120">
        <f t="shared" si="208"/>
        <v>649.64323000000013</v>
      </c>
      <c r="P216" s="120">
        <f t="shared" si="208"/>
        <v>676.97989000000007</v>
      </c>
      <c r="Q216" s="120">
        <f t="shared" si="208"/>
        <v>687.74796000000015</v>
      </c>
      <c r="R216" s="120">
        <f t="shared" si="208"/>
        <v>709.64839000000018</v>
      </c>
      <c r="S216" s="120">
        <f t="shared" si="208"/>
        <v>769.01470000000018</v>
      </c>
      <c r="T216" s="120">
        <f t="shared" si="208"/>
        <v>816.97463000000016</v>
      </c>
      <c r="U216" s="120">
        <f t="shared" si="208"/>
        <v>902.71899000000019</v>
      </c>
      <c r="V216" s="120">
        <f t="shared" si="208"/>
        <v>981.52835000000027</v>
      </c>
      <c r="W216" s="120">
        <f t="shared" si="208"/>
        <v>1050.6546700000004</v>
      </c>
      <c r="X216" s="120">
        <f t="shared" si="208"/>
        <v>1111.4585500000003</v>
      </c>
      <c r="Y216" s="120">
        <f t="shared" si="208"/>
        <v>1148.4681500000004</v>
      </c>
      <c r="Z216" s="120">
        <f t="shared" si="208"/>
        <v>1216.3527500000005</v>
      </c>
      <c r="AA216" s="120">
        <f t="shared" si="208"/>
        <v>1284.7529100000006</v>
      </c>
      <c r="AB216" s="120">
        <f t="shared" si="208"/>
        <v>1339.2769500000006</v>
      </c>
      <c r="AC216" s="120">
        <f t="shared" si="208"/>
        <v>1479.1105743750006</v>
      </c>
      <c r="AD216" s="120">
        <f t="shared" si="208"/>
        <v>1635.0816062500007</v>
      </c>
      <c r="AE216" s="120">
        <f t="shared" si="208"/>
        <v>1855.8002731250008</v>
      </c>
      <c r="AF216" s="120">
        <f t="shared" si="208"/>
        <v>2052.6098362500006</v>
      </c>
      <c r="AG216" s="120">
        <f t="shared" si="208"/>
        <v>2259.4929037500006</v>
      </c>
      <c r="AH216" s="120">
        <f t="shared" si="208"/>
        <v>2454.0006587500006</v>
      </c>
      <c r="AI216" s="120">
        <f t="shared" si="208"/>
        <v>2643.9998399000006</v>
      </c>
      <c r="AJ216" s="120">
        <f t="shared" si="208"/>
        <v>2845.4021290000005</v>
      </c>
      <c r="AK216" s="120">
        <f t="shared" ref="AK216:BK216" si="209">AJ218</f>
        <v>3006.6747447500006</v>
      </c>
      <c r="AL216" s="120">
        <f t="shared" si="209"/>
        <v>3216.2110792500007</v>
      </c>
      <c r="AM216" s="120">
        <f t="shared" si="209"/>
        <v>3424.9237129500007</v>
      </c>
      <c r="AN216" s="120">
        <f t="shared" si="209"/>
        <v>3609.5430982500006</v>
      </c>
      <c r="AO216" s="120">
        <f t="shared" si="209"/>
        <v>3743.6660732531254</v>
      </c>
      <c r="AP216" s="120">
        <f t="shared" si="209"/>
        <v>3893.8457687187506</v>
      </c>
      <c r="AQ216" s="120">
        <f t="shared" si="209"/>
        <v>4108.4493610093759</v>
      </c>
      <c r="AR216" s="120">
        <f t="shared" si="209"/>
        <v>4299.2633950687514</v>
      </c>
      <c r="AS216" s="120">
        <f t="shared" si="209"/>
        <v>4500.1005659812517</v>
      </c>
      <c r="AT216" s="120">
        <f t="shared" si="209"/>
        <v>4688.6243009562522</v>
      </c>
      <c r="AU216" s="120">
        <f t="shared" si="209"/>
        <v>4886.3259785416276</v>
      </c>
      <c r="AV216" s="120">
        <f t="shared" si="209"/>
        <v>5095.8101367068775</v>
      </c>
      <c r="AW216" s="120">
        <f t="shared" si="209"/>
        <v>5263.8295381587523</v>
      </c>
      <c r="AX216" s="120">
        <f t="shared" si="209"/>
        <v>5481.7183551575026</v>
      </c>
      <c r="AY216" s="120">
        <f t="shared" si="209"/>
        <v>5698.7560674642527</v>
      </c>
      <c r="AZ216" s="120">
        <f t="shared" si="209"/>
        <v>5890.8989675300027</v>
      </c>
      <c r="BA216" s="120">
        <f t="shared" si="209"/>
        <v>6043.5203066933609</v>
      </c>
      <c r="BB216" s="120">
        <f t="shared" si="209"/>
        <v>6213.396197665722</v>
      </c>
      <c r="BC216" s="120">
        <f t="shared" si="209"/>
        <v>6452.5020081662278</v>
      </c>
      <c r="BD216" s="120">
        <f t="shared" si="209"/>
        <v>6666.0435593914326</v>
      </c>
      <c r="BE216" s="120">
        <f t="shared" si="209"/>
        <v>6890.3559734790051</v>
      </c>
      <c r="BF216" s="120">
        <f t="shared" si="209"/>
        <v>7101.4363693081405</v>
      </c>
      <c r="BG216" s="120">
        <f t="shared" si="209"/>
        <v>7374.5866925633545</v>
      </c>
      <c r="BH216" s="120">
        <f t="shared" si="209"/>
        <v>7662.0658213682054</v>
      </c>
      <c r="BI216" s="120">
        <f t="shared" si="209"/>
        <v>7899.1191988144028</v>
      </c>
      <c r="BJ216" s="120">
        <f t="shared" si="209"/>
        <v>8196.8193266117723</v>
      </c>
      <c r="BK216" s="120">
        <f t="shared" si="209"/>
        <v>8493.4844165364811</v>
      </c>
    </row>
    <row r="217" spans="1:63" ht="12.75" customHeight="1" x14ac:dyDescent="0.2">
      <c r="A217" s="126" t="s">
        <v>435</v>
      </c>
      <c r="B217" s="150">
        <f>SUM(D217:BQ217)</f>
        <v>0</v>
      </c>
      <c r="C217" s="150">
        <f>B217/60</f>
        <v>0</v>
      </c>
      <c r="D217" s="120">
        <f t="shared" ref="D217:AI217" si="210">MIN(D216,MAX(D214-D215,0))</f>
        <v>0</v>
      </c>
      <c r="E217" s="120">
        <f t="shared" si="210"/>
        <v>0</v>
      </c>
      <c r="F217" s="120">
        <f t="shared" si="210"/>
        <v>0</v>
      </c>
      <c r="G217" s="120">
        <f t="shared" si="210"/>
        <v>0</v>
      </c>
      <c r="H217" s="120">
        <f t="shared" si="210"/>
        <v>0</v>
      </c>
      <c r="I217" s="120">
        <f t="shared" si="210"/>
        <v>0</v>
      </c>
      <c r="J217" s="120">
        <f t="shared" si="210"/>
        <v>0</v>
      </c>
      <c r="K217" s="120">
        <f t="shared" si="210"/>
        <v>0</v>
      </c>
      <c r="L217" s="120">
        <f t="shared" si="210"/>
        <v>0</v>
      </c>
      <c r="M217" s="120">
        <f t="shared" si="210"/>
        <v>0</v>
      </c>
      <c r="N217" s="120">
        <f t="shared" si="210"/>
        <v>0</v>
      </c>
      <c r="O217" s="120">
        <f t="shared" si="210"/>
        <v>0</v>
      </c>
      <c r="P217" s="120">
        <f t="shared" si="210"/>
        <v>0</v>
      </c>
      <c r="Q217" s="120">
        <f t="shared" si="210"/>
        <v>0</v>
      </c>
      <c r="R217" s="120">
        <f t="shared" si="210"/>
        <v>0</v>
      </c>
      <c r="S217" s="120">
        <f t="shared" si="210"/>
        <v>0</v>
      </c>
      <c r="T217" s="120">
        <f t="shared" si="210"/>
        <v>0</v>
      </c>
      <c r="U217" s="120">
        <f t="shared" si="210"/>
        <v>0</v>
      </c>
      <c r="V217" s="120">
        <f t="shared" si="210"/>
        <v>0</v>
      </c>
      <c r="W217" s="120">
        <f t="shared" si="210"/>
        <v>0</v>
      </c>
      <c r="X217" s="120">
        <f t="shared" si="210"/>
        <v>0</v>
      </c>
      <c r="Y217" s="120">
        <f t="shared" si="210"/>
        <v>0</v>
      </c>
      <c r="Z217" s="120">
        <f t="shared" si="210"/>
        <v>0</v>
      </c>
      <c r="AA217" s="120">
        <f t="shared" si="210"/>
        <v>0</v>
      </c>
      <c r="AB217" s="120">
        <f t="shared" si="210"/>
        <v>0</v>
      </c>
      <c r="AC217" s="120">
        <f t="shared" si="210"/>
        <v>0</v>
      </c>
      <c r="AD217" s="120">
        <f t="shared" si="210"/>
        <v>0</v>
      </c>
      <c r="AE217" s="120">
        <f t="shared" si="210"/>
        <v>0</v>
      </c>
      <c r="AF217" s="120">
        <f t="shared" si="210"/>
        <v>0</v>
      </c>
      <c r="AG217" s="120">
        <f t="shared" si="210"/>
        <v>0</v>
      </c>
      <c r="AH217" s="120">
        <f t="shared" si="210"/>
        <v>0</v>
      </c>
      <c r="AI217" s="120">
        <f t="shared" si="210"/>
        <v>0</v>
      </c>
      <c r="AJ217" s="120">
        <f t="shared" ref="AJ217:BO217" si="211">MIN(AJ216,MAX(AJ214-AJ215,0))</f>
        <v>0</v>
      </c>
      <c r="AK217" s="120">
        <f t="shared" si="211"/>
        <v>0</v>
      </c>
      <c r="AL217" s="120">
        <f t="shared" si="211"/>
        <v>0</v>
      </c>
      <c r="AM217" s="120">
        <f t="shared" si="211"/>
        <v>0</v>
      </c>
      <c r="AN217" s="120">
        <f t="shared" si="211"/>
        <v>0</v>
      </c>
      <c r="AO217" s="120">
        <f t="shared" si="211"/>
        <v>0</v>
      </c>
      <c r="AP217" s="120">
        <f t="shared" si="211"/>
        <v>0</v>
      </c>
      <c r="AQ217" s="120">
        <f t="shared" si="211"/>
        <v>0</v>
      </c>
      <c r="AR217" s="120">
        <f t="shared" si="211"/>
        <v>0</v>
      </c>
      <c r="AS217" s="120">
        <f t="shared" si="211"/>
        <v>0</v>
      </c>
      <c r="AT217" s="120">
        <f t="shared" si="211"/>
        <v>0</v>
      </c>
      <c r="AU217" s="120">
        <f t="shared" si="211"/>
        <v>0</v>
      </c>
      <c r="AV217" s="120">
        <f t="shared" si="211"/>
        <v>0</v>
      </c>
      <c r="AW217" s="120">
        <f t="shared" si="211"/>
        <v>0</v>
      </c>
      <c r="AX217" s="120">
        <f t="shared" si="211"/>
        <v>0</v>
      </c>
      <c r="AY217" s="120">
        <f t="shared" si="211"/>
        <v>0</v>
      </c>
      <c r="AZ217" s="120">
        <f t="shared" si="211"/>
        <v>0</v>
      </c>
      <c r="BA217" s="120">
        <f t="shared" si="211"/>
        <v>0</v>
      </c>
      <c r="BB217" s="120">
        <f t="shared" si="211"/>
        <v>0</v>
      </c>
      <c r="BC217" s="120">
        <f t="shared" si="211"/>
        <v>0</v>
      </c>
      <c r="BD217" s="120">
        <f t="shared" si="211"/>
        <v>0</v>
      </c>
      <c r="BE217" s="120">
        <f t="shared" si="211"/>
        <v>0</v>
      </c>
      <c r="BF217" s="120">
        <f t="shared" si="211"/>
        <v>0</v>
      </c>
      <c r="BG217" s="120">
        <f t="shared" si="211"/>
        <v>0</v>
      </c>
      <c r="BH217" s="120">
        <f t="shared" si="211"/>
        <v>0</v>
      </c>
      <c r="BI217" s="120">
        <f t="shared" si="211"/>
        <v>0</v>
      </c>
      <c r="BJ217" s="120">
        <f t="shared" si="211"/>
        <v>0</v>
      </c>
      <c r="BK217" s="120">
        <f t="shared" si="211"/>
        <v>0</v>
      </c>
    </row>
    <row r="218" spans="1:63" ht="12.75" customHeight="1" x14ac:dyDescent="0.2">
      <c r="A218" s="154" t="s">
        <v>436</v>
      </c>
      <c r="B218" s="137">
        <f>AA218</f>
        <v>1339.2769500000006</v>
      </c>
      <c r="C218" s="150" t="s">
        <v>397</v>
      </c>
      <c r="D218" s="137">
        <f t="shared" ref="D218:AI218" si="212">MAX(D216-D217,0)+MAX(D215-D214,0)</f>
        <v>0</v>
      </c>
      <c r="E218" s="137">
        <f t="shared" si="212"/>
        <v>0</v>
      </c>
      <c r="F218" s="137">
        <f t="shared" si="212"/>
        <v>17.337000000000018</v>
      </c>
      <c r="G218" s="137">
        <f t="shared" si="212"/>
        <v>26.04800000000003</v>
      </c>
      <c r="H218" s="137">
        <f t="shared" si="212"/>
        <v>146.99200000000005</v>
      </c>
      <c r="I218" s="137">
        <f t="shared" si="212"/>
        <v>259.93600000000004</v>
      </c>
      <c r="J218" s="137">
        <f t="shared" si="212"/>
        <v>361.61400000000003</v>
      </c>
      <c r="K218" s="137">
        <f t="shared" si="212"/>
        <v>450.90273999999999</v>
      </c>
      <c r="L218" s="137">
        <f t="shared" si="212"/>
        <v>513.29479000000003</v>
      </c>
      <c r="M218" s="137">
        <f t="shared" si="212"/>
        <v>610.29309000000012</v>
      </c>
      <c r="N218" s="137">
        <f t="shared" si="212"/>
        <v>649.64323000000013</v>
      </c>
      <c r="O218" s="137">
        <f t="shared" si="212"/>
        <v>676.97989000000007</v>
      </c>
      <c r="P218" s="137">
        <f t="shared" si="212"/>
        <v>687.74796000000015</v>
      </c>
      <c r="Q218" s="137">
        <f t="shared" si="212"/>
        <v>709.64839000000018</v>
      </c>
      <c r="R218" s="137">
        <f t="shared" si="212"/>
        <v>769.01470000000018</v>
      </c>
      <c r="S218" s="137">
        <f t="shared" si="212"/>
        <v>816.97463000000016</v>
      </c>
      <c r="T218" s="137">
        <f t="shared" si="212"/>
        <v>902.71899000000019</v>
      </c>
      <c r="U218" s="137">
        <f t="shared" si="212"/>
        <v>981.52835000000027</v>
      </c>
      <c r="V218" s="137">
        <f t="shared" si="212"/>
        <v>1050.6546700000004</v>
      </c>
      <c r="W218" s="137">
        <f t="shared" si="212"/>
        <v>1111.4585500000003</v>
      </c>
      <c r="X218" s="137">
        <f t="shared" si="212"/>
        <v>1148.4681500000004</v>
      </c>
      <c r="Y218" s="137">
        <f t="shared" si="212"/>
        <v>1216.3527500000005</v>
      </c>
      <c r="Z218" s="137">
        <f t="shared" si="212"/>
        <v>1284.7529100000006</v>
      </c>
      <c r="AA218" s="137">
        <f t="shared" si="212"/>
        <v>1339.2769500000006</v>
      </c>
      <c r="AB218" s="137">
        <f t="shared" si="212"/>
        <v>1479.1105743750006</v>
      </c>
      <c r="AC218" s="137">
        <f t="shared" si="212"/>
        <v>1635.0816062500007</v>
      </c>
      <c r="AD218" s="137">
        <f t="shared" si="212"/>
        <v>1855.8002731250008</v>
      </c>
      <c r="AE218" s="137">
        <f t="shared" si="212"/>
        <v>2052.6098362500006</v>
      </c>
      <c r="AF218" s="137">
        <f t="shared" si="212"/>
        <v>2259.4929037500006</v>
      </c>
      <c r="AG218" s="137">
        <f t="shared" si="212"/>
        <v>2454.0006587500006</v>
      </c>
      <c r="AH218" s="137">
        <f t="shared" si="212"/>
        <v>2643.9998399000006</v>
      </c>
      <c r="AI218" s="137">
        <f t="shared" si="212"/>
        <v>2845.4021290000005</v>
      </c>
      <c r="AJ218" s="137">
        <f t="shared" ref="AJ218:BO218" si="213">MAX(AJ216-AJ217,0)+MAX(AJ215-AJ214,0)</f>
        <v>3006.6747447500006</v>
      </c>
      <c r="AK218" s="137">
        <f t="shared" si="213"/>
        <v>3216.2110792500007</v>
      </c>
      <c r="AL218" s="137">
        <f t="shared" si="213"/>
        <v>3424.9237129500007</v>
      </c>
      <c r="AM218" s="137">
        <f t="shared" si="213"/>
        <v>3609.5430982500006</v>
      </c>
      <c r="AN218" s="137">
        <f t="shared" si="213"/>
        <v>3743.6660732531254</v>
      </c>
      <c r="AO218" s="137">
        <f t="shared" si="213"/>
        <v>3893.8457687187506</v>
      </c>
      <c r="AP218" s="137">
        <f t="shared" si="213"/>
        <v>4108.4493610093759</v>
      </c>
      <c r="AQ218" s="137">
        <f t="shared" si="213"/>
        <v>4299.2633950687514</v>
      </c>
      <c r="AR218" s="137">
        <f t="shared" si="213"/>
        <v>4500.1005659812517</v>
      </c>
      <c r="AS218" s="137">
        <f t="shared" si="213"/>
        <v>4688.6243009562522</v>
      </c>
      <c r="AT218" s="137">
        <f t="shared" si="213"/>
        <v>4886.3259785416276</v>
      </c>
      <c r="AU218" s="137">
        <f t="shared" si="213"/>
        <v>5095.8101367068775</v>
      </c>
      <c r="AV218" s="137">
        <f t="shared" si="213"/>
        <v>5263.8295381587523</v>
      </c>
      <c r="AW218" s="137">
        <f t="shared" si="213"/>
        <v>5481.7183551575026</v>
      </c>
      <c r="AX218" s="137">
        <f t="shared" si="213"/>
        <v>5698.7560674642527</v>
      </c>
      <c r="AY218" s="137">
        <f t="shared" si="213"/>
        <v>5890.8989675300027</v>
      </c>
      <c r="AZ218" s="137">
        <f t="shared" si="213"/>
        <v>6043.5203066933609</v>
      </c>
      <c r="BA218" s="137">
        <f t="shared" si="213"/>
        <v>6213.396197665722</v>
      </c>
      <c r="BB218" s="137">
        <f t="shared" si="213"/>
        <v>6452.5020081662278</v>
      </c>
      <c r="BC218" s="137">
        <f t="shared" si="213"/>
        <v>6666.0435593914326</v>
      </c>
      <c r="BD218" s="137">
        <f t="shared" si="213"/>
        <v>6890.3559734790051</v>
      </c>
      <c r="BE218" s="137">
        <f t="shared" si="213"/>
        <v>7101.4363693081405</v>
      </c>
      <c r="BF218" s="137">
        <f t="shared" si="213"/>
        <v>7374.5866925633545</v>
      </c>
      <c r="BG218" s="137">
        <f t="shared" si="213"/>
        <v>7662.0658213682054</v>
      </c>
      <c r="BH218" s="137">
        <f t="shared" si="213"/>
        <v>7899.1191988144028</v>
      </c>
      <c r="BI218" s="137">
        <f t="shared" si="213"/>
        <v>8196.8193266117723</v>
      </c>
      <c r="BJ218" s="137">
        <f t="shared" si="213"/>
        <v>8493.4844165364811</v>
      </c>
      <c r="BK218" s="137">
        <f t="shared" si="213"/>
        <v>8759.8746486858854</v>
      </c>
    </row>
    <row r="219" spans="1:63" ht="12.75" customHeight="1" x14ac:dyDescent="0.2">
      <c r="A219" s="126" t="s">
        <v>437</v>
      </c>
      <c r="B219" s="150">
        <f>AA219</f>
        <v>0</v>
      </c>
      <c r="C219" s="150" t="s">
        <v>397</v>
      </c>
      <c r="D219" s="120">
        <f>0</f>
        <v>0</v>
      </c>
      <c r="E219" s="120">
        <f>0</f>
        <v>0</v>
      </c>
      <c r="F219" s="120">
        <f>0</f>
        <v>0</v>
      </c>
      <c r="G219" s="120">
        <f>0</f>
        <v>0</v>
      </c>
      <c r="H219" s="120">
        <f>0</f>
        <v>0</v>
      </c>
      <c r="I219" s="120">
        <f>0</f>
        <v>0</v>
      </c>
      <c r="J219" s="120">
        <f>0</f>
        <v>0</v>
      </c>
      <c r="K219" s="120">
        <f>0</f>
        <v>0</v>
      </c>
      <c r="L219" s="120">
        <f>0</f>
        <v>0</v>
      </c>
      <c r="M219" s="120">
        <f>0</f>
        <v>0</v>
      </c>
      <c r="N219" s="120">
        <f>0</f>
        <v>0</v>
      </c>
      <c r="O219" s="120">
        <f>0</f>
        <v>0</v>
      </c>
      <c r="P219" s="120">
        <f>0</f>
        <v>0</v>
      </c>
      <c r="Q219" s="120">
        <f>0</f>
        <v>0</v>
      </c>
      <c r="R219" s="120">
        <f>0</f>
        <v>0</v>
      </c>
      <c r="S219" s="120">
        <f>0</f>
        <v>0</v>
      </c>
      <c r="T219" s="120">
        <f>0</f>
        <v>0</v>
      </c>
      <c r="U219" s="120">
        <f>0</f>
        <v>0</v>
      </c>
      <c r="V219" s="120">
        <f>0</f>
        <v>0</v>
      </c>
      <c r="W219" s="120">
        <f>0</f>
        <v>0</v>
      </c>
      <c r="X219" s="120">
        <f>0</f>
        <v>0</v>
      </c>
      <c r="Y219" s="120">
        <f>0</f>
        <v>0</v>
      </c>
      <c r="Z219" s="120">
        <f>0</f>
        <v>0</v>
      </c>
      <c r="AA219" s="120">
        <f>0</f>
        <v>0</v>
      </c>
      <c r="AB219" s="120">
        <f>0</f>
        <v>0</v>
      </c>
      <c r="AC219" s="120">
        <f>0</f>
        <v>0</v>
      </c>
      <c r="AD219" s="120">
        <f>0</f>
        <v>0</v>
      </c>
      <c r="AE219" s="120">
        <f>0</f>
        <v>0</v>
      </c>
      <c r="AF219" s="120">
        <f>0</f>
        <v>0</v>
      </c>
      <c r="AG219" s="120">
        <f>0</f>
        <v>0</v>
      </c>
      <c r="AH219" s="120">
        <f>0</f>
        <v>0</v>
      </c>
      <c r="AI219" s="120">
        <f>0</f>
        <v>0</v>
      </c>
      <c r="AJ219" s="120">
        <f>0</f>
        <v>0</v>
      </c>
      <c r="AK219" s="120">
        <f>0</f>
        <v>0</v>
      </c>
      <c r="AL219" s="120">
        <f>0</f>
        <v>0</v>
      </c>
      <c r="AM219" s="120">
        <f>0</f>
        <v>0</v>
      </c>
      <c r="AN219" s="120">
        <f>0</f>
        <v>0</v>
      </c>
      <c r="AO219" s="120">
        <f>0</f>
        <v>0</v>
      </c>
      <c r="AP219" s="120">
        <f>0</f>
        <v>0</v>
      </c>
      <c r="AQ219" s="120">
        <f>0</f>
        <v>0</v>
      </c>
      <c r="AR219" s="120">
        <f>0</f>
        <v>0</v>
      </c>
      <c r="AS219" s="120">
        <f>0</f>
        <v>0</v>
      </c>
      <c r="AT219" s="120">
        <f>0</f>
        <v>0</v>
      </c>
      <c r="AU219" s="120">
        <f>0</f>
        <v>0</v>
      </c>
      <c r="AV219" s="120">
        <f>0</f>
        <v>0</v>
      </c>
      <c r="AW219" s="120">
        <f>0</f>
        <v>0</v>
      </c>
      <c r="AX219" s="120">
        <f>0</f>
        <v>0</v>
      </c>
      <c r="AY219" s="120">
        <f>0</f>
        <v>0</v>
      </c>
      <c r="AZ219" s="120">
        <f>0</f>
        <v>0</v>
      </c>
      <c r="BA219" s="120">
        <f>0</f>
        <v>0</v>
      </c>
      <c r="BB219" s="120">
        <f>0</f>
        <v>0</v>
      </c>
      <c r="BC219" s="120">
        <f>0</f>
        <v>0</v>
      </c>
      <c r="BD219" s="120">
        <f>0</f>
        <v>0</v>
      </c>
      <c r="BE219" s="120">
        <f>0</f>
        <v>0</v>
      </c>
      <c r="BF219" s="120">
        <f>0</f>
        <v>0</v>
      </c>
      <c r="BG219" s="120">
        <f>0</f>
        <v>0</v>
      </c>
      <c r="BH219" s="120">
        <f>0</f>
        <v>0</v>
      </c>
      <c r="BI219" s="120">
        <f>0</f>
        <v>0</v>
      </c>
      <c r="BJ219" s="120">
        <f>0</f>
        <v>0</v>
      </c>
      <c r="BK219" s="120">
        <f>0</f>
        <v>0</v>
      </c>
    </row>
    <row r="220" spans="1:63" ht="12.75" customHeight="1" x14ac:dyDescent="0.2">
      <c r="A220" s="126" t="s">
        <v>438</v>
      </c>
      <c r="B220" s="150">
        <f>SUM(D220:BQ220)</f>
        <v>0</v>
      </c>
      <c r="C220" s="150">
        <f>B220/60</f>
        <v>0</v>
      </c>
      <c r="D220" s="120">
        <f>0</f>
        <v>0</v>
      </c>
      <c r="E220" s="120">
        <f>0</f>
        <v>0</v>
      </c>
      <c r="F220" s="120">
        <f>0</f>
        <v>0</v>
      </c>
      <c r="G220" s="120">
        <f>0</f>
        <v>0</v>
      </c>
      <c r="H220" s="120">
        <f>0</f>
        <v>0</v>
      </c>
      <c r="I220" s="120">
        <f>0</f>
        <v>0</v>
      </c>
      <c r="J220" s="120">
        <f>0</f>
        <v>0</v>
      </c>
      <c r="K220" s="120">
        <f>0</f>
        <v>0</v>
      </c>
      <c r="L220" s="120">
        <f>0</f>
        <v>0</v>
      </c>
      <c r="M220" s="120">
        <f>0</f>
        <v>0</v>
      </c>
      <c r="N220" s="120">
        <f>0</f>
        <v>0</v>
      </c>
      <c r="O220" s="120">
        <f>0</f>
        <v>0</v>
      </c>
      <c r="P220" s="120">
        <f>0</f>
        <v>0</v>
      </c>
      <c r="Q220" s="120">
        <f>0</f>
        <v>0</v>
      </c>
      <c r="R220" s="120">
        <f>0</f>
        <v>0</v>
      </c>
      <c r="S220" s="120">
        <f>0</f>
        <v>0</v>
      </c>
      <c r="T220" s="120">
        <f>0</f>
        <v>0</v>
      </c>
      <c r="U220" s="120">
        <f>0</f>
        <v>0</v>
      </c>
      <c r="V220" s="120">
        <f>0</f>
        <v>0</v>
      </c>
      <c r="W220" s="120">
        <f>0</f>
        <v>0</v>
      </c>
      <c r="X220" s="120">
        <f>0</f>
        <v>0</v>
      </c>
      <c r="Y220" s="120">
        <f>0</f>
        <v>0</v>
      </c>
      <c r="Z220" s="120">
        <f>0</f>
        <v>0</v>
      </c>
      <c r="AA220" s="120">
        <f>0</f>
        <v>0</v>
      </c>
      <c r="AB220" s="120">
        <f>0</f>
        <v>0</v>
      </c>
      <c r="AC220" s="120">
        <f>0</f>
        <v>0</v>
      </c>
      <c r="AD220" s="120">
        <f>0</f>
        <v>0</v>
      </c>
      <c r="AE220" s="120">
        <f>0</f>
        <v>0</v>
      </c>
      <c r="AF220" s="120">
        <f>0</f>
        <v>0</v>
      </c>
      <c r="AG220" s="120">
        <f>0</f>
        <v>0</v>
      </c>
      <c r="AH220" s="120">
        <f>0</f>
        <v>0</v>
      </c>
      <c r="AI220" s="120">
        <f>0</f>
        <v>0</v>
      </c>
      <c r="AJ220" s="120">
        <f>0</f>
        <v>0</v>
      </c>
      <c r="AK220" s="120">
        <f>0</f>
        <v>0</v>
      </c>
      <c r="AL220" s="120">
        <f>0</f>
        <v>0</v>
      </c>
      <c r="AM220" s="120">
        <f>0</f>
        <v>0</v>
      </c>
      <c r="AN220" s="120">
        <f>0</f>
        <v>0</v>
      </c>
      <c r="AO220" s="120">
        <f>0</f>
        <v>0</v>
      </c>
      <c r="AP220" s="120">
        <f>0</f>
        <v>0</v>
      </c>
      <c r="AQ220" s="120">
        <f>0</f>
        <v>0</v>
      </c>
      <c r="AR220" s="120">
        <f>0</f>
        <v>0</v>
      </c>
      <c r="AS220" s="120">
        <f>0</f>
        <v>0</v>
      </c>
      <c r="AT220" s="120">
        <f>0</f>
        <v>0</v>
      </c>
      <c r="AU220" s="120">
        <f>0</f>
        <v>0</v>
      </c>
      <c r="AV220" s="120">
        <f>0</f>
        <v>0</v>
      </c>
      <c r="AW220" s="120">
        <f>0</f>
        <v>0</v>
      </c>
      <c r="AX220" s="120">
        <f>0</f>
        <v>0</v>
      </c>
      <c r="AY220" s="120">
        <f>0</f>
        <v>0</v>
      </c>
      <c r="AZ220" s="120">
        <f>0</f>
        <v>0</v>
      </c>
      <c r="BA220" s="120">
        <f>0</f>
        <v>0</v>
      </c>
      <c r="BB220" s="120">
        <f>0</f>
        <v>0</v>
      </c>
      <c r="BC220" s="120">
        <f>0</f>
        <v>0</v>
      </c>
      <c r="BD220" s="120">
        <f>0</f>
        <v>0</v>
      </c>
      <c r="BE220" s="120">
        <f>0</f>
        <v>0</v>
      </c>
      <c r="BF220" s="120">
        <f>0</f>
        <v>0</v>
      </c>
      <c r="BG220" s="120">
        <f>0</f>
        <v>0</v>
      </c>
      <c r="BH220" s="120">
        <f>0</f>
        <v>0</v>
      </c>
      <c r="BI220" s="120">
        <f>0</f>
        <v>0</v>
      </c>
      <c r="BJ220" s="120">
        <f>0</f>
        <v>0</v>
      </c>
      <c r="BK220" s="120">
        <f>0</f>
        <v>0</v>
      </c>
    </row>
    <row r="221" spans="1:63" ht="12.75" customHeight="1" x14ac:dyDescent="0.2">
      <c r="A221" s="155" t="s">
        <v>439</v>
      </c>
      <c r="B221" s="152">
        <f>AA221</f>
        <v>0</v>
      </c>
      <c r="C221" s="150" t="s">
        <v>397</v>
      </c>
      <c r="D221" s="156">
        <f>0</f>
        <v>0</v>
      </c>
      <c r="E221" s="156">
        <f>0</f>
        <v>0</v>
      </c>
      <c r="F221" s="156">
        <f>0</f>
        <v>0</v>
      </c>
      <c r="G221" s="156">
        <f>0</f>
        <v>0</v>
      </c>
      <c r="H221" s="156">
        <f>0</f>
        <v>0</v>
      </c>
      <c r="I221" s="156">
        <f>0</f>
        <v>0</v>
      </c>
      <c r="J221" s="156">
        <f>0</f>
        <v>0</v>
      </c>
      <c r="K221" s="156">
        <f>0</f>
        <v>0</v>
      </c>
      <c r="L221" s="156">
        <f>0</f>
        <v>0</v>
      </c>
      <c r="M221" s="156">
        <f>0</f>
        <v>0</v>
      </c>
      <c r="N221" s="156">
        <f>0</f>
        <v>0</v>
      </c>
      <c r="O221" s="156">
        <f>0</f>
        <v>0</v>
      </c>
      <c r="P221" s="156">
        <f>0</f>
        <v>0</v>
      </c>
      <c r="Q221" s="156">
        <f>0</f>
        <v>0</v>
      </c>
      <c r="R221" s="156">
        <f>0</f>
        <v>0</v>
      </c>
      <c r="S221" s="156">
        <f>0</f>
        <v>0</v>
      </c>
      <c r="T221" s="156">
        <f>0</f>
        <v>0</v>
      </c>
      <c r="U221" s="156">
        <f>0</f>
        <v>0</v>
      </c>
      <c r="V221" s="156">
        <f>0</f>
        <v>0</v>
      </c>
      <c r="W221" s="156">
        <f>0</f>
        <v>0</v>
      </c>
      <c r="X221" s="156">
        <f>0</f>
        <v>0</v>
      </c>
      <c r="Y221" s="156">
        <f>0</f>
        <v>0</v>
      </c>
      <c r="Z221" s="156">
        <f>0</f>
        <v>0</v>
      </c>
      <c r="AA221" s="156">
        <f>0</f>
        <v>0</v>
      </c>
      <c r="AB221" s="156">
        <f>0</f>
        <v>0</v>
      </c>
      <c r="AC221" s="156">
        <f>0</f>
        <v>0</v>
      </c>
      <c r="AD221" s="156">
        <f>0</f>
        <v>0</v>
      </c>
      <c r="AE221" s="156">
        <f>0</f>
        <v>0</v>
      </c>
      <c r="AF221" s="156">
        <f>0</f>
        <v>0</v>
      </c>
      <c r="AG221" s="156">
        <f>0</f>
        <v>0</v>
      </c>
      <c r="AH221" s="156">
        <f>0</f>
        <v>0</v>
      </c>
      <c r="AI221" s="156">
        <f>0</f>
        <v>0</v>
      </c>
      <c r="AJ221" s="156">
        <f>0</f>
        <v>0</v>
      </c>
      <c r="AK221" s="156">
        <f>0</f>
        <v>0</v>
      </c>
      <c r="AL221" s="156">
        <f>0</f>
        <v>0</v>
      </c>
      <c r="AM221" s="156">
        <f>0</f>
        <v>0</v>
      </c>
      <c r="AN221" s="156">
        <f>0</f>
        <v>0</v>
      </c>
      <c r="AO221" s="156">
        <f>0</f>
        <v>0</v>
      </c>
      <c r="AP221" s="156">
        <f>0</f>
        <v>0</v>
      </c>
      <c r="AQ221" s="156">
        <f>0</f>
        <v>0</v>
      </c>
      <c r="AR221" s="156">
        <f>0</f>
        <v>0</v>
      </c>
      <c r="AS221" s="156">
        <f>0</f>
        <v>0</v>
      </c>
      <c r="AT221" s="156">
        <f>0</f>
        <v>0</v>
      </c>
      <c r="AU221" s="156">
        <f>0</f>
        <v>0</v>
      </c>
      <c r="AV221" s="156">
        <f>0</f>
        <v>0</v>
      </c>
      <c r="AW221" s="156">
        <f>0</f>
        <v>0</v>
      </c>
      <c r="AX221" s="156">
        <f>0</f>
        <v>0</v>
      </c>
      <c r="AY221" s="156">
        <f>0</f>
        <v>0</v>
      </c>
      <c r="AZ221" s="156">
        <f>0</f>
        <v>0</v>
      </c>
      <c r="BA221" s="156">
        <f>0</f>
        <v>0</v>
      </c>
      <c r="BB221" s="156">
        <f>0</f>
        <v>0</v>
      </c>
      <c r="BC221" s="156">
        <f>0</f>
        <v>0</v>
      </c>
      <c r="BD221" s="156">
        <f>0</f>
        <v>0</v>
      </c>
      <c r="BE221" s="156">
        <f>0</f>
        <v>0</v>
      </c>
      <c r="BF221" s="156">
        <f>0</f>
        <v>0</v>
      </c>
      <c r="BG221" s="156">
        <f>0</f>
        <v>0</v>
      </c>
      <c r="BH221" s="156">
        <f>0</f>
        <v>0</v>
      </c>
      <c r="BI221" s="156">
        <f>0</f>
        <v>0</v>
      </c>
      <c r="BJ221" s="156">
        <f>0</f>
        <v>0</v>
      </c>
      <c r="BK221" s="156">
        <f>0</f>
        <v>0</v>
      </c>
    </row>
    <row r="222" spans="1:63" ht="12.75" customHeight="1" x14ac:dyDescent="0.2">
      <c r="A222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22" s="142">
        <f>SUM(D222:BQ222)</f>
        <v>11703.479927231108</v>
      </c>
      <c r="C222" s="157">
        <f>B222/60</f>
        <v>195.05799878718514</v>
      </c>
      <c r="D222" s="142">
        <f>D214*Premissas!$F$19*(1+Premissas!$B$127)*(1+Premissas!$B$124)^0</f>
        <v>163.74562758239134</v>
      </c>
      <c r="E222" s="142">
        <f>E214*Premissas!$F$19*(1+Premissas!$B$127)*(1+Premissas!$B$124)^0</f>
        <v>161.67289811932312</v>
      </c>
      <c r="F222" s="142">
        <f>F214*Premissas!$F$19*(1+Premissas!$B$127)*(1+Premissas!$B$124)^0</f>
        <v>160.63653338778897</v>
      </c>
      <c r="G222" s="142">
        <f>G214*Premissas!$F$19*(1+Premissas!$B$127)*(1+Premissas!$B$124)^0</f>
        <v>158.56380392472076</v>
      </c>
      <c r="H222" s="142">
        <f>H214*Premissas!$F$19*(1+Premissas!$B$127)*(1+Premissas!$B$124)^0</f>
        <v>156.49107446165249</v>
      </c>
      <c r="I222" s="142">
        <f>I214*Premissas!$F$19*(1+Premissas!$B$127)*(1+Premissas!$B$124)^0</f>
        <v>155.45470973011834</v>
      </c>
      <c r="J222" s="142">
        <f>J214*Premissas!$F$19*(1+Premissas!$B$127)*(1+Premissas!$B$124)^0</f>
        <v>153.38198026705012</v>
      </c>
      <c r="K222" s="142">
        <f>K214*Premissas!$F$19*(1+Premissas!$B$127)*(1+Premissas!$B$124)^0</f>
        <v>173.15063752106349</v>
      </c>
      <c r="L222" s="142">
        <f>L214*Premissas!$F$19*(1+Premissas!$B$127)*(1+Premissas!$B$124)^0</f>
        <v>172.08836367124101</v>
      </c>
      <c r="M222" s="142">
        <f>M214*Premissas!$F$19*(1+Premissas!$B$127)*(1+Premissas!$B$124)^0</f>
        <v>171.02608982141854</v>
      </c>
      <c r="N222" s="142">
        <f>N214*Premissas!$F$19*(1+Premissas!$B$127)*(1+Premissas!$B$124)^0</f>
        <v>169.96381597159606</v>
      </c>
      <c r="O222" s="142">
        <f>O214*Premissas!$F$19*(1+Premissas!$B$127)*(1+Premissas!$B$124)^0</f>
        <v>168.90154212177359</v>
      </c>
      <c r="P222" s="142">
        <f>P214*Premissas!$F$19*(1+Premissas!$B$127)*(1+Premissas!$B$124)^1</f>
        <v>177.9096243682682</v>
      </c>
      <c r="Q222" s="142">
        <f>Q214*Premissas!$F$19*(1+Premissas!$B$127)*(1+Premissas!$B$124)^1</f>
        <v>175.65760380664454</v>
      </c>
      <c r="R222" s="142">
        <f>R214*Premissas!$F$19*(1+Premissas!$B$127)*(1+Premissas!$B$124)^1</f>
        <v>174.5315935258327</v>
      </c>
      <c r="S222" s="142">
        <f>S214*Premissas!$F$19*(1+Premissas!$B$127)*(1+Premissas!$B$124)^1</f>
        <v>172.27957296420908</v>
      </c>
      <c r="T222" s="142">
        <f>T214*Premissas!$F$19*(1+Premissas!$B$127)*(1+Premissas!$B$124)^1</f>
        <v>170.02755240258543</v>
      </c>
      <c r="U222" s="142">
        <f>U214*Premissas!$F$19*(1+Premissas!$B$127)*(1+Premissas!$B$124)^1</f>
        <v>168.90154212177364</v>
      </c>
      <c r="V222" s="142">
        <f>V214*Premissas!$F$19*(1+Premissas!$B$127)*(1+Premissas!$B$124)^1</f>
        <v>166.64952156014996</v>
      </c>
      <c r="W222" s="142">
        <f>W214*Premissas!$F$19*(1+Premissas!$B$127)*(1+Premissas!$B$124)^1</f>
        <v>183.53967577232731</v>
      </c>
      <c r="X222" s="142">
        <f>X214*Premissas!$F$19*(1+Premissas!$B$127)*(1+Premissas!$B$124)^1</f>
        <v>182.41366549151547</v>
      </c>
      <c r="Y222" s="142">
        <f>Y214*Premissas!$F$19*(1+Premissas!$B$127)*(1+Premissas!$B$124)^1</f>
        <v>181.28765521070366</v>
      </c>
      <c r="Z222" s="142">
        <f>Z214*Premissas!$F$19*(1+Premissas!$B$127)*(1+Premissas!$B$124)^1</f>
        <v>180.16164492989182</v>
      </c>
      <c r="AA222" s="142">
        <f>AA214*Premissas!$F$19*(1+Premissas!$B$127)*(1+Premissas!$B$124)^1</f>
        <v>179.03563464908001</v>
      </c>
      <c r="AB222" s="142">
        <f>AB214*Premissas!$F$19*(1+Premissas!$B$127)*(1+Premissas!$B$124)^2</f>
        <v>194.52221704622545</v>
      </c>
      <c r="AC222" s="142">
        <f>AC214*Premissas!$F$19*(1+Premissas!$B$127)*(1+Premissas!$B$124)^2</f>
        <v>194.52221704622545</v>
      </c>
      <c r="AD222" s="142">
        <f>AD214*Premissas!$F$19*(1+Premissas!$B$127)*(1+Premissas!$B$124)^2</f>
        <v>194.52221704622545</v>
      </c>
      <c r="AE222" s="142">
        <f>AE214*Premissas!$F$19*(1+Premissas!$B$127)*(1+Premissas!$B$124)^2</f>
        <v>194.52221704622545</v>
      </c>
      <c r="AF222" s="142">
        <f>AF214*Premissas!$F$19*(1+Premissas!$B$127)*(1+Premissas!$B$124)^2</f>
        <v>194.52221704622545</v>
      </c>
      <c r="AG222" s="142">
        <f>AG214*Premissas!$F$19*(1+Premissas!$B$127)*(1+Premissas!$B$124)^2</f>
        <v>194.52221704622545</v>
      </c>
      <c r="AH222" s="142">
        <f>AH214*Premissas!$F$19*(1+Premissas!$B$127)*(1+Premissas!$B$124)^2</f>
        <v>194.52221704622545</v>
      </c>
      <c r="AI222" s="142">
        <f>AI214*Premissas!$F$19*(1+Premissas!$B$127)*(1+Premissas!$B$124)^2</f>
        <v>194.52221704622545</v>
      </c>
      <c r="AJ222" s="142">
        <f>AJ214*Premissas!$F$19*(1+Premissas!$B$127)*(1+Premissas!$B$124)^2</f>
        <v>194.52221704622545</v>
      </c>
      <c r="AK222" s="142">
        <f>AK214*Premissas!$F$19*(1+Premissas!$B$127)*(1+Premissas!$B$124)^2</f>
        <v>194.52221704622545</v>
      </c>
      <c r="AL222" s="142">
        <f>AL214*Premissas!$F$19*(1+Premissas!$B$127)*(1+Premissas!$B$124)^2</f>
        <v>194.52221704622545</v>
      </c>
      <c r="AM222" s="142">
        <f>AM214*Premissas!$F$19*(1+Premissas!$B$127)*(1+Premissas!$B$124)^2</f>
        <v>194.52221704622545</v>
      </c>
      <c r="AN222" s="142">
        <f>AN214*Premissas!$F$19*(1+Premissas!$B$127)*(1+Premissas!$B$124)^3</f>
        <v>211.34838882072398</v>
      </c>
      <c r="AO222" s="142">
        <f>AO214*Premissas!$F$19*(1+Premissas!$B$127)*(1+Premissas!$B$124)^3</f>
        <v>211.34838882072398</v>
      </c>
      <c r="AP222" s="142">
        <f>AP214*Premissas!$F$19*(1+Premissas!$B$127)*(1+Premissas!$B$124)^3</f>
        <v>211.34838882072398</v>
      </c>
      <c r="AQ222" s="142">
        <f>AQ214*Premissas!$F$19*(1+Premissas!$B$127)*(1+Premissas!$B$124)^3</f>
        <v>211.34838882072398</v>
      </c>
      <c r="AR222" s="142">
        <f>AR214*Premissas!$F$19*(1+Premissas!$B$127)*(1+Premissas!$B$124)^3</f>
        <v>211.34838882072398</v>
      </c>
      <c r="AS222" s="142">
        <f>AS214*Premissas!$F$19*(1+Premissas!$B$127)*(1+Premissas!$B$124)^3</f>
        <v>211.34838882072398</v>
      </c>
      <c r="AT222" s="142">
        <f>AT214*Premissas!$F$19*(1+Premissas!$B$127)*(1+Premissas!$B$124)^3</f>
        <v>211.34838882072398</v>
      </c>
      <c r="AU222" s="142">
        <f>AU214*Premissas!$F$19*(1+Premissas!$B$127)*(1+Premissas!$B$124)^3</f>
        <v>211.34838882072398</v>
      </c>
      <c r="AV222" s="142">
        <f>AV214*Premissas!$F$19*(1+Premissas!$B$127)*(1+Premissas!$B$124)^3</f>
        <v>211.34838882072398</v>
      </c>
      <c r="AW222" s="142">
        <f>AW214*Premissas!$F$19*(1+Premissas!$B$127)*(1+Premissas!$B$124)^3</f>
        <v>211.34838882072398</v>
      </c>
      <c r="AX222" s="142">
        <f>AX214*Premissas!$F$19*(1+Premissas!$B$127)*(1+Premissas!$B$124)^3</f>
        <v>211.34838882072398</v>
      </c>
      <c r="AY222" s="142">
        <f>AY214*Premissas!$F$19*(1+Premissas!$B$127)*(1+Premissas!$B$124)^3</f>
        <v>211.34838882072398</v>
      </c>
      <c r="AZ222" s="142">
        <f>AZ214*Premissas!$F$19*(1+Premissas!$B$127)*(1+Premissas!$B$124)^4</f>
        <v>229.63002445371663</v>
      </c>
      <c r="BA222" s="142">
        <f>BA214*Premissas!$F$19*(1+Premissas!$B$127)*(1+Premissas!$B$124)^4</f>
        <v>229.63002445371663</v>
      </c>
      <c r="BB222" s="142">
        <f>BB214*Premissas!$F$19*(1+Premissas!$B$127)*(1+Premissas!$B$124)^4</f>
        <v>229.63002445371663</v>
      </c>
      <c r="BC222" s="142">
        <f>BC214*Premissas!$F$19*(1+Premissas!$B$127)*(1+Premissas!$B$124)^4</f>
        <v>229.63002445371663</v>
      </c>
      <c r="BD222" s="142">
        <f>BD214*Premissas!$F$19*(1+Premissas!$B$127)*(1+Premissas!$B$124)^4</f>
        <v>229.63002445371663</v>
      </c>
      <c r="BE222" s="142">
        <f>BE214*Premissas!$F$19*(1+Premissas!$B$127)*(1+Premissas!$B$124)^4</f>
        <v>229.63002445371663</v>
      </c>
      <c r="BF222" s="142">
        <f>BF214*Premissas!$F$19*(1+Premissas!$B$127)*(1+Premissas!$B$124)^4</f>
        <v>229.63002445371663</v>
      </c>
      <c r="BG222" s="142">
        <f>BG214*Premissas!$F$19*(1+Premissas!$B$127)*(1+Premissas!$B$124)^4</f>
        <v>229.63002445371663</v>
      </c>
      <c r="BH222" s="142">
        <f>BH214*Premissas!$F$19*(1+Premissas!$B$127)*(1+Premissas!$B$124)^4</f>
        <v>229.63002445371663</v>
      </c>
      <c r="BI222" s="142">
        <f>BI214*Premissas!$F$19*(1+Premissas!$B$127)*(1+Premissas!$B$124)^4</f>
        <v>229.63002445371663</v>
      </c>
      <c r="BJ222" s="142">
        <f>BJ214*Premissas!$F$19*(1+Premissas!$B$127)*(1+Premissas!$B$124)^4</f>
        <v>229.63002445371663</v>
      </c>
      <c r="BK222" s="142">
        <f>BK214*Premissas!$F$19*(1+Premissas!$B$127)*(1+Premissas!$B$124)^4</f>
        <v>229.63002445371663</v>
      </c>
    </row>
    <row r="223" spans="1:63" ht="12.75" customHeight="1" x14ac:dyDescent="0.2">
      <c r="A223" s="158" t="s">
        <v>415</v>
      </c>
      <c r="B223" s="144">
        <f>SUM(D223:BQ223)</f>
        <v>44.110273885921096</v>
      </c>
      <c r="C223" s="157">
        <f>B223/60</f>
        <v>0.73517123143201824</v>
      </c>
      <c r="D223" s="144">
        <f>IF(D218&gt;0,0,MAX(D214-D215-D216,0)*Premissas!$B$7*(1+Premissas!$B$127)*(1+Premissas!$B$124)^0)</f>
        <v>27.996097766479885</v>
      </c>
      <c r="E223" s="144">
        <f>IF(E218&gt;0,0,MAX(E214-E215-E216,0)*Premissas!$B$7*(1+Premissas!$B$127)*(1+Premissas!$B$124)^0)</f>
        <v>16.114176119441211</v>
      </c>
      <c r="F223" s="144">
        <f>IF(F218&gt;0,0,MAX(F214-F215-F216,0)*Premissas!$B$7*(1+Premissas!$B$127)*(1+Premissas!$B$124)^0)</f>
        <v>0</v>
      </c>
      <c r="G223" s="144">
        <f>IF(G218&gt;0,0,MAX(G214-G215-G216,0)*Premissas!$B$7*(1+Premissas!$B$127)*(1+Premissas!$B$124)^0)</f>
        <v>0</v>
      </c>
      <c r="H223" s="144">
        <f>IF(H218&gt;0,0,MAX(H214-H215-H216,0)*Premissas!$B$7*(1+Premissas!$B$127)*(1+Premissas!$B$124)^0)</f>
        <v>0</v>
      </c>
      <c r="I223" s="144">
        <f>IF(I218&gt;0,0,MAX(I214-I215-I216,0)*Premissas!$B$7*(1+Premissas!$B$127)*(1+Premissas!$B$124)^0)</f>
        <v>0</v>
      </c>
      <c r="J223" s="144">
        <f>IF(J218&gt;0,0,MAX(J214-J215-J216,0)*Premissas!$B$7*(1+Premissas!$B$127)*(1+Premissas!$B$124)^0)</f>
        <v>0</v>
      </c>
      <c r="K223" s="144">
        <f>IF(K218&gt;0,0,MAX(K214-K215-K216,0)*Premissas!$B$7*(1+Premissas!$B$127)*(1+Premissas!$B$124)^0)</f>
        <v>0</v>
      </c>
      <c r="L223" s="144">
        <f>IF(L218&gt;0,0,MAX(L214-L215-L216,0)*Premissas!$B$7*(1+Premissas!$B$127)*(1+Premissas!$B$124)^0)</f>
        <v>0</v>
      </c>
      <c r="M223" s="144">
        <f>IF(M218&gt;0,0,MAX(M214-M215-M216,0)*Premissas!$B$7*(1+Premissas!$B$127)*(1+Premissas!$B$124)^0)</f>
        <v>0</v>
      </c>
      <c r="N223" s="144">
        <f>IF(N218&gt;0,0,MAX(N214-N215-N216,0)*Premissas!$B$7*(1+Premissas!$B$127)*(1+Premissas!$B$124)^0)</f>
        <v>0</v>
      </c>
      <c r="O223" s="144">
        <f>IF(O218&gt;0,0,MAX(O214-O215-O216,0)*Premissas!$B$7*(1+Premissas!$B$127)*(1+Premissas!$B$124)^0)</f>
        <v>0</v>
      </c>
      <c r="P223" s="144">
        <f>IF(P218&gt;0,0,MAX(P214-P215-P216,0)*Premissas!$B$7*(1+Premissas!$B$127)*(1+Premissas!$B$124)^1)</f>
        <v>0</v>
      </c>
      <c r="Q223" s="144">
        <f>IF(Q218&gt;0,0,MAX(Q214-Q215-Q216,0)*Premissas!$B$7*(1+Premissas!$B$127)*(1+Premissas!$B$124)^1)</f>
        <v>0</v>
      </c>
      <c r="R223" s="144">
        <f>IF(R218&gt;0,0,MAX(R214-R215-R216,0)*Premissas!$B$7*(1+Premissas!$B$127)*(1+Premissas!$B$124)^1)</f>
        <v>0</v>
      </c>
      <c r="S223" s="144">
        <f>IF(S218&gt;0,0,MAX(S214-S215-S216,0)*Premissas!$B$7*(1+Premissas!$B$127)*(1+Premissas!$B$124)^1)</f>
        <v>0</v>
      </c>
      <c r="T223" s="144">
        <f>IF(T218&gt;0,0,MAX(T214-T215-T216,0)*Premissas!$B$7*(1+Premissas!$B$127)*(1+Premissas!$B$124)^1)</f>
        <v>0</v>
      </c>
      <c r="U223" s="144">
        <f>IF(U218&gt;0,0,MAX(U214-U215-U216,0)*Premissas!$B$7*(1+Premissas!$B$127)*(1+Premissas!$B$124)^1)</f>
        <v>0</v>
      </c>
      <c r="V223" s="144">
        <f>IF(V218&gt;0,0,MAX(V214-V215-V216,0)*Premissas!$B$7*(1+Premissas!$B$127)*(1+Premissas!$B$124)^1)</f>
        <v>0</v>
      </c>
      <c r="W223" s="144">
        <f>IF(W218&gt;0,0,MAX(W214-W215-W216,0)*Premissas!$B$7*(1+Premissas!$B$127)*(1+Premissas!$B$124)^1)</f>
        <v>0</v>
      </c>
      <c r="X223" s="144">
        <f>IF(X218&gt;0,0,MAX(X214-X215-X216,0)*Premissas!$B$7*(1+Premissas!$B$127)*(1+Premissas!$B$124)^1)</f>
        <v>0</v>
      </c>
      <c r="Y223" s="144">
        <f>IF(Y218&gt;0,0,MAX(Y214-Y215-Y216,0)*Premissas!$B$7*(1+Premissas!$B$127)*(1+Premissas!$B$124)^1)</f>
        <v>0</v>
      </c>
      <c r="Z223" s="144">
        <f>IF(Z218&gt;0,0,MAX(Z214-Z215-Z216,0)*Premissas!$B$7*(1+Premissas!$B$127)*(1+Premissas!$B$124)^1)</f>
        <v>0</v>
      </c>
      <c r="AA223" s="144">
        <f>IF(AA218&gt;0,0,MAX(AA214-AA215-AA216,0)*Premissas!$B$7*(1+Premissas!$B$127)*(1+Premissas!$B$124)^1)</f>
        <v>0</v>
      </c>
      <c r="AB223" s="144">
        <f>IF(AB218&gt;0,0,MAX(AB214-AB215-AB216,0)*Premissas!$B$7*(1+Premissas!$B$127)*(1+Premissas!$B$124)^2)</f>
        <v>0</v>
      </c>
      <c r="AC223" s="144">
        <f>IF(AC218&gt;0,0,MAX(AC214-AC215-AC216,0)*Premissas!$B$7*(1+Premissas!$B$127)*(1+Premissas!$B$124)^2)</f>
        <v>0</v>
      </c>
      <c r="AD223" s="144">
        <f>IF(AD218&gt;0,0,MAX(AD214-AD215-AD216,0)*Premissas!$B$7*(1+Premissas!$B$127)*(1+Premissas!$B$124)^2)</f>
        <v>0</v>
      </c>
      <c r="AE223" s="144">
        <f>IF(AE218&gt;0,0,MAX(AE214-AE215-AE216,0)*Premissas!$B$7*(1+Premissas!$B$127)*(1+Premissas!$B$124)^2)</f>
        <v>0</v>
      </c>
      <c r="AF223" s="144">
        <f>IF(AF218&gt;0,0,MAX(AF214-AF215-AF216,0)*Premissas!$B$7*(1+Premissas!$B$127)*(1+Premissas!$B$124)^2)</f>
        <v>0</v>
      </c>
      <c r="AG223" s="144">
        <f>IF(AG218&gt;0,0,MAX(AG214-AG215-AG216,0)*Premissas!$B$7*(1+Premissas!$B$127)*(1+Premissas!$B$124)^2)</f>
        <v>0</v>
      </c>
      <c r="AH223" s="144">
        <f>IF(AH218&gt;0,0,MAX(AH214-AH215-AH216,0)*Premissas!$B$7*(1+Premissas!$B$127)*(1+Premissas!$B$124)^2)</f>
        <v>0</v>
      </c>
      <c r="AI223" s="144">
        <f>IF(AI218&gt;0,0,MAX(AI214-AI215-AI216,0)*Premissas!$B$7*(1+Premissas!$B$127)*(1+Premissas!$B$124)^2)</f>
        <v>0</v>
      </c>
      <c r="AJ223" s="144">
        <f>IF(AJ218&gt;0,0,MAX(AJ214-AJ215-AJ216,0)*Premissas!$B$7*(1+Premissas!$B$127)*(1+Premissas!$B$124)^2)</f>
        <v>0</v>
      </c>
      <c r="AK223" s="144">
        <f>IF(AK218&gt;0,0,MAX(AK214-AK215-AK216,0)*Premissas!$B$7*(1+Premissas!$B$127)*(1+Premissas!$B$124)^2)</f>
        <v>0</v>
      </c>
      <c r="AL223" s="144">
        <f>IF(AL218&gt;0,0,MAX(AL214-AL215-AL216,0)*Premissas!$B$7*(1+Premissas!$B$127)*(1+Premissas!$B$124)^2)</f>
        <v>0</v>
      </c>
      <c r="AM223" s="144">
        <f>IF(AM218&gt;0,0,MAX(AM214-AM215-AM216,0)*Premissas!$B$7*(1+Premissas!$B$127)*(1+Premissas!$B$124)^2)</f>
        <v>0</v>
      </c>
      <c r="AN223" s="144">
        <f>IF(AN218&gt;0,0,MAX(AN214-AN215-AN216,0)*Premissas!$B$7*(1+Premissas!$B$127)*(1+Premissas!$B$124)^3)</f>
        <v>0</v>
      </c>
      <c r="AO223" s="144">
        <f>IF(AO218&gt;0,0,MAX(AO214-AO215-AO216,0)*Premissas!$B$7*(1+Premissas!$B$127)*(1+Premissas!$B$124)^3)</f>
        <v>0</v>
      </c>
      <c r="AP223" s="144">
        <f>IF(AP218&gt;0,0,MAX(AP214-AP215-AP216,0)*Premissas!$B$7*(1+Premissas!$B$127)*(1+Premissas!$B$124)^3)</f>
        <v>0</v>
      </c>
      <c r="AQ223" s="144">
        <f>IF(AQ218&gt;0,0,MAX(AQ214-AQ215-AQ216,0)*Premissas!$B$7*(1+Premissas!$B$127)*(1+Premissas!$B$124)^3)</f>
        <v>0</v>
      </c>
      <c r="AR223" s="144">
        <f>IF(AR218&gt;0,0,MAX(AR214-AR215-AR216,0)*Premissas!$B$7*(1+Premissas!$B$127)*(1+Premissas!$B$124)^3)</f>
        <v>0</v>
      </c>
      <c r="AS223" s="144">
        <f>IF(AS218&gt;0,0,MAX(AS214-AS215-AS216,0)*Premissas!$B$7*(1+Premissas!$B$127)*(1+Premissas!$B$124)^3)</f>
        <v>0</v>
      </c>
      <c r="AT223" s="144">
        <f>IF(AT218&gt;0,0,MAX(AT214-AT215-AT216,0)*Premissas!$B$7*(1+Premissas!$B$127)*(1+Premissas!$B$124)^3)</f>
        <v>0</v>
      </c>
      <c r="AU223" s="144">
        <f>IF(AU218&gt;0,0,MAX(AU214-AU215-AU216,0)*Premissas!$B$7*(1+Premissas!$B$127)*(1+Premissas!$B$124)^3)</f>
        <v>0</v>
      </c>
      <c r="AV223" s="144">
        <f>IF(AV218&gt;0,0,MAX(AV214-AV215-AV216,0)*Premissas!$B$7*(1+Premissas!$B$127)*(1+Premissas!$B$124)^3)</f>
        <v>0</v>
      </c>
      <c r="AW223" s="144">
        <f>IF(AW218&gt;0,0,MAX(AW214-AW215-AW216,0)*Premissas!$B$7*(1+Premissas!$B$127)*(1+Premissas!$B$124)^3)</f>
        <v>0</v>
      </c>
      <c r="AX223" s="144">
        <f>IF(AX218&gt;0,0,MAX(AX214-AX215-AX216,0)*Premissas!$B$7*(1+Premissas!$B$127)*(1+Premissas!$B$124)^3)</f>
        <v>0</v>
      </c>
      <c r="AY223" s="144">
        <f>IF(AY218&gt;0,0,MAX(AY214-AY215-AY216,0)*Premissas!$B$7*(1+Premissas!$B$127)*(1+Premissas!$B$124)^3)</f>
        <v>0</v>
      </c>
      <c r="AZ223" s="144">
        <f>IF(AZ218&gt;0,0,MAX(AZ214-AZ215-AZ216,0)*Premissas!$B$7*(1+Premissas!$B$127)*(1+Premissas!$B$124)^4)</f>
        <v>0</v>
      </c>
      <c r="BA223" s="144">
        <f>IF(BA218&gt;0,0,MAX(BA214-BA215-BA216,0)*Premissas!$B$7*(1+Premissas!$B$127)*(1+Premissas!$B$124)^4)</f>
        <v>0</v>
      </c>
      <c r="BB223" s="144">
        <f>IF(BB218&gt;0,0,MAX(BB214-BB215-BB216,0)*Premissas!$B$7*(1+Premissas!$B$127)*(1+Premissas!$B$124)^4)</f>
        <v>0</v>
      </c>
      <c r="BC223" s="144">
        <f>IF(BC218&gt;0,0,MAX(BC214-BC215-BC216,0)*Premissas!$B$7*(1+Premissas!$B$127)*(1+Premissas!$B$124)^4)</f>
        <v>0</v>
      </c>
      <c r="BD223" s="144">
        <f>IF(BD218&gt;0,0,MAX(BD214-BD215-BD216,0)*Premissas!$B$7*(1+Premissas!$B$127)*(1+Premissas!$B$124)^4)</f>
        <v>0</v>
      </c>
      <c r="BE223" s="144">
        <f>IF(BE218&gt;0,0,MAX(BE214-BE215-BE216,0)*Premissas!$B$7*(1+Premissas!$B$127)*(1+Premissas!$B$124)^4)</f>
        <v>0</v>
      </c>
      <c r="BF223" s="144">
        <f>IF(BF218&gt;0,0,MAX(BF214-BF215-BF216,0)*Premissas!$B$7*(1+Premissas!$B$127)*(1+Premissas!$B$124)^4)</f>
        <v>0</v>
      </c>
      <c r="BG223" s="144">
        <f>IF(BG218&gt;0,0,MAX(BG214-BG215-BG216,0)*Premissas!$B$7*(1+Premissas!$B$127)*(1+Premissas!$B$124)^4)</f>
        <v>0</v>
      </c>
      <c r="BH223" s="144">
        <f>IF(BH218&gt;0,0,MAX(BH214-BH215-BH216,0)*Premissas!$B$7*(1+Premissas!$B$127)*(1+Premissas!$B$124)^4)</f>
        <v>0</v>
      </c>
      <c r="BI223" s="144">
        <f>IF(BI218&gt;0,0,MAX(BI214-BI215-BI216,0)*Premissas!$B$7*(1+Premissas!$B$127)*(1+Premissas!$B$124)^4)</f>
        <v>0</v>
      </c>
      <c r="BJ223" s="144">
        <f>IF(BJ218&gt;0,0,MAX(BJ214-BJ215-BJ216,0)*Premissas!$B$7*(1+Premissas!$B$127)*(1+Premissas!$B$124)^4)</f>
        <v>0</v>
      </c>
      <c r="BK223" s="144">
        <f>IF(BK218&gt;0,0,MAX(BK214-BK215-BK216,0)*Premissas!$B$7*(1+Premissas!$B$127)*(1+Premissas!$B$124)^4)</f>
        <v>0</v>
      </c>
    </row>
    <row r="224" spans="1:63" ht="13.5" customHeight="1" x14ac:dyDescent="0.2">
      <c r="A224" s="154" t="s">
        <v>416</v>
      </c>
      <c r="B224" s="145">
        <f>SUM(D224:BQ224)</f>
        <v>11659.369653345188</v>
      </c>
      <c r="C224" s="157">
        <f>B224/60</f>
        <v>194.32282755575312</v>
      </c>
      <c r="D224" s="145">
        <f t="shared" ref="D224:AI224" si="214">MAX(D222-D223,0)</f>
        <v>135.74952981591144</v>
      </c>
      <c r="E224" s="145">
        <f t="shared" si="214"/>
        <v>145.55872199988193</v>
      </c>
      <c r="F224" s="145">
        <f t="shared" si="214"/>
        <v>160.63653338778897</v>
      </c>
      <c r="G224" s="145">
        <f t="shared" si="214"/>
        <v>158.56380392472076</v>
      </c>
      <c r="H224" s="145">
        <f t="shared" si="214"/>
        <v>156.49107446165249</v>
      </c>
      <c r="I224" s="145">
        <f t="shared" si="214"/>
        <v>155.45470973011834</v>
      </c>
      <c r="J224" s="145">
        <f t="shared" si="214"/>
        <v>153.38198026705012</v>
      </c>
      <c r="K224" s="145">
        <f t="shared" si="214"/>
        <v>173.15063752106349</v>
      </c>
      <c r="L224" s="145">
        <f t="shared" si="214"/>
        <v>172.08836367124101</v>
      </c>
      <c r="M224" s="145">
        <f t="shared" si="214"/>
        <v>171.02608982141854</v>
      </c>
      <c r="N224" s="145">
        <f t="shared" si="214"/>
        <v>169.96381597159606</v>
      </c>
      <c r="O224" s="145">
        <f t="shared" si="214"/>
        <v>168.90154212177359</v>
      </c>
      <c r="P224" s="145">
        <f t="shared" si="214"/>
        <v>177.9096243682682</v>
      </c>
      <c r="Q224" s="145">
        <f t="shared" si="214"/>
        <v>175.65760380664454</v>
      </c>
      <c r="R224" s="145">
        <f t="shared" si="214"/>
        <v>174.5315935258327</v>
      </c>
      <c r="S224" s="145">
        <f t="shared" si="214"/>
        <v>172.27957296420908</v>
      </c>
      <c r="T224" s="145">
        <f t="shared" si="214"/>
        <v>170.02755240258543</v>
      </c>
      <c r="U224" s="145">
        <f t="shared" si="214"/>
        <v>168.90154212177364</v>
      </c>
      <c r="V224" s="145">
        <f t="shared" si="214"/>
        <v>166.64952156014996</v>
      </c>
      <c r="W224" s="145">
        <f t="shared" si="214"/>
        <v>183.53967577232731</v>
      </c>
      <c r="X224" s="145">
        <f t="shared" si="214"/>
        <v>182.41366549151547</v>
      </c>
      <c r="Y224" s="145">
        <f t="shared" si="214"/>
        <v>181.28765521070366</v>
      </c>
      <c r="Z224" s="145">
        <f t="shared" si="214"/>
        <v>180.16164492989182</v>
      </c>
      <c r="AA224" s="145">
        <f t="shared" si="214"/>
        <v>179.03563464908001</v>
      </c>
      <c r="AB224" s="145">
        <f t="shared" si="214"/>
        <v>194.52221704622545</v>
      </c>
      <c r="AC224" s="145">
        <f t="shared" si="214"/>
        <v>194.52221704622545</v>
      </c>
      <c r="AD224" s="145">
        <f t="shared" si="214"/>
        <v>194.52221704622545</v>
      </c>
      <c r="AE224" s="145">
        <f t="shared" si="214"/>
        <v>194.52221704622545</v>
      </c>
      <c r="AF224" s="145">
        <f t="shared" si="214"/>
        <v>194.52221704622545</v>
      </c>
      <c r="AG224" s="145">
        <f t="shared" si="214"/>
        <v>194.52221704622545</v>
      </c>
      <c r="AH224" s="145">
        <f t="shared" si="214"/>
        <v>194.52221704622545</v>
      </c>
      <c r="AI224" s="145">
        <f t="shared" si="214"/>
        <v>194.52221704622545</v>
      </c>
      <c r="AJ224" s="145">
        <f t="shared" ref="AJ224:BO224" si="215">MAX(AJ222-AJ223,0)</f>
        <v>194.52221704622545</v>
      </c>
      <c r="AK224" s="145">
        <f t="shared" si="215"/>
        <v>194.52221704622545</v>
      </c>
      <c r="AL224" s="145">
        <f t="shared" si="215"/>
        <v>194.52221704622545</v>
      </c>
      <c r="AM224" s="145">
        <f t="shared" si="215"/>
        <v>194.52221704622545</v>
      </c>
      <c r="AN224" s="145">
        <f t="shared" si="215"/>
        <v>211.34838882072398</v>
      </c>
      <c r="AO224" s="145">
        <f t="shared" si="215"/>
        <v>211.34838882072398</v>
      </c>
      <c r="AP224" s="145">
        <f t="shared" si="215"/>
        <v>211.34838882072398</v>
      </c>
      <c r="AQ224" s="145">
        <f t="shared" si="215"/>
        <v>211.34838882072398</v>
      </c>
      <c r="AR224" s="145">
        <f t="shared" si="215"/>
        <v>211.34838882072398</v>
      </c>
      <c r="AS224" s="145">
        <f t="shared" si="215"/>
        <v>211.34838882072398</v>
      </c>
      <c r="AT224" s="145">
        <f t="shared" si="215"/>
        <v>211.34838882072398</v>
      </c>
      <c r="AU224" s="145">
        <f t="shared" si="215"/>
        <v>211.34838882072398</v>
      </c>
      <c r="AV224" s="145">
        <f t="shared" si="215"/>
        <v>211.34838882072398</v>
      </c>
      <c r="AW224" s="145">
        <f t="shared" si="215"/>
        <v>211.34838882072398</v>
      </c>
      <c r="AX224" s="145">
        <f t="shared" si="215"/>
        <v>211.34838882072398</v>
      </c>
      <c r="AY224" s="145">
        <f t="shared" si="215"/>
        <v>211.34838882072398</v>
      </c>
      <c r="AZ224" s="145">
        <f t="shared" si="215"/>
        <v>229.63002445371663</v>
      </c>
      <c r="BA224" s="145">
        <f t="shared" si="215"/>
        <v>229.63002445371663</v>
      </c>
      <c r="BB224" s="145">
        <f t="shared" si="215"/>
        <v>229.63002445371663</v>
      </c>
      <c r="BC224" s="145">
        <f t="shared" si="215"/>
        <v>229.63002445371663</v>
      </c>
      <c r="BD224" s="145">
        <f t="shared" si="215"/>
        <v>229.63002445371663</v>
      </c>
      <c r="BE224" s="145">
        <f t="shared" si="215"/>
        <v>229.63002445371663</v>
      </c>
      <c r="BF224" s="145">
        <f t="shared" si="215"/>
        <v>229.63002445371663</v>
      </c>
      <c r="BG224" s="145">
        <f t="shared" si="215"/>
        <v>229.63002445371663</v>
      </c>
      <c r="BH224" s="145">
        <f t="shared" si="215"/>
        <v>229.63002445371663</v>
      </c>
      <c r="BI224" s="145">
        <f t="shared" si="215"/>
        <v>229.63002445371663</v>
      </c>
      <c r="BJ224" s="145">
        <f t="shared" si="215"/>
        <v>229.63002445371663</v>
      </c>
      <c r="BK224" s="145">
        <f t="shared" si="215"/>
        <v>229.63002445371663</v>
      </c>
    </row>
    <row r="225" spans="1:63" ht="15" customHeight="1" x14ac:dyDescent="0.2">
      <c r="A225" s="298" t="s">
        <v>440</v>
      </c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89"/>
      <c r="P225" s="289"/>
      <c r="Q225" s="289"/>
      <c r="R225" s="289"/>
      <c r="S225" s="289"/>
      <c r="T225" s="289"/>
      <c r="U225" s="289"/>
      <c r="V225" s="289"/>
      <c r="W225" s="289"/>
      <c r="X225" s="289"/>
      <c r="Y225" s="289"/>
      <c r="Z225" s="289"/>
      <c r="AA225" s="289"/>
    </row>
    <row r="226" spans="1:63" ht="12.75" customHeight="1" x14ac:dyDescent="0.2">
      <c r="A226" s="74" t="s">
        <v>403</v>
      </c>
      <c r="B226" s="148">
        <f>SUM(D226:BQ226)</f>
        <v>84741.603045312484</v>
      </c>
      <c r="C226" s="150">
        <f>B226/60</f>
        <v>1412.360050755208</v>
      </c>
      <c r="D226" s="148">
        <v>1131</v>
      </c>
      <c r="E226" s="148">
        <v>1337</v>
      </c>
      <c r="F226" s="148">
        <v>1063</v>
      </c>
      <c r="G226" s="148">
        <v>1101</v>
      </c>
      <c r="H226" s="148">
        <v>1129</v>
      </c>
      <c r="I226" s="148">
        <v>870</v>
      </c>
      <c r="J226" s="148">
        <v>1422</v>
      </c>
      <c r="K226" s="148">
        <f>1554*(1+Premissas!$B$21)</f>
        <v>1592.85</v>
      </c>
      <c r="L226" s="148">
        <f>1553*(1+Premissas!$B$21)</f>
        <v>1591.8249999999998</v>
      </c>
      <c r="M226" s="148">
        <f>1522*(1+Premissas!$B$21)</f>
        <v>1560.05</v>
      </c>
      <c r="N226" s="148">
        <f>1211*(1+Premissas!$B$21)</f>
        <v>1241.2749999999999</v>
      </c>
      <c r="O226" s="148">
        <f>1383*(1+Premissas!$B$21)</f>
        <v>1417.5749999999998</v>
      </c>
      <c r="P226" s="148">
        <f>1131*(1+Premissas!$B$21)</f>
        <v>1159.2749999999999</v>
      </c>
      <c r="Q226" s="148">
        <f>1337*(1+Premissas!$B$21)</f>
        <v>1370.425</v>
      </c>
      <c r="R226" s="148">
        <f>1063*(1+Premissas!$B$21)</f>
        <v>1089.5749999999998</v>
      </c>
      <c r="S226" s="148">
        <f>1101*(1+Premissas!$B$21)</f>
        <v>1128.5249999999999</v>
      </c>
      <c r="T226" s="148">
        <f>1129*(1+Premissas!$B$21)</f>
        <v>1157.2249999999999</v>
      </c>
      <c r="U226" s="148">
        <f>870*(1+Premissas!$B$21)</f>
        <v>891.74999999999989</v>
      </c>
      <c r="V226" s="148">
        <f>1422*(1+Premissas!$B$21)</f>
        <v>1457.55</v>
      </c>
      <c r="W226" s="148">
        <f>1554*(1+Premissas!$B$21)</f>
        <v>1592.85</v>
      </c>
      <c r="X226" s="148">
        <f>1553*(1+Premissas!$B$21)</f>
        <v>1591.8249999999998</v>
      </c>
      <c r="Y226" s="148">
        <f>1522*(1+Premissas!$B$21)</f>
        <v>1560.05</v>
      </c>
      <c r="Z226" s="148">
        <f>1211*(1+Premissas!$B$21)</f>
        <v>1241.2749999999999</v>
      </c>
      <c r="AA226" s="148">
        <f>1383*(1+Premissas!$B$21)</f>
        <v>1417.5749999999998</v>
      </c>
      <c r="AB226" s="148">
        <f>1383*(1+Premissas!$B$21)^2</f>
        <v>1453.014375</v>
      </c>
      <c r="AC226" s="148">
        <f>1383*(1+Premissas!$B$21)^2</f>
        <v>1453.014375</v>
      </c>
      <c r="AD226" s="148">
        <f>1383*(1+Premissas!$B$21)^2</f>
        <v>1453.014375</v>
      </c>
      <c r="AE226" s="148">
        <f>1383*(1+Premissas!$B$21)^2</f>
        <v>1453.014375</v>
      </c>
      <c r="AF226" s="148">
        <f>1383*(1+Premissas!$B$21)^2</f>
        <v>1453.014375</v>
      </c>
      <c r="AG226" s="148">
        <f>1383*(1+Premissas!$B$21)^2</f>
        <v>1453.014375</v>
      </c>
      <c r="AH226" s="148">
        <f>1383*(1+Premissas!$B$21)^2</f>
        <v>1453.014375</v>
      </c>
      <c r="AI226" s="148">
        <f>1383*(1+Premissas!$B$21)^2</f>
        <v>1453.014375</v>
      </c>
      <c r="AJ226" s="148">
        <f>1383*(1+Premissas!$B$21)^2</f>
        <v>1453.014375</v>
      </c>
      <c r="AK226" s="148">
        <f>1383*(1+Premissas!$B$21)^2</f>
        <v>1453.014375</v>
      </c>
      <c r="AL226" s="148">
        <f>1383*(1+Premissas!$B$21)^2</f>
        <v>1453.014375</v>
      </c>
      <c r="AM226" s="148">
        <f>1383*(1+Premissas!$B$21)^2</f>
        <v>1453.014375</v>
      </c>
      <c r="AN226" s="148">
        <f>1383*(1+Premissas!$B$21)^3</f>
        <v>1489.3397343749998</v>
      </c>
      <c r="AO226" s="148">
        <f>1383*(1+Premissas!$B$21)^3</f>
        <v>1489.3397343749998</v>
      </c>
      <c r="AP226" s="148">
        <f>1383*(1+Premissas!$B$21)^3</f>
        <v>1489.3397343749998</v>
      </c>
      <c r="AQ226" s="148">
        <f>1383*(1+Premissas!$B$21)^3</f>
        <v>1489.3397343749998</v>
      </c>
      <c r="AR226" s="148">
        <f>1383*(1+Premissas!$B$21)^3</f>
        <v>1489.3397343749998</v>
      </c>
      <c r="AS226" s="148">
        <f>1383*(1+Premissas!$B$21)^3</f>
        <v>1489.3397343749998</v>
      </c>
      <c r="AT226" s="148">
        <f>1383*(1+Premissas!$B$21)^3</f>
        <v>1489.3397343749998</v>
      </c>
      <c r="AU226" s="148">
        <f>1383*(1+Premissas!$B$21)^3</f>
        <v>1489.3397343749998</v>
      </c>
      <c r="AV226" s="148">
        <f>1383*(1+Premissas!$B$21)^3</f>
        <v>1489.3397343749998</v>
      </c>
      <c r="AW226" s="148">
        <f>1383*(1+Premissas!$B$21)^3</f>
        <v>1489.3397343749998</v>
      </c>
      <c r="AX226" s="148">
        <f>1383*(1+Premissas!$B$21)^3</f>
        <v>1489.3397343749998</v>
      </c>
      <c r="AY226" s="148">
        <f>1383*(1+Premissas!$B$21)^3</f>
        <v>1489.3397343749998</v>
      </c>
      <c r="AZ226" s="148">
        <f>1383*(1+Premissas!$B$21)^4</f>
        <v>1526.5732277343748</v>
      </c>
      <c r="BA226" s="148">
        <f>1383*(1+Premissas!$B$21)^4</f>
        <v>1526.5732277343748</v>
      </c>
      <c r="BB226" s="148">
        <f>1383*(1+Premissas!$B$21)^4</f>
        <v>1526.5732277343748</v>
      </c>
      <c r="BC226" s="148">
        <f>1383*(1+Premissas!$B$21)^4</f>
        <v>1526.5732277343748</v>
      </c>
      <c r="BD226" s="148">
        <f>1383*(1+Premissas!$B$21)^4</f>
        <v>1526.5732277343748</v>
      </c>
      <c r="BE226" s="148">
        <f>1383*(1+Premissas!$B$21)^4</f>
        <v>1526.5732277343748</v>
      </c>
      <c r="BF226" s="148">
        <f>1383*(1+Premissas!$B$21)^4</f>
        <v>1526.5732277343748</v>
      </c>
      <c r="BG226" s="148">
        <f>1383*(1+Premissas!$B$21)^4</f>
        <v>1526.5732277343748</v>
      </c>
      <c r="BH226" s="148">
        <f>1383*(1+Premissas!$B$21)^4</f>
        <v>1526.5732277343748</v>
      </c>
      <c r="BI226" s="148">
        <f>1383*(1+Premissas!$B$21)^4</f>
        <v>1526.5732277343748</v>
      </c>
      <c r="BJ226" s="148">
        <f>1383*(1+Premissas!$B$21)^4</f>
        <v>1526.5732277343748</v>
      </c>
      <c r="BK226" s="148">
        <f>1383*(1+Premissas!$B$21)^4</f>
        <v>1526.5732277343748</v>
      </c>
    </row>
    <row r="227" spans="1:63" ht="12.75" customHeight="1" x14ac:dyDescent="0.2">
      <c r="A227" s="122" t="str">
        <f>"  "&amp;INDEX(PVSYST_Helexia!$A$5:$A$7,MATCH(Premissas!$B$13,PVSYST_Helexia!$B$5:$B$7,0))&amp;" créditos recebidos (kWh)"</f>
        <v xml:space="preserve">  HCS03 créditos recebidos (kWh)</v>
      </c>
      <c r="B227" s="108">
        <f>SUM(D227:BQ227)</f>
        <v>85151.644266585194</v>
      </c>
      <c r="C227" s="150">
        <f>B227/60</f>
        <v>1419.1940711097532</v>
      </c>
      <c r="D227" s="159">
        <f>D6*Premissas!$B$49</f>
        <v>1053.915</v>
      </c>
      <c r="E227" s="159">
        <f>E6*Premissas!$B$49</f>
        <v>1109.335</v>
      </c>
      <c r="F227" s="159">
        <f>F6*Premissas!$B$49</f>
        <v>1331.6950000000002</v>
      </c>
      <c r="G227" s="159">
        <f>G6*Premissas!$B$49</f>
        <v>1249.585</v>
      </c>
      <c r="H227" s="159">
        <f>H6*Premissas!$C$49</f>
        <v>2311.5239999999999</v>
      </c>
      <c r="I227" s="159">
        <f>I6*Premissas!$C$49</f>
        <v>2235.0239999999999</v>
      </c>
      <c r="J227" s="159">
        <f>J6*Premissas!$C$49</f>
        <v>2122.2629999999999</v>
      </c>
      <c r="K227" s="159">
        <f>K6*Premissas!$C$49</f>
        <v>2179.0917899999999</v>
      </c>
      <c r="L227" s="159">
        <f>L6*Premissas!$C$49</f>
        <v>1941.757425</v>
      </c>
      <c r="M227" s="159">
        <f>M6*Premissas!$C$49</f>
        <v>2227.19805</v>
      </c>
      <c r="N227" s="159">
        <f>N6*Premissas!$D$49</f>
        <v>1510.60104</v>
      </c>
      <c r="O227" s="159">
        <f>O6*Premissas!$D$49</f>
        <v>1413.7437599999998</v>
      </c>
      <c r="P227" s="159">
        <f>P6*Premissas!$D$49</f>
        <v>1283.0485200000001</v>
      </c>
      <c r="Q227" s="159">
        <f>Q6*Premissas!$D$49</f>
        <v>1350.5174799999998</v>
      </c>
      <c r="R227" s="159">
        <f>R6*Premissas!$D$49</f>
        <v>1621.2211599999998</v>
      </c>
      <c r="S227" s="159">
        <f>S6*Premissas!$D$49</f>
        <v>1521.2594799999999</v>
      </c>
      <c r="T227" s="159">
        <f>T6*Premissas!$E$49</f>
        <v>1999.31718</v>
      </c>
      <c r="U227" s="159">
        <f>U6*Premissas!$E$49</f>
        <v>1933.14968</v>
      </c>
      <c r="V227" s="159">
        <f>V6*Premissas!$E$49</f>
        <v>1835.6187850000001</v>
      </c>
      <c r="W227" s="159">
        <f>W6*Premissas!$E$49</f>
        <v>1894.2431899999997</v>
      </c>
      <c r="X227" s="159">
        <f>X6*Premissas!$E$49</f>
        <v>1687.9329249999998</v>
      </c>
      <c r="Y227" s="159">
        <f>Y6*Premissas!$E$49</f>
        <v>1936.0610499999998</v>
      </c>
      <c r="Z227" s="159">
        <f>Z6*Premissas!$E$49</f>
        <v>1931.8263299999999</v>
      </c>
      <c r="AA227" s="159">
        <f>AA6*Premissas!$E$49</f>
        <v>1807.9607699999999</v>
      </c>
      <c r="AB227" s="159">
        <f>AB6*Premissas!$F$49</f>
        <v>896.09835817500004</v>
      </c>
      <c r="AC227" s="159">
        <f>AC6*Premissas!$F$49</f>
        <v>943.21958807499993</v>
      </c>
      <c r="AD227" s="159">
        <f>AD6*Premissas!$F$49</f>
        <v>1132.2826822750001</v>
      </c>
      <c r="AE227" s="159">
        <f>AE6*Premissas!$F$49</f>
        <v>1062.4680993249999</v>
      </c>
      <c r="AF227" s="159">
        <f>AF6*Premissas!$F$49</f>
        <v>1091.8827321000001</v>
      </c>
      <c r="AG227" s="159">
        <f>AG6*Premissas!$F$49</f>
        <v>1055.7468196000002</v>
      </c>
      <c r="AH227" s="159">
        <f>AH6*Premissas!$G$49</f>
        <v>1098.610942</v>
      </c>
      <c r="AI227" s="159">
        <f>AI6*Premissas!$G$49</f>
        <v>1133.6974280000002</v>
      </c>
      <c r="AJ227" s="159">
        <f>AJ6*Premissas!$G$49</f>
        <v>1010.2215100000001</v>
      </c>
      <c r="AK227" s="159">
        <f>AK6*Premissas!$G$49</f>
        <v>1158.7252599999999</v>
      </c>
      <c r="AL227" s="159">
        <f>AL6*Premissas!$G$49</f>
        <v>1156.1907960000001</v>
      </c>
      <c r="AM227" s="159">
        <f>AM6*Premissas!$G$49</f>
        <v>1082.0577240000002</v>
      </c>
      <c r="AN227" s="159">
        <f>AN6*Premissas!$H$49</f>
        <v>916.04575313437499</v>
      </c>
      <c r="AO227" s="159">
        <f>AO6*Premissas!$H$49</f>
        <v>964.21591452187488</v>
      </c>
      <c r="AP227" s="159">
        <f>AP6*Premissas!$H$49</f>
        <v>1157.487604996875</v>
      </c>
      <c r="AQ227" s="159">
        <f>AQ6*Premissas!$H$49</f>
        <v>1086.1189303031251</v>
      </c>
      <c r="AR227" s="159">
        <f>AR6*Premissas!$H$49</f>
        <v>1116.1883408624999</v>
      </c>
      <c r="AS227" s="159">
        <f>AS6*Premissas!$H$49</f>
        <v>1079.24803305</v>
      </c>
      <c r="AT227" s="159">
        <f>AT6*Premissas!$I$49</f>
        <v>1106.7818608811249</v>
      </c>
      <c r="AU227" s="159">
        <f>AU6*Premissas!$I$49</f>
        <v>1142.12930262075</v>
      </c>
      <c r="AV227" s="159">
        <f>AV6*Premissas!$I$49</f>
        <v>1017.735032480625</v>
      </c>
      <c r="AW227" s="159">
        <f>AW6*Premissas!$I$49</f>
        <v>1167.3432791212501</v>
      </c>
      <c r="AX227" s="159">
        <f>AX6*Premissas!$I$49</f>
        <v>1164.78996504525</v>
      </c>
      <c r="AY227" s="159">
        <f>AY6*Premissas!$I$49</f>
        <v>1090.1055283222499</v>
      </c>
      <c r="AZ227" s="159">
        <f>AZ6*Premissas!$J$49</f>
        <v>1227.4402394831868</v>
      </c>
      <c r="BA227" s="159">
        <f>BA6*Premissas!$J$49</f>
        <v>1291.9850443983441</v>
      </c>
      <c r="BB227" s="159">
        <f>BB6*Premissas!$J$49</f>
        <v>1550.9562248554794</v>
      </c>
      <c r="BC227" s="159">
        <f>BC6*Premissas!$J$49</f>
        <v>1455.3269586775007</v>
      </c>
      <c r="BD227" s="159">
        <f>BD6*Premissas!$J$49</f>
        <v>1495.6179641996926</v>
      </c>
      <c r="BE227" s="159">
        <f>BE6*Premissas!$J$49</f>
        <v>1446.1204144181302</v>
      </c>
      <c r="BF227" s="159">
        <f>BF6*Premissas!$K$49</f>
        <v>1549.9045244413091</v>
      </c>
      <c r="BG227" s="159">
        <f>BG6*Premissas!$K$49</f>
        <v>1599.4040345218725</v>
      </c>
      <c r="BH227" s="159">
        <f>BH6*Premissas!$K$49</f>
        <v>1425.2059843737939</v>
      </c>
      <c r="BI227" s="159">
        <f>BI6*Premissas!$K$49</f>
        <v>1634.7129401323878</v>
      </c>
      <c r="BJ227" s="159">
        <f>BJ6*Premissas!$K$49</f>
        <v>1631.1373547541077</v>
      </c>
      <c r="BK227" s="159">
        <f>BK6*Premissas!$K$49</f>
        <v>1526.5514824394177</v>
      </c>
    </row>
    <row r="228" spans="1:63" ht="12.75" customHeight="1" x14ac:dyDescent="0.2">
      <c r="A228" s="126" t="s">
        <v>434</v>
      </c>
      <c r="B228" s="150">
        <f>AA228</f>
        <v>10287.778845000001</v>
      </c>
      <c r="C228" s="150" t="s">
        <v>397</v>
      </c>
      <c r="D228" s="150">
        <f>0</f>
        <v>0</v>
      </c>
      <c r="E228" s="150">
        <f t="shared" ref="E228:AJ228" si="216">D230</f>
        <v>0</v>
      </c>
      <c r="F228" s="150">
        <f t="shared" si="216"/>
        <v>0</v>
      </c>
      <c r="G228" s="150">
        <f t="shared" si="216"/>
        <v>268.69500000000016</v>
      </c>
      <c r="H228" s="150">
        <f t="shared" si="216"/>
        <v>417.2800000000002</v>
      </c>
      <c r="I228" s="150">
        <f t="shared" si="216"/>
        <v>1599.8040000000001</v>
      </c>
      <c r="J228" s="150">
        <f t="shared" si="216"/>
        <v>2964.828</v>
      </c>
      <c r="K228" s="150">
        <f t="shared" si="216"/>
        <v>3665.0909999999999</v>
      </c>
      <c r="L228" s="150">
        <f t="shared" si="216"/>
        <v>4251.3327900000004</v>
      </c>
      <c r="M228" s="150">
        <f t="shared" si="216"/>
        <v>4601.2652150000004</v>
      </c>
      <c r="N228" s="150">
        <f t="shared" si="216"/>
        <v>5268.4132650000001</v>
      </c>
      <c r="O228" s="150">
        <f t="shared" si="216"/>
        <v>5537.7393050000001</v>
      </c>
      <c r="P228" s="150">
        <f t="shared" si="216"/>
        <v>5533.9080649999996</v>
      </c>
      <c r="Q228" s="150">
        <f t="shared" si="216"/>
        <v>5657.6815850000003</v>
      </c>
      <c r="R228" s="150">
        <f t="shared" si="216"/>
        <v>5637.7740649999996</v>
      </c>
      <c r="S228" s="150">
        <f t="shared" si="216"/>
        <v>6169.4202249999998</v>
      </c>
      <c r="T228" s="150">
        <f t="shared" si="216"/>
        <v>6562.1547049999999</v>
      </c>
      <c r="U228" s="150">
        <f t="shared" si="216"/>
        <v>7404.2468850000005</v>
      </c>
      <c r="V228" s="150">
        <f t="shared" si="216"/>
        <v>8445.6465650000009</v>
      </c>
      <c r="W228" s="150">
        <f t="shared" si="216"/>
        <v>8823.7153500000004</v>
      </c>
      <c r="X228" s="150">
        <f t="shared" si="216"/>
        <v>9125.1085400000011</v>
      </c>
      <c r="Y228" s="150">
        <f t="shared" si="216"/>
        <v>9221.2164650000013</v>
      </c>
      <c r="Z228" s="150">
        <f t="shared" si="216"/>
        <v>9597.2275150000005</v>
      </c>
      <c r="AA228" s="150">
        <f t="shared" si="216"/>
        <v>10287.778845000001</v>
      </c>
      <c r="AB228" s="150">
        <f t="shared" si="216"/>
        <v>10678.164615000002</v>
      </c>
      <c r="AC228" s="150">
        <f t="shared" si="216"/>
        <v>10121.248598175001</v>
      </c>
      <c r="AD228" s="150">
        <f t="shared" si="216"/>
        <v>9611.4538112500013</v>
      </c>
      <c r="AE228" s="150">
        <f t="shared" si="216"/>
        <v>9290.7221185250019</v>
      </c>
      <c r="AF228" s="150">
        <f t="shared" si="216"/>
        <v>8900.1758428500016</v>
      </c>
      <c r="AG228" s="150">
        <f t="shared" si="216"/>
        <v>8539.0441999500017</v>
      </c>
      <c r="AH228" s="150">
        <f t="shared" si="216"/>
        <v>8141.7766445500019</v>
      </c>
      <c r="AI228" s="150">
        <f t="shared" si="216"/>
        <v>7787.3732115500025</v>
      </c>
      <c r="AJ228" s="150">
        <f t="shared" si="216"/>
        <v>7468.0562645500031</v>
      </c>
      <c r="AK228" s="150">
        <f t="shared" ref="AK228:BK228" si="217">AJ230</f>
        <v>7025.2633995500037</v>
      </c>
      <c r="AL228" s="150">
        <f t="shared" si="217"/>
        <v>6730.9742845500041</v>
      </c>
      <c r="AM228" s="150">
        <f t="shared" si="217"/>
        <v>6434.1507055500042</v>
      </c>
      <c r="AN228" s="150">
        <f t="shared" si="217"/>
        <v>6063.1940545500047</v>
      </c>
      <c r="AO228" s="150">
        <f t="shared" si="217"/>
        <v>5489.9000733093799</v>
      </c>
      <c r="AP228" s="150">
        <f t="shared" si="217"/>
        <v>4964.7762534562553</v>
      </c>
      <c r="AQ228" s="150">
        <f t="shared" si="217"/>
        <v>4632.9241240781303</v>
      </c>
      <c r="AR228" s="150">
        <f t="shared" si="217"/>
        <v>4229.703320006256</v>
      </c>
      <c r="AS228" s="150">
        <f t="shared" si="217"/>
        <v>3856.5519264937561</v>
      </c>
      <c r="AT228" s="150">
        <f t="shared" si="217"/>
        <v>3446.4602251687566</v>
      </c>
      <c r="AU228" s="150">
        <f t="shared" si="217"/>
        <v>3063.9023516748816</v>
      </c>
      <c r="AV228" s="150">
        <f t="shared" si="217"/>
        <v>2716.6919199206318</v>
      </c>
      <c r="AW228" s="150">
        <f t="shared" si="217"/>
        <v>2245.0872180262568</v>
      </c>
      <c r="AX228" s="150">
        <f t="shared" si="217"/>
        <v>1923.0907627725071</v>
      </c>
      <c r="AY228" s="150">
        <f t="shared" si="217"/>
        <v>1598.5409934427573</v>
      </c>
      <c r="AZ228" s="150">
        <f t="shared" si="217"/>
        <v>1199.3067873900075</v>
      </c>
      <c r="BA228" s="150">
        <f t="shared" si="217"/>
        <v>900.1737991388195</v>
      </c>
      <c r="BB228" s="150">
        <f t="shared" si="217"/>
        <v>665.58561580278888</v>
      </c>
      <c r="BC228" s="150">
        <f t="shared" si="217"/>
        <v>689.96861292389349</v>
      </c>
      <c r="BD228" s="150">
        <f t="shared" si="217"/>
        <v>618.72234386701939</v>
      </c>
      <c r="BE228" s="150">
        <f t="shared" si="217"/>
        <v>587.76708033233717</v>
      </c>
      <c r="BF228" s="150">
        <f t="shared" si="217"/>
        <v>507.31426701609257</v>
      </c>
      <c r="BG228" s="150">
        <f t="shared" si="217"/>
        <v>530.64556372302695</v>
      </c>
      <c r="BH228" s="150">
        <f t="shared" si="217"/>
        <v>603.4763705105247</v>
      </c>
      <c r="BI228" s="150">
        <f t="shared" si="217"/>
        <v>502.10912714994379</v>
      </c>
      <c r="BJ228" s="150">
        <f t="shared" si="217"/>
        <v>610.24883954795678</v>
      </c>
      <c r="BK228" s="150">
        <f t="shared" si="217"/>
        <v>714.81296656768973</v>
      </c>
    </row>
    <row r="229" spans="1:63" ht="12.75" customHeight="1" x14ac:dyDescent="0.2">
      <c r="A229" s="126" t="s">
        <v>435</v>
      </c>
      <c r="B229" s="150">
        <f>SUM(D229:BQ229)</f>
        <v>10320.361093760552</v>
      </c>
      <c r="C229" s="150">
        <f>B229/60</f>
        <v>172.00601822934252</v>
      </c>
      <c r="D229" s="120">
        <f t="shared" ref="D229:AI229" si="218">MIN(D228,MAX(D226-D227,0))</f>
        <v>0</v>
      </c>
      <c r="E229" s="120">
        <f t="shared" si="218"/>
        <v>0</v>
      </c>
      <c r="F229" s="120">
        <f t="shared" si="218"/>
        <v>0</v>
      </c>
      <c r="G229" s="120">
        <f t="shared" si="218"/>
        <v>0</v>
      </c>
      <c r="H229" s="120">
        <f t="shared" si="218"/>
        <v>0</v>
      </c>
      <c r="I229" s="120">
        <f t="shared" si="218"/>
        <v>0</v>
      </c>
      <c r="J229" s="120">
        <f t="shared" si="218"/>
        <v>0</v>
      </c>
      <c r="K229" s="120">
        <f t="shared" si="218"/>
        <v>0</v>
      </c>
      <c r="L229" s="120">
        <f t="shared" si="218"/>
        <v>0</v>
      </c>
      <c r="M229" s="120">
        <f t="shared" si="218"/>
        <v>0</v>
      </c>
      <c r="N229" s="120">
        <f t="shared" si="218"/>
        <v>0</v>
      </c>
      <c r="O229" s="120">
        <f t="shared" si="218"/>
        <v>3.8312399999999798</v>
      </c>
      <c r="P229" s="120">
        <f t="shared" si="218"/>
        <v>0</v>
      </c>
      <c r="Q229" s="120">
        <f t="shared" si="218"/>
        <v>19.907520000000204</v>
      </c>
      <c r="R229" s="120">
        <f t="shared" si="218"/>
        <v>0</v>
      </c>
      <c r="S229" s="120">
        <f t="shared" si="218"/>
        <v>0</v>
      </c>
      <c r="T229" s="120">
        <f t="shared" si="218"/>
        <v>0</v>
      </c>
      <c r="U229" s="120">
        <f t="shared" si="218"/>
        <v>0</v>
      </c>
      <c r="V229" s="120">
        <f t="shared" si="218"/>
        <v>0</v>
      </c>
      <c r="W229" s="120">
        <f t="shared" si="218"/>
        <v>0</v>
      </c>
      <c r="X229" s="120">
        <f t="shared" si="218"/>
        <v>0</v>
      </c>
      <c r="Y229" s="120">
        <f t="shared" si="218"/>
        <v>0</v>
      </c>
      <c r="Z229" s="120">
        <f t="shared" si="218"/>
        <v>0</v>
      </c>
      <c r="AA229" s="120">
        <f t="shared" si="218"/>
        <v>0</v>
      </c>
      <c r="AB229" s="120">
        <f t="shared" si="218"/>
        <v>556.91601682499993</v>
      </c>
      <c r="AC229" s="120">
        <f t="shared" si="218"/>
        <v>509.79478692500004</v>
      </c>
      <c r="AD229" s="120">
        <f t="shared" si="218"/>
        <v>320.7316927249999</v>
      </c>
      <c r="AE229" s="120">
        <f t="shared" si="218"/>
        <v>390.54627567500006</v>
      </c>
      <c r="AF229" s="120">
        <f t="shared" si="218"/>
        <v>361.13164289999986</v>
      </c>
      <c r="AG229" s="120">
        <f t="shared" si="218"/>
        <v>397.26755539999976</v>
      </c>
      <c r="AH229" s="120">
        <f t="shared" si="218"/>
        <v>354.40343299999995</v>
      </c>
      <c r="AI229" s="120">
        <f t="shared" si="218"/>
        <v>319.3169469999998</v>
      </c>
      <c r="AJ229" s="120">
        <f t="shared" ref="AJ229:BO229" si="219">MIN(AJ228,MAX(AJ226-AJ227,0))</f>
        <v>442.79286499999989</v>
      </c>
      <c r="AK229" s="120">
        <f t="shared" si="219"/>
        <v>294.28911500000004</v>
      </c>
      <c r="AL229" s="120">
        <f t="shared" si="219"/>
        <v>296.82357899999988</v>
      </c>
      <c r="AM229" s="120">
        <f t="shared" si="219"/>
        <v>370.95665099999974</v>
      </c>
      <c r="AN229" s="120">
        <f t="shared" si="219"/>
        <v>573.29398124062482</v>
      </c>
      <c r="AO229" s="120">
        <f t="shared" si="219"/>
        <v>525.12381985312493</v>
      </c>
      <c r="AP229" s="120">
        <f t="shared" si="219"/>
        <v>331.8521293781248</v>
      </c>
      <c r="AQ229" s="120">
        <f t="shared" si="219"/>
        <v>403.22080407187468</v>
      </c>
      <c r="AR229" s="120">
        <f t="shared" si="219"/>
        <v>373.15139351249991</v>
      </c>
      <c r="AS229" s="120">
        <f t="shared" si="219"/>
        <v>410.0917013249998</v>
      </c>
      <c r="AT229" s="120">
        <f t="shared" si="219"/>
        <v>382.55787349387492</v>
      </c>
      <c r="AU229" s="120">
        <f t="shared" si="219"/>
        <v>347.21043175424984</v>
      </c>
      <c r="AV229" s="120">
        <f t="shared" si="219"/>
        <v>471.60470189437478</v>
      </c>
      <c r="AW229" s="120">
        <f t="shared" si="219"/>
        <v>321.99645525374967</v>
      </c>
      <c r="AX229" s="120">
        <f t="shared" si="219"/>
        <v>324.54976932974978</v>
      </c>
      <c r="AY229" s="120">
        <f t="shared" si="219"/>
        <v>399.23420605274987</v>
      </c>
      <c r="AZ229" s="120">
        <f t="shared" si="219"/>
        <v>299.13298825118795</v>
      </c>
      <c r="BA229" s="120">
        <f t="shared" si="219"/>
        <v>234.58818333603062</v>
      </c>
      <c r="BB229" s="120">
        <f t="shared" si="219"/>
        <v>0</v>
      </c>
      <c r="BC229" s="120">
        <f t="shared" si="219"/>
        <v>71.246269056874098</v>
      </c>
      <c r="BD229" s="120">
        <f t="shared" si="219"/>
        <v>30.955263534682217</v>
      </c>
      <c r="BE229" s="120">
        <f t="shared" si="219"/>
        <v>80.452813316244601</v>
      </c>
      <c r="BF229" s="120">
        <f t="shared" si="219"/>
        <v>0</v>
      </c>
      <c r="BG229" s="120">
        <f t="shared" si="219"/>
        <v>0</v>
      </c>
      <c r="BH229" s="120">
        <f t="shared" si="219"/>
        <v>101.36724336058091</v>
      </c>
      <c r="BI229" s="120">
        <f t="shared" si="219"/>
        <v>0</v>
      </c>
      <c r="BJ229" s="120">
        <f t="shared" si="219"/>
        <v>0</v>
      </c>
      <c r="BK229" s="120">
        <f t="shared" si="219"/>
        <v>2.1745294957099759E-2</v>
      </c>
    </row>
    <row r="230" spans="1:63" ht="12.75" customHeight="1" x14ac:dyDescent="0.2">
      <c r="A230" s="154" t="s">
        <v>436</v>
      </c>
      <c r="B230" s="137">
        <f>AA230</f>
        <v>10678.164615000002</v>
      </c>
      <c r="C230" s="150" t="s">
        <v>397</v>
      </c>
      <c r="D230" s="137">
        <f t="shared" ref="D230:AI230" si="220">MAX(D228-D229,0)+MAX(D227-D226,0)</f>
        <v>0</v>
      </c>
      <c r="E230" s="137">
        <f t="shared" si="220"/>
        <v>0</v>
      </c>
      <c r="F230" s="137">
        <f t="shared" si="220"/>
        <v>268.69500000000016</v>
      </c>
      <c r="G230" s="137">
        <f t="shared" si="220"/>
        <v>417.2800000000002</v>
      </c>
      <c r="H230" s="137">
        <f t="shared" si="220"/>
        <v>1599.8040000000001</v>
      </c>
      <c r="I230" s="137">
        <f t="shared" si="220"/>
        <v>2964.828</v>
      </c>
      <c r="J230" s="137">
        <f t="shared" si="220"/>
        <v>3665.0909999999999</v>
      </c>
      <c r="K230" s="137">
        <f t="shared" si="220"/>
        <v>4251.3327900000004</v>
      </c>
      <c r="L230" s="137">
        <f t="shared" si="220"/>
        <v>4601.2652150000004</v>
      </c>
      <c r="M230" s="137">
        <f t="shared" si="220"/>
        <v>5268.4132650000001</v>
      </c>
      <c r="N230" s="137">
        <f t="shared" si="220"/>
        <v>5537.7393050000001</v>
      </c>
      <c r="O230" s="137">
        <f t="shared" si="220"/>
        <v>5533.9080649999996</v>
      </c>
      <c r="P230" s="137">
        <f t="shared" si="220"/>
        <v>5657.6815850000003</v>
      </c>
      <c r="Q230" s="137">
        <f t="shared" si="220"/>
        <v>5637.7740649999996</v>
      </c>
      <c r="R230" s="137">
        <f t="shared" si="220"/>
        <v>6169.4202249999998</v>
      </c>
      <c r="S230" s="137">
        <f t="shared" si="220"/>
        <v>6562.1547049999999</v>
      </c>
      <c r="T230" s="137">
        <f t="shared" si="220"/>
        <v>7404.2468850000005</v>
      </c>
      <c r="U230" s="137">
        <f t="shared" si="220"/>
        <v>8445.6465650000009</v>
      </c>
      <c r="V230" s="137">
        <f t="shared" si="220"/>
        <v>8823.7153500000004</v>
      </c>
      <c r="W230" s="137">
        <f t="shared" si="220"/>
        <v>9125.1085400000011</v>
      </c>
      <c r="X230" s="137">
        <f t="shared" si="220"/>
        <v>9221.2164650000013</v>
      </c>
      <c r="Y230" s="137">
        <f t="shared" si="220"/>
        <v>9597.2275150000005</v>
      </c>
      <c r="Z230" s="137">
        <f t="shared" si="220"/>
        <v>10287.778845000001</v>
      </c>
      <c r="AA230" s="137">
        <f t="shared" si="220"/>
        <v>10678.164615000002</v>
      </c>
      <c r="AB230" s="137">
        <f t="shared" si="220"/>
        <v>10121.248598175001</v>
      </c>
      <c r="AC230" s="137">
        <f t="shared" si="220"/>
        <v>9611.4538112500013</v>
      </c>
      <c r="AD230" s="137">
        <f t="shared" si="220"/>
        <v>9290.7221185250019</v>
      </c>
      <c r="AE230" s="137">
        <f t="shared" si="220"/>
        <v>8900.1758428500016</v>
      </c>
      <c r="AF230" s="137">
        <f t="shared" si="220"/>
        <v>8539.0441999500017</v>
      </c>
      <c r="AG230" s="137">
        <f t="shared" si="220"/>
        <v>8141.7766445500019</v>
      </c>
      <c r="AH230" s="137">
        <f t="shared" si="220"/>
        <v>7787.3732115500025</v>
      </c>
      <c r="AI230" s="137">
        <f t="shared" si="220"/>
        <v>7468.0562645500031</v>
      </c>
      <c r="AJ230" s="137">
        <f t="shared" ref="AJ230:BO230" si="221">MAX(AJ228-AJ229,0)+MAX(AJ227-AJ226,0)</f>
        <v>7025.2633995500037</v>
      </c>
      <c r="AK230" s="137">
        <f t="shared" si="221"/>
        <v>6730.9742845500041</v>
      </c>
      <c r="AL230" s="137">
        <f t="shared" si="221"/>
        <v>6434.1507055500042</v>
      </c>
      <c r="AM230" s="137">
        <f t="shared" si="221"/>
        <v>6063.1940545500047</v>
      </c>
      <c r="AN230" s="137">
        <f t="shared" si="221"/>
        <v>5489.9000733093799</v>
      </c>
      <c r="AO230" s="137">
        <f t="shared" si="221"/>
        <v>4964.7762534562553</v>
      </c>
      <c r="AP230" s="137">
        <f t="shared" si="221"/>
        <v>4632.9241240781303</v>
      </c>
      <c r="AQ230" s="137">
        <f t="shared" si="221"/>
        <v>4229.703320006256</v>
      </c>
      <c r="AR230" s="137">
        <f t="shared" si="221"/>
        <v>3856.5519264937561</v>
      </c>
      <c r="AS230" s="137">
        <f t="shared" si="221"/>
        <v>3446.4602251687566</v>
      </c>
      <c r="AT230" s="137">
        <f t="shared" si="221"/>
        <v>3063.9023516748816</v>
      </c>
      <c r="AU230" s="137">
        <f t="shared" si="221"/>
        <v>2716.6919199206318</v>
      </c>
      <c r="AV230" s="137">
        <f t="shared" si="221"/>
        <v>2245.0872180262568</v>
      </c>
      <c r="AW230" s="137">
        <f t="shared" si="221"/>
        <v>1923.0907627725071</v>
      </c>
      <c r="AX230" s="137">
        <f t="shared" si="221"/>
        <v>1598.5409934427573</v>
      </c>
      <c r="AY230" s="137">
        <f t="shared" si="221"/>
        <v>1199.3067873900075</v>
      </c>
      <c r="AZ230" s="137">
        <f t="shared" si="221"/>
        <v>900.1737991388195</v>
      </c>
      <c r="BA230" s="137">
        <f t="shared" si="221"/>
        <v>665.58561580278888</v>
      </c>
      <c r="BB230" s="137">
        <f t="shared" si="221"/>
        <v>689.96861292389349</v>
      </c>
      <c r="BC230" s="137">
        <f t="shared" si="221"/>
        <v>618.72234386701939</v>
      </c>
      <c r="BD230" s="137">
        <f t="shared" si="221"/>
        <v>587.76708033233717</v>
      </c>
      <c r="BE230" s="137">
        <f t="shared" si="221"/>
        <v>507.31426701609257</v>
      </c>
      <c r="BF230" s="137">
        <f t="shared" si="221"/>
        <v>530.64556372302695</v>
      </c>
      <c r="BG230" s="137">
        <f t="shared" si="221"/>
        <v>603.4763705105247</v>
      </c>
      <c r="BH230" s="137">
        <f t="shared" si="221"/>
        <v>502.10912714994379</v>
      </c>
      <c r="BI230" s="137">
        <f t="shared" si="221"/>
        <v>610.24883954795678</v>
      </c>
      <c r="BJ230" s="137">
        <f t="shared" si="221"/>
        <v>714.81296656768973</v>
      </c>
      <c r="BK230" s="137">
        <f t="shared" si="221"/>
        <v>714.79122127273263</v>
      </c>
    </row>
    <row r="231" spans="1:63" ht="12.75" customHeight="1" x14ac:dyDescent="0.2">
      <c r="A231" s="126" t="s">
        <v>437</v>
      </c>
      <c r="B231" s="150">
        <f>AA231</f>
        <v>0</v>
      </c>
      <c r="C231" s="150" t="s">
        <v>397</v>
      </c>
      <c r="D231" s="120">
        <f>0</f>
        <v>0</v>
      </c>
      <c r="E231" s="120">
        <f>0</f>
        <v>0</v>
      </c>
      <c r="F231" s="120">
        <f>0</f>
        <v>0</v>
      </c>
      <c r="G231" s="120">
        <f>0</f>
        <v>0</v>
      </c>
      <c r="H231" s="120">
        <f>0</f>
        <v>0</v>
      </c>
      <c r="I231" s="120">
        <f>0</f>
        <v>0</v>
      </c>
      <c r="J231" s="120">
        <f>0</f>
        <v>0</v>
      </c>
      <c r="K231" s="120">
        <f>0</f>
        <v>0</v>
      </c>
      <c r="L231" s="120">
        <f>0</f>
        <v>0</v>
      </c>
      <c r="M231" s="120">
        <f>0</f>
        <v>0</v>
      </c>
      <c r="N231" s="120">
        <f>0</f>
        <v>0</v>
      </c>
      <c r="O231" s="120">
        <f>0</f>
        <v>0</v>
      </c>
      <c r="P231" s="120">
        <f>0</f>
        <v>0</v>
      </c>
      <c r="Q231" s="120">
        <f>0</f>
        <v>0</v>
      </c>
      <c r="R231" s="120">
        <f>0</f>
        <v>0</v>
      </c>
      <c r="S231" s="120">
        <f>0</f>
        <v>0</v>
      </c>
      <c r="T231" s="120">
        <f>0</f>
        <v>0</v>
      </c>
      <c r="U231" s="120">
        <f>0</f>
        <v>0</v>
      </c>
      <c r="V231" s="120">
        <f>0</f>
        <v>0</v>
      </c>
      <c r="W231" s="120">
        <f>0</f>
        <v>0</v>
      </c>
      <c r="X231" s="120">
        <f>0</f>
        <v>0</v>
      </c>
      <c r="Y231" s="120">
        <f>0</f>
        <v>0</v>
      </c>
      <c r="Z231" s="120">
        <f>0</f>
        <v>0</v>
      </c>
      <c r="AA231" s="120">
        <f>0</f>
        <v>0</v>
      </c>
      <c r="AB231" s="120">
        <f>0</f>
        <v>0</v>
      </c>
      <c r="AC231" s="120">
        <f>0</f>
        <v>0</v>
      </c>
      <c r="AD231" s="120">
        <f>0</f>
        <v>0</v>
      </c>
      <c r="AE231" s="120">
        <f>0</f>
        <v>0</v>
      </c>
      <c r="AF231" s="120">
        <f>0</f>
        <v>0</v>
      </c>
      <c r="AG231" s="120">
        <f>0</f>
        <v>0</v>
      </c>
      <c r="AH231" s="120">
        <f>0</f>
        <v>0</v>
      </c>
      <c r="AI231" s="120">
        <f>0</f>
        <v>0</v>
      </c>
      <c r="AJ231" s="120">
        <f>0</f>
        <v>0</v>
      </c>
      <c r="AK231" s="120">
        <f>0</f>
        <v>0</v>
      </c>
      <c r="AL231" s="120">
        <f>0</f>
        <v>0</v>
      </c>
      <c r="AM231" s="120">
        <f>0</f>
        <v>0</v>
      </c>
      <c r="AN231" s="120">
        <f>0</f>
        <v>0</v>
      </c>
      <c r="AO231" s="120">
        <f>0</f>
        <v>0</v>
      </c>
      <c r="AP231" s="120">
        <f>0</f>
        <v>0</v>
      </c>
      <c r="AQ231" s="120">
        <f>0</f>
        <v>0</v>
      </c>
      <c r="AR231" s="120">
        <f>0</f>
        <v>0</v>
      </c>
      <c r="AS231" s="120">
        <f>0</f>
        <v>0</v>
      </c>
      <c r="AT231" s="120">
        <f>0</f>
        <v>0</v>
      </c>
      <c r="AU231" s="120">
        <f>0</f>
        <v>0</v>
      </c>
      <c r="AV231" s="120">
        <f>0</f>
        <v>0</v>
      </c>
      <c r="AW231" s="120">
        <f>0</f>
        <v>0</v>
      </c>
      <c r="AX231" s="120">
        <f>0</f>
        <v>0</v>
      </c>
      <c r="AY231" s="120">
        <f>0</f>
        <v>0</v>
      </c>
      <c r="AZ231" s="120">
        <f>0</f>
        <v>0</v>
      </c>
      <c r="BA231" s="120">
        <f>0</f>
        <v>0</v>
      </c>
      <c r="BB231" s="120">
        <f>0</f>
        <v>0</v>
      </c>
      <c r="BC231" s="120">
        <f>0</f>
        <v>0</v>
      </c>
      <c r="BD231" s="120">
        <f>0</f>
        <v>0</v>
      </c>
      <c r="BE231" s="120">
        <f>0</f>
        <v>0</v>
      </c>
      <c r="BF231" s="120">
        <f>0</f>
        <v>0</v>
      </c>
      <c r="BG231" s="120">
        <f>0</f>
        <v>0</v>
      </c>
      <c r="BH231" s="120">
        <f>0</f>
        <v>0</v>
      </c>
      <c r="BI231" s="120">
        <f>0</f>
        <v>0</v>
      </c>
      <c r="BJ231" s="120">
        <f>0</f>
        <v>0</v>
      </c>
      <c r="BK231" s="120">
        <f>0</f>
        <v>0</v>
      </c>
    </row>
    <row r="232" spans="1:63" ht="12.75" customHeight="1" x14ac:dyDescent="0.2">
      <c r="A232" s="126" t="s">
        <v>438</v>
      </c>
      <c r="B232" s="150">
        <f>SUM(D232:BQ232)</f>
        <v>0</v>
      </c>
      <c r="C232" s="150">
        <f>B232/60</f>
        <v>0</v>
      </c>
      <c r="D232" s="120">
        <f>0</f>
        <v>0</v>
      </c>
      <c r="E232" s="120">
        <f>0</f>
        <v>0</v>
      </c>
      <c r="F232" s="120">
        <f>0</f>
        <v>0</v>
      </c>
      <c r="G232" s="120">
        <f>0</f>
        <v>0</v>
      </c>
      <c r="H232" s="120">
        <f>0</f>
        <v>0</v>
      </c>
      <c r="I232" s="120">
        <f>0</f>
        <v>0</v>
      </c>
      <c r="J232" s="120">
        <f>0</f>
        <v>0</v>
      </c>
      <c r="K232" s="120">
        <f>0</f>
        <v>0</v>
      </c>
      <c r="L232" s="120">
        <f>0</f>
        <v>0</v>
      </c>
      <c r="M232" s="120">
        <f>0</f>
        <v>0</v>
      </c>
      <c r="N232" s="120">
        <f>0</f>
        <v>0</v>
      </c>
      <c r="O232" s="120">
        <f>0</f>
        <v>0</v>
      </c>
      <c r="P232" s="120">
        <f>0</f>
        <v>0</v>
      </c>
      <c r="Q232" s="120">
        <f>0</f>
        <v>0</v>
      </c>
      <c r="R232" s="120">
        <f>0</f>
        <v>0</v>
      </c>
      <c r="S232" s="120">
        <f>0</f>
        <v>0</v>
      </c>
      <c r="T232" s="120">
        <f>0</f>
        <v>0</v>
      </c>
      <c r="U232" s="120">
        <f>0</f>
        <v>0</v>
      </c>
      <c r="V232" s="120">
        <f>0</f>
        <v>0</v>
      </c>
      <c r="W232" s="120">
        <f>0</f>
        <v>0</v>
      </c>
      <c r="X232" s="120">
        <f>0</f>
        <v>0</v>
      </c>
      <c r="Y232" s="120">
        <f>0</f>
        <v>0</v>
      </c>
      <c r="Z232" s="120">
        <f>0</f>
        <v>0</v>
      </c>
      <c r="AA232" s="120">
        <f>0</f>
        <v>0</v>
      </c>
      <c r="AB232" s="120">
        <f>0</f>
        <v>0</v>
      </c>
      <c r="AC232" s="120">
        <f>0</f>
        <v>0</v>
      </c>
      <c r="AD232" s="120">
        <f>0</f>
        <v>0</v>
      </c>
      <c r="AE232" s="120">
        <f>0</f>
        <v>0</v>
      </c>
      <c r="AF232" s="120">
        <f>0</f>
        <v>0</v>
      </c>
      <c r="AG232" s="120">
        <f>0</f>
        <v>0</v>
      </c>
      <c r="AH232" s="120">
        <f>0</f>
        <v>0</v>
      </c>
      <c r="AI232" s="120">
        <f>0</f>
        <v>0</v>
      </c>
      <c r="AJ232" s="120">
        <f>0</f>
        <v>0</v>
      </c>
      <c r="AK232" s="120">
        <f>0</f>
        <v>0</v>
      </c>
      <c r="AL232" s="120">
        <f>0</f>
        <v>0</v>
      </c>
      <c r="AM232" s="120">
        <f>0</f>
        <v>0</v>
      </c>
      <c r="AN232" s="120">
        <f>0</f>
        <v>0</v>
      </c>
      <c r="AO232" s="120">
        <f>0</f>
        <v>0</v>
      </c>
      <c r="AP232" s="120">
        <f>0</f>
        <v>0</v>
      </c>
      <c r="AQ232" s="120">
        <f>0</f>
        <v>0</v>
      </c>
      <c r="AR232" s="120">
        <f>0</f>
        <v>0</v>
      </c>
      <c r="AS232" s="120">
        <f>0</f>
        <v>0</v>
      </c>
      <c r="AT232" s="120">
        <f>0</f>
        <v>0</v>
      </c>
      <c r="AU232" s="120">
        <f>0</f>
        <v>0</v>
      </c>
      <c r="AV232" s="120">
        <f>0</f>
        <v>0</v>
      </c>
      <c r="AW232" s="120">
        <f>0</f>
        <v>0</v>
      </c>
      <c r="AX232" s="120">
        <f>0</f>
        <v>0</v>
      </c>
      <c r="AY232" s="120">
        <f>0</f>
        <v>0</v>
      </c>
      <c r="AZ232" s="120">
        <f>0</f>
        <v>0</v>
      </c>
      <c r="BA232" s="120">
        <f>0</f>
        <v>0</v>
      </c>
      <c r="BB232" s="120">
        <f>0</f>
        <v>0</v>
      </c>
      <c r="BC232" s="120">
        <f>0</f>
        <v>0</v>
      </c>
      <c r="BD232" s="120">
        <f>0</f>
        <v>0</v>
      </c>
      <c r="BE232" s="120">
        <f>0</f>
        <v>0</v>
      </c>
      <c r="BF232" s="120">
        <f>0</f>
        <v>0</v>
      </c>
      <c r="BG232" s="120">
        <f>0</f>
        <v>0</v>
      </c>
      <c r="BH232" s="120">
        <f>0</f>
        <v>0</v>
      </c>
      <c r="BI232" s="120">
        <f>0</f>
        <v>0</v>
      </c>
      <c r="BJ232" s="120">
        <f>0</f>
        <v>0</v>
      </c>
      <c r="BK232" s="120">
        <f>0</f>
        <v>0</v>
      </c>
    </row>
    <row r="233" spans="1:63" ht="12.75" customHeight="1" x14ac:dyDescent="0.2">
      <c r="A233" s="126" t="s">
        <v>439</v>
      </c>
      <c r="B233" s="150">
        <f>AA233</f>
        <v>0</v>
      </c>
      <c r="C233" s="150" t="s">
        <v>397</v>
      </c>
      <c r="D233" s="120">
        <f>0</f>
        <v>0</v>
      </c>
      <c r="E233" s="120">
        <f>0</f>
        <v>0</v>
      </c>
      <c r="F233" s="120">
        <f>0</f>
        <v>0</v>
      </c>
      <c r="G233" s="120">
        <f>0</f>
        <v>0</v>
      </c>
      <c r="H233" s="120">
        <f>0</f>
        <v>0</v>
      </c>
      <c r="I233" s="120">
        <f>0</f>
        <v>0</v>
      </c>
      <c r="J233" s="120">
        <f>0</f>
        <v>0</v>
      </c>
      <c r="K233" s="120">
        <f>0</f>
        <v>0</v>
      </c>
      <c r="L233" s="120">
        <f>0</f>
        <v>0</v>
      </c>
      <c r="M233" s="120">
        <f>0</f>
        <v>0</v>
      </c>
      <c r="N233" s="120">
        <f>0</f>
        <v>0</v>
      </c>
      <c r="O233" s="120">
        <f>0</f>
        <v>0</v>
      </c>
      <c r="P233" s="120">
        <f>0</f>
        <v>0</v>
      </c>
      <c r="Q233" s="120">
        <f>0</f>
        <v>0</v>
      </c>
      <c r="R233" s="120">
        <f>0</f>
        <v>0</v>
      </c>
      <c r="S233" s="120">
        <f>0</f>
        <v>0</v>
      </c>
      <c r="T233" s="120">
        <f>0</f>
        <v>0</v>
      </c>
      <c r="U233" s="120">
        <f>0</f>
        <v>0</v>
      </c>
      <c r="V233" s="120">
        <f>0</f>
        <v>0</v>
      </c>
      <c r="W233" s="120">
        <f>0</f>
        <v>0</v>
      </c>
      <c r="X233" s="120">
        <f>0</f>
        <v>0</v>
      </c>
      <c r="Y233" s="120">
        <f>0</f>
        <v>0</v>
      </c>
      <c r="Z233" s="120">
        <f>0</f>
        <v>0</v>
      </c>
      <c r="AA233" s="120">
        <f>0</f>
        <v>0</v>
      </c>
      <c r="AB233" s="120">
        <f>0</f>
        <v>0</v>
      </c>
      <c r="AC233" s="120">
        <f>0</f>
        <v>0</v>
      </c>
      <c r="AD233" s="120">
        <f>0</f>
        <v>0</v>
      </c>
      <c r="AE233" s="120">
        <f>0</f>
        <v>0</v>
      </c>
      <c r="AF233" s="120">
        <f>0</f>
        <v>0</v>
      </c>
      <c r="AG233" s="120">
        <f>0</f>
        <v>0</v>
      </c>
      <c r="AH233" s="120">
        <f>0</f>
        <v>0</v>
      </c>
      <c r="AI233" s="120">
        <f>0</f>
        <v>0</v>
      </c>
      <c r="AJ233" s="120">
        <f>0</f>
        <v>0</v>
      </c>
      <c r="AK233" s="120">
        <f>0</f>
        <v>0</v>
      </c>
      <c r="AL233" s="120">
        <f>0</f>
        <v>0</v>
      </c>
      <c r="AM233" s="120">
        <f>0</f>
        <v>0</v>
      </c>
      <c r="AN233" s="120">
        <f>0</f>
        <v>0</v>
      </c>
      <c r="AO233" s="120">
        <f>0</f>
        <v>0</v>
      </c>
      <c r="AP233" s="120">
        <f>0</f>
        <v>0</v>
      </c>
      <c r="AQ233" s="120">
        <f>0</f>
        <v>0</v>
      </c>
      <c r="AR233" s="120">
        <f>0</f>
        <v>0</v>
      </c>
      <c r="AS233" s="120">
        <f>0</f>
        <v>0</v>
      </c>
      <c r="AT233" s="120">
        <f>0</f>
        <v>0</v>
      </c>
      <c r="AU233" s="120">
        <f>0</f>
        <v>0</v>
      </c>
      <c r="AV233" s="120">
        <f>0</f>
        <v>0</v>
      </c>
      <c r="AW233" s="120">
        <f>0</f>
        <v>0</v>
      </c>
      <c r="AX233" s="120">
        <f>0</f>
        <v>0</v>
      </c>
      <c r="AY233" s="120">
        <f>0</f>
        <v>0</v>
      </c>
      <c r="AZ233" s="120">
        <f>0</f>
        <v>0</v>
      </c>
      <c r="BA233" s="120">
        <f>0</f>
        <v>0</v>
      </c>
      <c r="BB233" s="120">
        <f>0</f>
        <v>0</v>
      </c>
      <c r="BC233" s="120">
        <f>0</f>
        <v>0</v>
      </c>
      <c r="BD233" s="120">
        <f>0</f>
        <v>0</v>
      </c>
      <c r="BE233" s="120">
        <f>0</f>
        <v>0</v>
      </c>
      <c r="BF233" s="120">
        <f>0</f>
        <v>0</v>
      </c>
      <c r="BG233" s="120">
        <f>0</f>
        <v>0</v>
      </c>
      <c r="BH233" s="120">
        <f>0</f>
        <v>0</v>
      </c>
      <c r="BI233" s="120">
        <f>0</f>
        <v>0</v>
      </c>
      <c r="BJ233" s="120">
        <f>0</f>
        <v>0</v>
      </c>
      <c r="BK233" s="120">
        <f>0</f>
        <v>0</v>
      </c>
    </row>
    <row r="234" spans="1:63" ht="12.75" customHeight="1" x14ac:dyDescent="0.2">
      <c r="A234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34" s="142">
        <f>SUM(D234:BQ234)</f>
        <v>99551.459361954272</v>
      </c>
      <c r="C234" s="157">
        <f>B234/60</f>
        <v>1659.1909893659044</v>
      </c>
      <c r="D234" s="142">
        <f>D226*Premissas!$F$19*(1+Premissas!$B$127)*(1+Premissas!$B$124)^0</f>
        <v>1172.1285113650924</v>
      </c>
      <c r="E234" s="142">
        <f>E226*Premissas!$F$19*(1+Premissas!$B$127)*(1+Premissas!$B$124)^0</f>
        <v>1385.6196460611218</v>
      </c>
      <c r="F234" s="142">
        <f>F226*Premissas!$F$19*(1+Premissas!$B$127)*(1+Premissas!$B$124)^0</f>
        <v>1101.6557096207721</v>
      </c>
      <c r="G234" s="142">
        <f>G226*Premissas!$F$19*(1+Premissas!$B$127)*(1+Premissas!$B$124)^0</f>
        <v>1141.0375694190689</v>
      </c>
      <c r="H234" s="142">
        <f>H226*Premissas!$F$19*(1+Premissas!$B$127)*(1+Premissas!$B$124)^0</f>
        <v>1170.0557819020241</v>
      </c>
      <c r="I234" s="142">
        <f>I226*Premissas!$F$19*(1+Premissas!$B$127)*(1+Premissas!$B$124)^0</f>
        <v>901.63731643468657</v>
      </c>
      <c r="J234" s="142">
        <f>J226*Premissas!$F$19*(1+Premissas!$B$127)*(1+Premissas!$B$124)^0</f>
        <v>1473.710648241522</v>
      </c>
      <c r="K234" s="142">
        <f>K226*Premissas!$F$19*(1+Premissas!$B$127)*(1+Premissas!$B$124)^0</f>
        <v>1650.773562624127</v>
      </c>
      <c r="L234" s="142">
        <f>L226*Premissas!$F$19*(1+Premissas!$B$127)*(1+Premissas!$B$124)^0</f>
        <v>1649.7112887743042</v>
      </c>
      <c r="M234" s="142">
        <f>M226*Premissas!$F$19*(1+Premissas!$B$127)*(1+Premissas!$B$124)^0</f>
        <v>1616.7807994298075</v>
      </c>
      <c r="N234" s="142">
        <f>N226*Premissas!$F$19*(1+Premissas!$B$127)*(1+Premissas!$B$124)^0</f>
        <v>1286.4136321350179</v>
      </c>
      <c r="O234" s="142">
        <f>O226*Premissas!$F$19*(1+Premissas!$B$127)*(1+Premissas!$B$124)^0</f>
        <v>1469.1247343044836</v>
      </c>
      <c r="P234" s="142">
        <f>P226*Premissas!$F$19*(1+Premissas!$B$127)*(1+Premissas!$B$124)^1</f>
        <v>1273.517627598173</v>
      </c>
      <c r="Q234" s="142">
        <f>Q226*Premissas!$F$19*(1+Premissas!$B$127)*(1+Premissas!$B$124)^1</f>
        <v>1505.4757454454086</v>
      </c>
      <c r="R234" s="142">
        <f>R226*Premissas!$F$19*(1+Premissas!$B$127)*(1+Premissas!$B$124)^1</f>
        <v>1196.948928502969</v>
      </c>
      <c r="S234" s="142">
        <f>S226*Premissas!$F$19*(1+Premissas!$B$127)*(1+Premissas!$B$124)^1</f>
        <v>1239.7373191738182</v>
      </c>
      <c r="T234" s="142">
        <f>T226*Premissas!$F$19*(1+Premissas!$B$127)*(1+Premissas!$B$124)^1</f>
        <v>1271.2656070365495</v>
      </c>
      <c r="U234" s="142">
        <f>U226*Premissas!$F$19*(1+Premissas!$B$127)*(1+Premissas!$B$124)^1</f>
        <v>979.62894430628683</v>
      </c>
      <c r="V234" s="142">
        <f>V226*Premissas!$F$19*(1+Premissas!$B$127)*(1+Premissas!$B$124)^1</f>
        <v>1601.186619314414</v>
      </c>
      <c r="W234" s="142">
        <f>W226*Premissas!$F$19*(1+Premissas!$B$127)*(1+Premissas!$B$124)^1</f>
        <v>1749.8199763815746</v>
      </c>
      <c r="X234" s="142">
        <f>X226*Premissas!$F$19*(1+Premissas!$B$127)*(1+Premissas!$B$124)^1</f>
        <v>1748.6939661007625</v>
      </c>
      <c r="Y234" s="142">
        <f>Y226*Premissas!$F$19*(1+Premissas!$B$127)*(1+Premissas!$B$124)^1</f>
        <v>1713.787647395596</v>
      </c>
      <c r="Z234" s="142">
        <f>Z226*Premissas!$F$19*(1+Premissas!$B$127)*(1+Premissas!$B$124)^1</f>
        <v>1363.5984500631191</v>
      </c>
      <c r="AA234" s="142">
        <f>AA226*Premissas!$F$19*(1+Premissas!$B$127)*(1+Premissas!$B$124)^1</f>
        <v>1557.2722183627527</v>
      </c>
      <c r="AB234" s="142">
        <f>AB226*Premissas!$F$19*(1+Premissas!$B$127)*(1+Premissas!$B$124)^2</f>
        <v>1691.9762652511311</v>
      </c>
      <c r="AC234" s="142">
        <f>AC226*Premissas!$F$19*(1+Premissas!$B$127)*(1+Premissas!$B$124)^2</f>
        <v>1691.9762652511311</v>
      </c>
      <c r="AD234" s="142">
        <f>AD226*Premissas!$F$19*(1+Premissas!$B$127)*(1+Premissas!$B$124)^2</f>
        <v>1691.9762652511311</v>
      </c>
      <c r="AE234" s="142">
        <f>AE226*Premissas!$F$19*(1+Premissas!$B$127)*(1+Premissas!$B$124)^2</f>
        <v>1691.9762652511311</v>
      </c>
      <c r="AF234" s="142">
        <f>AF226*Premissas!$F$19*(1+Premissas!$B$127)*(1+Premissas!$B$124)^2</f>
        <v>1691.9762652511311</v>
      </c>
      <c r="AG234" s="142">
        <f>AG226*Premissas!$F$19*(1+Premissas!$B$127)*(1+Premissas!$B$124)^2</f>
        <v>1691.9762652511311</v>
      </c>
      <c r="AH234" s="142">
        <f>AH226*Premissas!$F$19*(1+Premissas!$B$127)*(1+Premissas!$B$124)^2</f>
        <v>1691.9762652511311</v>
      </c>
      <c r="AI234" s="142">
        <f>AI226*Premissas!$F$19*(1+Premissas!$B$127)*(1+Premissas!$B$124)^2</f>
        <v>1691.9762652511311</v>
      </c>
      <c r="AJ234" s="142">
        <f>AJ226*Premissas!$F$19*(1+Premissas!$B$127)*(1+Premissas!$B$124)^2</f>
        <v>1691.9762652511311</v>
      </c>
      <c r="AK234" s="142">
        <f>AK226*Premissas!$F$19*(1+Premissas!$B$127)*(1+Premissas!$B$124)^2</f>
        <v>1691.9762652511311</v>
      </c>
      <c r="AL234" s="142">
        <f>AL226*Premissas!$F$19*(1+Premissas!$B$127)*(1+Premissas!$B$124)^2</f>
        <v>1691.9762652511311</v>
      </c>
      <c r="AM234" s="142">
        <f>AM226*Premissas!$F$19*(1+Premissas!$B$127)*(1+Premissas!$B$124)^2</f>
        <v>1691.9762652511311</v>
      </c>
      <c r="AN234" s="142">
        <f>AN226*Premissas!$F$19*(1+Premissas!$B$127)*(1+Premissas!$B$124)^3</f>
        <v>1838.332212195354</v>
      </c>
      <c r="AO234" s="142">
        <f>AO226*Premissas!$F$19*(1+Premissas!$B$127)*(1+Premissas!$B$124)^3</f>
        <v>1838.332212195354</v>
      </c>
      <c r="AP234" s="142">
        <f>AP226*Premissas!$F$19*(1+Premissas!$B$127)*(1+Premissas!$B$124)^3</f>
        <v>1838.332212195354</v>
      </c>
      <c r="AQ234" s="142">
        <f>AQ226*Premissas!$F$19*(1+Premissas!$B$127)*(1+Premissas!$B$124)^3</f>
        <v>1838.332212195354</v>
      </c>
      <c r="AR234" s="142">
        <f>AR226*Premissas!$F$19*(1+Premissas!$B$127)*(1+Premissas!$B$124)^3</f>
        <v>1838.332212195354</v>
      </c>
      <c r="AS234" s="142">
        <f>AS226*Premissas!$F$19*(1+Premissas!$B$127)*(1+Premissas!$B$124)^3</f>
        <v>1838.332212195354</v>
      </c>
      <c r="AT234" s="142">
        <f>AT226*Premissas!$F$19*(1+Premissas!$B$127)*(1+Premissas!$B$124)^3</f>
        <v>1838.332212195354</v>
      </c>
      <c r="AU234" s="142">
        <f>AU226*Premissas!$F$19*(1+Premissas!$B$127)*(1+Premissas!$B$124)^3</f>
        <v>1838.332212195354</v>
      </c>
      <c r="AV234" s="142">
        <f>AV226*Premissas!$F$19*(1+Premissas!$B$127)*(1+Premissas!$B$124)^3</f>
        <v>1838.332212195354</v>
      </c>
      <c r="AW234" s="142">
        <f>AW226*Premissas!$F$19*(1+Premissas!$B$127)*(1+Premissas!$B$124)^3</f>
        <v>1838.332212195354</v>
      </c>
      <c r="AX234" s="142">
        <f>AX226*Premissas!$F$19*(1+Premissas!$B$127)*(1+Premissas!$B$124)^3</f>
        <v>1838.332212195354</v>
      </c>
      <c r="AY234" s="142">
        <f>AY226*Premissas!$F$19*(1+Premissas!$B$127)*(1+Premissas!$B$124)^3</f>
        <v>1838.332212195354</v>
      </c>
      <c r="AZ234" s="142">
        <f>AZ226*Premissas!$F$19*(1+Premissas!$B$127)*(1+Premissas!$B$124)^4</f>
        <v>1997.3479485502519</v>
      </c>
      <c r="BA234" s="142">
        <f>BA226*Premissas!$F$19*(1+Premissas!$B$127)*(1+Premissas!$B$124)^4</f>
        <v>1997.3479485502519</v>
      </c>
      <c r="BB234" s="142">
        <f>BB226*Premissas!$F$19*(1+Premissas!$B$127)*(1+Premissas!$B$124)^4</f>
        <v>1997.3479485502519</v>
      </c>
      <c r="BC234" s="142">
        <f>BC226*Premissas!$F$19*(1+Premissas!$B$127)*(1+Premissas!$B$124)^4</f>
        <v>1997.3479485502519</v>
      </c>
      <c r="BD234" s="142">
        <f>BD226*Premissas!$F$19*(1+Premissas!$B$127)*(1+Premissas!$B$124)^4</f>
        <v>1997.3479485502519</v>
      </c>
      <c r="BE234" s="142">
        <f>BE226*Premissas!$F$19*(1+Premissas!$B$127)*(1+Premissas!$B$124)^4</f>
        <v>1997.3479485502519</v>
      </c>
      <c r="BF234" s="142">
        <f>BF226*Premissas!$F$19*(1+Premissas!$B$127)*(1+Premissas!$B$124)^4</f>
        <v>1997.3479485502519</v>
      </c>
      <c r="BG234" s="142">
        <f>BG226*Premissas!$F$19*(1+Premissas!$B$127)*(1+Premissas!$B$124)^4</f>
        <v>1997.3479485502519</v>
      </c>
      <c r="BH234" s="142">
        <f>BH226*Premissas!$F$19*(1+Premissas!$B$127)*(1+Premissas!$B$124)^4</f>
        <v>1997.3479485502519</v>
      </c>
      <c r="BI234" s="142">
        <f>BI226*Premissas!$F$19*(1+Premissas!$B$127)*(1+Premissas!$B$124)^4</f>
        <v>1997.3479485502519</v>
      </c>
      <c r="BJ234" s="142">
        <f>BJ226*Premissas!$F$19*(1+Premissas!$B$127)*(1+Premissas!$B$124)^4</f>
        <v>1997.3479485502519</v>
      </c>
      <c r="BK234" s="142">
        <f>BK226*Premissas!$F$19*(1+Premissas!$B$127)*(1+Premissas!$B$124)^4</f>
        <v>1997.3479485502519</v>
      </c>
    </row>
    <row r="235" spans="1:63" ht="12.75" customHeight="1" x14ac:dyDescent="0.2">
      <c r="A235" s="143" t="s">
        <v>415</v>
      </c>
      <c r="B235" s="144">
        <f>SUM(D235:BQ235)</f>
        <v>394.79018991877967</v>
      </c>
      <c r="C235" s="157">
        <f>B235/60</f>
        <v>6.579836498646328</v>
      </c>
      <c r="D235" s="144">
        <f>IF(D230&gt;0,0,MAX(D226-D227-D228,0)*Premissas!$B$7*(1+Premissas!$B$127)*(1+Premissas!$B$124)^0)</f>
        <v>99.860219162884817</v>
      </c>
      <c r="E235" s="144">
        <f>IF(E230&gt;0,0,MAX(E226-E227-E228,0)*Premissas!$B$7*(1+Premissas!$B$127)*(1+Premissas!$B$124)^0)</f>
        <v>294.92997075589489</v>
      </c>
      <c r="F235" s="144">
        <f>IF(F230&gt;0,0,MAX(F226-F227-F228,0)*Premissas!$B$7*(1+Premissas!$B$127)*(1+Premissas!$B$124)^0)</f>
        <v>0</v>
      </c>
      <c r="G235" s="144">
        <f>IF(G230&gt;0,0,MAX(G226-G227-G228,0)*Premissas!$B$7*(1+Premissas!$B$127)*(1+Premissas!$B$124)^0)</f>
        <v>0</v>
      </c>
      <c r="H235" s="144">
        <f>IF(H230&gt;0,0,MAX(H226-H227-H228,0)*Premissas!$B$7*(1+Premissas!$B$127)*(1+Premissas!$B$124)^0)</f>
        <v>0</v>
      </c>
      <c r="I235" s="144">
        <f>IF(I230&gt;0,0,MAX(I226-I227-I228,0)*Premissas!$B$7*(1+Premissas!$B$127)*(1+Premissas!$B$124)^0)</f>
        <v>0</v>
      </c>
      <c r="J235" s="144">
        <f>IF(J230&gt;0,0,MAX(J226-J227-J228,0)*Premissas!$B$7*(1+Premissas!$B$127)*(1+Premissas!$B$124)^0)</f>
        <v>0</v>
      </c>
      <c r="K235" s="144">
        <f>IF(K230&gt;0,0,MAX(K226-K227-K228,0)*Premissas!$B$7*(1+Premissas!$B$127)*(1+Premissas!$B$124)^0)</f>
        <v>0</v>
      </c>
      <c r="L235" s="144">
        <f>IF(L230&gt;0,0,MAX(L226-L227-L228,0)*Premissas!$B$7*(1+Premissas!$B$127)*(1+Premissas!$B$124)^0)</f>
        <v>0</v>
      </c>
      <c r="M235" s="144">
        <f>IF(M230&gt;0,0,MAX(M226-M227-M228,0)*Premissas!$B$7*(1+Premissas!$B$127)*(1+Premissas!$B$124)^0)</f>
        <v>0</v>
      </c>
      <c r="N235" s="144">
        <f>IF(N230&gt;0,0,MAX(N226-N227-N228,0)*Premissas!$B$7*(1+Premissas!$B$127)*(1+Premissas!$B$124)^0)</f>
        <v>0</v>
      </c>
      <c r="O235" s="144">
        <f>IF(O230&gt;0,0,MAX(O226-O227-O228,0)*Premissas!$B$7*(1+Premissas!$B$127)*(1+Premissas!$B$124)^0)</f>
        <v>0</v>
      </c>
      <c r="P235" s="144">
        <f>IF(P230&gt;0,0,MAX(P226-P227-P228,0)*Premissas!$B$7*(1+Premissas!$B$127)*(1+Premissas!$B$124)^1)</f>
        <v>0</v>
      </c>
      <c r="Q235" s="144">
        <f>IF(Q230&gt;0,0,MAX(Q226-Q227-Q228,0)*Premissas!$B$7*(1+Premissas!$B$127)*(1+Premissas!$B$124)^1)</f>
        <v>0</v>
      </c>
      <c r="R235" s="144">
        <f>IF(R230&gt;0,0,MAX(R226-R227-R228,0)*Premissas!$B$7*(1+Premissas!$B$127)*(1+Premissas!$B$124)^1)</f>
        <v>0</v>
      </c>
      <c r="S235" s="144">
        <f>IF(S230&gt;0,0,MAX(S226-S227-S228,0)*Premissas!$B$7*(1+Premissas!$B$127)*(1+Premissas!$B$124)^1)</f>
        <v>0</v>
      </c>
      <c r="T235" s="144">
        <f>IF(T230&gt;0,0,MAX(T226-T227-T228,0)*Premissas!$B$7*(1+Premissas!$B$127)*(1+Premissas!$B$124)^1)</f>
        <v>0</v>
      </c>
      <c r="U235" s="144">
        <f>IF(U230&gt;0,0,MAX(U226-U227-U228,0)*Premissas!$B$7*(1+Premissas!$B$127)*(1+Premissas!$B$124)^1)</f>
        <v>0</v>
      </c>
      <c r="V235" s="144">
        <f>IF(V230&gt;0,0,MAX(V226-V227-V228,0)*Premissas!$B$7*(1+Premissas!$B$127)*(1+Premissas!$B$124)^1)</f>
        <v>0</v>
      </c>
      <c r="W235" s="144">
        <f>IF(W230&gt;0,0,MAX(W226-W227-W228,0)*Premissas!$B$7*(1+Premissas!$B$127)*(1+Premissas!$B$124)^1)</f>
        <v>0</v>
      </c>
      <c r="X235" s="144">
        <f>IF(X230&gt;0,0,MAX(X226-X227-X228,0)*Premissas!$B$7*(1+Premissas!$B$127)*(1+Premissas!$B$124)^1)</f>
        <v>0</v>
      </c>
      <c r="Y235" s="144">
        <f>IF(Y230&gt;0,0,MAX(Y226-Y227-Y228,0)*Premissas!$B$7*(1+Premissas!$B$127)*(1+Premissas!$B$124)^1)</f>
        <v>0</v>
      </c>
      <c r="Z235" s="144">
        <f>IF(Z230&gt;0,0,MAX(Z226-Z227-Z228,0)*Premissas!$B$7*(1+Premissas!$B$127)*(1+Premissas!$B$124)^1)</f>
        <v>0</v>
      </c>
      <c r="AA235" s="144">
        <f>IF(AA230&gt;0,0,MAX(AA226-AA227-AA228,0)*Premissas!$B$7*(1+Premissas!$B$127)*(1+Premissas!$B$124)^1)</f>
        <v>0</v>
      </c>
      <c r="AB235" s="144">
        <f>IF(AB230&gt;0,0,MAX(AB226-AB227-AB228,0)*Premissas!$B$7*(1+Premissas!$B$127)*(1+Premissas!$B$124)^2)</f>
        <v>0</v>
      </c>
      <c r="AC235" s="144">
        <f>IF(AC230&gt;0,0,MAX(AC226-AC227-AC228,0)*Premissas!$B$7*(1+Premissas!$B$127)*(1+Premissas!$B$124)^2)</f>
        <v>0</v>
      </c>
      <c r="AD235" s="144">
        <f>IF(AD230&gt;0,0,MAX(AD226-AD227-AD228,0)*Premissas!$B$7*(1+Premissas!$B$127)*(1+Premissas!$B$124)^2)</f>
        <v>0</v>
      </c>
      <c r="AE235" s="144">
        <f>IF(AE230&gt;0,0,MAX(AE226-AE227-AE228,0)*Premissas!$B$7*(1+Premissas!$B$127)*(1+Premissas!$B$124)^2)</f>
        <v>0</v>
      </c>
      <c r="AF235" s="144">
        <f>IF(AF230&gt;0,0,MAX(AF226-AF227-AF228,0)*Premissas!$B$7*(1+Premissas!$B$127)*(1+Premissas!$B$124)^2)</f>
        <v>0</v>
      </c>
      <c r="AG235" s="144">
        <f>IF(AG230&gt;0,0,MAX(AG226-AG227-AG228,0)*Premissas!$B$7*(1+Premissas!$B$127)*(1+Premissas!$B$124)^2)</f>
        <v>0</v>
      </c>
      <c r="AH235" s="144">
        <f>IF(AH230&gt;0,0,MAX(AH226-AH227-AH228,0)*Premissas!$B$7*(1+Premissas!$B$127)*(1+Premissas!$B$124)^2)</f>
        <v>0</v>
      </c>
      <c r="AI235" s="144">
        <f>IF(AI230&gt;0,0,MAX(AI226-AI227-AI228,0)*Premissas!$B$7*(1+Premissas!$B$127)*(1+Premissas!$B$124)^2)</f>
        <v>0</v>
      </c>
      <c r="AJ235" s="144">
        <f>IF(AJ230&gt;0,0,MAX(AJ226-AJ227-AJ228,0)*Premissas!$B$7*(1+Premissas!$B$127)*(1+Premissas!$B$124)^2)</f>
        <v>0</v>
      </c>
      <c r="AK235" s="144">
        <f>IF(AK230&gt;0,0,MAX(AK226-AK227-AK228,0)*Premissas!$B$7*(1+Premissas!$B$127)*(1+Premissas!$B$124)^2)</f>
        <v>0</v>
      </c>
      <c r="AL235" s="144">
        <f>IF(AL230&gt;0,0,MAX(AL226-AL227-AL228,0)*Premissas!$B$7*(1+Premissas!$B$127)*(1+Premissas!$B$124)^2)</f>
        <v>0</v>
      </c>
      <c r="AM235" s="144">
        <f>IF(AM230&gt;0,0,MAX(AM226-AM227-AM228,0)*Premissas!$B$7*(1+Premissas!$B$127)*(1+Premissas!$B$124)^2)</f>
        <v>0</v>
      </c>
      <c r="AN235" s="144">
        <f>IF(AN230&gt;0,0,MAX(AN226-AN227-AN228,0)*Premissas!$B$7*(1+Premissas!$B$127)*(1+Premissas!$B$124)^3)</f>
        <v>0</v>
      </c>
      <c r="AO235" s="144">
        <f>IF(AO230&gt;0,0,MAX(AO226-AO227-AO228,0)*Premissas!$B$7*(1+Premissas!$B$127)*(1+Premissas!$B$124)^3)</f>
        <v>0</v>
      </c>
      <c r="AP235" s="144">
        <f>IF(AP230&gt;0,0,MAX(AP226-AP227-AP228,0)*Premissas!$B$7*(1+Premissas!$B$127)*(1+Premissas!$B$124)^3)</f>
        <v>0</v>
      </c>
      <c r="AQ235" s="144">
        <f>IF(AQ230&gt;0,0,MAX(AQ226-AQ227-AQ228,0)*Premissas!$B$7*(1+Premissas!$B$127)*(1+Premissas!$B$124)^3)</f>
        <v>0</v>
      </c>
      <c r="AR235" s="144">
        <f>IF(AR230&gt;0,0,MAX(AR226-AR227-AR228,0)*Premissas!$B$7*(1+Premissas!$B$127)*(1+Premissas!$B$124)^3)</f>
        <v>0</v>
      </c>
      <c r="AS235" s="144">
        <f>IF(AS230&gt;0,0,MAX(AS226-AS227-AS228,0)*Premissas!$B$7*(1+Premissas!$B$127)*(1+Premissas!$B$124)^3)</f>
        <v>0</v>
      </c>
      <c r="AT235" s="144">
        <f>IF(AT230&gt;0,0,MAX(AT226-AT227-AT228,0)*Premissas!$B$7*(1+Premissas!$B$127)*(1+Premissas!$B$124)^3)</f>
        <v>0</v>
      </c>
      <c r="AU235" s="144">
        <f>IF(AU230&gt;0,0,MAX(AU226-AU227-AU228,0)*Premissas!$B$7*(1+Premissas!$B$127)*(1+Premissas!$B$124)^3)</f>
        <v>0</v>
      </c>
      <c r="AV235" s="144">
        <f>IF(AV230&gt;0,0,MAX(AV226-AV227-AV228,0)*Premissas!$B$7*(1+Premissas!$B$127)*(1+Premissas!$B$124)^3)</f>
        <v>0</v>
      </c>
      <c r="AW235" s="144">
        <f>IF(AW230&gt;0,0,MAX(AW226-AW227-AW228,0)*Premissas!$B$7*(1+Premissas!$B$127)*(1+Premissas!$B$124)^3)</f>
        <v>0</v>
      </c>
      <c r="AX235" s="144">
        <f>IF(AX230&gt;0,0,MAX(AX226-AX227-AX228,0)*Premissas!$B$7*(1+Premissas!$B$127)*(1+Premissas!$B$124)^3)</f>
        <v>0</v>
      </c>
      <c r="AY235" s="144">
        <f>IF(AY230&gt;0,0,MAX(AY226-AY227-AY228,0)*Premissas!$B$7*(1+Premissas!$B$127)*(1+Premissas!$B$124)^3)</f>
        <v>0</v>
      </c>
      <c r="AZ235" s="144">
        <f>IF(AZ230&gt;0,0,MAX(AZ226-AZ227-AZ228,0)*Premissas!$B$7*(1+Premissas!$B$127)*(1+Premissas!$B$124)^4)</f>
        <v>0</v>
      </c>
      <c r="BA235" s="144">
        <f>IF(BA230&gt;0,0,MAX(BA226-BA227-BA228,0)*Premissas!$B$7*(1+Premissas!$B$127)*(1+Premissas!$B$124)^4)</f>
        <v>0</v>
      </c>
      <c r="BB235" s="144">
        <f>IF(BB230&gt;0,0,MAX(BB226-BB227-BB228,0)*Premissas!$B$7*(1+Premissas!$B$127)*(1+Premissas!$B$124)^4)</f>
        <v>0</v>
      </c>
      <c r="BC235" s="144">
        <f>IF(BC230&gt;0,0,MAX(BC226-BC227-BC228,0)*Premissas!$B$7*(1+Premissas!$B$127)*(1+Premissas!$B$124)^4)</f>
        <v>0</v>
      </c>
      <c r="BD235" s="144">
        <f>IF(BD230&gt;0,0,MAX(BD226-BD227-BD228,0)*Premissas!$B$7*(1+Premissas!$B$127)*(1+Premissas!$B$124)^4)</f>
        <v>0</v>
      </c>
      <c r="BE235" s="144">
        <f>IF(BE230&gt;0,0,MAX(BE226-BE227-BE228,0)*Premissas!$B$7*(1+Premissas!$B$127)*(1+Premissas!$B$124)^4)</f>
        <v>0</v>
      </c>
      <c r="BF235" s="144">
        <f>IF(BF230&gt;0,0,MAX(BF226-BF227-BF228,0)*Premissas!$B$7*(1+Premissas!$B$127)*(1+Premissas!$B$124)^4)</f>
        <v>0</v>
      </c>
      <c r="BG235" s="144">
        <f>IF(BG230&gt;0,0,MAX(BG226-BG227-BG228,0)*Premissas!$B$7*(1+Premissas!$B$127)*(1+Premissas!$B$124)^4)</f>
        <v>0</v>
      </c>
      <c r="BH235" s="144">
        <f>IF(BH230&gt;0,0,MAX(BH226-BH227-BH228,0)*Premissas!$B$7*(1+Premissas!$B$127)*(1+Premissas!$B$124)^4)</f>
        <v>0</v>
      </c>
      <c r="BI235" s="144">
        <f>IF(BI230&gt;0,0,MAX(BI226-BI227-BI228,0)*Premissas!$B$7*(1+Premissas!$B$127)*(1+Premissas!$B$124)^4)</f>
        <v>0</v>
      </c>
      <c r="BJ235" s="144">
        <f>IF(BJ230&gt;0,0,MAX(BJ226-BJ227-BJ228,0)*Premissas!$B$7*(1+Premissas!$B$127)*(1+Premissas!$B$124)^4)</f>
        <v>0</v>
      </c>
      <c r="BK235" s="144">
        <f>IF(BK230&gt;0,0,MAX(BK226-BK227-BK228,0)*Premissas!$B$7*(1+Premissas!$B$127)*(1+Premissas!$B$124)^4)</f>
        <v>0</v>
      </c>
    </row>
    <row r="236" spans="1:63" ht="13.5" customHeight="1" x14ac:dyDescent="0.2">
      <c r="A236" s="154" t="s">
        <v>416</v>
      </c>
      <c r="B236" s="145">
        <f>SUM(D236:BQ236)</f>
        <v>99156.669172035487</v>
      </c>
      <c r="C236" s="157">
        <f>B236/60</f>
        <v>1652.6111528672582</v>
      </c>
      <c r="D236" s="145">
        <f t="shared" ref="D236:AI236" si="222">MAX(D234-D235,0)</f>
        <v>1072.2682922022077</v>
      </c>
      <c r="E236" s="145">
        <f t="shared" si="222"/>
        <v>1090.689675305227</v>
      </c>
      <c r="F236" s="145">
        <f t="shared" si="222"/>
        <v>1101.6557096207721</v>
      </c>
      <c r="G236" s="145">
        <f t="shared" si="222"/>
        <v>1141.0375694190689</v>
      </c>
      <c r="H236" s="145">
        <f t="shared" si="222"/>
        <v>1170.0557819020241</v>
      </c>
      <c r="I236" s="145">
        <f t="shared" si="222"/>
        <v>901.63731643468657</v>
      </c>
      <c r="J236" s="145">
        <f t="shared" si="222"/>
        <v>1473.710648241522</v>
      </c>
      <c r="K236" s="145">
        <f t="shared" si="222"/>
        <v>1650.773562624127</v>
      </c>
      <c r="L236" s="145">
        <f t="shared" si="222"/>
        <v>1649.7112887743042</v>
      </c>
      <c r="M236" s="145">
        <f t="shared" si="222"/>
        <v>1616.7807994298075</v>
      </c>
      <c r="N236" s="145">
        <f t="shared" si="222"/>
        <v>1286.4136321350179</v>
      </c>
      <c r="O236" s="145">
        <f t="shared" si="222"/>
        <v>1469.1247343044836</v>
      </c>
      <c r="P236" s="145">
        <f t="shared" si="222"/>
        <v>1273.517627598173</v>
      </c>
      <c r="Q236" s="145">
        <f t="shared" si="222"/>
        <v>1505.4757454454086</v>
      </c>
      <c r="R236" s="145">
        <f t="shared" si="222"/>
        <v>1196.948928502969</v>
      </c>
      <c r="S236" s="145">
        <f t="shared" si="222"/>
        <v>1239.7373191738182</v>
      </c>
      <c r="T236" s="145">
        <f t="shared" si="222"/>
        <v>1271.2656070365495</v>
      </c>
      <c r="U236" s="145">
        <f t="shared" si="222"/>
        <v>979.62894430628683</v>
      </c>
      <c r="V236" s="145">
        <f t="shared" si="222"/>
        <v>1601.186619314414</v>
      </c>
      <c r="W236" s="145">
        <f t="shared" si="222"/>
        <v>1749.8199763815746</v>
      </c>
      <c r="X236" s="145">
        <f t="shared" si="222"/>
        <v>1748.6939661007625</v>
      </c>
      <c r="Y236" s="145">
        <f t="shared" si="222"/>
        <v>1713.787647395596</v>
      </c>
      <c r="Z236" s="145">
        <f t="shared" si="222"/>
        <v>1363.5984500631191</v>
      </c>
      <c r="AA236" s="145">
        <f t="shared" si="222"/>
        <v>1557.2722183627527</v>
      </c>
      <c r="AB236" s="145">
        <f t="shared" si="222"/>
        <v>1691.9762652511311</v>
      </c>
      <c r="AC236" s="145">
        <f t="shared" si="222"/>
        <v>1691.9762652511311</v>
      </c>
      <c r="AD236" s="145">
        <f t="shared" si="222"/>
        <v>1691.9762652511311</v>
      </c>
      <c r="AE236" s="145">
        <f t="shared" si="222"/>
        <v>1691.9762652511311</v>
      </c>
      <c r="AF236" s="145">
        <f t="shared" si="222"/>
        <v>1691.9762652511311</v>
      </c>
      <c r="AG236" s="145">
        <f t="shared" si="222"/>
        <v>1691.9762652511311</v>
      </c>
      <c r="AH236" s="145">
        <f t="shared" si="222"/>
        <v>1691.9762652511311</v>
      </c>
      <c r="AI236" s="145">
        <f t="shared" si="222"/>
        <v>1691.9762652511311</v>
      </c>
      <c r="AJ236" s="145">
        <f t="shared" ref="AJ236:BO236" si="223">MAX(AJ234-AJ235,0)</f>
        <v>1691.9762652511311</v>
      </c>
      <c r="AK236" s="145">
        <f t="shared" si="223"/>
        <v>1691.9762652511311</v>
      </c>
      <c r="AL236" s="145">
        <f t="shared" si="223"/>
        <v>1691.9762652511311</v>
      </c>
      <c r="AM236" s="145">
        <f t="shared" si="223"/>
        <v>1691.9762652511311</v>
      </c>
      <c r="AN236" s="145">
        <f t="shared" si="223"/>
        <v>1838.332212195354</v>
      </c>
      <c r="AO236" s="145">
        <f t="shared" si="223"/>
        <v>1838.332212195354</v>
      </c>
      <c r="AP236" s="145">
        <f t="shared" si="223"/>
        <v>1838.332212195354</v>
      </c>
      <c r="AQ236" s="145">
        <f t="shared" si="223"/>
        <v>1838.332212195354</v>
      </c>
      <c r="AR236" s="145">
        <f t="shared" si="223"/>
        <v>1838.332212195354</v>
      </c>
      <c r="AS236" s="145">
        <f t="shared" si="223"/>
        <v>1838.332212195354</v>
      </c>
      <c r="AT236" s="145">
        <f t="shared" si="223"/>
        <v>1838.332212195354</v>
      </c>
      <c r="AU236" s="145">
        <f t="shared" si="223"/>
        <v>1838.332212195354</v>
      </c>
      <c r="AV236" s="145">
        <f t="shared" si="223"/>
        <v>1838.332212195354</v>
      </c>
      <c r="AW236" s="145">
        <f t="shared" si="223"/>
        <v>1838.332212195354</v>
      </c>
      <c r="AX236" s="145">
        <f t="shared" si="223"/>
        <v>1838.332212195354</v>
      </c>
      <c r="AY236" s="145">
        <f t="shared" si="223"/>
        <v>1838.332212195354</v>
      </c>
      <c r="AZ236" s="145">
        <f t="shared" si="223"/>
        <v>1997.3479485502519</v>
      </c>
      <c r="BA236" s="145">
        <f t="shared" si="223"/>
        <v>1997.3479485502519</v>
      </c>
      <c r="BB236" s="145">
        <f t="shared" si="223"/>
        <v>1997.3479485502519</v>
      </c>
      <c r="BC236" s="145">
        <f t="shared" si="223"/>
        <v>1997.3479485502519</v>
      </c>
      <c r="BD236" s="145">
        <f t="shared" si="223"/>
        <v>1997.3479485502519</v>
      </c>
      <c r="BE236" s="145">
        <f t="shared" si="223"/>
        <v>1997.3479485502519</v>
      </c>
      <c r="BF236" s="145">
        <f t="shared" si="223"/>
        <v>1997.3479485502519</v>
      </c>
      <c r="BG236" s="145">
        <f t="shared" si="223"/>
        <v>1997.3479485502519</v>
      </c>
      <c r="BH236" s="145">
        <f t="shared" si="223"/>
        <v>1997.3479485502519</v>
      </c>
      <c r="BI236" s="145">
        <f t="shared" si="223"/>
        <v>1997.3479485502519</v>
      </c>
      <c r="BJ236" s="145">
        <f t="shared" si="223"/>
        <v>1997.3479485502519</v>
      </c>
      <c r="BK236" s="145">
        <f t="shared" si="223"/>
        <v>1997.3479485502519</v>
      </c>
    </row>
    <row r="237" spans="1:63" ht="15" customHeight="1" x14ac:dyDescent="0.2">
      <c r="A237" s="298" t="s">
        <v>441</v>
      </c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89"/>
      <c r="P237" s="289"/>
      <c r="Q237" s="289"/>
      <c r="R237" s="289"/>
      <c r="S237" s="289"/>
      <c r="T237" s="289"/>
      <c r="U237" s="289"/>
      <c r="V237" s="289"/>
      <c r="W237" s="289"/>
      <c r="X237" s="289"/>
      <c r="Y237" s="289"/>
      <c r="Z237" s="289"/>
      <c r="AA237" s="289"/>
    </row>
    <row r="238" spans="1:63" ht="12.75" customHeight="1" x14ac:dyDescent="0.2">
      <c r="A238" s="74" t="s">
        <v>403</v>
      </c>
      <c r="B238" s="89">
        <f>SUM(D238:BQ238)</f>
        <v>249095.08822499987</v>
      </c>
      <c r="C238" s="150">
        <f>B238/60</f>
        <v>4151.5848037499982</v>
      </c>
      <c r="D238" s="89">
        <f>3953</f>
        <v>3953</v>
      </c>
      <c r="E238" s="89">
        <f>4336</f>
        <v>4336</v>
      </c>
      <c r="F238" s="89">
        <f>4685</f>
        <v>4685</v>
      </c>
      <c r="G238" s="89">
        <f>3873</f>
        <v>3873</v>
      </c>
      <c r="H238" s="89">
        <f>3961</f>
        <v>3961</v>
      </c>
      <c r="I238" s="89">
        <f>3614</f>
        <v>3614</v>
      </c>
      <c r="J238" s="89">
        <f>3547</f>
        <v>3547</v>
      </c>
      <c r="K238" s="89">
        <f>4300*(1+Premissas!$B$21)</f>
        <v>4407.5</v>
      </c>
      <c r="L238" s="89">
        <f>4609*(1+Premissas!$B$21)</f>
        <v>4724.2249999999995</v>
      </c>
      <c r="M238" s="89">
        <f>3733*(1+Premissas!$B$21)</f>
        <v>3826.3249999999998</v>
      </c>
      <c r="N238" s="89">
        <f>3810*(1+Premissas!$B$21)</f>
        <v>3905.2499999999995</v>
      </c>
      <c r="O238" s="89">
        <f>3888*(1+Premissas!$B$21)</f>
        <v>3985.2</v>
      </c>
      <c r="P238" s="89">
        <f>3953*(1+Premissas!$B$21)</f>
        <v>4051.8249999999998</v>
      </c>
      <c r="Q238" s="89">
        <f>4336*(1+Premissas!$B$21)</f>
        <v>4444.3999999999996</v>
      </c>
      <c r="R238" s="89">
        <f>4685*(1+Premissas!$B$21)</f>
        <v>4802.125</v>
      </c>
      <c r="S238" s="89">
        <f>3873*(1+Premissas!$B$21)</f>
        <v>3969.8249999999998</v>
      </c>
      <c r="T238" s="89">
        <f>3961*(1+Premissas!$B$21)</f>
        <v>4060.0249999999996</v>
      </c>
      <c r="U238" s="89">
        <f>3614*(1+Premissas!$B$21)</f>
        <v>3704.3499999999995</v>
      </c>
      <c r="V238" s="89">
        <f>3547*(1+Premissas!$B$21)</f>
        <v>3635.6749999999997</v>
      </c>
      <c r="W238" s="89">
        <f>4300*(1+Premissas!$B$21)</f>
        <v>4407.5</v>
      </c>
      <c r="X238" s="89">
        <f>4609*(1+Premissas!$B$21)</f>
        <v>4724.2249999999995</v>
      </c>
      <c r="Y238" s="89">
        <f>3733*(1+Premissas!$B$21)</f>
        <v>3826.3249999999998</v>
      </c>
      <c r="Z238" s="89">
        <f>3810*(1+Premissas!$B$21)</f>
        <v>3905.2499999999995</v>
      </c>
      <c r="AA238" s="89">
        <f>3888*(1+Premissas!$B$21)</f>
        <v>3985.2</v>
      </c>
      <c r="AB238" s="89">
        <f>3888*(1+Premissas!$B$21)^2</f>
        <v>4084.8299999999995</v>
      </c>
      <c r="AC238" s="89">
        <f>3888*(1+Premissas!$B$21)^2</f>
        <v>4084.8299999999995</v>
      </c>
      <c r="AD238" s="89">
        <f>3888*(1+Premissas!$B$21)^2</f>
        <v>4084.8299999999995</v>
      </c>
      <c r="AE238" s="89">
        <f>3888*(1+Premissas!$B$21)^2</f>
        <v>4084.8299999999995</v>
      </c>
      <c r="AF238" s="89">
        <f>3888*(1+Premissas!$B$21)^2</f>
        <v>4084.8299999999995</v>
      </c>
      <c r="AG238" s="89">
        <f>3888*(1+Premissas!$B$21)^2</f>
        <v>4084.8299999999995</v>
      </c>
      <c r="AH238" s="89">
        <f>3888*(1+Premissas!$B$21)^2</f>
        <v>4084.8299999999995</v>
      </c>
      <c r="AI238" s="89">
        <f>3888*(1+Premissas!$B$21)^2</f>
        <v>4084.8299999999995</v>
      </c>
      <c r="AJ238" s="89">
        <f>3888*(1+Premissas!$B$21)^2</f>
        <v>4084.8299999999995</v>
      </c>
      <c r="AK238" s="89">
        <f>3888*(1+Premissas!$B$21)^2</f>
        <v>4084.8299999999995</v>
      </c>
      <c r="AL238" s="89">
        <f>3888*(1+Premissas!$B$21)^2</f>
        <v>4084.8299999999995</v>
      </c>
      <c r="AM238" s="89">
        <f>3888*(1+Premissas!$B$21)^2</f>
        <v>4084.8299999999995</v>
      </c>
      <c r="AN238" s="89">
        <f>3888*(1+Premissas!$B$21)^3</f>
        <v>4186.95075</v>
      </c>
      <c r="AO238" s="89">
        <f>3888*(1+Premissas!$B$21)^3</f>
        <v>4186.95075</v>
      </c>
      <c r="AP238" s="89">
        <f>3888*(1+Premissas!$B$21)^3</f>
        <v>4186.95075</v>
      </c>
      <c r="AQ238" s="89">
        <f>3888*(1+Premissas!$B$21)^3</f>
        <v>4186.95075</v>
      </c>
      <c r="AR238" s="89">
        <f>3888*(1+Premissas!$B$21)^3</f>
        <v>4186.95075</v>
      </c>
      <c r="AS238" s="89">
        <f>3888*(1+Premissas!$B$21)^3</f>
        <v>4186.95075</v>
      </c>
      <c r="AT238" s="89">
        <f>3888*(1+Premissas!$B$21)^3</f>
        <v>4186.95075</v>
      </c>
      <c r="AU238" s="89">
        <f>3888*(1+Premissas!$B$21)^3</f>
        <v>4186.95075</v>
      </c>
      <c r="AV238" s="89">
        <f>3888*(1+Premissas!$B$21)^3</f>
        <v>4186.95075</v>
      </c>
      <c r="AW238" s="89">
        <f>3888*(1+Premissas!$B$21)^3</f>
        <v>4186.95075</v>
      </c>
      <c r="AX238" s="89">
        <f>3888*(1+Premissas!$B$21)^3</f>
        <v>4186.95075</v>
      </c>
      <c r="AY238" s="89">
        <f>3888*(1+Premissas!$B$21)^3</f>
        <v>4186.95075</v>
      </c>
      <c r="AZ238" s="89">
        <f>3888*(1+Premissas!$B$21)^4</f>
        <v>4291.624518749999</v>
      </c>
      <c r="BA238" s="89">
        <f>3888*(1+Premissas!$B$21)^4</f>
        <v>4291.624518749999</v>
      </c>
      <c r="BB238" s="89">
        <f>3888*(1+Premissas!$B$21)^4</f>
        <v>4291.624518749999</v>
      </c>
      <c r="BC238" s="89">
        <f>3888*(1+Premissas!$B$21)^4</f>
        <v>4291.624518749999</v>
      </c>
      <c r="BD238" s="89">
        <f>3888*(1+Premissas!$B$21)^4</f>
        <v>4291.624518749999</v>
      </c>
      <c r="BE238" s="89">
        <f>3888*(1+Premissas!$B$21)^4</f>
        <v>4291.624518749999</v>
      </c>
      <c r="BF238" s="89">
        <f>3888*(1+Premissas!$B$21)^4</f>
        <v>4291.624518749999</v>
      </c>
      <c r="BG238" s="89">
        <f>3888*(1+Premissas!$B$21)^4</f>
        <v>4291.624518749999</v>
      </c>
      <c r="BH238" s="89">
        <f>3888*(1+Premissas!$B$21)^4</f>
        <v>4291.624518749999</v>
      </c>
      <c r="BI238" s="89">
        <f>3888*(1+Premissas!$B$21)^4</f>
        <v>4291.624518749999</v>
      </c>
      <c r="BJ238" s="89">
        <f>3888*(1+Premissas!$B$21)^4</f>
        <v>4291.624518749999</v>
      </c>
      <c r="BK238" s="89">
        <f>3888*(1+Premissas!$B$21)^4</f>
        <v>4291.624518749999</v>
      </c>
    </row>
    <row r="239" spans="1:63" ht="12.75" customHeight="1" x14ac:dyDescent="0.2">
      <c r="A239" s="122" t="str">
        <f>"  "&amp;INDEX(PVSYST_Helexia!$A$5:$A$7,MATCH(Premissas!$B$13,PVSYST_Helexia!$B$5:$B$7,0))&amp;" créditos recebidos (kWh)"</f>
        <v xml:space="preserve">  HCS03 créditos recebidos (kWh)</v>
      </c>
      <c r="B239" s="135">
        <f>SUM(D239:BQ239)</f>
        <v>246184.05849260185</v>
      </c>
      <c r="C239" s="150">
        <f>B239/60</f>
        <v>4103.0676415433645</v>
      </c>
      <c r="D239" s="136">
        <f>D6*Premissas!$B$50</f>
        <v>3223.74</v>
      </c>
      <c r="E239" s="136">
        <f>E6*Premissas!$B$50</f>
        <v>3393.2599999999993</v>
      </c>
      <c r="F239" s="136">
        <f>F6*Premissas!$B$50</f>
        <v>4073.4199999999996</v>
      </c>
      <c r="G239" s="136">
        <f>G6*Premissas!$B$50</f>
        <v>3822.2599999999998</v>
      </c>
      <c r="H239" s="136">
        <f>H6*Premissas!$C$50</f>
        <v>5514.42</v>
      </c>
      <c r="I239" s="136">
        <f>I6*Premissas!$C$50</f>
        <v>5331.92</v>
      </c>
      <c r="J239" s="136">
        <f>J6*Premissas!$C$50</f>
        <v>5062.915</v>
      </c>
      <c r="K239" s="136">
        <f>K6*Premissas!$C$50</f>
        <v>5198.4869499999995</v>
      </c>
      <c r="L239" s="136">
        <f>L6*Premissas!$C$50</f>
        <v>4632.2971250000001</v>
      </c>
      <c r="M239" s="136">
        <f>M6*Premissas!$C$50</f>
        <v>5313.2502500000001</v>
      </c>
      <c r="N239" s="136">
        <f>N6*Premissas!$D$50</f>
        <v>5330.6786700000011</v>
      </c>
      <c r="O239" s="136">
        <f>O6*Premissas!$D$50</f>
        <v>4988.8842300000006</v>
      </c>
      <c r="P239" s="136">
        <f>P6*Premissas!$D$50</f>
        <v>4527.6808350000001</v>
      </c>
      <c r="Q239" s="136">
        <f>Q6*Premissas!$D$50</f>
        <v>4765.7684149999995</v>
      </c>
      <c r="R239" s="136">
        <f>R6*Premissas!$D$50</f>
        <v>5721.0400550000004</v>
      </c>
      <c r="S239" s="136">
        <f>S6*Premissas!$D$50</f>
        <v>5368.2906650000014</v>
      </c>
      <c r="T239" s="136">
        <f>T6*Premissas!$E$50</f>
        <v>5997.95154</v>
      </c>
      <c r="U239" s="136">
        <f>U6*Premissas!$E$50</f>
        <v>5799.4490399999995</v>
      </c>
      <c r="V239" s="136">
        <f>V6*Premissas!$E$50</f>
        <v>5506.8563549999999</v>
      </c>
      <c r="W239" s="136">
        <f>W6*Premissas!$E$50</f>
        <v>5682.7295699999995</v>
      </c>
      <c r="X239" s="136">
        <f>X6*Premissas!$E$50</f>
        <v>5063.7987749999993</v>
      </c>
      <c r="Y239" s="136">
        <f>Y6*Premissas!$E$50</f>
        <v>5808.1831499999998</v>
      </c>
      <c r="Z239" s="136">
        <f>Z6*Premissas!$E$50</f>
        <v>5795.4789899999996</v>
      </c>
      <c r="AA239" s="136">
        <f>AA6*Premissas!$E$50</f>
        <v>5423.8823099999991</v>
      </c>
      <c r="AB239" s="136">
        <f>AB6*Premissas!$F$50</f>
        <v>2626.91847465</v>
      </c>
      <c r="AC239" s="136">
        <f>AC6*Premissas!$F$50</f>
        <v>2765.0546828499996</v>
      </c>
      <c r="AD239" s="136">
        <f>AD6*Premissas!$F$50</f>
        <v>3319.2944384500001</v>
      </c>
      <c r="AE239" s="136">
        <f>AE6*Premissas!$F$50</f>
        <v>3114.6325103499998</v>
      </c>
      <c r="AF239" s="136">
        <f>AF6*Premissas!$F$50</f>
        <v>3200.8617078000002</v>
      </c>
      <c r="AG239" s="136">
        <f>AG6*Premissas!$F$50</f>
        <v>3094.9290328000002</v>
      </c>
      <c r="AH239" s="136">
        <f>AH6*Premissas!$G$50</f>
        <v>3295.8328260000003</v>
      </c>
      <c r="AI239" s="136">
        <f>AI6*Premissas!$G$50</f>
        <v>3401.0922840000003</v>
      </c>
      <c r="AJ239" s="136">
        <f>AJ6*Premissas!$G$50</f>
        <v>3030.66453</v>
      </c>
      <c r="AK239" s="136">
        <f>AK6*Premissas!$G$50</f>
        <v>3476.17578</v>
      </c>
      <c r="AL239" s="136">
        <f>AL6*Premissas!$G$50</f>
        <v>3468.5723880000005</v>
      </c>
      <c r="AM239" s="136">
        <f>AM6*Premissas!$G$50</f>
        <v>3246.1731720000007</v>
      </c>
      <c r="AN239" s="136">
        <f>AN6*Premissas!$H$50</f>
        <v>2687.0675425274999</v>
      </c>
      <c r="AO239" s="136">
        <f>AO6*Premissas!$H$50</f>
        <v>2828.3666825974997</v>
      </c>
      <c r="AP239" s="136">
        <f>AP6*Premissas!$H$50</f>
        <v>3395.2969746575</v>
      </c>
      <c r="AQ239" s="136">
        <f>AQ6*Premissas!$H$50</f>
        <v>3185.9488622224999</v>
      </c>
      <c r="AR239" s="136">
        <f>AR6*Premissas!$H$50</f>
        <v>3274.1524665299999</v>
      </c>
      <c r="AS239" s="136">
        <f>AS6*Premissas!$H$50</f>
        <v>3165.7942302800002</v>
      </c>
      <c r="AT239" s="136">
        <f>AT6*Premissas!$I$50</f>
        <v>3361.3375034167502</v>
      </c>
      <c r="AU239" s="136">
        <f>AU6*Premissas!$I$50</f>
        <v>3468.6889931444998</v>
      </c>
      <c r="AV239" s="136">
        <f>AV6*Premissas!$I$50</f>
        <v>3090.8989875337502</v>
      </c>
      <c r="AW239" s="136">
        <f>AW6*Premissas!$I$50</f>
        <v>3545.2647736275003</v>
      </c>
      <c r="AX239" s="136">
        <f>AX6*Premissas!$I$50</f>
        <v>3537.5102642115003</v>
      </c>
      <c r="AY239" s="136">
        <f>AY6*Premissas!$I$50</f>
        <v>3310.6908637934998</v>
      </c>
      <c r="AZ239" s="136">
        <f>AZ6*Premissas!$J$50</f>
        <v>3305.5816350438299</v>
      </c>
      <c r="BA239" s="136">
        <f>BA6*Premissas!$J$50</f>
        <v>3479.4052680826694</v>
      </c>
      <c r="BB239" s="136">
        <f>BB6*Premissas!$J$50</f>
        <v>4176.8326055513899</v>
      </c>
      <c r="BC239" s="136">
        <f>BC6*Premissas!$J$50</f>
        <v>3919.2963639631703</v>
      </c>
      <c r="BD239" s="136">
        <f>BD6*Premissas!$J$50</f>
        <v>4027.80283428036</v>
      </c>
      <c r="BE239" s="136">
        <f>BE6*Premissas!$J$50</f>
        <v>3894.5025021953602</v>
      </c>
      <c r="BF239" s="136">
        <f>BF6*Premissas!$K$50</f>
        <v>4160.2700392898296</v>
      </c>
      <c r="BG239" s="136">
        <f>BG6*Premissas!$K$50</f>
        <v>4293.1371452955527</v>
      </c>
      <c r="BH239" s="136">
        <f>BH6*Premissas!$K$50</f>
        <v>3825.5529054243939</v>
      </c>
      <c r="BI239" s="136">
        <f>BI6*Premissas!$K$50</f>
        <v>4387.9136814079875</v>
      </c>
      <c r="BJ239" s="136">
        <f>BJ6*Premissas!$K$50</f>
        <v>4378.3160574978674</v>
      </c>
      <c r="BK239" s="136">
        <f>BK6*Premissas!$K$50</f>
        <v>4097.5855581268579</v>
      </c>
    </row>
    <row r="240" spans="1:63" ht="12.75" customHeight="1" x14ac:dyDescent="0.2">
      <c r="A240" s="126" t="s">
        <v>434</v>
      </c>
      <c r="B240" s="150">
        <f>AA240</f>
        <v>23908.054615000005</v>
      </c>
      <c r="C240" s="150" t="s">
        <v>397</v>
      </c>
      <c r="D240" s="150">
        <f>0</f>
        <v>0</v>
      </c>
      <c r="E240" s="150">
        <f t="shared" ref="E240:AJ240" si="224">D242</f>
        <v>0</v>
      </c>
      <c r="F240" s="150">
        <f t="shared" si="224"/>
        <v>0</v>
      </c>
      <c r="G240" s="150">
        <f t="shared" si="224"/>
        <v>0</v>
      </c>
      <c r="H240" s="150">
        <f t="shared" si="224"/>
        <v>0</v>
      </c>
      <c r="I240" s="150">
        <f t="shared" si="224"/>
        <v>1553.42</v>
      </c>
      <c r="J240" s="150">
        <f t="shared" si="224"/>
        <v>3271.34</v>
      </c>
      <c r="K240" s="150">
        <f t="shared" si="224"/>
        <v>4787.2550000000001</v>
      </c>
      <c r="L240" s="150">
        <f t="shared" si="224"/>
        <v>5578.2419499999996</v>
      </c>
      <c r="M240" s="150">
        <f t="shared" si="224"/>
        <v>5486.3140750000002</v>
      </c>
      <c r="N240" s="150">
        <f t="shared" si="224"/>
        <v>6973.2393250000005</v>
      </c>
      <c r="O240" s="150">
        <f t="shared" si="224"/>
        <v>8398.6679950000016</v>
      </c>
      <c r="P240" s="150">
        <f t="shared" si="224"/>
        <v>9402.3522250000024</v>
      </c>
      <c r="Q240" s="150">
        <f t="shared" si="224"/>
        <v>9878.2080600000027</v>
      </c>
      <c r="R240" s="150">
        <f t="shared" si="224"/>
        <v>10199.576475000002</v>
      </c>
      <c r="S240" s="150">
        <f t="shared" si="224"/>
        <v>11118.491530000003</v>
      </c>
      <c r="T240" s="150">
        <f t="shared" si="224"/>
        <v>12516.957195000005</v>
      </c>
      <c r="U240" s="150">
        <f t="shared" si="224"/>
        <v>14454.883735000005</v>
      </c>
      <c r="V240" s="150">
        <f t="shared" si="224"/>
        <v>16549.982775000004</v>
      </c>
      <c r="W240" s="150">
        <f t="shared" si="224"/>
        <v>18421.164130000005</v>
      </c>
      <c r="X240" s="150">
        <f t="shared" si="224"/>
        <v>19696.393700000004</v>
      </c>
      <c r="Y240" s="150">
        <f t="shared" si="224"/>
        <v>20035.967475000005</v>
      </c>
      <c r="Z240" s="150">
        <f t="shared" si="224"/>
        <v>22017.825625000005</v>
      </c>
      <c r="AA240" s="150">
        <f t="shared" si="224"/>
        <v>23908.054615000005</v>
      </c>
      <c r="AB240" s="150">
        <f t="shared" si="224"/>
        <v>25346.736925000005</v>
      </c>
      <c r="AC240" s="150">
        <f t="shared" si="224"/>
        <v>23888.825399650006</v>
      </c>
      <c r="AD240" s="150">
        <f t="shared" si="224"/>
        <v>22569.050082500005</v>
      </c>
      <c r="AE240" s="150">
        <f t="shared" si="224"/>
        <v>21803.514520950004</v>
      </c>
      <c r="AF240" s="150">
        <f t="shared" si="224"/>
        <v>20833.317031300005</v>
      </c>
      <c r="AG240" s="150">
        <f t="shared" si="224"/>
        <v>19949.348739100005</v>
      </c>
      <c r="AH240" s="150">
        <f t="shared" si="224"/>
        <v>18959.447771900006</v>
      </c>
      <c r="AI240" s="150">
        <f t="shared" si="224"/>
        <v>18170.450597900006</v>
      </c>
      <c r="AJ240" s="150">
        <f t="shared" si="224"/>
        <v>17486.712881900006</v>
      </c>
      <c r="AK240" s="150">
        <f t="shared" ref="AK240:BK240" si="225">AJ242</f>
        <v>16432.547411900006</v>
      </c>
      <c r="AL240" s="150">
        <f t="shared" si="225"/>
        <v>15823.893191900006</v>
      </c>
      <c r="AM240" s="150">
        <f t="shared" si="225"/>
        <v>15207.635579900007</v>
      </c>
      <c r="AN240" s="150">
        <f t="shared" si="225"/>
        <v>14368.978751900007</v>
      </c>
      <c r="AO240" s="150">
        <f t="shared" si="225"/>
        <v>12869.095544427508</v>
      </c>
      <c r="AP240" s="150">
        <f t="shared" si="225"/>
        <v>11510.511477025007</v>
      </c>
      <c r="AQ240" s="150">
        <f t="shared" si="225"/>
        <v>10718.857701682507</v>
      </c>
      <c r="AR240" s="150">
        <f t="shared" si="225"/>
        <v>9717.8558139050074</v>
      </c>
      <c r="AS240" s="150">
        <f t="shared" si="225"/>
        <v>8805.0575304350077</v>
      </c>
      <c r="AT240" s="150">
        <f t="shared" si="225"/>
        <v>7783.9010107150079</v>
      </c>
      <c r="AU240" s="150">
        <f t="shared" si="225"/>
        <v>6958.2877641317582</v>
      </c>
      <c r="AV240" s="150">
        <f t="shared" si="225"/>
        <v>6240.0260072762576</v>
      </c>
      <c r="AW240" s="150">
        <f t="shared" si="225"/>
        <v>5143.9742448100078</v>
      </c>
      <c r="AX240" s="150">
        <f t="shared" si="225"/>
        <v>4502.2882684375081</v>
      </c>
      <c r="AY240" s="150">
        <f t="shared" si="225"/>
        <v>3852.8477826490084</v>
      </c>
      <c r="AZ240" s="150">
        <f t="shared" si="225"/>
        <v>2976.5878964425083</v>
      </c>
      <c r="BA240" s="150">
        <f t="shared" si="225"/>
        <v>1990.5450127363392</v>
      </c>
      <c r="BB240" s="150">
        <f t="shared" si="225"/>
        <v>1178.3257620690097</v>
      </c>
      <c r="BC240" s="150">
        <f t="shared" si="225"/>
        <v>1063.5338488704006</v>
      </c>
      <c r="BD240" s="150">
        <f t="shared" si="225"/>
        <v>691.20569408357187</v>
      </c>
      <c r="BE240" s="150">
        <f t="shared" si="225"/>
        <v>427.3840096139329</v>
      </c>
      <c r="BF240" s="150">
        <f t="shared" si="225"/>
        <v>30.261993059294127</v>
      </c>
      <c r="BG240" s="150">
        <f t="shared" si="225"/>
        <v>0</v>
      </c>
      <c r="BH240" s="150">
        <f t="shared" si="225"/>
        <v>1.5126265455537578</v>
      </c>
      <c r="BI240" s="150">
        <f t="shared" si="225"/>
        <v>0</v>
      </c>
      <c r="BJ240" s="150">
        <f t="shared" si="225"/>
        <v>96.289162657988527</v>
      </c>
      <c r="BK240" s="150">
        <f t="shared" si="225"/>
        <v>182.98070140585696</v>
      </c>
    </row>
    <row r="241" spans="1:63" ht="12.75" customHeight="1" x14ac:dyDescent="0.2">
      <c r="A241" s="126" t="s">
        <v>435</v>
      </c>
      <c r="B241" s="150">
        <f>SUM(D241:BQ241)</f>
        <v>25623.158127951414</v>
      </c>
      <c r="C241" s="150">
        <f>B241/60</f>
        <v>427.05263546585689</v>
      </c>
      <c r="D241" s="120">
        <f t="shared" ref="D241:AI241" si="226">MIN(D240,MAX(D238-D239,0))</f>
        <v>0</v>
      </c>
      <c r="E241" s="120">
        <f t="shared" si="226"/>
        <v>0</v>
      </c>
      <c r="F241" s="120">
        <f t="shared" si="226"/>
        <v>0</v>
      </c>
      <c r="G241" s="120">
        <f t="shared" si="226"/>
        <v>0</v>
      </c>
      <c r="H241" s="120">
        <f t="shared" si="226"/>
        <v>0</v>
      </c>
      <c r="I241" s="120">
        <f t="shared" si="226"/>
        <v>0</v>
      </c>
      <c r="J241" s="120">
        <f t="shared" si="226"/>
        <v>0</v>
      </c>
      <c r="K241" s="120">
        <f t="shared" si="226"/>
        <v>0</v>
      </c>
      <c r="L241" s="120">
        <f t="shared" si="226"/>
        <v>91.927874999999403</v>
      </c>
      <c r="M241" s="120">
        <f t="shared" si="226"/>
        <v>0</v>
      </c>
      <c r="N241" s="120">
        <f t="shared" si="226"/>
        <v>0</v>
      </c>
      <c r="O241" s="120">
        <f t="shared" si="226"/>
        <v>0</v>
      </c>
      <c r="P241" s="120">
        <f t="shared" si="226"/>
        <v>0</v>
      </c>
      <c r="Q241" s="120">
        <f t="shared" si="226"/>
        <v>0</v>
      </c>
      <c r="R241" s="120">
        <f t="shared" si="226"/>
        <v>0</v>
      </c>
      <c r="S241" s="120">
        <f t="shared" si="226"/>
        <v>0</v>
      </c>
      <c r="T241" s="120">
        <f t="shared" si="226"/>
        <v>0</v>
      </c>
      <c r="U241" s="120">
        <f t="shared" si="226"/>
        <v>0</v>
      </c>
      <c r="V241" s="120">
        <f t="shared" si="226"/>
        <v>0</v>
      </c>
      <c r="W241" s="120">
        <f t="shared" si="226"/>
        <v>0</v>
      </c>
      <c r="X241" s="120">
        <f t="shared" si="226"/>
        <v>0</v>
      </c>
      <c r="Y241" s="120">
        <f t="shared" si="226"/>
        <v>0</v>
      </c>
      <c r="Z241" s="120">
        <f t="shared" si="226"/>
        <v>0</v>
      </c>
      <c r="AA241" s="120">
        <f t="shared" si="226"/>
        <v>0</v>
      </c>
      <c r="AB241" s="120">
        <f t="shared" si="226"/>
        <v>1457.9115253499995</v>
      </c>
      <c r="AC241" s="120">
        <f t="shared" si="226"/>
        <v>1319.7753171499999</v>
      </c>
      <c r="AD241" s="120">
        <f t="shared" si="226"/>
        <v>765.53556154999933</v>
      </c>
      <c r="AE241" s="120">
        <f t="shared" si="226"/>
        <v>970.19748964999962</v>
      </c>
      <c r="AF241" s="120">
        <f t="shared" si="226"/>
        <v>883.96829219999927</v>
      </c>
      <c r="AG241" s="120">
        <f t="shared" si="226"/>
        <v>989.90096719999929</v>
      </c>
      <c r="AH241" s="120">
        <f t="shared" si="226"/>
        <v>788.99717399999918</v>
      </c>
      <c r="AI241" s="120">
        <f t="shared" si="226"/>
        <v>683.73771599999918</v>
      </c>
      <c r="AJ241" s="120">
        <f t="shared" ref="AJ241:BO241" si="227">MIN(AJ240,MAX(AJ238-AJ239,0))</f>
        <v>1054.1654699999995</v>
      </c>
      <c r="AK241" s="120">
        <f t="shared" si="227"/>
        <v>608.65421999999944</v>
      </c>
      <c r="AL241" s="120">
        <f t="shared" si="227"/>
        <v>616.25761199999897</v>
      </c>
      <c r="AM241" s="120">
        <f t="shared" si="227"/>
        <v>838.65682799999877</v>
      </c>
      <c r="AN241" s="120">
        <f t="shared" si="227"/>
        <v>1499.8832074725001</v>
      </c>
      <c r="AO241" s="120">
        <f t="shared" si="227"/>
        <v>1358.5840674025003</v>
      </c>
      <c r="AP241" s="120">
        <f t="shared" si="227"/>
        <v>791.65377534250001</v>
      </c>
      <c r="AQ241" s="120">
        <f t="shared" si="227"/>
        <v>1001.0018877775001</v>
      </c>
      <c r="AR241" s="120">
        <f t="shared" si="227"/>
        <v>912.79828347000011</v>
      </c>
      <c r="AS241" s="120">
        <f t="shared" si="227"/>
        <v>1021.1565197199998</v>
      </c>
      <c r="AT241" s="120">
        <f t="shared" si="227"/>
        <v>825.61324658324975</v>
      </c>
      <c r="AU241" s="120">
        <f t="shared" si="227"/>
        <v>718.26175685550015</v>
      </c>
      <c r="AV241" s="120">
        <f t="shared" si="227"/>
        <v>1096.0517624662498</v>
      </c>
      <c r="AW241" s="120">
        <f t="shared" si="227"/>
        <v>641.68597637249968</v>
      </c>
      <c r="AX241" s="120">
        <f t="shared" si="227"/>
        <v>649.4404857884997</v>
      </c>
      <c r="AY241" s="120">
        <f t="shared" si="227"/>
        <v>876.25988620650014</v>
      </c>
      <c r="AZ241" s="120">
        <f t="shared" si="227"/>
        <v>986.04288370616905</v>
      </c>
      <c r="BA241" s="120">
        <f t="shared" si="227"/>
        <v>812.21925066732956</v>
      </c>
      <c r="BB241" s="120">
        <f t="shared" si="227"/>
        <v>114.79191319860911</v>
      </c>
      <c r="BC241" s="120">
        <f t="shared" si="227"/>
        <v>372.32815478682869</v>
      </c>
      <c r="BD241" s="120">
        <f t="shared" si="227"/>
        <v>263.82168446963897</v>
      </c>
      <c r="BE241" s="120">
        <f t="shared" si="227"/>
        <v>397.12201655463878</v>
      </c>
      <c r="BF241" s="120">
        <f t="shared" si="227"/>
        <v>30.261993059294127</v>
      </c>
      <c r="BG241" s="120">
        <f t="shared" si="227"/>
        <v>0</v>
      </c>
      <c r="BH241" s="120">
        <f t="shared" si="227"/>
        <v>1.5126265455537578</v>
      </c>
      <c r="BI241" s="120">
        <f t="shared" si="227"/>
        <v>0</v>
      </c>
      <c r="BJ241" s="120">
        <f t="shared" si="227"/>
        <v>0</v>
      </c>
      <c r="BK241" s="120">
        <f t="shared" si="227"/>
        <v>182.98070140585696</v>
      </c>
    </row>
    <row r="242" spans="1:63" ht="12.75" customHeight="1" x14ac:dyDescent="0.2">
      <c r="A242" s="154" t="s">
        <v>436</v>
      </c>
      <c r="B242" s="137">
        <f>AA242</f>
        <v>25346.736925000005</v>
      </c>
      <c r="C242" s="150" t="s">
        <v>397</v>
      </c>
      <c r="D242" s="137">
        <f t="shared" ref="D242:AI242" si="228">MAX(D240-D241,0)+MAX(D239-D238,0)</f>
        <v>0</v>
      </c>
      <c r="E242" s="137">
        <f t="shared" si="228"/>
        <v>0</v>
      </c>
      <c r="F242" s="137">
        <f t="shared" si="228"/>
        <v>0</v>
      </c>
      <c r="G242" s="137">
        <f t="shared" si="228"/>
        <v>0</v>
      </c>
      <c r="H242" s="137">
        <f t="shared" si="228"/>
        <v>1553.42</v>
      </c>
      <c r="I242" s="137">
        <f t="shared" si="228"/>
        <v>3271.34</v>
      </c>
      <c r="J242" s="137">
        <f t="shared" si="228"/>
        <v>4787.2550000000001</v>
      </c>
      <c r="K242" s="137">
        <f t="shared" si="228"/>
        <v>5578.2419499999996</v>
      </c>
      <c r="L242" s="137">
        <f t="shared" si="228"/>
        <v>5486.3140750000002</v>
      </c>
      <c r="M242" s="137">
        <f t="shared" si="228"/>
        <v>6973.2393250000005</v>
      </c>
      <c r="N242" s="137">
        <f t="shared" si="228"/>
        <v>8398.6679950000016</v>
      </c>
      <c r="O242" s="137">
        <f t="shared" si="228"/>
        <v>9402.3522250000024</v>
      </c>
      <c r="P242" s="137">
        <f t="shared" si="228"/>
        <v>9878.2080600000027</v>
      </c>
      <c r="Q242" s="137">
        <f t="shared" si="228"/>
        <v>10199.576475000002</v>
      </c>
      <c r="R242" s="137">
        <f t="shared" si="228"/>
        <v>11118.491530000003</v>
      </c>
      <c r="S242" s="137">
        <f t="shared" si="228"/>
        <v>12516.957195000005</v>
      </c>
      <c r="T242" s="137">
        <f t="shared" si="228"/>
        <v>14454.883735000005</v>
      </c>
      <c r="U242" s="137">
        <f t="shared" si="228"/>
        <v>16549.982775000004</v>
      </c>
      <c r="V242" s="137">
        <f t="shared" si="228"/>
        <v>18421.164130000005</v>
      </c>
      <c r="W242" s="137">
        <f t="shared" si="228"/>
        <v>19696.393700000004</v>
      </c>
      <c r="X242" s="137">
        <f t="shared" si="228"/>
        <v>20035.967475000005</v>
      </c>
      <c r="Y242" s="137">
        <f t="shared" si="228"/>
        <v>22017.825625000005</v>
      </c>
      <c r="Z242" s="137">
        <f t="shared" si="228"/>
        <v>23908.054615000005</v>
      </c>
      <c r="AA242" s="137">
        <f t="shared" si="228"/>
        <v>25346.736925000005</v>
      </c>
      <c r="AB242" s="137">
        <f t="shared" si="228"/>
        <v>23888.825399650006</v>
      </c>
      <c r="AC242" s="137">
        <f t="shared" si="228"/>
        <v>22569.050082500005</v>
      </c>
      <c r="AD242" s="137">
        <f t="shared" si="228"/>
        <v>21803.514520950004</v>
      </c>
      <c r="AE242" s="137">
        <f t="shared" si="228"/>
        <v>20833.317031300005</v>
      </c>
      <c r="AF242" s="137">
        <f t="shared" si="228"/>
        <v>19949.348739100005</v>
      </c>
      <c r="AG242" s="137">
        <f t="shared" si="228"/>
        <v>18959.447771900006</v>
      </c>
      <c r="AH242" s="137">
        <f t="shared" si="228"/>
        <v>18170.450597900006</v>
      </c>
      <c r="AI242" s="137">
        <f t="shared" si="228"/>
        <v>17486.712881900006</v>
      </c>
      <c r="AJ242" s="137">
        <f t="shared" ref="AJ242:BO242" si="229">MAX(AJ240-AJ241,0)+MAX(AJ239-AJ238,0)</f>
        <v>16432.547411900006</v>
      </c>
      <c r="AK242" s="137">
        <f t="shared" si="229"/>
        <v>15823.893191900006</v>
      </c>
      <c r="AL242" s="137">
        <f t="shared" si="229"/>
        <v>15207.635579900007</v>
      </c>
      <c r="AM242" s="137">
        <f t="shared" si="229"/>
        <v>14368.978751900007</v>
      </c>
      <c r="AN242" s="137">
        <f t="shared" si="229"/>
        <v>12869.095544427508</v>
      </c>
      <c r="AO242" s="137">
        <f t="shared" si="229"/>
        <v>11510.511477025007</v>
      </c>
      <c r="AP242" s="137">
        <f t="shared" si="229"/>
        <v>10718.857701682507</v>
      </c>
      <c r="AQ242" s="137">
        <f t="shared" si="229"/>
        <v>9717.8558139050074</v>
      </c>
      <c r="AR242" s="137">
        <f t="shared" si="229"/>
        <v>8805.0575304350077</v>
      </c>
      <c r="AS242" s="137">
        <f t="shared" si="229"/>
        <v>7783.9010107150079</v>
      </c>
      <c r="AT242" s="137">
        <f t="shared" si="229"/>
        <v>6958.2877641317582</v>
      </c>
      <c r="AU242" s="137">
        <f t="shared" si="229"/>
        <v>6240.0260072762576</v>
      </c>
      <c r="AV242" s="137">
        <f t="shared" si="229"/>
        <v>5143.9742448100078</v>
      </c>
      <c r="AW242" s="137">
        <f t="shared" si="229"/>
        <v>4502.2882684375081</v>
      </c>
      <c r="AX242" s="137">
        <f t="shared" si="229"/>
        <v>3852.8477826490084</v>
      </c>
      <c r="AY242" s="137">
        <f t="shared" si="229"/>
        <v>2976.5878964425083</v>
      </c>
      <c r="AZ242" s="137">
        <f t="shared" si="229"/>
        <v>1990.5450127363392</v>
      </c>
      <c r="BA242" s="137">
        <f t="shared" si="229"/>
        <v>1178.3257620690097</v>
      </c>
      <c r="BB242" s="137">
        <f t="shared" si="229"/>
        <v>1063.5338488704006</v>
      </c>
      <c r="BC242" s="137">
        <f t="shared" si="229"/>
        <v>691.20569408357187</v>
      </c>
      <c r="BD242" s="137">
        <f t="shared" si="229"/>
        <v>427.3840096139329</v>
      </c>
      <c r="BE242" s="137">
        <f t="shared" si="229"/>
        <v>30.261993059294127</v>
      </c>
      <c r="BF242" s="137">
        <f t="shared" si="229"/>
        <v>0</v>
      </c>
      <c r="BG242" s="137">
        <f t="shared" si="229"/>
        <v>1.5126265455537578</v>
      </c>
      <c r="BH242" s="137">
        <f t="shared" si="229"/>
        <v>0</v>
      </c>
      <c r="BI242" s="137">
        <f t="shared" si="229"/>
        <v>96.289162657988527</v>
      </c>
      <c r="BJ242" s="137">
        <f t="shared" si="229"/>
        <v>182.98070140585696</v>
      </c>
      <c r="BK242" s="137">
        <f t="shared" si="229"/>
        <v>0</v>
      </c>
    </row>
    <row r="243" spans="1:63" ht="12.75" customHeight="1" x14ac:dyDescent="0.2">
      <c r="A243" s="126" t="s">
        <v>437</v>
      </c>
      <c r="B243" s="150">
        <f>AA243</f>
        <v>0</v>
      </c>
      <c r="C243" s="150" t="s">
        <v>397</v>
      </c>
      <c r="D243" s="120">
        <f>0</f>
        <v>0</v>
      </c>
      <c r="E243" s="120">
        <f>0</f>
        <v>0</v>
      </c>
      <c r="F243" s="120">
        <f>0</f>
        <v>0</v>
      </c>
      <c r="G243" s="120">
        <f>0</f>
        <v>0</v>
      </c>
      <c r="H243" s="120">
        <f>0</f>
        <v>0</v>
      </c>
      <c r="I243" s="120">
        <f>0</f>
        <v>0</v>
      </c>
      <c r="J243" s="120">
        <f>0</f>
        <v>0</v>
      </c>
      <c r="K243" s="120">
        <f>0</f>
        <v>0</v>
      </c>
      <c r="L243" s="120">
        <f>0</f>
        <v>0</v>
      </c>
      <c r="M243" s="120">
        <f>0</f>
        <v>0</v>
      </c>
      <c r="N243" s="120">
        <f>0</f>
        <v>0</v>
      </c>
      <c r="O243" s="120">
        <f>0</f>
        <v>0</v>
      </c>
      <c r="P243" s="120">
        <f>0</f>
        <v>0</v>
      </c>
      <c r="Q243" s="120">
        <f>0</f>
        <v>0</v>
      </c>
      <c r="R243" s="120">
        <f>0</f>
        <v>0</v>
      </c>
      <c r="S243" s="120">
        <f>0</f>
        <v>0</v>
      </c>
      <c r="T243" s="120">
        <f>0</f>
        <v>0</v>
      </c>
      <c r="U243" s="120">
        <f>0</f>
        <v>0</v>
      </c>
      <c r="V243" s="120">
        <f>0</f>
        <v>0</v>
      </c>
      <c r="W243" s="120">
        <f>0</f>
        <v>0</v>
      </c>
      <c r="X243" s="120">
        <f>0</f>
        <v>0</v>
      </c>
      <c r="Y243" s="120">
        <f>0</f>
        <v>0</v>
      </c>
      <c r="Z243" s="120">
        <f>0</f>
        <v>0</v>
      </c>
      <c r="AA243" s="120">
        <f>0</f>
        <v>0</v>
      </c>
      <c r="AB243" s="120">
        <f>0</f>
        <v>0</v>
      </c>
      <c r="AC243" s="120">
        <f>0</f>
        <v>0</v>
      </c>
      <c r="AD243" s="120">
        <f>0</f>
        <v>0</v>
      </c>
      <c r="AE243" s="120">
        <f>0</f>
        <v>0</v>
      </c>
      <c r="AF243" s="120">
        <f>0</f>
        <v>0</v>
      </c>
      <c r="AG243" s="120">
        <f>0</f>
        <v>0</v>
      </c>
      <c r="AH243" s="120">
        <f>0</f>
        <v>0</v>
      </c>
      <c r="AI243" s="120">
        <f>0</f>
        <v>0</v>
      </c>
      <c r="AJ243" s="120">
        <f>0</f>
        <v>0</v>
      </c>
      <c r="AK243" s="120">
        <f>0</f>
        <v>0</v>
      </c>
      <c r="AL243" s="120">
        <f>0</f>
        <v>0</v>
      </c>
      <c r="AM243" s="120">
        <f>0</f>
        <v>0</v>
      </c>
      <c r="AN243" s="120">
        <f>0</f>
        <v>0</v>
      </c>
      <c r="AO243" s="120">
        <f>0</f>
        <v>0</v>
      </c>
      <c r="AP243" s="120">
        <f>0</f>
        <v>0</v>
      </c>
      <c r="AQ243" s="120">
        <f>0</f>
        <v>0</v>
      </c>
      <c r="AR243" s="120">
        <f>0</f>
        <v>0</v>
      </c>
      <c r="AS243" s="120">
        <f>0</f>
        <v>0</v>
      </c>
      <c r="AT243" s="120">
        <f>0</f>
        <v>0</v>
      </c>
      <c r="AU243" s="120">
        <f>0</f>
        <v>0</v>
      </c>
      <c r="AV243" s="120">
        <f>0</f>
        <v>0</v>
      </c>
      <c r="AW243" s="120">
        <f>0</f>
        <v>0</v>
      </c>
      <c r="AX243" s="120">
        <f>0</f>
        <v>0</v>
      </c>
      <c r="AY243" s="120">
        <f>0</f>
        <v>0</v>
      </c>
      <c r="AZ243" s="120">
        <f>0</f>
        <v>0</v>
      </c>
      <c r="BA243" s="120">
        <f>0</f>
        <v>0</v>
      </c>
      <c r="BB243" s="120">
        <f>0</f>
        <v>0</v>
      </c>
      <c r="BC243" s="120">
        <f>0</f>
        <v>0</v>
      </c>
      <c r="BD243" s="120">
        <f>0</f>
        <v>0</v>
      </c>
      <c r="BE243" s="120">
        <f>0</f>
        <v>0</v>
      </c>
      <c r="BF243" s="120">
        <f>0</f>
        <v>0</v>
      </c>
      <c r="BG243" s="120">
        <f>0</f>
        <v>0</v>
      </c>
      <c r="BH243" s="120">
        <f>0</f>
        <v>0</v>
      </c>
      <c r="BI243" s="120">
        <f>0</f>
        <v>0</v>
      </c>
      <c r="BJ243" s="120">
        <f>0</f>
        <v>0</v>
      </c>
      <c r="BK243" s="120">
        <f>0</f>
        <v>0</v>
      </c>
    </row>
    <row r="244" spans="1:63" ht="12.75" customHeight="1" x14ac:dyDescent="0.2">
      <c r="A244" s="126" t="s">
        <v>438</v>
      </c>
      <c r="B244" s="150">
        <f>SUM(D244:BQ244)</f>
        <v>0</v>
      </c>
      <c r="C244" s="150">
        <f>B244/60</f>
        <v>0</v>
      </c>
      <c r="D244" s="120">
        <f>0</f>
        <v>0</v>
      </c>
      <c r="E244" s="120">
        <f>0</f>
        <v>0</v>
      </c>
      <c r="F244" s="120">
        <f>0</f>
        <v>0</v>
      </c>
      <c r="G244" s="120">
        <f>0</f>
        <v>0</v>
      </c>
      <c r="H244" s="120">
        <f>0</f>
        <v>0</v>
      </c>
      <c r="I244" s="120">
        <f>0</f>
        <v>0</v>
      </c>
      <c r="J244" s="120">
        <f>0</f>
        <v>0</v>
      </c>
      <c r="K244" s="120">
        <f>0</f>
        <v>0</v>
      </c>
      <c r="L244" s="120">
        <f>0</f>
        <v>0</v>
      </c>
      <c r="M244" s="120">
        <f>0</f>
        <v>0</v>
      </c>
      <c r="N244" s="120">
        <f>0</f>
        <v>0</v>
      </c>
      <c r="O244" s="120">
        <f>0</f>
        <v>0</v>
      </c>
      <c r="P244" s="120">
        <f>0</f>
        <v>0</v>
      </c>
      <c r="Q244" s="120">
        <f>0</f>
        <v>0</v>
      </c>
      <c r="R244" s="120">
        <f>0</f>
        <v>0</v>
      </c>
      <c r="S244" s="120">
        <f>0</f>
        <v>0</v>
      </c>
      <c r="T244" s="120">
        <f>0</f>
        <v>0</v>
      </c>
      <c r="U244" s="120">
        <f>0</f>
        <v>0</v>
      </c>
      <c r="V244" s="120">
        <f>0</f>
        <v>0</v>
      </c>
      <c r="W244" s="120">
        <f>0</f>
        <v>0</v>
      </c>
      <c r="X244" s="120">
        <f>0</f>
        <v>0</v>
      </c>
      <c r="Y244" s="120">
        <f>0</f>
        <v>0</v>
      </c>
      <c r="Z244" s="120">
        <f>0</f>
        <v>0</v>
      </c>
      <c r="AA244" s="120">
        <f>0</f>
        <v>0</v>
      </c>
      <c r="AB244" s="120">
        <f>0</f>
        <v>0</v>
      </c>
      <c r="AC244" s="120">
        <f>0</f>
        <v>0</v>
      </c>
      <c r="AD244" s="120">
        <f>0</f>
        <v>0</v>
      </c>
      <c r="AE244" s="120">
        <f>0</f>
        <v>0</v>
      </c>
      <c r="AF244" s="120">
        <f>0</f>
        <v>0</v>
      </c>
      <c r="AG244" s="120">
        <f>0</f>
        <v>0</v>
      </c>
      <c r="AH244" s="120">
        <f>0</f>
        <v>0</v>
      </c>
      <c r="AI244" s="120">
        <f>0</f>
        <v>0</v>
      </c>
      <c r="AJ244" s="120">
        <f>0</f>
        <v>0</v>
      </c>
      <c r="AK244" s="120">
        <f>0</f>
        <v>0</v>
      </c>
      <c r="AL244" s="120">
        <f>0</f>
        <v>0</v>
      </c>
      <c r="AM244" s="120">
        <f>0</f>
        <v>0</v>
      </c>
      <c r="AN244" s="120">
        <f>0</f>
        <v>0</v>
      </c>
      <c r="AO244" s="120">
        <f>0</f>
        <v>0</v>
      </c>
      <c r="AP244" s="120">
        <f>0</f>
        <v>0</v>
      </c>
      <c r="AQ244" s="120">
        <f>0</f>
        <v>0</v>
      </c>
      <c r="AR244" s="120">
        <f>0</f>
        <v>0</v>
      </c>
      <c r="AS244" s="120">
        <f>0</f>
        <v>0</v>
      </c>
      <c r="AT244" s="120">
        <f>0</f>
        <v>0</v>
      </c>
      <c r="AU244" s="120">
        <f>0</f>
        <v>0</v>
      </c>
      <c r="AV244" s="120">
        <f>0</f>
        <v>0</v>
      </c>
      <c r="AW244" s="120">
        <f>0</f>
        <v>0</v>
      </c>
      <c r="AX244" s="120">
        <f>0</f>
        <v>0</v>
      </c>
      <c r="AY244" s="120">
        <f>0</f>
        <v>0</v>
      </c>
      <c r="AZ244" s="120">
        <f>0</f>
        <v>0</v>
      </c>
      <c r="BA244" s="120">
        <f>0</f>
        <v>0</v>
      </c>
      <c r="BB244" s="120">
        <f>0</f>
        <v>0</v>
      </c>
      <c r="BC244" s="120">
        <f>0</f>
        <v>0</v>
      </c>
      <c r="BD244" s="120">
        <f>0</f>
        <v>0</v>
      </c>
      <c r="BE244" s="120">
        <f>0</f>
        <v>0</v>
      </c>
      <c r="BF244" s="120">
        <f>0</f>
        <v>0</v>
      </c>
      <c r="BG244" s="120">
        <f>0</f>
        <v>0</v>
      </c>
      <c r="BH244" s="120">
        <f>0</f>
        <v>0</v>
      </c>
      <c r="BI244" s="120">
        <f>0</f>
        <v>0</v>
      </c>
      <c r="BJ244" s="120">
        <f>0</f>
        <v>0</v>
      </c>
      <c r="BK244" s="120">
        <f>0</f>
        <v>0</v>
      </c>
    </row>
    <row r="245" spans="1:63" ht="12.75" customHeight="1" x14ac:dyDescent="0.2">
      <c r="A245" s="126" t="s">
        <v>439</v>
      </c>
      <c r="B245" s="150">
        <f>AA245</f>
        <v>0</v>
      </c>
      <c r="C245" s="150" t="s">
        <v>397</v>
      </c>
      <c r="D245" s="120">
        <f>0</f>
        <v>0</v>
      </c>
      <c r="E245" s="120">
        <f>0</f>
        <v>0</v>
      </c>
      <c r="F245" s="120">
        <f>0</f>
        <v>0</v>
      </c>
      <c r="G245" s="120">
        <f>0</f>
        <v>0</v>
      </c>
      <c r="H245" s="120">
        <f>0</f>
        <v>0</v>
      </c>
      <c r="I245" s="120">
        <f>0</f>
        <v>0</v>
      </c>
      <c r="J245" s="120">
        <f>0</f>
        <v>0</v>
      </c>
      <c r="K245" s="120">
        <f>0</f>
        <v>0</v>
      </c>
      <c r="L245" s="120">
        <f>0</f>
        <v>0</v>
      </c>
      <c r="M245" s="120">
        <f>0</f>
        <v>0</v>
      </c>
      <c r="N245" s="120">
        <f>0</f>
        <v>0</v>
      </c>
      <c r="O245" s="120">
        <f>0</f>
        <v>0</v>
      </c>
      <c r="P245" s="120">
        <f>0</f>
        <v>0</v>
      </c>
      <c r="Q245" s="120">
        <f>0</f>
        <v>0</v>
      </c>
      <c r="R245" s="120">
        <f>0</f>
        <v>0</v>
      </c>
      <c r="S245" s="120">
        <f>0</f>
        <v>0</v>
      </c>
      <c r="T245" s="120">
        <f>0</f>
        <v>0</v>
      </c>
      <c r="U245" s="120">
        <f>0</f>
        <v>0</v>
      </c>
      <c r="V245" s="120">
        <f>0</f>
        <v>0</v>
      </c>
      <c r="W245" s="120">
        <f>0</f>
        <v>0</v>
      </c>
      <c r="X245" s="120">
        <f>0</f>
        <v>0</v>
      </c>
      <c r="Y245" s="120">
        <f>0</f>
        <v>0</v>
      </c>
      <c r="Z245" s="120">
        <f>0</f>
        <v>0</v>
      </c>
      <c r="AA245" s="120">
        <f>0</f>
        <v>0</v>
      </c>
      <c r="AB245" s="120">
        <f>0</f>
        <v>0</v>
      </c>
      <c r="AC245" s="120">
        <f>0</f>
        <v>0</v>
      </c>
      <c r="AD245" s="120">
        <f>0</f>
        <v>0</v>
      </c>
      <c r="AE245" s="120">
        <f>0</f>
        <v>0</v>
      </c>
      <c r="AF245" s="120">
        <f>0</f>
        <v>0</v>
      </c>
      <c r="AG245" s="120">
        <f>0</f>
        <v>0</v>
      </c>
      <c r="AH245" s="120">
        <f>0</f>
        <v>0</v>
      </c>
      <c r="AI245" s="120">
        <f>0</f>
        <v>0</v>
      </c>
      <c r="AJ245" s="120">
        <f>0</f>
        <v>0</v>
      </c>
      <c r="AK245" s="120">
        <f>0</f>
        <v>0</v>
      </c>
      <c r="AL245" s="120">
        <f>0</f>
        <v>0</v>
      </c>
      <c r="AM245" s="120">
        <f>0</f>
        <v>0</v>
      </c>
      <c r="AN245" s="120">
        <f>0</f>
        <v>0</v>
      </c>
      <c r="AO245" s="120">
        <f>0</f>
        <v>0</v>
      </c>
      <c r="AP245" s="120">
        <f>0</f>
        <v>0</v>
      </c>
      <c r="AQ245" s="120">
        <f>0</f>
        <v>0</v>
      </c>
      <c r="AR245" s="120">
        <f>0</f>
        <v>0</v>
      </c>
      <c r="AS245" s="120">
        <f>0</f>
        <v>0</v>
      </c>
      <c r="AT245" s="120">
        <f>0</f>
        <v>0</v>
      </c>
      <c r="AU245" s="120">
        <f>0</f>
        <v>0</v>
      </c>
      <c r="AV245" s="120">
        <f>0</f>
        <v>0</v>
      </c>
      <c r="AW245" s="120">
        <f>0</f>
        <v>0</v>
      </c>
      <c r="AX245" s="120">
        <f>0</f>
        <v>0</v>
      </c>
      <c r="AY245" s="120">
        <f>0</f>
        <v>0</v>
      </c>
      <c r="AZ245" s="120">
        <f>0</f>
        <v>0</v>
      </c>
      <c r="BA245" s="120">
        <f>0</f>
        <v>0</v>
      </c>
      <c r="BB245" s="120">
        <f>0</f>
        <v>0</v>
      </c>
      <c r="BC245" s="120">
        <f>0</f>
        <v>0</v>
      </c>
      <c r="BD245" s="120">
        <f>0</f>
        <v>0</v>
      </c>
      <c r="BE245" s="120">
        <f>0</f>
        <v>0</v>
      </c>
      <c r="BF245" s="120">
        <f>0</f>
        <v>0</v>
      </c>
      <c r="BG245" s="120">
        <f>0</f>
        <v>0</v>
      </c>
      <c r="BH245" s="120">
        <f>0</f>
        <v>0</v>
      </c>
      <c r="BI245" s="120">
        <f>0</f>
        <v>0</v>
      </c>
      <c r="BJ245" s="120">
        <f>0</f>
        <v>0</v>
      </c>
      <c r="BK245" s="120">
        <f>0</f>
        <v>0</v>
      </c>
    </row>
    <row r="246" spans="1:63" ht="12.75" customHeight="1" x14ac:dyDescent="0.2">
      <c r="A246" s="139" t="str">
        <f>"  Custo SEM Helexia (R$) — só gen própria, sem "&amp;INDEX(PVSYST_Helexia!$A$5:$A$7,MATCH(Premissas!$B$13,PVSYST_Helexia!$B$5:$B$7,0))&amp;"/BAT/banco"</f>
        <v xml:space="preserve">  Custo SEM Helexia (R$) — só gen própria, sem HCS03/BAT/banco</v>
      </c>
      <c r="B246" s="142">
        <f t="shared" ref="B246:B253" si="230">SUM(D246:BQ246)</f>
        <v>291466.63391376403</v>
      </c>
      <c r="C246" s="157">
        <f t="shared" ref="C246:C252" si="231">B246/60</f>
        <v>4857.777231896067</v>
      </c>
      <c r="D246" s="142">
        <f>D238*Premissas!$F$19*(1+Premissas!$B$127)*(1+Premissas!$B$124)^0</f>
        <v>4096.749783754386</v>
      </c>
      <c r="E246" s="142">
        <f>E238*Premissas!$F$19*(1+Premissas!$B$127)*(1+Premissas!$B$124)^0</f>
        <v>4493.6774759319551</v>
      </c>
      <c r="F246" s="142">
        <f>F238*Premissas!$F$19*(1+Premissas!$B$127)*(1+Premissas!$B$124)^0</f>
        <v>4855.3687672373635</v>
      </c>
      <c r="G246" s="142">
        <f>G238*Premissas!$F$19*(1+Premissas!$B$127)*(1+Premissas!$B$124)^0</f>
        <v>4013.8406052316559</v>
      </c>
      <c r="H246" s="142">
        <f>H238*Premissas!$F$19*(1+Premissas!$B$127)*(1+Premissas!$B$124)^0</f>
        <v>4105.0407016066592</v>
      </c>
      <c r="I246" s="142">
        <f>I238*Premissas!$F$19*(1+Premissas!$B$127)*(1+Premissas!$B$124)^0</f>
        <v>3745.4221397643187</v>
      </c>
      <c r="J246" s="142">
        <f>J238*Premissas!$F$19*(1+Premissas!$B$127)*(1+Premissas!$B$124)^0</f>
        <v>3675.9857027515322</v>
      </c>
      <c r="K246" s="142">
        <f>K238*Premissas!$F$19*(1+Premissas!$B$127)*(1+Premissas!$B$124)^0</f>
        <v>4567.7775542366444</v>
      </c>
      <c r="L246" s="142">
        <f>L238*Premissas!$F$19*(1+Premissas!$B$127)*(1+Premissas!$B$124)^0</f>
        <v>4896.0201738317892</v>
      </c>
      <c r="M246" s="142">
        <f>M238*Premissas!$F$19*(1+Premissas!$B$127)*(1+Premissas!$B$124)^0</f>
        <v>3965.468281387301</v>
      </c>
      <c r="N246" s="142">
        <f>N238*Premissas!$F$19*(1+Premissas!$B$127)*(1+Premissas!$B$124)^0</f>
        <v>4047.2633678236316</v>
      </c>
      <c r="O246" s="142">
        <f>O238*Premissas!$F$19*(1+Premissas!$B$127)*(1+Premissas!$B$124)^0</f>
        <v>4130.120728109785</v>
      </c>
      <c r="P246" s="142">
        <f>P238*Premissas!$F$19*(1+Premissas!$B$127)*(1+Premissas!$B$124)^1</f>
        <v>4451.1186400491406</v>
      </c>
      <c r="Q246" s="142">
        <f>Q238*Premissas!$F$19*(1+Premissas!$B$127)*(1+Premissas!$B$124)^1</f>
        <v>4882.380577600069</v>
      </c>
      <c r="R246" s="142">
        <f>R238*Premissas!$F$19*(1+Premissas!$B$127)*(1+Premissas!$B$124)^1</f>
        <v>5275.3581656033957</v>
      </c>
      <c r="S246" s="142">
        <f>S238*Premissas!$F$19*(1+Premissas!$B$127)*(1+Premissas!$B$124)^1</f>
        <v>4361.0378175841952</v>
      </c>
      <c r="T246" s="142">
        <f>T238*Premissas!$F$19*(1+Premissas!$B$127)*(1+Premissas!$B$124)^1</f>
        <v>4460.1267222956349</v>
      </c>
      <c r="U246" s="142">
        <f>U238*Premissas!$F$19*(1+Premissas!$B$127)*(1+Premissas!$B$124)^1</f>
        <v>4069.4011548539315</v>
      </c>
      <c r="V246" s="142">
        <f>V238*Premissas!$F$19*(1+Premissas!$B$127)*(1+Premissas!$B$124)^1</f>
        <v>3993.9584660395394</v>
      </c>
      <c r="W246" s="142">
        <f>W238*Premissas!$F$19*(1+Premissas!$B$127)*(1+Premissas!$B$124)^1</f>
        <v>4841.8442074908435</v>
      </c>
      <c r="X246" s="142">
        <f>X238*Premissas!$F$19*(1+Premissas!$B$127)*(1+Premissas!$B$124)^1</f>
        <v>5189.781384261697</v>
      </c>
      <c r="Y246" s="142">
        <f>Y238*Premissas!$F$19*(1+Premissas!$B$127)*(1+Premissas!$B$124)^1</f>
        <v>4203.3963782705396</v>
      </c>
      <c r="Z246" s="142">
        <f>Z238*Premissas!$F$19*(1+Premissas!$B$127)*(1+Premissas!$B$124)^1</f>
        <v>4290.0991698930493</v>
      </c>
      <c r="AA246" s="142">
        <f>AA238*Premissas!$F$19*(1+Premissas!$B$127)*(1+Premissas!$B$124)^1</f>
        <v>4377.9279717963727</v>
      </c>
      <c r="AB246" s="142">
        <f>AB238*Premissas!$F$19*(1+Premissas!$B$127)*(1+Premissas!$B$124)^2</f>
        <v>4756.6187413567586</v>
      </c>
      <c r="AC246" s="142">
        <f>AC238*Premissas!$F$19*(1+Premissas!$B$127)*(1+Premissas!$B$124)^2</f>
        <v>4756.6187413567586</v>
      </c>
      <c r="AD246" s="142">
        <f>AD238*Premissas!$F$19*(1+Premissas!$B$127)*(1+Premissas!$B$124)^2</f>
        <v>4756.6187413567586</v>
      </c>
      <c r="AE246" s="142">
        <f>AE238*Premissas!$F$19*(1+Premissas!$B$127)*(1+Premissas!$B$124)^2</f>
        <v>4756.6187413567586</v>
      </c>
      <c r="AF246" s="142">
        <f>AF238*Premissas!$F$19*(1+Premissas!$B$127)*(1+Premissas!$B$124)^2</f>
        <v>4756.6187413567586</v>
      </c>
      <c r="AG246" s="142">
        <f>AG238*Premissas!$F$19*(1+Premissas!$B$127)*(1+Premissas!$B$124)^2</f>
        <v>4756.6187413567586</v>
      </c>
      <c r="AH246" s="142">
        <f>AH238*Premissas!$F$19*(1+Premissas!$B$127)*(1+Premissas!$B$124)^2</f>
        <v>4756.6187413567586</v>
      </c>
      <c r="AI246" s="142">
        <f>AI238*Premissas!$F$19*(1+Premissas!$B$127)*(1+Premissas!$B$124)^2</f>
        <v>4756.6187413567586</v>
      </c>
      <c r="AJ246" s="142">
        <f>AJ238*Premissas!$F$19*(1+Premissas!$B$127)*(1+Premissas!$B$124)^2</f>
        <v>4756.6187413567586</v>
      </c>
      <c r="AK246" s="142">
        <f>AK238*Premissas!$F$19*(1+Premissas!$B$127)*(1+Premissas!$B$124)^2</f>
        <v>4756.6187413567586</v>
      </c>
      <c r="AL246" s="142">
        <f>AL238*Premissas!$F$19*(1+Premissas!$B$127)*(1+Premissas!$B$124)^2</f>
        <v>4756.6187413567586</v>
      </c>
      <c r="AM246" s="142">
        <f>AM238*Premissas!$F$19*(1+Premissas!$B$127)*(1+Premissas!$B$124)^2</f>
        <v>4756.6187413567586</v>
      </c>
      <c r="AN246" s="142">
        <f>AN238*Premissas!$F$19*(1+Premissas!$B$127)*(1+Premissas!$B$124)^3</f>
        <v>5168.0662624841189</v>
      </c>
      <c r="AO246" s="142">
        <f>AO238*Premissas!$F$19*(1+Premissas!$B$127)*(1+Premissas!$B$124)^3</f>
        <v>5168.0662624841189</v>
      </c>
      <c r="AP246" s="142">
        <f>AP238*Premissas!$F$19*(1+Premissas!$B$127)*(1+Premissas!$B$124)^3</f>
        <v>5168.0662624841189</v>
      </c>
      <c r="AQ246" s="142">
        <f>AQ238*Premissas!$F$19*(1+Premissas!$B$127)*(1+Premissas!$B$124)^3</f>
        <v>5168.0662624841189</v>
      </c>
      <c r="AR246" s="142">
        <f>AR238*Premissas!$F$19*(1+Premissas!$B$127)*(1+Premissas!$B$124)^3</f>
        <v>5168.0662624841189</v>
      </c>
      <c r="AS246" s="142">
        <f>AS238*Premissas!$F$19*(1+Premissas!$B$127)*(1+Premissas!$B$124)^3</f>
        <v>5168.0662624841189</v>
      </c>
      <c r="AT246" s="142">
        <f>AT238*Premissas!$F$19*(1+Premissas!$B$127)*(1+Premissas!$B$124)^3</f>
        <v>5168.0662624841189</v>
      </c>
      <c r="AU246" s="142">
        <f>AU238*Premissas!$F$19*(1+Premissas!$B$127)*(1+Premissas!$B$124)^3</f>
        <v>5168.0662624841189</v>
      </c>
      <c r="AV246" s="142">
        <f>AV238*Premissas!$F$19*(1+Premissas!$B$127)*(1+Premissas!$B$124)^3</f>
        <v>5168.0662624841189</v>
      </c>
      <c r="AW246" s="142">
        <f>AW238*Premissas!$F$19*(1+Premissas!$B$127)*(1+Premissas!$B$124)^3</f>
        <v>5168.0662624841189</v>
      </c>
      <c r="AX246" s="142">
        <f>AX238*Premissas!$F$19*(1+Premissas!$B$127)*(1+Premissas!$B$124)^3</f>
        <v>5168.0662624841189</v>
      </c>
      <c r="AY246" s="142">
        <f>AY238*Premissas!$F$19*(1+Premissas!$B$127)*(1+Premissas!$B$124)^3</f>
        <v>5168.0662624841189</v>
      </c>
      <c r="AZ246" s="142">
        <f>AZ238*Premissas!$F$19*(1+Premissas!$B$127)*(1+Premissas!$B$124)^4</f>
        <v>5615.103994188994</v>
      </c>
      <c r="BA246" s="142">
        <f>BA238*Premissas!$F$19*(1+Premissas!$B$127)*(1+Premissas!$B$124)^4</f>
        <v>5615.103994188994</v>
      </c>
      <c r="BB246" s="142">
        <f>BB238*Premissas!$F$19*(1+Premissas!$B$127)*(1+Premissas!$B$124)^4</f>
        <v>5615.103994188994</v>
      </c>
      <c r="BC246" s="142">
        <f>BC238*Premissas!$F$19*(1+Premissas!$B$127)*(1+Premissas!$B$124)^4</f>
        <v>5615.103994188994</v>
      </c>
      <c r="BD246" s="142">
        <f>BD238*Premissas!$F$19*(1+Premissas!$B$127)*(1+Premissas!$B$124)^4</f>
        <v>5615.103994188994</v>
      </c>
      <c r="BE246" s="142">
        <f>BE238*Premissas!$F$19*(1+Premissas!$B$127)*(1+Premissas!$B$124)^4</f>
        <v>5615.103994188994</v>
      </c>
      <c r="BF246" s="142">
        <f>BF238*Premissas!$F$19*(1+Premissas!$B$127)*(1+Premissas!$B$124)^4</f>
        <v>5615.103994188994</v>
      </c>
      <c r="BG246" s="142">
        <f>BG238*Premissas!$F$19*(1+Premissas!$B$127)*(1+Premissas!$B$124)^4</f>
        <v>5615.103994188994</v>
      </c>
      <c r="BH246" s="142">
        <f>BH238*Premissas!$F$19*(1+Premissas!$B$127)*(1+Premissas!$B$124)^4</f>
        <v>5615.103994188994</v>
      </c>
      <c r="BI246" s="142">
        <f>BI238*Premissas!$F$19*(1+Premissas!$B$127)*(1+Premissas!$B$124)^4</f>
        <v>5615.103994188994</v>
      </c>
      <c r="BJ246" s="142">
        <f>BJ238*Premissas!$F$19*(1+Premissas!$B$127)*(1+Premissas!$B$124)^4</f>
        <v>5615.103994188994</v>
      </c>
      <c r="BK246" s="142">
        <f>BK238*Premissas!$F$19*(1+Premissas!$B$127)*(1+Premissas!$B$124)^4</f>
        <v>5615.103994188994</v>
      </c>
    </row>
    <row r="247" spans="1:63" ht="12.75" customHeight="1" x14ac:dyDescent="0.2">
      <c r="A247" s="143" t="s">
        <v>415</v>
      </c>
      <c r="B247" s="144">
        <f t="shared" si="230"/>
        <v>3967.2077545061334</v>
      </c>
      <c r="C247" s="157">
        <f t="shared" si="231"/>
        <v>66.120129241768893</v>
      </c>
      <c r="D247" s="144">
        <f>IF(D242&gt;0,0,MAX(D238-D239-D240,0)*Premissas!$B$7*(1+Premissas!$B$127)*(1+Premissas!$B$124)^0)</f>
        <v>944.72418014821778</v>
      </c>
      <c r="E247" s="144">
        <f>IF(E242&gt;0,0,MAX(E238-E239-E240,0)*Premissas!$B$7*(1+Premissas!$B$127)*(1+Premissas!$B$124)^0)</f>
        <v>1221.2781087580991</v>
      </c>
      <c r="F247" s="144">
        <f>IF(F242&gt;0,0,MAX(F238-F239-F240,0)*Premissas!$B$7*(1+Premissas!$B$127)*(1+Premissas!$B$124)^0)</f>
        <v>792.27492813954871</v>
      </c>
      <c r="G247" s="144">
        <f>IF(G242&gt;0,0,MAX(G238-G239-G240,0)*Premissas!$B$7*(1+Premissas!$B$127)*(1+Premissas!$B$124)^0)</f>
        <v>65.731433097552014</v>
      </c>
      <c r="H247" s="144">
        <f>IF(H242&gt;0,0,MAX(H238-H239-H240,0)*Premissas!$B$7*(1+Premissas!$B$127)*(1+Premissas!$B$124)^0)</f>
        <v>0</v>
      </c>
      <c r="I247" s="144">
        <f>IF(I242&gt;0,0,MAX(I238-I239-I240,0)*Premissas!$B$7*(1+Premissas!$B$127)*(1+Premissas!$B$124)^0)</f>
        <v>0</v>
      </c>
      <c r="J247" s="144">
        <f>IF(J242&gt;0,0,MAX(J238-J239-J240,0)*Premissas!$B$7*(1+Premissas!$B$127)*(1+Premissas!$B$124)^0)</f>
        <v>0</v>
      </c>
      <c r="K247" s="144">
        <f>IF(K242&gt;0,0,MAX(K238-K239-K240,0)*Premissas!$B$7*(1+Premissas!$B$127)*(1+Premissas!$B$124)^0)</f>
        <v>0</v>
      </c>
      <c r="L247" s="144">
        <f>IF(L242&gt;0,0,MAX(L238-L239-L240,0)*Premissas!$B$7*(1+Premissas!$B$127)*(1+Premissas!$B$124)^0)</f>
        <v>0</v>
      </c>
      <c r="M247" s="144">
        <f>IF(M242&gt;0,0,MAX(M238-M239-M240,0)*Premissas!$B$7*(1+Premissas!$B$127)*(1+Premissas!$B$124)^0)</f>
        <v>0</v>
      </c>
      <c r="N247" s="144">
        <f>IF(N242&gt;0,0,MAX(N238-N239-N240,0)*Premissas!$B$7*(1+Premissas!$B$127)*(1+Premissas!$B$124)^0)</f>
        <v>0</v>
      </c>
      <c r="O247" s="144">
        <f>IF(O242&gt;0,0,MAX(O238-O239-O240,0)*Premissas!$B$7*(1+Premissas!$B$127)*(1+Premissas!$B$124)^0)</f>
        <v>0</v>
      </c>
      <c r="P247" s="144">
        <f>IF(P242&gt;0,0,MAX(P238-P239-P240,0)*Premissas!$B$7*(1+Premissas!$B$127)*(1+Premissas!$B$124)^1)</f>
        <v>0</v>
      </c>
      <c r="Q247" s="144">
        <f>IF(Q242&gt;0,0,MAX(Q238-Q239-Q240,0)*Premissas!$B$7*(1+Premissas!$B$127)*(1+Premissas!$B$124)^1)</f>
        <v>0</v>
      </c>
      <c r="R247" s="144">
        <f>IF(R242&gt;0,0,MAX(R238-R239-R240,0)*Premissas!$B$7*(1+Premissas!$B$127)*(1+Premissas!$B$124)^1)</f>
        <v>0</v>
      </c>
      <c r="S247" s="144">
        <f>IF(S242&gt;0,0,MAX(S238-S239-S240,0)*Premissas!$B$7*(1+Premissas!$B$127)*(1+Premissas!$B$124)^1)</f>
        <v>0</v>
      </c>
      <c r="T247" s="144">
        <f>IF(T242&gt;0,0,MAX(T238-T239-T240,0)*Premissas!$B$7*(1+Premissas!$B$127)*(1+Premissas!$B$124)^1)</f>
        <v>0</v>
      </c>
      <c r="U247" s="144">
        <f>IF(U242&gt;0,0,MAX(U238-U239-U240,0)*Premissas!$B$7*(1+Premissas!$B$127)*(1+Premissas!$B$124)^1)</f>
        <v>0</v>
      </c>
      <c r="V247" s="144">
        <f>IF(V242&gt;0,0,MAX(V238-V239-V240,0)*Premissas!$B$7*(1+Premissas!$B$127)*(1+Premissas!$B$124)^1)</f>
        <v>0</v>
      </c>
      <c r="W247" s="144">
        <f>IF(W242&gt;0,0,MAX(W238-W239-W240,0)*Premissas!$B$7*(1+Premissas!$B$127)*(1+Premissas!$B$124)^1)</f>
        <v>0</v>
      </c>
      <c r="X247" s="144">
        <f>IF(X242&gt;0,0,MAX(X238-X239-X240,0)*Premissas!$B$7*(1+Premissas!$B$127)*(1+Premissas!$B$124)^1)</f>
        <v>0</v>
      </c>
      <c r="Y247" s="144">
        <f>IF(Y242&gt;0,0,MAX(Y238-Y239-Y240,0)*Premissas!$B$7*(1+Premissas!$B$127)*(1+Premissas!$B$124)^1)</f>
        <v>0</v>
      </c>
      <c r="Z247" s="144">
        <f>IF(Z242&gt;0,0,MAX(Z238-Z239-Z240,0)*Premissas!$B$7*(1+Premissas!$B$127)*(1+Premissas!$B$124)^1)</f>
        <v>0</v>
      </c>
      <c r="AA247" s="144">
        <f>IF(AA242&gt;0,0,MAX(AA238-AA239-AA240,0)*Premissas!$B$7*(1+Premissas!$B$127)*(1+Premissas!$B$124)^1)</f>
        <v>0</v>
      </c>
      <c r="AB247" s="144">
        <f>IF(AB242&gt;0,0,MAX(AB238-AB239-AB240,0)*Premissas!$B$7*(1+Premissas!$B$127)*(1+Premissas!$B$124)^2)</f>
        <v>0</v>
      </c>
      <c r="AC247" s="144">
        <f>IF(AC242&gt;0,0,MAX(AC238-AC239-AC240,0)*Premissas!$B$7*(1+Premissas!$B$127)*(1+Premissas!$B$124)^2)</f>
        <v>0</v>
      </c>
      <c r="AD247" s="144">
        <f>IF(AD242&gt;0,0,MAX(AD238-AD239-AD240,0)*Premissas!$B$7*(1+Premissas!$B$127)*(1+Premissas!$B$124)^2)</f>
        <v>0</v>
      </c>
      <c r="AE247" s="144">
        <f>IF(AE242&gt;0,0,MAX(AE238-AE239-AE240,0)*Premissas!$B$7*(1+Premissas!$B$127)*(1+Premissas!$B$124)^2)</f>
        <v>0</v>
      </c>
      <c r="AF247" s="144">
        <f>IF(AF242&gt;0,0,MAX(AF238-AF239-AF240,0)*Premissas!$B$7*(1+Premissas!$B$127)*(1+Premissas!$B$124)^2)</f>
        <v>0</v>
      </c>
      <c r="AG247" s="144">
        <f>IF(AG242&gt;0,0,MAX(AG238-AG239-AG240,0)*Premissas!$B$7*(1+Premissas!$B$127)*(1+Premissas!$B$124)^2)</f>
        <v>0</v>
      </c>
      <c r="AH247" s="144">
        <f>IF(AH242&gt;0,0,MAX(AH238-AH239-AH240,0)*Premissas!$B$7*(1+Premissas!$B$127)*(1+Premissas!$B$124)^2)</f>
        <v>0</v>
      </c>
      <c r="AI247" s="144">
        <f>IF(AI242&gt;0,0,MAX(AI238-AI239-AI240,0)*Premissas!$B$7*(1+Premissas!$B$127)*(1+Premissas!$B$124)^2)</f>
        <v>0</v>
      </c>
      <c r="AJ247" s="144">
        <f>IF(AJ242&gt;0,0,MAX(AJ238-AJ239-AJ240,0)*Premissas!$B$7*(1+Premissas!$B$127)*(1+Premissas!$B$124)^2)</f>
        <v>0</v>
      </c>
      <c r="AK247" s="144">
        <f>IF(AK242&gt;0,0,MAX(AK238-AK239-AK240,0)*Premissas!$B$7*(1+Premissas!$B$127)*(1+Premissas!$B$124)^2)</f>
        <v>0</v>
      </c>
      <c r="AL247" s="144">
        <f>IF(AL242&gt;0,0,MAX(AL238-AL239-AL240,0)*Premissas!$B$7*(1+Premissas!$B$127)*(1+Premissas!$B$124)^2)</f>
        <v>0</v>
      </c>
      <c r="AM247" s="144">
        <f>IF(AM242&gt;0,0,MAX(AM238-AM239-AM240,0)*Premissas!$B$7*(1+Premissas!$B$127)*(1+Premissas!$B$124)^2)</f>
        <v>0</v>
      </c>
      <c r="AN247" s="144">
        <f>IF(AN242&gt;0,0,MAX(AN238-AN239-AN240,0)*Premissas!$B$7*(1+Premissas!$B$127)*(1+Premissas!$B$124)^3)</f>
        <v>0</v>
      </c>
      <c r="AO247" s="144">
        <f>IF(AO242&gt;0,0,MAX(AO238-AO239-AO240,0)*Premissas!$B$7*(1+Premissas!$B$127)*(1+Premissas!$B$124)^3)</f>
        <v>0</v>
      </c>
      <c r="AP247" s="144">
        <f>IF(AP242&gt;0,0,MAX(AP238-AP239-AP240,0)*Premissas!$B$7*(1+Premissas!$B$127)*(1+Premissas!$B$124)^3)</f>
        <v>0</v>
      </c>
      <c r="AQ247" s="144">
        <f>IF(AQ242&gt;0,0,MAX(AQ238-AQ239-AQ240,0)*Premissas!$B$7*(1+Premissas!$B$127)*(1+Premissas!$B$124)^3)</f>
        <v>0</v>
      </c>
      <c r="AR247" s="144">
        <f>IF(AR242&gt;0,0,MAX(AR238-AR239-AR240,0)*Premissas!$B$7*(1+Premissas!$B$127)*(1+Premissas!$B$124)^3)</f>
        <v>0</v>
      </c>
      <c r="AS247" s="144">
        <f>IF(AS242&gt;0,0,MAX(AS238-AS239-AS240,0)*Premissas!$B$7*(1+Premissas!$B$127)*(1+Premissas!$B$124)^3)</f>
        <v>0</v>
      </c>
      <c r="AT247" s="144">
        <f>IF(AT242&gt;0,0,MAX(AT238-AT239-AT240,0)*Premissas!$B$7*(1+Premissas!$B$127)*(1+Premissas!$B$124)^3)</f>
        <v>0</v>
      </c>
      <c r="AU247" s="144">
        <f>IF(AU242&gt;0,0,MAX(AU238-AU239-AU240,0)*Premissas!$B$7*(1+Premissas!$B$127)*(1+Premissas!$B$124)^3)</f>
        <v>0</v>
      </c>
      <c r="AV247" s="144">
        <f>IF(AV242&gt;0,0,MAX(AV238-AV239-AV240,0)*Premissas!$B$7*(1+Premissas!$B$127)*(1+Premissas!$B$124)^3)</f>
        <v>0</v>
      </c>
      <c r="AW247" s="144">
        <f>IF(AW242&gt;0,0,MAX(AW238-AW239-AW240,0)*Premissas!$B$7*(1+Premissas!$B$127)*(1+Premissas!$B$124)^3)</f>
        <v>0</v>
      </c>
      <c r="AX247" s="144">
        <f>IF(AX242&gt;0,0,MAX(AX238-AX239-AX240,0)*Premissas!$B$7*(1+Premissas!$B$127)*(1+Premissas!$B$124)^3)</f>
        <v>0</v>
      </c>
      <c r="AY247" s="144">
        <f>IF(AY242&gt;0,0,MAX(AY238-AY239-AY240,0)*Premissas!$B$7*(1+Premissas!$B$127)*(1+Premissas!$B$124)^3)</f>
        <v>0</v>
      </c>
      <c r="AZ247" s="144">
        <f>IF(AZ242&gt;0,0,MAX(AZ238-AZ239-AZ240,0)*Premissas!$B$7*(1+Premissas!$B$127)*(1+Premissas!$B$124)^4)</f>
        <v>0</v>
      </c>
      <c r="BA247" s="144">
        <f>IF(BA242&gt;0,0,MAX(BA238-BA239-BA240,0)*Premissas!$B$7*(1+Premissas!$B$127)*(1+Premissas!$B$124)^4)</f>
        <v>0</v>
      </c>
      <c r="BB247" s="144">
        <f>IF(BB242&gt;0,0,MAX(BB238-BB239-BB240,0)*Premissas!$B$7*(1+Premissas!$B$127)*(1+Premissas!$B$124)^4)</f>
        <v>0</v>
      </c>
      <c r="BC247" s="144">
        <f>IF(BC242&gt;0,0,MAX(BC238-BC239-BC240,0)*Premissas!$B$7*(1+Premissas!$B$127)*(1+Premissas!$B$124)^4)</f>
        <v>0</v>
      </c>
      <c r="BD247" s="144">
        <f>IF(BD242&gt;0,0,MAX(BD238-BD239-BD240,0)*Premissas!$B$7*(1+Premissas!$B$127)*(1+Premissas!$B$124)^4)</f>
        <v>0</v>
      </c>
      <c r="BE247" s="144">
        <f>IF(BE242&gt;0,0,MAX(BE238-BE239-BE240,0)*Premissas!$B$7*(1+Premissas!$B$127)*(1+Premissas!$B$124)^4)</f>
        <v>0</v>
      </c>
      <c r="BF247" s="144">
        <f>IF(BF242&gt;0,0,MAX(BF238-BF239-BF240,0)*Premissas!$B$7*(1+Premissas!$B$127)*(1+Premissas!$B$124)^4)</f>
        <v>165.33506766843922</v>
      </c>
      <c r="BG247" s="144">
        <f>IF(BG242&gt;0,0,MAX(BG238-BG239-BG240,0)*Premissas!$B$7*(1+Premissas!$B$127)*(1+Premissas!$B$124)^4)</f>
        <v>0</v>
      </c>
      <c r="BH247" s="144">
        <f>IF(BH242&gt;0,0,MAX(BH238-BH239-BH240,0)*Premissas!$B$7*(1+Premissas!$B$127)*(1+Premissas!$B$124)^4)</f>
        <v>759.77843902943459</v>
      </c>
      <c r="BI247" s="144">
        <f>IF(BI242&gt;0,0,MAX(BI238-BI239-BI240,0)*Premissas!$B$7*(1+Premissas!$B$127)*(1+Premissas!$B$124)^4)</f>
        <v>0</v>
      </c>
      <c r="BJ247" s="144">
        <f>IF(BJ242&gt;0,0,MAX(BJ238-BJ239-BJ240,0)*Premissas!$B$7*(1+Premissas!$B$127)*(1+Premissas!$B$124)^4)</f>
        <v>0</v>
      </c>
      <c r="BK247" s="144">
        <f>IF(BK242&gt;0,0,MAX(BK238-BK239-BK240,0)*Premissas!$B$7*(1+Premissas!$B$127)*(1+Premissas!$B$124)^4)</f>
        <v>18.08559766484267</v>
      </c>
    </row>
    <row r="248" spans="1:63" ht="13.5" customHeight="1" x14ac:dyDescent="0.2">
      <c r="A248" s="154" t="s">
        <v>416</v>
      </c>
      <c r="B248" s="145">
        <f t="shared" si="230"/>
        <v>287499.42615925783</v>
      </c>
      <c r="C248" s="157">
        <f t="shared" si="231"/>
        <v>4791.657102654297</v>
      </c>
      <c r="D248" s="145">
        <f t="shared" ref="D248:AI248" si="232">MAX(D246-D247,0)</f>
        <v>3152.0256036061683</v>
      </c>
      <c r="E248" s="145">
        <f t="shared" si="232"/>
        <v>3272.3993671738563</v>
      </c>
      <c r="F248" s="145">
        <f t="shared" si="232"/>
        <v>4063.0938390978149</v>
      </c>
      <c r="G248" s="145">
        <f t="shared" si="232"/>
        <v>3948.109172134104</v>
      </c>
      <c r="H248" s="145">
        <f t="shared" si="232"/>
        <v>4105.0407016066592</v>
      </c>
      <c r="I248" s="145">
        <f t="shared" si="232"/>
        <v>3745.4221397643187</v>
      </c>
      <c r="J248" s="145">
        <f t="shared" si="232"/>
        <v>3675.9857027515322</v>
      </c>
      <c r="K248" s="145">
        <f t="shared" si="232"/>
        <v>4567.7775542366444</v>
      </c>
      <c r="L248" s="145">
        <f t="shared" si="232"/>
        <v>4896.0201738317892</v>
      </c>
      <c r="M248" s="145">
        <f t="shared" si="232"/>
        <v>3965.468281387301</v>
      </c>
      <c r="N248" s="145">
        <f t="shared" si="232"/>
        <v>4047.2633678236316</v>
      </c>
      <c r="O248" s="145">
        <f t="shared" si="232"/>
        <v>4130.120728109785</v>
      </c>
      <c r="P248" s="145">
        <f t="shared" si="232"/>
        <v>4451.1186400491406</v>
      </c>
      <c r="Q248" s="145">
        <f t="shared" si="232"/>
        <v>4882.380577600069</v>
      </c>
      <c r="R248" s="145">
        <f t="shared" si="232"/>
        <v>5275.3581656033957</v>
      </c>
      <c r="S248" s="145">
        <f t="shared" si="232"/>
        <v>4361.0378175841952</v>
      </c>
      <c r="T248" s="145">
        <f t="shared" si="232"/>
        <v>4460.1267222956349</v>
      </c>
      <c r="U248" s="145">
        <f t="shared" si="232"/>
        <v>4069.4011548539315</v>
      </c>
      <c r="V248" s="145">
        <f t="shared" si="232"/>
        <v>3993.9584660395394</v>
      </c>
      <c r="W248" s="145">
        <f t="shared" si="232"/>
        <v>4841.8442074908435</v>
      </c>
      <c r="X248" s="145">
        <f t="shared" si="232"/>
        <v>5189.781384261697</v>
      </c>
      <c r="Y248" s="145">
        <f t="shared" si="232"/>
        <v>4203.3963782705396</v>
      </c>
      <c r="Z248" s="145">
        <f t="shared" si="232"/>
        <v>4290.0991698930493</v>
      </c>
      <c r="AA248" s="145">
        <f t="shared" si="232"/>
        <v>4377.9279717963727</v>
      </c>
      <c r="AB248" s="145">
        <f t="shared" si="232"/>
        <v>4756.6187413567586</v>
      </c>
      <c r="AC248" s="145">
        <f t="shared" si="232"/>
        <v>4756.6187413567586</v>
      </c>
      <c r="AD248" s="145">
        <f t="shared" si="232"/>
        <v>4756.6187413567586</v>
      </c>
      <c r="AE248" s="145">
        <f t="shared" si="232"/>
        <v>4756.6187413567586</v>
      </c>
      <c r="AF248" s="145">
        <f t="shared" si="232"/>
        <v>4756.6187413567586</v>
      </c>
      <c r="AG248" s="145">
        <f t="shared" si="232"/>
        <v>4756.6187413567586</v>
      </c>
      <c r="AH248" s="145">
        <f t="shared" si="232"/>
        <v>4756.6187413567586</v>
      </c>
      <c r="AI248" s="145">
        <f t="shared" si="232"/>
        <v>4756.6187413567586</v>
      </c>
      <c r="AJ248" s="145">
        <f t="shared" ref="AJ248:BO248" si="233">MAX(AJ246-AJ247,0)</f>
        <v>4756.6187413567586</v>
      </c>
      <c r="AK248" s="145">
        <f t="shared" si="233"/>
        <v>4756.6187413567586</v>
      </c>
      <c r="AL248" s="145">
        <f t="shared" si="233"/>
        <v>4756.6187413567586</v>
      </c>
      <c r="AM248" s="145">
        <f t="shared" si="233"/>
        <v>4756.6187413567586</v>
      </c>
      <c r="AN248" s="145">
        <f t="shared" si="233"/>
        <v>5168.0662624841189</v>
      </c>
      <c r="AO248" s="145">
        <f t="shared" si="233"/>
        <v>5168.0662624841189</v>
      </c>
      <c r="AP248" s="145">
        <f t="shared" si="233"/>
        <v>5168.0662624841189</v>
      </c>
      <c r="AQ248" s="145">
        <f t="shared" si="233"/>
        <v>5168.0662624841189</v>
      </c>
      <c r="AR248" s="145">
        <f t="shared" si="233"/>
        <v>5168.0662624841189</v>
      </c>
      <c r="AS248" s="145">
        <f t="shared" si="233"/>
        <v>5168.0662624841189</v>
      </c>
      <c r="AT248" s="145">
        <f t="shared" si="233"/>
        <v>5168.0662624841189</v>
      </c>
      <c r="AU248" s="145">
        <f t="shared" si="233"/>
        <v>5168.0662624841189</v>
      </c>
      <c r="AV248" s="145">
        <f t="shared" si="233"/>
        <v>5168.0662624841189</v>
      </c>
      <c r="AW248" s="145">
        <f t="shared" si="233"/>
        <v>5168.0662624841189</v>
      </c>
      <c r="AX248" s="145">
        <f t="shared" si="233"/>
        <v>5168.0662624841189</v>
      </c>
      <c r="AY248" s="145">
        <f t="shared" si="233"/>
        <v>5168.0662624841189</v>
      </c>
      <c r="AZ248" s="145">
        <f t="shared" si="233"/>
        <v>5615.103994188994</v>
      </c>
      <c r="BA248" s="145">
        <f t="shared" si="233"/>
        <v>5615.103994188994</v>
      </c>
      <c r="BB248" s="145">
        <f t="shared" si="233"/>
        <v>5615.103994188994</v>
      </c>
      <c r="BC248" s="145">
        <f t="shared" si="233"/>
        <v>5615.103994188994</v>
      </c>
      <c r="BD248" s="145">
        <f t="shared" si="233"/>
        <v>5615.103994188994</v>
      </c>
      <c r="BE248" s="145">
        <f t="shared" si="233"/>
        <v>5615.103994188994</v>
      </c>
      <c r="BF248" s="145">
        <f t="shared" si="233"/>
        <v>5449.7689265205545</v>
      </c>
      <c r="BG248" s="145">
        <f t="shared" si="233"/>
        <v>5615.103994188994</v>
      </c>
      <c r="BH248" s="145">
        <f t="shared" si="233"/>
        <v>4855.3255551595594</v>
      </c>
      <c r="BI248" s="145">
        <f t="shared" si="233"/>
        <v>5615.103994188994</v>
      </c>
      <c r="BJ248" s="145">
        <f t="shared" si="233"/>
        <v>5615.103994188994</v>
      </c>
      <c r="BK248" s="145">
        <f t="shared" si="233"/>
        <v>5597.0183965241513</v>
      </c>
    </row>
    <row r="249" spans="1:63" ht="15" customHeight="1" x14ac:dyDescent="0.2">
      <c r="A249" s="160" t="s">
        <v>442</v>
      </c>
      <c r="B249" s="161">
        <f t="shared" si="230"/>
        <v>8246596.4078302868</v>
      </c>
      <c r="C249" s="157">
        <f t="shared" si="231"/>
        <v>137443.27346383812</v>
      </c>
      <c r="D249" s="161">
        <f t="shared" ref="D249:AI249" si="234">D35+D53+D66+D79+D92+D105+D118+D131+D144+D157+D170+D183+D196+D209+D222+D234+D246</f>
        <v>174954.21039943426</v>
      </c>
      <c r="E249" s="161">
        <f t="shared" si="234"/>
        <v>220226.75778172864</v>
      </c>
      <c r="F249" s="161">
        <f t="shared" si="234"/>
        <v>124872.64047395128</v>
      </c>
      <c r="G249" s="161">
        <f t="shared" si="234"/>
        <v>47721.486792951735</v>
      </c>
      <c r="H249" s="161">
        <f t="shared" si="234"/>
        <v>48546.433119252892</v>
      </c>
      <c r="I249" s="161">
        <f t="shared" si="234"/>
        <v>48386.832950596647</v>
      </c>
      <c r="J249" s="161">
        <f t="shared" si="234"/>
        <v>50008.847391920695</v>
      </c>
      <c r="K249" s="161">
        <f t="shared" si="234"/>
        <v>47574.253046454513</v>
      </c>
      <c r="L249" s="161">
        <f t="shared" si="234"/>
        <v>50426.883242767784</v>
      </c>
      <c r="M249" s="161">
        <f t="shared" si="234"/>
        <v>45168.521458761548</v>
      </c>
      <c r="N249" s="161">
        <f t="shared" si="234"/>
        <v>39380.616160618811</v>
      </c>
      <c r="O249" s="161">
        <f t="shared" si="234"/>
        <v>36641.224356696614</v>
      </c>
      <c r="P249" s="161">
        <f t="shared" si="234"/>
        <v>136929.14555975658</v>
      </c>
      <c r="Q249" s="161">
        <f t="shared" si="234"/>
        <v>536959.77925641509</v>
      </c>
      <c r="R249" s="161">
        <f t="shared" si="234"/>
        <v>287060.79768437863</v>
      </c>
      <c r="S249" s="161">
        <f t="shared" si="234"/>
        <v>51849.39540054206</v>
      </c>
      <c r="T249" s="161">
        <f t="shared" si="234"/>
        <v>52745.699584068279</v>
      </c>
      <c r="U249" s="161">
        <f t="shared" si="234"/>
        <v>52572.294000823247</v>
      </c>
      <c r="V249" s="161">
        <f t="shared" si="234"/>
        <v>54334.612691321847</v>
      </c>
      <c r="W249" s="161">
        <f t="shared" si="234"/>
        <v>50428.708229241784</v>
      </c>
      <c r="X249" s="161">
        <f t="shared" si="234"/>
        <v>53452.496237333849</v>
      </c>
      <c r="Y249" s="161">
        <f t="shared" si="234"/>
        <v>252928.81822978752</v>
      </c>
      <c r="Z249" s="161">
        <f t="shared" si="234"/>
        <v>41743.453130255934</v>
      </c>
      <c r="AA249" s="161">
        <f t="shared" si="234"/>
        <v>38839.697818098415</v>
      </c>
      <c r="AB249" s="161">
        <f t="shared" si="234"/>
        <v>179001.98275406411</v>
      </c>
      <c r="AC249" s="161">
        <f t="shared" si="234"/>
        <v>586080.82384243223</v>
      </c>
      <c r="AD249" s="161">
        <f t="shared" si="234"/>
        <v>310950.82011324482</v>
      </c>
      <c r="AE249" s="161">
        <f t="shared" si="234"/>
        <v>42199.331679363931</v>
      </c>
      <c r="AF249" s="161">
        <f t="shared" si="234"/>
        <v>42199.331679363931</v>
      </c>
      <c r="AG249" s="161">
        <f t="shared" si="234"/>
        <v>42199.331679363931</v>
      </c>
      <c r="AH249" s="161">
        <f t="shared" si="234"/>
        <v>42199.331679363931</v>
      </c>
      <c r="AI249" s="161">
        <f t="shared" si="234"/>
        <v>42199.331679363931</v>
      </c>
      <c r="AJ249" s="161">
        <f t="shared" ref="AJ249:BK249" si="235">AJ35+AJ53+AJ66+AJ79+AJ92+AJ105+AJ118+AJ131+AJ144+AJ157+AJ170+AJ183+AJ196+AJ209+AJ222+AJ234+AJ246</f>
        <v>42199.331679363931</v>
      </c>
      <c r="AK249" s="161">
        <f t="shared" si="235"/>
        <v>279870.81620569545</v>
      </c>
      <c r="AL249" s="161">
        <f t="shared" si="235"/>
        <v>42199.331679363931</v>
      </c>
      <c r="AM249" s="161">
        <f t="shared" si="235"/>
        <v>42199.331679363931</v>
      </c>
      <c r="AN249" s="161">
        <f t="shared" si="235"/>
        <v>224172.85626753102</v>
      </c>
      <c r="AO249" s="161">
        <f t="shared" si="235"/>
        <v>639858.27081543044</v>
      </c>
      <c r="AP249" s="161">
        <f t="shared" si="235"/>
        <v>341077.31713086332</v>
      </c>
      <c r="AQ249" s="161">
        <f t="shared" si="235"/>
        <v>45849.573869628919</v>
      </c>
      <c r="AR249" s="161">
        <f t="shared" si="235"/>
        <v>45849.573869628919</v>
      </c>
      <c r="AS249" s="161">
        <f t="shared" si="235"/>
        <v>45849.573869628919</v>
      </c>
      <c r="AT249" s="161">
        <f t="shared" si="235"/>
        <v>45849.573869628919</v>
      </c>
      <c r="AU249" s="161">
        <f t="shared" si="235"/>
        <v>45849.573869628919</v>
      </c>
      <c r="AV249" s="161">
        <f t="shared" si="235"/>
        <v>45849.573869628919</v>
      </c>
      <c r="AW249" s="161">
        <f t="shared" si="235"/>
        <v>321769.92745844659</v>
      </c>
      <c r="AX249" s="161">
        <f t="shared" si="235"/>
        <v>45849.573869628919</v>
      </c>
      <c r="AY249" s="161">
        <f t="shared" si="235"/>
        <v>45849.573869628919</v>
      </c>
      <c r="AZ249" s="161">
        <f t="shared" si="235"/>
        <v>274874.90028959955</v>
      </c>
      <c r="BA249" s="161">
        <f t="shared" si="235"/>
        <v>698456.02257896471</v>
      </c>
      <c r="BB249" s="161">
        <f t="shared" si="235"/>
        <v>373986.39617446269</v>
      </c>
      <c r="BC249" s="161">
        <f t="shared" si="235"/>
        <v>49815.562009351808</v>
      </c>
      <c r="BD249" s="161">
        <f t="shared" si="235"/>
        <v>49815.562009351808</v>
      </c>
      <c r="BE249" s="161">
        <f t="shared" si="235"/>
        <v>49815.562009351808</v>
      </c>
      <c r="BF249" s="161">
        <f t="shared" si="235"/>
        <v>49815.562009351808</v>
      </c>
      <c r="BG249" s="161">
        <f t="shared" si="235"/>
        <v>49815.562009351808</v>
      </c>
      <c r="BH249" s="161">
        <f t="shared" si="235"/>
        <v>49815.562009351808</v>
      </c>
      <c r="BI249" s="161">
        <f t="shared" si="235"/>
        <v>369826.92873563292</v>
      </c>
      <c r="BJ249" s="161">
        <f t="shared" si="235"/>
        <v>49815.562009351808</v>
      </c>
      <c r="BK249" s="161">
        <f t="shared" si="235"/>
        <v>49815.562009351808</v>
      </c>
    </row>
    <row r="250" spans="1:63" ht="13.5" customHeight="1" x14ac:dyDescent="0.2">
      <c r="A250" s="154" t="s">
        <v>443</v>
      </c>
      <c r="B250" s="145">
        <f t="shared" si="230"/>
        <v>1031025.5003601694</v>
      </c>
      <c r="C250" s="157">
        <f t="shared" si="231"/>
        <v>17183.758339336156</v>
      </c>
      <c r="D250" s="145">
        <f t="shared" ref="D250:AI250" si="236">D36+D54+D67+D80+D93+D106+D119+D132+D145+D158+D171+D184+D197+D210+D223+D235+D247</f>
        <v>144748.07132023742</v>
      </c>
      <c r="E250" s="145">
        <f t="shared" si="236"/>
        <v>186553.13922011768</v>
      </c>
      <c r="F250" s="145">
        <f t="shared" si="236"/>
        <v>86971.897445358874</v>
      </c>
      <c r="G250" s="145">
        <f t="shared" si="236"/>
        <v>3013.308184290328</v>
      </c>
      <c r="H250" s="145">
        <f t="shared" si="236"/>
        <v>0</v>
      </c>
      <c r="I250" s="145">
        <f t="shared" si="236"/>
        <v>0</v>
      </c>
      <c r="J250" s="145">
        <f t="shared" si="236"/>
        <v>0</v>
      </c>
      <c r="K250" s="145">
        <f t="shared" si="236"/>
        <v>0</v>
      </c>
      <c r="L250" s="145">
        <f t="shared" si="236"/>
        <v>0</v>
      </c>
      <c r="M250" s="145">
        <f t="shared" si="236"/>
        <v>0</v>
      </c>
      <c r="N250" s="145">
        <f t="shared" si="236"/>
        <v>0</v>
      </c>
      <c r="O250" s="145">
        <f t="shared" si="236"/>
        <v>0</v>
      </c>
      <c r="P250" s="145">
        <f t="shared" si="236"/>
        <v>129586.67394395362</v>
      </c>
      <c r="Q250" s="145">
        <f t="shared" si="236"/>
        <v>201204.55984387605</v>
      </c>
      <c r="R250" s="145">
        <f t="shared" si="236"/>
        <v>94150.865131322804</v>
      </c>
      <c r="S250" s="145">
        <f t="shared" si="236"/>
        <v>0</v>
      </c>
      <c r="T250" s="145">
        <f t="shared" si="236"/>
        <v>0</v>
      </c>
      <c r="U250" s="145">
        <f t="shared" si="236"/>
        <v>0</v>
      </c>
      <c r="V250" s="145">
        <f t="shared" si="236"/>
        <v>0</v>
      </c>
      <c r="W250" s="145">
        <f t="shared" si="236"/>
        <v>0</v>
      </c>
      <c r="X250" s="145">
        <f t="shared" si="236"/>
        <v>0</v>
      </c>
      <c r="Y250" s="145">
        <f t="shared" si="236"/>
        <v>0</v>
      </c>
      <c r="Z250" s="145">
        <f t="shared" si="236"/>
        <v>0</v>
      </c>
      <c r="AA250" s="145">
        <f t="shared" si="236"/>
        <v>0</v>
      </c>
      <c r="AB250" s="145">
        <f t="shared" si="236"/>
        <v>0</v>
      </c>
      <c r="AC250" s="145">
        <f t="shared" si="236"/>
        <v>115571.70071754932</v>
      </c>
      <c r="AD250" s="145">
        <f t="shared" si="236"/>
        <v>65692.672601762402</v>
      </c>
      <c r="AE250" s="145">
        <f t="shared" si="236"/>
        <v>0</v>
      </c>
      <c r="AF250" s="145">
        <f t="shared" si="236"/>
        <v>0</v>
      </c>
      <c r="AG250" s="145">
        <f t="shared" si="236"/>
        <v>0</v>
      </c>
      <c r="AH250" s="145">
        <f t="shared" si="236"/>
        <v>0</v>
      </c>
      <c r="AI250" s="145">
        <f t="shared" si="236"/>
        <v>0</v>
      </c>
      <c r="AJ250" s="145">
        <f t="shared" ref="AJ250:BK250" si="237">AJ36+AJ54+AJ67+AJ80+AJ93+AJ106+AJ119+AJ132+AJ145+AJ158+AJ171+AJ184+AJ197+AJ210+AJ223+AJ235+AJ247</f>
        <v>0</v>
      </c>
      <c r="AK250" s="145">
        <f t="shared" si="237"/>
        <v>0</v>
      </c>
      <c r="AL250" s="145">
        <f t="shared" si="237"/>
        <v>0</v>
      </c>
      <c r="AM250" s="145">
        <f t="shared" si="237"/>
        <v>0</v>
      </c>
      <c r="AN250" s="145">
        <f t="shared" si="237"/>
        <v>0</v>
      </c>
      <c r="AO250" s="145">
        <f t="shared" si="237"/>
        <v>0</v>
      </c>
      <c r="AP250" s="145">
        <f t="shared" si="237"/>
        <v>0</v>
      </c>
      <c r="AQ250" s="145">
        <f t="shared" si="237"/>
        <v>0</v>
      </c>
      <c r="AR250" s="145">
        <f t="shared" si="237"/>
        <v>0</v>
      </c>
      <c r="AS250" s="145">
        <f t="shared" si="237"/>
        <v>0</v>
      </c>
      <c r="AT250" s="145">
        <f t="shared" si="237"/>
        <v>0</v>
      </c>
      <c r="AU250" s="145">
        <f t="shared" si="237"/>
        <v>0</v>
      </c>
      <c r="AV250" s="145">
        <f t="shared" si="237"/>
        <v>0</v>
      </c>
      <c r="AW250" s="145">
        <f t="shared" si="237"/>
        <v>0</v>
      </c>
      <c r="AX250" s="145">
        <f t="shared" si="237"/>
        <v>0</v>
      </c>
      <c r="AY250" s="145">
        <f t="shared" si="237"/>
        <v>0</v>
      </c>
      <c r="AZ250" s="145">
        <f t="shared" si="237"/>
        <v>0</v>
      </c>
      <c r="BA250" s="145">
        <f t="shared" si="237"/>
        <v>0</v>
      </c>
      <c r="BB250" s="145">
        <f t="shared" si="237"/>
        <v>0</v>
      </c>
      <c r="BC250" s="145">
        <f t="shared" si="237"/>
        <v>0</v>
      </c>
      <c r="BD250" s="145">
        <f t="shared" si="237"/>
        <v>0</v>
      </c>
      <c r="BE250" s="145">
        <f t="shared" si="237"/>
        <v>104.7742269801935</v>
      </c>
      <c r="BF250" s="145">
        <f t="shared" si="237"/>
        <v>283.34427677139217</v>
      </c>
      <c r="BG250" s="145">
        <f t="shared" si="237"/>
        <v>253.3235457170972</v>
      </c>
      <c r="BH250" s="145">
        <f t="shared" si="237"/>
        <v>1518.1385638727413</v>
      </c>
      <c r="BI250" s="145">
        <f t="shared" si="237"/>
        <v>328.23878562036668</v>
      </c>
      <c r="BJ250" s="145">
        <f t="shared" si="237"/>
        <v>332.90677428540749</v>
      </c>
      <c r="BK250" s="145">
        <f t="shared" si="237"/>
        <v>711.88577845398595</v>
      </c>
    </row>
    <row r="251" spans="1:63" ht="15" customHeight="1" x14ac:dyDescent="0.2">
      <c r="A251" s="162" t="s">
        <v>444</v>
      </c>
      <c r="B251" s="163">
        <f t="shared" si="230"/>
        <v>5573535.8698697044</v>
      </c>
      <c r="C251" s="157">
        <f t="shared" si="231"/>
        <v>92892.264497828408</v>
      </c>
      <c r="D251" s="163">
        <f t="shared" ref="D251:AI251" si="238">D250+D7</f>
        <v>206197.51532023743</v>
      </c>
      <c r="E251" s="163">
        <f t="shared" si="238"/>
        <v>251233.89522011767</v>
      </c>
      <c r="F251" s="163">
        <f t="shared" si="238"/>
        <v>164617.54944535889</v>
      </c>
      <c r="G251" s="163">
        <f t="shared" si="238"/>
        <v>75871.464184290351</v>
      </c>
      <c r="H251" s="163">
        <f t="shared" si="238"/>
        <v>74875.248000000007</v>
      </c>
      <c r="I251" s="163">
        <f t="shared" si="238"/>
        <v>72397.248000000007</v>
      </c>
      <c r="J251" s="163">
        <f t="shared" si="238"/>
        <v>68744.676000000007</v>
      </c>
      <c r="K251" s="163">
        <f t="shared" si="238"/>
        <v>70585.483080000005</v>
      </c>
      <c r="L251" s="163">
        <f t="shared" si="238"/>
        <v>62897.711100000008</v>
      </c>
      <c r="M251" s="163">
        <f t="shared" si="238"/>
        <v>72143.748600000006</v>
      </c>
      <c r="N251" s="163">
        <f t="shared" si="238"/>
        <v>71985.949560000008</v>
      </c>
      <c r="O251" s="163">
        <f t="shared" si="238"/>
        <v>67370.327640000003</v>
      </c>
      <c r="P251" s="163">
        <f t="shared" si="238"/>
        <v>193480.26957905362</v>
      </c>
      <c r="Q251" s="163">
        <f t="shared" si="238"/>
        <v>268457.99291377608</v>
      </c>
      <c r="R251" s="163">
        <f t="shared" si="238"/>
        <v>174884.87293962282</v>
      </c>
      <c r="S251" s="163">
        <f t="shared" si="238"/>
        <v>75756.089154900008</v>
      </c>
      <c r="T251" s="163">
        <f t="shared" si="238"/>
        <v>77853.410989199998</v>
      </c>
      <c r="U251" s="163">
        <f t="shared" si="238"/>
        <v>75276.8485392</v>
      </c>
      <c r="V251" s="163">
        <f t="shared" si="238"/>
        <v>71478.9954879</v>
      </c>
      <c r="W251" s="163">
        <f t="shared" si="238"/>
        <v>73761.829818600003</v>
      </c>
      <c r="X251" s="163">
        <f t="shared" si="238"/>
        <v>65728.108099500008</v>
      </c>
      <c r="Y251" s="163">
        <f t="shared" si="238"/>
        <v>75390.217287000007</v>
      </c>
      <c r="Z251" s="163">
        <f t="shared" si="238"/>
        <v>75225.317290200008</v>
      </c>
      <c r="AA251" s="163">
        <f t="shared" si="238"/>
        <v>70401.992383799996</v>
      </c>
      <c r="AB251" s="163">
        <f t="shared" si="238"/>
        <v>66434.963401486093</v>
      </c>
      <c r="AC251" s="163">
        <f t="shared" si="238"/>
        <v>185500.13908780459</v>
      </c>
      <c r="AD251" s="163">
        <f t="shared" si="238"/>
        <v>149637.87557063752</v>
      </c>
      <c r="AE251" s="163">
        <f t="shared" si="238"/>
        <v>78769.287601036136</v>
      </c>
      <c r="AF251" s="163">
        <f t="shared" si="238"/>
        <v>80950.030411295447</v>
      </c>
      <c r="AG251" s="163">
        <f t="shared" si="238"/>
        <v>78270.985189846673</v>
      </c>
      <c r="AH251" s="163">
        <f t="shared" si="238"/>
        <v>74322.072533431216</v>
      </c>
      <c r="AI251" s="163">
        <f t="shared" si="238"/>
        <v>76695.706599634825</v>
      </c>
      <c r="AJ251" s="163">
        <f t="shared" ref="AJ251:BO251" si="239">AJ250+AJ7</f>
        <v>68342.443599157603</v>
      </c>
      <c r="AK251" s="163">
        <f t="shared" si="239"/>
        <v>78388.863179590422</v>
      </c>
      <c r="AL251" s="163">
        <f t="shared" si="239"/>
        <v>78217.40428541771</v>
      </c>
      <c r="AM251" s="163">
        <f t="shared" si="239"/>
        <v>73202.231630865645</v>
      </c>
      <c r="AN251" s="163">
        <f t="shared" si="239"/>
        <v>69077.414070780214</v>
      </c>
      <c r="AO251" s="163">
        <f t="shared" si="239"/>
        <v>72709.842006432169</v>
      </c>
      <c r="AP251" s="163">
        <f t="shared" si="239"/>
        <v>87284.123416962146</v>
      </c>
      <c r="AQ251" s="163">
        <f t="shared" si="239"/>
        <v>81902.336015367371</v>
      </c>
      <c r="AR251" s="163">
        <f t="shared" si="239"/>
        <v>84169.817870904692</v>
      </c>
      <c r="AS251" s="163">
        <f t="shared" si="239"/>
        <v>81384.213625772827</v>
      </c>
      <c r="AT251" s="163">
        <f t="shared" si="239"/>
        <v>77278.232968448428</v>
      </c>
      <c r="AU251" s="163">
        <f t="shared" si="239"/>
        <v>79746.278329635286</v>
      </c>
      <c r="AV251" s="163">
        <f t="shared" si="239"/>
        <v>71060.764293314103</v>
      </c>
      <c r="AW251" s="163">
        <f t="shared" si="239"/>
        <v>81506.780212558631</v>
      </c>
      <c r="AX251" s="163">
        <f t="shared" si="239"/>
        <v>81328.501540870187</v>
      </c>
      <c r="AY251" s="163">
        <f t="shared" si="239"/>
        <v>76113.850393983317</v>
      </c>
      <c r="AZ251" s="163">
        <f t="shared" si="239"/>
        <v>71824.968215445479</v>
      </c>
      <c r="BA251" s="163">
        <f t="shared" si="239"/>
        <v>75601.875972237991</v>
      </c>
      <c r="BB251" s="163">
        <f t="shared" si="239"/>
        <v>90755.849425871769</v>
      </c>
      <c r="BC251" s="163">
        <f t="shared" si="239"/>
        <v>85160.001430378572</v>
      </c>
      <c r="BD251" s="163">
        <f t="shared" si="239"/>
        <v>87517.672376719915</v>
      </c>
      <c r="BE251" s="163">
        <f t="shared" si="239"/>
        <v>84726.044949718111</v>
      </c>
      <c r="BF251" s="163">
        <f t="shared" si="239"/>
        <v>80635.318961539859</v>
      </c>
      <c r="BG251" s="163">
        <f t="shared" si="239"/>
        <v>83171.510095913589</v>
      </c>
      <c r="BH251" s="163">
        <f t="shared" si="239"/>
        <v>75405.344756953404</v>
      </c>
      <c r="BI251" s="163">
        <f t="shared" si="239"/>
        <v>85076.951181133496</v>
      </c>
      <c r="BJ251" s="163">
        <f t="shared" si="239"/>
        <v>84896.249463943692</v>
      </c>
      <c r="BK251" s="163">
        <f t="shared" si="239"/>
        <v>79853.164571857982</v>
      </c>
    </row>
    <row r="252" spans="1:63" ht="15.75" customHeight="1" x14ac:dyDescent="0.2">
      <c r="A252" s="41" t="s">
        <v>445</v>
      </c>
      <c r="B252" s="44">
        <f t="shared" si="230"/>
        <v>2673060.5379605796</v>
      </c>
      <c r="C252" s="124">
        <f t="shared" si="231"/>
        <v>44551.008966009664</v>
      </c>
      <c r="D252" s="44">
        <f t="shared" ref="D252:AI252" si="240">D249-D251-D253</f>
        <v>-31243.304920803173</v>
      </c>
      <c r="E252" s="44">
        <f t="shared" si="240"/>
        <v>-31007.137438389036</v>
      </c>
      <c r="F252" s="44">
        <f t="shared" si="240"/>
        <v>-39744.908971407611</v>
      </c>
      <c r="G252" s="44">
        <f t="shared" si="240"/>
        <v>-28149.977391338616</v>
      </c>
      <c r="H252" s="44">
        <f t="shared" si="240"/>
        <v>-26328.814880747115</v>
      </c>
      <c r="I252" s="44">
        <f t="shared" si="240"/>
        <v>-24010.41504940336</v>
      </c>
      <c r="J252" s="44">
        <f t="shared" si="240"/>
        <v>-18735.828608079311</v>
      </c>
      <c r="K252" s="44">
        <f t="shared" si="240"/>
        <v>-23011.230033545493</v>
      </c>
      <c r="L252" s="44">
        <f t="shared" si="240"/>
        <v>-12470.827857232223</v>
      </c>
      <c r="M252" s="44">
        <f t="shared" si="240"/>
        <v>-26975.227141238458</v>
      </c>
      <c r="N252" s="44">
        <f t="shared" si="240"/>
        <v>-32605.333399381198</v>
      </c>
      <c r="O252" s="44">
        <f t="shared" si="240"/>
        <v>-30729.10328330339</v>
      </c>
      <c r="P252" s="44">
        <f t="shared" si="240"/>
        <v>-56551.124019297044</v>
      </c>
      <c r="Q252" s="44">
        <f t="shared" si="240"/>
        <v>268501.78634263901</v>
      </c>
      <c r="R252" s="44">
        <f t="shared" si="240"/>
        <v>112175.92474475582</v>
      </c>
      <c r="S252" s="44">
        <f t="shared" si="240"/>
        <v>-23906.693754357948</v>
      </c>
      <c r="T252" s="44">
        <f t="shared" si="240"/>
        <v>-25107.711405131718</v>
      </c>
      <c r="U252" s="44">
        <f t="shared" si="240"/>
        <v>-22704.554538376753</v>
      </c>
      <c r="V252" s="44">
        <f t="shared" si="240"/>
        <v>-17144.382796578153</v>
      </c>
      <c r="W252" s="44">
        <f t="shared" si="240"/>
        <v>-23333.121589358219</v>
      </c>
      <c r="X252" s="44">
        <f t="shared" si="240"/>
        <v>-12275.611862166159</v>
      </c>
      <c r="Y252" s="44">
        <f t="shared" si="240"/>
        <v>177538.60094278751</v>
      </c>
      <c r="Z252" s="44">
        <f t="shared" si="240"/>
        <v>-33481.864159944074</v>
      </c>
      <c r="AA252" s="44">
        <f t="shared" si="240"/>
        <v>-31562.294565701581</v>
      </c>
      <c r="AB252" s="44">
        <f t="shared" si="240"/>
        <v>112567.01935257802</v>
      </c>
      <c r="AC252" s="44">
        <f t="shared" si="240"/>
        <v>400580.68475462764</v>
      </c>
      <c r="AD252" s="44">
        <f t="shared" si="240"/>
        <v>161312.94454260729</v>
      </c>
      <c r="AE252" s="44">
        <f t="shared" si="240"/>
        <v>-36569.955921672205</v>
      </c>
      <c r="AF252" s="44">
        <f t="shared" si="240"/>
        <v>-38750.698731931516</v>
      </c>
      <c r="AG252" s="44">
        <f t="shared" si="240"/>
        <v>-36071.653510482742</v>
      </c>
      <c r="AH252" s="44">
        <f t="shared" si="240"/>
        <v>-32122.740854067284</v>
      </c>
      <c r="AI252" s="44">
        <f t="shared" si="240"/>
        <v>-34496.374920270893</v>
      </c>
      <c r="AJ252" s="44">
        <f t="shared" ref="AJ252:BO252" si="241">AJ249-AJ251-AJ253</f>
        <v>-26143.111919793671</v>
      </c>
      <c r="AK252" s="44">
        <f t="shared" si="241"/>
        <v>201481.95302610501</v>
      </c>
      <c r="AL252" s="44">
        <f t="shared" si="241"/>
        <v>-36018.072606053778</v>
      </c>
      <c r="AM252" s="44">
        <f t="shared" si="241"/>
        <v>-31002.899951501713</v>
      </c>
      <c r="AN252" s="44">
        <f t="shared" si="241"/>
        <v>155095.44219675081</v>
      </c>
      <c r="AO252" s="44">
        <f t="shared" si="241"/>
        <v>567148.42880899832</v>
      </c>
      <c r="AP252" s="44">
        <f t="shared" si="241"/>
        <v>253793.19371390116</v>
      </c>
      <c r="AQ252" s="44">
        <f t="shared" si="241"/>
        <v>-36052.762145738452</v>
      </c>
      <c r="AR252" s="44">
        <f t="shared" si="241"/>
        <v>-38320.244001275772</v>
      </c>
      <c r="AS252" s="44">
        <f t="shared" si="241"/>
        <v>-35534.639756143908</v>
      </c>
      <c r="AT252" s="44">
        <f t="shared" si="241"/>
        <v>-31428.659098819509</v>
      </c>
      <c r="AU252" s="44">
        <f t="shared" si="241"/>
        <v>-33896.704460006367</v>
      </c>
      <c r="AV252" s="44">
        <f t="shared" si="241"/>
        <v>-25211.190423685184</v>
      </c>
      <c r="AW252" s="44">
        <f t="shared" si="241"/>
        <v>240263.14724588796</v>
      </c>
      <c r="AX252" s="44">
        <f t="shared" si="241"/>
        <v>-35478.927671241268</v>
      </c>
      <c r="AY252" s="44">
        <f t="shared" si="241"/>
        <v>-30264.276524354398</v>
      </c>
      <c r="AZ252" s="44">
        <f t="shared" si="241"/>
        <v>203049.93207415409</v>
      </c>
      <c r="BA252" s="44">
        <f t="shared" si="241"/>
        <v>622854.14660672669</v>
      </c>
      <c r="BB252" s="44">
        <f t="shared" si="241"/>
        <v>283230.54674859089</v>
      </c>
      <c r="BC252" s="44">
        <f t="shared" si="241"/>
        <v>-35344.439421026764</v>
      </c>
      <c r="BD252" s="44">
        <f t="shared" si="241"/>
        <v>-37702.110367368106</v>
      </c>
      <c r="BE252" s="44">
        <f t="shared" si="241"/>
        <v>-34910.482940366303</v>
      </c>
      <c r="BF252" s="44">
        <f t="shared" si="241"/>
        <v>-30819.75695218805</v>
      </c>
      <c r="BG252" s="44">
        <f t="shared" si="241"/>
        <v>-33355.948086561781</v>
      </c>
      <c r="BH252" s="44">
        <f t="shared" si="241"/>
        <v>-25589.782747601595</v>
      </c>
      <c r="BI252" s="44">
        <f t="shared" si="241"/>
        <v>284749.9775544994</v>
      </c>
      <c r="BJ252" s="44">
        <f t="shared" si="241"/>
        <v>-35080.687454591884</v>
      </c>
      <c r="BK252" s="44">
        <f t="shared" si="241"/>
        <v>-30037.602562506174</v>
      </c>
    </row>
    <row r="253" spans="1:63" ht="18" customHeight="1" x14ac:dyDescent="0.2">
      <c r="A253" s="164" t="s">
        <v>446</v>
      </c>
      <c r="B253" s="165">
        <f t="shared" si="230"/>
        <v>0</v>
      </c>
      <c r="C253" s="166" t="s">
        <v>447</v>
      </c>
      <c r="D253" s="167">
        <f>((D27+D45)*Premissas!$C$11+(D59+D72+D85+D98+D111+D124+D137+D150+D163+D176+D189+D202+D215+D227+D239)*Premissas!$E$11)</f>
        <v>0</v>
      </c>
      <c r="E253" s="167">
        <f>((E27+E45)*Premissas!$C$11+(E59+E72+E85+E98+E111+E124+E137+E150+E163+E176+E189+E202+E215+E227+E239)*Premissas!$E$11)</f>
        <v>0</v>
      </c>
      <c r="F253" s="167">
        <f>((F27+F45)*Premissas!$C$11+(F59+F72+F85+F98+F111+F124+F137+F150+F163+F176+F189+F202+F215+F227+F239)*Premissas!$E$11)</f>
        <v>0</v>
      </c>
      <c r="G253" s="167">
        <f>((G27+G45)*Premissas!$C$11+(G59+G72+G85+G98+G111+G124+G137+G150+G163+G176+G189+G202+G215+G227+G239)*Premissas!$E$11)</f>
        <v>0</v>
      </c>
      <c r="H253" s="167">
        <f>((H27+H45)*Premissas!$C$11+(H59+H72+H85+H98+H111+H124+H137+H150+H163+H176+H189+H202+H215+H227+H239)*Premissas!$E$11)</f>
        <v>0</v>
      </c>
      <c r="I253" s="167">
        <f>((I27+I45)*Premissas!$C$11+(I59+I72+I85+I98+I111+I124+I137+I150+I163+I176+I189+I202+I215+I227+I239)*Premissas!$E$11)</f>
        <v>0</v>
      </c>
      <c r="J253" s="167">
        <f>((J27+J45)*Premissas!$C$11+(J59+J72+J85+J98+J111+J124+J137+J150+J163+J176+J189+J202+J215+J227+J239)*Premissas!$E$11)</f>
        <v>0</v>
      </c>
      <c r="K253" s="167">
        <f>((K27+K45)*Premissas!$C$11+(K59+K72+K85+K98+K111+K124+K137+K150+K163+K176+K189+K202+K215+K227+K239)*Premissas!$E$11)</f>
        <v>0</v>
      </c>
      <c r="L253" s="167">
        <f>((L27+L45)*Premissas!$C$11+(L59+L72+L85+L98+L111+L124+L137+L150+L163+L176+L189+L202+L215+L227+L239)*Premissas!$E$11)</f>
        <v>0</v>
      </c>
      <c r="M253" s="167">
        <f>((M27+M45)*Premissas!$C$11+(M59+M72+M85+M98+M111+M124+M137+M150+M163+M176+M189+M202+M215+M227+M239)*Premissas!$E$11)</f>
        <v>0</v>
      </c>
      <c r="N253" s="167">
        <f>((N27+N45)*Premissas!$C$11+(N59+N72+N85+N98+N111+N124+N137+N150+N163+N176+N189+N202+N215+N227+N239)*Premissas!$E$11)</f>
        <v>0</v>
      </c>
      <c r="O253" s="167">
        <f>((O27+O45)*Premissas!$C$11+(O59+O72+O85+O98+O111+O124+O137+O150+O163+O176+O189+O202+O215+O227+O239)*Premissas!$E$11)</f>
        <v>0</v>
      </c>
      <c r="P253" s="167">
        <f>((P27+P45)*Premissas!$C$11+(P59+P72+P85+P98+P111+P124+P137+P150+P163+P176+P189+P202+P215+P227+P239)*Premissas!$E$11)</f>
        <v>0</v>
      </c>
      <c r="Q253" s="167">
        <f>((Q27+Q45)*Premissas!$C$11+(Q59+Q72+Q85+Q98+Q111+Q124+Q137+Q150+Q163+Q176+Q189+Q202+Q215+Q227+Q239)*Premissas!$E$11)</f>
        <v>0</v>
      </c>
      <c r="R253" s="167">
        <f>((R27+R45)*Premissas!$C$11+(R59+R72+R85+R98+R111+R124+R137+R150+R163+R176+R189+R202+R215+R227+R239)*Premissas!$E$11)</f>
        <v>0</v>
      </c>
      <c r="S253" s="167">
        <f>((S27+S45)*Premissas!$C$11+(S59+S72+S85+S98+S111+S124+S137+S150+S163+S176+S189+S202+S215+S227+S239)*Premissas!$E$11)</f>
        <v>0</v>
      </c>
      <c r="T253" s="167">
        <f>((T27+T45)*Premissas!$C$11+(T59+T72+T85+T98+T111+T124+T137+T150+T163+T176+T189+T202+T215+T227+T239)*Premissas!$E$11)</f>
        <v>0</v>
      </c>
      <c r="U253" s="167">
        <f>((U27+U45)*Premissas!$C$11+(U59+U72+U85+U98+U111+U124+U137+U150+U163+U176+U189+U202+U215+U227+U239)*Premissas!$E$11)</f>
        <v>0</v>
      </c>
      <c r="V253" s="167">
        <f>((V27+V45)*Premissas!$C$11+(V59+V72+V85+V98+V111+V124+V137+V150+V163+V176+V189+V202+V215+V227+V239)*Premissas!$E$11)</f>
        <v>0</v>
      </c>
      <c r="W253" s="167">
        <f>((W27+W45)*Premissas!$C$11+(W59+W72+W85+W98+W111+W124+W137+W150+W163+W176+W189+W202+W215+W227+W239)*Premissas!$E$11)</f>
        <v>0</v>
      </c>
      <c r="X253" s="167">
        <f>((X27+X45)*Premissas!$C$11+(X59+X72+X85+X98+X111+X124+X137+X150+X163+X176+X189+X202+X215+X227+X239)*Premissas!$E$11)</f>
        <v>0</v>
      </c>
      <c r="Y253" s="167">
        <f>((Y27+Y45)*Premissas!$C$11+(Y59+Y72+Y85+Y98+Y111+Y124+Y137+Y150+Y163+Y176+Y189+Y202+Y215+Y227+Y239)*Premissas!$E$11)</f>
        <v>0</v>
      </c>
      <c r="Z253" s="167">
        <f>((Z27+Z45)*Premissas!$C$11+(Z59+Z72+Z85+Z98+Z111+Z124+Z137+Z150+Z163+Z176+Z189+Z202+Z215+Z227+Z239)*Premissas!$E$11)</f>
        <v>0</v>
      </c>
      <c r="AA253" s="167">
        <f>((AA27+AA45)*Premissas!$C$11+(AA59+AA72+AA85+AA98+AA111+AA124+AA137+AA150+AA163+AA176+AA189+AA202+AA215+AA227+AA239)*Premissas!$E$11)</f>
        <v>0</v>
      </c>
      <c r="AB253" s="168">
        <f>((AB27+AB45)*Premissas!$C$11+(AB59+AB72+AB85+AB98+AB111+AB124+AB137+AB150+AB163+AB176+AB189+AB202+AB215+AB227+AB239)*Premissas!$E$11)</f>
        <v>0</v>
      </c>
      <c r="AC253" s="168">
        <f>((AC27+AC45)*Premissas!$C$11+(AC59+AC72+AC85+AC98+AC111+AC124+AC137+AC150+AC163+AC176+AC189+AC202+AC215+AC227+AC239)*Premissas!$E$11)</f>
        <v>0</v>
      </c>
      <c r="AD253" s="168">
        <f>((AD27+AD45)*Premissas!$C$11+(AD59+AD72+AD85+AD98+AD111+AD124+AD137+AD150+AD163+AD176+AD189+AD202+AD215+AD227+AD239)*Premissas!$E$11)</f>
        <v>0</v>
      </c>
      <c r="AE253" s="168">
        <f>((AE27+AE45)*Premissas!$C$11+(AE59+AE72+AE85+AE98+AE111+AE124+AE137+AE150+AE163+AE176+AE189+AE202+AE215+AE227+AE239)*Premissas!$E$11)</f>
        <v>0</v>
      </c>
      <c r="AF253" s="168">
        <f>((AF27+AF45)*Premissas!$C$11+(AF59+AF72+AF85+AF98+AF111+AF124+AF137+AF150+AF163+AF176+AF189+AF202+AF215+AF227+AF239)*Premissas!$E$11)</f>
        <v>0</v>
      </c>
      <c r="AG253" s="168">
        <f>((AG27+AG45)*Premissas!$C$11+(AG59+AG72+AG85+AG98+AG111+AG124+AG137+AG150+AG163+AG176+AG189+AG202+AG215+AG227+AG239)*Premissas!$E$11)</f>
        <v>0</v>
      </c>
      <c r="AH253" s="168">
        <f>((AH27+AH45)*Premissas!$C$11+(AH59+AH72+AH85+AH98+AH111+AH124+AH137+AH150+AH163+AH176+AH189+AH202+AH215+AH227+AH239)*Premissas!$E$11)</f>
        <v>0</v>
      </c>
      <c r="AI253" s="168">
        <f>((AI27+AI45)*Premissas!$C$11+(AI59+AI72+AI85+AI98+AI111+AI124+AI137+AI150+AI163+AI176+AI189+AI202+AI215+AI227+AI239)*Premissas!$E$11)</f>
        <v>0</v>
      </c>
      <c r="AJ253" s="168">
        <f>((AJ27+AJ45)*Premissas!$C$11+(AJ59+AJ72+AJ85+AJ98+AJ111+AJ124+AJ137+AJ150+AJ163+AJ176+AJ189+AJ202+AJ215+AJ227+AJ239)*Premissas!$E$11)</f>
        <v>0</v>
      </c>
      <c r="AK253" s="168">
        <f>((AK27+AK45)*Premissas!$C$11+(AK59+AK72+AK85+AK98+AK111+AK124+AK137+AK150+AK163+AK176+AK189+AK202+AK215+AK227+AK239)*Premissas!$E$11)</f>
        <v>0</v>
      </c>
      <c r="AL253" s="168">
        <f>((AL27+AL45)*Premissas!$C$11+(AL59+AL72+AL85+AL98+AL111+AL124+AL137+AL150+AL163+AL176+AL189+AL202+AL215+AL227+AL239)*Premissas!$E$11)</f>
        <v>0</v>
      </c>
      <c r="AM253" s="168">
        <f>((AM27+AM45)*Premissas!$C$11+(AM59+AM72+AM85+AM98+AM111+AM124+AM137+AM150+AM163+AM176+AM189+AM202+AM215+AM227+AM239)*Premissas!$E$11)</f>
        <v>0</v>
      </c>
      <c r="AN253" s="168">
        <f>((AN27+AN45)*Premissas!$C$11+(AN59+AN72+AN85+AN98+AN111+AN124+AN137+AN150+AN163+AN176+AN189+AN202+AN215+AN227+AN239)*Premissas!$E$11)</f>
        <v>0</v>
      </c>
      <c r="AO253" s="168">
        <f>((AO27+AO45)*Premissas!$C$11+(AO59+AO72+AO85+AO98+AO111+AO124+AO137+AO150+AO163+AO176+AO189+AO202+AO215+AO227+AO239)*Premissas!$E$11)</f>
        <v>0</v>
      </c>
      <c r="AP253" s="168">
        <f>((AP27+AP45)*Premissas!$C$11+(AP59+AP72+AP85+AP98+AP111+AP124+AP137+AP150+AP163+AP176+AP189+AP202+AP215+AP227+AP239)*Premissas!$E$11)</f>
        <v>0</v>
      </c>
      <c r="AQ253" s="168">
        <f>((AQ27+AQ45)*Premissas!$C$11+(AQ59+AQ72+AQ85+AQ98+AQ111+AQ124+AQ137+AQ150+AQ163+AQ176+AQ189+AQ202+AQ215+AQ227+AQ239)*Premissas!$E$11)</f>
        <v>0</v>
      </c>
      <c r="AR253" s="168">
        <f>((AR27+AR45)*Premissas!$C$11+(AR59+AR72+AR85+AR98+AR111+AR124+AR137+AR150+AR163+AR176+AR189+AR202+AR215+AR227+AR239)*Premissas!$E$11)</f>
        <v>0</v>
      </c>
      <c r="AS253" s="168">
        <f>((AS27+AS45)*Premissas!$C$11+(AS59+AS72+AS85+AS98+AS111+AS124+AS137+AS150+AS163+AS176+AS189+AS202+AS215+AS227+AS239)*Premissas!$E$11)</f>
        <v>0</v>
      </c>
      <c r="AT253" s="168">
        <f>((AT27+AT45)*Premissas!$C$11+(AT59+AT72+AT85+AT98+AT111+AT124+AT137+AT150+AT163+AT176+AT189+AT202+AT215+AT227+AT239)*Premissas!$E$11)</f>
        <v>0</v>
      </c>
      <c r="AU253" s="168">
        <f>((AU27+AU45)*Premissas!$C$11+(AU59+AU72+AU85+AU98+AU111+AU124+AU137+AU150+AU163+AU176+AU189+AU202+AU215+AU227+AU239)*Premissas!$E$11)</f>
        <v>0</v>
      </c>
      <c r="AV253" s="168">
        <f>((AV27+AV45)*Premissas!$C$11+(AV59+AV72+AV85+AV98+AV111+AV124+AV137+AV150+AV163+AV176+AV189+AV202+AV215+AV227+AV239)*Premissas!$E$11)</f>
        <v>0</v>
      </c>
      <c r="AW253" s="168">
        <f>((AW27+AW45)*Premissas!$C$11+(AW59+AW72+AW85+AW98+AW111+AW124+AW137+AW150+AW163+AW176+AW189+AW202+AW215+AW227+AW239)*Premissas!$E$11)</f>
        <v>0</v>
      </c>
      <c r="AX253" s="168">
        <f>((AX27+AX45)*Premissas!$C$11+(AX59+AX72+AX85+AX98+AX111+AX124+AX137+AX150+AX163+AX176+AX189+AX202+AX215+AX227+AX239)*Premissas!$E$11)</f>
        <v>0</v>
      </c>
      <c r="AY253" s="168">
        <f>((AY27+AY45)*Premissas!$C$11+(AY59+AY72+AY85+AY98+AY111+AY124+AY137+AY150+AY163+AY176+AY189+AY202+AY215+AY227+AY239)*Premissas!$E$11)</f>
        <v>0</v>
      </c>
      <c r="AZ253" s="168">
        <f>((AZ27+AZ45)*Premissas!$C$11+(AZ59+AZ72+AZ85+AZ98+AZ111+AZ124+AZ137+AZ150+AZ163+AZ176+AZ189+AZ202+AZ215+AZ227+AZ239)*Premissas!$E$11)</f>
        <v>0</v>
      </c>
      <c r="BA253" s="168">
        <f>((BA27+BA45)*Premissas!$C$11+(BA59+BA72+BA85+BA98+BA111+BA124+BA137+BA150+BA163+BA176+BA189+BA202+BA215+BA227+BA239)*Premissas!$E$11)</f>
        <v>0</v>
      </c>
      <c r="BB253" s="168">
        <f>((BB27+BB45)*Premissas!$C$11+(BB59+BB72+BB85+BB98+BB111+BB124+BB137+BB150+BB163+BB176+BB189+BB202+BB215+BB227+BB239)*Premissas!$E$11)</f>
        <v>0</v>
      </c>
      <c r="BC253" s="168">
        <f>((BC27+BC45)*Premissas!$C$11+(BC59+BC72+BC85+BC98+BC111+BC124+BC137+BC150+BC163+BC176+BC189+BC202+BC215+BC227+BC239)*Premissas!$E$11)</f>
        <v>0</v>
      </c>
      <c r="BD253" s="168">
        <f>((BD27+BD45)*Premissas!$C$11+(BD59+BD72+BD85+BD98+BD111+BD124+BD137+BD150+BD163+BD176+BD189+BD202+BD215+BD227+BD239)*Premissas!$E$11)</f>
        <v>0</v>
      </c>
      <c r="BE253" s="168">
        <f>((BE27+BE45)*Premissas!$C$11+(BE59+BE72+BE85+BE98+BE111+BE124+BE137+BE150+BE163+BE176+BE189+BE202+BE215+BE227+BE239)*Premissas!$E$11)</f>
        <v>0</v>
      </c>
      <c r="BF253" s="168">
        <f>((BF27+BF45)*Premissas!$C$11+(BF59+BF72+BF85+BF98+BF111+BF124+BF137+BF150+BF163+BF176+BF189+BF202+BF215+BF227+BF239)*Premissas!$E$11)</f>
        <v>0</v>
      </c>
      <c r="BG253" s="168">
        <f>((BG27+BG45)*Premissas!$C$11+(BG59+BG72+BG85+BG98+BG111+BG124+BG137+BG150+BG163+BG176+BG189+BG202+BG215+BG227+BG239)*Premissas!$E$11)</f>
        <v>0</v>
      </c>
      <c r="BH253" s="168">
        <f>((BH27+BH45)*Premissas!$C$11+(BH59+BH72+BH85+BH98+BH111+BH124+BH137+BH150+BH163+BH176+BH189+BH202+BH215+BH227+BH239)*Premissas!$E$11)</f>
        <v>0</v>
      </c>
      <c r="BI253" s="168">
        <f>((BI27+BI45)*Premissas!$C$11+(BI59+BI72+BI85+BI98+BI111+BI124+BI137+BI150+BI163+BI176+BI189+BI202+BI215+BI227+BI239)*Premissas!$E$11)</f>
        <v>0</v>
      </c>
      <c r="BJ253" s="168">
        <f>((BJ27+BJ45)*Premissas!$C$11+(BJ59+BJ72+BJ85+BJ98+BJ111+BJ124+BJ137+BJ150+BJ163+BJ176+BJ189+BJ202+BJ215+BJ227+BJ239)*Premissas!$E$11)</f>
        <v>0</v>
      </c>
      <c r="BK253" s="168">
        <f>((BK27+BK45)*Premissas!$C$11+(BK59+BK72+BK85+BK98+BK111+BK124+BK137+BK150+BK163+BK176+BK189+BK202+BK215+BK227+BK239)*Premissas!$E$11)</f>
        <v>0</v>
      </c>
    </row>
    <row r="254" spans="1:63" ht="15" customHeight="1" x14ac:dyDescent="0.2">
      <c r="A254" s="133" t="s">
        <v>448</v>
      </c>
      <c r="B254" s="133" t="s">
        <v>449</v>
      </c>
      <c r="C254" s="133" t="s">
        <v>13</v>
      </c>
    </row>
    <row r="255" spans="1:63" ht="15" customHeight="1" x14ac:dyDescent="0.2">
      <c r="A255" s="169" t="s">
        <v>402</v>
      </c>
      <c r="B255" s="121">
        <f>BK31</f>
        <v>412145.70021836436</v>
      </c>
      <c r="C255" s="170">
        <f>+B255*Premissas!$B$17*(1+Premissas!$B$128)*(1+Premissas!$B$123)^4</f>
        <v>243583.14461882395</v>
      </c>
    </row>
    <row r="256" spans="1:63" ht="15.75" customHeight="1" x14ac:dyDescent="0.2">
      <c r="A256" s="169" t="s">
        <v>417</v>
      </c>
      <c r="B256" s="121">
        <f>BK49</f>
        <v>596068.37297282589</v>
      </c>
      <c r="C256" s="170">
        <f>+B256*Premissas!$B$17*(1+Premissas!$B$128)*(1+Premissas!$B$123)^4</f>
        <v>352283.69147032412</v>
      </c>
    </row>
    <row r="257" spans="1:27" ht="15" customHeight="1" x14ac:dyDescent="0.2">
      <c r="A257" s="59" t="s">
        <v>419</v>
      </c>
      <c r="B257" s="108">
        <f>BK62</f>
        <v>627.07106265429093</v>
      </c>
      <c r="C257" s="144">
        <f>+B257*Premissas!$B$17*(1+Premissas!$B$128)*(1+Premissas!$B$123)^4</f>
        <v>370.60665987749593</v>
      </c>
    </row>
    <row r="258" spans="1:27" ht="15" customHeight="1" x14ac:dyDescent="0.2">
      <c r="A258" s="171" t="s">
        <v>422</v>
      </c>
      <c r="B258" s="108">
        <f>+BK75</f>
        <v>65.992243219026932</v>
      </c>
      <c r="C258" s="144">
        <f>+B258*Premissas!$B$17*(1+Premissas!$B$128)*(1+Premissas!$B$123)^4</f>
        <v>39.002222066672417</v>
      </c>
      <c r="E258" s="171"/>
      <c r="F258" s="171"/>
      <c r="G258" s="171"/>
      <c r="H258" s="171"/>
      <c r="I258" s="171"/>
      <c r="J258" s="171"/>
      <c r="K258" s="171"/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</row>
    <row r="259" spans="1:27" ht="12.75" customHeight="1" x14ac:dyDescent="0.2">
      <c r="A259" s="59" t="s">
        <v>423</v>
      </c>
      <c r="B259" s="108">
        <f>+BK88</f>
        <v>0</v>
      </c>
      <c r="C259" s="144">
        <f>+B259*Premissas!$B$17*(1+Premissas!$B$128)*(1+Premissas!$B$123)^4</f>
        <v>0</v>
      </c>
    </row>
    <row r="260" spans="1:27" ht="12.75" customHeight="1" x14ac:dyDescent="0.2">
      <c r="A260" s="59" t="s">
        <v>424</v>
      </c>
      <c r="B260" s="108">
        <f>BK101</f>
        <v>174.63084284404385</v>
      </c>
      <c r="C260" s="144">
        <f>+B260*Premissas!$B$17*(1+Premissas!$B$128)*(1+Premissas!$B$123)^4</f>
        <v>103.20896184250059</v>
      </c>
    </row>
    <row r="261" spans="1:27" ht="12.75" customHeight="1" x14ac:dyDescent="0.2">
      <c r="A261" s="59" t="s">
        <v>425</v>
      </c>
      <c r="B261" s="108">
        <f>BK114</f>
        <v>207.78163259823668</v>
      </c>
      <c r="C261" s="144">
        <f>+B261*Premissas!$B$17*(1+Premissas!$B$128)*(1+Premissas!$B$123)^4</f>
        <v>122.80148363915035</v>
      </c>
    </row>
    <row r="262" spans="1:27" ht="12.75" customHeight="1" x14ac:dyDescent="0.2">
      <c r="A262" s="59" t="s">
        <v>426</v>
      </c>
      <c r="B262" s="108">
        <f>BK127</f>
        <v>273.73782464753913</v>
      </c>
      <c r="C262" s="144">
        <f>+B262*Premissas!$B$17*(1+Premissas!$B$128)*(1+Premissas!$B$123)^4</f>
        <v>161.78239902402547</v>
      </c>
    </row>
    <row r="263" spans="1:27" ht="12.75" customHeight="1" x14ac:dyDescent="0.2">
      <c r="A263" s="59" t="s">
        <v>427</v>
      </c>
      <c r="B263" s="108">
        <f>BK140</f>
        <v>228.39983225981109</v>
      </c>
      <c r="C263" s="144">
        <f>+B263*Premissas!$B$17*(1+Premissas!$B$128)*(1+Premissas!$B$123)^4</f>
        <v>134.98709156198967</v>
      </c>
    </row>
    <row r="264" spans="1:27" ht="12.75" customHeight="1" x14ac:dyDescent="0.2">
      <c r="A264" s="59" t="s">
        <v>428</v>
      </c>
      <c r="B264" s="108">
        <f>+BK153</f>
        <v>0</v>
      </c>
      <c r="C264" s="144">
        <f>+B264*Premissas!$B$17*(1+Premissas!$B$128)*(1+Premissas!$B$123)^4</f>
        <v>0</v>
      </c>
    </row>
    <row r="265" spans="1:27" ht="12.75" customHeight="1" x14ac:dyDescent="0.2">
      <c r="A265" s="59" t="s">
        <v>429</v>
      </c>
      <c r="B265" s="108">
        <f>BK166</f>
        <v>7584.3975464983841</v>
      </c>
      <c r="C265" s="144">
        <f>+B265*Premissas!$B$17*(1+Premissas!$B$128)*(1+Premissas!$B$123)^4</f>
        <v>4482.4716197125372</v>
      </c>
    </row>
    <row r="266" spans="1:27" ht="12.75" customHeight="1" x14ac:dyDescent="0.2">
      <c r="A266" s="59" t="s">
        <v>430</v>
      </c>
      <c r="B266" s="108">
        <f>BK179</f>
        <v>0</v>
      </c>
      <c r="C266" s="144">
        <f>+B266*Premissas!$B$17*(1+Premissas!$B$128)*(1+Premissas!$B$123)^4</f>
        <v>0</v>
      </c>
    </row>
    <row r="267" spans="1:27" ht="12.75" customHeight="1" x14ac:dyDescent="0.2">
      <c r="A267" s="59" t="s">
        <v>431</v>
      </c>
      <c r="B267" s="108">
        <f>BK192</f>
        <v>14559.8772814984</v>
      </c>
      <c r="C267" s="144">
        <f>+B267*Premissas!$B$17*(1+Premissas!$B$128)*(1+Premissas!$B$123)^4</f>
        <v>8605.0653727856788</v>
      </c>
    </row>
    <row r="268" spans="1:27" ht="12.75" customHeight="1" x14ac:dyDescent="0.2">
      <c r="A268" s="59" t="s">
        <v>432</v>
      </c>
      <c r="B268" s="108">
        <f>+BK205</f>
        <v>0</v>
      </c>
      <c r="C268" s="144">
        <f>+B268*Premissas!$B$17*(1+Premissas!$B$128)*(1+Premissas!$B$123)^4</f>
        <v>0</v>
      </c>
    </row>
    <row r="269" spans="1:27" ht="12.75" customHeight="1" x14ac:dyDescent="0.2">
      <c r="A269" s="59" t="s">
        <v>433</v>
      </c>
      <c r="B269" s="108">
        <f>BK218</f>
        <v>8759.8746486858854</v>
      </c>
      <c r="C269" s="144">
        <f>+B269*Premissas!$B$17*(1+Premissas!$B$128)*(1+Premissas!$B$123)^4</f>
        <v>5177.1929496367657</v>
      </c>
    </row>
    <row r="270" spans="1:27" ht="12.75" customHeight="1" x14ac:dyDescent="0.2">
      <c r="A270" s="59" t="str">
        <f>+A225</f>
        <v xml:space="preserve">  Subest. Fiação (B3)</v>
      </c>
      <c r="B270" s="108">
        <f>BK230</f>
        <v>714.79122127273263</v>
      </c>
      <c r="C270" s="144">
        <f>+B270*Premissas!$B$17*(1+Premissas!$B$128)*(1+Premissas!$B$123)^4</f>
        <v>422.45034542709953</v>
      </c>
    </row>
    <row r="271" spans="1:27" ht="12.75" customHeight="1" x14ac:dyDescent="0.2">
      <c r="A271" s="59" t="str">
        <f>+A237</f>
        <v xml:space="preserve">  TRR Maracaju (B3)</v>
      </c>
      <c r="B271" s="108">
        <f>+BK242</f>
        <v>0</v>
      </c>
      <c r="C271" s="144">
        <f>+B271*Premissas!$B$17*(1+Premissas!$B$128)*(1+Premissas!$B$123)^4</f>
        <v>0</v>
      </c>
    </row>
    <row r="272" spans="1:27" ht="12.75" customHeight="1" x14ac:dyDescent="0.2">
      <c r="A272" s="127" t="s">
        <v>450</v>
      </c>
      <c r="B272" s="128">
        <f>BK18</f>
        <v>0</v>
      </c>
      <c r="C272" s="141">
        <f>B272*Premissas!$B$17*(1+Premissas!$B$128)*(1+Premissas!$B$123)^4</f>
        <v>0</v>
      </c>
    </row>
    <row r="273" spans="1:3" ht="12.75" customHeight="1" x14ac:dyDescent="0.2">
      <c r="A273" s="41" t="s">
        <v>451</v>
      </c>
      <c r="B273" s="43">
        <f>BK31+BK49+BK62+BK75+BK88+BK101+BK114+BK127+BK140+BK153+BK166+BK179+BK192+BK205+BK218+BK230+BK242</f>
        <v>1041410.6273273687</v>
      </c>
      <c r="C273" s="44">
        <f>B273*Premissas!$B$17*(1+Premissas!$B$128)*(1+Premissas!$B$123)^4</f>
        <v>615486.405194722</v>
      </c>
    </row>
    <row r="274" spans="1:3" ht="12.75" customHeight="1" x14ac:dyDescent="0.2"/>
    <row r="275" spans="1:3" ht="12.75" customHeight="1" x14ac:dyDescent="0.2">
      <c r="A275" s="28" t="s">
        <v>452</v>
      </c>
    </row>
    <row r="276" spans="1:3" ht="12.75" customHeight="1" x14ac:dyDescent="0.2">
      <c r="A276" s="172" t="s">
        <v>453</v>
      </c>
      <c r="B276" s="170">
        <f>B252</f>
        <v>2673060.5379605796</v>
      </c>
    </row>
    <row r="277" spans="1:3" ht="12.75" customHeight="1" x14ac:dyDescent="0.2">
      <c r="A277" s="173" t="s">
        <v>454</v>
      </c>
      <c r="B277" s="174">
        <f>B273*Premissas!$B$17*(1+Premissas!$B$128)*(1+Premissas!$B$123)^4</f>
        <v>615486.405194722</v>
      </c>
      <c r="C277" s="175" t="s">
        <v>397</v>
      </c>
    </row>
    <row r="278" spans="1:3" ht="15" customHeight="1" x14ac:dyDescent="0.2">
      <c r="A278" s="28" t="s">
        <v>455</v>
      </c>
      <c r="B278" s="176">
        <f>B252+B285</f>
        <v>3247039.2280269391</v>
      </c>
      <c r="C278" s="177" t="s">
        <v>397</v>
      </c>
    </row>
    <row r="279" spans="1:3" ht="15" customHeight="1" x14ac:dyDescent="0.2">
      <c r="A279" s="177"/>
      <c r="B279" s="177"/>
      <c r="C279" s="177" t="s">
        <v>397</v>
      </c>
    </row>
    <row r="280" spans="1:3" ht="12.75" customHeight="1" x14ac:dyDescent="0.2">
      <c r="A280" s="178" t="s">
        <v>456</v>
      </c>
      <c r="B280" s="178"/>
      <c r="C280" s="175"/>
    </row>
    <row r="281" spans="1:3" ht="12.75" customHeight="1" x14ac:dyDescent="0.2">
      <c r="A281" s="173" t="s">
        <v>457</v>
      </c>
      <c r="B281" s="128">
        <f>BK31-BK34</f>
        <v>379847.59728790325</v>
      </c>
      <c r="C281" s="175" t="s">
        <v>397</v>
      </c>
    </row>
    <row r="282" spans="1:3" ht="12.75" customHeight="1" x14ac:dyDescent="0.2">
      <c r="A282" s="173" t="s">
        <v>458</v>
      </c>
      <c r="B282" s="128">
        <f>BK49-BK52</f>
        <v>558134.90736510279</v>
      </c>
      <c r="C282" s="175" t="s">
        <v>397</v>
      </c>
    </row>
    <row r="283" spans="1:3" ht="12.75" customHeight="1" x14ac:dyDescent="0.2">
      <c r="A283" s="173" t="s">
        <v>459</v>
      </c>
      <c r="B283" s="128">
        <f>BK62+BK75+BK88+BK101+BK114+BK127+BK140+BK153+BK166+BK179+BK192+BK205+BK218+BK230+BK242</f>
        <v>33196.554136178354</v>
      </c>
      <c r="C283" s="175" t="s">
        <v>397</v>
      </c>
    </row>
    <row r="284" spans="1:3" ht="12.75" customHeight="1" x14ac:dyDescent="0.2">
      <c r="A284" s="179" t="s">
        <v>460</v>
      </c>
      <c r="B284" s="180">
        <f>B281+B282+B283</f>
        <v>971179.05878918443</v>
      </c>
      <c r="C284" s="177" t="s">
        <v>397</v>
      </c>
    </row>
    <row r="285" spans="1:3" ht="12.75" customHeight="1" x14ac:dyDescent="0.2">
      <c r="A285" s="28" t="s">
        <v>461</v>
      </c>
      <c r="B285" s="44">
        <f>B284*Premissas!$B$17*(1+Premissas!$B$128)*(1+Premissas!$B$123)^4</f>
        <v>573978.69006635947</v>
      </c>
      <c r="C285" s="177" t="s">
        <v>397</v>
      </c>
    </row>
  </sheetData>
  <mergeCells count="22">
    <mergeCell ref="A1:AA1"/>
    <mergeCell ref="A2:AA2"/>
    <mergeCell ref="A213:AA213"/>
    <mergeCell ref="A5:AA5"/>
    <mergeCell ref="A8:AA8"/>
    <mergeCell ref="A135:AA135"/>
    <mergeCell ref="A122:AA122"/>
    <mergeCell ref="A109:AA109"/>
    <mergeCell ref="A200:AA200"/>
    <mergeCell ref="A96:AA96"/>
    <mergeCell ref="A161:AA161"/>
    <mergeCell ref="A39:AA39"/>
    <mergeCell ref="A83:AA83"/>
    <mergeCell ref="A148:AA148"/>
    <mergeCell ref="A15:AA15"/>
    <mergeCell ref="A70:AA70"/>
    <mergeCell ref="A237:AA237"/>
    <mergeCell ref="A187:AA187"/>
    <mergeCell ref="A174:AA174"/>
    <mergeCell ref="A21:AA21"/>
    <mergeCell ref="A57:AA57"/>
    <mergeCell ref="A225:AA22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77E3E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3" width="8.5" style="181" customWidth="1"/>
    <col min="14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3F1DB"/>
  </sheetPr>
  <dimension ref="A1:Q358"/>
  <sheetViews>
    <sheetView zoomScaleNormal="100" workbookViewId="0">
      <selection activeCell="M12" sqref="M12"/>
    </sheetView>
  </sheetViews>
  <sheetFormatPr baseColWidth="10" defaultColWidth="12.5" defaultRowHeight="13" outlineLevelCol="1" x14ac:dyDescent="0.2"/>
  <cols>
    <col min="1" max="1" width="17.5" style="182" customWidth="1"/>
    <col min="2" max="2" width="12.5" style="182" customWidth="1"/>
    <col min="3" max="3" width="15.33203125" style="182" customWidth="1"/>
    <col min="4" max="4" width="19.33203125" style="182" customWidth="1"/>
    <col min="5" max="5" width="12.5" style="182" customWidth="1"/>
    <col min="6" max="7" width="11.5" style="182" hidden="1" customWidth="1" outlineLevel="1"/>
    <col min="8" max="20" width="12.5" style="182" customWidth="1"/>
    <col min="21" max="16384" width="12.5" style="182"/>
  </cols>
  <sheetData>
    <row r="1" spans="1:17" ht="15.75" customHeight="1" x14ac:dyDescent="0.2">
      <c r="A1" s="183" t="s">
        <v>462</v>
      </c>
      <c r="B1" s="183" t="s">
        <v>463</v>
      </c>
      <c r="C1" s="184" t="s">
        <v>464</v>
      </c>
      <c r="D1" s="183" t="s">
        <v>465</v>
      </c>
    </row>
    <row r="2" spans="1:17" ht="15.75" customHeight="1" x14ac:dyDescent="0.2">
      <c r="A2" s="185" t="s">
        <v>466</v>
      </c>
      <c r="B2" s="186">
        <v>45716</v>
      </c>
      <c r="C2" s="187">
        <v>190.1</v>
      </c>
      <c r="D2" s="188">
        <f>IFERROR(C2/VLOOKUP(A2,Usinas!$A:$B,2,FALSE()),"")</f>
        <v>0.27274031563845047</v>
      </c>
      <c r="F2" s="189" t="s">
        <v>467</v>
      </c>
      <c r="G2" s="189"/>
      <c r="H2" s="189" t="s">
        <v>35</v>
      </c>
      <c r="I2" s="189" t="s">
        <v>468</v>
      </c>
      <c r="J2" s="189" t="s">
        <v>469</v>
      </c>
      <c r="L2" s="190" t="s">
        <v>470</v>
      </c>
      <c r="P2" s="182" t="s">
        <v>471</v>
      </c>
      <c r="Q2" s="191">
        <v>0.8</v>
      </c>
    </row>
    <row r="3" spans="1:17" ht="15.75" customHeight="1" x14ac:dyDescent="0.2">
      <c r="A3" s="185" t="s">
        <v>466</v>
      </c>
      <c r="B3" s="186">
        <v>45717</v>
      </c>
      <c r="C3" s="187">
        <v>249.5</v>
      </c>
      <c r="D3" s="188">
        <f>IFERROR(C3/VLOOKUP(A3,Usinas!$A:$B,2,FALSE()),"")</f>
        <v>0.35796269727403157</v>
      </c>
      <c r="F3" s="192">
        <v>45658</v>
      </c>
      <c r="G3" s="192">
        <f>+F3+30</f>
        <v>45688</v>
      </c>
      <c r="H3" s="193">
        <f t="shared" ref="H3:H14" si="0">+F3</f>
        <v>45658</v>
      </c>
      <c r="I3" s="189">
        <v>0</v>
      </c>
      <c r="J3" s="189">
        <v>0</v>
      </c>
      <c r="L3" s="194">
        <f>+Batayporã!J3*Amandina!$Q$2</f>
        <v>91.407199999999975</v>
      </c>
    </row>
    <row r="4" spans="1:17" ht="15.75" customHeight="1" x14ac:dyDescent="0.2">
      <c r="A4" s="185" t="s">
        <v>466</v>
      </c>
      <c r="B4" s="186">
        <v>45718</v>
      </c>
      <c r="C4" s="187">
        <v>295.89999999999998</v>
      </c>
      <c r="D4" s="188">
        <f>IFERROR(C4/VLOOKUP(A4,Usinas!$A:$B,2,FALSE()),"")</f>
        <v>0.42453371592539452</v>
      </c>
      <c r="F4" s="192">
        <f>+B2</f>
        <v>45716</v>
      </c>
      <c r="G4" s="192">
        <f>+F4</f>
        <v>45716</v>
      </c>
      <c r="H4" s="193">
        <f t="shared" si="0"/>
        <v>45716</v>
      </c>
      <c r="I4" s="194">
        <f t="shared" ref="I4:I14" si="1">SUMIFS($C$1:$C$366, $B$1:$B$366, "&gt;="&amp;F4, $B$1:$B$366, "&lt;="&amp;G4)</f>
        <v>190.1</v>
      </c>
      <c r="J4" s="195">
        <f t="shared" ref="J4:J14" si="2">+I4/1000</f>
        <v>0.19009999999999999</v>
      </c>
      <c r="L4" s="194">
        <f>+Batayporã!J4*Amandina!$Q$2</f>
        <v>72.90552000000001</v>
      </c>
    </row>
    <row r="5" spans="1:17" ht="15.75" customHeight="1" x14ac:dyDescent="0.2">
      <c r="A5" s="185" t="s">
        <v>466</v>
      </c>
      <c r="B5" s="186">
        <v>45719</v>
      </c>
      <c r="C5" s="187">
        <v>250.2</v>
      </c>
      <c r="D5" s="188">
        <f>IFERROR(C5/VLOOKUP(A5,Usinas!$A:$B,2,FALSE()),"")</f>
        <v>0.35896700143472021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7913.8</v>
      </c>
      <c r="J5" s="195">
        <f t="shared" si="2"/>
        <v>7.9138000000000002</v>
      </c>
      <c r="L5" s="194">
        <f>+Batayporã!J5*Amandina!$Q$2</f>
        <v>82.449519999999993</v>
      </c>
    </row>
    <row r="6" spans="1:17" ht="15.75" customHeight="1" x14ac:dyDescent="0.2">
      <c r="A6" s="185" t="s">
        <v>466</v>
      </c>
      <c r="B6" s="186">
        <v>45720</v>
      </c>
      <c r="C6" s="187">
        <v>256.60000000000002</v>
      </c>
      <c r="D6" s="188">
        <f>IFERROR(C6/VLOOKUP(A6,Usinas!$A:$B,2,FALSE()),"")</f>
        <v>0.36814921090387376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23902.799999999999</v>
      </c>
      <c r="J6" s="195">
        <f t="shared" si="2"/>
        <v>23.902799999999999</v>
      </c>
      <c r="L6" s="194">
        <f>+Batayporã!J6*Amandina!$Q$2</f>
        <v>58.967759999999998</v>
      </c>
    </row>
    <row r="7" spans="1:17" ht="15.75" customHeight="1" x14ac:dyDescent="0.2">
      <c r="A7" s="185" t="s">
        <v>466</v>
      </c>
      <c r="B7" s="186">
        <v>45721</v>
      </c>
      <c r="C7" s="187">
        <v>241</v>
      </c>
      <c r="D7" s="188">
        <f>IFERROR(C7/VLOOKUP(A7,Usinas!$A:$B,2,FALSE()),"")</f>
        <v>0.34576757532281205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28781.699999999997</v>
      </c>
      <c r="J7" s="195">
        <f t="shared" si="2"/>
        <v>28.781699999999997</v>
      </c>
      <c r="L7" s="194">
        <f>+Batayporã!J7*Amandina!$Q$2</f>
        <v>73.293279999999996</v>
      </c>
    </row>
    <row r="8" spans="1:17" ht="15.75" customHeight="1" x14ac:dyDescent="0.2">
      <c r="A8" s="185" t="s">
        <v>466</v>
      </c>
      <c r="B8" s="186">
        <v>45722</v>
      </c>
      <c r="C8" s="187">
        <v>194.3</v>
      </c>
      <c r="D8" s="188">
        <f>IFERROR(C8/VLOOKUP(A8,Usinas!$A:$B,2,FALSE()),"")</f>
        <v>0.27876614060258254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20798.200000000004</v>
      </c>
      <c r="J8" s="195">
        <f t="shared" si="2"/>
        <v>20.798200000000005</v>
      </c>
      <c r="L8" s="194">
        <f>+Batayporã!J8*Amandina!$Q$2</f>
        <v>57.829519999999981</v>
      </c>
    </row>
    <row r="9" spans="1:17" ht="15.75" customHeight="1" x14ac:dyDescent="0.2">
      <c r="A9" s="185" t="s">
        <v>466</v>
      </c>
      <c r="B9" s="186">
        <v>45723</v>
      </c>
      <c r="C9" s="187">
        <v>89.9</v>
      </c>
      <c r="D9" s="188">
        <f>IFERROR(C9/VLOOKUP(A9,Usinas!$A:$B,2,FALSE()),"")</f>
        <v>0.1289813486370158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37317.800000000003</v>
      </c>
      <c r="J9" s="195">
        <f t="shared" si="2"/>
        <v>37.317800000000005</v>
      </c>
      <c r="L9" s="194">
        <f>+Batayporã!J9*Amandina!$Q$2</f>
        <v>70.669439999999994</v>
      </c>
    </row>
    <row r="10" spans="1:17" ht="15.75" customHeight="1" x14ac:dyDescent="0.2">
      <c r="A10" s="185" t="s">
        <v>466</v>
      </c>
      <c r="B10" s="186">
        <v>45724</v>
      </c>
      <c r="C10" s="187">
        <v>357.6</v>
      </c>
      <c r="D10" s="188">
        <f>IFERROR(C10/VLOOKUP(A10,Usinas!$A:$B,2,FALSE()),"")</f>
        <v>0.51305595408895266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16177.900000000003</v>
      </c>
      <c r="J10" s="195">
        <f t="shared" si="2"/>
        <v>16.177900000000005</v>
      </c>
      <c r="L10" s="194">
        <f>+Batayporã!J10*Amandina!$Q$2</f>
        <v>74.466160000000002</v>
      </c>
    </row>
    <row r="11" spans="1:17" ht="15.75" customHeight="1" x14ac:dyDescent="0.2">
      <c r="A11" s="185" t="s">
        <v>466</v>
      </c>
      <c r="B11" s="186">
        <v>45725</v>
      </c>
      <c r="C11" s="187">
        <v>287</v>
      </c>
      <c r="D11" s="188">
        <f>IFERROR(C11/VLOOKUP(A11,Usinas!$A:$B,2,FALSE()),"")</f>
        <v>0.41176470588235292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37738.800000000003</v>
      </c>
      <c r="J11" s="195">
        <f t="shared" si="2"/>
        <v>37.738800000000005</v>
      </c>
      <c r="L11" s="194">
        <f>+Batayporã!J11*Amandina!$Q$2</f>
        <v>75.546720000000008</v>
      </c>
    </row>
    <row r="12" spans="1:17" ht="15.75" customHeight="1" x14ac:dyDescent="0.2">
      <c r="A12" s="185" t="s">
        <v>466</v>
      </c>
      <c r="B12" s="186">
        <v>45726</v>
      </c>
      <c r="C12" s="187">
        <v>248.1</v>
      </c>
      <c r="D12" s="188">
        <f>IFERROR(C12/VLOOKUP(A12,Usinas!$A:$B,2,FALSE()),"")</f>
        <v>0.35595408895265424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40322</v>
      </c>
      <c r="J12" s="195">
        <f t="shared" si="2"/>
        <v>40.322000000000003</v>
      </c>
      <c r="L12" s="194">
        <f>+Batayporã!J12*Amandina!$Q$2</f>
        <v>76.725439999999992</v>
      </c>
    </row>
    <row r="13" spans="1:17" ht="15.75" customHeight="1" x14ac:dyDescent="0.2">
      <c r="A13" s="185" t="s">
        <v>466</v>
      </c>
      <c r="B13" s="186">
        <v>45727</v>
      </c>
      <c r="C13" s="187">
        <v>142.1</v>
      </c>
      <c r="D13" s="188">
        <f>IFERROR(C13/VLOOKUP(A13,Usinas!$A:$B,2,FALSE()),"")</f>
        <v>0.20387374461979912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36462.9</v>
      </c>
      <c r="J13" s="195">
        <f t="shared" si="2"/>
        <v>36.462900000000005</v>
      </c>
      <c r="L13" s="194">
        <f>+Batayporã!J13*Amandina!$Q$2</f>
        <v>86.384479999999996</v>
      </c>
    </row>
    <row r="14" spans="1:17" ht="15.75" customHeight="1" x14ac:dyDescent="0.2">
      <c r="A14" s="185" t="s">
        <v>466</v>
      </c>
      <c r="B14" s="186">
        <v>45728</v>
      </c>
      <c r="C14" s="187">
        <v>224.8</v>
      </c>
      <c r="D14" s="188">
        <f>IFERROR(C14/VLOOKUP(A14,Usinas!$A:$B,2,FALSE()),"")</f>
        <v>0.32252510760401726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19968.100000000006</v>
      </c>
      <c r="J14" s="195">
        <f t="shared" si="2"/>
        <v>19.968100000000007</v>
      </c>
      <c r="L14" s="194">
        <f>+Batayporã!J14*Amandina!$Q$2</f>
        <v>85.283120000000011</v>
      </c>
    </row>
    <row r="15" spans="1:17" ht="15.75" customHeight="1" x14ac:dyDescent="0.2">
      <c r="A15" s="185" t="s">
        <v>466</v>
      </c>
      <c r="B15" s="186">
        <v>45729</v>
      </c>
      <c r="C15" s="187">
        <v>242.3</v>
      </c>
      <c r="D15" s="188">
        <f>IFERROR(C15/VLOOKUP(A15,Usinas!$A:$B,2,FALSE()),"")</f>
        <v>0.34763271162123388</v>
      </c>
    </row>
    <row r="16" spans="1:17" ht="15.75" customHeight="1" x14ac:dyDescent="0.2">
      <c r="A16" s="185" t="s">
        <v>466</v>
      </c>
      <c r="B16" s="186">
        <v>45730</v>
      </c>
      <c r="C16" s="187">
        <v>288.39999999999998</v>
      </c>
      <c r="D16" s="188">
        <f>IFERROR(C16/VLOOKUP(A16,Usinas!$A:$B,2,FALSE()),"")</f>
        <v>0.41377331420373026</v>
      </c>
    </row>
    <row r="17" spans="1:12" ht="15.75" customHeight="1" x14ac:dyDescent="0.2">
      <c r="A17" s="185" t="s">
        <v>466</v>
      </c>
      <c r="B17" s="186">
        <v>45731</v>
      </c>
      <c r="C17" s="187">
        <v>347.5</v>
      </c>
      <c r="D17" s="188">
        <f>IFERROR(C17/VLOOKUP(A17,Usinas!$A:$B,2,FALSE()),"")</f>
        <v>0.49856527977044474</v>
      </c>
      <c r="L17" s="190">
        <f>+SUM(L2:L14)</f>
        <v>905.92815999999993</v>
      </c>
    </row>
    <row r="18" spans="1:12" ht="12" customHeight="1" x14ac:dyDescent="0.2">
      <c r="A18" s="185" t="s">
        <v>466</v>
      </c>
      <c r="B18" s="186">
        <v>45732</v>
      </c>
      <c r="C18" s="187">
        <v>310.39999999999998</v>
      </c>
      <c r="D18" s="188">
        <f>IFERROR(C18/VLOOKUP(A18,Usinas!$A:$B,2,FALSE()),"")</f>
        <v>0.44533715925394546</v>
      </c>
    </row>
    <row r="19" spans="1:12" ht="12" customHeight="1" x14ac:dyDescent="0.2">
      <c r="A19" s="185" t="s">
        <v>466</v>
      </c>
      <c r="B19" s="186">
        <v>45733</v>
      </c>
      <c r="C19" s="187">
        <v>278</v>
      </c>
      <c r="D19" s="188">
        <f>IFERROR(C19/VLOOKUP(A19,Usinas!$A:$B,2,FALSE()),"")</f>
        <v>0.39885222381635582</v>
      </c>
    </row>
    <row r="20" spans="1:12" ht="12" customHeight="1" x14ac:dyDescent="0.2">
      <c r="A20" s="185" t="s">
        <v>466</v>
      </c>
      <c r="B20" s="186">
        <v>45734</v>
      </c>
      <c r="C20" s="187">
        <v>222.1</v>
      </c>
      <c r="D20" s="188">
        <f>IFERROR(C20/VLOOKUP(A20,Usinas!$A:$B,2,FALSE()),"")</f>
        <v>0.31865136298421809</v>
      </c>
    </row>
    <row r="21" spans="1:12" ht="12" customHeight="1" x14ac:dyDescent="0.2">
      <c r="A21" s="185" t="s">
        <v>466</v>
      </c>
      <c r="B21" s="186">
        <v>45735</v>
      </c>
      <c r="C21" s="187">
        <v>332.3</v>
      </c>
      <c r="D21" s="188">
        <f>IFERROR(C21/VLOOKUP(A21,Usinas!$A:$B,2,FALSE()),"")</f>
        <v>0.47675753228120515</v>
      </c>
    </row>
    <row r="22" spans="1:12" ht="12" customHeight="1" x14ac:dyDescent="0.2">
      <c r="A22" s="185" t="s">
        <v>466</v>
      </c>
      <c r="B22" s="186">
        <v>45736</v>
      </c>
      <c r="C22" s="187">
        <v>318.3</v>
      </c>
      <c r="D22" s="188">
        <f>IFERROR(C22/VLOOKUP(A22,Usinas!$A:$B,2,FALSE()),"")</f>
        <v>0.45667144906743184</v>
      </c>
    </row>
    <row r="23" spans="1:12" ht="12" customHeight="1" x14ac:dyDescent="0.2">
      <c r="A23" s="185" t="s">
        <v>466</v>
      </c>
      <c r="B23" s="186">
        <v>45737</v>
      </c>
      <c r="C23" s="187">
        <v>321.39999999999998</v>
      </c>
      <c r="D23" s="188">
        <f>IFERROR(C23/VLOOKUP(A23,Usinas!$A:$B,2,FALSE()),"")</f>
        <v>0.46111908177905303</v>
      </c>
    </row>
    <row r="24" spans="1:12" ht="12" customHeight="1" x14ac:dyDescent="0.2">
      <c r="A24" s="185" t="s">
        <v>466</v>
      </c>
      <c r="B24" s="186">
        <v>45738</v>
      </c>
      <c r="C24" s="187">
        <v>272.8</v>
      </c>
      <c r="D24" s="188">
        <f>IFERROR(C24/VLOOKUP(A24,Usinas!$A:$B,2,FALSE()),"")</f>
        <v>0.3913916786226686</v>
      </c>
    </row>
    <row r="25" spans="1:12" ht="12" customHeight="1" x14ac:dyDescent="0.2">
      <c r="A25" s="185" t="s">
        <v>466</v>
      </c>
      <c r="B25" s="186">
        <v>45739</v>
      </c>
      <c r="C25" s="187">
        <v>250.5</v>
      </c>
      <c r="D25" s="188">
        <f>IFERROR(C25/VLOOKUP(A25,Usinas!$A:$B,2,FALSE()),"")</f>
        <v>0.35939741750358678</v>
      </c>
    </row>
    <row r="26" spans="1:12" ht="12" customHeight="1" x14ac:dyDescent="0.2">
      <c r="A26" s="185" t="s">
        <v>466</v>
      </c>
      <c r="B26" s="186">
        <v>45740</v>
      </c>
      <c r="C26" s="187">
        <v>281.2</v>
      </c>
      <c r="D26" s="188">
        <f>IFERROR(C26/VLOOKUP(A26,Usinas!$A:$B,2,FALSE()),"")</f>
        <v>0.40344332855093257</v>
      </c>
    </row>
    <row r="27" spans="1:12" ht="12" customHeight="1" x14ac:dyDescent="0.2">
      <c r="A27" s="185" t="s">
        <v>466</v>
      </c>
      <c r="B27" s="186">
        <v>45741</v>
      </c>
      <c r="C27" s="187">
        <v>264.2</v>
      </c>
      <c r="D27" s="188">
        <f>IFERROR(C27/VLOOKUP(A27,Usinas!$A:$B,2,FALSE()),"")</f>
        <v>0.37905308464849352</v>
      </c>
    </row>
    <row r="28" spans="1:12" ht="12" customHeight="1" x14ac:dyDescent="0.2">
      <c r="A28" s="185" t="s">
        <v>466</v>
      </c>
      <c r="B28" s="186">
        <v>45742</v>
      </c>
      <c r="C28" s="187">
        <v>275</v>
      </c>
      <c r="D28" s="188">
        <f>IFERROR(C28/VLOOKUP(A28,Usinas!$A:$B,2,FALSE()),"")</f>
        <v>0.39454806312769009</v>
      </c>
    </row>
    <row r="29" spans="1:12" ht="12" customHeight="1" x14ac:dyDescent="0.2">
      <c r="A29" s="185" t="s">
        <v>466</v>
      </c>
      <c r="B29" s="186">
        <v>45743</v>
      </c>
      <c r="C29" s="187">
        <v>297</v>
      </c>
      <c r="D29" s="188">
        <f>IFERROR(C29/VLOOKUP(A29,Usinas!$A:$B,2,FALSE()),"")</f>
        <v>0.42611190817790529</v>
      </c>
    </row>
    <row r="30" spans="1:12" ht="12" customHeight="1" x14ac:dyDescent="0.2">
      <c r="A30" s="185" t="s">
        <v>466</v>
      </c>
      <c r="B30" s="186">
        <v>45744</v>
      </c>
      <c r="C30" s="187">
        <v>287.8</v>
      </c>
      <c r="D30" s="188">
        <f>IFERROR(C30/VLOOKUP(A30,Usinas!$A:$B,2,FALSE()),"")</f>
        <v>0.41291248206599712</v>
      </c>
    </row>
    <row r="31" spans="1:12" ht="12" customHeight="1" x14ac:dyDescent="0.2">
      <c r="A31" s="185" t="s">
        <v>466</v>
      </c>
      <c r="B31" s="186">
        <v>45745</v>
      </c>
      <c r="C31" s="187">
        <v>120.4</v>
      </c>
      <c r="D31" s="188">
        <f>IFERROR(C31/VLOOKUP(A31,Usinas!$A:$B,2,FALSE()),"")</f>
        <v>0.17274031563845052</v>
      </c>
    </row>
    <row r="32" spans="1:12" ht="12" customHeight="1" x14ac:dyDescent="0.2">
      <c r="A32" s="185" t="s">
        <v>466</v>
      </c>
      <c r="B32" s="186">
        <v>45746</v>
      </c>
      <c r="C32" s="187">
        <v>168.4</v>
      </c>
      <c r="D32" s="188">
        <f>IFERROR(C32/VLOOKUP(A32,Usinas!$A:$B,2,FALSE()),"")</f>
        <v>0.24160688665710187</v>
      </c>
    </row>
    <row r="33" spans="1:4" ht="12" customHeight="1" x14ac:dyDescent="0.2">
      <c r="A33" s="185" t="s">
        <v>466</v>
      </c>
      <c r="B33" s="186">
        <v>45747</v>
      </c>
      <c r="C33" s="187">
        <v>198.8</v>
      </c>
      <c r="D33" s="188">
        <f>IFERROR(C33/VLOOKUP(A33,Usinas!$A:$B,2,FALSE()),"")</f>
        <v>0.28522238163558106</v>
      </c>
    </row>
    <row r="34" spans="1:4" ht="12" customHeight="1" x14ac:dyDescent="0.2">
      <c r="A34" s="185" t="s">
        <v>466</v>
      </c>
      <c r="B34" s="186">
        <v>45748</v>
      </c>
      <c r="C34" s="187">
        <v>242.4</v>
      </c>
      <c r="D34" s="188">
        <f>IFERROR(C34/VLOOKUP(A34,Usinas!$A:$B,2,FALSE()),"")</f>
        <v>0.34777618364418939</v>
      </c>
    </row>
    <row r="35" spans="1:4" ht="12" customHeight="1" x14ac:dyDescent="0.2">
      <c r="A35" s="185" t="s">
        <v>466</v>
      </c>
      <c r="B35" s="186">
        <v>45749</v>
      </c>
      <c r="C35" s="187">
        <v>784.3</v>
      </c>
      <c r="D35" s="188">
        <f>IFERROR(C35/VLOOKUP(A35,Usinas!$A:$B,2,FALSE()),"")</f>
        <v>1.1252510760401722</v>
      </c>
    </row>
    <row r="36" spans="1:4" ht="12" customHeight="1" x14ac:dyDescent="0.2">
      <c r="A36" s="185" t="s">
        <v>466</v>
      </c>
      <c r="B36" s="186">
        <v>45750</v>
      </c>
      <c r="C36" s="187">
        <v>1039.0999999999999</v>
      </c>
      <c r="D36" s="188">
        <f>IFERROR(C36/VLOOKUP(A36,Usinas!$A:$B,2,FALSE()),"")</f>
        <v>1.4908177905308464</v>
      </c>
    </row>
    <row r="37" spans="1:4" ht="12" customHeight="1" x14ac:dyDescent="0.2">
      <c r="A37" s="185" t="s">
        <v>466</v>
      </c>
      <c r="B37" s="186">
        <v>45751</v>
      </c>
      <c r="C37" s="187">
        <v>1170</v>
      </c>
      <c r="D37" s="188">
        <f>IFERROR(C37/VLOOKUP(A37,Usinas!$A:$B,2,FALSE()),"")</f>
        <v>1.6786226685796271</v>
      </c>
    </row>
    <row r="38" spans="1:4" ht="12" customHeight="1" x14ac:dyDescent="0.2">
      <c r="A38" s="185" t="s">
        <v>466</v>
      </c>
      <c r="B38" s="186">
        <v>45752</v>
      </c>
      <c r="C38" s="187">
        <v>1141.7</v>
      </c>
      <c r="D38" s="188">
        <f>IFERROR(C38/VLOOKUP(A38,Usinas!$A:$B,2,FALSE()),"")</f>
        <v>1.6380200860832139</v>
      </c>
    </row>
    <row r="39" spans="1:4" ht="12" customHeight="1" x14ac:dyDescent="0.2">
      <c r="A39" s="185" t="s">
        <v>466</v>
      </c>
      <c r="B39" s="186">
        <v>45753</v>
      </c>
      <c r="C39" s="187">
        <v>1359</v>
      </c>
      <c r="D39" s="188">
        <f>IFERROR(C39/VLOOKUP(A39,Usinas!$A:$B,2,FALSE()),"")</f>
        <v>1.9497847919655666</v>
      </c>
    </row>
    <row r="40" spans="1:4" ht="12" customHeight="1" x14ac:dyDescent="0.2">
      <c r="A40" s="185" t="s">
        <v>466</v>
      </c>
      <c r="B40" s="186">
        <v>45754</v>
      </c>
      <c r="C40" s="187">
        <v>1249.5</v>
      </c>
      <c r="D40" s="188">
        <f>IFERROR(C40/VLOOKUP(A40,Usinas!$A:$B,2,FALSE()),"")</f>
        <v>1.7926829268292683</v>
      </c>
    </row>
    <row r="41" spans="1:4" ht="12" customHeight="1" x14ac:dyDescent="0.2">
      <c r="A41" s="185" t="s">
        <v>466</v>
      </c>
      <c r="B41" s="186">
        <v>45755</v>
      </c>
      <c r="C41" s="187">
        <v>937</v>
      </c>
      <c r="D41" s="188">
        <f>IFERROR(C41/VLOOKUP(A41,Usinas!$A:$B,2,FALSE()),"")</f>
        <v>1.3443328550932567</v>
      </c>
    </row>
    <row r="42" spans="1:4" ht="12" customHeight="1" x14ac:dyDescent="0.2">
      <c r="A42" s="185" t="s">
        <v>466</v>
      </c>
      <c r="B42" s="186">
        <v>45756</v>
      </c>
      <c r="C42" s="187">
        <v>722.3</v>
      </c>
      <c r="D42" s="188">
        <f>IFERROR(C42/VLOOKUP(A42,Usinas!$A:$B,2,FALSE()),"")</f>
        <v>1.0362984218077473</v>
      </c>
    </row>
    <row r="43" spans="1:4" ht="12" customHeight="1" x14ac:dyDescent="0.2">
      <c r="A43" s="185" t="s">
        <v>466</v>
      </c>
      <c r="B43" s="186">
        <v>45757</v>
      </c>
      <c r="C43" s="187">
        <v>954.7</v>
      </c>
      <c r="D43" s="188">
        <f>IFERROR(C43/VLOOKUP(A43,Usinas!$A:$B,2,FALSE()),"")</f>
        <v>1.3697274031563846</v>
      </c>
    </row>
    <row r="44" spans="1:4" ht="12" customHeight="1" x14ac:dyDescent="0.2">
      <c r="A44" s="185" t="s">
        <v>466</v>
      </c>
      <c r="B44" s="186">
        <v>45758</v>
      </c>
      <c r="C44" s="187">
        <v>1027</v>
      </c>
      <c r="D44" s="188">
        <f>IFERROR(C44/VLOOKUP(A44,Usinas!$A:$B,2,FALSE()),"")</f>
        <v>1.4734576757532281</v>
      </c>
    </row>
    <row r="45" spans="1:4" ht="12" customHeight="1" x14ac:dyDescent="0.2">
      <c r="A45" s="185" t="s">
        <v>466</v>
      </c>
      <c r="B45" s="186">
        <v>45759</v>
      </c>
      <c r="C45" s="187">
        <v>406.2</v>
      </c>
      <c r="D45" s="188">
        <f>IFERROR(C45/VLOOKUP(A45,Usinas!$A:$B,2,FALSE()),"")</f>
        <v>0.58278335724533714</v>
      </c>
    </row>
    <row r="46" spans="1:4" ht="12" customHeight="1" x14ac:dyDescent="0.2">
      <c r="A46" s="185" t="s">
        <v>466</v>
      </c>
      <c r="B46" s="186">
        <v>45760</v>
      </c>
      <c r="C46" s="187">
        <v>612.5</v>
      </c>
      <c r="D46" s="188">
        <f>IFERROR(C46/VLOOKUP(A46,Usinas!$A:$B,2,FALSE()),"")</f>
        <v>0.87876614060258251</v>
      </c>
    </row>
    <row r="47" spans="1:4" ht="12" customHeight="1" x14ac:dyDescent="0.2">
      <c r="A47" s="185" t="s">
        <v>466</v>
      </c>
      <c r="B47" s="186">
        <v>45761</v>
      </c>
      <c r="C47" s="187">
        <v>799.3</v>
      </c>
      <c r="D47" s="188">
        <f>IFERROR(C47/VLOOKUP(A47,Usinas!$A:$B,2,FALSE()),"")</f>
        <v>1.1467718794835007</v>
      </c>
    </row>
    <row r="48" spans="1:4" ht="12" customHeight="1" x14ac:dyDescent="0.2">
      <c r="A48" s="185" t="s">
        <v>466</v>
      </c>
      <c r="B48" s="186">
        <v>45762</v>
      </c>
      <c r="C48" s="187">
        <v>653.4</v>
      </c>
      <c r="D48" s="188">
        <f>IFERROR(C48/VLOOKUP(A48,Usinas!$A:$B,2,FALSE()),"")</f>
        <v>0.93744619799139162</v>
      </c>
    </row>
    <row r="49" spans="1:4" ht="12" customHeight="1" x14ac:dyDescent="0.2">
      <c r="A49" s="185" t="s">
        <v>466</v>
      </c>
      <c r="B49" s="186">
        <v>45763</v>
      </c>
      <c r="C49" s="187">
        <v>410.2</v>
      </c>
      <c r="D49" s="188">
        <f>IFERROR(C49/VLOOKUP(A49,Usinas!$A:$B,2,FALSE()),"")</f>
        <v>0.58852223816355809</v>
      </c>
    </row>
    <row r="50" spans="1:4" ht="12" customHeight="1" x14ac:dyDescent="0.2">
      <c r="A50" s="185" t="s">
        <v>466</v>
      </c>
      <c r="B50" s="186">
        <v>45764</v>
      </c>
      <c r="C50" s="187">
        <v>685.7</v>
      </c>
      <c r="D50" s="188">
        <f>IFERROR(C50/VLOOKUP(A50,Usinas!$A:$B,2,FALSE()),"")</f>
        <v>0.98378766140602592</v>
      </c>
    </row>
    <row r="51" spans="1:4" ht="12" customHeight="1" x14ac:dyDescent="0.2">
      <c r="A51" s="185" t="s">
        <v>466</v>
      </c>
      <c r="B51" s="186">
        <v>45765</v>
      </c>
      <c r="C51" s="187">
        <v>111.3</v>
      </c>
      <c r="D51" s="188">
        <f>IFERROR(C51/VLOOKUP(A51,Usinas!$A:$B,2,FALSE()),"")</f>
        <v>0.15968436154949783</v>
      </c>
    </row>
    <row r="52" spans="1:4" ht="12" customHeight="1" x14ac:dyDescent="0.2">
      <c r="A52" s="185" t="s">
        <v>466</v>
      </c>
      <c r="B52" s="186">
        <v>45766</v>
      </c>
      <c r="C52" s="187">
        <v>285.7</v>
      </c>
      <c r="D52" s="188">
        <f>IFERROR(C52/VLOOKUP(A52,Usinas!$A:$B,2,FALSE()),"")</f>
        <v>0.40989956958393114</v>
      </c>
    </row>
    <row r="53" spans="1:4" ht="12" customHeight="1" x14ac:dyDescent="0.2">
      <c r="A53" s="185" t="s">
        <v>466</v>
      </c>
      <c r="B53" s="186">
        <v>45767</v>
      </c>
      <c r="C53" s="187">
        <v>770.3</v>
      </c>
      <c r="D53" s="188">
        <f>IFERROR(C53/VLOOKUP(A53,Usinas!$A:$B,2,FALSE()),"")</f>
        <v>1.1051649928263987</v>
      </c>
    </row>
    <row r="54" spans="1:4" ht="12" customHeight="1" x14ac:dyDescent="0.2">
      <c r="A54" s="185" t="s">
        <v>466</v>
      </c>
      <c r="B54" s="186">
        <v>45768</v>
      </c>
      <c r="C54" s="187">
        <v>1144.3</v>
      </c>
      <c r="D54" s="188">
        <f>IFERROR(C54/VLOOKUP(A54,Usinas!$A:$B,2,FALSE()),"")</f>
        <v>1.6417503586800573</v>
      </c>
    </row>
    <row r="55" spans="1:4" ht="12" customHeight="1" x14ac:dyDescent="0.2">
      <c r="A55" s="185" t="s">
        <v>466</v>
      </c>
      <c r="B55" s="186">
        <v>45769</v>
      </c>
      <c r="C55" s="187">
        <v>1210.3</v>
      </c>
      <c r="D55" s="188">
        <f>IFERROR(C55/VLOOKUP(A55,Usinas!$A:$B,2,FALSE()),"")</f>
        <v>1.7364418938307029</v>
      </c>
    </row>
    <row r="56" spans="1:4" ht="12" customHeight="1" x14ac:dyDescent="0.2">
      <c r="A56" s="185" t="s">
        <v>466</v>
      </c>
      <c r="B56" s="186">
        <v>45770</v>
      </c>
      <c r="C56" s="187">
        <v>1046.3</v>
      </c>
      <c r="D56" s="188">
        <f>IFERROR(C56/VLOOKUP(A56,Usinas!$A:$B,2,FALSE()),"")</f>
        <v>1.501147776183644</v>
      </c>
    </row>
    <row r="57" spans="1:4" ht="12" customHeight="1" x14ac:dyDescent="0.2">
      <c r="A57" s="185" t="s">
        <v>466</v>
      </c>
      <c r="B57" s="186">
        <v>45771</v>
      </c>
      <c r="C57" s="187">
        <v>166.9</v>
      </c>
      <c r="D57" s="188">
        <f>IFERROR(C57/VLOOKUP(A57,Usinas!$A:$B,2,FALSE()),"")</f>
        <v>0.23945480631276903</v>
      </c>
    </row>
    <row r="58" spans="1:4" ht="12" customHeight="1" x14ac:dyDescent="0.2">
      <c r="A58" s="185" t="s">
        <v>466</v>
      </c>
      <c r="B58" s="186">
        <v>45772</v>
      </c>
      <c r="C58" s="187">
        <v>444.7</v>
      </c>
      <c r="D58" s="188">
        <f>IFERROR(C58/VLOOKUP(A58,Usinas!$A:$B,2,FALSE()),"")</f>
        <v>0.63802008608321381</v>
      </c>
    </row>
    <row r="59" spans="1:4" ht="12" customHeight="1" x14ac:dyDescent="0.2">
      <c r="A59" s="185" t="s">
        <v>466</v>
      </c>
      <c r="B59" s="186">
        <v>45773</v>
      </c>
      <c r="C59" s="187">
        <v>718.2</v>
      </c>
      <c r="D59" s="188">
        <f>IFERROR(C59/VLOOKUP(A59,Usinas!$A:$B,2,FALSE()),"")</f>
        <v>1.0304160688665711</v>
      </c>
    </row>
    <row r="60" spans="1:4" ht="12" customHeight="1" x14ac:dyDescent="0.2">
      <c r="A60" s="185" t="s">
        <v>466</v>
      </c>
      <c r="B60" s="186">
        <v>45774</v>
      </c>
      <c r="C60" s="187">
        <v>458.1</v>
      </c>
      <c r="D60" s="188">
        <f>IFERROR(C60/VLOOKUP(A60,Usinas!$A:$B,2,FALSE()),"")</f>
        <v>0.65724533715925393</v>
      </c>
    </row>
    <row r="61" spans="1:4" ht="12" customHeight="1" x14ac:dyDescent="0.2">
      <c r="A61" s="185" t="s">
        <v>466</v>
      </c>
      <c r="B61" s="186">
        <v>45775</v>
      </c>
      <c r="C61" s="187">
        <v>713.3</v>
      </c>
      <c r="D61" s="188">
        <f>IFERROR(C61/VLOOKUP(A61,Usinas!$A:$B,2,FALSE()),"")</f>
        <v>1.0233859397417502</v>
      </c>
    </row>
    <row r="62" spans="1:4" ht="12" customHeight="1" x14ac:dyDescent="0.2">
      <c r="A62" s="185" t="s">
        <v>466</v>
      </c>
      <c r="B62" s="186">
        <v>45776</v>
      </c>
      <c r="C62" s="187">
        <v>1328.6</v>
      </c>
      <c r="D62" s="188">
        <f>IFERROR(C62/VLOOKUP(A62,Usinas!$A:$B,2,FALSE()),"")</f>
        <v>1.9061692969870874</v>
      </c>
    </row>
    <row r="63" spans="1:4" ht="12" customHeight="1" x14ac:dyDescent="0.2">
      <c r="A63" s="185" t="s">
        <v>466</v>
      </c>
      <c r="B63" s="186">
        <v>45777</v>
      </c>
      <c r="C63" s="187">
        <v>1310.5</v>
      </c>
      <c r="D63" s="188">
        <f>IFERROR(C63/VLOOKUP(A63,Usinas!$A:$B,2,FALSE()),"")</f>
        <v>1.8802008608321377</v>
      </c>
    </row>
    <row r="64" spans="1:4" ht="12" customHeight="1" x14ac:dyDescent="0.2">
      <c r="A64" s="185" t="s">
        <v>466</v>
      </c>
      <c r="B64" s="186">
        <v>45778</v>
      </c>
      <c r="C64" s="187">
        <v>1329.1</v>
      </c>
      <c r="D64" s="188">
        <f>IFERROR(C64/VLOOKUP(A64,Usinas!$A:$B,2,FALSE()),"")</f>
        <v>1.906886657101865</v>
      </c>
    </row>
    <row r="65" spans="1:4" ht="12" customHeight="1" x14ac:dyDescent="0.2">
      <c r="A65" s="185" t="s">
        <v>466</v>
      </c>
      <c r="B65" s="186">
        <v>45779</v>
      </c>
      <c r="C65" s="187">
        <v>1263</v>
      </c>
      <c r="D65" s="188">
        <f>IFERROR(C65/VLOOKUP(A65,Usinas!$A:$B,2,FALSE()),"")</f>
        <v>1.812051649928264</v>
      </c>
    </row>
    <row r="66" spans="1:4" ht="12" customHeight="1" x14ac:dyDescent="0.2">
      <c r="A66" s="185" t="s">
        <v>466</v>
      </c>
      <c r="B66" s="186">
        <v>45780</v>
      </c>
      <c r="C66" s="187">
        <v>867.4</v>
      </c>
      <c r="D66" s="188">
        <f>IFERROR(C66/VLOOKUP(A66,Usinas!$A:$B,2,FALSE()),"")</f>
        <v>1.2444763271162123</v>
      </c>
    </row>
    <row r="67" spans="1:4" ht="12" customHeight="1" x14ac:dyDescent="0.2">
      <c r="A67" s="185" t="s">
        <v>466</v>
      </c>
      <c r="B67" s="186">
        <v>45781</v>
      </c>
      <c r="C67" s="187">
        <v>1083.4000000000001</v>
      </c>
      <c r="D67" s="188">
        <f>IFERROR(C67/VLOOKUP(A67,Usinas!$A:$B,2,FALSE()),"")</f>
        <v>1.5543758967001435</v>
      </c>
    </row>
    <row r="68" spans="1:4" ht="12" customHeight="1" x14ac:dyDescent="0.2">
      <c r="A68" s="185" t="s">
        <v>466</v>
      </c>
      <c r="B68" s="186">
        <v>45782</v>
      </c>
      <c r="C68" s="187">
        <v>942.2</v>
      </c>
      <c r="D68" s="188">
        <f>IFERROR(C68/VLOOKUP(A68,Usinas!$A:$B,2,FALSE()),"")</f>
        <v>1.3517934002869441</v>
      </c>
    </row>
    <row r="69" spans="1:4" ht="12" customHeight="1" x14ac:dyDescent="0.2">
      <c r="A69" s="185" t="s">
        <v>466</v>
      </c>
      <c r="B69" s="186">
        <v>45783</v>
      </c>
      <c r="C69" s="187">
        <v>651.6</v>
      </c>
      <c r="D69" s="188">
        <f>IFERROR(C69/VLOOKUP(A69,Usinas!$A:$B,2,FALSE()),"")</f>
        <v>0.93486370157819232</v>
      </c>
    </row>
    <row r="70" spans="1:4" ht="12" customHeight="1" x14ac:dyDescent="0.2">
      <c r="A70" s="185" t="s">
        <v>466</v>
      </c>
      <c r="B70" s="186">
        <v>45784</v>
      </c>
      <c r="C70" s="187">
        <v>831.4</v>
      </c>
      <c r="D70" s="188">
        <f>IFERROR(C70/VLOOKUP(A70,Usinas!$A:$B,2,FALSE()),"")</f>
        <v>1.1928263988522239</v>
      </c>
    </row>
    <row r="71" spans="1:4" ht="12" customHeight="1" x14ac:dyDescent="0.2">
      <c r="A71" s="185" t="s">
        <v>466</v>
      </c>
      <c r="B71" s="186">
        <v>45785</v>
      </c>
      <c r="C71" s="187">
        <v>456.1</v>
      </c>
      <c r="D71" s="188">
        <f>IFERROR(C71/VLOOKUP(A71,Usinas!$A:$B,2,FALSE()),"")</f>
        <v>0.65437589670014351</v>
      </c>
    </row>
    <row r="72" spans="1:4" ht="12" customHeight="1" x14ac:dyDescent="0.2">
      <c r="A72" s="185" t="s">
        <v>466</v>
      </c>
      <c r="B72" s="186">
        <v>45786</v>
      </c>
      <c r="C72" s="187">
        <v>761.6</v>
      </c>
      <c r="D72" s="188">
        <f>IFERROR(C72/VLOOKUP(A72,Usinas!$A:$B,2,FALSE()),"")</f>
        <v>1.0926829268292684</v>
      </c>
    </row>
    <row r="73" spans="1:4" ht="12" customHeight="1" x14ac:dyDescent="0.2">
      <c r="A73" s="185" t="s">
        <v>466</v>
      </c>
      <c r="B73" s="186">
        <v>45787</v>
      </c>
      <c r="C73" s="187">
        <v>629.6</v>
      </c>
      <c r="D73" s="188">
        <f>IFERROR(C73/VLOOKUP(A73,Usinas!$A:$B,2,FALSE()),"")</f>
        <v>0.90329985652797706</v>
      </c>
    </row>
    <row r="74" spans="1:4" ht="12" customHeight="1" x14ac:dyDescent="0.2">
      <c r="A74" s="185" t="s">
        <v>466</v>
      </c>
      <c r="B74" s="186">
        <v>45788</v>
      </c>
      <c r="C74" s="187">
        <v>653.29999999999995</v>
      </c>
      <c r="D74" s="188">
        <f>IFERROR(C74/VLOOKUP(A74,Usinas!$A:$B,2,FALSE()),"")</f>
        <v>0.93730272596843611</v>
      </c>
    </row>
    <row r="75" spans="1:4" ht="12" customHeight="1" x14ac:dyDescent="0.2">
      <c r="A75" s="185" t="s">
        <v>466</v>
      </c>
      <c r="B75" s="186">
        <v>45789</v>
      </c>
      <c r="C75" s="187">
        <v>1102.0999999999999</v>
      </c>
      <c r="D75" s="188">
        <f>IFERROR(C75/VLOOKUP(A75,Usinas!$A:$B,2,FALSE()),"")</f>
        <v>1.5812051649928263</v>
      </c>
    </row>
    <row r="76" spans="1:4" ht="12" customHeight="1" x14ac:dyDescent="0.2">
      <c r="A76" s="185" t="s">
        <v>466</v>
      </c>
      <c r="B76" s="186">
        <v>45790</v>
      </c>
      <c r="C76" s="187">
        <v>1033.3</v>
      </c>
      <c r="D76" s="188">
        <f>IFERROR(C76/VLOOKUP(A76,Usinas!$A:$B,2,FALSE()),"")</f>
        <v>1.482496413199426</v>
      </c>
    </row>
    <row r="77" spans="1:4" ht="12" customHeight="1" x14ac:dyDescent="0.2">
      <c r="A77" s="185" t="s">
        <v>466</v>
      </c>
      <c r="B77" s="186">
        <v>45791</v>
      </c>
      <c r="C77" s="187">
        <v>1078.5999999999999</v>
      </c>
      <c r="D77" s="188">
        <f>IFERROR(C77/VLOOKUP(A77,Usinas!$A:$B,2,FALSE()),"")</f>
        <v>1.5474892395982782</v>
      </c>
    </row>
    <row r="78" spans="1:4" ht="12" customHeight="1" x14ac:dyDescent="0.2">
      <c r="A78" s="185" t="s">
        <v>466</v>
      </c>
      <c r="B78" s="186">
        <v>45792</v>
      </c>
      <c r="C78" s="187">
        <v>1063.5999999999999</v>
      </c>
      <c r="D78" s="188">
        <f>IFERROR(C78/VLOOKUP(A78,Usinas!$A:$B,2,FALSE()),"")</f>
        <v>1.5259684361549497</v>
      </c>
    </row>
    <row r="79" spans="1:4" ht="12" customHeight="1" x14ac:dyDescent="0.2">
      <c r="A79" s="185" t="s">
        <v>466</v>
      </c>
      <c r="B79" s="186">
        <v>45793</v>
      </c>
      <c r="C79" s="187">
        <v>897.1</v>
      </c>
      <c r="D79" s="188">
        <f>IFERROR(C79/VLOOKUP(A79,Usinas!$A:$B,2,FALSE()),"")</f>
        <v>1.2870875179340029</v>
      </c>
    </row>
    <row r="80" spans="1:4" ht="12" customHeight="1" x14ac:dyDescent="0.2">
      <c r="A80" s="185" t="s">
        <v>466</v>
      </c>
      <c r="B80" s="186">
        <v>45794</v>
      </c>
      <c r="C80" s="187">
        <v>956.8</v>
      </c>
      <c r="D80" s="188">
        <f>IFERROR(C80/VLOOKUP(A80,Usinas!$A:$B,2,FALSE()),"")</f>
        <v>1.3727403156384503</v>
      </c>
    </row>
    <row r="81" spans="1:4" ht="12" customHeight="1" x14ac:dyDescent="0.2">
      <c r="A81" s="185" t="s">
        <v>466</v>
      </c>
      <c r="B81" s="186">
        <v>45795</v>
      </c>
      <c r="C81" s="187">
        <v>783.8</v>
      </c>
      <c r="D81" s="188">
        <f>IFERROR(C81/VLOOKUP(A81,Usinas!$A:$B,2,FALSE()),"")</f>
        <v>1.1245337159253945</v>
      </c>
    </row>
    <row r="82" spans="1:4" ht="12" customHeight="1" x14ac:dyDescent="0.2">
      <c r="A82" s="185" t="s">
        <v>466</v>
      </c>
      <c r="B82" s="186">
        <v>45796</v>
      </c>
      <c r="C82" s="187">
        <v>1045.7</v>
      </c>
      <c r="D82" s="188">
        <f>IFERROR(C82/VLOOKUP(A82,Usinas!$A:$B,2,FALSE()),"")</f>
        <v>1.500286944045911</v>
      </c>
    </row>
    <row r="83" spans="1:4" ht="12" customHeight="1" x14ac:dyDescent="0.2">
      <c r="A83" s="185" t="s">
        <v>466</v>
      </c>
      <c r="B83" s="186">
        <v>45797</v>
      </c>
      <c r="C83" s="187">
        <v>815.2</v>
      </c>
      <c r="D83" s="188">
        <f>IFERROR(C83/VLOOKUP(A83,Usinas!$A:$B,2,FALSE()),"")</f>
        <v>1.1695839311334291</v>
      </c>
    </row>
    <row r="84" spans="1:4" ht="12" customHeight="1" x14ac:dyDescent="0.2">
      <c r="A84" s="185" t="s">
        <v>466</v>
      </c>
      <c r="B84" s="186">
        <v>45798</v>
      </c>
      <c r="C84" s="187">
        <v>759.3</v>
      </c>
      <c r="D84" s="188">
        <f>IFERROR(C84/VLOOKUP(A84,Usinas!$A:$B,2,FALSE()),"")</f>
        <v>1.0893830703012912</v>
      </c>
    </row>
    <row r="85" spans="1:4" ht="12" customHeight="1" x14ac:dyDescent="0.2">
      <c r="A85" s="185" t="s">
        <v>466</v>
      </c>
      <c r="B85" s="186">
        <v>45799</v>
      </c>
      <c r="C85" s="187">
        <v>24.8</v>
      </c>
      <c r="D85" s="188">
        <f>IFERROR(C85/VLOOKUP(A85,Usinas!$A:$B,2,FALSE()),"")</f>
        <v>3.5581061692969873E-2</v>
      </c>
    </row>
    <row r="86" spans="1:4" ht="12" customHeight="1" x14ac:dyDescent="0.2">
      <c r="A86" s="185" t="s">
        <v>466</v>
      </c>
      <c r="B86" s="186">
        <v>45800</v>
      </c>
      <c r="C86" s="187">
        <v>886.3</v>
      </c>
      <c r="D86" s="188">
        <f>IFERROR(C86/VLOOKUP(A86,Usinas!$A:$B,2,FALSE()),"")</f>
        <v>1.2715925394548062</v>
      </c>
    </row>
    <row r="87" spans="1:4" ht="12" customHeight="1" x14ac:dyDescent="0.2">
      <c r="A87" s="185" t="s">
        <v>466</v>
      </c>
      <c r="B87" s="186">
        <v>45801</v>
      </c>
      <c r="C87" s="187">
        <v>1355.2</v>
      </c>
      <c r="D87" s="188">
        <f>IFERROR(C87/VLOOKUP(A87,Usinas!$A:$B,2,FALSE()),"")</f>
        <v>1.9443328550932568</v>
      </c>
    </row>
    <row r="88" spans="1:4" ht="12" customHeight="1" x14ac:dyDescent="0.2">
      <c r="A88" s="185" t="s">
        <v>466</v>
      </c>
      <c r="B88" s="186">
        <v>45802</v>
      </c>
      <c r="C88" s="187">
        <v>1350.3</v>
      </c>
      <c r="D88" s="188">
        <f>IFERROR(C88/VLOOKUP(A88,Usinas!$A:$B,2,FALSE()),"")</f>
        <v>1.9373027259684361</v>
      </c>
    </row>
    <row r="89" spans="1:4" ht="12" customHeight="1" x14ac:dyDescent="0.2">
      <c r="A89" s="185" t="s">
        <v>466</v>
      </c>
      <c r="B89" s="186">
        <v>45803</v>
      </c>
      <c r="C89" s="187">
        <v>1156.3</v>
      </c>
      <c r="D89" s="188">
        <f>IFERROR(C89/VLOOKUP(A89,Usinas!$A:$B,2,FALSE()),"")</f>
        <v>1.6589670014347202</v>
      </c>
    </row>
    <row r="90" spans="1:4" ht="12" customHeight="1" x14ac:dyDescent="0.2">
      <c r="A90" s="185" t="s">
        <v>466</v>
      </c>
      <c r="B90" s="186">
        <v>45804</v>
      </c>
      <c r="C90" s="187">
        <v>872.4</v>
      </c>
      <c r="D90" s="188">
        <f>IFERROR(C90/VLOOKUP(A90,Usinas!$A:$B,2,FALSE()),"")</f>
        <v>1.2516499282639886</v>
      </c>
    </row>
    <row r="91" spans="1:4" ht="12" customHeight="1" x14ac:dyDescent="0.2">
      <c r="A91" s="185" t="s">
        <v>466</v>
      </c>
      <c r="B91" s="186">
        <v>45805</v>
      </c>
      <c r="C91" s="187">
        <v>371.2</v>
      </c>
      <c r="D91" s="188">
        <f>IFERROR(C91/VLOOKUP(A91,Usinas!$A:$B,2,FALSE()),"")</f>
        <v>0.5325681492109039</v>
      </c>
    </row>
    <row r="92" spans="1:4" ht="12" customHeight="1" x14ac:dyDescent="0.2">
      <c r="A92" s="185" t="s">
        <v>466</v>
      </c>
      <c r="B92" s="186">
        <v>45806</v>
      </c>
      <c r="C92" s="187">
        <v>1310.8</v>
      </c>
      <c r="D92" s="188">
        <f>IFERROR(C92/VLOOKUP(A92,Usinas!$A:$B,2,FALSE()),"")</f>
        <v>1.8806312769010043</v>
      </c>
    </row>
    <row r="93" spans="1:4" ht="12" customHeight="1" x14ac:dyDescent="0.2">
      <c r="A93" s="185" t="s">
        <v>466</v>
      </c>
      <c r="B93" s="186">
        <v>45807</v>
      </c>
      <c r="C93" s="187">
        <v>1578.2</v>
      </c>
      <c r="D93" s="188">
        <f>IFERROR(C93/VLOOKUP(A93,Usinas!$A:$B,2,FALSE()),"")</f>
        <v>2.2642754662840745</v>
      </c>
    </row>
    <row r="94" spans="1:4" ht="12" customHeight="1" x14ac:dyDescent="0.2">
      <c r="A94" s="185" t="s">
        <v>466</v>
      </c>
      <c r="B94" s="186">
        <v>45808</v>
      </c>
      <c r="C94" s="187">
        <v>872</v>
      </c>
      <c r="D94" s="188">
        <f>IFERROR(C94/VLOOKUP(A94,Usinas!$A:$B,2,FALSE()),"")</f>
        <v>1.2510760401721663</v>
      </c>
    </row>
    <row r="95" spans="1:4" ht="12" customHeight="1" x14ac:dyDescent="0.2">
      <c r="A95" s="185" t="s">
        <v>466</v>
      </c>
      <c r="B95" s="186">
        <v>45809</v>
      </c>
      <c r="C95" s="187">
        <v>1234.8</v>
      </c>
      <c r="D95" s="188">
        <f>IFERROR(C95/VLOOKUP(A95,Usinas!$A:$B,2,FALSE()),"")</f>
        <v>1.7715925394548062</v>
      </c>
    </row>
    <row r="96" spans="1:4" ht="12" customHeight="1" x14ac:dyDescent="0.2">
      <c r="A96" s="185" t="s">
        <v>466</v>
      </c>
      <c r="B96" s="186">
        <v>45810</v>
      </c>
      <c r="C96" s="187">
        <v>1149.7</v>
      </c>
      <c r="D96" s="188">
        <f>IFERROR(C96/VLOOKUP(A96,Usinas!$A:$B,2,FALSE()),"")</f>
        <v>1.6494978479196558</v>
      </c>
    </row>
    <row r="97" spans="1:4" ht="12" customHeight="1" x14ac:dyDescent="0.2">
      <c r="A97" s="185" t="s">
        <v>466</v>
      </c>
      <c r="B97" s="186">
        <v>45811</v>
      </c>
      <c r="C97" s="187">
        <v>1228.0999999999999</v>
      </c>
      <c r="D97" s="188">
        <f>IFERROR(C97/VLOOKUP(A97,Usinas!$A:$B,2,FALSE()),"")</f>
        <v>1.761979913916786</v>
      </c>
    </row>
    <row r="98" spans="1:4" ht="12" customHeight="1" x14ac:dyDescent="0.2">
      <c r="A98" s="185" t="s">
        <v>466</v>
      </c>
      <c r="B98" s="186">
        <v>45812</v>
      </c>
      <c r="C98" s="187">
        <v>1169.2</v>
      </c>
      <c r="D98" s="188">
        <f>IFERROR(C98/VLOOKUP(A98,Usinas!$A:$B,2,FALSE()),"")</f>
        <v>1.6774748923959828</v>
      </c>
    </row>
    <row r="99" spans="1:4" ht="12" customHeight="1" x14ac:dyDescent="0.2">
      <c r="A99" s="185" t="s">
        <v>466</v>
      </c>
      <c r="B99" s="186">
        <v>45813</v>
      </c>
      <c r="C99" s="187">
        <v>802.3</v>
      </c>
      <c r="D99" s="188">
        <f>IFERROR(C99/VLOOKUP(A99,Usinas!$A:$B,2,FALSE()),"")</f>
        <v>1.1510760401721665</v>
      </c>
    </row>
    <row r="100" spans="1:4" ht="12" customHeight="1" x14ac:dyDescent="0.2">
      <c r="A100" s="185" t="s">
        <v>466</v>
      </c>
      <c r="B100" s="186">
        <v>45814</v>
      </c>
      <c r="C100" s="187">
        <v>1167.5999999999999</v>
      </c>
      <c r="D100" s="188">
        <f>IFERROR(C100/VLOOKUP(A100,Usinas!$A:$B,2,FALSE()),"")</f>
        <v>1.6751793400286943</v>
      </c>
    </row>
    <row r="101" spans="1:4" ht="12" customHeight="1" x14ac:dyDescent="0.2">
      <c r="A101" s="185" t="s">
        <v>466</v>
      </c>
      <c r="B101" s="186">
        <v>45815</v>
      </c>
      <c r="C101" s="187">
        <v>1235.0999999999999</v>
      </c>
      <c r="D101" s="188">
        <f>IFERROR(C101/VLOOKUP(A101,Usinas!$A:$B,2,FALSE()),"")</f>
        <v>1.7720229555236728</v>
      </c>
    </row>
    <row r="102" spans="1:4" ht="12" customHeight="1" x14ac:dyDescent="0.2">
      <c r="A102" s="185" t="s">
        <v>466</v>
      </c>
      <c r="B102" s="186">
        <v>45825</v>
      </c>
      <c r="C102" s="187">
        <v>1195.0999999999999</v>
      </c>
      <c r="D102" s="188">
        <f>IFERROR(C102/VLOOKUP(A102,Usinas!$A:$B,2,FALSE()),"")</f>
        <v>1.7146341463414634</v>
      </c>
    </row>
    <row r="103" spans="1:4" ht="12" customHeight="1" x14ac:dyDescent="0.2">
      <c r="A103" s="185" t="s">
        <v>466</v>
      </c>
      <c r="B103" s="186">
        <v>45826</v>
      </c>
      <c r="C103" s="187">
        <v>1332.9</v>
      </c>
      <c r="D103" s="188">
        <f>IFERROR(C103/VLOOKUP(A103,Usinas!$A:$B,2,FALSE()),"")</f>
        <v>1.9123385939741753</v>
      </c>
    </row>
    <row r="104" spans="1:4" ht="12" customHeight="1" x14ac:dyDescent="0.2">
      <c r="A104" s="185" t="s">
        <v>466</v>
      </c>
      <c r="B104" s="186">
        <v>45827</v>
      </c>
      <c r="C104" s="187">
        <v>1298.9000000000001</v>
      </c>
      <c r="D104" s="188">
        <f>IFERROR(C104/VLOOKUP(A104,Usinas!$A:$B,2,FALSE()),"")</f>
        <v>1.8635581061692972</v>
      </c>
    </row>
    <row r="105" spans="1:4" ht="12" customHeight="1" x14ac:dyDescent="0.2">
      <c r="A105" s="185" t="s">
        <v>466</v>
      </c>
      <c r="B105" s="186">
        <v>45828</v>
      </c>
      <c r="C105" s="187">
        <v>1018</v>
      </c>
      <c r="D105" s="188">
        <f>IFERROR(C105/VLOOKUP(A105,Usinas!$A:$B,2,FALSE()),"")</f>
        <v>1.4605451936872309</v>
      </c>
    </row>
    <row r="106" spans="1:4" ht="12" customHeight="1" x14ac:dyDescent="0.2">
      <c r="A106" s="185" t="s">
        <v>466</v>
      </c>
      <c r="B106" s="186">
        <v>45829</v>
      </c>
      <c r="C106" s="187">
        <v>464.7</v>
      </c>
      <c r="D106" s="188">
        <f>IFERROR(C106/VLOOKUP(A106,Usinas!$A:$B,2,FALSE()),"")</f>
        <v>0.66671449067431854</v>
      </c>
    </row>
    <row r="107" spans="1:4" ht="12" customHeight="1" x14ac:dyDescent="0.2">
      <c r="A107" s="185" t="s">
        <v>466</v>
      </c>
      <c r="B107" s="186">
        <v>45830</v>
      </c>
      <c r="C107" s="187">
        <v>645.20000000000005</v>
      </c>
      <c r="D107" s="188">
        <f>IFERROR(C107/VLOOKUP(A107,Usinas!$A:$B,2,FALSE()),"")</f>
        <v>0.92568149210903883</v>
      </c>
    </row>
    <row r="108" spans="1:4" ht="12" customHeight="1" x14ac:dyDescent="0.2">
      <c r="A108" s="185" t="s">
        <v>466</v>
      </c>
      <c r="B108" s="186">
        <v>45831</v>
      </c>
      <c r="C108" s="187">
        <v>255</v>
      </c>
      <c r="D108" s="188">
        <f>IFERROR(C108/VLOOKUP(A108,Usinas!$A:$B,2,FALSE()),"")</f>
        <v>0.36585365853658536</v>
      </c>
    </row>
    <row r="109" spans="1:4" ht="12" customHeight="1" x14ac:dyDescent="0.2">
      <c r="A109" s="185" t="s">
        <v>466</v>
      </c>
      <c r="B109" s="186">
        <v>45832</v>
      </c>
      <c r="C109" s="187">
        <v>1604.9</v>
      </c>
      <c r="D109" s="188">
        <f>IFERROR(C109/VLOOKUP(A109,Usinas!$A:$B,2,FALSE()),"")</f>
        <v>2.3025824964131996</v>
      </c>
    </row>
    <row r="110" spans="1:4" ht="12" customHeight="1" x14ac:dyDescent="0.2">
      <c r="A110" s="185" t="s">
        <v>466</v>
      </c>
      <c r="B110" s="186">
        <v>45833</v>
      </c>
      <c r="C110" s="187">
        <v>1484.1</v>
      </c>
      <c r="D110" s="188">
        <f>IFERROR(C110/VLOOKUP(A110,Usinas!$A:$B,2,FALSE()),"")</f>
        <v>2.1292682926829265</v>
      </c>
    </row>
    <row r="111" spans="1:4" ht="12" customHeight="1" x14ac:dyDescent="0.2">
      <c r="A111" s="185" t="s">
        <v>466</v>
      </c>
      <c r="B111" s="186">
        <v>45834</v>
      </c>
      <c r="C111" s="187">
        <v>541.9</v>
      </c>
      <c r="D111" s="188">
        <f>IFERROR(C111/VLOOKUP(A111,Usinas!$A:$B,2,FALSE()),"")</f>
        <v>0.77747489239598278</v>
      </c>
    </row>
    <row r="112" spans="1:4" ht="12" customHeight="1" x14ac:dyDescent="0.2">
      <c r="A112" s="185" t="s">
        <v>466</v>
      </c>
      <c r="B112" s="186">
        <v>45835</v>
      </c>
      <c r="C112" s="187">
        <v>551.70000000000005</v>
      </c>
      <c r="D112" s="188">
        <f>IFERROR(C112/VLOOKUP(A112,Usinas!$A:$B,2,FALSE()),"")</f>
        <v>0.79153515064562419</v>
      </c>
    </row>
    <row r="113" spans="1:4" ht="12" customHeight="1" x14ac:dyDescent="0.2">
      <c r="A113" s="185" t="s">
        <v>466</v>
      </c>
      <c r="B113" s="186">
        <v>45836</v>
      </c>
      <c r="C113" s="187">
        <v>1010</v>
      </c>
      <c r="D113" s="188">
        <f>IFERROR(C113/VLOOKUP(A113,Usinas!$A:$B,2,FALSE()),"")</f>
        <v>1.449067431850789</v>
      </c>
    </row>
    <row r="114" spans="1:4" ht="12" customHeight="1" x14ac:dyDescent="0.2">
      <c r="A114" s="185" t="s">
        <v>466</v>
      </c>
      <c r="B114" s="186">
        <v>45837</v>
      </c>
      <c r="C114" s="187">
        <v>1035.4000000000001</v>
      </c>
      <c r="D114" s="188">
        <f>IFERROR(C114/VLOOKUP(A114,Usinas!$A:$B,2,FALSE()),"")</f>
        <v>1.4855093256814922</v>
      </c>
    </row>
    <row r="115" spans="1:4" ht="12" customHeight="1" x14ac:dyDescent="0.2">
      <c r="A115" s="185" t="s">
        <v>466</v>
      </c>
      <c r="B115" s="186">
        <v>45838</v>
      </c>
      <c r="C115" s="187">
        <v>373.6</v>
      </c>
      <c r="D115" s="188">
        <f>IFERROR(C115/VLOOKUP(A115,Usinas!$A:$B,2,FALSE()),"")</f>
        <v>0.53601147776183644</v>
      </c>
    </row>
    <row r="116" spans="1:4" ht="12" customHeight="1" x14ac:dyDescent="0.2">
      <c r="A116" s="185" t="s">
        <v>466</v>
      </c>
      <c r="B116" s="186">
        <v>45839</v>
      </c>
      <c r="C116" s="187">
        <v>850.6</v>
      </c>
      <c r="D116" s="188">
        <f>IFERROR(C116/VLOOKUP(A116,Usinas!$A:$B,2,FALSE()),"")</f>
        <v>1.2203730272596844</v>
      </c>
    </row>
    <row r="117" spans="1:4" ht="12" customHeight="1" x14ac:dyDescent="0.2">
      <c r="A117" s="185" t="s">
        <v>466</v>
      </c>
      <c r="B117" s="186">
        <v>45840</v>
      </c>
      <c r="C117" s="187">
        <v>816.4</v>
      </c>
      <c r="D117" s="188">
        <f>IFERROR(C117/VLOOKUP(A117,Usinas!$A:$B,2,FALSE()),"")</f>
        <v>1.1713055954088953</v>
      </c>
    </row>
    <row r="118" spans="1:4" ht="12" customHeight="1" x14ac:dyDescent="0.2">
      <c r="A118" s="185" t="s">
        <v>466</v>
      </c>
      <c r="B118" s="186">
        <v>45841</v>
      </c>
      <c r="C118" s="187">
        <v>1073.9000000000001</v>
      </c>
      <c r="D118" s="188">
        <f>IFERROR(C118/VLOOKUP(A118,Usinas!$A:$B,2,FALSE()),"")</f>
        <v>1.5407460545193687</v>
      </c>
    </row>
    <row r="119" spans="1:4" ht="12" customHeight="1" x14ac:dyDescent="0.2">
      <c r="A119" s="185" t="s">
        <v>466</v>
      </c>
      <c r="B119" s="186">
        <v>45842</v>
      </c>
      <c r="C119" s="187">
        <v>1231.7</v>
      </c>
      <c r="D119" s="188">
        <f>IFERROR(C119/VLOOKUP(A119,Usinas!$A:$B,2,FALSE()),"")</f>
        <v>1.7671449067431853</v>
      </c>
    </row>
    <row r="120" spans="1:4" ht="12" customHeight="1" x14ac:dyDescent="0.2">
      <c r="A120" s="185" t="s">
        <v>466</v>
      </c>
      <c r="B120" s="186">
        <v>45843</v>
      </c>
      <c r="C120" s="187">
        <v>1178.8</v>
      </c>
      <c r="D120" s="188">
        <f>IFERROR(C120/VLOOKUP(A120,Usinas!$A:$B,2,FALSE()),"")</f>
        <v>1.691248206599713</v>
      </c>
    </row>
    <row r="121" spans="1:4" ht="12" customHeight="1" x14ac:dyDescent="0.2">
      <c r="A121" s="185" t="s">
        <v>466</v>
      </c>
      <c r="B121" s="186">
        <v>45844</v>
      </c>
      <c r="C121" s="187">
        <v>1219</v>
      </c>
      <c r="D121" s="188">
        <f>IFERROR(C121/VLOOKUP(A121,Usinas!$A:$B,2,FALSE()),"")</f>
        <v>1.7489239598278337</v>
      </c>
    </row>
    <row r="122" spans="1:4" ht="12" customHeight="1" x14ac:dyDescent="0.2">
      <c r="A122" s="185" t="s">
        <v>466</v>
      </c>
      <c r="B122" s="186">
        <v>45845</v>
      </c>
      <c r="C122" s="187">
        <v>1309.2</v>
      </c>
      <c r="D122" s="188">
        <f>IFERROR(C122/VLOOKUP(A122,Usinas!$A:$B,2,FALSE()),"")</f>
        <v>1.878335724533716</v>
      </c>
    </row>
    <row r="123" spans="1:4" ht="12" customHeight="1" x14ac:dyDescent="0.2">
      <c r="A123" s="185" t="s">
        <v>466</v>
      </c>
      <c r="B123" s="186">
        <v>45846</v>
      </c>
      <c r="C123" s="187">
        <v>1346.7</v>
      </c>
      <c r="D123" s="188">
        <f>IFERROR(C123/VLOOKUP(A123,Usinas!$A:$B,2,FALSE()),"")</f>
        <v>1.9321377331420373</v>
      </c>
    </row>
    <row r="124" spans="1:4" ht="12" customHeight="1" x14ac:dyDescent="0.2">
      <c r="A124" s="185" t="s">
        <v>466</v>
      </c>
      <c r="B124" s="186">
        <v>45847</v>
      </c>
      <c r="C124" s="187">
        <v>1371.2</v>
      </c>
      <c r="D124" s="188">
        <f>IFERROR(C124/VLOOKUP(A124,Usinas!$A:$B,2,FALSE()),"")</f>
        <v>1.9672883787661406</v>
      </c>
    </row>
    <row r="125" spans="1:4" ht="12" customHeight="1" x14ac:dyDescent="0.2">
      <c r="A125" s="185" t="s">
        <v>466</v>
      </c>
      <c r="B125" s="186">
        <v>45848</v>
      </c>
      <c r="C125" s="187">
        <v>1273.9000000000001</v>
      </c>
      <c r="D125" s="188">
        <f>IFERROR(C125/VLOOKUP(A125,Usinas!$A:$B,2,FALSE()),"")</f>
        <v>1.8276901004304162</v>
      </c>
    </row>
    <row r="126" spans="1:4" ht="12" customHeight="1" x14ac:dyDescent="0.2">
      <c r="A126" s="185" t="s">
        <v>466</v>
      </c>
      <c r="B126" s="186">
        <v>45849</v>
      </c>
      <c r="C126" s="187">
        <v>1038.2</v>
      </c>
      <c r="D126" s="188">
        <f>IFERROR(C126/VLOOKUP(A126,Usinas!$A:$B,2,FALSE()),"")</f>
        <v>1.4895265423242467</v>
      </c>
    </row>
    <row r="127" spans="1:4" ht="12" customHeight="1" x14ac:dyDescent="0.2">
      <c r="A127" s="185" t="s">
        <v>466</v>
      </c>
      <c r="B127" s="186">
        <v>45850</v>
      </c>
      <c r="C127" s="187">
        <v>1195.5</v>
      </c>
      <c r="D127" s="188">
        <f>IFERROR(C127/VLOOKUP(A127,Usinas!$A:$B,2,FALSE()),"")</f>
        <v>1.7152080344332854</v>
      </c>
    </row>
    <row r="128" spans="1:4" ht="12" customHeight="1" x14ac:dyDescent="0.2">
      <c r="A128" s="185" t="s">
        <v>466</v>
      </c>
      <c r="B128" s="186">
        <v>45851</v>
      </c>
      <c r="C128" s="187">
        <v>1086.0999999999999</v>
      </c>
      <c r="D128" s="188">
        <f>IFERROR(C128/VLOOKUP(A128,Usinas!$A:$B,2,FALSE()),"")</f>
        <v>1.5582496413199425</v>
      </c>
    </row>
    <row r="129" spans="1:4" ht="12" customHeight="1" x14ac:dyDescent="0.2">
      <c r="A129" s="185" t="s">
        <v>466</v>
      </c>
      <c r="B129" s="186">
        <v>45852</v>
      </c>
      <c r="C129" s="187">
        <v>1165.4000000000001</v>
      </c>
      <c r="D129" s="188">
        <f>IFERROR(C129/VLOOKUP(A129,Usinas!$A:$B,2,FALSE()),"")</f>
        <v>1.672022955523673</v>
      </c>
    </row>
    <row r="130" spans="1:4" ht="12" customHeight="1" x14ac:dyDescent="0.2">
      <c r="A130" s="185" t="s">
        <v>466</v>
      </c>
      <c r="B130" s="186">
        <v>45853</v>
      </c>
      <c r="C130" s="187">
        <v>1245.4000000000001</v>
      </c>
      <c r="D130" s="188">
        <f>IFERROR(C130/VLOOKUP(A130,Usinas!$A:$B,2,FALSE()),"")</f>
        <v>1.7868005738880919</v>
      </c>
    </row>
    <row r="131" spans="1:4" ht="12" customHeight="1" x14ac:dyDescent="0.2">
      <c r="A131" s="185" t="s">
        <v>466</v>
      </c>
      <c r="B131" s="186">
        <v>45854</v>
      </c>
      <c r="C131" s="187">
        <v>1301.9000000000001</v>
      </c>
      <c r="D131" s="188">
        <f>IFERROR(C131/VLOOKUP(A131,Usinas!$A:$B,2,FALSE()),"")</f>
        <v>1.8678622668579627</v>
      </c>
    </row>
    <row r="132" spans="1:4" ht="12" customHeight="1" x14ac:dyDescent="0.2">
      <c r="A132" s="185" t="s">
        <v>466</v>
      </c>
      <c r="B132" s="186">
        <v>45855</v>
      </c>
      <c r="C132" s="187">
        <v>1072</v>
      </c>
      <c r="D132" s="188">
        <f>IFERROR(C132/VLOOKUP(A132,Usinas!$A:$B,2,FALSE()),"")</f>
        <v>1.5380200860832138</v>
      </c>
    </row>
    <row r="133" spans="1:4" ht="12" customHeight="1" x14ac:dyDescent="0.2">
      <c r="A133" s="185" t="s">
        <v>466</v>
      </c>
      <c r="B133" s="186">
        <v>45856</v>
      </c>
      <c r="C133" s="187">
        <v>1363.1</v>
      </c>
      <c r="D133" s="188">
        <f>IFERROR(C133/VLOOKUP(A133,Usinas!$A:$B,2,FALSE()),"")</f>
        <v>1.9556671449067431</v>
      </c>
    </row>
    <row r="134" spans="1:4" ht="12" customHeight="1" x14ac:dyDescent="0.2">
      <c r="A134" s="185" t="s">
        <v>466</v>
      </c>
      <c r="B134" s="186">
        <v>45857</v>
      </c>
      <c r="C134" s="187">
        <v>1337.3</v>
      </c>
      <c r="D134" s="188">
        <f>IFERROR(C134/VLOOKUP(A134,Usinas!$A:$B,2,FALSE()),"")</f>
        <v>1.9186513629842181</v>
      </c>
    </row>
    <row r="135" spans="1:4" ht="12" customHeight="1" x14ac:dyDescent="0.2">
      <c r="A135" s="185" t="s">
        <v>466</v>
      </c>
      <c r="B135" s="186">
        <v>45858</v>
      </c>
      <c r="C135" s="187">
        <v>854.6</v>
      </c>
      <c r="D135" s="188">
        <f>IFERROR(C135/VLOOKUP(A135,Usinas!$A:$B,2,FALSE()),"")</f>
        <v>1.2261119081779053</v>
      </c>
    </row>
    <row r="136" spans="1:4" ht="12" customHeight="1" x14ac:dyDescent="0.2">
      <c r="A136" s="185" t="s">
        <v>466</v>
      </c>
      <c r="B136" s="186">
        <v>45859</v>
      </c>
      <c r="C136" s="187">
        <v>1215.5</v>
      </c>
      <c r="D136" s="188">
        <f>IFERROR(C136/VLOOKUP(A136,Usinas!$A:$B,2,FALSE()),"")</f>
        <v>1.7439024390243902</v>
      </c>
    </row>
    <row r="137" spans="1:4" ht="12" customHeight="1" x14ac:dyDescent="0.2">
      <c r="A137" s="185" t="s">
        <v>466</v>
      </c>
      <c r="B137" s="186">
        <v>45860</v>
      </c>
      <c r="C137" s="187">
        <v>1216.4000000000001</v>
      </c>
      <c r="D137" s="188">
        <f>IFERROR(C137/VLOOKUP(A137,Usinas!$A:$B,2,FALSE()),"")</f>
        <v>1.7451936872309901</v>
      </c>
    </row>
    <row r="138" spans="1:4" ht="12" customHeight="1" x14ac:dyDescent="0.2">
      <c r="A138" s="185" t="s">
        <v>466</v>
      </c>
      <c r="B138" s="186">
        <v>45861</v>
      </c>
      <c r="C138" s="187">
        <v>1263</v>
      </c>
      <c r="D138" s="188">
        <f>IFERROR(C138/VLOOKUP(A138,Usinas!$A:$B,2,FALSE()),"")</f>
        <v>1.812051649928264</v>
      </c>
    </row>
    <row r="139" spans="1:4" ht="12" customHeight="1" x14ac:dyDescent="0.2">
      <c r="A139" s="185" t="s">
        <v>466</v>
      </c>
      <c r="B139" s="186">
        <v>45862</v>
      </c>
      <c r="C139" s="187">
        <v>1127.2</v>
      </c>
      <c r="D139" s="188">
        <f>IFERROR(C139/VLOOKUP(A139,Usinas!$A:$B,2,FALSE()),"")</f>
        <v>1.6172166427546628</v>
      </c>
    </row>
    <row r="140" spans="1:4" ht="12" customHeight="1" x14ac:dyDescent="0.2">
      <c r="A140" s="185" t="s">
        <v>466</v>
      </c>
      <c r="B140" s="186">
        <v>45863</v>
      </c>
      <c r="C140" s="187">
        <v>1289.7</v>
      </c>
      <c r="D140" s="188">
        <f>IFERROR(C140/VLOOKUP(A140,Usinas!$A:$B,2,FALSE()),"")</f>
        <v>1.8503586800573888</v>
      </c>
    </row>
    <row r="141" spans="1:4" ht="12" customHeight="1" x14ac:dyDescent="0.2">
      <c r="A141" s="185" t="s">
        <v>466</v>
      </c>
      <c r="B141" s="186">
        <v>45864</v>
      </c>
      <c r="C141" s="187">
        <v>1184.3</v>
      </c>
      <c r="D141" s="188">
        <f>IFERROR(C141/VLOOKUP(A141,Usinas!$A:$B,2,FALSE()),"")</f>
        <v>1.6991391678622667</v>
      </c>
    </row>
    <row r="142" spans="1:4" ht="12" customHeight="1" x14ac:dyDescent="0.2">
      <c r="A142" s="185" t="s">
        <v>466</v>
      </c>
      <c r="B142" s="186">
        <v>45865</v>
      </c>
      <c r="C142" s="187">
        <v>1069.8</v>
      </c>
      <c r="D142" s="188">
        <f>IFERROR(C142/VLOOKUP(A142,Usinas!$A:$B,2,FALSE()),"")</f>
        <v>1.5348637015781923</v>
      </c>
    </row>
    <row r="143" spans="1:4" ht="12" customHeight="1" x14ac:dyDescent="0.2">
      <c r="A143" s="185" t="s">
        <v>466</v>
      </c>
      <c r="B143" s="186">
        <v>45866</v>
      </c>
      <c r="C143" s="187">
        <v>835.5</v>
      </c>
      <c r="D143" s="188">
        <f>IFERROR(C143/VLOOKUP(A143,Usinas!$A:$B,2,FALSE()),"")</f>
        <v>1.1987087517934003</v>
      </c>
    </row>
    <row r="144" spans="1:4" ht="12" customHeight="1" x14ac:dyDescent="0.2">
      <c r="A144" s="185" t="s">
        <v>466</v>
      </c>
      <c r="B144" s="186">
        <v>45867</v>
      </c>
      <c r="C144" s="187">
        <v>1624.3</v>
      </c>
      <c r="D144" s="188">
        <f>IFERROR(C144/VLOOKUP(A144,Usinas!$A:$B,2,FALSE()),"")</f>
        <v>2.3304160688665712</v>
      </c>
    </row>
    <row r="145" spans="1:4" ht="12" customHeight="1" x14ac:dyDescent="0.2">
      <c r="A145" s="185" t="s">
        <v>466</v>
      </c>
      <c r="B145" s="186">
        <v>45868</v>
      </c>
      <c r="C145" s="187">
        <v>1585.2</v>
      </c>
      <c r="D145" s="188">
        <f>IFERROR(C145/VLOOKUP(A145,Usinas!$A:$B,2,FALSE()),"")</f>
        <v>2.2743185078909613</v>
      </c>
    </row>
    <row r="146" spans="1:4" ht="12" customHeight="1" x14ac:dyDescent="0.2">
      <c r="A146" s="185" t="s">
        <v>466</v>
      </c>
      <c r="B146" s="186">
        <v>45869</v>
      </c>
      <c r="C146" s="187">
        <v>1576</v>
      </c>
      <c r="D146" s="188">
        <f>IFERROR(C146/VLOOKUP(A146,Usinas!$A:$B,2,FALSE()),"")</f>
        <v>2.2611190817790532</v>
      </c>
    </row>
    <row r="147" spans="1:4" ht="12" customHeight="1" x14ac:dyDescent="0.2">
      <c r="A147" s="185" t="s">
        <v>466</v>
      </c>
      <c r="B147" s="186">
        <v>45870</v>
      </c>
      <c r="C147" s="187">
        <v>1466.2</v>
      </c>
      <c r="D147" s="188">
        <f>IFERROR(C147/VLOOKUP(A147,Usinas!$A:$B,2,FALSE()),"")</f>
        <v>2.103586800573888</v>
      </c>
    </row>
    <row r="148" spans="1:4" ht="12" customHeight="1" x14ac:dyDescent="0.2">
      <c r="A148" s="185" t="s">
        <v>466</v>
      </c>
      <c r="B148" s="186">
        <v>45871</v>
      </c>
      <c r="C148" s="187">
        <v>1183.0999999999999</v>
      </c>
      <c r="D148" s="188">
        <f>IFERROR(C148/VLOOKUP(A148,Usinas!$A:$B,2,FALSE()),"")</f>
        <v>1.6974175035868004</v>
      </c>
    </row>
    <row r="149" spans="1:4" ht="12" customHeight="1" x14ac:dyDescent="0.2">
      <c r="A149" s="185" t="s">
        <v>466</v>
      </c>
      <c r="B149" s="186">
        <v>45872</v>
      </c>
      <c r="C149" s="187">
        <v>1138</v>
      </c>
      <c r="D149" s="188">
        <f>IFERROR(C149/VLOOKUP(A149,Usinas!$A:$B,2,FALSE()),"")</f>
        <v>1.6327116212338595</v>
      </c>
    </row>
    <row r="150" spans="1:4" ht="12" customHeight="1" x14ac:dyDescent="0.2">
      <c r="A150" s="185" t="s">
        <v>466</v>
      </c>
      <c r="B150" s="186">
        <v>45873</v>
      </c>
      <c r="C150" s="187">
        <v>194.5</v>
      </c>
      <c r="D150" s="188">
        <f>IFERROR(C150/VLOOKUP(A150,Usinas!$A:$B,2,FALSE()),"")</f>
        <v>0.27905308464849354</v>
      </c>
    </row>
    <row r="151" spans="1:4" ht="12" customHeight="1" x14ac:dyDescent="0.2">
      <c r="A151" s="185" t="s">
        <v>466</v>
      </c>
      <c r="B151" s="186">
        <v>45874</v>
      </c>
      <c r="C151" s="187">
        <v>958.7</v>
      </c>
      <c r="D151" s="188">
        <f>IFERROR(C151/VLOOKUP(A151,Usinas!$A:$B,2,FALSE()),"")</f>
        <v>1.3754662840746055</v>
      </c>
    </row>
    <row r="152" spans="1:4" ht="12" customHeight="1" x14ac:dyDescent="0.2">
      <c r="A152" s="185" t="s">
        <v>466</v>
      </c>
      <c r="B152" s="186">
        <v>45875</v>
      </c>
      <c r="C152" s="187">
        <v>1479.9</v>
      </c>
      <c r="D152" s="188">
        <f>IFERROR(C152/VLOOKUP(A152,Usinas!$A:$B,2,FALSE()),"")</f>
        <v>2.1232424677187951</v>
      </c>
    </row>
    <row r="153" spans="1:4" ht="12" customHeight="1" x14ac:dyDescent="0.2">
      <c r="A153" s="185" t="s">
        <v>466</v>
      </c>
      <c r="B153" s="186">
        <v>45876</v>
      </c>
      <c r="C153" s="187">
        <v>1109.0999999999999</v>
      </c>
      <c r="D153" s="188">
        <f>IFERROR(C153/VLOOKUP(A153,Usinas!$A:$B,2,FALSE()),"")</f>
        <v>1.5912482065997129</v>
      </c>
    </row>
    <row r="154" spans="1:4" ht="12" customHeight="1" x14ac:dyDescent="0.2">
      <c r="A154" s="185" t="s">
        <v>466</v>
      </c>
      <c r="B154" s="186">
        <v>45877</v>
      </c>
      <c r="C154" s="187">
        <v>633.20000000000005</v>
      </c>
      <c r="D154" s="188">
        <f>IFERROR(C154/VLOOKUP(A154,Usinas!$A:$B,2,FALSE()),"")</f>
        <v>0.90846484935437599</v>
      </c>
    </row>
    <row r="155" spans="1:4" ht="12" customHeight="1" x14ac:dyDescent="0.2">
      <c r="A155" s="185" t="s">
        <v>466</v>
      </c>
      <c r="B155" s="186">
        <v>45878</v>
      </c>
      <c r="C155" s="187">
        <v>1578.2</v>
      </c>
      <c r="D155" s="188">
        <f>IFERROR(C155/VLOOKUP(A155,Usinas!$A:$B,2,FALSE()),"")</f>
        <v>2.2642754662840745</v>
      </c>
    </row>
    <row r="156" spans="1:4" ht="12" customHeight="1" x14ac:dyDescent="0.2">
      <c r="A156" s="185" t="s">
        <v>466</v>
      </c>
      <c r="B156" s="186">
        <v>45879</v>
      </c>
      <c r="C156" s="187">
        <v>1637.7</v>
      </c>
      <c r="D156" s="188">
        <f>IFERROR(C156/VLOOKUP(A156,Usinas!$A:$B,2,FALSE()),"")</f>
        <v>2.3496413199426112</v>
      </c>
    </row>
    <row r="157" spans="1:4" ht="12" customHeight="1" x14ac:dyDescent="0.2">
      <c r="A157" s="185" t="s">
        <v>466</v>
      </c>
      <c r="B157" s="186">
        <v>45880</v>
      </c>
      <c r="C157" s="187">
        <v>707.3</v>
      </c>
      <c r="D157" s="188">
        <f>IFERROR(C157/VLOOKUP(A157,Usinas!$A:$B,2,FALSE()),"")</f>
        <v>1.0147776183644188</v>
      </c>
    </row>
    <row r="158" spans="1:4" ht="12" customHeight="1" x14ac:dyDescent="0.2">
      <c r="A158" s="185" t="s">
        <v>466</v>
      </c>
      <c r="B158" s="186">
        <v>45884</v>
      </c>
      <c r="C158" s="187">
        <v>337.1</v>
      </c>
      <c r="D158" s="188">
        <f>IFERROR(C158/VLOOKUP(A158,Usinas!$A:$B,2,FALSE()),"")</f>
        <v>0.48364418938307036</v>
      </c>
    </row>
    <row r="159" spans="1:4" ht="12" customHeight="1" x14ac:dyDescent="0.2">
      <c r="A159" s="185" t="s">
        <v>466</v>
      </c>
      <c r="B159" s="186">
        <v>45885</v>
      </c>
      <c r="C159" s="187">
        <v>596.1</v>
      </c>
      <c r="D159" s="188">
        <f>IFERROR(C159/VLOOKUP(A159,Usinas!$A:$B,2,FALSE()),"")</f>
        <v>0.8552367288378766</v>
      </c>
    </row>
    <row r="160" spans="1:4" ht="12" customHeight="1" x14ac:dyDescent="0.2">
      <c r="A160" s="185" t="s">
        <v>466</v>
      </c>
      <c r="B160" s="186">
        <v>45886</v>
      </c>
      <c r="C160" s="187">
        <v>577.6</v>
      </c>
      <c r="D160" s="188">
        <f>IFERROR(C160/VLOOKUP(A160,Usinas!$A:$B,2,FALSE()),"")</f>
        <v>0.82869440459110477</v>
      </c>
    </row>
    <row r="161" spans="1:4" ht="12" customHeight="1" x14ac:dyDescent="0.2">
      <c r="A161" s="185" t="s">
        <v>466</v>
      </c>
      <c r="B161" s="186">
        <v>45889</v>
      </c>
      <c r="C161" s="187">
        <v>454.5</v>
      </c>
      <c r="D161" s="188">
        <f>IFERROR(C161/VLOOKUP(A161,Usinas!$A:$B,2,FALSE()),"")</f>
        <v>0.65208034433285511</v>
      </c>
    </row>
    <row r="162" spans="1:4" ht="12" customHeight="1" x14ac:dyDescent="0.2">
      <c r="A162" s="185" t="s">
        <v>466</v>
      </c>
      <c r="B162" s="186">
        <v>45890</v>
      </c>
      <c r="C162" s="187">
        <v>291.89999999999998</v>
      </c>
      <c r="D162" s="188">
        <f>IFERROR(C162/VLOOKUP(A162,Usinas!$A:$B,2,FALSE()),"")</f>
        <v>0.41879483500717357</v>
      </c>
    </row>
    <row r="163" spans="1:4" ht="12" customHeight="1" x14ac:dyDescent="0.2">
      <c r="A163" s="185" t="s">
        <v>466</v>
      </c>
      <c r="B163" s="186">
        <v>45891</v>
      </c>
      <c r="C163" s="187">
        <v>506.2</v>
      </c>
      <c r="D163" s="188">
        <f>IFERROR(C163/VLOOKUP(A163,Usinas!$A:$B,2,FALSE()),"")</f>
        <v>0.72625538020086078</v>
      </c>
    </row>
    <row r="164" spans="1:4" ht="12" customHeight="1" x14ac:dyDescent="0.2">
      <c r="A164" s="185" t="s">
        <v>466</v>
      </c>
      <c r="B164" s="186">
        <v>45897</v>
      </c>
      <c r="C164" s="187">
        <v>59.1</v>
      </c>
      <c r="D164" s="188">
        <f>IFERROR(C164/VLOOKUP(A164,Usinas!$A:$B,2,FALSE()),"")</f>
        <v>8.4791965566714492E-2</v>
      </c>
    </row>
    <row r="165" spans="1:4" ht="12" customHeight="1" x14ac:dyDescent="0.2">
      <c r="A165" s="185" t="s">
        <v>466</v>
      </c>
      <c r="B165" s="186">
        <v>45898</v>
      </c>
      <c r="C165" s="187">
        <v>435.1</v>
      </c>
      <c r="D165" s="188">
        <f>IFERROR(C165/VLOOKUP(A165,Usinas!$A:$B,2,FALSE()),"")</f>
        <v>0.62424677187948352</v>
      </c>
    </row>
    <row r="166" spans="1:4" ht="12" customHeight="1" x14ac:dyDescent="0.2">
      <c r="A166" s="185" t="s">
        <v>466</v>
      </c>
      <c r="B166" s="186">
        <v>45899</v>
      </c>
      <c r="C166" s="187">
        <v>450.7</v>
      </c>
      <c r="D166" s="188">
        <f>IFERROR(C166/VLOOKUP(A166,Usinas!$A:$B,2,FALSE()),"")</f>
        <v>0.64662840746054517</v>
      </c>
    </row>
    <row r="167" spans="1:4" ht="12" customHeight="1" x14ac:dyDescent="0.2">
      <c r="A167" s="185" t="s">
        <v>466</v>
      </c>
      <c r="B167" s="186">
        <v>45900</v>
      </c>
      <c r="C167" s="187">
        <v>383.7</v>
      </c>
      <c r="D167" s="188">
        <f>IFERROR(C167/VLOOKUP(A167,Usinas!$A:$B,2,FALSE()),"")</f>
        <v>0.55050215208034436</v>
      </c>
    </row>
    <row r="168" spans="1:4" ht="12" customHeight="1" x14ac:dyDescent="0.2">
      <c r="A168" s="185" t="s">
        <v>466</v>
      </c>
      <c r="B168" s="186">
        <v>45901</v>
      </c>
      <c r="C168" s="187">
        <v>235.3</v>
      </c>
      <c r="D168" s="188">
        <f>IFERROR(C168/VLOOKUP(A168,Usinas!$A:$B,2,FALSE()),"")</f>
        <v>0.3375896700143472</v>
      </c>
    </row>
    <row r="169" spans="1:4" ht="12" customHeight="1" x14ac:dyDescent="0.2">
      <c r="A169" s="185" t="s">
        <v>466</v>
      </c>
      <c r="B169" s="186">
        <v>45902</v>
      </c>
      <c r="C169" s="187">
        <v>380.5</v>
      </c>
      <c r="D169" s="188">
        <f>IFERROR(C169/VLOOKUP(A169,Usinas!$A:$B,2,FALSE()),"")</f>
        <v>0.54591104734576756</v>
      </c>
    </row>
    <row r="170" spans="1:4" ht="12" customHeight="1" x14ac:dyDescent="0.2">
      <c r="A170" s="185" t="s">
        <v>466</v>
      </c>
      <c r="B170" s="186">
        <v>45903</v>
      </c>
      <c r="C170" s="187">
        <v>474.2</v>
      </c>
      <c r="D170" s="188">
        <f>IFERROR(C170/VLOOKUP(A170,Usinas!$A:$B,2,FALSE()),"")</f>
        <v>0.68034433285509321</v>
      </c>
    </row>
    <row r="171" spans="1:4" ht="12" customHeight="1" x14ac:dyDescent="0.2">
      <c r="A171" s="185" t="s">
        <v>466</v>
      </c>
      <c r="B171" s="186">
        <v>45904</v>
      </c>
      <c r="C171" s="187">
        <v>975</v>
      </c>
      <c r="D171" s="188">
        <f>IFERROR(C171/VLOOKUP(A171,Usinas!$A:$B,2,FALSE()),"")</f>
        <v>1.3988522238163559</v>
      </c>
    </row>
    <row r="172" spans="1:4" ht="12" customHeight="1" x14ac:dyDescent="0.2">
      <c r="A172" s="185" t="s">
        <v>466</v>
      </c>
      <c r="B172" s="186">
        <v>45905</v>
      </c>
      <c r="C172" s="187">
        <v>1179.5</v>
      </c>
      <c r="D172" s="188">
        <f>IFERROR(C172/VLOOKUP(A172,Usinas!$A:$B,2,FALSE()),"")</f>
        <v>1.6922525107604016</v>
      </c>
    </row>
    <row r="173" spans="1:4" ht="12" customHeight="1" x14ac:dyDescent="0.2">
      <c r="A173" s="185" t="s">
        <v>466</v>
      </c>
      <c r="B173" s="186">
        <v>45906</v>
      </c>
      <c r="C173" s="187">
        <v>958</v>
      </c>
      <c r="D173" s="188">
        <f>IFERROR(C173/VLOOKUP(A173,Usinas!$A:$B,2,FALSE()),"")</f>
        <v>1.3744619799139168</v>
      </c>
    </row>
    <row r="174" spans="1:4" ht="12" customHeight="1" x14ac:dyDescent="0.2">
      <c r="A174" s="185" t="s">
        <v>466</v>
      </c>
      <c r="B174" s="186">
        <v>45907</v>
      </c>
      <c r="C174" s="187">
        <v>981.6</v>
      </c>
      <c r="D174" s="188">
        <f>IFERROR(C174/VLOOKUP(A174,Usinas!$A:$B,2,FALSE()),"")</f>
        <v>1.4083213773314205</v>
      </c>
    </row>
    <row r="175" spans="1:4" ht="12" customHeight="1" x14ac:dyDescent="0.2">
      <c r="A175" s="185" t="s">
        <v>466</v>
      </c>
      <c r="B175" s="186">
        <v>45908</v>
      </c>
      <c r="C175" s="187">
        <v>1081</v>
      </c>
      <c r="D175" s="188">
        <f>IFERROR(C175/VLOOKUP(A175,Usinas!$A:$B,2,FALSE()),"")</f>
        <v>1.550932568149211</v>
      </c>
    </row>
    <row r="176" spans="1:4" ht="12" customHeight="1" x14ac:dyDescent="0.2">
      <c r="A176" s="185" t="s">
        <v>466</v>
      </c>
      <c r="B176" s="186">
        <v>45909</v>
      </c>
      <c r="C176" s="187">
        <v>1441.6</v>
      </c>
      <c r="D176" s="188">
        <f>IFERROR(C176/VLOOKUP(A176,Usinas!$A:$B,2,FALSE()),"")</f>
        <v>2.0682926829268293</v>
      </c>
    </row>
    <row r="177" spans="1:4" ht="12" customHeight="1" x14ac:dyDescent="0.2">
      <c r="A177" s="185" t="s">
        <v>466</v>
      </c>
      <c r="B177" s="186">
        <v>45910</v>
      </c>
      <c r="C177" s="187">
        <v>1477.5</v>
      </c>
      <c r="D177" s="188">
        <f>IFERROR(C177/VLOOKUP(A177,Usinas!$A:$B,2,FALSE()),"")</f>
        <v>2.1197991391678621</v>
      </c>
    </row>
    <row r="178" spans="1:4" ht="12" customHeight="1" x14ac:dyDescent="0.2">
      <c r="A178" s="185" t="s">
        <v>466</v>
      </c>
      <c r="B178" s="186">
        <v>45911</v>
      </c>
      <c r="C178" s="187">
        <v>1275.4000000000001</v>
      </c>
      <c r="D178" s="188">
        <f>IFERROR(C178/VLOOKUP(A178,Usinas!$A:$B,2,FALSE()),"")</f>
        <v>1.8298421807747491</v>
      </c>
    </row>
    <row r="179" spans="1:4" ht="12" customHeight="1" x14ac:dyDescent="0.2">
      <c r="A179" s="185" t="s">
        <v>466</v>
      </c>
      <c r="B179" s="186">
        <v>45912</v>
      </c>
      <c r="C179" s="187">
        <v>583.9</v>
      </c>
      <c r="D179" s="188">
        <f>IFERROR(C179/VLOOKUP(A179,Usinas!$A:$B,2,FALSE()),"")</f>
        <v>0.83773314203730265</v>
      </c>
    </row>
    <row r="180" spans="1:4" ht="12" customHeight="1" x14ac:dyDescent="0.2">
      <c r="A180" s="185" t="s">
        <v>466</v>
      </c>
      <c r="B180" s="186">
        <v>45913</v>
      </c>
      <c r="C180" s="187">
        <v>632.9</v>
      </c>
      <c r="D180" s="188">
        <f>IFERROR(C180/VLOOKUP(A180,Usinas!$A:$B,2,FALSE()),"")</f>
        <v>0.90803443328550926</v>
      </c>
    </row>
    <row r="181" spans="1:4" ht="12" customHeight="1" x14ac:dyDescent="0.2">
      <c r="A181" s="185" t="s">
        <v>466</v>
      </c>
      <c r="B181" s="186">
        <v>45914</v>
      </c>
      <c r="C181" s="187">
        <v>549.20000000000005</v>
      </c>
      <c r="D181" s="188">
        <f>IFERROR(C181/VLOOKUP(A181,Usinas!$A:$B,2,FALSE()),"")</f>
        <v>0.78794835007173603</v>
      </c>
    </row>
    <row r="182" spans="1:4" ht="12" customHeight="1" x14ac:dyDescent="0.2">
      <c r="A182" s="185" t="s">
        <v>466</v>
      </c>
      <c r="B182" s="186">
        <v>45915</v>
      </c>
      <c r="C182" s="187">
        <v>826.6</v>
      </c>
      <c r="D182" s="188">
        <f>IFERROR(C182/VLOOKUP(A182,Usinas!$A:$B,2,FALSE()),"")</f>
        <v>1.1859397417503588</v>
      </c>
    </row>
    <row r="183" spans="1:4" ht="12" customHeight="1" x14ac:dyDescent="0.2">
      <c r="A183" s="185" t="s">
        <v>466</v>
      </c>
      <c r="B183" s="186">
        <v>45916</v>
      </c>
      <c r="C183" s="187">
        <v>931.6</v>
      </c>
      <c r="D183" s="188">
        <f>IFERROR(C183/VLOOKUP(A183,Usinas!$A:$B,2,FALSE()),"")</f>
        <v>1.3365853658536586</v>
      </c>
    </row>
    <row r="184" spans="1:4" ht="12" customHeight="1" x14ac:dyDescent="0.2">
      <c r="A184" s="185" t="s">
        <v>466</v>
      </c>
      <c r="B184" s="186">
        <v>45917</v>
      </c>
      <c r="C184" s="187">
        <v>1336.4</v>
      </c>
      <c r="D184" s="188">
        <f>IFERROR(C184/VLOOKUP(A184,Usinas!$A:$B,2,FALSE()),"")</f>
        <v>1.9173601147776185</v>
      </c>
    </row>
    <row r="185" spans="1:4" ht="12" customHeight="1" x14ac:dyDescent="0.2">
      <c r="A185" s="185" t="s">
        <v>466</v>
      </c>
      <c r="B185" s="186">
        <v>45918</v>
      </c>
      <c r="C185" s="187">
        <v>757</v>
      </c>
      <c r="D185" s="188">
        <f>IFERROR(C185/VLOOKUP(A185,Usinas!$A:$B,2,FALSE()),"")</f>
        <v>1.0860832137733143</v>
      </c>
    </row>
    <row r="186" spans="1:4" ht="12" customHeight="1" x14ac:dyDescent="0.2">
      <c r="A186" s="185" t="s">
        <v>466</v>
      </c>
      <c r="B186" s="186">
        <v>45918</v>
      </c>
      <c r="C186" s="187">
        <v>1451.3</v>
      </c>
      <c r="D186" s="188">
        <f>IFERROR(C186/VLOOKUP(A186,Usinas!$A:$B,2,FALSE()),"")</f>
        <v>2.0822094691535149</v>
      </c>
    </row>
    <row r="187" spans="1:4" ht="12" customHeight="1" x14ac:dyDescent="0.2">
      <c r="A187" s="185" t="s">
        <v>466</v>
      </c>
      <c r="B187" s="186">
        <v>45919</v>
      </c>
      <c r="C187" s="187">
        <v>648</v>
      </c>
      <c r="D187" s="188">
        <f>IFERROR(C187/VLOOKUP(A187,Usinas!$A:$B,2,FALSE()),"")</f>
        <v>0.92969870875179339</v>
      </c>
    </row>
    <row r="188" spans="1:4" ht="12" customHeight="1" x14ac:dyDescent="0.2">
      <c r="A188" s="185" t="s">
        <v>466</v>
      </c>
      <c r="B188" s="186">
        <v>45919</v>
      </c>
      <c r="C188" s="187">
        <v>1349.7</v>
      </c>
      <c r="D188" s="188">
        <f>IFERROR(C188/VLOOKUP(A188,Usinas!$A:$B,2,FALSE()),"")</f>
        <v>1.9364418938307031</v>
      </c>
    </row>
    <row r="189" spans="1:4" ht="12" customHeight="1" x14ac:dyDescent="0.2">
      <c r="A189" s="185" t="s">
        <v>466</v>
      </c>
      <c r="B189" s="186">
        <v>45920</v>
      </c>
      <c r="C189" s="187">
        <v>329</v>
      </c>
      <c r="D189" s="188">
        <f>IFERROR(C189/VLOOKUP(A189,Usinas!$A:$B,2,FALSE()),"")</f>
        <v>0.4720229555236729</v>
      </c>
    </row>
    <row r="190" spans="1:4" ht="12" customHeight="1" x14ac:dyDescent="0.2">
      <c r="A190" s="185" t="s">
        <v>466</v>
      </c>
      <c r="B190" s="186">
        <v>45920</v>
      </c>
      <c r="C190" s="187">
        <v>1143.3</v>
      </c>
      <c r="D190" s="188">
        <f>IFERROR(C190/VLOOKUP(A190,Usinas!$A:$B,2,FALSE()),"")</f>
        <v>1.640315638450502</v>
      </c>
    </row>
    <row r="191" spans="1:4" ht="12" customHeight="1" x14ac:dyDescent="0.2">
      <c r="A191" s="185" t="s">
        <v>466</v>
      </c>
      <c r="B191" s="186">
        <v>45921</v>
      </c>
      <c r="C191" s="187">
        <v>506</v>
      </c>
      <c r="D191" s="188">
        <f>IFERROR(C191/VLOOKUP(A191,Usinas!$A:$B,2,FALSE()),"")</f>
        <v>0.72596843615494977</v>
      </c>
    </row>
    <row r="192" spans="1:4" ht="12" customHeight="1" x14ac:dyDescent="0.2">
      <c r="A192" s="185" t="s">
        <v>466</v>
      </c>
      <c r="B192" s="186">
        <v>45921</v>
      </c>
      <c r="C192" s="187">
        <v>814.4</v>
      </c>
      <c r="D192" s="188">
        <f>IFERROR(C192/VLOOKUP(A192,Usinas!$A:$B,2,FALSE()),"")</f>
        <v>1.1684361549497848</v>
      </c>
    </row>
    <row r="193" spans="1:4" ht="12" customHeight="1" x14ac:dyDescent="0.2">
      <c r="A193" s="185" t="s">
        <v>466</v>
      </c>
      <c r="B193" s="186">
        <v>45922</v>
      </c>
      <c r="C193" s="187">
        <v>138</v>
      </c>
      <c r="D193" s="188">
        <f>IFERROR(C193/VLOOKUP(A193,Usinas!$A:$B,2,FALSE()),"")</f>
        <v>0.19799139167862267</v>
      </c>
    </row>
    <row r="194" spans="1:4" ht="12" customHeight="1" x14ac:dyDescent="0.2">
      <c r="A194" s="185" t="s">
        <v>466</v>
      </c>
      <c r="B194" s="186">
        <v>45922</v>
      </c>
      <c r="C194" s="187">
        <v>116.7</v>
      </c>
      <c r="D194" s="188">
        <f>IFERROR(C194/VLOOKUP(A194,Usinas!$A:$B,2,FALSE()),"")</f>
        <v>0.16743185078909614</v>
      </c>
    </row>
    <row r="195" spans="1:4" ht="12" customHeight="1" x14ac:dyDescent="0.2">
      <c r="A195" s="185" t="s">
        <v>466</v>
      </c>
      <c r="B195" s="186">
        <v>45923</v>
      </c>
      <c r="C195" s="187">
        <v>1217</v>
      </c>
      <c r="D195" s="188">
        <f>IFERROR(C195/VLOOKUP(A195,Usinas!$A:$B,2,FALSE()),"")</f>
        <v>1.7460545193687231</v>
      </c>
    </row>
    <row r="196" spans="1:4" ht="12" customHeight="1" x14ac:dyDescent="0.2">
      <c r="A196" s="185" t="s">
        <v>466</v>
      </c>
      <c r="B196" s="186">
        <v>45923</v>
      </c>
      <c r="C196" s="187">
        <v>1710.9</v>
      </c>
      <c r="D196" s="188">
        <f>IFERROR(C196/VLOOKUP(A196,Usinas!$A:$B,2,FALSE()),"")</f>
        <v>2.4546628407460545</v>
      </c>
    </row>
    <row r="197" spans="1:4" ht="12" customHeight="1" x14ac:dyDescent="0.2">
      <c r="A197" s="185" t="s">
        <v>466</v>
      </c>
      <c r="B197" s="186">
        <v>45924</v>
      </c>
      <c r="C197" s="187">
        <v>38</v>
      </c>
      <c r="D197" s="188">
        <f>IFERROR(C197/VLOOKUP(A197,Usinas!$A:$B,2,FALSE()),"")</f>
        <v>5.4519368723098996E-2</v>
      </c>
    </row>
    <row r="198" spans="1:4" ht="12" customHeight="1" x14ac:dyDescent="0.2">
      <c r="A198" s="185" t="s">
        <v>466</v>
      </c>
      <c r="B198" s="186">
        <v>45924</v>
      </c>
      <c r="C198" s="187">
        <v>1635.2</v>
      </c>
      <c r="D198" s="188">
        <f>IFERROR(C198/VLOOKUP(A198,Usinas!$A:$B,2,FALSE()),"")</f>
        <v>2.3460545193687232</v>
      </c>
    </row>
    <row r="199" spans="1:4" ht="12" customHeight="1" x14ac:dyDescent="0.2">
      <c r="A199" s="185" t="s">
        <v>466</v>
      </c>
      <c r="B199" s="186">
        <v>45925</v>
      </c>
      <c r="C199" s="187">
        <v>95</v>
      </c>
      <c r="D199" s="188">
        <f>IFERROR(C199/VLOOKUP(A199,Usinas!$A:$B,2,FALSE()),"")</f>
        <v>0.13629842180774748</v>
      </c>
    </row>
    <row r="200" spans="1:4" ht="12" customHeight="1" x14ac:dyDescent="0.2">
      <c r="A200" s="185" t="s">
        <v>466</v>
      </c>
      <c r="B200" s="186">
        <v>45925</v>
      </c>
      <c r="C200" s="187">
        <v>1612</v>
      </c>
      <c r="D200" s="188">
        <f>IFERROR(C200/VLOOKUP(A200,Usinas!$A:$B,2,FALSE()),"")</f>
        <v>2.3127690100430418</v>
      </c>
    </row>
    <row r="201" spans="1:4" ht="12" customHeight="1" x14ac:dyDescent="0.2">
      <c r="A201" s="185" t="s">
        <v>466</v>
      </c>
      <c r="B201" s="186">
        <v>45926</v>
      </c>
      <c r="C201" s="187">
        <v>975</v>
      </c>
      <c r="D201" s="188">
        <f>IFERROR(C201/VLOOKUP(A201,Usinas!$A:$B,2,FALSE()),"")</f>
        <v>1.3988522238163559</v>
      </c>
    </row>
    <row r="202" spans="1:4" ht="12" customHeight="1" x14ac:dyDescent="0.2">
      <c r="A202" s="185" t="s">
        <v>466</v>
      </c>
      <c r="B202" s="186">
        <v>45926</v>
      </c>
      <c r="C202" s="187">
        <v>1577.1</v>
      </c>
      <c r="D202" s="188">
        <f>IFERROR(C202/VLOOKUP(A202,Usinas!$A:$B,2,FALSE()),"")</f>
        <v>2.2626972740315638</v>
      </c>
    </row>
    <row r="203" spans="1:4" ht="12" customHeight="1" x14ac:dyDescent="0.2">
      <c r="A203" s="185" t="s">
        <v>466</v>
      </c>
      <c r="B203" s="186">
        <v>45927</v>
      </c>
      <c r="C203" s="187">
        <v>1041</v>
      </c>
      <c r="D203" s="188">
        <f>IFERROR(C203/VLOOKUP(A203,Usinas!$A:$B,2,FALSE()),"")</f>
        <v>1.4935437589670015</v>
      </c>
    </row>
    <row r="204" spans="1:4" ht="12" customHeight="1" x14ac:dyDescent="0.2">
      <c r="A204" s="185" t="s">
        <v>466</v>
      </c>
      <c r="B204" s="186">
        <v>45927</v>
      </c>
      <c r="C204" s="187">
        <v>1536</v>
      </c>
      <c r="D204" s="188">
        <f>IFERROR(C204/VLOOKUP(A204,Usinas!$A:$B,2,FALSE()),"")</f>
        <v>2.2037302725968435</v>
      </c>
    </row>
    <row r="205" spans="1:4" ht="12" customHeight="1" x14ac:dyDescent="0.2">
      <c r="A205" s="185" t="s">
        <v>466</v>
      </c>
      <c r="B205" s="186">
        <v>45928</v>
      </c>
      <c r="C205" s="187">
        <v>474</v>
      </c>
      <c r="D205" s="188">
        <f>IFERROR(C205/VLOOKUP(A205,Usinas!$A:$B,2,FALSE()),"")</f>
        <v>0.68005738880918221</v>
      </c>
    </row>
    <row r="206" spans="1:4" ht="12" customHeight="1" x14ac:dyDescent="0.2">
      <c r="A206" s="185" t="s">
        <v>466</v>
      </c>
      <c r="B206" s="186">
        <v>45928</v>
      </c>
      <c r="C206" s="187">
        <v>797</v>
      </c>
      <c r="D206" s="188">
        <f>IFERROR(C206/VLOOKUP(A206,Usinas!$A:$B,2,FALSE()),"")</f>
        <v>1.1434720229555237</v>
      </c>
    </row>
    <row r="207" spans="1:4" ht="12" customHeight="1" x14ac:dyDescent="0.2">
      <c r="A207" s="185" t="s">
        <v>466</v>
      </c>
      <c r="B207" s="186">
        <v>45929</v>
      </c>
      <c r="C207" s="187">
        <v>519</v>
      </c>
      <c r="D207" s="188">
        <f>IFERROR(C207/VLOOKUP(A207,Usinas!$A:$B,2,FALSE()),"")</f>
        <v>0.74461979913916787</v>
      </c>
    </row>
    <row r="208" spans="1:4" ht="12" customHeight="1" x14ac:dyDescent="0.2">
      <c r="A208" s="185" t="s">
        <v>466</v>
      </c>
      <c r="B208" s="186">
        <v>45929</v>
      </c>
      <c r="C208" s="187">
        <v>897.3</v>
      </c>
      <c r="D208" s="188">
        <f>IFERROR(C208/VLOOKUP(A208,Usinas!$A:$B,2,FALSE()),"")</f>
        <v>1.2873744619799139</v>
      </c>
    </row>
    <row r="209" spans="1:4" ht="12" customHeight="1" x14ac:dyDescent="0.2">
      <c r="A209" s="185" t="s">
        <v>466</v>
      </c>
      <c r="B209" s="186">
        <v>45930</v>
      </c>
      <c r="C209" s="187">
        <v>263</v>
      </c>
      <c r="D209" s="188">
        <f>IFERROR(C209/VLOOKUP(A209,Usinas!$A:$B,2,FALSE()),"")</f>
        <v>0.37733142037302725</v>
      </c>
    </row>
    <row r="210" spans="1:4" ht="12" customHeight="1" x14ac:dyDescent="0.2">
      <c r="A210" s="185" t="s">
        <v>466</v>
      </c>
      <c r="B210" s="186">
        <v>45930</v>
      </c>
      <c r="C210" s="187">
        <v>777.7</v>
      </c>
      <c r="D210" s="188">
        <f>IFERROR(C210/VLOOKUP(A210,Usinas!$A:$B,2,FALSE()),"")</f>
        <v>1.1157819225251078</v>
      </c>
    </row>
    <row r="211" spans="1:4" ht="12" customHeight="1" x14ac:dyDescent="0.2">
      <c r="A211" s="185" t="s">
        <v>466</v>
      </c>
      <c r="B211" s="186">
        <v>45931</v>
      </c>
      <c r="C211" s="187">
        <v>150</v>
      </c>
      <c r="D211" s="188">
        <f>IFERROR(C211/VLOOKUP(A211,Usinas!$A:$B,2,FALSE()),"")</f>
        <v>0.21520803443328551</v>
      </c>
    </row>
    <row r="212" spans="1:4" ht="12" customHeight="1" x14ac:dyDescent="0.2">
      <c r="A212" s="185" t="s">
        <v>466</v>
      </c>
      <c r="B212" s="186">
        <v>45931</v>
      </c>
      <c r="C212" s="187">
        <v>290.3</v>
      </c>
      <c r="D212" s="188">
        <f>IFERROR(C212/VLOOKUP(A212,Usinas!$A:$B,2,FALSE()),"")</f>
        <v>0.41649928263988523</v>
      </c>
    </row>
    <row r="213" spans="1:4" ht="12" customHeight="1" x14ac:dyDescent="0.2">
      <c r="A213" s="185" t="s">
        <v>466</v>
      </c>
      <c r="B213" s="186">
        <v>45932</v>
      </c>
      <c r="C213" s="187">
        <v>467</v>
      </c>
      <c r="D213" s="188">
        <f>IFERROR(C213/VLOOKUP(A213,Usinas!$A:$B,2,FALSE()),"")</f>
        <v>0.67001434720229558</v>
      </c>
    </row>
    <row r="214" spans="1:4" ht="12" customHeight="1" x14ac:dyDescent="0.2">
      <c r="A214" s="185" t="s">
        <v>466</v>
      </c>
      <c r="B214" s="186">
        <v>45932</v>
      </c>
      <c r="C214" s="187">
        <v>725.2</v>
      </c>
      <c r="D214" s="188">
        <f>IFERROR(C214/VLOOKUP(A214,Usinas!$A:$B,2,FALSE()),"")</f>
        <v>1.0404591104734577</v>
      </c>
    </row>
    <row r="215" spans="1:4" ht="12" customHeight="1" x14ac:dyDescent="0.2">
      <c r="A215" s="185" t="s">
        <v>466</v>
      </c>
      <c r="B215" s="186">
        <v>45933</v>
      </c>
      <c r="C215" s="187">
        <v>380</v>
      </c>
      <c r="D215" s="188">
        <f>IFERROR(C215/VLOOKUP(A215,Usinas!$A:$B,2,FALSE()),"")</f>
        <v>0.54519368723098993</v>
      </c>
    </row>
    <row r="216" spans="1:4" ht="12" customHeight="1" x14ac:dyDescent="0.2">
      <c r="A216" s="185" t="s">
        <v>466</v>
      </c>
      <c r="B216" s="186">
        <v>45933</v>
      </c>
      <c r="C216" s="187">
        <v>440.9</v>
      </c>
      <c r="D216" s="188">
        <f>IFERROR(C216/VLOOKUP(A216,Usinas!$A:$B,2,FALSE()),"")</f>
        <v>0.63256814921090387</v>
      </c>
    </row>
    <row r="217" spans="1:4" ht="12" customHeight="1" x14ac:dyDescent="0.2">
      <c r="A217" s="185" t="s">
        <v>466</v>
      </c>
      <c r="B217" s="186">
        <v>45934</v>
      </c>
      <c r="C217" s="187">
        <v>901</v>
      </c>
      <c r="D217" s="188">
        <f>IFERROR(C217/VLOOKUP(A217,Usinas!$A:$B,2,FALSE()),"")</f>
        <v>1.2926829268292683</v>
      </c>
    </row>
    <row r="218" spans="1:4" ht="12" customHeight="1" x14ac:dyDescent="0.2">
      <c r="A218" s="185" t="s">
        <v>466</v>
      </c>
      <c r="B218" s="186">
        <v>45934</v>
      </c>
      <c r="C218" s="187">
        <v>970.8</v>
      </c>
      <c r="D218" s="188">
        <f>IFERROR(C218/VLOOKUP(A218,Usinas!$A:$B,2,FALSE()),"")</f>
        <v>1.3928263988522238</v>
      </c>
    </row>
    <row r="219" spans="1:4" ht="12" customHeight="1" x14ac:dyDescent="0.2">
      <c r="A219" s="185" t="s">
        <v>466</v>
      </c>
      <c r="B219" s="186">
        <v>45935</v>
      </c>
      <c r="C219" s="187">
        <v>755</v>
      </c>
      <c r="D219" s="188">
        <f>IFERROR(C219/VLOOKUP(A219,Usinas!$A:$B,2,FALSE()),"")</f>
        <v>1.0832137733142038</v>
      </c>
    </row>
    <row r="220" spans="1:4" ht="12" customHeight="1" x14ac:dyDescent="0.2">
      <c r="A220" s="185" t="s">
        <v>466</v>
      </c>
      <c r="B220" s="186">
        <v>45935</v>
      </c>
      <c r="C220" s="187">
        <v>608.5</v>
      </c>
      <c r="D220" s="188">
        <f>IFERROR(C220/VLOOKUP(A220,Usinas!$A:$B,2,FALSE()),"")</f>
        <v>0.87302725968436157</v>
      </c>
    </row>
    <row r="221" spans="1:4" ht="12" customHeight="1" x14ac:dyDescent="0.2">
      <c r="A221" s="185" t="s">
        <v>466</v>
      </c>
      <c r="B221" s="186">
        <v>45936</v>
      </c>
      <c r="C221" s="187">
        <v>45</v>
      </c>
      <c r="D221" s="188">
        <f>IFERROR(C221/VLOOKUP(A221,Usinas!$A:$B,2,FALSE()),"")</f>
        <v>6.4562410329985651E-2</v>
      </c>
    </row>
    <row r="222" spans="1:4" ht="12" customHeight="1" x14ac:dyDescent="0.2">
      <c r="A222" s="185" t="s">
        <v>466</v>
      </c>
      <c r="B222" s="186">
        <v>45936</v>
      </c>
      <c r="C222" s="187">
        <v>269.3</v>
      </c>
      <c r="D222" s="188">
        <f>IFERROR(C222/VLOOKUP(A222,Usinas!$A:$B,2,FALSE()),"")</f>
        <v>0.38637015781922529</v>
      </c>
    </row>
    <row r="223" spans="1:4" ht="12" customHeight="1" x14ac:dyDescent="0.2">
      <c r="A223" s="185" t="s">
        <v>466</v>
      </c>
      <c r="B223" s="186">
        <v>45937</v>
      </c>
      <c r="C223" s="187">
        <v>704</v>
      </c>
      <c r="D223" s="188">
        <f>IFERROR(C223/VLOOKUP(A223,Usinas!$A:$B,2,FALSE()),"")</f>
        <v>1.0100430416068866</v>
      </c>
    </row>
    <row r="224" spans="1:4" ht="12" customHeight="1" x14ac:dyDescent="0.2">
      <c r="A224" s="185" t="s">
        <v>466</v>
      </c>
      <c r="B224" s="186">
        <v>45937</v>
      </c>
      <c r="C224" s="187">
        <v>809.6</v>
      </c>
      <c r="D224" s="188">
        <f>IFERROR(C224/VLOOKUP(A224,Usinas!$A:$B,2,FALSE()),"")</f>
        <v>1.1615494978479197</v>
      </c>
    </row>
    <row r="225" spans="1:4" ht="12" customHeight="1" x14ac:dyDescent="0.2">
      <c r="A225" s="185" t="s">
        <v>466</v>
      </c>
      <c r="B225" s="186">
        <v>45938</v>
      </c>
      <c r="C225" s="187">
        <v>1045</v>
      </c>
      <c r="D225" s="188">
        <f>IFERROR(C225/VLOOKUP(A225,Usinas!$A:$B,2,FALSE()),"")</f>
        <v>1.4992826398852224</v>
      </c>
    </row>
    <row r="226" spans="1:4" ht="12" customHeight="1" x14ac:dyDescent="0.2">
      <c r="A226" s="185" t="s">
        <v>466</v>
      </c>
      <c r="B226" s="186">
        <v>45938</v>
      </c>
      <c r="C226" s="187">
        <v>1294.3</v>
      </c>
      <c r="D226" s="188">
        <f>IFERROR(C226/VLOOKUP(A226,Usinas!$A:$B,2,FALSE()),"")</f>
        <v>1.8569583931133429</v>
      </c>
    </row>
    <row r="227" spans="1:4" ht="12" customHeight="1" x14ac:dyDescent="0.2">
      <c r="A227" s="185" t="s">
        <v>466</v>
      </c>
      <c r="B227" s="186">
        <v>45939</v>
      </c>
      <c r="C227" s="187">
        <v>717</v>
      </c>
      <c r="D227" s="188">
        <f>IFERROR(C227/VLOOKUP(A227,Usinas!$A:$B,2,FALSE()),"")</f>
        <v>1.0286944045911048</v>
      </c>
    </row>
    <row r="228" spans="1:4" ht="12" customHeight="1" x14ac:dyDescent="0.2">
      <c r="A228" s="185" t="s">
        <v>466</v>
      </c>
      <c r="B228" s="186">
        <v>45939</v>
      </c>
      <c r="C228" s="187">
        <v>1311.2</v>
      </c>
      <c r="D228" s="188">
        <f>IFERROR(C228/VLOOKUP(A228,Usinas!$A:$B,2,FALSE()),"")</f>
        <v>1.8812051649928265</v>
      </c>
    </row>
    <row r="229" spans="1:4" ht="12" customHeight="1" x14ac:dyDescent="0.2">
      <c r="A229" s="185" t="s">
        <v>466</v>
      </c>
      <c r="B229" s="186">
        <v>45940</v>
      </c>
      <c r="C229" s="187">
        <v>834</v>
      </c>
      <c r="D229" s="188">
        <f>IFERROR(C229/VLOOKUP(A229,Usinas!$A:$B,2,FALSE()),"")</f>
        <v>1.1965566714490674</v>
      </c>
    </row>
    <row r="230" spans="1:4" ht="12" customHeight="1" x14ac:dyDescent="0.2">
      <c r="A230" s="185" t="s">
        <v>466</v>
      </c>
      <c r="B230" s="186">
        <v>45940</v>
      </c>
      <c r="C230" s="187">
        <v>1468.7</v>
      </c>
      <c r="D230" s="188">
        <f>IFERROR(C230/VLOOKUP(A230,Usinas!$A:$B,2,FALSE()),"")</f>
        <v>2.1071736011477764</v>
      </c>
    </row>
    <row r="231" spans="1:4" ht="12" customHeight="1" x14ac:dyDescent="0.2">
      <c r="A231" s="185" t="s">
        <v>466</v>
      </c>
      <c r="B231" s="186">
        <v>45941</v>
      </c>
      <c r="C231" s="187">
        <v>497</v>
      </c>
      <c r="D231" s="188">
        <f>IFERROR(C231/VLOOKUP(A231,Usinas!$A:$B,2,FALSE()),"")</f>
        <v>0.71305595408895261</v>
      </c>
    </row>
    <row r="232" spans="1:4" ht="12" customHeight="1" x14ac:dyDescent="0.2">
      <c r="A232" s="185" t="s">
        <v>466</v>
      </c>
      <c r="B232" s="186">
        <v>45941</v>
      </c>
      <c r="C232" s="187">
        <v>1006.1</v>
      </c>
      <c r="D232" s="188">
        <f>IFERROR(C232/VLOOKUP(A232,Usinas!$A:$B,2,FALSE()),"")</f>
        <v>1.4434720229555238</v>
      </c>
    </row>
    <row r="233" spans="1:4" ht="12" customHeight="1" x14ac:dyDescent="0.2">
      <c r="A233" s="185" t="s">
        <v>466</v>
      </c>
      <c r="B233" s="186">
        <v>45942</v>
      </c>
      <c r="C233" s="187">
        <v>580</v>
      </c>
      <c r="D233" s="188">
        <f>IFERROR(C233/VLOOKUP(A233,Usinas!$A:$B,2,FALSE()),"")</f>
        <v>0.83213773314203732</v>
      </c>
    </row>
    <row r="234" spans="1:4" ht="12" customHeight="1" x14ac:dyDescent="0.2">
      <c r="A234" s="185" t="s">
        <v>466</v>
      </c>
      <c r="B234" s="186">
        <v>45942</v>
      </c>
      <c r="C234" s="187">
        <v>303.8</v>
      </c>
      <c r="D234" s="188">
        <f>IFERROR(C234/VLOOKUP(A234,Usinas!$A:$B,2,FALSE()),"")</f>
        <v>0.43586800573888096</v>
      </c>
    </row>
    <row r="235" spans="1:4" ht="12" customHeight="1" x14ac:dyDescent="0.2">
      <c r="A235" s="185" t="s">
        <v>466</v>
      </c>
      <c r="B235" s="186">
        <v>45943</v>
      </c>
      <c r="C235" s="187">
        <v>219</v>
      </c>
      <c r="D235" s="188">
        <f>IFERROR(C235/VLOOKUP(A235,Usinas!$A:$B,2,FALSE()),"")</f>
        <v>0.31420373027259685</v>
      </c>
    </row>
    <row r="236" spans="1:4" ht="12" customHeight="1" x14ac:dyDescent="0.2">
      <c r="A236" s="185" t="s">
        <v>466</v>
      </c>
      <c r="B236" s="186">
        <v>45943</v>
      </c>
      <c r="C236" s="187">
        <v>209.4</v>
      </c>
      <c r="D236" s="188">
        <f>IFERROR(C236/VLOOKUP(A236,Usinas!$A:$B,2,FALSE()),"")</f>
        <v>0.30043041606886656</v>
      </c>
    </row>
    <row r="237" spans="1:4" ht="12" customHeight="1" x14ac:dyDescent="0.2">
      <c r="A237" s="185" t="s">
        <v>466</v>
      </c>
      <c r="B237" s="186">
        <v>45944</v>
      </c>
      <c r="C237" s="187">
        <v>1065</v>
      </c>
      <c r="D237" s="188">
        <f>IFERROR(C237/VLOOKUP(A237,Usinas!$A:$B,2,FALSE()),"")</f>
        <v>1.5279770444763272</v>
      </c>
    </row>
    <row r="238" spans="1:4" ht="12" customHeight="1" x14ac:dyDescent="0.2">
      <c r="A238" s="185" t="s">
        <v>466</v>
      </c>
      <c r="B238" s="186">
        <v>45944</v>
      </c>
      <c r="C238" s="187">
        <v>1573.1</v>
      </c>
      <c r="D238" s="188">
        <f>IFERROR(C238/VLOOKUP(A238,Usinas!$A:$B,2,FALSE()),"")</f>
        <v>2.2569583931133428</v>
      </c>
    </row>
    <row r="239" spans="1:4" ht="12" customHeight="1" x14ac:dyDescent="0.2">
      <c r="A239" s="185" t="s">
        <v>466</v>
      </c>
      <c r="B239" s="186">
        <v>45945</v>
      </c>
      <c r="C239" s="187">
        <v>713</v>
      </c>
      <c r="D239" s="188">
        <f>IFERROR(C239/VLOOKUP(A239,Usinas!$A:$B,2,FALSE()),"")</f>
        <v>1.0229555236728838</v>
      </c>
    </row>
    <row r="240" spans="1:4" ht="12" customHeight="1" x14ac:dyDescent="0.2">
      <c r="A240" s="185" t="s">
        <v>466</v>
      </c>
      <c r="B240" s="186">
        <v>45945</v>
      </c>
      <c r="C240" s="187">
        <v>682.3</v>
      </c>
      <c r="D240" s="188">
        <f>IFERROR(C240/VLOOKUP(A240,Usinas!$A:$B,2,FALSE()),"")</f>
        <v>0.97890961262553799</v>
      </c>
    </row>
    <row r="241" spans="1:4" ht="12" customHeight="1" x14ac:dyDescent="0.2">
      <c r="A241" s="185" t="s">
        <v>466</v>
      </c>
      <c r="B241" s="186">
        <v>45946</v>
      </c>
      <c r="C241" s="187">
        <v>549</v>
      </c>
      <c r="D241" s="188">
        <f>IFERROR(C241/VLOOKUP(A241,Usinas!$A:$B,2,FALSE()),"")</f>
        <v>0.78766140602582502</v>
      </c>
    </row>
    <row r="242" spans="1:4" ht="12" customHeight="1" x14ac:dyDescent="0.2">
      <c r="A242" s="185" t="s">
        <v>466</v>
      </c>
      <c r="B242" s="186">
        <v>45946</v>
      </c>
      <c r="C242" s="187">
        <v>693.6</v>
      </c>
      <c r="D242" s="188">
        <f>IFERROR(C242/VLOOKUP(A242,Usinas!$A:$B,2,FALSE()),"")</f>
        <v>0.99512195121951219</v>
      </c>
    </row>
    <row r="243" spans="1:4" ht="12" customHeight="1" x14ac:dyDescent="0.2">
      <c r="A243" s="185" t="s">
        <v>466</v>
      </c>
      <c r="B243" s="186">
        <v>45947</v>
      </c>
      <c r="C243" s="187">
        <v>668</v>
      </c>
      <c r="D243" s="188">
        <f>IFERROR(C243/VLOOKUP(A243,Usinas!$A:$B,2,FALSE()),"")</f>
        <v>0.95839311334289812</v>
      </c>
    </row>
    <row r="244" spans="1:4" ht="12" customHeight="1" x14ac:dyDescent="0.2">
      <c r="A244" s="185" t="s">
        <v>466</v>
      </c>
      <c r="B244" s="186">
        <v>45947</v>
      </c>
      <c r="C244" s="187">
        <v>530.4</v>
      </c>
      <c r="D244" s="188">
        <f>IFERROR(C244/VLOOKUP(A244,Usinas!$A:$B,2,FALSE()),"")</f>
        <v>0.76097560975609757</v>
      </c>
    </row>
    <row r="245" spans="1:4" ht="12" customHeight="1" x14ac:dyDescent="0.2">
      <c r="A245" s="185" t="s">
        <v>466</v>
      </c>
      <c r="B245" s="186">
        <v>45948</v>
      </c>
      <c r="C245" s="187">
        <v>401</v>
      </c>
      <c r="D245" s="188">
        <f>IFERROR(C245/VLOOKUP(A245,Usinas!$A:$B,2,FALSE()),"")</f>
        <v>0.57532281205164992</v>
      </c>
    </row>
    <row r="246" spans="1:4" ht="12" customHeight="1" x14ac:dyDescent="0.2">
      <c r="A246" s="185" t="s">
        <v>466</v>
      </c>
      <c r="B246" s="186">
        <v>45948</v>
      </c>
      <c r="C246" s="187">
        <v>210.5</v>
      </c>
      <c r="D246" s="188">
        <f>IFERROR(C246/VLOOKUP(A246,Usinas!$A:$B,2,FALSE()),"")</f>
        <v>0.30200860832137733</v>
      </c>
    </row>
    <row r="247" spans="1:4" ht="12" customHeight="1" x14ac:dyDescent="0.2">
      <c r="A247" s="185" t="s">
        <v>466</v>
      </c>
      <c r="B247" s="186">
        <v>45949</v>
      </c>
      <c r="C247" s="187">
        <v>1031</v>
      </c>
      <c r="D247" s="188">
        <f>IFERROR(C247/VLOOKUP(A247,Usinas!$A:$B,2,FALSE()),"")</f>
        <v>1.4791965566714491</v>
      </c>
    </row>
    <row r="248" spans="1:4" ht="12" customHeight="1" x14ac:dyDescent="0.2">
      <c r="A248" s="185" t="s">
        <v>466</v>
      </c>
      <c r="B248" s="186">
        <v>45949</v>
      </c>
      <c r="C248" s="187">
        <v>735.9</v>
      </c>
      <c r="D248" s="188">
        <f>IFERROR(C248/VLOOKUP(A248,Usinas!$A:$B,2,FALSE()),"")</f>
        <v>1.0558106169296986</v>
      </c>
    </row>
    <row r="249" spans="1:4" ht="12" customHeight="1" x14ac:dyDescent="0.2">
      <c r="A249" s="185" t="s">
        <v>466</v>
      </c>
      <c r="B249" s="186">
        <v>45950</v>
      </c>
      <c r="C249" s="187">
        <v>1662</v>
      </c>
      <c r="D249" s="188">
        <f>IFERROR(C249/VLOOKUP(A249,Usinas!$A:$B,2,FALSE()),"")</f>
        <v>2.3845050215208032</v>
      </c>
    </row>
    <row r="250" spans="1:4" ht="12" customHeight="1" x14ac:dyDescent="0.2">
      <c r="A250" s="185" t="s">
        <v>466</v>
      </c>
      <c r="B250" s="186">
        <v>45950</v>
      </c>
      <c r="C250" s="187">
        <v>854.5</v>
      </c>
      <c r="D250" s="188">
        <f>IFERROR(C250/VLOOKUP(A250,Usinas!$A:$B,2,FALSE()),"")</f>
        <v>1.2259684361549499</v>
      </c>
    </row>
    <row r="251" spans="1:4" ht="12" customHeight="1" x14ac:dyDescent="0.2">
      <c r="A251" s="185" t="s">
        <v>466</v>
      </c>
      <c r="B251" s="186">
        <v>45951</v>
      </c>
      <c r="C251" s="187">
        <v>1284</v>
      </c>
      <c r="D251" s="188">
        <f>IFERROR(C251/VLOOKUP(A251,Usinas!$A:$B,2,FALSE()),"")</f>
        <v>1.8421807747489241</v>
      </c>
    </row>
    <row r="252" spans="1:4" ht="12" customHeight="1" x14ac:dyDescent="0.2">
      <c r="A252" s="185" t="s">
        <v>466</v>
      </c>
      <c r="B252" s="186">
        <v>45951</v>
      </c>
      <c r="C252" s="187">
        <v>765.2</v>
      </c>
      <c r="D252" s="188">
        <f>IFERROR(C252/VLOOKUP(A252,Usinas!$A:$B,2,FALSE()),"")</f>
        <v>1.0978479196556672</v>
      </c>
    </row>
    <row r="253" spans="1:4" ht="12" customHeight="1" x14ac:dyDescent="0.2">
      <c r="A253" s="185" t="s">
        <v>466</v>
      </c>
      <c r="B253" s="186">
        <v>45952</v>
      </c>
      <c r="C253" s="187">
        <v>605</v>
      </c>
      <c r="D253" s="188">
        <f>IFERROR(C253/VLOOKUP(A253,Usinas!$A:$B,2,FALSE()),"")</f>
        <v>0.86800573888091825</v>
      </c>
    </row>
    <row r="254" spans="1:4" ht="12" customHeight="1" x14ac:dyDescent="0.2">
      <c r="A254" s="185" t="s">
        <v>466</v>
      </c>
      <c r="B254" s="186">
        <v>45952</v>
      </c>
      <c r="C254" s="187">
        <v>792.7</v>
      </c>
      <c r="D254" s="188">
        <f>IFERROR(C254/VLOOKUP(A254,Usinas!$A:$B,2,FALSE()),"")</f>
        <v>1.1373027259684363</v>
      </c>
    </row>
    <row r="255" spans="1:4" ht="12" customHeight="1" x14ac:dyDescent="0.2">
      <c r="A255" s="185" t="s">
        <v>466</v>
      </c>
      <c r="B255" s="186">
        <v>45953</v>
      </c>
      <c r="C255" s="187">
        <v>899</v>
      </c>
      <c r="D255" s="188">
        <f>IFERROR(C255/VLOOKUP(A255,Usinas!$A:$B,2,FALSE()),"")</f>
        <v>1.2898134863701578</v>
      </c>
    </row>
    <row r="256" spans="1:4" ht="12" customHeight="1" x14ac:dyDescent="0.2">
      <c r="A256" s="185" t="s">
        <v>466</v>
      </c>
      <c r="B256" s="186">
        <v>45953</v>
      </c>
      <c r="C256" s="187">
        <v>669.5</v>
      </c>
      <c r="D256" s="188">
        <f>IFERROR(C256/VLOOKUP(A256,Usinas!$A:$B,2,FALSE()),"")</f>
        <v>0.96054519368723101</v>
      </c>
    </row>
    <row r="257" spans="1:4" ht="12" customHeight="1" x14ac:dyDescent="0.2">
      <c r="A257" s="185" t="s">
        <v>466</v>
      </c>
      <c r="B257" s="186">
        <v>45954</v>
      </c>
      <c r="C257" s="187">
        <v>40</v>
      </c>
      <c r="D257" s="188">
        <f>IFERROR(C257/VLOOKUP(A257,Usinas!$A:$B,2,FALSE()),"")</f>
        <v>5.7388809182209469E-2</v>
      </c>
    </row>
    <row r="258" spans="1:4" ht="12" customHeight="1" x14ac:dyDescent="0.2">
      <c r="A258" s="185" t="s">
        <v>466</v>
      </c>
      <c r="B258" s="186">
        <v>45954</v>
      </c>
      <c r="C258" s="187">
        <v>810</v>
      </c>
      <c r="D258" s="188">
        <f>IFERROR(C258/VLOOKUP(A258,Usinas!$A:$B,2,FALSE()),"")</f>
        <v>1.1621233859397417</v>
      </c>
    </row>
    <row r="259" spans="1:4" ht="12" customHeight="1" x14ac:dyDescent="0.2">
      <c r="A259" s="185" t="s">
        <v>466</v>
      </c>
      <c r="B259" s="186">
        <v>45955</v>
      </c>
      <c r="C259" s="187">
        <v>682</v>
      </c>
      <c r="D259" s="188">
        <f>IFERROR(C259/VLOOKUP(A259,Usinas!$A:$B,2,FALSE()),"")</f>
        <v>0.97847919655667148</v>
      </c>
    </row>
    <row r="260" spans="1:4" ht="12" customHeight="1" x14ac:dyDescent="0.2">
      <c r="A260" s="185" t="s">
        <v>466</v>
      </c>
      <c r="B260" s="186">
        <v>45955</v>
      </c>
      <c r="C260" s="187">
        <v>558</v>
      </c>
      <c r="D260" s="188">
        <f>IFERROR(C260/VLOOKUP(A260,Usinas!$A:$B,2,FALSE()),"")</f>
        <v>0.80057388809182206</v>
      </c>
    </row>
    <row r="261" spans="1:4" ht="12" customHeight="1" x14ac:dyDescent="0.2">
      <c r="A261" s="185" t="s">
        <v>466</v>
      </c>
      <c r="B261" s="186">
        <v>45956</v>
      </c>
      <c r="C261" s="187">
        <v>57</v>
      </c>
      <c r="D261" s="188">
        <f>IFERROR(C261/VLOOKUP(A261,Usinas!$A:$B,2,FALSE()),"")</f>
        <v>8.1779053084648487E-2</v>
      </c>
    </row>
    <row r="262" spans="1:4" ht="12" customHeight="1" x14ac:dyDescent="0.2">
      <c r="A262" s="185" t="s">
        <v>466</v>
      </c>
      <c r="B262" s="186">
        <v>45956</v>
      </c>
      <c r="C262" s="187">
        <v>58.2</v>
      </c>
      <c r="D262" s="188">
        <f>IFERROR(C262/VLOOKUP(A262,Usinas!$A:$B,2,FALSE()),"")</f>
        <v>8.3500717360114787E-2</v>
      </c>
    </row>
    <row r="263" spans="1:4" ht="12" customHeight="1" x14ac:dyDescent="0.2">
      <c r="A263" s="185" t="s">
        <v>466</v>
      </c>
      <c r="B263" s="186">
        <v>45957</v>
      </c>
      <c r="C263" s="187">
        <v>498</v>
      </c>
      <c r="D263" s="188">
        <f>IFERROR(C263/VLOOKUP(A263,Usinas!$A:$B,2,FALSE()),"")</f>
        <v>0.71449067431850788</v>
      </c>
    </row>
    <row r="264" spans="1:4" ht="12" customHeight="1" x14ac:dyDescent="0.2">
      <c r="A264" s="185" t="s">
        <v>466</v>
      </c>
      <c r="B264" s="186">
        <v>45957</v>
      </c>
      <c r="C264" s="187">
        <v>536.29999999999995</v>
      </c>
      <c r="D264" s="188">
        <f>IFERROR(C264/VLOOKUP(A264,Usinas!$A:$B,2,FALSE()),"")</f>
        <v>0.76944045911047343</v>
      </c>
    </row>
    <row r="265" spans="1:4" ht="12" customHeight="1" x14ac:dyDescent="0.2">
      <c r="A265" s="185" t="s">
        <v>466</v>
      </c>
      <c r="B265" s="186">
        <v>45958</v>
      </c>
      <c r="C265" s="187">
        <v>121</v>
      </c>
      <c r="D265" s="188">
        <f>IFERROR(C265/VLOOKUP(A265,Usinas!$A:$B,2,FALSE()),"")</f>
        <v>0.17360114777618366</v>
      </c>
    </row>
    <row r="266" spans="1:4" ht="12" customHeight="1" x14ac:dyDescent="0.2">
      <c r="A266" s="185" t="s">
        <v>466</v>
      </c>
      <c r="B266" s="186">
        <v>45958</v>
      </c>
      <c r="C266" s="187">
        <v>348.9</v>
      </c>
      <c r="D266" s="188">
        <f>IFERROR(C266/VLOOKUP(A266,Usinas!$A:$B,2,FALSE()),"")</f>
        <v>0.50057388809182202</v>
      </c>
    </row>
    <row r="267" spans="1:4" ht="12" customHeight="1" x14ac:dyDescent="0.2">
      <c r="A267" s="185" t="s">
        <v>466</v>
      </c>
      <c r="B267" s="186">
        <v>45959</v>
      </c>
      <c r="C267" s="187">
        <v>584</v>
      </c>
      <c r="D267" s="188">
        <f>IFERROR(C267/VLOOKUP(A267,Usinas!$A:$B,2,FALSE()),"")</f>
        <v>0.83787661406025826</v>
      </c>
    </row>
    <row r="268" spans="1:4" ht="12" customHeight="1" x14ac:dyDescent="0.2">
      <c r="A268" s="185" t="s">
        <v>466</v>
      </c>
      <c r="B268" s="186">
        <v>45959</v>
      </c>
      <c r="C268" s="187">
        <v>459</v>
      </c>
      <c r="D268" s="188">
        <f>IFERROR(C268/VLOOKUP(A268,Usinas!$A:$B,2,FALSE()),"")</f>
        <v>0.65853658536585369</v>
      </c>
    </row>
    <row r="269" spans="1:4" ht="12" customHeight="1" x14ac:dyDescent="0.2">
      <c r="A269" s="185" t="s">
        <v>466</v>
      </c>
      <c r="B269" s="186">
        <v>45960</v>
      </c>
      <c r="C269" s="187">
        <v>393</v>
      </c>
      <c r="D269" s="188">
        <f>IFERROR(C269/VLOOKUP(A269,Usinas!$A:$B,2,FALSE()),"")</f>
        <v>0.56384505021520803</v>
      </c>
    </row>
    <row r="270" spans="1:4" ht="12" customHeight="1" x14ac:dyDescent="0.2">
      <c r="A270" s="185" t="s">
        <v>466</v>
      </c>
      <c r="B270" s="186">
        <v>45960</v>
      </c>
      <c r="C270" s="187">
        <v>438.1</v>
      </c>
      <c r="D270" s="188">
        <f>IFERROR(C270/VLOOKUP(A270,Usinas!$A:$B,2,FALSE()),"")</f>
        <v>0.6285509325681492</v>
      </c>
    </row>
    <row r="271" spans="1:4" ht="12" customHeight="1" x14ac:dyDescent="0.2">
      <c r="A271" s="185" t="s">
        <v>466</v>
      </c>
      <c r="B271" s="186">
        <v>45961</v>
      </c>
      <c r="C271" s="187">
        <v>516</v>
      </c>
      <c r="D271" s="188">
        <f>IFERROR(C271/VLOOKUP(A271,Usinas!$A:$B,2,FALSE()),"")</f>
        <v>0.74031563845050219</v>
      </c>
    </row>
    <row r="272" spans="1:4" ht="12" customHeight="1" x14ac:dyDescent="0.2">
      <c r="A272" s="185" t="s">
        <v>466</v>
      </c>
      <c r="B272" s="186">
        <v>45961</v>
      </c>
      <c r="C272" s="187">
        <v>835.7</v>
      </c>
      <c r="D272" s="188">
        <f>IFERROR(C272/VLOOKUP(A272,Usinas!$A:$B,2,FALSE()),"")</f>
        <v>1.1989956958393113</v>
      </c>
    </row>
    <row r="273" spans="1:4" ht="12" customHeight="1" x14ac:dyDescent="0.2">
      <c r="A273" s="185" t="s">
        <v>466</v>
      </c>
      <c r="B273" s="186">
        <v>45962</v>
      </c>
      <c r="C273" s="187">
        <v>662</v>
      </c>
      <c r="D273" s="188">
        <f>IFERROR(C273/VLOOKUP(A273,Usinas!$A:$B,2,FALSE()),"")</f>
        <v>0.94978479196556675</v>
      </c>
    </row>
    <row r="274" spans="1:4" ht="12" customHeight="1" x14ac:dyDescent="0.2">
      <c r="A274" s="185" t="s">
        <v>466</v>
      </c>
      <c r="B274" s="186">
        <v>45962</v>
      </c>
      <c r="C274" s="187">
        <v>899.4</v>
      </c>
      <c r="D274" s="188">
        <f>IFERROR(C274/VLOOKUP(A274,Usinas!$A:$B,2,FALSE()),"")</f>
        <v>1.2903873744619798</v>
      </c>
    </row>
    <row r="275" spans="1:4" ht="12" customHeight="1" x14ac:dyDescent="0.2">
      <c r="A275" s="185" t="s">
        <v>466</v>
      </c>
      <c r="B275" s="186">
        <v>45963</v>
      </c>
      <c r="C275" s="187">
        <v>463</v>
      </c>
      <c r="D275" s="188">
        <f>IFERROR(C275/VLOOKUP(A275,Usinas!$A:$B,2,FALSE()),"")</f>
        <v>0.66427546628407463</v>
      </c>
    </row>
    <row r="276" spans="1:4" ht="12" customHeight="1" x14ac:dyDescent="0.2">
      <c r="A276" s="185" t="s">
        <v>466</v>
      </c>
      <c r="B276" s="186">
        <v>45963</v>
      </c>
      <c r="C276" s="187">
        <v>478.6</v>
      </c>
      <c r="D276" s="188">
        <f>IFERROR(C276/VLOOKUP(A276,Usinas!$A:$B,2,FALSE()),"")</f>
        <v>0.68665710186513629</v>
      </c>
    </row>
    <row r="277" spans="1:4" ht="12" customHeight="1" x14ac:dyDescent="0.2">
      <c r="A277" s="185" t="s">
        <v>466</v>
      </c>
      <c r="B277" s="186">
        <v>45964</v>
      </c>
      <c r="C277" s="187">
        <v>531</v>
      </c>
      <c r="D277" s="188">
        <f>IFERROR(C277/VLOOKUP(A277,Usinas!$A:$B,2,FALSE()),"")</f>
        <v>0.76183644189383071</v>
      </c>
    </row>
    <row r="278" spans="1:4" ht="12" customHeight="1" x14ac:dyDescent="0.2">
      <c r="A278" s="185" t="s">
        <v>466</v>
      </c>
      <c r="B278" s="186">
        <v>45964</v>
      </c>
      <c r="C278" s="187">
        <v>911.3</v>
      </c>
      <c r="D278" s="188">
        <f>IFERROR(C278/VLOOKUP(A278,Usinas!$A:$B,2,FALSE()),"")</f>
        <v>1.3074605451936872</v>
      </c>
    </row>
    <row r="279" spans="1:4" ht="12" customHeight="1" x14ac:dyDescent="0.2">
      <c r="A279" s="185" t="s">
        <v>466</v>
      </c>
      <c r="B279" s="186">
        <v>45965</v>
      </c>
      <c r="C279" s="187">
        <v>415</v>
      </c>
      <c r="D279" s="188">
        <f>IFERROR(C279/VLOOKUP(A279,Usinas!$A:$B,2,FALSE()),"")</f>
        <v>0.59540889526542329</v>
      </c>
    </row>
    <row r="280" spans="1:4" ht="12" customHeight="1" x14ac:dyDescent="0.2">
      <c r="A280" s="185" t="s">
        <v>466</v>
      </c>
      <c r="B280" s="186">
        <v>45965</v>
      </c>
      <c r="C280" s="187">
        <v>1062</v>
      </c>
      <c r="D280" s="188">
        <f>IFERROR(C280/VLOOKUP(A280,Usinas!$A:$B,2,FALSE()),"")</f>
        <v>1.5236728837876614</v>
      </c>
    </row>
    <row r="281" spans="1:4" ht="12" customHeight="1" x14ac:dyDescent="0.2">
      <c r="A281" s="185" t="s">
        <v>466</v>
      </c>
      <c r="B281" s="186">
        <v>45966</v>
      </c>
      <c r="C281" s="187">
        <v>257</v>
      </c>
      <c r="D281" s="188">
        <f>IFERROR(C281/VLOOKUP(A281,Usinas!$A:$B,2,FALSE()),"")</f>
        <v>0.36872309899569583</v>
      </c>
    </row>
    <row r="282" spans="1:4" ht="12" customHeight="1" x14ac:dyDescent="0.2">
      <c r="A282" s="185" t="s">
        <v>466</v>
      </c>
      <c r="B282" s="186">
        <v>45966</v>
      </c>
      <c r="C282" s="187">
        <v>291.5</v>
      </c>
      <c r="D282" s="188">
        <f>IFERROR(C282/VLOOKUP(A282,Usinas!$A:$B,2,FALSE()),"")</f>
        <v>0.4182209469153515</v>
      </c>
    </row>
    <row r="283" spans="1:4" ht="12" customHeight="1" x14ac:dyDescent="0.2">
      <c r="A283" s="185" t="s">
        <v>466</v>
      </c>
      <c r="B283" s="186">
        <v>45967</v>
      </c>
      <c r="C283" s="187">
        <v>943</v>
      </c>
      <c r="D283" s="188">
        <f>IFERROR(C283/VLOOKUP(A283,Usinas!$A:$B,2,FALSE()),"")</f>
        <v>1.3529411764705883</v>
      </c>
    </row>
    <row r="284" spans="1:4" ht="12" customHeight="1" x14ac:dyDescent="0.2">
      <c r="A284" s="185" t="s">
        <v>466</v>
      </c>
      <c r="B284" s="186">
        <v>45967</v>
      </c>
      <c r="C284" s="187">
        <v>1209.4000000000001</v>
      </c>
      <c r="D284" s="188">
        <f>IFERROR(C284/VLOOKUP(A284,Usinas!$A:$B,2,FALSE()),"")</f>
        <v>1.7351506456241035</v>
      </c>
    </row>
    <row r="285" spans="1:4" ht="12" customHeight="1" x14ac:dyDescent="0.2">
      <c r="A285" s="185" t="s">
        <v>466</v>
      </c>
      <c r="B285" s="186">
        <v>45968</v>
      </c>
      <c r="C285" s="187">
        <v>458</v>
      </c>
      <c r="D285" s="188">
        <f>IFERROR(C285/VLOOKUP(A285,Usinas!$A:$B,2,FALSE()),"")</f>
        <v>0.65710186513629842</v>
      </c>
    </row>
    <row r="286" spans="1:4" ht="12" customHeight="1" x14ac:dyDescent="0.2">
      <c r="A286" s="185" t="s">
        <v>466</v>
      </c>
      <c r="B286" s="186">
        <v>45968</v>
      </c>
      <c r="C286" s="187">
        <v>1153.8</v>
      </c>
      <c r="D286" s="188">
        <f>IFERROR(C286/VLOOKUP(A286,Usinas!$A:$B,2,FALSE()),"")</f>
        <v>1.655380200860832</v>
      </c>
    </row>
    <row r="287" spans="1:4" ht="12" customHeight="1" x14ac:dyDescent="0.2">
      <c r="A287" s="185" t="s">
        <v>466</v>
      </c>
      <c r="B287" s="186">
        <v>45969</v>
      </c>
      <c r="C287" s="187">
        <v>733</v>
      </c>
      <c r="D287" s="188">
        <f>IFERROR(C287/VLOOKUP(A287,Usinas!$A:$B,2,FALSE()),"")</f>
        <v>1.0516499282639886</v>
      </c>
    </row>
    <row r="288" spans="1:4" ht="12" customHeight="1" x14ac:dyDescent="0.2">
      <c r="A288" s="185" t="s">
        <v>466</v>
      </c>
      <c r="B288" s="186">
        <v>45969</v>
      </c>
      <c r="C288" s="187">
        <v>892.3</v>
      </c>
      <c r="D288" s="188">
        <f>IFERROR(C288/VLOOKUP(A288,Usinas!$A:$B,2,FALSE()),"")</f>
        <v>1.2802008608321376</v>
      </c>
    </row>
    <row r="289" spans="1:4" ht="12" customHeight="1" x14ac:dyDescent="0.2">
      <c r="A289" s="185" t="s">
        <v>466</v>
      </c>
      <c r="B289" s="186">
        <v>45970</v>
      </c>
      <c r="C289" s="187">
        <v>533</v>
      </c>
      <c r="D289" s="188">
        <f>IFERROR(C289/VLOOKUP(A289,Usinas!$A:$B,2,FALSE()),"")</f>
        <v>0.76470588235294112</v>
      </c>
    </row>
    <row r="290" spans="1:4" ht="12" customHeight="1" x14ac:dyDescent="0.2">
      <c r="A290" s="185" t="s">
        <v>466</v>
      </c>
      <c r="B290" s="186">
        <v>45970</v>
      </c>
      <c r="C290" s="187">
        <v>1368.3</v>
      </c>
      <c r="D290" s="188">
        <f>IFERROR(C290/VLOOKUP(A290,Usinas!$A:$B,2,FALSE()),"")</f>
        <v>1.9631276901004304</v>
      </c>
    </row>
    <row r="291" spans="1:4" ht="12" customHeight="1" x14ac:dyDescent="0.2">
      <c r="A291" s="185" t="s">
        <v>466</v>
      </c>
      <c r="B291" s="186">
        <v>45971</v>
      </c>
      <c r="C291" s="187">
        <v>1217</v>
      </c>
      <c r="D291" s="188">
        <f>IFERROR(C291/VLOOKUP(A291,Usinas!$A:$B,2,FALSE()),"")</f>
        <v>1.7460545193687231</v>
      </c>
    </row>
    <row r="292" spans="1:4" ht="12" customHeight="1" x14ac:dyDescent="0.2">
      <c r="A292" s="185" t="s">
        <v>466</v>
      </c>
      <c r="B292" s="186">
        <v>45971</v>
      </c>
      <c r="C292" s="187">
        <v>1341.5</v>
      </c>
      <c r="D292" s="188">
        <f>IFERROR(C292/VLOOKUP(A292,Usinas!$A:$B,2,FALSE()),"")</f>
        <v>1.92467718794835</v>
      </c>
    </row>
    <row r="293" spans="1:4" ht="12" customHeight="1" x14ac:dyDescent="0.2">
      <c r="A293" s="185" t="s">
        <v>466</v>
      </c>
      <c r="B293" s="186">
        <v>45972</v>
      </c>
      <c r="C293" s="187">
        <v>796</v>
      </c>
      <c r="D293" s="188">
        <f>IFERROR(C293/VLOOKUP(A293,Usinas!$A:$B,2,FALSE()),"")</f>
        <v>1.1420373027259685</v>
      </c>
    </row>
    <row r="294" spans="1:4" ht="12" customHeight="1" x14ac:dyDescent="0.2">
      <c r="A294" s="185" t="s">
        <v>466</v>
      </c>
      <c r="B294" s="186">
        <v>45972</v>
      </c>
      <c r="C294" s="187">
        <v>1305.2</v>
      </c>
      <c r="D294" s="188">
        <f>IFERROR(C294/VLOOKUP(A294,Usinas!$A:$B,2,FALSE()),"")</f>
        <v>1.8725968436154949</v>
      </c>
    </row>
    <row r="295" spans="1:4" ht="12" customHeight="1" x14ac:dyDescent="0.2">
      <c r="A295" s="185" t="s">
        <v>466</v>
      </c>
      <c r="B295" s="186">
        <v>45973</v>
      </c>
      <c r="C295" s="187">
        <v>395</v>
      </c>
      <c r="D295" s="188">
        <f>IFERROR(C295/VLOOKUP(A295,Usinas!$A:$B,2,FALSE()),"")</f>
        <v>0.56671449067431856</v>
      </c>
    </row>
    <row r="296" spans="1:4" ht="12" customHeight="1" x14ac:dyDescent="0.2">
      <c r="A296" s="185" t="s">
        <v>466</v>
      </c>
      <c r="B296" s="186">
        <v>45973</v>
      </c>
      <c r="C296" s="187">
        <v>1108.8</v>
      </c>
      <c r="D296" s="188">
        <f>IFERROR(C296/VLOOKUP(A296,Usinas!$A:$B,2,FALSE()),"")</f>
        <v>1.5908177905308465</v>
      </c>
    </row>
    <row r="297" spans="1:4" ht="12" customHeight="1" x14ac:dyDescent="0.2">
      <c r="A297" s="185" t="s">
        <v>466</v>
      </c>
      <c r="B297" s="186">
        <v>45974</v>
      </c>
      <c r="C297" s="187">
        <v>303</v>
      </c>
      <c r="D297" s="188">
        <f>IFERROR(C297/VLOOKUP(A297,Usinas!$A:$B,2,FALSE()),"")</f>
        <v>0.4347202295552367</v>
      </c>
    </row>
    <row r="298" spans="1:4" ht="12" customHeight="1" x14ac:dyDescent="0.2">
      <c r="A298" s="185" t="s">
        <v>466</v>
      </c>
      <c r="B298" s="186">
        <v>45974</v>
      </c>
      <c r="C298" s="187">
        <v>359.5</v>
      </c>
      <c r="D298" s="188">
        <f>IFERROR(C298/VLOOKUP(A298,Usinas!$A:$B,2,FALSE()),"")</f>
        <v>0.51578192252510757</v>
      </c>
    </row>
    <row r="299" spans="1:4" ht="12" customHeight="1" x14ac:dyDescent="0.2">
      <c r="A299" s="185" t="s">
        <v>466</v>
      </c>
      <c r="B299" s="186">
        <v>45975</v>
      </c>
      <c r="C299" s="187">
        <v>584</v>
      </c>
      <c r="D299" s="188">
        <f>IFERROR(C299/VLOOKUP(A299,Usinas!$A:$B,2,FALSE()),"")</f>
        <v>0.83787661406025826</v>
      </c>
    </row>
    <row r="300" spans="1:4" ht="12" customHeight="1" x14ac:dyDescent="0.2">
      <c r="A300" s="185" t="s">
        <v>466</v>
      </c>
      <c r="B300" s="186">
        <v>45975</v>
      </c>
      <c r="C300" s="187">
        <v>558.9</v>
      </c>
      <c r="D300" s="188">
        <f>IFERROR(C300/VLOOKUP(A300,Usinas!$A:$B,2,FALSE()),"")</f>
        <v>0.80186513629842182</v>
      </c>
    </row>
    <row r="301" spans="1:4" ht="12" customHeight="1" x14ac:dyDescent="0.2">
      <c r="A301" s="185" t="s">
        <v>466</v>
      </c>
      <c r="B301" s="186">
        <v>45976</v>
      </c>
      <c r="C301" s="187">
        <v>253</v>
      </c>
      <c r="D301" s="188">
        <f>IFERROR(C301/VLOOKUP(A301,Usinas!$A:$B,2,FALSE()),"")</f>
        <v>0.36298421807747488</v>
      </c>
    </row>
    <row r="302" spans="1:4" ht="12" customHeight="1" x14ac:dyDescent="0.2">
      <c r="A302" s="185" t="s">
        <v>466</v>
      </c>
      <c r="B302" s="186">
        <v>45976</v>
      </c>
      <c r="C302" s="187">
        <v>311</v>
      </c>
      <c r="D302" s="188">
        <f>IFERROR(C302/VLOOKUP(A302,Usinas!$A:$B,2,FALSE()),"")</f>
        <v>0.44619799139167865</v>
      </c>
    </row>
    <row r="303" spans="1:4" ht="12" customHeight="1" x14ac:dyDescent="0.2">
      <c r="A303" s="185" t="s">
        <v>466</v>
      </c>
      <c r="B303" s="186">
        <v>45977</v>
      </c>
      <c r="C303" s="187">
        <v>67</v>
      </c>
      <c r="D303" s="188">
        <f>IFERROR(C303/VLOOKUP(A303,Usinas!$A:$B,2,FALSE()),"")</f>
        <v>9.6126255380200865E-2</v>
      </c>
    </row>
    <row r="304" spans="1:4" ht="12" customHeight="1" x14ac:dyDescent="0.2">
      <c r="A304" s="185" t="s">
        <v>466</v>
      </c>
      <c r="B304" s="186">
        <v>45977</v>
      </c>
      <c r="C304" s="187">
        <v>769.2</v>
      </c>
      <c r="D304" s="188">
        <f>IFERROR(C304/VLOOKUP(A304,Usinas!$A:$B,2,FALSE()),"")</f>
        <v>1.1035868005738882</v>
      </c>
    </row>
    <row r="305" spans="1:4" ht="12" customHeight="1" x14ac:dyDescent="0.2">
      <c r="A305" s="185" t="s">
        <v>466</v>
      </c>
      <c r="B305" s="186">
        <v>45978</v>
      </c>
      <c r="C305" s="187">
        <v>437</v>
      </c>
      <c r="D305" s="188">
        <f>IFERROR(C305/VLOOKUP(A305,Usinas!$A:$B,2,FALSE()),"")</f>
        <v>0.62697274031563843</v>
      </c>
    </row>
    <row r="306" spans="1:4" ht="12" customHeight="1" x14ac:dyDescent="0.2">
      <c r="A306" s="185" t="s">
        <v>466</v>
      </c>
      <c r="B306" s="186">
        <v>45978</v>
      </c>
      <c r="C306" s="187">
        <v>428.8</v>
      </c>
      <c r="D306" s="188">
        <f>IFERROR(C306/VLOOKUP(A306,Usinas!$A:$B,2,FALSE()),"")</f>
        <v>0.61520803443328553</v>
      </c>
    </row>
    <row r="307" spans="1:4" ht="12" customHeight="1" x14ac:dyDescent="0.2">
      <c r="A307" s="185" t="s">
        <v>466</v>
      </c>
      <c r="B307" s="186">
        <v>45979</v>
      </c>
      <c r="C307" s="187">
        <v>50</v>
      </c>
      <c r="D307" s="188">
        <f>IFERROR(C307/VLOOKUP(A307,Usinas!$A:$B,2,FALSE()),"")</f>
        <v>7.1736011477761832E-2</v>
      </c>
    </row>
    <row r="308" spans="1:4" ht="12" customHeight="1" x14ac:dyDescent="0.2">
      <c r="A308" s="185" t="s">
        <v>466</v>
      </c>
      <c r="B308" s="186">
        <v>45979</v>
      </c>
      <c r="C308" s="187">
        <v>178.6</v>
      </c>
      <c r="D308" s="188">
        <f>IFERROR(C308/VLOOKUP(A308,Usinas!$A:$B,2,FALSE()),"")</f>
        <v>0.25624103299856527</v>
      </c>
    </row>
    <row r="309" spans="1:4" ht="12" customHeight="1" x14ac:dyDescent="0.2">
      <c r="A309" s="185" t="s">
        <v>466</v>
      </c>
      <c r="B309" s="186">
        <v>45980</v>
      </c>
      <c r="C309" s="187">
        <v>995</v>
      </c>
      <c r="D309" s="188">
        <f>IFERROR(C309/VLOOKUP(A309,Usinas!$A:$B,2,FALSE()),"")</f>
        <v>1.4275466284074605</v>
      </c>
    </row>
    <row r="310" spans="1:4" ht="12" customHeight="1" x14ac:dyDescent="0.2">
      <c r="A310" s="185" t="s">
        <v>466</v>
      </c>
      <c r="B310" s="186">
        <v>45980</v>
      </c>
      <c r="C310" s="187">
        <v>1321</v>
      </c>
      <c r="D310" s="188">
        <f>IFERROR(C310/VLOOKUP(A310,Usinas!$A:$B,2,FALSE()),"")</f>
        <v>1.8952654232424677</v>
      </c>
    </row>
    <row r="311" spans="1:4" ht="12" customHeight="1" x14ac:dyDescent="0.2">
      <c r="A311" s="185" t="s">
        <v>466</v>
      </c>
      <c r="B311" s="186">
        <v>45981</v>
      </c>
      <c r="C311" s="187">
        <v>877</v>
      </c>
      <c r="D311" s="188">
        <f>IFERROR(C311/VLOOKUP(A311,Usinas!$A:$B,2,FALSE()),"")</f>
        <v>1.2582496413199427</v>
      </c>
    </row>
    <row r="312" spans="1:4" ht="12" customHeight="1" x14ac:dyDescent="0.2">
      <c r="A312" s="185" t="s">
        <v>466</v>
      </c>
      <c r="B312" s="186">
        <v>45981</v>
      </c>
      <c r="C312" s="187">
        <v>1309.4000000000001</v>
      </c>
      <c r="D312" s="188">
        <f>IFERROR(C312/VLOOKUP(A312,Usinas!$A:$B,2,FALSE()),"")</f>
        <v>1.878622668579627</v>
      </c>
    </row>
    <row r="313" spans="1:4" ht="12" customHeight="1" x14ac:dyDescent="0.2">
      <c r="A313" s="185" t="s">
        <v>466</v>
      </c>
      <c r="B313" s="186">
        <v>45982</v>
      </c>
      <c r="C313" s="187">
        <v>712</v>
      </c>
      <c r="D313" s="188">
        <f>IFERROR(C313/VLOOKUP(A313,Usinas!$A:$B,2,FALSE()),"")</f>
        <v>1.0215208034433285</v>
      </c>
    </row>
    <row r="314" spans="1:4" ht="12" customHeight="1" x14ac:dyDescent="0.2">
      <c r="A314" s="185" t="s">
        <v>466</v>
      </c>
      <c r="B314" s="186">
        <v>45982</v>
      </c>
      <c r="C314" s="187">
        <v>1242</v>
      </c>
      <c r="D314" s="188">
        <f>IFERROR(C314/VLOOKUP(A314,Usinas!$A:$B,2,FALSE()),"")</f>
        <v>1.7819225251076041</v>
      </c>
    </row>
    <row r="315" spans="1:4" ht="12" customHeight="1" x14ac:dyDescent="0.2">
      <c r="A315" s="185" t="s">
        <v>466</v>
      </c>
      <c r="B315" s="186">
        <v>45983</v>
      </c>
      <c r="C315" s="187">
        <v>732</v>
      </c>
      <c r="D315" s="188">
        <f>IFERROR(C315/VLOOKUP(A315,Usinas!$A:$B,2,FALSE()),"")</f>
        <v>1.0502152080344334</v>
      </c>
    </row>
    <row r="316" spans="1:4" ht="12" customHeight="1" x14ac:dyDescent="0.2">
      <c r="A316" s="185" t="s">
        <v>466</v>
      </c>
      <c r="B316" s="186">
        <v>45983</v>
      </c>
      <c r="C316" s="187">
        <v>1150.5</v>
      </c>
      <c r="D316" s="188">
        <f>IFERROR(C316/VLOOKUP(A316,Usinas!$A:$B,2,FALSE()),"")</f>
        <v>1.6506456241032998</v>
      </c>
    </row>
    <row r="317" spans="1:4" ht="12" customHeight="1" x14ac:dyDescent="0.2">
      <c r="A317" s="185" t="s">
        <v>466</v>
      </c>
      <c r="B317" s="186">
        <v>45988</v>
      </c>
      <c r="C317" s="187">
        <v>12</v>
      </c>
      <c r="D317" s="188">
        <f>IFERROR(C317/VLOOKUP(A317,Usinas!$A:$B,2,FALSE()),"")</f>
        <v>1.721664275466284E-2</v>
      </c>
    </row>
    <row r="318" spans="1:4" ht="12" customHeight="1" x14ac:dyDescent="0.2">
      <c r="A318" s="185" t="s">
        <v>466</v>
      </c>
      <c r="B318" s="186">
        <v>45988</v>
      </c>
      <c r="C318" s="187">
        <v>216.9</v>
      </c>
      <c r="D318" s="188">
        <f>IFERROR(C318/VLOOKUP(A318,Usinas!$A:$B,2,FALSE()),"")</f>
        <v>0.31119081779053087</v>
      </c>
    </row>
    <row r="319" spans="1:4" ht="12" customHeight="1" x14ac:dyDescent="0.2">
      <c r="A319" s="185" t="s">
        <v>466</v>
      </c>
      <c r="B319" s="186">
        <v>45989</v>
      </c>
      <c r="C319" s="187">
        <v>174</v>
      </c>
      <c r="D319" s="188">
        <f>IFERROR(C319/VLOOKUP(A319,Usinas!$A:$B,2,FALSE()),"")</f>
        <v>0.24964131994261118</v>
      </c>
    </row>
    <row r="320" spans="1:4" ht="12" customHeight="1" x14ac:dyDescent="0.2">
      <c r="A320" s="185" t="s">
        <v>466</v>
      </c>
      <c r="B320" s="186">
        <v>45989</v>
      </c>
      <c r="C320" s="187">
        <v>1216.2</v>
      </c>
      <c r="D320" s="188">
        <f>IFERROR(C320/VLOOKUP(A320,Usinas!$A:$B,2,FALSE()),"")</f>
        <v>1.7449067431850789</v>
      </c>
    </row>
    <row r="321" spans="1:4" ht="12" customHeight="1" x14ac:dyDescent="0.2">
      <c r="A321" s="185" t="s">
        <v>466</v>
      </c>
      <c r="B321" s="186">
        <v>45990</v>
      </c>
      <c r="C321" s="187">
        <v>42</v>
      </c>
      <c r="D321" s="188">
        <f>IFERROR(C321/VLOOKUP(A321,Usinas!$A:$B,2,FALSE()),"")</f>
        <v>6.0258249641319941E-2</v>
      </c>
    </row>
    <row r="322" spans="1:4" ht="12" customHeight="1" x14ac:dyDescent="0.2">
      <c r="A322" s="185" t="s">
        <v>466</v>
      </c>
      <c r="B322" s="186">
        <v>45990</v>
      </c>
      <c r="C322" s="187">
        <v>1176.9000000000001</v>
      </c>
      <c r="D322" s="188">
        <f>IFERROR(C322/VLOOKUP(A322,Usinas!$A:$B,2,FALSE()),"")</f>
        <v>1.6885222381635583</v>
      </c>
    </row>
    <row r="323" spans="1:4" ht="12" customHeight="1" x14ac:dyDescent="0.2">
      <c r="A323" s="185" t="s">
        <v>466</v>
      </c>
      <c r="B323" s="186">
        <v>45991</v>
      </c>
      <c r="C323" s="187">
        <v>416</v>
      </c>
      <c r="D323" s="188">
        <f>IFERROR(C323/VLOOKUP(A323,Usinas!$A:$B,2,FALSE()),"")</f>
        <v>0.59684361549497844</v>
      </c>
    </row>
    <row r="324" spans="1:4" ht="12" customHeight="1" x14ac:dyDescent="0.2">
      <c r="A324" s="185" t="s">
        <v>466</v>
      </c>
      <c r="B324" s="186">
        <v>45991</v>
      </c>
      <c r="C324" s="187">
        <v>1144.9000000000001</v>
      </c>
      <c r="D324" s="188">
        <f>IFERROR(C324/VLOOKUP(A324,Usinas!$A:$B,2,FALSE()),"")</f>
        <v>1.6426111908177907</v>
      </c>
    </row>
    <row r="325" spans="1:4" ht="12" customHeight="1" x14ac:dyDescent="0.2">
      <c r="A325" s="185" t="s">
        <v>466</v>
      </c>
      <c r="B325" s="186">
        <v>45992</v>
      </c>
      <c r="C325" s="187">
        <v>391.2</v>
      </c>
      <c r="D325" s="188">
        <f>IFERROR(C325/VLOOKUP(A325,Usinas!$A:$B,2,FALSE()),"")</f>
        <v>0.56126255380200862</v>
      </c>
    </row>
    <row r="326" spans="1:4" ht="12" customHeight="1" x14ac:dyDescent="0.2">
      <c r="A326" s="185" t="s">
        <v>466</v>
      </c>
      <c r="B326" s="186">
        <v>45992</v>
      </c>
      <c r="C326" s="187">
        <v>462.5</v>
      </c>
      <c r="D326" s="188">
        <f>IFERROR(C326/VLOOKUP(A326,Usinas!$A:$B,2,FALSE()),"")</f>
        <v>0.663558106169297</v>
      </c>
    </row>
    <row r="327" spans="1:4" ht="12" customHeight="1" x14ac:dyDescent="0.2">
      <c r="A327" s="185" t="s">
        <v>466</v>
      </c>
      <c r="B327" s="186">
        <v>45993</v>
      </c>
      <c r="C327" s="187">
        <v>789.2</v>
      </c>
      <c r="D327" s="188">
        <f>IFERROR(C327/VLOOKUP(A327,Usinas!$A:$B,2,FALSE()),"")</f>
        <v>1.1322812051649929</v>
      </c>
    </row>
    <row r="328" spans="1:4" ht="12" customHeight="1" x14ac:dyDescent="0.2">
      <c r="A328" s="185" t="s">
        <v>466</v>
      </c>
      <c r="B328" s="186">
        <v>45993</v>
      </c>
      <c r="C328" s="187">
        <v>965.7</v>
      </c>
      <c r="D328" s="188">
        <f>IFERROR(C328/VLOOKUP(A328,Usinas!$A:$B,2,FALSE()),"")</f>
        <v>1.3855093256814921</v>
      </c>
    </row>
    <row r="329" spans="1:4" ht="12" customHeight="1" x14ac:dyDescent="0.2">
      <c r="A329" s="185" t="s">
        <v>466</v>
      </c>
      <c r="B329" s="186">
        <v>45994</v>
      </c>
      <c r="C329" s="187">
        <v>4.5999999999999996</v>
      </c>
      <c r="D329" s="188">
        <f>IFERROR(C329/VLOOKUP(A329,Usinas!$A:$B,2,FALSE()),"")</f>
        <v>6.5997130559540887E-3</v>
      </c>
    </row>
    <row r="330" spans="1:4" ht="12" customHeight="1" x14ac:dyDescent="0.2">
      <c r="A330" s="185" t="s">
        <v>466</v>
      </c>
      <c r="B330" s="186">
        <v>45994</v>
      </c>
      <c r="C330" s="187">
        <v>17.8</v>
      </c>
      <c r="D330" s="188">
        <f>IFERROR(C330/VLOOKUP(A330,Usinas!$A:$B,2,FALSE()),"")</f>
        <v>2.5538020086083215E-2</v>
      </c>
    </row>
    <row r="331" spans="1:4" ht="12" customHeight="1" x14ac:dyDescent="0.2">
      <c r="A331" s="185" t="s">
        <v>466</v>
      </c>
      <c r="B331" s="186">
        <v>46010</v>
      </c>
      <c r="C331" s="187">
        <v>358</v>
      </c>
      <c r="D331" s="188">
        <f>IFERROR(C331/VLOOKUP(A331,Usinas!$A:$B,2,FALSE()),"")</f>
        <v>0.51362984218077479</v>
      </c>
    </row>
    <row r="332" spans="1:4" ht="12" customHeight="1" x14ac:dyDescent="0.2">
      <c r="A332" s="185" t="s">
        <v>466</v>
      </c>
      <c r="B332" s="186">
        <v>46010</v>
      </c>
      <c r="C332" s="187">
        <v>594.70000000000005</v>
      </c>
      <c r="D332" s="188">
        <f>IFERROR(C332/VLOOKUP(A332,Usinas!$A:$B,2,FALSE()),"")</f>
        <v>0.85322812051649932</v>
      </c>
    </row>
    <row r="333" spans="1:4" ht="12" customHeight="1" x14ac:dyDescent="0.2">
      <c r="A333" s="185" t="s">
        <v>466</v>
      </c>
      <c r="B333" s="186">
        <v>46011</v>
      </c>
      <c r="C333" s="187">
        <v>547.79999999999995</v>
      </c>
      <c r="D333" s="188">
        <f>IFERROR(C333/VLOOKUP(A333,Usinas!$A:$B,2,FALSE()),"")</f>
        <v>0.78593974175035863</v>
      </c>
    </row>
    <row r="334" spans="1:4" ht="12" customHeight="1" x14ac:dyDescent="0.2">
      <c r="A334" s="185" t="s">
        <v>466</v>
      </c>
      <c r="B334" s="186">
        <v>46011</v>
      </c>
      <c r="C334" s="187">
        <v>1094.9000000000001</v>
      </c>
      <c r="D334" s="188">
        <f>IFERROR(C334/VLOOKUP(A334,Usinas!$A:$B,2,FALSE()),"")</f>
        <v>1.5708751793400288</v>
      </c>
    </row>
    <row r="335" spans="1:4" ht="12" customHeight="1" x14ac:dyDescent="0.2">
      <c r="A335" s="185" t="s">
        <v>466</v>
      </c>
      <c r="B335" s="186">
        <v>46012</v>
      </c>
      <c r="C335" s="187">
        <v>807.7</v>
      </c>
      <c r="D335" s="188">
        <f>IFERROR(C335/VLOOKUP(A335,Usinas!$A:$B,2,FALSE()),"")</f>
        <v>1.1588235294117648</v>
      </c>
    </row>
    <row r="336" spans="1:4" ht="12" customHeight="1" x14ac:dyDescent="0.2">
      <c r="A336" s="185" t="s">
        <v>466</v>
      </c>
      <c r="B336" s="186">
        <v>46012</v>
      </c>
      <c r="C336" s="187">
        <v>974.5</v>
      </c>
      <c r="D336" s="188">
        <f>IFERROR(C336/VLOOKUP(A336,Usinas!$A:$B,2,FALSE()),"")</f>
        <v>1.3981348637015782</v>
      </c>
    </row>
    <row r="337" spans="1:4" ht="12" customHeight="1" x14ac:dyDescent="0.2">
      <c r="A337" s="185" t="s">
        <v>466</v>
      </c>
      <c r="B337" s="186">
        <v>46013</v>
      </c>
      <c r="C337" s="187">
        <v>221.2</v>
      </c>
      <c r="D337" s="188">
        <f>IFERROR(C337/VLOOKUP(A337,Usinas!$A:$B,2,FALSE()),"")</f>
        <v>0.31736011477761833</v>
      </c>
    </row>
    <row r="338" spans="1:4" ht="12" customHeight="1" x14ac:dyDescent="0.2">
      <c r="A338" s="185" t="s">
        <v>466</v>
      </c>
      <c r="B338" s="186">
        <v>46013</v>
      </c>
      <c r="C338" s="187">
        <v>1138.0999999999999</v>
      </c>
      <c r="D338" s="188">
        <f>IFERROR(C338/VLOOKUP(A338,Usinas!$A:$B,2,FALSE()),"")</f>
        <v>1.6328550932568149</v>
      </c>
    </row>
    <row r="339" spans="1:4" ht="12" customHeight="1" x14ac:dyDescent="0.2">
      <c r="A339" s="185" t="s">
        <v>466</v>
      </c>
      <c r="B339" s="186">
        <v>46014</v>
      </c>
      <c r="C339" s="187">
        <v>611.20000000000005</v>
      </c>
      <c r="D339" s="188">
        <f>IFERROR(C339/VLOOKUP(A339,Usinas!$A:$B,2,FALSE()),"")</f>
        <v>0.87690100430416074</v>
      </c>
    </row>
    <row r="340" spans="1:4" ht="12" customHeight="1" x14ac:dyDescent="0.2">
      <c r="A340" s="185" t="s">
        <v>466</v>
      </c>
      <c r="B340" s="186">
        <v>46014</v>
      </c>
      <c r="C340" s="187">
        <v>1085.5</v>
      </c>
      <c r="D340" s="188">
        <f>IFERROR(C340/VLOOKUP(A340,Usinas!$A:$B,2,FALSE()),"")</f>
        <v>1.5573888091822095</v>
      </c>
    </row>
    <row r="341" spans="1:4" ht="12" customHeight="1" x14ac:dyDescent="0.2">
      <c r="A341" s="185" t="s">
        <v>466</v>
      </c>
      <c r="B341" s="186">
        <v>46015</v>
      </c>
      <c r="C341" s="187">
        <v>477.5</v>
      </c>
      <c r="D341" s="188">
        <f>IFERROR(C341/VLOOKUP(A341,Usinas!$A:$B,2,FALSE()),"")</f>
        <v>0.68507890961262552</v>
      </c>
    </row>
    <row r="342" spans="1:4" ht="12" customHeight="1" x14ac:dyDescent="0.2">
      <c r="A342" s="185" t="s">
        <v>466</v>
      </c>
      <c r="B342" s="186">
        <v>46015</v>
      </c>
      <c r="C342" s="187">
        <v>1153.5</v>
      </c>
      <c r="D342" s="188">
        <f>IFERROR(C342/VLOOKUP(A342,Usinas!$A:$B,2,FALSE()),"")</f>
        <v>1.6549497847919656</v>
      </c>
    </row>
    <row r="343" spans="1:4" ht="12" customHeight="1" x14ac:dyDescent="0.2">
      <c r="A343" s="185" t="s">
        <v>466</v>
      </c>
      <c r="B343" s="186">
        <v>46016</v>
      </c>
      <c r="C343" s="187">
        <v>579.20000000000005</v>
      </c>
      <c r="D343" s="188">
        <f>IFERROR(C343/VLOOKUP(A343,Usinas!$A:$B,2,FALSE()),"")</f>
        <v>0.83098995695839317</v>
      </c>
    </row>
    <row r="344" spans="1:4" ht="12" customHeight="1" x14ac:dyDescent="0.2">
      <c r="A344" s="185" t="s">
        <v>466</v>
      </c>
      <c r="B344" s="186">
        <v>46016</v>
      </c>
      <c r="C344" s="187">
        <v>1123.2</v>
      </c>
      <c r="D344" s="188">
        <f>IFERROR(C344/VLOOKUP(A344,Usinas!$A:$B,2,FALSE()),"")</f>
        <v>1.611477761836442</v>
      </c>
    </row>
    <row r="345" spans="1:4" ht="12" customHeight="1" x14ac:dyDescent="0.2">
      <c r="A345" s="185" t="s">
        <v>466</v>
      </c>
      <c r="B345" s="186">
        <v>46017</v>
      </c>
      <c r="C345" s="187">
        <v>158.69999999999999</v>
      </c>
      <c r="D345" s="188">
        <f>IFERROR(C345/VLOOKUP(A345,Usinas!$A:$B,2,FALSE()),"")</f>
        <v>0.22769010043041604</v>
      </c>
    </row>
    <row r="346" spans="1:4" ht="12" customHeight="1" x14ac:dyDescent="0.2">
      <c r="A346" s="185" t="s">
        <v>466</v>
      </c>
      <c r="B346" s="186">
        <v>46017</v>
      </c>
      <c r="C346" s="187">
        <v>837.3</v>
      </c>
      <c r="D346" s="188">
        <f>IFERROR(C346/VLOOKUP(A346,Usinas!$A:$B,2,FALSE()),"")</f>
        <v>1.2012912482065996</v>
      </c>
    </row>
    <row r="347" spans="1:4" ht="12" customHeight="1" x14ac:dyDescent="0.2">
      <c r="A347" s="185" t="s">
        <v>466</v>
      </c>
      <c r="B347" s="186">
        <v>46018</v>
      </c>
      <c r="C347" s="187">
        <v>525</v>
      </c>
      <c r="D347" s="188">
        <f>IFERROR(C347/VLOOKUP(A347,Usinas!$A:$B,2,FALSE()),"")</f>
        <v>0.75322812051649923</v>
      </c>
    </row>
    <row r="348" spans="1:4" ht="12" customHeight="1" x14ac:dyDescent="0.2">
      <c r="A348" s="185" t="s">
        <v>466</v>
      </c>
      <c r="B348" s="186">
        <v>46018</v>
      </c>
      <c r="C348" s="187">
        <v>981.8</v>
      </c>
      <c r="D348" s="188">
        <f>IFERROR(C348/VLOOKUP(A348,Usinas!$A:$B,2,FALSE()),"")</f>
        <v>1.4086083213773313</v>
      </c>
    </row>
    <row r="349" spans="1:4" ht="12" customHeight="1" x14ac:dyDescent="0.2">
      <c r="A349" s="185" t="s">
        <v>466</v>
      </c>
      <c r="B349" s="186">
        <v>46019</v>
      </c>
      <c r="C349" s="187">
        <v>469.2</v>
      </c>
      <c r="D349" s="188">
        <f>IFERROR(C349/VLOOKUP(A349,Usinas!$A:$B,2,FALSE()),"")</f>
        <v>0.673170731707317</v>
      </c>
    </row>
    <row r="350" spans="1:4" ht="12" customHeight="1" x14ac:dyDescent="0.2">
      <c r="A350" s="185" t="s">
        <v>466</v>
      </c>
      <c r="B350" s="186">
        <v>46019</v>
      </c>
      <c r="C350" s="187">
        <v>113.9</v>
      </c>
      <c r="D350" s="188">
        <f>IFERROR(C350/VLOOKUP(A350,Usinas!$A:$B,2,FALSE()),"")</f>
        <v>0.16341463414634147</v>
      </c>
    </row>
    <row r="351" spans="1:4" ht="12" customHeight="1" x14ac:dyDescent="0.2">
      <c r="A351" s="185" t="s">
        <v>466</v>
      </c>
      <c r="B351" s="186">
        <v>46020</v>
      </c>
      <c r="C351" s="187">
        <v>259.5</v>
      </c>
      <c r="D351" s="188">
        <f>IFERROR(C351/VLOOKUP(A351,Usinas!$A:$B,2,FALSE()),"")</f>
        <v>0.37230989956958394</v>
      </c>
    </row>
    <row r="352" spans="1:4" ht="12" customHeight="1" x14ac:dyDescent="0.2">
      <c r="A352" s="185" t="s">
        <v>466</v>
      </c>
      <c r="B352" s="186">
        <v>46020</v>
      </c>
      <c r="C352" s="187">
        <v>935.7</v>
      </c>
      <c r="D352" s="188">
        <f>IFERROR(C352/VLOOKUP(A352,Usinas!$A:$B,2,FALSE()),"")</f>
        <v>1.3424677187948351</v>
      </c>
    </row>
    <row r="353" spans="1:4" ht="12" customHeight="1" x14ac:dyDescent="0.2">
      <c r="A353" s="185" t="s">
        <v>466</v>
      </c>
      <c r="B353" s="186">
        <v>46021</v>
      </c>
      <c r="C353" s="187">
        <v>386.8</v>
      </c>
      <c r="D353" s="188">
        <f>IFERROR(C353/VLOOKUP(A353,Usinas!$A:$B,2,FALSE()),"")</f>
        <v>0.55494978479196555</v>
      </c>
    </row>
    <row r="354" spans="1:4" ht="12" customHeight="1" x14ac:dyDescent="0.2">
      <c r="A354" s="185" t="s">
        <v>466</v>
      </c>
      <c r="B354" s="186">
        <v>46021</v>
      </c>
      <c r="C354" s="187">
        <v>867.7</v>
      </c>
      <c r="D354" s="188">
        <f>IFERROR(C354/VLOOKUP(A354,Usinas!$A:$B,2,FALSE()),"")</f>
        <v>1.2449067431850789</v>
      </c>
    </row>
    <row r="355" spans="1:4" ht="12" customHeight="1" x14ac:dyDescent="0.2">
      <c r="A355" s="185" t="s">
        <v>466</v>
      </c>
      <c r="B355" s="186">
        <v>46022</v>
      </c>
      <c r="C355" s="187">
        <v>43.6</v>
      </c>
      <c r="D355" s="188">
        <f>IFERROR(C355/VLOOKUP(A355,Usinas!$A:$B,2,FALSE()),"")</f>
        <v>6.2553802008608328E-2</v>
      </c>
    </row>
    <row r="356" spans="1:4" ht="12" customHeight="1" x14ac:dyDescent="0.2">
      <c r="A356" s="185" t="s">
        <v>466</v>
      </c>
      <c r="B356" s="186">
        <v>46022</v>
      </c>
      <c r="C356" s="187">
        <v>990.9</v>
      </c>
      <c r="D356" s="188">
        <f>IFERROR(C356/VLOOKUP(A356,Usinas!$A:$B,2,FALSE()),"")</f>
        <v>1.421664275466284</v>
      </c>
    </row>
    <row r="357" spans="1:4" ht="12" customHeight="1" x14ac:dyDescent="0.2">
      <c r="A357" s="185"/>
      <c r="B357" s="186"/>
      <c r="C357" s="187"/>
      <c r="D357" s="188"/>
    </row>
    <row r="358" spans="1:4" ht="12" customHeight="1" x14ac:dyDescent="0.2">
      <c r="A358" s="185"/>
      <c r="B358" s="186"/>
      <c r="C358" s="187"/>
      <c r="D358" s="188"/>
    </row>
  </sheetData>
  <autoFilter ref="A1:D356" xr:uid="{00000000-0009-0000-0000-000005000000}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3F1DB"/>
  </sheetPr>
  <dimension ref="A1:AH366"/>
  <sheetViews>
    <sheetView zoomScaleNormal="100" workbookViewId="0">
      <selection activeCell="M24" sqref="M24"/>
    </sheetView>
  </sheetViews>
  <sheetFormatPr baseColWidth="10" defaultColWidth="12.5" defaultRowHeight="13" outlineLevelCol="1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19.5" style="182" customWidth="1"/>
    <col min="5" max="5" width="12.5" style="182" customWidth="1"/>
    <col min="6" max="6" width="16.5" style="182" hidden="1" customWidth="1" outlineLevel="1"/>
    <col min="7" max="7" width="11.5" style="182" hidden="1" customWidth="1" outlineLevel="1"/>
    <col min="8" max="8" width="11.5" style="182" customWidth="1"/>
    <col min="9" max="21" width="12.5" style="182" customWidth="1"/>
    <col min="22" max="16384" width="12.5" style="182"/>
  </cols>
  <sheetData>
    <row r="1" spans="1:10" ht="15.75" customHeight="1" x14ac:dyDescent="0.2">
      <c r="A1" s="183" t="s">
        <v>462</v>
      </c>
      <c r="B1" s="183" t="s">
        <v>463</v>
      </c>
      <c r="C1" s="184" t="s">
        <v>464</v>
      </c>
      <c r="D1" s="183" t="s">
        <v>465</v>
      </c>
    </row>
    <row r="2" spans="1:10" ht="15.75" customHeight="1" x14ac:dyDescent="0.2">
      <c r="A2" s="185" t="s">
        <v>472</v>
      </c>
      <c r="B2" s="186">
        <v>45658</v>
      </c>
      <c r="C2" s="196">
        <v>3715.4</v>
      </c>
      <c r="D2" s="188">
        <f>IFERROR(C2/VLOOKUP(A2,Usinas!$A:$B,2,FALSE()),"")</f>
        <v>5.2925925925925927</v>
      </c>
      <c r="F2" s="189" t="s">
        <v>467</v>
      </c>
      <c r="G2" s="189"/>
      <c r="H2" s="189" t="s">
        <v>35</v>
      </c>
      <c r="I2" s="189" t="s">
        <v>468</v>
      </c>
      <c r="J2" s="189" t="s">
        <v>469</v>
      </c>
    </row>
    <row r="3" spans="1:10" ht="15.75" customHeight="1" x14ac:dyDescent="0.2">
      <c r="A3" s="185" t="s">
        <v>472</v>
      </c>
      <c r="B3" s="186">
        <v>45659</v>
      </c>
      <c r="C3" s="196">
        <v>2498.6</v>
      </c>
      <c r="D3" s="188">
        <f>IFERROR(C3/VLOOKUP(A3,Usinas!$A:$B,2,FALSE()),"")</f>
        <v>3.5592592592592593</v>
      </c>
      <c r="F3" s="192">
        <f>+B2</f>
        <v>45658</v>
      </c>
      <c r="G3" s="192">
        <f>+B32</f>
        <v>45688</v>
      </c>
      <c r="H3" s="193">
        <f t="shared" ref="H3:H14" si="0">+F3</f>
        <v>45658</v>
      </c>
      <c r="I3" s="194">
        <f t="shared" ref="I3:I14" si="1">SUMIFS($C$1:$C$366, $B$1:$B$366, "&gt;="&amp;F3, $B$1:$B$366, "&lt;="&amp;G3)</f>
        <v>114258.99999999996</v>
      </c>
      <c r="J3" s="194">
        <f t="shared" ref="J3:J14" si="2">+I3/1000</f>
        <v>114.25899999999996</v>
      </c>
    </row>
    <row r="4" spans="1:10" ht="15.75" customHeight="1" x14ac:dyDescent="0.2">
      <c r="A4" s="185" t="s">
        <v>472</v>
      </c>
      <c r="B4" s="186">
        <v>45660</v>
      </c>
      <c r="C4" s="196">
        <v>4061.9</v>
      </c>
      <c r="D4" s="188">
        <f>IFERROR(C4/VLOOKUP(A4,Usinas!$A:$B,2,FALSE()),"")</f>
        <v>5.7861823361823363</v>
      </c>
      <c r="F4" s="192">
        <f>+B33</f>
        <v>45689</v>
      </c>
      <c r="G4" s="192">
        <f>+F4+27</f>
        <v>45716</v>
      </c>
      <c r="H4" s="193">
        <f t="shared" si="0"/>
        <v>45689</v>
      </c>
      <c r="I4" s="194">
        <f t="shared" si="1"/>
        <v>91131.900000000009</v>
      </c>
      <c r="J4" s="194">
        <f t="shared" si="2"/>
        <v>91.131900000000002</v>
      </c>
    </row>
    <row r="5" spans="1:10" ht="15.75" customHeight="1" x14ac:dyDescent="0.2">
      <c r="A5" s="185" t="s">
        <v>472</v>
      </c>
      <c r="B5" s="186">
        <v>45661</v>
      </c>
      <c r="C5" s="196">
        <v>3262.5</v>
      </c>
      <c r="D5" s="188">
        <f>IFERROR(C5/VLOOKUP(A5,Usinas!$A:$B,2,FALSE()),"")</f>
        <v>4.6474358974358978</v>
      </c>
      <c r="F5" s="192">
        <f t="shared" ref="F5:F14" si="3">+G4+1</f>
        <v>45717</v>
      </c>
      <c r="G5" s="192">
        <f>+F5+30</f>
        <v>45747</v>
      </c>
      <c r="H5" s="193">
        <f t="shared" si="0"/>
        <v>45717</v>
      </c>
      <c r="I5" s="194">
        <f t="shared" si="1"/>
        <v>103061.89999999998</v>
      </c>
      <c r="J5" s="194">
        <f t="shared" si="2"/>
        <v>103.06189999999998</v>
      </c>
    </row>
    <row r="6" spans="1:10" ht="15.75" customHeight="1" x14ac:dyDescent="0.2">
      <c r="A6" s="185" t="s">
        <v>472</v>
      </c>
      <c r="B6" s="186">
        <v>45662</v>
      </c>
      <c r="C6" s="196">
        <v>4061</v>
      </c>
      <c r="D6" s="188">
        <f>IFERROR(C6/VLOOKUP(A6,Usinas!$A:$B,2,FALSE()),"")</f>
        <v>5.7849002849002851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73709.7</v>
      </c>
      <c r="J6" s="194">
        <f t="shared" si="2"/>
        <v>73.709699999999998</v>
      </c>
    </row>
    <row r="7" spans="1:10" ht="15.75" customHeight="1" x14ac:dyDescent="0.2">
      <c r="A7" s="185" t="s">
        <v>472</v>
      </c>
      <c r="B7" s="186">
        <v>45663</v>
      </c>
      <c r="C7" s="196">
        <v>4431.8999999999996</v>
      </c>
      <c r="D7" s="188">
        <f>IFERROR(C7/VLOOKUP(A7,Usinas!$A:$B,2,FALSE()),"")</f>
        <v>6.313247863247863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91616.599999999991</v>
      </c>
      <c r="J7" s="194">
        <f t="shared" si="2"/>
        <v>91.616599999999991</v>
      </c>
    </row>
    <row r="8" spans="1:10" ht="15.75" customHeight="1" x14ac:dyDescent="0.2">
      <c r="A8" s="185" t="s">
        <v>472</v>
      </c>
      <c r="B8" s="186">
        <v>45664</v>
      </c>
      <c r="C8" s="196">
        <v>4460</v>
      </c>
      <c r="D8" s="188">
        <f>IFERROR(C8/VLOOKUP(A8,Usinas!$A:$B,2,FALSE()),"")</f>
        <v>6.3532763532763532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72286.89999999998</v>
      </c>
      <c r="J8" s="194">
        <f t="shared" si="2"/>
        <v>72.286899999999974</v>
      </c>
    </row>
    <row r="9" spans="1:10" ht="15.75" customHeight="1" x14ac:dyDescent="0.2">
      <c r="A9" s="185" t="s">
        <v>472</v>
      </c>
      <c r="B9" s="186">
        <v>45665</v>
      </c>
      <c r="C9" s="196">
        <v>3524.3</v>
      </c>
      <c r="D9" s="188">
        <f>IFERROR(C9/VLOOKUP(A9,Usinas!$A:$B,2,FALSE()),"")</f>
        <v>5.0203703703703706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88336.8</v>
      </c>
      <c r="J9" s="194">
        <f t="shared" si="2"/>
        <v>88.336799999999997</v>
      </c>
    </row>
    <row r="10" spans="1:10" ht="15.75" customHeight="1" x14ac:dyDescent="0.2">
      <c r="A10" s="185" t="s">
        <v>472</v>
      </c>
      <c r="B10" s="186">
        <v>45666</v>
      </c>
      <c r="C10" s="196">
        <v>4744.5</v>
      </c>
      <c r="D10" s="188">
        <f>IFERROR(C10/VLOOKUP(A10,Usinas!$A:$B,2,FALSE()),"")</f>
        <v>6.7585470085470085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93082.7</v>
      </c>
      <c r="J10" s="194">
        <f t="shared" si="2"/>
        <v>93.082700000000003</v>
      </c>
    </row>
    <row r="11" spans="1:10" ht="15.75" customHeight="1" x14ac:dyDescent="0.2">
      <c r="A11" s="185" t="s">
        <v>472</v>
      </c>
      <c r="B11" s="186">
        <v>45667</v>
      </c>
      <c r="C11" s="196">
        <v>3305</v>
      </c>
      <c r="D11" s="188">
        <f>IFERROR(C11/VLOOKUP(A11,Usinas!$A:$B,2,FALSE()),"")</f>
        <v>4.7079772079772075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94433.400000000009</v>
      </c>
      <c r="J11" s="194">
        <f t="shared" si="2"/>
        <v>94.433400000000006</v>
      </c>
    </row>
    <row r="12" spans="1:10" ht="15.75" customHeight="1" x14ac:dyDescent="0.2">
      <c r="A12" s="185" t="s">
        <v>472</v>
      </c>
      <c r="B12" s="186">
        <v>45668</v>
      </c>
      <c r="C12" s="196">
        <v>4671.1000000000004</v>
      </c>
      <c r="D12" s="188">
        <f>IFERROR(C12/VLOOKUP(A12,Usinas!$A:$B,2,FALSE()),"")</f>
        <v>6.6539886039886049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95906.799999999988</v>
      </c>
      <c r="J12" s="194">
        <f t="shared" si="2"/>
        <v>95.90679999999999</v>
      </c>
    </row>
    <row r="13" spans="1:10" ht="15.75" customHeight="1" x14ac:dyDescent="0.2">
      <c r="A13" s="185" t="s">
        <v>472</v>
      </c>
      <c r="B13" s="186">
        <v>45669</v>
      </c>
      <c r="C13" s="196">
        <v>4211.8999999999996</v>
      </c>
      <c r="D13" s="188">
        <f>IFERROR(C13/VLOOKUP(A13,Usinas!$A:$B,2,FALSE()),"")</f>
        <v>5.9998575498575493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107980.59999999998</v>
      </c>
      <c r="J13" s="194">
        <f t="shared" si="2"/>
        <v>107.98059999999998</v>
      </c>
    </row>
    <row r="14" spans="1:10" ht="15.75" customHeight="1" x14ac:dyDescent="0.2">
      <c r="A14" s="185" t="s">
        <v>472</v>
      </c>
      <c r="B14" s="186">
        <v>45670</v>
      </c>
      <c r="C14" s="196">
        <v>4327.1000000000004</v>
      </c>
      <c r="D14" s="188">
        <f>IFERROR(C14/VLOOKUP(A14,Usinas!$A:$B,2,FALSE()),"")</f>
        <v>6.1639601139601146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106603.90000000001</v>
      </c>
      <c r="J14" s="194">
        <f t="shared" si="2"/>
        <v>106.60390000000001</v>
      </c>
    </row>
    <row r="15" spans="1:10" ht="15.75" customHeight="1" x14ac:dyDescent="0.2">
      <c r="A15" s="185" t="s">
        <v>472</v>
      </c>
      <c r="B15" s="186">
        <v>45671</v>
      </c>
      <c r="C15" s="196">
        <v>4370</v>
      </c>
      <c r="D15" s="188">
        <f>IFERROR(C15/VLOOKUP(A15,Usinas!$A:$B,2,FALSE()),"")</f>
        <v>6.2250712250712255</v>
      </c>
    </row>
    <row r="16" spans="1:10" ht="15.75" customHeight="1" x14ac:dyDescent="0.2">
      <c r="A16" s="185" t="s">
        <v>472</v>
      </c>
      <c r="B16" s="186">
        <v>45672</v>
      </c>
      <c r="C16" s="196">
        <v>4324</v>
      </c>
      <c r="D16" s="188">
        <f>IFERROR(C16/VLOOKUP(A16,Usinas!$A:$B,2,FALSE()),"")</f>
        <v>6.1595441595441596</v>
      </c>
    </row>
    <row r="17" spans="1:10" ht="15.75" customHeight="1" x14ac:dyDescent="0.2">
      <c r="A17" s="185" t="s">
        <v>472</v>
      </c>
      <c r="B17" s="186">
        <v>45673</v>
      </c>
      <c r="C17" s="196">
        <v>4173.6000000000004</v>
      </c>
      <c r="D17" s="188">
        <f>IFERROR(C17/VLOOKUP(A17,Usinas!$A:$B,2,FALSE()),"")</f>
        <v>5.9452991452991455</v>
      </c>
      <c r="J17" s="190"/>
    </row>
    <row r="18" spans="1:10" ht="12" customHeight="1" x14ac:dyDescent="0.2">
      <c r="A18" s="185" t="s">
        <v>472</v>
      </c>
      <c r="B18" s="186">
        <v>45674</v>
      </c>
      <c r="C18" s="196">
        <v>2490.4</v>
      </c>
      <c r="D18" s="188">
        <f>IFERROR(C18/VLOOKUP(A18,Usinas!$A:$B,2,FALSE()),"")</f>
        <v>3.5475783475783476</v>
      </c>
    </row>
    <row r="19" spans="1:10" ht="12" customHeight="1" x14ac:dyDescent="0.2">
      <c r="A19" s="185" t="s">
        <v>472</v>
      </c>
      <c r="B19" s="186">
        <v>45675</v>
      </c>
      <c r="C19" s="196">
        <v>2419.1</v>
      </c>
      <c r="D19" s="188">
        <f>IFERROR(C19/VLOOKUP(A19,Usinas!$A:$B,2,FALSE()),"")</f>
        <v>3.4460113960113961</v>
      </c>
    </row>
    <row r="20" spans="1:10" ht="12" customHeight="1" x14ac:dyDescent="0.2">
      <c r="A20" s="185" t="s">
        <v>472</v>
      </c>
      <c r="B20" s="186">
        <v>45676</v>
      </c>
      <c r="C20" s="196">
        <v>3206.2</v>
      </c>
      <c r="D20" s="188">
        <f>IFERROR(C20/VLOOKUP(A20,Usinas!$A:$B,2,FALSE()),"")</f>
        <v>4.5672364672364667</v>
      </c>
    </row>
    <row r="21" spans="1:10" ht="12" customHeight="1" x14ac:dyDescent="0.2">
      <c r="A21" s="185" t="s">
        <v>472</v>
      </c>
      <c r="B21" s="186">
        <v>45677</v>
      </c>
      <c r="C21" s="196">
        <v>2768</v>
      </c>
      <c r="D21" s="188">
        <f>IFERROR(C21/VLOOKUP(A21,Usinas!$A:$B,2,FALSE()),"")</f>
        <v>3.9430199430199431</v>
      </c>
    </row>
    <row r="22" spans="1:10" ht="12" customHeight="1" x14ac:dyDescent="0.2">
      <c r="A22" s="185" t="s">
        <v>472</v>
      </c>
      <c r="B22" s="186">
        <v>45678</v>
      </c>
      <c r="C22" s="196">
        <v>3998.4</v>
      </c>
      <c r="D22" s="188">
        <f>IFERROR(C22/VLOOKUP(A22,Usinas!$A:$B,2,FALSE()),"")</f>
        <v>5.6957264957264959</v>
      </c>
    </row>
    <row r="23" spans="1:10" ht="12" customHeight="1" x14ac:dyDescent="0.2">
      <c r="A23" s="185" t="s">
        <v>472</v>
      </c>
      <c r="B23" s="186">
        <v>45679</v>
      </c>
      <c r="C23" s="196">
        <v>2927.9</v>
      </c>
      <c r="D23" s="188">
        <f>IFERROR(C23/VLOOKUP(A23,Usinas!$A:$B,2,FALSE()),"")</f>
        <v>4.1707977207977205</v>
      </c>
    </row>
    <row r="24" spans="1:10" ht="12" customHeight="1" x14ac:dyDescent="0.2">
      <c r="A24" s="185" t="s">
        <v>472</v>
      </c>
      <c r="B24" s="186">
        <v>45680</v>
      </c>
      <c r="C24" s="196">
        <v>3035.9</v>
      </c>
      <c r="D24" s="188">
        <f>IFERROR(C24/VLOOKUP(A24,Usinas!$A:$B,2,FALSE()),"")</f>
        <v>4.3246438746438747</v>
      </c>
    </row>
    <row r="25" spans="1:10" ht="12" customHeight="1" x14ac:dyDescent="0.2">
      <c r="A25" s="185" t="s">
        <v>472</v>
      </c>
      <c r="B25" s="186">
        <v>45681</v>
      </c>
      <c r="C25" s="196">
        <v>4013.7</v>
      </c>
      <c r="D25" s="188">
        <f>IFERROR(C25/VLOOKUP(A25,Usinas!$A:$B,2,FALSE()),"")</f>
        <v>5.7175213675213676</v>
      </c>
    </row>
    <row r="26" spans="1:10" ht="12" customHeight="1" x14ac:dyDescent="0.2">
      <c r="A26" s="185" t="s">
        <v>472</v>
      </c>
      <c r="B26" s="186">
        <v>45682</v>
      </c>
      <c r="C26" s="196">
        <v>3852.9</v>
      </c>
      <c r="D26" s="188">
        <f>IFERROR(C26/VLOOKUP(A26,Usinas!$A:$B,2,FALSE()),"")</f>
        <v>5.4884615384615385</v>
      </c>
    </row>
    <row r="27" spans="1:10" ht="12" customHeight="1" x14ac:dyDescent="0.2">
      <c r="A27" s="185" t="s">
        <v>472</v>
      </c>
      <c r="B27" s="186">
        <v>45683</v>
      </c>
      <c r="C27" s="196">
        <v>4282.3999999999996</v>
      </c>
      <c r="D27" s="188">
        <f>IFERROR(C27/VLOOKUP(A27,Usinas!$A:$B,2,FALSE()),"")</f>
        <v>6.1002849002848993</v>
      </c>
    </row>
    <row r="28" spans="1:10" ht="12" customHeight="1" x14ac:dyDescent="0.2">
      <c r="A28" s="185" t="s">
        <v>472</v>
      </c>
      <c r="B28" s="186">
        <v>45684</v>
      </c>
      <c r="C28" s="196">
        <v>3431.7</v>
      </c>
      <c r="D28" s="188">
        <f>IFERROR(C28/VLOOKUP(A28,Usinas!$A:$B,2,FALSE()),"")</f>
        <v>4.888461538461538</v>
      </c>
    </row>
    <row r="29" spans="1:10" ht="12" customHeight="1" x14ac:dyDescent="0.2">
      <c r="A29" s="185" t="s">
        <v>472</v>
      </c>
      <c r="B29" s="186">
        <v>45685</v>
      </c>
      <c r="C29" s="196">
        <v>3218.8</v>
      </c>
      <c r="D29" s="188">
        <f>IFERROR(C29/VLOOKUP(A29,Usinas!$A:$B,2,FALSE()),"")</f>
        <v>4.5851851851851855</v>
      </c>
    </row>
    <row r="30" spans="1:10" ht="12" customHeight="1" x14ac:dyDescent="0.2">
      <c r="A30" s="185" t="s">
        <v>472</v>
      </c>
      <c r="B30" s="186">
        <v>45686</v>
      </c>
      <c r="C30" s="196">
        <v>3626.5</v>
      </c>
      <c r="D30" s="188">
        <f>IFERROR(C30/VLOOKUP(A30,Usinas!$A:$B,2,FALSE()),"")</f>
        <v>5.165954415954416</v>
      </c>
    </row>
    <row r="31" spans="1:10" ht="12" customHeight="1" x14ac:dyDescent="0.2">
      <c r="A31" s="185" t="s">
        <v>472</v>
      </c>
      <c r="B31" s="186">
        <v>45687</v>
      </c>
      <c r="C31" s="196">
        <v>3186.4</v>
      </c>
      <c r="D31" s="188">
        <f>IFERROR(C31/VLOOKUP(A31,Usinas!$A:$B,2,FALSE()),"")</f>
        <v>4.5390313390313395</v>
      </c>
    </row>
    <row r="32" spans="1:10" ht="12" customHeight="1" x14ac:dyDescent="0.2">
      <c r="A32" s="185" t="s">
        <v>472</v>
      </c>
      <c r="B32" s="186">
        <v>45688</v>
      </c>
      <c r="C32" s="196">
        <v>3657.9</v>
      </c>
      <c r="D32" s="188">
        <f>IFERROR(C32/VLOOKUP(A32,Usinas!$A:$B,2,FALSE()),"")</f>
        <v>5.2106837606837608</v>
      </c>
    </row>
    <row r="33" spans="1:31" ht="12" customHeight="1" x14ac:dyDescent="0.2">
      <c r="A33" s="185" t="s">
        <v>472</v>
      </c>
      <c r="B33" s="186">
        <v>45689</v>
      </c>
      <c r="C33" s="196">
        <v>3855.5</v>
      </c>
      <c r="D33" s="188">
        <f>IFERROR(C33/VLOOKUP(A33,Usinas!$A:$B,2,FALSE()),"")</f>
        <v>5.4921652421652425</v>
      </c>
      <c r="E33" s="197"/>
      <c r="F33" s="197"/>
      <c r="G33" s="197"/>
      <c r="H33" s="197"/>
      <c r="I33" s="197"/>
      <c r="J33" s="197"/>
      <c r="K33" s="197"/>
      <c r="L33" s="197"/>
      <c r="M33" s="197"/>
      <c r="N33" s="197"/>
      <c r="O33" s="197"/>
      <c r="P33" s="197"/>
      <c r="Q33" s="197"/>
      <c r="R33" s="197"/>
      <c r="S33" s="197"/>
      <c r="T33" s="197"/>
      <c r="U33" s="197"/>
      <c r="V33" s="197"/>
      <c r="W33" s="197"/>
      <c r="X33" s="197"/>
      <c r="Y33" s="197"/>
      <c r="Z33" s="197"/>
      <c r="AA33" s="197"/>
      <c r="AB33" s="197"/>
      <c r="AC33" s="197"/>
      <c r="AD33" s="197"/>
      <c r="AE33" s="197"/>
    </row>
    <row r="34" spans="1:31" ht="12" customHeight="1" x14ac:dyDescent="0.2">
      <c r="A34" s="185" t="s">
        <v>472</v>
      </c>
      <c r="B34" s="186">
        <v>45690</v>
      </c>
      <c r="C34" s="196">
        <v>3846</v>
      </c>
      <c r="D34" s="188">
        <f>IFERROR(C34/VLOOKUP(A34,Usinas!$A:$B,2,FALSE()),"")</f>
        <v>5.4786324786324787</v>
      </c>
    </row>
    <row r="35" spans="1:31" ht="12" customHeight="1" x14ac:dyDescent="0.2">
      <c r="A35" s="185" t="s">
        <v>472</v>
      </c>
      <c r="B35" s="186">
        <v>45691</v>
      </c>
      <c r="C35" s="196">
        <v>3078.7</v>
      </c>
      <c r="D35" s="188">
        <f>IFERROR(C35/VLOOKUP(A35,Usinas!$A:$B,2,FALSE()),"")</f>
        <v>4.3856125356125357</v>
      </c>
    </row>
    <row r="36" spans="1:31" ht="12" customHeight="1" x14ac:dyDescent="0.2">
      <c r="A36" s="185" t="s">
        <v>472</v>
      </c>
      <c r="B36" s="186">
        <v>45692</v>
      </c>
      <c r="C36" s="196">
        <v>3740.2</v>
      </c>
      <c r="D36" s="188">
        <f>IFERROR(C36/VLOOKUP(A36,Usinas!$A:$B,2,FALSE()),"")</f>
        <v>5.3279202279202273</v>
      </c>
    </row>
    <row r="37" spans="1:31" ht="12" customHeight="1" x14ac:dyDescent="0.2">
      <c r="A37" s="185" t="s">
        <v>472</v>
      </c>
      <c r="B37" s="186">
        <v>45693</v>
      </c>
      <c r="C37" s="196">
        <v>2541.9</v>
      </c>
      <c r="D37" s="188">
        <f>IFERROR(C37/VLOOKUP(A37,Usinas!$A:$B,2,FALSE()),"")</f>
        <v>3.620940170940171</v>
      </c>
    </row>
    <row r="38" spans="1:31" ht="12" customHeight="1" x14ac:dyDescent="0.2">
      <c r="A38" s="185" t="s">
        <v>472</v>
      </c>
      <c r="B38" s="186">
        <v>45694</v>
      </c>
      <c r="C38" s="196">
        <v>2646.8</v>
      </c>
      <c r="D38" s="188">
        <f>IFERROR(C38/VLOOKUP(A38,Usinas!$A:$B,2,FALSE()),"")</f>
        <v>3.7703703703703706</v>
      </c>
    </row>
    <row r="39" spans="1:31" ht="12" customHeight="1" x14ac:dyDescent="0.2">
      <c r="A39" s="185" t="s">
        <v>472</v>
      </c>
      <c r="B39" s="186">
        <v>45695</v>
      </c>
      <c r="C39" s="196">
        <v>3204.3</v>
      </c>
      <c r="D39" s="188">
        <f>IFERROR(C39/VLOOKUP(A39,Usinas!$A:$B,2,FALSE()),"")</f>
        <v>4.5645299145299152</v>
      </c>
    </row>
    <row r="40" spans="1:31" ht="12" customHeight="1" x14ac:dyDescent="0.2">
      <c r="A40" s="185" t="s">
        <v>472</v>
      </c>
      <c r="B40" s="186">
        <v>45696</v>
      </c>
      <c r="C40" s="196">
        <v>4377.7</v>
      </c>
      <c r="D40" s="188">
        <f>IFERROR(C40/VLOOKUP(A40,Usinas!$A:$B,2,FALSE()),"")</f>
        <v>6.2360398860398858</v>
      </c>
    </row>
    <row r="41" spans="1:31" ht="12" customHeight="1" x14ac:dyDescent="0.2">
      <c r="A41" s="185" t="s">
        <v>472</v>
      </c>
      <c r="B41" s="186">
        <v>45697</v>
      </c>
      <c r="C41" s="196">
        <v>4464.1000000000004</v>
      </c>
      <c r="D41" s="188">
        <f>IFERROR(C41/VLOOKUP(A41,Usinas!$A:$B,2,FALSE()),"")</f>
        <v>6.3591168091168093</v>
      </c>
    </row>
    <row r="42" spans="1:31" ht="12" customHeight="1" x14ac:dyDescent="0.2">
      <c r="A42" s="185" t="s">
        <v>472</v>
      </c>
      <c r="B42" s="186">
        <v>45698</v>
      </c>
      <c r="C42" s="196">
        <v>4095</v>
      </c>
      <c r="D42" s="188">
        <f>IFERROR(C42/VLOOKUP(A42,Usinas!$A:$B,2,FALSE()),"")</f>
        <v>5.833333333333333</v>
      </c>
    </row>
    <row r="43" spans="1:31" ht="12" customHeight="1" x14ac:dyDescent="0.2">
      <c r="A43" s="185" t="s">
        <v>472</v>
      </c>
      <c r="B43" s="186">
        <v>45699</v>
      </c>
      <c r="C43" s="196">
        <v>4250.8999999999996</v>
      </c>
      <c r="D43" s="188">
        <f>IFERROR(C43/VLOOKUP(A43,Usinas!$A:$B,2,FALSE()),"")</f>
        <v>6.0554131054131046</v>
      </c>
    </row>
    <row r="44" spans="1:31" ht="12" customHeight="1" x14ac:dyDescent="0.2">
      <c r="A44" s="185" t="s">
        <v>472</v>
      </c>
      <c r="B44" s="186">
        <v>45700</v>
      </c>
      <c r="C44" s="196">
        <v>3496.6</v>
      </c>
      <c r="D44" s="188">
        <f>IFERROR(C44/VLOOKUP(A44,Usinas!$A:$B,2,FALSE()),"")</f>
        <v>4.9809116809116807</v>
      </c>
    </row>
    <row r="45" spans="1:31" ht="12" customHeight="1" x14ac:dyDescent="0.2">
      <c r="A45" s="185" t="s">
        <v>472</v>
      </c>
      <c r="B45" s="186">
        <v>45701</v>
      </c>
      <c r="C45" s="196">
        <v>3138.7</v>
      </c>
      <c r="D45" s="188">
        <f>IFERROR(C45/VLOOKUP(A45,Usinas!$A:$B,2,FALSE()),"")</f>
        <v>4.4710826210826209</v>
      </c>
    </row>
    <row r="46" spans="1:31" ht="12" customHeight="1" x14ac:dyDescent="0.2">
      <c r="A46" s="185" t="s">
        <v>472</v>
      </c>
      <c r="B46" s="186">
        <v>45702</v>
      </c>
      <c r="C46" s="196">
        <v>2945.6</v>
      </c>
      <c r="D46" s="188">
        <f>IFERROR(C46/VLOOKUP(A46,Usinas!$A:$B,2,FALSE()),"")</f>
        <v>4.1960113960113956</v>
      </c>
    </row>
    <row r="47" spans="1:31" ht="12" customHeight="1" x14ac:dyDescent="0.2">
      <c r="A47" s="185" t="s">
        <v>472</v>
      </c>
      <c r="B47" s="186">
        <v>45703</v>
      </c>
      <c r="C47" s="196">
        <v>3153.2</v>
      </c>
      <c r="D47" s="188">
        <f>IFERROR(C47/VLOOKUP(A47,Usinas!$A:$B,2,FALSE()),"")</f>
        <v>4.4917378917378912</v>
      </c>
    </row>
    <row r="48" spans="1:31" ht="12" customHeight="1" x14ac:dyDescent="0.2">
      <c r="A48" s="185" t="s">
        <v>472</v>
      </c>
      <c r="B48" s="186">
        <v>45704</v>
      </c>
      <c r="C48" s="196">
        <v>2817.5</v>
      </c>
      <c r="D48" s="188">
        <f>IFERROR(C48/VLOOKUP(A48,Usinas!$A:$B,2,FALSE()),"")</f>
        <v>4.0135327635327638</v>
      </c>
    </row>
    <row r="49" spans="1:34" ht="12" customHeight="1" x14ac:dyDescent="0.2">
      <c r="A49" s="185" t="s">
        <v>472</v>
      </c>
      <c r="B49" s="186">
        <v>45705</v>
      </c>
      <c r="C49" s="196">
        <v>4114.6000000000004</v>
      </c>
      <c r="D49" s="188">
        <f>IFERROR(C49/VLOOKUP(A49,Usinas!$A:$B,2,FALSE()),"")</f>
        <v>5.8612535612535615</v>
      </c>
    </row>
    <row r="50" spans="1:34" ht="12" customHeight="1" x14ac:dyDescent="0.2">
      <c r="A50" s="185" t="s">
        <v>472</v>
      </c>
      <c r="B50" s="186">
        <v>45706</v>
      </c>
      <c r="C50" s="196">
        <v>1056.3</v>
      </c>
      <c r="D50" s="188">
        <f>IFERROR(C50/VLOOKUP(A50,Usinas!$A:$B,2,FALSE()),"")</f>
        <v>1.5047008547008547</v>
      </c>
    </row>
    <row r="51" spans="1:34" ht="12" customHeight="1" x14ac:dyDescent="0.2">
      <c r="A51" s="185" t="s">
        <v>472</v>
      </c>
      <c r="B51" s="186">
        <v>45707</v>
      </c>
      <c r="C51" s="196">
        <v>3654.3</v>
      </c>
      <c r="D51" s="188">
        <f>IFERROR(C51/VLOOKUP(A51,Usinas!$A:$B,2,FALSE()),"")</f>
        <v>5.2055555555555557</v>
      </c>
    </row>
    <row r="52" spans="1:34" ht="12" customHeight="1" x14ac:dyDescent="0.2">
      <c r="A52" s="185" t="s">
        <v>472</v>
      </c>
      <c r="B52" s="186">
        <v>45708</v>
      </c>
      <c r="C52" s="196">
        <v>3036.9</v>
      </c>
      <c r="D52" s="188">
        <f>IFERROR(C52/VLOOKUP(A52,Usinas!$A:$B,2,FALSE()),"")</f>
        <v>4.3260683760683758</v>
      </c>
    </row>
    <row r="53" spans="1:34" ht="12" customHeight="1" x14ac:dyDescent="0.2">
      <c r="A53" s="185" t="s">
        <v>472</v>
      </c>
      <c r="B53" s="186">
        <v>45709</v>
      </c>
      <c r="C53" s="196">
        <v>3928.6</v>
      </c>
      <c r="D53" s="188">
        <f>IFERROR(C53/VLOOKUP(A53,Usinas!$A:$B,2,FALSE()),"")</f>
        <v>5.5962962962962965</v>
      </c>
    </row>
    <row r="54" spans="1:34" ht="12" customHeight="1" x14ac:dyDescent="0.2">
      <c r="A54" s="185" t="s">
        <v>472</v>
      </c>
      <c r="B54" s="186">
        <v>45710</v>
      </c>
      <c r="C54" s="196">
        <v>2911.3</v>
      </c>
      <c r="D54" s="188">
        <f>IFERROR(C54/VLOOKUP(A54,Usinas!$A:$B,2,FALSE()),"")</f>
        <v>4.1471509971509972</v>
      </c>
    </row>
    <row r="55" spans="1:34" ht="12" customHeight="1" x14ac:dyDescent="0.2">
      <c r="A55" s="185" t="s">
        <v>472</v>
      </c>
      <c r="B55" s="186">
        <v>45711</v>
      </c>
      <c r="C55" s="196">
        <v>3237.7</v>
      </c>
      <c r="D55" s="188">
        <f>IFERROR(C55/VLOOKUP(A55,Usinas!$A:$B,2,FALSE()),"")</f>
        <v>4.6121082621082614</v>
      </c>
    </row>
    <row r="56" spans="1:34" ht="12" customHeight="1" x14ac:dyDescent="0.2">
      <c r="A56" s="185" t="s">
        <v>472</v>
      </c>
      <c r="B56" s="186">
        <v>45712</v>
      </c>
      <c r="C56" s="196">
        <v>3049.2</v>
      </c>
      <c r="D56" s="188">
        <f>IFERROR(C56/VLOOKUP(A56,Usinas!$A:$B,2,FALSE()),"")</f>
        <v>4.3435897435897433</v>
      </c>
    </row>
    <row r="57" spans="1:34" ht="12" customHeight="1" x14ac:dyDescent="0.2">
      <c r="A57" s="185" t="s">
        <v>472</v>
      </c>
      <c r="B57" s="186">
        <v>45713</v>
      </c>
      <c r="C57" s="196">
        <v>2395.6</v>
      </c>
      <c r="D57" s="188">
        <f>IFERROR(C57/VLOOKUP(A57,Usinas!$A:$B,2,FALSE()),"")</f>
        <v>3.4125356125356126</v>
      </c>
    </row>
    <row r="58" spans="1:34" ht="12" customHeight="1" x14ac:dyDescent="0.2">
      <c r="A58" s="185" t="s">
        <v>472</v>
      </c>
      <c r="B58" s="186">
        <v>45714</v>
      </c>
      <c r="C58" s="196">
        <v>2219.8000000000002</v>
      </c>
      <c r="D58" s="188">
        <f>IFERROR(C58/VLOOKUP(A58,Usinas!$A:$B,2,FALSE()),"")</f>
        <v>3.1621082621082626</v>
      </c>
    </row>
    <row r="59" spans="1:34" ht="12" customHeight="1" x14ac:dyDescent="0.2">
      <c r="A59" s="185" t="s">
        <v>472</v>
      </c>
      <c r="B59" s="186">
        <v>45715</v>
      </c>
      <c r="C59" s="196">
        <v>2579.6999999999998</v>
      </c>
      <c r="D59" s="188">
        <f>IFERROR(C59/VLOOKUP(A59,Usinas!$A:$B,2,FALSE()),"")</f>
        <v>3.6747863247863246</v>
      </c>
    </row>
    <row r="60" spans="1:34" ht="12" customHeight="1" x14ac:dyDescent="0.2">
      <c r="A60" s="185" t="s">
        <v>472</v>
      </c>
      <c r="B60" s="186">
        <v>45716</v>
      </c>
      <c r="C60" s="196">
        <v>3295.2</v>
      </c>
      <c r="D60" s="188">
        <f>IFERROR(C60/VLOOKUP(A60,Usinas!$A:$B,2,FALSE()),"")</f>
        <v>4.6940170940170933</v>
      </c>
    </row>
    <row r="61" spans="1:34" ht="12" customHeight="1" x14ac:dyDescent="0.2">
      <c r="A61" s="185" t="s">
        <v>472</v>
      </c>
      <c r="B61" s="186">
        <v>45717</v>
      </c>
      <c r="C61" s="196">
        <v>4203.8</v>
      </c>
      <c r="D61" s="188">
        <f>IFERROR(C61/VLOOKUP(A61,Usinas!$A:$B,2,FALSE()),"")</f>
        <v>5.9883190883190887</v>
      </c>
      <c r="E61" s="197"/>
      <c r="F61" s="197"/>
      <c r="G61" s="197"/>
      <c r="H61" s="197"/>
      <c r="I61" s="197"/>
      <c r="J61" s="197"/>
      <c r="K61" s="197"/>
      <c r="L61" s="197"/>
      <c r="M61" s="197"/>
      <c r="N61" s="197"/>
      <c r="O61" s="197"/>
      <c r="P61" s="197"/>
      <c r="Q61" s="197"/>
      <c r="R61" s="197"/>
      <c r="S61" s="197"/>
      <c r="T61" s="197"/>
      <c r="U61" s="197"/>
      <c r="V61" s="197"/>
      <c r="W61" s="197"/>
      <c r="X61" s="197"/>
      <c r="Y61" s="197"/>
      <c r="Z61" s="197"/>
      <c r="AA61" s="197"/>
      <c r="AB61" s="197"/>
      <c r="AC61" s="197"/>
      <c r="AD61" s="197"/>
      <c r="AE61" s="197"/>
      <c r="AF61" s="197"/>
      <c r="AG61" s="197"/>
      <c r="AH61" s="197"/>
    </row>
    <row r="62" spans="1:34" ht="12" customHeight="1" x14ac:dyDescent="0.2">
      <c r="A62" s="185" t="s">
        <v>472</v>
      </c>
      <c r="B62" s="186">
        <v>45718</v>
      </c>
      <c r="C62" s="196">
        <v>3958.9</v>
      </c>
      <c r="D62" s="188">
        <f>IFERROR(C62/VLOOKUP(A62,Usinas!$A:$B,2,FALSE()),"")</f>
        <v>5.6394586894586896</v>
      </c>
    </row>
    <row r="63" spans="1:34" ht="12" customHeight="1" x14ac:dyDescent="0.2">
      <c r="A63" s="185" t="s">
        <v>472</v>
      </c>
      <c r="B63" s="186">
        <v>45719</v>
      </c>
      <c r="C63" s="196">
        <v>3609.2</v>
      </c>
      <c r="D63" s="188">
        <f>IFERROR(C63/VLOOKUP(A63,Usinas!$A:$B,2,FALSE()),"")</f>
        <v>5.1413105413105411</v>
      </c>
    </row>
    <row r="64" spans="1:34" ht="12" customHeight="1" x14ac:dyDescent="0.2">
      <c r="A64" s="185" t="s">
        <v>472</v>
      </c>
      <c r="B64" s="186">
        <v>45720</v>
      </c>
      <c r="C64" s="196">
        <v>4119.1000000000004</v>
      </c>
      <c r="D64" s="188">
        <f>IFERROR(C64/VLOOKUP(A64,Usinas!$A:$B,2,FALSE()),"")</f>
        <v>5.8676638176638178</v>
      </c>
    </row>
    <row r="65" spans="1:4" ht="12" customHeight="1" x14ac:dyDescent="0.2">
      <c r="A65" s="185" t="s">
        <v>472</v>
      </c>
      <c r="B65" s="186">
        <v>45721</v>
      </c>
      <c r="C65" s="196">
        <v>2576.9</v>
      </c>
      <c r="D65" s="188">
        <f>IFERROR(C65/VLOOKUP(A65,Usinas!$A:$B,2,FALSE()),"")</f>
        <v>3.6707977207977209</v>
      </c>
    </row>
    <row r="66" spans="1:4" ht="12" customHeight="1" x14ac:dyDescent="0.2">
      <c r="A66" s="185" t="s">
        <v>472</v>
      </c>
      <c r="B66" s="186">
        <v>45722</v>
      </c>
      <c r="C66" s="196">
        <v>2442.3000000000002</v>
      </c>
      <c r="D66" s="188">
        <f>IFERROR(C66/VLOOKUP(A66,Usinas!$A:$B,2,FALSE()),"")</f>
        <v>3.4790598290598291</v>
      </c>
    </row>
    <row r="67" spans="1:4" ht="12" customHeight="1" x14ac:dyDescent="0.2">
      <c r="A67" s="185" t="s">
        <v>472</v>
      </c>
      <c r="B67" s="186">
        <v>45723</v>
      </c>
      <c r="C67" s="196">
        <v>3737.1</v>
      </c>
      <c r="D67" s="188">
        <f>IFERROR(C67/VLOOKUP(A67,Usinas!$A:$B,2,FALSE()),"")</f>
        <v>5.3235042735042732</v>
      </c>
    </row>
    <row r="68" spans="1:4" ht="12" customHeight="1" x14ac:dyDescent="0.2">
      <c r="A68" s="185" t="s">
        <v>472</v>
      </c>
      <c r="B68" s="186">
        <v>45724</v>
      </c>
      <c r="C68" s="196">
        <v>4121.2</v>
      </c>
      <c r="D68" s="188">
        <f>IFERROR(C68/VLOOKUP(A68,Usinas!$A:$B,2,FALSE()),"")</f>
        <v>5.8706552706552708</v>
      </c>
    </row>
    <row r="69" spans="1:4" ht="12" customHeight="1" x14ac:dyDescent="0.2">
      <c r="A69" s="185" t="s">
        <v>472</v>
      </c>
      <c r="B69" s="186">
        <v>45725</v>
      </c>
      <c r="C69" s="196">
        <v>4111</v>
      </c>
      <c r="D69" s="188">
        <f>IFERROR(C69/VLOOKUP(A69,Usinas!$A:$B,2,FALSE()),"")</f>
        <v>5.8561253561253563</v>
      </c>
    </row>
    <row r="70" spans="1:4" ht="12" customHeight="1" x14ac:dyDescent="0.2">
      <c r="A70" s="185" t="s">
        <v>472</v>
      </c>
      <c r="B70" s="186">
        <v>45726</v>
      </c>
      <c r="C70" s="196">
        <v>3726.1</v>
      </c>
      <c r="D70" s="188">
        <f>IFERROR(C70/VLOOKUP(A70,Usinas!$A:$B,2,FALSE()),"")</f>
        <v>5.3078347578347573</v>
      </c>
    </row>
    <row r="71" spans="1:4" ht="12" customHeight="1" x14ac:dyDescent="0.2">
      <c r="A71" s="185" t="s">
        <v>472</v>
      </c>
      <c r="B71" s="186">
        <v>45727</v>
      </c>
      <c r="C71" s="196">
        <v>1349.2</v>
      </c>
      <c r="D71" s="188">
        <f>IFERROR(C71/VLOOKUP(A71,Usinas!$A:$B,2,FALSE()),"")</f>
        <v>1.9219373219373219</v>
      </c>
    </row>
    <row r="72" spans="1:4" ht="12" customHeight="1" x14ac:dyDescent="0.2">
      <c r="A72" s="185" t="s">
        <v>472</v>
      </c>
      <c r="B72" s="186">
        <v>45728</v>
      </c>
      <c r="C72" s="196">
        <v>2562.3000000000002</v>
      </c>
      <c r="D72" s="188">
        <f>IFERROR(C72/VLOOKUP(A72,Usinas!$A:$B,2,FALSE()),"")</f>
        <v>3.6500000000000004</v>
      </c>
    </row>
    <row r="73" spans="1:4" ht="12" customHeight="1" x14ac:dyDescent="0.2">
      <c r="A73" s="185" t="s">
        <v>472</v>
      </c>
      <c r="B73" s="186">
        <v>45729</v>
      </c>
      <c r="C73" s="196">
        <v>3111.8</v>
      </c>
      <c r="D73" s="188">
        <f>IFERROR(C73/VLOOKUP(A73,Usinas!$A:$B,2,FALSE()),"")</f>
        <v>4.4327635327635333</v>
      </c>
    </row>
    <row r="74" spans="1:4" ht="12" customHeight="1" x14ac:dyDescent="0.2">
      <c r="A74" s="185" t="s">
        <v>472</v>
      </c>
      <c r="B74" s="186">
        <v>45730</v>
      </c>
      <c r="C74" s="196">
        <v>3930.7</v>
      </c>
      <c r="D74" s="188">
        <f>IFERROR(C74/VLOOKUP(A74,Usinas!$A:$B,2,FALSE()),"")</f>
        <v>5.5992877492877486</v>
      </c>
    </row>
    <row r="75" spans="1:4" ht="12" customHeight="1" x14ac:dyDescent="0.2">
      <c r="A75" s="185" t="s">
        <v>472</v>
      </c>
      <c r="B75" s="186">
        <v>45731</v>
      </c>
      <c r="C75" s="196">
        <v>3917.5</v>
      </c>
      <c r="D75" s="188">
        <f>IFERROR(C75/VLOOKUP(A75,Usinas!$A:$B,2,FALSE()),"")</f>
        <v>5.5804843304843308</v>
      </c>
    </row>
    <row r="76" spans="1:4" ht="12" customHeight="1" x14ac:dyDescent="0.2">
      <c r="A76" s="185" t="s">
        <v>472</v>
      </c>
      <c r="B76" s="186">
        <v>45732</v>
      </c>
      <c r="C76" s="196">
        <v>3963.9</v>
      </c>
      <c r="D76" s="188">
        <f>IFERROR(C76/VLOOKUP(A76,Usinas!$A:$B,2,FALSE()),"")</f>
        <v>5.6465811965811969</v>
      </c>
    </row>
    <row r="77" spans="1:4" ht="12" customHeight="1" x14ac:dyDescent="0.2">
      <c r="A77" s="185" t="s">
        <v>472</v>
      </c>
      <c r="B77" s="186">
        <v>45733</v>
      </c>
      <c r="C77" s="196">
        <v>3910.4</v>
      </c>
      <c r="D77" s="188">
        <f>IFERROR(C77/VLOOKUP(A77,Usinas!$A:$B,2,FALSE()),"")</f>
        <v>5.5703703703703704</v>
      </c>
    </row>
    <row r="78" spans="1:4" ht="12" customHeight="1" x14ac:dyDescent="0.2">
      <c r="A78" s="185" t="s">
        <v>472</v>
      </c>
      <c r="B78" s="186">
        <v>45734</v>
      </c>
      <c r="C78" s="196">
        <v>2651.6</v>
      </c>
      <c r="D78" s="188">
        <f>IFERROR(C78/VLOOKUP(A78,Usinas!$A:$B,2,FALSE()),"")</f>
        <v>3.777207977207977</v>
      </c>
    </row>
    <row r="79" spans="1:4" ht="12" customHeight="1" x14ac:dyDescent="0.2">
      <c r="A79" s="185" t="s">
        <v>472</v>
      </c>
      <c r="B79" s="186">
        <v>45735</v>
      </c>
      <c r="C79" s="196">
        <v>3971.5</v>
      </c>
      <c r="D79" s="188">
        <f>IFERROR(C79/VLOOKUP(A79,Usinas!$A:$B,2,FALSE()),"")</f>
        <v>5.6574074074074074</v>
      </c>
    </row>
    <row r="80" spans="1:4" ht="12" customHeight="1" x14ac:dyDescent="0.2">
      <c r="A80" s="185" t="s">
        <v>472</v>
      </c>
      <c r="B80" s="186">
        <v>45736</v>
      </c>
      <c r="C80" s="196">
        <v>4129.2</v>
      </c>
      <c r="D80" s="188">
        <f>IFERROR(C80/VLOOKUP(A80,Usinas!$A:$B,2,FALSE()),"")</f>
        <v>5.8820512820512816</v>
      </c>
    </row>
    <row r="81" spans="1:33" ht="12" customHeight="1" x14ac:dyDescent="0.2">
      <c r="A81" s="185" t="s">
        <v>472</v>
      </c>
      <c r="B81" s="186">
        <v>45737</v>
      </c>
      <c r="C81" s="196">
        <v>4286.5</v>
      </c>
      <c r="D81" s="188">
        <f>IFERROR(C81/VLOOKUP(A81,Usinas!$A:$B,2,FALSE()),"")</f>
        <v>6.1061253561253563</v>
      </c>
    </row>
    <row r="82" spans="1:33" ht="12" customHeight="1" x14ac:dyDescent="0.2">
      <c r="A82" s="185" t="s">
        <v>472</v>
      </c>
      <c r="B82" s="186">
        <v>45738</v>
      </c>
      <c r="C82" s="196">
        <v>3255.5</v>
      </c>
      <c r="D82" s="188">
        <f>IFERROR(C82/VLOOKUP(A82,Usinas!$A:$B,2,FALSE()),"")</f>
        <v>4.6374643874643873</v>
      </c>
    </row>
    <row r="83" spans="1:33" ht="12" customHeight="1" x14ac:dyDescent="0.2">
      <c r="A83" s="185" t="s">
        <v>472</v>
      </c>
      <c r="B83" s="186">
        <v>45739</v>
      </c>
      <c r="C83" s="196">
        <v>2573.9</v>
      </c>
      <c r="D83" s="188">
        <f>IFERROR(C83/VLOOKUP(A83,Usinas!$A:$B,2,FALSE()),"")</f>
        <v>3.6665242165242167</v>
      </c>
    </row>
    <row r="84" spans="1:33" ht="12" customHeight="1" x14ac:dyDescent="0.2">
      <c r="A84" s="185" t="s">
        <v>472</v>
      </c>
      <c r="B84" s="186">
        <v>45740</v>
      </c>
      <c r="C84" s="196">
        <v>3596.5</v>
      </c>
      <c r="D84" s="188">
        <f>IFERROR(C84/VLOOKUP(A84,Usinas!$A:$B,2,FALSE()),"")</f>
        <v>5.1232193732193734</v>
      </c>
    </row>
    <row r="85" spans="1:33" ht="12" customHeight="1" x14ac:dyDescent="0.2">
      <c r="A85" s="185" t="s">
        <v>472</v>
      </c>
      <c r="B85" s="186">
        <v>45741</v>
      </c>
      <c r="C85" s="196">
        <v>3226.1</v>
      </c>
      <c r="D85" s="188">
        <f>IFERROR(C85/VLOOKUP(A85,Usinas!$A:$B,2,FALSE()),"")</f>
        <v>4.5955840455840455</v>
      </c>
    </row>
    <row r="86" spans="1:33" ht="12" customHeight="1" x14ac:dyDescent="0.2">
      <c r="A86" s="185" t="s">
        <v>472</v>
      </c>
      <c r="B86" s="186">
        <v>45742</v>
      </c>
      <c r="C86" s="196">
        <v>3460.2</v>
      </c>
      <c r="D86" s="188">
        <f>IFERROR(C86/VLOOKUP(A86,Usinas!$A:$B,2,FALSE()),"")</f>
        <v>4.9290598290598284</v>
      </c>
    </row>
    <row r="87" spans="1:33" ht="12" customHeight="1" x14ac:dyDescent="0.2">
      <c r="A87" s="185" t="s">
        <v>472</v>
      </c>
      <c r="B87" s="186">
        <v>45743</v>
      </c>
      <c r="C87" s="196">
        <v>3792</v>
      </c>
      <c r="D87" s="188">
        <f>IFERROR(C87/VLOOKUP(A87,Usinas!$A:$B,2,FALSE()),"")</f>
        <v>5.4017094017094021</v>
      </c>
    </row>
    <row r="88" spans="1:33" ht="12" customHeight="1" x14ac:dyDescent="0.2">
      <c r="A88" s="185" t="s">
        <v>472</v>
      </c>
      <c r="B88" s="186">
        <v>45744</v>
      </c>
      <c r="C88" s="196">
        <v>3459.4</v>
      </c>
      <c r="D88" s="188">
        <f>IFERROR(C88/VLOOKUP(A88,Usinas!$A:$B,2,FALSE()),"")</f>
        <v>4.9279202279202279</v>
      </c>
    </row>
    <row r="89" spans="1:33" ht="12" customHeight="1" x14ac:dyDescent="0.2">
      <c r="A89" s="185" t="s">
        <v>472</v>
      </c>
      <c r="B89" s="186">
        <v>45745</v>
      </c>
      <c r="C89" s="196">
        <v>1523.2</v>
      </c>
      <c r="D89" s="188">
        <f>IFERROR(C89/VLOOKUP(A89,Usinas!$A:$B,2,FALSE()),"")</f>
        <v>2.1698005698005698</v>
      </c>
    </row>
    <row r="90" spans="1:33" ht="12" customHeight="1" x14ac:dyDescent="0.2">
      <c r="A90" s="185" t="s">
        <v>472</v>
      </c>
      <c r="B90" s="186">
        <v>45746</v>
      </c>
      <c r="C90" s="196">
        <v>1812.9</v>
      </c>
      <c r="D90" s="188">
        <f>IFERROR(C90/VLOOKUP(A90,Usinas!$A:$B,2,FALSE()),"")</f>
        <v>2.5824786324786326</v>
      </c>
    </row>
    <row r="91" spans="1:33" ht="12" customHeight="1" x14ac:dyDescent="0.2">
      <c r="A91" s="185" t="s">
        <v>472</v>
      </c>
      <c r="B91" s="186">
        <v>45747</v>
      </c>
      <c r="C91" s="196">
        <v>1972</v>
      </c>
      <c r="D91" s="188">
        <f>IFERROR(C91/VLOOKUP(A91,Usinas!$A:$B,2,FALSE()),"")</f>
        <v>2.8091168091168091</v>
      </c>
    </row>
    <row r="92" spans="1:33" ht="12" customHeight="1" x14ac:dyDescent="0.2">
      <c r="A92" s="185" t="s">
        <v>472</v>
      </c>
      <c r="B92" s="186">
        <v>45748</v>
      </c>
      <c r="C92" s="196">
        <v>2652</v>
      </c>
      <c r="D92" s="188">
        <f>IFERROR(C92/VLOOKUP(A92,Usinas!$A:$B,2,FALSE()),"")</f>
        <v>3.7777777777777777</v>
      </c>
      <c r="E92" s="197"/>
      <c r="F92" s="197"/>
      <c r="G92" s="197"/>
      <c r="H92" s="197"/>
      <c r="I92" s="197"/>
      <c r="J92" s="197"/>
      <c r="K92" s="197"/>
      <c r="L92" s="197"/>
      <c r="M92" s="197"/>
      <c r="N92" s="197"/>
      <c r="O92" s="197"/>
      <c r="P92" s="197"/>
      <c r="Q92" s="197"/>
      <c r="R92" s="197"/>
      <c r="S92" s="197"/>
      <c r="T92" s="197"/>
      <c r="U92" s="197"/>
      <c r="V92" s="197"/>
      <c r="W92" s="197"/>
      <c r="X92" s="197"/>
      <c r="Y92" s="197"/>
      <c r="Z92" s="197"/>
      <c r="AA92" s="197"/>
      <c r="AB92" s="197"/>
      <c r="AC92" s="197"/>
      <c r="AD92" s="197"/>
      <c r="AE92" s="197"/>
      <c r="AF92" s="197"/>
      <c r="AG92" s="197"/>
    </row>
    <row r="93" spans="1:33" ht="12" customHeight="1" x14ac:dyDescent="0.2">
      <c r="A93" s="185" t="s">
        <v>472</v>
      </c>
      <c r="B93" s="186">
        <v>45749</v>
      </c>
      <c r="C93" s="196">
        <v>2475</v>
      </c>
      <c r="D93" s="188">
        <f>IFERROR(C93/VLOOKUP(A93,Usinas!$A:$B,2,FALSE()),"")</f>
        <v>3.5256410256410255</v>
      </c>
    </row>
    <row r="94" spans="1:33" ht="12" customHeight="1" x14ac:dyDescent="0.2">
      <c r="A94" s="185" t="s">
        <v>472</v>
      </c>
      <c r="B94" s="186">
        <v>45750</v>
      </c>
      <c r="C94" s="196">
        <v>3413.1</v>
      </c>
      <c r="D94" s="188">
        <f>IFERROR(C94/VLOOKUP(A94,Usinas!$A:$B,2,FALSE()),"")</f>
        <v>4.8619658119658116</v>
      </c>
    </row>
    <row r="95" spans="1:33" ht="12" customHeight="1" x14ac:dyDescent="0.2">
      <c r="A95" s="185" t="s">
        <v>472</v>
      </c>
      <c r="B95" s="186">
        <v>45751</v>
      </c>
      <c r="C95" s="196">
        <v>3680.4</v>
      </c>
      <c r="D95" s="188">
        <f>IFERROR(C95/VLOOKUP(A95,Usinas!$A:$B,2,FALSE()),"")</f>
        <v>5.2427350427350428</v>
      </c>
    </row>
    <row r="96" spans="1:33" ht="12" customHeight="1" x14ac:dyDescent="0.2">
      <c r="A96" s="185" t="s">
        <v>472</v>
      </c>
      <c r="B96" s="186">
        <v>45752</v>
      </c>
      <c r="C96" s="196">
        <v>3348.1</v>
      </c>
      <c r="D96" s="188">
        <f>IFERROR(C96/VLOOKUP(A96,Usinas!$A:$B,2,FALSE()),"")</f>
        <v>4.769373219373219</v>
      </c>
    </row>
    <row r="97" spans="1:4" ht="12" customHeight="1" x14ac:dyDescent="0.2">
      <c r="A97" s="185" t="s">
        <v>472</v>
      </c>
      <c r="B97" s="186">
        <v>45753</v>
      </c>
      <c r="C97" s="196">
        <v>4070.8</v>
      </c>
      <c r="D97" s="188">
        <f>IFERROR(C97/VLOOKUP(A97,Usinas!$A:$B,2,FALSE()),"")</f>
        <v>5.7988603988603993</v>
      </c>
    </row>
    <row r="98" spans="1:4" ht="12" customHeight="1" x14ac:dyDescent="0.2">
      <c r="A98" s="185" t="s">
        <v>472</v>
      </c>
      <c r="B98" s="186">
        <v>45754</v>
      </c>
      <c r="C98" s="196">
        <v>3669.5</v>
      </c>
      <c r="D98" s="188">
        <f>IFERROR(C98/VLOOKUP(A98,Usinas!$A:$B,2,FALSE()),"")</f>
        <v>5.2272079772079776</v>
      </c>
    </row>
    <row r="99" spans="1:4" ht="12" customHeight="1" x14ac:dyDescent="0.2">
      <c r="A99" s="185" t="s">
        <v>472</v>
      </c>
      <c r="B99" s="186">
        <v>45755</v>
      </c>
      <c r="C99" s="196">
        <v>3131.1</v>
      </c>
      <c r="D99" s="188">
        <f>IFERROR(C99/VLOOKUP(A99,Usinas!$A:$B,2,FALSE()),"")</f>
        <v>4.4602564102564104</v>
      </c>
    </row>
    <row r="100" spans="1:4" ht="12" customHeight="1" x14ac:dyDescent="0.2">
      <c r="A100" s="185" t="s">
        <v>472</v>
      </c>
      <c r="B100" s="186">
        <v>45756</v>
      </c>
      <c r="C100" s="196">
        <v>1914.9</v>
      </c>
      <c r="D100" s="188">
        <f>IFERROR(C100/VLOOKUP(A100,Usinas!$A:$B,2,FALSE()),"")</f>
        <v>2.7277777777777779</v>
      </c>
    </row>
    <row r="101" spans="1:4" ht="12" customHeight="1" x14ac:dyDescent="0.2">
      <c r="A101" s="185" t="s">
        <v>472</v>
      </c>
      <c r="B101" s="186">
        <v>45757</v>
      </c>
      <c r="C101" s="196">
        <v>3132</v>
      </c>
      <c r="D101" s="188">
        <f>IFERROR(C101/VLOOKUP(A101,Usinas!$A:$B,2,FALSE()),"")</f>
        <v>4.4615384615384617</v>
      </c>
    </row>
    <row r="102" spans="1:4" ht="12" customHeight="1" x14ac:dyDescent="0.2">
      <c r="A102" s="185" t="s">
        <v>472</v>
      </c>
      <c r="B102" s="186">
        <v>45758</v>
      </c>
      <c r="C102" s="196">
        <v>3136.8</v>
      </c>
      <c r="D102" s="188">
        <f>IFERROR(C102/VLOOKUP(A102,Usinas!$A:$B,2,FALSE()),"")</f>
        <v>4.4683760683760685</v>
      </c>
    </row>
    <row r="103" spans="1:4" ht="12" customHeight="1" x14ac:dyDescent="0.2">
      <c r="A103" s="185" t="s">
        <v>472</v>
      </c>
      <c r="B103" s="186">
        <v>45759</v>
      </c>
      <c r="C103" s="196">
        <v>1323.1</v>
      </c>
      <c r="D103" s="188">
        <f>IFERROR(C103/VLOOKUP(A103,Usinas!$A:$B,2,FALSE()),"")</f>
        <v>1.8847578347578346</v>
      </c>
    </row>
    <row r="104" spans="1:4" ht="12" customHeight="1" x14ac:dyDescent="0.2">
      <c r="A104" s="185" t="s">
        <v>472</v>
      </c>
      <c r="B104" s="186">
        <v>45760</v>
      </c>
      <c r="C104" s="196">
        <v>1943.3</v>
      </c>
      <c r="D104" s="188">
        <f>IFERROR(C104/VLOOKUP(A104,Usinas!$A:$B,2,FALSE()),"")</f>
        <v>2.768233618233618</v>
      </c>
    </row>
    <row r="105" spans="1:4" ht="12" customHeight="1" x14ac:dyDescent="0.2">
      <c r="A105" s="185" t="s">
        <v>472</v>
      </c>
      <c r="B105" s="186">
        <v>45761</v>
      </c>
      <c r="C105" s="196">
        <v>2349</v>
      </c>
      <c r="D105" s="188">
        <f>IFERROR(C105/VLOOKUP(A105,Usinas!$A:$B,2,FALSE()),"")</f>
        <v>3.3461538461538463</v>
      </c>
    </row>
    <row r="106" spans="1:4" ht="12" customHeight="1" x14ac:dyDescent="0.2">
      <c r="A106" s="185" t="s">
        <v>472</v>
      </c>
      <c r="B106" s="186">
        <v>45762</v>
      </c>
      <c r="C106" s="196">
        <v>1817.5</v>
      </c>
      <c r="D106" s="188">
        <f>IFERROR(C106/VLOOKUP(A106,Usinas!$A:$B,2,FALSE()),"")</f>
        <v>2.5890313390313389</v>
      </c>
    </row>
    <row r="107" spans="1:4" ht="12" customHeight="1" x14ac:dyDescent="0.2">
      <c r="A107" s="185" t="s">
        <v>472</v>
      </c>
      <c r="B107" s="186">
        <v>45763</v>
      </c>
      <c r="C107" s="196">
        <v>1499.7</v>
      </c>
      <c r="D107" s="188">
        <f>IFERROR(C107/VLOOKUP(A107,Usinas!$A:$B,2,FALSE()),"")</f>
        <v>2.1363247863247863</v>
      </c>
    </row>
    <row r="108" spans="1:4" ht="12" customHeight="1" x14ac:dyDescent="0.2">
      <c r="A108" s="185" t="s">
        <v>472</v>
      </c>
      <c r="B108" s="186">
        <v>45764</v>
      </c>
      <c r="C108" s="196">
        <v>1911.2</v>
      </c>
      <c r="D108" s="188">
        <f>IFERROR(C108/VLOOKUP(A108,Usinas!$A:$B,2,FALSE()),"")</f>
        <v>2.7225071225071225</v>
      </c>
    </row>
    <row r="109" spans="1:4" ht="12" customHeight="1" x14ac:dyDescent="0.2">
      <c r="A109" s="185" t="s">
        <v>472</v>
      </c>
      <c r="B109" s="186">
        <v>45765</v>
      </c>
      <c r="C109" s="196">
        <v>696.1</v>
      </c>
      <c r="D109" s="188">
        <f>IFERROR(C109/VLOOKUP(A109,Usinas!$A:$B,2,FALSE()),"")</f>
        <v>0.99159544159544166</v>
      </c>
    </row>
    <row r="110" spans="1:4" ht="12" customHeight="1" x14ac:dyDescent="0.2">
      <c r="A110" s="185" t="s">
        <v>472</v>
      </c>
      <c r="B110" s="186">
        <v>45766</v>
      </c>
      <c r="C110" s="196">
        <v>1301.3</v>
      </c>
      <c r="D110" s="188">
        <f>IFERROR(C110/VLOOKUP(A110,Usinas!$A:$B,2,FALSE()),"")</f>
        <v>1.8537037037037036</v>
      </c>
    </row>
    <row r="111" spans="1:4" ht="12" customHeight="1" x14ac:dyDescent="0.2">
      <c r="A111" s="185" t="s">
        <v>472</v>
      </c>
      <c r="B111" s="186">
        <v>45767</v>
      </c>
      <c r="C111" s="196">
        <v>1834.3</v>
      </c>
      <c r="D111" s="188">
        <f>IFERROR(C111/VLOOKUP(A111,Usinas!$A:$B,2,FALSE()),"")</f>
        <v>2.6129629629629627</v>
      </c>
    </row>
    <row r="112" spans="1:4" ht="12" customHeight="1" x14ac:dyDescent="0.2">
      <c r="A112" s="185" t="s">
        <v>472</v>
      </c>
      <c r="B112" s="186">
        <v>45768</v>
      </c>
      <c r="C112" s="196">
        <v>3301.1</v>
      </c>
      <c r="D112" s="188">
        <f>IFERROR(C112/VLOOKUP(A112,Usinas!$A:$B,2,FALSE()),"")</f>
        <v>4.702421652421652</v>
      </c>
    </row>
    <row r="113" spans="1:34" ht="12" customHeight="1" x14ac:dyDescent="0.2">
      <c r="A113" s="185" t="s">
        <v>472</v>
      </c>
      <c r="B113" s="186">
        <v>45769</v>
      </c>
      <c r="C113" s="196">
        <v>3274.9</v>
      </c>
      <c r="D113" s="188">
        <f>IFERROR(C113/VLOOKUP(A113,Usinas!$A:$B,2,FALSE()),"")</f>
        <v>4.6650997150997151</v>
      </c>
    </row>
    <row r="114" spans="1:34" ht="12" customHeight="1" x14ac:dyDescent="0.2">
      <c r="A114" s="185" t="s">
        <v>472</v>
      </c>
      <c r="B114" s="186">
        <v>45770</v>
      </c>
      <c r="C114" s="196">
        <v>3091.6</v>
      </c>
      <c r="D114" s="188">
        <f>IFERROR(C114/VLOOKUP(A114,Usinas!$A:$B,2,FALSE()),"")</f>
        <v>4.403988603988604</v>
      </c>
    </row>
    <row r="115" spans="1:34" ht="12" customHeight="1" x14ac:dyDescent="0.2">
      <c r="A115" s="185" t="s">
        <v>472</v>
      </c>
      <c r="B115" s="186">
        <v>45771</v>
      </c>
      <c r="C115" s="196">
        <v>445.1</v>
      </c>
      <c r="D115" s="188">
        <f>IFERROR(C115/VLOOKUP(A115,Usinas!$A:$B,2,FALSE()),"")</f>
        <v>0.63404558404558409</v>
      </c>
    </row>
    <row r="116" spans="1:34" ht="12" customHeight="1" x14ac:dyDescent="0.2">
      <c r="A116" s="185" t="s">
        <v>472</v>
      </c>
      <c r="B116" s="186">
        <v>45772</v>
      </c>
      <c r="C116" s="196">
        <v>1551.6</v>
      </c>
      <c r="D116" s="188">
        <f>IFERROR(C116/VLOOKUP(A116,Usinas!$A:$B,2,FALSE()),"")</f>
        <v>2.21025641025641</v>
      </c>
    </row>
    <row r="117" spans="1:34" ht="12" customHeight="1" x14ac:dyDescent="0.2">
      <c r="A117" s="185" t="s">
        <v>472</v>
      </c>
      <c r="B117" s="186">
        <v>45773</v>
      </c>
      <c r="C117" s="196">
        <v>2181.8000000000002</v>
      </c>
      <c r="D117" s="188">
        <f>IFERROR(C117/VLOOKUP(A117,Usinas!$A:$B,2,FALSE()),"")</f>
        <v>3.1079772079772083</v>
      </c>
    </row>
    <row r="118" spans="1:34" ht="12" customHeight="1" x14ac:dyDescent="0.2">
      <c r="A118" s="185" t="s">
        <v>472</v>
      </c>
      <c r="B118" s="186">
        <v>45774</v>
      </c>
      <c r="C118" s="196">
        <v>1594.1</v>
      </c>
      <c r="D118" s="188">
        <f>IFERROR(C118/VLOOKUP(A118,Usinas!$A:$B,2,FALSE()),"")</f>
        <v>2.2707977207977206</v>
      </c>
    </row>
    <row r="119" spans="1:34" ht="12" customHeight="1" x14ac:dyDescent="0.2">
      <c r="A119" s="185" t="s">
        <v>472</v>
      </c>
      <c r="B119" s="186">
        <v>45775</v>
      </c>
      <c r="C119" s="196">
        <v>1632.6</v>
      </c>
      <c r="D119" s="188">
        <f>IFERROR(C119/VLOOKUP(A119,Usinas!$A:$B,2,FALSE()),"")</f>
        <v>2.3256410256410254</v>
      </c>
    </row>
    <row r="120" spans="1:34" ht="12" customHeight="1" x14ac:dyDescent="0.2">
      <c r="A120" s="185" t="s">
        <v>472</v>
      </c>
      <c r="B120" s="186">
        <v>45776</v>
      </c>
      <c r="C120" s="196">
        <v>3937.7</v>
      </c>
      <c r="D120" s="188">
        <f>IFERROR(C120/VLOOKUP(A120,Usinas!$A:$B,2,FALSE()),"")</f>
        <v>5.6092592592592592</v>
      </c>
    </row>
    <row r="121" spans="1:34" ht="12" customHeight="1" x14ac:dyDescent="0.2">
      <c r="A121" s="185" t="s">
        <v>472</v>
      </c>
      <c r="B121" s="186">
        <v>45777</v>
      </c>
      <c r="C121" s="196">
        <v>3400</v>
      </c>
      <c r="D121" s="188">
        <f>IFERROR(C121/VLOOKUP(A121,Usinas!$A:$B,2,FALSE()),"")</f>
        <v>4.8433048433048436</v>
      </c>
    </row>
    <row r="122" spans="1:34" ht="12" customHeight="1" x14ac:dyDescent="0.2">
      <c r="A122" s="185" t="s">
        <v>472</v>
      </c>
      <c r="B122" s="186">
        <v>45778</v>
      </c>
      <c r="C122" s="196">
        <v>3839.7</v>
      </c>
      <c r="D122" s="188">
        <f>IFERROR(C122/VLOOKUP(A122,Usinas!$A:$B,2,FALSE()),"")</f>
        <v>5.4696581196581198</v>
      </c>
      <c r="E122" s="197"/>
      <c r="F122" s="197"/>
      <c r="G122" s="197"/>
      <c r="H122" s="197"/>
      <c r="I122" s="197"/>
      <c r="J122" s="197"/>
      <c r="K122" s="197"/>
      <c r="L122" s="197"/>
      <c r="M122" s="197"/>
      <c r="N122" s="197"/>
      <c r="O122" s="197"/>
      <c r="P122" s="197"/>
      <c r="Q122" s="197"/>
      <c r="R122" s="197"/>
      <c r="S122" s="197"/>
      <c r="T122" s="197"/>
      <c r="U122" s="197"/>
      <c r="V122" s="197"/>
      <c r="W122" s="197"/>
      <c r="X122" s="197"/>
      <c r="Y122" s="197"/>
      <c r="Z122" s="197"/>
      <c r="AA122" s="197"/>
      <c r="AB122" s="197"/>
      <c r="AC122" s="197"/>
      <c r="AD122" s="197"/>
      <c r="AE122" s="197"/>
      <c r="AF122" s="197"/>
      <c r="AG122" s="197"/>
      <c r="AH122" s="197"/>
    </row>
    <row r="123" spans="1:34" ht="12" customHeight="1" x14ac:dyDescent="0.2">
      <c r="A123" s="185" t="s">
        <v>472</v>
      </c>
      <c r="B123" s="186">
        <v>45779</v>
      </c>
      <c r="C123" s="196">
        <v>3601.4</v>
      </c>
      <c r="D123" s="188">
        <f>IFERROR(C123/VLOOKUP(A123,Usinas!$A:$B,2,FALSE()),"")</f>
        <v>5.13019943019943</v>
      </c>
    </row>
    <row r="124" spans="1:34" ht="12" customHeight="1" x14ac:dyDescent="0.2">
      <c r="A124" s="185" t="s">
        <v>472</v>
      </c>
      <c r="B124" s="186">
        <v>45780</v>
      </c>
      <c r="C124" s="196">
        <v>2338.6</v>
      </c>
      <c r="D124" s="188">
        <f>IFERROR(C124/VLOOKUP(A124,Usinas!$A:$B,2,FALSE()),"")</f>
        <v>3.3313390313390312</v>
      </c>
    </row>
    <row r="125" spans="1:34" ht="12" customHeight="1" x14ac:dyDescent="0.2">
      <c r="A125" s="185" t="s">
        <v>472</v>
      </c>
      <c r="B125" s="186">
        <v>45781</v>
      </c>
      <c r="C125" s="196">
        <v>3654.9</v>
      </c>
      <c r="D125" s="188">
        <f>IFERROR(C125/VLOOKUP(A125,Usinas!$A:$B,2,FALSE()),"")</f>
        <v>5.2064102564102566</v>
      </c>
    </row>
    <row r="126" spans="1:34" ht="12" customHeight="1" x14ac:dyDescent="0.2">
      <c r="A126" s="185" t="s">
        <v>472</v>
      </c>
      <c r="B126" s="186">
        <v>45782</v>
      </c>
      <c r="C126" s="196">
        <v>2196.6</v>
      </c>
      <c r="D126" s="188">
        <f>IFERROR(C126/VLOOKUP(A126,Usinas!$A:$B,2,FALSE()),"")</f>
        <v>3.129059829059829</v>
      </c>
    </row>
    <row r="127" spans="1:34" ht="12" customHeight="1" x14ac:dyDescent="0.2">
      <c r="A127" s="185" t="s">
        <v>472</v>
      </c>
      <c r="B127" s="186">
        <v>45783</v>
      </c>
      <c r="C127" s="196">
        <v>3133.7</v>
      </c>
      <c r="D127" s="188">
        <f>IFERROR(C127/VLOOKUP(A127,Usinas!$A:$B,2,FALSE()),"")</f>
        <v>4.4639601139601135</v>
      </c>
    </row>
    <row r="128" spans="1:34" ht="12" customHeight="1" x14ac:dyDescent="0.2">
      <c r="A128" s="185" t="s">
        <v>472</v>
      </c>
      <c r="B128" s="186">
        <v>45784</v>
      </c>
      <c r="C128" s="196">
        <v>2426.1999999999998</v>
      </c>
      <c r="D128" s="188">
        <f>IFERROR(C128/VLOOKUP(A128,Usinas!$A:$B,2,FALSE()),"")</f>
        <v>3.456125356125356</v>
      </c>
    </row>
    <row r="129" spans="1:4" ht="12" customHeight="1" x14ac:dyDescent="0.2">
      <c r="A129" s="185" t="s">
        <v>472</v>
      </c>
      <c r="B129" s="186">
        <v>45785</v>
      </c>
      <c r="C129" s="196">
        <v>3420.1</v>
      </c>
      <c r="D129" s="188">
        <f>IFERROR(C129/VLOOKUP(A129,Usinas!$A:$B,2,FALSE()),"")</f>
        <v>4.8719373219373221</v>
      </c>
    </row>
    <row r="130" spans="1:4" ht="12" customHeight="1" x14ac:dyDescent="0.2">
      <c r="A130" s="185" t="s">
        <v>472</v>
      </c>
      <c r="B130" s="186">
        <v>45786</v>
      </c>
      <c r="C130" s="196">
        <v>3099.1</v>
      </c>
      <c r="D130" s="188">
        <f>IFERROR(C130/VLOOKUP(A130,Usinas!$A:$B,2,FALSE()),"")</f>
        <v>4.4146723646723647</v>
      </c>
    </row>
    <row r="131" spans="1:4" ht="12" customHeight="1" x14ac:dyDescent="0.2">
      <c r="A131" s="185" t="s">
        <v>472</v>
      </c>
      <c r="B131" s="186">
        <v>45787</v>
      </c>
      <c r="C131" s="196">
        <v>2070.9</v>
      </c>
      <c r="D131" s="188">
        <f>IFERROR(C131/VLOOKUP(A131,Usinas!$A:$B,2,FALSE()),"")</f>
        <v>2.95</v>
      </c>
    </row>
    <row r="132" spans="1:4" ht="12" customHeight="1" x14ac:dyDescent="0.2">
      <c r="A132" s="185" t="s">
        <v>472</v>
      </c>
      <c r="B132" s="186">
        <v>45788</v>
      </c>
      <c r="C132" s="196">
        <v>1936</v>
      </c>
      <c r="D132" s="188">
        <f>IFERROR(C132/VLOOKUP(A132,Usinas!$A:$B,2,FALSE()),"")</f>
        <v>2.757834757834758</v>
      </c>
    </row>
    <row r="133" spans="1:4" ht="12" customHeight="1" x14ac:dyDescent="0.2">
      <c r="A133" s="185" t="s">
        <v>472</v>
      </c>
      <c r="B133" s="186">
        <v>45789</v>
      </c>
      <c r="C133" s="196">
        <v>3439.2</v>
      </c>
      <c r="D133" s="188">
        <f>IFERROR(C133/VLOOKUP(A133,Usinas!$A:$B,2,FALSE()),"")</f>
        <v>4.8991452991452986</v>
      </c>
    </row>
    <row r="134" spans="1:4" ht="12" customHeight="1" x14ac:dyDescent="0.2">
      <c r="A134" s="185" t="s">
        <v>472</v>
      </c>
      <c r="B134" s="186">
        <v>45790</v>
      </c>
      <c r="C134" s="196">
        <v>3355.4</v>
      </c>
      <c r="D134" s="188">
        <f>IFERROR(C134/VLOOKUP(A134,Usinas!$A:$B,2,FALSE()),"")</f>
        <v>4.77977207977208</v>
      </c>
    </row>
    <row r="135" spans="1:4" ht="12" customHeight="1" x14ac:dyDescent="0.2">
      <c r="A135" s="185" t="s">
        <v>472</v>
      </c>
      <c r="B135" s="186">
        <v>45791</v>
      </c>
      <c r="C135" s="196">
        <v>3397.6</v>
      </c>
      <c r="D135" s="188">
        <f>IFERROR(C135/VLOOKUP(A135,Usinas!$A:$B,2,FALSE()),"")</f>
        <v>4.8398860398860402</v>
      </c>
    </row>
    <row r="136" spans="1:4" ht="12" customHeight="1" x14ac:dyDescent="0.2">
      <c r="A136" s="185" t="s">
        <v>472</v>
      </c>
      <c r="B136" s="186">
        <v>45792</v>
      </c>
      <c r="C136" s="196">
        <v>3376.6</v>
      </c>
      <c r="D136" s="188">
        <f>IFERROR(C136/VLOOKUP(A136,Usinas!$A:$B,2,FALSE()),"")</f>
        <v>4.8099715099715095</v>
      </c>
    </row>
    <row r="137" spans="1:4" ht="12" customHeight="1" x14ac:dyDescent="0.2">
      <c r="A137" s="185" t="s">
        <v>472</v>
      </c>
      <c r="B137" s="186">
        <v>45793</v>
      </c>
      <c r="C137" s="196">
        <v>3190.5</v>
      </c>
      <c r="D137" s="188">
        <f>IFERROR(C137/VLOOKUP(A137,Usinas!$A:$B,2,FALSE()),"")</f>
        <v>4.5448717948717947</v>
      </c>
    </row>
    <row r="138" spans="1:4" ht="12" customHeight="1" x14ac:dyDescent="0.2">
      <c r="A138" s="185" t="s">
        <v>472</v>
      </c>
      <c r="B138" s="186">
        <v>45794</v>
      </c>
      <c r="C138" s="196">
        <v>3019.2</v>
      </c>
      <c r="D138" s="188">
        <f>IFERROR(C138/VLOOKUP(A138,Usinas!$A:$B,2,FALSE()),"")</f>
        <v>4.3008547008547007</v>
      </c>
    </row>
    <row r="139" spans="1:4" ht="12" customHeight="1" x14ac:dyDescent="0.2">
      <c r="A139" s="185" t="s">
        <v>472</v>
      </c>
      <c r="B139" s="186">
        <v>45795</v>
      </c>
      <c r="C139" s="196">
        <v>3025.2</v>
      </c>
      <c r="D139" s="188">
        <f>IFERROR(C139/VLOOKUP(A139,Usinas!$A:$B,2,FALSE()),"")</f>
        <v>4.3094017094017092</v>
      </c>
    </row>
    <row r="140" spans="1:4" ht="12" customHeight="1" x14ac:dyDescent="0.2">
      <c r="A140" s="185" t="s">
        <v>472</v>
      </c>
      <c r="B140" s="186">
        <v>45796</v>
      </c>
      <c r="C140" s="196">
        <v>3298.4</v>
      </c>
      <c r="D140" s="188">
        <f>IFERROR(C140/VLOOKUP(A140,Usinas!$A:$B,2,FALSE()),"")</f>
        <v>4.6985754985754991</v>
      </c>
    </row>
    <row r="141" spans="1:4" ht="12" customHeight="1" x14ac:dyDescent="0.2">
      <c r="A141" s="185" t="s">
        <v>472</v>
      </c>
      <c r="B141" s="186">
        <v>45797</v>
      </c>
      <c r="C141" s="196">
        <v>2855.7</v>
      </c>
      <c r="D141" s="188">
        <f>IFERROR(C141/VLOOKUP(A141,Usinas!$A:$B,2,FALSE()),"")</f>
        <v>4.0679487179487177</v>
      </c>
    </row>
    <row r="142" spans="1:4" ht="12" customHeight="1" x14ac:dyDescent="0.2">
      <c r="A142" s="185" t="s">
        <v>472</v>
      </c>
      <c r="B142" s="186">
        <v>45798</v>
      </c>
      <c r="C142" s="196">
        <v>3046.7</v>
      </c>
      <c r="D142" s="188">
        <f>IFERROR(C142/VLOOKUP(A142,Usinas!$A:$B,2,FALSE()),"")</f>
        <v>4.34002849002849</v>
      </c>
    </row>
    <row r="143" spans="1:4" ht="12" customHeight="1" x14ac:dyDescent="0.2">
      <c r="A143" s="185" t="s">
        <v>472</v>
      </c>
      <c r="B143" s="186">
        <v>45799</v>
      </c>
      <c r="C143" s="196">
        <v>3090.6</v>
      </c>
      <c r="D143" s="188">
        <f>IFERROR(C143/VLOOKUP(A143,Usinas!$A:$B,2,FALSE()),"")</f>
        <v>4.402564102564102</v>
      </c>
    </row>
    <row r="144" spans="1:4" ht="12" customHeight="1" x14ac:dyDescent="0.2">
      <c r="A144" s="185" t="s">
        <v>472</v>
      </c>
      <c r="B144" s="186">
        <v>45800</v>
      </c>
      <c r="C144" s="196">
        <v>3059.5</v>
      </c>
      <c r="D144" s="188">
        <f>IFERROR(C144/VLOOKUP(A144,Usinas!$A:$B,2,FALSE()),"")</f>
        <v>4.3582621082621085</v>
      </c>
    </row>
    <row r="145" spans="1:33" ht="12" customHeight="1" x14ac:dyDescent="0.2">
      <c r="A145" s="185" t="s">
        <v>472</v>
      </c>
      <c r="B145" s="186">
        <v>45801</v>
      </c>
      <c r="C145" s="196">
        <v>3186.4</v>
      </c>
      <c r="D145" s="188">
        <f>IFERROR(C145/VLOOKUP(A145,Usinas!$A:$B,2,FALSE()),"")</f>
        <v>4.5390313390313395</v>
      </c>
    </row>
    <row r="146" spans="1:33" ht="12" customHeight="1" x14ac:dyDescent="0.2">
      <c r="A146" s="185" t="s">
        <v>472</v>
      </c>
      <c r="B146" s="186">
        <v>45802</v>
      </c>
      <c r="C146" s="196">
        <v>3220.5</v>
      </c>
      <c r="D146" s="188">
        <f>IFERROR(C146/VLOOKUP(A146,Usinas!$A:$B,2,FALSE()),"")</f>
        <v>4.5876068376068373</v>
      </c>
    </row>
    <row r="147" spans="1:33" ht="12" customHeight="1" x14ac:dyDescent="0.2">
      <c r="A147" s="185" t="s">
        <v>472</v>
      </c>
      <c r="B147" s="186">
        <v>45803</v>
      </c>
      <c r="C147" s="196">
        <v>2749.7</v>
      </c>
      <c r="D147" s="188">
        <f>IFERROR(C147/VLOOKUP(A147,Usinas!$A:$B,2,FALSE()),"")</f>
        <v>3.9169515669515667</v>
      </c>
    </row>
    <row r="148" spans="1:33" ht="12" customHeight="1" x14ac:dyDescent="0.2">
      <c r="A148" s="185" t="s">
        <v>472</v>
      </c>
      <c r="B148" s="186">
        <v>45804</v>
      </c>
      <c r="C148" s="196">
        <v>2407.1</v>
      </c>
      <c r="D148" s="188">
        <f>IFERROR(C148/VLOOKUP(A148,Usinas!$A:$B,2,FALSE()),"")</f>
        <v>3.4289173789173786</v>
      </c>
    </row>
    <row r="149" spans="1:33" ht="12" customHeight="1" x14ac:dyDescent="0.2">
      <c r="A149" s="185" t="s">
        <v>472</v>
      </c>
      <c r="B149" s="186">
        <v>45805</v>
      </c>
      <c r="C149" s="196">
        <v>810</v>
      </c>
      <c r="D149" s="188">
        <f>IFERROR(C149/VLOOKUP(A149,Usinas!$A:$B,2,FALSE()),"")</f>
        <v>1.1538461538461537</v>
      </c>
    </row>
    <row r="150" spans="1:33" ht="12" customHeight="1" x14ac:dyDescent="0.2">
      <c r="A150" s="185" t="s">
        <v>472</v>
      </c>
      <c r="B150" s="186">
        <v>45806</v>
      </c>
      <c r="C150" s="196">
        <v>3279.2</v>
      </c>
      <c r="D150" s="188">
        <f>IFERROR(C150/VLOOKUP(A150,Usinas!$A:$B,2,FALSE()),"")</f>
        <v>4.6712250712250709</v>
      </c>
    </row>
    <row r="151" spans="1:33" ht="12" customHeight="1" x14ac:dyDescent="0.2">
      <c r="A151" s="185" t="s">
        <v>472</v>
      </c>
      <c r="B151" s="186">
        <v>45807</v>
      </c>
      <c r="C151" s="196">
        <v>3583.1</v>
      </c>
      <c r="D151" s="188">
        <f>IFERROR(C151/VLOOKUP(A151,Usinas!$A:$B,2,FALSE()),"")</f>
        <v>5.1041310541310541</v>
      </c>
    </row>
    <row r="152" spans="1:33" ht="12" customHeight="1" x14ac:dyDescent="0.2">
      <c r="A152" s="185" t="s">
        <v>472</v>
      </c>
      <c r="B152" s="186">
        <v>45808</v>
      </c>
      <c r="C152" s="196">
        <v>2508.8000000000002</v>
      </c>
      <c r="D152" s="188">
        <f>IFERROR(C152/VLOOKUP(A152,Usinas!$A:$B,2,FALSE()),"")</f>
        <v>3.5737891737891743</v>
      </c>
    </row>
    <row r="153" spans="1:33" ht="12" customHeight="1" x14ac:dyDescent="0.2">
      <c r="A153" s="185" t="s">
        <v>472</v>
      </c>
      <c r="B153" s="186">
        <v>45809</v>
      </c>
      <c r="C153" s="196">
        <v>2980.4</v>
      </c>
      <c r="D153" s="188">
        <f>IFERROR(C153/VLOOKUP(A153,Usinas!$A:$B,2,FALSE()),"")</f>
        <v>4.2455840455840459</v>
      </c>
      <c r="E153" s="197"/>
      <c r="F153" s="197"/>
      <c r="G153" s="197"/>
      <c r="H153" s="197"/>
      <c r="I153" s="197"/>
      <c r="J153" s="197"/>
      <c r="K153" s="197"/>
      <c r="L153" s="197"/>
      <c r="M153" s="197"/>
      <c r="N153" s="197"/>
      <c r="O153" s="197"/>
      <c r="P153" s="197"/>
      <c r="Q153" s="197"/>
      <c r="R153" s="197"/>
      <c r="S153" s="197"/>
      <c r="T153" s="197"/>
      <c r="U153" s="197"/>
      <c r="V153" s="197"/>
      <c r="W153" s="197"/>
      <c r="X153" s="197"/>
      <c r="Y153" s="197"/>
      <c r="Z153" s="197"/>
      <c r="AA153" s="197"/>
      <c r="AB153" s="197"/>
      <c r="AC153" s="197"/>
      <c r="AD153" s="197"/>
      <c r="AE153" s="197"/>
      <c r="AF153" s="197"/>
      <c r="AG153" s="197"/>
    </row>
    <row r="154" spans="1:33" ht="12" customHeight="1" x14ac:dyDescent="0.2">
      <c r="A154" s="185" t="s">
        <v>472</v>
      </c>
      <c r="B154" s="186">
        <v>45810</v>
      </c>
      <c r="C154" s="196">
        <v>2796</v>
      </c>
      <c r="D154" s="188">
        <f>IFERROR(C154/VLOOKUP(A154,Usinas!$A:$B,2,FALSE()),"")</f>
        <v>3.982905982905983</v>
      </c>
    </row>
    <row r="155" spans="1:33" ht="12" customHeight="1" x14ac:dyDescent="0.2">
      <c r="A155" s="185" t="s">
        <v>472</v>
      </c>
      <c r="B155" s="186">
        <v>45811</v>
      </c>
      <c r="C155" s="196">
        <v>2937.4</v>
      </c>
      <c r="D155" s="188">
        <f>IFERROR(C155/VLOOKUP(A155,Usinas!$A:$B,2,FALSE()),"")</f>
        <v>4.1843304843304843</v>
      </c>
    </row>
    <row r="156" spans="1:33" ht="12" customHeight="1" x14ac:dyDescent="0.2">
      <c r="A156" s="185" t="s">
        <v>472</v>
      </c>
      <c r="B156" s="186">
        <v>45812</v>
      </c>
      <c r="C156" s="196">
        <v>2795.8</v>
      </c>
      <c r="D156" s="188">
        <f>IFERROR(C156/VLOOKUP(A156,Usinas!$A:$B,2,FALSE()),"")</f>
        <v>3.9826210826210828</v>
      </c>
    </row>
    <row r="157" spans="1:33" ht="12" customHeight="1" x14ac:dyDescent="0.2">
      <c r="A157" s="185" t="s">
        <v>472</v>
      </c>
      <c r="B157" s="186">
        <v>45813</v>
      </c>
      <c r="C157" s="196">
        <v>1843.8</v>
      </c>
      <c r="D157" s="188">
        <f>IFERROR(C157/VLOOKUP(A157,Usinas!$A:$B,2,FALSE()),"")</f>
        <v>2.6264957264957265</v>
      </c>
    </row>
    <row r="158" spans="1:33" ht="12" customHeight="1" x14ac:dyDescent="0.2">
      <c r="A158" s="185" t="s">
        <v>472</v>
      </c>
      <c r="B158" s="186">
        <v>45814</v>
      </c>
      <c r="C158" s="196">
        <v>2559.3000000000002</v>
      </c>
      <c r="D158" s="188">
        <f>IFERROR(C158/VLOOKUP(A158,Usinas!$A:$B,2,FALSE()),"")</f>
        <v>3.6457264957264961</v>
      </c>
    </row>
    <row r="159" spans="1:33" ht="12" customHeight="1" x14ac:dyDescent="0.2">
      <c r="A159" s="185" t="s">
        <v>472</v>
      </c>
      <c r="B159" s="186">
        <v>45815</v>
      </c>
      <c r="C159" s="196">
        <v>2978.3</v>
      </c>
      <c r="D159" s="188">
        <f>IFERROR(C159/VLOOKUP(A159,Usinas!$A:$B,2,FALSE()),"")</f>
        <v>4.2425925925925929</v>
      </c>
    </row>
    <row r="160" spans="1:33" ht="12" customHeight="1" x14ac:dyDescent="0.2">
      <c r="A160" s="185" t="s">
        <v>472</v>
      </c>
      <c r="B160" s="186">
        <v>45816</v>
      </c>
      <c r="C160" s="196">
        <v>765.5</v>
      </c>
      <c r="D160" s="188">
        <f>IFERROR(C160/VLOOKUP(A160,Usinas!$A:$B,2,FALSE()),"")</f>
        <v>1.0904558404558404</v>
      </c>
    </row>
    <row r="161" spans="1:4" ht="12" customHeight="1" x14ac:dyDescent="0.2">
      <c r="A161" s="185" t="s">
        <v>472</v>
      </c>
      <c r="B161" s="186">
        <v>45817</v>
      </c>
      <c r="C161" s="196">
        <v>2892.6</v>
      </c>
      <c r="D161" s="188">
        <f>IFERROR(C161/VLOOKUP(A161,Usinas!$A:$B,2,FALSE()),"")</f>
        <v>4.1205128205128201</v>
      </c>
    </row>
    <row r="162" spans="1:4" ht="12" customHeight="1" x14ac:dyDescent="0.2">
      <c r="A162" s="185" t="s">
        <v>472</v>
      </c>
      <c r="B162" s="186">
        <v>45818</v>
      </c>
      <c r="C162" s="196">
        <v>1838.9</v>
      </c>
      <c r="D162" s="188">
        <f>IFERROR(C162/VLOOKUP(A162,Usinas!$A:$B,2,FALSE()),"")</f>
        <v>2.6195156695156698</v>
      </c>
    </row>
    <row r="163" spans="1:4" ht="12" customHeight="1" x14ac:dyDescent="0.2">
      <c r="A163" s="185" t="s">
        <v>472</v>
      </c>
      <c r="B163" s="186">
        <v>45819</v>
      </c>
      <c r="C163" s="196">
        <v>3240.3</v>
      </c>
      <c r="D163" s="188">
        <f>IFERROR(C163/VLOOKUP(A163,Usinas!$A:$B,2,FALSE()),"")</f>
        <v>4.6158119658119663</v>
      </c>
    </row>
    <row r="164" spans="1:4" ht="12" customHeight="1" x14ac:dyDescent="0.2">
      <c r="A164" s="185" t="s">
        <v>472</v>
      </c>
      <c r="B164" s="186">
        <v>45820</v>
      </c>
      <c r="C164" s="196">
        <v>3314.9</v>
      </c>
      <c r="D164" s="188">
        <f>IFERROR(C164/VLOOKUP(A164,Usinas!$A:$B,2,FALSE()),"")</f>
        <v>4.7220797720797725</v>
      </c>
    </row>
    <row r="165" spans="1:4" ht="12" customHeight="1" x14ac:dyDescent="0.2">
      <c r="A165" s="185" t="s">
        <v>472</v>
      </c>
      <c r="B165" s="186">
        <v>45821</v>
      </c>
      <c r="C165" s="196">
        <v>2449.3000000000002</v>
      </c>
      <c r="D165" s="188">
        <f>IFERROR(C165/VLOOKUP(A165,Usinas!$A:$B,2,FALSE()),"")</f>
        <v>3.4890313390313392</v>
      </c>
    </row>
    <row r="166" spans="1:4" ht="12" customHeight="1" x14ac:dyDescent="0.2">
      <c r="A166" s="185" t="s">
        <v>472</v>
      </c>
      <c r="B166" s="186">
        <v>45822</v>
      </c>
      <c r="C166" s="196">
        <v>2137.6</v>
      </c>
      <c r="D166" s="188">
        <f>IFERROR(C166/VLOOKUP(A166,Usinas!$A:$B,2,FALSE()),"")</f>
        <v>3.045014245014245</v>
      </c>
    </row>
    <row r="167" spans="1:4" ht="12" customHeight="1" x14ac:dyDescent="0.2">
      <c r="A167" s="185" t="s">
        <v>472</v>
      </c>
      <c r="B167" s="186">
        <v>45823</v>
      </c>
      <c r="C167" s="196">
        <v>2434.3000000000002</v>
      </c>
      <c r="D167" s="188">
        <f>IFERROR(C167/VLOOKUP(A167,Usinas!$A:$B,2,FALSE()),"")</f>
        <v>3.4676638176638179</v>
      </c>
    </row>
    <row r="168" spans="1:4" ht="12" customHeight="1" x14ac:dyDescent="0.2">
      <c r="A168" s="185" t="s">
        <v>472</v>
      </c>
      <c r="B168" s="186">
        <v>45824</v>
      </c>
      <c r="C168" s="196">
        <v>3062.8</v>
      </c>
      <c r="D168" s="188">
        <f>IFERROR(C168/VLOOKUP(A168,Usinas!$A:$B,2,FALSE()),"")</f>
        <v>4.3629629629629632</v>
      </c>
    </row>
    <row r="169" spans="1:4" ht="12" customHeight="1" x14ac:dyDescent="0.2">
      <c r="A169" s="185" t="s">
        <v>472</v>
      </c>
      <c r="B169" s="186">
        <v>45825</v>
      </c>
      <c r="C169" s="196">
        <v>3067.7</v>
      </c>
      <c r="D169" s="188">
        <f>IFERROR(C169/VLOOKUP(A169,Usinas!$A:$B,2,FALSE()),"")</f>
        <v>4.3699430199430198</v>
      </c>
    </row>
    <row r="170" spans="1:4" ht="12" customHeight="1" x14ac:dyDescent="0.2">
      <c r="A170" s="185" t="s">
        <v>472</v>
      </c>
      <c r="B170" s="186">
        <v>45826</v>
      </c>
      <c r="C170" s="196">
        <v>3139.4</v>
      </c>
      <c r="D170" s="188">
        <f>IFERROR(C170/VLOOKUP(A170,Usinas!$A:$B,2,FALSE()),"")</f>
        <v>4.4720797720797725</v>
      </c>
    </row>
    <row r="171" spans="1:4" ht="12" customHeight="1" x14ac:dyDescent="0.2">
      <c r="A171" s="185" t="s">
        <v>472</v>
      </c>
      <c r="B171" s="186">
        <v>45827</v>
      </c>
      <c r="C171" s="196">
        <v>3108.7</v>
      </c>
      <c r="D171" s="188">
        <f>IFERROR(C171/VLOOKUP(A171,Usinas!$A:$B,2,FALSE()),"")</f>
        <v>4.4283475783475783</v>
      </c>
    </row>
    <row r="172" spans="1:4" ht="12" customHeight="1" x14ac:dyDescent="0.2">
      <c r="A172" s="185" t="s">
        <v>472</v>
      </c>
      <c r="B172" s="186">
        <v>45828</v>
      </c>
      <c r="C172" s="196">
        <v>2643</v>
      </c>
      <c r="D172" s="188">
        <f>IFERROR(C172/VLOOKUP(A172,Usinas!$A:$B,2,FALSE()),"")</f>
        <v>3.7649572649572649</v>
      </c>
    </row>
    <row r="173" spans="1:4" ht="12" customHeight="1" x14ac:dyDescent="0.2">
      <c r="A173" s="185" t="s">
        <v>472</v>
      </c>
      <c r="B173" s="186">
        <v>45829</v>
      </c>
      <c r="C173" s="196">
        <v>1109.5999999999999</v>
      </c>
      <c r="D173" s="188">
        <f>IFERROR(C173/VLOOKUP(A173,Usinas!$A:$B,2,FALSE()),"")</f>
        <v>1.5806267806267804</v>
      </c>
    </row>
    <row r="174" spans="1:4" ht="12" customHeight="1" x14ac:dyDescent="0.2">
      <c r="A174" s="185" t="s">
        <v>472</v>
      </c>
      <c r="B174" s="186">
        <v>45830</v>
      </c>
      <c r="C174" s="196">
        <v>1633.4</v>
      </c>
      <c r="D174" s="188">
        <f>IFERROR(C174/VLOOKUP(A174,Usinas!$A:$B,2,FALSE()),"")</f>
        <v>2.3267806267806268</v>
      </c>
    </row>
    <row r="175" spans="1:4" ht="12" customHeight="1" x14ac:dyDescent="0.2">
      <c r="A175" s="185" t="s">
        <v>472</v>
      </c>
      <c r="B175" s="186">
        <v>45831</v>
      </c>
      <c r="C175" s="196">
        <v>579.70000000000005</v>
      </c>
      <c r="D175" s="188">
        <f>IFERROR(C175/VLOOKUP(A175,Usinas!$A:$B,2,FALSE()),"")</f>
        <v>0.82578347578347588</v>
      </c>
    </row>
    <row r="176" spans="1:4" ht="12" customHeight="1" x14ac:dyDescent="0.2">
      <c r="A176" s="185" t="s">
        <v>472</v>
      </c>
      <c r="B176" s="186">
        <v>45832</v>
      </c>
      <c r="C176" s="196">
        <v>3661</v>
      </c>
      <c r="D176" s="188">
        <f>IFERROR(C176/VLOOKUP(A176,Usinas!$A:$B,2,FALSE()),"")</f>
        <v>5.2150997150997149</v>
      </c>
    </row>
    <row r="177" spans="1:34" ht="12" customHeight="1" x14ac:dyDescent="0.2">
      <c r="A177" s="185" t="s">
        <v>472</v>
      </c>
      <c r="B177" s="186">
        <v>45833</v>
      </c>
      <c r="C177" s="196">
        <v>2997.7</v>
      </c>
      <c r="D177" s="188">
        <f>IFERROR(C177/VLOOKUP(A177,Usinas!$A:$B,2,FALSE()),"")</f>
        <v>4.2702279202279199</v>
      </c>
    </row>
    <row r="178" spans="1:34" ht="12" customHeight="1" x14ac:dyDescent="0.2">
      <c r="A178" s="185" t="s">
        <v>472</v>
      </c>
      <c r="B178" s="186">
        <v>45834</v>
      </c>
      <c r="C178" s="196">
        <v>1670.4</v>
      </c>
      <c r="D178" s="188">
        <f>IFERROR(C178/VLOOKUP(A178,Usinas!$A:$B,2,FALSE()),"")</f>
        <v>2.3794871794871795</v>
      </c>
    </row>
    <row r="179" spans="1:34" ht="12" customHeight="1" x14ac:dyDescent="0.2">
      <c r="A179" s="185" t="s">
        <v>472</v>
      </c>
      <c r="B179" s="186">
        <v>45835</v>
      </c>
      <c r="C179" s="196">
        <v>1251</v>
      </c>
      <c r="D179" s="188">
        <f>IFERROR(C179/VLOOKUP(A179,Usinas!$A:$B,2,FALSE()),"")</f>
        <v>1.7820512820512822</v>
      </c>
    </row>
    <row r="180" spans="1:34" ht="12" customHeight="1" x14ac:dyDescent="0.2">
      <c r="A180" s="185" t="s">
        <v>472</v>
      </c>
      <c r="B180" s="186">
        <v>45836</v>
      </c>
      <c r="C180" s="196">
        <v>2953.2</v>
      </c>
      <c r="D180" s="188">
        <f>IFERROR(C180/VLOOKUP(A180,Usinas!$A:$B,2,FALSE()),"")</f>
        <v>4.206837606837607</v>
      </c>
    </row>
    <row r="181" spans="1:34" ht="12" customHeight="1" x14ac:dyDescent="0.2">
      <c r="A181" s="185" t="s">
        <v>472</v>
      </c>
      <c r="B181" s="186">
        <v>45837</v>
      </c>
      <c r="C181" s="196">
        <v>2652.4</v>
      </c>
      <c r="D181" s="188">
        <f>IFERROR(C181/VLOOKUP(A181,Usinas!$A:$B,2,FALSE()),"")</f>
        <v>3.7783475783475784</v>
      </c>
    </row>
    <row r="182" spans="1:34" ht="12" customHeight="1" x14ac:dyDescent="0.2">
      <c r="A182" s="185" t="s">
        <v>472</v>
      </c>
      <c r="B182" s="186">
        <v>45838</v>
      </c>
      <c r="C182" s="196">
        <v>792.5</v>
      </c>
      <c r="D182" s="188">
        <f>IFERROR(C182/VLOOKUP(A182,Usinas!$A:$B,2,FALSE()),"")</f>
        <v>1.128917378917379</v>
      </c>
    </row>
    <row r="183" spans="1:34" ht="12" customHeight="1" x14ac:dyDescent="0.2">
      <c r="A183" s="185" t="s">
        <v>472</v>
      </c>
      <c r="B183" s="186">
        <v>45839</v>
      </c>
      <c r="C183" s="196">
        <v>2040.9</v>
      </c>
      <c r="D183" s="188">
        <f>IFERROR(C183/VLOOKUP(A183,Usinas!$A:$B,2,FALSE()),"")</f>
        <v>2.9072649572649576</v>
      </c>
      <c r="E183" s="197"/>
      <c r="F183" s="197"/>
      <c r="G183" s="197"/>
      <c r="H183" s="197"/>
      <c r="I183" s="197"/>
      <c r="J183" s="197"/>
      <c r="K183" s="197"/>
      <c r="L183" s="197"/>
      <c r="M183" s="197"/>
      <c r="N183" s="197"/>
      <c r="O183" s="197"/>
      <c r="P183" s="197"/>
      <c r="Q183" s="197"/>
      <c r="R183" s="197"/>
      <c r="S183" s="197"/>
      <c r="T183" s="197"/>
      <c r="U183" s="197"/>
      <c r="V183" s="197"/>
      <c r="W183" s="197"/>
      <c r="X183" s="197"/>
      <c r="Y183" s="197"/>
      <c r="Z183" s="197"/>
      <c r="AA183" s="197"/>
      <c r="AB183" s="197"/>
      <c r="AC183" s="197"/>
      <c r="AD183" s="197"/>
      <c r="AE183" s="197"/>
      <c r="AF183" s="197"/>
      <c r="AG183" s="197"/>
      <c r="AH183" s="197"/>
    </row>
    <row r="184" spans="1:34" ht="12" customHeight="1" x14ac:dyDescent="0.2">
      <c r="A184" s="185" t="s">
        <v>472</v>
      </c>
      <c r="B184" s="186">
        <v>45840</v>
      </c>
      <c r="C184" s="196">
        <v>985.9</v>
      </c>
      <c r="D184" s="188">
        <f>IFERROR(C184/VLOOKUP(A184,Usinas!$A:$B,2,FALSE()),"")</f>
        <v>1.4044159544159545</v>
      </c>
    </row>
    <row r="185" spans="1:34" ht="12" customHeight="1" x14ac:dyDescent="0.2">
      <c r="A185" s="185" t="s">
        <v>472</v>
      </c>
      <c r="B185" s="186">
        <v>45841</v>
      </c>
      <c r="C185" s="196">
        <v>2848.3</v>
      </c>
      <c r="D185" s="188">
        <f>IFERROR(C185/VLOOKUP(A185,Usinas!$A:$B,2,FALSE()),"")</f>
        <v>4.0574074074074078</v>
      </c>
    </row>
    <row r="186" spans="1:34" ht="12" customHeight="1" x14ac:dyDescent="0.2">
      <c r="A186" s="185" t="s">
        <v>472</v>
      </c>
      <c r="B186" s="186">
        <v>45842</v>
      </c>
      <c r="C186" s="196">
        <v>2420.6999999999998</v>
      </c>
      <c r="D186" s="188">
        <f>IFERROR(C186/VLOOKUP(A186,Usinas!$A:$B,2,FALSE()),"")</f>
        <v>3.448290598290598</v>
      </c>
    </row>
    <row r="187" spans="1:34" ht="12" customHeight="1" x14ac:dyDescent="0.2">
      <c r="A187" s="185" t="s">
        <v>472</v>
      </c>
      <c r="B187" s="186">
        <v>45843</v>
      </c>
      <c r="C187" s="196">
        <v>3374.5</v>
      </c>
      <c r="D187" s="188">
        <f>IFERROR(C187/VLOOKUP(A187,Usinas!$A:$B,2,FALSE()),"")</f>
        <v>4.8069800569800574</v>
      </c>
    </row>
    <row r="188" spans="1:34" ht="12" customHeight="1" x14ac:dyDescent="0.2">
      <c r="A188" s="185" t="s">
        <v>472</v>
      </c>
      <c r="B188" s="186">
        <v>45844</v>
      </c>
      <c r="C188" s="196">
        <v>3429.6</v>
      </c>
      <c r="D188" s="188">
        <f>IFERROR(C188/VLOOKUP(A188,Usinas!$A:$B,2,FALSE()),"")</f>
        <v>4.885470085470085</v>
      </c>
    </row>
    <row r="189" spans="1:34" ht="12" customHeight="1" x14ac:dyDescent="0.2">
      <c r="A189" s="185" t="s">
        <v>472</v>
      </c>
      <c r="B189" s="186">
        <v>45845</v>
      </c>
      <c r="C189" s="196">
        <v>3200.8</v>
      </c>
      <c r="D189" s="188">
        <f>IFERROR(C189/VLOOKUP(A189,Usinas!$A:$B,2,FALSE()),"")</f>
        <v>4.5595441595441599</v>
      </c>
    </row>
    <row r="190" spans="1:34" ht="12" customHeight="1" x14ac:dyDescent="0.2">
      <c r="A190" s="185" t="s">
        <v>472</v>
      </c>
      <c r="B190" s="186">
        <v>45846</v>
      </c>
      <c r="C190" s="196">
        <v>3194.5</v>
      </c>
      <c r="D190" s="188">
        <f>IFERROR(C190/VLOOKUP(A190,Usinas!$A:$B,2,FALSE()),"")</f>
        <v>4.550569800569801</v>
      </c>
    </row>
    <row r="191" spans="1:34" ht="12" customHeight="1" x14ac:dyDescent="0.2">
      <c r="A191" s="185" t="s">
        <v>472</v>
      </c>
      <c r="B191" s="186">
        <v>45847</v>
      </c>
      <c r="C191" s="196">
        <v>3280.7</v>
      </c>
      <c r="D191" s="188">
        <f>IFERROR(C191/VLOOKUP(A191,Usinas!$A:$B,2,FALSE()),"")</f>
        <v>4.673361823361823</v>
      </c>
    </row>
    <row r="192" spans="1:34" ht="12" customHeight="1" x14ac:dyDescent="0.2">
      <c r="A192" s="185" t="s">
        <v>472</v>
      </c>
      <c r="B192" s="186">
        <v>45848</v>
      </c>
      <c r="C192" s="196">
        <v>3073.3</v>
      </c>
      <c r="D192" s="188">
        <f>IFERROR(C192/VLOOKUP(A192,Usinas!$A:$B,2,FALSE()),"")</f>
        <v>4.3779202279202281</v>
      </c>
    </row>
    <row r="193" spans="1:4" ht="12" customHeight="1" x14ac:dyDescent="0.2">
      <c r="A193" s="185" t="s">
        <v>472</v>
      </c>
      <c r="B193" s="186">
        <v>45849</v>
      </c>
      <c r="C193" s="196">
        <v>2183.9</v>
      </c>
      <c r="D193" s="188">
        <f>IFERROR(C193/VLOOKUP(A193,Usinas!$A:$B,2,FALSE()),"")</f>
        <v>3.1109686609686613</v>
      </c>
    </row>
    <row r="194" spans="1:4" ht="12" customHeight="1" x14ac:dyDescent="0.2">
      <c r="A194" s="185" t="s">
        <v>472</v>
      </c>
      <c r="B194" s="186">
        <v>45850</v>
      </c>
      <c r="C194" s="196">
        <v>2880.1</v>
      </c>
      <c r="D194" s="188">
        <f>IFERROR(C194/VLOOKUP(A194,Usinas!$A:$B,2,FALSE()),"")</f>
        <v>4.1027065527065529</v>
      </c>
    </row>
    <row r="195" spans="1:4" ht="12" customHeight="1" x14ac:dyDescent="0.2">
      <c r="A195" s="185" t="s">
        <v>472</v>
      </c>
      <c r="B195" s="186">
        <v>45851</v>
      </c>
      <c r="C195" s="196">
        <v>2478.1999999999998</v>
      </c>
      <c r="D195" s="188">
        <f>IFERROR(C195/VLOOKUP(A195,Usinas!$A:$B,2,FALSE()),"")</f>
        <v>3.5301994301994299</v>
      </c>
    </row>
    <row r="196" spans="1:4" ht="12" customHeight="1" x14ac:dyDescent="0.2">
      <c r="A196" s="185" t="s">
        <v>472</v>
      </c>
      <c r="B196" s="186">
        <v>45852</v>
      </c>
      <c r="C196" s="196">
        <v>2389.4</v>
      </c>
      <c r="D196" s="188">
        <f>IFERROR(C196/VLOOKUP(A196,Usinas!$A:$B,2,FALSE()),"")</f>
        <v>3.4037037037037039</v>
      </c>
    </row>
    <row r="197" spans="1:4" ht="12" customHeight="1" x14ac:dyDescent="0.2">
      <c r="A197" s="185" t="s">
        <v>472</v>
      </c>
      <c r="B197" s="186">
        <v>45853</v>
      </c>
      <c r="C197" s="196">
        <v>2792.3</v>
      </c>
      <c r="D197" s="188">
        <f>IFERROR(C197/VLOOKUP(A197,Usinas!$A:$B,2,FALSE()),"")</f>
        <v>3.977635327635328</v>
      </c>
    </row>
    <row r="198" spans="1:4" ht="12" customHeight="1" x14ac:dyDescent="0.2">
      <c r="A198" s="185" t="s">
        <v>472</v>
      </c>
      <c r="B198" s="186">
        <v>45854</v>
      </c>
      <c r="C198" s="196">
        <v>3045.8</v>
      </c>
      <c r="D198" s="188">
        <f>IFERROR(C198/VLOOKUP(A198,Usinas!$A:$B,2,FALSE()),"")</f>
        <v>4.3387464387464387</v>
      </c>
    </row>
    <row r="199" spans="1:4" ht="12" customHeight="1" x14ac:dyDescent="0.2">
      <c r="A199" s="185" t="s">
        <v>472</v>
      </c>
      <c r="B199" s="186">
        <v>45855</v>
      </c>
      <c r="C199" s="196">
        <v>2678.3</v>
      </c>
      <c r="D199" s="188">
        <f>IFERROR(C199/VLOOKUP(A199,Usinas!$A:$B,2,FALSE()),"")</f>
        <v>3.8152421652421653</v>
      </c>
    </row>
    <row r="200" spans="1:4" ht="12" customHeight="1" x14ac:dyDescent="0.2">
      <c r="A200" s="185" t="s">
        <v>472</v>
      </c>
      <c r="B200" s="186">
        <v>45856</v>
      </c>
      <c r="C200" s="196">
        <v>3381.8</v>
      </c>
      <c r="D200" s="188">
        <f>IFERROR(C200/VLOOKUP(A200,Usinas!$A:$B,2,FALSE()),"")</f>
        <v>4.8173789173789174</v>
      </c>
    </row>
    <row r="201" spans="1:4" ht="12" customHeight="1" x14ac:dyDescent="0.2">
      <c r="A201" s="185" t="s">
        <v>472</v>
      </c>
      <c r="B201" s="186">
        <v>45857</v>
      </c>
      <c r="C201" s="196">
        <v>3130.5</v>
      </c>
      <c r="D201" s="188">
        <f>IFERROR(C201/VLOOKUP(A201,Usinas!$A:$B,2,FALSE()),"")</f>
        <v>4.4594017094017095</v>
      </c>
    </row>
    <row r="202" spans="1:4" ht="12" customHeight="1" x14ac:dyDescent="0.2">
      <c r="A202" s="185" t="s">
        <v>472</v>
      </c>
      <c r="B202" s="186">
        <v>45858</v>
      </c>
      <c r="C202" s="196">
        <v>2421.1</v>
      </c>
      <c r="D202" s="188">
        <f>IFERROR(C202/VLOOKUP(A202,Usinas!$A:$B,2,FALSE()),"")</f>
        <v>3.4488603988603987</v>
      </c>
    </row>
    <row r="203" spans="1:4" ht="12" customHeight="1" x14ac:dyDescent="0.2">
      <c r="A203" s="185" t="s">
        <v>472</v>
      </c>
      <c r="B203" s="186">
        <v>45859</v>
      </c>
      <c r="C203" s="196">
        <v>2748.2</v>
      </c>
      <c r="D203" s="188">
        <f>IFERROR(C203/VLOOKUP(A203,Usinas!$A:$B,2,FALSE()),"")</f>
        <v>3.9148148148148145</v>
      </c>
    </row>
    <row r="204" spans="1:4" ht="12" customHeight="1" x14ac:dyDescent="0.2">
      <c r="A204" s="185" t="s">
        <v>472</v>
      </c>
      <c r="B204" s="186">
        <v>45860</v>
      </c>
      <c r="C204" s="196">
        <v>3098.2</v>
      </c>
      <c r="D204" s="188">
        <f>IFERROR(C204/VLOOKUP(A204,Usinas!$A:$B,2,FALSE()),"")</f>
        <v>4.4133903133903134</v>
      </c>
    </row>
    <row r="205" spans="1:4" ht="12" customHeight="1" x14ac:dyDescent="0.2">
      <c r="A205" s="185" t="s">
        <v>472</v>
      </c>
      <c r="B205" s="186">
        <v>45861</v>
      </c>
      <c r="C205" s="196">
        <v>2927.2</v>
      </c>
      <c r="D205" s="188">
        <f>IFERROR(C205/VLOOKUP(A205,Usinas!$A:$B,2,FALSE()),"")</f>
        <v>4.1698005698005698</v>
      </c>
    </row>
    <row r="206" spans="1:4" ht="12" customHeight="1" x14ac:dyDescent="0.2">
      <c r="A206" s="185" t="s">
        <v>472</v>
      </c>
      <c r="B206" s="186">
        <v>45862</v>
      </c>
      <c r="C206" s="196">
        <v>2676.8</v>
      </c>
      <c r="D206" s="188">
        <f>IFERROR(C206/VLOOKUP(A206,Usinas!$A:$B,2,FALSE()),"")</f>
        <v>3.8131054131054132</v>
      </c>
    </row>
    <row r="207" spans="1:4" ht="12" customHeight="1" x14ac:dyDescent="0.2">
      <c r="A207" s="185" t="s">
        <v>472</v>
      </c>
      <c r="B207" s="186">
        <v>45863</v>
      </c>
      <c r="C207" s="196">
        <v>3175.2</v>
      </c>
      <c r="D207" s="188">
        <f>IFERROR(C207/VLOOKUP(A207,Usinas!$A:$B,2,FALSE()),"")</f>
        <v>4.523076923076923</v>
      </c>
    </row>
    <row r="208" spans="1:4" ht="12" customHeight="1" x14ac:dyDescent="0.2">
      <c r="A208" s="185" t="s">
        <v>472</v>
      </c>
      <c r="B208" s="186">
        <v>45864</v>
      </c>
      <c r="C208" s="196">
        <v>2648.3</v>
      </c>
      <c r="D208" s="188">
        <f>IFERROR(C208/VLOOKUP(A208,Usinas!$A:$B,2,FALSE()),"")</f>
        <v>3.7725071225071227</v>
      </c>
    </row>
    <row r="209" spans="1:34" ht="12" customHeight="1" x14ac:dyDescent="0.2">
      <c r="A209" s="185" t="s">
        <v>472</v>
      </c>
      <c r="B209" s="186">
        <v>45865</v>
      </c>
      <c r="C209" s="196">
        <v>2719.5</v>
      </c>
      <c r="D209" s="188">
        <f>IFERROR(C209/VLOOKUP(A209,Usinas!$A:$B,2,FALSE()),"")</f>
        <v>3.8739316239316239</v>
      </c>
    </row>
    <row r="210" spans="1:34" ht="12" customHeight="1" x14ac:dyDescent="0.2">
      <c r="A210" s="185" t="s">
        <v>472</v>
      </c>
      <c r="B210" s="186">
        <v>45866</v>
      </c>
      <c r="C210" s="196">
        <v>2290.8000000000002</v>
      </c>
      <c r="D210" s="188">
        <f>IFERROR(C210/VLOOKUP(A210,Usinas!$A:$B,2,FALSE()),"")</f>
        <v>3.2632478632478636</v>
      </c>
    </row>
    <row r="211" spans="1:34" ht="12" customHeight="1" x14ac:dyDescent="0.2">
      <c r="A211" s="185" t="s">
        <v>472</v>
      </c>
      <c r="B211" s="186">
        <v>45867</v>
      </c>
      <c r="C211" s="196">
        <v>3621.8</v>
      </c>
      <c r="D211" s="188">
        <f>IFERROR(C211/VLOOKUP(A211,Usinas!$A:$B,2,FALSE()),"")</f>
        <v>5.1592592592592599</v>
      </c>
    </row>
    <row r="212" spans="1:34" ht="12" customHeight="1" x14ac:dyDescent="0.2">
      <c r="A212" s="185" t="s">
        <v>472</v>
      </c>
      <c r="B212" s="186">
        <v>45868</v>
      </c>
      <c r="C212" s="196">
        <v>3562.4</v>
      </c>
      <c r="D212" s="188">
        <f>IFERROR(C212/VLOOKUP(A212,Usinas!$A:$B,2,FALSE()),"")</f>
        <v>5.0746438746438747</v>
      </c>
    </row>
    <row r="213" spans="1:34" ht="12" customHeight="1" x14ac:dyDescent="0.2">
      <c r="A213" s="185" t="s">
        <v>472</v>
      </c>
      <c r="B213" s="186">
        <v>45869</v>
      </c>
      <c r="C213" s="196">
        <v>3637.8</v>
      </c>
      <c r="D213" s="188">
        <f>IFERROR(C213/VLOOKUP(A213,Usinas!$A:$B,2,FALSE()),"")</f>
        <v>5.1820512820512823</v>
      </c>
    </row>
    <row r="214" spans="1:34" ht="12" customHeight="1" x14ac:dyDescent="0.2">
      <c r="A214" s="185" t="s">
        <v>472</v>
      </c>
      <c r="B214" s="186">
        <v>45870</v>
      </c>
      <c r="C214" s="196">
        <v>3448.3</v>
      </c>
      <c r="D214" s="188">
        <f>IFERROR(C214/VLOOKUP(A214,Usinas!$A:$B,2,FALSE()),"")</f>
        <v>4.9121082621082621</v>
      </c>
      <c r="E214" s="197"/>
      <c r="F214" s="197"/>
      <c r="G214" s="197"/>
      <c r="H214" s="197"/>
      <c r="I214" s="197"/>
      <c r="J214" s="197"/>
      <c r="K214" s="197"/>
      <c r="L214" s="197"/>
      <c r="M214" s="197"/>
      <c r="N214" s="197"/>
      <c r="O214" s="197"/>
      <c r="P214" s="197"/>
      <c r="Q214" s="197"/>
      <c r="R214" s="197"/>
      <c r="S214" s="197"/>
      <c r="T214" s="197"/>
      <c r="U214" s="197"/>
      <c r="V214" s="197"/>
      <c r="W214" s="197"/>
      <c r="X214" s="197"/>
      <c r="Y214" s="197"/>
      <c r="Z214" s="197"/>
      <c r="AA214" s="197"/>
      <c r="AB214" s="197"/>
      <c r="AC214" s="197"/>
      <c r="AD214" s="197"/>
      <c r="AE214" s="197"/>
      <c r="AF214" s="197"/>
      <c r="AG214" s="197"/>
      <c r="AH214" s="197"/>
    </row>
    <row r="215" spans="1:34" ht="12" customHeight="1" x14ac:dyDescent="0.2">
      <c r="A215" s="185" t="s">
        <v>472</v>
      </c>
      <c r="B215" s="186">
        <v>45871</v>
      </c>
      <c r="C215" s="196">
        <v>2994</v>
      </c>
      <c r="D215" s="188">
        <f>IFERROR(C215/VLOOKUP(A215,Usinas!$A:$B,2,FALSE()),"")</f>
        <v>4.2649572649572649</v>
      </c>
    </row>
    <row r="216" spans="1:34" ht="12" customHeight="1" x14ac:dyDescent="0.2">
      <c r="A216" s="185" t="s">
        <v>472</v>
      </c>
      <c r="B216" s="186">
        <v>45872</v>
      </c>
      <c r="C216" s="196">
        <v>2814.4</v>
      </c>
      <c r="D216" s="188">
        <f>IFERROR(C216/VLOOKUP(A216,Usinas!$A:$B,2,FALSE()),"")</f>
        <v>4.0091168091168097</v>
      </c>
    </row>
    <row r="217" spans="1:34" ht="12" customHeight="1" x14ac:dyDescent="0.2">
      <c r="A217" s="185" t="s">
        <v>472</v>
      </c>
      <c r="B217" s="186">
        <v>45873</v>
      </c>
      <c r="C217" s="196">
        <v>551.79999999999995</v>
      </c>
      <c r="D217" s="188">
        <f>IFERROR(C217/VLOOKUP(A217,Usinas!$A:$B,2,FALSE()),"")</f>
        <v>0.78603988603988595</v>
      </c>
    </row>
    <row r="218" spans="1:34" ht="12" customHeight="1" x14ac:dyDescent="0.2">
      <c r="A218" s="185" t="s">
        <v>472</v>
      </c>
      <c r="B218" s="186">
        <v>45874</v>
      </c>
      <c r="C218" s="196">
        <v>2052.1</v>
      </c>
      <c r="D218" s="188">
        <f>IFERROR(C218/VLOOKUP(A218,Usinas!$A:$B,2,FALSE()),"")</f>
        <v>2.9232193732193732</v>
      </c>
    </row>
    <row r="219" spans="1:34" ht="12" customHeight="1" x14ac:dyDescent="0.2">
      <c r="A219" s="185" t="s">
        <v>472</v>
      </c>
      <c r="B219" s="186">
        <v>45875</v>
      </c>
      <c r="C219" s="196">
        <v>3638.1</v>
      </c>
      <c r="D219" s="188">
        <f>IFERROR(C219/VLOOKUP(A219,Usinas!$A:$B,2,FALSE()),"")</f>
        <v>5.1824786324786327</v>
      </c>
    </row>
    <row r="220" spans="1:34" ht="12" customHeight="1" x14ac:dyDescent="0.2">
      <c r="A220" s="185" t="s">
        <v>472</v>
      </c>
      <c r="B220" s="186">
        <v>45876</v>
      </c>
      <c r="C220" s="196">
        <v>2905.4</v>
      </c>
      <c r="D220" s="188">
        <f>IFERROR(C220/VLOOKUP(A220,Usinas!$A:$B,2,FALSE()),"")</f>
        <v>4.1387464387464385</v>
      </c>
    </row>
    <row r="221" spans="1:34" ht="12" customHeight="1" x14ac:dyDescent="0.2">
      <c r="A221" s="185" t="s">
        <v>472</v>
      </c>
      <c r="B221" s="186">
        <v>45877</v>
      </c>
      <c r="C221" s="196">
        <v>1482.9</v>
      </c>
      <c r="D221" s="188">
        <f>IFERROR(C221/VLOOKUP(A221,Usinas!$A:$B,2,FALSE()),"")</f>
        <v>2.1123931623931624</v>
      </c>
    </row>
    <row r="222" spans="1:34" ht="12" customHeight="1" x14ac:dyDescent="0.2">
      <c r="A222" s="185" t="s">
        <v>472</v>
      </c>
      <c r="B222" s="186">
        <v>45878</v>
      </c>
      <c r="C222" s="196">
        <v>3676.3</v>
      </c>
      <c r="D222" s="188">
        <f>IFERROR(C222/VLOOKUP(A222,Usinas!$A:$B,2,FALSE()),"")</f>
        <v>5.2368945868945875</v>
      </c>
    </row>
    <row r="223" spans="1:34" ht="12" customHeight="1" x14ac:dyDescent="0.2">
      <c r="A223" s="185" t="s">
        <v>472</v>
      </c>
      <c r="B223" s="186">
        <v>45879</v>
      </c>
      <c r="C223" s="196">
        <v>3831.4</v>
      </c>
      <c r="D223" s="188">
        <f>IFERROR(C223/VLOOKUP(A223,Usinas!$A:$B,2,FALSE()),"")</f>
        <v>5.4578347578347577</v>
      </c>
    </row>
    <row r="224" spans="1:34" ht="12" customHeight="1" x14ac:dyDescent="0.2">
      <c r="A224" s="185" t="s">
        <v>472</v>
      </c>
      <c r="B224" s="186">
        <v>45880</v>
      </c>
      <c r="C224" s="196">
        <v>3732.4</v>
      </c>
      <c r="D224" s="188">
        <f>IFERROR(C224/VLOOKUP(A224,Usinas!$A:$B,2,FALSE()),"")</f>
        <v>5.3168091168091172</v>
      </c>
    </row>
    <row r="225" spans="1:4" ht="12" customHeight="1" x14ac:dyDescent="0.2">
      <c r="A225" s="185" t="s">
        <v>472</v>
      </c>
      <c r="B225" s="186">
        <v>45881</v>
      </c>
      <c r="C225" s="196">
        <v>3738.9</v>
      </c>
      <c r="D225" s="188">
        <f>IFERROR(C225/VLOOKUP(A225,Usinas!$A:$B,2,FALSE()),"")</f>
        <v>5.3260683760683758</v>
      </c>
    </row>
    <row r="226" spans="1:4" ht="12" customHeight="1" x14ac:dyDescent="0.2">
      <c r="A226" s="185" t="s">
        <v>472</v>
      </c>
      <c r="B226" s="186">
        <v>45882</v>
      </c>
      <c r="C226" s="196">
        <v>3670.4</v>
      </c>
      <c r="D226" s="188">
        <f>IFERROR(C226/VLOOKUP(A226,Usinas!$A:$B,2,FALSE()),"")</f>
        <v>5.2284900284900289</v>
      </c>
    </row>
    <row r="227" spans="1:4" ht="12" customHeight="1" x14ac:dyDescent="0.2">
      <c r="A227" s="185" t="s">
        <v>472</v>
      </c>
      <c r="B227" s="186">
        <v>45883</v>
      </c>
      <c r="C227" s="196">
        <v>3640.5</v>
      </c>
      <c r="D227" s="188">
        <f>IFERROR(C227/VLOOKUP(A227,Usinas!$A:$B,2,FALSE()),"")</f>
        <v>5.1858974358974361</v>
      </c>
    </row>
    <row r="228" spans="1:4" ht="12" customHeight="1" x14ac:dyDescent="0.2">
      <c r="A228" s="185" t="s">
        <v>472</v>
      </c>
      <c r="B228" s="186">
        <v>45884</v>
      </c>
      <c r="C228" s="196">
        <v>3643</v>
      </c>
      <c r="D228" s="188">
        <f>IFERROR(C228/VLOOKUP(A228,Usinas!$A:$B,2,FALSE()),"")</f>
        <v>5.1894586894586894</v>
      </c>
    </row>
    <row r="229" spans="1:4" ht="12" customHeight="1" x14ac:dyDescent="0.2">
      <c r="A229" s="185" t="s">
        <v>472</v>
      </c>
      <c r="B229" s="186">
        <v>45885</v>
      </c>
      <c r="C229" s="196">
        <v>3505.9</v>
      </c>
      <c r="D229" s="188">
        <f>IFERROR(C229/VLOOKUP(A229,Usinas!$A:$B,2,FALSE()),"")</f>
        <v>4.9941595441595439</v>
      </c>
    </row>
    <row r="230" spans="1:4" ht="12" customHeight="1" x14ac:dyDescent="0.2">
      <c r="A230" s="185" t="s">
        <v>472</v>
      </c>
      <c r="B230" s="186">
        <v>45886</v>
      </c>
      <c r="C230" s="196">
        <v>3315.4</v>
      </c>
      <c r="D230" s="188">
        <f>IFERROR(C230/VLOOKUP(A230,Usinas!$A:$B,2,FALSE()),"")</f>
        <v>4.7227920227920226</v>
      </c>
    </row>
    <row r="231" spans="1:4" ht="12" customHeight="1" x14ac:dyDescent="0.2">
      <c r="A231" s="185" t="s">
        <v>472</v>
      </c>
      <c r="B231" s="186">
        <v>45887</v>
      </c>
      <c r="C231" s="196">
        <v>3384.3</v>
      </c>
      <c r="D231" s="188">
        <f>IFERROR(C231/VLOOKUP(A231,Usinas!$A:$B,2,FALSE()),"")</f>
        <v>4.8209401709401716</v>
      </c>
    </row>
    <row r="232" spans="1:4" ht="12" customHeight="1" x14ac:dyDescent="0.2">
      <c r="A232" s="185" t="s">
        <v>472</v>
      </c>
      <c r="B232" s="186">
        <v>45888</v>
      </c>
      <c r="C232" s="196">
        <v>2497</v>
      </c>
      <c r="D232" s="188">
        <f>IFERROR(C232/VLOOKUP(A232,Usinas!$A:$B,2,FALSE()),"")</f>
        <v>3.5569800569800569</v>
      </c>
    </row>
    <row r="233" spans="1:4" ht="12" customHeight="1" x14ac:dyDescent="0.2">
      <c r="A233" s="185" t="s">
        <v>472</v>
      </c>
      <c r="B233" s="186">
        <v>45889</v>
      </c>
      <c r="C233" s="196">
        <v>1839.9</v>
      </c>
      <c r="D233" s="188">
        <f>IFERROR(C233/VLOOKUP(A233,Usinas!$A:$B,2,FALSE()),"")</f>
        <v>2.620940170940171</v>
      </c>
    </row>
    <row r="234" spans="1:4" ht="12" customHeight="1" x14ac:dyDescent="0.2">
      <c r="A234" s="185" t="s">
        <v>472</v>
      </c>
      <c r="B234" s="186">
        <v>45890</v>
      </c>
      <c r="C234" s="196">
        <v>2901.5</v>
      </c>
      <c r="D234" s="188">
        <f>IFERROR(C234/VLOOKUP(A234,Usinas!$A:$B,2,FALSE()),"")</f>
        <v>4.133190883190883</v>
      </c>
    </row>
    <row r="235" spans="1:4" ht="12" customHeight="1" x14ac:dyDescent="0.2">
      <c r="A235" s="185" t="s">
        <v>472</v>
      </c>
      <c r="B235" s="186">
        <v>45891</v>
      </c>
      <c r="C235" s="196">
        <v>3320.7</v>
      </c>
      <c r="D235" s="188">
        <f>IFERROR(C235/VLOOKUP(A235,Usinas!$A:$B,2,FALSE()),"")</f>
        <v>4.7303418803418804</v>
      </c>
    </row>
    <row r="236" spans="1:4" ht="12" customHeight="1" x14ac:dyDescent="0.2">
      <c r="A236" s="185" t="s">
        <v>472</v>
      </c>
      <c r="B236" s="186">
        <v>45892</v>
      </c>
      <c r="C236" s="196">
        <v>3247.7</v>
      </c>
      <c r="D236" s="188">
        <f>IFERROR(C236/VLOOKUP(A236,Usinas!$A:$B,2,FALSE()),"")</f>
        <v>4.6263532763532762</v>
      </c>
    </row>
    <row r="237" spans="1:4" ht="12" customHeight="1" x14ac:dyDescent="0.2">
      <c r="A237" s="185" t="s">
        <v>472</v>
      </c>
      <c r="B237" s="186">
        <v>45893</v>
      </c>
      <c r="C237" s="196">
        <v>1173.4000000000001</v>
      </c>
      <c r="D237" s="188">
        <f>IFERROR(C237/VLOOKUP(A237,Usinas!$A:$B,2,FALSE()),"")</f>
        <v>1.6715099715099717</v>
      </c>
    </row>
    <row r="238" spans="1:4" ht="12" customHeight="1" x14ac:dyDescent="0.2">
      <c r="A238" s="185" t="s">
        <v>472</v>
      </c>
      <c r="B238" s="186">
        <v>45894</v>
      </c>
      <c r="C238" s="196">
        <v>2172.4</v>
      </c>
      <c r="D238" s="188">
        <f>IFERROR(C238/VLOOKUP(A238,Usinas!$A:$B,2,FALSE()),"")</f>
        <v>3.0945868945868948</v>
      </c>
    </row>
    <row r="239" spans="1:4" ht="12" customHeight="1" x14ac:dyDescent="0.2">
      <c r="A239" s="185" t="s">
        <v>472</v>
      </c>
      <c r="B239" s="186">
        <v>45895</v>
      </c>
      <c r="C239" s="196">
        <v>3333.9</v>
      </c>
      <c r="D239" s="188">
        <f>IFERROR(C239/VLOOKUP(A239,Usinas!$A:$B,2,FALSE()),"")</f>
        <v>4.7491452991452991</v>
      </c>
    </row>
    <row r="240" spans="1:4" ht="12" customHeight="1" x14ac:dyDescent="0.2">
      <c r="A240" s="185" t="s">
        <v>472</v>
      </c>
      <c r="B240" s="186">
        <v>45896</v>
      </c>
      <c r="C240" s="196">
        <v>3710.3</v>
      </c>
      <c r="D240" s="188">
        <f>IFERROR(C240/VLOOKUP(A240,Usinas!$A:$B,2,FALSE()),"")</f>
        <v>5.2853276353276355</v>
      </c>
    </row>
    <row r="241" spans="1:33" ht="12" customHeight="1" x14ac:dyDescent="0.2">
      <c r="A241" s="185" t="s">
        <v>472</v>
      </c>
      <c r="B241" s="186">
        <v>45897</v>
      </c>
      <c r="C241" s="196">
        <v>1843.9</v>
      </c>
      <c r="D241" s="188">
        <f>IFERROR(C241/VLOOKUP(A241,Usinas!$A:$B,2,FALSE()),"")</f>
        <v>2.6266381766381768</v>
      </c>
    </row>
    <row r="242" spans="1:33" ht="12" customHeight="1" x14ac:dyDescent="0.2">
      <c r="A242" s="185" t="s">
        <v>472</v>
      </c>
      <c r="B242" s="186">
        <v>45898</v>
      </c>
      <c r="C242" s="196">
        <v>3617.3</v>
      </c>
      <c r="D242" s="188">
        <f>IFERROR(C242/VLOOKUP(A242,Usinas!$A:$B,2,FALSE()),"")</f>
        <v>5.1528490028490035</v>
      </c>
    </row>
    <row r="243" spans="1:33" ht="12" customHeight="1" x14ac:dyDescent="0.2">
      <c r="A243" s="185" t="s">
        <v>472</v>
      </c>
      <c r="B243" s="186">
        <v>45899</v>
      </c>
      <c r="C243" s="196">
        <v>3692.8</v>
      </c>
      <c r="D243" s="188">
        <f>IFERROR(C243/VLOOKUP(A243,Usinas!$A:$B,2,FALSE()),"")</f>
        <v>5.260398860398861</v>
      </c>
    </row>
    <row r="244" spans="1:33" ht="12" customHeight="1" x14ac:dyDescent="0.2">
      <c r="A244" s="185" t="s">
        <v>472</v>
      </c>
      <c r="B244" s="186">
        <v>45900</v>
      </c>
      <c r="C244" s="196">
        <v>3706.4</v>
      </c>
      <c r="D244" s="188">
        <f>IFERROR(C244/VLOOKUP(A244,Usinas!$A:$B,2,FALSE()),"")</f>
        <v>5.27977207977208</v>
      </c>
    </row>
    <row r="245" spans="1:33" ht="12" customHeight="1" x14ac:dyDescent="0.2">
      <c r="A245" s="185" t="s">
        <v>472</v>
      </c>
      <c r="B245" s="186">
        <v>45901</v>
      </c>
      <c r="C245" s="196">
        <v>1311</v>
      </c>
      <c r="D245" s="188">
        <f>IFERROR(C245/VLOOKUP(A245,Usinas!$A:$B,2,FALSE()),"")</f>
        <v>1.8675213675213675</v>
      </c>
      <c r="E245" s="197"/>
      <c r="F245" s="197"/>
      <c r="G245" s="197"/>
      <c r="H245" s="197"/>
      <c r="I245" s="197"/>
      <c r="J245" s="197"/>
      <c r="K245" s="197"/>
      <c r="L245" s="197"/>
      <c r="M245" s="197"/>
      <c r="N245" s="197"/>
      <c r="O245" s="197"/>
      <c r="P245" s="197"/>
      <c r="Q245" s="197"/>
      <c r="R245" s="197"/>
      <c r="S245" s="197"/>
      <c r="T245" s="197"/>
      <c r="U245" s="197"/>
      <c r="V245" s="197"/>
      <c r="W245" s="197"/>
      <c r="X245" s="197"/>
      <c r="Y245" s="197"/>
      <c r="Z245" s="197"/>
      <c r="AA245" s="197"/>
      <c r="AB245" s="197"/>
      <c r="AC245" s="197"/>
      <c r="AD245" s="197"/>
      <c r="AE245" s="197"/>
      <c r="AF245" s="197"/>
      <c r="AG245" s="197"/>
    </row>
    <row r="246" spans="1:33" ht="12" customHeight="1" x14ac:dyDescent="0.2">
      <c r="A246" s="185" t="s">
        <v>472</v>
      </c>
      <c r="B246" s="186">
        <v>45902</v>
      </c>
      <c r="C246" s="196">
        <v>3613</v>
      </c>
      <c r="D246" s="188">
        <f>IFERROR(C246/VLOOKUP(A246,Usinas!$A:$B,2,FALSE()),"")</f>
        <v>5.1467236467236468</v>
      </c>
    </row>
    <row r="247" spans="1:33" ht="12" customHeight="1" x14ac:dyDescent="0.2">
      <c r="A247" s="185" t="s">
        <v>472</v>
      </c>
      <c r="B247" s="186">
        <v>45903</v>
      </c>
      <c r="C247" s="196">
        <v>3570</v>
      </c>
      <c r="D247" s="188">
        <f>IFERROR(C247/VLOOKUP(A247,Usinas!$A:$B,2,FALSE()),"")</f>
        <v>5.0854700854700852</v>
      </c>
    </row>
    <row r="248" spans="1:33" ht="12" customHeight="1" x14ac:dyDescent="0.2">
      <c r="A248" s="185" t="s">
        <v>472</v>
      </c>
      <c r="B248" s="186">
        <v>45904</v>
      </c>
      <c r="C248" s="196">
        <v>3276</v>
      </c>
      <c r="D248" s="188">
        <f>IFERROR(C248/VLOOKUP(A248,Usinas!$A:$B,2,FALSE()),"")</f>
        <v>4.666666666666667</v>
      </c>
    </row>
    <row r="249" spans="1:33" ht="12" customHeight="1" x14ac:dyDescent="0.2">
      <c r="A249" s="185" t="s">
        <v>472</v>
      </c>
      <c r="B249" s="186">
        <v>45905</v>
      </c>
      <c r="C249" s="196">
        <v>3330.7</v>
      </c>
      <c r="D249" s="188">
        <f>IFERROR(C249/VLOOKUP(A249,Usinas!$A:$B,2,FALSE()),"")</f>
        <v>4.7445868945868943</v>
      </c>
    </row>
    <row r="250" spans="1:33" ht="12" customHeight="1" x14ac:dyDescent="0.2">
      <c r="A250" s="185" t="s">
        <v>472</v>
      </c>
      <c r="B250" s="186">
        <v>45906</v>
      </c>
      <c r="C250" s="196">
        <v>2273.8000000000002</v>
      </c>
      <c r="D250" s="188">
        <f>IFERROR(C250/VLOOKUP(A250,Usinas!$A:$B,2,FALSE()),"")</f>
        <v>3.2390313390313392</v>
      </c>
    </row>
    <row r="251" spans="1:33" ht="12" customHeight="1" x14ac:dyDescent="0.2">
      <c r="A251" s="185" t="s">
        <v>472</v>
      </c>
      <c r="B251" s="186">
        <v>45907</v>
      </c>
      <c r="C251" s="196">
        <v>2261.4</v>
      </c>
      <c r="D251" s="188">
        <f>IFERROR(C251/VLOOKUP(A251,Usinas!$A:$B,2,FALSE()),"")</f>
        <v>3.2213675213675215</v>
      </c>
    </row>
    <row r="252" spans="1:33" ht="12" customHeight="1" x14ac:dyDescent="0.2">
      <c r="A252" s="185" t="s">
        <v>472</v>
      </c>
      <c r="B252" s="186">
        <v>45908</v>
      </c>
      <c r="C252" s="196">
        <v>3032.9</v>
      </c>
      <c r="D252" s="188">
        <f>IFERROR(C252/VLOOKUP(A252,Usinas!$A:$B,2,FALSE()),"")</f>
        <v>4.3203703703703704</v>
      </c>
    </row>
    <row r="253" spans="1:33" ht="12" customHeight="1" x14ac:dyDescent="0.2">
      <c r="A253" s="185" t="s">
        <v>472</v>
      </c>
      <c r="B253" s="186">
        <v>45909</v>
      </c>
      <c r="C253" s="196">
        <v>3529.1</v>
      </c>
      <c r="D253" s="188">
        <f>IFERROR(C253/VLOOKUP(A253,Usinas!$A:$B,2,FALSE()),"")</f>
        <v>5.0272079772079774</v>
      </c>
    </row>
    <row r="254" spans="1:33" ht="12" customHeight="1" x14ac:dyDescent="0.2">
      <c r="A254" s="185" t="s">
        <v>472</v>
      </c>
      <c r="B254" s="186">
        <v>45910</v>
      </c>
      <c r="C254" s="196">
        <v>3962.5</v>
      </c>
      <c r="D254" s="188">
        <f>IFERROR(C254/VLOOKUP(A254,Usinas!$A:$B,2,FALSE()),"")</f>
        <v>5.6445868945868947</v>
      </c>
    </row>
    <row r="255" spans="1:33" ht="12" customHeight="1" x14ac:dyDescent="0.2">
      <c r="A255" s="185" t="s">
        <v>472</v>
      </c>
      <c r="B255" s="186">
        <v>45911</v>
      </c>
      <c r="C255" s="196">
        <v>3433.7</v>
      </c>
      <c r="D255" s="188">
        <f>IFERROR(C255/VLOOKUP(A255,Usinas!$A:$B,2,FALSE()),"")</f>
        <v>4.8913105413105411</v>
      </c>
    </row>
    <row r="256" spans="1:33" ht="12" customHeight="1" x14ac:dyDescent="0.2">
      <c r="A256" s="185" t="s">
        <v>472</v>
      </c>
      <c r="B256" s="186">
        <v>45912</v>
      </c>
      <c r="C256" s="196">
        <v>2190.9</v>
      </c>
      <c r="D256" s="188">
        <f>IFERROR(C256/VLOOKUP(A256,Usinas!$A:$B,2,FALSE()),"")</f>
        <v>3.120940170940171</v>
      </c>
    </row>
    <row r="257" spans="1:4" ht="12" customHeight="1" x14ac:dyDescent="0.2">
      <c r="A257" s="185" t="s">
        <v>472</v>
      </c>
      <c r="B257" s="186">
        <v>45913</v>
      </c>
      <c r="C257" s="196">
        <v>2895.8</v>
      </c>
      <c r="D257" s="188">
        <f>IFERROR(C257/VLOOKUP(A257,Usinas!$A:$B,2,FALSE()),"")</f>
        <v>4.1250712250712249</v>
      </c>
    </row>
    <row r="258" spans="1:4" ht="12" customHeight="1" x14ac:dyDescent="0.2">
      <c r="A258" s="185" t="s">
        <v>472</v>
      </c>
      <c r="B258" s="186">
        <v>45914</v>
      </c>
      <c r="C258" s="196">
        <v>3613</v>
      </c>
      <c r="D258" s="188">
        <f>IFERROR(C258/VLOOKUP(A258,Usinas!$A:$B,2,FALSE()),"")</f>
        <v>5.1467236467236468</v>
      </c>
    </row>
    <row r="259" spans="1:4" ht="12" customHeight="1" x14ac:dyDescent="0.2">
      <c r="A259" s="185" t="s">
        <v>472</v>
      </c>
      <c r="B259" s="186">
        <v>45915</v>
      </c>
      <c r="C259" s="196">
        <v>3276.6</v>
      </c>
      <c r="D259" s="188">
        <f>IFERROR(C259/VLOOKUP(A259,Usinas!$A:$B,2,FALSE()),"")</f>
        <v>4.6675213675213678</v>
      </c>
    </row>
    <row r="260" spans="1:4" ht="12" customHeight="1" x14ac:dyDescent="0.2">
      <c r="A260" s="185" t="s">
        <v>472</v>
      </c>
      <c r="B260" s="186">
        <v>45916</v>
      </c>
      <c r="C260" s="196">
        <v>2253.6</v>
      </c>
      <c r="D260" s="188">
        <f>IFERROR(C260/VLOOKUP(A260,Usinas!$A:$B,2,FALSE()),"")</f>
        <v>3.21025641025641</v>
      </c>
    </row>
    <row r="261" spans="1:4" ht="12" customHeight="1" x14ac:dyDescent="0.2">
      <c r="A261" s="185" t="s">
        <v>472</v>
      </c>
      <c r="B261" s="186">
        <v>45917</v>
      </c>
      <c r="C261" s="196">
        <v>3792.6</v>
      </c>
      <c r="D261" s="188">
        <f>IFERROR(C261/VLOOKUP(A261,Usinas!$A:$B,2,FALSE()),"")</f>
        <v>5.402564102564102</v>
      </c>
    </row>
    <row r="262" spans="1:4" ht="12" customHeight="1" x14ac:dyDescent="0.2">
      <c r="A262" s="185" t="s">
        <v>472</v>
      </c>
      <c r="B262" s="186">
        <v>45918</v>
      </c>
      <c r="C262" s="196">
        <v>3981</v>
      </c>
      <c r="D262" s="188">
        <f>IFERROR(C262/VLOOKUP(A262,Usinas!$A:$B,2,FALSE()),"")</f>
        <v>5.6709401709401712</v>
      </c>
    </row>
    <row r="263" spans="1:4" ht="12" customHeight="1" x14ac:dyDescent="0.2">
      <c r="A263" s="185" t="s">
        <v>472</v>
      </c>
      <c r="B263" s="186">
        <v>45919</v>
      </c>
      <c r="C263" s="196">
        <v>3728.6</v>
      </c>
      <c r="D263" s="188">
        <f>IFERROR(C263/VLOOKUP(A263,Usinas!$A:$B,2,FALSE()),"")</f>
        <v>5.3113960113960115</v>
      </c>
    </row>
    <row r="264" spans="1:4" ht="12" customHeight="1" x14ac:dyDescent="0.2">
      <c r="A264" s="185" t="s">
        <v>472</v>
      </c>
      <c r="B264" s="186">
        <v>45920</v>
      </c>
      <c r="C264" s="196">
        <v>3497.5</v>
      </c>
      <c r="D264" s="188">
        <f>IFERROR(C264/VLOOKUP(A264,Usinas!$A:$B,2,FALSE()),"")</f>
        <v>4.982193732193732</v>
      </c>
    </row>
    <row r="265" spans="1:4" ht="12" customHeight="1" x14ac:dyDescent="0.2">
      <c r="A265" s="185" t="s">
        <v>472</v>
      </c>
      <c r="B265" s="186">
        <v>45921</v>
      </c>
      <c r="C265" s="196">
        <v>3221.9</v>
      </c>
      <c r="D265" s="188">
        <f>IFERROR(C265/VLOOKUP(A265,Usinas!$A:$B,2,FALSE()),"")</f>
        <v>4.5896011396011396</v>
      </c>
    </row>
    <row r="266" spans="1:4" ht="12" customHeight="1" x14ac:dyDescent="0.2">
      <c r="A266" s="185" t="s">
        <v>472</v>
      </c>
      <c r="B266" s="186">
        <v>45922</v>
      </c>
      <c r="C266" s="196">
        <v>688.4</v>
      </c>
      <c r="D266" s="188">
        <f>IFERROR(C266/VLOOKUP(A266,Usinas!$A:$B,2,FALSE()),"")</f>
        <v>0.98062678062678055</v>
      </c>
    </row>
    <row r="267" spans="1:4" ht="12" customHeight="1" x14ac:dyDescent="0.2">
      <c r="A267" s="185" t="s">
        <v>472</v>
      </c>
      <c r="B267" s="186">
        <v>45923</v>
      </c>
      <c r="C267" s="196">
        <v>4291.5</v>
      </c>
      <c r="D267" s="188">
        <f>IFERROR(C267/VLOOKUP(A267,Usinas!$A:$B,2,FALSE()),"")</f>
        <v>6.1132478632478628</v>
      </c>
    </row>
    <row r="268" spans="1:4" ht="12" customHeight="1" x14ac:dyDescent="0.2">
      <c r="A268" s="185" t="s">
        <v>472</v>
      </c>
      <c r="B268" s="186">
        <v>45924</v>
      </c>
      <c r="C268" s="196">
        <v>4037.1</v>
      </c>
      <c r="D268" s="188">
        <f>IFERROR(C268/VLOOKUP(A268,Usinas!$A:$B,2,FALSE()),"")</f>
        <v>5.7508547008547009</v>
      </c>
    </row>
    <row r="269" spans="1:4" ht="12" customHeight="1" x14ac:dyDescent="0.2">
      <c r="A269" s="185" t="s">
        <v>472</v>
      </c>
      <c r="B269" s="186">
        <v>45925</v>
      </c>
      <c r="C269" s="196">
        <v>4141.6000000000004</v>
      </c>
      <c r="D269" s="188">
        <f>IFERROR(C269/VLOOKUP(A269,Usinas!$A:$B,2,FALSE()),"")</f>
        <v>5.8997150997151007</v>
      </c>
    </row>
    <row r="270" spans="1:4" ht="12" customHeight="1" x14ac:dyDescent="0.2">
      <c r="A270" s="185" t="s">
        <v>472</v>
      </c>
      <c r="B270" s="186">
        <v>45926</v>
      </c>
      <c r="C270" s="196">
        <v>4230.6000000000004</v>
      </c>
      <c r="D270" s="188">
        <f>IFERROR(C270/VLOOKUP(A270,Usinas!$A:$B,2,FALSE()),"")</f>
        <v>6.0264957264957273</v>
      </c>
    </row>
    <row r="271" spans="1:4" ht="12" customHeight="1" x14ac:dyDescent="0.2">
      <c r="A271" s="185" t="s">
        <v>472</v>
      </c>
      <c r="B271" s="186">
        <v>45927</v>
      </c>
      <c r="C271" s="196">
        <v>4126.7</v>
      </c>
      <c r="D271" s="188">
        <f>IFERROR(C271/VLOOKUP(A271,Usinas!$A:$B,2,FALSE()),"")</f>
        <v>5.8784900284900283</v>
      </c>
    </row>
    <row r="272" spans="1:4" ht="12" customHeight="1" x14ac:dyDescent="0.2">
      <c r="A272" s="185" t="s">
        <v>472</v>
      </c>
      <c r="B272" s="186">
        <v>45928</v>
      </c>
      <c r="C272" s="196">
        <v>1686.5</v>
      </c>
      <c r="D272" s="188">
        <f>IFERROR(C272/VLOOKUP(A272,Usinas!$A:$B,2,FALSE()),"")</f>
        <v>2.4024216524216526</v>
      </c>
    </row>
    <row r="273" spans="1:34" ht="12" customHeight="1" x14ac:dyDescent="0.2">
      <c r="A273" s="185" t="s">
        <v>472</v>
      </c>
      <c r="B273" s="186">
        <v>45929</v>
      </c>
      <c r="C273" s="196">
        <v>3238.8</v>
      </c>
      <c r="D273" s="188">
        <f>IFERROR(C273/VLOOKUP(A273,Usinas!$A:$B,2,FALSE()),"")</f>
        <v>4.6136752136752142</v>
      </c>
    </row>
    <row r="274" spans="1:34" ht="12" customHeight="1" x14ac:dyDescent="0.2">
      <c r="A274" s="185" t="s">
        <v>472</v>
      </c>
      <c r="B274" s="186">
        <v>45930</v>
      </c>
      <c r="C274" s="196">
        <v>1946.6</v>
      </c>
      <c r="D274" s="188">
        <f>IFERROR(C274/VLOOKUP(A274,Usinas!$A:$B,2,FALSE()),"")</f>
        <v>2.7729344729344727</v>
      </c>
    </row>
    <row r="275" spans="1:34" ht="12" customHeight="1" x14ac:dyDescent="0.2">
      <c r="A275" s="185" t="s">
        <v>472</v>
      </c>
      <c r="B275" s="186">
        <v>45931</v>
      </c>
      <c r="C275" s="196">
        <v>494.8</v>
      </c>
      <c r="D275" s="188">
        <f>IFERROR(C275/VLOOKUP(A275,Usinas!$A:$B,2,FALSE()),"")</f>
        <v>0.70484330484330482</v>
      </c>
      <c r="E275" s="197"/>
      <c r="F275" s="197"/>
      <c r="G275" s="197"/>
      <c r="H275" s="197"/>
      <c r="I275" s="197"/>
      <c r="J275" s="197"/>
      <c r="K275" s="197"/>
      <c r="L275" s="197"/>
      <c r="M275" s="197"/>
      <c r="N275" s="197"/>
      <c r="O275" s="197"/>
      <c r="P275" s="197"/>
      <c r="Q275" s="197"/>
      <c r="R275" s="197"/>
      <c r="S275" s="197"/>
      <c r="T275" s="197"/>
      <c r="U275" s="197"/>
      <c r="V275" s="197"/>
      <c r="W275" s="197"/>
      <c r="X275" s="197"/>
      <c r="Y275" s="197"/>
      <c r="Z275" s="197"/>
      <c r="AA275" s="197"/>
      <c r="AB275" s="197"/>
      <c r="AC275" s="197"/>
      <c r="AD275" s="197"/>
      <c r="AE275" s="197"/>
      <c r="AF275" s="197"/>
      <c r="AG275" s="197"/>
      <c r="AH275" s="197"/>
    </row>
    <row r="276" spans="1:34" ht="12" customHeight="1" x14ac:dyDescent="0.2">
      <c r="A276" s="185" t="s">
        <v>472</v>
      </c>
      <c r="B276" s="186">
        <v>45932</v>
      </c>
      <c r="C276" s="196">
        <v>1739.5</v>
      </c>
      <c r="D276" s="188">
        <f>IFERROR(C276/VLOOKUP(A276,Usinas!$A:$B,2,FALSE()),"")</f>
        <v>2.4779202279202277</v>
      </c>
    </row>
    <row r="277" spans="1:34" ht="12" customHeight="1" x14ac:dyDescent="0.2">
      <c r="A277" s="185" t="s">
        <v>472</v>
      </c>
      <c r="B277" s="186">
        <v>45933</v>
      </c>
      <c r="C277" s="196">
        <v>1243.3</v>
      </c>
      <c r="D277" s="188">
        <f>IFERROR(C277/VLOOKUP(A277,Usinas!$A:$B,2,FALSE()),"")</f>
        <v>1.7710826210826209</v>
      </c>
    </row>
    <row r="278" spans="1:34" ht="12" customHeight="1" x14ac:dyDescent="0.2">
      <c r="A278" s="185" t="s">
        <v>472</v>
      </c>
      <c r="B278" s="186">
        <v>45934</v>
      </c>
      <c r="C278" s="196">
        <v>4002.4</v>
      </c>
      <c r="D278" s="188">
        <f>IFERROR(C278/VLOOKUP(A278,Usinas!$A:$B,2,FALSE()),"")</f>
        <v>5.7014245014245013</v>
      </c>
    </row>
    <row r="279" spans="1:34" ht="12" customHeight="1" x14ac:dyDescent="0.2">
      <c r="A279" s="185" t="s">
        <v>472</v>
      </c>
      <c r="B279" s="186">
        <v>45935</v>
      </c>
      <c r="C279" s="196">
        <v>3940.7</v>
      </c>
      <c r="D279" s="188">
        <f>IFERROR(C279/VLOOKUP(A279,Usinas!$A:$B,2,FALSE()),"")</f>
        <v>5.6135327635327634</v>
      </c>
    </row>
    <row r="280" spans="1:34" ht="12" customHeight="1" x14ac:dyDescent="0.2">
      <c r="A280" s="185" t="s">
        <v>472</v>
      </c>
      <c r="B280" s="186">
        <v>45936</v>
      </c>
      <c r="C280" s="196">
        <v>1506.2</v>
      </c>
      <c r="D280" s="188">
        <f>IFERROR(C280/VLOOKUP(A280,Usinas!$A:$B,2,FALSE()),"")</f>
        <v>2.1455840455840458</v>
      </c>
    </row>
    <row r="281" spans="1:34" ht="12" customHeight="1" x14ac:dyDescent="0.2">
      <c r="A281" s="185" t="s">
        <v>472</v>
      </c>
      <c r="B281" s="186">
        <v>45937</v>
      </c>
      <c r="C281" s="196">
        <v>2358.9</v>
      </c>
      <c r="D281" s="188">
        <f>IFERROR(C281/VLOOKUP(A281,Usinas!$A:$B,2,FALSE()),"")</f>
        <v>3.3602564102564103</v>
      </c>
    </row>
    <row r="282" spans="1:34" ht="12" customHeight="1" x14ac:dyDescent="0.2">
      <c r="A282" s="185" t="s">
        <v>472</v>
      </c>
      <c r="B282" s="186">
        <v>45938</v>
      </c>
      <c r="C282" s="196">
        <v>3358.6</v>
      </c>
      <c r="D282" s="188">
        <f>IFERROR(C282/VLOOKUP(A282,Usinas!$A:$B,2,FALSE()),"")</f>
        <v>4.7843304843304839</v>
      </c>
    </row>
    <row r="283" spans="1:34" ht="12" customHeight="1" x14ac:dyDescent="0.2">
      <c r="A283" s="185" t="s">
        <v>472</v>
      </c>
      <c r="B283" s="186">
        <v>45939</v>
      </c>
      <c r="C283" s="196">
        <v>4042.7</v>
      </c>
      <c r="D283" s="188">
        <f>IFERROR(C283/VLOOKUP(A283,Usinas!$A:$B,2,FALSE()),"")</f>
        <v>5.7588319088319082</v>
      </c>
    </row>
    <row r="284" spans="1:34" ht="12" customHeight="1" x14ac:dyDescent="0.2">
      <c r="A284" s="185" t="s">
        <v>472</v>
      </c>
      <c r="B284" s="186">
        <v>45940</v>
      </c>
      <c r="C284" s="196">
        <v>4041.8</v>
      </c>
      <c r="D284" s="188">
        <f>IFERROR(C284/VLOOKUP(A284,Usinas!$A:$B,2,FALSE()),"")</f>
        <v>5.7575498575498578</v>
      </c>
    </row>
    <row r="285" spans="1:34" ht="12" customHeight="1" x14ac:dyDescent="0.2">
      <c r="A285" s="185" t="s">
        <v>472</v>
      </c>
      <c r="B285" s="186">
        <v>45941</v>
      </c>
      <c r="C285" s="196">
        <v>4257.8</v>
      </c>
      <c r="D285" s="188">
        <f>IFERROR(C285/VLOOKUP(A285,Usinas!$A:$B,2,FALSE()),"")</f>
        <v>6.0652421652421653</v>
      </c>
    </row>
    <row r="286" spans="1:34" ht="12" customHeight="1" x14ac:dyDescent="0.2">
      <c r="A286" s="185" t="s">
        <v>472</v>
      </c>
      <c r="B286" s="186">
        <v>45942</v>
      </c>
      <c r="C286" s="196">
        <v>1562.1</v>
      </c>
      <c r="D286" s="188">
        <f>IFERROR(C286/VLOOKUP(A286,Usinas!$A:$B,2,FALSE()),"")</f>
        <v>2.2252136752136753</v>
      </c>
    </row>
    <row r="287" spans="1:34" ht="12" customHeight="1" x14ac:dyDescent="0.2">
      <c r="A287" s="185" t="s">
        <v>472</v>
      </c>
      <c r="B287" s="186">
        <v>45943</v>
      </c>
      <c r="C287" s="196">
        <v>1022</v>
      </c>
      <c r="D287" s="188">
        <f>IFERROR(C287/VLOOKUP(A287,Usinas!$A:$B,2,FALSE()),"")</f>
        <v>1.4558404558404558</v>
      </c>
    </row>
    <row r="288" spans="1:34" ht="12" customHeight="1" x14ac:dyDescent="0.2">
      <c r="A288" s="185" t="s">
        <v>472</v>
      </c>
      <c r="B288" s="186">
        <v>45944</v>
      </c>
      <c r="C288" s="196">
        <v>4034.9</v>
      </c>
      <c r="D288" s="188">
        <f>IFERROR(C288/VLOOKUP(A288,Usinas!$A:$B,2,FALSE()),"")</f>
        <v>5.747720797720798</v>
      </c>
    </row>
    <row r="289" spans="1:4" ht="12" customHeight="1" x14ac:dyDescent="0.2">
      <c r="A289" s="185" t="s">
        <v>472</v>
      </c>
      <c r="B289" s="186">
        <v>45945</v>
      </c>
      <c r="C289" s="196">
        <v>4376.2</v>
      </c>
      <c r="D289" s="188">
        <f>IFERROR(C289/VLOOKUP(A289,Usinas!$A:$B,2,FALSE()),"")</f>
        <v>6.2339031339031337</v>
      </c>
    </row>
    <row r="290" spans="1:4" ht="12" customHeight="1" x14ac:dyDescent="0.2">
      <c r="A290" s="185" t="s">
        <v>472</v>
      </c>
      <c r="B290" s="186">
        <v>45946</v>
      </c>
      <c r="C290" s="196">
        <v>3838.3</v>
      </c>
      <c r="D290" s="188">
        <f>IFERROR(C290/VLOOKUP(A290,Usinas!$A:$B,2,FALSE()),"")</f>
        <v>5.4676638176638175</v>
      </c>
    </row>
    <row r="291" spans="1:4" ht="12" customHeight="1" x14ac:dyDescent="0.2">
      <c r="A291" s="185" t="s">
        <v>472</v>
      </c>
      <c r="B291" s="186">
        <v>45947</v>
      </c>
      <c r="C291" s="196">
        <v>3372.5</v>
      </c>
      <c r="D291" s="188">
        <f>IFERROR(C291/VLOOKUP(A291,Usinas!$A:$B,2,FALSE()),"")</f>
        <v>4.8041310541310542</v>
      </c>
    </row>
    <row r="292" spans="1:4" ht="12" customHeight="1" x14ac:dyDescent="0.2">
      <c r="A292" s="185" t="s">
        <v>472</v>
      </c>
      <c r="B292" s="186">
        <v>45948</v>
      </c>
      <c r="C292" s="196">
        <v>879.9</v>
      </c>
      <c r="D292" s="188">
        <f>IFERROR(C292/VLOOKUP(A292,Usinas!$A:$B,2,FALSE()),"")</f>
        <v>1.2534188034188034</v>
      </c>
    </row>
    <row r="293" spans="1:4" ht="12" customHeight="1" x14ac:dyDescent="0.2">
      <c r="A293" s="185" t="s">
        <v>472</v>
      </c>
      <c r="B293" s="186">
        <v>45949</v>
      </c>
      <c r="C293" s="196">
        <v>4260.1000000000004</v>
      </c>
      <c r="D293" s="188">
        <f>IFERROR(C293/VLOOKUP(A293,Usinas!$A:$B,2,FALSE()),"")</f>
        <v>6.0685185185185189</v>
      </c>
    </row>
    <row r="294" spans="1:4" ht="12" customHeight="1" x14ac:dyDescent="0.2">
      <c r="A294" s="185" t="s">
        <v>472</v>
      </c>
      <c r="B294" s="186">
        <v>45950</v>
      </c>
      <c r="C294" s="196">
        <v>4844.2</v>
      </c>
      <c r="D294" s="188">
        <f>IFERROR(C294/VLOOKUP(A294,Usinas!$A:$B,2,FALSE()),"")</f>
        <v>6.9005698005698006</v>
      </c>
    </row>
    <row r="295" spans="1:4" ht="12" customHeight="1" x14ac:dyDescent="0.2">
      <c r="A295" s="185" t="s">
        <v>472</v>
      </c>
      <c r="B295" s="186">
        <v>45951</v>
      </c>
      <c r="C295" s="196">
        <v>4654.5</v>
      </c>
      <c r="D295" s="188">
        <f>IFERROR(C295/VLOOKUP(A295,Usinas!$A:$B,2,FALSE()),"")</f>
        <v>6.6303418803418808</v>
      </c>
    </row>
    <row r="296" spans="1:4" ht="12" customHeight="1" x14ac:dyDescent="0.2">
      <c r="A296" s="185" t="s">
        <v>472</v>
      </c>
      <c r="B296" s="186">
        <v>45952</v>
      </c>
      <c r="C296" s="196">
        <v>4761.8</v>
      </c>
      <c r="D296" s="188">
        <f>IFERROR(C296/VLOOKUP(A296,Usinas!$A:$B,2,FALSE()),"")</f>
        <v>6.7831908831908834</v>
      </c>
    </row>
    <row r="297" spans="1:4" ht="12" customHeight="1" x14ac:dyDescent="0.2">
      <c r="A297" s="185" t="s">
        <v>472</v>
      </c>
      <c r="B297" s="186">
        <v>45953</v>
      </c>
      <c r="C297" s="196">
        <v>4158.1000000000004</v>
      </c>
      <c r="D297" s="188">
        <f>IFERROR(C297/VLOOKUP(A297,Usinas!$A:$B,2,FALSE()),"")</f>
        <v>5.9232193732193741</v>
      </c>
    </row>
    <row r="298" spans="1:4" ht="12" customHeight="1" x14ac:dyDescent="0.2">
      <c r="A298" s="185" t="s">
        <v>472</v>
      </c>
      <c r="B298" s="186">
        <v>45954</v>
      </c>
      <c r="C298" s="196">
        <v>4620.7</v>
      </c>
      <c r="D298" s="188">
        <f>IFERROR(C298/VLOOKUP(A298,Usinas!$A:$B,2,FALSE()),"")</f>
        <v>6.5821937321937316</v>
      </c>
    </row>
    <row r="299" spans="1:4" ht="12" customHeight="1" x14ac:dyDescent="0.2">
      <c r="A299" s="185" t="s">
        <v>472</v>
      </c>
      <c r="B299" s="186">
        <v>45955</v>
      </c>
      <c r="C299" s="196">
        <v>3693.6</v>
      </c>
      <c r="D299" s="188">
        <f>IFERROR(C299/VLOOKUP(A299,Usinas!$A:$B,2,FALSE()),"")</f>
        <v>5.2615384615384615</v>
      </c>
    </row>
    <row r="300" spans="1:4" ht="12" customHeight="1" x14ac:dyDescent="0.2">
      <c r="A300" s="185" t="s">
        <v>472</v>
      </c>
      <c r="B300" s="186">
        <v>45956</v>
      </c>
      <c r="C300" s="196">
        <v>416.4</v>
      </c>
      <c r="D300" s="188">
        <f>IFERROR(C300/VLOOKUP(A300,Usinas!$A:$B,2,FALSE()),"")</f>
        <v>0.59316239316239316</v>
      </c>
    </row>
    <row r="301" spans="1:4" ht="12" customHeight="1" x14ac:dyDescent="0.2">
      <c r="A301" s="185" t="s">
        <v>472</v>
      </c>
      <c r="B301" s="186">
        <v>45957</v>
      </c>
      <c r="C301" s="196">
        <v>3121.4</v>
      </c>
      <c r="D301" s="188">
        <f>IFERROR(C301/VLOOKUP(A301,Usinas!$A:$B,2,FALSE()),"")</f>
        <v>4.4464387464387469</v>
      </c>
    </row>
    <row r="302" spans="1:4" ht="12" customHeight="1" x14ac:dyDescent="0.2">
      <c r="A302" s="185" t="s">
        <v>472</v>
      </c>
      <c r="B302" s="186">
        <v>45958</v>
      </c>
      <c r="C302" s="196">
        <v>1641.4</v>
      </c>
      <c r="D302" s="188">
        <f>IFERROR(C302/VLOOKUP(A302,Usinas!$A:$B,2,FALSE()),"")</f>
        <v>2.3381766381766385</v>
      </c>
    </row>
    <row r="303" spans="1:4" ht="12" customHeight="1" x14ac:dyDescent="0.2">
      <c r="A303" s="185" t="s">
        <v>472</v>
      </c>
      <c r="B303" s="186">
        <v>45959</v>
      </c>
      <c r="C303" s="196">
        <v>2758.5</v>
      </c>
      <c r="D303" s="188">
        <f>IFERROR(C303/VLOOKUP(A303,Usinas!$A:$B,2,FALSE()),"")</f>
        <v>3.9294871794871793</v>
      </c>
    </row>
    <row r="304" spans="1:4" ht="12" customHeight="1" x14ac:dyDescent="0.2">
      <c r="A304" s="185" t="s">
        <v>472</v>
      </c>
      <c r="B304" s="186">
        <v>45960</v>
      </c>
      <c r="C304" s="196">
        <v>3091.4</v>
      </c>
      <c r="D304" s="188">
        <f>IFERROR(C304/VLOOKUP(A304,Usinas!$A:$B,2,FALSE()),"")</f>
        <v>4.4037037037037035</v>
      </c>
    </row>
    <row r="305" spans="1:33" ht="12" customHeight="1" x14ac:dyDescent="0.2">
      <c r="A305" s="185" t="s">
        <v>472</v>
      </c>
      <c r="B305" s="186">
        <v>45961</v>
      </c>
      <c r="C305" s="196">
        <v>3812.1</v>
      </c>
      <c r="D305" s="188">
        <f>IFERROR(C305/VLOOKUP(A305,Usinas!$A:$B,2,FALSE()),"")</f>
        <v>5.4303418803418806</v>
      </c>
    </row>
    <row r="306" spans="1:33" ht="12" customHeight="1" x14ac:dyDescent="0.2">
      <c r="A306" s="185" t="s">
        <v>472</v>
      </c>
      <c r="B306" s="186">
        <v>45962</v>
      </c>
      <c r="C306" s="196">
        <v>3153.3</v>
      </c>
      <c r="D306" s="188">
        <f>IFERROR(C306/VLOOKUP(A306,Usinas!$A:$B,2,FALSE()),"")</f>
        <v>4.4918803418803419</v>
      </c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  <c r="U306" s="197"/>
      <c r="V306" s="197"/>
      <c r="W306" s="197"/>
      <c r="X306" s="197"/>
      <c r="Y306" s="197"/>
      <c r="Z306" s="197"/>
      <c r="AA306" s="197"/>
      <c r="AB306" s="197"/>
      <c r="AC306" s="197"/>
      <c r="AD306" s="197"/>
      <c r="AE306" s="197"/>
      <c r="AF306" s="197"/>
      <c r="AG306" s="197"/>
    </row>
    <row r="307" spans="1:33" ht="12" customHeight="1" x14ac:dyDescent="0.2">
      <c r="A307" s="185" t="s">
        <v>472</v>
      </c>
      <c r="B307" s="186">
        <v>45963</v>
      </c>
      <c r="C307" s="196">
        <v>2718.2</v>
      </c>
      <c r="D307" s="188">
        <f>IFERROR(C307/VLOOKUP(A307,Usinas!$A:$B,2,FALSE()),"")</f>
        <v>3.8720797720797719</v>
      </c>
    </row>
    <row r="308" spans="1:33" ht="12" customHeight="1" x14ac:dyDescent="0.2">
      <c r="A308" s="185" t="s">
        <v>472</v>
      </c>
      <c r="B308" s="186">
        <v>45964</v>
      </c>
      <c r="C308" s="196">
        <v>3118.6</v>
      </c>
      <c r="D308" s="188">
        <f>IFERROR(C308/VLOOKUP(A308,Usinas!$A:$B,2,FALSE()),"")</f>
        <v>4.4424501424501424</v>
      </c>
    </row>
    <row r="309" spans="1:33" ht="12" customHeight="1" x14ac:dyDescent="0.2">
      <c r="A309" s="185" t="s">
        <v>472</v>
      </c>
      <c r="B309" s="186">
        <v>45965</v>
      </c>
      <c r="C309" s="196">
        <v>3888.5</v>
      </c>
      <c r="D309" s="188">
        <f>IFERROR(C309/VLOOKUP(A309,Usinas!$A:$B,2,FALSE()),"")</f>
        <v>5.5391737891737893</v>
      </c>
    </row>
    <row r="310" spans="1:33" ht="12" customHeight="1" x14ac:dyDescent="0.2">
      <c r="A310" s="185" t="s">
        <v>472</v>
      </c>
      <c r="B310" s="186">
        <v>45966</v>
      </c>
      <c r="C310" s="196">
        <v>3065.9</v>
      </c>
      <c r="D310" s="188">
        <f>IFERROR(C310/VLOOKUP(A310,Usinas!$A:$B,2,FALSE()),"")</f>
        <v>4.3673789173789173</v>
      </c>
    </row>
    <row r="311" spans="1:33" ht="12" customHeight="1" x14ac:dyDescent="0.2">
      <c r="A311" s="185" t="s">
        <v>472</v>
      </c>
      <c r="B311" s="186">
        <v>45967</v>
      </c>
      <c r="C311" s="196">
        <v>4363.6000000000004</v>
      </c>
      <c r="D311" s="188">
        <f>IFERROR(C311/VLOOKUP(A311,Usinas!$A:$B,2,FALSE()),"")</f>
        <v>6.2159544159544167</v>
      </c>
    </row>
    <row r="312" spans="1:33" ht="12" customHeight="1" x14ac:dyDescent="0.2">
      <c r="A312" s="185" t="s">
        <v>472</v>
      </c>
      <c r="B312" s="186">
        <v>45968</v>
      </c>
      <c r="C312" s="196">
        <v>4156.6000000000004</v>
      </c>
      <c r="D312" s="188">
        <f>IFERROR(C312/VLOOKUP(A312,Usinas!$A:$B,2,FALSE()),"")</f>
        <v>5.921082621082622</v>
      </c>
    </row>
    <row r="313" spans="1:33" ht="12" customHeight="1" x14ac:dyDescent="0.2">
      <c r="A313" s="185" t="s">
        <v>472</v>
      </c>
      <c r="B313" s="186">
        <v>45969</v>
      </c>
      <c r="C313" s="196">
        <v>3276.9</v>
      </c>
      <c r="D313" s="188">
        <f>IFERROR(C313/VLOOKUP(A313,Usinas!$A:$B,2,FALSE()),"")</f>
        <v>4.6679487179487182</v>
      </c>
    </row>
    <row r="314" spans="1:33" ht="12" customHeight="1" x14ac:dyDescent="0.2">
      <c r="A314" s="185" t="s">
        <v>472</v>
      </c>
      <c r="B314" s="186">
        <v>45970</v>
      </c>
      <c r="C314" s="196">
        <v>4420.8999999999996</v>
      </c>
      <c r="D314" s="188">
        <f>IFERROR(C314/VLOOKUP(A314,Usinas!$A:$B,2,FALSE()),"")</f>
        <v>6.2975783475783471</v>
      </c>
    </row>
    <row r="315" spans="1:33" ht="12" customHeight="1" x14ac:dyDescent="0.2">
      <c r="A315" s="185" t="s">
        <v>472</v>
      </c>
      <c r="B315" s="186">
        <v>45971</v>
      </c>
      <c r="C315" s="196">
        <v>4620.6000000000004</v>
      </c>
      <c r="D315" s="188">
        <f>IFERROR(C315/VLOOKUP(A315,Usinas!$A:$B,2,FALSE()),"")</f>
        <v>6.5820512820512826</v>
      </c>
    </row>
    <row r="316" spans="1:33" ht="12" customHeight="1" x14ac:dyDescent="0.2">
      <c r="A316" s="185" t="s">
        <v>472</v>
      </c>
      <c r="B316" s="186">
        <v>45972</v>
      </c>
      <c r="C316" s="196">
        <v>4748.1000000000004</v>
      </c>
      <c r="D316" s="188">
        <f>IFERROR(C316/VLOOKUP(A316,Usinas!$A:$B,2,FALSE()),"")</f>
        <v>6.7636752136752145</v>
      </c>
    </row>
    <row r="317" spans="1:33" ht="12" customHeight="1" x14ac:dyDescent="0.2">
      <c r="A317" s="185" t="s">
        <v>472</v>
      </c>
      <c r="B317" s="186">
        <v>45973</v>
      </c>
      <c r="C317" s="196">
        <v>3887.5</v>
      </c>
      <c r="D317" s="188">
        <f>IFERROR(C317/VLOOKUP(A317,Usinas!$A:$B,2,FALSE()),"")</f>
        <v>5.5377492877492873</v>
      </c>
    </row>
    <row r="318" spans="1:33" ht="12" customHeight="1" x14ac:dyDescent="0.2">
      <c r="A318" s="185" t="s">
        <v>472</v>
      </c>
      <c r="B318" s="186">
        <v>45974</v>
      </c>
      <c r="C318" s="196">
        <v>1724.1</v>
      </c>
      <c r="D318" s="188">
        <f>IFERROR(C318/VLOOKUP(A318,Usinas!$A:$B,2,FALSE()),"")</f>
        <v>2.4559829059829057</v>
      </c>
    </row>
    <row r="319" spans="1:33" ht="12" customHeight="1" x14ac:dyDescent="0.2">
      <c r="A319" s="185" t="s">
        <v>472</v>
      </c>
      <c r="B319" s="186">
        <v>45975</v>
      </c>
      <c r="C319" s="196">
        <v>2259</v>
      </c>
      <c r="D319" s="188">
        <f>IFERROR(C319/VLOOKUP(A319,Usinas!$A:$B,2,FALSE()),"")</f>
        <v>3.2179487179487181</v>
      </c>
    </row>
    <row r="320" spans="1:33" ht="12" customHeight="1" x14ac:dyDescent="0.2">
      <c r="A320" s="185" t="s">
        <v>472</v>
      </c>
      <c r="B320" s="186">
        <v>45976</v>
      </c>
      <c r="C320" s="196">
        <v>865.6</v>
      </c>
      <c r="D320" s="188">
        <f>IFERROR(C320/VLOOKUP(A320,Usinas!$A:$B,2,FALSE()),"")</f>
        <v>1.233048433048433</v>
      </c>
    </row>
    <row r="321" spans="1:34" ht="12" customHeight="1" x14ac:dyDescent="0.2">
      <c r="A321" s="185" t="s">
        <v>472</v>
      </c>
      <c r="B321" s="186">
        <v>45977</v>
      </c>
      <c r="C321" s="196">
        <v>783.7</v>
      </c>
      <c r="D321" s="188">
        <f>IFERROR(C321/VLOOKUP(A321,Usinas!$A:$B,2,FALSE()),"")</f>
        <v>1.1163817663817663</v>
      </c>
    </row>
    <row r="322" spans="1:34" ht="12" customHeight="1" x14ac:dyDescent="0.2">
      <c r="A322" s="185" t="s">
        <v>472</v>
      </c>
      <c r="B322" s="186">
        <v>45978</v>
      </c>
      <c r="C322" s="196">
        <v>1828.2</v>
      </c>
      <c r="D322" s="188">
        <f>IFERROR(C322/VLOOKUP(A322,Usinas!$A:$B,2,FALSE()),"")</f>
        <v>2.6042735042735043</v>
      </c>
    </row>
    <row r="323" spans="1:34" ht="12" customHeight="1" x14ac:dyDescent="0.2">
      <c r="A323" s="185" t="s">
        <v>472</v>
      </c>
      <c r="B323" s="186">
        <v>45979</v>
      </c>
      <c r="C323" s="196">
        <v>4120.5</v>
      </c>
      <c r="D323" s="188">
        <f>IFERROR(C323/VLOOKUP(A323,Usinas!$A:$B,2,FALSE()),"")</f>
        <v>5.8696581196581192</v>
      </c>
    </row>
    <row r="324" spans="1:34" ht="12" customHeight="1" x14ac:dyDescent="0.2">
      <c r="A324" s="185" t="s">
        <v>472</v>
      </c>
      <c r="B324" s="186">
        <v>45980</v>
      </c>
      <c r="C324" s="196">
        <v>4446.1000000000004</v>
      </c>
      <c r="D324" s="188">
        <f>IFERROR(C324/VLOOKUP(A324,Usinas!$A:$B,2,FALSE()),"")</f>
        <v>6.3334757834757838</v>
      </c>
    </row>
    <row r="325" spans="1:34" ht="12" customHeight="1" x14ac:dyDescent="0.2">
      <c r="A325" s="185" t="s">
        <v>472</v>
      </c>
      <c r="B325" s="186">
        <v>45981</v>
      </c>
      <c r="C325" s="196">
        <v>4406.6000000000004</v>
      </c>
      <c r="D325" s="188">
        <f>IFERROR(C325/VLOOKUP(A325,Usinas!$A:$B,2,FALSE()),"")</f>
        <v>6.2772079772079774</v>
      </c>
    </row>
    <row r="326" spans="1:34" ht="12" customHeight="1" x14ac:dyDescent="0.2">
      <c r="A326" s="185" t="s">
        <v>472</v>
      </c>
      <c r="B326" s="186">
        <v>45982</v>
      </c>
      <c r="C326" s="196">
        <v>4592.3999999999996</v>
      </c>
      <c r="D326" s="188">
        <f>IFERROR(C326/VLOOKUP(A326,Usinas!$A:$B,2,FALSE()),"")</f>
        <v>6.5418803418803417</v>
      </c>
    </row>
    <row r="327" spans="1:34" ht="12" customHeight="1" x14ac:dyDescent="0.2">
      <c r="A327" s="185" t="s">
        <v>472</v>
      </c>
      <c r="B327" s="186">
        <v>45983</v>
      </c>
      <c r="C327" s="196">
        <v>4246.8999999999996</v>
      </c>
      <c r="D327" s="188">
        <f>IFERROR(C327/VLOOKUP(A327,Usinas!$A:$B,2,FALSE()),"")</f>
        <v>6.0497150997150992</v>
      </c>
    </row>
    <row r="328" spans="1:34" ht="12" customHeight="1" x14ac:dyDescent="0.2">
      <c r="A328" s="185" t="s">
        <v>472</v>
      </c>
      <c r="B328" s="186">
        <v>45984</v>
      </c>
      <c r="C328" s="196">
        <v>2273.6999999999998</v>
      </c>
      <c r="D328" s="188">
        <f>IFERROR(C328/VLOOKUP(A328,Usinas!$A:$B,2,FALSE()),"")</f>
        <v>3.2388888888888885</v>
      </c>
    </row>
    <row r="329" spans="1:34" ht="12" customHeight="1" x14ac:dyDescent="0.2">
      <c r="A329" s="185" t="s">
        <v>472</v>
      </c>
      <c r="B329" s="186">
        <v>45985</v>
      </c>
      <c r="C329" s="196">
        <v>3627.3</v>
      </c>
      <c r="D329" s="188">
        <f>IFERROR(C329/VLOOKUP(A329,Usinas!$A:$B,2,FALSE()),"")</f>
        <v>5.1670940170940174</v>
      </c>
    </row>
    <row r="330" spans="1:34" ht="12" customHeight="1" x14ac:dyDescent="0.2">
      <c r="A330" s="185" t="s">
        <v>472</v>
      </c>
      <c r="B330" s="186">
        <v>45986</v>
      </c>
      <c r="C330" s="196">
        <v>4713.5</v>
      </c>
      <c r="D330" s="188">
        <f>IFERROR(C330/VLOOKUP(A330,Usinas!$A:$B,2,FALSE()),"")</f>
        <v>6.7143874643874648</v>
      </c>
    </row>
    <row r="331" spans="1:34" ht="12" customHeight="1" x14ac:dyDescent="0.2">
      <c r="A331" s="185" t="s">
        <v>472</v>
      </c>
      <c r="B331" s="186">
        <v>45987</v>
      </c>
      <c r="C331" s="196">
        <v>4726.2</v>
      </c>
      <c r="D331" s="188">
        <f>IFERROR(C331/VLOOKUP(A331,Usinas!$A:$B,2,FALSE()),"")</f>
        <v>6.7324786324786325</v>
      </c>
    </row>
    <row r="332" spans="1:34" ht="12" customHeight="1" x14ac:dyDescent="0.2">
      <c r="A332" s="185" t="s">
        <v>472</v>
      </c>
      <c r="B332" s="186">
        <v>45988</v>
      </c>
      <c r="C332" s="196">
        <v>4660.2</v>
      </c>
      <c r="D332" s="188">
        <f>IFERROR(C332/VLOOKUP(A332,Usinas!$A:$B,2,FALSE()),"")</f>
        <v>6.638461538461538</v>
      </c>
    </row>
    <row r="333" spans="1:34" ht="12" customHeight="1" x14ac:dyDescent="0.2">
      <c r="A333" s="185" t="s">
        <v>472</v>
      </c>
      <c r="B333" s="186">
        <v>45989</v>
      </c>
      <c r="C333" s="196">
        <v>4557.1000000000004</v>
      </c>
      <c r="D333" s="188">
        <f>IFERROR(C333/VLOOKUP(A333,Usinas!$A:$B,2,FALSE()),"")</f>
        <v>6.4915954415954422</v>
      </c>
    </row>
    <row r="334" spans="1:34" ht="12" customHeight="1" x14ac:dyDescent="0.2">
      <c r="A334" s="185" t="s">
        <v>472</v>
      </c>
      <c r="B334" s="186">
        <v>45990</v>
      </c>
      <c r="C334" s="196">
        <v>4467</v>
      </c>
      <c r="D334" s="188">
        <f>IFERROR(C334/VLOOKUP(A334,Usinas!$A:$B,2,FALSE()),"")</f>
        <v>6.3632478632478628</v>
      </c>
    </row>
    <row r="335" spans="1:34" ht="12" customHeight="1" x14ac:dyDescent="0.2">
      <c r="A335" s="185" t="s">
        <v>472</v>
      </c>
      <c r="B335" s="186">
        <v>45991</v>
      </c>
      <c r="C335" s="196">
        <v>4263.8</v>
      </c>
      <c r="D335" s="188">
        <f>IFERROR(C335/VLOOKUP(A335,Usinas!$A:$B,2,FALSE()),"")</f>
        <v>6.0737891737891738</v>
      </c>
    </row>
    <row r="336" spans="1:34" ht="12" customHeight="1" x14ac:dyDescent="0.2">
      <c r="A336" s="185" t="s">
        <v>472</v>
      </c>
      <c r="B336" s="186">
        <v>45992</v>
      </c>
      <c r="C336" s="196">
        <v>1639.3</v>
      </c>
      <c r="D336" s="188">
        <f>IFERROR(C336/VLOOKUP(A336,Usinas!$A:$B,2,FALSE()),"")</f>
        <v>2.335185185185185</v>
      </c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  <c r="U336" s="197"/>
      <c r="V336" s="197"/>
      <c r="W336" s="197"/>
      <c r="X336" s="197"/>
      <c r="Y336" s="197"/>
      <c r="Z336" s="197"/>
      <c r="AA336" s="197"/>
      <c r="AB336" s="197"/>
      <c r="AC336" s="197"/>
      <c r="AD336" s="197"/>
      <c r="AE336" s="197"/>
      <c r="AF336" s="197"/>
      <c r="AG336" s="197"/>
      <c r="AH336" s="197"/>
    </row>
    <row r="337" spans="1:4" ht="12" customHeight="1" x14ac:dyDescent="0.2">
      <c r="A337" s="185" t="s">
        <v>472</v>
      </c>
      <c r="B337" s="186">
        <v>45993</v>
      </c>
      <c r="C337" s="196">
        <v>3332</v>
      </c>
      <c r="D337" s="188">
        <f>IFERROR(C337/VLOOKUP(A337,Usinas!$A:$B,2,FALSE()),"")</f>
        <v>4.7464387464387467</v>
      </c>
    </row>
    <row r="338" spans="1:4" ht="12" customHeight="1" x14ac:dyDescent="0.2">
      <c r="A338" s="185" t="s">
        <v>472</v>
      </c>
      <c r="B338" s="186">
        <v>45994</v>
      </c>
      <c r="C338" s="196">
        <v>3990.4</v>
      </c>
      <c r="D338" s="188">
        <f>IFERROR(C338/VLOOKUP(A338,Usinas!$A:$B,2,FALSE()),"")</f>
        <v>5.6843304843304843</v>
      </c>
    </row>
    <row r="339" spans="1:4" ht="12" customHeight="1" x14ac:dyDescent="0.2">
      <c r="A339" s="185" t="s">
        <v>472</v>
      </c>
      <c r="B339" s="186">
        <v>45995</v>
      </c>
      <c r="C339" s="196">
        <v>4579.6000000000004</v>
      </c>
      <c r="D339" s="188">
        <f>IFERROR(C339/VLOOKUP(A339,Usinas!$A:$B,2,FALSE()),"")</f>
        <v>6.5236467236467242</v>
      </c>
    </row>
    <row r="340" spans="1:4" ht="12" customHeight="1" x14ac:dyDescent="0.2">
      <c r="A340" s="185" t="s">
        <v>472</v>
      </c>
      <c r="B340" s="186">
        <v>45996</v>
      </c>
      <c r="C340" s="196">
        <v>4274.5</v>
      </c>
      <c r="D340" s="188">
        <f>IFERROR(C340/VLOOKUP(A340,Usinas!$A:$B,2,FALSE()),"")</f>
        <v>6.0890313390313393</v>
      </c>
    </row>
    <row r="341" spans="1:4" ht="12" customHeight="1" x14ac:dyDescent="0.2">
      <c r="A341" s="185" t="s">
        <v>472</v>
      </c>
      <c r="B341" s="186">
        <v>45997</v>
      </c>
      <c r="C341" s="196">
        <v>4022.1</v>
      </c>
      <c r="D341" s="188">
        <f>IFERROR(C341/VLOOKUP(A341,Usinas!$A:$B,2,FALSE()),"")</f>
        <v>5.7294871794871796</v>
      </c>
    </row>
    <row r="342" spans="1:4" ht="12" customHeight="1" x14ac:dyDescent="0.2">
      <c r="A342" s="185" t="s">
        <v>472</v>
      </c>
      <c r="B342" s="186">
        <v>45998</v>
      </c>
      <c r="C342" s="196">
        <v>2537.4</v>
      </c>
      <c r="D342" s="188">
        <f>IFERROR(C342/VLOOKUP(A342,Usinas!$A:$B,2,FALSE()),"")</f>
        <v>3.6145299145299146</v>
      </c>
    </row>
    <row r="343" spans="1:4" ht="12" customHeight="1" x14ac:dyDescent="0.2">
      <c r="A343" s="185" t="s">
        <v>472</v>
      </c>
      <c r="B343" s="186">
        <v>45999</v>
      </c>
      <c r="C343" s="196">
        <v>2576.6999999999998</v>
      </c>
      <c r="D343" s="188">
        <f>IFERROR(C343/VLOOKUP(A343,Usinas!$A:$B,2,FALSE()),"")</f>
        <v>3.6705128205128204</v>
      </c>
    </row>
    <row r="344" spans="1:4" ht="12" customHeight="1" x14ac:dyDescent="0.2">
      <c r="A344" s="185" t="s">
        <v>472</v>
      </c>
      <c r="B344" s="186">
        <v>46000</v>
      </c>
      <c r="C344" s="196">
        <v>3103.7</v>
      </c>
      <c r="D344" s="188">
        <f>IFERROR(C344/VLOOKUP(A344,Usinas!$A:$B,2,FALSE()),"")</f>
        <v>4.4212250712250709</v>
      </c>
    </row>
    <row r="345" spans="1:4" ht="12" customHeight="1" x14ac:dyDescent="0.2">
      <c r="A345" s="185" t="s">
        <v>472</v>
      </c>
      <c r="B345" s="186">
        <v>46001</v>
      </c>
      <c r="C345" s="196">
        <v>4667</v>
      </c>
      <c r="D345" s="188">
        <f>IFERROR(C345/VLOOKUP(A345,Usinas!$A:$B,2,FALSE()),"")</f>
        <v>6.6481481481481479</v>
      </c>
    </row>
    <row r="346" spans="1:4" ht="12" customHeight="1" x14ac:dyDescent="0.2">
      <c r="A346" s="185" t="s">
        <v>472</v>
      </c>
      <c r="B346" s="186">
        <v>46002</v>
      </c>
      <c r="C346" s="196">
        <v>4382.6000000000004</v>
      </c>
      <c r="D346" s="188">
        <f>IFERROR(C346/VLOOKUP(A346,Usinas!$A:$B,2,FALSE()),"")</f>
        <v>6.2430199430199433</v>
      </c>
    </row>
    <row r="347" spans="1:4" ht="12" customHeight="1" x14ac:dyDescent="0.2">
      <c r="A347" s="185" t="s">
        <v>472</v>
      </c>
      <c r="B347" s="186">
        <v>46003</v>
      </c>
      <c r="C347" s="196">
        <v>2108.4</v>
      </c>
      <c r="D347" s="188">
        <f>IFERROR(C347/VLOOKUP(A347,Usinas!$A:$B,2,FALSE()),"")</f>
        <v>3.0034188034188034</v>
      </c>
    </row>
    <row r="348" spans="1:4" ht="12" customHeight="1" x14ac:dyDescent="0.2">
      <c r="A348" s="185" t="s">
        <v>472</v>
      </c>
      <c r="B348" s="186">
        <v>46004</v>
      </c>
      <c r="C348" s="196">
        <v>2402.5</v>
      </c>
      <c r="D348" s="188">
        <f>IFERROR(C348/VLOOKUP(A348,Usinas!$A:$B,2,FALSE()),"")</f>
        <v>3.4223646723646723</v>
      </c>
    </row>
    <row r="349" spans="1:4" ht="12" customHeight="1" x14ac:dyDescent="0.2">
      <c r="A349" s="185" t="s">
        <v>472</v>
      </c>
      <c r="B349" s="186">
        <v>46005</v>
      </c>
      <c r="C349" s="196">
        <v>2688</v>
      </c>
      <c r="D349" s="188">
        <f>IFERROR(C349/VLOOKUP(A349,Usinas!$A:$B,2,FALSE()),"")</f>
        <v>3.8290598290598292</v>
      </c>
    </row>
    <row r="350" spans="1:4" ht="12" customHeight="1" x14ac:dyDescent="0.2">
      <c r="A350" s="185" t="s">
        <v>472</v>
      </c>
      <c r="B350" s="186">
        <v>46006</v>
      </c>
      <c r="C350" s="196">
        <v>1916.8</v>
      </c>
      <c r="D350" s="188">
        <f>IFERROR(C350/VLOOKUP(A350,Usinas!$A:$B,2,FALSE()),"")</f>
        <v>2.7304843304843303</v>
      </c>
    </row>
    <row r="351" spans="1:4" ht="12" customHeight="1" x14ac:dyDescent="0.2">
      <c r="A351" s="185" t="s">
        <v>472</v>
      </c>
      <c r="B351" s="186">
        <v>46007</v>
      </c>
      <c r="C351" s="196">
        <v>2499.5</v>
      </c>
      <c r="D351" s="188">
        <f>IFERROR(C351/VLOOKUP(A351,Usinas!$A:$B,2,FALSE()),"")</f>
        <v>3.5605413105413106</v>
      </c>
    </row>
    <row r="352" spans="1:4" ht="12" customHeight="1" x14ac:dyDescent="0.2">
      <c r="A352" s="185" t="s">
        <v>472</v>
      </c>
      <c r="B352" s="186">
        <v>46008</v>
      </c>
      <c r="C352" s="196">
        <v>3247.7</v>
      </c>
      <c r="D352" s="188">
        <f>IFERROR(C352/VLOOKUP(A352,Usinas!$A:$B,2,FALSE()),"")</f>
        <v>4.6263532763532762</v>
      </c>
    </row>
    <row r="353" spans="1:4" ht="12" customHeight="1" x14ac:dyDescent="0.2">
      <c r="A353" s="185" t="s">
        <v>472</v>
      </c>
      <c r="B353" s="186">
        <v>46009</v>
      </c>
      <c r="C353" s="196">
        <v>4662.7</v>
      </c>
      <c r="D353" s="188">
        <f>IFERROR(C353/VLOOKUP(A353,Usinas!$A:$B,2,FALSE()),"")</f>
        <v>6.6420227920227921</v>
      </c>
    </row>
    <row r="354" spans="1:4" ht="12" customHeight="1" x14ac:dyDescent="0.2">
      <c r="A354" s="185" t="s">
        <v>472</v>
      </c>
      <c r="B354" s="186">
        <v>46010</v>
      </c>
      <c r="C354" s="196">
        <v>4222.6000000000004</v>
      </c>
      <c r="D354" s="188">
        <f>IFERROR(C354/VLOOKUP(A354,Usinas!$A:$B,2,FALSE()),"")</f>
        <v>6.0150997150997156</v>
      </c>
    </row>
    <row r="355" spans="1:4" ht="12" customHeight="1" x14ac:dyDescent="0.2">
      <c r="A355" s="185" t="s">
        <v>472</v>
      </c>
      <c r="B355" s="186">
        <v>46011</v>
      </c>
      <c r="C355" s="196">
        <v>3624.9</v>
      </c>
      <c r="D355" s="188">
        <f>IFERROR(C355/VLOOKUP(A355,Usinas!$A:$B,2,FALSE()),"")</f>
        <v>5.163675213675214</v>
      </c>
    </row>
    <row r="356" spans="1:4" ht="12" customHeight="1" x14ac:dyDescent="0.2">
      <c r="A356" s="185" t="s">
        <v>472</v>
      </c>
      <c r="B356" s="186">
        <v>46012</v>
      </c>
      <c r="C356" s="196">
        <v>3667.5</v>
      </c>
      <c r="D356" s="188">
        <f>IFERROR(C356/VLOOKUP(A356,Usinas!$A:$B,2,FALSE()),"")</f>
        <v>5.2243589743589745</v>
      </c>
    </row>
    <row r="357" spans="1:4" ht="12" customHeight="1" x14ac:dyDescent="0.2">
      <c r="A357" s="185" t="s">
        <v>472</v>
      </c>
      <c r="B357" s="186">
        <v>46013</v>
      </c>
      <c r="C357" s="196">
        <v>3785</v>
      </c>
      <c r="D357" s="188">
        <f>IFERROR(C357/VLOOKUP(A357,Usinas!$A:$B,2,FALSE()),"")</f>
        <v>5.3917378917378915</v>
      </c>
    </row>
    <row r="358" spans="1:4" ht="12" customHeight="1" x14ac:dyDescent="0.2">
      <c r="A358" s="185" t="s">
        <v>472</v>
      </c>
      <c r="B358" s="186">
        <v>46014</v>
      </c>
      <c r="C358" s="196">
        <v>3731.5</v>
      </c>
      <c r="D358" s="188">
        <f>IFERROR(C358/VLOOKUP(A358,Usinas!$A:$B,2,FALSE()),"")</f>
        <v>5.3155270655270659</v>
      </c>
    </row>
    <row r="359" spans="1:4" ht="12" customHeight="1" x14ac:dyDescent="0.2">
      <c r="A359" s="185" t="s">
        <v>472</v>
      </c>
      <c r="B359" s="186">
        <v>46015</v>
      </c>
      <c r="C359" s="196">
        <v>3650</v>
      </c>
      <c r="D359" s="188">
        <f>IFERROR(C359/VLOOKUP(A359,Usinas!$A:$B,2,FALSE()),"")</f>
        <v>5.199430199430199</v>
      </c>
    </row>
    <row r="360" spans="1:4" ht="12" customHeight="1" x14ac:dyDescent="0.2">
      <c r="A360" s="185" t="s">
        <v>472</v>
      </c>
      <c r="B360" s="186">
        <v>46016</v>
      </c>
      <c r="C360" s="196">
        <v>4109.6000000000004</v>
      </c>
      <c r="D360" s="188">
        <f>IFERROR(C360/VLOOKUP(A360,Usinas!$A:$B,2,FALSE()),"")</f>
        <v>5.8541310541310549</v>
      </c>
    </row>
    <row r="361" spans="1:4" ht="12" customHeight="1" x14ac:dyDescent="0.2">
      <c r="A361" s="185" t="s">
        <v>472</v>
      </c>
      <c r="B361" s="186">
        <v>46017</v>
      </c>
      <c r="C361" s="196">
        <v>3091.6</v>
      </c>
      <c r="D361" s="188">
        <f>IFERROR(C361/VLOOKUP(A361,Usinas!$A:$B,2,FALSE()),"")</f>
        <v>4.403988603988604</v>
      </c>
    </row>
    <row r="362" spans="1:4" ht="12" customHeight="1" x14ac:dyDescent="0.2">
      <c r="A362" s="185" t="s">
        <v>472</v>
      </c>
      <c r="B362" s="186">
        <v>46018</v>
      </c>
      <c r="C362" s="196">
        <v>4278.1000000000004</v>
      </c>
      <c r="D362" s="188">
        <f>IFERROR(C362/VLOOKUP(A362,Usinas!$A:$B,2,FALSE()),"")</f>
        <v>6.0941595441595444</v>
      </c>
    </row>
    <row r="363" spans="1:4" ht="12" customHeight="1" x14ac:dyDescent="0.2">
      <c r="A363" s="185" t="s">
        <v>472</v>
      </c>
      <c r="B363" s="186">
        <v>46019</v>
      </c>
      <c r="C363" s="196">
        <v>3286.4</v>
      </c>
      <c r="D363" s="188">
        <f>IFERROR(C363/VLOOKUP(A363,Usinas!$A:$B,2,FALSE()),"")</f>
        <v>4.681481481481482</v>
      </c>
    </row>
    <row r="364" spans="1:4" ht="12" customHeight="1" x14ac:dyDescent="0.2">
      <c r="A364" s="185" t="s">
        <v>472</v>
      </c>
      <c r="B364" s="186">
        <v>46020</v>
      </c>
      <c r="C364" s="196">
        <v>3456.6</v>
      </c>
      <c r="D364" s="188">
        <f>IFERROR(C364/VLOOKUP(A364,Usinas!$A:$B,2,FALSE()),"")</f>
        <v>4.9239316239316242</v>
      </c>
    </row>
    <row r="365" spans="1:4" ht="12" customHeight="1" x14ac:dyDescent="0.2">
      <c r="A365" s="185" t="s">
        <v>472</v>
      </c>
      <c r="B365" s="186">
        <v>46021</v>
      </c>
      <c r="C365" s="196">
        <v>3375</v>
      </c>
      <c r="D365" s="188">
        <f>IFERROR(C365/VLOOKUP(A365,Usinas!$A:$B,2,FALSE()),"")</f>
        <v>4.8076923076923075</v>
      </c>
    </row>
    <row r="366" spans="1:4" ht="12" customHeight="1" x14ac:dyDescent="0.2">
      <c r="A366" s="185" t="s">
        <v>472</v>
      </c>
      <c r="B366" s="186">
        <v>46022</v>
      </c>
      <c r="C366" s="196">
        <v>3694.2</v>
      </c>
      <c r="D366" s="188">
        <f>IFERROR(C366/VLOOKUP(A366,Usinas!$A:$B,2,FALSE()),"")</f>
        <v>5.2623931623931623</v>
      </c>
    </row>
  </sheetData>
  <autoFilter ref="A1:D366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3F1DB"/>
  </sheetPr>
  <dimension ref="A1:J364"/>
  <sheetViews>
    <sheetView zoomScaleNormal="100" workbookViewId="0">
      <selection activeCell="I8" sqref="I8"/>
    </sheetView>
  </sheetViews>
  <sheetFormatPr baseColWidth="10" defaultColWidth="12.5" defaultRowHeight="13" x14ac:dyDescent="0.2"/>
  <cols>
    <col min="1" max="1" width="20.5" style="182" customWidth="1"/>
    <col min="2" max="2" width="10.1640625" style="182" customWidth="1"/>
    <col min="3" max="3" width="15.33203125" style="182" customWidth="1"/>
    <col min="4" max="4" width="20.33203125" style="182" customWidth="1"/>
    <col min="5" max="17" width="12.5" style="182" customWidth="1"/>
    <col min="18" max="16384" width="12.5" style="182"/>
  </cols>
  <sheetData>
    <row r="1" spans="1:10" ht="15.75" customHeight="1" x14ac:dyDescent="0.2">
      <c r="A1" s="183" t="s">
        <v>462</v>
      </c>
      <c r="B1" s="183" t="s">
        <v>463</v>
      </c>
      <c r="C1" s="184" t="s">
        <v>464</v>
      </c>
      <c r="D1" s="183" t="s">
        <v>465</v>
      </c>
    </row>
    <row r="2" spans="1:10" ht="15.75" customHeight="1" x14ac:dyDescent="0.2">
      <c r="A2" s="185" t="s">
        <v>473</v>
      </c>
      <c r="B2" s="186">
        <v>45659</v>
      </c>
      <c r="C2" s="196">
        <v>1838.7</v>
      </c>
      <c r="D2" s="188">
        <f>IFERROR(C2/VLOOKUP(A2,Usinas!$A:$B,2,FALSE()),"")</f>
        <v>2.9608695652173913</v>
      </c>
      <c r="F2" s="189" t="s">
        <v>467</v>
      </c>
      <c r="G2" s="189"/>
      <c r="H2" s="189" t="s">
        <v>35</v>
      </c>
      <c r="I2" s="189" t="s">
        <v>468</v>
      </c>
      <c r="J2" s="189" t="s">
        <v>469</v>
      </c>
    </row>
    <row r="3" spans="1:10" ht="15.75" customHeight="1" x14ac:dyDescent="0.2">
      <c r="A3" s="185" t="s">
        <v>473</v>
      </c>
      <c r="B3" s="186">
        <v>45660</v>
      </c>
      <c r="C3" s="196">
        <v>2731.7</v>
      </c>
      <c r="D3" s="188">
        <f>IFERROR(C3/VLOOKUP(A3,Usinas!$A:$B,2,FALSE()),"")</f>
        <v>4.3988727858293073</v>
      </c>
      <c r="F3" s="192">
        <f>+B2</f>
        <v>45659</v>
      </c>
      <c r="G3" s="192">
        <f>+F3+29</f>
        <v>45688</v>
      </c>
      <c r="H3" s="193">
        <f t="shared" ref="H3:H14" si="0">+F3</f>
        <v>45659</v>
      </c>
      <c r="I3" s="194">
        <f t="shared" ref="I3:I14" si="1">SUMIFS($C$1:$C$366, $B$1:$B$366, "&gt;="&amp;F3, $B$1:$B$366, "&lt;="&amp;G3)</f>
        <v>83461.89999999998</v>
      </c>
      <c r="J3" s="194">
        <f t="shared" ref="J3:J14" si="2">+I3/1000</f>
        <v>83.461899999999986</v>
      </c>
    </row>
    <row r="4" spans="1:10" ht="15.75" customHeight="1" x14ac:dyDescent="0.2">
      <c r="A4" s="185" t="s">
        <v>473</v>
      </c>
      <c r="B4" s="186">
        <v>45661</v>
      </c>
      <c r="C4" s="196">
        <v>3144</v>
      </c>
      <c r="D4" s="188">
        <f>IFERROR(C4/VLOOKUP(A4,Usinas!$A:$B,2,FALSE()),"")</f>
        <v>5.06280193236715</v>
      </c>
      <c r="F4" s="192">
        <f t="shared" ref="F4:F14" si="3">+G3+1</f>
        <v>45689</v>
      </c>
      <c r="G4" s="192">
        <f>+F4+27</f>
        <v>45716</v>
      </c>
      <c r="H4" s="193">
        <f t="shared" si="0"/>
        <v>45689</v>
      </c>
      <c r="I4" s="194">
        <f t="shared" si="1"/>
        <v>76124.399999999994</v>
      </c>
      <c r="J4" s="194">
        <f t="shared" si="2"/>
        <v>76.124399999999994</v>
      </c>
    </row>
    <row r="5" spans="1:10" ht="15.75" customHeight="1" x14ac:dyDescent="0.2">
      <c r="A5" s="185" t="s">
        <v>473</v>
      </c>
      <c r="B5" s="186">
        <v>45662</v>
      </c>
      <c r="C5" s="196">
        <v>3472.1</v>
      </c>
      <c r="D5" s="188">
        <f>IFERROR(C5/VLOOKUP(A5,Usinas!$A:$B,2,FALSE()),"")</f>
        <v>5.5911433172302738</v>
      </c>
      <c r="F5" s="192">
        <f t="shared" si="3"/>
        <v>45717</v>
      </c>
      <c r="G5" s="192">
        <f>+F5+30</f>
        <v>45747</v>
      </c>
      <c r="H5" s="193">
        <f t="shared" si="0"/>
        <v>45717</v>
      </c>
      <c r="I5" s="194">
        <f t="shared" si="1"/>
        <v>89858.2</v>
      </c>
      <c r="J5" s="194">
        <f t="shared" si="2"/>
        <v>89.858199999999997</v>
      </c>
    </row>
    <row r="6" spans="1:10" ht="15.75" customHeight="1" x14ac:dyDescent="0.2">
      <c r="A6" s="185" t="s">
        <v>473</v>
      </c>
      <c r="B6" s="186">
        <v>45663</v>
      </c>
      <c r="C6" s="196">
        <v>3397.4</v>
      </c>
      <c r="D6" s="188">
        <f>IFERROR(C6/VLOOKUP(A6,Usinas!$A:$B,2,FALSE()),"")</f>
        <v>5.4708534621578098</v>
      </c>
      <c r="F6" s="192">
        <f t="shared" si="3"/>
        <v>45748</v>
      </c>
      <c r="G6" s="192">
        <f>+F6+29</f>
        <v>45777</v>
      </c>
      <c r="H6" s="193">
        <f t="shared" si="0"/>
        <v>45748</v>
      </c>
      <c r="I6" s="194">
        <f t="shared" si="1"/>
        <v>62725.399999999994</v>
      </c>
      <c r="J6" s="194">
        <f t="shared" si="2"/>
        <v>62.725399999999993</v>
      </c>
    </row>
    <row r="7" spans="1:10" ht="15.75" customHeight="1" x14ac:dyDescent="0.2">
      <c r="A7" s="185" t="s">
        <v>473</v>
      </c>
      <c r="B7" s="186">
        <v>45664</v>
      </c>
      <c r="C7" s="196">
        <v>3375.8</v>
      </c>
      <c r="D7" s="188">
        <f>IFERROR(C7/VLOOKUP(A7,Usinas!$A:$B,2,FALSE()),"")</f>
        <v>5.4360708534621578</v>
      </c>
      <c r="F7" s="192">
        <f t="shared" si="3"/>
        <v>45778</v>
      </c>
      <c r="G7" s="192">
        <f>+F7+30</f>
        <v>45808</v>
      </c>
      <c r="H7" s="193">
        <f t="shared" si="0"/>
        <v>45778</v>
      </c>
      <c r="I7" s="194">
        <f t="shared" si="1"/>
        <v>78227.500000000015</v>
      </c>
      <c r="J7" s="194">
        <f t="shared" si="2"/>
        <v>78.22750000000002</v>
      </c>
    </row>
    <row r="8" spans="1:10" ht="15.75" customHeight="1" x14ac:dyDescent="0.2">
      <c r="A8" s="185" t="s">
        <v>473</v>
      </c>
      <c r="B8" s="186">
        <v>45665</v>
      </c>
      <c r="C8" s="196">
        <v>3146.5</v>
      </c>
      <c r="D8" s="188">
        <f>IFERROR(C8/VLOOKUP(A8,Usinas!$A:$B,2,FALSE()),"")</f>
        <v>5.0668276972624797</v>
      </c>
      <c r="F8" s="192">
        <f t="shared" si="3"/>
        <v>45809</v>
      </c>
      <c r="G8" s="192">
        <f>+F8+29</f>
        <v>45838</v>
      </c>
      <c r="H8" s="193">
        <f t="shared" si="0"/>
        <v>45809</v>
      </c>
      <c r="I8" s="194">
        <f t="shared" si="1"/>
        <v>60380.599999999991</v>
      </c>
      <c r="J8" s="194">
        <f t="shared" si="2"/>
        <v>60.380599999999994</v>
      </c>
    </row>
    <row r="9" spans="1:10" ht="15.75" customHeight="1" x14ac:dyDescent="0.2">
      <c r="A9" s="185" t="s">
        <v>473</v>
      </c>
      <c r="B9" s="186">
        <v>45666</v>
      </c>
      <c r="C9" s="196">
        <v>3235.6</v>
      </c>
      <c r="D9" s="188">
        <f>IFERROR(C9/VLOOKUP(A9,Usinas!$A:$B,2,FALSE()),"")</f>
        <v>5.2103059581320448</v>
      </c>
      <c r="F9" s="192">
        <f t="shared" si="3"/>
        <v>45839</v>
      </c>
      <c r="G9" s="192">
        <f>+F9+30</f>
        <v>45869</v>
      </c>
      <c r="H9" s="193">
        <f t="shared" si="0"/>
        <v>45839</v>
      </c>
      <c r="I9" s="194">
        <f t="shared" si="1"/>
        <v>76551.200000000012</v>
      </c>
      <c r="J9" s="194">
        <f t="shared" si="2"/>
        <v>76.551200000000009</v>
      </c>
    </row>
    <row r="10" spans="1:10" ht="15.75" customHeight="1" x14ac:dyDescent="0.2">
      <c r="A10" s="185" t="s">
        <v>473</v>
      </c>
      <c r="B10" s="186">
        <v>45667</v>
      </c>
      <c r="C10" s="196">
        <v>2990.9</v>
      </c>
      <c r="D10" s="188">
        <f>IFERROR(C10/VLOOKUP(A10,Usinas!$A:$B,2,FALSE()),"")</f>
        <v>4.8162640901771336</v>
      </c>
      <c r="F10" s="192">
        <f t="shared" si="3"/>
        <v>45870</v>
      </c>
      <c r="G10" s="192">
        <f>+F10+30</f>
        <v>45900</v>
      </c>
      <c r="H10" s="193">
        <f t="shared" si="0"/>
        <v>45870</v>
      </c>
      <c r="I10" s="194">
        <f t="shared" si="1"/>
        <v>79815.599999999991</v>
      </c>
      <c r="J10" s="194">
        <f t="shared" si="2"/>
        <v>79.815599999999989</v>
      </c>
    </row>
    <row r="11" spans="1:10" ht="15.75" customHeight="1" x14ac:dyDescent="0.2">
      <c r="A11" s="185" t="s">
        <v>473</v>
      </c>
      <c r="B11" s="186">
        <v>45668</v>
      </c>
      <c r="C11" s="196">
        <v>3034</v>
      </c>
      <c r="D11" s="188">
        <f>IFERROR(C11/VLOOKUP(A11,Usinas!$A:$B,2,FALSE()),"")</f>
        <v>4.8856682769726252</v>
      </c>
      <c r="F11" s="192">
        <f t="shared" si="3"/>
        <v>45901</v>
      </c>
      <c r="G11" s="192">
        <f>+F11+29</f>
        <v>45930</v>
      </c>
      <c r="H11" s="193">
        <f t="shared" si="0"/>
        <v>45901</v>
      </c>
      <c r="I11" s="194">
        <f t="shared" si="1"/>
        <v>78203.000000000015</v>
      </c>
      <c r="J11" s="194">
        <f t="shared" si="2"/>
        <v>78.203000000000017</v>
      </c>
    </row>
    <row r="12" spans="1:10" ht="15.75" customHeight="1" x14ac:dyDescent="0.2">
      <c r="A12" s="185" t="s">
        <v>473</v>
      </c>
      <c r="B12" s="186">
        <v>45669</v>
      </c>
      <c r="C12" s="196">
        <v>3316.5</v>
      </c>
      <c r="D12" s="188">
        <f>IFERROR(C12/VLOOKUP(A12,Usinas!$A:$B,2,FALSE()),"")</f>
        <v>5.3405797101449277</v>
      </c>
      <c r="F12" s="192">
        <f t="shared" si="3"/>
        <v>45931</v>
      </c>
      <c r="G12" s="192">
        <f>+F12+30</f>
        <v>45961</v>
      </c>
      <c r="H12" s="193">
        <f t="shared" si="0"/>
        <v>45931</v>
      </c>
      <c r="I12" s="194">
        <f t="shared" si="1"/>
        <v>73160.099999999991</v>
      </c>
      <c r="J12" s="194">
        <f t="shared" si="2"/>
        <v>73.160099999999986</v>
      </c>
    </row>
    <row r="13" spans="1:10" ht="15.75" customHeight="1" x14ac:dyDescent="0.2">
      <c r="A13" s="185" t="s">
        <v>473</v>
      </c>
      <c r="B13" s="186">
        <v>45670</v>
      </c>
      <c r="C13" s="196">
        <v>3271.8</v>
      </c>
      <c r="D13" s="188">
        <f>IFERROR(C13/VLOOKUP(A13,Usinas!$A:$B,2,FALSE()),"")</f>
        <v>5.2685990338164252</v>
      </c>
      <c r="F13" s="192">
        <f t="shared" si="3"/>
        <v>45962</v>
      </c>
      <c r="G13" s="192">
        <f>+F13+29</f>
        <v>45991</v>
      </c>
      <c r="H13" s="193">
        <f t="shared" si="0"/>
        <v>45962</v>
      </c>
      <c r="I13" s="194">
        <f t="shared" si="1"/>
        <v>91030.500000000015</v>
      </c>
      <c r="J13" s="194">
        <f t="shared" si="2"/>
        <v>91.030500000000018</v>
      </c>
    </row>
    <row r="14" spans="1:10" ht="15.75" customHeight="1" x14ac:dyDescent="0.2">
      <c r="A14" s="185" t="s">
        <v>473</v>
      </c>
      <c r="B14" s="186">
        <v>45671</v>
      </c>
      <c r="C14" s="196">
        <v>2991</v>
      </c>
      <c r="D14" s="188">
        <f>IFERROR(C14/VLOOKUP(A14,Usinas!$A:$B,2,FALSE()),"")</f>
        <v>4.8164251207729469</v>
      </c>
      <c r="F14" s="192">
        <f t="shared" si="3"/>
        <v>45992</v>
      </c>
      <c r="G14" s="192">
        <f>+F14+30</f>
        <v>46022</v>
      </c>
      <c r="H14" s="193">
        <f t="shared" si="0"/>
        <v>45992</v>
      </c>
      <c r="I14" s="194">
        <f t="shared" si="1"/>
        <v>88631.699999999983</v>
      </c>
      <c r="J14" s="194">
        <f t="shared" si="2"/>
        <v>88.631699999999981</v>
      </c>
    </row>
    <row r="15" spans="1:10" ht="15.75" customHeight="1" x14ac:dyDescent="0.2">
      <c r="A15" s="185" t="s">
        <v>473</v>
      </c>
      <c r="B15" s="186">
        <v>45672</v>
      </c>
      <c r="C15" s="196">
        <v>3157.2</v>
      </c>
      <c r="D15" s="188">
        <f>IFERROR(C15/VLOOKUP(A15,Usinas!$A:$B,2,FALSE()),"")</f>
        <v>5.0840579710144924</v>
      </c>
    </row>
    <row r="16" spans="1:10" ht="15.75" customHeight="1" x14ac:dyDescent="0.2">
      <c r="A16" s="185" t="s">
        <v>473</v>
      </c>
      <c r="B16" s="186">
        <v>45673</v>
      </c>
      <c r="C16" s="196">
        <v>3240.1</v>
      </c>
      <c r="D16" s="188">
        <f>IFERROR(C16/VLOOKUP(A16,Usinas!$A:$B,2,FALSE()),"")</f>
        <v>5.2175523349436395</v>
      </c>
    </row>
    <row r="17" spans="1:10" ht="15.75" customHeight="1" x14ac:dyDescent="0.2">
      <c r="A17" s="185" t="s">
        <v>473</v>
      </c>
      <c r="B17" s="186">
        <v>45674</v>
      </c>
      <c r="C17" s="196">
        <v>2894.7</v>
      </c>
      <c r="D17" s="188">
        <f>IFERROR(C17/VLOOKUP(A17,Usinas!$A:$B,2,FALSE()),"")</f>
        <v>4.6613526570048309</v>
      </c>
      <c r="J17" s="190">
        <f>+SUM(J3:J14)</f>
        <v>938.17009999999993</v>
      </c>
    </row>
    <row r="18" spans="1:10" ht="15.75" customHeight="1" x14ac:dyDescent="0.2">
      <c r="A18" s="185" t="s">
        <v>473</v>
      </c>
      <c r="B18" s="186">
        <v>45675</v>
      </c>
      <c r="C18" s="196">
        <v>1963.6</v>
      </c>
      <c r="D18" s="188">
        <f>IFERROR(C18/VLOOKUP(A18,Usinas!$A:$B,2,FALSE()),"")</f>
        <v>3.1619967793880837</v>
      </c>
    </row>
    <row r="19" spans="1:10" ht="15.75" customHeight="1" x14ac:dyDescent="0.2">
      <c r="A19" s="185" t="s">
        <v>473</v>
      </c>
      <c r="B19" s="186">
        <v>45676</v>
      </c>
      <c r="C19" s="196">
        <v>2656</v>
      </c>
      <c r="D19" s="188">
        <f>IFERROR(C19/VLOOKUP(A19,Usinas!$A:$B,2,FALSE()),"")</f>
        <v>4.2769726247987121</v>
      </c>
    </row>
    <row r="20" spans="1:10" ht="12" customHeight="1" x14ac:dyDescent="0.2">
      <c r="A20" s="185" t="s">
        <v>473</v>
      </c>
      <c r="B20" s="186">
        <v>45677</v>
      </c>
      <c r="C20" s="196">
        <v>1379.4</v>
      </c>
      <c r="D20" s="188">
        <f>IFERROR(C20/VLOOKUP(A20,Usinas!$A:$B,2,FALSE()),"")</f>
        <v>2.221256038647343</v>
      </c>
    </row>
    <row r="21" spans="1:10" ht="12" customHeight="1" x14ac:dyDescent="0.2">
      <c r="A21" s="185" t="s">
        <v>473</v>
      </c>
      <c r="B21" s="186">
        <v>45678</v>
      </c>
      <c r="C21" s="196">
        <v>2442.6999999999998</v>
      </c>
      <c r="D21" s="188">
        <f>IFERROR(C21/VLOOKUP(A21,Usinas!$A:$B,2,FALSE()),"")</f>
        <v>3.9334943639291464</v>
      </c>
    </row>
    <row r="22" spans="1:10" ht="12" customHeight="1" x14ac:dyDescent="0.2">
      <c r="A22" s="185" t="s">
        <v>473</v>
      </c>
      <c r="B22" s="186">
        <v>45679</v>
      </c>
      <c r="C22" s="196">
        <v>2855.3</v>
      </c>
      <c r="D22" s="188">
        <f>IFERROR(C22/VLOOKUP(A22,Usinas!$A:$B,2,FALSE()),"")</f>
        <v>4.5979066022544286</v>
      </c>
    </row>
    <row r="23" spans="1:10" ht="12" customHeight="1" x14ac:dyDescent="0.2">
      <c r="A23" s="185" t="s">
        <v>473</v>
      </c>
      <c r="B23" s="186">
        <v>45680</v>
      </c>
      <c r="C23" s="196">
        <v>1825.6</v>
      </c>
      <c r="D23" s="188">
        <f>IFERROR(C23/VLOOKUP(A23,Usinas!$A:$B,2,FALSE()),"")</f>
        <v>2.9397745571658613</v>
      </c>
    </row>
    <row r="24" spans="1:10" ht="12" customHeight="1" x14ac:dyDescent="0.2">
      <c r="A24" s="185" t="s">
        <v>473</v>
      </c>
      <c r="B24" s="186">
        <v>45681</v>
      </c>
      <c r="C24" s="196">
        <v>3219.2</v>
      </c>
      <c r="D24" s="188">
        <f>IFERROR(C24/VLOOKUP(A24,Usinas!$A:$B,2,FALSE()),"")</f>
        <v>5.1838969404186797</v>
      </c>
    </row>
    <row r="25" spans="1:10" ht="12" customHeight="1" x14ac:dyDescent="0.2">
      <c r="A25" s="185" t="s">
        <v>473</v>
      </c>
      <c r="B25" s="186">
        <v>45682</v>
      </c>
      <c r="C25" s="196">
        <v>2932.2</v>
      </c>
      <c r="D25" s="188">
        <f>IFERROR(C25/VLOOKUP(A25,Usinas!$A:$B,2,FALSE()),"")</f>
        <v>4.7217391304347824</v>
      </c>
    </row>
    <row r="26" spans="1:10" ht="12" customHeight="1" x14ac:dyDescent="0.2">
      <c r="A26" s="185" t="s">
        <v>473</v>
      </c>
      <c r="B26" s="186">
        <v>45683</v>
      </c>
      <c r="C26" s="196">
        <v>2721.4</v>
      </c>
      <c r="D26" s="188">
        <f>IFERROR(C26/VLOOKUP(A26,Usinas!$A:$B,2,FALSE()),"")</f>
        <v>4.3822866344605478</v>
      </c>
    </row>
    <row r="27" spans="1:10" ht="12" customHeight="1" x14ac:dyDescent="0.2">
      <c r="A27" s="185" t="s">
        <v>473</v>
      </c>
      <c r="B27" s="186">
        <v>45684</v>
      </c>
      <c r="C27" s="196">
        <v>2272</v>
      </c>
      <c r="D27" s="188">
        <f>IFERROR(C27/VLOOKUP(A27,Usinas!$A:$B,2,FALSE()),"")</f>
        <v>3.6586151368760063</v>
      </c>
    </row>
    <row r="28" spans="1:10" ht="12" customHeight="1" x14ac:dyDescent="0.2">
      <c r="A28" s="185" t="s">
        <v>473</v>
      </c>
      <c r="B28" s="186">
        <v>45685</v>
      </c>
      <c r="C28" s="196">
        <v>2223.6</v>
      </c>
      <c r="D28" s="188">
        <f>IFERROR(C28/VLOOKUP(A28,Usinas!$A:$B,2,FALSE()),"")</f>
        <v>3.5806763285024155</v>
      </c>
    </row>
    <row r="29" spans="1:10" ht="12" customHeight="1" x14ac:dyDescent="0.2">
      <c r="A29" s="185" t="s">
        <v>473</v>
      </c>
      <c r="B29" s="186">
        <v>45686</v>
      </c>
      <c r="C29" s="196">
        <v>2824.9</v>
      </c>
      <c r="D29" s="188">
        <f>IFERROR(C29/VLOOKUP(A29,Usinas!$A:$B,2,FALSE()),"")</f>
        <v>4.5489533011272147</v>
      </c>
    </row>
    <row r="30" spans="1:10" ht="12" customHeight="1" x14ac:dyDescent="0.2">
      <c r="A30" s="185" t="s">
        <v>473</v>
      </c>
      <c r="B30" s="186">
        <v>45687</v>
      </c>
      <c r="C30" s="196">
        <v>2192.6</v>
      </c>
      <c r="D30" s="188">
        <f>IFERROR(C30/VLOOKUP(A30,Usinas!$A:$B,2,FALSE()),"")</f>
        <v>3.5307568438003218</v>
      </c>
    </row>
    <row r="31" spans="1:10" ht="12" customHeight="1" x14ac:dyDescent="0.2">
      <c r="A31" s="185" t="s">
        <v>473</v>
      </c>
      <c r="B31" s="186">
        <v>45688</v>
      </c>
      <c r="C31" s="196">
        <v>2715.4</v>
      </c>
      <c r="D31" s="188">
        <f>IFERROR(C31/VLOOKUP(A31,Usinas!$A:$B,2,FALSE()),"")</f>
        <v>4.3726247987117555</v>
      </c>
    </row>
    <row r="32" spans="1:10" ht="12" customHeight="1" x14ac:dyDescent="0.2">
      <c r="A32" s="185" t="s">
        <v>473</v>
      </c>
      <c r="B32" s="186">
        <v>45689</v>
      </c>
      <c r="C32" s="196">
        <v>2525.6999999999998</v>
      </c>
      <c r="D32" s="188">
        <f>IFERROR(C32/VLOOKUP(A32,Usinas!$A:$B,2,FALSE()),"")</f>
        <v>4.0671497584541063</v>
      </c>
    </row>
    <row r="33" spans="1:4" ht="12" customHeight="1" x14ac:dyDescent="0.2">
      <c r="A33" s="185" t="s">
        <v>473</v>
      </c>
      <c r="B33" s="186">
        <v>45690</v>
      </c>
      <c r="C33" s="196">
        <v>3430.9</v>
      </c>
      <c r="D33" s="188">
        <f>IFERROR(C33/VLOOKUP(A33,Usinas!$A:$B,2,FALSE()),"")</f>
        <v>5.524798711755234</v>
      </c>
    </row>
    <row r="34" spans="1:4" ht="12" customHeight="1" x14ac:dyDescent="0.2">
      <c r="A34" s="185" t="s">
        <v>473</v>
      </c>
      <c r="B34" s="186">
        <v>45691</v>
      </c>
      <c r="C34" s="196">
        <v>3301.6</v>
      </c>
      <c r="D34" s="188">
        <f>IFERROR(C34/VLOOKUP(A34,Usinas!$A:$B,2,FALSE()),"")</f>
        <v>5.3165861513687602</v>
      </c>
    </row>
    <row r="35" spans="1:4" ht="12" customHeight="1" x14ac:dyDescent="0.2">
      <c r="A35" s="185" t="s">
        <v>473</v>
      </c>
      <c r="B35" s="186">
        <v>45692</v>
      </c>
      <c r="C35" s="196">
        <v>3316.8</v>
      </c>
      <c r="D35" s="188">
        <f>IFERROR(C35/VLOOKUP(A35,Usinas!$A:$B,2,FALSE()),"")</f>
        <v>5.3410628019323676</v>
      </c>
    </row>
    <row r="36" spans="1:4" ht="12" customHeight="1" x14ac:dyDescent="0.2">
      <c r="A36" s="185" t="s">
        <v>473</v>
      </c>
      <c r="B36" s="186">
        <v>45693</v>
      </c>
      <c r="C36" s="196">
        <v>2023</v>
      </c>
      <c r="D36" s="188">
        <f>IFERROR(C36/VLOOKUP(A36,Usinas!$A:$B,2,FALSE()),"")</f>
        <v>3.257648953301127</v>
      </c>
    </row>
    <row r="37" spans="1:4" ht="12" customHeight="1" x14ac:dyDescent="0.2">
      <c r="A37" s="185" t="s">
        <v>473</v>
      </c>
      <c r="B37" s="186">
        <v>45694</v>
      </c>
      <c r="C37" s="196">
        <v>1776.7</v>
      </c>
      <c r="D37" s="188">
        <f>IFERROR(C37/VLOOKUP(A37,Usinas!$A:$B,2,FALSE()),"")</f>
        <v>2.8610305958132045</v>
      </c>
    </row>
    <row r="38" spans="1:4" ht="12" customHeight="1" x14ac:dyDescent="0.2">
      <c r="A38" s="185" t="s">
        <v>473</v>
      </c>
      <c r="B38" s="186">
        <v>45695</v>
      </c>
      <c r="C38" s="196">
        <v>1531.7</v>
      </c>
      <c r="D38" s="188">
        <f>IFERROR(C38/VLOOKUP(A38,Usinas!$A:$B,2,FALSE()),"")</f>
        <v>2.4665056360708535</v>
      </c>
    </row>
    <row r="39" spans="1:4" ht="12" customHeight="1" x14ac:dyDescent="0.2">
      <c r="A39" s="185" t="s">
        <v>473</v>
      </c>
      <c r="B39" s="186">
        <v>45696</v>
      </c>
      <c r="C39" s="196">
        <v>3120.2</v>
      </c>
      <c r="D39" s="188">
        <f>IFERROR(C39/VLOOKUP(A39,Usinas!$A:$B,2,FALSE()),"")</f>
        <v>5.0244766505636065</v>
      </c>
    </row>
    <row r="40" spans="1:4" ht="12" customHeight="1" x14ac:dyDescent="0.2">
      <c r="A40" s="185" t="s">
        <v>473</v>
      </c>
      <c r="B40" s="186">
        <v>45697</v>
      </c>
      <c r="C40" s="196">
        <v>3053</v>
      </c>
      <c r="D40" s="188">
        <f>IFERROR(C40/VLOOKUP(A40,Usinas!$A:$B,2,FALSE()),"")</f>
        <v>4.9162640901771333</v>
      </c>
    </row>
    <row r="41" spans="1:4" ht="12" customHeight="1" x14ac:dyDescent="0.2">
      <c r="A41" s="185" t="s">
        <v>473</v>
      </c>
      <c r="B41" s="186">
        <v>45698</v>
      </c>
      <c r="C41" s="196">
        <v>3457.7</v>
      </c>
      <c r="D41" s="188">
        <f>IFERROR(C41/VLOOKUP(A41,Usinas!$A:$B,2,FALSE()),"")</f>
        <v>5.5679549114331719</v>
      </c>
    </row>
    <row r="42" spans="1:4" ht="12" customHeight="1" x14ac:dyDescent="0.2">
      <c r="A42" s="185" t="s">
        <v>473</v>
      </c>
      <c r="B42" s="186">
        <v>45699</v>
      </c>
      <c r="C42" s="196">
        <v>3497.8</v>
      </c>
      <c r="D42" s="188">
        <f>IFERROR(C42/VLOOKUP(A42,Usinas!$A:$B,2,FALSE()),"")</f>
        <v>5.6325281803542673</v>
      </c>
    </row>
    <row r="43" spans="1:4" ht="12" customHeight="1" x14ac:dyDescent="0.2">
      <c r="A43" s="185" t="s">
        <v>473</v>
      </c>
      <c r="B43" s="186">
        <v>45700</v>
      </c>
      <c r="C43" s="196">
        <v>3154.5</v>
      </c>
      <c r="D43" s="188">
        <f>IFERROR(C43/VLOOKUP(A43,Usinas!$A:$B,2,FALSE()),"")</f>
        <v>5.0797101449275361</v>
      </c>
    </row>
    <row r="44" spans="1:4" ht="12" customHeight="1" x14ac:dyDescent="0.2">
      <c r="A44" s="185" t="s">
        <v>473</v>
      </c>
      <c r="B44" s="186">
        <v>45701</v>
      </c>
      <c r="C44" s="196">
        <v>2566.9</v>
      </c>
      <c r="D44" s="188">
        <f>IFERROR(C44/VLOOKUP(A44,Usinas!$A:$B,2,FALSE()),"")</f>
        <v>4.133494363929147</v>
      </c>
    </row>
    <row r="45" spans="1:4" ht="12" customHeight="1" x14ac:dyDescent="0.2">
      <c r="A45" s="185" t="s">
        <v>473</v>
      </c>
      <c r="B45" s="186">
        <v>45702</v>
      </c>
      <c r="C45" s="196">
        <v>2730.5</v>
      </c>
      <c r="D45" s="188">
        <f>IFERROR(C45/VLOOKUP(A45,Usinas!$A:$B,2,FALSE()),"")</f>
        <v>4.3969404186795495</v>
      </c>
    </row>
    <row r="46" spans="1:4" ht="12" customHeight="1" x14ac:dyDescent="0.2">
      <c r="A46" s="185" t="s">
        <v>473</v>
      </c>
      <c r="B46" s="186">
        <v>45703</v>
      </c>
      <c r="C46" s="196">
        <v>3417.5</v>
      </c>
      <c r="D46" s="188">
        <f>IFERROR(C46/VLOOKUP(A46,Usinas!$A:$B,2,FALSE()),"")</f>
        <v>5.5032206119162641</v>
      </c>
    </row>
    <row r="47" spans="1:4" ht="12" customHeight="1" x14ac:dyDescent="0.2">
      <c r="A47" s="185" t="s">
        <v>473</v>
      </c>
      <c r="B47" s="186">
        <v>45704</v>
      </c>
      <c r="C47" s="196">
        <v>2203.1</v>
      </c>
      <c r="D47" s="188">
        <f>IFERROR(C47/VLOOKUP(A47,Usinas!$A:$B,2,FALSE()),"")</f>
        <v>3.5476650563607084</v>
      </c>
    </row>
    <row r="48" spans="1:4" ht="12" customHeight="1" x14ac:dyDescent="0.2">
      <c r="A48" s="185" t="s">
        <v>473</v>
      </c>
      <c r="B48" s="186">
        <v>45705</v>
      </c>
      <c r="C48" s="196">
        <v>3502.6</v>
      </c>
      <c r="D48" s="188">
        <f>IFERROR(C48/VLOOKUP(A48,Usinas!$A:$B,2,FALSE()),"")</f>
        <v>5.640257648953301</v>
      </c>
    </row>
    <row r="49" spans="1:4" ht="12" customHeight="1" x14ac:dyDescent="0.2">
      <c r="A49" s="185" t="s">
        <v>473</v>
      </c>
      <c r="B49" s="186">
        <v>45706</v>
      </c>
      <c r="C49" s="196">
        <v>1487.5</v>
      </c>
      <c r="D49" s="188">
        <f>IFERROR(C49/VLOOKUP(A49,Usinas!$A:$B,2,FALSE()),"")</f>
        <v>2.395330112721417</v>
      </c>
    </row>
    <row r="50" spans="1:4" ht="12" customHeight="1" x14ac:dyDescent="0.2">
      <c r="A50" s="185" t="s">
        <v>473</v>
      </c>
      <c r="B50" s="186">
        <v>45707</v>
      </c>
      <c r="C50" s="196">
        <v>2470.6999999999998</v>
      </c>
      <c r="D50" s="188">
        <f>IFERROR(C50/VLOOKUP(A50,Usinas!$A:$B,2,FALSE()),"")</f>
        <v>3.9785829307568434</v>
      </c>
    </row>
    <row r="51" spans="1:4" ht="12" customHeight="1" x14ac:dyDescent="0.2">
      <c r="A51" s="185" t="s">
        <v>473</v>
      </c>
      <c r="B51" s="186">
        <v>45708</v>
      </c>
      <c r="C51" s="196">
        <v>3137.4</v>
      </c>
      <c r="D51" s="188">
        <f>IFERROR(C51/VLOOKUP(A51,Usinas!$A:$B,2,FALSE()),"")</f>
        <v>5.0521739130434788</v>
      </c>
    </row>
    <row r="52" spans="1:4" ht="12" customHeight="1" x14ac:dyDescent="0.2">
      <c r="A52" s="185" t="s">
        <v>473</v>
      </c>
      <c r="B52" s="186">
        <v>45709</v>
      </c>
      <c r="C52" s="196">
        <v>2924.4</v>
      </c>
      <c r="D52" s="188">
        <f>IFERROR(C52/VLOOKUP(A52,Usinas!$A:$B,2,FALSE()),"")</f>
        <v>4.7091787439613526</v>
      </c>
    </row>
    <row r="53" spans="1:4" ht="12" customHeight="1" x14ac:dyDescent="0.2">
      <c r="A53" s="185" t="s">
        <v>473</v>
      </c>
      <c r="B53" s="186">
        <v>45710</v>
      </c>
      <c r="C53" s="196">
        <v>1896.9</v>
      </c>
      <c r="D53" s="188">
        <f>IFERROR(C53/VLOOKUP(A53,Usinas!$A:$B,2,FALSE()),"")</f>
        <v>3.0545893719806765</v>
      </c>
    </row>
    <row r="54" spans="1:4" ht="12" customHeight="1" x14ac:dyDescent="0.2">
      <c r="A54" s="185" t="s">
        <v>473</v>
      </c>
      <c r="B54" s="186">
        <v>45711</v>
      </c>
      <c r="C54" s="196">
        <v>3489.2</v>
      </c>
      <c r="D54" s="188">
        <f>IFERROR(C54/VLOOKUP(A54,Usinas!$A:$B,2,FALSE()),"")</f>
        <v>5.6186795491143311</v>
      </c>
    </row>
    <row r="55" spans="1:4" ht="12" customHeight="1" x14ac:dyDescent="0.2">
      <c r="A55" s="185" t="s">
        <v>473</v>
      </c>
      <c r="B55" s="186">
        <v>45712</v>
      </c>
      <c r="C55" s="196">
        <v>2258.9</v>
      </c>
      <c r="D55" s="188">
        <f>IFERROR(C55/VLOOKUP(A55,Usinas!$A:$B,2,FALSE()),"")</f>
        <v>3.6375201288244767</v>
      </c>
    </row>
    <row r="56" spans="1:4" ht="12" customHeight="1" x14ac:dyDescent="0.2">
      <c r="A56" s="185" t="s">
        <v>473</v>
      </c>
      <c r="B56" s="186">
        <v>45713</v>
      </c>
      <c r="C56" s="196">
        <v>2399.9</v>
      </c>
      <c r="D56" s="188">
        <f>IFERROR(C56/VLOOKUP(A56,Usinas!$A:$B,2,FALSE()),"")</f>
        <v>3.8645732689210952</v>
      </c>
    </row>
    <row r="57" spans="1:4" ht="12" customHeight="1" x14ac:dyDescent="0.2">
      <c r="A57" s="185" t="s">
        <v>473</v>
      </c>
      <c r="B57" s="186">
        <v>45714</v>
      </c>
      <c r="C57" s="196">
        <v>2194.9</v>
      </c>
      <c r="D57" s="188">
        <f>IFERROR(C57/VLOOKUP(A57,Usinas!$A:$B,2,FALSE()),"")</f>
        <v>3.5344605475040258</v>
      </c>
    </row>
    <row r="58" spans="1:4" ht="12" customHeight="1" x14ac:dyDescent="0.2">
      <c r="A58" s="185" t="s">
        <v>473</v>
      </c>
      <c r="B58" s="186">
        <v>45715</v>
      </c>
      <c r="C58" s="196">
        <v>2023.6</v>
      </c>
      <c r="D58" s="188">
        <f>IFERROR(C58/VLOOKUP(A58,Usinas!$A:$B,2,FALSE()),"")</f>
        <v>3.2586151368760063</v>
      </c>
    </row>
    <row r="59" spans="1:4" ht="12" customHeight="1" x14ac:dyDescent="0.2">
      <c r="A59" s="185" t="s">
        <v>473</v>
      </c>
      <c r="B59" s="186">
        <v>45716</v>
      </c>
      <c r="C59" s="196">
        <v>3230.8</v>
      </c>
      <c r="D59" s="188">
        <f>IFERROR(C59/VLOOKUP(A59,Usinas!$A:$B,2,FALSE()),"")</f>
        <v>5.202576489533012</v>
      </c>
    </row>
    <row r="60" spans="1:4" ht="12" customHeight="1" x14ac:dyDescent="0.2">
      <c r="A60" s="185" t="s">
        <v>473</v>
      </c>
      <c r="B60" s="186">
        <v>45717</v>
      </c>
      <c r="C60" s="196">
        <v>3356.1</v>
      </c>
      <c r="D60" s="188">
        <f>IFERROR(C60/VLOOKUP(A60,Usinas!$A:$B,2,FALSE()),"")</f>
        <v>5.4043478260869566</v>
      </c>
    </row>
    <row r="61" spans="1:4" ht="12" customHeight="1" x14ac:dyDescent="0.2">
      <c r="A61" s="185" t="s">
        <v>473</v>
      </c>
      <c r="B61" s="186">
        <v>45718</v>
      </c>
      <c r="C61" s="196">
        <v>3508.4</v>
      </c>
      <c r="D61" s="188">
        <f>IFERROR(C61/VLOOKUP(A61,Usinas!$A:$B,2,FALSE()),"")</f>
        <v>5.6495974235104676</v>
      </c>
    </row>
    <row r="62" spans="1:4" ht="12" customHeight="1" x14ac:dyDescent="0.2">
      <c r="A62" s="185" t="s">
        <v>473</v>
      </c>
      <c r="B62" s="186">
        <v>45719</v>
      </c>
      <c r="C62" s="196">
        <v>3183.6</v>
      </c>
      <c r="D62" s="188">
        <f>IFERROR(C62/VLOOKUP(A62,Usinas!$A:$B,2,FALSE()),"")</f>
        <v>5.126570048309179</v>
      </c>
    </row>
    <row r="63" spans="1:4" ht="12" customHeight="1" x14ac:dyDescent="0.2">
      <c r="A63" s="185" t="s">
        <v>473</v>
      </c>
      <c r="B63" s="186">
        <v>45720</v>
      </c>
      <c r="C63" s="196">
        <v>3478.6</v>
      </c>
      <c r="D63" s="188">
        <f>IFERROR(C63/VLOOKUP(A63,Usinas!$A:$B,2,FALSE()),"")</f>
        <v>5.6016103059581317</v>
      </c>
    </row>
    <row r="64" spans="1:4" ht="12" customHeight="1" x14ac:dyDescent="0.2">
      <c r="A64" s="185" t="s">
        <v>473</v>
      </c>
      <c r="B64" s="186">
        <v>45721</v>
      </c>
      <c r="C64" s="196">
        <v>2706.8</v>
      </c>
      <c r="D64" s="188">
        <f>IFERROR(C64/VLOOKUP(A64,Usinas!$A:$B,2,FALSE()),"")</f>
        <v>4.3587761674718202</v>
      </c>
    </row>
    <row r="65" spans="1:4" ht="12" customHeight="1" x14ac:dyDescent="0.2">
      <c r="A65" s="185" t="s">
        <v>473</v>
      </c>
      <c r="B65" s="186">
        <v>45722</v>
      </c>
      <c r="C65" s="196">
        <v>2858.8</v>
      </c>
      <c r="D65" s="188">
        <f>IFERROR(C65/VLOOKUP(A65,Usinas!$A:$B,2,FALSE()),"")</f>
        <v>4.6035426731078912</v>
      </c>
    </row>
    <row r="66" spans="1:4" ht="12" customHeight="1" x14ac:dyDescent="0.2">
      <c r="A66" s="185" t="s">
        <v>473</v>
      </c>
      <c r="B66" s="186">
        <v>45723</v>
      </c>
      <c r="C66" s="196">
        <v>3445.2</v>
      </c>
      <c r="D66" s="188">
        <f>IFERROR(C66/VLOOKUP(A66,Usinas!$A:$B,2,FALSE()),"")</f>
        <v>5.5478260869565217</v>
      </c>
    </row>
    <row r="67" spans="1:4" ht="12" customHeight="1" x14ac:dyDescent="0.2">
      <c r="A67" s="185" t="s">
        <v>473</v>
      </c>
      <c r="B67" s="186">
        <v>45724</v>
      </c>
      <c r="C67" s="196">
        <v>3251.1</v>
      </c>
      <c r="D67" s="188">
        <f>IFERROR(C67/VLOOKUP(A67,Usinas!$A:$B,2,FALSE()),"")</f>
        <v>5.235265700483092</v>
      </c>
    </row>
    <row r="68" spans="1:4" ht="12" customHeight="1" x14ac:dyDescent="0.2">
      <c r="A68" s="185" t="s">
        <v>473</v>
      </c>
      <c r="B68" s="186">
        <v>45725</v>
      </c>
      <c r="C68" s="196">
        <v>3379.1</v>
      </c>
      <c r="D68" s="188">
        <f>IFERROR(C68/VLOOKUP(A68,Usinas!$A:$B,2,FALSE()),"")</f>
        <v>5.4413848631239938</v>
      </c>
    </row>
    <row r="69" spans="1:4" ht="12" customHeight="1" x14ac:dyDescent="0.2">
      <c r="A69" s="185" t="s">
        <v>473</v>
      </c>
      <c r="B69" s="186">
        <v>45726</v>
      </c>
      <c r="C69" s="196">
        <v>3060.9</v>
      </c>
      <c r="D69" s="188">
        <f>IFERROR(C69/VLOOKUP(A69,Usinas!$A:$B,2,FALSE()),"")</f>
        <v>4.9289855072463773</v>
      </c>
    </row>
    <row r="70" spans="1:4" ht="12" customHeight="1" x14ac:dyDescent="0.2">
      <c r="A70" s="185" t="s">
        <v>473</v>
      </c>
      <c r="B70" s="186">
        <v>45727</v>
      </c>
      <c r="C70" s="196">
        <v>968.4</v>
      </c>
      <c r="D70" s="188">
        <f>IFERROR(C70/VLOOKUP(A70,Usinas!$A:$B,2,FALSE()),"")</f>
        <v>1.5594202898550724</v>
      </c>
    </row>
    <row r="71" spans="1:4" ht="12" customHeight="1" x14ac:dyDescent="0.2">
      <c r="A71" s="185" t="s">
        <v>473</v>
      </c>
      <c r="B71" s="186">
        <v>45728</v>
      </c>
      <c r="C71" s="196">
        <v>2186.6</v>
      </c>
      <c r="D71" s="188">
        <f>IFERROR(C71/VLOOKUP(A71,Usinas!$A:$B,2,FALSE()),"")</f>
        <v>3.5210950080515295</v>
      </c>
    </row>
    <row r="72" spans="1:4" ht="12" customHeight="1" x14ac:dyDescent="0.2">
      <c r="A72" s="185" t="s">
        <v>473</v>
      </c>
      <c r="B72" s="186">
        <v>45729</v>
      </c>
      <c r="C72" s="196">
        <v>2228.1999999999998</v>
      </c>
      <c r="D72" s="188">
        <f>IFERROR(C72/VLOOKUP(A72,Usinas!$A:$B,2,FALSE()),"")</f>
        <v>3.5880837359098225</v>
      </c>
    </row>
    <row r="73" spans="1:4" ht="12" customHeight="1" x14ac:dyDescent="0.2">
      <c r="A73" s="185" t="s">
        <v>473</v>
      </c>
      <c r="B73" s="186">
        <v>45730</v>
      </c>
      <c r="C73" s="196">
        <v>3206.8</v>
      </c>
      <c r="D73" s="188">
        <f>IFERROR(C73/VLOOKUP(A73,Usinas!$A:$B,2,FALSE()),"")</f>
        <v>5.1639291465378427</v>
      </c>
    </row>
    <row r="74" spans="1:4" ht="12" customHeight="1" x14ac:dyDescent="0.2">
      <c r="A74" s="185" t="s">
        <v>473</v>
      </c>
      <c r="B74" s="186">
        <v>45731</v>
      </c>
      <c r="C74" s="196">
        <v>3154.3</v>
      </c>
      <c r="D74" s="188">
        <f>IFERROR(C74/VLOOKUP(A74,Usinas!$A:$B,2,FALSE()),"")</f>
        <v>5.0793880837359104</v>
      </c>
    </row>
    <row r="75" spans="1:4" ht="12" customHeight="1" x14ac:dyDescent="0.2">
      <c r="A75" s="185" t="s">
        <v>473</v>
      </c>
      <c r="B75" s="186">
        <v>45732</v>
      </c>
      <c r="C75" s="196">
        <v>3230.2</v>
      </c>
      <c r="D75" s="188">
        <f>IFERROR(C75/VLOOKUP(A75,Usinas!$A:$B,2,FALSE()),"")</f>
        <v>5.2016103059581313</v>
      </c>
    </row>
    <row r="76" spans="1:4" ht="12" customHeight="1" x14ac:dyDescent="0.2">
      <c r="A76" s="185" t="s">
        <v>473</v>
      </c>
      <c r="B76" s="186">
        <v>45733</v>
      </c>
      <c r="C76" s="196">
        <v>3306.2</v>
      </c>
      <c r="D76" s="188">
        <f>IFERROR(C76/VLOOKUP(A76,Usinas!$A:$B,2,FALSE()),"")</f>
        <v>5.3239935587761673</v>
      </c>
    </row>
    <row r="77" spans="1:4" ht="12" customHeight="1" x14ac:dyDescent="0.2">
      <c r="A77" s="185" t="s">
        <v>473</v>
      </c>
      <c r="B77" s="186">
        <v>45734</v>
      </c>
      <c r="C77" s="196">
        <v>2660.2</v>
      </c>
      <c r="D77" s="188">
        <f>IFERROR(C77/VLOOKUP(A77,Usinas!$A:$B,2,FALSE()),"")</f>
        <v>4.283735909822866</v>
      </c>
    </row>
    <row r="78" spans="1:4" ht="12" customHeight="1" x14ac:dyDescent="0.2">
      <c r="A78" s="185" t="s">
        <v>473</v>
      </c>
      <c r="B78" s="186">
        <v>45735</v>
      </c>
      <c r="C78" s="196">
        <v>3358</v>
      </c>
      <c r="D78" s="188">
        <f>IFERROR(C78/VLOOKUP(A78,Usinas!$A:$B,2,FALSE()),"")</f>
        <v>5.4074074074074074</v>
      </c>
    </row>
    <row r="79" spans="1:4" ht="12" customHeight="1" x14ac:dyDescent="0.2">
      <c r="A79" s="185" t="s">
        <v>473</v>
      </c>
      <c r="B79" s="186">
        <v>45736</v>
      </c>
      <c r="C79" s="196">
        <v>3608</v>
      </c>
      <c r="D79" s="188">
        <f>IFERROR(C79/VLOOKUP(A79,Usinas!$A:$B,2,FALSE()),"")</f>
        <v>5.8099838969404187</v>
      </c>
    </row>
    <row r="80" spans="1:4" ht="12" customHeight="1" x14ac:dyDescent="0.2">
      <c r="A80" s="185" t="s">
        <v>473</v>
      </c>
      <c r="B80" s="186">
        <v>45737</v>
      </c>
      <c r="C80" s="196">
        <v>3588.6</v>
      </c>
      <c r="D80" s="188">
        <f>IFERROR(C80/VLOOKUP(A80,Usinas!$A:$B,2,FALSE()),"")</f>
        <v>5.7787439613526566</v>
      </c>
    </row>
    <row r="81" spans="1:4" ht="12" customHeight="1" x14ac:dyDescent="0.2">
      <c r="A81" s="185" t="s">
        <v>473</v>
      </c>
      <c r="B81" s="186">
        <v>45738</v>
      </c>
      <c r="C81" s="196">
        <v>2853.7</v>
      </c>
      <c r="D81" s="188">
        <f>IFERROR(C81/VLOOKUP(A81,Usinas!$A:$B,2,FALSE()),"")</f>
        <v>4.5953301127214168</v>
      </c>
    </row>
    <row r="82" spans="1:4" ht="12" customHeight="1" x14ac:dyDescent="0.2">
      <c r="A82" s="185" t="s">
        <v>473</v>
      </c>
      <c r="B82" s="186">
        <v>45739</v>
      </c>
      <c r="C82" s="196">
        <v>2424.6</v>
      </c>
      <c r="D82" s="188">
        <f>IFERROR(C82/VLOOKUP(A82,Usinas!$A:$B,2,FALSE()),"")</f>
        <v>3.9043478260869562</v>
      </c>
    </row>
    <row r="83" spans="1:4" ht="12" customHeight="1" x14ac:dyDescent="0.2">
      <c r="A83" s="185" t="s">
        <v>473</v>
      </c>
      <c r="B83" s="186">
        <v>45740</v>
      </c>
      <c r="C83" s="196">
        <v>3014.2</v>
      </c>
      <c r="D83" s="188">
        <f>IFERROR(C83/VLOOKUP(A83,Usinas!$A:$B,2,FALSE()),"")</f>
        <v>4.8537842190016098</v>
      </c>
    </row>
    <row r="84" spans="1:4" ht="12" customHeight="1" x14ac:dyDescent="0.2">
      <c r="A84" s="185" t="s">
        <v>473</v>
      </c>
      <c r="B84" s="186">
        <v>45741</v>
      </c>
      <c r="C84" s="196">
        <v>2921.4</v>
      </c>
      <c r="D84" s="188">
        <f>IFERROR(C84/VLOOKUP(A84,Usinas!$A:$B,2,FALSE()),"")</f>
        <v>4.7043478260869565</v>
      </c>
    </row>
    <row r="85" spans="1:4" ht="12" customHeight="1" x14ac:dyDescent="0.2">
      <c r="A85" s="185" t="s">
        <v>473</v>
      </c>
      <c r="B85" s="186">
        <v>45742</v>
      </c>
      <c r="C85" s="196">
        <v>2917.5</v>
      </c>
      <c r="D85" s="188">
        <f>IFERROR(C85/VLOOKUP(A85,Usinas!$A:$B,2,FALSE()),"")</f>
        <v>4.6980676328502415</v>
      </c>
    </row>
    <row r="86" spans="1:4" ht="12" customHeight="1" x14ac:dyDescent="0.2">
      <c r="A86" s="185" t="s">
        <v>473</v>
      </c>
      <c r="B86" s="186">
        <v>45743</v>
      </c>
      <c r="C86" s="196">
        <v>2949.4</v>
      </c>
      <c r="D86" s="188">
        <f>IFERROR(C86/VLOOKUP(A86,Usinas!$A:$B,2,FALSE()),"")</f>
        <v>4.7494363929146539</v>
      </c>
    </row>
    <row r="87" spans="1:4" ht="12" customHeight="1" x14ac:dyDescent="0.2">
      <c r="A87" s="185" t="s">
        <v>473</v>
      </c>
      <c r="B87" s="186">
        <v>45744</v>
      </c>
      <c r="C87" s="196">
        <v>3277.6</v>
      </c>
      <c r="D87" s="188">
        <f>IFERROR(C87/VLOOKUP(A87,Usinas!$A:$B,2,FALSE()),"")</f>
        <v>5.277938808373591</v>
      </c>
    </row>
    <row r="88" spans="1:4" ht="12" customHeight="1" x14ac:dyDescent="0.2">
      <c r="A88" s="185" t="s">
        <v>473</v>
      </c>
      <c r="B88" s="186">
        <v>45745</v>
      </c>
      <c r="C88" s="196">
        <v>1952.1</v>
      </c>
      <c r="D88" s="188">
        <f>IFERROR(C88/VLOOKUP(A88,Usinas!$A:$B,2,FALSE()),"")</f>
        <v>3.1434782608695651</v>
      </c>
    </row>
    <row r="89" spans="1:4" ht="12" customHeight="1" x14ac:dyDescent="0.2">
      <c r="A89" s="185" t="s">
        <v>473</v>
      </c>
      <c r="B89" s="186">
        <v>45746</v>
      </c>
      <c r="C89" s="196">
        <v>1952.1</v>
      </c>
      <c r="D89" s="188">
        <f>IFERROR(C89/VLOOKUP(A89,Usinas!$A:$B,2,FALSE()),"")</f>
        <v>3.1434782608695651</v>
      </c>
    </row>
    <row r="90" spans="1:4" ht="12" customHeight="1" x14ac:dyDescent="0.2">
      <c r="A90" s="185" t="s">
        <v>473</v>
      </c>
      <c r="B90" s="186">
        <v>45747</v>
      </c>
      <c r="C90" s="196">
        <v>1871.5</v>
      </c>
      <c r="D90" s="188">
        <f>IFERROR(C90/VLOOKUP(A90,Usinas!$A:$B,2,FALSE()),"")</f>
        <v>3.0136876006441224</v>
      </c>
    </row>
    <row r="91" spans="1:4" ht="12" customHeight="1" x14ac:dyDescent="0.2">
      <c r="A91" s="185" t="s">
        <v>473</v>
      </c>
      <c r="B91" s="186">
        <v>45748</v>
      </c>
      <c r="C91" s="196">
        <v>2241.4</v>
      </c>
      <c r="D91" s="188">
        <f>IFERROR(C91/VLOOKUP(A91,Usinas!$A:$B,2,FALSE()),"")</f>
        <v>3.6093397745571658</v>
      </c>
    </row>
    <row r="92" spans="1:4" ht="12" customHeight="1" x14ac:dyDescent="0.2">
      <c r="A92" s="185" t="s">
        <v>473</v>
      </c>
      <c r="B92" s="186">
        <v>45749</v>
      </c>
      <c r="C92" s="196">
        <v>2809.3</v>
      </c>
      <c r="D92" s="188">
        <f>IFERROR(C92/VLOOKUP(A92,Usinas!$A:$B,2,FALSE()),"")</f>
        <v>4.5238325281803542</v>
      </c>
    </row>
    <row r="93" spans="1:4" ht="12" customHeight="1" x14ac:dyDescent="0.2">
      <c r="A93" s="185" t="s">
        <v>473</v>
      </c>
      <c r="B93" s="186">
        <v>45750</v>
      </c>
      <c r="C93" s="196">
        <v>2698.4</v>
      </c>
      <c r="D93" s="188">
        <f>IFERROR(C93/VLOOKUP(A93,Usinas!$A:$B,2,FALSE()),"")</f>
        <v>4.3452495974235106</v>
      </c>
    </row>
    <row r="94" spans="1:4" ht="12" customHeight="1" x14ac:dyDescent="0.2">
      <c r="A94" s="185" t="s">
        <v>473</v>
      </c>
      <c r="B94" s="186">
        <v>45751</v>
      </c>
      <c r="C94" s="196">
        <v>2618.3000000000002</v>
      </c>
      <c r="D94" s="188">
        <f>IFERROR(C94/VLOOKUP(A94,Usinas!$A:$B,2,FALSE()),"")</f>
        <v>4.216264090177134</v>
      </c>
    </row>
    <row r="95" spans="1:4" ht="12" customHeight="1" x14ac:dyDescent="0.2">
      <c r="A95" s="185" t="s">
        <v>473</v>
      </c>
      <c r="B95" s="186">
        <v>45752</v>
      </c>
      <c r="C95" s="196">
        <v>2786.8</v>
      </c>
      <c r="D95" s="188">
        <f>IFERROR(C95/VLOOKUP(A95,Usinas!$A:$B,2,FALSE()),"")</f>
        <v>4.4876006441223835</v>
      </c>
    </row>
    <row r="96" spans="1:4" ht="12" customHeight="1" x14ac:dyDescent="0.2">
      <c r="A96" s="185" t="s">
        <v>473</v>
      </c>
      <c r="B96" s="186">
        <v>45753</v>
      </c>
      <c r="C96" s="196">
        <v>3359.5</v>
      </c>
      <c r="D96" s="188">
        <f>IFERROR(C96/VLOOKUP(A96,Usinas!$A:$B,2,FALSE()),"")</f>
        <v>5.4098228663446051</v>
      </c>
    </row>
    <row r="97" spans="1:4" ht="12" customHeight="1" x14ac:dyDescent="0.2">
      <c r="A97" s="185" t="s">
        <v>473</v>
      </c>
      <c r="B97" s="186">
        <v>45754</v>
      </c>
      <c r="C97" s="196">
        <v>3244.2</v>
      </c>
      <c r="D97" s="188">
        <f>IFERROR(C97/VLOOKUP(A97,Usinas!$A:$B,2,FALSE()),"")</f>
        <v>5.2241545893719801</v>
      </c>
    </row>
    <row r="98" spans="1:4" ht="12" customHeight="1" x14ac:dyDescent="0.2">
      <c r="A98" s="185" t="s">
        <v>473</v>
      </c>
      <c r="B98" s="186">
        <v>45755</v>
      </c>
      <c r="C98" s="196">
        <v>1944</v>
      </c>
      <c r="D98" s="188">
        <f>IFERROR(C98/VLOOKUP(A98,Usinas!$A:$B,2,FALSE()),"")</f>
        <v>3.1304347826086958</v>
      </c>
    </row>
    <row r="99" spans="1:4" ht="12" customHeight="1" x14ac:dyDescent="0.2">
      <c r="A99" s="185" t="s">
        <v>473</v>
      </c>
      <c r="B99" s="186">
        <v>45756</v>
      </c>
      <c r="C99" s="196">
        <v>2174.9</v>
      </c>
      <c r="D99" s="188">
        <f>IFERROR(C99/VLOOKUP(A99,Usinas!$A:$B,2,FALSE()),"")</f>
        <v>3.5022544283413852</v>
      </c>
    </row>
    <row r="100" spans="1:4" ht="12" customHeight="1" x14ac:dyDescent="0.2">
      <c r="A100" s="185" t="s">
        <v>473</v>
      </c>
      <c r="B100" s="186">
        <v>45757</v>
      </c>
      <c r="C100" s="196">
        <v>2170.6999999999998</v>
      </c>
      <c r="D100" s="188">
        <f>IFERROR(C100/VLOOKUP(A100,Usinas!$A:$B,2,FALSE()),"")</f>
        <v>3.49549114331723</v>
      </c>
    </row>
    <row r="101" spans="1:4" ht="12" customHeight="1" x14ac:dyDescent="0.2">
      <c r="A101" s="185" t="s">
        <v>473</v>
      </c>
      <c r="B101" s="186">
        <v>45758</v>
      </c>
      <c r="C101" s="196">
        <v>2539.6999999999998</v>
      </c>
      <c r="D101" s="188">
        <f>IFERROR(C101/VLOOKUP(A101,Usinas!$A:$B,2,FALSE()),"")</f>
        <v>4.089694041867955</v>
      </c>
    </row>
    <row r="102" spans="1:4" ht="12" customHeight="1" x14ac:dyDescent="0.2">
      <c r="A102" s="185" t="s">
        <v>473</v>
      </c>
      <c r="B102" s="186">
        <v>45759</v>
      </c>
      <c r="C102" s="196">
        <v>719.1</v>
      </c>
      <c r="D102" s="188">
        <f>IFERROR(C102/VLOOKUP(A102,Usinas!$A:$B,2,FALSE()),"")</f>
        <v>1.1579710144927537</v>
      </c>
    </row>
    <row r="103" spans="1:4" ht="12" customHeight="1" x14ac:dyDescent="0.2">
      <c r="A103" s="185" t="s">
        <v>473</v>
      </c>
      <c r="B103" s="186">
        <v>45760</v>
      </c>
      <c r="C103" s="196">
        <v>2008.9</v>
      </c>
      <c r="D103" s="188">
        <f>IFERROR(C103/VLOOKUP(A103,Usinas!$A:$B,2,FALSE()),"")</f>
        <v>3.2349436392914654</v>
      </c>
    </row>
    <row r="104" spans="1:4" ht="12" customHeight="1" x14ac:dyDescent="0.2">
      <c r="A104" s="185" t="s">
        <v>473</v>
      </c>
      <c r="B104" s="186">
        <v>45761</v>
      </c>
      <c r="C104" s="196">
        <v>2630.8</v>
      </c>
      <c r="D104" s="188">
        <f>IFERROR(C104/VLOOKUP(A104,Usinas!$A:$B,2,FALSE()),"")</f>
        <v>4.2363929146537842</v>
      </c>
    </row>
    <row r="105" spans="1:4" ht="12" customHeight="1" x14ac:dyDescent="0.2">
      <c r="A105" s="185" t="s">
        <v>473</v>
      </c>
      <c r="B105" s="186">
        <v>45762</v>
      </c>
      <c r="C105" s="196">
        <v>1519.9</v>
      </c>
      <c r="D105" s="188">
        <f>IFERROR(C105/VLOOKUP(A105,Usinas!$A:$B,2,FALSE()),"")</f>
        <v>2.4475040257648955</v>
      </c>
    </row>
    <row r="106" spans="1:4" ht="12" customHeight="1" x14ac:dyDescent="0.2">
      <c r="A106" s="185" t="s">
        <v>473</v>
      </c>
      <c r="B106" s="186">
        <v>45763</v>
      </c>
      <c r="C106" s="196">
        <v>1036.7</v>
      </c>
      <c r="D106" s="188">
        <f>IFERROR(C106/VLOOKUP(A106,Usinas!$A:$B,2,FALSE()),"")</f>
        <v>1.6694041867954912</v>
      </c>
    </row>
    <row r="107" spans="1:4" ht="12" customHeight="1" x14ac:dyDescent="0.2">
      <c r="A107" s="185" t="s">
        <v>473</v>
      </c>
      <c r="B107" s="186">
        <v>45764</v>
      </c>
      <c r="C107" s="196">
        <v>1464.1</v>
      </c>
      <c r="D107" s="188">
        <f>IFERROR(C107/VLOOKUP(A107,Usinas!$A:$B,2,FALSE()),"")</f>
        <v>2.3576489533011271</v>
      </c>
    </row>
    <row r="108" spans="1:4" ht="12" customHeight="1" x14ac:dyDescent="0.2">
      <c r="A108" s="185" t="s">
        <v>473</v>
      </c>
      <c r="B108" s="186">
        <v>45765</v>
      </c>
      <c r="C108" s="196">
        <v>365.2</v>
      </c>
      <c r="D108" s="188">
        <f>IFERROR(C108/VLOOKUP(A108,Usinas!$A:$B,2,FALSE()),"")</f>
        <v>0.58808373590982288</v>
      </c>
    </row>
    <row r="109" spans="1:4" ht="12" customHeight="1" x14ac:dyDescent="0.2">
      <c r="A109" s="185" t="s">
        <v>473</v>
      </c>
      <c r="B109" s="186">
        <v>45766</v>
      </c>
      <c r="C109" s="196">
        <v>927.1</v>
      </c>
      <c r="D109" s="188">
        <f>IFERROR(C109/VLOOKUP(A109,Usinas!$A:$B,2,FALSE()),"")</f>
        <v>1.4929146537842191</v>
      </c>
    </row>
    <row r="110" spans="1:4" ht="12" customHeight="1" x14ac:dyDescent="0.2">
      <c r="A110" s="185" t="s">
        <v>473</v>
      </c>
      <c r="B110" s="186">
        <v>45767</v>
      </c>
      <c r="C110" s="196">
        <v>1555.3</v>
      </c>
      <c r="D110" s="188">
        <f>IFERROR(C110/VLOOKUP(A110,Usinas!$A:$B,2,FALSE()),"")</f>
        <v>2.5045088566827696</v>
      </c>
    </row>
    <row r="111" spans="1:4" ht="12" customHeight="1" x14ac:dyDescent="0.2">
      <c r="A111" s="185" t="s">
        <v>473</v>
      </c>
      <c r="B111" s="186">
        <v>45768</v>
      </c>
      <c r="C111" s="196">
        <v>2909.2</v>
      </c>
      <c r="D111" s="188">
        <f>IFERROR(C111/VLOOKUP(A111,Usinas!$A:$B,2,FALSE()),"")</f>
        <v>4.6847020933977452</v>
      </c>
    </row>
    <row r="112" spans="1:4" ht="12" customHeight="1" x14ac:dyDescent="0.2">
      <c r="A112" s="185" t="s">
        <v>473</v>
      </c>
      <c r="B112" s="186">
        <v>45769</v>
      </c>
      <c r="C112" s="196">
        <v>3253.6</v>
      </c>
      <c r="D112" s="188">
        <f>IFERROR(C112/VLOOKUP(A112,Usinas!$A:$B,2,FALSE()),"")</f>
        <v>5.2392914653784217</v>
      </c>
    </row>
    <row r="113" spans="1:4" ht="12" customHeight="1" x14ac:dyDescent="0.2">
      <c r="A113" s="185" t="s">
        <v>473</v>
      </c>
      <c r="B113" s="186">
        <v>45770</v>
      </c>
      <c r="C113" s="196">
        <v>2767.8</v>
      </c>
      <c r="D113" s="188">
        <f>IFERROR(C113/VLOOKUP(A113,Usinas!$A:$B,2,FALSE()),"")</f>
        <v>4.4570048309178745</v>
      </c>
    </row>
    <row r="114" spans="1:4" ht="12" customHeight="1" x14ac:dyDescent="0.2">
      <c r="A114" s="185" t="s">
        <v>473</v>
      </c>
      <c r="B114" s="186">
        <v>45771</v>
      </c>
      <c r="C114" s="196">
        <v>455.1</v>
      </c>
      <c r="D114" s="188">
        <f>IFERROR(C114/VLOOKUP(A114,Usinas!$A:$B,2,FALSE()),"")</f>
        <v>0.73285024154589373</v>
      </c>
    </row>
    <row r="115" spans="1:4" ht="12" customHeight="1" x14ac:dyDescent="0.2">
      <c r="A115" s="185" t="s">
        <v>473</v>
      </c>
      <c r="B115" s="186">
        <v>45772</v>
      </c>
      <c r="C115" s="196">
        <v>1078.9000000000001</v>
      </c>
      <c r="D115" s="188">
        <f>IFERROR(C115/VLOOKUP(A115,Usinas!$A:$B,2,FALSE()),"")</f>
        <v>1.7373590982286635</v>
      </c>
    </row>
    <row r="116" spans="1:4" ht="12" customHeight="1" x14ac:dyDescent="0.2">
      <c r="A116" s="185" t="s">
        <v>473</v>
      </c>
      <c r="B116" s="186">
        <v>45773</v>
      </c>
      <c r="C116" s="196">
        <v>1874.6</v>
      </c>
      <c r="D116" s="188">
        <f>IFERROR(C116/VLOOKUP(A116,Usinas!$A:$B,2,FALSE()),"")</f>
        <v>3.0186795491143315</v>
      </c>
    </row>
    <row r="117" spans="1:4" ht="12" customHeight="1" x14ac:dyDescent="0.2">
      <c r="A117" s="185" t="s">
        <v>473</v>
      </c>
      <c r="B117" s="186">
        <v>45774</v>
      </c>
      <c r="C117" s="196">
        <v>818.6</v>
      </c>
      <c r="D117" s="188">
        <f>IFERROR(C117/VLOOKUP(A117,Usinas!$A:$B,2,FALSE()),"")</f>
        <v>1.3181964573268921</v>
      </c>
    </row>
    <row r="118" spans="1:4" ht="12" customHeight="1" x14ac:dyDescent="0.2">
      <c r="A118" s="185" t="s">
        <v>473</v>
      </c>
      <c r="B118" s="186">
        <v>45775</v>
      </c>
      <c r="C118" s="196">
        <v>1807.6</v>
      </c>
      <c r="D118" s="188">
        <f>IFERROR(C118/VLOOKUP(A118,Usinas!$A:$B,2,FALSE()),"")</f>
        <v>2.9107890499194844</v>
      </c>
    </row>
    <row r="119" spans="1:4" ht="12" customHeight="1" x14ac:dyDescent="0.2">
      <c r="A119" s="185" t="s">
        <v>473</v>
      </c>
      <c r="B119" s="186">
        <v>45776</v>
      </c>
      <c r="C119" s="196">
        <v>3520.7</v>
      </c>
      <c r="D119" s="188">
        <f>IFERROR(C119/VLOOKUP(A119,Usinas!$A:$B,2,FALSE()),"")</f>
        <v>5.6694041867954912</v>
      </c>
    </row>
    <row r="120" spans="1:4" ht="12" customHeight="1" x14ac:dyDescent="0.2">
      <c r="A120" s="185" t="s">
        <v>473</v>
      </c>
      <c r="B120" s="186">
        <v>45777</v>
      </c>
      <c r="C120" s="196">
        <v>3425</v>
      </c>
      <c r="D120" s="188">
        <f>IFERROR(C120/VLOOKUP(A120,Usinas!$A:$B,2,FALSE()),"")</f>
        <v>5.5152979066022541</v>
      </c>
    </row>
    <row r="121" spans="1:4" ht="12" customHeight="1" x14ac:dyDescent="0.2">
      <c r="A121" s="185" t="s">
        <v>473</v>
      </c>
      <c r="B121" s="186">
        <v>45778</v>
      </c>
      <c r="C121" s="196">
        <v>3410</v>
      </c>
      <c r="D121" s="188">
        <f>IFERROR(C121/VLOOKUP(A121,Usinas!$A:$B,2,FALSE()),"")</f>
        <v>5.4911433172302742</v>
      </c>
    </row>
    <row r="122" spans="1:4" ht="12" customHeight="1" x14ac:dyDescent="0.2">
      <c r="A122" s="185" t="s">
        <v>473</v>
      </c>
      <c r="B122" s="186">
        <v>45779</v>
      </c>
      <c r="C122" s="196">
        <v>3202.7</v>
      </c>
      <c r="D122" s="188">
        <f>IFERROR(C122/VLOOKUP(A122,Usinas!$A:$B,2,FALSE()),"")</f>
        <v>5.1573268921095003</v>
      </c>
    </row>
    <row r="123" spans="1:4" ht="12" customHeight="1" x14ac:dyDescent="0.2">
      <c r="A123" s="185" t="s">
        <v>473</v>
      </c>
      <c r="B123" s="186">
        <v>45780</v>
      </c>
      <c r="C123" s="196">
        <v>2071.4</v>
      </c>
      <c r="D123" s="188">
        <f>IFERROR(C123/VLOOKUP(A123,Usinas!$A:$B,2,FALSE()),"")</f>
        <v>3.3355877616747183</v>
      </c>
    </row>
    <row r="124" spans="1:4" ht="12" customHeight="1" x14ac:dyDescent="0.2">
      <c r="A124" s="185" t="s">
        <v>473</v>
      </c>
      <c r="B124" s="186">
        <v>45782</v>
      </c>
      <c r="C124" s="196">
        <v>2599.9</v>
      </c>
      <c r="D124" s="188">
        <f>IFERROR(C124/VLOOKUP(A124,Usinas!$A:$B,2,FALSE()),"")</f>
        <v>4.1866344605475039</v>
      </c>
    </row>
    <row r="125" spans="1:4" ht="12" customHeight="1" x14ac:dyDescent="0.2">
      <c r="A125" s="185" t="s">
        <v>473</v>
      </c>
      <c r="B125" s="186">
        <v>45783</v>
      </c>
      <c r="C125" s="196">
        <v>2675.5</v>
      </c>
      <c r="D125" s="188">
        <f>IFERROR(C125/VLOOKUP(A125,Usinas!$A:$B,2,FALSE()),"")</f>
        <v>4.3083735909822867</v>
      </c>
    </row>
    <row r="126" spans="1:4" ht="12" customHeight="1" x14ac:dyDescent="0.2">
      <c r="A126" s="185" t="s">
        <v>473</v>
      </c>
      <c r="B126" s="186">
        <v>45784</v>
      </c>
      <c r="C126" s="196">
        <v>2048.3000000000002</v>
      </c>
      <c r="D126" s="188">
        <f>IFERROR(C126/VLOOKUP(A126,Usinas!$A:$B,2,FALSE()),"")</f>
        <v>3.2983896940418682</v>
      </c>
    </row>
    <row r="127" spans="1:4" ht="12" customHeight="1" x14ac:dyDescent="0.2">
      <c r="A127" s="185" t="s">
        <v>473</v>
      </c>
      <c r="B127" s="186">
        <v>45785</v>
      </c>
      <c r="C127" s="196">
        <v>3093.3</v>
      </c>
      <c r="D127" s="188">
        <f>IFERROR(C127/VLOOKUP(A127,Usinas!$A:$B,2,FALSE()),"")</f>
        <v>4.9811594202898553</v>
      </c>
    </row>
    <row r="128" spans="1:4" ht="12" customHeight="1" x14ac:dyDescent="0.2">
      <c r="A128" s="185" t="s">
        <v>473</v>
      </c>
      <c r="B128" s="186">
        <v>45786</v>
      </c>
      <c r="C128" s="196">
        <v>2564.5</v>
      </c>
      <c r="D128" s="188">
        <f>IFERROR(C128/VLOOKUP(A128,Usinas!$A:$B,2,FALSE()),"")</f>
        <v>4.1296296296296298</v>
      </c>
    </row>
    <row r="129" spans="1:4" ht="12" customHeight="1" x14ac:dyDescent="0.2">
      <c r="A129" s="185" t="s">
        <v>473</v>
      </c>
      <c r="B129" s="186">
        <v>45787</v>
      </c>
      <c r="C129" s="196">
        <v>2034.4</v>
      </c>
      <c r="D129" s="188">
        <f>IFERROR(C129/VLOOKUP(A129,Usinas!$A:$B,2,FALSE()),"")</f>
        <v>3.2760064412238328</v>
      </c>
    </row>
    <row r="130" spans="1:4" ht="12" customHeight="1" x14ac:dyDescent="0.2">
      <c r="A130" s="185" t="s">
        <v>473</v>
      </c>
      <c r="B130" s="186">
        <v>45788</v>
      </c>
      <c r="C130" s="196">
        <v>2275.4</v>
      </c>
      <c r="D130" s="188">
        <f>IFERROR(C130/VLOOKUP(A130,Usinas!$A:$B,2,FALSE()),"")</f>
        <v>3.6640901771336556</v>
      </c>
    </row>
    <row r="131" spans="1:4" ht="12" customHeight="1" x14ac:dyDescent="0.2">
      <c r="A131" s="185" t="s">
        <v>473</v>
      </c>
      <c r="B131" s="186">
        <v>45789</v>
      </c>
      <c r="C131" s="196">
        <v>3205.5</v>
      </c>
      <c r="D131" s="188">
        <f>IFERROR(C131/VLOOKUP(A131,Usinas!$A:$B,2,FALSE()),"")</f>
        <v>5.1618357487922708</v>
      </c>
    </row>
    <row r="132" spans="1:4" ht="12" customHeight="1" x14ac:dyDescent="0.2">
      <c r="A132" s="185" t="s">
        <v>473</v>
      </c>
      <c r="B132" s="186">
        <v>45790</v>
      </c>
      <c r="C132" s="196">
        <v>2711.9</v>
      </c>
      <c r="D132" s="188">
        <f>IFERROR(C132/VLOOKUP(A132,Usinas!$A:$B,2,FALSE()),"")</f>
        <v>4.3669887278582928</v>
      </c>
    </row>
    <row r="133" spans="1:4" ht="12" customHeight="1" x14ac:dyDescent="0.2">
      <c r="A133" s="185" t="s">
        <v>473</v>
      </c>
      <c r="B133" s="186">
        <v>45791</v>
      </c>
      <c r="C133" s="196">
        <v>3158</v>
      </c>
      <c r="D133" s="188">
        <f>IFERROR(C133/VLOOKUP(A133,Usinas!$A:$B,2,FALSE()),"")</f>
        <v>5.0853462157809988</v>
      </c>
    </row>
    <row r="134" spans="1:4" ht="12" customHeight="1" x14ac:dyDescent="0.2">
      <c r="A134" s="185" t="s">
        <v>473</v>
      </c>
      <c r="B134" s="186">
        <v>45792</v>
      </c>
      <c r="C134" s="196">
        <v>3202.4</v>
      </c>
      <c r="D134" s="188">
        <f>IFERROR(C134/VLOOKUP(A134,Usinas!$A:$B,2,FALSE()),"")</f>
        <v>5.1568438003220614</v>
      </c>
    </row>
    <row r="135" spans="1:4" ht="12" customHeight="1" x14ac:dyDescent="0.2">
      <c r="A135" s="185" t="s">
        <v>473</v>
      </c>
      <c r="B135" s="186">
        <v>45793</v>
      </c>
      <c r="C135" s="196">
        <v>2910.5</v>
      </c>
      <c r="D135" s="188">
        <f>IFERROR(C135/VLOOKUP(A135,Usinas!$A:$B,2,FALSE()),"")</f>
        <v>4.6867954911433172</v>
      </c>
    </row>
    <row r="136" spans="1:4" ht="12" customHeight="1" x14ac:dyDescent="0.2">
      <c r="A136" s="185" t="s">
        <v>473</v>
      </c>
      <c r="B136" s="186">
        <v>45794</v>
      </c>
      <c r="C136" s="196">
        <v>2611.4</v>
      </c>
      <c r="D136" s="188">
        <f>IFERROR(C136/VLOOKUP(A136,Usinas!$A:$B,2,FALSE()),"")</f>
        <v>4.2051529790660229</v>
      </c>
    </row>
    <row r="137" spans="1:4" ht="12" customHeight="1" x14ac:dyDescent="0.2">
      <c r="A137" s="185" t="s">
        <v>473</v>
      </c>
      <c r="B137" s="186">
        <v>45795</v>
      </c>
      <c r="C137" s="196">
        <v>2358.1</v>
      </c>
      <c r="D137" s="188">
        <f>IFERROR(C137/VLOOKUP(A137,Usinas!$A:$B,2,FALSE()),"")</f>
        <v>3.7972624798711752</v>
      </c>
    </row>
    <row r="138" spans="1:4" ht="12" customHeight="1" x14ac:dyDescent="0.2">
      <c r="A138" s="185" t="s">
        <v>473</v>
      </c>
      <c r="B138" s="186">
        <v>45796</v>
      </c>
      <c r="C138" s="196">
        <v>2920.1</v>
      </c>
      <c r="D138" s="188">
        <f>IFERROR(C138/VLOOKUP(A138,Usinas!$A:$B,2,FALSE()),"")</f>
        <v>4.7022544283413845</v>
      </c>
    </row>
    <row r="139" spans="1:4" ht="12" customHeight="1" x14ac:dyDescent="0.2">
      <c r="A139" s="185" t="s">
        <v>473</v>
      </c>
      <c r="B139" s="186">
        <v>45797</v>
      </c>
      <c r="C139" s="196">
        <v>2488.1999999999998</v>
      </c>
      <c r="D139" s="188">
        <f>IFERROR(C139/VLOOKUP(A139,Usinas!$A:$B,2,FALSE()),"")</f>
        <v>4.0067632850241539</v>
      </c>
    </row>
    <row r="140" spans="1:4" ht="12" customHeight="1" x14ac:dyDescent="0.2">
      <c r="A140" s="185" t="s">
        <v>473</v>
      </c>
      <c r="B140" s="186">
        <v>45798</v>
      </c>
      <c r="C140" s="196">
        <v>2810</v>
      </c>
      <c r="D140" s="188">
        <f>IFERROR(C140/VLOOKUP(A140,Usinas!$A:$B,2,FALSE()),"")</f>
        <v>4.5249597423510464</v>
      </c>
    </row>
    <row r="141" spans="1:4" ht="12" customHeight="1" x14ac:dyDescent="0.2">
      <c r="A141" s="185" t="s">
        <v>473</v>
      </c>
      <c r="B141" s="186">
        <v>45799</v>
      </c>
      <c r="C141" s="196">
        <v>2772.9</v>
      </c>
      <c r="D141" s="188">
        <f>IFERROR(C141/VLOOKUP(A141,Usinas!$A:$B,2,FALSE()),"")</f>
        <v>4.465217391304348</v>
      </c>
    </row>
    <row r="142" spans="1:4" ht="12" customHeight="1" x14ac:dyDescent="0.2">
      <c r="A142" s="185" t="s">
        <v>473</v>
      </c>
      <c r="B142" s="186">
        <v>45800</v>
      </c>
      <c r="C142" s="196">
        <v>2873.4</v>
      </c>
      <c r="D142" s="188">
        <f>IFERROR(C142/VLOOKUP(A142,Usinas!$A:$B,2,FALSE()),"")</f>
        <v>4.6270531400966188</v>
      </c>
    </row>
    <row r="143" spans="1:4" ht="12" customHeight="1" x14ac:dyDescent="0.2">
      <c r="A143" s="185" t="s">
        <v>473</v>
      </c>
      <c r="B143" s="186">
        <v>45801</v>
      </c>
      <c r="C143" s="196">
        <v>2873.3</v>
      </c>
      <c r="D143" s="188">
        <f>IFERROR(C143/VLOOKUP(A143,Usinas!$A:$B,2,FALSE()),"")</f>
        <v>4.6268921095008055</v>
      </c>
    </row>
    <row r="144" spans="1:4" ht="12" customHeight="1" x14ac:dyDescent="0.2">
      <c r="A144" s="185" t="s">
        <v>473</v>
      </c>
      <c r="B144" s="186">
        <v>45802</v>
      </c>
      <c r="C144" s="196">
        <v>2918.1</v>
      </c>
      <c r="D144" s="188">
        <f>IFERROR(C144/VLOOKUP(A144,Usinas!$A:$B,2,FALSE()),"")</f>
        <v>4.6990338164251204</v>
      </c>
    </row>
    <row r="145" spans="1:4" ht="12" customHeight="1" x14ac:dyDescent="0.2">
      <c r="A145" s="185" t="s">
        <v>473</v>
      </c>
      <c r="B145" s="186">
        <v>45803</v>
      </c>
      <c r="C145" s="196">
        <v>2293.5</v>
      </c>
      <c r="D145" s="188">
        <f>IFERROR(C145/VLOOKUP(A145,Usinas!$A:$B,2,FALSE()),"")</f>
        <v>3.6932367149758454</v>
      </c>
    </row>
    <row r="146" spans="1:4" ht="12" customHeight="1" x14ac:dyDescent="0.2">
      <c r="A146" s="185" t="s">
        <v>473</v>
      </c>
      <c r="B146" s="186">
        <v>45804</v>
      </c>
      <c r="C146" s="196">
        <v>2065.6999999999998</v>
      </c>
      <c r="D146" s="188">
        <f>IFERROR(C146/VLOOKUP(A146,Usinas!$A:$B,2,FALSE()),"")</f>
        <v>3.3264090177133654</v>
      </c>
    </row>
    <row r="147" spans="1:4" ht="12" customHeight="1" x14ac:dyDescent="0.2">
      <c r="A147" s="185" t="s">
        <v>473</v>
      </c>
      <c r="B147" s="186">
        <v>45805</v>
      </c>
      <c r="C147" s="196">
        <v>1002.7</v>
      </c>
      <c r="D147" s="188">
        <f>IFERROR(C147/VLOOKUP(A147,Usinas!$A:$B,2,FALSE()),"")</f>
        <v>1.6146537842190016</v>
      </c>
    </row>
    <row r="148" spans="1:4" ht="12" customHeight="1" x14ac:dyDescent="0.2">
      <c r="A148" s="185" t="s">
        <v>473</v>
      </c>
      <c r="B148" s="186">
        <v>45806</v>
      </c>
      <c r="C148" s="196">
        <v>1857.6</v>
      </c>
      <c r="D148" s="188">
        <f>IFERROR(C148/VLOOKUP(A148,Usinas!$A:$B,2,FALSE()),"")</f>
        <v>2.991304347826087</v>
      </c>
    </row>
    <row r="149" spans="1:4" ht="12" customHeight="1" x14ac:dyDescent="0.2">
      <c r="A149" s="185" t="s">
        <v>473</v>
      </c>
      <c r="B149" s="186">
        <v>45807</v>
      </c>
      <c r="C149" s="196">
        <v>3233.5</v>
      </c>
      <c r="D149" s="188">
        <f>IFERROR(C149/VLOOKUP(A149,Usinas!$A:$B,2,FALSE()),"")</f>
        <v>5.2069243156199674</v>
      </c>
    </row>
    <row r="150" spans="1:4" ht="12" customHeight="1" x14ac:dyDescent="0.2">
      <c r="A150" s="185" t="s">
        <v>473</v>
      </c>
      <c r="B150" s="186">
        <v>45808</v>
      </c>
      <c r="C150" s="196">
        <v>1985.3</v>
      </c>
      <c r="D150" s="188">
        <f>IFERROR(C150/VLOOKUP(A150,Usinas!$A:$B,2,FALSE()),"")</f>
        <v>3.1969404186795489</v>
      </c>
    </row>
    <row r="151" spans="1:4" ht="12" customHeight="1" x14ac:dyDescent="0.2">
      <c r="A151" s="185" t="s">
        <v>473</v>
      </c>
      <c r="B151" s="186">
        <v>45809</v>
      </c>
      <c r="C151" s="196">
        <v>1716.2</v>
      </c>
      <c r="D151" s="188">
        <f>IFERROR(C151/VLOOKUP(A151,Usinas!$A:$B,2,FALSE()),"")</f>
        <v>2.7636070853462158</v>
      </c>
    </row>
    <row r="152" spans="1:4" ht="12" customHeight="1" x14ac:dyDescent="0.2">
      <c r="A152" s="185" t="s">
        <v>473</v>
      </c>
      <c r="B152" s="186">
        <v>45810</v>
      </c>
      <c r="C152" s="196">
        <v>1779.6</v>
      </c>
      <c r="D152" s="188">
        <f>IFERROR(C152/VLOOKUP(A152,Usinas!$A:$B,2,FALSE()),"")</f>
        <v>2.8657004830917874</v>
      </c>
    </row>
    <row r="153" spans="1:4" ht="12" customHeight="1" x14ac:dyDescent="0.2">
      <c r="A153" s="185" t="s">
        <v>473</v>
      </c>
      <c r="B153" s="186">
        <v>45811</v>
      </c>
      <c r="C153" s="196">
        <v>2610.9</v>
      </c>
      <c r="D153" s="188">
        <f>IFERROR(C153/VLOOKUP(A153,Usinas!$A:$B,2,FALSE()),"")</f>
        <v>4.2043478260869565</v>
      </c>
    </row>
    <row r="154" spans="1:4" ht="12" customHeight="1" x14ac:dyDescent="0.2">
      <c r="A154" s="185" t="s">
        <v>473</v>
      </c>
      <c r="B154" s="186">
        <v>45812</v>
      </c>
      <c r="C154" s="196">
        <v>2551.6</v>
      </c>
      <c r="D154" s="188">
        <f>IFERROR(C154/VLOOKUP(A154,Usinas!$A:$B,2,FALSE()),"")</f>
        <v>4.1088566827697264</v>
      </c>
    </row>
    <row r="155" spans="1:4" ht="12" customHeight="1" x14ac:dyDescent="0.2">
      <c r="A155" s="185" t="s">
        <v>473</v>
      </c>
      <c r="B155" s="186">
        <v>45813</v>
      </c>
      <c r="C155" s="196">
        <v>1405.3</v>
      </c>
      <c r="D155" s="188">
        <f>IFERROR(C155/VLOOKUP(A155,Usinas!$A:$B,2,FALSE()),"")</f>
        <v>2.2629629629629631</v>
      </c>
    </row>
    <row r="156" spans="1:4" ht="12" customHeight="1" x14ac:dyDescent="0.2">
      <c r="A156" s="185" t="s">
        <v>473</v>
      </c>
      <c r="B156" s="186">
        <v>45814</v>
      </c>
      <c r="C156" s="196">
        <v>2151.6999999999998</v>
      </c>
      <c r="D156" s="188">
        <f>IFERROR(C156/VLOOKUP(A156,Usinas!$A:$B,2,FALSE()),"")</f>
        <v>3.464895330112721</v>
      </c>
    </row>
    <row r="157" spans="1:4" ht="12" customHeight="1" x14ac:dyDescent="0.2">
      <c r="A157" s="185" t="s">
        <v>473</v>
      </c>
      <c r="B157" s="186">
        <v>45815</v>
      </c>
      <c r="C157" s="196">
        <v>2589.9</v>
      </c>
      <c r="D157" s="188">
        <f>IFERROR(C157/VLOOKUP(A157,Usinas!$A:$B,2,FALSE()),"")</f>
        <v>4.1705314009661834</v>
      </c>
    </row>
    <row r="158" spans="1:4" ht="12" customHeight="1" x14ac:dyDescent="0.2">
      <c r="A158" s="185" t="s">
        <v>473</v>
      </c>
      <c r="B158" s="186">
        <v>45816</v>
      </c>
      <c r="C158" s="196">
        <v>682.4</v>
      </c>
      <c r="D158" s="188">
        <f>IFERROR(C158/VLOOKUP(A158,Usinas!$A:$B,2,FALSE()),"")</f>
        <v>1.0988727858293075</v>
      </c>
    </row>
    <row r="159" spans="1:4" ht="12" customHeight="1" x14ac:dyDescent="0.2">
      <c r="A159" s="185" t="s">
        <v>473</v>
      </c>
      <c r="B159" s="186">
        <v>45817</v>
      </c>
      <c r="C159" s="196">
        <v>2745.8</v>
      </c>
      <c r="D159" s="188">
        <f>IFERROR(C159/VLOOKUP(A159,Usinas!$A:$B,2,FALSE()),"")</f>
        <v>4.4215780998389693</v>
      </c>
    </row>
    <row r="160" spans="1:4" ht="12" customHeight="1" x14ac:dyDescent="0.2">
      <c r="A160" s="185" t="s">
        <v>473</v>
      </c>
      <c r="B160" s="186">
        <v>45818</v>
      </c>
      <c r="C160" s="196">
        <v>2040.5</v>
      </c>
      <c r="D160" s="188">
        <f>IFERROR(C160/VLOOKUP(A160,Usinas!$A:$B,2,FALSE()),"")</f>
        <v>3.2858293075684379</v>
      </c>
    </row>
    <row r="161" spans="1:4" ht="12" customHeight="1" x14ac:dyDescent="0.2">
      <c r="A161" s="185" t="s">
        <v>473</v>
      </c>
      <c r="B161" s="186">
        <v>45819</v>
      </c>
      <c r="C161" s="196">
        <v>3137.7</v>
      </c>
      <c r="D161" s="188">
        <f>IFERROR(C161/VLOOKUP(A161,Usinas!$A:$B,2,FALSE()),"")</f>
        <v>5.0526570048309178</v>
      </c>
    </row>
    <row r="162" spans="1:4" ht="12" customHeight="1" x14ac:dyDescent="0.2">
      <c r="A162" s="185" t="s">
        <v>473</v>
      </c>
      <c r="B162" s="186">
        <v>45820</v>
      </c>
      <c r="C162" s="196">
        <v>2979.6</v>
      </c>
      <c r="D162" s="188">
        <f>IFERROR(C162/VLOOKUP(A162,Usinas!$A:$B,2,FALSE()),"")</f>
        <v>4.7980676328502412</v>
      </c>
    </row>
    <row r="163" spans="1:4" ht="12" customHeight="1" x14ac:dyDescent="0.2">
      <c r="A163" s="185" t="s">
        <v>473</v>
      </c>
      <c r="B163" s="186">
        <v>45821</v>
      </c>
      <c r="C163" s="196">
        <v>2275.6</v>
      </c>
      <c r="D163" s="188">
        <f>IFERROR(C163/VLOOKUP(A163,Usinas!$A:$B,2,FALSE()),"")</f>
        <v>3.6644122383252817</v>
      </c>
    </row>
    <row r="164" spans="1:4" ht="12" customHeight="1" x14ac:dyDescent="0.2">
      <c r="A164" s="185" t="s">
        <v>473</v>
      </c>
      <c r="B164" s="186">
        <v>45822</v>
      </c>
      <c r="C164" s="196">
        <v>1881.7</v>
      </c>
      <c r="D164" s="188">
        <f>IFERROR(C164/VLOOKUP(A164,Usinas!$A:$B,2,FALSE()),"")</f>
        <v>3.0301127214170691</v>
      </c>
    </row>
    <row r="165" spans="1:4" ht="12" customHeight="1" x14ac:dyDescent="0.2">
      <c r="A165" s="185" t="s">
        <v>473</v>
      </c>
      <c r="B165" s="186">
        <v>45823</v>
      </c>
      <c r="C165" s="196">
        <v>2256.6999999999998</v>
      </c>
      <c r="D165" s="188">
        <f>IFERROR(C165/VLOOKUP(A165,Usinas!$A:$B,2,FALSE()),"")</f>
        <v>3.633977455716586</v>
      </c>
    </row>
    <row r="166" spans="1:4" ht="12" customHeight="1" x14ac:dyDescent="0.2">
      <c r="A166" s="185" t="s">
        <v>473</v>
      </c>
      <c r="B166" s="186">
        <v>45824</v>
      </c>
      <c r="C166" s="196">
        <v>2629.1</v>
      </c>
      <c r="D166" s="188">
        <f>IFERROR(C166/VLOOKUP(A166,Usinas!$A:$B,2,FALSE()),"")</f>
        <v>4.23365539452496</v>
      </c>
    </row>
    <row r="167" spans="1:4" ht="12" customHeight="1" x14ac:dyDescent="0.2">
      <c r="A167" s="185" t="s">
        <v>473</v>
      </c>
      <c r="B167" s="186">
        <v>45825</v>
      </c>
      <c r="C167" s="196">
        <v>2549.1</v>
      </c>
      <c r="D167" s="188">
        <f>IFERROR(C167/VLOOKUP(A167,Usinas!$A:$B,2,FALSE()),"")</f>
        <v>4.1048309178743958</v>
      </c>
    </row>
    <row r="168" spans="1:4" ht="12" customHeight="1" x14ac:dyDescent="0.2">
      <c r="A168" s="185" t="s">
        <v>473</v>
      </c>
      <c r="B168" s="186">
        <v>45826</v>
      </c>
      <c r="C168" s="196">
        <v>2802.2</v>
      </c>
      <c r="D168" s="188">
        <f>IFERROR(C168/VLOOKUP(A168,Usinas!$A:$B,2,FALSE()),"")</f>
        <v>4.5123993558776165</v>
      </c>
    </row>
    <row r="169" spans="1:4" ht="12" customHeight="1" x14ac:dyDescent="0.2">
      <c r="A169" s="185" t="s">
        <v>473</v>
      </c>
      <c r="B169" s="186">
        <v>45827</v>
      </c>
      <c r="C169" s="196">
        <v>2834.4</v>
      </c>
      <c r="D169" s="188">
        <f>IFERROR(C169/VLOOKUP(A169,Usinas!$A:$B,2,FALSE()),"")</f>
        <v>4.5642512077294688</v>
      </c>
    </row>
    <row r="170" spans="1:4" ht="12" customHeight="1" x14ac:dyDescent="0.2">
      <c r="A170" s="185" t="s">
        <v>473</v>
      </c>
      <c r="B170" s="186">
        <v>45828</v>
      </c>
      <c r="C170" s="196">
        <v>1881.5</v>
      </c>
      <c r="D170" s="188">
        <f>IFERROR(C170/VLOOKUP(A170,Usinas!$A:$B,2,FALSE()),"")</f>
        <v>3.029790660225443</v>
      </c>
    </row>
    <row r="171" spans="1:4" ht="12" customHeight="1" x14ac:dyDescent="0.2">
      <c r="A171" s="185" t="s">
        <v>473</v>
      </c>
      <c r="B171" s="186">
        <v>45829</v>
      </c>
      <c r="C171" s="196">
        <v>886.2</v>
      </c>
      <c r="D171" s="188">
        <f>IFERROR(C171/VLOOKUP(A171,Usinas!$A:$B,2,FALSE()),"")</f>
        <v>1.4270531400966184</v>
      </c>
    </row>
    <row r="172" spans="1:4" ht="12" customHeight="1" x14ac:dyDescent="0.2">
      <c r="A172" s="185" t="s">
        <v>473</v>
      </c>
      <c r="B172" s="186">
        <v>45830</v>
      </c>
      <c r="C172" s="196">
        <v>1185.8</v>
      </c>
      <c r="D172" s="188">
        <f>IFERROR(C172/VLOOKUP(A172,Usinas!$A:$B,2,FALSE()),"")</f>
        <v>1.9095008051529789</v>
      </c>
    </row>
    <row r="173" spans="1:4" ht="12" customHeight="1" x14ac:dyDescent="0.2">
      <c r="A173" s="185" t="s">
        <v>473</v>
      </c>
      <c r="B173" s="186">
        <v>45831</v>
      </c>
      <c r="C173" s="196">
        <v>746.6</v>
      </c>
      <c r="D173" s="188">
        <f>IFERROR(C173/VLOOKUP(A173,Usinas!$A:$B,2,FALSE()),"")</f>
        <v>1.202254428341385</v>
      </c>
    </row>
    <row r="174" spans="1:4" ht="12" customHeight="1" x14ac:dyDescent="0.2">
      <c r="A174" s="185" t="s">
        <v>473</v>
      </c>
      <c r="B174" s="186">
        <v>45832</v>
      </c>
      <c r="C174" s="196">
        <v>3284.4</v>
      </c>
      <c r="D174" s="188">
        <f>IFERROR(C174/VLOOKUP(A174,Usinas!$A:$B,2,FALSE()),"")</f>
        <v>5.2888888888888888</v>
      </c>
    </row>
    <row r="175" spans="1:4" ht="12" customHeight="1" x14ac:dyDescent="0.2">
      <c r="A175" s="185" t="s">
        <v>473</v>
      </c>
      <c r="B175" s="186">
        <v>45833</v>
      </c>
      <c r="C175" s="196">
        <v>2588.5</v>
      </c>
      <c r="D175" s="188">
        <f>IFERROR(C175/VLOOKUP(A175,Usinas!$A:$B,2,FALSE()),"")</f>
        <v>4.168276972624799</v>
      </c>
    </row>
    <row r="176" spans="1:4" ht="12" customHeight="1" x14ac:dyDescent="0.2">
      <c r="A176" s="185" t="s">
        <v>473</v>
      </c>
      <c r="B176" s="186">
        <v>45834</v>
      </c>
      <c r="C176" s="196">
        <v>710.9</v>
      </c>
      <c r="D176" s="188">
        <f>IFERROR(C176/VLOOKUP(A176,Usinas!$A:$B,2,FALSE()),"")</f>
        <v>1.1447665056360707</v>
      </c>
    </row>
    <row r="177" spans="1:4" ht="12" customHeight="1" x14ac:dyDescent="0.2">
      <c r="A177" s="185" t="s">
        <v>473</v>
      </c>
      <c r="B177" s="186">
        <v>45835</v>
      </c>
      <c r="C177" s="196">
        <v>1306.5999999999999</v>
      </c>
      <c r="D177" s="188">
        <f>IFERROR(C177/VLOOKUP(A177,Usinas!$A:$B,2,FALSE()),"")</f>
        <v>2.1040257648953298</v>
      </c>
    </row>
    <row r="178" spans="1:4" ht="12" customHeight="1" x14ac:dyDescent="0.2">
      <c r="A178" s="185" t="s">
        <v>473</v>
      </c>
      <c r="B178" s="186">
        <v>45836</v>
      </c>
      <c r="C178" s="196">
        <v>2679.5</v>
      </c>
      <c r="D178" s="188">
        <f>IFERROR(C178/VLOOKUP(A178,Usinas!$A:$B,2,FALSE()),"")</f>
        <v>4.3148148148148149</v>
      </c>
    </row>
    <row r="179" spans="1:4" ht="12" customHeight="1" x14ac:dyDescent="0.2">
      <c r="A179" s="185" t="s">
        <v>473</v>
      </c>
      <c r="B179" s="186">
        <v>45837</v>
      </c>
      <c r="C179" s="196">
        <v>997.4</v>
      </c>
      <c r="D179" s="188">
        <f>IFERROR(C179/VLOOKUP(A179,Usinas!$A:$B,2,FALSE()),"")</f>
        <v>1.6061191626409017</v>
      </c>
    </row>
    <row r="180" spans="1:4" ht="12" customHeight="1" x14ac:dyDescent="0.2">
      <c r="A180" s="185" t="s">
        <v>473</v>
      </c>
      <c r="B180" s="186">
        <v>45838</v>
      </c>
      <c r="C180" s="196">
        <v>493.2</v>
      </c>
      <c r="D180" s="188">
        <f>IFERROR(C180/VLOOKUP(A180,Usinas!$A:$B,2,FALSE()),"")</f>
        <v>0.79420289855072457</v>
      </c>
    </row>
    <row r="181" spans="1:4" ht="12" customHeight="1" x14ac:dyDescent="0.2">
      <c r="A181" s="185" t="s">
        <v>473</v>
      </c>
      <c r="B181" s="186">
        <v>45839</v>
      </c>
      <c r="C181" s="196">
        <v>1218.0999999999999</v>
      </c>
      <c r="D181" s="188">
        <f>IFERROR(C181/VLOOKUP(A181,Usinas!$A:$B,2,FALSE()),"")</f>
        <v>1.961513687600644</v>
      </c>
    </row>
    <row r="182" spans="1:4" ht="12" customHeight="1" x14ac:dyDescent="0.2">
      <c r="A182" s="185" t="s">
        <v>473</v>
      </c>
      <c r="B182" s="186">
        <v>45840</v>
      </c>
      <c r="C182" s="196">
        <v>2341.6999999999998</v>
      </c>
      <c r="D182" s="188">
        <f>IFERROR(C182/VLOOKUP(A182,Usinas!$A:$B,2,FALSE()),"")</f>
        <v>3.7708534621578096</v>
      </c>
    </row>
    <row r="183" spans="1:4" ht="12" customHeight="1" x14ac:dyDescent="0.2">
      <c r="A183" s="185" t="s">
        <v>473</v>
      </c>
      <c r="B183" s="186">
        <v>45841</v>
      </c>
      <c r="C183" s="196">
        <v>1148.4000000000001</v>
      </c>
      <c r="D183" s="188">
        <f>IFERROR(C183/VLOOKUP(A183,Usinas!$A:$B,2,FALSE()),"")</f>
        <v>1.8492753623188407</v>
      </c>
    </row>
    <row r="184" spans="1:4" ht="12" customHeight="1" x14ac:dyDescent="0.2">
      <c r="A184" s="185" t="s">
        <v>473</v>
      </c>
      <c r="B184" s="186">
        <v>45842</v>
      </c>
      <c r="C184" s="196">
        <v>3002.2</v>
      </c>
      <c r="D184" s="188">
        <f>IFERROR(C184/VLOOKUP(A184,Usinas!$A:$B,2,FALSE()),"")</f>
        <v>4.8344605475040252</v>
      </c>
    </row>
    <row r="185" spans="1:4" ht="12" customHeight="1" x14ac:dyDescent="0.2">
      <c r="A185" s="185" t="s">
        <v>473</v>
      </c>
      <c r="B185" s="186">
        <v>45843</v>
      </c>
      <c r="C185" s="196">
        <v>2927</v>
      </c>
      <c r="D185" s="188">
        <f>IFERROR(C185/VLOOKUP(A185,Usinas!$A:$B,2,FALSE()),"")</f>
        <v>4.7133655394524956</v>
      </c>
    </row>
    <row r="186" spans="1:4" ht="12" customHeight="1" x14ac:dyDescent="0.2">
      <c r="A186" s="185" t="s">
        <v>473</v>
      </c>
      <c r="B186" s="186">
        <v>45844</v>
      </c>
      <c r="C186" s="196">
        <v>2956.8</v>
      </c>
      <c r="D186" s="188">
        <f>IFERROR(C186/VLOOKUP(A186,Usinas!$A:$B,2,FALSE()),"")</f>
        <v>4.7613526570048315</v>
      </c>
    </row>
    <row r="187" spans="1:4" ht="12" customHeight="1" x14ac:dyDescent="0.2">
      <c r="A187" s="185" t="s">
        <v>473</v>
      </c>
      <c r="B187" s="186">
        <v>45845</v>
      </c>
      <c r="C187" s="196">
        <v>2929.7</v>
      </c>
      <c r="D187" s="188">
        <f>IFERROR(C187/VLOOKUP(A187,Usinas!$A:$B,2,FALSE()),"")</f>
        <v>4.7177133655394519</v>
      </c>
    </row>
    <row r="188" spans="1:4" ht="12" customHeight="1" x14ac:dyDescent="0.2">
      <c r="A188" s="185" t="s">
        <v>473</v>
      </c>
      <c r="B188" s="186">
        <v>45846</v>
      </c>
      <c r="C188" s="196">
        <v>2929.3</v>
      </c>
      <c r="D188" s="188">
        <f>IFERROR(C188/VLOOKUP(A188,Usinas!$A:$B,2,FALSE()),"")</f>
        <v>4.7170692431561996</v>
      </c>
    </row>
    <row r="189" spans="1:4" ht="12" customHeight="1" x14ac:dyDescent="0.2">
      <c r="A189" s="185" t="s">
        <v>473</v>
      </c>
      <c r="B189" s="186">
        <v>45847</v>
      </c>
      <c r="C189" s="196">
        <v>2963.8</v>
      </c>
      <c r="D189" s="188">
        <f>IFERROR(C189/VLOOKUP(A189,Usinas!$A:$B,2,FALSE()),"")</f>
        <v>4.7726247987117558</v>
      </c>
    </row>
    <row r="190" spans="1:4" ht="12" customHeight="1" x14ac:dyDescent="0.2">
      <c r="A190" s="185" t="s">
        <v>473</v>
      </c>
      <c r="B190" s="186">
        <v>45848</v>
      </c>
      <c r="C190" s="196">
        <v>2646.8</v>
      </c>
      <c r="D190" s="188">
        <f>IFERROR(C190/VLOOKUP(A190,Usinas!$A:$B,2,FALSE()),"")</f>
        <v>4.262157809983897</v>
      </c>
    </row>
    <row r="191" spans="1:4" ht="12" customHeight="1" x14ac:dyDescent="0.2">
      <c r="A191" s="185" t="s">
        <v>473</v>
      </c>
      <c r="B191" s="186">
        <v>45849</v>
      </c>
      <c r="C191" s="196">
        <v>2068.3000000000002</v>
      </c>
      <c r="D191" s="188">
        <f>IFERROR(C191/VLOOKUP(A191,Usinas!$A:$B,2,FALSE()),"")</f>
        <v>3.3305958132045093</v>
      </c>
    </row>
    <row r="192" spans="1:4" ht="12" customHeight="1" x14ac:dyDescent="0.2">
      <c r="A192" s="185" t="s">
        <v>473</v>
      </c>
      <c r="B192" s="186">
        <v>45850</v>
      </c>
      <c r="C192" s="196">
        <v>2556.9</v>
      </c>
      <c r="D192" s="188">
        <f>IFERROR(C192/VLOOKUP(A192,Usinas!$A:$B,2,FALSE()),"")</f>
        <v>4.1173913043478265</v>
      </c>
    </row>
    <row r="193" spans="1:4" ht="12" customHeight="1" x14ac:dyDescent="0.2">
      <c r="A193" s="185" t="s">
        <v>473</v>
      </c>
      <c r="B193" s="186">
        <v>45851</v>
      </c>
      <c r="C193" s="196">
        <v>2012.5</v>
      </c>
      <c r="D193" s="188">
        <f>IFERROR(C193/VLOOKUP(A193,Usinas!$A:$B,2,FALSE()),"")</f>
        <v>3.2407407407407409</v>
      </c>
    </row>
    <row r="194" spans="1:4" ht="12" customHeight="1" x14ac:dyDescent="0.2">
      <c r="A194" s="185" t="s">
        <v>473</v>
      </c>
      <c r="B194" s="186">
        <v>45852</v>
      </c>
      <c r="C194" s="196">
        <v>2389.9</v>
      </c>
      <c r="D194" s="188">
        <f>IFERROR(C194/VLOOKUP(A194,Usinas!$A:$B,2,FALSE()),"")</f>
        <v>3.8484702093397747</v>
      </c>
    </row>
    <row r="195" spans="1:4" ht="12" customHeight="1" x14ac:dyDescent="0.2">
      <c r="A195" s="185" t="s">
        <v>473</v>
      </c>
      <c r="B195" s="186">
        <v>45853</v>
      </c>
      <c r="C195" s="196">
        <v>2648</v>
      </c>
      <c r="D195" s="188">
        <f>IFERROR(C195/VLOOKUP(A195,Usinas!$A:$B,2,FALSE()),"")</f>
        <v>4.2640901771336557</v>
      </c>
    </row>
    <row r="196" spans="1:4" ht="12" customHeight="1" x14ac:dyDescent="0.2">
      <c r="A196" s="185" t="s">
        <v>473</v>
      </c>
      <c r="B196" s="186">
        <v>45854</v>
      </c>
      <c r="C196" s="196">
        <v>2608.1</v>
      </c>
      <c r="D196" s="188">
        <f>IFERROR(C196/VLOOKUP(A196,Usinas!$A:$B,2,FALSE()),"")</f>
        <v>4.1998389694041869</v>
      </c>
    </row>
    <row r="197" spans="1:4" ht="12" customHeight="1" x14ac:dyDescent="0.2">
      <c r="A197" s="185" t="s">
        <v>473</v>
      </c>
      <c r="B197" s="186">
        <v>45855</v>
      </c>
      <c r="C197" s="196">
        <v>1888.6</v>
      </c>
      <c r="D197" s="188">
        <f>IFERROR(C197/VLOOKUP(A197,Usinas!$A:$B,2,FALSE()),"")</f>
        <v>3.0412238325281802</v>
      </c>
    </row>
    <row r="198" spans="1:4" ht="12" customHeight="1" x14ac:dyDescent="0.2">
      <c r="A198" s="185" t="s">
        <v>473</v>
      </c>
      <c r="B198" s="186">
        <v>45856</v>
      </c>
      <c r="C198" s="196">
        <v>2546.4</v>
      </c>
      <c r="D198" s="188">
        <f>IFERROR(C198/VLOOKUP(A198,Usinas!$A:$B,2,FALSE()),"")</f>
        <v>4.1004830917874395</v>
      </c>
    </row>
    <row r="199" spans="1:4" ht="12" customHeight="1" x14ac:dyDescent="0.2">
      <c r="A199" s="185" t="s">
        <v>473</v>
      </c>
      <c r="B199" s="186">
        <v>45857</v>
      </c>
      <c r="C199" s="196">
        <v>2797.6</v>
      </c>
      <c r="D199" s="188">
        <f>IFERROR(C199/VLOOKUP(A199,Usinas!$A:$B,2,FALSE()),"")</f>
        <v>4.5049919484702095</v>
      </c>
    </row>
    <row r="200" spans="1:4" ht="12" customHeight="1" x14ac:dyDescent="0.2">
      <c r="A200" s="185" t="s">
        <v>473</v>
      </c>
      <c r="B200" s="186">
        <v>45858</v>
      </c>
      <c r="C200" s="196">
        <v>2127.3000000000002</v>
      </c>
      <c r="D200" s="188">
        <f>IFERROR(C200/VLOOKUP(A200,Usinas!$A:$B,2,FALSE()),"")</f>
        <v>3.4256038647342999</v>
      </c>
    </row>
    <row r="201" spans="1:4" ht="12" customHeight="1" x14ac:dyDescent="0.2">
      <c r="A201" s="185" t="s">
        <v>473</v>
      </c>
      <c r="B201" s="186">
        <v>45859</v>
      </c>
      <c r="C201" s="196">
        <v>2622.1</v>
      </c>
      <c r="D201" s="188">
        <f>IFERROR(C201/VLOOKUP(A201,Usinas!$A:$B,2,FALSE()),"")</f>
        <v>4.2223832528180356</v>
      </c>
    </row>
    <row r="202" spans="1:4" ht="12" customHeight="1" x14ac:dyDescent="0.2">
      <c r="A202" s="185" t="s">
        <v>473</v>
      </c>
      <c r="B202" s="186">
        <v>45860</v>
      </c>
      <c r="C202" s="196">
        <v>2648.1</v>
      </c>
      <c r="D202" s="188">
        <f>IFERROR(C202/VLOOKUP(A202,Usinas!$A:$B,2,FALSE()),"")</f>
        <v>4.2642512077294681</v>
      </c>
    </row>
    <row r="203" spans="1:4" ht="12" customHeight="1" x14ac:dyDescent="0.2">
      <c r="A203" s="185" t="s">
        <v>473</v>
      </c>
      <c r="B203" s="186">
        <v>45861</v>
      </c>
      <c r="C203" s="196">
        <v>2630.9</v>
      </c>
      <c r="D203" s="188">
        <f>IFERROR(C203/VLOOKUP(A203,Usinas!$A:$B,2,FALSE()),"")</f>
        <v>4.2365539452495975</v>
      </c>
    </row>
    <row r="204" spans="1:4" ht="12" customHeight="1" x14ac:dyDescent="0.2">
      <c r="A204" s="185" t="s">
        <v>473</v>
      </c>
      <c r="B204" s="186">
        <v>45862</v>
      </c>
      <c r="C204" s="196">
        <v>1966</v>
      </c>
      <c r="D204" s="188">
        <f>IFERROR(C204/VLOOKUP(A204,Usinas!$A:$B,2,FALSE()),"")</f>
        <v>3.1658615136876005</v>
      </c>
    </row>
    <row r="205" spans="1:4" ht="12" customHeight="1" x14ac:dyDescent="0.2">
      <c r="A205" s="185" t="s">
        <v>473</v>
      </c>
      <c r="B205" s="186">
        <v>45863</v>
      </c>
      <c r="C205" s="196">
        <v>2658.3</v>
      </c>
      <c r="D205" s="188">
        <f>IFERROR(C205/VLOOKUP(A205,Usinas!$A:$B,2,FALSE()),"")</f>
        <v>4.2806763285024161</v>
      </c>
    </row>
    <row r="206" spans="1:4" ht="12" customHeight="1" x14ac:dyDescent="0.2">
      <c r="A206" s="185" t="s">
        <v>473</v>
      </c>
      <c r="B206" s="186">
        <v>45864</v>
      </c>
      <c r="C206" s="196">
        <v>2083.1999999999998</v>
      </c>
      <c r="D206" s="188">
        <f>IFERROR(C206/VLOOKUP(A206,Usinas!$A:$B,2,FALSE()),"")</f>
        <v>3.3545893719806759</v>
      </c>
    </row>
    <row r="207" spans="1:4" ht="12" customHeight="1" x14ac:dyDescent="0.2">
      <c r="A207" s="185" t="s">
        <v>473</v>
      </c>
      <c r="B207" s="186">
        <v>45865</v>
      </c>
      <c r="C207" s="196">
        <v>2042.7</v>
      </c>
      <c r="D207" s="188">
        <f>IFERROR(C207/VLOOKUP(A207,Usinas!$A:$B,2,FALSE()),"")</f>
        <v>3.2893719806763286</v>
      </c>
    </row>
    <row r="208" spans="1:4" ht="12" customHeight="1" x14ac:dyDescent="0.2">
      <c r="A208" s="185" t="s">
        <v>473</v>
      </c>
      <c r="B208" s="186">
        <v>45866</v>
      </c>
      <c r="C208" s="196">
        <v>1185.5999999999999</v>
      </c>
      <c r="D208" s="188">
        <f>IFERROR(C208/VLOOKUP(A208,Usinas!$A:$B,2,FALSE()),"")</f>
        <v>1.9091787439613526</v>
      </c>
    </row>
    <row r="209" spans="1:4" ht="12" customHeight="1" x14ac:dyDescent="0.2">
      <c r="A209" s="185" t="s">
        <v>473</v>
      </c>
      <c r="B209" s="186">
        <v>45867</v>
      </c>
      <c r="C209" s="196">
        <v>3395.6</v>
      </c>
      <c r="D209" s="188">
        <f>IFERROR(C209/VLOOKUP(A209,Usinas!$A:$B,2,FALSE()),"")</f>
        <v>5.4679549114331722</v>
      </c>
    </row>
    <row r="210" spans="1:4" ht="12" customHeight="1" x14ac:dyDescent="0.2">
      <c r="A210" s="185" t="s">
        <v>473</v>
      </c>
      <c r="B210" s="186">
        <v>45868</v>
      </c>
      <c r="C210" s="196">
        <v>3305.5</v>
      </c>
      <c r="D210" s="188">
        <f>IFERROR(C210/VLOOKUP(A210,Usinas!$A:$B,2,FALSE()),"")</f>
        <v>5.3228663446054751</v>
      </c>
    </row>
    <row r="211" spans="1:4" ht="12" customHeight="1" x14ac:dyDescent="0.2">
      <c r="A211" s="185" t="s">
        <v>473</v>
      </c>
      <c r="B211" s="186">
        <v>45869</v>
      </c>
      <c r="C211" s="196">
        <v>3305.8</v>
      </c>
      <c r="D211" s="188">
        <f>IFERROR(C211/VLOOKUP(A211,Usinas!$A:$B,2,FALSE()),"")</f>
        <v>5.323349436392915</v>
      </c>
    </row>
    <row r="212" spans="1:4" ht="12" customHeight="1" x14ac:dyDescent="0.2">
      <c r="A212" s="185" t="s">
        <v>473</v>
      </c>
      <c r="B212" s="186">
        <v>45870</v>
      </c>
      <c r="C212" s="196">
        <v>3067.5</v>
      </c>
      <c r="D212" s="188">
        <f>IFERROR(C212/VLOOKUP(A212,Usinas!$A:$B,2,FALSE()),"")</f>
        <v>4.9396135265700485</v>
      </c>
    </row>
    <row r="213" spans="1:4" ht="12" customHeight="1" x14ac:dyDescent="0.2">
      <c r="A213" s="185" t="s">
        <v>473</v>
      </c>
      <c r="B213" s="186">
        <v>45871</v>
      </c>
      <c r="C213" s="196">
        <v>2336.1999999999998</v>
      </c>
      <c r="D213" s="188">
        <f>IFERROR(C213/VLOOKUP(A213,Usinas!$A:$B,2,FALSE()),"")</f>
        <v>3.7619967793880833</v>
      </c>
    </row>
    <row r="214" spans="1:4" ht="12" customHeight="1" x14ac:dyDescent="0.2">
      <c r="A214" s="185" t="s">
        <v>473</v>
      </c>
      <c r="B214" s="186">
        <v>45872</v>
      </c>
      <c r="C214" s="196">
        <v>2318.4</v>
      </c>
      <c r="D214" s="188">
        <f>IFERROR(C214/VLOOKUP(A214,Usinas!$A:$B,2,FALSE()),"")</f>
        <v>3.7333333333333334</v>
      </c>
    </row>
    <row r="215" spans="1:4" ht="12" customHeight="1" x14ac:dyDescent="0.2">
      <c r="A215" s="185" t="s">
        <v>473</v>
      </c>
      <c r="B215" s="186">
        <v>45873</v>
      </c>
      <c r="C215" s="196">
        <v>385.9</v>
      </c>
      <c r="D215" s="188">
        <f>IFERROR(C215/VLOOKUP(A215,Usinas!$A:$B,2,FALSE()),"")</f>
        <v>0.62141706924315621</v>
      </c>
    </row>
    <row r="216" spans="1:4" ht="12" customHeight="1" x14ac:dyDescent="0.2">
      <c r="A216" s="185" t="s">
        <v>473</v>
      </c>
      <c r="B216" s="186">
        <v>45874</v>
      </c>
      <c r="C216" s="196">
        <v>1795.2</v>
      </c>
      <c r="D216" s="188">
        <f>IFERROR(C216/VLOOKUP(A216,Usinas!$A:$B,2,FALSE()),"")</f>
        <v>2.8908212560386475</v>
      </c>
    </row>
    <row r="217" spans="1:4" ht="12" customHeight="1" x14ac:dyDescent="0.2">
      <c r="A217" s="185" t="s">
        <v>473</v>
      </c>
      <c r="B217" s="186">
        <v>45875</v>
      </c>
      <c r="C217" s="196">
        <v>3173</v>
      </c>
      <c r="D217" s="188">
        <f>IFERROR(C217/VLOOKUP(A217,Usinas!$A:$B,2,FALSE()),"")</f>
        <v>5.1095008051529787</v>
      </c>
    </row>
    <row r="218" spans="1:4" ht="12" customHeight="1" x14ac:dyDescent="0.2">
      <c r="A218" s="185" t="s">
        <v>473</v>
      </c>
      <c r="B218" s="186">
        <v>45876</v>
      </c>
      <c r="C218" s="196">
        <v>2332.6</v>
      </c>
      <c r="D218" s="188">
        <f>IFERROR(C218/VLOOKUP(A218,Usinas!$A:$B,2,FALSE()),"")</f>
        <v>3.7561996779388083</v>
      </c>
    </row>
    <row r="219" spans="1:4" ht="12" customHeight="1" x14ac:dyDescent="0.2">
      <c r="A219" s="185" t="s">
        <v>473</v>
      </c>
      <c r="B219" s="186">
        <v>45877</v>
      </c>
      <c r="C219" s="196">
        <v>1279.9000000000001</v>
      </c>
      <c r="D219" s="188">
        <f>IFERROR(C219/VLOOKUP(A219,Usinas!$A:$B,2,FALSE()),"")</f>
        <v>2.0610305958132047</v>
      </c>
    </row>
    <row r="220" spans="1:4" ht="12" customHeight="1" x14ac:dyDescent="0.2">
      <c r="A220" s="185" t="s">
        <v>473</v>
      </c>
      <c r="B220" s="186">
        <v>45878</v>
      </c>
      <c r="C220" s="196">
        <v>3010.6</v>
      </c>
      <c r="D220" s="188">
        <f>IFERROR(C220/VLOOKUP(A220,Usinas!$A:$B,2,FALSE()),"")</f>
        <v>4.8479871175523348</v>
      </c>
    </row>
    <row r="221" spans="1:4" ht="12" customHeight="1" x14ac:dyDescent="0.2">
      <c r="A221" s="185" t="s">
        <v>473</v>
      </c>
      <c r="B221" s="186">
        <v>45879</v>
      </c>
      <c r="C221" s="196">
        <v>3427.9</v>
      </c>
      <c r="D221" s="188">
        <f>IFERROR(C221/VLOOKUP(A221,Usinas!$A:$B,2,FALSE()),"")</f>
        <v>5.5199677938808378</v>
      </c>
    </row>
    <row r="222" spans="1:4" ht="12" customHeight="1" x14ac:dyDescent="0.2">
      <c r="A222" s="185" t="s">
        <v>473</v>
      </c>
      <c r="B222" s="186">
        <v>45880</v>
      </c>
      <c r="C222" s="196">
        <v>3339.3</v>
      </c>
      <c r="D222" s="188">
        <f>IFERROR(C222/VLOOKUP(A222,Usinas!$A:$B,2,FALSE()),"")</f>
        <v>5.3772946859903383</v>
      </c>
    </row>
    <row r="223" spans="1:4" ht="12" customHeight="1" x14ac:dyDescent="0.2">
      <c r="A223" s="185" t="s">
        <v>473</v>
      </c>
      <c r="B223" s="186">
        <v>45881</v>
      </c>
      <c r="C223" s="196">
        <v>3310.7</v>
      </c>
      <c r="D223" s="188">
        <f>IFERROR(C223/VLOOKUP(A223,Usinas!$A:$B,2,FALSE()),"")</f>
        <v>5.3312399355877611</v>
      </c>
    </row>
    <row r="224" spans="1:4" ht="12" customHeight="1" x14ac:dyDescent="0.2">
      <c r="A224" s="185" t="s">
        <v>473</v>
      </c>
      <c r="B224" s="186">
        <v>45882</v>
      </c>
      <c r="C224" s="196">
        <v>3191.2</v>
      </c>
      <c r="D224" s="188">
        <f>IFERROR(C224/VLOOKUP(A224,Usinas!$A:$B,2,FALSE()),"")</f>
        <v>5.1388083735909822</v>
      </c>
    </row>
    <row r="225" spans="1:4" ht="12" customHeight="1" x14ac:dyDescent="0.2">
      <c r="A225" s="185" t="s">
        <v>473</v>
      </c>
      <c r="B225" s="186">
        <v>45883</v>
      </c>
      <c r="C225" s="196">
        <v>3234.3</v>
      </c>
      <c r="D225" s="188">
        <f>IFERROR(C225/VLOOKUP(A225,Usinas!$A:$B,2,FALSE()),"")</f>
        <v>5.2082125603864737</v>
      </c>
    </row>
    <row r="226" spans="1:4" ht="12" customHeight="1" x14ac:dyDescent="0.2">
      <c r="A226" s="185" t="s">
        <v>473</v>
      </c>
      <c r="B226" s="186">
        <v>45884</v>
      </c>
      <c r="C226" s="196">
        <v>3132.5</v>
      </c>
      <c r="D226" s="188">
        <f>IFERROR(C226/VLOOKUP(A226,Usinas!$A:$B,2,FALSE()),"")</f>
        <v>5.044283413848631</v>
      </c>
    </row>
    <row r="227" spans="1:4" ht="12" customHeight="1" x14ac:dyDescent="0.2">
      <c r="A227" s="185" t="s">
        <v>473</v>
      </c>
      <c r="B227" s="186">
        <v>45885</v>
      </c>
      <c r="C227" s="196">
        <v>3113.2</v>
      </c>
      <c r="D227" s="188">
        <f>IFERROR(C227/VLOOKUP(A227,Usinas!$A:$B,2,FALSE()),"")</f>
        <v>5.0132045088566821</v>
      </c>
    </row>
    <row r="228" spans="1:4" ht="12" customHeight="1" x14ac:dyDescent="0.2">
      <c r="A228" s="185" t="s">
        <v>473</v>
      </c>
      <c r="B228" s="186">
        <v>45886</v>
      </c>
      <c r="C228" s="196">
        <v>2834.9</v>
      </c>
      <c r="D228" s="188">
        <f>IFERROR(C228/VLOOKUP(A228,Usinas!$A:$B,2,FALSE()),"")</f>
        <v>4.5650563607085344</v>
      </c>
    </row>
    <row r="229" spans="1:4" ht="12" customHeight="1" x14ac:dyDescent="0.2">
      <c r="A229" s="185" t="s">
        <v>473</v>
      </c>
      <c r="B229" s="186">
        <v>45887</v>
      </c>
      <c r="C229" s="196">
        <v>2942.3</v>
      </c>
      <c r="D229" s="188">
        <f>IFERROR(C229/VLOOKUP(A229,Usinas!$A:$B,2,FALSE()),"")</f>
        <v>4.7380032206119163</v>
      </c>
    </row>
    <row r="230" spans="1:4" ht="12" customHeight="1" x14ac:dyDescent="0.2">
      <c r="A230" s="185" t="s">
        <v>473</v>
      </c>
      <c r="B230" s="186">
        <v>45888</v>
      </c>
      <c r="C230" s="196">
        <v>1911.5</v>
      </c>
      <c r="D230" s="188">
        <f>IFERROR(C230/VLOOKUP(A230,Usinas!$A:$B,2,FALSE()),"")</f>
        <v>3.0780998389694041</v>
      </c>
    </row>
    <row r="231" spans="1:4" ht="12" customHeight="1" x14ac:dyDescent="0.2">
      <c r="A231" s="185" t="s">
        <v>473</v>
      </c>
      <c r="B231" s="186">
        <v>45889</v>
      </c>
      <c r="C231" s="196">
        <v>2463.6</v>
      </c>
      <c r="D231" s="188">
        <f>IFERROR(C231/VLOOKUP(A231,Usinas!$A:$B,2,FALSE()),"")</f>
        <v>3.9671497584541062</v>
      </c>
    </row>
    <row r="232" spans="1:4" ht="12" customHeight="1" x14ac:dyDescent="0.2">
      <c r="A232" s="185" t="s">
        <v>473</v>
      </c>
      <c r="B232" s="186">
        <v>45890</v>
      </c>
      <c r="C232" s="196">
        <v>2262.6999999999998</v>
      </c>
      <c r="D232" s="188">
        <f>IFERROR(C232/VLOOKUP(A232,Usinas!$A:$B,2,FALSE()),"")</f>
        <v>3.6436392914653783</v>
      </c>
    </row>
    <row r="233" spans="1:4" ht="12" customHeight="1" x14ac:dyDescent="0.2">
      <c r="A233" s="185" t="s">
        <v>473</v>
      </c>
      <c r="B233" s="186">
        <v>45891</v>
      </c>
      <c r="C233" s="196">
        <v>2773.8</v>
      </c>
      <c r="D233" s="188">
        <f>IFERROR(C233/VLOOKUP(A233,Usinas!$A:$B,2,FALSE()),"")</f>
        <v>4.4666666666666668</v>
      </c>
    </row>
    <row r="234" spans="1:4" ht="12" customHeight="1" x14ac:dyDescent="0.2">
      <c r="A234" s="185" t="s">
        <v>473</v>
      </c>
      <c r="B234" s="186">
        <v>45892</v>
      </c>
      <c r="C234" s="196">
        <v>2803.3</v>
      </c>
      <c r="D234" s="188">
        <f>IFERROR(C234/VLOOKUP(A234,Usinas!$A:$B,2,FALSE()),"")</f>
        <v>4.5141706924315619</v>
      </c>
    </row>
    <row r="235" spans="1:4" ht="12" customHeight="1" x14ac:dyDescent="0.2">
      <c r="A235" s="185" t="s">
        <v>473</v>
      </c>
      <c r="B235" s="186">
        <v>45893</v>
      </c>
      <c r="C235" s="196">
        <v>492.2</v>
      </c>
      <c r="D235" s="188">
        <f>IFERROR(C235/VLOOKUP(A235,Usinas!$A:$B,2,FALSE()),"")</f>
        <v>0.79259259259259263</v>
      </c>
    </row>
    <row r="236" spans="1:4" ht="12" customHeight="1" x14ac:dyDescent="0.2">
      <c r="A236" s="185" t="s">
        <v>473</v>
      </c>
      <c r="B236" s="186">
        <v>45894</v>
      </c>
      <c r="C236" s="196">
        <v>1713.4</v>
      </c>
      <c r="D236" s="188">
        <f>IFERROR(C236/VLOOKUP(A236,Usinas!$A:$B,2,FALSE()),"")</f>
        <v>2.7590982286634462</v>
      </c>
    </row>
    <row r="237" spans="1:4" ht="12" customHeight="1" x14ac:dyDescent="0.2">
      <c r="A237" s="185" t="s">
        <v>473</v>
      </c>
      <c r="B237" s="186">
        <v>45895</v>
      </c>
      <c r="C237" s="196">
        <v>2987.1</v>
      </c>
      <c r="D237" s="188">
        <f>IFERROR(C237/VLOOKUP(A237,Usinas!$A:$B,2,FALSE()),"")</f>
        <v>4.810144927536232</v>
      </c>
    </row>
    <row r="238" spans="1:4" ht="12" customHeight="1" x14ac:dyDescent="0.2">
      <c r="A238" s="185" t="s">
        <v>473</v>
      </c>
      <c r="B238" s="186">
        <v>45896</v>
      </c>
      <c r="C238" s="196">
        <v>3101.4</v>
      </c>
      <c r="D238" s="188">
        <f>IFERROR(C238/VLOOKUP(A238,Usinas!$A:$B,2,FALSE()),"")</f>
        <v>4.994202898550725</v>
      </c>
    </row>
    <row r="239" spans="1:4" ht="12" customHeight="1" x14ac:dyDescent="0.2">
      <c r="A239" s="185" t="s">
        <v>473</v>
      </c>
      <c r="B239" s="186">
        <v>45897</v>
      </c>
      <c r="C239" s="196">
        <v>1720.9</v>
      </c>
      <c r="D239" s="188">
        <f>IFERROR(C239/VLOOKUP(A239,Usinas!$A:$B,2,FALSE()),"")</f>
        <v>2.7711755233494366</v>
      </c>
    </row>
    <row r="240" spans="1:4" ht="12" customHeight="1" x14ac:dyDescent="0.2">
      <c r="A240" s="185" t="s">
        <v>473</v>
      </c>
      <c r="B240" s="186">
        <v>45898</v>
      </c>
      <c r="C240" s="196">
        <v>3089.2</v>
      </c>
      <c r="D240" s="188">
        <f>IFERROR(C240/VLOOKUP(A240,Usinas!$A:$B,2,FALSE()),"")</f>
        <v>4.9745571658615138</v>
      </c>
    </row>
    <row r="241" spans="1:4" ht="12" customHeight="1" x14ac:dyDescent="0.2">
      <c r="A241" s="185" t="s">
        <v>473</v>
      </c>
      <c r="B241" s="186">
        <v>45899</v>
      </c>
      <c r="C241" s="196">
        <v>3260</v>
      </c>
      <c r="D241" s="188">
        <f>IFERROR(C241/VLOOKUP(A241,Usinas!$A:$B,2,FALSE()),"")</f>
        <v>5.2495974235104672</v>
      </c>
    </row>
    <row r="242" spans="1:4" ht="12" customHeight="1" x14ac:dyDescent="0.2">
      <c r="A242" s="185" t="s">
        <v>473</v>
      </c>
      <c r="B242" s="186">
        <v>45900</v>
      </c>
      <c r="C242" s="196">
        <v>3010.9</v>
      </c>
      <c r="D242" s="188">
        <f>IFERROR(C242/VLOOKUP(A242,Usinas!$A:$B,2,FALSE()),"")</f>
        <v>4.8484702093397747</v>
      </c>
    </row>
    <row r="243" spans="1:4" ht="12" customHeight="1" x14ac:dyDescent="0.2">
      <c r="A243" s="185" t="s">
        <v>473</v>
      </c>
      <c r="B243" s="186">
        <v>45901</v>
      </c>
      <c r="C243" s="196">
        <v>1871.2</v>
      </c>
      <c r="D243" s="188">
        <f>IFERROR(C243/VLOOKUP(A243,Usinas!$A:$B,2,FALSE()),"")</f>
        <v>3.013204508856683</v>
      </c>
    </row>
    <row r="244" spans="1:4" ht="12" customHeight="1" x14ac:dyDescent="0.2">
      <c r="A244" s="185" t="s">
        <v>473</v>
      </c>
      <c r="B244" s="186">
        <v>45902</v>
      </c>
      <c r="C244" s="196">
        <v>3026.5</v>
      </c>
      <c r="D244" s="188">
        <f>IFERROR(C244/VLOOKUP(A244,Usinas!$A:$B,2,FALSE()),"")</f>
        <v>4.8735909822866343</v>
      </c>
    </row>
    <row r="245" spans="1:4" ht="12" customHeight="1" x14ac:dyDescent="0.2">
      <c r="A245" s="185" t="s">
        <v>473</v>
      </c>
      <c r="B245" s="186">
        <v>45903</v>
      </c>
      <c r="C245" s="196">
        <v>2984.5</v>
      </c>
      <c r="D245" s="188">
        <f>IFERROR(C245/VLOOKUP(A245,Usinas!$A:$B,2,FALSE()),"")</f>
        <v>4.8059581320450881</v>
      </c>
    </row>
    <row r="246" spans="1:4" ht="12" customHeight="1" x14ac:dyDescent="0.2">
      <c r="A246" s="185" t="s">
        <v>473</v>
      </c>
      <c r="B246" s="186">
        <v>45904</v>
      </c>
      <c r="C246" s="196">
        <v>2380.1</v>
      </c>
      <c r="D246" s="188">
        <f>IFERROR(C246/VLOOKUP(A246,Usinas!$A:$B,2,FALSE()),"")</f>
        <v>3.8326892109500803</v>
      </c>
    </row>
    <row r="247" spans="1:4" ht="12" customHeight="1" x14ac:dyDescent="0.2">
      <c r="A247" s="185" t="s">
        <v>473</v>
      </c>
      <c r="B247" s="186">
        <v>45905</v>
      </c>
      <c r="C247" s="196">
        <v>2324.3000000000002</v>
      </c>
      <c r="D247" s="188">
        <f>IFERROR(C247/VLOOKUP(A247,Usinas!$A:$B,2,FALSE()),"")</f>
        <v>3.7428341384863129</v>
      </c>
    </row>
    <row r="248" spans="1:4" ht="12" customHeight="1" x14ac:dyDescent="0.2">
      <c r="A248" s="185" t="s">
        <v>473</v>
      </c>
      <c r="B248" s="186">
        <v>45906</v>
      </c>
      <c r="C248" s="196">
        <v>1982.5</v>
      </c>
      <c r="D248" s="188">
        <f>IFERROR(C248/VLOOKUP(A248,Usinas!$A:$B,2,FALSE()),"")</f>
        <v>3.1924315619967794</v>
      </c>
    </row>
    <row r="249" spans="1:4" ht="12" customHeight="1" x14ac:dyDescent="0.2">
      <c r="A249" s="185" t="s">
        <v>473</v>
      </c>
      <c r="B249" s="186">
        <v>45907</v>
      </c>
      <c r="C249" s="196">
        <v>2114.8000000000002</v>
      </c>
      <c r="D249" s="188">
        <f>IFERROR(C249/VLOOKUP(A249,Usinas!$A:$B,2,FALSE()),"")</f>
        <v>3.4054750402576492</v>
      </c>
    </row>
    <row r="250" spans="1:4" ht="12" customHeight="1" x14ac:dyDescent="0.2">
      <c r="A250" s="185" t="s">
        <v>473</v>
      </c>
      <c r="B250" s="186">
        <v>45908</v>
      </c>
      <c r="C250" s="196">
        <v>2744.6</v>
      </c>
      <c r="D250" s="188">
        <f>IFERROR(C250/VLOOKUP(A250,Usinas!$A:$B,2,FALSE()),"")</f>
        <v>4.4196457326892107</v>
      </c>
    </row>
    <row r="251" spans="1:4" ht="12" customHeight="1" x14ac:dyDescent="0.2">
      <c r="A251" s="185" t="s">
        <v>473</v>
      </c>
      <c r="B251" s="186">
        <v>45909</v>
      </c>
      <c r="C251" s="196">
        <v>3323.2</v>
      </c>
      <c r="D251" s="188">
        <f>IFERROR(C251/VLOOKUP(A251,Usinas!$A:$B,2,FALSE()),"")</f>
        <v>5.3513687600644122</v>
      </c>
    </row>
    <row r="252" spans="1:4" ht="12" customHeight="1" x14ac:dyDescent="0.2">
      <c r="A252" s="185" t="s">
        <v>473</v>
      </c>
      <c r="B252" s="186">
        <v>45910</v>
      </c>
      <c r="C252" s="196">
        <v>3297.5</v>
      </c>
      <c r="D252" s="188">
        <f>IFERROR(C252/VLOOKUP(A252,Usinas!$A:$B,2,FALSE()),"")</f>
        <v>5.3099838969404187</v>
      </c>
    </row>
    <row r="253" spans="1:4" ht="12" customHeight="1" x14ac:dyDescent="0.2">
      <c r="A253" s="185" t="s">
        <v>473</v>
      </c>
      <c r="B253" s="186">
        <v>45911</v>
      </c>
      <c r="C253" s="196">
        <v>2730.5</v>
      </c>
      <c r="D253" s="188">
        <f>IFERROR(C253/VLOOKUP(A253,Usinas!$A:$B,2,FALSE()),"")</f>
        <v>4.3969404186795495</v>
      </c>
    </row>
    <row r="254" spans="1:4" ht="12" customHeight="1" x14ac:dyDescent="0.2">
      <c r="A254" s="185" t="s">
        <v>473</v>
      </c>
      <c r="B254" s="186">
        <v>45912</v>
      </c>
      <c r="C254" s="196">
        <v>2027.6</v>
      </c>
      <c r="D254" s="188">
        <f>IFERROR(C254/VLOOKUP(A254,Usinas!$A:$B,2,FALSE()),"")</f>
        <v>3.2650563607085346</v>
      </c>
    </row>
    <row r="255" spans="1:4" ht="12" customHeight="1" x14ac:dyDescent="0.2">
      <c r="A255" s="185" t="s">
        <v>473</v>
      </c>
      <c r="B255" s="186">
        <v>45913</v>
      </c>
      <c r="C255" s="196">
        <v>2810.8</v>
      </c>
      <c r="D255" s="188">
        <f>IFERROR(C255/VLOOKUP(A255,Usinas!$A:$B,2,FALSE()),"")</f>
        <v>4.5262479871175527</v>
      </c>
    </row>
    <row r="256" spans="1:4" ht="12" customHeight="1" x14ac:dyDescent="0.2">
      <c r="A256" s="185" t="s">
        <v>473</v>
      </c>
      <c r="B256" s="186">
        <v>45914</v>
      </c>
      <c r="C256" s="196">
        <v>2517.4</v>
      </c>
      <c r="D256" s="188">
        <f>IFERROR(C256/VLOOKUP(A256,Usinas!$A:$B,2,FALSE()),"")</f>
        <v>4.05378421900161</v>
      </c>
    </row>
    <row r="257" spans="1:4" ht="12" customHeight="1" x14ac:dyDescent="0.2">
      <c r="A257" s="185" t="s">
        <v>473</v>
      </c>
      <c r="B257" s="186">
        <v>45915</v>
      </c>
      <c r="C257" s="196">
        <v>3082</v>
      </c>
      <c r="D257" s="188">
        <f>IFERROR(C257/VLOOKUP(A257,Usinas!$A:$B,2,FALSE()),"")</f>
        <v>4.9629629629629628</v>
      </c>
    </row>
    <row r="258" spans="1:4" ht="12" customHeight="1" x14ac:dyDescent="0.2">
      <c r="A258" s="185" t="s">
        <v>473</v>
      </c>
      <c r="B258" s="186">
        <v>45916</v>
      </c>
      <c r="C258" s="196">
        <v>2041.7</v>
      </c>
      <c r="D258" s="188">
        <f>IFERROR(C258/VLOOKUP(A258,Usinas!$A:$B,2,FALSE()),"")</f>
        <v>3.2877616747181966</v>
      </c>
    </row>
    <row r="259" spans="1:4" ht="12" customHeight="1" x14ac:dyDescent="0.2">
      <c r="A259" s="185" t="s">
        <v>473</v>
      </c>
      <c r="B259" s="186">
        <v>45917</v>
      </c>
      <c r="C259" s="196">
        <v>3212.8</v>
      </c>
      <c r="D259" s="188">
        <f>IFERROR(C259/VLOOKUP(A259,Usinas!$A:$B,2,FALSE()),"")</f>
        <v>5.1735909822866351</v>
      </c>
    </row>
    <row r="260" spans="1:4" ht="12" customHeight="1" x14ac:dyDescent="0.2">
      <c r="A260" s="185" t="s">
        <v>473</v>
      </c>
      <c r="B260" s="186">
        <v>45918</v>
      </c>
      <c r="C260" s="196">
        <v>3288.2</v>
      </c>
      <c r="D260" s="188">
        <f>IFERROR(C260/VLOOKUP(A260,Usinas!$A:$B,2,FALSE()),"")</f>
        <v>5.2950080515297904</v>
      </c>
    </row>
    <row r="261" spans="1:4" ht="12" customHeight="1" x14ac:dyDescent="0.2">
      <c r="A261" s="185" t="s">
        <v>473</v>
      </c>
      <c r="B261" s="186">
        <v>45919</v>
      </c>
      <c r="C261" s="196">
        <v>3082.8</v>
      </c>
      <c r="D261" s="188">
        <f>IFERROR(C261/VLOOKUP(A261,Usinas!$A:$B,2,FALSE()),"")</f>
        <v>4.9642512077294692</v>
      </c>
    </row>
    <row r="262" spans="1:4" ht="12" customHeight="1" x14ac:dyDescent="0.2">
      <c r="A262" s="185" t="s">
        <v>473</v>
      </c>
      <c r="B262" s="186">
        <v>45920</v>
      </c>
      <c r="C262" s="196">
        <v>2623.4</v>
      </c>
      <c r="D262" s="188">
        <f>IFERROR(C262/VLOOKUP(A262,Usinas!$A:$B,2,FALSE()),"")</f>
        <v>4.2244766505636075</v>
      </c>
    </row>
    <row r="263" spans="1:4" ht="12" customHeight="1" x14ac:dyDescent="0.2">
      <c r="A263" s="185" t="s">
        <v>473</v>
      </c>
      <c r="B263" s="186">
        <v>45921</v>
      </c>
      <c r="C263" s="196">
        <v>2682.2</v>
      </c>
      <c r="D263" s="188">
        <f>IFERROR(C263/VLOOKUP(A263,Usinas!$A:$B,2,FALSE()),"")</f>
        <v>4.3191626409017712</v>
      </c>
    </row>
    <row r="264" spans="1:4" ht="12" customHeight="1" x14ac:dyDescent="0.2">
      <c r="A264" s="185" t="s">
        <v>473</v>
      </c>
      <c r="B264" s="186">
        <v>45922</v>
      </c>
      <c r="C264" s="196">
        <v>737.5</v>
      </c>
      <c r="D264" s="188">
        <f>IFERROR(C264/VLOOKUP(A264,Usinas!$A:$B,2,FALSE()),"")</f>
        <v>1.1876006441223832</v>
      </c>
    </row>
    <row r="265" spans="1:4" ht="12" customHeight="1" x14ac:dyDescent="0.2">
      <c r="A265" s="185" t="s">
        <v>473</v>
      </c>
      <c r="B265" s="186">
        <v>45923</v>
      </c>
      <c r="C265" s="196">
        <v>2651</v>
      </c>
      <c r="D265" s="188">
        <f>IFERROR(C265/VLOOKUP(A265,Usinas!$A:$B,2,FALSE()),"")</f>
        <v>4.2689210950080518</v>
      </c>
    </row>
    <row r="266" spans="1:4" ht="12" customHeight="1" x14ac:dyDescent="0.2">
      <c r="A266" s="185" t="s">
        <v>473</v>
      </c>
      <c r="B266" s="186">
        <v>45924</v>
      </c>
      <c r="C266" s="196">
        <v>3327.8</v>
      </c>
      <c r="D266" s="188">
        <f>IFERROR(C266/VLOOKUP(A266,Usinas!$A:$B,2,FALSE()),"")</f>
        <v>5.3587761674718202</v>
      </c>
    </row>
    <row r="267" spans="1:4" ht="12" customHeight="1" x14ac:dyDescent="0.2">
      <c r="A267" s="185" t="s">
        <v>473</v>
      </c>
      <c r="B267" s="186">
        <v>45925</v>
      </c>
      <c r="C267" s="196">
        <v>2736.8</v>
      </c>
      <c r="D267" s="188">
        <f>IFERROR(C267/VLOOKUP(A267,Usinas!$A:$B,2,FALSE()),"")</f>
        <v>4.4070853462157809</v>
      </c>
    </row>
    <row r="268" spans="1:4" ht="12" customHeight="1" x14ac:dyDescent="0.2">
      <c r="A268" s="185" t="s">
        <v>473</v>
      </c>
      <c r="B268" s="186">
        <v>45926</v>
      </c>
      <c r="C268" s="196">
        <v>2929.8</v>
      </c>
      <c r="D268" s="188">
        <f>IFERROR(C268/VLOOKUP(A268,Usinas!$A:$B,2,FALSE()),"")</f>
        <v>4.717874396135266</v>
      </c>
    </row>
    <row r="269" spans="1:4" ht="12" customHeight="1" x14ac:dyDescent="0.2">
      <c r="A269" s="185" t="s">
        <v>473</v>
      </c>
      <c r="B269" s="186">
        <v>45927</v>
      </c>
      <c r="C269" s="196">
        <v>3156.5</v>
      </c>
      <c r="D269" s="188">
        <f>IFERROR(C269/VLOOKUP(A269,Usinas!$A:$B,2,FALSE()),"")</f>
        <v>5.0829307568438002</v>
      </c>
    </row>
    <row r="270" spans="1:4" ht="12" customHeight="1" x14ac:dyDescent="0.2">
      <c r="A270" s="185" t="s">
        <v>473</v>
      </c>
      <c r="B270" s="186">
        <v>45928</v>
      </c>
      <c r="C270" s="196">
        <v>1637.3</v>
      </c>
      <c r="D270" s="188">
        <f>IFERROR(C270/VLOOKUP(A270,Usinas!$A:$B,2,FALSE()),"")</f>
        <v>2.6365539452495974</v>
      </c>
    </row>
    <row r="271" spans="1:4" ht="12" customHeight="1" x14ac:dyDescent="0.2">
      <c r="A271" s="185" t="s">
        <v>473</v>
      </c>
      <c r="B271" s="186">
        <v>45929</v>
      </c>
      <c r="C271" s="196">
        <v>3074.6</v>
      </c>
      <c r="D271" s="188">
        <f>IFERROR(C271/VLOOKUP(A271,Usinas!$A:$B,2,FALSE()),"")</f>
        <v>4.9510466988727853</v>
      </c>
    </row>
    <row r="272" spans="1:4" ht="12" customHeight="1" x14ac:dyDescent="0.2">
      <c r="A272" s="185" t="s">
        <v>473</v>
      </c>
      <c r="B272" s="186">
        <v>45930</v>
      </c>
      <c r="C272" s="196">
        <v>1803.1</v>
      </c>
      <c r="D272" s="188">
        <f>IFERROR(C272/VLOOKUP(A272,Usinas!$A:$B,2,FALSE()),"")</f>
        <v>2.9035426731078902</v>
      </c>
    </row>
    <row r="273" spans="1:4" ht="12" customHeight="1" x14ac:dyDescent="0.2">
      <c r="A273" s="185" t="s">
        <v>473</v>
      </c>
      <c r="B273" s="186">
        <v>45931</v>
      </c>
      <c r="C273" s="196">
        <v>773.1</v>
      </c>
      <c r="D273" s="188">
        <f>IFERROR(C273/VLOOKUP(A273,Usinas!$A:$B,2,FALSE()),"")</f>
        <v>1.2449275362318841</v>
      </c>
    </row>
    <row r="274" spans="1:4" ht="12" customHeight="1" x14ac:dyDescent="0.2">
      <c r="A274" s="185" t="s">
        <v>473</v>
      </c>
      <c r="B274" s="186">
        <v>45932</v>
      </c>
      <c r="C274" s="196">
        <v>1426.4</v>
      </c>
      <c r="D274" s="188">
        <f>IFERROR(C274/VLOOKUP(A274,Usinas!$A:$B,2,FALSE()),"")</f>
        <v>2.2969404186795495</v>
      </c>
    </row>
    <row r="275" spans="1:4" ht="12" customHeight="1" x14ac:dyDescent="0.2">
      <c r="A275" s="185" t="s">
        <v>473</v>
      </c>
      <c r="B275" s="186">
        <v>45933</v>
      </c>
      <c r="C275" s="196">
        <v>1038.0999999999999</v>
      </c>
      <c r="D275" s="188">
        <f>IFERROR(C275/VLOOKUP(A275,Usinas!$A:$B,2,FALSE()),"")</f>
        <v>1.671658615136876</v>
      </c>
    </row>
    <row r="276" spans="1:4" ht="12" customHeight="1" x14ac:dyDescent="0.2">
      <c r="A276" s="185" t="s">
        <v>473</v>
      </c>
      <c r="B276" s="186">
        <v>45934</v>
      </c>
      <c r="C276" s="196">
        <v>1487.5</v>
      </c>
      <c r="D276" s="188">
        <f>IFERROR(C276/VLOOKUP(A276,Usinas!$A:$B,2,FALSE()),"")</f>
        <v>2.395330112721417</v>
      </c>
    </row>
    <row r="277" spans="1:4" ht="12" customHeight="1" x14ac:dyDescent="0.2">
      <c r="A277" s="185" t="s">
        <v>473</v>
      </c>
      <c r="B277" s="186">
        <v>45935</v>
      </c>
      <c r="C277" s="196">
        <v>1802.7</v>
      </c>
      <c r="D277" s="188">
        <f>IFERROR(C277/VLOOKUP(A277,Usinas!$A:$B,2,FALSE()),"")</f>
        <v>2.9028985507246379</v>
      </c>
    </row>
    <row r="278" spans="1:4" ht="12" customHeight="1" x14ac:dyDescent="0.2">
      <c r="A278" s="185" t="s">
        <v>473</v>
      </c>
      <c r="B278" s="186">
        <v>45936</v>
      </c>
      <c r="C278" s="196">
        <v>1140.7</v>
      </c>
      <c r="D278" s="188">
        <f>IFERROR(C278/VLOOKUP(A278,Usinas!$A:$B,2,FALSE()),"")</f>
        <v>1.836876006441224</v>
      </c>
    </row>
    <row r="279" spans="1:4" ht="12" customHeight="1" x14ac:dyDescent="0.2">
      <c r="A279" s="185" t="s">
        <v>473</v>
      </c>
      <c r="B279" s="186">
        <v>45937</v>
      </c>
      <c r="C279" s="196">
        <v>1470.4</v>
      </c>
      <c r="D279" s="188">
        <f>IFERROR(C279/VLOOKUP(A279,Usinas!$A:$B,2,FALSE()),"")</f>
        <v>2.3677938808373593</v>
      </c>
    </row>
    <row r="280" spans="1:4" ht="12" customHeight="1" x14ac:dyDescent="0.2">
      <c r="A280" s="185" t="s">
        <v>473</v>
      </c>
      <c r="B280" s="186">
        <v>45938</v>
      </c>
      <c r="C280" s="196">
        <v>1378</v>
      </c>
      <c r="D280" s="188">
        <f>IFERROR(C280/VLOOKUP(A280,Usinas!$A:$B,2,FALSE()),"")</f>
        <v>2.2190016103059582</v>
      </c>
    </row>
    <row r="281" spans="1:4" ht="12" customHeight="1" x14ac:dyDescent="0.2">
      <c r="A281" s="185" t="s">
        <v>473</v>
      </c>
      <c r="B281" s="186">
        <v>45939</v>
      </c>
      <c r="C281" s="196">
        <v>322.5</v>
      </c>
      <c r="D281" s="188">
        <f>IFERROR(C281/VLOOKUP(A281,Usinas!$A:$B,2,FALSE()),"")</f>
        <v>0.51932367149758452</v>
      </c>
    </row>
    <row r="282" spans="1:4" ht="12" customHeight="1" x14ac:dyDescent="0.2">
      <c r="A282" s="185" t="s">
        <v>473</v>
      </c>
      <c r="B282" s="186">
        <v>45940</v>
      </c>
      <c r="C282" s="196">
        <v>2905.3</v>
      </c>
      <c r="D282" s="188">
        <f>IFERROR(C282/VLOOKUP(A282,Usinas!$A:$B,2,FALSE()),"")</f>
        <v>4.6784219001610312</v>
      </c>
    </row>
    <row r="283" spans="1:4" ht="12" customHeight="1" x14ac:dyDescent="0.2">
      <c r="A283" s="185" t="s">
        <v>473</v>
      </c>
      <c r="B283" s="186">
        <v>45941</v>
      </c>
      <c r="C283" s="196">
        <v>3468</v>
      </c>
      <c r="D283" s="188">
        <f>IFERROR(C283/VLOOKUP(A283,Usinas!$A:$B,2,FALSE()),"")</f>
        <v>5.5845410628019323</v>
      </c>
    </row>
    <row r="284" spans="1:4" ht="12" customHeight="1" x14ac:dyDescent="0.2">
      <c r="A284" s="185" t="s">
        <v>473</v>
      </c>
      <c r="B284" s="186">
        <v>45942</v>
      </c>
      <c r="C284" s="196">
        <v>1332.7</v>
      </c>
      <c r="D284" s="188">
        <f>IFERROR(C284/VLOOKUP(A284,Usinas!$A:$B,2,FALSE()),"")</f>
        <v>2.1460547504025764</v>
      </c>
    </row>
    <row r="285" spans="1:4" ht="12" customHeight="1" x14ac:dyDescent="0.2">
      <c r="A285" s="185" t="s">
        <v>473</v>
      </c>
      <c r="B285" s="186">
        <v>45943</v>
      </c>
      <c r="C285" s="196">
        <v>1289.7</v>
      </c>
      <c r="D285" s="188">
        <f>IFERROR(C285/VLOOKUP(A285,Usinas!$A:$B,2,FALSE()),"")</f>
        <v>2.0768115942028986</v>
      </c>
    </row>
    <row r="286" spans="1:4" ht="12" customHeight="1" x14ac:dyDescent="0.2">
      <c r="A286" s="185" t="s">
        <v>473</v>
      </c>
      <c r="B286" s="186">
        <v>45944</v>
      </c>
      <c r="C286" s="196">
        <v>3882.4</v>
      </c>
      <c r="D286" s="188">
        <f>IFERROR(C286/VLOOKUP(A286,Usinas!$A:$B,2,FALSE()),"")</f>
        <v>6.2518518518518524</v>
      </c>
    </row>
    <row r="287" spans="1:4" ht="12" customHeight="1" x14ac:dyDescent="0.2">
      <c r="A287" s="185" t="s">
        <v>473</v>
      </c>
      <c r="B287" s="186">
        <v>45945</v>
      </c>
      <c r="C287" s="196">
        <v>3545.4</v>
      </c>
      <c r="D287" s="188">
        <f>IFERROR(C287/VLOOKUP(A287,Usinas!$A:$B,2,FALSE()),"")</f>
        <v>5.7091787439613526</v>
      </c>
    </row>
    <row r="288" spans="1:4" ht="12" customHeight="1" x14ac:dyDescent="0.2">
      <c r="A288" s="185" t="s">
        <v>473</v>
      </c>
      <c r="B288" s="186">
        <v>45946</v>
      </c>
      <c r="C288" s="196">
        <v>3286</v>
      </c>
      <c r="D288" s="188">
        <f>IFERROR(C288/VLOOKUP(A288,Usinas!$A:$B,2,FALSE()),"")</f>
        <v>5.2914653784219006</v>
      </c>
    </row>
    <row r="289" spans="1:4" ht="12" customHeight="1" x14ac:dyDescent="0.2">
      <c r="A289" s="185" t="s">
        <v>473</v>
      </c>
      <c r="B289" s="186">
        <v>45947</v>
      </c>
      <c r="C289" s="196">
        <v>2885</v>
      </c>
      <c r="D289" s="188">
        <f>IFERROR(C289/VLOOKUP(A289,Usinas!$A:$B,2,FALSE()),"")</f>
        <v>4.6457326892109503</v>
      </c>
    </row>
    <row r="290" spans="1:4" ht="12" customHeight="1" x14ac:dyDescent="0.2">
      <c r="A290" s="185" t="s">
        <v>473</v>
      </c>
      <c r="B290" s="186">
        <v>45948</v>
      </c>
      <c r="C290" s="196">
        <v>1024.4000000000001</v>
      </c>
      <c r="D290" s="188">
        <f>IFERROR(C290/VLOOKUP(A290,Usinas!$A:$B,2,FALSE()),"")</f>
        <v>1.6495974235104671</v>
      </c>
    </row>
    <row r="291" spans="1:4" ht="12" customHeight="1" x14ac:dyDescent="0.2">
      <c r="A291" s="185" t="s">
        <v>473</v>
      </c>
      <c r="B291" s="186">
        <v>45949</v>
      </c>
      <c r="C291" s="196">
        <v>3202.6</v>
      </c>
      <c r="D291" s="188">
        <f>IFERROR(C291/VLOOKUP(A291,Usinas!$A:$B,2,FALSE()),"")</f>
        <v>5.1571658615136871</v>
      </c>
    </row>
    <row r="292" spans="1:4" ht="12" customHeight="1" x14ac:dyDescent="0.2">
      <c r="A292" s="185" t="s">
        <v>473</v>
      </c>
      <c r="B292" s="186">
        <v>45950</v>
      </c>
      <c r="C292" s="196">
        <v>4096.6000000000004</v>
      </c>
      <c r="D292" s="188">
        <f>IFERROR(C292/VLOOKUP(A292,Usinas!$A:$B,2,FALSE()),"")</f>
        <v>6.5967793880837364</v>
      </c>
    </row>
    <row r="293" spans="1:4" ht="12" customHeight="1" x14ac:dyDescent="0.2">
      <c r="A293" s="185" t="s">
        <v>473</v>
      </c>
      <c r="B293" s="186">
        <v>45951</v>
      </c>
      <c r="C293" s="196">
        <v>4051.5</v>
      </c>
      <c r="D293" s="188">
        <f>IFERROR(C293/VLOOKUP(A293,Usinas!$A:$B,2,FALSE()),"")</f>
        <v>6.5241545893719808</v>
      </c>
    </row>
    <row r="294" spans="1:4" ht="12" customHeight="1" x14ac:dyDescent="0.2">
      <c r="A294" s="185" t="s">
        <v>473</v>
      </c>
      <c r="B294" s="186">
        <v>45952</v>
      </c>
      <c r="C294" s="196">
        <v>4002.5</v>
      </c>
      <c r="D294" s="188">
        <f>IFERROR(C294/VLOOKUP(A294,Usinas!$A:$B,2,FALSE()),"")</f>
        <v>6.4452495974235102</v>
      </c>
    </row>
    <row r="295" spans="1:4" ht="12" customHeight="1" x14ac:dyDescent="0.2">
      <c r="A295" s="185" t="s">
        <v>473</v>
      </c>
      <c r="B295" s="186">
        <v>45953</v>
      </c>
      <c r="C295" s="196">
        <v>3444.6</v>
      </c>
      <c r="D295" s="188">
        <f>IFERROR(C295/VLOOKUP(A295,Usinas!$A:$B,2,FALSE()),"")</f>
        <v>5.5468599033816428</v>
      </c>
    </row>
    <row r="296" spans="1:4" ht="12" customHeight="1" x14ac:dyDescent="0.2">
      <c r="A296" s="185" t="s">
        <v>473</v>
      </c>
      <c r="B296" s="186">
        <v>45954</v>
      </c>
      <c r="C296" s="196">
        <v>3893.8</v>
      </c>
      <c r="D296" s="188">
        <f>IFERROR(C296/VLOOKUP(A296,Usinas!$A:$B,2,FALSE()),"")</f>
        <v>6.2702093397745573</v>
      </c>
    </row>
    <row r="297" spans="1:4" ht="12" customHeight="1" x14ac:dyDescent="0.2">
      <c r="A297" s="185" t="s">
        <v>473</v>
      </c>
      <c r="B297" s="186">
        <v>45955</v>
      </c>
      <c r="C297" s="196">
        <v>3396</v>
      </c>
      <c r="D297" s="188">
        <f>IFERROR(C297/VLOOKUP(A297,Usinas!$A:$B,2,FALSE()),"")</f>
        <v>5.4685990338164254</v>
      </c>
    </row>
    <row r="298" spans="1:4" ht="12" customHeight="1" x14ac:dyDescent="0.2">
      <c r="A298" s="185" t="s">
        <v>473</v>
      </c>
      <c r="B298" s="186">
        <v>45956</v>
      </c>
      <c r="C298" s="196">
        <v>5.0999999999999996</v>
      </c>
      <c r="D298" s="188">
        <f>IFERROR(C298/VLOOKUP(A298,Usinas!$A:$B,2,FALSE()),"")</f>
        <v>8.2125603864734286E-3</v>
      </c>
    </row>
    <row r="299" spans="1:4" ht="12" customHeight="1" x14ac:dyDescent="0.2">
      <c r="A299" s="185" t="s">
        <v>473</v>
      </c>
      <c r="B299" s="186">
        <v>45957</v>
      </c>
      <c r="C299" s="196">
        <v>2427.1999999999998</v>
      </c>
      <c r="D299" s="188">
        <f>IFERROR(C299/VLOOKUP(A299,Usinas!$A:$B,2,FALSE()),"")</f>
        <v>3.9085346215780996</v>
      </c>
    </row>
    <row r="300" spans="1:4" ht="12" customHeight="1" x14ac:dyDescent="0.2">
      <c r="A300" s="185" t="s">
        <v>473</v>
      </c>
      <c r="B300" s="186">
        <v>45958</v>
      </c>
      <c r="C300" s="196">
        <v>2273.1</v>
      </c>
      <c r="D300" s="188">
        <f>IFERROR(C300/VLOOKUP(A300,Usinas!$A:$B,2,FALSE()),"")</f>
        <v>3.6603864734299516</v>
      </c>
    </row>
    <row r="301" spans="1:4" ht="12" customHeight="1" x14ac:dyDescent="0.2">
      <c r="A301" s="185" t="s">
        <v>473</v>
      </c>
      <c r="B301" s="186">
        <v>45959</v>
      </c>
      <c r="C301" s="196">
        <v>1582.7</v>
      </c>
      <c r="D301" s="188">
        <f>IFERROR(C301/VLOOKUP(A301,Usinas!$A:$B,2,FALSE()),"")</f>
        <v>2.5486312399355877</v>
      </c>
    </row>
    <row r="302" spans="1:4" ht="12" customHeight="1" x14ac:dyDescent="0.2">
      <c r="A302" s="185" t="s">
        <v>473</v>
      </c>
      <c r="B302" s="186">
        <v>45960</v>
      </c>
      <c r="C302" s="196">
        <v>2863.7</v>
      </c>
      <c r="D302" s="188">
        <f>IFERROR(C302/VLOOKUP(A302,Usinas!$A:$B,2,FALSE()),"")</f>
        <v>4.6114331723027373</v>
      </c>
    </row>
    <row r="303" spans="1:4" ht="12" customHeight="1" x14ac:dyDescent="0.2">
      <c r="A303" s="185" t="s">
        <v>473</v>
      </c>
      <c r="B303" s="186">
        <v>45961</v>
      </c>
      <c r="C303" s="196">
        <v>3462.4</v>
      </c>
      <c r="D303" s="188">
        <f>IFERROR(C303/VLOOKUP(A303,Usinas!$A:$B,2,FALSE()),"")</f>
        <v>5.5755233494363932</v>
      </c>
    </row>
    <row r="304" spans="1:4" ht="12" customHeight="1" x14ac:dyDescent="0.2">
      <c r="A304" s="185" t="s">
        <v>473</v>
      </c>
      <c r="B304" s="186">
        <v>45962</v>
      </c>
      <c r="C304" s="196">
        <v>2620.3000000000002</v>
      </c>
      <c r="D304" s="188">
        <f>IFERROR(C304/VLOOKUP(A304,Usinas!$A:$B,2,FALSE()),"")</f>
        <v>4.2194847020933981</v>
      </c>
    </row>
    <row r="305" spans="1:4" ht="12" customHeight="1" x14ac:dyDescent="0.2">
      <c r="A305" s="185" t="s">
        <v>473</v>
      </c>
      <c r="B305" s="186">
        <v>45963</v>
      </c>
      <c r="C305" s="196">
        <v>1333.4</v>
      </c>
      <c r="D305" s="188">
        <f>IFERROR(C305/VLOOKUP(A305,Usinas!$A:$B,2,FALSE()),"")</f>
        <v>2.147181964573269</v>
      </c>
    </row>
    <row r="306" spans="1:4" ht="12" customHeight="1" x14ac:dyDescent="0.2">
      <c r="A306" s="185" t="s">
        <v>473</v>
      </c>
      <c r="B306" s="186">
        <v>45964</v>
      </c>
      <c r="C306" s="196">
        <v>2872.2</v>
      </c>
      <c r="D306" s="188">
        <f>IFERROR(C306/VLOOKUP(A306,Usinas!$A:$B,2,FALSE()),"")</f>
        <v>4.6251207729468593</v>
      </c>
    </row>
    <row r="307" spans="1:4" ht="12" customHeight="1" x14ac:dyDescent="0.2">
      <c r="A307" s="185" t="s">
        <v>473</v>
      </c>
      <c r="B307" s="186">
        <v>45965</v>
      </c>
      <c r="C307" s="196">
        <v>3228.1</v>
      </c>
      <c r="D307" s="188">
        <f>IFERROR(C307/VLOOKUP(A307,Usinas!$A:$B,2,FALSE()),"")</f>
        <v>5.1982286634460548</v>
      </c>
    </row>
    <row r="308" spans="1:4" ht="12" customHeight="1" x14ac:dyDescent="0.2">
      <c r="A308" s="185" t="s">
        <v>473</v>
      </c>
      <c r="B308" s="186">
        <v>45966</v>
      </c>
      <c r="C308" s="196">
        <v>650.5</v>
      </c>
      <c r="D308" s="188">
        <f>IFERROR(C308/VLOOKUP(A308,Usinas!$A:$B,2,FALSE()),"")</f>
        <v>1.0475040257648953</v>
      </c>
    </row>
    <row r="309" spans="1:4" ht="12" customHeight="1" x14ac:dyDescent="0.2">
      <c r="A309" s="185" t="s">
        <v>473</v>
      </c>
      <c r="B309" s="186">
        <v>45967</v>
      </c>
      <c r="C309" s="196">
        <v>3854.6</v>
      </c>
      <c r="D309" s="188">
        <f>IFERROR(C309/VLOOKUP(A309,Usinas!$A:$B,2,FALSE()),"")</f>
        <v>6.2070853462157807</v>
      </c>
    </row>
    <row r="310" spans="1:4" ht="12" customHeight="1" x14ac:dyDescent="0.2">
      <c r="A310" s="185" t="s">
        <v>473</v>
      </c>
      <c r="B310" s="186">
        <v>45968</v>
      </c>
      <c r="C310" s="196">
        <v>3232.3</v>
      </c>
      <c r="D310" s="188">
        <f>IFERROR(C310/VLOOKUP(A310,Usinas!$A:$B,2,FALSE()),"")</f>
        <v>5.2049919484702096</v>
      </c>
    </row>
    <row r="311" spans="1:4" ht="12" customHeight="1" x14ac:dyDescent="0.2">
      <c r="A311" s="185" t="s">
        <v>473</v>
      </c>
      <c r="B311" s="186">
        <v>45969</v>
      </c>
      <c r="C311" s="196">
        <v>2965.8</v>
      </c>
      <c r="D311" s="188">
        <f>IFERROR(C311/VLOOKUP(A311,Usinas!$A:$B,2,FALSE()),"")</f>
        <v>4.7758454106280199</v>
      </c>
    </row>
    <row r="312" spans="1:4" ht="12" customHeight="1" x14ac:dyDescent="0.2">
      <c r="A312" s="185" t="s">
        <v>473</v>
      </c>
      <c r="B312" s="186">
        <v>45970</v>
      </c>
      <c r="C312" s="196">
        <v>3730.2</v>
      </c>
      <c r="D312" s="188">
        <f>IFERROR(C312/VLOOKUP(A312,Usinas!$A:$B,2,FALSE()),"")</f>
        <v>6.0067632850241539</v>
      </c>
    </row>
    <row r="313" spans="1:4" ht="12" customHeight="1" x14ac:dyDescent="0.2">
      <c r="A313" s="185" t="s">
        <v>473</v>
      </c>
      <c r="B313" s="186">
        <v>45971</v>
      </c>
      <c r="C313" s="196">
        <v>4016.9</v>
      </c>
      <c r="D313" s="188">
        <f>IFERROR(C313/VLOOKUP(A313,Usinas!$A:$B,2,FALSE()),"")</f>
        <v>6.4684380032206121</v>
      </c>
    </row>
    <row r="314" spans="1:4" ht="12" customHeight="1" x14ac:dyDescent="0.2">
      <c r="A314" s="185" t="s">
        <v>473</v>
      </c>
      <c r="B314" s="186">
        <v>45972</v>
      </c>
      <c r="C314" s="196">
        <v>3945.3</v>
      </c>
      <c r="D314" s="188">
        <f>IFERROR(C314/VLOOKUP(A314,Usinas!$A:$B,2,FALSE()),"")</f>
        <v>6.3531400966183575</v>
      </c>
    </row>
    <row r="315" spans="1:4" ht="12" customHeight="1" x14ac:dyDescent="0.2">
      <c r="A315" s="185" t="s">
        <v>473</v>
      </c>
      <c r="B315" s="186">
        <v>45973</v>
      </c>
      <c r="C315" s="196">
        <v>3263.5</v>
      </c>
      <c r="D315" s="188">
        <f>IFERROR(C315/VLOOKUP(A315,Usinas!$A:$B,2,FALSE()),"")</f>
        <v>5.2552334943639289</v>
      </c>
    </row>
    <row r="316" spans="1:4" ht="12" customHeight="1" x14ac:dyDescent="0.2">
      <c r="A316" s="185" t="s">
        <v>473</v>
      </c>
      <c r="B316" s="186">
        <v>45974</v>
      </c>
      <c r="C316" s="196">
        <v>1157.8</v>
      </c>
      <c r="D316" s="188">
        <f>IFERROR(C316/VLOOKUP(A316,Usinas!$A:$B,2,FALSE()),"")</f>
        <v>1.8644122383252817</v>
      </c>
    </row>
    <row r="317" spans="1:4" ht="12" customHeight="1" x14ac:dyDescent="0.2">
      <c r="A317" s="185" t="s">
        <v>473</v>
      </c>
      <c r="B317" s="186">
        <v>45975</v>
      </c>
      <c r="C317" s="196">
        <v>2319.9</v>
      </c>
      <c r="D317" s="188">
        <f>IFERROR(C317/VLOOKUP(A317,Usinas!$A:$B,2,FALSE()),"")</f>
        <v>3.7357487922705315</v>
      </c>
    </row>
    <row r="318" spans="1:4" ht="12" customHeight="1" x14ac:dyDescent="0.2">
      <c r="A318" s="185" t="s">
        <v>473</v>
      </c>
      <c r="B318" s="186">
        <v>45976</v>
      </c>
      <c r="C318" s="196">
        <v>849.2</v>
      </c>
      <c r="D318" s="188">
        <f>IFERROR(C318/VLOOKUP(A318,Usinas!$A:$B,2,FALSE()),"")</f>
        <v>1.3674718196457327</v>
      </c>
    </row>
    <row r="319" spans="1:4" ht="12" customHeight="1" x14ac:dyDescent="0.2">
      <c r="A319" s="185" t="s">
        <v>473</v>
      </c>
      <c r="B319" s="186">
        <v>45977</v>
      </c>
      <c r="C319" s="196">
        <v>2325.4</v>
      </c>
      <c r="D319" s="188">
        <f>IFERROR(C319/VLOOKUP(A319,Usinas!$A:$B,2,FALSE()),"")</f>
        <v>3.7446054750402578</v>
      </c>
    </row>
    <row r="320" spans="1:4" ht="12" customHeight="1" x14ac:dyDescent="0.2">
      <c r="A320" s="185" t="s">
        <v>473</v>
      </c>
      <c r="B320" s="186">
        <v>45978</v>
      </c>
      <c r="C320" s="196">
        <v>994.1</v>
      </c>
      <c r="D320" s="188">
        <f>IFERROR(C320/VLOOKUP(A320,Usinas!$A:$B,2,FALSE()),"")</f>
        <v>1.6008051529790661</v>
      </c>
    </row>
    <row r="321" spans="1:4" ht="12" customHeight="1" x14ac:dyDescent="0.2">
      <c r="A321" s="185" t="s">
        <v>473</v>
      </c>
      <c r="B321" s="186">
        <v>45979</v>
      </c>
      <c r="C321" s="196">
        <v>3939.2</v>
      </c>
      <c r="D321" s="188">
        <f>IFERROR(C321/VLOOKUP(A321,Usinas!$A:$B,2,FALSE()),"")</f>
        <v>6.3433172302737519</v>
      </c>
    </row>
    <row r="322" spans="1:4" ht="12" customHeight="1" x14ac:dyDescent="0.2">
      <c r="A322" s="185" t="s">
        <v>473</v>
      </c>
      <c r="B322" s="186">
        <v>45980</v>
      </c>
      <c r="C322" s="196">
        <v>3963.8</v>
      </c>
      <c r="D322" s="188">
        <f>IFERROR(C322/VLOOKUP(A322,Usinas!$A:$B,2,FALSE()),"")</f>
        <v>6.382930756843801</v>
      </c>
    </row>
    <row r="323" spans="1:4" ht="12" customHeight="1" x14ac:dyDescent="0.2">
      <c r="A323" s="185" t="s">
        <v>473</v>
      </c>
      <c r="B323" s="186">
        <v>45981</v>
      </c>
      <c r="C323" s="196">
        <v>3968.8</v>
      </c>
      <c r="D323" s="188">
        <f>IFERROR(C323/VLOOKUP(A323,Usinas!$A:$B,2,FALSE()),"")</f>
        <v>6.3909822866344612</v>
      </c>
    </row>
    <row r="324" spans="1:4" ht="12" customHeight="1" x14ac:dyDescent="0.2">
      <c r="A324" s="185" t="s">
        <v>473</v>
      </c>
      <c r="B324" s="186">
        <v>45982</v>
      </c>
      <c r="C324" s="196">
        <v>3857</v>
      </c>
      <c r="D324" s="188">
        <f>IFERROR(C324/VLOOKUP(A324,Usinas!$A:$B,2,FALSE()),"")</f>
        <v>6.210950080515298</v>
      </c>
    </row>
    <row r="325" spans="1:4" ht="12" customHeight="1" x14ac:dyDescent="0.2">
      <c r="A325" s="185" t="s">
        <v>473</v>
      </c>
      <c r="B325" s="186">
        <v>45983</v>
      </c>
      <c r="C325" s="196">
        <v>3812.3</v>
      </c>
      <c r="D325" s="188">
        <f>IFERROR(C325/VLOOKUP(A325,Usinas!$A:$B,2,FALSE()),"")</f>
        <v>6.1389694041867955</v>
      </c>
    </row>
    <row r="326" spans="1:4" ht="12" customHeight="1" x14ac:dyDescent="0.2">
      <c r="A326" s="185" t="s">
        <v>473</v>
      </c>
      <c r="B326" s="186">
        <v>45984</v>
      </c>
      <c r="C326" s="196">
        <v>2079.6999999999998</v>
      </c>
      <c r="D326" s="188">
        <f>IFERROR(C326/VLOOKUP(A326,Usinas!$A:$B,2,FALSE()),"")</f>
        <v>3.3489533011272137</v>
      </c>
    </row>
    <row r="327" spans="1:4" ht="12" customHeight="1" x14ac:dyDescent="0.2">
      <c r="A327" s="185" t="s">
        <v>473</v>
      </c>
      <c r="B327" s="186">
        <v>45985</v>
      </c>
      <c r="C327" s="196">
        <v>3587.4</v>
      </c>
      <c r="D327" s="188">
        <f>IFERROR(C327/VLOOKUP(A327,Usinas!$A:$B,2,FALSE()),"")</f>
        <v>5.7768115942028988</v>
      </c>
    </row>
    <row r="328" spans="1:4" ht="12" customHeight="1" x14ac:dyDescent="0.2">
      <c r="A328" s="185" t="s">
        <v>473</v>
      </c>
      <c r="B328" s="186">
        <v>45986</v>
      </c>
      <c r="C328" s="196">
        <v>3914.7</v>
      </c>
      <c r="D328" s="188">
        <f>IFERROR(C328/VLOOKUP(A328,Usinas!$A:$B,2,FALSE()),"")</f>
        <v>6.3038647342995162</v>
      </c>
    </row>
    <row r="329" spans="1:4" ht="12" customHeight="1" x14ac:dyDescent="0.2">
      <c r="A329" s="185" t="s">
        <v>473</v>
      </c>
      <c r="B329" s="186">
        <v>45987</v>
      </c>
      <c r="C329" s="196">
        <v>3802.1</v>
      </c>
      <c r="D329" s="188">
        <f>IFERROR(C329/VLOOKUP(A329,Usinas!$A:$B,2,FALSE()),"")</f>
        <v>6.1225442834138484</v>
      </c>
    </row>
    <row r="330" spans="1:4" ht="12" customHeight="1" x14ac:dyDescent="0.2">
      <c r="A330" s="185" t="s">
        <v>473</v>
      </c>
      <c r="B330" s="186">
        <v>45988</v>
      </c>
      <c r="C330" s="196">
        <v>3745.4</v>
      </c>
      <c r="D330" s="188">
        <f>IFERROR(C330/VLOOKUP(A330,Usinas!$A:$B,2,FALSE()),"")</f>
        <v>6.0312399355877622</v>
      </c>
    </row>
    <row r="331" spans="1:4" ht="12" customHeight="1" x14ac:dyDescent="0.2">
      <c r="A331" s="185" t="s">
        <v>473</v>
      </c>
      <c r="B331" s="186">
        <v>45989</v>
      </c>
      <c r="C331" s="196">
        <v>3752</v>
      </c>
      <c r="D331" s="188">
        <f>IFERROR(C331/VLOOKUP(A331,Usinas!$A:$B,2,FALSE()),"")</f>
        <v>6.0418679549114334</v>
      </c>
    </row>
    <row r="332" spans="1:4" ht="12" customHeight="1" x14ac:dyDescent="0.2">
      <c r="A332" s="185" t="s">
        <v>473</v>
      </c>
      <c r="B332" s="186">
        <v>45990</v>
      </c>
      <c r="C332" s="196">
        <v>3695.8</v>
      </c>
      <c r="D332" s="188">
        <f>IFERROR(C332/VLOOKUP(A332,Usinas!$A:$B,2,FALSE()),"")</f>
        <v>5.9513687600644127</v>
      </c>
    </row>
    <row r="333" spans="1:4" ht="12" customHeight="1" x14ac:dyDescent="0.2">
      <c r="A333" s="185" t="s">
        <v>473</v>
      </c>
      <c r="B333" s="186">
        <v>45991</v>
      </c>
      <c r="C333" s="196">
        <v>3552.8</v>
      </c>
      <c r="D333" s="188">
        <f>IFERROR(C333/VLOOKUP(A333,Usinas!$A:$B,2,FALSE()),"")</f>
        <v>5.7210950080515302</v>
      </c>
    </row>
    <row r="334" spans="1:4" ht="12" customHeight="1" x14ac:dyDescent="0.2">
      <c r="A334" s="185" t="s">
        <v>473</v>
      </c>
      <c r="B334" s="186">
        <v>45992</v>
      </c>
      <c r="C334" s="196">
        <v>1714</v>
      </c>
      <c r="D334" s="188">
        <f>IFERROR(C334/VLOOKUP(A334,Usinas!$A:$B,2,FALSE()),"")</f>
        <v>2.7600644122383251</v>
      </c>
    </row>
    <row r="335" spans="1:4" ht="12" customHeight="1" x14ac:dyDescent="0.2">
      <c r="A335" s="185" t="s">
        <v>473</v>
      </c>
      <c r="B335" s="186">
        <v>45993</v>
      </c>
      <c r="C335" s="196">
        <v>2698.3</v>
      </c>
      <c r="D335" s="188">
        <f>IFERROR(C335/VLOOKUP(A335,Usinas!$A:$B,2,FALSE()),"")</f>
        <v>4.3450885668276973</v>
      </c>
    </row>
    <row r="336" spans="1:4" ht="12" customHeight="1" x14ac:dyDescent="0.2">
      <c r="A336" s="185" t="s">
        <v>473</v>
      </c>
      <c r="B336" s="186">
        <v>45994</v>
      </c>
      <c r="C336" s="196">
        <v>3117</v>
      </c>
      <c r="D336" s="188">
        <f>IFERROR(C336/VLOOKUP(A336,Usinas!$A:$B,2,FALSE()),"")</f>
        <v>5.0193236714975846</v>
      </c>
    </row>
    <row r="337" spans="1:4" ht="12" customHeight="1" x14ac:dyDescent="0.2">
      <c r="A337" s="185" t="s">
        <v>473</v>
      </c>
      <c r="B337" s="186">
        <v>45995</v>
      </c>
      <c r="C337" s="196">
        <v>3818.5</v>
      </c>
      <c r="D337" s="188">
        <f>IFERROR(C337/VLOOKUP(A337,Usinas!$A:$B,2,FALSE()),"")</f>
        <v>6.1489533011272144</v>
      </c>
    </row>
    <row r="338" spans="1:4" ht="12" customHeight="1" x14ac:dyDescent="0.2">
      <c r="A338" s="185" t="s">
        <v>473</v>
      </c>
      <c r="B338" s="186">
        <v>45996</v>
      </c>
      <c r="C338" s="196">
        <v>3814.9</v>
      </c>
      <c r="D338" s="188">
        <f>IFERROR(C338/VLOOKUP(A338,Usinas!$A:$B,2,FALSE()),"")</f>
        <v>6.1431561996779394</v>
      </c>
    </row>
    <row r="339" spans="1:4" ht="12" customHeight="1" x14ac:dyDescent="0.2">
      <c r="A339" s="185" t="s">
        <v>473</v>
      </c>
      <c r="B339" s="186">
        <v>45997</v>
      </c>
      <c r="C339" s="196">
        <v>3682.7</v>
      </c>
      <c r="D339" s="188">
        <f>IFERROR(C339/VLOOKUP(A339,Usinas!$A:$B,2,FALSE()),"")</f>
        <v>5.9302737520128819</v>
      </c>
    </row>
    <row r="340" spans="1:4" ht="12" customHeight="1" x14ac:dyDescent="0.2">
      <c r="A340" s="185" t="s">
        <v>473</v>
      </c>
      <c r="B340" s="186">
        <v>45998</v>
      </c>
      <c r="C340" s="196">
        <v>2031.3</v>
      </c>
      <c r="D340" s="188">
        <f>IFERROR(C340/VLOOKUP(A340,Usinas!$A:$B,2,FALSE()),"")</f>
        <v>3.2710144927536233</v>
      </c>
    </row>
    <row r="341" spans="1:4" ht="12" customHeight="1" x14ac:dyDescent="0.2">
      <c r="A341" s="185" t="s">
        <v>473</v>
      </c>
      <c r="B341" s="186">
        <v>45999</v>
      </c>
      <c r="C341" s="196">
        <v>2383.9</v>
      </c>
      <c r="D341" s="188">
        <f>IFERROR(C341/VLOOKUP(A341,Usinas!$A:$B,2,FALSE()),"")</f>
        <v>3.8388083735909824</v>
      </c>
    </row>
    <row r="342" spans="1:4" ht="12" customHeight="1" x14ac:dyDescent="0.2">
      <c r="A342" s="185" t="s">
        <v>473</v>
      </c>
      <c r="B342" s="186">
        <v>46000</v>
      </c>
      <c r="C342" s="196">
        <v>2839.8</v>
      </c>
      <c r="D342" s="188">
        <f>IFERROR(C342/VLOOKUP(A342,Usinas!$A:$B,2,FALSE()),"")</f>
        <v>4.5729468599033822</v>
      </c>
    </row>
    <row r="343" spans="1:4" ht="12" customHeight="1" x14ac:dyDescent="0.2">
      <c r="A343" s="185" t="s">
        <v>473</v>
      </c>
      <c r="B343" s="186">
        <v>46001</v>
      </c>
      <c r="C343" s="196">
        <v>3653.2</v>
      </c>
      <c r="D343" s="188">
        <f>IFERROR(C343/VLOOKUP(A343,Usinas!$A:$B,2,FALSE()),"")</f>
        <v>5.8827697262479868</v>
      </c>
    </row>
    <row r="344" spans="1:4" ht="12" customHeight="1" x14ac:dyDescent="0.2">
      <c r="A344" s="185" t="s">
        <v>473</v>
      </c>
      <c r="B344" s="186">
        <v>46002</v>
      </c>
      <c r="C344" s="196">
        <v>3657.8</v>
      </c>
      <c r="D344" s="188">
        <f>IFERROR(C344/VLOOKUP(A344,Usinas!$A:$B,2,FALSE()),"")</f>
        <v>5.8901771336553947</v>
      </c>
    </row>
    <row r="345" spans="1:4" ht="12" customHeight="1" x14ac:dyDescent="0.2">
      <c r="A345" s="185" t="s">
        <v>473</v>
      </c>
      <c r="B345" s="186">
        <v>46003</v>
      </c>
      <c r="C345" s="196">
        <v>1286.8</v>
      </c>
      <c r="D345" s="188">
        <f>IFERROR(C345/VLOOKUP(A345,Usinas!$A:$B,2,FALSE()),"")</f>
        <v>2.0721417069243158</v>
      </c>
    </row>
    <row r="346" spans="1:4" ht="12" customHeight="1" x14ac:dyDescent="0.2">
      <c r="A346" s="185" t="s">
        <v>473</v>
      </c>
      <c r="B346" s="186">
        <v>46004</v>
      </c>
      <c r="C346" s="196">
        <v>1267.8</v>
      </c>
      <c r="D346" s="188">
        <f>IFERROR(C346/VLOOKUP(A346,Usinas!$A:$B,2,FALSE()),"")</f>
        <v>2.0415458937198068</v>
      </c>
    </row>
    <row r="347" spans="1:4" ht="12" customHeight="1" x14ac:dyDescent="0.2">
      <c r="A347" s="185" t="s">
        <v>473</v>
      </c>
      <c r="B347" s="186">
        <v>46005</v>
      </c>
      <c r="C347" s="196">
        <v>2360.1999999999998</v>
      </c>
      <c r="D347" s="188">
        <f>IFERROR(C347/VLOOKUP(A347,Usinas!$A:$B,2,FALSE()),"")</f>
        <v>3.8006441223832526</v>
      </c>
    </row>
    <row r="348" spans="1:4" ht="12" customHeight="1" x14ac:dyDescent="0.2">
      <c r="A348" s="185" t="s">
        <v>473</v>
      </c>
      <c r="B348" s="186">
        <v>46006</v>
      </c>
      <c r="C348" s="196">
        <v>3447.7</v>
      </c>
      <c r="D348" s="188">
        <f>IFERROR(C348/VLOOKUP(A348,Usinas!$A:$B,2,FALSE()),"")</f>
        <v>5.5518518518518514</v>
      </c>
    </row>
    <row r="349" spans="1:4" ht="12" customHeight="1" x14ac:dyDescent="0.2">
      <c r="A349" s="185" t="s">
        <v>473</v>
      </c>
      <c r="B349" s="186">
        <v>46007</v>
      </c>
      <c r="C349" s="196">
        <v>1745.7</v>
      </c>
      <c r="D349" s="188">
        <f>IFERROR(C349/VLOOKUP(A349,Usinas!$A:$B,2,FALSE()),"")</f>
        <v>2.8111111111111113</v>
      </c>
    </row>
    <row r="350" spans="1:4" ht="12" customHeight="1" x14ac:dyDescent="0.2">
      <c r="A350" s="185" t="s">
        <v>473</v>
      </c>
      <c r="B350" s="186">
        <v>46008</v>
      </c>
      <c r="C350" s="196">
        <v>2506.6</v>
      </c>
      <c r="D350" s="188">
        <f>IFERROR(C350/VLOOKUP(A350,Usinas!$A:$B,2,FALSE()),"")</f>
        <v>4.036392914653784</v>
      </c>
    </row>
    <row r="351" spans="1:4" ht="12" customHeight="1" x14ac:dyDescent="0.2">
      <c r="A351" s="185" t="s">
        <v>473</v>
      </c>
      <c r="B351" s="186">
        <v>46009</v>
      </c>
      <c r="C351" s="196">
        <v>3902.1</v>
      </c>
      <c r="D351" s="188">
        <f>IFERROR(C351/VLOOKUP(A351,Usinas!$A:$B,2,FALSE()),"")</f>
        <v>6.2835748792270527</v>
      </c>
    </row>
    <row r="352" spans="1:4" ht="12" customHeight="1" x14ac:dyDescent="0.2">
      <c r="A352" s="185" t="s">
        <v>473</v>
      </c>
      <c r="B352" s="186">
        <v>46010</v>
      </c>
      <c r="C352" s="196">
        <v>3549.1</v>
      </c>
      <c r="D352" s="188">
        <f>IFERROR(C352/VLOOKUP(A352,Usinas!$A:$B,2,FALSE()),"")</f>
        <v>5.7151368760064409</v>
      </c>
    </row>
    <row r="353" spans="1:4" ht="12" customHeight="1" x14ac:dyDescent="0.2">
      <c r="A353" s="185" t="s">
        <v>473</v>
      </c>
      <c r="B353" s="186">
        <v>46011</v>
      </c>
      <c r="C353" s="196">
        <v>3187</v>
      </c>
      <c r="D353" s="188">
        <f>IFERROR(C353/VLOOKUP(A353,Usinas!$A:$B,2,FALSE()),"")</f>
        <v>5.1320450885668274</v>
      </c>
    </row>
    <row r="354" spans="1:4" ht="12" customHeight="1" x14ac:dyDescent="0.2">
      <c r="A354" s="185" t="s">
        <v>473</v>
      </c>
      <c r="B354" s="186">
        <v>46012</v>
      </c>
      <c r="C354" s="196">
        <v>2896.2</v>
      </c>
      <c r="D354" s="188">
        <f>IFERROR(C354/VLOOKUP(A354,Usinas!$A:$B,2,FALSE()),"")</f>
        <v>4.6637681159420286</v>
      </c>
    </row>
    <row r="355" spans="1:4" ht="12" customHeight="1" x14ac:dyDescent="0.2">
      <c r="A355" s="185" t="s">
        <v>473</v>
      </c>
      <c r="B355" s="186">
        <v>46013</v>
      </c>
      <c r="C355" s="196">
        <v>3197.7</v>
      </c>
      <c r="D355" s="188">
        <f>IFERROR(C355/VLOOKUP(A355,Usinas!$A:$B,2,FALSE()),"")</f>
        <v>5.1492753623188401</v>
      </c>
    </row>
    <row r="356" spans="1:4" ht="12" customHeight="1" x14ac:dyDescent="0.2">
      <c r="A356" s="185" t="s">
        <v>473</v>
      </c>
      <c r="B356" s="186">
        <v>46014</v>
      </c>
      <c r="C356" s="196">
        <v>2637.4</v>
      </c>
      <c r="D356" s="188">
        <f>IFERROR(C356/VLOOKUP(A356,Usinas!$A:$B,2,FALSE()),"")</f>
        <v>4.2470209339774563</v>
      </c>
    </row>
    <row r="357" spans="1:4" ht="12" customHeight="1" x14ac:dyDescent="0.2">
      <c r="A357" s="185" t="s">
        <v>473</v>
      </c>
      <c r="B357" s="186">
        <v>46015</v>
      </c>
      <c r="C357" s="196">
        <v>3567.5</v>
      </c>
      <c r="D357" s="188">
        <f>IFERROR(C357/VLOOKUP(A357,Usinas!$A:$B,2,FALSE()),"")</f>
        <v>5.7447665056360711</v>
      </c>
    </row>
    <row r="358" spans="1:4" ht="12" customHeight="1" x14ac:dyDescent="0.2">
      <c r="A358" s="185" t="s">
        <v>473</v>
      </c>
      <c r="B358" s="186">
        <v>46016</v>
      </c>
      <c r="C358" s="196">
        <v>3261.6</v>
      </c>
      <c r="D358" s="188">
        <f>IFERROR(C358/VLOOKUP(A358,Usinas!$A:$B,2,FALSE()),"")</f>
        <v>5.2521739130434781</v>
      </c>
    </row>
    <row r="359" spans="1:4" ht="12" customHeight="1" x14ac:dyDescent="0.2">
      <c r="A359" s="185" t="s">
        <v>473</v>
      </c>
      <c r="B359" s="186">
        <v>46017</v>
      </c>
      <c r="C359" s="196">
        <v>2682.5</v>
      </c>
      <c r="D359" s="188">
        <f>IFERROR(C359/VLOOKUP(A359,Usinas!$A:$B,2,FALSE()),"")</f>
        <v>4.319645732689211</v>
      </c>
    </row>
    <row r="360" spans="1:4" ht="12" customHeight="1" x14ac:dyDescent="0.2">
      <c r="A360" s="185" t="s">
        <v>473</v>
      </c>
      <c r="B360" s="186">
        <v>46018</v>
      </c>
      <c r="C360" s="196">
        <v>3624.2</v>
      </c>
      <c r="D360" s="188">
        <f>IFERROR(C360/VLOOKUP(A360,Usinas!$A:$B,2,FALSE()),"")</f>
        <v>5.8360708534621573</v>
      </c>
    </row>
    <row r="361" spans="1:4" ht="12" customHeight="1" x14ac:dyDescent="0.2">
      <c r="A361" s="185" t="s">
        <v>473</v>
      </c>
      <c r="B361" s="186">
        <v>46019</v>
      </c>
      <c r="C361" s="196">
        <v>1978.7</v>
      </c>
      <c r="D361" s="188">
        <f>IFERROR(C361/VLOOKUP(A361,Usinas!$A:$B,2,FALSE()),"")</f>
        <v>3.1863123993558777</v>
      </c>
    </row>
    <row r="362" spans="1:4" ht="12" customHeight="1" x14ac:dyDescent="0.2">
      <c r="A362" s="185" t="s">
        <v>473</v>
      </c>
      <c r="B362" s="186">
        <v>46020</v>
      </c>
      <c r="C362" s="196">
        <v>2976.3</v>
      </c>
      <c r="D362" s="188">
        <f>IFERROR(C362/VLOOKUP(A362,Usinas!$A:$B,2,FALSE()),"")</f>
        <v>4.792753623188406</v>
      </c>
    </row>
    <row r="363" spans="1:4" ht="12" customHeight="1" x14ac:dyDescent="0.2">
      <c r="A363" s="185" t="s">
        <v>473</v>
      </c>
      <c r="B363" s="186">
        <v>46021</v>
      </c>
      <c r="C363" s="196">
        <v>2416.9</v>
      </c>
      <c r="D363" s="188">
        <f>IFERROR(C363/VLOOKUP(A363,Usinas!$A:$B,2,FALSE()),"")</f>
        <v>3.8919484702093401</v>
      </c>
    </row>
    <row r="364" spans="1:4" ht="12" customHeight="1" x14ac:dyDescent="0.2">
      <c r="A364" s="185" t="s">
        <v>473</v>
      </c>
      <c r="B364" s="186">
        <v>46022</v>
      </c>
      <c r="C364" s="196">
        <v>2728.3</v>
      </c>
      <c r="D364" s="188">
        <f>IFERROR(C364/VLOOKUP(A364,Usinas!$A:$B,2,FALSE()),"")</f>
        <v>4.3933977455716589</v>
      </c>
    </row>
  </sheetData>
  <autoFilter ref="A1:D364" xr:uid="{00000000-0009-0000-0000-000007000000}"/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05200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3" width="8.5" style="181" customWidth="1"/>
    <col min="14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E2CC"/>
  </sheetPr>
  <dimension ref="A4:S30"/>
  <sheetViews>
    <sheetView zoomScaleNormal="100" workbookViewId="0">
      <selection activeCell="M24" sqref="M24"/>
    </sheetView>
  </sheetViews>
  <sheetFormatPr baseColWidth="10" defaultColWidth="8.5" defaultRowHeight="13" x14ac:dyDescent="0.2"/>
  <cols>
    <col min="1" max="1" width="24.5" style="182" customWidth="1"/>
    <col min="2" max="2" width="39.83203125" style="182" customWidth="1"/>
    <col min="3" max="3" width="8.5" style="182" customWidth="1"/>
    <col min="4" max="4" width="12.33203125" style="182" customWidth="1"/>
    <col min="5" max="17" width="8.5" style="182" customWidth="1"/>
    <col min="18" max="16384" width="8.5" style="182"/>
  </cols>
  <sheetData>
    <row r="4" spans="1:19" ht="12.75" customHeight="1" x14ac:dyDescent="0.2">
      <c r="D4" s="198">
        <v>45658</v>
      </c>
      <c r="E4" s="198">
        <v>45689</v>
      </c>
      <c r="F4" s="198">
        <v>45717</v>
      </c>
      <c r="G4" s="198">
        <v>45748</v>
      </c>
      <c r="H4" s="198">
        <v>45778</v>
      </c>
      <c r="I4" s="198">
        <v>45809</v>
      </c>
      <c r="J4" s="198">
        <v>45839</v>
      </c>
      <c r="K4" s="198">
        <v>45870</v>
      </c>
      <c r="L4" s="198">
        <v>45901</v>
      </c>
      <c r="M4" s="198">
        <v>45931</v>
      </c>
      <c r="N4" s="198">
        <v>45962</v>
      </c>
      <c r="O4" s="198">
        <v>45992</v>
      </c>
      <c r="Q4" s="190" t="s">
        <v>474</v>
      </c>
      <c r="S4" s="190" t="s">
        <v>475</v>
      </c>
    </row>
    <row r="5" spans="1:19" ht="13.5" customHeight="1" x14ac:dyDescent="0.2">
      <c r="A5" s="182" t="s">
        <v>476</v>
      </c>
      <c r="B5" s="182" t="s">
        <v>477</v>
      </c>
      <c r="D5" s="199">
        <f>+SUMIFS('Memória de Massa - 2025'!$H$1:$H$217,'Memória de Massa - 2025'!$A$1:$A$217,'Formula Dados Copasul'!$A5,'Memória de Massa - 2025'!$F$1:$F$217,'Formula Dados Copasul'!D$4)</f>
        <v>44785.32</v>
      </c>
      <c r="E5" s="199">
        <f>+SUMIFS('Memória de Massa - 2025'!$H$1:$H$217,'Memória de Massa - 2025'!$A$1:$A$217,'Formula Dados Copasul'!$A5,'Memória de Massa - 2025'!$F$1:$F$217,'Formula Dados Copasul'!E$4)</f>
        <v>47470.69</v>
      </c>
      <c r="F5" s="199">
        <f>+SUMIFS('Memória de Massa - 2025'!$H$1:$H$217,'Memória de Massa - 2025'!$A$1:$A$217,'Formula Dados Copasul'!$A5,'Memória de Massa - 2025'!$F$1:$F$217,'Formula Dados Copasul'!F$4)</f>
        <v>42520.65</v>
      </c>
      <c r="G5" s="199">
        <f>+SUMIFS('Memória de Massa - 2025'!$H$1:$H$217,'Memória de Massa - 2025'!$A$1:$A$217,'Formula Dados Copasul'!$A5,'Memória de Massa - 2025'!$F$1:$F$217,'Formula Dados Copasul'!G$4)</f>
        <v>37072.04</v>
      </c>
      <c r="H5" s="199">
        <f>+SUMIFS('Memória de Massa - 2025'!$H$1:$H$217,'Memória de Massa - 2025'!$A$1:$A$217,'Formula Dados Copasul'!$A5,'Memória de Massa - 2025'!$F$1:$F$217,'Formula Dados Copasul'!H$4)</f>
        <v>34493.160000000003</v>
      </c>
      <c r="I5" s="199">
        <f>+SUMIFS('Memória de Massa - 2025'!$H$1:$H$217,'Memória de Massa - 2025'!$A$1:$A$217,'Formula Dados Copasul'!$A5,'Memória de Massa - 2025'!$F$1:$F$217,'Formula Dados Copasul'!I$4)</f>
        <v>32323.4</v>
      </c>
      <c r="J5" s="199">
        <f>+SUMIFS('Memória de Massa - 2025'!$H$1:$H$217,'Memória de Massa - 2025'!$A$1:$A$217,'Formula Dados Copasul'!$A5,'Memória de Massa - 2025'!$F$1:$F$217,'Formula Dados Copasul'!J$4)</f>
        <v>34695.56</v>
      </c>
      <c r="K5" s="199">
        <f>+SUMIFS('Memória de Massa - 2025'!$H$1:$H$217,'Memória de Massa - 2025'!$A$1:$A$217,'Formula Dados Copasul'!$A5,'Memória de Massa - 2025'!$F$1:$F$217,'Formula Dados Copasul'!K$4)</f>
        <v>37764.79</v>
      </c>
      <c r="L5" s="199">
        <f>+SUMIFS('Memória de Massa - 2025'!$H$1:$H$217,'Memória de Massa - 2025'!$A$1:$A$217,'Formula Dados Copasul'!$A5,'Memória de Massa - 2025'!$F$1:$F$217,'Formula Dados Copasul'!L$4)</f>
        <v>46046.96</v>
      </c>
      <c r="M5" s="199">
        <f>+SUMIFS('Memória de Massa - 2025'!$H$1:$H$217,'Memória de Massa - 2025'!$A$1:$A$217,'Formula Dados Copasul'!$A5,'Memória de Massa - 2025'!$F$1:$F$217,'Formula Dados Copasul'!M$4)</f>
        <v>46843.03</v>
      </c>
      <c r="N5" s="199">
        <f>+SUMIFS('Memória de Massa - 2025'!$H$1:$H$217,'Memória de Massa - 2025'!$A$1:$A$217,'Formula Dados Copasul'!$A5,'Memória de Massa - 2025'!$F$1:$F$217,'Formula Dados Copasul'!N$4)</f>
        <v>46689.03</v>
      </c>
      <c r="O5" s="199">
        <f>+SUMIFS('Memória de Massa - 2025'!$H$1:$H$217,'Memória de Massa - 2025'!$A$1:$A$217,'Formula Dados Copasul'!$A5,'Memória de Massa - 2025'!$F$1:$F$217,'Formula Dados Copasul'!O$4)</f>
        <v>48254.06</v>
      </c>
      <c r="Q5" s="200">
        <f>+SUM(D5:O5)</f>
        <v>498958.69</v>
      </c>
      <c r="S5" s="200">
        <f>+Q5/12</f>
        <v>41579.890833333331</v>
      </c>
    </row>
    <row r="6" spans="1:19" ht="13.5" customHeight="1" x14ac:dyDescent="0.2">
      <c r="A6" s="182" t="s">
        <v>478</v>
      </c>
      <c r="B6" s="201" t="s">
        <v>479</v>
      </c>
      <c r="D6" s="199">
        <f>+SUMIFS('Memória de Massa - 2025'!$H$1:$H$217,'Memória de Massa - 2025'!$A$1:$A$217,'Formula Dados Copasul'!$A6,'Memória de Massa - 2025'!$F$1:$F$217,'Formula Dados Copasul'!D$4)</f>
        <v>50942.720000000001</v>
      </c>
      <c r="E6" s="199">
        <f>+SUMIFS('Memória de Massa - 2025'!$H$1:$H$217,'Memória de Massa - 2025'!$A$1:$A$217,'Formula Dados Copasul'!$A6,'Memória de Massa - 2025'!$F$1:$F$217,'Formula Dados Copasul'!E$4)</f>
        <v>200728.75</v>
      </c>
      <c r="F6" s="199">
        <f>+SUMIFS('Memória de Massa - 2025'!$H$1:$H$217,'Memória de Massa - 2025'!$A$1:$A$217,'Formula Dados Copasul'!$A6,'Memória de Massa - 2025'!$F$1:$F$217,'Formula Dados Copasul'!F$4)</f>
        <v>207178.06</v>
      </c>
      <c r="G6" s="199">
        <f>+SUMIFS('Memória de Massa - 2025'!$H$1:$H$217,'Memória de Massa - 2025'!$A$1:$A$217,'Formula Dados Copasul'!$A6,'Memória de Massa - 2025'!$F$1:$F$217,'Formula Dados Copasul'!G$4)</f>
        <v>75954.61</v>
      </c>
      <c r="H6" s="199">
        <f>+SUMIFS('Memória de Massa - 2025'!$H$1:$H$217,'Memória de Massa - 2025'!$A$1:$A$217,'Formula Dados Copasul'!$A6,'Memória de Massa - 2025'!$F$1:$F$217,'Formula Dados Copasul'!H$4)</f>
        <v>87080.03</v>
      </c>
      <c r="I6" s="199">
        <f>+SUMIFS('Memória de Massa - 2025'!$H$1:$H$217,'Memória de Massa - 2025'!$A$1:$A$217,'Formula Dados Copasul'!$A6,'Memória de Massa - 2025'!$F$1:$F$217,'Formula Dados Copasul'!I$4)</f>
        <v>147398.37</v>
      </c>
      <c r="J6" s="199">
        <f>+SUMIFS('Memória de Massa - 2025'!$H$1:$H$217,'Memória de Massa - 2025'!$A$1:$A$217,'Formula Dados Copasul'!$A6,'Memória de Massa - 2025'!$F$1:$F$217,'Formula Dados Copasul'!J$4)</f>
        <v>307662.77</v>
      </c>
      <c r="K6" s="199">
        <f>+SUMIFS('Memória de Massa - 2025'!$H$1:$H$217,'Memória de Massa - 2025'!$A$1:$A$217,'Formula Dados Copasul'!$A6,'Memória de Massa - 2025'!$F$1:$F$217,'Formula Dados Copasul'!K$4)</f>
        <v>309712.87</v>
      </c>
      <c r="L6" s="199">
        <f>+SUMIFS('Memória de Massa - 2025'!$H$1:$H$217,'Memória de Massa - 2025'!$A$1:$A$217,'Formula Dados Copasul'!$A6,'Memória de Massa - 2025'!$F$1:$F$217,'Formula Dados Copasul'!L$4)</f>
        <v>82157.25</v>
      </c>
      <c r="M6" s="199">
        <f>+SUMIFS('Memória de Massa - 2025'!$H$1:$H$217,'Memória de Massa - 2025'!$A$1:$A$217,'Formula Dados Copasul'!$A6,'Memória de Massa - 2025'!$F$1:$F$217,'Formula Dados Copasul'!M$4)</f>
        <v>13325.59</v>
      </c>
      <c r="N6" s="199">
        <f>+SUMIFS('Memória de Massa - 2025'!$H$1:$H$217,'Memória de Massa - 2025'!$A$1:$A$217,'Formula Dados Copasul'!$A6,'Memória de Massa - 2025'!$F$1:$F$217,'Formula Dados Copasul'!N$4)</f>
        <v>11108.92</v>
      </c>
      <c r="O6" s="199">
        <f>+SUMIFS('Memória de Massa - 2025'!$H$1:$H$217,'Memória de Massa - 2025'!$A$1:$A$217,'Formula Dados Copasul'!$A6,'Memória de Massa - 2025'!$F$1:$F$217,'Formula Dados Copasul'!O$4)</f>
        <v>11745.55</v>
      </c>
      <c r="Q6" s="200">
        <f>+SUM(D6:O6)</f>
        <v>1504995.4900000002</v>
      </c>
      <c r="S6" s="200">
        <f>+Q6/12</f>
        <v>125416.29083333335</v>
      </c>
    </row>
    <row r="7" spans="1:19" ht="23.25" customHeight="1" x14ac:dyDescent="0.2">
      <c r="A7" s="182" t="s">
        <v>480</v>
      </c>
      <c r="B7" s="201" t="s">
        <v>481</v>
      </c>
      <c r="D7" s="199">
        <f>+SUMIFS('Memória de Massa - 2025'!$H$1:$H$217,'Memória de Massa - 2025'!$A$1:$A$217,'Formula Dados Copasul'!$A7,'Memória de Massa - 2025'!$F$1:$F$217,'Formula Dados Copasul'!D$4)</f>
        <v>72928.490000000005</v>
      </c>
      <c r="E7" s="199">
        <f>+SUMIFS('Memória de Massa - 2025'!$H$1:$H$217,'Memória de Massa - 2025'!$A$1:$A$217,'Formula Dados Copasul'!$A7,'Memória de Massa - 2025'!$F$1:$F$217,'Formula Dados Copasul'!E$4)</f>
        <v>212798.25</v>
      </c>
      <c r="F7" s="199">
        <f>+SUMIFS('Memória de Massa - 2025'!$H$1:$H$217,'Memória de Massa - 2025'!$A$1:$A$217,'Formula Dados Copasul'!$A7,'Memória de Massa - 2025'!$F$1:$F$217,'Formula Dados Copasul'!F$4)</f>
        <v>177578.42</v>
      </c>
      <c r="G7" s="199">
        <f>+SUMIFS('Memória de Massa - 2025'!$H$1:$H$217,'Memória de Massa - 2025'!$A$1:$A$217,'Formula Dados Copasul'!$A7,'Memória de Massa - 2025'!$F$1:$F$217,'Formula Dados Copasul'!G$4)</f>
        <v>84395.43</v>
      </c>
      <c r="H7" s="199">
        <f>+SUMIFS('Memória de Massa - 2025'!$H$1:$H$217,'Memória de Massa - 2025'!$A$1:$A$217,'Formula Dados Copasul'!$A7,'Memória de Massa - 2025'!$F$1:$F$217,'Formula Dados Copasul'!H$4)</f>
        <v>106720.74</v>
      </c>
      <c r="I7" s="199">
        <f>+SUMIFS('Memória de Massa - 2025'!$H$1:$H$217,'Memória de Massa - 2025'!$A$1:$A$217,'Formula Dados Copasul'!$A7,'Memória de Massa - 2025'!$F$1:$F$217,'Formula Dados Copasul'!I$4)</f>
        <v>183159.59</v>
      </c>
      <c r="J7" s="199">
        <f>+SUMIFS('Memória de Massa - 2025'!$H$1:$H$217,'Memória de Massa - 2025'!$A$1:$A$217,'Formula Dados Copasul'!$A7,'Memória de Massa - 2025'!$F$1:$F$217,'Formula Dados Copasul'!J$4)</f>
        <v>223302.56</v>
      </c>
      <c r="K7" s="199">
        <f>+SUMIFS('Memória de Massa - 2025'!$H$1:$H$217,'Memória de Massa - 2025'!$A$1:$A$217,'Formula Dados Copasul'!$A7,'Memória de Massa - 2025'!$F$1:$F$217,'Formula Dados Copasul'!K$4)</f>
        <v>130522.46</v>
      </c>
      <c r="L7" s="199">
        <f>+SUMIFS('Memória de Massa - 2025'!$H$1:$H$217,'Memória de Massa - 2025'!$A$1:$A$217,'Formula Dados Copasul'!$A7,'Memória de Massa - 2025'!$F$1:$F$217,'Formula Dados Copasul'!L$4)</f>
        <v>17968.55</v>
      </c>
      <c r="M7" s="199">
        <f>+SUMIFS('Memória de Massa - 2025'!$H$1:$H$217,'Memória de Massa - 2025'!$A$1:$A$217,'Formula Dados Copasul'!$A7,'Memória de Massa - 2025'!$F$1:$F$217,'Formula Dados Copasul'!M$4)</f>
        <v>11731.55</v>
      </c>
      <c r="N7" s="199">
        <f>+SUMIFS('Memória de Massa - 2025'!$H$1:$H$217,'Memória de Massa - 2025'!$A$1:$A$217,'Formula Dados Copasul'!$A7,'Memória de Massa - 2025'!$F$1:$F$217,'Formula Dados Copasul'!N$4)</f>
        <v>8808.98</v>
      </c>
      <c r="O7" s="199">
        <f>+SUMIFS('Memória de Massa - 2025'!$H$1:$H$217,'Memória de Massa - 2025'!$A$1:$A$217,'Formula Dados Copasul'!$A7,'Memória de Massa - 2025'!$F$1:$F$217,'Formula Dados Copasul'!O$4)</f>
        <v>15428.7</v>
      </c>
      <c r="Q7" s="200">
        <f>+SUM(D7:O7)</f>
        <v>1245343.72</v>
      </c>
      <c r="S7" s="200">
        <f>+Q7/12</f>
        <v>103778.64333333333</v>
      </c>
    </row>
    <row r="8" spans="1:19" ht="13.5" customHeight="1" x14ac:dyDescent="0.2">
      <c r="B8" s="202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99"/>
      <c r="O8" s="199"/>
    </row>
    <row r="9" spans="1:19" ht="12.75" customHeight="1" x14ac:dyDescent="0.2">
      <c r="B9" s="203" t="s">
        <v>482</v>
      </c>
      <c r="C9" s="204"/>
      <c r="D9" s="205">
        <f t="shared" ref="D9:O9" si="0">+SUM(D5:D7)</f>
        <v>168656.53000000003</v>
      </c>
      <c r="E9" s="205">
        <f t="shared" si="0"/>
        <v>460997.69</v>
      </c>
      <c r="F9" s="205">
        <f t="shared" si="0"/>
        <v>427277.13</v>
      </c>
      <c r="G9" s="205">
        <f t="shared" si="0"/>
        <v>197422.07999999999</v>
      </c>
      <c r="H9" s="205">
        <f t="shared" si="0"/>
        <v>228293.93</v>
      </c>
      <c r="I9" s="205">
        <f t="shared" si="0"/>
        <v>362881.36</v>
      </c>
      <c r="J9" s="205">
        <f t="shared" si="0"/>
        <v>565660.89</v>
      </c>
      <c r="K9" s="205">
        <f t="shared" si="0"/>
        <v>478000.12</v>
      </c>
      <c r="L9" s="205">
        <f t="shared" si="0"/>
        <v>146172.75999999998</v>
      </c>
      <c r="M9" s="205">
        <f t="shared" si="0"/>
        <v>71900.17</v>
      </c>
      <c r="N9" s="205">
        <f t="shared" si="0"/>
        <v>66606.929999999993</v>
      </c>
      <c r="O9" s="205">
        <f t="shared" si="0"/>
        <v>75428.31</v>
      </c>
      <c r="P9" s="204"/>
      <c r="Q9" s="205">
        <f>+SUM(D9:O9)</f>
        <v>3249297.9000000004</v>
      </c>
      <c r="R9" s="205"/>
      <c r="S9" s="205">
        <f>+Q9/12</f>
        <v>270774.82500000001</v>
      </c>
    </row>
    <row r="10" spans="1:19" ht="13.5" customHeight="1" x14ac:dyDescent="0.2">
      <c r="B10" s="202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99"/>
      <c r="O10" s="199"/>
    </row>
    <row r="11" spans="1:19" ht="13.5" customHeight="1" x14ac:dyDescent="0.2">
      <c r="A11" s="182" t="s">
        <v>478</v>
      </c>
      <c r="B11" s="201" t="s">
        <v>483</v>
      </c>
      <c r="D11" s="199">
        <f>+SUMIFS('Memória de Massa - 2025'!$G$1:$G$217,'Memória de Massa - 2025'!$A$1:$A$217,'Formula Dados Copasul'!$A11,'Memória de Massa - 2025'!$F$1:$F$217,'Formula Dados Copasul'!D$4)</f>
        <v>10827.94</v>
      </c>
      <c r="E11" s="199">
        <f>+SUMIFS('Memória de Massa - 2025'!$G$1:$G$217,'Memória de Massa - 2025'!$A$1:$A$217,'Formula Dados Copasul'!$A11,'Memória de Massa - 2025'!$F$1:$F$217,'Formula Dados Copasul'!E$4)</f>
        <v>37839.9</v>
      </c>
      <c r="F11" s="199">
        <f>+SUMIFS('Memória de Massa - 2025'!$G$1:$G$217,'Memória de Massa - 2025'!$A$1:$A$217,'Formula Dados Copasul'!$A11,'Memória de Massa - 2025'!$F$1:$F$217,'Formula Dados Copasul'!F$4)</f>
        <v>27093.399999999998</v>
      </c>
      <c r="G11" s="199">
        <f>+SUMIFS('Memória de Massa - 2025'!$G$1:$G$217,'Memória de Massa - 2025'!$A$1:$A$217,'Formula Dados Copasul'!$A11,'Memória de Massa - 2025'!$F$1:$F$217,'Formula Dados Copasul'!G$4)</f>
        <v>4120.62</v>
      </c>
      <c r="H11" s="199">
        <f>+SUMIFS('Memória de Massa - 2025'!$G$1:$G$217,'Memória de Massa - 2025'!$A$1:$A$217,'Formula Dados Copasul'!$A11,'Memória de Massa - 2025'!$F$1:$F$217,'Formula Dados Copasul'!H$4)</f>
        <v>7310.48</v>
      </c>
      <c r="I11" s="199">
        <f>+SUMIFS('Memória de Massa - 2025'!$G$1:$G$217,'Memória de Massa - 2025'!$A$1:$A$217,'Formula Dados Copasul'!$A11,'Memória de Massa - 2025'!$F$1:$F$217,'Formula Dados Copasul'!I$4)</f>
        <v>22180.07</v>
      </c>
      <c r="J11" s="199">
        <f>+SUMIFS('Memória de Massa - 2025'!$G$1:$G$217,'Memória de Massa - 2025'!$A$1:$A$217,'Formula Dados Copasul'!$A11,'Memória de Massa - 2025'!$F$1:$F$217,'Formula Dados Copasul'!J$4)</f>
        <v>53060.15</v>
      </c>
      <c r="K11" s="199">
        <f>+SUMIFS('Memória de Massa - 2025'!$G$1:$G$217,'Memória de Massa - 2025'!$A$1:$A$217,'Formula Dados Copasul'!$A11,'Memória de Massa - 2025'!$F$1:$F$217,'Formula Dados Copasul'!K$4)</f>
        <v>44066.229999999996</v>
      </c>
      <c r="L11" s="199">
        <f>+SUMIFS('Memória de Massa - 2025'!$G$1:$G$217,'Memória de Massa - 2025'!$A$1:$A$217,'Formula Dados Copasul'!$A11,'Memória de Massa - 2025'!$F$1:$F$217,'Formula Dados Copasul'!L$4)</f>
        <v>10666.029999999999</v>
      </c>
      <c r="M11" s="199">
        <f>+SUMIFS('Memória de Massa - 2025'!$G$1:$G$217,'Memória de Massa - 2025'!$A$1:$A$217,'Formula Dados Copasul'!$A11,'Memória de Massa - 2025'!$F$1:$F$217,'Formula Dados Copasul'!M$4)</f>
        <v>2567</v>
      </c>
      <c r="N11" s="199">
        <f>+SUMIFS('Memória de Massa - 2025'!$G$1:$G$217,'Memória de Massa - 2025'!$A$1:$A$217,'Formula Dados Copasul'!$A11,'Memória de Massa - 2025'!$F$1:$F$217,'Formula Dados Copasul'!N$4)</f>
        <v>2254.69</v>
      </c>
      <c r="O11" s="199">
        <f>+SUMIFS('Memória de Massa - 2025'!$G$1:$G$217,'Memória de Massa - 2025'!$A$1:$A$217,'Formula Dados Copasul'!$A11,'Memória de Massa - 2025'!$F$1:$F$217,'Formula Dados Copasul'!O$4)</f>
        <v>2595.31</v>
      </c>
      <c r="Q11" s="200">
        <f>+SUM(D11:O11)</f>
        <v>224581.81999999998</v>
      </c>
      <c r="S11" s="200">
        <f>+Q11/12</f>
        <v>18715.151666666665</v>
      </c>
    </row>
    <row r="12" spans="1:19" ht="13.5" customHeight="1" x14ac:dyDescent="0.2">
      <c r="A12" s="182" t="s">
        <v>480</v>
      </c>
      <c r="B12" s="201" t="s">
        <v>484</v>
      </c>
      <c r="D12" s="199">
        <f>+SUMIFS('Memória de Massa - 2025'!$G$1:$G$217,'Memória de Massa - 2025'!$A$1:$A$217,'Formula Dados Copasul'!$A12,'Memória de Massa - 2025'!$F$1:$F$217,'Formula Dados Copasul'!D$4)</f>
        <v>9264.15</v>
      </c>
      <c r="E12" s="199">
        <f>+SUMIFS('Memória de Massa - 2025'!$G$1:$G$217,'Memória de Massa - 2025'!$A$1:$A$217,'Formula Dados Copasul'!$A12,'Memória de Massa - 2025'!$F$1:$F$217,'Formula Dados Copasul'!E$4)</f>
        <v>19948.64</v>
      </c>
      <c r="F12" s="199">
        <f>+SUMIFS('Memória de Massa - 2025'!$G$1:$G$217,'Memória de Massa - 2025'!$A$1:$A$217,'Formula Dados Copasul'!$A12,'Memória de Massa - 2025'!$F$1:$F$217,'Formula Dados Copasul'!F$4)</f>
        <v>14932.89</v>
      </c>
      <c r="G12" s="199">
        <f>+SUMIFS('Memória de Massa - 2025'!$G$1:$G$217,'Memória de Massa - 2025'!$A$1:$A$217,'Formula Dados Copasul'!$A12,'Memória de Massa - 2025'!$F$1:$F$217,'Formula Dados Copasul'!G$4)</f>
        <v>2769.48</v>
      </c>
      <c r="H12" s="199">
        <f>+SUMIFS('Memória de Massa - 2025'!$G$1:$G$217,'Memória de Massa - 2025'!$A$1:$A$217,'Formula Dados Copasul'!$A12,'Memória de Massa - 2025'!$F$1:$F$217,'Formula Dados Copasul'!H$4)</f>
        <v>7312.1</v>
      </c>
      <c r="I12" s="199">
        <f>+SUMIFS('Memória de Massa - 2025'!$G$1:$G$217,'Memória de Massa - 2025'!$A$1:$A$217,'Formula Dados Copasul'!$A12,'Memória de Massa - 2025'!$F$1:$F$217,'Formula Dados Copasul'!I$4)</f>
        <v>19556.78</v>
      </c>
      <c r="J12" s="199">
        <f>+SUMIFS('Memória de Massa - 2025'!$G$1:$G$217,'Memória de Massa - 2025'!$A$1:$A$217,'Formula Dados Copasul'!$A12,'Memória de Massa - 2025'!$F$1:$F$217,'Formula Dados Copasul'!J$4)</f>
        <v>37585.800000000003</v>
      </c>
      <c r="K12" s="199">
        <f>+SUMIFS('Memória de Massa - 2025'!$G$1:$G$217,'Memória de Massa - 2025'!$A$1:$A$217,'Formula Dados Copasul'!$A12,'Memória de Massa - 2025'!$F$1:$F$217,'Formula Dados Copasul'!K$4)</f>
        <v>19255.009999999998</v>
      </c>
      <c r="L12" s="199">
        <f>+SUMIFS('Memória de Massa - 2025'!$G$1:$G$217,'Memória de Massa - 2025'!$A$1:$A$217,'Formula Dados Copasul'!$A12,'Memória de Massa - 2025'!$F$1:$F$217,'Formula Dados Copasul'!L$4)</f>
        <v>2740.19</v>
      </c>
      <c r="M12" s="199">
        <f>+SUMIFS('Memória de Massa - 2025'!$G$1:$G$217,'Memória de Massa - 2025'!$A$1:$A$217,'Formula Dados Copasul'!$A12,'Memória de Massa - 2025'!$F$1:$F$217,'Formula Dados Copasul'!M$4)</f>
        <v>2102.94</v>
      </c>
      <c r="N12" s="199">
        <f>+SUMIFS('Memória de Massa - 2025'!$G$1:$G$217,'Memória de Massa - 2025'!$A$1:$A$217,'Formula Dados Copasul'!$A12,'Memória de Massa - 2025'!$F$1:$F$217,'Formula Dados Copasul'!N$4)</f>
        <v>1437.03</v>
      </c>
      <c r="O12" s="199">
        <f>+SUMIFS('Memória de Massa - 2025'!$G$1:$G$217,'Memória de Massa - 2025'!$A$1:$A$217,'Formula Dados Copasul'!$A12,'Memória de Massa - 2025'!$F$1:$F$217,'Formula Dados Copasul'!O$4)</f>
        <v>1514.84</v>
      </c>
      <c r="Q12" s="200">
        <f>+SUM(D12:O12)</f>
        <v>138419.85</v>
      </c>
      <c r="S12" s="200">
        <f>+Q12/12</f>
        <v>11534.987500000001</v>
      </c>
    </row>
    <row r="13" spans="1:19" ht="13.5" customHeight="1" x14ac:dyDescent="0.2">
      <c r="D13" s="206"/>
      <c r="E13" s="206"/>
      <c r="F13" s="206"/>
      <c r="G13" s="206"/>
      <c r="H13" s="206"/>
      <c r="I13" s="206"/>
      <c r="J13" s="206"/>
      <c r="K13" s="206"/>
      <c r="L13" s="206"/>
      <c r="M13" s="206"/>
      <c r="N13" s="206"/>
      <c r="O13" s="206"/>
    </row>
    <row r="14" spans="1:19" ht="12.75" customHeight="1" x14ac:dyDescent="0.2">
      <c r="B14" s="203" t="s">
        <v>485</v>
      </c>
      <c r="C14" s="204"/>
      <c r="D14" s="205">
        <f t="shared" ref="D14:O14" si="1">+SUM(D11:D12)</f>
        <v>20092.09</v>
      </c>
      <c r="E14" s="205">
        <f t="shared" si="1"/>
        <v>57788.54</v>
      </c>
      <c r="F14" s="205">
        <f t="shared" si="1"/>
        <v>42026.289999999994</v>
      </c>
      <c r="G14" s="205">
        <f t="shared" si="1"/>
        <v>6890.1</v>
      </c>
      <c r="H14" s="205">
        <f t="shared" si="1"/>
        <v>14622.58</v>
      </c>
      <c r="I14" s="205">
        <f t="shared" si="1"/>
        <v>41736.85</v>
      </c>
      <c r="J14" s="205">
        <f t="shared" si="1"/>
        <v>90645.950000000012</v>
      </c>
      <c r="K14" s="205">
        <f t="shared" si="1"/>
        <v>63321.239999999991</v>
      </c>
      <c r="L14" s="205">
        <f t="shared" si="1"/>
        <v>13406.22</v>
      </c>
      <c r="M14" s="205">
        <f t="shared" si="1"/>
        <v>4669.9400000000005</v>
      </c>
      <c r="N14" s="205">
        <f t="shared" si="1"/>
        <v>3691.7200000000003</v>
      </c>
      <c r="O14" s="205">
        <f t="shared" si="1"/>
        <v>4110.1499999999996</v>
      </c>
      <c r="P14" s="204"/>
      <c r="Q14" s="205">
        <f>+SUM(D14:O14)</f>
        <v>363001.67</v>
      </c>
      <c r="R14" s="205"/>
      <c r="S14" s="205">
        <f>+Q14/12</f>
        <v>30250.139166666664</v>
      </c>
    </row>
    <row r="17" spans="1:19" ht="12.75" customHeight="1" x14ac:dyDescent="0.2">
      <c r="B17" s="203" t="s">
        <v>486</v>
      </c>
      <c r="C17" s="204"/>
      <c r="D17" s="205">
        <f t="shared" ref="D17:O17" si="2">+SUM(D14,D9)</f>
        <v>188748.62000000002</v>
      </c>
      <c r="E17" s="205">
        <f t="shared" si="2"/>
        <v>518786.23</v>
      </c>
      <c r="F17" s="205">
        <f t="shared" si="2"/>
        <v>469303.42</v>
      </c>
      <c r="G17" s="205">
        <f t="shared" si="2"/>
        <v>204312.18</v>
      </c>
      <c r="H17" s="205">
        <f t="shared" si="2"/>
        <v>242916.50999999998</v>
      </c>
      <c r="I17" s="205">
        <f t="shared" si="2"/>
        <v>404618.20999999996</v>
      </c>
      <c r="J17" s="205">
        <f t="shared" si="2"/>
        <v>656306.84000000008</v>
      </c>
      <c r="K17" s="205">
        <f t="shared" si="2"/>
        <v>541321.36</v>
      </c>
      <c r="L17" s="205">
        <f t="shared" si="2"/>
        <v>159578.97999999998</v>
      </c>
      <c r="M17" s="205">
        <f t="shared" si="2"/>
        <v>76570.11</v>
      </c>
      <c r="N17" s="205">
        <f t="shared" si="2"/>
        <v>70298.649999999994</v>
      </c>
      <c r="O17" s="205">
        <f t="shared" si="2"/>
        <v>79538.459999999992</v>
      </c>
      <c r="P17" s="204"/>
      <c r="Q17" s="207">
        <f>+SUM(Q14,Q9)</f>
        <v>3612299.5700000003</v>
      </c>
      <c r="R17" s="204"/>
      <c r="S17" s="205">
        <f>+Q17/12</f>
        <v>301024.96416666667</v>
      </c>
    </row>
    <row r="18" spans="1:19" ht="13.5" customHeight="1" x14ac:dyDescent="0.2">
      <c r="D18" s="206"/>
    </row>
    <row r="19" spans="1:19" ht="13.5" customHeight="1" x14ac:dyDescent="0.2">
      <c r="D19" s="206"/>
    </row>
    <row r="20" spans="1:19" ht="13.5" customHeight="1" x14ac:dyDescent="0.2">
      <c r="A20" s="185" t="s">
        <v>487</v>
      </c>
      <c r="B20" s="182" t="s">
        <v>488</v>
      </c>
      <c r="D20" s="199">
        <f>+SUMIFS('Memória de Massa - 2025'!$K$1:$K$217,'Memória de Massa - 2025'!$B$1:$B$217,$A20,'Memória de Massa - 2025'!$F$1:$F$217,'Formula Dados Copasul'!D$4)</f>
        <v>83461.899999999994</v>
      </c>
      <c r="E20" s="199">
        <f>+SUMIFS('Memória de Massa - 2025'!$K$1:$K$217,'Memória de Massa - 2025'!$B$1:$B$217,$A20,'Memória de Massa - 2025'!$F$1:$F$217,'Formula Dados Copasul'!E$4)</f>
        <v>76124.399999999994</v>
      </c>
      <c r="F20" s="199">
        <f>+SUMIFS('Memória de Massa - 2025'!$K$1:$K$217,'Memória de Massa - 2025'!$B$1:$B$217,$A20,'Memória de Massa - 2025'!$F$1:$F$217,'Formula Dados Copasul'!F$4)</f>
        <v>89858.2</v>
      </c>
      <c r="G20" s="199">
        <f>+SUMIFS('Memória de Massa - 2025'!$K$1:$K$217,'Memória de Massa - 2025'!$B$1:$B$217,$A20,'Memória de Massa - 2025'!$F$1:$F$217,'Formula Dados Copasul'!G$4)</f>
        <v>62725.4</v>
      </c>
      <c r="H20" s="199">
        <f>+SUMIFS('Memória de Massa - 2025'!$K$1:$K$217,'Memória de Massa - 2025'!$B$1:$B$217,$A20,'Memória de Massa - 2025'!$F$1:$F$217,'Formula Dados Copasul'!H$4)</f>
        <v>78227.5</v>
      </c>
      <c r="I20" s="199">
        <f>+SUMIFS('Memória de Massa - 2025'!$K$1:$K$217,'Memória de Massa - 2025'!$B$1:$B$217,$A20,'Memória de Massa - 2025'!$F$1:$F$217,'Formula Dados Copasul'!I$4)</f>
        <v>60380.6</v>
      </c>
      <c r="J20" s="199">
        <f>+SUMIFS('Memória de Massa - 2025'!$K$1:$K$217,'Memória de Massa - 2025'!$B$1:$B$217,$A20,'Memória de Massa - 2025'!$F$1:$F$217,'Formula Dados Copasul'!J$4)</f>
        <v>76551.199999999997</v>
      </c>
      <c r="K20" s="199">
        <f>+SUMIFS('Memória de Massa - 2025'!$K$1:$K$217,'Memória de Massa - 2025'!$B$1:$B$217,$A20,'Memória de Massa - 2025'!$F$1:$F$217,'Formula Dados Copasul'!K$4)</f>
        <v>79815.600000000006</v>
      </c>
      <c r="L20" s="199">
        <f>+SUMIFS('Memória de Massa - 2025'!$K$1:$K$217,'Memória de Massa - 2025'!$B$1:$B$217,$A20,'Memória de Massa - 2025'!$F$1:$F$217,'Formula Dados Copasul'!L$4)</f>
        <v>78203</v>
      </c>
      <c r="M20" s="199">
        <f>+SUMIFS('Memória de Massa - 2025'!$K$1:$K$217,'Memória de Massa - 2025'!$B$1:$B$217,$A20,'Memória de Massa - 2025'!$F$1:$F$217,'Formula Dados Copasul'!M$4)</f>
        <v>73160.100000000006</v>
      </c>
      <c r="N20" s="199">
        <f>+SUMIFS('Memória de Massa - 2025'!$K$1:$K$217,'Memória de Massa - 2025'!$B$1:$B$217,$A20,'Memória de Massa - 2025'!$F$1:$F$217,'Formula Dados Copasul'!N$4)</f>
        <v>91030.5</v>
      </c>
      <c r="O20" s="199">
        <f>+SUMIFS('Memória de Massa - 2025'!$K$1:$K$217,'Memória de Massa - 2025'!$B$1:$B$217,$A20,'Memória de Massa - 2025'!$F$1:$F$217,'Formula Dados Copasul'!O$4)</f>
        <v>88631.7</v>
      </c>
      <c r="Q20" s="200">
        <f>+SUM(D20:O20)</f>
        <v>938170.09999999986</v>
      </c>
      <c r="S20" s="200">
        <f>+Q20/12</f>
        <v>78180.84166666666</v>
      </c>
    </row>
    <row r="21" spans="1:19" ht="13.5" customHeight="1" x14ac:dyDescent="0.2">
      <c r="A21" s="185" t="s">
        <v>489</v>
      </c>
      <c r="B21" s="182" t="s">
        <v>490</v>
      </c>
      <c r="D21" s="199">
        <f>+SUMIFS('Memória de Massa - 2025'!$K$1:$K$217,'Memória de Massa - 2025'!$B$1:$B$217,$A21,'Memória de Massa - 2025'!$F$1:$F$217,'Formula Dados Copasul'!D$4)</f>
        <v>114259</v>
      </c>
      <c r="E21" s="199">
        <f>+SUMIFS('Memória de Massa - 2025'!$K$1:$K$217,'Memória de Massa - 2025'!$B$1:$B$217,$A21,'Memória de Massa - 2025'!$F$1:$F$217,'Formula Dados Copasul'!E$4)</f>
        <v>91131.9</v>
      </c>
      <c r="F21" s="199">
        <f>+SUMIFS('Memória de Massa - 2025'!$K$1:$K$217,'Memória de Massa - 2025'!$B$1:$B$217,$A21,'Memória de Massa - 2025'!$F$1:$F$217,'Formula Dados Copasul'!F$4)</f>
        <v>103061.9</v>
      </c>
      <c r="G21" s="199">
        <f>+SUMIFS('Memória de Massa - 2025'!$K$1:$K$217,'Memória de Massa - 2025'!$B$1:$B$217,$A21,'Memória de Massa - 2025'!$F$1:$F$217,'Formula Dados Copasul'!G$4)</f>
        <v>73709.7</v>
      </c>
      <c r="H21" s="199">
        <f>+SUMIFS('Memória de Massa - 2025'!$K$1:$K$217,'Memória de Massa - 2025'!$B$1:$B$217,$A21,'Memória de Massa - 2025'!$F$1:$F$217,'Formula Dados Copasul'!H$4)</f>
        <v>91616.6</v>
      </c>
      <c r="I21" s="199">
        <f>+SUMIFS('Memória de Massa - 2025'!$K$1:$K$217,'Memória de Massa - 2025'!$B$1:$B$217,$A21,'Memória de Massa - 2025'!$F$1:$F$217,'Formula Dados Copasul'!I$4)</f>
        <v>72286.899999999994</v>
      </c>
      <c r="J21" s="199">
        <f>+SUMIFS('Memória de Massa - 2025'!$K$1:$K$217,'Memória de Massa - 2025'!$B$1:$B$217,$A21,'Memória de Massa - 2025'!$F$1:$F$217,'Formula Dados Copasul'!J$4)</f>
        <v>88336.8</v>
      </c>
      <c r="K21" s="199">
        <f>+SUMIFS('Memória de Massa - 2025'!$K$1:$K$217,'Memória de Massa - 2025'!$B$1:$B$217,$A21,'Memória de Massa - 2025'!$F$1:$F$217,'Formula Dados Copasul'!K$4)</f>
        <v>93082.7</v>
      </c>
      <c r="L21" s="199">
        <f>+SUMIFS('Memória de Massa - 2025'!$K$1:$K$217,'Memória de Massa - 2025'!$B$1:$B$217,$A21,'Memória de Massa - 2025'!$F$1:$F$217,'Formula Dados Copasul'!L$4)</f>
        <v>94433.4</v>
      </c>
      <c r="M21" s="199">
        <f>+SUMIFS('Memória de Massa - 2025'!$K$1:$K$217,'Memória de Massa - 2025'!$B$1:$B$217,$A21,'Memória de Massa - 2025'!$F$1:$F$217,'Formula Dados Copasul'!M$4)</f>
        <v>95906.8</v>
      </c>
      <c r="N21" s="199">
        <f>+SUMIFS('Memória de Massa - 2025'!$K$1:$K$217,'Memória de Massa - 2025'!$B$1:$B$217,$A21,'Memória de Massa - 2025'!$F$1:$F$217,'Formula Dados Copasul'!N$4)</f>
        <v>107980.6</v>
      </c>
      <c r="O21" s="199">
        <f>+SUMIFS('Memória de Massa - 2025'!$K$1:$K$217,'Memória de Massa - 2025'!$B$1:$B$217,$A21,'Memória de Massa - 2025'!$F$1:$F$217,'Formula Dados Copasul'!O$4)</f>
        <v>106603.9</v>
      </c>
      <c r="Q21" s="200">
        <f>+SUM(D21:O21)</f>
        <v>1132410.2</v>
      </c>
      <c r="S21" s="200">
        <f>+Q21/12</f>
        <v>94367.516666666663</v>
      </c>
    </row>
    <row r="22" spans="1:19" ht="13.5" customHeight="1" x14ac:dyDescent="0.2">
      <c r="A22" s="185" t="s">
        <v>491</v>
      </c>
      <c r="B22" s="182" t="s">
        <v>492</v>
      </c>
      <c r="D22" s="199">
        <f>+SUMIFS('Memória de Massa - 2025'!$K$1:$K$217,'Memória de Massa - 2025'!$B$1:$B$217,$A22,'Memória de Massa - 2025'!$F$1:$F$217,'Formula Dados Copasul'!D$4)</f>
        <v>0</v>
      </c>
      <c r="E22" s="199">
        <f>+SUMIFS('Memória de Massa - 2025'!$K$1:$K$217,'Memória de Massa - 2025'!$B$1:$B$217,$A22,'Memória de Massa - 2025'!$F$1:$F$217,'Formula Dados Copasul'!E$4)</f>
        <v>190.1</v>
      </c>
      <c r="F22" s="199">
        <f>+SUMIFS('Memória de Massa - 2025'!$K$1:$K$217,'Memória de Massa - 2025'!$B$1:$B$217,$A22,'Memória de Massa - 2025'!$F$1:$F$217,'Formula Dados Copasul'!F$4)</f>
        <v>7913.8</v>
      </c>
      <c r="G22" s="199">
        <f>+SUMIFS('Memória de Massa - 2025'!$K$1:$K$217,'Memória de Massa - 2025'!$B$1:$B$217,$A22,'Memória de Massa - 2025'!$F$1:$F$217,'Formula Dados Copasul'!G$4)</f>
        <v>23902.799999999999</v>
      </c>
      <c r="H22" s="199">
        <f>+SUMIFS('Memória de Massa - 2025'!$K$1:$K$217,'Memória de Massa - 2025'!$B$1:$B$217,$A22,'Memória de Massa - 2025'!$F$1:$F$217,'Formula Dados Copasul'!H$4)</f>
        <v>28781.7</v>
      </c>
      <c r="I22" s="199">
        <f>+SUMIFS('Memória de Massa - 2025'!$K$1:$K$217,'Memória de Massa - 2025'!$B$1:$B$217,$A22,'Memória de Massa - 2025'!$F$1:$F$217,'Formula Dados Copasul'!I$4)</f>
        <v>20798.2</v>
      </c>
      <c r="J22" s="199">
        <f>+SUMIFS('Memória de Massa - 2025'!$K$1:$K$217,'Memória de Massa - 2025'!$B$1:$B$217,$A22,'Memória de Massa - 2025'!$F$1:$F$217,'Formula Dados Copasul'!J$4)</f>
        <v>37317.800000000003</v>
      </c>
      <c r="K22" s="199">
        <f>+SUMIFS('Memória de Massa - 2025'!$K$1:$K$217,'Memória de Massa - 2025'!$B$1:$B$217,$A22,'Memória de Massa - 2025'!$F$1:$F$217,'Formula Dados Copasul'!K$4)</f>
        <v>16177.9</v>
      </c>
      <c r="L22" s="199">
        <f>+SUMIFS('Memória de Massa - 2025'!$K$1:$K$217,'Memória de Massa - 2025'!$B$1:$B$217,$A22,'Memória de Massa - 2025'!$F$1:$F$217,'Formula Dados Copasul'!L$4)</f>
        <v>37738.800000000003</v>
      </c>
      <c r="M22" s="199">
        <f>+SUMIFS('Memória de Massa - 2025'!$K$1:$K$217,'Memória de Massa - 2025'!$B$1:$B$217,$A22,'Memória de Massa - 2025'!$F$1:$F$217,'Formula Dados Copasul'!M$4)</f>
        <v>40322</v>
      </c>
      <c r="N22" s="199">
        <f>+SUMIFS('Memória de Massa - 2025'!$K$1:$K$217,'Memória de Massa - 2025'!$B$1:$B$217,$A22,'Memória de Massa - 2025'!$F$1:$F$217,'Formula Dados Copasul'!N$4)</f>
        <v>36462.9</v>
      </c>
      <c r="O22" s="199">
        <f>+SUMIFS('Memória de Massa - 2025'!$K$1:$K$217,'Memória de Massa - 2025'!$B$1:$B$217,$A22,'Memória de Massa - 2025'!$F$1:$F$217,'Formula Dados Copasul'!O$4)</f>
        <v>19968.099999999999</v>
      </c>
      <c r="Q22" s="200">
        <f>+SUM(D22:O22)</f>
        <v>269574.10000000003</v>
      </c>
      <c r="S22" s="200">
        <f>+Q22/12</f>
        <v>22464.508333333335</v>
      </c>
    </row>
    <row r="23" spans="1:19" ht="13.5" customHeight="1" x14ac:dyDescent="0.2">
      <c r="D23" s="206"/>
    </row>
    <row r="24" spans="1:19" ht="12.75" customHeight="1" x14ac:dyDescent="0.2">
      <c r="B24" s="203" t="s">
        <v>493</v>
      </c>
      <c r="C24" s="204"/>
      <c r="D24" s="205">
        <f t="shared" ref="D24:O24" si="3">+SUM(D20:D22)</f>
        <v>197720.9</v>
      </c>
      <c r="E24" s="205">
        <f t="shared" si="3"/>
        <v>167446.39999999999</v>
      </c>
      <c r="F24" s="205">
        <f t="shared" si="3"/>
        <v>200833.89999999997</v>
      </c>
      <c r="G24" s="205">
        <f t="shared" si="3"/>
        <v>160337.9</v>
      </c>
      <c r="H24" s="205">
        <f t="shared" si="3"/>
        <v>198625.80000000002</v>
      </c>
      <c r="I24" s="205">
        <f t="shared" si="3"/>
        <v>153465.70000000001</v>
      </c>
      <c r="J24" s="205">
        <f t="shared" si="3"/>
        <v>202205.8</v>
      </c>
      <c r="K24" s="205">
        <f t="shared" si="3"/>
        <v>189076.19999999998</v>
      </c>
      <c r="L24" s="205">
        <f t="shared" si="3"/>
        <v>210375.2</v>
      </c>
      <c r="M24" s="205">
        <f t="shared" si="3"/>
        <v>209388.90000000002</v>
      </c>
      <c r="N24" s="205">
        <f t="shared" si="3"/>
        <v>235474</v>
      </c>
      <c r="O24" s="205">
        <f t="shared" si="3"/>
        <v>215203.69999999998</v>
      </c>
      <c r="P24" s="204"/>
      <c r="Q24" s="205">
        <f>+SUM(Q20:Q22)</f>
        <v>2340154.4</v>
      </c>
      <c r="R24" s="204"/>
      <c r="S24" s="205">
        <f>+SUM(S20:S22)</f>
        <v>195012.86666666667</v>
      </c>
    </row>
    <row r="25" spans="1:19" ht="13.5" customHeight="1" x14ac:dyDescent="0.2">
      <c r="D25" s="206"/>
    </row>
    <row r="26" spans="1:19" ht="13.5" customHeight="1" x14ac:dyDescent="0.2">
      <c r="A26" s="185" t="s">
        <v>487</v>
      </c>
      <c r="B26" s="182" t="s">
        <v>494</v>
      </c>
      <c r="D26" s="199">
        <f>+SUMIFS('Memória de Massa - 2025'!$L$1:$L$217,'Memória de Massa - 2025'!$B$1:$B$217,$A26,'Memória de Massa - 2025'!$F$1:$F$217,'Formula Dados Copasul'!D$4)</f>
        <v>54986</v>
      </c>
      <c r="E26" s="199">
        <f>+SUMIFS('Memória de Massa - 2025'!$L$1:$L$217,'Memória de Massa - 2025'!$B$1:$B$217,$A26,'Memória de Massa - 2025'!$F$1:$F$217,'Formula Dados Copasul'!E$4)</f>
        <v>188910</v>
      </c>
      <c r="F26" s="199">
        <f>+SUMIFS('Memória de Massa - 2025'!$L$1:$L$217,'Memória de Massa - 2025'!$B$1:$B$217,$A26,'Memória de Massa - 2025'!$F$1:$F$217,'Formula Dados Copasul'!F$4)</f>
        <v>32411</v>
      </c>
      <c r="G26" s="199">
        <f>+SUMIFS('Memória de Massa - 2025'!$L$1:$L$217,'Memória de Massa - 2025'!$B$1:$B$217,$A26,'Memória de Massa - 2025'!$F$1:$F$217,'Formula Dados Copasul'!G$4)</f>
        <v>41488</v>
      </c>
      <c r="H26" s="199">
        <f>+SUMIFS('Memória de Massa - 2025'!$L$1:$L$217,'Memória de Massa - 2025'!$B$1:$B$217,$A26,'Memória de Massa - 2025'!$F$1:$F$217,'Formula Dados Copasul'!H$4)</f>
        <v>55127</v>
      </c>
      <c r="I26" s="199">
        <f>+SUMIFS('Memória de Massa - 2025'!$L$1:$L$217,'Memória de Massa - 2025'!$B$1:$B$217,$A26,'Memória de Massa - 2025'!$F$1:$F$217,'Formula Dados Copasul'!I$4)</f>
        <v>24600</v>
      </c>
      <c r="J26" s="199">
        <f>+SUMIFS('Memória de Massa - 2025'!$L$1:$L$217,'Memória de Massa - 2025'!$B$1:$B$217,$A26,'Memória de Massa - 2025'!$F$1:$F$217,'Formula Dados Copasul'!J$4)</f>
        <v>10848</v>
      </c>
      <c r="K26" s="199">
        <f>+SUMIFS('Memória de Massa - 2025'!$L$1:$L$217,'Memória de Massa - 2025'!$B$1:$B$217,$A26,'Memória de Massa - 2025'!$F$1:$F$217,'Formula Dados Copasul'!K$4)</f>
        <v>37261</v>
      </c>
      <c r="L26" s="199">
        <f>+SUMIFS('Memória de Massa - 2025'!$L$1:$L$217,'Memória de Massa - 2025'!$B$1:$B$217,$A26,'Memória de Massa - 2025'!$F$1:$F$217,'Formula Dados Copasul'!L$4)</f>
        <v>75597</v>
      </c>
      <c r="M26" s="199">
        <f>+SUMIFS('Memória de Massa - 2025'!$L$1:$L$217,'Memória de Massa - 2025'!$B$1:$B$217,$A26,'Memória de Massa - 2025'!$F$1:$F$217,'Formula Dados Copasul'!M$4)</f>
        <v>9875</v>
      </c>
      <c r="N26" s="199">
        <f>+SUMIFS('Memória de Massa - 2025'!$L$1:$L$217,'Memória de Massa - 2025'!$B$1:$B$217,$A26,'Memória de Massa - 2025'!$F$1:$F$217,'Formula Dados Copasul'!N$4)</f>
        <v>7844</v>
      </c>
      <c r="O26" s="199">
        <f>+SUMIFS('Memória de Massa - 2025'!$L$1:$L$217,'Memória de Massa - 2025'!$B$1:$B$217,$A26,'Memória de Massa - 2025'!$F$1:$F$217,'Formula Dados Copasul'!O$4)</f>
        <v>8737</v>
      </c>
      <c r="Q26" s="200">
        <f>+SUM(D26:O26)</f>
        <v>547684</v>
      </c>
      <c r="S26" s="200">
        <f>+Q26/12</f>
        <v>45640.333333333336</v>
      </c>
    </row>
    <row r="27" spans="1:19" ht="13.5" customHeight="1" x14ac:dyDescent="0.2">
      <c r="A27" s="185" t="s">
        <v>489</v>
      </c>
      <c r="B27" s="182" t="s">
        <v>495</v>
      </c>
      <c r="D27" s="199">
        <f>+SUMIFS('Memória de Massa - 2025'!$L$1:$L$217,'Memória de Massa - 2025'!$B$1:$B$217,$A27,'Memória de Massa - 2025'!$F$1:$F$217,'Formula Dados Copasul'!D$4)</f>
        <v>6785</v>
      </c>
      <c r="E27" s="199">
        <f>+SUMIFS('Memória de Massa - 2025'!$L$1:$L$217,'Memória de Massa - 2025'!$B$1:$B$217,$A27,'Memória de Massa - 2025'!$F$1:$F$217,'Formula Dados Copasul'!E$4)</f>
        <v>36315</v>
      </c>
      <c r="F27" s="199">
        <f>+SUMIFS('Memória de Massa - 2025'!$L$1:$L$217,'Memória de Massa - 2025'!$B$1:$B$217,$A27,'Memória de Massa - 2025'!$F$1:$F$217,'Formula Dados Copasul'!F$4)</f>
        <v>63697</v>
      </c>
      <c r="G27" s="199">
        <f>+SUMIFS('Memória de Massa - 2025'!$L$1:$L$217,'Memória de Massa - 2025'!$B$1:$B$217,$A27,'Memória de Massa - 2025'!$F$1:$F$217,'Formula Dados Copasul'!G$4)</f>
        <v>38586</v>
      </c>
      <c r="H27" s="199">
        <f>+SUMIFS('Memória de Massa - 2025'!$L$1:$L$217,'Memória de Massa - 2025'!$B$1:$B$217,$A27,'Memória de Massa - 2025'!$F$1:$F$217,'Formula Dados Copasul'!H$4)</f>
        <v>37159</v>
      </c>
      <c r="I27" s="199">
        <f>+SUMIFS('Memória de Massa - 2025'!$L$1:$L$217,'Memória de Massa - 2025'!$B$1:$B$217,$A27,'Memória de Massa - 2025'!$F$1:$F$217,'Formula Dados Copasul'!I$4)</f>
        <v>36580</v>
      </c>
      <c r="J27" s="199">
        <f>+SUMIFS('Memória de Massa - 2025'!$L$1:$L$217,'Memória de Massa - 2025'!$B$1:$B$217,$A27,'Memória de Massa - 2025'!$F$1:$F$217,'Formula Dados Copasul'!J$4)</f>
        <v>64186</v>
      </c>
      <c r="K27" s="199">
        <f>+SUMIFS('Memória de Massa - 2025'!$L$1:$L$217,'Memória de Massa - 2025'!$B$1:$B$217,$A27,'Memória de Massa - 2025'!$F$1:$F$217,'Formula Dados Copasul'!K$4)</f>
        <v>59224</v>
      </c>
      <c r="L27" s="199">
        <f>+SUMIFS('Memória de Massa - 2025'!$L$1:$L$217,'Memória de Massa - 2025'!$B$1:$B$217,$A27,'Memória de Massa - 2025'!$F$1:$F$217,'Formula Dados Copasul'!L$4)</f>
        <v>29344</v>
      </c>
      <c r="M27" s="199">
        <f>+SUMIFS('Memória de Massa - 2025'!$L$1:$L$217,'Memória de Massa - 2025'!$B$1:$B$217,$A27,'Memória de Massa - 2025'!$F$1:$F$217,'Formula Dados Copasul'!M$4)</f>
        <v>6018</v>
      </c>
      <c r="N27" s="199">
        <f>+SUMIFS('Memória de Massa - 2025'!$L$1:$L$217,'Memória de Massa - 2025'!$B$1:$B$217,$A27,'Memória de Massa - 2025'!$F$1:$F$217,'Formula Dados Copasul'!N$4)</f>
        <v>5520</v>
      </c>
      <c r="O27" s="199">
        <f>+SUMIFS('Memória de Massa - 2025'!$L$1:$L$217,'Memória de Massa - 2025'!$B$1:$B$217,$A27,'Memória de Massa - 2025'!$F$1:$F$217,'Formula Dados Copasul'!O$4)</f>
        <v>5604</v>
      </c>
      <c r="Q27" s="200">
        <f>+SUM(D27:O27)</f>
        <v>389018</v>
      </c>
      <c r="S27" s="200">
        <f>+Q27/12</f>
        <v>32418.166666666668</v>
      </c>
    </row>
    <row r="28" spans="1:19" ht="13.5" customHeight="1" x14ac:dyDescent="0.2">
      <c r="A28" s="185" t="s">
        <v>491</v>
      </c>
      <c r="B28" s="182" t="s">
        <v>496</v>
      </c>
      <c r="D28" s="199">
        <f>+SUMIFS('Memória de Massa - 2025'!$L$1:$L$217,'Memória de Massa - 2025'!$B$1:$B$217,$A28,'Memória de Massa - 2025'!$F$1:$F$217,'Formula Dados Copasul'!D$4)</f>
        <v>0</v>
      </c>
      <c r="E28" s="199">
        <f>+SUMIFS('Memória de Massa - 2025'!$L$1:$L$217,'Memória de Massa - 2025'!$B$1:$B$217,$A28,'Memória de Massa - 2025'!$F$1:$F$217,'Formula Dados Copasul'!E$4)</f>
        <v>0</v>
      </c>
      <c r="F28" s="199">
        <f>+SUMIFS('Memória de Massa - 2025'!$L$1:$L$217,'Memória de Massa - 2025'!$B$1:$B$217,$A28,'Memória de Massa - 2025'!$F$1:$F$217,'Formula Dados Copasul'!F$4)</f>
        <v>419</v>
      </c>
      <c r="G28" s="199">
        <f>+SUMIFS('Memória de Massa - 2025'!$L$1:$L$217,'Memória de Massa - 2025'!$B$1:$B$217,$A28,'Memória de Massa - 2025'!$F$1:$F$217,'Formula Dados Copasul'!G$4)</f>
        <v>1423</v>
      </c>
      <c r="H28" s="199">
        <f>+SUMIFS('Memória de Massa - 2025'!$L$1:$L$217,'Memória de Massa - 2025'!$B$1:$B$217,$A28,'Memória de Massa - 2025'!$F$1:$F$217,'Formula Dados Copasul'!H$4)</f>
        <v>9127</v>
      </c>
      <c r="I28" s="199">
        <f>+SUMIFS('Memória de Massa - 2025'!$L$1:$L$217,'Memória de Massa - 2025'!$B$1:$B$217,$A28,'Memória de Massa - 2025'!$F$1:$F$217,'Formula Dados Copasul'!I$4)</f>
        <v>7190</v>
      </c>
      <c r="J28" s="199">
        <f>+SUMIFS('Memória de Massa - 2025'!$L$1:$L$217,'Memória de Massa - 2025'!$B$1:$B$217,$A28,'Memória de Massa - 2025'!$F$1:$F$217,'Formula Dados Copasul'!J$4)</f>
        <v>9165</v>
      </c>
      <c r="K28" s="199">
        <f>+SUMIFS('Memória de Massa - 2025'!$L$1:$L$217,'Memória de Massa - 2025'!$B$1:$B$217,$A28,'Memória de Massa - 2025'!$F$1:$F$217,'Formula Dados Copasul'!K$4)</f>
        <v>5142</v>
      </c>
      <c r="L28" s="199">
        <f>+SUMIFS('Memória de Massa - 2025'!$L$1:$L$217,'Memória de Massa - 2025'!$B$1:$B$217,$A28,'Memória de Massa - 2025'!$F$1:$F$217,'Formula Dados Copasul'!L$4)</f>
        <v>20709</v>
      </c>
      <c r="M28" s="199">
        <f>+SUMIFS('Memória de Massa - 2025'!$L$1:$L$217,'Memória de Massa - 2025'!$B$1:$B$217,$A28,'Memória de Massa - 2025'!$F$1:$F$217,'Formula Dados Copasul'!M$4)</f>
        <v>13835</v>
      </c>
      <c r="N28" s="199">
        <f>+SUMIFS('Memória de Massa - 2025'!$L$1:$L$217,'Memória de Massa - 2025'!$B$1:$B$217,$A28,'Memória de Massa - 2025'!$F$1:$F$217,'Formula Dados Copasul'!N$4)</f>
        <v>10246</v>
      </c>
      <c r="O28" s="199">
        <f>+SUMIFS('Memória de Massa - 2025'!$L$1:$L$217,'Memória de Massa - 2025'!$B$1:$B$217,$A28,'Memória de Massa - 2025'!$F$1:$F$217,'Formula Dados Copasul'!O$4)</f>
        <v>16944</v>
      </c>
      <c r="Q28" s="200">
        <f>+SUM(D28:O28)</f>
        <v>94200</v>
      </c>
      <c r="S28" s="200">
        <f>+Q28/12</f>
        <v>7850</v>
      </c>
    </row>
    <row r="29" spans="1:19" ht="13.5" customHeight="1" x14ac:dyDescent="0.2">
      <c r="D29" s="206"/>
    </row>
    <row r="30" spans="1:19" ht="12.75" customHeight="1" x14ac:dyDescent="0.2">
      <c r="B30" s="203" t="s">
        <v>497</v>
      </c>
      <c r="C30" s="204"/>
      <c r="D30" s="205">
        <f t="shared" ref="D30:O30" si="4">+SUM(D26:D28)</f>
        <v>61771</v>
      </c>
      <c r="E30" s="205">
        <f t="shared" si="4"/>
        <v>225225</v>
      </c>
      <c r="F30" s="205">
        <f t="shared" si="4"/>
        <v>96527</v>
      </c>
      <c r="G30" s="205">
        <f t="shared" si="4"/>
        <v>81497</v>
      </c>
      <c r="H30" s="205">
        <f t="shared" si="4"/>
        <v>101413</v>
      </c>
      <c r="I30" s="205">
        <f t="shared" si="4"/>
        <v>68370</v>
      </c>
      <c r="J30" s="205">
        <f t="shared" si="4"/>
        <v>84199</v>
      </c>
      <c r="K30" s="205">
        <f t="shared" si="4"/>
        <v>101627</v>
      </c>
      <c r="L30" s="205">
        <f t="shared" si="4"/>
        <v>125650</v>
      </c>
      <c r="M30" s="205">
        <f t="shared" si="4"/>
        <v>29728</v>
      </c>
      <c r="N30" s="205">
        <f t="shared" si="4"/>
        <v>23610</v>
      </c>
      <c r="O30" s="205">
        <f t="shared" si="4"/>
        <v>31285</v>
      </c>
      <c r="P30" s="204"/>
      <c r="Q30" s="205">
        <f>+SUM(Q26:Q28)</f>
        <v>1030902</v>
      </c>
      <c r="R30" s="204"/>
      <c r="S30" s="205">
        <f>+SUM(S26:S28)</f>
        <v>85908.5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E2CC"/>
  </sheetPr>
  <dimension ref="A1:R217"/>
  <sheetViews>
    <sheetView zoomScale="85" zoomScaleNormal="85" workbookViewId="0">
      <pane xSplit="2" ySplit="1" topLeftCell="G98" activePane="bottomRight" state="frozen"/>
      <selection pane="topRight" activeCell="G1" sqref="G1"/>
      <selection pane="bottomLeft" activeCell="A98" sqref="A98"/>
      <selection pane="bottomRight" activeCell="M24" sqref="M24"/>
    </sheetView>
  </sheetViews>
  <sheetFormatPr baseColWidth="10" defaultColWidth="12.5" defaultRowHeight="13" x14ac:dyDescent="0.2"/>
  <cols>
    <col min="1" max="1" width="12.5" style="182" customWidth="1"/>
    <col min="2" max="2" width="29.5" style="182" customWidth="1"/>
    <col min="3" max="3" width="18.5" style="182" customWidth="1"/>
    <col min="4" max="4" width="13.5" style="182" customWidth="1"/>
    <col min="5" max="5" width="16.6640625" style="182" customWidth="1"/>
    <col min="6" max="6" width="10.83203125" style="182" customWidth="1"/>
    <col min="7" max="7" width="21.5" style="182" customWidth="1"/>
    <col min="8" max="8" width="29.1640625" style="182" customWidth="1"/>
    <col min="9" max="9" width="20.1640625" style="182" customWidth="1"/>
    <col min="10" max="10" width="24.33203125" style="182" customWidth="1"/>
    <col min="11" max="11" width="20.83203125" style="182" customWidth="1"/>
    <col min="12" max="12" width="25.5" style="182" customWidth="1"/>
    <col min="13" max="14" width="12.5" style="182" customWidth="1"/>
    <col min="15" max="15" width="15.83203125" style="182" customWidth="1"/>
    <col min="16" max="16" width="32" style="182" customWidth="1"/>
    <col min="17" max="29" width="12.5" style="182" customWidth="1"/>
    <col min="30" max="16384" width="12.5" style="182"/>
  </cols>
  <sheetData>
    <row r="1" spans="1:18" ht="12.75" customHeight="1" x14ac:dyDescent="0.2">
      <c r="B1" s="208" t="s">
        <v>498</v>
      </c>
      <c r="C1" s="208" t="s">
        <v>499</v>
      </c>
      <c r="D1" s="208" t="s">
        <v>500</v>
      </c>
      <c r="E1" s="208" t="s">
        <v>66</v>
      </c>
      <c r="F1" s="208" t="s">
        <v>35</v>
      </c>
      <c r="G1" s="209" t="s">
        <v>501</v>
      </c>
      <c r="H1" s="209" t="s">
        <v>502</v>
      </c>
      <c r="I1" s="209" t="s">
        <v>503</v>
      </c>
      <c r="J1" s="209" t="s">
        <v>504</v>
      </c>
      <c r="K1" s="210" t="s">
        <v>505</v>
      </c>
      <c r="L1" s="210" t="s">
        <v>506</v>
      </c>
      <c r="O1" s="182" t="s">
        <v>507</v>
      </c>
      <c r="P1" s="182" t="s">
        <v>508</v>
      </c>
      <c r="R1" s="182" t="s">
        <v>509</v>
      </c>
    </row>
    <row r="2" spans="1:18" ht="12" hidden="1" customHeight="1" x14ac:dyDescent="0.2">
      <c r="A2" s="182" t="s">
        <v>476</v>
      </c>
      <c r="B2" s="185" t="s">
        <v>94</v>
      </c>
      <c r="C2" s="211" t="s">
        <v>510</v>
      </c>
      <c r="D2" s="211" t="s">
        <v>511</v>
      </c>
      <c r="E2" s="211" t="s">
        <v>512</v>
      </c>
      <c r="F2" s="206">
        <v>45992</v>
      </c>
      <c r="G2" s="212"/>
      <c r="H2" s="212">
        <v>518</v>
      </c>
      <c r="I2" s="212"/>
      <c r="J2" s="212"/>
      <c r="K2" s="212"/>
      <c r="L2" s="212"/>
    </row>
    <row r="3" spans="1:18" ht="12" hidden="1" customHeight="1" x14ac:dyDescent="0.2">
      <c r="A3" s="182" t="s">
        <v>476</v>
      </c>
      <c r="B3" s="185" t="s">
        <v>94</v>
      </c>
      <c r="C3" s="211" t="s">
        <v>510</v>
      </c>
      <c r="D3" s="211" t="s">
        <v>511</v>
      </c>
      <c r="E3" s="211" t="s">
        <v>512</v>
      </c>
      <c r="F3" s="206">
        <v>45962</v>
      </c>
      <c r="G3" s="212"/>
      <c r="H3" s="212">
        <v>467</v>
      </c>
      <c r="I3" s="212"/>
      <c r="J3" s="212"/>
      <c r="K3" s="212"/>
      <c r="L3" s="212"/>
    </row>
    <row r="4" spans="1:18" ht="12" hidden="1" customHeight="1" x14ac:dyDescent="0.2">
      <c r="A4" s="182" t="s">
        <v>476</v>
      </c>
      <c r="B4" s="185" t="s">
        <v>94</v>
      </c>
      <c r="C4" s="211" t="s">
        <v>510</v>
      </c>
      <c r="D4" s="211" t="s">
        <v>511</v>
      </c>
      <c r="E4" s="211" t="s">
        <v>512</v>
      </c>
      <c r="F4" s="206">
        <v>45931</v>
      </c>
      <c r="G4" s="212"/>
      <c r="H4" s="212">
        <v>596</v>
      </c>
      <c r="I4" s="212"/>
      <c r="J4" s="212"/>
      <c r="K4" s="212"/>
      <c r="L4" s="212"/>
    </row>
    <row r="5" spans="1:18" ht="12" hidden="1" customHeight="1" x14ac:dyDescent="0.2">
      <c r="A5" s="182" t="s">
        <v>476</v>
      </c>
      <c r="B5" s="185" t="s">
        <v>94</v>
      </c>
      <c r="C5" s="211" t="s">
        <v>510</v>
      </c>
      <c r="D5" s="211" t="s">
        <v>511</v>
      </c>
      <c r="E5" s="211" t="s">
        <v>512</v>
      </c>
      <c r="F5" s="206">
        <v>45901</v>
      </c>
      <c r="G5" s="212"/>
      <c r="H5" s="212">
        <v>523</v>
      </c>
      <c r="I5" s="212"/>
      <c r="J5" s="212"/>
      <c r="K5" s="212"/>
      <c r="L5" s="212"/>
    </row>
    <row r="6" spans="1:18" ht="12" hidden="1" customHeight="1" x14ac:dyDescent="0.2">
      <c r="A6" s="182" t="s">
        <v>476</v>
      </c>
      <c r="B6" s="185" t="s">
        <v>94</v>
      </c>
      <c r="C6" s="211" t="s">
        <v>510</v>
      </c>
      <c r="D6" s="211" t="s">
        <v>511</v>
      </c>
      <c r="E6" s="211" t="s">
        <v>512</v>
      </c>
      <c r="F6" s="206">
        <v>45870</v>
      </c>
      <c r="G6" s="212"/>
      <c r="H6" s="212">
        <v>1194</v>
      </c>
      <c r="I6" s="212"/>
      <c r="J6" s="212"/>
      <c r="K6" s="212"/>
      <c r="L6" s="212"/>
    </row>
    <row r="7" spans="1:18" ht="12" hidden="1" customHeight="1" x14ac:dyDescent="0.2">
      <c r="A7" s="182" t="s">
        <v>476</v>
      </c>
      <c r="B7" s="185" t="s">
        <v>94</v>
      </c>
      <c r="C7" s="211" t="s">
        <v>510</v>
      </c>
      <c r="D7" s="211" t="s">
        <v>511</v>
      </c>
      <c r="E7" s="211" t="s">
        <v>512</v>
      </c>
      <c r="F7" s="206">
        <v>45839</v>
      </c>
      <c r="G7" s="212"/>
      <c r="H7" s="212">
        <v>1194</v>
      </c>
      <c r="I7" s="212"/>
      <c r="J7" s="212"/>
      <c r="K7" s="212"/>
      <c r="L7" s="212"/>
    </row>
    <row r="8" spans="1:18" ht="12" hidden="1" customHeight="1" x14ac:dyDescent="0.2">
      <c r="A8" s="182" t="s">
        <v>476</v>
      </c>
      <c r="B8" s="185" t="s">
        <v>94</v>
      </c>
      <c r="C8" s="211" t="s">
        <v>510</v>
      </c>
      <c r="D8" s="211" t="s">
        <v>511</v>
      </c>
      <c r="E8" s="211" t="s">
        <v>512</v>
      </c>
      <c r="F8" s="206">
        <v>45809</v>
      </c>
      <c r="G8" s="212"/>
      <c r="H8" s="212">
        <v>275</v>
      </c>
      <c r="I8" s="212"/>
      <c r="J8" s="212"/>
      <c r="K8" s="212"/>
      <c r="L8" s="212"/>
    </row>
    <row r="9" spans="1:18" ht="12" hidden="1" customHeight="1" x14ac:dyDescent="0.2">
      <c r="A9" s="182" t="s">
        <v>476</v>
      </c>
      <c r="B9" s="185" t="s">
        <v>94</v>
      </c>
      <c r="C9" s="211" t="s">
        <v>510</v>
      </c>
      <c r="D9" s="211" t="s">
        <v>511</v>
      </c>
      <c r="E9" s="211" t="s">
        <v>512</v>
      </c>
      <c r="F9" s="206">
        <v>45778</v>
      </c>
      <c r="G9" s="212"/>
      <c r="H9" s="212">
        <v>272</v>
      </c>
      <c r="I9" s="212"/>
      <c r="J9" s="212"/>
      <c r="K9" s="212"/>
      <c r="L9" s="212"/>
    </row>
    <row r="10" spans="1:18" ht="12" hidden="1" customHeight="1" x14ac:dyDescent="0.2">
      <c r="A10" s="182" t="s">
        <v>476</v>
      </c>
      <c r="B10" s="185" t="s">
        <v>94</v>
      </c>
      <c r="C10" s="211" t="s">
        <v>510</v>
      </c>
      <c r="D10" s="211" t="s">
        <v>511</v>
      </c>
      <c r="E10" s="211" t="s">
        <v>512</v>
      </c>
      <c r="F10" s="206">
        <v>45748</v>
      </c>
      <c r="G10" s="212"/>
      <c r="H10" s="212">
        <v>259</v>
      </c>
      <c r="I10" s="212"/>
      <c r="J10" s="212"/>
      <c r="K10" s="212"/>
      <c r="L10" s="212"/>
    </row>
    <row r="11" spans="1:18" ht="12" hidden="1" customHeight="1" x14ac:dyDescent="0.2">
      <c r="A11" s="182" t="s">
        <v>476</v>
      </c>
      <c r="B11" s="185" t="s">
        <v>94</v>
      </c>
      <c r="C11" s="211" t="s">
        <v>510</v>
      </c>
      <c r="D11" s="211" t="s">
        <v>511</v>
      </c>
      <c r="E11" s="211" t="s">
        <v>512</v>
      </c>
      <c r="F11" s="206">
        <v>45717</v>
      </c>
      <c r="G11" s="212"/>
      <c r="H11" s="212">
        <v>258</v>
      </c>
      <c r="I11" s="212"/>
      <c r="J11" s="212"/>
      <c r="K11" s="212"/>
      <c r="L11" s="212"/>
    </row>
    <row r="12" spans="1:18" ht="12" hidden="1" customHeight="1" x14ac:dyDescent="0.2">
      <c r="A12" s="182" t="s">
        <v>476</v>
      </c>
      <c r="B12" s="185" t="s">
        <v>94</v>
      </c>
      <c r="C12" s="211" t="s">
        <v>510</v>
      </c>
      <c r="D12" s="211" t="s">
        <v>511</v>
      </c>
      <c r="E12" s="211" t="s">
        <v>512</v>
      </c>
      <c r="F12" s="206">
        <v>45689</v>
      </c>
      <c r="G12" s="212"/>
      <c r="H12" s="212">
        <v>305</v>
      </c>
      <c r="I12" s="212"/>
      <c r="J12" s="212"/>
      <c r="K12" s="212"/>
      <c r="L12" s="212"/>
    </row>
    <row r="13" spans="1:18" ht="12" hidden="1" customHeight="1" x14ac:dyDescent="0.2">
      <c r="A13" s="182" t="s">
        <v>476</v>
      </c>
      <c r="B13" s="185" t="s">
        <v>94</v>
      </c>
      <c r="C13" s="211" t="s">
        <v>510</v>
      </c>
      <c r="D13" s="211" t="s">
        <v>511</v>
      </c>
      <c r="E13" s="211" t="s">
        <v>512</v>
      </c>
      <c r="F13" s="206">
        <v>45658</v>
      </c>
      <c r="G13" s="212"/>
      <c r="H13" s="212">
        <v>264</v>
      </c>
      <c r="I13" s="212"/>
      <c r="J13" s="212"/>
      <c r="K13" s="212"/>
      <c r="L13" s="212"/>
    </row>
    <row r="14" spans="1:18" ht="12" hidden="1" customHeight="1" x14ac:dyDescent="0.2">
      <c r="A14" s="182" t="s">
        <v>476</v>
      </c>
      <c r="B14" s="185" t="s">
        <v>82</v>
      </c>
      <c r="C14" s="211" t="s">
        <v>510</v>
      </c>
      <c r="D14" s="211" t="s">
        <v>513</v>
      </c>
      <c r="E14" s="211" t="s">
        <v>512</v>
      </c>
      <c r="F14" s="206">
        <v>45992</v>
      </c>
      <c r="G14" s="212"/>
      <c r="H14" s="212">
        <v>670</v>
      </c>
      <c r="I14" s="212"/>
      <c r="J14" s="212"/>
      <c r="K14" s="212"/>
      <c r="L14" s="212"/>
    </row>
    <row r="15" spans="1:18" ht="12" hidden="1" customHeight="1" x14ac:dyDescent="0.2">
      <c r="A15" s="182" t="s">
        <v>476</v>
      </c>
      <c r="B15" s="185" t="s">
        <v>82</v>
      </c>
      <c r="C15" s="211" t="s">
        <v>510</v>
      </c>
      <c r="D15" s="211" t="s">
        <v>513</v>
      </c>
      <c r="E15" s="211" t="s">
        <v>512</v>
      </c>
      <c r="F15" s="206">
        <v>45962</v>
      </c>
      <c r="G15" s="212"/>
      <c r="H15" s="212">
        <v>769</v>
      </c>
      <c r="I15" s="212"/>
      <c r="J15" s="212"/>
      <c r="K15" s="212"/>
      <c r="L15" s="212"/>
    </row>
    <row r="16" spans="1:18" ht="12" hidden="1" customHeight="1" x14ac:dyDescent="0.2">
      <c r="A16" s="182" t="s">
        <v>476</v>
      </c>
      <c r="B16" s="185" t="s">
        <v>82</v>
      </c>
      <c r="C16" s="211" t="s">
        <v>510</v>
      </c>
      <c r="D16" s="211" t="s">
        <v>513</v>
      </c>
      <c r="E16" s="211" t="s">
        <v>512</v>
      </c>
      <c r="F16" s="206">
        <v>45931</v>
      </c>
      <c r="G16" s="212"/>
      <c r="H16" s="212">
        <v>752</v>
      </c>
      <c r="I16" s="212"/>
      <c r="J16" s="212"/>
      <c r="K16" s="212"/>
      <c r="L16" s="212"/>
    </row>
    <row r="17" spans="1:12" ht="12" hidden="1" customHeight="1" x14ac:dyDescent="0.2">
      <c r="A17" s="182" t="s">
        <v>476</v>
      </c>
      <c r="B17" s="185" t="s">
        <v>82</v>
      </c>
      <c r="C17" s="211" t="s">
        <v>510</v>
      </c>
      <c r="D17" s="211" t="s">
        <v>513</v>
      </c>
      <c r="E17" s="211" t="s">
        <v>512</v>
      </c>
      <c r="F17" s="206">
        <v>45901</v>
      </c>
      <c r="G17" s="212"/>
      <c r="H17" s="212">
        <v>674</v>
      </c>
      <c r="I17" s="212"/>
      <c r="J17" s="212"/>
      <c r="K17" s="212"/>
      <c r="L17" s="212"/>
    </row>
    <row r="18" spans="1:12" ht="12" hidden="1" customHeight="1" x14ac:dyDescent="0.2">
      <c r="A18" s="182" t="s">
        <v>476</v>
      </c>
      <c r="B18" s="185" t="s">
        <v>82</v>
      </c>
      <c r="C18" s="211" t="s">
        <v>510</v>
      </c>
      <c r="D18" s="211" t="s">
        <v>513</v>
      </c>
      <c r="E18" s="211" t="s">
        <v>512</v>
      </c>
      <c r="F18" s="206">
        <v>45870</v>
      </c>
      <c r="G18" s="212"/>
      <c r="H18" s="212">
        <v>369</v>
      </c>
      <c r="I18" s="212"/>
      <c r="J18" s="212"/>
      <c r="K18" s="212"/>
      <c r="L18" s="212"/>
    </row>
    <row r="19" spans="1:12" ht="12" hidden="1" customHeight="1" x14ac:dyDescent="0.2">
      <c r="A19" s="182" t="s">
        <v>476</v>
      </c>
      <c r="B19" s="185" t="s">
        <v>82</v>
      </c>
      <c r="C19" s="211" t="s">
        <v>510</v>
      </c>
      <c r="D19" s="211" t="s">
        <v>513</v>
      </c>
      <c r="E19" s="211" t="s">
        <v>512</v>
      </c>
      <c r="F19" s="206">
        <v>45839</v>
      </c>
      <c r="G19" s="212"/>
      <c r="H19" s="212">
        <v>293</v>
      </c>
      <c r="I19" s="212"/>
      <c r="J19" s="212"/>
      <c r="K19" s="212"/>
      <c r="L19" s="212"/>
    </row>
    <row r="20" spans="1:12" ht="12" hidden="1" customHeight="1" x14ac:dyDescent="0.2">
      <c r="A20" s="182" t="s">
        <v>476</v>
      </c>
      <c r="B20" s="185" t="s">
        <v>82</v>
      </c>
      <c r="C20" s="211" t="s">
        <v>510</v>
      </c>
      <c r="D20" s="211" t="s">
        <v>513</v>
      </c>
      <c r="E20" s="211" t="s">
        <v>512</v>
      </c>
      <c r="F20" s="206">
        <v>45809</v>
      </c>
      <c r="G20" s="212"/>
      <c r="H20" s="212">
        <v>364</v>
      </c>
      <c r="I20" s="212"/>
      <c r="J20" s="212"/>
      <c r="K20" s="212"/>
      <c r="L20" s="212"/>
    </row>
    <row r="21" spans="1:12" ht="12" hidden="1" customHeight="1" x14ac:dyDescent="0.2">
      <c r="A21" s="182" t="s">
        <v>476</v>
      </c>
      <c r="B21" s="185" t="s">
        <v>82</v>
      </c>
      <c r="C21" s="211" t="s">
        <v>510</v>
      </c>
      <c r="D21" s="211" t="s">
        <v>513</v>
      </c>
      <c r="E21" s="211" t="s">
        <v>512</v>
      </c>
      <c r="F21" s="206">
        <v>45778</v>
      </c>
      <c r="G21" s="212"/>
      <c r="H21" s="212">
        <v>595</v>
      </c>
      <c r="I21" s="212"/>
      <c r="J21" s="212"/>
      <c r="K21" s="212"/>
      <c r="L21" s="212"/>
    </row>
    <row r="22" spans="1:12" ht="12" hidden="1" customHeight="1" x14ac:dyDescent="0.2">
      <c r="A22" s="182" t="s">
        <v>476</v>
      </c>
      <c r="B22" s="185" t="s">
        <v>82</v>
      </c>
      <c r="C22" s="211" t="s">
        <v>510</v>
      </c>
      <c r="D22" s="211" t="s">
        <v>513</v>
      </c>
      <c r="E22" s="211" t="s">
        <v>512</v>
      </c>
      <c r="F22" s="206">
        <v>45748</v>
      </c>
      <c r="G22" s="212"/>
      <c r="H22" s="212">
        <v>528</v>
      </c>
      <c r="I22" s="212"/>
      <c r="J22" s="212"/>
      <c r="K22" s="212"/>
      <c r="L22" s="212"/>
    </row>
    <row r="23" spans="1:12" ht="12" hidden="1" customHeight="1" x14ac:dyDescent="0.2">
      <c r="A23" s="182" t="s">
        <v>476</v>
      </c>
      <c r="B23" s="185" t="s">
        <v>82</v>
      </c>
      <c r="C23" s="211" t="s">
        <v>510</v>
      </c>
      <c r="D23" s="211" t="s">
        <v>513</v>
      </c>
      <c r="E23" s="211" t="s">
        <v>512</v>
      </c>
      <c r="F23" s="206">
        <v>45717</v>
      </c>
      <c r="G23" s="212"/>
      <c r="H23" s="212">
        <v>944</v>
      </c>
      <c r="I23" s="212"/>
      <c r="J23" s="212"/>
      <c r="K23" s="212"/>
      <c r="L23" s="212"/>
    </row>
    <row r="24" spans="1:12" ht="12" hidden="1" customHeight="1" x14ac:dyDescent="0.2">
      <c r="A24" s="182" t="s">
        <v>476</v>
      </c>
      <c r="B24" s="185" t="s">
        <v>82</v>
      </c>
      <c r="C24" s="211" t="s">
        <v>510</v>
      </c>
      <c r="D24" s="211" t="s">
        <v>513</v>
      </c>
      <c r="E24" s="211" t="s">
        <v>512</v>
      </c>
      <c r="F24" s="206">
        <v>45689</v>
      </c>
      <c r="G24" s="212"/>
      <c r="H24" s="212">
        <v>895</v>
      </c>
      <c r="I24" s="212"/>
      <c r="J24" s="212"/>
      <c r="K24" s="212"/>
      <c r="L24" s="212"/>
    </row>
    <row r="25" spans="1:12" ht="12" hidden="1" customHeight="1" x14ac:dyDescent="0.2">
      <c r="A25" s="182" t="s">
        <v>476</v>
      </c>
      <c r="B25" s="185" t="s">
        <v>82</v>
      </c>
      <c r="C25" s="211" t="s">
        <v>510</v>
      </c>
      <c r="D25" s="211" t="s">
        <v>513</v>
      </c>
      <c r="E25" s="211" t="s">
        <v>512</v>
      </c>
      <c r="F25" s="206">
        <v>45658</v>
      </c>
      <c r="G25" s="212"/>
      <c r="H25" s="212">
        <v>389</v>
      </c>
      <c r="I25" s="212"/>
      <c r="J25" s="212"/>
      <c r="K25" s="212"/>
      <c r="L25" s="212"/>
    </row>
    <row r="26" spans="1:12" ht="12" hidden="1" customHeight="1" x14ac:dyDescent="0.2">
      <c r="A26" s="182" t="s">
        <v>476</v>
      </c>
      <c r="B26" s="185" t="s">
        <v>102</v>
      </c>
      <c r="C26" s="211" t="s">
        <v>514</v>
      </c>
      <c r="D26" s="211" t="s">
        <v>515</v>
      </c>
      <c r="E26" s="211" t="s">
        <v>516</v>
      </c>
      <c r="F26" s="206">
        <v>45992</v>
      </c>
      <c r="G26" s="212"/>
      <c r="H26" s="212">
        <v>148</v>
      </c>
      <c r="I26" s="212"/>
      <c r="J26" s="212"/>
      <c r="K26" s="212"/>
      <c r="L26" s="212"/>
    </row>
    <row r="27" spans="1:12" ht="12" hidden="1" customHeight="1" x14ac:dyDescent="0.2">
      <c r="A27" s="182" t="s">
        <v>476</v>
      </c>
      <c r="B27" s="185" t="s">
        <v>102</v>
      </c>
      <c r="C27" s="211" t="s">
        <v>514</v>
      </c>
      <c r="D27" s="211" t="s">
        <v>515</v>
      </c>
      <c r="E27" s="211" t="s">
        <v>516</v>
      </c>
      <c r="F27" s="206">
        <v>45962</v>
      </c>
      <c r="G27" s="212"/>
      <c r="H27" s="212">
        <v>150</v>
      </c>
      <c r="I27" s="212"/>
      <c r="J27" s="212"/>
      <c r="K27" s="212"/>
      <c r="L27" s="212"/>
    </row>
    <row r="28" spans="1:12" ht="12" hidden="1" customHeight="1" x14ac:dyDescent="0.2">
      <c r="A28" s="182" t="s">
        <v>476</v>
      </c>
      <c r="B28" s="185" t="s">
        <v>102</v>
      </c>
      <c r="C28" s="211" t="s">
        <v>514</v>
      </c>
      <c r="D28" s="211" t="s">
        <v>515</v>
      </c>
      <c r="E28" s="211" t="s">
        <v>516</v>
      </c>
      <c r="F28" s="206">
        <v>45931</v>
      </c>
      <c r="G28" s="212"/>
      <c r="H28" s="212">
        <v>151</v>
      </c>
      <c r="I28" s="212"/>
      <c r="J28" s="212"/>
      <c r="K28" s="212"/>
      <c r="L28" s="212"/>
    </row>
    <row r="29" spans="1:12" ht="12" hidden="1" customHeight="1" x14ac:dyDescent="0.2">
      <c r="A29" s="182" t="s">
        <v>476</v>
      </c>
      <c r="B29" s="185" t="s">
        <v>102</v>
      </c>
      <c r="C29" s="211" t="s">
        <v>514</v>
      </c>
      <c r="D29" s="211" t="s">
        <v>515</v>
      </c>
      <c r="E29" s="211" t="s">
        <v>516</v>
      </c>
      <c r="F29" s="206">
        <v>45901</v>
      </c>
      <c r="G29" s="212"/>
      <c r="H29" s="212">
        <v>153</v>
      </c>
      <c r="I29" s="212"/>
      <c r="J29" s="212"/>
      <c r="K29" s="212"/>
      <c r="L29" s="212"/>
    </row>
    <row r="30" spans="1:12" ht="12" hidden="1" customHeight="1" x14ac:dyDescent="0.2">
      <c r="A30" s="182" t="s">
        <v>476</v>
      </c>
      <c r="B30" s="185" t="s">
        <v>102</v>
      </c>
      <c r="C30" s="211" t="s">
        <v>514</v>
      </c>
      <c r="D30" s="211" t="s">
        <v>515</v>
      </c>
      <c r="E30" s="211" t="s">
        <v>516</v>
      </c>
      <c r="F30" s="206">
        <v>45870</v>
      </c>
      <c r="G30" s="212"/>
      <c r="H30" s="212">
        <v>155</v>
      </c>
      <c r="I30" s="212"/>
      <c r="J30" s="212"/>
      <c r="K30" s="212"/>
      <c r="L30" s="212"/>
    </row>
    <row r="31" spans="1:12" ht="12" hidden="1" customHeight="1" x14ac:dyDescent="0.2">
      <c r="A31" s="182" t="s">
        <v>476</v>
      </c>
      <c r="B31" s="185" t="s">
        <v>102</v>
      </c>
      <c r="C31" s="211" t="s">
        <v>514</v>
      </c>
      <c r="D31" s="211" t="s">
        <v>515</v>
      </c>
      <c r="E31" s="211" t="s">
        <v>516</v>
      </c>
      <c r="F31" s="206">
        <v>45839</v>
      </c>
      <c r="G31" s="212"/>
      <c r="H31" s="212">
        <v>156</v>
      </c>
      <c r="I31" s="212"/>
      <c r="J31" s="212"/>
      <c r="K31" s="212"/>
      <c r="L31" s="212"/>
    </row>
    <row r="32" spans="1:12" ht="12" hidden="1" customHeight="1" x14ac:dyDescent="0.2">
      <c r="A32" s="182" t="s">
        <v>476</v>
      </c>
      <c r="B32" s="185" t="s">
        <v>102</v>
      </c>
      <c r="C32" s="211" t="s">
        <v>514</v>
      </c>
      <c r="D32" s="211" t="s">
        <v>515</v>
      </c>
      <c r="E32" s="211" t="s">
        <v>516</v>
      </c>
      <c r="F32" s="206">
        <v>45809</v>
      </c>
      <c r="G32" s="212"/>
      <c r="H32" s="212">
        <v>158</v>
      </c>
      <c r="I32" s="212"/>
      <c r="J32" s="212"/>
      <c r="K32" s="212"/>
      <c r="L32" s="212"/>
    </row>
    <row r="33" spans="1:12" ht="12" hidden="1" customHeight="1" x14ac:dyDescent="0.2">
      <c r="A33" s="182" t="s">
        <v>476</v>
      </c>
      <c r="B33" s="185" t="s">
        <v>102</v>
      </c>
      <c r="C33" s="211" t="s">
        <v>514</v>
      </c>
      <c r="D33" s="211" t="s">
        <v>515</v>
      </c>
      <c r="E33" s="211" t="s">
        <v>516</v>
      </c>
      <c r="F33" s="206">
        <v>45778</v>
      </c>
      <c r="G33" s="212"/>
      <c r="H33" s="212">
        <v>159</v>
      </c>
      <c r="I33" s="212"/>
      <c r="J33" s="212"/>
      <c r="K33" s="212"/>
      <c r="L33" s="212"/>
    </row>
    <row r="34" spans="1:12" ht="12" hidden="1" customHeight="1" x14ac:dyDescent="0.2">
      <c r="A34" s="182" t="s">
        <v>476</v>
      </c>
      <c r="B34" s="185" t="s">
        <v>102</v>
      </c>
      <c r="C34" s="211" t="s">
        <v>514</v>
      </c>
      <c r="D34" s="211" t="s">
        <v>515</v>
      </c>
      <c r="E34" s="211" t="s">
        <v>516</v>
      </c>
      <c r="F34" s="206">
        <v>45748</v>
      </c>
      <c r="G34" s="212"/>
      <c r="H34" s="212">
        <v>160</v>
      </c>
      <c r="I34" s="212"/>
      <c r="J34" s="212"/>
      <c r="K34" s="212"/>
      <c r="L34" s="212"/>
    </row>
    <row r="35" spans="1:12" ht="12" hidden="1" customHeight="1" x14ac:dyDescent="0.2">
      <c r="A35" s="182" t="s">
        <v>476</v>
      </c>
      <c r="B35" s="185" t="s">
        <v>102</v>
      </c>
      <c r="C35" s="211" t="s">
        <v>514</v>
      </c>
      <c r="D35" s="211" t="s">
        <v>515</v>
      </c>
      <c r="E35" s="211" t="s">
        <v>516</v>
      </c>
      <c r="F35" s="206">
        <v>45717</v>
      </c>
      <c r="G35" s="212"/>
      <c r="H35" s="212">
        <v>161</v>
      </c>
      <c r="I35" s="212"/>
      <c r="J35" s="212"/>
      <c r="K35" s="212"/>
      <c r="L35" s="212"/>
    </row>
    <row r="36" spans="1:12" ht="12" hidden="1" customHeight="1" x14ac:dyDescent="0.2">
      <c r="A36" s="182" t="s">
        <v>476</v>
      </c>
      <c r="B36" s="185" t="s">
        <v>102</v>
      </c>
      <c r="C36" s="211" t="s">
        <v>514</v>
      </c>
      <c r="D36" s="211" t="s">
        <v>515</v>
      </c>
      <c r="E36" s="211" t="s">
        <v>516</v>
      </c>
      <c r="F36" s="206">
        <v>45689</v>
      </c>
      <c r="G36" s="212"/>
      <c r="H36" s="212">
        <v>162</v>
      </c>
      <c r="I36" s="212"/>
      <c r="J36" s="212"/>
      <c r="K36" s="212"/>
      <c r="L36" s="212"/>
    </row>
    <row r="37" spans="1:12" ht="12" hidden="1" customHeight="1" x14ac:dyDescent="0.2">
      <c r="A37" s="182" t="s">
        <v>476</v>
      </c>
      <c r="B37" s="185" t="s">
        <v>102</v>
      </c>
      <c r="C37" s="211" t="s">
        <v>514</v>
      </c>
      <c r="D37" s="211" t="s">
        <v>515</v>
      </c>
      <c r="E37" s="211" t="s">
        <v>516</v>
      </c>
      <c r="F37" s="206">
        <v>45658</v>
      </c>
      <c r="G37" s="212"/>
      <c r="H37" s="212">
        <v>163</v>
      </c>
      <c r="I37" s="212"/>
      <c r="J37" s="212"/>
      <c r="K37" s="212"/>
      <c r="L37" s="212"/>
    </row>
    <row r="38" spans="1:12" ht="12" hidden="1" customHeight="1" x14ac:dyDescent="0.2">
      <c r="A38" s="182" t="s">
        <v>476</v>
      </c>
      <c r="B38" s="185" t="s">
        <v>517</v>
      </c>
      <c r="C38" s="211" t="s">
        <v>514</v>
      </c>
      <c r="D38" s="211" t="s">
        <v>518</v>
      </c>
      <c r="E38" s="211" t="s">
        <v>512</v>
      </c>
      <c r="F38" s="206">
        <v>45992</v>
      </c>
      <c r="G38" s="212"/>
      <c r="H38" s="212">
        <v>450</v>
      </c>
      <c r="I38" s="212"/>
      <c r="J38" s="212"/>
      <c r="K38" s="212"/>
      <c r="L38" s="212"/>
    </row>
    <row r="39" spans="1:12" ht="12" hidden="1" customHeight="1" x14ac:dyDescent="0.2">
      <c r="A39" s="182" t="s">
        <v>476</v>
      </c>
      <c r="B39" s="185" t="s">
        <v>517</v>
      </c>
      <c r="C39" s="211" t="s">
        <v>514</v>
      </c>
      <c r="D39" s="211" t="s">
        <v>518</v>
      </c>
      <c r="E39" s="211" t="s">
        <v>512</v>
      </c>
      <c r="F39" s="206">
        <v>45962</v>
      </c>
      <c r="G39" s="212"/>
      <c r="H39" s="212">
        <v>450</v>
      </c>
      <c r="I39" s="212"/>
      <c r="J39" s="212"/>
      <c r="K39" s="212"/>
      <c r="L39" s="212"/>
    </row>
    <row r="40" spans="1:12" ht="12" hidden="1" customHeight="1" x14ac:dyDescent="0.2">
      <c r="A40" s="182" t="s">
        <v>476</v>
      </c>
      <c r="B40" s="185" t="s">
        <v>517</v>
      </c>
      <c r="C40" s="211" t="s">
        <v>514</v>
      </c>
      <c r="D40" s="211" t="s">
        <v>518</v>
      </c>
      <c r="E40" s="211" t="s">
        <v>512</v>
      </c>
      <c r="F40" s="206">
        <v>45931</v>
      </c>
      <c r="G40" s="212"/>
      <c r="H40" s="212">
        <v>450</v>
      </c>
      <c r="I40" s="212"/>
      <c r="J40" s="212"/>
      <c r="K40" s="212"/>
      <c r="L40" s="212"/>
    </row>
    <row r="41" spans="1:12" ht="12" hidden="1" customHeight="1" x14ac:dyDescent="0.2">
      <c r="A41" s="182" t="s">
        <v>476</v>
      </c>
      <c r="B41" s="185" t="s">
        <v>517</v>
      </c>
      <c r="C41" s="211" t="s">
        <v>514</v>
      </c>
      <c r="D41" s="211" t="s">
        <v>518</v>
      </c>
      <c r="E41" s="211" t="s">
        <v>512</v>
      </c>
      <c r="F41" s="206">
        <v>45901</v>
      </c>
      <c r="G41" s="212"/>
      <c r="H41" s="212">
        <v>450</v>
      </c>
      <c r="I41" s="212"/>
      <c r="J41" s="212"/>
      <c r="K41" s="212"/>
      <c r="L41" s="212"/>
    </row>
    <row r="42" spans="1:12" ht="12" hidden="1" customHeight="1" x14ac:dyDescent="0.2">
      <c r="A42" s="182" t="s">
        <v>476</v>
      </c>
      <c r="B42" s="185" t="s">
        <v>517</v>
      </c>
      <c r="C42" s="211" t="s">
        <v>514</v>
      </c>
      <c r="D42" s="211" t="s">
        <v>518</v>
      </c>
      <c r="E42" s="211" t="s">
        <v>512</v>
      </c>
      <c r="F42" s="206">
        <v>45870</v>
      </c>
      <c r="G42" s="212"/>
      <c r="H42" s="212">
        <v>450</v>
      </c>
      <c r="I42" s="212"/>
      <c r="J42" s="212"/>
      <c r="K42" s="212"/>
      <c r="L42" s="212"/>
    </row>
    <row r="43" spans="1:12" ht="12" hidden="1" customHeight="1" x14ac:dyDescent="0.2">
      <c r="A43" s="182" t="s">
        <v>476</v>
      </c>
      <c r="B43" s="185" t="s">
        <v>517</v>
      </c>
      <c r="C43" s="211" t="s">
        <v>514</v>
      </c>
      <c r="D43" s="211" t="s">
        <v>518</v>
      </c>
      <c r="E43" s="211" t="s">
        <v>512</v>
      </c>
      <c r="F43" s="206">
        <v>45839</v>
      </c>
      <c r="G43" s="212"/>
      <c r="H43" s="212">
        <v>450</v>
      </c>
      <c r="I43" s="212"/>
      <c r="J43" s="212"/>
      <c r="K43" s="212"/>
      <c r="L43" s="212"/>
    </row>
    <row r="44" spans="1:12" ht="12" hidden="1" customHeight="1" x14ac:dyDescent="0.2">
      <c r="A44" s="182" t="s">
        <v>476</v>
      </c>
      <c r="B44" s="185" t="s">
        <v>517</v>
      </c>
      <c r="C44" s="211" t="s">
        <v>514</v>
      </c>
      <c r="D44" s="211" t="s">
        <v>518</v>
      </c>
      <c r="E44" s="211" t="s">
        <v>512</v>
      </c>
      <c r="F44" s="206">
        <v>45809</v>
      </c>
      <c r="G44" s="212"/>
      <c r="H44" s="212">
        <v>450</v>
      </c>
      <c r="I44" s="212"/>
      <c r="J44" s="212"/>
      <c r="K44" s="212"/>
      <c r="L44" s="212"/>
    </row>
    <row r="45" spans="1:12" ht="12" hidden="1" customHeight="1" x14ac:dyDescent="0.2">
      <c r="A45" s="182" t="s">
        <v>476</v>
      </c>
      <c r="B45" s="185" t="s">
        <v>517</v>
      </c>
      <c r="C45" s="211" t="s">
        <v>514</v>
      </c>
      <c r="D45" s="211" t="s">
        <v>518</v>
      </c>
      <c r="E45" s="211" t="s">
        <v>512</v>
      </c>
      <c r="F45" s="206">
        <v>45778</v>
      </c>
      <c r="G45" s="212"/>
      <c r="H45" s="212">
        <v>450</v>
      </c>
      <c r="I45" s="212"/>
      <c r="J45" s="212"/>
      <c r="K45" s="212"/>
      <c r="L45" s="212"/>
    </row>
    <row r="46" spans="1:12" ht="12" hidden="1" customHeight="1" x14ac:dyDescent="0.2">
      <c r="A46" s="182" t="s">
        <v>476</v>
      </c>
      <c r="B46" s="185" t="s">
        <v>517</v>
      </c>
      <c r="C46" s="211" t="s">
        <v>514</v>
      </c>
      <c r="D46" s="211" t="s">
        <v>518</v>
      </c>
      <c r="E46" s="211" t="s">
        <v>512</v>
      </c>
      <c r="F46" s="206">
        <v>45748</v>
      </c>
      <c r="G46" s="212"/>
      <c r="H46" s="212">
        <v>450</v>
      </c>
      <c r="I46" s="212"/>
      <c r="J46" s="212"/>
      <c r="K46" s="212"/>
      <c r="L46" s="212"/>
    </row>
    <row r="47" spans="1:12" ht="12" hidden="1" customHeight="1" x14ac:dyDescent="0.2">
      <c r="A47" s="182" t="s">
        <v>476</v>
      </c>
      <c r="B47" s="185" t="s">
        <v>517</v>
      </c>
      <c r="C47" s="211" t="s">
        <v>514</v>
      </c>
      <c r="D47" s="211" t="s">
        <v>518</v>
      </c>
      <c r="E47" s="211" t="s">
        <v>512</v>
      </c>
      <c r="F47" s="206">
        <v>45717</v>
      </c>
      <c r="G47" s="212"/>
      <c r="H47" s="212">
        <v>450</v>
      </c>
      <c r="I47" s="212"/>
      <c r="J47" s="212"/>
      <c r="K47" s="212"/>
      <c r="L47" s="212"/>
    </row>
    <row r="48" spans="1:12" ht="12" hidden="1" customHeight="1" x14ac:dyDescent="0.2">
      <c r="A48" s="182" t="s">
        <v>476</v>
      </c>
      <c r="B48" s="185" t="s">
        <v>517</v>
      </c>
      <c r="C48" s="211" t="s">
        <v>514</v>
      </c>
      <c r="D48" s="211" t="s">
        <v>518</v>
      </c>
      <c r="E48" s="211" t="s">
        <v>512</v>
      </c>
      <c r="F48" s="206">
        <v>45689</v>
      </c>
      <c r="G48" s="212"/>
      <c r="H48" s="212">
        <v>450</v>
      </c>
      <c r="I48" s="212"/>
      <c r="J48" s="212"/>
      <c r="K48" s="212"/>
      <c r="L48" s="212"/>
    </row>
    <row r="49" spans="1:12" ht="12" hidden="1" customHeight="1" x14ac:dyDescent="0.2">
      <c r="A49" s="182" t="s">
        <v>476</v>
      </c>
      <c r="B49" s="185" t="s">
        <v>517</v>
      </c>
      <c r="C49" s="211" t="s">
        <v>514</v>
      </c>
      <c r="D49" s="211" t="s">
        <v>518</v>
      </c>
      <c r="E49" s="211" t="s">
        <v>512</v>
      </c>
      <c r="F49" s="206">
        <v>45658</v>
      </c>
      <c r="G49" s="212"/>
      <c r="H49" s="212">
        <v>450</v>
      </c>
      <c r="I49" s="212"/>
      <c r="J49" s="212"/>
      <c r="K49" s="212"/>
      <c r="L49" s="212"/>
    </row>
    <row r="50" spans="1:12" ht="12" hidden="1" customHeight="1" x14ac:dyDescent="0.2">
      <c r="A50" s="182" t="s">
        <v>476</v>
      </c>
      <c r="B50" s="185" t="s">
        <v>519</v>
      </c>
      <c r="C50" s="211" t="s">
        <v>514</v>
      </c>
      <c r="D50" s="211" t="s">
        <v>520</v>
      </c>
      <c r="E50" s="211" t="s">
        <v>512</v>
      </c>
      <c r="F50" s="206">
        <v>45992</v>
      </c>
      <c r="G50" s="212"/>
      <c r="H50" s="212">
        <v>1255</v>
      </c>
      <c r="I50" s="212"/>
      <c r="J50" s="212"/>
      <c r="K50" s="212"/>
      <c r="L50" s="212"/>
    </row>
    <row r="51" spans="1:12" ht="12" hidden="1" customHeight="1" x14ac:dyDescent="0.2">
      <c r="A51" s="182" t="s">
        <v>476</v>
      </c>
      <c r="B51" s="185" t="s">
        <v>519</v>
      </c>
      <c r="C51" s="211" t="s">
        <v>514</v>
      </c>
      <c r="D51" s="211" t="s">
        <v>520</v>
      </c>
      <c r="E51" s="211" t="s">
        <v>512</v>
      </c>
      <c r="F51" s="206">
        <v>45962</v>
      </c>
      <c r="G51" s="212"/>
      <c r="H51" s="212">
        <v>1294</v>
      </c>
      <c r="I51" s="212"/>
      <c r="J51" s="212"/>
      <c r="K51" s="212"/>
      <c r="L51" s="212"/>
    </row>
    <row r="52" spans="1:12" ht="12" hidden="1" customHeight="1" x14ac:dyDescent="0.2">
      <c r="A52" s="182" t="s">
        <v>476</v>
      </c>
      <c r="B52" s="185" t="s">
        <v>519</v>
      </c>
      <c r="C52" s="211" t="s">
        <v>514</v>
      </c>
      <c r="D52" s="211" t="s">
        <v>520</v>
      </c>
      <c r="E52" s="211" t="s">
        <v>512</v>
      </c>
      <c r="F52" s="206">
        <v>45931</v>
      </c>
      <c r="G52" s="212"/>
      <c r="H52" s="212">
        <v>934</v>
      </c>
      <c r="I52" s="212"/>
      <c r="J52" s="212"/>
      <c r="K52" s="212"/>
      <c r="L52" s="212"/>
    </row>
    <row r="53" spans="1:12" ht="12" hidden="1" customHeight="1" x14ac:dyDescent="0.2">
      <c r="A53" s="182" t="s">
        <v>476</v>
      </c>
      <c r="B53" s="185" t="s">
        <v>519</v>
      </c>
      <c r="C53" s="211" t="s">
        <v>514</v>
      </c>
      <c r="D53" s="211" t="s">
        <v>520</v>
      </c>
      <c r="E53" s="211" t="s">
        <v>512</v>
      </c>
      <c r="F53" s="206">
        <v>45901</v>
      </c>
      <c r="G53" s="212"/>
      <c r="H53" s="212">
        <v>989</v>
      </c>
      <c r="I53" s="212"/>
      <c r="J53" s="212"/>
      <c r="K53" s="212"/>
      <c r="L53" s="212"/>
    </row>
    <row r="54" spans="1:12" ht="12" hidden="1" customHeight="1" x14ac:dyDescent="0.2">
      <c r="A54" s="182" t="s">
        <v>476</v>
      </c>
      <c r="B54" s="185" t="s">
        <v>519</v>
      </c>
      <c r="C54" s="211" t="s">
        <v>514</v>
      </c>
      <c r="D54" s="211" t="s">
        <v>520</v>
      </c>
      <c r="E54" s="211" t="s">
        <v>512</v>
      </c>
      <c r="F54" s="206">
        <v>45870</v>
      </c>
      <c r="G54" s="212"/>
      <c r="H54" s="212">
        <v>608</v>
      </c>
      <c r="I54" s="212"/>
      <c r="J54" s="212"/>
      <c r="K54" s="212"/>
      <c r="L54" s="212"/>
    </row>
    <row r="55" spans="1:12" ht="12" hidden="1" customHeight="1" x14ac:dyDescent="0.2">
      <c r="A55" s="182" t="s">
        <v>476</v>
      </c>
      <c r="B55" s="185" t="s">
        <v>519</v>
      </c>
      <c r="C55" s="211" t="s">
        <v>514</v>
      </c>
      <c r="D55" s="211" t="s">
        <v>520</v>
      </c>
      <c r="E55" s="211" t="s">
        <v>512</v>
      </c>
      <c r="F55" s="206">
        <v>45839</v>
      </c>
      <c r="G55" s="212"/>
      <c r="H55" s="212">
        <v>392</v>
      </c>
      <c r="I55" s="212"/>
      <c r="J55" s="212"/>
      <c r="K55" s="212"/>
      <c r="L55" s="212"/>
    </row>
    <row r="56" spans="1:12" ht="12" hidden="1" customHeight="1" x14ac:dyDescent="0.2">
      <c r="A56" s="182" t="s">
        <v>476</v>
      </c>
      <c r="B56" s="185" t="s">
        <v>519</v>
      </c>
      <c r="C56" s="211" t="s">
        <v>514</v>
      </c>
      <c r="D56" s="211" t="s">
        <v>520</v>
      </c>
      <c r="E56" s="211" t="s">
        <v>512</v>
      </c>
      <c r="F56" s="206">
        <v>45809</v>
      </c>
      <c r="G56" s="212"/>
      <c r="H56" s="212">
        <v>500</v>
      </c>
      <c r="I56" s="212"/>
      <c r="J56" s="212"/>
      <c r="K56" s="212"/>
      <c r="L56" s="212"/>
    </row>
    <row r="57" spans="1:12" ht="12" hidden="1" customHeight="1" x14ac:dyDescent="0.2">
      <c r="A57" s="182" t="s">
        <v>476</v>
      </c>
      <c r="B57" s="185" t="s">
        <v>519</v>
      </c>
      <c r="C57" s="211" t="s">
        <v>514</v>
      </c>
      <c r="D57" s="211" t="s">
        <v>520</v>
      </c>
      <c r="E57" s="211" t="s">
        <v>512</v>
      </c>
      <c r="F57" s="206">
        <v>45778</v>
      </c>
      <c r="G57" s="212"/>
      <c r="H57" s="212">
        <v>769</v>
      </c>
      <c r="I57" s="212"/>
      <c r="J57" s="212"/>
      <c r="K57" s="212"/>
      <c r="L57" s="212"/>
    </row>
    <row r="58" spans="1:12" ht="12" hidden="1" customHeight="1" x14ac:dyDescent="0.2">
      <c r="A58" s="182" t="s">
        <v>476</v>
      </c>
      <c r="B58" s="185" t="s">
        <v>519</v>
      </c>
      <c r="C58" s="211" t="s">
        <v>514</v>
      </c>
      <c r="D58" s="211" t="s">
        <v>520</v>
      </c>
      <c r="E58" s="211" t="s">
        <v>512</v>
      </c>
      <c r="F58" s="206">
        <v>45748</v>
      </c>
      <c r="G58" s="212"/>
      <c r="H58" s="212">
        <v>1029</v>
      </c>
      <c r="I58" s="212"/>
      <c r="J58" s="212"/>
      <c r="K58" s="212"/>
      <c r="L58" s="212"/>
    </row>
    <row r="59" spans="1:12" ht="12" hidden="1" customHeight="1" x14ac:dyDescent="0.2">
      <c r="A59" s="182" t="s">
        <v>476</v>
      </c>
      <c r="B59" s="185" t="s">
        <v>519</v>
      </c>
      <c r="C59" s="211" t="s">
        <v>514</v>
      </c>
      <c r="D59" s="211" t="s">
        <v>520</v>
      </c>
      <c r="E59" s="211" t="s">
        <v>512</v>
      </c>
      <c r="F59" s="206">
        <v>45717</v>
      </c>
      <c r="G59" s="212"/>
      <c r="H59" s="212">
        <v>1511</v>
      </c>
      <c r="I59" s="212"/>
      <c r="J59" s="212"/>
      <c r="K59" s="212"/>
      <c r="L59" s="212"/>
    </row>
    <row r="60" spans="1:12" ht="12" hidden="1" customHeight="1" x14ac:dyDescent="0.2">
      <c r="A60" s="182" t="s">
        <v>476</v>
      </c>
      <c r="B60" s="185" t="s">
        <v>519</v>
      </c>
      <c r="C60" s="211" t="s">
        <v>514</v>
      </c>
      <c r="D60" s="211" t="s">
        <v>520</v>
      </c>
      <c r="E60" s="211" t="s">
        <v>512</v>
      </c>
      <c r="F60" s="206">
        <v>45689</v>
      </c>
      <c r="G60" s="212"/>
      <c r="H60" s="212">
        <v>1676</v>
      </c>
      <c r="I60" s="212"/>
      <c r="J60" s="212"/>
      <c r="K60" s="212"/>
      <c r="L60" s="212"/>
    </row>
    <row r="61" spans="1:12" ht="12" hidden="1" customHeight="1" x14ac:dyDescent="0.2">
      <c r="A61" s="182" t="s">
        <v>476</v>
      </c>
      <c r="B61" s="185" t="s">
        <v>519</v>
      </c>
      <c r="C61" s="211" t="s">
        <v>514</v>
      </c>
      <c r="D61" s="211" t="s">
        <v>520</v>
      </c>
      <c r="E61" s="211" t="s">
        <v>512</v>
      </c>
      <c r="F61" s="206">
        <v>45658</v>
      </c>
      <c r="G61" s="212"/>
      <c r="H61" s="212">
        <v>1933</v>
      </c>
      <c r="I61" s="212"/>
      <c r="J61" s="212"/>
      <c r="K61" s="212"/>
      <c r="L61" s="212"/>
    </row>
    <row r="62" spans="1:12" ht="12" hidden="1" customHeight="1" x14ac:dyDescent="0.2">
      <c r="A62" s="182" t="s">
        <v>476</v>
      </c>
      <c r="B62" s="185" t="s">
        <v>521</v>
      </c>
      <c r="C62" s="211" t="s">
        <v>514</v>
      </c>
      <c r="D62" s="211" t="s">
        <v>522</v>
      </c>
      <c r="E62" s="211" t="s">
        <v>512</v>
      </c>
      <c r="F62" s="206">
        <v>45992</v>
      </c>
      <c r="G62" s="212"/>
      <c r="H62" s="212">
        <v>3167</v>
      </c>
      <c r="I62" s="212"/>
      <c r="J62" s="212"/>
      <c r="K62" s="212"/>
      <c r="L62" s="212"/>
    </row>
    <row r="63" spans="1:12" ht="12" hidden="1" customHeight="1" x14ac:dyDescent="0.2">
      <c r="A63" s="182" t="s">
        <v>476</v>
      </c>
      <c r="B63" s="185" t="s">
        <v>521</v>
      </c>
      <c r="C63" s="211" t="s">
        <v>514</v>
      </c>
      <c r="D63" s="211" t="s">
        <v>522</v>
      </c>
      <c r="E63" s="211" t="s">
        <v>512</v>
      </c>
      <c r="F63" s="206">
        <v>45962</v>
      </c>
      <c r="G63" s="212"/>
      <c r="H63" s="212">
        <v>3722</v>
      </c>
      <c r="I63" s="212"/>
      <c r="J63" s="212"/>
      <c r="K63" s="212"/>
      <c r="L63" s="212"/>
    </row>
    <row r="64" spans="1:12" ht="12" hidden="1" customHeight="1" x14ac:dyDescent="0.2">
      <c r="A64" s="182" t="s">
        <v>476</v>
      </c>
      <c r="B64" s="185" t="s">
        <v>521</v>
      </c>
      <c r="C64" s="211" t="s">
        <v>514</v>
      </c>
      <c r="D64" s="211" t="s">
        <v>522</v>
      </c>
      <c r="E64" s="211" t="s">
        <v>512</v>
      </c>
      <c r="F64" s="206">
        <v>45931</v>
      </c>
      <c r="G64" s="212"/>
      <c r="H64" s="212">
        <v>3101</v>
      </c>
      <c r="I64" s="212"/>
      <c r="J64" s="212"/>
      <c r="K64" s="212"/>
      <c r="L64" s="212"/>
    </row>
    <row r="65" spans="1:12" ht="12" hidden="1" customHeight="1" x14ac:dyDescent="0.2">
      <c r="A65" s="182" t="s">
        <v>476</v>
      </c>
      <c r="B65" s="185" t="s">
        <v>521</v>
      </c>
      <c r="C65" s="211" t="s">
        <v>514</v>
      </c>
      <c r="D65" s="211" t="s">
        <v>522</v>
      </c>
      <c r="E65" s="211" t="s">
        <v>512</v>
      </c>
      <c r="F65" s="206">
        <v>45901</v>
      </c>
      <c r="G65" s="212"/>
      <c r="H65" s="212">
        <v>3035</v>
      </c>
      <c r="I65" s="212"/>
      <c r="J65" s="212"/>
      <c r="K65" s="212"/>
      <c r="L65" s="212"/>
    </row>
    <row r="66" spans="1:12" ht="12" hidden="1" customHeight="1" x14ac:dyDescent="0.2">
      <c r="A66" s="182" t="s">
        <v>476</v>
      </c>
      <c r="B66" s="185" t="s">
        <v>521</v>
      </c>
      <c r="C66" s="211" t="s">
        <v>514</v>
      </c>
      <c r="D66" s="211" t="s">
        <v>522</v>
      </c>
      <c r="E66" s="211" t="s">
        <v>512</v>
      </c>
      <c r="F66" s="206">
        <v>45870</v>
      </c>
      <c r="G66" s="212"/>
      <c r="H66" s="212">
        <v>3150</v>
      </c>
      <c r="I66" s="212"/>
      <c r="J66" s="212"/>
      <c r="K66" s="212"/>
      <c r="L66" s="212"/>
    </row>
    <row r="67" spans="1:12" ht="12" hidden="1" customHeight="1" x14ac:dyDescent="0.2">
      <c r="A67" s="182" t="s">
        <v>476</v>
      </c>
      <c r="B67" s="185" t="s">
        <v>521</v>
      </c>
      <c r="C67" s="211" t="s">
        <v>514</v>
      </c>
      <c r="D67" s="211" t="s">
        <v>522</v>
      </c>
      <c r="E67" s="211" t="s">
        <v>512</v>
      </c>
      <c r="F67" s="206">
        <v>45839</v>
      </c>
      <c r="G67" s="212"/>
      <c r="H67" s="212">
        <v>2764</v>
      </c>
      <c r="I67" s="212"/>
      <c r="J67" s="212"/>
      <c r="K67" s="212"/>
      <c r="L67" s="212"/>
    </row>
    <row r="68" spans="1:12" ht="12" hidden="1" customHeight="1" x14ac:dyDescent="0.2">
      <c r="A68" s="182" t="s">
        <v>476</v>
      </c>
      <c r="B68" s="185" t="s">
        <v>521</v>
      </c>
      <c r="C68" s="211" t="s">
        <v>514</v>
      </c>
      <c r="D68" s="211" t="s">
        <v>522</v>
      </c>
      <c r="E68" s="211" t="s">
        <v>512</v>
      </c>
      <c r="F68" s="206">
        <v>45809</v>
      </c>
      <c r="G68" s="212"/>
      <c r="H68" s="212">
        <v>2632</v>
      </c>
      <c r="I68" s="212"/>
      <c r="J68" s="212"/>
      <c r="K68" s="212"/>
      <c r="L68" s="212"/>
    </row>
    <row r="69" spans="1:12" ht="12" hidden="1" customHeight="1" x14ac:dyDescent="0.2">
      <c r="A69" s="182" t="s">
        <v>476</v>
      </c>
      <c r="B69" s="185" t="s">
        <v>521</v>
      </c>
      <c r="C69" s="211" t="s">
        <v>514</v>
      </c>
      <c r="D69" s="211" t="s">
        <v>522</v>
      </c>
      <c r="E69" s="211" t="s">
        <v>512</v>
      </c>
      <c r="F69" s="206">
        <v>45778</v>
      </c>
      <c r="G69" s="212"/>
      <c r="H69" s="212">
        <v>2674</v>
      </c>
      <c r="I69" s="212"/>
      <c r="J69" s="212"/>
      <c r="K69" s="212"/>
      <c r="L69" s="212"/>
    </row>
    <row r="70" spans="1:12" ht="12" hidden="1" customHeight="1" x14ac:dyDescent="0.2">
      <c r="A70" s="182" t="s">
        <v>476</v>
      </c>
      <c r="B70" s="185" t="s">
        <v>521</v>
      </c>
      <c r="C70" s="211" t="s">
        <v>514</v>
      </c>
      <c r="D70" s="211" t="s">
        <v>522</v>
      </c>
      <c r="E70" s="211" t="s">
        <v>512</v>
      </c>
      <c r="F70" s="206">
        <v>45748</v>
      </c>
      <c r="G70" s="212"/>
      <c r="H70" s="212">
        <v>3021</v>
      </c>
      <c r="I70" s="212"/>
      <c r="J70" s="212"/>
      <c r="K70" s="212"/>
      <c r="L70" s="212"/>
    </row>
    <row r="71" spans="1:12" ht="12" hidden="1" customHeight="1" x14ac:dyDescent="0.2">
      <c r="A71" s="182" t="s">
        <v>476</v>
      </c>
      <c r="B71" s="185" t="s">
        <v>521</v>
      </c>
      <c r="C71" s="211" t="s">
        <v>514</v>
      </c>
      <c r="D71" s="211" t="s">
        <v>522</v>
      </c>
      <c r="E71" s="211" t="s">
        <v>512</v>
      </c>
      <c r="F71" s="206">
        <v>45717</v>
      </c>
      <c r="G71" s="212"/>
      <c r="H71" s="212">
        <v>3538</v>
      </c>
      <c r="I71" s="212"/>
      <c r="J71" s="212"/>
      <c r="K71" s="212"/>
      <c r="L71" s="212"/>
    </row>
    <row r="72" spans="1:12" ht="12" hidden="1" customHeight="1" x14ac:dyDescent="0.2">
      <c r="A72" s="182" t="s">
        <v>476</v>
      </c>
      <c r="B72" s="185" t="s">
        <v>521</v>
      </c>
      <c r="C72" s="211" t="s">
        <v>514</v>
      </c>
      <c r="D72" s="211" t="s">
        <v>522</v>
      </c>
      <c r="E72" s="211" t="s">
        <v>512</v>
      </c>
      <c r="F72" s="206">
        <v>45689</v>
      </c>
      <c r="G72" s="212"/>
      <c r="H72" s="212">
        <v>4767</v>
      </c>
      <c r="I72" s="212"/>
      <c r="J72" s="212"/>
      <c r="K72" s="212"/>
      <c r="L72" s="212"/>
    </row>
    <row r="73" spans="1:12" ht="12" hidden="1" customHeight="1" x14ac:dyDescent="0.2">
      <c r="A73" s="182" t="s">
        <v>476</v>
      </c>
      <c r="B73" s="185" t="s">
        <v>521</v>
      </c>
      <c r="C73" s="211" t="s">
        <v>514</v>
      </c>
      <c r="D73" s="211" t="s">
        <v>522</v>
      </c>
      <c r="E73" s="211" t="s">
        <v>512</v>
      </c>
      <c r="F73" s="206">
        <v>45658</v>
      </c>
      <c r="G73" s="212"/>
      <c r="H73" s="212">
        <v>4423</v>
      </c>
      <c r="I73" s="212"/>
      <c r="J73" s="212"/>
      <c r="K73" s="212"/>
      <c r="L73" s="212"/>
    </row>
    <row r="74" spans="1:12" ht="12" hidden="1" customHeight="1" x14ac:dyDescent="0.2">
      <c r="A74" s="182" t="s">
        <v>476</v>
      </c>
      <c r="B74" s="185" t="s">
        <v>86</v>
      </c>
      <c r="C74" s="211" t="s">
        <v>523</v>
      </c>
      <c r="D74" s="211" t="s">
        <v>524</v>
      </c>
      <c r="E74" s="211" t="s">
        <v>512</v>
      </c>
      <c r="F74" s="206">
        <v>45992</v>
      </c>
      <c r="G74" s="212"/>
      <c r="H74" s="212">
        <v>11642</v>
      </c>
      <c r="I74" s="212"/>
      <c r="J74" s="212"/>
      <c r="K74" s="212"/>
      <c r="L74" s="212"/>
    </row>
    <row r="75" spans="1:12" ht="12" hidden="1" customHeight="1" x14ac:dyDescent="0.2">
      <c r="A75" s="182" t="s">
        <v>476</v>
      </c>
      <c r="B75" s="185" t="s">
        <v>86</v>
      </c>
      <c r="C75" s="211" t="s">
        <v>523</v>
      </c>
      <c r="D75" s="211" t="s">
        <v>524</v>
      </c>
      <c r="E75" s="211" t="s">
        <v>512</v>
      </c>
      <c r="F75" s="206">
        <v>45962</v>
      </c>
      <c r="G75" s="212"/>
      <c r="H75" s="212">
        <v>12098</v>
      </c>
      <c r="I75" s="212"/>
      <c r="J75" s="212"/>
      <c r="K75" s="212"/>
      <c r="L75" s="212"/>
    </row>
    <row r="76" spans="1:12" ht="12" hidden="1" customHeight="1" x14ac:dyDescent="0.2">
      <c r="A76" s="182" t="s">
        <v>476</v>
      </c>
      <c r="B76" s="185" t="s">
        <v>86</v>
      </c>
      <c r="C76" s="211" t="s">
        <v>523</v>
      </c>
      <c r="D76" s="211" t="s">
        <v>524</v>
      </c>
      <c r="E76" s="211" t="s">
        <v>512</v>
      </c>
      <c r="F76" s="206">
        <v>45931</v>
      </c>
      <c r="G76" s="212"/>
      <c r="H76" s="212">
        <v>10947</v>
      </c>
      <c r="I76" s="212"/>
      <c r="J76" s="212"/>
      <c r="K76" s="212"/>
      <c r="L76" s="212"/>
    </row>
    <row r="77" spans="1:12" ht="12" hidden="1" customHeight="1" x14ac:dyDescent="0.2">
      <c r="A77" s="182" t="s">
        <v>476</v>
      </c>
      <c r="B77" s="185" t="s">
        <v>86</v>
      </c>
      <c r="C77" s="211" t="s">
        <v>523</v>
      </c>
      <c r="D77" s="211" t="s">
        <v>524</v>
      </c>
      <c r="E77" s="211" t="s">
        <v>512</v>
      </c>
      <c r="F77" s="206">
        <v>45901</v>
      </c>
      <c r="G77" s="212"/>
      <c r="H77" s="212">
        <v>11071</v>
      </c>
      <c r="I77" s="212"/>
      <c r="J77" s="212"/>
      <c r="K77" s="212"/>
      <c r="L77" s="212"/>
    </row>
    <row r="78" spans="1:12" ht="12" hidden="1" customHeight="1" x14ac:dyDescent="0.2">
      <c r="A78" s="182" t="s">
        <v>476</v>
      </c>
      <c r="B78" s="185" t="s">
        <v>86</v>
      </c>
      <c r="C78" s="211" t="s">
        <v>523</v>
      </c>
      <c r="D78" s="211" t="s">
        <v>524</v>
      </c>
      <c r="E78" s="211" t="s">
        <v>512</v>
      </c>
      <c r="F78" s="206">
        <v>45870</v>
      </c>
      <c r="G78" s="212"/>
      <c r="H78" s="212">
        <v>8554</v>
      </c>
      <c r="I78" s="212"/>
      <c r="J78" s="212"/>
      <c r="K78" s="212"/>
      <c r="L78" s="212"/>
    </row>
    <row r="79" spans="1:12" ht="12" hidden="1" customHeight="1" x14ac:dyDescent="0.2">
      <c r="A79" s="182" t="s">
        <v>476</v>
      </c>
      <c r="B79" s="185" t="s">
        <v>86</v>
      </c>
      <c r="C79" s="211" t="s">
        <v>523</v>
      </c>
      <c r="D79" s="211" t="s">
        <v>524</v>
      </c>
      <c r="E79" s="211" t="s">
        <v>512</v>
      </c>
      <c r="F79" s="206">
        <v>45839</v>
      </c>
      <c r="G79" s="212"/>
      <c r="H79" s="212">
        <v>8738</v>
      </c>
      <c r="I79" s="212"/>
      <c r="J79" s="212"/>
      <c r="K79" s="212"/>
      <c r="L79" s="212"/>
    </row>
    <row r="80" spans="1:12" ht="12" hidden="1" customHeight="1" x14ac:dyDescent="0.2">
      <c r="A80" s="182" t="s">
        <v>476</v>
      </c>
      <c r="B80" s="185" t="s">
        <v>86</v>
      </c>
      <c r="C80" s="211" t="s">
        <v>523</v>
      </c>
      <c r="D80" s="211" t="s">
        <v>524</v>
      </c>
      <c r="E80" s="211" t="s">
        <v>512</v>
      </c>
      <c r="F80" s="206">
        <v>45809</v>
      </c>
      <c r="G80" s="212"/>
      <c r="H80" s="212">
        <v>6483</v>
      </c>
      <c r="I80" s="212"/>
      <c r="J80" s="212"/>
      <c r="K80" s="212"/>
      <c r="L80" s="212"/>
    </row>
    <row r="81" spans="1:12" ht="12" hidden="1" customHeight="1" x14ac:dyDescent="0.2">
      <c r="A81" s="182" t="s">
        <v>476</v>
      </c>
      <c r="B81" s="185" t="s">
        <v>86</v>
      </c>
      <c r="C81" s="211" t="s">
        <v>523</v>
      </c>
      <c r="D81" s="211" t="s">
        <v>524</v>
      </c>
      <c r="E81" s="211" t="s">
        <v>512</v>
      </c>
      <c r="F81" s="206">
        <v>45778</v>
      </c>
      <c r="G81" s="212"/>
      <c r="H81" s="212">
        <v>6394</v>
      </c>
      <c r="I81" s="212"/>
      <c r="J81" s="212"/>
      <c r="K81" s="212"/>
      <c r="L81" s="212"/>
    </row>
    <row r="82" spans="1:12" ht="12" hidden="1" customHeight="1" x14ac:dyDescent="0.2">
      <c r="A82" s="182" t="s">
        <v>476</v>
      </c>
      <c r="B82" s="185" t="s">
        <v>86</v>
      </c>
      <c r="C82" s="211" t="s">
        <v>523</v>
      </c>
      <c r="D82" s="211" t="s">
        <v>524</v>
      </c>
      <c r="E82" s="211" t="s">
        <v>512</v>
      </c>
      <c r="F82" s="206">
        <v>45748</v>
      </c>
      <c r="G82" s="212"/>
      <c r="H82" s="212">
        <v>7229</v>
      </c>
      <c r="I82" s="212"/>
      <c r="J82" s="212"/>
      <c r="K82" s="212"/>
      <c r="L82" s="212"/>
    </row>
    <row r="83" spans="1:12" ht="12" hidden="1" customHeight="1" x14ac:dyDescent="0.2">
      <c r="A83" s="182" t="s">
        <v>476</v>
      </c>
      <c r="B83" s="185" t="s">
        <v>86</v>
      </c>
      <c r="C83" s="211" t="s">
        <v>523</v>
      </c>
      <c r="D83" s="211" t="s">
        <v>524</v>
      </c>
      <c r="E83" s="211" t="s">
        <v>512</v>
      </c>
      <c r="F83" s="206">
        <v>45717</v>
      </c>
      <c r="G83" s="212"/>
      <c r="H83" s="212">
        <v>8490</v>
      </c>
      <c r="I83" s="212"/>
      <c r="J83" s="212"/>
      <c r="K83" s="212"/>
      <c r="L83" s="212"/>
    </row>
    <row r="84" spans="1:12" ht="12" hidden="1" customHeight="1" x14ac:dyDescent="0.2">
      <c r="A84" s="182" t="s">
        <v>476</v>
      </c>
      <c r="B84" s="185" t="s">
        <v>86</v>
      </c>
      <c r="C84" s="211" t="s">
        <v>523</v>
      </c>
      <c r="D84" s="211" t="s">
        <v>524</v>
      </c>
      <c r="E84" s="211" t="s">
        <v>512</v>
      </c>
      <c r="F84" s="206">
        <v>45689</v>
      </c>
      <c r="G84" s="212"/>
      <c r="H84" s="212">
        <v>10825</v>
      </c>
      <c r="I84" s="212"/>
      <c r="J84" s="212"/>
      <c r="K84" s="212"/>
      <c r="L84" s="212"/>
    </row>
    <row r="85" spans="1:12" ht="12" hidden="1" customHeight="1" x14ac:dyDescent="0.2">
      <c r="A85" s="182" t="s">
        <v>476</v>
      </c>
      <c r="B85" s="185" t="s">
        <v>86</v>
      </c>
      <c r="C85" s="211" t="s">
        <v>523</v>
      </c>
      <c r="D85" s="211" t="s">
        <v>524</v>
      </c>
      <c r="E85" s="211" t="s">
        <v>512</v>
      </c>
      <c r="F85" s="206">
        <v>45658</v>
      </c>
      <c r="G85" s="212"/>
      <c r="H85" s="212">
        <v>10042</v>
      </c>
      <c r="I85" s="212"/>
      <c r="J85" s="212"/>
      <c r="K85" s="212"/>
      <c r="L85" s="212"/>
    </row>
    <row r="86" spans="1:12" ht="12" hidden="1" customHeight="1" x14ac:dyDescent="0.2">
      <c r="A86" s="182" t="s">
        <v>476</v>
      </c>
      <c r="B86" s="185" t="s">
        <v>525</v>
      </c>
      <c r="C86" s="211" t="s">
        <v>526</v>
      </c>
      <c r="D86" s="211" t="s">
        <v>527</v>
      </c>
      <c r="E86" s="211" t="s">
        <v>512</v>
      </c>
      <c r="F86" s="206">
        <v>45992</v>
      </c>
      <c r="G86" s="212"/>
      <c r="H86" s="212">
        <v>1422</v>
      </c>
      <c r="I86" s="212"/>
      <c r="J86" s="212"/>
      <c r="K86" s="212"/>
      <c r="L86" s="212"/>
    </row>
    <row r="87" spans="1:12" ht="12" hidden="1" customHeight="1" x14ac:dyDescent="0.2">
      <c r="A87" s="182" t="s">
        <v>476</v>
      </c>
      <c r="B87" s="185" t="s">
        <v>525</v>
      </c>
      <c r="C87" s="211" t="s">
        <v>526</v>
      </c>
      <c r="D87" s="211" t="s">
        <v>527</v>
      </c>
      <c r="E87" s="211" t="s">
        <v>512</v>
      </c>
      <c r="F87" s="206">
        <v>45962</v>
      </c>
      <c r="G87" s="212"/>
      <c r="H87" s="212">
        <v>870</v>
      </c>
      <c r="I87" s="212"/>
      <c r="J87" s="212"/>
      <c r="K87" s="212"/>
      <c r="L87" s="212"/>
    </row>
    <row r="88" spans="1:12" ht="12" hidden="1" customHeight="1" x14ac:dyDescent="0.2">
      <c r="A88" s="182" t="s">
        <v>476</v>
      </c>
      <c r="B88" s="185" t="s">
        <v>525</v>
      </c>
      <c r="C88" s="211" t="s">
        <v>526</v>
      </c>
      <c r="D88" s="211" t="s">
        <v>527</v>
      </c>
      <c r="E88" s="211" t="s">
        <v>512</v>
      </c>
      <c r="F88" s="206">
        <v>45931</v>
      </c>
      <c r="G88" s="212"/>
      <c r="H88" s="212">
        <v>1129</v>
      </c>
      <c r="I88" s="212"/>
      <c r="J88" s="212"/>
      <c r="K88" s="212"/>
      <c r="L88" s="212"/>
    </row>
    <row r="89" spans="1:12" ht="12" hidden="1" customHeight="1" x14ac:dyDescent="0.2">
      <c r="A89" s="182" t="s">
        <v>476</v>
      </c>
      <c r="B89" s="185" t="s">
        <v>525</v>
      </c>
      <c r="C89" s="211" t="s">
        <v>526</v>
      </c>
      <c r="D89" s="211" t="s">
        <v>527</v>
      </c>
      <c r="E89" s="211" t="s">
        <v>512</v>
      </c>
      <c r="F89" s="206">
        <v>45901</v>
      </c>
      <c r="G89" s="212"/>
      <c r="H89" s="212">
        <v>1101</v>
      </c>
      <c r="I89" s="212"/>
      <c r="J89" s="212"/>
      <c r="K89" s="212"/>
      <c r="L89" s="212"/>
    </row>
    <row r="90" spans="1:12" ht="12" hidden="1" customHeight="1" x14ac:dyDescent="0.2">
      <c r="A90" s="182" t="s">
        <v>476</v>
      </c>
      <c r="B90" s="185" t="s">
        <v>525</v>
      </c>
      <c r="C90" s="211" t="s">
        <v>526</v>
      </c>
      <c r="D90" s="211" t="s">
        <v>527</v>
      </c>
      <c r="E90" s="211" t="s">
        <v>512</v>
      </c>
      <c r="F90" s="206">
        <v>45870</v>
      </c>
      <c r="G90" s="212"/>
      <c r="H90" s="212">
        <v>1063</v>
      </c>
      <c r="I90" s="212"/>
      <c r="J90" s="212"/>
      <c r="K90" s="212"/>
      <c r="L90" s="212"/>
    </row>
    <row r="91" spans="1:12" ht="12" hidden="1" customHeight="1" x14ac:dyDescent="0.2">
      <c r="A91" s="182" t="s">
        <v>476</v>
      </c>
      <c r="B91" s="185" t="s">
        <v>525</v>
      </c>
      <c r="C91" s="211" t="s">
        <v>526</v>
      </c>
      <c r="D91" s="211" t="s">
        <v>527</v>
      </c>
      <c r="E91" s="211" t="s">
        <v>512</v>
      </c>
      <c r="F91" s="206">
        <v>45839</v>
      </c>
      <c r="G91" s="212"/>
      <c r="H91" s="212">
        <v>1337</v>
      </c>
      <c r="I91" s="212"/>
      <c r="J91" s="212"/>
      <c r="K91" s="212"/>
      <c r="L91" s="212"/>
    </row>
    <row r="92" spans="1:12" ht="12" hidden="1" customHeight="1" x14ac:dyDescent="0.2">
      <c r="A92" s="182" t="s">
        <v>476</v>
      </c>
      <c r="B92" s="185" t="s">
        <v>525</v>
      </c>
      <c r="C92" s="211" t="s">
        <v>526</v>
      </c>
      <c r="D92" s="211" t="s">
        <v>527</v>
      </c>
      <c r="E92" s="211" t="s">
        <v>512</v>
      </c>
      <c r="F92" s="206">
        <v>45809</v>
      </c>
      <c r="G92" s="212"/>
      <c r="H92" s="212">
        <v>1131</v>
      </c>
      <c r="I92" s="212"/>
      <c r="J92" s="212"/>
      <c r="K92" s="212"/>
      <c r="L92" s="212"/>
    </row>
    <row r="93" spans="1:12" ht="12" hidden="1" customHeight="1" x14ac:dyDescent="0.2">
      <c r="A93" s="182" t="s">
        <v>476</v>
      </c>
      <c r="B93" s="185" t="s">
        <v>525</v>
      </c>
      <c r="C93" s="211" t="s">
        <v>526</v>
      </c>
      <c r="D93" s="211" t="s">
        <v>527</v>
      </c>
      <c r="E93" s="211" t="s">
        <v>512</v>
      </c>
      <c r="F93" s="206">
        <v>45778</v>
      </c>
      <c r="G93" s="212"/>
      <c r="H93" s="212">
        <v>1383</v>
      </c>
      <c r="I93" s="212"/>
      <c r="J93" s="212"/>
      <c r="K93" s="212"/>
      <c r="L93" s="212"/>
    </row>
    <row r="94" spans="1:12" ht="12" hidden="1" customHeight="1" x14ac:dyDescent="0.2">
      <c r="A94" s="182" t="s">
        <v>476</v>
      </c>
      <c r="B94" s="185" t="s">
        <v>525</v>
      </c>
      <c r="C94" s="211" t="s">
        <v>526</v>
      </c>
      <c r="D94" s="211" t="s">
        <v>527</v>
      </c>
      <c r="E94" s="211" t="s">
        <v>512</v>
      </c>
      <c r="F94" s="206">
        <v>45748</v>
      </c>
      <c r="G94" s="212"/>
      <c r="H94" s="212">
        <v>1211</v>
      </c>
      <c r="I94" s="212"/>
      <c r="J94" s="212"/>
      <c r="K94" s="212"/>
      <c r="L94" s="212"/>
    </row>
    <row r="95" spans="1:12" ht="12" hidden="1" customHeight="1" x14ac:dyDescent="0.2">
      <c r="A95" s="182" t="s">
        <v>476</v>
      </c>
      <c r="B95" s="185" t="s">
        <v>525</v>
      </c>
      <c r="C95" s="211" t="s">
        <v>526</v>
      </c>
      <c r="D95" s="211" t="s">
        <v>527</v>
      </c>
      <c r="E95" s="211" t="s">
        <v>512</v>
      </c>
      <c r="F95" s="206">
        <v>45717</v>
      </c>
      <c r="G95" s="212"/>
      <c r="H95" s="212">
        <v>1522</v>
      </c>
      <c r="I95" s="212"/>
      <c r="J95" s="212"/>
      <c r="K95" s="212"/>
      <c r="L95" s="212"/>
    </row>
    <row r="96" spans="1:12" ht="12" hidden="1" customHeight="1" x14ac:dyDescent="0.2">
      <c r="A96" s="182" t="s">
        <v>476</v>
      </c>
      <c r="B96" s="185" t="s">
        <v>525</v>
      </c>
      <c r="C96" s="211" t="s">
        <v>526</v>
      </c>
      <c r="D96" s="211" t="s">
        <v>527</v>
      </c>
      <c r="E96" s="211" t="s">
        <v>512</v>
      </c>
      <c r="F96" s="206">
        <v>45689</v>
      </c>
      <c r="G96" s="212"/>
      <c r="H96" s="212">
        <v>1553</v>
      </c>
      <c r="I96" s="212"/>
      <c r="J96" s="212"/>
      <c r="K96" s="212"/>
      <c r="L96" s="212"/>
    </row>
    <row r="97" spans="1:12" ht="12" hidden="1" customHeight="1" x14ac:dyDescent="0.2">
      <c r="A97" s="182" t="s">
        <v>476</v>
      </c>
      <c r="B97" s="185" t="s">
        <v>525</v>
      </c>
      <c r="C97" s="211" t="s">
        <v>526</v>
      </c>
      <c r="D97" s="211" t="s">
        <v>527</v>
      </c>
      <c r="E97" s="211" t="s">
        <v>512</v>
      </c>
      <c r="F97" s="206">
        <v>45658</v>
      </c>
      <c r="G97" s="212"/>
      <c r="H97" s="212">
        <v>1554</v>
      </c>
      <c r="I97" s="212"/>
      <c r="J97" s="212"/>
      <c r="K97" s="212"/>
      <c r="L97" s="212"/>
    </row>
    <row r="98" spans="1:12" ht="12" customHeight="1" x14ac:dyDescent="0.2">
      <c r="A98" s="182" t="s">
        <v>478</v>
      </c>
      <c r="B98" s="185" t="s">
        <v>487</v>
      </c>
      <c r="C98" s="211" t="s">
        <v>528</v>
      </c>
      <c r="D98" s="211" t="s">
        <v>529</v>
      </c>
      <c r="E98" s="211" t="s">
        <v>530</v>
      </c>
      <c r="F98" s="206">
        <v>45992</v>
      </c>
      <c r="G98" s="212">
        <v>1502.26</v>
      </c>
      <c r="H98" s="212">
        <v>7234.75</v>
      </c>
      <c r="I98" s="212">
        <v>56.45</v>
      </c>
      <c r="J98" s="212">
        <v>112.3</v>
      </c>
      <c r="K98" s="212">
        <v>88631.7</v>
      </c>
      <c r="L98" s="212">
        <v>8737</v>
      </c>
    </row>
    <row r="99" spans="1:12" ht="12" customHeight="1" x14ac:dyDescent="0.2">
      <c r="A99" s="182" t="s">
        <v>478</v>
      </c>
      <c r="B99" s="185" t="s">
        <v>487</v>
      </c>
      <c r="C99" s="211" t="s">
        <v>528</v>
      </c>
      <c r="D99" s="211" t="s">
        <v>529</v>
      </c>
      <c r="E99" s="211" t="s">
        <v>530</v>
      </c>
      <c r="F99" s="206">
        <v>45962</v>
      </c>
      <c r="G99" s="212">
        <v>1235.1400000000001</v>
      </c>
      <c r="H99" s="212">
        <v>6608.62</v>
      </c>
      <c r="I99" s="212">
        <v>102.14</v>
      </c>
      <c r="J99" s="212">
        <v>108.19</v>
      </c>
      <c r="K99" s="212">
        <v>91030.5</v>
      </c>
      <c r="L99" s="212">
        <v>7844</v>
      </c>
    </row>
    <row r="100" spans="1:12" ht="12" customHeight="1" x14ac:dyDescent="0.2">
      <c r="A100" s="182" t="s">
        <v>478</v>
      </c>
      <c r="B100" s="185" t="s">
        <v>487</v>
      </c>
      <c r="C100" s="211" t="s">
        <v>528</v>
      </c>
      <c r="D100" s="211" t="s">
        <v>529</v>
      </c>
      <c r="E100" s="211" t="s">
        <v>530</v>
      </c>
      <c r="F100" s="206">
        <v>45931</v>
      </c>
      <c r="G100" s="212">
        <v>1434.05</v>
      </c>
      <c r="H100" s="212">
        <v>8440.99</v>
      </c>
      <c r="I100" s="212">
        <v>38.299999999999997</v>
      </c>
      <c r="J100" s="212">
        <v>147.16999999999999</v>
      </c>
      <c r="K100" s="212">
        <v>73160.100000000006</v>
      </c>
      <c r="L100" s="212">
        <v>9875</v>
      </c>
    </row>
    <row r="101" spans="1:12" ht="12" customHeight="1" x14ac:dyDescent="0.2">
      <c r="A101" s="182" t="s">
        <v>478</v>
      </c>
      <c r="B101" s="185" t="s">
        <v>487</v>
      </c>
      <c r="C101" s="211" t="s">
        <v>528</v>
      </c>
      <c r="D101" s="211" t="s">
        <v>529</v>
      </c>
      <c r="E101" s="211" t="s">
        <v>530</v>
      </c>
      <c r="F101" s="206">
        <v>45901</v>
      </c>
      <c r="G101" s="212">
        <v>9308.3799999999992</v>
      </c>
      <c r="H101" s="212">
        <v>66288.600000000006</v>
      </c>
      <c r="I101" s="212">
        <v>821.18</v>
      </c>
      <c r="J101" s="212">
        <v>782.88</v>
      </c>
      <c r="K101" s="212">
        <v>78203</v>
      </c>
      <c r="L101" s="212">
        <v>75597</v>
      </c>
    </row>
    <row r="102" spans="1:12" ht="12" customHeight="1" x14ac:dyDescent="0.2">
      <c r="A102" s="182" t="s">
        <v>478</v>
      </c>
      <c r="B102" s="185" t="s">
        <v>487</v>
      </c>
      <c r="C102" s="211" t="s">
        <v>528</v>
      </c>
      <c r="D102" s="211" t="s">
        <v>529</v>
      </c>
      <c r="E102" s="211" t="s">
        <v>530</v>
      </c>
      <c r="F102" s="206">
        <v>45870</v>
      </c>
      <c r="G102" s="212">
        <v>32243.23</v>
      </c>
      <c r="H102" s="212">
        <v>262311.67</v>
      </c>
      <c r="I102" s="212">
        <v>1065.1199999999999</v>
      </c>
      <c r="J102" s="212">
        <v>1015.39</v>
      </c>
      <c r="K102" s="212">
        <v>79815.600000000006</v>
      </c>
      <c r="L102" s="212">
        <v>37261</v>
      </c>
    </row>
    <row r="103" spans="1:12" ht="12" customHeight="1" x14ac:dyDescent="0.2">
      <c r="A103" s="182" t="s">
        <v>478</v>
      </c>
      <c r="B103" s="185" t="s">
        <v>487</v>
      </c>
      <c r="C103" s="211" t="s">
        <v>528</v>
      </c>
      <c r="D103" s="211" t="s">
        <v>529</v>
      </c>
      <c r="E103" s="211" t="s">
        <v>530</v>
      </c>
      <c r="F103" s="206">
        <v>45839</v>
      </c>
      <c r="G103" s="212">
        <v>39585.5</v>
      </c>
      <c r="H103" s="212">
        <v>256951.97</v>
      </c>
      <c r="I103" s="212">
        <v>1024.8</v>
      </c>
      <c r="J103" s="212">
        <v>993.89</v>
      </c>
      <c r="K103" s="212">
        <v>76551.199999999997</v>
      </c>
      <c r="L103" s="212">
        <v>10848</v>
      </c>
    </row>
    <row r="104" spans="1:12" ht="12" customHeight="1" x14ac:dyDescent="0.2">
      <c r="A104" s="182" t="s">
        <v>478</v>
      </c>
      <c r="B104" s="185" t="s">
        <v>487</v>
      </c>
      <c r="C104" s="211" t="s">
        <v>528</v>
      </c>
      <c r="D104" s="211" t="s">
        <v>529</v>
      </c>
      <c r="E104" s="211" t="s">
        <v>530</v>
      </c>
      <c r="F104" s="206">
        <v>45809</v>
      </c>
      <c r="G104" s="212">
        <v>16950.02</v>
      </c>
      <c r="H104" s="212">
        <v>116048.52</v>
      </c>
      <c r="I104" s="212">
        <v>870.91</v>
      </c>
      <c r="J104" s="212">
        <v>868.22</v>
      </c>
      <c r="K104" s="212">
        <v>60380.6</v>
      </c>
      <c r="L104" s="212">
        <v>24600</v>
      </c>
    </row>
    <row r="105" spans="1:12" ht="12" customHeight="1" x14ac:dyDescent="0.2">
      <c r="A105" s="182" t="s">
        <v>478</v>
      </c>
      <c r="B105" s="185" t="s">
        <v>487</v>
      </c>
      <c r="C105" s="211" t="s">
        <v>528</v>
      </c>
      <c r="D105" s="211" t="s">
        <v>529</v>
      </c>
      <c r="E105" s="211" t="s">
        <v>530</v>
      </c>
      <c r="F105" s="206">
        <v>45778</v>
      </c>
      <c r="G105" s="212">
        <v>6013.73</v>
      </c>
      <c r="H105" s="212">
        <v>51218.33</v>
      </c>
      <c r="I105" s="212">
        <v>452.93</v>
      </c>
      <c r="J105" s="212">
        <v>456.96</v>
      </c>
      <c r="K105" s="212">
        <v>78227.5</v>
      </c>
      <c r="L105" s="212">
        <v>55127</v>
      </c>
    </row>
    <row r="106" spans="1:12" ht="12" customHeight="1" x14ac:dyDescent="0.2">
      <c r="A106" s="182" t="s">
        <v>478</v>
      </c>
      <c r="B106" s="185" t="s">
        <v>487</v>
      </c>
      <c r="C106" s="211" t="s">
        <v>528</v>
      </c>
      <c r="D106" s="211" t="s">
        <v>529</v>
      </c>
      <c r="E106" s="211" t="s">
        <v>530</v>
      </c>
      <c r="F106" s="206">
        <v>45748</v>
      </c>
      <c r="G106" s="212">
        <v>2938.32</v>
      </c>
      <c r="H106" s="212">
        <v>38550.46</v>
      </c>
      <c r="I106" s="212">
        <v>441.5</v>
      </c>
      <c r="J106" s="212">
        <v>485.18</v>
      </c>
      <c r="K106" s="212">
        <v>62725.4</v>
      </c>
      <c r="L106" s="212">
        <v>41488</v>
      </c>
    </row>
    <row r="107" spans="1:12" ht="12" customHeight="1" x14ac:dyDescent="0.2">
      <c r="A107" s="182" t="s">
        <v>478</v>
      </c>
      <c r="B107" s="185" t="s">
        <v>487</v>
      </c>
      <c r="C107" s="211" t="s">
        <v>528</v>
      </c>
      <c r="D107" s="211" t="s">
        <v>529</v>
      </c>
      <c r="E107" s="211" t="s">
        <v>530</v>
      </c>
      <c r="F107" s="206">
        <v>45717</v>
      </c>
      <c r="G107" s="212">
        <v>17348.349999999999</v>
      </c>
      <c r="H107" s="212">
        <v>153225.91</v>
      </c>
      <c r="I107" s="212">
        <v>831.26</v>
      </c>
      <c r="J107" s="212">
        <v>799.01</v>
      </c>
      <c r="K107" s="212">
        <v>89858.2</v>
      </c>
      <c r="L107" s="212">
        <v>32411</v>
      </c>
    </row>
    <row r="108" spans="1:12" ht="12" customHeight="1" x14ac:dyDescent="0.2">
      <c r="A108" s="182" t="s">
        <v>478</v>
      </c>
      <c r="B108" s="185" t="s">
        <v>487</v>
      </c>
      <c r="C108" s="211" t="s">
        <v>528</v>
      </c>
      <c r="D108" s="211" t="s">
        <v>529</v>
      </c>
      <c r="E108" s="211" t="s">
        <v>530</v>
      </c>
      <c r="F108" s="206">
        <v>45689</v>
      </c>
      <c r="G108" s="212">
        <v>29874.6</v>
      </c>
      <c r="H108" s="212">
        <v>172378.75</v>
      </c>
      <c r="I108" s="212">
        <v>846.05</v>
      </c>
      <c r="J108" s="212">
        <v>864.19</v>
      </c>
      <c r="K108" s="212">
        <v>76124.399999999994</v>
      </c>
      <c r="L108" s="212">
        <v>188910</v>
      </c>
    </row>
    <row r="109" spans="1:12" ht="12" customHeight="1" x14ac:dyDescent="0.2">
      <c r="A109" s="182" t="s">
        <v>478</v>
      </c>
      <c r="B109" s="185" t="s">
        <v>487</v>
      </c>
      <c r="C109" s="211" t="s">
        <v>528</v>
      </c>
      <c r="D109" s="211" t="s">
        <v>529</v>
      </c>
      <c r="E109" s="211" t="s">
        <v>530</v>
      </c>
      <c r="F109" s="206">
        <v>45658</v>
      </c>
      <c r="G109" s="212">
        <v>9630.94</v>
      </c>
      <c r="H109" s="212">
        <v>45354.62</v>
      </c>
      <c r="I109" s="212">
        <v>605.47</v>
      </c>
      <c r="J109" s="212">
        <v>516.77</v>
      </c>
      <c r="K109" s="212">
        <v>83461.899999999994</v>
      </c>
      <c r="L109" s="212">
        <v>54986</v>
      </c>
    </row>
    <row r="110" spans="1:12" ht="12" hidden="1" customHeight="1" x14ac:dyDescent="0.2">
      <c r="A110" s="182" t="s">
        <v>476</v>
      </c>
      <c r="B110" s="185" t="s">
        <v>531</v>
      </c>
      <c r="C110" s="211" t="s">
        <v>532</v>
      </c>
      <c r="D110" s="211" t="s">
        <v>533</v>
      </c>
      <c r="E110" s="211" t="s">
        <v>512</v>
      </c>
      <c r="F110" s="206">
        <v>45992</v>
      </c>
      <c r="G110" s="212"/>
      <c r="H110" s="212">
        <v>838</v>
      </c>
      <c r="I110" s="212"/>
      <c r="J110" s="212"/>
      <c r="K110" s="212"/>
      <c r="L110" s="212"/>
    </row>
    <row r="111" spans="1:12" ht="12" hidden="1" customHeight="1" x14ac:dyDescent="0.2">
      <c r="A111" s="182" t="s">
        <v>476</v>
      </c>
      <c r="B111" s="185" t="s">
        <v>531</v>
      </c>
      <c r="C111" s="211" t="s">
        <v>532</v>
      </c>
      <c r="D111" s="211" t="s">
        <v>533</v>
      </c>
      <c r="E111" s="211" t="s">
        <v>512</v>
      </c>
      <c r="F111" s="206">
        <v>45962</v>
      </c>
      <c r="G111" s="212"/>
      <c r="H111" s="212">
        <v>925</v>
      </c>
      <c r="I111" s="212"/>
      <c r="J111" s="212"/>
      <c r="K111" s="212"/>
      <c r="L111" s="212"/>
    </row>
    <row r="112" spans="1:12" ht="12" hidden="1" customHeight="1" x14ac:dyDescent="0.2">
      <c r="A112" s="182" t="s">
        <v>476</v>
      </c>
      <c r="B112" s="185" t="s">
        <v>531</v>
      </c>
      <c r="C112" s="211" t="s">
        <v>532</v>
      </c>
      <c r="D112" s="211" t="s">
        <v>533</v>
      </c>
      <c r="E112" s="211" t="s">
        <v>512</v>
      </c>
      <c r="F112" s="206">
        <v>45931</v>
      </c>
      <c r="G112" s="212"/>
      <c r="H112" s="212">
        <v>943</v>
      </c>
      <c r="I112" s="212"/>
      <c r="J112" s="212"/>
      <c r="K112" s="212"/>
      <c r="L112" s="212"/>
    </row>
    <row r="113" spans="1:18" ht="12" hidden="1" customHeight="1" x14ac:dyDescent="0.2">
      <c r="A113" s="182" t="s">
        <v>476</v>
      </c>
      <c r="B113" s="185" t="s">
        <v>531</v>
      </c>
      <c r="C113" s="211" t="s">
        <v>532</v>
      </c>
      <c r="D113" s="211" t="s">
        <v>533</v>
      </c>
      <c r="E113" s="211" t="s">
        <v>512</v>
      </c>
      <c r="F113" s="206">
        <v>45901</v>
      </c>
      <c r="G113" s="212"/>
      <c r="H113" s="212">
        <v>719</v>
      </c>
      <c r="I113" s="212"/>
      <c r="J113" s="212"/>
      <c r="K113" s="212"/>
      <c r="L113" s="212"/>
    </row>
    <row r="114" spans="1:18" ht="12" hidden="1" customHeight="1" x14ac:dyDescent="0.2">
      <c r="A114" s="182" t="s">
        <v>476</v>
      </c>
      <c r="B114" s="185" t="s">
        <v>531</v>
      </c>
      <c r="C114" s="211" t="s">
        <v>532</v>
      </c>
      <c r="D114" s="211" t="s">
        <v>533</v>
      </c>
      <c r="E114" s="211" t="s">
        <v>512</v>
      </c>
      <c r="F114" s="206">
        <v>45870</v>
      </c>
      <c r="G114" s="212"/>
      <c r="H114" s="212">
        <v>816</v>
      </c>
      <c r="I114" s="212"/>
      <c r="J114" s="212"/>
      <c r="K114" s="212"/>
      <c r="L114" s="212"/>
    </row>
    <row r="115" spans="1:18" ht="12" hidden="1" customHeight="1" x14ac:dyDescent="0.2">
      <c r="A115" s="182" t="s">
        <v>476</v>
      </c>
      <c r="B115" s="185" t="s">
        <v>531</v>
      </c>
      <c r="C115" s="211" t="s">
        <v>532</v>
      </c>
      <c r="D115" s="211" t="s">
        <v>533</v>
      </c>
      <c r="E115" s="211" t="s">
        <v>512</v>
      </c>
      <c r="F115" s="206">
        <v>45839</v>
      </c>
      <c r="G115" s="212"/>
      <c r="H115" s="212">
        <v>899</v>
      </c>
      <c r="I115" s="212"/>
      <c r="J115" s="212"/>
      <c r="K115" s="212"/>
      <c r="L115" s="212"/>
    </row>
    <row r="116" spans="1:18" ht="12" hidden="1" customHeight="1" x14ac:dyDescent="0.2">
      <c r="A116" s="182" t="s">
        <v>476</v>
      </c>
      <c r="B116" s="185" t="s">
        <v>531</v>
      </c>
      <c r="C116" s="211" t="s">
        <v>532</v>
      </c>
      <c r="D116" s="211" t="s">
        <v>533</v>
      </c>
      <c r="E116" s="211" t="s">
        <v>512</v>
      </c>
      <c r="F116" s="206">
        <v>45809</v>
      </c>
      <c r="G116" s="212"/>
      <c r="H116" s="212">
        <v>1067</v>
      </c>
      <c r="I116" s="212"/>
      <c r="J116" s="212"/>
      <c r="K116" s="212"/>
      <c r="L116" s="212"/>
    </row>
    <row r="117" spans="1:18" ht="12" hidden="1" customHeight="1" x14ac:dyDescent="0.2">
      <c r="A117" s="182" t="s">
        <v>476</v>
      </c>
      <c r="B117" s="185" t="s">
        <v>531</v>
      </c>
      <c r="C117" s="211" t="s">
        <v>532</v>
      </c>
      <c r="D117" s="211" t="s">
        <v>533</v>
      </c>
      <c r="E117" s="211" t="s">
        <v>512</v>
      </c>
      <c r="F117" s="206">
        <v>45778</v>
      </c>
      <c r="G117" s="212"/>
      <c r="H117" s="212">
        <v>1146</v>
      </c>
      <c r="I117" s="212"/>
      <c r="J117" s="212"/>
      <c r="K117" s="212"/>
      <c r="L117" s="212"/>
    </row>
    <row r="118" spans="1:18" ht="12" hidden="1" customHeight="1" x14ac:dyDescent="0.2">
      <c r="A118" s="182" t="s">
        <v>476</v>
      </c>
      <c r="B118" s="185" t="s">
        <v>531</v>
      </c>
      <c r="C118" s="211" t="s">
        <v>532</v>
      </c>
      <c r="D118" s="211" t="s">
        <v>533</v>
      </c>
      <c r="E118" s="211" t="s">
        <v>512</v>
      </c>
      <c r="F118" s="206">
        <v>45748</v>
      </c>
      <c r="G118" s="212"/>
      <c r="H118" s="212">
        <v>1026</v>
      </c>
      <c r="I118" s="212"/>
      <c r="J118" s="212"/>
      <c r="K118" s="212"/>
      <c r="L118" s="212"/>
    </row>
    <row r="119" spans="1:18" ht="12" hidden="1" customHeight="1" x14ac:dyDescent="0.2">
      <c r="A119" s="182" t="s">
        <v>476</v>
      </c>
      <c r="B119" s="185" t="s">
        <v>531</v>
      </c>
      <c r="C119" s="211" t="s">
        <v>532</v>
      </c>
      <c r="D119" s="211" t="s">
        <v>533</v>
      </c>
      <c r="E119" s="211" t="s">
        <v>512</v>
      </c>
      <c r="F119" s="206">
        <v>45717</v>
      </c>
      <c r="G119" s="212"/>
      <c r="H119" s="212">
        <v>1030</v>
      </c>
      <c r="I119" s="212"/>
      <c r="J119" s="212"/>
      <c r="K119" s="212"/>
      <c r="L119" s="212"/>
    </row>
    <row r="120" spans="1:18" ht="12" hidden="1" customHeight="1" x14ac:dyDescent="0.2">
      <c r="A120" s="182" t="s">
        <v>476</v>
      </c>
      <c r="B120" s="185" t="s">
        <v>531</v>
      </c>
      <c r="C120" s="211" t="s">
        <v>532</v>
      </c>
      <c r="D120" s="211" t="s">
        <v>533</v>
      </c>
      <c r="E120" s="211" t="s">
        <v>512</v>
      </c>
      <c r="F120" s="206">
        <v>45689</v>
      </c>
      <c r="G120" s="212"/>
      <c r="H120" s="212">
        <v>887</v>
      </c>
      <c r="I120" s="212"/>
      <c r="J120" s="212"/>
      <c r="K120" s="212"/>
      <c r="L120" s="212"/>
    </row>
    <row r="121" spans="1:18" ht="12" hidden="1" customHeight="1" x14ac:dyDescent="0.2">
      <c r="A121" s="182" t="s">
        <v>476</v>
      </c>
      <c r="B121" s="185" t="s">
        <v>531</v>
      </c>
      <c r="C121" s="211" t="s">
        <v>532</v>
      </c>
      <c r="D121" s="211" t="s">
        <v>533</v>
      </c>
      <c r="E121" s="211" t="s">
        <v>512</v>
      </c>
      <c r="F121" s="206">
        <v>45658</v>
      </c>
      <c r="G121" s="212"/>
      <c r="H121" s="212">
        <v>876</v>
      </c>
      <c r="I121" s="212"/>
      <c r="J121" s="212"/>
      <c r="K121" s="212"/>
      <c r="L121" s="212"/>
    </row>
    <row r="122" spans="1:18" ht="12" customHeight="1" x14ac:dyDescent="0.2">
      <c r="A122" s="182" t="s">
        <v>480</v>
      </c>
      <c r="B122" s="185" t="s">
        <v>491</v>
      </c>
      <c r="C122" s="211" t="s">
        <v>534</v>
      </c>
      <c r="D122" s="211" t="s">
        <v>535</v>
      </c>
      <c r="E122" s="211" t="s">
        <v>536</v>
      </c>
      <c r="F122" s="206">
        <v>45992</v>
      </c>
      <c r="G122" s="212">
        <v>1514.84</v>
      </c>
      <c r="H122" s="212">
        <v>15428.7</v>
      </c>
      <c r="I122" s="212">
        <v>30.24</v>
      </c>
      <c r="J122" s="212">
        <v>217.98</v>
      </c>
      <c r="K122" s="212">
        <v>19968.099999999999</v>
      </c>
      <c r="L122" s="212">
        <v>16944</v>
      </c>
      <c r="O122" s="213">
        <f t="shared" ref="O122:O133" si="0">+K122-L122</f>
        <v>3024.0999999999985</v>
      </c>
      <c r="P122" s="212">
        <f>+VLOOKUP(F122,Amandina!$H$4:$L$14,5,0)*1000</f>
        <v>85283.12000000001</v>
      </c>
      <c r="R122" s="213">
        <f>+P122-H122</f>
        <v>69854.420000000013</v>
      </c>
    </row>
    <row r="123" spans="1:18" ht="12" customHeight="1" x14ac:dyDescent="0.2">
      <c r="A123" s="182" t="s">
        <v>480</v>
      </c>
      <c r="B123" s="185" t="s">
        <v>491</v>
      </c>
      <c r="C123" s="211" t="s">
        <v>534</v>
      </c>
      <c r="D123" s="211" t="s">
        <v>535</v>
      </c>
      <c r="E123" s="211" t="s">
        <v>536</v>
      </c>
      <c r="F123" s="206">
        <v>45962</v>
      </c>
      <c r="G123" s="212">
        <v>1437.03</v>
      </c>
      <c r="H123" s="212">
        <v>8808.98</v>
      </c>
      <c r="I123" s="212">
        <v>103.32</v>
      </c>
      <c r="J123" s="212">
        <v>100.8</v>
      </c>
      <c r="K123" s="212">
        <v>36462.9</v>
      </c>
      <c r="L123" s="212">
        <v>10246</v>
      </c>
      <c r="O123" s="213">
        <f t="shared" si="0"/>
        <v>26216.9</v>
      </c>
      <c r="P123" s="212">
        <f>+VLOOKUP(F123,Amandina!$H$4:$L$14,5,0)*1000</f>
        <v>86384.48</v>
      </c>
    </row>
    <row r="124" spans="1:18" ht="12" customHeight="1" x14ac:dyDescent="0.2">
      <c r="A124" s="182" t="s">
        <v>480</v>
      </c>
      <c r="B124" s="185" t="s">
        <v>491</v>
      </c>
      <c r="C124" s="211" t="s">
        <v>534</v>
      </c>
      <c r="D124" s="211" t="s">
        <v>535</v>
      </c>
      <c r="E124" s="211" t="s">
        <v>536</v>
      </c>
      <c r="F124" s="206">
        <v>45931</v>
      </c>
      <c r="G124" s="212">
        <v>2102.94</v>
      </c>
      <c r="H124" s="212">
        <v>11731.55</v>
      </c>
      <c r="I124" s="212">
        <v>167.58</v>
      </c>
      <c r="J124" s="212">
        <v>165.06</v>
      </c>
      <c r="K124" s="212">
        <v>40322</v>
      </c>
      <c r="L124" s="212">
        <v>13835</v>
      </c>
      <c r="O124" s="213">
        <f t="shared" si="0"/>
        <v>26487</v>
      </c>
      <c r="P124" s="212">
        <f>+VLOOKUP(F124,Amandina!$H$4:$L$14,5,0)*1000</f>
        <v>76725.439999999988</v>
      </c>
    </row>
    <row r="125" spans="1:18" ht="12" customHeight="1" x14ac:dyDescent="0.2">
      <c r="A125" s="182" t="s">
        <v>480</v>
      </c>
      <c r="B125" s="185" t="s">
        <v>491</v>
      </c>
      <c r="C125" s="211" t="s">
        <v>534</v>
      </c>
      <c r="D125" s="211" t="s">
        <v>535</v>
      </c>
      <c r="E125" s="211" t="s">
        <v>536</v>
      </c>
      <c r="F125" s="206">
        <v>45901</v>
      </c>
      <c r="G125" s="212">
        <v>2740.19</v>
      </c>
      <c r="H125" s="212">
        <v>17968.55</v>
      </c>
      <c r="I125" s="212">
        <v>168.84</v>
      </c>
      <c r="J125" s="212">
        <v>196.56</v>
      </c>
      <c r="K125" s="212">
        <v>37738.800000000003</v>
      </c>
      <c r="L125" s="212">
        <v>20709</v>
      </c>
      <c r="O125" s="213">
        <f t="shared" si="0"/>
        <v>17029.800000000003</v>
      </c>
      <c r="P125" s="212">
        <f>+VLOOKUP(F125,Amandina!$H$4:$L$14,5,0)*1000</f>
        <v>75546.720000000001</v>
      </c>
    </row>
    <row r="126" spans="1:18" ht="12" customHeight="1" x14ac:dyDescent="0.2">
      <c r="A126" s="182" t="s">
        <v>480</v>
      </c>
      <c r="B126" s="185" t="s">
        <v>491</v>
      </c>
      <c r="C126" s="211" t="s">
        <v>534</v>
      </c>
      <c r="D126" s="211" t="s">
        <v>535</v>
      </c>
      <c r="E126" s="211" t="s">
        <v>536</v>
      </c>
      <c r="F126" s="206">
        <v>45870</v>
      </c>
      <c r="G126" s="212">
        <v>19255.009999999998</v>
      </c>
      <c r="H126" s="212">
        <v>130522.46</v>
      </c>
      <c r="I126" s="212">
        <v>793.8</v>
      </c>
      <c r="J126" s="212">
        <v>869.4</v>
      </c>
      <c r="K126" s="212">
        <v>16177.9</v>
      </c>
      <c r="L126" s="212">
        <v>5142</v>
      </c>
      <c r="O126" s="213">
        <f t="shared" si="0"/>
        <v>11035.9</v>
      </c>
      <c r="P126" s="212">
        <f>+VLOOKUP(F126,Amandina!$H$4:$L$14,5,0)*1000</f>
        <v>74466.16</v>
      </c>
    </row>
    <row r="127" spans="1:18" ht="12" customHeight="1" x14ac:dyDescent="0.2">
      <c r="A127" s="182" t="s">
        <v>480</v>
      </c>
      <c r="B127" s="185" t="s">
        <v>491</v>
      </c>
      <c r="C127" s="211" t="s">
        <v>534</v>
      </c>
      <c r="D127" s="211" t="s">
        <v>535</v>
      </c>
      <c r="E127" s="211" t="s">
        <v>536</v>
      </c>
      <c r="F127" s="206">
        <v>45839</v>
      </c>
      <c r="G127" s="212">
        <v>37585.800000000003</v>
      </c>
      <c r="H127" s="212">
        <v>223302.56</v>
      </c>
      <c r="I127" s="212">
        <v>904.68</v>
      </c>
      <c r="J127" s="212">
        <v>916.02</v>
      </c>
      <c r="K127" s="212">
        <v>37317.800000000003</v>
      </c>
      <c r="L127" s="212">
        <v>9165</v>
      </c>
      <c r="O127" s="213">
        <f t="shared" si="0"/>
        <v>28152.800000000003</v>
      </c>
      <c r="P127" s="212">
        <f>+VLOOKUP(F127,Amandina!$H$4:$L$14,5,0)*1000</f>
        <v>70669.439999999988</v>
      </c>
    </row>
    <row r="128" spans="1:18" ht="12" customHeight="1" x14ac:dyDescent="0.2">
      <c r="A128" s="182" t="s">
        <v>480</v>
      </c>
      <c r="B128" s="185" t="s">
        <v>491</v>
      </c>
      <c r="C128" s="211" t="s">
        <v>534</v>
      </c>
      <c r="D128" s="211" t="s">
        <v>535</v>
      </c>
      <c r="E128" s="211" t="s">
        <v>536</v>
      </c>
      <c r="F128" s="206">
        <v>45809</v>
      </c>
      <c r="G128" s="212">
        <v>19556.78</v>
      </c>
      <c r="H128" s="212">
        <v>183159.59</v>
      </c>
      <c r="I128" s="212">
        <v>747.18</v>
      </c>
      <c r="J128" s="212">
        <v>845.46</v>
      </c>
      <c r="K128" s="212">
        <v>20798.2</v>
      </c>
      <c r="L128" s="212">
        <v>7190</v>
      </c>
      <c r="O128" s="213">
        <f t="shared" si="0"/>
        <v>13608.2</v>
      </c>
      <c r="P128" s="212">
        <f>+VLOOKUP(F128,Amandina!$H$4:$L$14,5,0)*1000</f>
        <v>57829.519999999982</v>
      </c>
    </row>
    <row r="129" spans="1:16" ht="12" customHeight="1" x14ac:dyDescent="0.2">
      <c r="A129" s="182" t="s">
        <v>480</v>
      </c>
      <c r="B129" s="185" t="s">
        <v>491</v>
      </c>
      <c r="C129" s="211" t="s">
        <v>534</v>
      </c>
      <c r="D129" s="211" t="s">
        <v>535</v>
      </c>
      <c r="E129" s="211" t="s">
        <v>536</v>
      </c>
      <c r="F129" s="206">
        <v>45778</v>
      </c>
      <c r="G129" s="212">
        <v>7312.1</v>
      </c>
      <c r="H129" s="212">
        <v>106720.74</v>
      </c>
      <c r="I129" s="212">
        <v>486.36</v>
      </c>
      <c r="J129" s="212">
        <v>784.98</v>
      </c>
      <c r="K129" s="212">
        <v>28781.7</v>
      </c>
      <c r="L129" s="212">
        <v>9127</v>
      </c>
      <c r="O129" s="213">
        <f t="shared" si="0"/>
        <v>19654.7</v>
      </c>
      <c r="P129" s="212">
        <f>+VLOOKUP(F129,Amandina!$H$4:$L$14,5,0)*1000</f>
        <v>73293.279999999999</v>
      </c>
    </row>
    <row r="130" spans="1:16" ht="12" customHeight="1" x14ac:dyDescent="0.2">
      <c r="A130" s="182" t="s">
        <v>480</v>
      </c>
      <c r="B130" s="185" t="s">
        <v>491</v>
      </c>
      <c r="C130" s="211" t="s">
        <v>534</v>
      </c>
      <c r="D130" s="211" t="s">
        <v>535</v>
      </c>
      <c r="E130" s="211" t="s">
        <v>536</v>
      </c>
      <c r="F130" s="206">
        <v>45748</v>
      </c>
      <c r="G130" s="212">
        <v>2769.48</v>
      </c>
      <c r="H130" s="212">
        <v>84395.43</v>
      </c>
      <c r="I130" s="212">
        <v>110.88</v>
      </c>
      <c r="J130" s="212">
        <v>560.70000000000005</v>
      </c>
      <c r="K130" s="212">
        <v>23902.799999999999</v>
      </c>
      <c r="L130" s="212">
        <v>1423</v>
      </c>
      <c r="O130" s="213">
        <f t="shared" si="0"/>
        <v>22479.8</v>
      </c>
      <c r="P130" s="212">
        <f>+VLOOKUP(F130,Amandina!$H$4:$L$14,5,0)*1000</f>
        <v>58967.759999999995</v>
      </c>
    </row>
    <row r="131" spans="1:16" ht="12" customHeight="1" x14ac:dyDescent="0.2">
      <c r="A131" s="182" t="s">
        <v>480</v>
      </c>
      <c r="B131" s="185" t="s">
        <v>491</v>
      </c>
      <c r="C131" s="211" t="s">
        <v>534</v>
      </c>
      <c r="D131" s="211" t="s">
        <v>535</v>
      </c>
      <c r="E131" s="211" t="s">
        <v>536</v>
      </c>
      <c r="F131" s="206">
        <v>45717</v>
      </c>
      <c r="G131" s="212">
        <v>14932.89</v>
      </c>
      <c r="H131" s="212">
        <v>177578.42</v>
      </c>
      <c r="I131" s="212">
        <v>913.5</v>
      </c>
      <c r="J131" s="212">
        <v>923.58</v>
      </c>
      <c r="K131" s="212">
        <v>7913.8</v>
      </c>
      <c r="L131" s="212">
        <v>419</v>
      </c>
      <c r="O131" s="213">
        <f t="shared" si="0"/>
        <v>7494.8</v>
      </c>
      <c r="P131" s="212">
        <f>+VLOOKUP(F131,Amandina!$H$4:$L$14,5,0)*1000</f>
        <v>82449.51999999999</v>
      </c>
    </row>
    <row r="132" spans="1:16" ht="12" customHeight="1" x14ac:dyDescent="0.2">
      <c r="A132" s="182" t="s">
        <v>480</v>
      </c>
      <c r="B132" s="185" t="s">
        <v>491</v>
      </c>
      <c r="C132" s="211" t="s">
        <v>534</v>
      </c>
      <c r="D132" s="211" t="s">
        <v>535</v>
      </c>
      <c r="E132" s="211" t="s">
        <v>536</v>
      </c>
      <c r="F132" s="206">
        <v>45689</v>
      </c>
      <c r="G132" s="212">
        <v>19948.64</v>
      </c>
      <c r="H132" s="212">
        <v>212798.25</v>
      </c>
      <c r="I132" s="212">
        <v>763.56</v>
      </c>
      <c r="J132" s="212">
        <v>790.02</v>
      </c>
      <c r="K132" s="212">
        <v>190.1</v>
      </c>
      <c r="L132" s="212">
        <v>0</v>
      </c>
      <c r="O132" s="213">
        <f t="shared" si="0"/>
        <v>190.1</v>
      </c>
      <c r="P132" s="212">
        <f>+Batayporã!J4*80%*1000</f>
        <v>72905.52</v>
      </c>
    </row>
    <row r="133" spans="1:16" ht="12" customHeight="1" x14ac:dyDescent="0.2">
      <c r="A133" s="182" t="s">
        <v>480</v>
      </c>
      <c r="B133" s="185" t="s">
        <v>491</v>
      </c>
      <c r="C133" s="211" t="s">
        <v>534</v>
      </c>
      <c r="D133" s="211" t="s">
        <v>535</v>
      </c>
      <c r="E133" s="211" t="s">
        <v>536</v>
      </c>
      <c r="F133" s="206">
        <v>45658</v>
      </c>
      <c r="G133" s="212">
        <v>9264.15</v>
      </c>
      <c r="H133" s="212">
        <v>72928.490000000005</v>
      </c>
      <c r="I133" s="212">
        <v>704.34</v>
      </c>
      <c r="J133" s="212">
        <v>758.52</v>
      </c>
      <c r="K133" s="212">
        <v>0</v>
      </c>
      <c r="L133" s="212">
        <v>0</v>
      </c>
      <c r="O133" s="213">
        <f t="shared" si="0"/>
        <v>0</v>
      </c>
      <c r="P133" s="212">
        <f>+Batayporã!J3*80%*1000</f>
        <v>91407.199999999968</v>
      </c>
    </row>
    <row r="134" spans="1:16" ht="12" hidden="1" customHeight="1" x14ac:dyDescent="0.2">
      <c r="A134" s="182" t="s">
        <v>476</v>
      </c>
      <c r="B134" s="185" t="s">
        <v>537</v>
      </c>
      <c r="C134" s="211" t="s">
        <v>538</v>
      </c>
      <c r="D134" s="211" t="s">
        <v>539</v>
      </c>
      <c r="E134" s="211" t="s">
        <v>512</v>
      </c>
      <c r="F134" s="206">
        <v>45992</v>
      </c>
      <c r="G134" s="212"/>
      <c r="H134" s="212">
        <v>3227</v>
      </c>
      <c r="I134" s="212"/>
      <c r="J134" s="212"/>
      <c r="K134" s="212"/>
      <c r="L134" s="212"/>
    </row>
    <row r="135" spans="1:16" ht="12" hidden="1" customHeight="1" x14ac:dyDescent="0.2">
      <c r="A135" s="182" t="s">
        <v>476</v>
      </c>
      <c r="B135" s="185" t="s">
        <v>537</v>
      </c>
      <c r="C135" s="211" t="s">
        <v>538</v>
      </c>
      <c r="D135" s="211" t="s">
        <v>539</v>
      </c>
      <c r="E135" s="211" t="s">
        <v>512</v>
      </c>
      <c r="F135" s="206">
        <v>45962</v>
      </c>
      <c r="G135" s="212"/>
      <c r="H135" s="212">
        <v>2090</v>
      </c>
      <c r="I135" s="212"/>
      <c r="J135" s="212"/>
      <c r="K135" s="212"/>
      <c r="L135" s="212"/>
    </row>
    <row r="136" spans="1:16" ht="12" hidden="1" customHeight="1" x14ac:dyDescent="0.2">
      <c r="A136" s="182" t="s">
        <v>476</v>
      </c>
      <c r="B136" s="185" t="s">
        <v>537</v>
      </c>
      <c r="C136" s="211" t="s">
        <v>538</v>
      </c>
      <c r="D136" s="211" t="s">
        <v>539</v>
      </c>
      <c r="E136" s="211" t="s">
        <v>512</v>
      </c>
      <c r="F136" s="206">
        <v>45931</v>
      </c>
      <c r="G136" s="212"/>
      <c r="H136" s="212">
        <v>2593</v>
      </c>
      <c r="I136" s="212"/>
      <c r="J136" s="212"/>
      <c r="K136" s="212"/>
      <c r="L136" s="212"/>
    </row>
    <row r="137" spans="1:16" ht="12" hidden="1" customHeight="1" x14ac:dyDescent="0.2">
      <c r="A137" s="182" t="s">
        <v>476</v>
      </c>
      <c r="B137" s="185" t="s">
        <v>537</v>
      </c>
      <c r="C137" s="211" t="s">
        <v>538</v>
      </c>
      <c r="D137" s="211" t="s">
        <v>539</v>
      </c>
      <c r="E137" s="211" t="s">
        <v>512</v>
      </c>
      <c r="F137" s="206">
        <v>45901</v>
      </c>
      <c r="G137" s="212"/>
      <c r="H137" s="212">
        <v>2469</v>
      </c>
      <c r="I137" s="212"/>
      <c r="J137" s="212"/>
      <c r="K137" s="212"/>
      <c r="L137" s="212"/>
    </row>
    <row r="138" spans="1:16" ht="12" hidden="1" customHeight="1" x14ac:dyDescent="0.2">
      <c r="A138" s="182" t="s">
        <v>476</v>
      </c>
      <c r="B138" s="185" t="s">
        <v>537</v>
      </c>
      <c r="C138" s="211" t="s">
        <v>538</v>
      </c>
      <c r="D138" s="211" t="s">
        <v>539</v>
      </c>
      <c r="E138" s="211" t="s">
        <v>512</v>
      </c>
      <c r="F138" s="206">
        <v>45870</v>
      </c>
      <c r="G138" s="212"/>
      <c r="H138" s="212">
        <v>1448</v>
      </c>
      <c r="I138" s="212"/>
      <c r="J138" s="212"/>
      <c r="K138" s="212"/>
      <c r="L138" s="212"/>
    </row>
    <row r="139" spans="1:16" ht="12" hidden="1" customHeight="1" x14ac:dyDescent="0.2">
      <c r="A139" s="182" t="s">
        <v>476</v>
      </c>
      <c r="B139" s="185" t="s">
        <v>537</v>
      </c>
      <c r="C139" s="211" t="s">
        <v>538</v>
      </c>
      <c r="D139" s="211" t="s">
        <v>539</v>
      </c>
      <c r="E139" s="211" t="s">
        <v>512</v>
      </c>
      <c r="F139" s="206">
        <v>45839</v>
      </c>
      <c r="G139" s="212"/>
      <c r="H139" s="212">
        <v>1317</v>
      </c>
      <c r="I139" s="212"/>
      <c r="J139" s="212"/>
      <c r="K139" s="212"/>
      <c r="L139" s="212"/>
    </row>
    <row r="140" spans="1:16" ht="12" hidden="1" customHeight="1" x14ac:dyDescent="0.2">
      <c r="A140" s="182" t="s">
        <v>476</v>
      </c>
      <c r="B140" s="185" t="s">
        <v>537</v>
      </c>
      <c r="C140" s="211" t="s">
        <v>538</v>
      </c>
      <c r="D140" s="211" t="s">
        <v>539</v>
      </c>
      <c r="E140" s="211" t="s">
        <v>512</v>
      </c>
      <c r="F140" s="206">
        <v>45809</v>
      </c>
      <c r="G140" s="212"/>
      <c r="H140" s="212">
        <v>1362</v>
      </c>
      <c r="I140" s="212"/>
      <c r="J140" s="212"/>
      <c r="K140" s="212"/>
      <c r="L140" s="212"/>
    </row>
    <row r="141" spans="1:16" ht="12" hidden="1" customHeight="1" x14ac:dyDescent="0.2">
      <c r="A141" s="182" t="s">
        <v>476</v>
      </c>
      <c r="B141" s="185" t="s">
        <v>537</v>
      </c>
      <c r="C141" s="211" t="s">
        <v>538</v>
      </c>
      <c r="D141" s="211" t="s">
        <v>539</v>
      </c>
      <c r="E141" s="211" t="s">
        <v>512</v>
      </c>
      <c r="F141" s="206">
        <v>45778</v>
      </c>
      <c r="G141" s="212"/>
      <c r="H141" s="212">
        <v>2238</v>
      </c>
      <c r="I141" s="212"/>
      <c r="J141" s="212"/>
      <c r="K141" s="212"/>
      <c r="L141" s="212"/>
    </row>
    <row r="142" spans="1:16" ht="12" hidden="1" customHeight="1" x14ac:dyDescent="0.2">
      <c r="A142" s="182" t="s">
        <v>476</v>
      </c>
      <c r="B142" s="185" t="s">
        <v>537</v>
      </c>
      <c r="C142" s="211" t="s">
        <v>538</v>
      </c>
      <c r="D142" s="211" t="s">
        <v>539</v>
      </c>
      <c r="E142" s="211" t="s">
        <v>512</v>
      </c>
      <c r="F142" s="206">
        <v>45748</v>
      </c>
      <c r="G142" s="212"/>
      <c r="H142" s="212">
        <v>2511</v>
      </c>
      <c r="I142" s="212"/>
      <c r="J142" s="212"/>
      <c r="K142" s="212"/>
      <c r="L142" s="212"/>
    </row>
    <row r="143" spans="1:16" ht="12" hidden="1" customHeight="1" x14ac:dyDescent="0.2">
      <c r="A143" s="182" t="s">
        <v>476</v>
      </c>
      <c r="B143" s="185" t="s">
        <v>537</v>
      </c>
      <c r="C143" s="211" t="s">
        <v>538</v>
      </c>
      <c r="D143" s="211" t="s">
        <v>539</v>
      </c>
      <c r="E143" s="211" t="s">
        <v>512</v>
      </c>
      <c r="F143" s="206">
        <v>45717</v>
      </c>
      <c r="G143" s="212"/>
      <c r="H143" s="212">
        <v>3281</v>
      </c>
      <c r="I143" s="212"/>
      <c r="J143" s="212"/>
      <c r="K143" s="212"/>
      <c r="L143" s="212"/>
    </row>
    <row r="144" spans="1:16" ht="12" hidden="1" customHeight="1" x14ac:dyDescent="0.2">
      <c r="A144" s="182" t="s">
        <v>476</v>
      </c>
      <c r="B144" s="185" t="s">
        <v>537</v>
      </c>
      <c r="C144" s="211" t="s">
        <v>538</v>
      </c>
      <c r="D144" s="211" t="s">
        <v>539</v>
      </c>
      <c r="E144" s="211" t="s">
        <v>512</v>
      </c>
      <c r="F144" s="206">
        <v>45689</v>
      </c>
      <c r="G144" s="212"/>
      <c r="H144" s="212">
        <v>3394</v>
      </c>
      <c r="I144" s="212"/>
      <c r="J144" s="212"/>
      <c r="K144" s="212"/>
      <c r="L144" s="212"/>
    </row>
    <row r="145" spans="1:15" ht="12" hidden="1" customHeight="1" x14ac:dyDescent="0.2">
      <c r="A145" s="182" t="s">
        <v>476</v>
      </c>
      <c r="B145" s="185" t="s">
        <v>537</v>
      </c>
      <c r="C145" s="211" t="s">
        <v>538</v>
      </c>
      <c r="D145" s="211" t="s">
        <v>539</v>
      </c>
      <c r="E145" s="211" t="s">
        <v>512</v>
      </c>
      <c r="F145" s="206">
        <v>45658</v>
      </c>
      <c r="G145" s="212"/>
      <c r="H145" s="212">
        <v>3370</v>
      </c>
      <c r="I145" s="212"/>
      <c r="J145" s="212"/>
      <c r="K145" s="212"/>
      <c r="L145" s="212"/>
    </row>
    <row r="146" spans="1:15" ht="12" customHeight="1" x14ac:dyDescent="0.2">
      <c r="A146" s="182" t="s">
        <v>478</v>
      </c>
      <c r="B146" s="185" t="s">
        <v>489</v>
      </c>
      <c r="C146" s="211" t="s">
        <v>540</v>
      </c>
      <c r="D146" s="211" t="s">
        <v>541</v>
      </c>
      <c r="E146" s="211" t="s">
        <v>530</v>
      </c>
      <c r="F146" s="206">
        <v>45992</v>
      </c>
      <c r="G146" s="212">
        <v>1093.05</v>
      </c>
      <c r="H146" s="212">
        <v>4510.8</v>
      </c>
      <c r="I146" s="212">
        <v>25.2</v>
      </c>
      <c r="J146" s="212">
        <v>42</v>
      </c>
      <c r="K146" s="212">
        <v>106603.9</v>
      </c>
      <c r="L146" s="212">
        <v>5604</v>
      </c>
    </row>
    <row r="147" spans="1:15" ht="12" customHeight="1" x14ac:dyDescent="0.2">
      <c r="A147" s="182" t="s">
        <v>478</v>
      </c>
      <c r="B147" s="185" t="s">
        <v>489</v>
      </c>
      <c r="C147" s="211" t="s">
        <v>540</v>
      </c>
      <c r="D147" s="211" t="s">
        <v>541</v>
      </c>
      <c r="E147" s="211" t="s">
        <v>530</v>
      </c>
      <c r="F147" s="206">
        <v>45962</v>
      </c>
      <c r="G147" s="212">
        <v>1019.55</v>
      </c>
      <c r="H147" s="212">
        <v>4500.3</v>
      </c>
      <c r="I147" s="212">
        <v>79.8</v>
      </c>
      <c r="J147" s="212">
        <v>71.400000000000006</v>
      </c>
      <c r="K147" s="212">
        <v>107980.6</v>
      </c>
      <c r="L147" s="212">
        <v>5520</v>
      </c>
    </row>
    <row r="148" spans="1:15" ht="12" customHeight="1" x14ac:dyDescent="0.2">
      <c r="A148" s="182" t="s">
        <v>478</v>
      </c>
      <c r="B148" s="185" t="s">
        <v>489</v>
      </c>
      <c r="C148" s="211" t="s">
        <v>540</v>
      </c>
      <c r="D148" s="211" t="s">
        <v>541</v>
      </c>
      <c r="E148" s="211" t="s">
        <v>530</v>
      </c>
      <c r="F148" s="206">
        <v>45931</v>
      </c>
      <c r="G148" s="212">
        <v>1132.95</v>
      </c>
      <c r="H148" s="212">
        <v>4884.6000000000004</v>
      </c>
      <c r="I148" s="212">
        <v>21</v>
      </c>
      <c r="J148" s="212">
        <v>46.2</v>
      </c>
      <c r="K148" s="212">
        <v>95906.8</v>
      </c>
      <c r="L148" s="212">
        <v>6018</v>
      </c>
    </row>
    <row r="149" spans="1:15" ht="12" customHeight="1" x14ac:dyDescent="0.2">
      <c r="A149" s="182" t="s">
        <v>478</v>
      </c>
      <c r="B149" s="185" t="s">
        <v>489</v>
      </c>
      <c r="C149" s="211" t="s">
        <v>540</v>
      </c>
      <c r="D149" s="211" t="s">
        <v>541</v>
      </c>
      <c r="E149" s="211" t="s">
        <v>530</v>
      </c>
      <c r="F149" s="206">
        <v>45901</v>
      </c>
      <c r="G149" s="212">
        <v>1357.65</v>
      </c>
      <c r="H149" s="212">
        <v>15868.65</v>
      </c>
      <c r="I149" s="212">
        <v>142.80000000000001</v>
      </c>
      <c r="J149" s="212">
        <v>151.19999999999999</v>
      </c>
      <c r="K149" s="212">
        <v>94433.4</v>
      </c>
      <c r="L149" s="212">
        <v>29344</v>
      </c>
    </row>
    <row r="150" spans="1:15" ht="12" customHeight="1" x14ac:dyDescent="0.2">
      <c r="A150" s="182" t="s">
        <v>478</v>
      </c>
      <c r="B150" s="185" t="s">
        <v>489</v>
      </c>
      <c r="C150" s="211" t="s">
        <v>540</v>
      </c>
      <c r="D150" s="211" t="s">
        <v>541</v>
      </c>
      <c r="E150" s="211" t="s">
        <v>530</v>
      </c>
      <c r="F150" s="206">
        <v>45870</v>
      </c>
      <c r="G150" s="212">
        <v>11823</v>
      </c>
      <c r="H150" s="212">
        <v>47401.2</v>
      </c>
      <c r="I150" s="212">
        <v>407.4</v>
      </c>
      <c r="J150" s="212">
        <v>390.6</v>
      </c>
      <c r="K150" s="212">
        <v>93082.7</v>
      </c>
      <c r="L150" s="212">
        <v>59224</v>
      </c>
    </row>
    <row r="151" spans="1:15" ht="12" customHeight="1" x14ac:dyDescent="0.2">
      <c r="A151" s="182" t="s">
        <v>478</v>
      </c>
      <c r="B151" s="185" t="s">
        <v>489</v>
      </c>
      <c r="C151" s="211" t="s">
        <v>540</v>
      </c>
      <c r="D151" s="211" t="s">
        <v>541</v>
      </c>
      <c r="E151" s="211" t="s">
        <v>530</v>
      </c>
      <c r="F151" s="206">
        <v>45839</v>
      </c>
      <c r="G151" s="212">
        <v>13474.65</v>
      </c>
      <c r="H151" s="212">
        <v>50710.8</v>
      </c>
      <c r="I151" s="212">
        <v>382.2</v>
      </c>
      <c r="J151" s="212">
        <v>394.8</v>
      </c>
      <c r="K151" s="212">
        <v>88336.8</v>
      </c>
      <c r="L151" s="212">
        <v>64186</v>
      </c>
    </row>
    <row r="152" spans="1:15" ht="12" customHeight="1" x14ac:dyDescent="0.2">
      <c r="A152" s="182" t="s">
        <v>478</v>
      </c>
      <c r="B152" s="185" t="s">
        <v>489</v>
      </c>
      <c r="C152" s="211" t="s">
        <v>540</v>
      </c>
      <c r="D152" s="211" t="s">
        <v>541</v>
      </c>
      <c r="E152" s="211" t="s">
        <v>530</v>
      </c>
      <c r="F152" s="206">
        <v>45809</v>
      </c>
      <c r="G152" s="212">
        <v>5230.05</v>
      </c>
      <c r="H152" s="212">
        <v>31349.85</v>
      </c>
      <c r="I152" s="212">
        <v>352.8</v>
      </c>
      <c r="J152" s="212">
        <v>357</v>
      </c>
      <c r="K152" s="212">
        <v>72286.899999999994</v>
      </c>
      <c r="L152" s="212">
        <v>36580</v>
      </c>
    </row>
    <row r="153" spans="1:15" ht="12" customHeight="1" x14ac:dyDescent="0.2">
      <c r="A153" s="182" t="s">
        <v>478</v>
      </c>
      <c r="B153" s="185" t="s">
        <v>489</v>
      </c>
      <c r="C153" s="211" t="s">
        <v>540</v>
      </c>
      <c r="D153" s="211" t="s">
        <v>541</v>
      </c>
      <c r="E153" s="211" t="s">
        <v>530</v>
      </c>
      <c r="F153" s="206">
        <v>45778</v>
      </c>
      <c r="G153" s="212">
        <v>1296.75</v>
      </c>
      <c r="H153" s="212">
        <v>35861.699999999997</v>
      </c>
      <c r="I153" s="212">
        <v>79.8</v>
      </c>
      <c r="J153" s="212">
        <v>197.4</v>
      </c>
      <c r="K153" s="212">
        <v>91616.6</v>
      </c>
      <c r="L153" s="212">
        <v>37159</v>
      </c>
    </row>
    <row r="154" spans="1:15" ht="12" customHeight="1" x14ac:dyDescent="0.2">
      <c r="A154" s="182" t="s">
        <v>478</v>
      </c>
      <c r="B154" s="185" t="s">
        <v>489</v>
      </c>
      <c r="C154" s="211" t="s">
        <v>540</v>
      </c>
      <c r="D154" s="211" t="s">
        <v>541</v>
      </c>
      <c r="E154" s="211" t="s">
        <v>530</v>
      </c>
      <c r="F154" s="206">
        <v>45748</v>
      </c>
      <c r="G154" s="212">
        <v>1182.3</v>
      </c>
      <c r="H154" s="212">
        <v>37404.15</v>
      </c>
      <c r="I154" s="212">
        <v>168</v>
      </c>
      <c r="J154" s="212">
        <v>197.4</v>
      </c>
      <c r="K154" s="212">
        <v>73709.7</v>
      </c>
      <c r="L154" s="212">
        <v>38586</v>
      </c>
    </row>
    <row r="155" spans="1:15" ht="12" customHeight="1" x14ac:dyDescent="0.2">
      <c r="A155" s="182" t="s">
        <v>478</v>
      </c>
      <c r="B155" s="185" t="s">
        <v>489</v>
      </c>
      <c r="C155" s="211" t="s">
        <v>540</v>
      </c>
      <c r="D155" s="211" t="s">
        <v>541</v>
      </c>
      <c r="E155" s="211" t="s">
        <v>530</v>
      </c>
      <c r="F155" s="206">
        <v>45717</v>
      </c>
      <c r="G155" s="212">
        <v>9745.0499999999993</v>
      </c>
      <c r="H155" s="212">
        <v>53952.15</v>
      </c>
      <c r="I155" s="212">
        <v>378</v>
      </c>
      <c r="J155" s="212">
        <v>369.6</v>
      </c>
      <c r="K155" s="212">
        <v>103061.9</v>
      </c>
      <c r="L155" s="212">
        <v>63697</v>
      </c>
    </row>
    <row r="156" spans="1:15" ht="12" customHeight="1" x14ac:dyDescent="0.2">
      <c r="A156" s="182" t="s">
        <v>478</v>
      </c>
      <c r="B156" s="185" t="s">
        <v>489</v>
      </c>
      <c r="C156" s="211" t="s">
        <v>540</v>
      </c>
      <c r="D156" s="211" t="s">
        <v>541</v>
      </c>
      <c r="E156" s="211" t="s">
        <v>530</v>
      </c>
      <c r="F156" s="206">
        <v>45689</v>
      </c>
      <c r="G156" s="212">
        <v>7965.3</v>
      </c>
      <c r="H156" s="212">
        <v>28350</v>
      </c>
      <c r="I156" s="212">
        <v>361.2</v>
      </c>
      <c r="J156" s="212">
        <v>327.60000000000002</v>
      </c>
      <c r="K156" s="212">
        <v>91131.9</v>
      </c>
      <c r="L156" s="212">
        <v>36315</v>
      </c>
    </row>
    <row r="157" spans="1:15" ht="12" customHeight="1" x14ac:dyDescent="0.2">
      <c r="A157" s="182" t="s">
        <v>478</v>
      </c>
      <c r="B157" s="185" t="s">
        <v>489</v>
      </c>
      <c r="C157" s="211" t="s">
        <v>540</v>
      </c>
      <c r="D157" s="211" t="s">
        <v>541</v>
      </c>
      <c r="E157" s="211" t="s">
        <v>530</v>
      </c>
      <c r="F157" s="206">
        <v>45658</v>
      </c>
      <c r="G157" s="212">
        <v>1197</v>
      </c>
      <c r="H157" s="212">
        <v>5588.1</v>
      </c>
      <c r="I157" s="212">
        <v>25.2</v>
      </c>
      <c r="J157" s="212">
        <v>25.2</v>
      </c>
      <c r="K157" s="212">
        <v>114259</v>
      </c>
      <c r="L157" s="212">
        <v>6785</v>
      </c>
      <c r="O157" s="213"/>
    </row>
    <row r="158" spans="1:15" ht="12" hidden="1" customHeight="1" x14ac:dyDescent="0.2">
      <c r="A158" s="182" t="s">
        <v>476</v>
      </c>
      <c r="B158" s="185" t="s">
        <v>542</v>
      </c>
      <c r="C158" s="211" t="s">
        <v>543</v>
      </c>
      <c r="D158" s="211" t="s">
        <v>544</v>
      </c>
      <c r="E158" s="211" t="s">
        <v>512</v>
      </c>
      <c r="F158" s="206">
        <v>45992</v>
      </c>
      <c r="G158" s="212"/>
      <c r="H158" s="212">
        <v>1260</v>
      </c>
      <c r="I158" s="212"/>
      <c r="J158" s="212"/>
      <c r="K158" s="212"/>
      <c r="L158" s="212"/>
    </row>
    <row r="159" spans="1:15" ht="12" hidden="1" customHeight="1" x14ac:dyDescent="0.2">
      <c r="A159" s="182" t="s">
        <v>476</v>
      </c>
      <c r="B159" s="185" t="s">
        <v>542</v>
      </c>
      <c r="C159" s="211" t="s">
        <v>543</v>
      </c>
      <c r="D159" s="211" t="s">
        <v>544</v>
      </c>
      <c r="E159" s="211" t="s">
        <v>512</v>
      </c>
      <c r="F159" s="206">
        <v>45962</v>
      </c>
      <c r="G159" s="212"/>
      <c r="H159" s="212">
        <v>900</v>
      </c>
      <c r="I159" s="212"/>
      <c r="J159" s="212"/>
      <c r="K159" s="212"/>
      <c r="L159" s="212"/>
    </row>
    <row r="160" spans="1:15" ht="12" hidden="1" customHeight="1" x14ac:dyDescent="0.2">
      <c r="A160" s="182" t="s">
        <v>476</v>
      </c>
      <c r="B160" s="185" t="s">
        <v>542</v>
      </c>
      <c r="C160" s="211" t="s">
        <v>543</v>
      </c>
      <c r="D160" s="211" t="s">
        <v>544</v>
      </c>
      <c r="E160" s="211" t="s">
        <v>512</v>
      </c>
      <c r="F160" s="206">
        <v>45931</v>
      </c>
      <c r="G160" s="212"/>
      <c r="H160" s="212">
        <v>939</v>
      </c>
      <c r="I160" s="212"/>
      <c r="J160" s="212"/>
      <c r="K160" s="212"/>
      <c r="L160" s="212"/>
    </row>
    <row r="161" spans="1:12" ht="12" hidden="1" customHeight="1" x14ac:dyDescent="0.2">
      <c r="A161" s="182" t="s">
        <v>476</v>
      </c>
      <c r="B161" s="185" t="s">
        <v>542</v>
      </c>
      <c r="C161" s="211" t="s">
        <v>543</v>
      </c>
      <c r="D161" s="211" t="s">
        <v>544</v>
      </c>
      <c r="E161" s="211" t="s">
        <v>512</v>
      </c>
      <c r="F161" s="206">
        <v>45901</v>
      </c>
      <c r="G161" s="212"/>
      <c r="H161" s="212">
        <v>750</v>
      </c>
      <c r="I161" s="212"/>
      <c r="J161" s="212"/>
      <c r="K161" s="212"/>
      <c r="L161" s="212"/>
    </row>
    <row r="162" spans="1:12" ht="12" hidden="1" customHeight="1" x14ac:dyDescent="0.2">
      <c r="A162" s="182" t="s">
        <v>476</v>
      </c>
      <c r="B162" s="185" t="s">
        <v>542</v>
      </c>
      <c r="C162" s="211" t="s">
        <v>543</v>
      </c>
      <c r="D162" s="211" t="s">
        <v>544</v>
      </c>
      <c r="E162" s="211" t="s">
        <v>512</v>
      </c>
      <c r="F162" s="206">
        <v>45870</v>
      </c>
      <c r="G162" s="212"/>
      <c r="H162" s="212">
        <v>525</v>
      </c>
      <c r="I162" s="212"/>
      <c r="J162" s="212"/>
      <c r="K162" s="212"/>
      <c r="L162" s="212"/>
    </row>
    <row r="163" spans="1:12" ht="12" hidden="1" customHeight="1" x14ac:dyDescent="0.2">
      <c r="A163" s="182" t="s">
        <v>476</v>
      </c>
      <c r="B163" s="185" t="s">
        <v>542</v>
      </c>
      <c r="C163" s="211" t="s">
        <v>543</v>
      </c>
      <c r="D163" s="211" t="s">
        <v>544</v>
      </c>
      <c r="E163" s="211" t="s">
        <v>512</v>
      </c>
      <c r="F163" s="206">
        <v>45839</v>
      </c>
      <c r="G163" s="212"/>
      <c r="H163" s="212">
        <v>475</v>
      </c>
      <c r="I163" s="212"/>
      <c r="J163" s="212"/>
      <c r="K163" s="212"/>
      <c r="L163" s="212"/>
    </row>
    <row r="164" spans="1:12" ht="12" hidden="1" customHeight="1" x14ac:dyDescent="0.2">
      <c r="A164" s="182" t="s">
        <v>476</v>
      </c>
      <c r="B164" s="185" t="s">
        <v>542</v>
      </c>
      <c r="C164" s="211" t="s">
        <v>543</v>
      </c>
      <c r="D164" s="211" t="s">
        <v>544</v>
      </c>
      <c r="E164" s="211" t="s">
        <v>512</v>
      </c>
      <c r="F164" s="206">
        <v>45809</v>
      </c>
      <c r="G164" s="212"/>
      <c r="H164" s="212">
        <v>554</v>
      </c>
      <c r="I164" s="212"/>
      <c r="J164" s="212"/>
      <c r="K164" s="212"/>
      <c r="L164" s="212"/>
    </row>
    <row r="165" spans="1:12" ht="12" hidden="1" customHeight="1" x14ac:dyDescent="0.2">
      <c r="A165" s="182" t="s">
        <v>476</v>
      </c>
      <c r="B165" s="185" t="s">
        <v>542</v>
      </c>
      <c r="C165" s="211" t="s">
        <v>543</v>
      </c>
      <c r="D165" s="211" t="s">
        <v>544</v>
      </c>
      <c r="E165" s="211" t="s">
        <v>512</v>
      </c>
      <c r="F165" s="206">
        <v>45778</v>
      </c>
      <c r="G165" s="212"/>
      <c r="H165" s="212">
        <v>733</v>
      </c>
      <c r="I165" s="212"/>
      <c r="J165" s="212"/>
      <c r="K165" s="212"/>
      <c r="L165" s="212"/>
    </row>
    <row r="166" spans="1:12" ht="12" hidden="1" customHeight="1" x14ac:dyDescent="0.2">
      <c r="A166" s="182" t="s">
        <v>476</v>
      </c>
      <c r="B166" s="185" t="s">
        <v>542</v>
      </c>
      <c r="C166" s="211" t="s">
        <v>543</v>
      </c>
      <c r="D166" s="211" t="s">
        <v>544</v>
      </c>
      <c r="E166" s="211" t="s">
        <v>512</v>
      </c>
      <c r="F166" s="206">
        <v>45748</v>
      </c>
      <c r="G166" s="212"/>
      <c r="H166" s="212">
        <v>915</v>
      </c>
      <c r="I166" s="212"/>
      <c r="J166" s="212"/>
      <c r="K166" s="212"/>
      <c r="L166" s="212"/>
    </row>
    <row r="167" spans="1:12" ht="12" hidden="1" customHeight="1" x14ac:dyDescent="0.2">
      <c r="A167" s="182" t="s">
        <v>476</v>
      </c>
      <c r="B167" s="185" t="s">
        <v>542</v>
      </c>
      <c r="C167" s="211" t="s">
        <v>543</v>
      </c>
      <c r="D167" s="211" t="s">
        <v>544</v>
      </c>
      <c r="E167" s="211" t="s">
        <v>512</v>
      </c>
      <c r="F167" s="206">
        <v>45717</v>
      </c>
      <c r="G167" s="212"/>
      <c r="H167" s="212">
        <v>1180</v>
      </c>
      <c r="I167" s="212"/>
      <c r="J167" s="212"/>
      <c r="K167" s="212"/>
      <c r="L167" s="212"/>
    </row>
    <row r="168" spans="1:12" ht="12" hidden="1" customHeight="1" x14ac:dyDescent="0.2">
      <c r="A168" s="182" t="s">
        <v>476</v>
      </c>
      <c r="B168" s="185" t="s">
        <v>542</v>
      </c>
      <c r="C168" s="211" t="s">
        <v>543</v>
      </c>
      <c r="D168" s="211" t="s">
        <v>544</v>
      </c>
      <c r="E168" s="211" t="s">
        <v>512</v>
      </c>
      <c r="F168" s="206">
        <v>45689</v>
      </c>
      <c r="G168" s="212"/>
      <c r="H168" s="212">
        <v>1100</v>
      </c>
      <c r="I168" s="212"/>
      <c r="J168" s="212"/>
      <c r="K168" s="212"/>
      <c r="L168" s="212"/>
    </row>
    <row r="169" spans="1:12" ht="12" hidden="1" customHeight="1" x14ac:dyDescent="0.2">
      <c r="A169" s="182" t="s">
        <v>476</v>
      </c>
      <c r="B169" s="185" t="s">
        <v>542</v>
      </c>
      <c r="C169" s="211" t="s">
        <v>543</v>
      </c>
      <c r="D169" s="211" t="s">
        <v>544</v>
      </c>
      <c r="E169" s="211" t="s">
        <v>512</v>
      </c>
      <c r="F169" s="206">
        <v>45658</v>
      </c>
      <c r="G169" s="212"/>
      <c r="H169" s="212">
        <v>1140</v>
      </c>
      <c r="I169" s="212"/>
      <c r="J169" s="212"/>
      <c r="K169" s="212"/>
      <c r="L169" s="212"/>
    </row>
    <row r="170" spans="1:12" ht="12" hidden="1" customHeight="1" x14ac:dyDescent="0.2">
      <c r="A170" s="182" t="s">
        <v>476</v>
      </c>
      <c r="B170" s="185" t="s">
        <v>98</v>
      </c>
      <c r="C170" s="211" t="s">
        <v>545</v>
      </c>
      <c r="D170" s="211" t="s">
        <v>546</v>
      </c>
      <c r="E170" s="211" t="s">
        <v>512</v>
      </c>
      <c r="F170" s="206">
        <v>45992</v>
      </c>
      <c r="G170" s="212"/>
      <c r="H170" s="212">
        <v>4877</v>
      </c>
      <c r="I170" s="212"/>
      <c r="J170" s="212"/>
      <c r="K170" s="212"/>
      <c r="L170" s="212"/>
    </row>
    <row r="171" spans="1:12" ht="12" hidden="1" customHeight="1" x14ac:dyDescent="0.2">
      <c r="A171" s="182" t="s">
        <v>476</v>
      </c>
      <c r="B171" s="185" t="s">
        <v>98</v>
      </c>
      <c r="C171" s="211" t="s">
        <v>545</v>
      </c>
      <c r="D171" s="211" t="s">
        <v>546</v>
      </c>
      <c r="E171" s="211" t="s">
        <v>512</v>
      </c>
      <c r="F171" s="206">
        <v>45962</v>
      </c>
      <c r="G171" s="212"/>
      <c r="H171" s="212">
        <v>4046</v>
      </c>
      <c r="I171" s="212"/>
      <c r="J171" s="212"/>
      <c r="K171" s="212"/>
      <c r="L171" s="212"/>
    </row>
    <row r="172" spans="1:12" ht="12" hidden="1" customHeight="1" x14ac:dyDescent="0.2">
      <c r="A172" s="182" t="s">
        <v>476</v>
      </c>
      <c r="B172" s="185" t="s">
        <v>98</v>
      </c>
      <c r="C172" s="211" t="s">
        <v>545</v>
      </c>
      <c r="D172" s="211" t="s">
        <v>546</v>
      </c>
      <c r="E172" s="211" t="s">
        <v>512</v>
      </c>
      <c r="F172" s="206">
        <v>45931</v>
      </c>
      <c r="G172" s="212"/>
      <c r="H172" s="212">
        <v>5439</v>
      </c>
      <c r="I172" s="212"/>
      <c r="J172" s="212"/>
      <c r="K172" s="212"/>
      <c r="L172" s="212"/>
    </row>
    <row r="173" spans="1:12" ht="12" hidden="1" customHeight="1" x14ac:dyDescent="0.2">
      <c r="A173" s="182" t="s">
        <v>476</v>
      </c>
      <c r="B173" s="185" t="s">
        <v>98</v>
      </c>
      <c r="C173" s="211" t="s">
        <v>545</v>
      </c>
      <c r="D173" s="211" t="s">
        <v>546</v>
      </c>
      <c r="E173" s="211" t="s">
        <v>512</v>
      </c>
      <c r="F173" s="206">
        <v>45901</v>
      </c>
      <c r="G173" s="212"/>
      <c r="H173" s="212">
        <v>7235</v>
      </c>
      <c r="I173" s="212"/>
      <c r="J173" s="212"/>
      <c r="K173" s="212"/>
      <c r="L173" s="212"/>
    </row>
    <row r="174" spans="1:12" ht="12" hidden="1" customHeight="1" x14ac:dyDescent="0.2">
      <c r="A174" s="182" t="s">
        <v>476</v>
      </c>
      <c r="B174" s="185" t="s">
        <v>98</v>
      </c>
      <c r="C174" s="211" t="s">
        <v>545</v>
      </c>
      <c r="D174" s="211" t="s">
        <v>546</v>
      </c>
      <c r="E174" s="211" t="s">
        <v>512</v>
      </c>
      <c r="F174" s="206">
        <v>45870</v>
      </c>
      <c r="G174" s="212"/>
      <c r="H174" s="212">
        <v>2459</v>
      </c>
      <c r="I174" s="212"/>
      <c r="J174" s="212"/>
      <c r="K174" s="212"/>
      <c r="L174" s="212"/>
    </row>
    <row r="175" spans="1:12" ht="12" hidden="1" customHeight="1" x14ac:dyDescent="0.2">
      <c r="A175" s="182" t="s">
        <v>476</v>
      </c>
      <c r="B175" s="185" t="s">
        <v>98</v>
      </c>
      <c r="C175" s="211" t="s">
        <v>545</v>
      </c>
      <c r="D175" s="211" t="s">
        <v>546</v>
      </c>
      <c r="E175" s="211" t="s">
        <v>512</v>
      </c>
      <c r="F175" s="206">
        <v>45839</v>
      </c>
      <c r="G175" s="212"/>
      <c r="H175" s="212">
        <v>1294</v>
      </c>
      <c r="I175" s="212"/>
      <c r="J175" s="212"/>
      <c r="K175" s="212"/>
      <c r="L175" s="212"/>
    </row>
    <row r="176" spans="1:12" ht="12" hidden="1" customHeight="1" x14ac:dyDescent="0.2">
      <c r="A176" s="182" t="s">
        <v>476</v>
      </c>
      <c r="B176" s="185" t="s">
        <v>98</v>
      </c>
      <c r="C176" s="211" t="s">
        <v>545</v>
      </c>
      <c r="D176" s="211" t="s">
        <v>546</v>
      </c>
      <c r="E176" s="211" t="s">
        <v>512</v>
      </c>
      <c r="F176" s="206">
        <v>45809</v>
      </c>
      <c r="G176" s="212"/>
      <c r="H176" s="212">
        <v>1737</v>
      </c>
      <c r="I176" s="212"/>
      <c r="J176" s="212"/>
      <c r="K176" s="212"/>
      <c r="L176" s="212"/>
    </row>
    <row r="177" spans="1:12" ht="12" hidden="1" customHeight="1" x14ac:dyDescent="0.2">
      <c r="A177" s="182" t="s">
        <v>476</v>
      </c>
      <c r="B177" s="185" t="s">
        <v>98</v>
      </c>
      <c r="C177" s="211" t="s">
        <v>545</v>
      </c>
      <c r="D177" s="211" t="s">
        <v>546</v>
      </c>
      <c r="E177" s="211" t="s">
        <v>512</v>
      </c>
      <c r="F177" s="206">
        <v>45778</v>
      </c>
      <c r="G177" s="212"/>
      <c r="H177" s="212">
        <v>832</v>
      </c>
      <c r="I177" s="212"/>
      <c r="J177" s="212"/>
      <c r="K177" s="212"/>
      <c r="L177" s="212"/>
    </row>
    <row r="178" spans="1:12" ht="12" hidden="1" customHeight="1" x14ac:dyDescent="0.2">
      <c r="A178" s="182" t="s">
        <v>476</v>
      </c>
      <c r="B178" s="185" t="s">
        <v>98</v>
      </c>
      <c r="C178" s="211" t="s">
        <v>545</v>
      </c>
      <c r="D178" s="211" t="s">
        <v>546</v>
      </c>
      <c r="E178" s="211" t="s">
        <v>512</v>
      </c>
      <c r="F178" s="206">
        <v>45748</v>
      </c>
      <c r="G178" s="212"/>
      <c r="H178" s="212">
        <v>1107</v>
      </c>
      <c r="I178" s="212"/>
      <c r="J178" s="212"/>
      <c r="K178" s="212"/>
      <c r="L178" s="212"/>
    </row>
    <row r="179" spans="1:12" ht="12" hidden="1" customHeight="1" x14ac:dyDescent="0.2">
      <c r="A179" s="182" t="s">
        <v>476</v>
      </c>
      <c r="B179" s="185" t="s">
        <v>98</v>
      </c>
      <c r="C179" s="211" t="s">
        <v>545</v>
      </c>
      <c r="D179" s="211" t="s">
        <v>546</v>
      </c>
      <c r="E179" s="211" t="s">
        <v>512</v>
      </c>
      <c r="F179" s="206">
        <v>45717</v>
      </c>
      <c r="G179" s="212"/>
      <c r="H179" s="212">
        <v>1347</v>
      </c>
      <c r="I179" s="212"/>
      <c r="J179" s="212"/>
      <c r="K179" s="212"/>
      <c r="L179" s="212"/>
    </row>
    <row r="180" spans="1:12" ht="12" hidden="1" customHeight="1" x14ac:dyDescent="0.2">
      <c r="A180" s="182" t="s">
        <v>476</v>
      </c>
      <c r="B180" s="185" t="s">
        <v>98</v>
      </c>
      <c r="C180" s="211" t="s">
        <v>545</v>
      </c>
      <c r="D180" s="211" t="s">
        <v>546</v>
      </c>
      <c r="E180" s="211" t="s">
        <v>512</v>
      </c>
      <c r="F180" s="206">
        <v>45689</v>
      </c>
      <c r="G180" s="212"/>
      <c r="H180" s="212">
        <v>875</v>
      </c>
      <c r="I180" s="212"/>
      <c r="J180" s="212"/>
      <c r="K180" s="212"/>
      <c r="L180" s="212"/>
    </row>
    <row r="181" spans="1:12" ht="12" hidden="1" customHeight="1" x14ac:dyDescent="0.2">
      <c r="A181" s="182" t="s">
        <v>476</v>
      </c>
      <c r="B181" s="185" t="s">
        <v>98</v>
      </c>
      <c r="C181" s="211" t="s">
        <v>545</v>
      </c>
      <c r="D181" s="211" t="s">
        <v>546</v>
      </c>
      <c r="E181" s="211" t="s">
        <v>512</v>
      </c>
      <c r="F181" s="206">
        <v>45658</v>
      </c>
      <c r="G181" s="212"/>
      <c r="H181" s="212">
        <v>0</v>
      </c>
      <c r="I181" s="212"/>
      <c r="J181" s="212"/>
      <c r="K181" s="212"/>
      <c r="L181" s="212"/>
    </row>
    <row r="182" spans="1:12" ht="12" hidden="1" customHeight="1" x14ac:dyDescent="0.2">
      <c r="A182" s="182" t="s">
        <v>476</v>
      </c>
      <c r="B182" s="185" t="s">
        <v>77</v>
      </c>
      <c r="C182" s="211" t="s">
        <v>547</v>
      </c>
      <c r="D182" s="211" t="s">
        <v>548</v>
      </c>
      <c r="E182" s="211" t="s">
        <v>512</v>
      </c>
      <c r="F182" s="206">
        <v>45992</v>
      </c>
      <c r="G182" s="212"/>
      <c r="H182" s="212">
        <v>6073.06</v>
      </c>
      <c r="I182" s="212"/>
      <c r="J182" s="212"/>
      <c r="K182" s="212"/>
      <c r="L182" s="212"/>
    </row>
    <row r="183" spans="1:12" ht="12" hidden="1" customHeight="1" x14ac:dyDescent="0.2">
      <c r="A183" s="182" t="s">
        <v>476</v>
      </c>
      <c r="B183" s="185" t="s">
        <v>77</v>
      </c>
      <c r="C183" s="211" t="s">
        <v>547</v>
      </c>
      <c r="D183" s="211" t="s">
        <v>548</v>
      </c>
      <c r="E183" s="211" t="s">
        <v>512</v>
      </c>
      <c r="F183" s="206">
        <v>45962</v>
      </c>
      <c r="G183" s="212"/>
      <c r="H183" s="212">
        <v>6374.03</v>
      </c>
      <c r="I183" s="212"/>
      <c r="J183" s="212"/>
      <c r="K183" s="212"/>
      <c r="L183" s="212"/>
    </row>
    <row r="184" spans="1:12" ht="12" hidden="1" customHeight="1" x14ac:dyDescent="0.2">
      <c r="A184" s="182" t="s">
        <v>476</v>
      </c>
      <c r="B184" s="185" t="s">
        <v>77</v>
      </c>
      <c r="C184" s="211" t="s">
        <v>547</v>
      </c>
      <c r="D184" s="211" t="s">
        <v>548</v>
      </c>
      <c r="E184" s="211" t="s">
        <v>512</v>
      </c>
      <c r="F184" s="206">
        <v>45931</v>
      </c>
      <c r="G184" s="212"/>
      <c r="H184" s="212">
        <v>5428.03</v>
      </c>
      <c r="I184" s="212"/>
      <c r="J184" s="212"/>
      <c r="K184" s="212"/>
      <c r="L184" s="212"/>
    </row>
    <row r="185" spans="1:12" ht="12" hidden="1" customHeight="1" x14ac:dyDescent="0.2">
      <c r="A185" s="182" t="s">
        <v>476</v>
      </c>
      <c r="B185" s="185" t="s">
        <v>77</v>
      </c>
      <c r="C185" s="211" t="s">
        <v>547</v>
      </c>
      <c r="D185" s="211" t="s">
        <v>548</v>
      </c>
      <c r="E185" s="211" t="s">
        <v>512</v>
      </c>
      <c r="F185" s="206">
        <v>45901</v>
      </c>
      <c r="G185" s="212"/>
      <c r="H185" s="212">
        <v>4204.96</v>
      </c>
      <c r="I185" s="212"/>
      <c r="J185" s="212"/>
      <c r="K185" s="212"/>
      <c r="L185" s="212"/>
    </row>
    <row r="186" spans="1:12" ht="12" hidden="1" customHeight="1" x14ac:dyDescent="0.2">
      <c r="A186" s="182" t="s">
        <v>476</v>
      </c>
      <c r="B186" s="185" t="s">
        <v>77</v>
      </c>
      <c r="C186" s="211" t="s">
        <v>547</v>
      </c>
      <c r="D186" s="211" t="s">
        <v>548</v>
      </c>
      <c r="E186" s="211" t="s">
        <v>512</v>
      </c>
      <c r="F186" s="206">
        <v>45870</v>
      </c>
      <c r="G186" s="212"/>
      <c r="H186" s="212">
        <v>3408.79</v>
      </c>
      <c r="I186" s="212"/>
      <c r="J186" s="212"/>
      <c r="K186" s="212"/>
      <c r="L186" s="212"/>
    </row>
    <row r="187" spans="1:12" ht="12" hidden="1" customHeight="1" x14ac:dyDescent="0.2">
      <c r="A187" s="182" t="s">
        <v>476</v>
      </c>
      <c r="B187" s="185" t="s">
        <v>77</v>
      </c>
      <c r="C187" s="211" t="s">
        <v>547</v>
      </c>
      <c r="D187" s="211" t="s">
        <v>548</v>
      </c>
      <c r="E187" s="211" t="s">
        <v>512</v>
      </c>
      <c r="F187" s="206">
        <v>45839</v>
      </c>
      <c r="G187" s="212"/>
      <c r="H187" s="212">
        <v>3450.56</v>
      </c>
      <c r="I187" s="212"/>
      <c r="J187" s="212"/>
      <c r="K187" s="212"/>
      <c r="L187" s="212"/>
    </row>
    <row r="188" spans="1:12" ht="12" hidden="1" customHeight="1" x14ac:dyDescent="0.2">
      <c r="A188" s="182" t="s">
        <v>476</v>
      </c>
      <c r="B188" s="185" t="s">
        <v>77</v>
      </c>
      <c r="C188" s="211" t="s">
        <v>547</v>
      </c>
      <c r="D188" s="211" t="s">
        <v>548</v>
      </c>
      <c r="E188" s="211" t="s">
        <v>512</v>
      </c>
      <c r="F188" s="206">
        <v>45809</v>
      </c>
      <c r="G188" s="212"/>
      <c r="H188" s="212">
        <v>3657.4</v>
      </c>
      <c r="I188" s="212"/>
      <c r="J188" s="212"/>
      <c r="K188" s="212"/>
      <c r="L188" s="212"/>
    </row>
    <row r="189" spans="1:12" ht="12" hidden="1" customHeight="1" x14ac:dyDescent="0.2">
      <c r="A189" s="182" t="s">
        <v>476</v>
      </c>
      <c r="B189" s="185" t="s">
        <v>77</v>
      </c>
      <c r="C189" s="211" t="s">
        <v>547</v>
      </c>
      <c r="D189" s="211" t="s">
        <v>548</v>
      </c>
      <c r="E189" s="211" t="s">
        <v>512</v>
      </c>
      <c r="F189" s="206">
        <v>45778</v>
      </c>
      <c r="G189" s="212"/>
      <c r="H189" s="212">
        <v>4080.16</v>
      </c>
      <c r="I189" s="212"/>
      <c r="J189" s="212"/>
      <c r="K189" s="212"/>
      <c r="L189" s="212"/>
    </row>
    <row r="190" spans="1:12" ht="12" hidden="1" customHeight="1" x14ac:dyDescent="0.2">
      <c r="A190" s="182" t="s">
        <v>476</v>
      </c>
      <c r="B190" s="185" t="s">
        <v>77</v>
      </c>
      <c r="C190" s="211" t="s">
        <v>547</v>
      </c>
      <c r="D190" s="211" t="s">
        <v>548</v>
      </c>
      <c r="E190" s="211" t="s">
        <v>512</v>
      </c>
      <c r="F190" s="206">
        <v>45748</v>
      </c>
      <c r="G190" s="212"/>
      <c r="H190" s="212">
        <v>4416.04</v>
      </c>
      <c r="I190" s="212"/>
      <c r="J190" s="212"/>
      <c r="K190" s="212"/>
      <c r="L190" s="212"/>
    </row>
    <row r="191" spans="1:12" ht="12" hidden="1" customHeight="1" x14ac:dyDescent="0.2">
      <c r="A191" s="182" t="s">
        <v>476</v>
      </c>
      <c r="B191" s="185" t="s">
        <v>77</v>
      </c>
      <c r="C191" s="211" t="s">
        <v>547</v>
      </c>
      <c r="D191" s="211" t="s">
        <v>548</v>
      </c>
      <c r="E191" s="211" t="s">
        <v>512</v>
      </c>
      <c r="F191" s="206">
        <v>45717</v>
      </c>
      <c r="G191" s="212"/>
      <c r="H191" s="212">
        <v>5075.6499999999996</v>
      </c>
      <c r="I191" s="212"/>
      <c r="J191" s="212"/>
      <c r="K191" s="212"/>
      <c r="L191" s="212"/>
    </row>
    <row r="192" spans="1:12" ht="12" hidden="1" customHeight="1" x14ac:dyDescent="0.2">
      <c r="A192" s="182" t="s">
        <v>476</v>
      </c>
      <c r="B192" s="185" t="s">
        <v>77</v>
      </c>
      <c r="C192" s="211" t="s">
        <v>547</v>
      </c>
      <c r="D192" s="211" t="s">
        <v>548</v>
      </c>
      <c r="E192" s="211" t="s">
        <v>512</v>
      </c>
      <c r="F192" s="206">
        <v>45689</v>
      </c>
      <c r="G192" s="212"/>
      <c r="H192" s="212">
        <v>4332.6899999999996</v>
      </c>
      <c r="I192" s="212"/>
      <c r="J192" s="212"/>
      <c r="K192" s="212"/>
      <c r="L192" s="212"/>
    </row>
    <row r="193" spans="1:12" ht="12" hidden="1" customHeight="1" x14ac:dyDescent="0.2">
      <c r="A193" s="182" t="s">
        <v>476</v>
      </c>
      <c r="B193" s="185" t="s">
        <v>77</v>
      </c>
      <c r="C193" s="211" t="s">
        <v>547</v>
      </c>
      <c r="D193" s="211" t="s">
        <v>548</v>
      </c>
      <c r="E193" s="211" t="s">
        <v>512</v>
      </c>
      <c r="F193" s="206">
        <v>45658</v>
      </c>
      <c r="G193" s="212"/>
      <c r="H193" s="212">
        <v>4121.32</v>
      </c>
      <c r="I193" s="212"/>
      <c r="J193" s="212"/>
      <c r="K193" s="212"/>
      <c r="L193" s="212"/>
    </row>
    <row r="194" spans="1:12" ht="12" hidden="1" customHeight="1" x14ac:dyDescent="0.2">
      <c r="A194" s="182" t="s">
        <v>476</v>
      </c>
      <c r="B194" s="185" t="s">
        <v>107</v>
      </c>
      <c r="C194" s="211" t="s">
        <v>549</v>
      </c>
      <c r="D194" s="211" t="s">
        <v>550</v>
      </c>
      <c r="E194" s="211" t="s">
        <v>512</v>
      </c>
      <c r="F194" s="206">
        <v>45992</v>
      </c>
      <c r="G194" s="212"/>
      <c r="H194" s="212">
        <v>3547</v>
      </c>
      <c r="I194" s="212"/>
      <c r="J194" s="212"/>
      <c r="K194" s="212"/>
      <c r="L194" s="212"/>
    </row>
    <row r="195" spans="1:12" ht="12" hidden="1" customHeight="1" x14ac:dyDescent="0.2">
      <c r="A195" s="182" t="s">
        <v>476</v>
      </c>
      <c r="B195" s="185" t="s">
        <v>107</v>
      </c>
      <c r="C195" s="211" t="s">
        <v>549</v>
      </c>
      <c r="D195" s="211" t="s">
        <v>550</v>
      </c>
      <c r="E195" s="211" t="s">
        <v>512</v>
      </c>
      <c r="F195" s="206">
        <v>45962</v>
      </c>
      <c r="G195" s="212"/>
      <c r="H195" s="212">
        <v>3614</v>
      </c>
      <c r="I195" s="212"/>
      <c r="J195" s="212"/>
      <c r="K195" s="212"/>
      <c r="L195" s="212"/>
    </row>
    <row r="196" spans="1:12" ht="12" hidden="1" customHeight="1" x14ac:dyDescent="0.2">
      <c r="A196" s="182" t="s">
        <v>476</v>
      </c>
      <c r="B196" s="185" t="s">
        <v>107</v>
      </c>
      <c r="C196" s="211" t="s">
        <v>549</v>
      </c>
      <c r="D196" s="211" t="s">
        <v>550</v>
      </c>
      <c r="E196" s="211" t="s">
        <v>512</v>
      </c>
      <c r="F196" s="206">
        <v>45931</v>
      </c>
      <c r="G196" s="212"/>
      <c r="H196" s="212">
        <v>3961</v>
      </c>
      <c r="I196" s="212"/>
      <c r="J196" s="212"/>
      <c r="K196" s="212"/>
      <c r="L196" s="212"/>
    </row>
    <row r="197" spans="1:12" ht="12" hidden="1" customHeight="1" x14ac:dyDescent="0.2">
      <c r="A197" s="182" t="s">
        <v>476</v>
      </c>
      <c r="B197" s="185" t="s">
        <v>107</v>
      </c>
      <c r="C197" s="211" t="s">
        <v>549</v>
      </c>
      <c r="D197" s="211" t="s">
        <v>550</v>
      </c>
      <c r="E197" s="211" t="s">
        <v>512</v>
      </c>
      <c r="F197" s="206">
        <v>45901</v>
      </c>
      <c r="G197" s="212"/>
      <c r="H197" s="212">
        <v>3873</v>
      </c>
      <c r="I197" s="212"/>
      <c r="J197" s="212"/>
      <c r="K197" s="212"/>
      <c r="L197" s="212"/>
    </row>
    <row r="198" spans="1:12" ht="12" hidden="1" customHeight="1" x14ac:dyDescent="0.2">
      <c r="A198" s="182" t="s">
        <v>476</v>
      </c>
      <c r="B198" s="185" t="s">
        <v>107</v>
      </c>
      <c r="C198" s="211" t="s">
        <v>549</v>
      </c>
      <c r="D198" s="211" t="s">
        <v>550</v>
      </c>
      <c r="E198" s="211" t="s">
        <v>512</v>
      </c>
      <c r="F198" s="206">
        <v>45870</v>
      </c>
      <c r="G198" s="212"/>
      <c r="H198" s="212">
        <v>4685</v>
      </c>
      <c r="I198" s="212"/>
      <c r="J198" s="212"/>
      <c r="K198" s="212"/>
      <c r="L198" s="212"/>
    </row>
    <row r="199" spans="1:12" ht="12" hidden="1" customHeight="1" x14ac:dyDescent="0.2">
      <c r="A199" s="182" t="s">
        <v>476</v>
      </c>
      <c r="B199" s="185" t="s">
        <v>107</v>
      </c>
      <c r="C199" s="211" t="s">
        <v>549</v>
      </c>
      <c r="D199" s="211" t="s">
        <v>550</v>
      </c>
      <c r="E199" s="211" t="s">
        <v>512</v>
      </c>
      <c r="F199" s="206">
        <v>45839</v>
      </c>
      <c r="G199" s="212"/>
      <c r="H199" s="212">
        <v>4336</v>
      </c>
      <c r="I199" s="212"/>
      <c r="J199" s="212"/>
      <c r="K199" s="212"/>
      <c r="L199" s="212"/>
    </row>
    <row r="200" spans="1:12" ht="12" hidden="1" customHeight="1" x14ac:dyDescent="0.2">
      <c r="A200" s="182" t="s">
        <v>476</v>
      </c>
      <c r="B200" s="185" t="s">
        <v>107</v>
      </c>
      <c r="C200" s="211" t="s">
        <v>549</v>
      </c>
      <c r="D200" s="211" t="s">
        <v>550</v>
      </c>
      <c r="E200" s="211" t="s">
        <v>512</v>
      </c>
      <c r="F200" s="206">
        <v>45809</v>
      </c>
      <c r="G200" s="212"/>
      <c r="H200" s="212">
        <v>3953</v>
      </c>
      <c r="I200" s="212"/>
      <c r="J200" s="212"/>
      <c r="K200" s="212"/>
      <c r="L200" s="212"/>
    </row>
    <row r="201" spans="1:12" ht="12" hidden="1" customHeight="1" x14ac:dyDescent="0.2">
      <c r="A201" s="182" t="s">
        <v>476</v>
      </c>
      <c r="B201" s="185" t="s">
        <v>107</v>
      </c>
      <c r="C201" s="211" t="s">
        <v>549</v>
      </c>
      <c r="D201" s="211" t="s">
        <v>550</v>
      </c>
      <c r="E201" s="211" t="s">
        <v>512</v>
      </c>
      <c r="F201" s="206">
        <v>45778</v>
      </c>
      <c r="G201" s="212"/>
      <c r="H201" s="212">
        <v>3888</v>
      </c>
      <c r="I201" s="212"/>
      <c r="J201" s="212"/>
      <c r="K201" s="212"/>
      <c r="L201" s="212"/>
    </row>
    <row r="202" spans="1:12" ht="12" hidden="1" customHeight="1" x14ac:dyDescent="0.2">
      <c r="A202" s="182" t="s">
        <v>476</v>
      </c>
      <c r="B202" s="185" t="s">
        <v>107</v>
      </c>
      <c r="C202" s="211" t="s">
        <v>549</v>
      </c>
      <c r="D202" s="211" t="s">
        <v>550</v>
      </c>
      <c r="E202" s="211" t="s">
        <v>512</v>
      </c>
      <c r="F202" s="206">
        <v>45748</v>
      </c>
      <c r="G202" s="212"/>
      <c r="H202" s="212">
        <v>3810</v>
      </c>
      <c r="I202" s="212"/>
      <c r="J202" s="212"/>
      <c r="K202" s="212"/>
      <c r="L202" s="212"/>
    </row>
    <row r="203" spans="1:12" ht="12" hidden="1" customHeight="1" x14ac:dyDescent="0.2">
      <c r="A203" s="182" t="s">
        <v>476</v>
      </c>
      <c r="B203" s="185" t="s">
        <v>107</v>
      </c>
      <c r="C203" s="211" t="s">
        <v>549</v>
      </c>
      <c r="D203" s="211" t="s">
        <v>550</v>
      </c>
      <c r="E203" s="211" t="s">
        <v>512</v>
      </c>
      <c r="F203" s="206">
        <v>45717</v>
      </c>
      <c r="G203" s="212"/>
      <c r="H203" s="212">
        <v>3733</v>
      </c>
      <c r="I203" s="212"/>
      <c r="J203" s="212"/>
      <c r="K203" s="212"/>
      <c r="L203" s="212"/>
    </row>
    <row r="204" spans="1:12" ht="12" hidden="1" customHeight="1" x14ac:dyDescent="0.2">
      <c r="A204" s="182" t="s">
        <v>476</v>
      </c>
      <c r="B204" s="185" t="s">
        <v>107</v>
      </c>
      <c r="C204" s="211" t="s">
        <v>549</v>
      </c>
      <c r="D204" s="211" t="s">
        <v>550</v>
      </c>
      <c r="E204" s="211" t="s">
        <v>512</v>
      </c>
      <c r="F204" s="206">
        <v>45689</v>
      </c>
      <c r="G204" s="212"/>
      <c r="H204" s="212">
        <v>4609</v>
      </c>
      <c r="I204" s="212"/>
      <c r="J204" s="212"/>
      <c r="K204" s="212"/>
      <c r="L204" s="212"/>
    </row>
    <row r="205" spans="1:12" ht="12" hidden="1" customHeight="1" x14ac:dyDescent="0.2">
      <c r="A205" s="182" t="s">
        <v>476</v>
      </c>
      <c r="B205" s="185" t="s">
        <v>107</v>
      </c>
      <c r="C205" s="211" t="s">
        <v>549</v>
      </c>
      <c r="D205" s="211" t="s">
        <v>550</v>
      </c>
      <c r="E205" s="211" t="s">
        <v>512</v>
      </c>
      <c r="F205" s="206">
        <v>45658</v>
      </c>
      <c r="G205" s="212"/>
      <c r="H205" s="212">
        <v>4300</v>
      </c>
      <c r="I205" s="212"/>
      <c r="J205" s="212"/>
      <c r="K205" s="212"/>
      <c r="L205" s="212"/>
    </row>
    <row r="206" spans="1:12" ht="12" hidden="1" customHeight="1" x14ac:dyDescent="0.2">
      <c r="A206" s="182" t="s">
        <v>476</v>
      </c>
      <c r="B206" s="185" t="s">
        <v>100</v>
      </c>
      <c r="C206" s="211" t="s">
        <v>551</v>
      </c>
      <c r="D206" s="211" t="s">
        <v>552</v>
      </c>
      <c r="E206" s="211" t="s">
        <v>512</v>
      </c>
      <c r="F206" s="206">
        <v>45992</v>
      </c>
      <c r="G206" s="212"/>
      <c r="H206" s="212">
        <v>9160</v>
      </c>
      <c r="I206" s="212"/>
      <c r="J206" s="212"/>
      <c r="K206" s="212"/>
      <c r="L206" s="212"/>
    </row>
    <row r="207" spans="1:12" ht="12" hidden="1" customHeight="1" x14ac:dyDescent="0.2">
      <c r="A207" s="182" t="s">
        <v>476</v>
      </c>
      <c r="B207" s="185" t="s">
        <v>100</v>
      </c>
      <c r="C207" s="211" t="s">
        <v>551</v>
      </c>
      <c r="D207" s="211" t="s">
        <v>552</v>
      </c>
      <c r="E207" s="211" t="s">
        <v>512</v>
      </c>
      <c r="F207" s="206">
        <v>45962</v>
      </c>
      <c r="G207" s="212"/>
      <c r="H207" s="212">
        <v>8920</v>
      </c>
      <c r="I207" s="212"/>
      <c r="J207" s="212"/>
      <c r="K207" s="212"/>
      <c r="L207" s="212"/>
    </row>
    <row r="208" spans="1:12" ht="12" hidden="1" customHeight="1" x14ac:dyDescent="0.2">
      <c r="A208" s="182" t="s">
        <v>476</v>
      </c>
      <c r="B208" s="185" t="s">
        <v>100</v>
      </c>
      <c r="C208" s="211" t="s">
        <v>551</v>
      </c>
      <c r="D208" s="211" t="s">
        <v>552</v>
      </c>
      <c r="E208" s="211" t="s">
        <v>512</v>
      </c>
      <c r="F208" s="206">
        <v>45931</v>
      </c>
      <c r="G208" s="212"/>
      <c r="H208" s="212">
        <v>9480</v>
      </c>
      <c r="I208" s="212"/>
      <c r="J208" s="212"/>
      <c r="K208" s="212"/>
      <c r="L208" s="212"/>
    </row>
    <row r="209" spans="1:12" ht="12" hidden="1" customHeight="1" x14ac:dyDescent="0.2">
      <c r="A209" s="182" t="s">
        <v>476</v>
      </c>
      <c r="B209" s="185" t="s">
        <v>100</v>
      </c>
      <c r="C209" s="211" t="s">
        <v>551</v>
      </c>
      <c r="D209" s="211" t="s">
        <v>552</v>
      </c>
      <c r="E209" s="211" t="s">
        <v>512</v>
      </c>
      <c r="F209" s="206">
        <v>45901</v>
      </c>
      <c r="G209" s="212"/>
      <c r="H209" s="212">
        <v>8800</v>
      </c>
      <c r="I209" s="212"/>
      <c r="J209" s="212"/>
      <c r="K209" s="212"/>
      <c r="L209" s="212"/>
    </row>
    <row r="210" spans="1:12" ht="12" hidden="1" customHeight="1" x14ac:dyDescent="0.2">
      <c r="A210" s="182" t="s">
        <v>476</v>
      </c>
      <c r="B210" s="185" t="s">
        <v>100</v>
      </c>
      <c r="C210" s="211" t="s">
        <v>551</v>
      </c>
      <c r="D210" s="211" t="s">
        <v>552</v>
      </c>
      <c r="E210" s="211" t="s">
        <v>512</v>
      </c>
      <c r="F210" s="206">
        <v>45870</v>
      </c>
      <c r="G210" s="212"/>
      <c r="H210" s="212">
        <v>8880</v>
      </c>
      <c r="I210" s="212"/>
      <c r="J210" s="212"/>
      <c r="K210" s="212"/>
      <c r="L210" s="212"/>
    </row>
    <row r="211" spans="1:12" ht="12" hidden="1" customHeight="1" x14ac:dyDescent="0.2">
      <c r="A211" s="182" t="s">
        <v>476</v>
      </c>
      <c r="B211" s="185" t="s">
        <v>100</v>
      </c>
      <c r="C211" s="211" t="s">
        <v>551</v>
      </c>
      <c r="D211" s="211" t="s">
        <v>552</v>
      </c>
      <c r="E211" s="211" t="s">
        <v>512</v>
      </c>
      <c r="F211" s="206">
        <v>45839</v>
      </c>
      <c r="G211" s="212"/>
      <c r="H211" s="212">
        <v>7600</v>
      </c>
      <c r="I211" s="212"/>
      <c r="J211" s="212"/>
      <c r="K211" s="212"/>
      <c r="L211" s="212"/>
    </row>
    <row r="212" spans="1:12" ht="12" hidden="1" customHeight="1" x14ac:dyDescent="0.2">
      <c r="A212" s="182" t="s">
        <v>476</v>
      </c>
      <c r="B212" s="185" t="s">
        <v>100</v>
      </c>
      <c r="C212" s="211" t="s">
        <v>551</v>
      </c>
      <c r="D212" s="211" t="s">
        <v>552</v>
      </c>
      <c r="E212" s="211" t="s">
        <v>512</v>
      </c>
      <c r="F212" s="206">
        <v>45809</v>
      </c>
      <c r="G212" s="212"/>
      <c r="H212" s="212">
        <v>8000</v>
      </c>
      <c r="I212" s="212"/>
      <c r="J212" s="212"/>
      <c r="K212" s="212"/>
      <c r="L212" s="212"/>
    </row>
    <row r="213" spans="1:12" ht="12" hidden="1" customHeight="1" x14ac:dyDescent="0.2">
      <c r="A213" s="182" t="s">
        <v>476</v>
      </c>
      <c r="B213" s="185" t="s">
        <v>100</v>
      </c>
      <c r="C213" s="211" t="s">
        <v>551</v>
      </c>
      <c r="D213" s="211" t="s">
        <v>552</v>
      </c>
      <c r="E213" s="211" t="s">
        <v>512</v>
      </c>
      <c r="F213" s="206">
        <v>45778</v>
      </c>
      <c r="G213" s="212"/>
      <c r="H213" s="212">
        <v>8880</v>
      </c>
      <c r="I213" s="212"/>
      <c r="J213" s="212"/>
      <c r="K213" s="212"/>
      <c r="L213" s="212"/>
    </row>
    <row r="214" spans="1:12" ht="12" hidden="1" customHeight="1" x14ac:dyDescent="0.2">
      <c r="A214" s="182" t="s">
        <v>476</v>
      </c>
      <c r="B214" s="185" t="s">
        <v>100</v>
      </c>
      <c r="C214" s="211" t="s">
        <v>551</v>
      </c>
      <c r="D214" s="211" t="s">
        <v>552</v>
      </c>
      <c r="E214" s="211" t="s">
        <v>512</v>
      </c>
      <c r="F214" s="206">
        <v>45748</v>
      </c>
      <c r="G214" s="212"/>
      <c r="H214" s="212">
        <v>9400</v>
      </c>
      <c r="I214" s="212"/>
      <c r="J214" s="212"/>
      <c r="K214" s="212"/>
      <c r="L214" s="212"/>
    </row>
    <row r="215" spans="1:12" ht="12" hidden="1" customHeight="1" x14ac:dyDescent="0.2">
      <c r="A215" s="182" t="s">
        <v>476</v>
      </c>
      <c r="B215" s="185" t="s">
        <v>100</v>
      </c>
      <c r="C215" s="211" t="s">
        <v>551</v>
      </c>
      <c r="D215" s="211" t="s">
        <v>552</v>
      </c>
      <c r="E215" s="211" t="s">
        <v>512</v>
      </c>
      <c r="F215" s="206">
        <v>45717</v>
      </c>
      <c r="G215" s="212"/>
      <c r="H215" s="212">
        <v>10000</v>
      </c>
      <c r="I215" s="212"/>
      <c r="J215" s="212"/>
      <c r="K215" s="212"/>
      <c r="L215" s="212"/>
    </row>
    <row r="216" spans="1:12" ht="12" hidden="1" customHeight="1" x14ac:dyDescent="0.2">
      <c r="A216" s="182" t="s">
        <v>476</v>
      </c>
      <c r="B216" s="185" t="s">
        <v>100</v>
      </c>
      <c r="C216" s="211" t="s">
        <v>551</v>
      </c>
      <c r="D216" s="211" t="s">
        <v>552</v>
      </c>
      <c r="E216" s="211" t="s">
        <v>512</v>
      </c>
      <c r="F216" s="206">
        <v>45689</v>
      </c>
      <c r="G216" s="212"/>
      <c r="H216" s="212">
        <v>11640</v>
      </c>
      <c r="I216" s="212"/>
      <c r="J216" s="212"/>
      <c r="K216" s="212"/>
      <c r="L216" s="212"/>
    </row>
    <row r="217" spans="1:12" ht="12" hidden="1" customHeight="1" x14ac:dyDescent="0.2">
      <c r="A217" s="182" t="s">
        <v>476</v>
      </c>
      <c r="B217" s="185" t="s">
        <v>100</v>
      </c>
      <c r="C217" s="211" t="s">
        <v>551</v>
      </c>
      <c r="D217" s="211" t="s">
        <v>552</v>
      </c>
      <c r="E217" s="211" t="s">
        <v>512</v>
      </c>
      <c r="F217" s="206">
        <v>45658</v>
      </c>
      <c r="G217" s="212"/>
      <c r="H217" s="212">
        <v>11760</v>
      </c>
      <c r="I217" s="212"/>
      <c r="J217" s="212"/>
      <c r="K217" s="212"/>
      <c r="L217" s="212"/>
    </row>
  </sheetData>
  <autoFilter ref="B1:L217" xr:uid="{00000000-0009-0000-0000-00000A000000}"/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93C92"/>
  </sheetPr>
  <dimension ref="A1"/>
  <sheetViews>
    <sheetView zoomScaleNormal="100" workbookViewId="0">
      <selection activeCell="M24" sqref="M24"/>
    </sheetView>
  </sheetViews>
  <sheetFormatPr baseColWidth="10" defaultColWidth="8.5" defaultRowHeight="13" x14ac:dyDescent="0.15"/>
  <cols>
    <col min="1" max="13" width="8.5" style="181" customWidth="1"/>
    <col min="14" max="16384" width="8.5" style="181"/>
  </cols>
  <sheetData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9E7FD"/>
  </sheetPr>
  <dimension ref="B3:K102"/>
  <sheetViews>
    <sheetView topLeftCell="A61" zoomScaleNormal="100" workbookViewId="0">
      <selection activeCell="I69" sqref="I69"/>
    </sheetView>
  </sheetViews>
  <sheetFormatPr baseColWidth="10" defaultColWidth="8.5" defaultRowHeight="13" x14ac:dyDescent="0.2"/>
  <cols>
    <col min="1" max="2" width="8.5" style="182" customWidth="1"/>
    <col min="3" max="3" width="16.5" style="182" customWidth="1"/>
    <col min="4" max="4" width="10.1640625" style="182" customWidth="1"/>
    <col min="5" max="5" width="22.5" style="182" customWidth="1"/>
    <col min="6" max="6" width="8.5" style="182" customWidth="1"/>
    <col min="7" max="7" width="23.1640625" style="182" customWidth="1"/>
    <col min="8" max="8" width="15.83203125" style="182" customWidth="1"/>
    <col min="9" max="9" width="15.1640625" style="182" customWidth="1"/>
    <col min="10" max="22" width="8.5" style="182" customWidth="1"/>
    <col min="23" max="16384" width="8.5" style="182"/>
  </cols>
  <sheetData>
    <row r="3" spans="2:9" ht="12.75" customHeight="1" x14ac:dyDescent="0.2">
      <c r="B3" s="214" t="s">
        <v>553</v>
      </c>
      <c r="C3" s="214" t="s">
        <v>554</v>
      </c>
      <c r="D3" s="214" t="s">
        <v>463</v>
      </c>
      <c r="E3" s="214" t="s">
        <v>35</v>
      </c>
      <c r="F3" s="214" t="s">
        <v>555</v>
      </c>
      <c r="G3" s="214" t="s">
        <v>556</v>
      </c>
      <c r="H3" s="214" t="s">
        <v>557</v>
      </c>
      <c r="I3" s="214" t="s">
        <v>558</v>
      </c>
    </row>
    <row r="4" spans="2:9" ht="13.5" customHeight="1" x14ac:dyDescent="0.2">
      <c r="B4" s="215" t="s">
        <v>559</v>
      </c>
      <c r="C4" s="215" t="s">
        <v>560</v>
      </c>
      <c r="D4" s="216">
        <v>45383</v>
      </c>
      <c r="E4" s="217" t="s">
        <v>561</v>
      </c>
      <c r="F4" s="217">
        <v>4</v>
      </c>
      <c r="G4" s="217">
        <v>2024</v>
      </c>
      <c r="H4" s="217" t="s">
        <v>562</v>
      </c>
      <c r="I4" s="218">
        <v>37.226999999999997</v>
      </c>
    </row>
    <row r="5" spans="2:9" ht="13.5" customHeight="1" x14ac:dyDescent="0.2">
      <c r="B5" s="215" t="s">
        <v>559</v>
      </c>
      <c r="C5" s="215" t="s">
        <v>560</v>
      </c>
      <c r="D5" s="216">
        <v>45413</v>
      </c>
      <c r="E5" s="217" t="s">
        <v>563</v>
      </c>
      <c r="F5" s="217">
        <v>5</v>
      </c>
      <c r="G5" s="217">
        <v>2024</v>
      </c>
      <c r="H5" s="217" t="s">
        <v>562</v>
      </c>
      <c r="I5" s="218">
        <v>66.274000000000001</v>
      </c>
    </row>
    <row r="6" spans="2:9" ht="13.5" customHeight="1" x14ac:dyDescent="0.2">
      <c r="B6" s="215" t="s">
        <v>559</v>
      </c>
      <c r="C6" s="215" t="s">
        <v>560</v>
      </c>
      <c r="D6" s="216">
        <v>45444</v>
      </c>
      <c r="E6" s="217" t="s">
        <v>375</v>
      </c>
      <c r="F6" s="217">
        <v>6</v>
      </c>
      <c r="G6" s="217">
        <v>2024</v>
      </c>
      <c r="H6" s="217" t="s">
        <v>562</v>
      </c>
      <c r="I6" s="218">
        <v>54.743000000000002</v>
      </c>
    </row>
    <row r="7" spans="2:9" ht="13.5" customHeight="1" x14ac:dyDescent="0.2">
      <c r="B7" s="215" t="s">
        <v>559</v>
      </c>
      <c r="C7" s="215" t="s">
        <v>560</v>
      </c>
      <c r="D7" s="216">
        <v>45474</v>
      </c>
      <c r="E7" s="217" t="s">
        <v>376</v>
      </c>
      <c r="F7" s="217">
        <v>7</v>
      </c>
      <c r="G7" s="217">
        <v>2024</v>
      </c>
      <c r="H7" s="217" t="s">
        <v>562</v>
      </c>
      <c r="I7" s="218">
        <v>100.242</v>
      </c>
    </row>
    <row r="8" spans="2:9" ht="13.5" customHeight="1" x14ac:dyDescent="0.2">
      <c r="B8" s="215" t="s">
        <v>559</v>
      </c>
      <c r="C8" s="215" t="s">
        <v>560</v>
      </c>
      <c r="D8" s="216">
        <v>45505</v>
      </c>
      <c r="E8" s="217" t="s">
        <v>564</v>
      </c>
      <c r="F8" s="217">
        <v>8</v>
      </c>
      <c r="G8" s="217">
        <v>2024</v>
      </c>
      <c r="H8" s="217" t="s">
        <v>562</v>
      </c>
      <c r="I8" s="218">
        <v>114.491</v>
      </c>
    </row>
    <row r="9" spans="2:9" ht="13.5" customHeight="1" x14ac:dyDescent="0.2">
      <c r="B9" s="215" t="s">
        <v>559</v>
      </c>
      <c r="C9" s="215" t="s">
        <v>560</v>
      </c>
      <c r="D9" s="216">
        <v>45536</v>
      </c>
      <c r="E9" s="217" t="s">
        <v>565</v>
      </c>
      <c r="F9" s="217">
        <v>9</v>
      </c>
      <c r="G9" s="217">
        <v>2024</v>
      </c>
      <c r="H9" s="217" t="s">
        <v>562</v>
      </c>
      <c r="I9" s="218">
        <v>101.6523</v>
      </c>
    </row>
    <row r="10" spans="2:9" ht="13.5" customHeight="1" x14ac:dyDescent="0.2">
      <c r="B10" s="215" t="s">
        <v>559</v>
      </c>
      <c r="C10" s="215" t="s">
        <v>560</v>
      </c>
      <c r="D10" s="216">
        <v>45566</v>
      </c>
      <c r="E10" s="217" t="s">
        <v>566</v>
      </c>
      <c r="F10" s="217">
        <v>10</v>
      </c>
      <c r="G10" s="217">
        <v>2024</v>
      </c>
      <c r="H10" s="217" t="s">
        <v>562</v>
      </c>
      <c r="I10" s="218">
        <v>88.615099999999998</v>
      </c>
    </row>
    <row r="11" spans="2:9" ht="13.5" customHeight="1" x14ac:dyDescent="0.2">
      <c r="B11" s="215" t="s">
        <v>559</v>
      </c>
      <c r="C11" s="215" t="s">
        <v>560</v>
      </c>
      <c r="D11" s="216">
        <v>45597</v>
      </c>
      <c r="E11" s="217" t="s">
        <v>380</v>
      </c>
      <c r="F11" s="217">
        <v>11</v>
      </c>
      <c r="G11" s="217">
        <v>2024</v>
      </c>
      <c r="H11" s="217" t="s">
        <v>562</v>
      </c>
      <c r="I11" s="218">
        <v>99.369399999999999</v>
      </c>
    </row>
    <row r="12" spans="2:9" ht="13.5" customHeight="1" x14ac:dyDescent="0.2">
      <c r="B12" s="215" t="s">
        <v>559</v>
      </c>
      <c r="C12" s="215" t="s">
        <v>560</v>
      </c>
      <c r="D12" s="216">
        <v>45627</v>
      </c>
      <c r="E12" s="217" t="s">
        <v>567</v>
      </c>
      <c r="F12" s="217">
        <v>12</v>
      </c>
      <c r="G12" s="217">
        <v>2024</v>
      </c>
      <c r="H12" s="217" t="s">
        <v>562</v>
      </c>
      <c r="I12" s="218">
        <v>77.195599999999999</v>
      </c>
    </row>
    <row r="13" spans="2:9" ht="13.5" customHeight="1" x14ac:dyDescent="0.2">
      <c r="B13" s="215" t="s">
        <v>559</v>
      </c>
      <c r="C13" s="215" t="s">
        <v>560</v>
      </c>
      <c r="D13" s="216">
        <v>45658</v>
      </c>
      <c r="E13" s="217" t="s">
        <v>370</v>
      </c>
      <c r="F13" s="217">
        <v>1</v>
      </c>
      <c r="G13" s="217">
        <v>2024</v>
      </c>
      <c r="H13" s="217" t="s">
        <v>568</v>
      </c>
      <c r="I13" s="218">
        <v>105.4782</v>
      </c>
    </row>
    <row r="14" spans="2:9" ht="13.5" customHeight="1" x14ac:dyDescent="0.2">
      <c r="B14" s="215" t="s">
        <v>559</v>
      </c>
      <c r="C14" s="215" t="s">
        <v>560</v>
      </c>
      <c r="D14" s="216">
        <v>45689</v>
      </c>
      <c r="E14" s="217" t="s">
        <v>569</v>
      </c>
      <c r="F14" s="217">
        <v>2</v>
      </c>
      <c r="G14" s="217">
        <v>2024</v>
      </c>
      <c r="H14" s="217" t="s">
        <v>568</v>
      </c>
      <c r="I14" s="218">
        <v>85</v>
      </c>
    </row>
    <row r="15" spans="2:9" ht="13.5" customHeight="1" x14ac:dyDescent="0.2">
      <c r="B15" s="215" t="s">
        <v>559</v>
      </c>
      <c r="C15" s="215" t="s">
        <v>560</v>
      </c>
      <c r="D15" s="216">
        <v>45717</v>
      </c>
      <c r="E15" s="217" t="s">
        <v>372</v>
      </c>
      <c r="F15" s="217">
        <v>3</v>
      </c>
      <c r="G15" s="217">
        <v>2024</v>
      </c>
      <c r="H15" s="217" t="s">
        <v>568</v>
      </c>
      <c r="I15" s="218">
        <v>100.17870000000001</v>
      </c>
    </row>
    <row r="16" spans="2:9" ht="13.5" customHeight="1" x14ac:dyDescent="0.2">
      <c r="B16" s="215" t="s">
        <v>559</v>
      </c>
      <c r="C16" s="215" t="s">
        <v>560</v>
      </c>
      <c r="D16" s="216">
        <v>45748</v>
      </c>
      <c r="E16" s="217" t="s">
        <v>561</v>
      </c>
      <c r="F16" s="217">
        <v>4</v>
      </c>
      <c r="G16" s="217">
        <v>2024</v>
      </c>
      <c r="H16" s="217" t="s">
        <v>568</v>
      </c>
      <c r="I16" s="218">
        <v>81.436099999999996</v>
      </c>
    </row>
    <row r="17" spans="2:9" ht="13.5" customHeight="1" x14ac:dyDescent="0.2">
      <c r="B17" s="215" t="s">
        <v>559</v>
      </c>
      <c r="C17" s="215" t="s">
        <v>560</v>
      </c>
      <c r="D17" s="216">
        <v>45778</v>
      </c>
      <c r="E17" s="217" t="s">
        <v>563</v>
      </c>
      <c r="F17" s="217">
        <v>5</v>
      </c>
      <c r="G17" s="217">
        <v>2024</v>
      </c>
      <c r="H17" s="217" t="s">
        <v>568</v>
      </c>
      <c r="I17" s="218">
        <v>93.345100000000002</v>
      </c>
    </row>
    <row r="18" spans="2:9" ht="13.5" customHeight="1" x14ac:dyDescent="0.2">
      <c r="B18" s="215" t="s">
        <v>559</v>
      </c>
      <c r="C18" s="215" t="s">
        <v>560</v>
      </c>
      <c r="D18" s="216">
        <v>45809</v>
      </c>
      <c r="E18" s="217" t="s">
        <v>375</v>
      </c>
      <c r="F18" s="217">
        <v>6</v>
      </c>
      <c r="G18" s="217">
        <v>2024</v>
      </c>
      <c r="H18" s="217" t="s">
        <v>568</v>
      </c>
      <c r="I18" s="218">
        <v>77.902199999999993</v>
      </c>
    </row>
    <row r="19" spans="2:9" ht="13.5" customHeight="1" x14ac:dyDescent="0.2">
      <c r="B19" s="215" t="s">
        <v>559</v>
      </c>
      <c r="C19" s="215" t="s">
        <v>560</v>
      </c>
      <c r="D19" s="216">
        <v>45839</v>
      </c>
      <c r="E19" s="217" t="s">
        <v>376</v>
      </c>
      <c r="F19" s="217">
        <v>7</v>
      </c>
      <c r="G19" s="217">
        <v>2024</v>
      </c>
      <c r="H19" s="217" t="s">
        <v>568</v>
      </c>
      <c r="I19" s="218">
        <v>104.9024</v>
      </c>
    </row>
    <row r="20" spans="2:9" ht="13.5" customHeight="1" x14ac:dyDescent="0.2">
      <c r="B20" s="215" t="s">
        <v>559</v>
      </c>
      <c r="C20" s="215" t="s">
        <v>560</v>
      </c>
      <c r="D20" s="216">
        <v>45870</v>
      </c>
      <c r="E20" s="217" t="s">
        <v>564</v>
      </c>
      <c r="F20" s="217">
        <v>8</v>
      </c>
      <c r="G20" s="217">
        <v>2024</v>
      </c>
      <c r="H20" s="217" t="s">
        <v>568</v>
      </c>
      <c r="I20" s="218">
        <v>112</v>
      </c>
    </row>
    <row r="21" spans="2:9" ht="13.5" customHeight="1" x14ac:dyDescent="0.2">
      <c r="B21" s="215" t="s">
        <v>559</v>
      </c>
      <c r="C21" s="215" t="s">
        <v>560</v>
      </c>
      <c r="D21" s="216">
        <v>45901</v>
      </c>
      <c r="E21" s="217" t="s">
        <v>565</v>
      </c>
      <c r="F21" s="217">
        <v>9</v>
      </c>
      <c r="G21" s="217">
        <v>2024</v>
      </c>
      <c r="H21" s="217" t="s">
        <v>568</v>
      </c>
      <c r="I21" s="218">
        <v>111.27760000000001</v>
      </c>
    </row>
    <row r="22" spans="2:9" ht="13.5" customHeight="1" x14ac:dyDescent="0.2">
      <c r="B22" s="215" t="s">
        <v>559</v>
      </c>
      <c r="C22" s="215" t="s">
        <v>560</v>
      </c>
      <c r="D22" s="216">
        <v>45931</v>
      </c>
      <c r="E22" s="217" t="s">
        <v>566</v>
      </c>
      <c r="F22" s="217">
        <v>10</v>
      </c>
      <c r="G22" s="217">
        <v>2024</v>
      </c>
      <c r="H22" s="217" t="s">
        <v>568</v>
      </c>
      <c r="I22" s="218">
        <v>103.95740000000001</v>
      </c>
    </row>
    <row r="23" spans="2:9" ht="13.5" customHeight="1" x14ac:dyDescent="0.2">
      <c r="B23" s="215" t="s">
        <v>559</v>
      </c>
      <c r="C23" s="215" t="s">
        <v>560</v>
      </c>
      <c r="D23" s="216">
        <v>45962</v>
      </c>
      <c r="E23" s="217" t="s">
        <v>380</v>
      </c>
      <c r="F23" s="217">
        <v>11</v>
      </c>
      <c r="G23" s="217">
        <v>2024</v>
      </c>
      <c r="H23" s="217" t="s">
        <v>568</v>
      </c>
      <c r="I23" s="218">
        <v>122.8546</v>
      </c>
    </row>
    <row r="24" spans="2:9" ht="13.5" customHeight="1" x14ac:dyDescent="0.2">
      <c r="B24" s="215" t="s">
        <v>559</v>
      </c>
      <c r="C24" s="215" t="s">
        <v>560</v>
      </c>
      <c r="D24" s="216">
        <v>45992</v>
      </c>
      <c r="E24" s="217" t="s">
        <v>567</v>
      </c>
      <c r="F24" s="217">
        <v>12</v>
      </c>
      <c r="G24" s="217">
        <v>2024</v>
      </c>
      <c r="H24" s="217" t="s">
        <v>568</v>
      </c>
      <c r="I24" s="218">
        <v>104</v>
      </c>
    </row>
    <row r="25" spans="2:9" ht="13.5" customHeight="1" x14ac:dyDescent="0.2">
      <c r="B25" s="215" t="s">
        <v>559</v>
      </c>
      <c r="C25" s="215" t="s">
        <v>560</v>
      </c>
      <c r="D25" s="216">
        <v>46023</v>
      </c>
      <c r="E25" s="217" t="s">
        <v>370</v>
      </c>
      <c r="F25" s="217">
        <v>1</v>
      </c>
      <c r="G25" s="217">
        <v>2024</v>
      </c>
      <c r="H25" s="217" t="s">
        <v>570</v>
      </c>
      <c r="I25" s="218">
        <v>106.72239999999999</v>
      </c>
    </row>
    <row r="29" spans="2:9" ht="12.75" customHeight="1" x14ac:dyDescent="0.2">
      <c r="B29" s="214" t="s">
        <v>553</v>
      </c>
      <c r="C29" s="214" t="s">
        <v>554</v>
      </c>
      <c r="D29" s="214" t="s">
        <v>463</v>
      </c>
      <c r="E29" s="214" t="s">
        <v>35</v>
      </c>
      <c r="F29" s="214" t="s">
        <v>555</v>
      </c>
      <c r="G29" s="214" t="s">
        <v>556</v>
      </c>
      <c r="H29" s="214" t="s">
        <v>557</v>
      </c>
      <c r="I29" s="214" t="s">
        <v>558</v>
      </c>
    </row>
    <row r="30" spans="2:9" ht="13.5" customHeight="1" x14ac:dyDescent="0.2">
      <c r="B30" s="215" t="s">
        <v>571</v>
      </c>
      <c r="C30" s="215" t="s">
        <v>572</v>
      </c>
      <c r="D30" s="216">
        <v>45383</v>
      </c>
      <c r="E30" s="217" t="s">
        <v>561</v>
      </c>
      <c r="F30" s="217">
        <v>4</v>
      </c>
      <c r="G30" s="217">
        <v>2024</v>
      </c>
      <c r="H30" s="217" t="s">
        <v>562</v>
      </c>
      <c r="I30" s="218">
        <v>32.671999999999997</v>
      </c>
    </row>
    <row r="31" spans="2:9" ht="13.5" customHeight="1" x14ac:dyDescent="0.2">
      <c r="B31" s="215" t="s">
        <v>571</v>
      </c>
      <c r="C31" s="215" t="s">
        <v>572</v>
      </c>
      <c r="D31" s="216">
        <v>45413</v>
      </c>
      <c r="E31" s="217" t="s">
        <v>563</v>
      </c>
      <c r="F31" s="217">
        <v>5</v>
      </c>
      <c r="G31" s="217">
        <v>2024</v>
      </c>
      <c r="H31" s="217" t="s">
        <v>562</v>
      </c>
      <c r="I31" s="218">
        <v>108.947</v>
      </c>
    </row>
    <row r="32" spans="2:9" ht="13.5" customHeight="1" x14ac:dyDescent="0.2">
      <c r="B32" s="215" t="s">
        <v>571</v>
      </c>
      <c r="C32" s="215" t="s">
        <v>572</v>
      </c>
      <c r="D32" s="216">
        <v>45444</v>
      </c>
      <c r="E32" s="217" t="s">
        <v>375</v>
      </c>
      <c r="F32" s="217">
        <v>6</v>
      </c>
      <c r="G32" s="217">
        <v>2024</v>
      </c>
      <c r="H32" s="217" t="s">
        <v>562</v>
      </c>
      <c r="I32" s="218">
        <v>92.917000000000002</v>
      </c>
    </row>
    <row r="33" spans="2:9" ht="13.5" customHeight="1" x14ac:dyDescent="0.2">
      <c r="B33" s="215" t="s">
        <v>571</v>
      </c>
      <c r="C33" s="215" t="s">
        <v>572</v>
      </c>
      <c r="D33" s="216">
        <v>45474</v>
      </c>
      <c r="E33" s="217" t="s">
        <v>376</v>
      </c>
      <c r="F33" s="217">
        <v>7</v>
      </c>
      <c r="G33" s="217">
        <v>2024</v>
      </c>
      <c r="H33" s="217" t="s">
        <v>562</v>
      </c>
      <c r="I33" s="218">
        <v>163.0883</v>
      </c>
    </row>
    <row r="34" spans="2:9" ht="13.5" customHeight="1" x14ac:dyDescent="0.2">
      <c r="B34" s="215" t="s">
        <v>571</v>
      </c>
      <c r="C34" s="215" t="s">
        <v>572</v>
      </c>
      <c r="D34" s="216">
        <v>45505</v>
      </c>
      <c r="E34" s="217" t="s">
        <v>564</v>
      </c>
      <c r="F34" s="217">
        <v>8</v>
      </c>
      <c r="G34" s="217">
        <v>2024</v>
      </c>
      <c r="H34" s="217" t="s">
        <v>562</v>
      </c>
      <c r="I34" s="218">
        <v>189.08789999999999</v>
      </c>
    </row>
    <row r="35" spans="2:9" ht="13.5" customHeight="1" x14ac:dyDescent="0.2">
      <c r="B35" s="215" t="s">
        <v>571</v>
      </c>
      <c r="C35" s="215" t="s">
        <v>572</v>
      </c>
      <c r="D35" s="216">
        <v>45536</v>
      </c>
      <c r="E35" s="217" t="s">
        <v>565</v>
      </c>
      <c r="F35" s="217">
        <v>9</v>
      </c>
      <c r="G35" s="217">
        <v>2024</v>
      </c>
      <c r="H35" s="217" t="s">
        <v>562</v>
      </c>
      <c r="I35" s="218">
        <v>176.17519999999999</v>
      </c>
    </row>
    <row r="36" spans="2:9" ht="13.5" customHeight="1" x14ac:dyDescent="0.2">
      <c r="B36" s="215" t="s">
        <v>571</v>
      </c>
      <c r="C36" s="215" t="s">
        <v>572</v>
      </c>
      <c r="D36" s="216">
        <v>45566</v>
      </c>
      <c r="E36" s="217" t="s">
        <v>566</v>
      </c>
      <c r="F36" s="217">
        <v>10</v>
      </c>
      <c r="G36" s="217">
        <v>2024</v>
      </c>
      <c r="H36" s="217" t="s">
        <v>562</v>
      </c>
      <c r="I36" s="218">
        <v>161.11170000000001</v>
      </c>
    </row>
    <row r="37" spans="2:9" ht="13.5" customHeight="1" x14ac:dyDescent="0.2">
      <c r="B37" s="215" t="s">
        <v>571</v>
      </c>
      <c r="C37" s="215" t="s">
        <v>572</v>
      </c>
      <c r="D37" s="216">
        <v>45597</v>
      </c>
      <c r="E37" s="217" t="s">
        <v>380</v>
      </c>
      <c r="F37" s="217">
        <v>11</v>
      </c>
      <c r="G37" s="217">
        <v>2024</v>
      </c>
      <c r="H37" s="217" t="s">
        <v>562</v>
      </c>
      <c r="I37" s="218">
        <v>169.51140000000001</v>
      </c>
    </row>
    <row r="38" spans="2:9" ht="13.5" customHeight="1" x14ac:dyDescent="0.2">
      <c r="B38" s="215" t="s">
        <v>571</v>
      </c>
      <c r="C38" s="215" t="s">
        <v>572</v>
      </c>
      <c r="D38" s="216">
        <v>45627</v>
      </c>
      <c r="E38" s="217" t="s">
        <v>567</v>
      </c>
      <c r="F38" s="217">
        <v>12</v>
      </c>
      <c r="G38" s="217">
        <v>2024</v>
      </c>
      <c r="H38" s="217" t="s">
        <v>562</v>
      </c>
      <c r="I38" s="218">
        <v>166.99639999999999</v>
      </c>
    </row>
    <row r="39" spans="2:9" ht="13.5" customHeight="1" x14ac:dyDescent="0.2">
      <c r="B39" s="215" t="s">
        <v>571</v>
      </c>
      <c r="C39" s="215" t="s">
        <v>572</v>
      </c>
      <c r="D39" s="216">
        <v>45658</v>
      </c>
      <c r="E39" s="217" t="s">
        <v>370</v>
      </c>
      <c r="F39" s="217">
        <v>1</v>
      </c>
      <c r="G39" s="217">
        <v>2024</v>
      </c>
      <c r="H39" s="217" t="s">
        <v>568</v>
      </c>
      <c r="I39" s="218">
        <v>190.90889999999999</v>
      </c>
    </row>
    <row r="40" spans="2:9" ht="13.5" customHeight="1" x14ac:dyDescent="0.2">
      <c r="B40" s="215" t="s">
        <v>571</v>
      </c>
      <c r="C40" s="215" t="s">
        <v>572</v>
      </c>
      <c r="D40" s="216">
        <v>45689</v>
      </c>
      <c r="E40" s="217" t="s">
        <v>569</v>
      </c>
      <c r="F40" s="217">
        <v>2</v>
      </c>
      <c r="G40" s="217">
        <v>2024</v>
      </c>
      <c r="H40" s="217" t="s">
        <v>568</v>
      </c>
      <c r="I40" s="218">
        <v>166</v>
      </c>
    </row>
    <row r="41" spans="2:9" ht="13.5" customHeight="1" x14ac:dyDescent="0.2">
      <c r="B41" s="215" t="s">
        <v>571</v>
      </c>
      <c r="C41" s="215" t="s">
        <v>572</v>
      </c>
      <c r="D41" s="216">
        <v>45717</v>
      </c>
      <c r="E41" s="217" t="s">
        <v>372</v>
      </c>
      <c r="F41" s="217">
        <v>3</v>
      </c>
      <c r="G41" s="217">
        <v>2024</v>
      </c>
      <c r="H41" s="217" t="s">
        <v>568</v>
      </c>
      <c r="I41" s="218">
        <v>193.42939999999999</v>
      </c>
    </row>
    <row r="42" spans="2:9" ht="13.5" customHeight="1" x14ac:dyDescent="0.2">
      <c r="B42" s="215" t="s">
        <v>571</v>
      </c>
      <c r="C42" s="215" t="s">
        <v>572</v>
      </c>
      <c r="D42" s="216">
        <v>45748</v>
      </c>
      <c r="E42" s="217" t="s">
        <v>561</v>
      </c>
      <c r="F42" s="217">
        <v>4</v>
      </c>
      <c r="G42" s="217">
        <v>2024</v>
      </c>
      <c r="H42" s="217" t="s">
        <v>568</v>
      </c>
      <c r="I42" s="218">
        <v>145.84440000000001</v>
      </c>
    </row>
    <row r="43" spans="2:9" ht="13.5" customHeight="1" x14ac:dyDescent="0.2">
      <c r="B43" s="215" t="s">
        <v>571</v>
      </c>
      <c r="C43" s="215" t="s">
        <v>572</v>
      </c>
      <c r="D43" s="216">
        <v>45778</v>
      </c>
      <c r="E43" s="217" t="s">
        <v>563</v>
      </c>
      <c r="F43" s="217">
        <v>5</v>
      </c>
      <c r="G43" s="217">
        <v>2024</v>
      </c>
      <c r="H43" s="217" t="s">
        <v>568</v>
      </c>
      <c r="I43" s="218">
        <v>158.6377</v>
      </c>
    </row>
    <row r="44" spans="2:9" ht="13.5" customHeight="1" x14ac:dyDescent="0.2">
      <c r="B44" s="215" t="s">
        <v>571</v>
      </c>
      <c r="C44" s="215" t="s">
        <v>572</v>
      </c>
      <c r="D44" s="216">
        <v>45809</v>
      </c>
      <c r="E44" s="217" t="s">
        <v>375</v>
      </c>
      <c r="F44" s="217">
        <v>6</v>
      </c>
      <c r="G44" s="217">
        <v>2024</v>
      </c>
      <c r="H44" s="217" t="s">
        <v>568</v>
      </c>
      <c r="I44" s="218">
        <v>128.6395</v>
      </c>
    </row>
    <row r="45" spans="2:9" ht="13.5" customHeight="1" x14ac:dyDescent="0.2">
      <c r="B45" s="215" t="s">
        <v>571</v>
      </c>
      <c r="C45" s="215" t="s">
        <v>572</v>
      </c>
      <c r="D45" s="216">
        <v>45839</v>
      </c>
      <c r="E45" s="217" t="s">
        <v>376</v>
      </c>
      <c r="F45" s="217">
        <v>7</v>
      </c>
      <c r="G45" s="217">
        <v>2024</v>
      </c>
      <c r="H45" s="217" t="s">
        <v>568</v>
      </c>
      <c r="I45" s="218">
        <v>178.34549999999999</v>
      </c>
    </row>
    <row r="46" spans="2:9" ht="13.5" customHeight="1" x14ac:dyDescent="0.2">
      <c r="B46" s="215" t="s">
        <v>571</v>
      </c>
      <c r="C46" s="215" t="s">
        <v>572</v>
      </c>
      <c r="D46" s="216">
        <v>45870</v>
      </c>
      <c r="E46" s="217" t="s">
        <v>564</v>
      </c>
      <c r="F46" s="217">
        <v>8</v>
      </c>
      <c r="G46" s="217">
        <v>2024</v>
      </c>
      <c r="H46" s="217" t="s">
        <v>568</v>
      </c>
      <c r="I46" s="218">
        <v>191</v>
      </c>
    </row>
    <row r="47" spans="2:9" ht="13.5" customHeight="1" x14ac:dyDescent="0.2">
      <c r="B47" s="215" t="s">
        <v>571</v>
      </c>
      <c r="C47" s="215" t="s">
        <v>572</v>
      </c>
      <c r="D47" s="216">
        <v>45901</v>
      </c>
      <c r="E47" s="217" t="s">
        <v>565</v>
      </c>
      <c r="F47" s="217">
        <v>9</v>
      </c>
      <c r="G47" s="217">
        <v>2024</v>
      </c>
      <c r="H47" s="217" t="s">
        <v>568</v>
      </c>
      <c r="I47" s="218">
        <v>200.2328</v>
      </c>
    </row>
    <row r="48" spans="2:9" ht="13.5" customHeight="1" x14ac:dyDescent="0.2">
      <c r="B48" s="215" t="s">
        <v>571</v>
      </c>
      <c r="C48" s="215" t="s">
        <v>572</v>
      </c>
      <c r="D48" s="216">
        <v>45931</v>
      </c>
      <c r="E48" s="217" t="s">
        <v>566</v>
      </c>
      <c r="F48" s="217">
        <v>10</v>
      </c>
      <c r="G48" s="217">
        <v>2024</v>
      </c>
      <c r="H48" s="217" t="s">
        <v>568</v>
      </c>
      <c r="I48" s="218">
        <v>185.55019999999999</v>
      </c>
    </row>
    <row r="49" spans="2:9" ht="13.5" customHeight="1" x14ac:dyDescent="0.2">
      <c r="B49" s="215" t="s">
        <v>571</v>
      </c>
      <c r="C49" s="215" t="s">
        <v>572</v>
      </c>
      <c r="D49" s="216">
        <v>45962</v>
      </c>
      <c r="E49" s="217" t="s">
        <v>380</v>
      </c>
      <c r="F49" s="217">
        <v>11</v>
      </c>
      <c r="G49" s="217">
        <v>2024</v>
      </c>
      <c r="H49" s="217" t="s">
        <v>568</v>
      </c>
      <c r="I49" s="218">
        <v>215.34950000000001</v>
      </c>
    </row>
    <row r="50" spans="2:9" ht="13.5" customHeight="1" x14ac:dyDescent="0.2">
      <c r="B50" s="215" t="s">
        <v>571</v>
      </c>
      <c r="C50" s="215" t="s">
        <v>572</v>
      </c>
      <c r="D50" s="216">
        <v>45992</v>
      </c>
      <c r="E50" s="217" t="s">
        <v>567</v>
      </c>
      <c r="F50" s="217">
        <v>12</v>
      </c>
      <c r="G50" s="217">
        <v>2024</v>
      </c>
      <c r="H50" s="217" t="s">
        <v>568</v>
      </c>
      <c r="I50" s="218">
        <v>182</v>
      </c>
    </row>
    <row r="51" spans="2:9" ht="13.5" customHeight="1" x14ac:dyDescent="0.2">
      <c r="B51" s="215" t="s">
        <v>571</v>
      </c>
      <c r="C51" s="215" t="s">
        <v>572</v>
      </c>
      <c r="D51" s="216">
        <v>46023</v>
      </c>
      <c r="E51" s="217" t="s">
        <v>370</v>
      </c>
      <c r="F51" s="217">
        <v>1</v>
      </c>
      <c r="G51" s="217">
        <v>2024</v>
      </c>
      <c r="H51" s="217" t="s">
        <v>570</v>
      </c>
      <c r="I51" s="218">
        <v>184.9512</v>
      </c>
    </row>
    <row r="56" spans="2:9" ht="12.75" customHeight="1" x14ac:dyDescent="0.2">
      <c r="B56" s="214" t="s">
        <v>553</v>
      </c>
      <c r="C56" s="214" t="s">
        <v>554</v>
      </c>
      <c r="D56" s="214" t="s">
        <v>463</v>
      </c>
      <c r="E56" s="214" t="s">
        <v>35</v>
      </c>
      <c r="F56" s="214" t="s">
        <v>555</v>
      </c>
      <c r="G56" s="214" t="s">
        <v>556</v>
      </c>
      <c r="H56" s="214" t="s">
        <v>557</v>
      </c>
      <c r="I56" s="214" t="s">
        <v>558</v>
      </c>
    </row>
    <row r="57" spans="2:9" ht="13.5" customHeight="1" x14ac:dyDescent="0.2">
      <c r="B57" s="215" t="s">
        <v>573</v>
      </c>
      <c r="C57" s="215" t="s">
        <v>216</v>
      </c>
      <c r="D57" s="216">
        <v>45383</v>
      </c>
      <c r="E57" s="217" t="s">
        <v>561</v>
      </c>
      <c r="F57" s="217">
        <v>4</v>
      </c>
      <c r="G57" s="217">
        <v>2024</v>
      </c>
      <c r="H57" s="217" t="s">
        <v>562</v>
      </c>
      <c r="I57" s="218">
        <v>70.926000000000002</v>
      </c>
    </row>
    <row r="58" spans="2:9" ht="13.5" customHeight="1" x14ac:dyDescent="0.2">
      <c r="B58" s="215" t="s">
        <v>573</v>
      </c>
      <c r="C58" s="215" t="s">
        <v>216</v>
      </c>
      <c r="D58" s="216">
        <v>45413</v>
      </c>
      <c r="E58" s="217" t="s">
        <v>563</v>
      </c>
      <c r="F58" s="217">
        <v>5</v>
      </c>
      <c r="G58" s="217">
        <v>2024</v>
      </c>
      <c r="H58" s="217" t="s">
        <v>562</v>
      </c>
      <c r="I58" s="218">
        <v>74.153000000000006</v>
      </c>
    </row>
    <row r="59" spans="2:9" ht="13.5" customHeight="1" x14ac:dyDescent="0.2">
      <c r="B59" s="215" t="s">
        <v>573</v>
      </c>
      <c r="C59" s="215" t="s">
        <v>216</v>
      </c>
      <c r="D59" s="216">
        <v>45444</v>
      </c>
      <c r="E59" s="217" t="s">
        <v>375</v>
      </c>
      <c r="F59" s="217">
        <v>6</v>
      </c>
      <c r="G59" s="217">
        <v>2024</v>
      </c>
      <c r="H59" s="217" t="s">
        <v>562</v>
      </c>
      <c r="I59" s="218">
        <v>62.902000000000001</v>
      </c>
    </row>
    <row r="60" spans="2:9" ht="13.5" customHeight="1" x14ac:dyDescent="0.2">
      <c r="B60" s="215" t="s">
        <v>573</v>
      </c>
      <c r="C60" s="215" t="s">
        <v>216</v>
      </c>
      <c r="D60" s="216">
        <v>45474</v>
      </c>
      <c r="E60" s="217" t="s">
        <v>376</v>
      </c>
      <c r="F60" s="217">
        <v>7</v>
      </c>
      <c r="G60" s="217">
        <v>2024</v>
      </c>
      <c r="H60" s="217" t="s">
        <v>562</v>
      </c>
      <c r="I60" s="218">
        <v>107.0881</v>
      </c>
    </row>
    <row r="61" spans="2:9" ht="13.5" customHeight="1" x14ac:dyDescent="0.2">
      <c r="B61" s="215" t="s">
        <v>573</v>
      </c>
      <c r="C61" s="215" t="s">
        <v>216</v>
      </c>
      <c r="D61" s="216">
        <v>45505</v>
      </c>
      <c r="E61" s="217" t="s">
        <v>564</v>
      </c>
      <c r="F61" s="217">
        <v>8</v>
      </c>
      <c r="G61" s="217">
        <v>2024</v>
      </c>
      <c r="H61" s="217" t="s">
        <v>562</v>
      </c>
      <c r="I61" s="218">
        <v>51.749299999999998</v>
      </c>
    </row>
    <row r="62" spans="2:9" ht="13.5" customHeight="1" x14ac:dyDescent="0.2">
      <c r="B62" s="215" t="s">
        <v>573</v>
      </c>
      <c r="C62" s="215" t="s">
        <v>216</v>
      </c>
      <c r="D62" s="216">
        <v>45536</v>
      </c>
      <c r="E62" s="217" t="s">
        <v>565</v>
      </c>
      <c r="F62" s="217">
        <v>9</v>
      </c>
      <c r="G62" s="217">
        <v>2024</v>
      </c>
      <c r="H62" s="217" t="s">
        <v>562</v>
      </c>
      <c r="I62" s="218">
        <v>107.0198</v>
      </c>
    </row>
    <row r="63" spans="2:9" ht="13.5" customHeight="1" x14ac:dyDescent="0.2">
      <c r="B63" s="215" t="s">
        <v>573</v>
      </c>
      <c r="C63" s="215" t="s">
        <v>216</v>
      </c>
      <c r="D63" s="216">
        <v>45566</v>
      </c>
      <c r="E63" s="217" t="s">
        <v>566</v>
      </c>
      <c r="F63" s="217">
        <v>10</v>
      </c>
      <c r="G63" s="217">
        <v>2024</v>
      </c>
      <c r="H63" s="217" t="s">
        <v>562</v>
      </c>
      <c r="I63" s="218">
        <v>98.584599999999995</v>
      </c>
    </row>
    <row r="64" spans="2:9" ht="13.5" customHeight="1" x14ac:dyDescent="0.2">
      <c r="B64" s="215" t="s">
        <v>573</v>
      </c>
      <c r="C64" s="215" t="s">
        <v>216</v>
      </c>
      <c r="D64" s="216">
        <v>45597</v>
      </c>
      <c r="E64" s="217" t="s">
        <v>380</v>
      </c>
      <c r="F64" s="217">
        <v>11</v>
      </c>
      <c r="G64" s="217">
        <v>2024</v>
      </c>
      <c r="H64" s="217" t="s">
        <v>562</v>
      </c>
      <c r="I64" s="218">
        <v>119.2367</v>
      </c>
    </row>
    <row r="65" spans="2:9" ht="13.5" customHeight="1" x14ac:dyDescent="0.2">
      <c r="B65" s="215" t="s">
        <v>573</v>
      </c>
      <c r="C65" s="215" t="s">
        <v>216</v>
      </c>
      <c r="D65" s="216">
        <v>45627</v>
      </c>
      <c r="E65" s="217" t="s">
        <v>567</v>
      </c>
      <c r="F65" s="217">
        <v>12</v>
      </c>
      <c r="G65" s="217">
        <v>2024</v>
      </c>
      <c r="H65" s="217" t="s">
        <v>562</v>
      </c>
      <c r="I65" s="218">
        <v>111.13890000000001</v>
      </c>
    </row>
    <row r="66" spans="2:9" ht="13.5" customHeight="1" x14ac:dyDescent="0.2">
      <c r="B66" s="215" t="s">
        <v>573</v>
      </c>
      <c r="C66" s="215" t="s">
        <v>216</v>
      </c>
      <c r="D66" s="216">
        <v>45658</v>
      </c>
      <c r="E66" s="217" t="s">
        <v>370</v>
      </c>
      <c r="F66" s="217">
        <v>1</v>
      </c>
      <c r="G66" s="217">
        <v>2024</v>
      </c>
      <c r="H66" s="217" t="s">
        <v>568</v>
      </c>
      <c r="I66" s="218">
        <v>143.38210000000001</v>
      </c>
    </row>
    <row r="67" spans="2:9" ht="13.5" customHeight="1" x14ac:dyDescent="0.2">
      <c r="B67" s="215" t="s">
        <v>573</v>
      </c>
      <c r="C67" s="215" t="s">
        <v>216</v>
      </c>
      <c r="D67" s="216">
        <v>45689</v>
      </c>
      <c r="E67" s="217" t="s">
        <v>569</v>
      </c>
      <c r="F67" s="217">
        <v>2</v>
      </c>
      <c r="G67" s="217">
        <v>2024</v>
      </c>
      <c r="H67" s="217" t="s">
        <v>568</v>
      </c>
      <c r="I67" s="218">
        <v>121</v>
      </c>
    </row>
    <row r="68" spans="2:9" ht="13.5" customHeight="1" x14ac:dyDescent="0.2">
      <c r="B68" s="215" t="s">
        <v>573</v>
      </c>
      <c r="C68" s="215" t="s">
        <v>216</v>
      </c>
      <c r="D68" s="216">
        <v>45717</v>
      </c>
      <c r="E68" s="217" t="s">
        <v>372</v>
      </c>
      <c r="F68" s="217">
        <v>3</v>
      </c>
      <c r="G68" s="217">
        <v>2024</v>
      </c>
      <c r="H68" s="217" t="s">
        <v>568</v>
      </c>
      <c r="I68" s="218">
        <v>141.1858</v>
      </c>
    </row>
    <row r="69" spans="2:9" ht="13.5" customHeight="1" x14ac:dyDescent="0.2">
      <c r="B69" s="215" t="s">
        <v>573</v>
      </c>
      <c r="C69" s="215" t="s">
        <v>216</v>
      </c>
      <c r="D69" s="216">
        <v>45748</v>
      </c>
      <c r="E69" s="217" t="s">
        <v>561</v>
      </c>
      <c r="F69" s="217">
        <v>4</v>
      </c>
      <c r="G69" s="217">
        <v>2024</v>
      </c>
      <c r="H69" s="217" t="s">
        <v>568</v>
      </c>
      <c r="I69" s="218">
        <v>105.8031</v>
      </c>
    </row>
    <row r="70" spans="2:9" ht="13.5" customHeight="1" x14ac:dyDescent="0.2">
      <c r="B70" s="215" t="s">
        <v>573</v>
      </c>
      <c r="C70" s="215" t="s">
        <v>216</v>
      </c>
      <c r="D70" s="216">
        <v>45778</v>
      </c>
      <c r="E70" s="217" t="s">
        <v>563</v>
      </c>
      <c r="F70" s="217">
        <v>5</v>
      </c>
      <c r="G70" s="217">
        <v>2024</v>
      </c>
      <c r="H70" s="217" t="s">
        <v>568</v>
      </c>
      <c r="I70" s="218">
        <v>121.0391</v>
      </c>
    </row>
    <row r="71" spans="2:9" ht="13.5" customHeight="1" x14ac:dyDescent="0.2">
      <c r="B71" s="215" t="s">
        <v>573</v>
      </c>
      <c r="C71" s="215" t="s">
        <v>216</v>
      </c>
      <c r="D71" s="216">
        <v>45809</v>
      </c>
      <c r="E71" s="217" t="s">
        <v>375</v>
      </c>
      <c r="F71" s="217">
        <v>6</v>
      </c>
      <c r="G71" s="217">
        <v>2024</v>
      </c>
      <c r="H71" s="217" t="s">
        <v>568</v>
      </c>
      <c r="I71" s="218">
        <v>99.471599999999995</v>
      </c>
    </row>
    <row r="72" spans="2:9" ht="13.5" customHeight="1" x14ac:dyDescent="0.2">
      <c r="B72" s="215" t="s">
        <v>573</v>
      </c>
      <c r="C72" s="215" t="s">
        <v>216</v>
      </c>
      <c r="D72" s="216">
        <v>45839</v>
      </c>
      <c r="E72" s="217" t="s">
        <v>376</v>
      </c>
      <c r="F72" s="217">
        <v>7</v>
      </c>
      <c r="G72" s="217">
        <v>2024</v>
      </c>
      <c r="H72" s="217" t="s">
        <v>568</v>
      </c>
      <c r="I72" s="218">
        <v>127.0078</v>
      </c>
    </row>
    <row r="73" spans="2:9" ht="13.5" customHeight="1" x14ac:dyDescent="0.2">
      <c r="B73" s="215" t="s">
        <v>573</v>
      </c>
      <c r="C73" s="215" t="s">
        <v>216</v>
      </c>
      <c r="D73" s="216">
        <v>45870</v>
      </c>
      <c r="E73" s="217" t="s">
        <v>564</v>
      </c>
      <c r="F73" s="217">
        <v>8</v>
      </c>
      <c r="G73" s="217">
        <v>2024</v>
      </c>
      <c r="H73" s="217" t="s">
        <v>568</v>
      </c>
      <c r="I73" s="218">
        <v>135</v>
      </c>
    </row>
    <row r="74" spans="2:9" ht="13.5" customHeight="1" x14ac:dyDescent="0.2">
      <c r="B74" s="215" t="s">
        <v>573</v>
      </c>
      <c r="C74" s="215" t="s">
        <v>216</v>
      </c>
      <c r="D74" s="216">
        <v>45901</v>
      </c>
      <c r="E74" s="217" t="s">
        <v>565</v>
      </c>
      <c r="F74" s="217">
        <v>9</v>
      </c>
      <c r="G74" s="217">
        <v>2024</v>
      </c>
      <c r="H74" s="217" t="s">
        <v>568</v>
      </c>
      <c r="I74" s="218">
        <v>139.88890000000001</v>
      </c>
    </row>
    <row r="75" spans="2:9" ht="13.5" customHeight="1" x14ac:dyDescent="0.2">
      <c r="B75" s="215" t="s">
        <v>573</v>
      </c>
      <c r="C75" s="215" t="s">
        <v>216</v>
      </c>
      <c r="D75" s="216">
        <v>45931</v>
      </c>
      <c r="E75" s="217" t="s">
        <v>566</v>
      </c>
      <c r="F75" s="217">
        <v>10</v>
      </c>
      <c r="G75" s="217">
        <v>2024</v>
      </c>
      <c r="H75" s="217" t="s">
        <v>568</v>
      </c>
      <c r="I75" s="218">
        <v>128.4246</v>
      </c>
    </row>
    <row r="76" spans="2:9" ht="13.5" customHeight="1" x14ac:dyDescent="0.2">
      <c r="B76" s="215" t="s">
        <v>573</v>
      </c>
      <c r="C76" s="215" t="s">
        <v>216</v>
      </c>
      <c r="D76" s="216">
        <v>45962</v>
      </c>
      <c r="E76" s="217" t="s">
        <v>380</v>
      </c>
      <c r="F76" s="217">
        <v>11</v>
      </c>
      <c r="G76" s="217">
        <v>2024</v>
      </c>
      <c r="H76" s="217" t="s">
        <v>568</v>
      </c>
      <c r="I76" s="218">
        <v>153.30719999999999</v>
      </c>
    </row>
    <row r="77" spans="2:9" ht="13.5" customHeight="1" x14ac:dyDescent="0.2">
      <c r="B77" s="215" t="s">
        <v>573</v>
      </c>
      <c r="C77" s="215" t="s">
        <v>216</v>
      </c>
      <c r="D77" s="216">
        <v>45992</v>
      </c>
      <c r="E77" s="217" t="s">
        <v>567</v>
      </c>
      <c r="F77" s="217">
        <v>12</v>
      </c>
      <c r="G77" s="217">
        <v>2024</v>
      </c>
      <c r="H77" s="217" t="s">
        <v>568</v>
      </c>
      <c r="I77" s="218">
        <v>130</v>
      </c>
    </row>
    <row r="78" spans="2:9" ht="13.5" customHeight="1" x14ac:dyDescent="0.2">
      <c r="B78" s="215" t="s">
        <v>573</v>
      </c>
      <c r="C78" s="215" t="s">
        <v>216</v>
      </c>
      <c r="D78" s="216">
        <v>46023</v>
      </c>
      <c r="E78" s="217" t="s">
        <v>370</v>
      </c>
      <c r="F78" s="217">
        <v>1</v>
      </c>
      <c r="G78" s="217">
        <v>2024</v>
      </c>
      <c r="H78" s="217" t="s">
        <v>570</v>
      </c>
      <c r="I78" s="218">
        <v>131.6157</v>
      </c>
    </row>
    <row r="84" spans="2:11" ht="13.5" customHeight="1" x14ac:dyDescent="0.2">
      <c r="B84" s="182" t="s">
        <v>574</v>
      </c>
    </row>
    <row r="85" spans="2:11" ht="12.75" customHeight="1" x14ac:dyDescent="0.2">
      <c r="B85" s="214" t="s">
        <v>553</v>
      </c>
      <c r="C85" s="214" t="s">
        <v>554</v>
      </c>
      <c r="D85" s="214" t="s">
        <v>575</v>
      </c>
      <c r="E85" s="214" t="s">
        <v>576</v>
      </c>
      <c r="F85" s="214" t="s">
        <v>577</v>
      </c>
      <c r="G85" s="214" t="s">
        <v>556</v>
      </c>
      <c r="H85" s="214" t="s">
        <v>557</v>
      </c>
      <c r="I85" s="214" t="s">
        <v>578</v>
      </c>
      <c r="J85" s="214" t="s">
        <v>579</v>
      </c>
      <c r="K85" s="214" t="s">
        <v>580</v>
      </c>
    </row>
    <row r="86" spans="2:11" ht="13.5" customHeight="1" x14ac:dyDescent="0.2">
      <c r="B86" s="215" t="s">
        <v>559</v>
      </c>
      <c r="C86" s="217" t="s">
        <v>560</v>
      </c>
      <c r="D86" s="216">
        <v>45444</v>
      </c>
      <c r="E86" s="217" t="s">
        <v>375</v>
      </c>
      <c r="F86" s="217">
        <v>2024</v>
      </c>
      <c r="G86" s="217">
        <v>2024</v>
      </c>
      <c r="H86" s="217" t="s">
        <v>562</v>
      </c>
      <c r="I86" s="219">
        <v>0</v>
      </c>
      <c r="J86" s="220">
        <v>0.54669999999999996</v>
      </c>
      <c r="K86" s="217" t="s">
        <v>581</v>
      </c>
    </row>
    <row r="87" spans="2:11" ht="13.5" customHeight="1" x14ac:dyDescent="0.2">
      <c r="B87" s="215" t="s">
        <v>559</v>
      </c>
      <c r="C87" s="217" t="s">
        <v>560</v>
      </c>
      <c r="D87" s="216">
        <v>45536</v>
      </c>
      <c r="E87" s="217" t="s">
        <v>565</v>
      </c>
      <c r="F87" s="217">
        <v>2024</v>
      </c>
      <c r="G87" s="217">
        <v>2024</v>
      </c>
      <c r="H87" s="217" t="s">
        <v>562</v>
      </c>
      <c r="I87" s="219">
        <v>0</v>
      </c>
      <c r="J87" s="220">
        <v>0.7026</v>
      </c>
      <c r="K87" s="217" t="s">
        <v>581</v>
      </c>
    </row>
    <row r="88" spans="2:11" ht="13.5" customHeight="1" x14ac:dyDescent="0.2">
      <c r="B88" s="215" t="s">
        <v>559</v>
      </c>
      <c r="C88" s="217" t="s">
        <v>560</v>
      </c>
      <c r="D88" s="216">
        <v>45597</v>
      </c>
      <c r="E88" s="217" t="s">
        <v>380</v>
      </c>
      <c r="F88" s="217">
        <v>2024</v>
      </c>
      <c r="G88" s="217">
        <v>2024</v>
      </c>
      <c r="H88" s="217" t="s">
        <v>562</v>
      </c>
      <c r="I88" s="219">
        <v>0</v>
      </c>
      <c r="J88" s="220">
        <v>0.73099999999999998</v>
      </c>
      <c r="K88" s="217" t="s">
        <v>581</v>
      </c>
    </row>
    <row r="89" spans="2:11" ht="13.5" customHeight="1" x14ac:dyDescent="0.2">
      <c r="B89" s="215" t="s">
        <v>559</v>
      </c>
      <c r="C89" s="217" t="s">
        <v>560</v>
      </c>
      <c r="D89" s="216">
        <v>45717</v>
      </c>
      <c r="E89" s="217" t="s">
        <v>372</v>
      </c>
      <c r="F89" s="217">
        <v>2025</v>
      </c>
      <c r="G89" s="217">
        <v>2024</v>
      </c>
      <c r="H89" s="217" t="s">
        <v>568</v>
      </c>
      <c r="I89" s="219">
        <v>0</v>
      </c>
      <c r="J89" s="220">
        <v>0.74860000000000004</v>
      </c>
      <c r="K89" s="217" t="s">
        <v>581</v>
      </c>
    </row>
    <row r="93" spans="2:11" ht="12.75" customHeight="1" x14ac:dyDescent="0.2">
      <c r="B93" s="214" t="s">
        <v>553</v>
      </c>
      <c r="C93" s="214" t="s">
        <v>554</v>
      </c>
      <c r="D93" s="214" t="s">
        <v>575</v>
      </c>
      <c r="E93" s="214" t="s">
        <v>576</v>
      </c>
      <c r="F93" s="214" t="s">
        <v>577</v>
      </c>
      <c r="G93" s="214" t="s">
        <v>556</v>
      </c>
      <c r="H93" s="214" t="s">
        <v>557</v>
      </c>
      <c r="I93" s="214" t="s">
        <v>578</v>
      </c>
      <c r="J93" s="214" t="s">
        <v>579</v>
      </c>
      <c r="K93" s="214" t="s">
        <v>580</v>
      </c>
    </row>
    <row r="94" spans="2:11" ht="13.5" customHeight="1" x14ac:dyDescent="0.2">
      <c r="B94" s="215" t="s">
        <v>571</v>
      </c>
      <c r="C94" s="217" t="s">
        <v>572</v>
      </c>
      <c r="D94" s="216">
        <v>45536</v>
      </c>
      <c r="E94" s="217" t="s">
        <v>565</v>
      </c>
      <c r="F94" s="217">
        <v>2024</v>
      </c>
      <c r="G94" s="217">
        <v>2024</v>
      </c>
      <c r="H94" s="217" t="s">
        <v>562</v>
      </c>
      <c r="I94" s="219">
        <v>0</v>
      </c>
      <c r="J94" s="220">
        <v>0.71750000000000003</v>
      </c>
      <c r="K94" s="217" t="s">
        <v>581</v>
      </c>
    </row>
    <row r="95" spans="2:11" ht="13.5" customHeight="1" x14ac:dyDescent="0.2">
      <c r="B95" s="215" t="s">
        <v>571</v>
      </c>
      <c r="C95" s="217" t="s">
        <v>572</v>
      </c>
      <c r="D95" s="216">
        <v>45597</v>
      </c>
      <c r="E95" s="217" t="s">
        <v>380</v>
      </c>
      <c r="F95" s="217">
        <v>2024</v>
      </c>
      <c r="G95" s="217">
        <v>2024</v>
      </c>
      <c r="H95" s="217" t="s">
        <v>562</v>
      </c>
      <c r="I95" s="219">
        <v>0</v>
      </c>
      <c r="J95" s="220">
        <v>0.79490000000000005</v>
      </c>
      <c r="K95" s="217" t="s">
        <v>581</v>
      </c>
    </row>
    <row r="96" spans="2:11" ht="13.5" customHeight="1" x14ac:dyDescent="0.2">
      <c r="B96" s="215" t="s">
        <v>571</v>
      </c>
      <c r="C96" s="217" t="s">
        <v>572</v>
      </c>
      <c r="D96" s="216">
        <v>45717</v>
      </c>
      <c r="E96" s="217" t="s">
        <v>372</v>
      </c>
      <c r="F96" s="217">
        <v>2025</v>
      </c>
      <c r="G96" s="217">
        <v>2024</v>
      </c>
      <c r="H96" s="217" t="s">
        <v>568</v>
      </c>
      <c r="I96" s="219">
        <v>0</v>
      </c>
      <c r="J96" s="220">
        <v>0.79900000000000004</v>
      </c>
      <c r="K96" s="217" t="s">
        <v>581</v>
      </c>
    </row>
    <row r="99" spans="2:11" ht="12.75" customHeight="1" x14ac:dyDescent="0.2">
      <c r="B99" s="214" t="s">
        <v>553</v>
      </c>
      <c r="C99" s="214" t="s">
        <v>554</v>
      </c>
      <c r="D99" s="214" t="s">
        <v>575</v>
      </c>
      <c r="E99" s="214" t="s">
        <v>576</v>
      </c>
      <c r="F99" s="214" t="s">
        <v>577</v>
      </c>
      <c r="G99" s="214" t="s">
        <v>556</v>
      </c>
      <c r="H99" s="214" t="s">
        <v>557</v>
      </c>
      <c r="I99" s="214" t="s">
        <v>578</v>
      </c>
      <c r="J99" s="214" t="s">
        <v>579</v>
      </c>
      <c r="K99" s="214" t="s">
        <v>580</v>
      </c>
    </row>
    <row r="100" spans="2:11" ht="13.5" customHeight="1" x14ac:dyDescent="0.2">
      <c r="B100" s="215" t="s">
        <v>573</v>
      </c>
      <c r="C100" s="217" t="s">
        <v>216</v>
      </c>
      <c r="D100" s="216">
        <v>45536</v>
      </c>
      <c r="E100" s="217" t="s">
        <v>565</v>
      </c>
      <c r="F100" s="217">
        <v>2024</v>
      </c>
      <c r="G100" s="217">
        <v>2024</v>
      </c>
      <c r="H100" s="217" t="s">
        <v>562</v>
      </c>
      <c r="I100" s="219">
        <v>0</v>
      </c>
      <c r="J100" s="220">
        <v>0.57150000000000001</v>
      </c>
      <c r="K100" s="217" t="s">
        <v>581</v>
      </c>
    </row>
    <row r="101" spans="2:11" ht="13.5" customHeight="1" x14ac:dyDescent="0.2">
      <c r="B101" s="215" t="s">
        <v>573</v>
      </c>
      <c r="C101" s="217" t="s">
        <v>216</v>
      </c>
      <c r="D101" s="216">
        <v>45597</v>
      </c>
      <c r="E101" s="217" t="s">
        <v>380</v>
      </c>
      <c r="F101" s="217">
        <v>2024</v>
      </c>
      <c r="G101" s="217">
        <v>2024</v>
      </c>
      <c r="H101" s="217" t="s">
        <v>562</v>
      </c>
      <c r="I101" s="219">
        <v>0</v>
      </c>
      <c r="J101" s="220">
        <v>0.79710000000000003</v>
      </c>
      <c r="K101" s="217" t="s">
        <v>581</v>
      </c>
    </row>
    <row r="102" spans="2:11" ht="13.5" customHeight="1" x14ac:dyDescent="0.2">
      <c r="B102" s="215" t="s">
        <v>573</v>
      </c>
      <c r="C102" s="217" t="s">
        <v>216</v>
      </c>
      <c r="D102" s="216">
        <v>45717</v>
      </c>
      <c r="E102" s="217" t="s">
        <v>372</v>
      </c>
      <c r="F102" s="217">
        <v>2025</v>
      </c>
      <c r="G102" s="217">
        <v>2024</v>
      </c>
      <c r="H102" s="217" t="s">
        <v>568</v>
      </c>
      <c r="I102" s="219">
        <v>0</v>
      </c>
      <c r="J102" s="220">
        <v>0.80010000000000003</v>
      </c>
      <c r="K102" s="217" t="s">
        <v>581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9E7FD"/>
  </sheetPr>
  <dimension ref="A2:AJ16"/>
  <sheetViews>
    <sheetView topLeftCell="I1" zoomScaleNormal="100" workbookViewId="0">
      <selection activeCell="Y14" sqref="Y14"/>
    </sheetView>
  </sheetViews>
  <sheetFormatPr baseColWidth="10" defaultColWidth="8.5" defaultRowHeight="13" x14ac:dyDescent="0.2"/>
  <cols>
    <col min="1" max="1" width="8.5" style="182" customWidth="1"/>
    <col min="2" max="2" width="16.5" style="182" customWidth="1"/>
    <col min="3" max="9" width="8.5" style="182" customWidth="1"/>
    <col min="10" max="10" width="7.5" style="182" customWidth="1"/>
    <col min="11" max="21" width="8.5" style="182" customWidth="1"/>
    <col min="22" max="22" width="25.5" style="182" customWidth="1"/>
    <col min="23" max="33" width="8.5" style="182" customWidth="1"/>
    <col min="34" max="34" width="11.5" style="182" customWidth="1"/>
    <col min="35" max="35" width="133.5" style="182" customWidth="1"/>
    <col min="36" max="48" width="8.5" style="182" customWidth="1"/>
    <col min="49" max="16384" width="8.5" style="182"/>
  </cols>
  <sheetData>
    <row r="2" spans="1:36" ht="13.5" customHeight="1" x14ac:dyDescent="0.2">
      <c r="J2" s="182">
        <f>+COUNTA($B$5:J5)</f>
        <v>9</v>
      </c>
      <c r="K2" s="182">
        <f>+COUNTA($B$5:K5)</f>
        <v>10</v>
      </c>
      <c r="L2" s="182">
        <f>+COUNTA($B$5:L5)</f>
        <v>11</v>
      </c>
      <c r="M2" s="182">
        <f>+COUNTA($B$5:M5)</f>
        <v>12</v>
      </c>
      <c r="N2" s="182">
        <f>+COUNTA($B$5:N5)</f>
        <v>13</v>
      </c>
      <c r="O2" s="182">
        <f>+COUNTA($B$5:O5)</f>
        <v>14</v>
      </c>
      <c r="P2" s="182">
        <f>+COUNTA($B$5:P5)</f>
        <v>15</v>
      </c>
      <c r="Q2" s="182">
        <f>+COUNTA($B$5:Q5)</f>
        <v>16</v>
      </c>
      <c r="R2" s="182">
        <f>+COUNTA($B$5:R5)</f>
        <v>17</v>
      </c>
      <c r="S2" s="182">
        <f>+COUNTA($B$5:S5)</f>
        <v>18</v>
      </c>
      <c r="T2" s="182">
        <f>+COUNTA($B$5:T5)</f>
        <v>19</v>
      </c>
      <c r="U2" s="182">
        <f>+COUNTA($B$5:U5)</f>
        <v>20</v>
      </c>
    </row>
    <row r="3" spans="1:36" ht="12.75" customHeight="1" x14ac:dyDescent="0.2">
      <c r="B3" s="190" t="s">
        <v>582</v>
      </c>
      <c r="J3" s="221" t="s">
        <v>370</v>
      </c>
      <c r="K3" s="221" t="s">
        <v>371</v>
      </c>
      <c r="L3" s="221" t="s">
        <v>372</v>
      </c>
      <c r="M3" s="221" t="s">
        <v>373</v>
      </c>
      <c r="N3" s="221" t="s">
        <v>374</v>
      </c>
      <c r="O3" s="221" t="s">
        <v>375</v>
      </c>
      <c r="P3" s="221" t="s">
        <v>376</v>
      </c>
      <c r="Q3" s="221" t="s">
        <v>377</v>
      </c>
      <c r="R3" s="221" t="s">
        <v>378</v>
      </c>
      <c r="S3" s="221" t="s">
        <v>379</v>
      </c>
      <c r="T3" s="221" t="s">
        <v>380</v>
      </c>
      <c r="U3" s="221" t="s">
        <v>381</v>
      </c>
    </row>
    <row r="4" spans="1:36" s="211" customFormat="1" ht="12.75" customHeight="1" x14ac:dyDescent="0.2">
      <c r="A4" s="214" t="s">
        <v>553</v>
      </c>
      <c r="B4" s="214" t="s">
        <v>554</v>
      </c>
      <c r="C4" s="214" t="s">
        <v>221</v>
      </c>
      <c r="D4" s="214" t="s">
        <v>580</v>
      </c>
      <c r="E4" s="214" t="s">
        <v>583</v>
      </c>
      <c r="F4" s="214" t="s">
        <v>584</v>
      </c>
      <c r="G4" s="214" t="s">
        <v>585</v>
      </c>
      <c r="H4" s="214" t="s">
        <v>556</v>
      </c>
      <c r="I4" s="214" t="s">
        <v>557</v>
      </c>
      <c r="J4" s="214" t="s">
        <v>586</v>
      </c>
      <c r="K4" s="214" t="s">
        <v>587</v>
      </c>
      <c r="L4" s="214" t="s">
        <v>588</v>
      </c>
      <c r="M4" s="214" t="s">
        <v>589</v>
      </c>
      <c r="N4" s="214" t="s">
        <v>590</v>
      </c>
      <c r="O4" s="214" t="s">
        <v>591</v>
      </c>
      <c r="P4" s="214" t="s">
        <v>592</v>
      </c>
      <c r="Q4" s="214" t="s">
        <v>593</v>
      </c>
      <c r="R4" s="214" t="s">
        <v>594</v>
      </c>
      <c r="S4" s="214" t="s">
        <v>595</v>
      </c>
      <c r="T4" s="214" t="s">
        <v>596</v>
      </c>
      <c r="U4" s="214" t="s">
        <v>597</v>
      </c>
      <c r="V4" s="214" t="s">
        <v>598</v>
      </c>
      <c r="W4" s="214" t="s">
        <v>599</v>
      </c>
      <c r="X4" s="214" t="s">
        <v>600</v>
      </c>
      <c r="Y4" s="214" t="s">
        <v>601</v>
      </c>
      <c r="Z4" s="214" t="s">
        <v>602</v>
      </c>
      <c r="AA4" s="214" t="s">
        <v>603</v>
      </c>
      <c r="AB4" s="214" t="s">
        <v>604</v>
      </c>
      <c r="AC4" s="214" t="s">
        <v>605</v>
      </c>
      <c r="AD4" s="214" t="s">
        <v>606</v>
      </c>
      <c r="AE4" s="214" t="s">
        <v>607</v>
      </c>
      <c r="AF4" s="214" t="s">
        <v>608</v>
      </c>
      <c r="AG4" s="214" t="s">
        <v>609</v>
      </c>
      <c r="AH4" s="214" t="s">
        <v>610</v>
      </c>
      <c r="AI4" s="214" t="s">
        <v>611</v>
      </c>
      <c r="AJ4" s="214" t="s">
        <v>612</v>
      </c>
    </row>
    <row r="5" spans="1:36" s="232" customFormat="1" ht="12.75" customHeight="1" x14ac:dyDescent="0.2">
      <c r="A5" s="222" t="s">
        <v>559</v>
      </c>
      <c r="B5" s="223" t="s">
        <v>560</v>
      </c>
      <c r="C5" s="223" t="s">
        <v>613</v>
      </c>
      <c r="D5" s="223" t="s">
        <v>614</v>
      </c>
      <c r="E5" s="223" t="s">
        <v>615</v>
      </c>
      <c r="F5" s="224">
        <v>500</v>
      </c>
      <c r="G5" s="224">
        <v>626.4</v>
      </c>
      <c r="H5" s="225">
        <v>2024</v>
      </c>
      <c r="I5" s="225">
        <v>2</v>
      </c>
      <c r="J5" s="226">
        <v>105.88</v>
      </c>
      <c r="K5" s="226">
        <v>109.34</v>
      </c>
      <c r="L5" s="226">
        <v>120.94</v>
      </c>
      <c r="M5" s="226">
        <v>113.72</v>
      </c>
      <c r="N5" s="226">
        <v>105.37</v>
      </c>
      <c r="O5" s="226">
        <v>89.608999999999995</v>
      </c>
      <c r="P5" s="226">
        <v>99.212000000000003</v>
      </c>
      <c r="Q5" s="226">
        <v>121.11</v>
      </c>
      <c r="R5" s="226">
        <v>114.6</v>
      </c>
      <c r="S5" s="226">
        <v>118.18</v>
      </c>
      <c r="T5" s="226">
        <v>107.05</v>
      </c>
      <c r="U5" s="226">
        <v>116.84</v>
      </c>
      <c r="V5" s="224">
        <v>1330.5530000000001</v>
      </c>
      <c r="W5" s="224">
        <v>1321.8510000000001</v>
      </c>
      <c r="X5" s="227">
        <v>3.0830000000000002</v>
      </c>
      <c r="Y5" s="224">
        <v>1278.0051643438101</v>
      </c>
      <c r="Z5" s="224">
        <v>1269.64683443127</v>
      </c>
      <c r="AA5" s="224">
        <v>1198.240747437</v>
      </c>
      <c r="AB5" s="228">
        <v>0.81885833333333302</v>
      </c>
      <c r="AC5" s="228">
        <v>0.81344166666666695</v>
      </c>
      <c r="AD5" s="224">
        <v>2110.2346743295002</v>
      </c>
      <c r="AE5" s="228">
        <v>0.301792465753425</v>
      </c>
      <c r="AF5" s="229" t="s">
        <v>616</v>
      </c>
      <c r="AG5" s="229" t="s">
        <v>617</v>
      </c>
      <c r="AH5" s="230">
        <v>45993</v>
      </c>
      <c r="AI5" s="229" t="s">
        <v>618</v>
      </c>
      <c r="AJ5" s="231" t="s">
        <v>619</v>
      </c>
    </row>
    <row r="6" spans="1:36" s="232" customFormat="1" ht="12.75" customHeight="1" x14ac:dyDescent="0.2">
      <c r="A6" s="222" t="s">
        <v>571</v>
      </c>
      <c r="B6" s="223" t="s">
        <v>572</v>
      </c>
      <c r="C6" s="223" t="s">
        <v>613</v>
      </c>
      <c r="D6" s="223" t="s">
        <v>614</v>
      </c>
      <c r="E6" s="223" t="s">
        <v>615</v>
      </c>
      <c r="F6" s="224">
        <v>875</v>
      </c>
      <c r="G6" s="224">
        <v>1127.52</v>
      </c>
      <c r="H6" s="225">
        <v>2024</v>
      </c>
      <c r="I6" s="225">
        <v>2</v>
      </c>
      <c r="J6" s="226">
        <v>189.47</v>
      </c>
      <c r="K6" s="226">
        <v>194.28</v>
      </c>
      <c r="L6" s="226">
        <v>214.77</v>
      </c>
      <c r="M6" s="226">
        <v>202.63</v>
      </c>
      <c r="N6" s="226">
        <v>189.07</v>
      </c>
      <c r="O6" s="226">
        <v>171.58</v>
      </c>
      <c r="P6" s="226">
        <v>181</v>
      </c>
      <c r="Q6" s="226">
        <v>217.01</v>
      </c>
      <c r="R6" s="226">
        <v>204.19</v>
      </c>
      <c r="S6" s="226">
        <v>181</v>
      </c>
      <c r="T6" s="226">
        <v>203.55</v>
      </c>
      <c r="U6" s="226">
        <v>207.27</v>
      </c>
      <c r="V6" s="224">
        <v>2369.92</v>
      </c>
      <c r="W6" s="224">
        <v>2355.8200000000002</v>
      </c>
      <c r="X6" s="227">
        <v>3.0830000000000002</v>
      </c>
      <c r="Y6" s="224">
        <v>2276.3242043584</v>
      </c>
      <c r="Z6" s="224">
        <v>2262.7810589013998</v>
      </c>
      <c r="AA6" s="224">
        <v>2135.52020434</v>
      </c>
      <c r="AB6" s="228">
        <v>0.81225000000000003</v>
      </c>
      <c r="AC6" s="228">
        <v>0.80731666666666702</v>
      </c>
      <c r="AD6" s="224">
        <v>2089.3820065276</v>
      </c>
      <c r="AE6" s="228">
        <v>0.30734768427919101</v>
      </c>
      <c r="AF6" s="229" t="s">
        <v>616</v>
      </c>
      <c r="AG6" s="229" t="s">
        <v>620</v>
      </c>
      <c r="AH6" s="230">
        <v>45993</v>
      </c>
      <c r="AI6" s="229" t="s">
        <v>618</v>
      </c>
      <c r="AJ6" s="231" t="s">
        <v>619</v>
      </c>
    </row>
    <row r="7" spans="1:36" s="232" customFormat="1" ht="12.75" customHeight="1" x14ac:dyDescent="0.2">
      <c r="A7" s="222" t="s">
        <v>573</v>
      </c>
      <c r="B7" s="223" t="s">
        <v>216</v>
      </c>
      <c r="C7" s="223" t="s">
        <v>613</v>
      </c>
      <c r="D7" s="223" t="s">
        <v>614</v>
      </c>
      <c r="E7" s="223" t="s">
        <v>615</v>
      </c>
      <c r="F7" s="224">
        <v>625</v>
      </c>
      <c r="G7" s="224">
        <v>814.32</v>
      </c>
      <c r="H7" s="225">
        <v>2024</v>
      </c>
      <c r="I7" s="225">
        <v>2</v>
      </c>
      <c r="J7" s="226">
        <v>143.13999999999999</v>
      </c>
      <c r="K7" s="226">
        <v>127.55</v>
      </c>
      <c r="L7" s="226">
        <v>146.30000000000001</v>
      </c>
      <c r="M7" s="226">
        <v>145.97999999999999</v>
      </c>
      <c r="N7" s="226">
        <v>136.62</v>
      </c>
      <c r="O7" s="226">
        <v>123.99</v>
      </c>
      <c r="P7" s="226">
        <v>130.51</v>
      </c>
      <c r="Q7" s="226">
        <v>156.66999999999999</v>
      </c>
      <c r="R7" s="226">
        <v>147.01</v>
      </c>
      <c r="S7" s="226">
        <v>151.08000000000001</v>
      </c>
      <c r="T7" s="226">
        <v>146.08000000000001</v>
      </c>
      <c r="U7" s="226">
        <v>138.71</v>
      </c>
      <c r="V7" s="224">
        <v>1703.67</v>
      </c>
      <c r="W7" s="224">
        <v>1693.64</v>
      </c>
      <c r="X7" s="227">
        <v>3.0830000000000002</v>
      </c>
      <c r="Y7" s="224">
        <v>1636.3865688459</v>
      </c>
      <c r="Z7" s="224">
        <v>1626.7526859428001</v>
      </c>
      <c r="AA7" s="224">
        <v>1535.26264268</v>
      </c>
      <c r="AB7" s="228">
        <v>0.80774999999999997</v>
      </c>
      <c r="AC7" s="228">
        <v>0.80291666666666694</v>
      </c>
      <c r="AD7" s="224">
        <v>2079.8212005108599</v>
      </c>
      <c r="AE7" s="228">
        <v>0.30934063926940603</v>
      </c>
      <c r="AF7" s="229" t="s">
        <v>616</v>
      </c>
      <c r="AG7" s="229" t="s">
        <v>621</v>
      </c>
      <c r="AH7" s="230">
        <v>45993</v>
      </c>
      <c r="AI7" s="229" t="s">
        <v>618</v>
      </c>
      <c r="AJ7" s="231" t="s">
        <v>619</v>
      </c>
    </row>
    <row r="12" spans="1:36" ht="28.5" customHeight="1" x14ac:dyDescent="0.2">
      <c r="B12" s="190" t="s">
        <v>622</v>
      </c>
      <c r="J12" s="221" t="s">
        <v>370</v>
      </c>
      <c r="K12" s="221" t="s">
        <v>371</v>
      </c>
      <c r="L12" s="221" t="s">
        <v>372</v>
      </c>
      <c r="M12" s="221" t="s">
        <v>373</v>
      </c>
      <c r="N12" s="221" t="s">
        <v>374</v>
      </c>
      <c r="O12" s="221" t="s">
        <v>375</v>
      </c>
      <c r="P12" s="221" t="s">
        <v>376</v>
      </c>
      <c r="Q12" s="221" t="s">
        <v>377</v>
      </c>
      <c r="R12" s="221" t="s">
        <v>378</v>
      </c>
      <c r="S12" s="221" t="s">
        <v>379</v>
      </c>
      <c r="T12" s="221" t="s">
        <v>380</v>
      </c>
      <c r="U12" s="221" t="s">
        <v>381</v>
      </c>
      <c r="V12" s="214" t="s">
        <v>623</v>
      </c>
      <c r="W12" s="233" t="s">
        <v>624</v>
      </c>
      <c r="X12" s="233" t="s">
        <v>625</v>
      </c>
    </row>
    <row r="13" spans="1:36" ht="12.75" customHeight="1" x14ac:dyDescent="0.2">
      <c r="A13" s="214" t="s">
        <v>553</v>
      </c>
      <c r="B13" s="214" t="s">
        <v>554</v>
      </c>
      <c r="C13" s="214" t="s">
        <v>221</v>
      </c>
      <c r="D13" s="214" t="s">
        <v>580</v>
      </c>
      <c r="E13" s="214" t="s">
        <v>583</v>
      </c>
      <c r="F13" s="214" t="s">
        <v>584</v>
      </c>
      <c r="G13" s="214" t="s">
        <v>585</v>
      </c>
      <c r="H13" s="214" t="s">
        <v>556</v>
      </c>
      <c r="I13" s="214" t="s">
        <v>557</v>
      </c>
      <c r="J13" s="214" t="s">
        <v>586</v>
      </c>
      <c r="K13" s="214" t="s">
        <v>587</v>
      </c>
      <c r="L13" s="214" t="s">
        <v>588</v>
      </c>
      <c r="M13" s="214" t="s">
        <v>589</v>
      </c>
      <c r="N13" s="214" t="s">
        <v>590</v>
      </c>
      <c r="O13" s="214" t="s">
        <v>591</v>
      </c>
      <c r="P13" s="214" t="s">
        <v>592</v>
      </c>
      <c r="Q13" s="214" t="s">
        <v>593</v>
      </c>
      <c r="R13" s="214" t="s">
        <v>594</v>
      </c>
      <c r="S13" s="214" t="s">
        <v>595</v>
      </c>
      <c r="T13" s="214" t="s">
        <v>596</v>
      </c>
      <c r="U13" s="214" t="s">
        <v>597</v>
      </c>
      <c r="V13" s="214" t="s">
        <v>623</v>
      </c>
    </row>
    <row r="14" spans="1:36" ht="23.25" customHeight="1" x14ac:dyDescent="0.2">
      <c r="A14" s="222" t="s">
        <v>559</v>
      </c>
      <c r="B14" s="223" t="s">
        <v>560</v>
      </c>
      <c r="C14" s="223" t="s">
        <v>613</v>
      </c>
      <c r="D14" s="223" t="s">
        <v>614</v>
      </c>
      <c r="E14" s="223" t="s">
        <v>615</v>
      </c>
      <c r="F14" s="224">
        <v>500</v>
      </c>
      <c r="G14" s="224">
        <v>626.4</v>
      </c>
      <c r="H14" s="225">
        <v>2024</v>
      </c>
      <c r="I14" s="225">
        <v>2</v>
      </c>
      <c r="V14" s="224"/>
    </row>
    <row r="15" spans="1:36" ht="23.25" customHeight="1" x14ac:dyDescent="0.2">
      <c r="A15" s="222" t="s">
        <v>571</v>
      </c>
      <c r="B15" s="223" t="s">
        <v>572</v>
      </c>
      <c r="C15" s="223" t="s">
        <v>613</v>
      </c>
      <c r="D15" s="223" t="s">
        <v>614</v>
      </c>
      <c r="E15" s="223" t="s">
        <v>615</v>
      </c>
      <c r="F15" s="224">
        <v>875</v>
      </c>
      <c r="G15" s="224">
        <v>1127.52</v>
      </c>
      <c r="H15" s="225">
        <v>2024</v>
      </c>
      <c r="I15" s="225">
        <v>2</v>
      </c>
      <c r="J15" s="226">
        <v>188.55</v>
      </c>
      <c r="K15" s="226">
        <v>166</v>
      </c>
      <c r="L15" s="226">
        <v>193.42939999999999</v>
      </c>
      <c r="M15" s="226">
        <v>144.13460000000001</v>
      </c>
      <c r="N15" s="226">
        <v>158.6377</v>
      </c>
      <c r="O15" s="226">
        <v>128.6395</v>
      </c>
      <c r="P15" s="226">
        <v>178.34549999999999</v>
      </c>
      <c r="Q15" s="226">
        <v>190.73480000000001</v>
      </c>
      <c r="R15" s="226">
        <v>200.2328</v>
      </c>
      <c r="S15" s="226">
        <v>185.55019999999999</v>
      </c>
      <c r="T15" s="226">
        <v>215.34950000000001</v>
      </c>
      <c r="U15" s="226">
        <v>181.5256</v>
      </c>
      <c r="V15" s="224">
        <v>2131.1296000000002</v>
      </c>
      <c r="W15" s="226">
        <v>184.9512</v>
      </c>
      <c r="X15" s="226">
        <v>157.43899999999999</v>
      </c>
    </row>
    <row r="16" spans="1:36" ht="23.25" customHeight="1" x14ac:dyDescent="0.2">
      <c r="A16" s="222" t="s">
        <v>573</v>
      </c>
      <c r="B16" s="223" t="s">
        <v>216</v>
      </c>
      <c r="C16" s="223" t="s">
        <v>613</v>
      </c>
      <c r="D16" s="223" t="s">
        <v>614</v>
      </c>
      <c r="E16" s="223" t="s">
        <v>615</v>
      </c>
      <c r="F16" s="224">
        <v>625</v>
      </c>
      <c r="G16" s="224">
        <v>814.32</v>
      </c>
      <c r="H16" s="225">
        <v>2024</v>
      </c>
      <c r="I16" s="225">
        <v>2</v>
      </c>
      <c r="J16" s="226">
        <v>143.47999999999999</v>
      </c>
      <c r="K16" s="226">
        <v>121</v>
      </c>
      <c r="L16" s="226">
        <v>141.1858</v>
      </c>
      <c r="M16" s="226">
        <v>105.1116</v>
      </c>
      <c r="N16" s="226">
        <v>121.0391</v>
      </c>
      <c r="O16" s="226">
        <v>99.471599999999995</v>
      </c>
      <c r="P16" s="226">
        <v>127.0078</v>
      </c>
      <c r="Q16" s="226">
        <v>134.7817</v>
      </c>
      <c r="R16" s="226">
        <v>139.88890000000001</v>
      </c>
      <c r="S16" s="226">
        <v>128.4246</v>
      </c>
      <c r="T16" s="226">
        <v>153.30719999999999</v>
      </c>
      <c r="U16" s="226">
        <v>130.39959999999999</v>
      </c>
      <c r="V16" s="224">
        <v>1545.0979</v>
      </c>
      <c r="W16" s="226">
        <v>131.6157</v>
      </c>
      <c r="X16" s="226">
        <v>110.621</v>
      </c>
    </row>
  </sheetData>
  <hyperlinks>
    <hyperlink ref="AJ5" r:id="rId1" xr:uid="{00000000-0004-0000-0D00-000000000000}"/>
    <hyperlink ref="AJ6" r:id="rId2" xr:uid="{00000000-0004-0000-0D00-000001000000}"/>
    <hyperlink ref="AJ7" r:id="rId3" xr:uid="{00000000-0004-0000-0D00-000002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3F1DB"/>
  </sheetPr>
  <dimension ref="A1:AC4"/>
  <sheetViews>
    <sheetView zoomScaleNormal="100" workbookViewId="0">
      <selection activeCell="M24" sqref="M24"/>
    </sheetView>
  </sheetViews>
  <sheetFormatPr baseColWidth="10" defaultColWidth="12.5" defaultRowHeight="13" x14ac:dyDescent="0.2"/>
  <cols>
    <col min="1" max="1" width="17.5" style="182" customWidth="1"/>
    <col min="2" max="2" width="8.5" style="182" customWidth="1"/>
    <col min="3" max="3" width="8" style="182" customWidth="1"/>
    <col min="4" max="4" width="15.5" style="182" customWidth="1"/>
    <col min="5" max="5" width="10.5" style="182" customWidth="1"/>
    <col min="6" max="6" width="9.5" style="182" customWidth="1"/>
    <col min="7" max="7" width="17.33203125" style="182" customWidth="1"/>
    <col min="8" max="8" width="12.5" style="182" customWidth="1"/>
    <col min="9" max="9" width="17.5" style="182" customWidth="1"/>
    <col min="10" max="11" width="11.33203125" style="182" customWidth="1"/>
    <col min="12" max="24" width="12.5" style="182" customWidth="1"/>
    <col min="25" max="16384" width="12.5" style="182"/>
  </cols>
  <sheetData>
    <row r="1" spans="1:29" ht="31.5" customHeight="1" x14ac:dyDescent="0.2">
      <c r="A1" s="234" t="s">
        <v>462</v>
      </c>
      <c r="B1" s="234" t="s">
        <v>626</v>
      </c>
      <c r="C1" s="234" t="s">
        <v>627</v>
      </c>
      <c r="D1" s="234" t="s">
        <v>628</v>
      </c>
      <c r="E1" s="234" t="s">
        <v>629</v>
      </c>
      <c r="F1" s="234" t="s">
        <v>630</v>
      </c>
      <c r="G1" s="234" t="s">
        <v>631</v>
      </c>
      <c r="H1" s="234" t="s">
        <v>632</v>
      </c>
      <c r="I1" s="234" t="s">
        <v>633</v>
      </c>
      <c r="J1" s="234" t="s">
        <v>634</v>
      </c>
      <c r="K1" s="234" t="s">
        <v>635</v>
      </c>
      <c r="L1" s="235" t="s">
        <v>636</v>
      </c>
      <c r="M1" s="235" t="s">
        <v>637</v>
      </c>
      <c r="N1" s="236"/>
      <c r="O1" s="236"/>
      <c r="P1" s="236"/>
      <c r="Q1" s="236"/>
      <c r="R1" s="236"/>
      <c r="S1" s="236"/>
      <c r="T1" s="236"/>
      <c r="U1" s="236"/>
      <c r="V1" s="236"/>
      <c r="W1" s="236"/>
      <c r="X1" s="236"/>
      <c r="Y1" s="236"/>
      <c r="Z1" s="236"/>
      <c r="AA1" s="236"/>
      <c r="AB1" s="236"/>
      <c r="AC1" s="236"/>
    </row>
    <row r="2" spans="1:29" ht="12" customHeight="1" x14ac:dyDescent="0.2">
      <c r="A2" s="185" t="s">
        <v>473</v>
      </c>
      <c r="B2" s="185">
        <v>621</v>
      </c>
      <c r="C2" s="185">
        <v>500</v>
      </c>
      <c r="D2" s="185">
        <v>1800</v>
      </c>
      <c r="E2" s="185">
        <v>345</v>
      </c>
      <c r="F2" s="237">
        <v>0.17399999999999999</v>
      </c>
      <c r="G2" s="238">
        <v>1.9</v>
      </c>
      <c r="H2" s="188">
        <f>D2*G2</f>
        <v>3420</v>
      </c>
      <c r="I2" s="188">
        <f>D2*E2/H2</f>
        <v>181.57894736842104</v>
      </c>
      <c r="J2" s="239" t="s">
        <v>638</v>
      </c>
      <c r="K2" s="239" t="s">
        <v>639</v>
      </c>
      <c r="L2" s="197" t="s">
        <v>640</v>
      </c>
      <c r="M2" s="197">
        <v>0</v>
      </c>
    </row>
    <row r="3" spans="1:29" ht="12" customHeight="1" x14ac:dyDescent="0.2">
      <c r="A3" s="185" t="s">
        <v>472</v>
      </c>
      <c r="B3" s="240">
        <v>702</v>
      </c>
      <c r="C3" s="185">
        <v>500</v>
      </c>
      <c r="D3" s="185">
        <v>1560</v>
      </c>
      <c r="E3" s="185">
        <v>450</v>
      </c>
      <c r="F3" s="237">
        <v>0.20399999999999999</v>
      </c>
      <c r="G3" s="238">
        <v>2.209184</v>
      </c>
      <c r="H3" s="188">
        <f>D3*G3</f>
        <v>3446.3270400000001</v>
      </c>
      <c r="I3" s="188">
        <f>D3*E3/H3</f>
        <v>203.69512000811159</v>
      </c>
      <c r="J3" s="239" t="s">
        <v>641</v>
      </c>
      <c r="K3" s="239" t="s">
        <v>642</v>
      </c>
      <c r="L3" s="197"/>
      <c r="M3" s="197"/>
    </row>
    <row r="4" spans="1:29" ht="12" customHeight="1" x14ac:dyDescent="0.2">
      <c r="A4" s="185" t="s">
        <v>466</v>
      </c>
      <c r="B4" s="185">
        <v>697</v>
      </c>
      <c r="C4" s="185">
        <v>500</v>
      </c>
      <c r="D4" s="185">
        <v>1700</v>
      </c>
      <c r="E4" s="185">
        <v>410</v>
      </c>
      <c r="F4" s="237">
        <v>0.20300000000000001</v>
      </c>
      <c r="G4" s="238">
        <v>2.0220359999999999</v>
      </c>
      <c r="H4" s="188">
        <f>D4*G4</f>
        <v>3437.4611999999997</v>
      </c>
      <c r="I4" s="188">
        <f>D4*E4/H4</f>
        <v>202.76592503793208</v>
      </c>
      <c r="J4" s="239" t="s">
        <v>643</v>
      </c>
      <c r="K4" s="239" t="s">
        <v>644</v>
      </c>
      <c r="L4" s="197"/>
      <c r="M4" s="19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1"/>
  <sheetViews>
    <sheetView workbookViewId="0"/>
  </sheetViews>
  <sheetFormatPr baseColWidth="10" defaultColWidth="8.83203125" defaultRowHeight="15" x14ac:dyDescent="0.2"/>
  <cols>
    <col min="1" max="1" width="50" customWidth="1"/>
    <col min="2" max="6" width="18" customWidth="1"/>
  </cols>
  <sheetData>
    <row r="1" spans="1:6" ht="19" x14ac:dyDescent="0.25">
      <c r="A1" s="375" t="s">
        <v>645</v>
      </c>
      <c r="B1" s="289"/>
      <c r="C1" s="289"/>
      <c r="D1" s="289"/>
      <c r="E1" s="289"/>
      <c r="F1" s="289"/>
    </row>
    <row r="2" spans="1:6" x14ac:dyDescent="0.2">
      <c r="A2" s="372" t="s">
        <v>646</v>
      </c>
      <c r="B2" s="289"/>
      <c r="C2" s="289"/>
      <c r="D2" s="289"/>
      <c r="E2" s="289"/>
      <c r="F2" s="289"/>
    </row>
    <row r="4" spans="1:6" ht="16" x14ac:dyDescent="0.2">
      <c r="A4" s="373" t="s">
        <v>647</v>
      </c>
      <c r="B4" s="289"/>
      <c r="C4" s="289"/>
      <c r="D4" s="289"/>
      <c r="E4" s="289"/>
      <c r="F4" s="289"/>
    </row>
    <row r="5" spans="1:6" x14ac:dyDescent="0.2">
      <c r="A5" s="280" t="s">
        <v>648</v>
      </c>
      <c r="B5" s="280" t="s">
        <v>649</v>
      </c>
      <c r="C5" s="280" t="s">
        <v>650</v>
      </c>
      <c r="D5" s="280" t="s">
        <v>651</v>
      </c>
      <c r="E5" s="280" t="s">
        <v>652</v>
      </c>
      <c r="F5" s="280" t="s">
        <v>653</v>
      </c>
    </row>
    <row r="6" spans="1:6" x14ac:dyDescent="0.2">
      <c r="A6" s="281" t="s">
        <v>654</v>
      </c>
      <c r="B6" s="282">
        <v>0.12998000000000001</v>
      </c>
      <c r="C6" s="282">
        <v>0.1745869711215581</v>
      </c>
      <c r="D6" s="282">
        <v>0.14608452199999999</v>
      </c>
      <c r="E6" s="282">
        <v>0.19621829684351921</v>
      </c>
      <c r="F6" s="283">
        <v>0.1239</v>
      </c>
    </row>
    <row r="7" spans="1:6" x14ac:dyDescent="0.2">
      <c r="A7" s="281" t="s">
        <v>655</v>
      </c>
      <c r="B7" s="282">
        <v>0.26962999999999998</v>
      </c>
      <c r="C7" s="282">
        <v>0.36216252518468772</v>
      </c>
      <c r="D7" s="282">
        <v>0.30303715699999989</v>
      </c>
      <c r="E7" s="282">
        <v>0.40703446205507049</v>
      </c>
      <c r="F7" s="283">
        <v>0.1239</v>
      </c>
    </row>
    <row r="8" spans="1:6" x14ac:dyDescent="0.2">
      <c r="A8" s="284" t="s">
        <v>656</v>
      </c>
      <c r="B8" s="285">
        <v>0.39961000000000002</v>
      </c>
      <c r="C8" s="285">
        <v>0.53674949630624591</v>
      </c>
      <c r="D8" s="285">
        <v>0.449121679</v>
      </c>
      <c r="E8" s="285">
        <v>0.60325275889858976</v>
      </c>
      <c r="F8" s="286">
        <v>0.1239</v>
      </c>
    </row>
    <row r="10" spans="1:6" ht="16" x14ac:dyDescent="0.2">
      <c r="A10" s="373" t="s">
        <v>657</v>
      </c>
      <c r="B10" s="289"/>
      <c r="C10" s="289"/>
      <c r="D10" s="289"/>
      <c r="E10" s="289"/>
      <c r="F10" s="289"/>
    </row>
    <row r="11" spans="1:6" x14ac:dyDescent="0.2">
      <c r="A11" s="280" t="s">
        <v>648</v>
      </c>
      <c r="B11" s="280" t="s">
        <v>649</v>
      </c>
      <c r="C11" s="280" t="s">
        <v>650</v>
      </c>
      <c r="D11" s="280" t="s">
        <v>651</v>
      </c>
      <c r="E11" s="280" t="s">
        <v>652</v>
      </c>
      <c r="F11" s="280" t="s">
        <v>653</v>
      </c>
    </row>
    <row r="12" spans="1:6" x14ac:dyDescent="0.2">
      <c r="A12" s="281" t="s">
        <v>658</v>
      </c>
      <c r="B12" s="282">
        <v>1.80993</v>
      </c>
      <c r="C12" s="282">
        <v>2.4310678307588991</v>
      </c>
      <c r="D12" s="282">
        <v>2.0341803270000001</v>
      </c>
      <c r="E12" s="282">
        <v>2.7322771349899271</v>
      </c>
      <c r="F12" s="283">
        <v>0.1239</v>
      </c>
    </row>
    <row r="13" spans="1:6" x14ac:dyDescent="0.2">
      <c r="A13" s="281" t="s">
        <v>655</v>
      </c>
      <c r="B13" s="282">
        <v>0.44621</v>
      </c>
      <c r="C13" s="282">
        <v>0.59934184016118208</v>
      </c>
      <c r="D13" s="282">
        <v>0.50149541899999994</v>
      </c>
      <c r="E13" s="282">
        <v>0.67360029415715239</v>
      </c>
      <c r="F13" s="283">
        <v>0.1239</v>
      </c>
    </row>
    <row r="14" spans="1:6" x14ac:dyDescent="0.2">
      <c r="A14" s="284" t="s">
        <v>656</v>
      </c>
      <c r="B14" s="285">
        <v>2.2561399999999998</v>
      </c>
      <c r="C14" s="285">
        <v>3.030409670920081</v>
      </c>
      <c r="D14" s="285">
        <v>2.5356757459999999</v>
      </c>
      <c r="E14" s="285">
        <v>3.405877429147079</v>
      </c>
      <c r="F14" s="286">
        <v>0.1239</v>
      </c>
    </row>
    <row r="16" spans="1:6" ht="16" x14ac:dyDescent="0.2">
      <c r="A16" s="373" t="s">
        <v>659</v>
      </c>
      <c r="B16" s="289"/>
      <c r="C16" s="289"/>
      <c r="D16" s="289"/>
      <c r="E16" s="289"/>
      <c r="F16" s="289"/>
    </row>
    <row r="17" spans="1:6" x14ac:dyDescent="0.2">
      <c r="A17" s="280" t="s">
        <v>648</v>
      </c>
      <c r="B17" s="280" t="s">
        <v>649</v>
      </c>
      <c r="C17" s="280" t="s">
        <v>650</v>
      </c>
      <c r="D17" s="280" t="s">
        <v>651</v>
      </c>
      <c r="E17" s="280" t="s">
        <v>652</v>
      </c>
      <c r="F17" s="280" t="s">
        <v>653</v>
      </c>
    </row>
    <row r="18" spans="1:6" x14ac:dyDescent="0.2">
      <c r="A18" s="284" t="s">
        <v>660</v>
      </c>
      <c r="B18" s="285">
        <v>34.69</v>
      </c>
      <c r="C18" s="285">
        <v>46.595030221625251</v>
      </c>
      <c r="D18" s="285">
        <v>38.988090999999997</v>
      </c>
      <c r="E18" s="285">
        <v>52.368154466084619</v>
      </c>
      <c r="F18" s="286">
        <v>0.1239</v>
      </c>
    </row>
    <row r="20" spans="1:6" ht="16" x14ac:dyDescent="0.2">
      <c r="A20" s="373" t="s">
        <v>661</v>
      </c>
      <c r="B20" s="289"/>
      <c r="C20" s="289"/>
      <c r="D20" s="289"/>
      <c r="E20" s="289"/>
      <c r="F20" s="289"/>
    </row>
    <row r="21" spans="1:6" x14ac:dyDescent="0.2">
      <c r="A21" s="280" t="s">
        <v>648</v>
      </c>
      <c r="B21" s="280" t="s">
        <v>649</v>
      </c>
      <c r="C21" s="280" t="s">
        <v>650</v>
      </c>
      <c r="D21" s="280" t="s">
        <v>651</v>
      </c>
      <c r="E21" s="280" t="s">
        <v>652</v>
      </c>
      <c r="F21" s="280" t="s">
        <v>653</v>
      </c>
    </row>
    <row r="22" spans="1:6" x14ac:dyDescent="0.2">
      <c r="A22" s="281" t="s">
        <v>654</v>
      </c>
      <c r="B22" s="282">
        <v>0.59208000000000005</v>
      </c>
      <c r="C22" s="282">
        <v>0.79527199462726672</v>
      </c>
      <c r="D22" s="282">
        <v>0.66301118400000003</v>
      </c>
      <c r="E22" s="282">
        <v>0.89054557958361324</v>
      </c>
      <c r="F22" s="283">
        <v>0.1198</v>
      </c>
    </row>
    <row r="23" spans="1:6" x14ac:dyDescent="0.2">
      <c r="A23" s="281" t="s">
        <v>655</v>
      </c>
      <c r="B23" s="282">
        <v>0.28602</v>
      </c>
      <c r="C23" s="282">
        <v>0.38417730020147761</v>
      </c>
      <c r="D23" s="282">
        <v>0.32028519599999999</v>
      </c>
      <c r="E23" s="282">
        <v>0.43020174076561452</v>
      </c>
      <c r="F23" s="283">
        <v>0.1198</v>
      </c>
    </row>
    <row r="24" spans="1:6" x14ac:dyDescent="0.2">
      <c r="A24" s="284" t="s">
        <v>656</v>
      </c>
      <c r="B24" s="285">
        <v>0.8781000000000001</v>
      </c>
      <c r="C24" s="285">
        <v>1.1794492948287441</v>
      </c>
      <c r="D24" s="285">
        <v>0.98329638000000008</v>
      </c>
      <c r="E24" s="285">
        <v>1.3207473203492279</v>
      </c>
      <c r="F24" s="286">
        <v>0.1198</v>
      </c>
    </row>
    <row r="26" spans="1:6" x14ac:dyDescent="0.2">
      <c r="A26" s="287" t="s">
        <v>662</v>
      </c>
    </row>
    <row r="27" spans="1:6" x14ac:dyDescent="0.2">
      <c r="A27" s="374" t="s">
        <v>663</v>
      </c>
      <c r="B27" s="289"/>
      <c r="C27" s="289"/>
      <c r="D27" s="289"/>
      <c r="E27" s="289"/>
      <c r="F27" s="289"/>
    </row>
    <row r="28" spans="1:6" x14ac:dyDescent="0.2">
      <c r="A28" s="374" t="s">
        <v>664</v>
      </c>
      <c r="B28" s="289"/>
      <c r="C28" s="289"/>
      <c r="D28" s="289"/>
      <c r="E28" s="289"/>
      <c r="F28" s="289"/>
    </row>
    <row r="29" spans="1:6" x14ac:dyDescent="0.2">
      <c r="A29" s="374" t="s">
        <v>665</v>
      </c>
      <c r="B29" s="289"/>
      <c r="C29" s="289"/>
      <c r="D29" s="289"/>
      <c r="E29" s="289"/>
      <c r="F29" s="289"/>
    </row>
    <row r="30" spans="1:6" x14ac:dyDescent="0.2">
      <c r="A30" s="374" t="s">
        <v>666</v>
      </c>
      <c r="B30" s="289"/>
      <c r="C30" s="289"/>
      <c r="D30" s="289"/>
      <c r="E30" s="289"/>
      <c r="F30" s="289"/>
    </row>
    <row r="31" spans="1:6" x14ac:dyDescent="0.2">
      <c r="A31" s="374" t="s">
        <v>667</v>
      </c>
      <c r="B31" s="289"/>
      <c r="C31" s="289"/>
      <c r="D31" s="289"/>
      <c r="E31" s="289"/>
      <c r="F31" s="289"/>
    </row>
  </sheetData>
  <mergeCells count="11">
    <mergeCell ref="A31:F31"/>
    <mergeCell ref="A4:F4"/>
    <mergeCell ref="A20:F20"/>
    <mergeCell ref="A30:F30"/>
    <mergeCell ref="A29:F29"/>
    <mergeCell ref="A2:F2"/>
    <mergeCell ref="A16:F16"/>
    <mergeCell ref="A10:F10"/>
    <mergeCell ref="A28:F28"/>
    <mergeCell ref="A1:F1"/>
    <mergeCell ref="A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Resumo</vt:lpstr>
      <vt:lpstr>Premissas</vt:lpstr>
      <vt:lpstr>Input_Consumo_GrupoA</vt:lpstr>
      <vt:lpstr>Simulacao</vt:lpstr>
      <vt:lpstr>Dados_Produção_Copasul</vt:lpstr>
      <vt:lpstr>Amandina</vt:lpstr>
      <vt:lpstr>Batayporã</vt:lpstr>
      <vt:lpstr>Novo Horizonte do Sul</vt:lpstr>
      <vt:lpstr>Dados_Consumo_Copasul</vt:lpstr>
      <vt:lpstr>Formula Dados Copasul</vt:lpstr>
      <vt:lpstr>Memória de Massa - 2025</vt:lpstr>
      <vt:lpstr>Dados_Produção_Helexia</vt:lpstr>
      <vt:lpstr>Usinas_Helexia_PR</vt:lpstr>
      <vt:lpstr>PVSYST_Helexia</vt:lpstr>
      <vt:lpstr>Usinas</vt:lpstr>
      <vt:lpstr>Decomposicao_Tarifas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louis.demoffarts@helexia.eu</dc:creator>
  <cp:lastModifiedBy>Louis de Moffarts</cp:lastModifiedBy>
  <cp:revision>19</cp:revision>
  <dcterms:created xsi:type="dcterms:W3CDTF">2026-03-17T17:02:02Z</dcterms:created>
  <dcterms:modified xsi:type="dcterms:W3CDTF">2026-04-27T19:00:11Z</dcterms:modified>
  <dc:language>en-US</dc:language>
</cp:coreProperties>
</file>